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使い方" sheetId="1" state="visible" r:id="rId1"/>
    <sheet xmlns:r="http://schemas.openxmlformats.org/officeDocument/2006/relationships" name="決定事項" sheetId="2" state="visible" r:id="rId2"/>
    <sheet xmlns:r="http://schemas.openxmlformats.org/officeDocument/2006/relationships" name="保留課題" sheetId="3" state="visible" r:id="rId3"/>
    <sheet xmlns:r="http://schemas.openxmlformats.org/officeDocument/2006/relationships" name="確認依頼" sheetId="4" state="visible" r:id="rId4"/>
    <sheet xmlns:r="http://schemas.openxmlformats.org/officeDocument/2006/relationships" name="集計" sheetId="5" state="visible" r:id="rId5"/>
    <sheet xmlns:r="http://schemas.openxmlformats.org/officeDocument/2006/relationships" name="改訂履歴"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2">
    <font>
      <name val="Calibri"/>
      <charset val="1"/>
      <family val="2"/>
      <color theme="1"/>
      <sz val="11"/>
    </font>
    <font>
      <name val="Arial"/>
      <family val="0"/>
      <sz val="10"/>
    </font>
    <font>
      <name val="Arial"/>
      <family val="0"/>
      <sz val="10"/>
    </font>
    <font>
      <name val="Arial"/>
      <family val="0"/>
      <sz val="10"/>
    </font>
    <font>
      <name val="Yu Gothic"/>
      <charset val="1"/>
      <family val="0"/>
      <b val="1"/>
      <color rgb="FF1C2B45"/>
      <sz val="14"/>
    </font>
    <font>
      <name val="Noto Sans CJK SC"/>
      <family val="2"/>
      <b val="1"/>
      <color rgb="FF1C2B45"/>
      <sz val="14"/>
    </font>
    <font>
      <name val="Noto Sans CJK SC"/>
      <family val="2"/>
      <b val="1"/>
      <sz val="10"/>
    </font>
    <font>
      <name val="Yu Gothic"/>
      <charset val="1"/>
      <family val="0"/>
      <sz val="10"/>
    </font>
    <font>
      <name val="Noto Sans CJK SC"/>
      <family val="2"/>
      <sz val="10"/>
    </font>
    <font>
      <name val="Noto Sans CJK SC"/>
      <family val="2"/>
      <color rgb="FF333F50"/>
      <sz val="9"/>
    </font>
    <font>
      <name val="Yu Gothic"/>
      <charset val="1"/>
      <family val="0"/>
      <color rgb="FF333F50"/>
      <sz val="9"/>
    </font>
    <font>
      <name val="Noto Sans CJK SC"/>
      <family val="2"/>
      <i val="1"/>
      <color rgb="FF7F7F7F"/>
      <sz val="10"/>
    </font>
    <font>
      <name val="Yu Gothic"/>
      <charset val="1"/>
      <family val="0"/>
      <b val="1"/>
      <color rgb="FFFFFFFF"/>
      <sz val="10"/>
    </font>
    <font>
      <name val="Noto Sans CJK SC"/>
      <family val="2"/>
      <b val="1"/>
      <color rgb="FFFFFFFF"/>
      <sz val="10"/>
    </font>
    <font>
      <name val="Yu Gothic"/>
      <charset val="1"/>
      <family val="0"/>
      <i val="1"/>
      <color rgb="FF7F7F7F"/>
      <sz val="10"/>
    </font>
    <font>
      <name val="Yu Gothic"/>
      <charset val="1"/>
      <family val="2"/>
      <color theme="1"/>
      <sz val="11"/>
    </font>
    <font>
      <name val="Yu Gothic"/>
      <family val="2"/>
      <b val="1"/>
      <sz val="10"/>
    </font>
    <font>
      <name val="Yu Gothic"/>
      <family val="2"/>
      <color rgb="FF333F50"/>
      <sz val="9"/>
    </font>
    <font>
      <name val="Yu Gothic"/>
      <family val="2"/>
      <sz val="10"/>
    </font>
    <font>
      <name val="Yu Gothic"/>
      <family val="2"/>
      <i val="1"/>
      <color rgb="FF7F7F7F"/>
      <sz val="10"/>
    </font>
    <font>
      <name val="Yu Gothic"/>
      <family val="2"/>
      <b val="1"/>
      <color rgb="FF1C2B45"/>
      <sz val="14"/>
    </font>
    <font>
      <name val="Yu Gothic"/>
      <family val="2"/>
      <b val="1"/>
      <color rgb="FFFFFFFF"/>
      <sz val="10"/>
    </font>
  </fonts>
  <fills count="6">
    <fill>
      <patternFill/>
    </fill>
    <fill>
      <patternFill patternType="gray125"/>
    </fill>
    <fill>
      <patternFill patternType="solid">
        <fgColor rgb="FFF4F6F9"/>
        <bgColor rgb="FFEAF1F8"/>
      </patternFill>
    </fill>
    <fill>
      <patternFill patternType="solid">
        <fgColor rgb="FFEAF1F8"/>
        <bgColor rgb="FFF4F6F9"/>
      </patternFill>
    </fill>
    <fill>
      <patternFill patternType="solid">
        <fgColor rgb="FFFFF9DB"/>
        <bgColor rgb="FFF4F6F9"/>
      </patternFill>
    </fill>
    <fill>
      <patternFill patternType="solid">
        <fgColor rgb="FF1C2B45"/>
        <bgColor rgb="FF333F5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general" vertical="top" wrapText="1"/>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11" fillId="0" borderId="1" applyAlignment="1" pivotButton="0" quotePrefix="0" xfId="0">
      <alignment horizontal="general" vertical="bottom"/>
    </xf>
    <xf numFmtId="0" fontId="5" fillId="0" borderId="0" applyAlignment="1" pivotButton="0" quotePrefix="0" xfId="0">
      <alignment horizontal="general" vertical="bottom"/>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0" fontId="6" fillId="0" borderId="0" applyAlignment="1" pivotButton="0" quotePrefix="0" xfId="0">
      <alignment horizontal="general" vertical="bottom"/>
    </xf>
    <xf numFmtId="0" fontId="9" fillId="3" borderId="0" applyAlignment="1" pivotButton="0" quotePrefix="0" xfId="0">
      <alignment horizontal="general" vertical="top" wrapText="1"/>
    </xf>
    <xf numFmtId="0" fontId="8" fillId="4" borderId="1" applyAlignment="1" pivotButton="0" quotePrefix="0" xfId="0">
      <alignment horizontal="general" vertical="bottom"/>
    </xf>
    <xf numFmtId="0" fontId="8" fillId="0" borderId="1" applyAlignment="1" pivotButton="0" quotePrefix="0" xfId="0">
      <alignment horizontal="general" vertical="bottom"/>
    </xf>
    <xf numFmtId="0" fontId="11" fillId="0" borderId="1" applyAlignment="1" pivotButton="0" quotePrefix="0" xfId="0">
      <alignment horizontal="general" vertical="bottom"/>
    </xf>
    <xf numFmtId="0" fontId="5" fillId="0" borderId="0" applyAlignment="1" pivotButton="0" quotePrefix="0" xfId="0">
      <alignment horizontal="general" vertical="bottom"/>
    </xf>
    <xf numFmtId="0" fontId="12" fillId="5" borderId="1" applyAlignment="1" pivotButton="0" quotePrefix="0" xfId="0">
      <alignment horizontal="general" vertical="center" wrapText="1"/>
    </xf>
    <xf numFmtId="0" fontId="13" fillId="5" borderId="1" applyAlignment="1" pivotButton="0" quotePrefix="0" xfId="0">
      <alignment horizontal="general" vertical="center" wrapText="1"/>
    </xf>
    <xf numFmtId="0" fontId="11"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7" fillId="4" borderId="1" applyAlignment="1" pivotButton="0" quotePrefix="0" xfId="0">
      <alignment horizontal="general" vertical="top" wrapText="1"/>
    </xf>
    <xf numFmtId="0" fontId="8" fillId="0" borderId="1" applyAlignment="1" pivotButton="0" quotePrefix="0" xfId="0">
      <alignment horizontal="general" vertical="top" wrapText="1"/>
    </xf>
    <xf numFmtId="0" fontId="8" fillId="4" borderId="1" applyAlignment="1" pivotButton="0" quotePrefix="0" xfId="0">
      <alignment horizontal="general" vertical="top" wrapText="1"/>
    </xf>
    <xf numFmtId="0" fontId="15" fillId="0" borderId="0" pivotButton="0" quotePrefix="0" xfId="0"/>
    <xf numFmtId="0" fontId="16" fillId="2" borderId="1" applyAlignment="1" pivotButton="0" quotePrefix="0" xfId="0">
      <alignment horizontal="general" vertical="bottom"/>
    </xf>
    <xf numFmtId="0" fontId="16" fillId="0" borderId="0" applyAlignment="1" pivotButton="0" quotePrefix="0" xfId="0">
      <alignment horizontal="general" vertical="bottom"/>
    </xf>
    <xf numFmtId="0" fontId="17" fillId="3" borderId="0" applyAlignment="1" pivotButton="0" quotePrefix="0" xfId="0">
      <alignment horizontal="general" vertical="top" wrapText="1"/>
    </xf>
    <xf numFmtId="0" fontId="18" fillId="4" borderId="1" applyAlignment="1" pivotButton="0" quotePrefix="0" xfId="0">
      <alignment horizontal="general" vertical="bottom"/>
    </xf>
    <xf numFmtId="0" fontId="18" fillId="0" borderId="1" applyAlignment="1" pivotButton="0" quotePrefix="0" xfId="0">
      <alignment horizontal="general" vertical="bottom"/>
    </xf>
    <xf numFmtId="0" fontId="19" fillId="0" borderId="1" applyAlignment="1" pivotButton="0" quotePrefix="0" xfId="0">
      <alignment horizontal="general" vertical="bottom"/>
    </xf>
    <xf numFmtId="0" fontId="20" fillId="0" borderId="0" applyAlignment="1" pivotButton="0" quotePrefix="0" xfId="0">
      <alignment horizontal="general" vertical="bottom"/>
    </xf>
    <xf numFmtId="0" fontId="21" fillId="5" borderId="1" applyAlignment="1" pivotButton="0" quotePrefix="0" xfId="0">
      <alignment horizontal="general" vertical="center" wrapText="1"/>
    </xf>
    <xf numFmtId="0" fontId="19" fillId="0" borderId="1" applyAlignment="1" pivotButton="0" quotePrefix="0" xfId="0">
      <alignment horizontal="general" vertical="top" wrapText="1"/>
    </xf>
    <xf numFmtId="164" fontId="14" fillId="0" borderId="1" applyAlignment="1" pivotButton="0" quotePrefix="0" xfId="0">
      <alignment horizontal="general" vertical="top" wrapText="1"/>
    </xf>
    <xf numFmtId="164" fontId="7" fillId="4" borderId="1" applyAlignment="1" pivotButton="0" quotePrefix="0" xfId="0">
      <alignment horizontal="general" vertical="top" wrapText="1"/>
    </xf>
    <xf numFmtId="164" fontId="19" fillId="0" borderId="1" applyAlignment="1" pivotButton="0" quotePrefix="0" xfId="0">
      <alignment horizontal="general" vertical="top" wrapText="1"/>
    </xf>
    <xf numFmtId="0" fontId="18" fillId="0" borderId="1" applyAlignment="1" pivotButton="0" quotePrefix="0" xfId="0">
      <alignment horizontal="general" vertical="top" wrapText="1"/>
    </xf>
    <xf numFmtId="0" fontId="18" fillId="4" borderId="1" applyAlignment="1" pivotButton="0" quotePrefix="0" xfId="0">
      <alignment horizontal="general" vertical="top" wrapText="1"/>
    </xf>
    <xf numFmtId="164" fontId="7" fillId="0"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ill>
        <patternFill>
          <bgColor rgb="FFFD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DB"/>
      <rgbColor rgb="FFEAF1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4F6F9"/>
      <rgbColor rgb="FFCCFFCC"/>
      <rgbColor rgb="FFFFFF99"/>
      <rgbColor rgb="FF99CCFF"/>
      <rgbColor rgb="FFFF99CC"/>
      <rgbColor rgb="FFCC99FF"/>
      <rgbColor rgb="FFFDE2E2"/>
      <rgbColor rgb="FF3366FF"/>
      <rgbColor rgb="FF33CCCC"/>
      <rgbColor rgb="FF99CC00"/>
      <rgbColor rgb="FFFFCC00"/>
      <rgbColor rgb="FFFF9900"/>
      <rgbColor rgb="FFFF6600"/>
      <rgbColor rgb="FF666699"/>
      <rgbColor rgb="FF969696"/>
      <rgbColor rgb="FF1C2B45"/>
      <rgbColor rgb="FF339966"/>
      <rgbColor rgb="FF003300"/>
      <rgbColor rgb="FF333300"/>
      <rgbColor rgb="FF993300"/>
      <rgbColor rgb="FF993366"/>
      <rgbColor rgb="FF333399"/>
      <rgbColor rgb="FF333F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17" min="1" max="1"/>
    <col width="90" customWidth="1" style="17" min="2" max="2"/>
  </cols>
  <sheetData>
    <row r="1" ht="21.6" customHeight="1" s="18">
      <c r="A1" s="19" t="inlineStr">
        <is>
          <t>IT投資ガバナンス 決定記録</t>
        </is>
      </c>
      <c r="B1" s="35" t="n"/>
    </row>
    <row r="2">
      <c r="A2" s="35" t="n"/>
      <c r="B2" s="35" t="n"/>
    </row>
    <row r="3" ht="15" customHeight="1" s="18">
      <c r="A3" s="36" t="inlineStr">
        <is>
          <t>文書番号</t>
        </is>
      </c>
      <c r="B3" s="21" t="inlineStr">
        <is>
          <t>ITC-F-15</t>
        </is>
      </c>
    </row>
    <row r="4" ht="15" customHeight="1" s="18">
      <c r="A4" s="36" t="inlineStr">
        <is>
          <t>版</t>
        </is>
      </c>
      <c r="B4" s="21" t="inlineStr">
        <is>
          <t>1.0</t>
        </is>
      </c>
    </row>
    <row r="5" ht="15" customHeight="1" s="18">
      <c r="A5" s="36" t="inlineStr">
        <is>
          <t>所管</t>
        </is>
      </c>
      <c r="B5" s="21" t="inlineStr">
        <is>
          <t>IT投資委員会事務局</t>
        </is>
      </c>
    </row>
    <row r="6" ht="15" customHeight="1" s="18">
      <c r="A6" s="36" t="inlineStr">
        <is>
          <t>承認者</t>
        </is>
      </c>
      <c r="B6" s="21" t="inlineStr">
        <is>
          <t>ポートフォリオ・IT投資チームの管理職</t>
        </is>
      </c>
    </row>
    <row r="7" ht="15" customHeight="1" s="18">
      <c r="A7" s="36" t="inlineStr">
        <is>
          <t>最終改訂日</t>
        </is>
      </c>
      <c r="B7" s="50" t="n">
        <v>46313</v>
      </c>
    </row>
    <row r="8" ht="15" customHeight="1" s="18">
      <c r="A8" s="36" t="inlineStr">
        <is>
          <t>上位文書</t>
        </is>
      </c>
      <c r="B8" s="21" t="inlineStr">
        <is>
          <t>IT投資ガバナンス 憲章（ITC-R-02）</t>
        </is>
      </c>
    </row>
    <row r="9">
      <c r="A9" s="35" t="n"/>
      <c r="B9" s="35" t="n"/>
    </row>
    <row r="10" ht="15" customHeight="1" s="18">
      <c r="A10" s="37" t="inlineStr">
        <is>
          <t>使い方</t>
        </is>
      </c>
      <c r="B10" s="35" t="n"/>
    </row>
    <row r="11" ht="30" customHeight="1" s="18">
      <c r="A11" s="38" t="inlineStr">
        <is>
          <t>決定者の決定、運営主体が扱った判断、立ち上げ時の決めごと、未確定事項（TBD）を記録する台帳。「なぜそう決めたか」を後から説明できるようにするために残す。</t>
        </is>
      </c>
    </row>
    <row r="12" ht="30" customHeight="1" s="18">
      <c r="A12" s="38" t="inlineStr">
        <is>
          <t>文書中の（TBD: 〜）はすべて「保留課題」シートに登録する。確定期限と担当を決めてから登録する。</t>
        </is>
      </c>
    </row>
    <row r="13" ht="30" customHeight="1" s="18">
      <c r="A13" s="38" t="inlineStr">
        <is>
          <t>会議体の決定は、議事録とは別にここへ1行で要約して登録する（議事録は会議ごと、決定記録は決定ごとに探せるようにするため）。</t>
        </is>
      </c>
    </row>
    <row r="14" ht="30" customHeight="1" s="18">
      <c r="A14" s="38" t="inlineStr">
        <is>
          <t>立ち上げ時の決めごと（選んだ機能の型とその理由、推奨の文書を作らない理由）も「決定事項」シートに登録する。案件IDの欄は「—」とする。</t>
        </is>
      </c>
    </row>
    <row r="15" ht="30" customHeight="1" s="18">
      <c r="A15" s="38" t="inlineStr">
        <is>
          <t>「集計」シートは状態ごとの件数を自動で数える。定例の会議・定期レビューで保留課題の件数を報告し、TBDの放置を防ぐ。No. が「記入例」の行は数えない。</t>
        </is>
      </c>
    </row>
    <row r="16" ht="15" customHeight="1" s="18">
      <c r="A16" s="37" t="inlineStr">
        <is>
          <t>凡例</t>
        </is>
      </c>
      <c r="B16" s="35" t="n"/>
    </row>
    <row r="17" ht="15" customHeight="1" s="18">
      <c r="A17" s="39" t="inlineStr">
        <is>
          <t>黄色のセル</t>
        </is>
      </c>
      <c r="B17" s="40" t="inlineStr">
        <is>
          <t>入力するセル</t>
        </is>
      </c>
    </row>
    <row r="18" ht="15" customHeight="1" s="18">
      <c r="A18" s="41" t="inlineStr">
        <is>
          <t>（TBD: 〜）</t>
        </is>
      </c>
      <c r="B18" s="40" t="inlineStr">
        <is>
          <t>未確定事項。決定記録の保留課題に登録する</t>
        </is>
      </c>
    </row>
    <row r="19" ht="15" customHeight="1" s="18">
      <c r="A19" s="21" t="n"/>
      <c r="B19" s="40" t="n"/>
    </row>
    <row r="20" ht="15" customHeight="1" s="18">
      <c r="A20" s="40" t="n"/>
      <c r="B20" s="40" t="n"/>
    </row>
  </sheetData>
  <mergeCells count="5">
    <mergeCell ref="A15:B15"/>
    <mergeCell ref="A11:B11"/>
    <mergeCell ref="A13:B13"/>
    <mergeCell ref="A14:B14"/>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12" customWidth="1" style="17" min="2" max="2"/>
    <col width="16" customWidth="1" style="17" min="3" max="3"/>
    <col width="14" customWidth="1" style="17" min="4" max="4"/>
    <col width="40" customWidth="1" style="17" min="5" max="5"/>
    <col width="14" customWidth="1" style="17" min="6" max="6"/>
    <col width="36" customWidth="1" style="17" min="7" max="7"/>
    <col width="28" customWidth="1" style="17" min="8" max="8"/>
    <col width="22" customWidth="1" style="17" min="9" max="9"/>
    <col width="12" customWidth="1" style="17" min="10" max="10"/>
  </cols>
  <sheetData>
    <row r="1" ht="17.35" customHeight="1" s="18">
      <c r="A1" s="42" t="inlineStr">
        <is>
          <t>決定事項</t>
        </is>
      </c>
      <c r="B1" s="35" t="n"/>
      <c r="C1" s="35" t="n"/>
      <c r="D1" s="35" t="n"/>
      <c r="E1" s="35" t="n"/>
      <c r="F1" s="35" t="n"/>
      <c r="G1" s="35" t="n"/>
      <c r="H1" s="35" t="n"/>
      <c r="I1" s="35" t="n"/>
      <c r="J1" s="35" t="n"/>
    </row>
    <row r="2">
      <c r="A2" s="35" t="n"/>
      <c r="B2" s="35" t="n"/>
      <c r="C2" s="35" t="n"/>
      <c r="D2" s="35" t="n"/>
      <c r="E2" s="35" t="n"/>
      <c r="F2" s="35" t="n"/>
      <c r="G2" s="35" t="n"/>
      <c r="H2" s="35" t="n"/>
      <c r="I2" s="35" t="n"/>
      <c r="J2" s="35" t="n"/>
    </row>
    <row r="3" ht="15" customHeight="1" s="18">
      <c r="A3" s="28" t="inlineStr">
        <is>
          <t>No.</t>
        </is>
      </c>
      <c r="B3" s="43" t="inlineStr">
        <is>
          <t>日付</t>
        </is>
      </c>
      <c r="C3" s="43" t="inlineStr">
        <is>
          <t>会議体・決定者</t>
        </is>
      </c>
      <c r="D3" s="43" t="inlineStr">
        <is>
          <t>案件ID</t>
        </is>
      </c>
      <c r="E3" s="43" t="inlineStr">
        <is>
          <t>決定内容</t>
        </is>
      </c>
      <c r="F3" s="43" t="inlineStr">
        <is>
          <t>判断区分</t>
        </is>
      </c>
      <c r="G3" s="43" t="inlineStr">
        <is>
          <t>理由</t>
        </is>
      </c>
      <c r="H3" s="43" t="inlineStr">
        <is>
          <t>条件</t>
        </is>
      </c>
      <c r="I3" s="43" t="inlineStr">
        <is>
          <t>影響する文書</t>
        </is>
      </c>
      <c r="J3" s="43" t="inlineStr">
        <is>
          <t>記録者</t>
        </is>
      </c>
    </row>
    <row r="4" ht="23.85" customHeight="1" s="18">
      <c r="A4" s="32" t="n">
        <v>1</v>
      </c>
      <c r="B4" s="46" t="n">
        <v>46313</v>
      </c>
      <c r="C4" s="32" t="inlineStr">
        <is>
          <t>（TBD: 機能の責任者の役職）</t>
        </is>
      </c>
      <c r="D4" s="32" t="inlineStr">
        <is>
          <t>—</t>
        </is>
      </c>
      <c r="E4" s="32" t="inlineStr">
        <is>
          <t>機能の型を A 決定・承認型とする</t>
        </is>
      </c>
      <c r="F4" s="32" t="inlineStr">
        <is>
          <t>決定</t>
        </is>
      </c>
      <c r="G4" s="32" t="inlineStr">
        <is>
          <t>Tier1・Tier2が優先順位・優先度・実行計画の可否を決め、IntakeFormと実行計画の提出で動き出すため。B型は採らない（決めるのは依頼者ではなく会議体のため）。C型・D型も採らない（台帳の維持や点検を目的とする定常の作業がないため）</t>
        </is>
      </c>
      <c r="H4" s="32" t="inlineStr">
        <is>
          <t>見直す条件: 事務局が決裁権を持つようになったとき、または定期点検の業務を持つようになったとき</t>
        </is>
      </c>
      <c r="I4" s="32" t="inlineStr">
        <is>
          <t>憲章 第4条</t>
        </is>
      </c>
      <c r="J4" s="32" t="inlineStr">
        <is>
          <t>IT投資委員会事務局</t>
        </is>
      </c>
    </row>
    <row r="5" ht="23.85" customHeight="1" s="18">
      <c r="A5" s="32" t="n">
        <v>2</v>
      </c>
      <c r="B5" s="46" t="n">
        <v>46313</v>
      </c>
      <c r="C5" s="32" t="inlineStr">
        <is>
          <t>（TBD: 機能の責任者の役職）</t>
        </is>
      </c>
      <c r="D5" s="32" t="inlineStr">
        <is>
          <t>—</t>
        </is>
      </c>
      <c r="E5" s="32" t="inlineStr">
        <is>
          <t>初期セットを、必須の5文書（憲章・業務フロー定義・Runbook・用語集・決定記録）と、推奨の3文書（運用基準・決裁権限表・起案者ガイド）とする</t>
        </is>
      </c>
      <c r="F5" s="32" t="inlineStr">
        <is>
          <t>決定</t>
        </is>
      </c>
      <c r="G5" s="32" t="inlineStr">
        <is>
          <t>A型の必須と推奨をすべて作り、基準額と付議先を運用基準と決裁権限表に1か所で定めるため</t>
        </is>
      </c>
      <c r="H5" s="32" t="inlineStr">
        <is>
          <t>見直す条件: 定期見直しのとき</t>
        </is>
      </c>
      <c r="I5" s="32" t="inlineStr">
        <is>
          <t>—</t>
        </is>
      </c>
      <c r="J5" s="32" t="inlineStr">
        <is>
          <t>IT投資委員会事務局</t>
        </is>
      </c>
    </row>
    <row r="6" ht="23.85" customHeight="1" s="18">
      <c r="A6" s="32" t="n">
        <v>3</v>
      </c>
      <c r="B6" s="46" t="n">
        <v>46313</v>
      </c>
      <c r="C6" s="32" t="inlineStr">
        <is>
          <t>（TBD: 機能の責任者の役職）</t>
        </is>
      </c>
      <c r="D6" s="32" t="inlineStr">
        <is>
          <t>—</t>
        </is>
      </c>
      <c r="E6" s="32" t="inlineStr">
        <is>
          <t>任意の文書（方針・ガイドライン・SOP・Playbook・作業指示書・チェックリスト・FAQ・様式・年間カレンダー）は、初期セットでは作らない</t>
        </is>
      </c>
      <c r="F6" s="32" t="inlineStr">
        <is>
          <t>決定</t>
        </is>
      </c>
      <c r="G6" s="32" t="inlineStr">
        <is>
          <t>運用開始の前に材料がないため。年間カレンダーは年次の会議の日程が決まった後に検討する</t>
        </is>
      </c>
      <c r="H6" s="32" t="inlineStr">
        <is>
          <t>見直す条件: 年次の会議の日程が決まったとき（年間カレンダー）、問い合わせが2回以上来たとき（FAQ）</t>
        </is>
      </c>
      <c r="I6" s="32" t="inlineStr">
        <is>
          <t>—</t>
        </is>
      </c>
      <c r="J6" s="32" t="inlineStr">
        <is>
          <t>IT投資委員会事務局</t>
        </is>
      </c>
    </row>
    <row r="7" ht="15" customHeight="1" s="18">
      <c r="A7" s="32" t="n">
        <v>4</v>
      </c>
      <c r="B7" s="46" t="n">
        <v>46313</v>
      </c>
      <c r="C7" s="32" t="inlineStr">
        <is>
          <t>（TBD: 機能の責任者の役職）</t>
        </is>
      </c>
      <c r="D7" s="32" t="inlineStr">
        <is>
          <t>—</t>
        </is>
      </c>
      <c r="E7" s="32" t="inlineStr">
        <is>
          <t>Tier1とTier2の運営はIT投資委員会事務局が行い、Tier3の運営はTier3の主催者（EAの統括責任者と各領域責任者）が行う</t>
        </is>
      </c>
      <c r="F7" s="32" t="inlineStr">
        <is>
          <t>決定</t>
        </is>
      </c>
      <c r="G7" s="32" t="inlineStr">
        <is>
          <t>Tier3は固定メンバーを置かず、EAの責任者が主催するため</t>
        </is>
      </c>
      <c r="H7" s="32" t="inlineStr">
        <is>
          <t>—</t>
        </is>
      </c>
      <c r="I7" s="32" t="inlineStr">
        <is>
          <t>憲章 第6条・第8条</t>
        </is>
      </c>
      <c r="J7" s="32" t="inlineStr">
        <is>
          <t>IT投資委員会事務局</t>
        </is>
      </c>
    </row>
    <row r="8" ht="15" customHeight="1" s="18">
      <c r="A8" s="32" t="n">
        <v>5</v>
      </c>
      <c r="B8" s="46" t="n">
        <v>46313</v>
      </c>
      <c r="C8" s="32" t="inlineStr">
        <is>
          <t>（TBD: 機能の責任者の役職）</t>
        </is>
      </c>
      <c r="D8" s="32" t="inlineStr">
        <is>
          <t>—</t>
        </is>
      </c>
      <c r="E8" s="32" t="inlineStr">
        <is>
          <t>PPMボードの運営はこの文書一式の対象外とし、PPMボードとの受け渡しだけを定める</t>
        </is>
      </c>
      <c r="F8" s="32" t="inlineStr">
        <is>
          <t>決定</t>
        </is>
      </c>
      <c r="G8" s="32" t="inlineStr">
        <is>
          <t>優先順位が付いた案件の管理はPPMボードが担うため</t>
        </is>
      </c>
      <c r="H8" s="32" t="inlineStr">
        <is>
          <t>—</t>
        </is>
      </c>
      <c r="I8" s="32" t="inlineStr">
        <is>
          <t>憲章 第4条、業務フロー定義 p.12</t>
        </is>
      </c>
      <c r="J8" s="32" t="inlineStr">
        <is>
          <t>IT投資委員会事務局</t>
        </is>
      </c>
    </row>
    <row r="9" ht="15" customHeight="1" s="18">
      <c r="A9" s="32" t="n">
        <v>6</v>
      </c>
      <c r="B9" s="46" t="n">
        <v>46313</v>
      </c>
      <c r="C9" s="32" t="inlineStr">
        <is>
          <t>（TBD: 機能の責任者の役職）</t>
        </is>
      </c>
      <c r="D9" s="32" t="inlineStr">
        <is>
          <t>—</t>
        </is>
      </c>
      <c r="E9" s="32" t="inlineStr">
        <is>
          <t>IT Materiality と PPM の検討資料の設計（論点整理書・案件管理システム・承認後の伴走）は、この文書一式に取り込まない</t>
        </is>
      </c>
      <c r="F9" s="32" t="inlineStr">
        <is>
          <t>決定</t>
        </is>
      </c>
      <c r="G9" s="32" t="inlineStr">
        <is>
          <t>新しいIT投資ガバナンスモデル（Tier1〜Tier3）の定義に合わせ、設計者のレビューを受けやすくするため</t>
        </is>
      </c>
      <c r="H9" s="32" t="inlineStr">
        <is>
          <t>見直す条件: 新モデルの設計者が取り込むと決めたとき</t>
        </is>
      </c>
      <c r="I9" s="32" t="inlineStr">
        <is>
          <t>—</t>
        </is>
      </c>
      <c r="J9" s="32" t="inlineStr">
        <is>
          <t>IT投資委員会事務局</t>
        </is>
      </c>
    </row>
    <row r="10" ht="15" customHeight="1" s="18">
      <c r="A10" s="32" t="n">
        <v>7</v>
      </c>
      <c r="B10" s="46" t="n">
        <v>46313</v>
      </c>
      <c r="C10" s="32" t="inlineStr">
        <is>
          <t>（TBD: 機能の責任者の役職）</t>
        </is>
      </c>
      <c r="D10" s="32" t="inlineStr">
        <is>
          <t>—</t>
        </is>
      </c>
      <c r="E10" s="32" t="inlineStr">
        <is>
          <t>方針（01）を作らないため、憲章の上位文書を経営層の決定事項とする</t>
        </is>
      </c>
      <c r="F10" s="32" t="inlineStr">
        <is>
          <t>決定</t>
        </is>
      </c>
      <c r="G10" s="32" t="inlineStr">
        <is>
          <t>方針の材料がないため</t>
        </is>
      </c>
      <c r="H10" s="32" t="inlineStr">
        <is>
          <t>見直す条件: 方針を作ると決めたとき。経営層の決定事項は（TBD: 憲章の根拠となる経営層の決定事項）</t>
        </is>
      </c>
      <c r="I10" s="32" t="inlineStr">
        <is>
          <t>憲章 文書管理情報</t>
        </is>
      </c>
      <c r="J10" s="32" t="inlineStr">
        <is>
          <t>IT投資委員会事務局</t>
        </is>
      </c>
    </row>
    <row r="11" ht="15" customHeight="1" s="18">
      <c r="A11" s="32" t="n">
        <v>8</v>
      </c>
      <c r="B11" s="46" t="n">
        <v>46313</v>
      </c>
      <c r="C11" s="32" t="inlineStr">
        <is>
          <t>（TBD: 機能の責任者の役職）</t>
        </is>
      </c>
      <c r="D11" s="32" t="inlineStr">
        <is>
          <t>—</t>
        </is>
      </c>
      <c r="E11" s="32" t="inlineStr">
        <is>
          <t>実行計画の決裁は、Tier2が案件ごとに振り分ける（Tier2が決める／Tier3の推奨案を受けてTier2が決める／承認会議（ローカル）に委ねる）</t>
        </is>
      </c>
      <c r="F11" s="32" t="inlineStr">
        <is>
          <t>決定</t>
        </is>
      </c>
      <c r="G11" s="32" t="inlineStr">
        <is>
          <t>IT投資の大半はこれまで事業部門内の承認会議で承認されてきたため、その会議で承認してよいかを、定常の会議体であるTier2が案件ごとに判断できるようにする</t>
        </is>
      </c>
      <c r="H11" s="32" t="inlineStr">
        <is>
          <t>振り分けの判断基準と、承認会議（ローカル）に委ねた案件の報告は保留課題（No.12・No.37）</t>
        </is>
      </c>
      <c r="I11" s="32" t="inlineStr">
        <is>
          <t>憲章 第5条・第7条・別表2、運用基準 第5条・第10条・第12条、決裁権限表、業務フロー定義、Runbook、用語集、起案者ガイド</t>
        </is>
      </c>
      <c r="J11" s="32" t="inlineStr">
        <is>
          <t>IT投資委員会事務局</t>
        </is>
      </c>
    </row>
    <row r="12" ht="15" customHeight="1" s="18">
      <c r="A12" s="32" t="n">
        <v>9</v>
      </c>
      <c r="B12" s="46" t="n">
        <v>46313</v>
      </c>
      <c r="C12" s="32" t="inlineStr">
        <is>
          <t>（TBD: 機能の責任者の役職）</t>
        </is>
      </c>
      <c r="D12" s="32" t="inlineStr">
        <is>
          <t>—</t>
        </is>
      </c>
      <c r="E12" s="32" t="inlineStr">
        <is>
          <t>Tier2が決裁を委ねる先を、起案者の所属部門（事業部門またはIT部門）の承認会議（承認会議（ローカル））とする</t>
        </is>
      </c>
      <c r="F12" s="32" t="inlineStr">
        <is>
          <t>決定</t>
        </is>
      </c>
      <c r="G12" s="32" t="inlineStr">
        <is>
          <t>事業部門が起案した案件だけでなく、IT部門が起案した案件も、Tier2から所属部門の承認会議に決裁を委ねることがあるため</t>
        </is>
      </c>
      <c r="H12" s="32" t="inlineStr">
        <is>
          <t>—</t>
        </is>
      </c>
      <c r="I12" s="32" t="inlineStr">
        <is>
          <t>憲章 第5条・第7条・別表2、運用基準 第5条・第10条・第12条、決裁権限表、業務フロー定義、Runbook、用語集、起案者ガイド</t>
        </is>
      </c>
      <c r="J12" s="32" t="inlineStr">
        <is>
          <t>IT投資委員会事務局</t>
        </is>
      </c>
    </row>
    <row r="13" ht="15" customHeight="1" s="18">
      <c r="A13" s="32" t="n">
        <v>10</v>
      </c>
      <c r="B13" s="46" t="n">
        <v>46313</v>
      </c>
      <c r="C13" s="32" t="inlineStr">
        <is>
          <t>（TBD: 機能の責任者の役職）</t>
        </is>
      </c>
      <c r="D13" s="32" t="inlineStr">
        <is>
          <t>—</t>
        </is>
      </c>
      <c r="E13" s="32" t="inlineStr">
        <is>
          <t>実行計画は、PPMボードが起案者の所属部門（事業部門またはIT部門）に作成・提出（提出期限を含む）を通知し、所属部門が起案者に依頼する。IT部門が起案する案件も同様とする。起案者は、IT部門の担当者と共同で実行計画を作成して提出する。依頼に先行した提出も認める</t>
        </is>
      </c>
      <c r="F13" s="32" t="inlineStr">
        <is>
          <t>決定</t>
        </is>
      </c>
      <c r="G13" s="32" t="inlineStr">
        <is>
          <t>説明会資料の定常プロセスに合わせるため</t>
        </is>
      </c>
      <c r="H13" s="32" t="inlineStr">
        <is>
          <t>—</t>
        </is>
      </c>
      <c r="I13" s="32" t="inlineStr">
        <is>
          <t>憲章 第5条・第7条、運用基準 第10条、業務フロー定義、Runbook §1・§3.8、用語集、起案者ガイド</t>
        </is>
      </c>
      <c r="J13" s="32" t="inlineStr">
        <is>
          <t>IT投資委員会事務局</t>
        </is>
      </c>
    </row>
    <row r="14" ht="15" customHeight="1" s="18">
      <c r="A14" s="32" t="n">
        <v>11</v>
      </c>
      <c r="B14" s="46" t="n">
        <v>46313</v>
      </c>
      <c r="C14" s="32" t="inlineStr">
        <is>
          <t>（TBD: 機能の責任者の役職）</t>
        </is>
      </c>
      <c r="D14" s="32" t="inlineStr">
        <is>
          <t>—</t>
        </is>
      </c>
      <c r="E14" s="32" t="inlineStr">
        <is>
          <t>随時のIntakeは、年次の予算策定とは別に、時期を問わず受け付ける。本運用の開始の前から受け付ける</t>
        </is>
      </c>
      <c r="F14" s="32" t="inlineStr">
        <is>
          <t>決定</t>
        </is>
      </c>
      <c r="G14" s="32" t="inlineStr">
        <is>
          <t>予算策定のプロセスとは関係なく、ビジネスで優先的に対処すべきIT投資案件は発生しうるため</t>
        </is>
      </c>
      <c r="H14" s="32" t="inlineStr">
        <is>
          <t>—</t>
        </is>
      </c>
      <c r="I14" s="32" t="inlineStr">
        <is>
          <t>憲章 第3条、運用基準 第3条、決裁権限表「判定軸」、Runbook §2・§3.5、用語集、起案者ガイド</t>
        </is>
      </c>
      <c r="J14" s="32" t="inlineStr">
        <is>
          <t>IT投資委員会事務局</t>
        </is>
      </c>
    </row>
    <row r="15" ht="15" customHeight="1" s="18">
      <c r="A15" s="32" t="n">
        <v>12</v>
      </c>
      <c r="B15" s="46" t="n">
        <v>46313</v>
      </c>
      <c r="C15" s="32" t="inlineStr">
        <is>
          <t>（TBD: 機能の責任者の役職）</t>
        </is>
      </c>
      <c r="D15" s="32" t="inlineStr">
        <is>
          <t>—</t>
        </is>
      </c>
      <c r="E15" s="32" t="inlineStr">
        <is>
          <t>本運用は、12月の来期予算の確定後に開始する</t>
        </is>
      </c>
      <c r="F15" s="32" t="inlineStr">
        <is>
          <t>決定</t>
        </is>
      </c>
      <c r="G15" s="32" t="inlineStr">
        <is>
          <t>説明会資料の移行スケジュールに合わせるため</t>
        </is>
      </c>
      <c r="H15" s="32" t="inlineStr">
        <is>
          <t>施行日は保留課題（No.5）</t>
        </is>
      </c>
      <c r="I15" s="32" t="inlineStr">
        <is>
          <t>憲章 第13条、運用基準 第15条、起案者ガイド p.5</t>
        </is>
      </c>
      <c r="J15" s="32" t="inlineStr">
        <is>
          <t>IT投資委員会事務局</t>
        </is>
      </c>
    </row>
    <row r="16" ht="15" customHeight="1" s="18">
      <c r="A16" s="32" t="n">
        <v>13</v>
      </c>
      <c r="B16" s="46" t="n">
        <v>46313</v>
      </c>
      <c r="C16" s="32" t="inlineStr">
        <is>
          <t>（TBD: 機能の責任者の役職）</t>
        </is>
      </c>
      <c r="D16" s="32" t="inlineStr">
        <is>
          <t>—</t>
        </is>
      </c>
      <c r="E16" s="32" t="inlineStr">
        <is>
          <t>年間の流れを、11月ごろにTier1・Tier2が優先順位を審議し、12月の来期予算の確定と同時にPPMボードが実行計画の提出期限を発信し、1月からTier2が実行計画を審議する、とする</t>
        </is>
      </c>
      <c r="F16" s="32" t="inlineStr">
        <is>
          <t>決定</t>
        </is>
      </c>
      <c r="G16" s="32" t="inlineStr">
        <is>
          <t>説明会資料の移行スケジュールに合わせるため</t>
        </is>
      </c>
      <c r="H16" s="32" t="inlineStr">
        <is>
          <t>日付は保留課題（No.31）</t>
        </is>
      </c>
      <c r="I16" s="32" t="inlineStr">
        <is>
          <t>憲章 別表2、Runbook §2、起案者ガイド p.5</t>
        </is>
      </c>
      <c r="J16" s="32" t="inlineStr">
        <is>
          <t>IT投資委員会事務局</t>
        </is>
      </c>
    </row>
    <row r="17" ht="15" customHeight="1" s="18">
      <c r="A17" s="32" t="n"/>
      <c r="B17" s="46" t="n"/>
      <c r="C17" s="32" t="n"/>
      <c r="D17" s="32" t="n"/>
      <c r="E17" s="32" t="n"/>
      <c r="F17" s="32" t="n"/>
      <c r="G17" s="32" t="n"/>
      <c r="H17" s="32" t="n"/>
      <c r="I17" s="32" t="n"/>
      <c r="J17" s="32" t="n"/>
    </row>
    <row r="18" ht="15" customHeight="1" s="18">
      <c r="A18" s="32" t="n"/>
      <c r="B18" s="46" t="n"/>
      <c r="C18" s="32" t="n"/>
      <c r="D18" s="32" t="n"/>
      <c r="E18" s="32" t="n"/>
      <c r="F18" s="32" t="n"/>
      <c r="G18" s="32" t="n"/>
      <c r="H18" s="32" t="n"/>
      <c r="I18" s="32" t="n"/>
      <c r="J18" s="32" t="n"/>
    </row>
    <row r="19" ht="15" customHeight="1" s="18">
      <c r="A19" s="32" t="n"/>
      <c r="B19" s="46" t="n"/>
      <c r="C19" s="32" t="n"/>
      <c r="D19" s="32" t="n"/>
      <c r="E19" s="32" t="n"/>
      <c r="F19" s="32" t="n"/>
      <c r="G19" s="32" t="n"/>
      <c r="H19" s="32" t="n"/>
      <c r="I19" s="32" t="n"/>
      <c r="J19" s="32" t="n"/>
    </row>
    <row r="20" ht="15" customHeight="1" s="18">
      <c r="A20" s="32" t="n"/>
      <c r="B20" s="46" t="n"/>
      <c r="C20" s="32" t="n"/>
      <c r="D20" s="32" t="n"/>
      <c r="E20" s="32" t="n"/>
      <c r="F20" s="32" t="n"/>
      <c r="G20" s="32" t="n"/>
      <c r="H20" s="32" t="n"/>
      <c r="I20" s="32" t="n"/>
      <c r="J20" s="32" t="n"/>
    </row>
    <row r="21" ht="15" customHeight="1" s="18">
      <c r="A21" s="32" t="n"/>
      <c r="B21" s="46" t="n"/>
      <c r="C21" s="32" t="n"/>
      <c r="D21" s="32" t="n"/>
      <c r="E21" s="32" t="n"/>
      <c r="F21" s="32" t="n"/>
      <c r="G21" s="32" t="n"/>
      <c r="H21" s="32" t="n"/>
      <c r="I21" s="32" t="n"/>
      <c r="J21" s="32" t="n"/>
    </row>
    <row r="22" ht="15" customHeight="1" s="18">
      <c r="A22" s="32" t="n"/>
      <c r="B22" s="46" t="n"/>
      <c r="C22" s="32" t="n"/>
      <c r="D22" s="32" t="n"/>
      <c r="E22" s="32" t="n"/>
      <c r="F22" s="32" t="n"/>
      <c r="G22" s="32" t="n"/>
      <c r="H22" s="32" t="n"/>
      <c r="I22" s="32" t="n"/>
      <c r="J22" s="32" t="n"/>
    </row>
    <row r="23" ht="15" customHeight="1" s="18">
      <c r="A23" s="32" t="n"/>
      <c r="B23" s="46" t="n"/>
      <c r="C23" s="32" t="n"/>
      <c r="D23" s="32" t="n"/>
      <c r="E23" s="32" t="n"/>
      <c r="F23" s="32" t="n"/>
      <c r="G23" s="32" t="n"/>
      <c r="H23" s="32" t="n"/>
      <c r="I23" s="32" t="n"/>
      <c r="J23" s="32" t="n"/>
    </row>
    <row r="24" ht="15" customHeight="1" s="18">
      <c r="A24" s="32" t="n"/>
      <c r="B24" s="46" t="n"/>
      <c r="C24" s="32" t="n"/>
      <c r="D24" s="32" t="n"/>
      <c r="E24" s="32" t="n"/>
      <c r="F24" s="32" t="n"/>
      <c r="G24" s="32" t="n"/>
      <c r="H24" s="32" t="n"/>
      <c r="I24" s="32" t="n"/>
      <c r="J24" s="32" t="n"/>
    </row>
    <row r="25" ht="15" customHeight="1" s="18">
      <c r="A25" s="32" t="n"/>
      <c r="B25" s="46" t="n"/>
      <c r="C25" s="32" t="n"/>
      <c r="D25" s="32" t="n"/>
      <c r="E25" s="32" t="n"/>
      <c r="F25" s="32" t="n"/>
      <c r="G25" s="32" t="n"/>
      <c r="H25" s="32" t="n"/>
      <c r="I25" s="32" t="n"/>
      <c r="J25" s="32" t="n"/>
    </row>
    <row r="26" ht="15" customHeight="1" s="18">
      <c r="A26" s="32" t="n"/>
      <c r="B26" s="46" t="n"/>
      <c r="C26" s="32" t="n"/>
      <c r="D26" s="32" t="n"/>
      <c r="E26" s="32" t="n"/>
      <c r="F26" s="32" t="n"/>
      <c r="G26" s="32" t="n"/>
      <c r="H26" s="32" t="n"/>
      <c r="I26" s="32" t="n"/>
      <c r="J26" s="32" t="n"/>
    </row>
    <row r="27" ht="15" customHeight="1" s="18">
      <c r="A27" s="32" t="n"/>
      <c r="B27" s="46" t="n"/>
      <c r="C27" s="32" t="n"/>
      <c r="D27" s="32" t="n"/>
      <c r="E27" s="32" t="n"/>
      <c r="F27" s="32" t="n"/>
      <c r="G27" s="32" t="n"/>
      <c r="H27" s="32" t="n"/>
      <c r="I27" s="32" t="n"/>
      <c r="J27" s="32" t="n"/>
    </row>
    <row r="28" ht="15" customHeight="1" s="18">
      <c r="A28" s="32" t="n"/>
      <c r="B28" s="46" t="n"/>
      <c r="C28" s="32" t="n"/>
      <c r="D28" s="32" t="n"/>
      <c r="E28" s="32" t="n"/>
      <c r="F28" s="32" t="n"/>
      <c r="G28" s="32" t="n"/>
      <c r="H28" s="32" t="n"/>
      <c r="I28" s="32" t="n"/>
      <c r="J28" s="32" t="n"/>
    </row>
    <row r="29" ht="15" customHeight="1" s="18">
      <c r="A29" s="32" t="n"/>
      <c r="B29" s="46" t="n"/>
      <c r="C29" s="32" t="n"/>
      <c r="D29" s="32" t="n"/>
      <c r="E29" s="32" t="n"/>
      <c r="F29" s="32" t="n"/>
      <c r="G29" s="32" t="n"/>
      <c r="H29" s="32" t="n"/>
      <c r="I29" s="32" t="n"/>
      <c r="J29" s="32" t="n"/>
    </row>
    <row r="30" ht="15" customHeight="1" s="18">
      <c r="A30" s="32" t="n"/>
      <c r="B30" s="46" t="n"/>
      <c r="C30" s="32" t="n"/>
      <c r="D30" s="32" t="n"/>
      <c r="E30" s="32" t="n"/>
      <c r="F30" s="32" t="n"/>
      <c r="G30" s="32" t="n"/>
      <c r="H30" s="32" t="n"/>
      <c r="I30" s="32" t="n"/>
      <c r="J30" s="32" t="n"/>
    </row>
    <row r="31" ht="15" customHeight="1" s="18">
      <c r="A31" s="32" t="n"/>
      <c r="B31" s="46" t="n"/>
      <c r="C31" s="32" t="n"/>
      <c r="D31" s="32" t="n"/>
      <c r="E31" s="32" t="n"/>
      <c r="F31" s="32" t="n"/>
      <c r="G31" s="32" t="n"/>
      <c r="H31" s="32" t="n"/>
      <c r="I31" s="32" t="n"/>
      <c r="J31" s="32" t="n"/>
    </row>
    <row r="32" ht="15" customHeight="1" s="18">
      <c r="A32" s="32" t="n"/>
      <c r="B32" s="46" t="n"/>
      <c r="C32" s="32" t="n"/>
      <c r="D32" s="32" t="n"/>
      <c r="E32" s="32" t="n"/>
      <c r="F32" s="32" t="n"/>
      <c r="G32" s="32" t="n"/>
      <c r="H32" s="32" t="n"/>
      <c r="I32" s="32" t="n"/>
      <c r="J32" s="32" t="n"/>
    </row>
    <row r="33" ht="15" customHeight="1" s="18">
      <c r="A33" s="32" t="n"/>
      <c r="B33" s="46" t="n"/>
      <c r="C33" s="32" t="n"/>
      <c r="D33" s="32" t="n"/>
      <c r="E33" s="32" t="n"/>
      <c r="F33" s="32" t="n"/>
      <c r="G33" s="32" t="n"/>
      <c r="H33" s="32" t="n"/>
      <c r="I33" s="32" t="n"/>
      <c r="J33" s="32" t="n"/>
    </row>
    <row r="34" ht="15" customHeight="1" s="18">
      <c r="A34" s="32" t="n"/>
      <c r="B34" s="46" t="n"/>
      <c r="C34" s="32" t="n"/>
      <c r="D34" s="32" t="n"/>
      <c r="E34" s="32" t="n"/>
      <c r="F34" s="32" t="n"/>
      <c r="G34" s="32" t="n"/>
      <c r="H34" s="32" t="n"/>
      <c r="I34" s="32" t="n"/>
      <c r="J34" s="32" t="n"/>
    </row>
    <row r="35">
      <c r="A35" s="32" t="n"/>
      <c r="B35" s="46" t="n"/>
      <c r="C35" s="32" t="n"/>
      <c r="D35" s="32" t="n"/>
      <c r="E35" s="32" t="n"/>
      <c r="F35" s="32" t="n"/>
      <c r="G35" s="32" t="n"/>
      <c r="H35" s="32" t="n"/>
      <c r="I35" s="32" t="n"/>
      <c r="J35" s="32" t="n"/>
    </row>
    <row r="36">
      <c r="A36" s="32" t="n"/>
      <c r="B36" s="46" t="n"/>
      <c r="C36" s="32" t="n"/>
      <c r="D36" s="32" t="n"/>
      <c r="E36" s="32" t="n"/>
      <c r="F36" s="32" t="n"/>
      <c r="G36" s="32" t="n"/>
      <c r="H36" s="32" t="n"/>
      <c r="I36" s="32" t="n"/>
      <c r="J36" s="32" t="n"/>
    </row>
  </sheetData>
  <dataValidations count="1">
    <dataValidation sqref="F4:F300" showDropDown="0" showInputMessage="0" showErrorMessage="0" allowBlank="1" type="list">
      <formula1>"優先順位の決定,優先度あり,優先度なし,承認,否認,決定,報告受領,その他"</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40" customWidth="1" style="17" min="2" max="2"/>
    <col width="24" customWidth="1" style="17" min="3" max="3"/>
    <col width="12" customWidth="1" style="17" min="4" max="5"/>
    <col width="32" customWidth="1" style="17" min="6" max="6"/>
    <col width="10" customWidth="1" style="17" min="7" max="7"/>
    <col width="32" customWidth="1" style="17" min="8" max="8"/>
    <col width="12" customWidth="1" style="17" min="9" max="9"/>
  </cols>
  <sheetData>
    <row r="1" ht="21.6" customHeight="1" s="18">
      <c r="A1" s="42" t="inlineStr">
        <is>
          <t>保留課題（TBD）</t>
        </is>
      </c>
      <c r="B1" s="35" t="n"/>
      <c r="C1" s="35" t="n"/>
      <c r="D1" s="35" t="n"/>
      <c r="E1" s="35" t="n"/>
      <c r="F1" s="35" t="n"/>
      <c r="G1" s="35" t="n"/>
      <c r="H1" s="35" t="n"/>
      <c r="I1" s="35" t="n"/>
    </row>
    <row r="2">
      <c r="A2" s="35" t="n"/>
      <c r="B2" s="35" t="n"/>
      <c r="C2" s="35" t="n"/>
      <c r="D2" s="35" t="n"/>
      <c r="E2" s="35" t="n"/>
      <c r="F2" s="35" t="n"/>
      <c r="G2" s="35" t="n"/>
      <c r="H2" s="35" t="n"/>
      <c r="I2" s="35" t="n"/>
    </row>
    <row r="3" ht="15" customHeight="1" s="18">
      <c r="A3" s="28" t="inlineStr">
        <is>
          <t>No.</t>
        </is>
      </c>
      <c r="B3" s="43" t="inlineStr">
        <is>
          <t>課題</t>
        </is>
      </c>
      <c r="C3" s="43" t="inlineStr">
        <is>
          <t>記載箇所</t>
        </is>
      </c>
      <c r="D3" s="43" t="inlineStr">
        <is>
          <t>担当</t>
        </is>
      </c>
      <c r="E3" s="43" t="inlineStr">
        <is>
          <t>確定期限</t>
        </is>
      </c>
      <c r="F3" s="43" t="inlineStr">
        <is>
          <t>未確定のまま進めるリスク</t>
        </is>
      </c>
      <c r="G3" s="43" t="inlineStr">
        <is>
          <t>状態</t>
        </is>
      </c>
      <c r="H3" s="43" t="inlineStr">
        <is>
          <t>確定内容</t>
        </is>
      </c>
      <c r="I3" s="43" t="inlineStr">
        <is>
          <t>確定日</t>
        </is>
      </c>
    </row>
    <row r="4" ht="23.85" customHeight="1" s="18">
      <c r="A4" s="32" t="n">
        <v>1</v>
      </c>
      <c r="B4" s="32" t="inlineStr">
        <is>
          <t>憲章の根拠となる経営層の決定事項</t>
        </is>
      </c>
      <c r="C4" s="32" t="inlineStr">
        <is>
          <t>憲章 文書管理情報・第1条</t>
        </is>
      </c>
      <c r="D4" s="32" t="inlineStr">
        <is>
          <t>ポートフォリオ・IT投資チームの管理職</t>
        </is>
      </c>
      <c r="E4" s="46" t="n">
        <v>46356</v>
      </c>
      <c r="F4" s="32" t="inlineStr">
        <is>
          <t>憲章の位置付けが説明できない</t>
        </is>
      </c>
      <c r="G4" s="32" t="inlineStr">
        <is>
          <t>未着手</t>
        </is>
      </c>
      <c r="H4" s="32" t="n"/>
      <c r="I4" s="46" t="n"/>
    </row>
    <row r="5" ht="15" customHeight="1" s="18">
      <c r="A5" s="32" t="n">
        <v>2</v>
      </c>
      <c r="B5" s="32" t="inlineStr">
        <is>
          <t>機能の責任者の役職</t>
        </is>
      </c>
      <c r="C5" s="32" t="inlineStr">
        <is>
          <t>憲章 第5条</t>
        </is>
      </c>
      <c r="D5" s="32" t="inlineStr">
        <is>
          <t>ポートフォリオ・IT投資チームの管理職</t>
        </is>
      </c>
      <c r="E5" s="46" t="n">
        <v>46356</v>
      </c>
      <c r="F5" s="32" t="inlineStr">
        <is>
          <t>運営の方針を決める者がいない</t>
        </is>
      </c>
      <c r="G5" s="32" t="inlineStr">
        <is>
          <t>未着手</t>
        </is>
      </c>
      <c r="H5" s="32" t="n"/>
      <c r="I5" s="46" t="n"/>
    </row>
    <row r="6" ht="15" customHeight="1" s="18">
      <c r="A6" s="32" t="n">
        <v>3</v>
      </c>
      <c r="B6" s="32" t="inlineStr">
        <is>
          <t>憲章の承認者</t>
        </is>
      </c>
      <c r="C6" s="32" t="inlineStr">
        <is>
          <t>憲章 文書管理情報・第12条</t>
        </is>
      </c>
      <c r="D6" s="32" t="inlineStr">
        <is>
          <t>ポートフォリオ・IT投資チームの管理職</t>
        </is>
      </c>
      <c r="E6" s="46" t="n">
        <v>46356</v>
      </c>
      <c r="F6" s="32" t="inlineStr">
        <is>
          <t>憲章を承認できない</t>
        </is>
      </c>
      <c r="G6" s="32" t="inlineStr">
        <is>
          <t>未着手</t>
        </is>
      </c>
      <c r="H6" s="32" t="n"/>
      <c r="I6" s="46" t="n"/>
    </row>
    <row r="7" ht="15" customHeight="1" s="18">
      <c r="A7" s="32" t="n">
        <v>4</v>
      </c>
      <c r="B7" s="32" t="inlineStr">
        <is>
          <t>運用基準と決裁権限表の承認者</t>
        </is>
      </c>
      <c r="C7" s="32" t="inlineStr">
        <is>
          <t>運用基準・決裁権限表 文書管理情報</t>
        </is>
      </c>
      <c r="D7" s="32" t="inlineStr">
        <is>
          <t>ポートフォリオ・IT投資チームの管理職</t>
        </is>
      </c>
      <c r="E7" s="46" t="n">
        <v>46356</v>
      </c>
      <c r="F7" s="32" t="inlineStr">
        <is>
          <t>運用基準と決裁権限表を承認できない</t>
        </is>
      </c>
      <c r="G7" s="32" t="inlineStr">
        <is>
          <t>未着手</t>
        </is>
      </c>
      <c r="H7" s="32" t="n"/>
      <c r="I7" s="46" t="n"/>
    </row>
    <row r="8" ht="15" customHeight="1" s="18">
      <c r="A8" s="32" t="n">
        <v>5</v>
      </c>
      <c r="B8" s="32" t="inlineStr">
        <is>
          <t>施行日</t>
        </is>
      </c>
      <c r="C8" s="32" t="inlineStr">
        <is>
          <t>憲章 第13条、運用基準 第15条（本運用は12月の来期予算の確定後に開始する。決定事項 No.12）</t>
        </is>
      </c>
      <c r="D8" s="32" t="inlineStr">
        <is>
          <t>ポートフォリオ・IT投資チームの管理職</t>
        </is>
      </c>
      <c r="E8" s="46" t="n">
        <v>46356</v>
      </c>
      <c r="F8" s="32" t="inlineStr">
        <is>
          <t>運用開始日を周知できない</t>
        </is>
      </c>
      <c r="G8" s="32" t="inlineStr">
        <is>
          <t>調整中</t>
        </is>
      </c>
      <c r="H8" s="32" t="n"/>
      <c r="I8" s="46" t="n"/>
    </row>
    <row r="9" ht="15" customHeight="1" s="18">
      <c r="A9" s="32" t="n">
        <v>6</v>
      </c>
      <c r="B9" s="32" t="inlineStr">
        <is>
          <t>定期見直しの周期</t>
        </is>
      </c>
      <c r="C9" s="32" t="inlineStr">
        <is>
          <t>憲章・運用基準 文書管理情報</t>
        </is>
      </c>
      <c r="D9" s="32" t="inlineStr">
        <is>
          <t>ポートフォリオ・IT投資チームの管理職</t>
        </is>
      </c>
      <c r="E9" s="46" t="n">
        <v>46356</v>
      </c>
      <c r="F9" s="32" t="inlineStr">
        <is>
          <t>文書が見直されないまま古くなる</t>
        </is>
      </c>
      <c r="G9" s="32" t="inlineStr">
        <is>
          <t>未着手</t>
        </is>
      </c>
      <c r="H9" s="32" t="n"/>
      <c r="I9" s="46" t="n"/>
    </row>
    <row r="10" ht="15" customHeight="1" s="18">
      <c r="A10" s="32" t="n">
        <v>7</v>
      </c>
      <c r="B10" s="32" t="inlineStr">
        <is>
          <t>IT投資案件の定義</t>
        </is>
      </c>
      <c r="C10" s="32" t="inlineStr">
        <is>
          <t>運用基準 第2条、起案者ガイド p.4</t>
        </is>
      </c>
      <c r="D10" s="32" t="inlineStr">
        <is>
          <t>ポートフォリオ・IT投資チームの管理職</t>
        </is>
      </c>
      <c r="E10" s="46" t="n">
        <v>46356</v>
      </c>
      <c r="F10" s="32" t="inlineStr">
        <is>
          <t>対象かどうかを起案者と事務局が判断できない</t>
        </is>
      </c>
      <c r="G10" s="32" t="inlineStr">
        <is>
          <t>未着手</t>
        </is>
      </c>
      <c r="H10" s="32" t="n"/>
      <c r="I10" s="46" t="n"/>
    </row>
    <row r="11" ht="15" customHeight="1" s="18">
      <c r="A11" s="32" t="n">
        <v>8</v>
      </c>
      <c r="B11" s="32" t="inlineStr">
        <is>
          <t>IT投資案件に当たるかの境目の判定基準</t>
        </is>
      </c>
      <c r="C11" s="32" t="inlineStr">
        <is>
          <t>運用基準 第4条</t>
        </is>
      </c>
      <c r="D11" s="32" t="inlineStr">
        <is>
          <t>ポートフォリオ・IT投資チームの管理職</t>
        </is>
      </c>
      <c r="E11" s="46" t="n">
        <v>46356</v>
      </c>
      <c r="F11" s="32" t="inlineStr">
        <is>
          <t>境目の案件ごとに扱いが分かれる</t>
        </is>
      </c>
      <c r="G11" s="32" t="inlineStr">
        <is>
          <t>未着手</t>
        </is>
      </c>
      <c r="H11" s="32" t="n"/>
      <c r="I11" s="46" t="n"/>
    </row>
    <row r="12" ht="15" customHeight="1" s="18">
      <c r="A12" s="32" t="n">
        <v>9</v>
      </c>
      <c r="B12" s="32" t="inlineStr">
        <is>
          <t>金額の算定方法（単年度か総額か、税抜か税込か、投資と経費の扱い）</t>
        </is>
      </c>
      <c r="C12" s="32" t="inlineStr">
        <is>
          <t>運用基準 第6条、決裁権限表「決裁権限表」、起案者ガイド p.6</t>
        </is>
      </c>
      <c r="D12" s="32" t="inlineStr">
        <is>
          <t>ポートフォリオ・IT投資チームの管理職</t>
        </is>
      </c>
      <c r="E12" s="46" t="n">
        <v>46356</v>
      </c>
      <c r="F12" s="32" t="inlineStr">
        <is>
          <t>Tier1とTier2の付議先が案件ごとにぶれる</t>
        </is>
      </c>
      <c r="G12" s="32" t="inlineStr">
        <is>
          <t>未着手</t>
        </is>
      </c>
      <c r="H12" s="32" t="n"/>
      <c r="I12" s="46" t="n"/>
    </row>
    <row r="13" ht="15" customHeight="1" s="18">
      <c r="A13" s="32" t="n">
        <v>10</v>
      </c>
      <c r="B13" s="32" t="inlineStr">
        <is>
          <t>基準額の根拠</t>
        </is>
      </c>
      <c r="C13" s="32" t="inlineStr">
        <is>
          <t>運用基準 第6条第2項</t>
        </is>
      </c>
      <c r="D13" s="32" t="inlineStr">
        <is>
          <t>ポートフォリオ・IT投資チームの管理職</t>
        </is>
      </c>
      <c r="E13" s="46" t="n">
        <v>46356</v>
      </c>
      <c r="F13" s="32" t="inlineStr">
        <is>
          <t>基準額を見直すときの拠り所がない</t>
        </is>
      </c>
      <c r="G13" s="32" t="inlineStr">
        <is>
          <t>未着手</t>
        </is>
      </c>
      <c r="H13" s="32" t="n"/>
      <c r="I13" s="46" t="n"/>
    </row>
    <row r="14" ht="15" customHeight="1" s="18">
      <c r="A14" s="32" t="n">
        <v>11</v>
      </c>
      <c r="B14" s="32" t="inlineStr">
        <is>
          <t>合算の要否と対象</t>
        </is>
      </c>
      <c r="C14" s="32" t="inlineStr">
        <is>
          <t>運用基準 第7条</t>
        </is>
      </c>
      <c r="D14" s="32" t="inlineStr">
        <is>
          <t>ポートフォリオ・IT投資チームの管理職</t>
        </is>
      </c>
      <c r="E14" s="46" t="n">
        <v>46356</v>
      </c>
      <c r="F14" s="32" t="inlineStr">
        <is>
          <t>分割した提出でTier1の審議を避けられる</t>
        </is>
      </c>
      <c r="G14" s="32" t="inlineStr">
        <is>
          <t>未着手</t>
        </is>
      </c>
      <c r="H14" s="32" t="n"/>
      <c r="I14" s="46" t="n"/>
    </row>
    <row r="15" ht="15" customHeight="1" s="18">
      <c r="A15" s="32" t="n">
        <v>12</v>
      </c>
      <c r="B15" s="32" t="inlineStr">
        <is>
          <t>決裁の振り分けの判断基準（Tier3を招集する条件、承認会議（ローカル）に委ねる条件）</t>
        </is>
      </c>
      <c r="C15" s="32" t="inlineStr">
        <is>
          <t>運用基準 第5条第2項、決裁権限表「判定軸」</t>
        </is>
      </c>
      <c r="D15" s="32" t="inlineStr">
        <is>
          <t>ポートフォリオ・IT投資チームの管理職</t>
        </is>
      </c>
      <c r="E15" s="46" t="n">
        <v>46356</v>
      </c>
      <c r="F15" s="32" t="inlineStr">
        <is>
          <t>振り分けが議長の判断ごとにばらつき、承認会議（ローカル）に委ねる範囲が広がると、事業部門内の承認が自己完結する</t>
        </is>
      </c>
      <c r="G15" s="32" t="inlineStr">
        <is>
          <t>未着手</t>
        </is>
      </c>
      <c r="H15" s="32" t="n"/>
      <c r="I15" s="46" t="n"/>
    </row>
    <row r="16" ht="15" customHeight="1" s="18">
      <c r="A16" s="32" t="n">
        <v>13</v>
      </c>
      <c r="B16" s="32" t="inlineStr">
        <is>
          <t>IntakeFormの記入項目</t>
        </is>
      </c>
      <c r="C16" s="32" t="inlineStr">
        <is>
          <t>運用基準 第8条、起案者ガイド p.6</t>
        </is>
      </c>
      <c r="D16" s="32" t="inlineStr">
        <is>
          <t>ポートフォリオ・IT投資チームの管理職</t>
        </is>
      </c>
      <c r="E16" s="46" t="n">
        <v>46356</v>
      </c>
      <c r="F16" s="32" t="inlineStr">
        <is>
          <t>受付で何を確認するかが決まらない</t>
        </is>
      </c>
      <c r="G16" s="32" t="inlineStr">
        <is>
          <t>未着手</t>
        </is>
      </c>
      <c r="H16" s="32" t="n"/>
      <c r="I16" s="46" t="n"/>
    </row>
    <row r="17" ht="15" customHeight="1" s="18">
      <c r="A17" s="32" t="n">
        <v>14</v>
      </c>
      <c r="B17" s="32" t="inlineStr">
        <is>
          <t>実行計画の必須の情報と様式</t>
        </is>
      </c>
      <c r="C17" s="32" t="inlineStr">
        <is>
          <t>運用基準 第8条、起案者ガイド p.6</t>
        </is>
      </c>
      <c r="D17" s="32" t="inlineStr">
        <is>
          <t>ポートフォリオ・IT投資チームの管理職</t>
        </is>
      </c>
      <c r="E17" s="46" t="n">
        <v>46356</v>
      </c>
      <c r="F17" s="32" t="inlineStr">
        <is>
          <t>実行計画の受付で何を確認するかが決まらない</t>
        </is>
      </c>
      <c r="G17" s="32" t="inlineStr">
        <is>
          <t>未着手</t>
        </is>
      </c>
      <c r="H17" s="32" t="n"/>
      <c r="I17" s="46" t="n"/>
    </row>
    <row r="18" ht="15" customHeight="1" s="18">
      <c r="A18" s="32" t="n">
        <v>15</v>
      </c>
      <c r="B18" s="32" t="inlineStr">
        <is>
          <t>年次の優先順位と年次のIT投資予算の範囲の関係</t>
        </is>
      </c>
      <c r="C18" s="32" t="inlineStr">
        <is>
          <t>運用基準 第10条</t>
        </is>
      </c>
      <c r="D18" s="32" t="inlineStr">
        <is>
          <t>ポートフォリオ・IT投資チームの管理職</t>
        </is>
      </c>
      <c r="E18" s="46" t="n">
        <v>46356</v>
      </c>
      <c r="F18" s="32" t="inlineStr">
        <is>
          <t>どの順位までが実行の対象かが分からない</t>
        </is>
      </c>
      <c r="G18" s="32" t="inlineStr">
        <is>
          <t>未着手</t>
        </is>
      </c>
      <c r="H18" s="32" t="n"/>
      <c r="I18" s="46" t="n"/>
    </row>
    <row r="19" ht="15" customHeight="1" s="18">
      <c r="A19" s="32" t="n">
        <v>16</v>
      </c>
      <c r="B19" s="32" t="inlineStr">
        <is>
          <t>優先度が認められなかった案件の扱い</t>
        </is>
      </c>
      <c r="C19" s="32" t="inlineStr">
        <is>
          <t>運用基準 第10条、起案者ガイド p.7</t>
        </is>
      </c>
      <c r="D19" s="32" t="inlineStr">
        <is>
          <t>ポートフォリオ・IT投資チームの管理職</t>
        </is>
      </c>
      <c r="E19" s="46" t="n">
        <v>46356</v>
      </c>
      <c r="F19" s="32" t="inlineStr">
        <is>
          <t>起案者に次の行動を案内できない</t>
        </is>
      </c>
      <c r="G19" s="32" t="inlineStr">
        <is>
          <t>未着手</t>
        </is>
      </c>
      <c r="H19" s="32" t="n"/>
      <c r="I19" s="46" t="n"/>
    </row>
    <row r="20" ht="15" customHeight="1" s="18">
      <c r="A20" s="32" t="n">
        <v>17</v>
      </c>
      <c r="B20" s="32" t="inlineStr">
        <is>
          <t>随時の案件の原資</t>
        </is>
      </c>
      <c r="C20" s="32" t="inlineStr">
        <is>
          <t>運用基準 第10条</t>
        </is>
      </c>
      <c r="D20" s="32" t="inlineStr">
        <is>
          <t>ポートフォリオ・IT投資チームの管理職</t>
        </is>
      </c>
      <c r="E20" s="46" t="n">
        <v>46356</v>
      </c>
      <c r="F20" s="32" t="inlineStr">
        <is>
          <t>優先度が認められても実行の予算がない</t>
        </is>
      </c>
      <c r="G20" s="32" t="inlineStr">
        <is>
          <t>未着手</t>
        </is>
      </c>
      <c r="H20" s="32" t="n"/>
      <c r="I20" s="46" t="n"/>
    </row>
    <row r="21" ht="15" customHeight="1" s="18">
      <c r="A21" s="32" t="n">
        <v>18</v>
      </c>
      <c r="B21" s="32" t="inlineStr">
        <is>
          <t>条件付き承認と差し戻しの区分を置くか</t>
        </is>
      </c>
      <c r="C21" s="32" t="inlineStr">
        <is>
          <t>運用基準 第10条</t>
        </is>
      </c>
      <c r="D21" s="32" t="inlineStr">
        <is>
          <t>ポートフォリオ・IT投資チームの管理職</t>
        </is>
      </c>
      <c r="E21" s="46" t="n">
        <v>46356</v>
      </c>
      <c r="F21" s="32" t="inlineStr">
        <is>
          <t>条件を付けた承認の記録と確認の方法が決まらない</t>
        </is>
      </c>
      <c r="G21" s="32" t="inlineStr">
        <is>
          <t>未着手</t>
        </is>
      </c>
      <c r="H21" s="32" t="n"/>
      <c r="I21" s="46" t="n"/>
    </row>
    <row r="22" ht="15" customHeight="1" s="18">
      <c r="A22" s="32" t="n">
        <v>19</v>
      </c>
      <c r="B22" s="32" t="inlineStr">
        <is>
          <t>否認された実行計画の再提出の扱い</t>
        </is>
      </c>
      <c r="C22" s="32" t="inlineStr">
        <is>
          <t>運用基準 第10条、起案者ガイド p.7</t>
        </is>
      </c>
      <c r="D22" s="32" t="inlineStr">
        <is>
          <t>ポートフォリオ・IT投資チームの管理職</t>
        </is>
      </c>
      <c r="E22" s="46" t="n">
        <v>46356</v>
      </c>
      <c r="F22" s="32" t="inlineStr">
        <is>
          <t>否認の後に起案者が何をすればよいか案内できない</t>
        </is>
      </c>
      <c r="G22" s="32" t="inlineStr">
        <is>
          <t>未着手</t>
        </is>
      </c>
      <c r="H22" s="32" t="n"/>
      <c r="I22" s="46" t="n"/>
    </row>
    <row r="23" ht="15" customHeight="1" s="18">
      <c r="A23" s="32" t="n">
        <v>20</v>
      </c>
      <c r="B23" s="32" t="inlineStr">
        <is>
          <t>決裁権の委任の有無と条件</t>
        </is>
      </c>
      <c r="C23" s="32" t="inlineStr">
        <is>
          <t>運用基準 第12条</t>
        </is>
      </c>
      <c r="D23" s="32" t="inlineStr">
        <is>
          <t>ポートフォリオ・IT投資チームの管理職</t>
        </is>
      </c>
      <c r="E23" s="46" t="n">
        <v>46356</v>
      </c>
      <c r="F23" s="32" t="inlineStr">
        <is>
          <t>委任された決裁の記録と報告の方法が決まらない</t>
        </is>
      </c>
      <c r="G23" s="32" t="inlineStr">
        <is>
          <t>確定</t>
        </is>
      </c>
      <c r="H23" s="32" t="inlineStr">
        <is>
          <t>委任あり。Tier2が案件ごとに、実行計画の決裁を承認会議（ローカル）に委ねられる（運用基準 第12条）。委ねる条件は No.12、報告とモニタリングは No.37</t>
        </is>
      </c>
      <c r="I23" s="46" t="n">
        <v>46313</v>
      </c>
    </row>
    <row r="24" ht="15" customHeight="1" s="18">
      <c r="A24" s="32" t="n">
        <v>21</v>
      </c>
      <c r="B24" s="32" t="inlineStr">
        <is>
          <t>審議のサービスレベル（各手順の期限）</t>
        </is>
      </c>
      <c r="C24" s="32" t="inlineStr">
        <is>
          <t>運用基準 第13条、Runbook §3</t>
        </is>
      </c>
      <c r="D24" s="32" t="inlineStr">
        <is>
          <t>ポートフォリオ・IT投資チームの管理職</t>
        </is>
      </c>
      <c r="E24" s="46" t="n">
        <v>46356</v>
      </c>
      <c r="F24" s="32" t="inlineStr">
        <is>
          <t>回答までの日数を管理できない</t>
        </is>
      </c>
      <c r="G24" s="32" t="inlineStr">
        <is>
          <t>未着手</t>
        </is>
      </c>
      <c r="H24" s="32" t="n"/>
      <c r="I24" s="46" t="n"/>
    </row>
    <row r="25" ht="15" customHeight="1" s="18">
      <c r="A25" s="32" t="n">
        <v>22</v>
      </c>
      <c r="B25" s="32" t="inlineStr">
        <is>
          <t>運営状況の報告先と周期</t>
        </is>
      </c>
      <c r="C25" s="32" t="inlineStr">
        <is>
          <t>憲章 第11条、運用基準 第14条</t>
        </is>
      </c>
      <c r="D25" s="32" t="inlineStr">
        <is>
          <t>ポートフォリオ・IT投資チームの管理職</t>
        </is>
      </c>
      <c r="E25" s="46" t="n">
        <v>46356</v>
      </c>
      <c r="F25" s="32" t="inlineStr">
        <is>
          <t>保留課題や審議の遅れが放置される</t>
        </is>
      </c>
      <c r="G25" s="32" t="inlineStr">
        <is>
          <t>未着手</t>
        </is>
      </c>
      <c r="H25" s="32" t="n"/>
      <c r="I25" s="46" t="n"/>
    </row>
    <row r="26" ht="15" customHeight="1" s="18">
      <c r="A26" s="32" t="n">
        <v>23</v>
      </c>
      <c r="B26" s="32" t="inlineStr">
        <is>
          <t>Tier1の議長と構成員の役職</t>
        </is>
      </c>
      <c r="C26" s="32" t="inlineStr">
        <is>
          <t>憲章 別表1</t>
        </is>
      </c>
      <c r="D26" s="32" t="inlineStr">
        <is>
          <t>ポートフォリオ・IT投資チームの管理職</t>
        </is>
      </c>
      <c r="E26" s="46" t="n">
        <v>46356</v>
      </c>
      <c r="F26" s="32" t="inlineStr">
        <is>
          <t>開催案内と議題の確定の相手が決まらない</t>
        </is>
      </c>
      <c r="G26" s="32" t="inlineStr">
        <is>
          <t>未着手</t>
        </is>
      </c>
      <c r="H26" s="32" t="n"/>
      <c r="I26" s="46" t="n"/>
    </row>
    <row r="27" ht="15" customHeight="1" s="18">
      <c r="A27" s="32" t="n">
        <v>24</v>
      </c>
      <c r="B27" s="32" t="inlineStr">
        <is>
          <t>Tier2の議長と構成員の役職</t>
        </is>
      </c>
      <c r="C27" s="32" t="inlineStr">
        <is>
          <t>憲章 別表2</t>
        </is>
      </c>
      <c r="D27" s="32" t="inlineStr">
        <is>
          <t>ポートフォリオ・IT投資チームの管理職</t>
        </is>
      </c>
      <c r="E27" s="46" t="n">
        <v>46356</v>
      </c>
      <c r="F27" s="32" t="inlineStr">
        <is>
          <t>開催案内と議題の確定の相手が決まらない</t>
        </is>
      </c>
      <c r="G27" s="32" t="inlineStr">
        <is>
          <t>未着手</t>
        </is>
      </c>
      <c r="H27" s="32" t="n"/>
      <c r="I27" s="46" t="n"/>
    </row>
    <row r="28" ht="15" customHeight="1" s="18">
      <c r="A28" s="32" t="n">
        <v>25</v>
      </c>
      <c r="B28" s="32" t="inlineStr">
        <is>
          <t>定常のTier2の開催頻度</t>
        </is>
      </c>
      <c r="C28" s="32" t="inlineStr">
        <is>
          <t>憲章 別表2、Runbook §2</t>
        </is>
      </c>
      <c r="D28" s="32" t="inlineStr">
        <is>
          <t>ポートフォリオ・IT投資チームの管理職</t>
        </is>
      </c>
      <c r="E28" s="46" t="n">
        <v>46356</v>
      </c>
      <c r="F28" s="32" t="inlineStr">
        <is>
          <t>実行計画の審議の日程を起案者に示せない</t>
        </is>
      </c>
      <c r="G28" s="32" t="inlineStr">
        <is>
          <t>確定</t>
        </is>
      </c>
      <c r="H28" s="32" t="inlineStr">
        <is>
          <t>月1回（来期予算の確定後、1月から）。Tier3はTier2の要請に応じて適宜、承認会議（ローカル）の開催は各部門の運営に委ねる</t>
        </is>
      </c>
      <c r="I28" s="46" t="n">
        <v>46313</v>
      </c>
    </row>
    <row r="29" ht="15" customHeight="1" s="18">
      <c r="A29" s="32" t="n">
        <v>26</v>
      </c>
      <c r="B29" s="32" t="inlineStr">
        <is>
          <t>Tier3の招集の方法と任命者</t>
        </is>
      </c>
      <c r="C29" s="32" t="inlineStr">
        <is>
          <t>憲章 別表3</t>
        </is>
      </c>
      <c r="D29" s="32" t="inlineStr">
        <is>
          <t>ポートフォリオ・IT投資チームの管理職</t>
        </is>
      </c>
      <c r="E29" s="46" t="n">
        <v>46356</v>
      </c>
      <c r="F29" s="32" t="inlineStr">
        <is>
          <t>Tier3の招集の依頼先が決まらない</t>
        </is>
      </c>
      <c r="G29" s="32" t="inlineStr">
        <is>
          <t>未着手</t>
        </is>
      </c>
      <c r="H29" s="32" t="n"/>
      <c r="I29" s="46" t="n"/>
    </row>
    <row r="30" ht="15" customHeight="1" s="18">
      <c r="A30" s="32" t="n">
        <v>27</v>
      </c>
      <c r="B30" s="32" t="inlineStr">
        <is>
          <t>各会議体の定足数と決議方法</t>
        </is>
      </c>
      <c r="C30" s="32" t="inlineStr">
        <is>
          <t>憲章 別表1〜別表3</t>
        </is>
      </c>
      <c r="D30" s="32" t="inlineStr">
        <is>
          <t>ポートフォリオ・IT投資チームの管理職</t>
        </is>
      </c>
      <c r="E30" s="46" t="n">
        <v>46356</v>
      </c>
      <c r="F30" s="32" t="inlineStr">
        <is>
          <t>決定の有効性を説明できない</t>
        </is>
      </c>
      <c r="G30" s="32" t="inlineStr">
        <is>
          <t>未着手</t>
        </is>
      </c>
      <c r="H30" s="32" t="n"/>
      <c r="I30" s="46" t="n"/>
    </row>
    <row r="31" ht="15" customHeight="1" s="18">
      <c r="A31" s="32" t="n">
        <v>28</v>
      </c>
      <c r="B31" s="32" t="inlineStr">
        <is>
          <t>上申と差し戻しの手続き</t>
        </is>
      </c>
      <c r="C31" s="32" t="inlineStr">
        <is>
          <t>憲章 別表1〜別表3、Runbook §4</t>
        </is>
      </c>
      <c r="D31" s="32" t="inlineStr">
        <is>
          <t>ポートフォリオ・IT投資チームの管理職</t>
        </is>
      </c>
      <c r="E31" s="46" t="n">
        <v>46356</v>
      </c>
      <c r="F31" s="32" t="inlineStr">
        <is>
          <t>起案者の異議を扱えない</t>
        </is>
      </c>
      <c r="G31" s="32" t="inlineStr">
        <is>
          <t>未着手</t>
        </is>
      </c>
      <c r="H31" s="32" t="n"/>
      <c r="I31" s="46" t="n"/>
    </row>
    <row r="32" ht="15" customHeight="1" s="18">
      <c r="A32" s="32" t="n">
        <v>29</v>
      </c>
      <c r="B32" s="32" t="inlineStr">
        <is>
          <t>利害関係の定義と、判断に加われない者がいる場合の扱い</t>
        </is>
      </c>
      <c r="C32" s="32" t="inlineStr">
        <is>
          <t>憲章 第10条</t>
        </is>
      </c>
      <c r="D32" s="32" t="inlineStr">
        <is>
          <t>ポートフォリオ・IT投資チームの管理職</t>
        </is>
      </c>
      <c r="E32" s="46" t="n">
        <v>46356</v>
      </c>
      <c r="F32" s="32" t="inlineStr">
        <is>
          <t>構成員が自らの案件を審議する</t>
        </is>
      </c>
      <c r="G32" s="32" t="inlineStr">
        <is>
          <t>未着手</t>
        </is>
      </c>
      <c r="H32" s="32" t="n"/>
      <c r="I32" s="46" t="n"/>
    </row>
    <row r="33" ht="15" customHeight="1" s="18">
      <c r="A33" s="32" t="n">
        <v>30</v>
      </c>
      <c r="B33" s="32" t="inlineStr">
        <is>
          <t>案件台帳を置くシステム</t>
        </is>
      </c>
      <c r="C33" s="32" t="inlineStr">
        <is>
          <t>Runbook §3・§5</t>
        </is>
      </c>
      <c r="D33" s="32" t="inlineStr">
        <is>
          <t>ポートフォリオ・IT投資チームの管理職</t>
        </is>
      </c>
      <c r="E33" s="46" t="n">
        <v>46356</v>
      </c>
      <c r="F33" s="32" t="inlineStr">
        <is>
          <t>受付・決定の記録が散らばる</t>
        </is>
      </c>
      <c r="G33" s="32" t="inlineStr">
        <is>
          <t>未着手</t>
        </is>
      </c>
      <c r="H33" s="32" t="n"/>
      <c r="I33" s="46" t="n"/>
    </row>
    <row r="34" ht="15" customHeight="1" s="18">
      <c r="A34" s="32" t="n">
        <v>31</v>
      </c>
      <c r="B34" s="32" t="inlineStr">
        <is>
          <t>年次の受付期間と年次の会議の日程</t>
        </is>
      </c>
      <c r="C34" s="32" t="inlineStr">
        <is>
          <t>Runbook §2・§3.1、起案者ガイド p.5（年間の流れは決定事項 No.13）</t>
        </is>
      </c>
      <c r="D34" s="32" t="inlineStr">
        <is>
          <t>ポートフォリオ・IT投資チームの管理職</t>
        </is>
      </c>
      <c r="E34" s="46" t="n">
        <v>46356</v>
      </c>
      <c r="F34" s="32" t="inlineStr">
        <is>
          <t>年次の受付を周知できない</t>
        </is>
      </c>
      <c r="G34" s="32" t="inlineStr">
        <is>
          <t>調整中</t>
        </is>
      </c>
      <c r="H34" s="32" t="n"/>
      <c r="I34" s="46" t="n"/>
    </row>
    <row r="35">
      <c r="A35" s="32" t="n">
        <v>32</v>
      </c>
      <c r="B35" s="32" t="inlineStr">
        <is>
          <t>IntakeFormの置き場所と提出先</t>
        </is>
      </c>
      <c r="C35" s="32" t="inlineStr">
        <is>
          <t>Runbook §3.1、起案者ガイド p.6</t>
        </is>
      </c>
      <c r="D35" s="32" t="inlineStr">
        <is>
          <t>ポートフォリオ・IT投資チームの管理職</t>
        </is>
      </c>
      <c r="E35" s="46" t="n">
        <v>46356</v>
      </c>
      <c r="F35" s="32" t="inlineStr">
        <is>
          <t>起案者が提出できない</t>
        </is>
      </c>
      <c r="G35" s="32" t="inlineStr">
        <is>
          <t>未着手</t>
        </is>
      </c>
      <c r="H35" s="32" t="n"/>
      <c r="I35" s="46" t="n"/>
    </row>
    <row r="36">
      <c r="A36" s="32" t="n">
        <v>33</v>
      </c>
      <c r="B36" s="32" t="inlineStr">
        <is>
          <t>決定の連携先と方法（PPMボード・ファイナンス部門）</t>
        </is>
      </c>
      <c r="C36" s="32" t="inlineStr">
        <is>
          <t>業務フロー定義 p.12、Runbook §3.4・§3.7・§3.10</t>
        </is>
      </c>
      <c r="D36" s="32" t="inlineStr">
        <is>
          <t>ポートフォリオ・IT投資チームの管理職</t>
        </is>
      </c>
      <c r="E36" s="46" t="n">
        <v>46356</v>
      </c>
      <c r="F36" s="32" t="inlineStr">
        <is>
          <t>決定の後に案件が止まる</t>
        </is>
      </c>
      <c r="G36" s="32" t="inlineStr">
        <is>
          <t>未着手</t>
        </is>
      </c>
      <c r="H36" s="32" t="n"/>
      <c r="I36" s="46" t="n"/>
    </row>
    <row r="37">
      <c r="A37" s="32" t="n">
        <v>34</v>
      </c>
      <c r="B37" s="32" t="inlineStr">
        <is>
          <t>締切を過ぎた提出の扱い</t>
        </is>
      </c>
      <c r="C37" s="32" t="inlineStr">
        <is>
          <t>Runbook §4、起案者ガイド p.5</t>
        </is>
      </c>
      <c r="D37" s="32" t="inlineStr">
        <is>
          <t>ポートフォリオ・IT投資チームの管理職</t>
        </is>
      </c>
      <c r="E37" s="46" t="n">
        <v>46356</v>
      </c>
      <c r="F37" s="32" t="inlineStr">
        <is>
          <t>締切後の提出に一貫した対応ができない</t>
        </is>
      </c>
      <c r="G37" s="32" t="inlineStr">
        <is>
          <t>未着手</t>
        </is>
      </c>
      <c r="H37" s="32" t="n"/>
      <c r="I37" s="46" t="n"/>
    </row>
    <row r="38">
      <c r="A38" s="32" t="n">
        <v>35</v>
      </c>
      <c r="B38" s="32" t="inlineStr">
        <is>
          <t>問い合わせ先と関係者の連絡先</t>
        </is>
      </c>
      <c r="C38" s="32" t="inlineStr">
        <is>
          <t>Runbook §1.3、起案者ガイド p.8</t>
        </is>
      </c>
      <c r="D38" s="32" t="inlineStr">
        <is>
          <t>ポートフォリオ・IT投資チームの管理職</t>
        </is>
      </c>
      <c r="E38" s="46" t="n">
        <v>46356</v>
      </c>
      <c r="F38" s="32" t="inlineStr">
        <is>
          <t>起案者と関係者が連絡先を探す</t>
        </is>
      </c>
      <c r="G38" s="32" t="inlineStr">
        <is>
          <t>未着手</t>
        </is>
      </c>
      <c r="H38" s="32" t="n"/>
      <c r="I38" s="46" t="n"/>
    </row>
    <row r="39" s="18">
      <c r="A39" s="32" t="n">
        <v>36</v>
      </c>
      <c r="B39" s="32" t="inlineStr">
        <is>
          <t>KPIの目標値と集計周期</t>
        </is>
      </c>
      <c r="C39" s="32" t="inlineStr">
        <is>
          <t>Runbook §5</t>
        </is>
      </c>
      <c r="D39" s="32" t="inlineStr">
        <is>
          <t>ポートフォリオ・IT投資チームの管理職</t>
        </is>
      </c>
      <c r="E39" s="46" t="n">
        <v>46356</v>
      </c>
      <c r="F39" s="32" t="inlineStr">
        <is>
          <t>運営の改善の目安がない</t>
        </is>
      </c>
      <c r="G39" s="32" t="inlineStr">
        <is>
          <t>未着手</t>
        </is>
      </c>
      <c r="H39" s="32" t="n"/>
      <c r="I39" s="46" t="n"/>
    </row>
    <row r="40" s="18">
      <c r="A40" s="32" t="n">
        <v>37</v>
      </c>
      <c r="B40" s="32" t="inlineStr">
        <is>
          <t>承認会議（ローカル）に委ねた案件の報告と事後のモニタリング</t>
        </is>
      </c>
      <c r="C40" s="32" t="inlineStr">
        <is>
          <t>憲章 別表2、運用基準 第10条・第12条、Runbook §3.13</t>
        </is>
      </c>
      <c r="D40" s="32" t="inlineStr">
        <is>
          <t>ポートフォリオ・IT投資チームの管理職</t>
        </is>
      </c>
      <c r="E40" s="46" t="n">
        <v>46356</v>
      </c>
      <c r="F40" s="32" t="inlineStr">
        <is>
          <t>委ねた案件の結果が届かず、IT投資の全体像が見えなくなる</t>
        </is>
      </c>
      <c r="G40" s="32" t="inlineStr">
        <is>
          <t>未着手</t>
        </is>
      </c>
      <c r="H40" s="32" t="n"/>
      <c r="I40" s="46" t="n"/>
    </row>
    <row r="41">
      <c r="A41" s="32" t="n">
        <v>38</v>
      </c>
      <c r="B41" s="32" t="inlineStr">
        <is>
          <t>IT部門が起案する案件の実行計画の依頼経路</t>
        </is>
      </c>
      <c r="C41" s="32" t="inlineStr">
        <is>
          <t>憲章 第5条</t>
        </is>
      </c>
      <c r="D41" s="32" t="inlineStr">
        <is>
          <t>ポートフォリオ・IT投資チームの管理職</t>
        </is>
      </c>
      <c r="E41" s="46" t="n">
        <v>46356</v>
      </c>
      <c r="F41" s="32" t="inlineStr">
        <is>
          <t>IT部門が起案した案件で、誰が起案者に実行計画を依頼するかが決まらない</t>
        </is>
      </c>
      <c r="G41" s="32" t="inlineStr">
        <is>
          <t>確定</t>
        </is>
      </c>
      <c r="H41" s="32" t="inlineStr">
        <is>
          <t>IT部門が起案する案件も同様とする。IT部門の担当者が起案者となり、PPMボードが起案者の所属部門（IT部門）を通じて実行計画の提出を依頼する（決定事項 No.10）</t>
        </is>
      </c>
      <c r="I41" s="46" t="n">
        <v>46313</v>
      </c>
    </row>
  </sheetData>
  <conditionalFormatting sqref="A5:I300">
    <cfRule type="expression" rank="0" priority="2" equalAverage="0" aboveAverage="0" dxfId="0" text="" percent="0" bottom="0">
      <formula>AND($E5&lt;&gt;"",$G5&lt;&gt;"確定",$G5&lt;&gt;"取り下げ",ISNUMBER($E5),$E5&lt;TODAY())</formula>
    </cfRule>
  </conditionalFormatting>
  <dataValidations count="1">
    <dataValidation sqref="G4:G300" showDropDown="0" showInputMessage="0" showErrorMessage="0" allowBlank="1" type="list">
      <formula1>"未着手,調整中,確定,取り下げ"</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17" min="1" max="1"/>
    <col width="40" customWidth="1" style="17" min="2" max="2"/>
    <col width="16" customWidth="1" style="17" min="3" max="3"/>
    <col width="12" customWidth="1" style="17" min="4" max="5"/>
    <col width="36" customWidth="1" style="17" min="6" max="6"/>
    <col width="12" customWidth="1" style="17" min="7" max="7"/>
    <col width="22" customWidth="1" style="17" min="8" max="8"/>
  </cols>
  <sheetData>
    <row r="1" ht="17.35" customHeight="1" s="18">
      <c r="A1" s="42" t="inlineStr">
        <is>
          <t>確認依頼</t>
        </is>
      </c>
      <c r="B1" s="35" t="n"/>
      <c r="C1" s="35" t="n"/>
      <c r="D1" s="35" t="n"/>
      <c r="E1" s="35" t="n"/>
      <c r="F1" s="35" t="n"/>
      <c r="G1" s="35" t="n"/>
      <c r="H1" s="35" t="n"/>
    </row>
    <row r="2">
      <c r="A2" s="35" t="n"/>
      <c r="B2" s="35" t="n"/>
      <c r="C2" s="35" t="n"/>
      <c r="D2" s="35" t="n"/>
      <c r="E2" s="35" t="n"/>
      <c r="F2" s="35" t="n"/>
      <c r="G2" s="35" t="n"/>
      <c r="H2" s="35" t="n"/>
    </row>
    <row r="3" ht="15" customHeight="1" s="18">
      <c r="A3" s="28" t="inlineStr">
        <is>
          <t>No.</t>
        </is>
      </c>
      <c r="B3" s="43" t="inlineStr">
        <is>
          <t>確認内容</t>
        </is>
      </c>
      <c r="C3" s="43" t="inlineStr">
        <is>
          <t>依頼先</t>
        </is>
      </c>
      <c r="D3" s="43" t="inlineStr">
        <is>
          <t>依頼日</t>
        </is>
      </c>
      <c r="E3" s="43" t="inlineStr">
        <is>
          <t>回答期限</t>
        </is>
      </c>
      <c r="F3" s="43" t="inlineStr">
        <is>
          <t>回答</t>
        </is>
      </c>
      <c r="G3" s="43" t="inlineStr">
        <is>
          <t>回答日</t>
        </is>
      </c>
      <c r="H3" s="43" t="inlineStr">
        <is>
          <t>反映先</t>
        </is>
      </c>
    </row>
    <row r="4" ht="23.85" customHeight="1" s="18">
      <c r="A4" s="32" t="n">
        <v>1</v>
      </c>
      <c r="B4" s="32" t="inlineStr">
        <is>
          <t>機能の型を A 決定・承認型とした（決定事項 No.1）</t>
        </is>
      </c>
      <c r="C4" s="32" t="inlineStr">
        <is>
          <t>ポートフォリオ・IT投資チームの管理職</t>
        </is>
      </c>
      <c r="D4" s="46" t="n">
        <v>46313</v>
      </c>
      <c r="E4" s="46" t="n">
        <v>46356</v>
      </c>
      <c r="F4" s="32" t="n"/>
      <c r="G4" s="46" t="n"/>
      <c r="H4" s="32" t="n"/>
    </row>
    <row r="5" ht="15" customHeight="1" s="18">
      <c r="A5" s="32" t="n">
        <v>2</v>
      </c>
      <c r="B5" s="32" t="inlineStr">
        <is>
          <t>「億円を超える」を「1億円を超える」と解釈し、基準額を1億円とした（運用基準 第6条）</t>
        </is>
      </c>
      <c r="C5" s="32" t="inlineStr">
        <is>
          <t>ポートフォリオ・IT投資チームの管理職</t>
        </is>
      </c>
      <c r="D5" s="46" t="n">
        <v>46313</v>
      </c>
      <c r="E5" s="46" t="n">
        <v>46356</v>
      </c>
      <c r="F5" s="32" t="n"/>
      <c r="G5" s="46" t="n"/>
      <c r="H5" s="32" t="n"/>
    </row>
    <row r="6" ht="15" customHeight="1" s="18">
      <c r="A6" s="32" t="n">
        <v>3</v>
      </c>
      <c r="B6" s="32" t="inlineStr">
        <is>
          <t>年次の受付も、随時と同じIntakeFormで行うとした（運用基準 第8条）</t>
        </is>
      </c>
      <c r="C6" s="32" t="inlineStr">
        <is>
          <t>ポートフォリオ・IT投資チームの管理職</t>
        </is>
      </c>
      <c r="D6" s="46" t="n">
        <v>46313</v>
      </c>
      <c r="E6" s="46" t="n">
        <v>46356</v>
      </c>
      <c r="F6" s="32" t="n"/>
      <c r="G6" s="46" t="n"/>
      <c r="H6" s="32" t="n"/>
    </row>
    <row r="7" ht="15" customHeight="1" s="18">
      <c r="A7" s="32" t="n">
        <v>4</v>
      </c>
      <c r="B7" s="32" t="inlineStr">
        <is>
          <t>年次のTier1とTier2は、基準額で案件を分けて、それぞれ優先順位を付けるとした（運用基準 第5条）</t>
        </is>
      </c>
      <c r="C7" s="32" t="inlineStr">
        <is>
          <t>ポートフォリオ・IT投資チームの管理職</t>
        </is>
      </c>
      <c r="D7" s="46" t="n">
        <v>46313</v>
      </c>
      <c r="E7" s="46" t="n">
        <v>46356</v>
      </c>
      <c r="F7" s="32" t="n"/>
      <c r="G7" s="46" t="n"/>
      <c r="H7" s="32" t="n"/>
    </row>
    <row r="8" ht="15" customHeight="1" s="18">
      <c r="A8" s="32" t="n">
        <v>5</v>
      </c>
      <c r="B8" s="32" t="inlineStr">
        <is>
          <t>実行計画は、Tier1で優先順位が付いた案件を含め、すべてTier2で審議するとした（運用基準 第5条）</t>
        </is>
      </c>
      <c r="C8" s="32" t="inlineStr">
        <is>
          <t>ポートフォリオ・IT投資チームの管理職</t>
        </is>
      </c>
      <c r="D8" s="46" t="n">
        <v>46313</v>
      </c>
      <c r="E8" s="46" t="n">
        <v>46356</v>
      </c>
      <c r="F8" s="32" t="n"/>
      <c r="G8" s="46" t="n"/>
      <c r="H8" s="32" t="n"/>
    </row>
    <row r="9" ht="15" customHeight="1" s="18">
      <c r="A9" s="32" t="n">
        <v>6</v>
      </c>
      <c r="B9" s="32" t="inlineStr">
        <is>
          <t>随時のIntakeで優先度ありとなった案件も、PPMボードに渡すとした（Runbook §3.7）</t>
        </is>
      </c>
      <c r="C9" s="32" t="inlineStr">
        <is>
          <t>ポートフォリオ・IT投資チームの管理職</t>
        </is>
      </c>
      <c r="D9" s="46" t="n">
        <v>46313</v>
      </c>
      <c r="E9" s="46" t="n">
        <v>46356</v>
      </c>
      <c r="F9" s="32" t="n"/>
      <c r="G9" s="46" t="n"/>
      <c r="H9" s="32" t="n"/>
    </row>
    <row r="10" ht="15" customHeight="1" s="18">
      <c r="A10" s="32" t="n">
        <v>7</v>
      </c>
      <c r="B10" s="32" t="inlineStr">
        <is>
          <t>実行計画の審議の区分を「承認／否認」の2つとし、条件付き承認と差し戻しは保留課題とした（運用基準 第10条）</t>
        </is>
      </c>
      <c r="C10" s="32" t="inlineStr">
        <is>
          <t>ポートフォリオ・IT投資チームの管理職</t>
        </is>
      </c>
      <c r="D10" s="46" t="n">
        <v>46313</v>
      </c>
      <c r="E10" s="46" t="n">
        <v>46356</v>
      </c>
      <c r="F10" s="32" t="n"/>
      <c r="G10" s="46" t="n"/>
      <c r="H10" s="32" t="n"/>
    </row>
    <row r="11" ht="15" customHeight="1" s="18">
      <c r="A11" s="32" t="n">
        <v>8</v>
      </c>
      <c r="B11" s="32" t="inlineStr">
        <is>
          <t>申請者の呼称を「起案者」（IT投資案件の案件担当者）とした（用語集）</t>
        </is>
      </c>
      <c r="C11" s="32" t="inlineStr">
        <is>
          <t>ポートフォリオ・IT投資チームの管理職</t>
        </is>
      </c>
      <c r="D11" s="46" t="n">
        <v>46313</v>
      </c>
      <c r="E11" s="46" t="n">
        <v>46356</v>
      </c>
      <c r="F11" s="32" t="n"/>
      <c r="G11" s="46" t="n"/>
      <c r="H11" s="32" t="n"/>
    </row>
    <row r="12" ht="15" customHeight="1" s="18">
      <c r="A12" s="32" t="n">
        <v>9</v>
      </c>
      <c r="B12" s="32" t="inlineStr">
        <is>
          <t>文書番号の接頭辞を「ITC」とした</t>
        </is>
      </c>
      <c r="C12" s="32" t="inlineStr">
        <is>
          <t>ポートフォリオ・IT投資チームの管理職</t>
        </is>
      </c>
      <c r="D12" s="46" t="n">
        <v>46313</v>
      </c>
      <c r="E12" s="46" t="n">
        <v>46356</v>
      </c>
      <c r="F12" s="32" t="n"/>
      <c r="G12" s="46" t="n"/>
      <c r="H12" s="32" t="n"/>
    </row>
    <row r="13" ht="15" customHeight="1" s="18">
      <c r="A13" s="32" t="n">
        <v>10</v>
      </c>
      <c r="B13" s="32" t="inlineStr">
        <is>
          <t>対象年度を2027年度とした（起案者ガイドの表紙）</t>
        </is>
      </c>
      <c r="C13" s="32" t="inlineStr">
        <is>
          <t>ポートフォリオ・IT投資チームの管理職</t>
        </is>
      </c>
      <c r="D13" s="46" t="n">
        <v>46313</v>
      </c>
      <c r="E13" s="46" t="n">
        <v>46356</v>
      </c>
      <c r="F13" s="32" t="n"/>
      <c r="G13" s="46" t="n"/>
      <c r="H13" s="32" t="n"/>
    </row>
    <row r="14" ht="15" customHeight="1" s="18">
      <c r="A14" s="32" t="n">
        <v>11</v>
      </c>
      <c r="B14" s="32" t="inlineStr">
        <is>
          <t>事務局は、必須の情報に不足のある案件を差し戻せるとした（運用基準 第9条）</t>
        </is>
      </c>
      <c r="C14" s="32" t="inlineStr">
        <is>
          <t>ポートフォリオ・IT投資チームの管理職</t>
        </is>
      </c>
      <c r="D14" s="46" t="n">
        <v>46313</v>
      </c>
      <c r="E14" s="46" t="n">
        <v>46356</v>
      </c>
      <c r="F14" s="32" t="n"/>
      <c r="G14" s="46" t="n"/>
      <c r="H14" s="32" t="n"/>
    </row>
    <row r="15" ht="15" customHeight="1" s="18">
      <c r="A15" s="32" t="n">
        <v>12</v>
      </c>
      <c r="B15" s="32" t="inlineStr">
        <is>
          <t>年次以外の時期の予算の追加を原則として認めないことを、運用基準の条にした（運用基準 第5条第3項）</t>
        </is>
      </c>
      <c r="C15" s="32" t="inlineStr">
        <is>
          <t>ポートフォリオ・IT投資チームの管理職</t>
        </is>
      </c>
      <c r="D15" s="46" t="n">
        <v>46313</v>
      </c>
      <c r="E15" s="46" t="n">
        <v>46356</v>
      </c>
      <c r="F15" s="32" t="n"/>
      <c r="G15" s="46" t="n"/>
      <c r="H15" s="32" t="n"/>
    </row>
    <row r="16" ht="15" customHeight="1" s="18">
      <c r="A16" s="32" t="n">
        <v>13</v>
      </c>
      <c r="B16" s="32" t="inlineStr">
        <is>
          <t>受付・付議先・決定を記録する「案件台帳」を事務局が持つとした（Runbook §3・§5）</t>
        </is>
      </c>
      <c r="C16" s="32" t="inlineStr">
        <is>
          <t>ポートフォリオ・IT投資チームの管理職</t>
        </is>
      </c>
      <c r="D16" s="46" t="n">
        <v>46313</v>
      </c>
      <c r="E16" s="46" t="n">
        <v>46356</v>
      </c>
      <c r="F16" s="32" t="n"/>
      <c r="G16" s="46" t="n"/>
      <c r="H16" s="32" t="n"/>
    </row>
    <row r="17" ht="15" customHeight="1" s="18">
      <c r="A17" s="32" t="n">
        <v>14</v>
      </c>
      <c r="B17" s="32" t="inlineStr">
        <is>
          <t>業務フロー定義のRACIの割り当て（業務フロー定義 p.10・p.11）</t>
        </is>
      </c>
      <c r="C17" s="32" t="inlineStr">
        <is>
          <t>ポートフォリオ・IT投資チームの管理職</t>
        </is>
      </c>
      <c r="D17" s="46" t="n">
        <v>46313</v>
      </c>
      <c r="E17" s="46" t="n">
        <v>46356</v>
      </c>
      <c r="F17" s="32" t="n"/>
      <c r="G17" s="46" t="n"/>
      <c r="H17" s="32" t="n"/>
    </row>
    <row r="18" ht="15" customHeight="1" s="18">
      <c r="A18" s="32" t="n">
        <v>15</v>
      </c>
      <c r="B18" s="32" t="inlineStr">
        <is>
          <t>運営状況の報告事項を、件数・区分ごとの件数・保留課題の件数とした（憲章 第11条）</t>
        </is>
      </c>
      <c r="C18" s="32" t="inlineStr">
        <is>
          <t>ポートフォリオ・IT投資チームの管理職</t>
        </is>
      </c>
      <c r="D18" s="46" t="n">
        <v>46313</v>
      </c>
      <c r="E18" s="46" t="n">
        <v>46356</v>
      </c>
      <c r="F18" s="32" t="n"/>
      <c r="G18" s="46" t="n"/>
      <c r="H18" s="32" t="n"/>
    </row>
    <row r="19" ht="15" customHeight="1" s="18">
      <c r="A19" s="32" t="n">
        <v>16</v>
      </c>
      <c r="B19" s="32" t="inlineStr">
        <is>
          <t>旧制度の用語との対応を、DIB→Tier1、ICTB→Tier2、Tier3は新設とした（用語集 §5）</t>
        </is>
      </c>
      <c r="C19" s="32" t="inlineStr">
        <is>
          <t>ポートフォリオ・IT投資チームの管理職</t>
        </is>
      </c>
      <c r="D19" s="46" t="n">
        <v>46313</v>
      </c>
      <c r="E19" s="46" t="n">
        <v>46356</v>
      </c>
      <c r="F19" s="32" t="n"/>
      <c r="G19" s="46" t="n"/>
      <c r="H19" s="32" t="n"/>
    </row>
    <row r="20" ht="15" customHeight="1" s="18">
      <c r="A20" s="32" t="n">
        <v>17</v>
      </c>
      <c r="B20" s="32" t="inlineStr">
        <is>
          <t>保留課題の担当を事務局の責任者に、確定期限を一律2026-11-30（案）にした（保留課題）</t>
        </is>
      </c>
      <c r="C20" s="32" t="inlineStr">
        <is>
          <t>ポートフォリオ・IT投資チームの管理職</t>
        </is>
      </c>
      <c r="D20" s="46" t="n">
        <v>46313</v>
      </c>
      <c r="E20" s="46" t="n">
        <v>46356</v>
      </c>
      <c r="F20" s="32" t="n"/>
      <c r="G20" s="46" t="n"/>
      <c r="H20" s="32" t="n"/>
    </row>
    <row r="21" ht="15" customHeight="1" s="18">
      <c r="A21" s="32" t="n">
        <v>18</v>
      </c>
      <c r="B21" s="32" t="inlineStr">
        <is>
          <t>承認会議（ローカル）に委ねた案件の実行計画は、承認会議（ローカル）が承認・否認を決め、結果を事務局に報告するとした（運用基準 第10条・第12条）</t>
        </is>
      </c>
      <c r="C21" s="32" t="inlineStr">
        <is>
          <t>ポートフォリオ・IT投資チームの管理職</t>
        </is>
      </c>
      <c r="D21" s="46" t="n">
        <v>46313</v>
      </c>
      <c r="E21" s="46" t="n">
        <v>46356</v>
      </c>
      <c r="F21" s="32" t="n"/>
      <c r="G21" s="46" t="n"/>
      <c r="H21" s="32" t="n"/>
    </row>
    <row r="22" ht="15" customHeight="1" s="18">
      <c r="A22" s="32" t="n">
        <v>19</v>
      </c>
      <c r="B22" s="32" t="inlineStr">
        <is>
          <t>決裁の振り分けは、実行計画の審議（定常のTier2）で行い、優先順位の審議では行わないとした（運用基準 第5条第2項）</t>
        </is>
      </c>
      <c r="C22" s="32" t="inlineStr">
        <is>
          <t>ポートフォリオ・IT投資チームの管理職</t>
        </is>
      </c>
      <c r="D22" s="46" t="n">
        <v>46313</v>
      </c>
      <c r="E22" s="46" t="n">
        <v>46356</v>
      </c>
      <c r="F22" s="32" t="n"/>
      <c r="G22" s="46" t="n"/>
      <c r="H22" s="32" t="n"/>
    </row>
    <row r="23" ht="15" customHeight="1" s="18">
      <c r="A23" s="32" t="n">
        <v>20</v>
      </c>
      <c r="B23" s="32" t="inlineStr">
        <is>
          <t>「Tier3の招集の要否」を「決裁の振り分け」に含めた（憲章 第7条・別表2）</t>
        </is>
      </c>
      <c r="C23" s="32" t="inlineStr">
        <is>
          <t>ポートフォリオ・IT投資チームの管理職</t>
        </is>
      </c>
      <c r="D23" s="46" t="n">
        <v>46313</v>
      </c>
      <c r="E23" s="46" t="n">
        <v>46356</v>
      </c>
      <c r="F23" s="32" t="n"/>
      <c r="G23" s="46" t="n"/>
      <c r="H23" s="32" t="n"/>
    </row>
    <row r="24" ht="15" customHeight="1" s="18">
      <c r="A24" s="32" t="n">
        <v>21</v>
      </c>
      <c r="B24" s="32" t="inlineStr">
        <is>
          <t>文書一式を、規範（何を定めるか）・プロセス（どう運用するか）・記録（何を残すか）の3層で説明し、フォルダ構成と文書番号はテンプレートのまま（rules／process／reference）とした（README）</t>
        </is>
      </c>
      <c r="C24" s="32" t="inlineStr">
        <is>
          <t>ポートフォリオ・IT投資チームの管理職</t>
        </is>
      </c>
      <c r="D24" s="46" t="n">
        <v>46313</v>
      </c>
      <c r="E24" s="46" t="n">
        <v>46356</v>
      </c>
      <c r="F24" s="32" t="n"/>
      <c r="G24" s="46" t="n"/>
      <c r="H24" s="32" t="n"/>
    </row>
    <row r="25" ht="15" customHeight="1" s="18">
      <c r="A25" s="32" t="n">
        <v>22</v>
      </c>
      <c r="B25" s="32" t="inlineStr">
        <is>
          <t>「審議議案の記録」を、Tier1・Tier2に付議した議題と審議資料の記録とし、案件台帳と同じ場所に置くとした（Runbook §5、用語集）</t>
        </is>
      </c>
      <c r="C25" s="32" t="inlineStr">
        <is>
          <t>ポートフォリオ・IT投資チームの管理職</t>
        </is>
      </c>
      <c r="D25" s="46" t="n">
        <v>46313</v>
      </c>
      <c r="E25" s="46" t="n">
        <v>46356</v>
      </c>
      <c r="F25" s="32" t="n"/>
      <c r="G25" s="46" t="n"/>
      <c r="H25" s="32" t="n"/>
    </row>
    <row r="26" ht="15" customHeight="1" s="18">
      <c r="A26" s="32" t="n">
        <v>23</v>
      </c>
      <c r="B26" s="32" t="inlineStr">
        <is>
          <t>承認会議（ローカル）を、起案者の所属部門にある既存の承認会議を指すものとし、新しい会議体としては置かないとした（運用基準 第5条第2項）</t>
        </is>
      </c>
      <c r="C26" s="32" t="inlineStr">
        <is>
          <t>ポートフォリオ・IT投資チームの管理職</t>
        </is>
      </c>
      <c r="D26" s="46" t="n">
        <v>46313</v>
      </c>
      <c r="E26" s="46" t="n">
        <v>46356</v>
      </c>
      <c r="F26" s="32" t="n"/>
      <c r="G26" s="46" t="n"/>
      <c r="H26" s="32" t="n"/>
    </row>
    <row r="27" ht="15" customHeight="1" s="18">
      <c r="A27" s="32" t="n">
        <v>24</v>
      </c>
      <c r="B27" s="32" t="inlineStr">
        <is>
          <t>実行計画の作成で、起案者と共同で作成する者を「IT部門の担当者」とした（憲章 第5条、用語集）</t>
        </is>
      </c>
      <c r="C27" s="32" t="inlineStr">
        <is>
          <t>ポートフォリオ・IT投資チームの管理職</t>
        </is>
      </c>
      <c r="D27" s="46" t="n">
        <v>46313</v>
      </c>
      <c r="E27" s="46" t="n">
        <v>46356</v>
      </c>
      <c r="F27" s="32" t="n"/>
      <c r="G27" s="46" t="n"/>
      <c r="H27"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17" min="1" max="1"/>
    <col width="16" customWidth="1" style="17" min="2" max="2"/>
    <col width="10" customWidth="1" style="17" min="3" max="3"/>
  </cols>
  <sheetData>
    <row r="1" ht="17.35" customHeight="1" s="18">
      <c r="A1" s="42" t="inlineStr">
        <is>
          <t>集計（自動）</t>
        </is>
      </c>
      <c r="B1" s="35" t="n"/>
      <c r="C1" s="35" t="n"/>
    </row>
    <row r="2">
      <c r="A2" s="35" t="n"/>
      <c r="B2" s="35" t="n"/>
      <c r="C2" s="35" t="n"/>
    </row>
    <row r="3" ht="15" customHeight="1" s="18">
      <c r="A3" s="43" t="inlineStr">
        <is>
          <t>区分</t>
        </is>
      </c>
      <c r="B3" s="43" t="inlineStr">
        <is>
          <t>状態</t>
        </is>
      </c>
      <c r="C3" s="43" t="inlineStr">
        <is>
          <t>件数</t>
        </is>
      </c>
    </row>
    <row r="4" ht="15" customHeight="1" s="18">
      <c r="A4" s="48" t="inlineStr">
        <is>
          <t>保留課題</t>
        </is>
      </c>
      <c r="B4" s="48" t="inlineStr">
        <is>
          <t>未着手</t>
        </is>
      </c>
      <c r="C4" s="48">
        <f>COUNTIFS(保留課題!G4:G300,"未着手",保留課題!A4:A300,"&lt;&gt;記入例")</f>
        <v/>
      </c>
    </row>
    <row r="5" ht="15" customHeight="1" s="18">
      <c r="A5" s="48" t="inlineStr">
        <is>
          <t>保留課題</t>
        </is>
      </c>
      <c r="B5" s="48" t="inlineStr">
        <is>
          <t>調整中</t>
        </is>
      </c>
      <c r="C5" s="48">
        <f>COUNTIFS(保留課題!G4:G300,"調整中",保留課題!A4:A300,"&lt;&gt;記入例")</f>
        <v/>
      </c>
    </row>
    <row r="6" ht="15" customHeight="1" s="18">
      <c r="A6" s="48" t="inlineStr">
        <is>
          <t>保留課題</t>
        </is>
      </c>
      <c r="B6" s="48" t="inlineStr">
        <is>
          <t>確定</t>
        </is>
      </c>
      <c r="C6" s="48">
        <f>COUNTIFS(保留課題!G4:G300,"確定",保留課題!A4:A300,"&lt;&gt;記入例")</f>
        <v/>
      </c>
    </row>
    <row r="7" ht="15" customHeight="1" s="18">
      <c r="A7" s="48" t="inlineStr">
        <is>
          <t>保留課題</t>
        </is>
      </c>
      <c r="B7" s="48" t="inlineStr">
        <is>
          <t>取り下げ</t>
        </is>
      </c>
      <c r="C7" s="48">
        <f>COUNTIFS(保留課題!G4:G300,"取り下げ",保留課題!A4:A300,"&lt;&gt;記入例")</f>
        <v/>
      </c>
    </row>
    <row r="8" ht="15" customHeight="1" s="18">
      <c r="A8" s="48" t="inlineStr">
        <is>
          <t>保留課題</t>
        </is>
      </c>
      <c r="B8" s="48" t="inlineStr">
        <is>
          <t>期限超過</t>
        </is>
      </c>
      <c r="C8" s="48">
        <f>SUMPRODUCT((保留課題!A4:A300&lt;&gt;"記入例")*ISNUMBER(保留課題!E4:E300)*(保留課題!E4:E300&lt;TODAY())*(保留課題!G4:G300&lt;&gt;"確定")*(保留課題!G4:G300&lt;&gt;"取り下げ"))</f>
        <v/>
      </c>
    </row>
    <row r="9" ht="15" customHeight="1" s="18">
      <c r="A9" s="48" t="inlineStr">
        <is>
          <t>決定事項</t>
        </is>
      </c>
      <c r="B9" s="48" t="inlineStr">
        <is>
          <t>登録件数</t>
        </is>
      </c>
      <c r="C9" s="48">
        <f>COUNTIFS(決定事項!E4:E300,"&lt;&gt;",決定事項!A4:A300,"&lt;&gt;記入例")</f>
        <v/>
      </c>
    </row>
    <row r="10" ht="15" customHeight="1" s="18">
      <c r="A10" s="48" t="inlineStr">
        <is>
          <t>確認依頼</t>
        </is>
      </c>
      <c r="B10" s="48" t="inlineStr">
        <is>
          <t>未回答</t>
        </is>
      </c>
      <c r="C10" s="48">
        <f>COUNTIFS(確認依頼!B4:B300,"&lt;&gt;",確認依頼!F4:F300,"",確認依頼!A4:A300,"&lt;&gt;記入例")</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17" min="1" max="1"/>
    <col width="14" customWidth="1" style="17" min="2" max="2"/>
    <col width="60" customWidth="1" style="17" min="3" max="3"/>
    <col width="16" customWidth="1" style="17" min="4" max="5"/>
  </cols>
  <sheetData>
    <row r="1" ht="17.35" customHeight="1" s="18">
      <c r="A1" s="42" t="inlineStr">
        <is>
          <t>改訂履歴</t>
        </is>
      </c>
      <c r="B1" s="35" t="n"/>
      <c r="C1" s="35" t="n"/>
      <c r="D1" s="35" t="n"/>
      <c r="E1" s="35" t="n"/>
    </row>
    <row r="2">
      <c r="A2" s="35" t="n"/>
      <c r="B2" s="35" t="n"/>
      <c r="C2" s="35" t="n"/>
      <c r="D2" s="35" t="n"/>
      <c r="E2" s="35" t="n"/>
    </row>
    <row r="3" ht="15" customHeight="1" s="18">
      <c r="A3" s="43" t="inlineStr">
        <is>
          <t>版</t>
        </is>
      </c>
      <c r="B3" s="43" t="inlineStr">
        <is>
          <t>日付</t>
        </is>
      </c>
      <c r="C3" s="43" t="inlineStr">
        <is>
          <t>改訂内容</t>
        </is>
      </c>
      <c r="D3" s="43" t="inlineStr">
        <is>
          <t>改訂者</t>
        </is>
      </c>
      <c r="E3" s="43" t="inlineStr">
        <is>
          <t>承認者</t>
        </is>
      </c>
    </row>
    <row r="4" ht="15" customHeight="1" s="18">
      <c r="A4" s="32" t="inlineStr">
        <is>
          <t>1.0</t>
        </is>
      </c>
      <c r="B4" s="46" t="n">
        <v>46313</v>
      </c>
      <c r="C4" s="49" t="inlineStr">
        <is>
          <t>制定（初期セットの作成）</t>
        </is>
      </c>
      <c r="D4" s="32" t="inlineStr">
        <is>
          <t>IT投資委員会事務局</t>
        </is>
      </c>
      <c r="E4" s="32" t="inlineStr"/>
    </row>
    <row r="5" ht="15" customHeight="1" s="18">
      <c r="A5" s="32" t="n"/>
      <c r="B5" s="32" t="n"/>
      <c r="C5" s="32" t="n"/>
      <c r="D5" s="32" t="n"/>
      <c r="E5" s="32" t="n"/>
    </row>
    <row r="6" ht="15" customHeight="1" s="18">
      <c r="A6" s="32" t="n"/>
      <c r="B6" s="32" t="n"/>
      <c r="C6" s="32" t="n"/>
      <c r="D6" s="32" t="n"/>
      <c r="E6" s="32" t="n"/>
    </row>
    <row r="7" ht="15" customHeight="1" s="18">
      <c r="A7" s="32" t="n"/>
      <c r="B7" s="32" t="n"/>
      <c r="C7" s="32" t="n"/>
      <c r="D7" s="32" t="n"/>
      <c r="E7" s="32" t="n"/>
    </row>
    <row r="8" ht="15" customHeight="1" s="18">
      <c r="A8" s="32" t="n"/>
      <c r="B8" s="32" t="n"/>
      <c r="C8" s="32" t="n"/>
      <c r="D8" s="32" t="n"/>
      <c r="E8" s="32" t="n"/>
    </row>
    <row r="9" ht="15" customHeight="1" s="18">
      <c r="A9" s="32" t="n"/>
      <c r="B9" s="32" t="n"/>
      <c r="C9" s="32" t="n"/>
      <c r="D9" s="32" t="n"/>
      <c r="E9" s="32"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2026-09-29T22:34:21Z</dcterms:created>
  <dcterms:modified xmlns:dcterms="http://purl.org/dc/terms/" xmlns:xsi="http://www.w3.org/2001/XMLSchema-instance" xsi:type="dcterms:W3CDTF">2026-10-18T11:39:13Z</dcterms:modified>
  <cp:revision>0</cp:revision>
</cp:coreProperties>
</file>