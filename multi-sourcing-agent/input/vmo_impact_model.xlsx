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計算" sheetId="2" state="visible" r:id="rId4"/>
    <sheet name="投資評価" sheetId="3" state="visible" r:id="rId5"/>
    <sheet name="キャパシティ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<sst xmlns="http://schemas.openxmlformats.org/spreadsheetml/2006/main" count="125" uniqueCount="113">
  <si>
    <t xml:space="preserve">競争見積もり施策 インパクト試算モデル ― 前提条件</t>
  </si>
  <si>
    <r>
      <rPr>
        <sz val="9"/>
        <color rgb="FF666666"/>
        <rFont val="Noto Sans CJK SC"/>
        <family val="2"/>
        <charset val="1"/>
      </rPr>
      <t xml:space="preserve">青字セルが変更可能なパラメータ。黄色は合意対象の仮説値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合意相手を明記</t>
    </r>
    <r>
      <rPr>
        <sz val="9"/>
        <color rgb="FF666666"/>
        <rFont val="Noto Sans"/>
        <family val="0"/>
        <charset val="1"/>
      </rPr>
      <t xml:space="preserve">)</t>
    </r>
    <r>
      <rPr>
        <sz val="9"/>
        <color rgb="FF666666"/>
        <rFont val="Noto Sans CJK SC"/>
        <family val="2"/>
        <charset val="1"/>
      </rPr>
      <t xml:space="preserve">。金額単位</t>
    </r>
    <r>
      <rPr>
        <sz val="9"/>
        <color rgb="FF666666"/>
        <rFont val="Noto Sans"/>
        <family val="0"/>
        <charset val="1"/>
      </rPr>
      <t xml:space="preserve">: </t>
    </r>
    <r>
      <rPr>
        <sz val="9"/>
        <color rgb="FF666666"/>
        <rFont val="Noto Sans CJK SC"/>
        <family val="2"/>
        <charset val="1"/>
      </rPr>
      <t xml:space="preserve">百万円</t>
    </r>
  </si>
  <si>
    <t xml:space="preserve">全社パラメータ</t>
  </si>
  <si>
    <r>
      <rPr>
        <sz val="10"/>
        <color rgb="FF000000"/>
        <rFont val="Noto Sans CJK SC"/>
        <family val="2"/>
        <charset val="1"/>
      </rPr>
      <t xml:space="preserve">年間</t>
    </r>
    <r>
      <rPr>
        <sz val="10"/>
        <color rgb="FF000000"/>
        <rFont val="Noto Sans"/>
        <family val="0"/>
        <charset val="1"/>
      </rPr>
      <t xml:space="preserve">IT</t>
    </r>
    <r>
      <rPr>
        <sz val="10"/>
        <color rgb="FF000000"/>
        <rFont val="Noto Sans CJK SC"/>
        <family val="2"/>
        <charset val="1"/>
      </rPr>
      <t xml:space="preserve">支出 </t>
    </r>
    <r>
      <rPr>
        <sz val="10"/>
        <color rgb="FF000000"/>
        <rFont val="Noto Sans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百万円</t>
    </r>
    <r>
      <rPr>
        <sz val="10"/>
        <color rgb="FF000000"/>
        <rFont val="Noto Sans"/>
        <family val="0"/>
        <charset val="1"/>
      </rPr>
      <t xml:space="preserve">)</t>
    </r>
  </si>
  <si>
    <r>
      <rPr>
        <sz val="9"/>
        <color rgb="FF666666"/>
        <rFont val="Noto Sans CJK SC"/>
        <family val="2"/>
        <charset val="1"/>
      </rPr>
      <t xml:space="preserve">事実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財務データ</t>
    </r>
    <r>
      <rPr>
        <sz val="9"/>
        <color rgb="FF666666"/>
        <rFont val="Noto Sans"/>
        <family val="0"/>
        <charset val="1"/>
      </rPr>
      <t xml:space="preserve">)</t>
    </r>
  </si>
  <si>
    <t xml:space="preserve">随意契約比率</t>
  </si>
  <si>
    <r>
      <rPr>
        <sz val="9"/>
        <color rgb="FF666666"/>
        <rFont val="Noto Sans CJK SC"/>
        <family val="2"/>
        <charset val="1"/>
      </rPr>
      <t xml:space="preserve">事実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契約マスタ</t>
    </r>
    <r>
      <rPr>
        <sz val="9"/>
        <color rgb="FF666666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</si>
  <si>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WACC (</t>
    </r>
    <r>
      <rPr>
        <sz val="10"/>
        <color rgb="FF000000"/>
        <rFont val="Noto Sans CJK SC"/>
        <family val="2"/>
        <charset val="1"/>
      </rPr>
      <t xml:space="preserve">割引率</t>
    </r>
    <r>
      <rPr>
        <sz val="10"/>
        <color rgb="FF000000"/>
        <rFont val="Arial"/>
        <family val="0"/>
        <charset val="1"/>
      </rPr>
      <t xml:space="preserve">)</t>
    </r>
  </si>
  <si>
    <t xml:space="preserve">財務部門の標準値</t>
  </si>
  <si>
    <r>
      <rPr>
        <sz val="10"/>
        <color rgb="FF000000"/>
        <rFont val="Noto Sans CJK SC"/>
        <family val="2"/>
        <charset val="1"/>
      </rPr>
      <t xml:space="preserve">評価期間 </t>
    </r>
    <r>
      <rPr>
        <sz val="10"/>
        <color rgb="FF000000"/>
        <rFont val="Noto Sans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年</t>
    </r>
    <r>
      <rPr>
        <sz val="10"/>
        <color rgb="FF000000"/>
        <rFont val="Noto Sans"/>
        <family val="0"/>
        <charset val="1"/>
      </rPr>
      <t xml:space="preserve">)</t>
    </r>
  </si>
  <si>
    <t xml:space="preserve">経営合意事項</t>
  </si>
  <si>
    <t xml:space="preserve">投資・コストパラメータ</t>
  </si>
  <si>
    <r>
      <rPr>
        <sz val="10"/>
        <color rgb="FF000000"/>
        <rFont val="Noto Sans CJK SC"/>
        <family val="2"/>
        <charset val="1"/>
      </rPr>
      <t xml:space="preserve">準備費用 </t>
    </r>
    <r>
      <rPr>
        <sz val="10"/>
        <color rgb="FF000000"/>
        <rFont val="Noto Sans"/>
        <family val="0"/>
        <charset val="1"/>
      </rPr>
      <t xml:space="preserve">(Y0</t>
    </r>
    <r>
      <rPr>
        <sz val="10"/>
        <color rgb="FF000000"/>
        <rFont val="Noto Sans CJK SC"/>
        <family val="2"/>
        <charset val="1"/>
      </rPr>
      <t xml:space="preserve">前・今回承認対象</t>
    </r>
    <r>
      <rPr>
        <sz val="10"/>
        <color rgb="FF000000"/>
        <rFont val="Noto Sans"/>
        <family val="0"/>
        <charset val="1"/>
      </rPr>
      <t xml:space="preserve">)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</si>
  <si>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 ※今回の承認対象</t>
    </r>
  </si>
  <si>
    <r>
      <rPr>
        <sz val="10"/>
        <color rgb="FF000000"/>
        <rFont val="Arial"/>
        <family val="0"/>
        <charset val="1"/>
      </rPr>
      <t xml:space="preserve">VMO</t>
    </r>
    <r>
      <rPr>
        <sz val="10"/>
        <color rgb="FF000000"/>
        <rFont val="Noto Sans CJK SC"/>
        <family val="2"/>
        <charset val="1"/>
      </rPr>
      <t xml:space="preserve">立ち上げ初期投資 </t>
    </r>
    <r>
      <rPr>
        <sz val="10"/>
        <color rgb="FF000000"/>
        <rFont val="Arial"/>
        <family val="0"/>
        <charset val="1"/>
      </rPr>
      <t xml:space="preserve">(Y0)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</si>
  <si>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体制</t>
    </r>
    <r>
      <rPr>
        <sz val="9"/>
        <color rgb="FF666666"/>
        <rFont val="Noto Sans"/>
        <family val="0"/>
        <charset val="1"/>
      </rPr>
      <t xml:space="preserve">/</t>
    </r>
    <r>
      <rPr>
        <sz val="9"/>
        <color rgb="FF666666"/>
        <rFont val="Noto Sans CJK SC"/>
        <family val="2"/>
        <charset val="1"/>
      </rPr>
      <t xml:space="preserve">プロセス</t>
    </r>
    <r>
      <rPr>
        <sz val="9"/>
        <color rgb="FF666666"/>
        <rFont val="Noto Sans"/>
        <family val="0"/>
        <charset val="1"/>
      </rPr>
      <t xml:space="preserve">/</t>
    </r>
    <r>
      <rPr>
        <sz val="9"/>
        <color rgb="FF666666"/>
        <rFont val="Noto Sans CJK SC"/>
        <family val="2"/>
        <charset val="1"/>
      </rPr>
      <t xml:space="preserve">ツール整備</t>
    </r>
    <r>
      <rPr>
        <sz val="9"/>
        <color rgb="FF666666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</si>
  <si>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VMO</t>
    </r>
    <r>
      <rPr>
        <sz val="10"/>
        <color rgb="FF000000"/>
        <rFont val="Noto Sans CJK SC"/>
        <family val="2"/>
        <charset val="1"/>
      </rPr>
      <t xml:space="preserve">運営費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年間・人件費等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</si>
  <si>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専任体制の固定費</t>
    </r>
    <r>
      <rPr>
        <sz val="9"/>
        <color rgb="FF666666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</si>
  <si>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RFP</t>
    </r>
    <r>
      <rPr>
        <sz val="10"/>
        <color rgb="FF000000"/>
        <rFont val="Noto Sans CJK SC"/>
        <family val="2"/>
        <charset val="1"/>
      </rPr>
      <t xml:space="preserve">実行コスト </t>
    </r>
    <r>
      <rPr>
        <sz val="10"/>
        <color rgb="FF000000"/>
        <rFont val="Arial"/>
        <family val="0"/>
        <charset val="1"/>
      </rPr>
      <t xml:space="preserve">Y1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</si>
  <si>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案件変動費・初年度</t>
    </r>
    <r>
      <rPr>
        <sz val="9"/>
        <color rgb="FF666666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</si>
  <si>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RFP</t>
    </r>
    <r>
      <rPr>
        <sz val="10"/>
        <color rgb="FF000000"/>
        <rFont val="Noto Sans CJK SC"/>
        <family val="2"/>
        <charset val="1"/>
      </rPr>
      <t xml:space="preserve">実行コスト </t>
    </r>
    <r>
      <rPr>
        <sz val="10"/>
        <color rgb="FF000000"/>
        <rFont val="Arial"/>
        <family val="0"/>
        <charset val="1"/>
      </rPr>
      <t xml:space="preserve">Y2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</si>
  <si>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標準化により逓減</t>
    </r>
    <r>
      <rPr>
        <sz val="9"/>
        <color rgb="FF666666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</si>
  <si>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RFP</t>
    </r>
    <r>
      <rPr>
        <sz val="10"/>
        <color rgb="FF000000"/>
        <rFont val="Noto Sans CJK SC"/>
        <family val="2"/>
        <charset val="1"/>
      </rPr>
      <t xml:space="preserve">実行コスト </t>
    </r>
    <r>
      <rPr>
        <sz val="10"/>
        <color rgb="FF000000"/>
        <rFont val="Arial"/>
        <family val="0"/>
        <charset val="1"/>
      </rPr>
      <t xml:space="preserve">Y3</t>
    </r>
  </si>
  <si>
    <r>
      <rPr>
        <sz val="9"/>
        <color rgb="FF666666"/>
        <rFont val="Noto Sans CJK SC"/>
        <family val="2"/>
        <charset val="1"/>
      </rPr>
      <t xml:space="preserve">仮説値</t>
    </r>
    <r>
      <rPr>
        <sz val="9"/>
        <color rgb="FF666666"/>
        <rFont val="Noto Sans"/>
        <family val="0"/>
        <charset val="1"/>
      </rPr>
      <t xml:space="preserve">: VMO</t>
    </r>
    <r>
      <rPr>
        <sz val="9"/>
        <color rgb="FF666666"/>
        <rFont val="Noto Sans CJK SC"/>
        <family val="2"/>
        <charset val="1"/>
      </rPr>
      <t xml:space="preserve">見積</t>
    </r>
  </si>
  <si>
    <t xml:space="preserve">カテゴリ別パラメータ</t>
  </si>
  <si>
    <t xml:space="preserve">カテゴリ</t>
  </si>
  <si>
    <t xml:space="preserve">支出比率</t>
  </si>
  <si>
    <r>
      <rPr>
        <b val="true"/>
        <sz val="10"/>
        <color rgb="FFFFFFFF"/>
        <rFont val="Noto Sans CJK SC"/>
        <family val="2"/>
        <charset val="1"/>
      </rPr>
      <t xml:space="preserve">競争可能割合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現場と合意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</si>
  <si>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削減率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保守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調達と合意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</si>
  <si>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削減率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中位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調達と合意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</si>
  <si>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削減率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楽観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調達と合意</t>
    </r>
    <r>
      <rPr>
        <b val="true"/>
        <sz val="10"/>
        <color rgb="FFFFFFFF"/>
        <rFont val="Noto Sans"/>
        <family val="0"/>
        <charset val="1"/>
      </rPr>
      <t xml:space="preserve">)</t>
    </r>
  </si>
  <si>
    <t xml:space="preserve">平均契約年数</t>
  </si>
  <si>
    <t xml:space="preserve">既存システム保守運用費</t>
  </si>
  <si>
    <t xml:space="preserve">システム構築・導入費</t>
  </si>
  <si>
    <t xml:space="preserve">ソフトウェアライセンス費</t>
  </si>
  <si>
    <t xml:space="preserve">クラウド利用料</t>
  </si>
  <si>
    <t xml:space="preserve">ネットワーク機器・回線</t>
  </si>
  <si>
    <r>
      <rPr>
        <sz val="10"/>
        <color rgb="FF000000"/>
        <rFont val="Arial"/>
        <family val="0"/>
        <charset val="1"/>
      </rPr>
      <t xml:space="preserve">EUC(PC/</t>
    </r>
    <r>
      <rPr>
        <sz val="10"/>
        <color rgb="FF000000"/>
        <rFont val="Noto Sans CJK SC"/>
        <family val="2"/>
        <charset val="1"/>
      </rPr>
      <t xml:space="preserve">スマホ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  <charset val="1"/>
      </rPr>
      <t xml:space="preserve">レンタル</t>
    </r>
  </si>
  <si>
    <r>
      <rPr>
        <b val="true"/>
        <sz val="10"/>
        <color theme="1"/>
        <rFont val="Noto Sans CJK SC"/>
        <family val="2"/>
        <charset val="1"/>
      </rPr>
      <t xml:space="preserve">合計</t>
    </r>
    <r>
      <rPr>
        <b val="true"/>
        <sz val="10"/>
        <color theme="1"/>
        <rFont val="Noto Sans"/>
        <family val="0"/>
        <charset val="1"/>
      </rPr>
      <t xml:space="preserve">(</t>
    </r>
    <r>
      <rPr>
        <b val="true"/>
        <sz val="10"/>
        <color theme="1"/>
        <rFont val="Noto Sans CJK SC"/>
        <family val="2"/>
        <charset val="1"/>
      </rPr>
      <t xml:space="preserve">支出比率</t>
    </r>
    <r>
      <rPr>
        <b val="true"/>
        <sz val="10"/>
        <color theme="1"/>
        <rFont val="Noto Sans"/>
        <family val="0"/>
        <charset val="1"/>
      </rPr>
      <t xml:space="preserve">=100%</t>
    </r>
    <r>
      <rPr>
        <b val="true"/>
        <sz val="10"/>
        <color theme="1"/>
        <rFont val="Noto Sans CJK SC"/>
        <family val="2"/>
        <charset val="1"/>
      </rPr>
      <t xml:space="preserve">確認</t>
    </r>
    <r>
      <rPr>
        <b val="true"/>
        <sz val="10"/>
        <color theme="1"/>
        <rFont val="Noto Sans"/>
        <family val="0"/>
        <charset val="1"/>
      </rPr>
      <t xml:space="preserve">)</t>
    </r>
  </si>
  <si>
    <r>
      <rPr>
        <sz val="9"/>
        <color rgb="FF666666"/>
        <rFont val="Noto Sans CJK SC"/>
        <family val="2"/>
        <charset val="1"/>
      </rPr>
      <t xml:space="preserve">合意相手の整理</t>
    </r>
    <r>
      <rPr>
        <sz val="9"/>
        <color rgb="FF666666"/>
        <rFont val="Noto Sans"/>
        <family val="0"/>
        <charset val="1"/>
      </rPr>
      <t xml:space="preserve">: </t>
    </r>
    <r>
      <rPr>
        <sz val="9"/>
        <color rgb="FF666666"/>
        <rFont val="Noto Sans CJK SC"/>
        <family val="2"/>
        <charset val="1"/>
      </rPr>
      <t xml:space="preserve">競争可能割合</t>
    </r>
    <r>
      <rPr>
        <sz val="9"/>
        <color rgb="FF666666"/>
        <rFont val="Noto Sans"/>
        <family val="0"/>
        <charset val="1"/>
      </rPr>
      <t xml:space="preserve">=</t>
    </r>
    <r>
      <rPr>
        <sz val="9"/>
        <color rgb="FF666666"/>
        <rFont val="Noto Sans CJK SC"/>
        <family val="2"/>
        <charset val="1"/>
      </rPr>
      <t xml:space="preserve">現場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除外条件の類型判定</t>
    </r>
    <r>
      <rPr>
        <sz val="9"/>
        <color rgb="FF666666"/>
        <rFont val="Noto Sans"/>
        <family val="0"/>
        <charset val="1"/>
      </rPr>
      <t xml:space="preserve">) / </t>
    </r>
    <r>
      <rPr>
        <sz val="9"/>
        <color rgb="FF666666"/>
        <rFont val="Noto Sans CJK SC"/>
        <family val="2"/>
        <charset val="1"/>
      </rPr>
      <t xml:space="preserve">削減率レンジ</t>
    </r>
    <r>
      <rPr>
        <sz val="9"/>
        <color rgb="FF666666"/>
        <rFont val="Noto Sans"/>
        <family val="0"/>
        <charset val="1"/>
      </rPr>
      <t xml:space="preserve">=</t>
    </r>
    <r>
      <rPr>
        <sz val="9"/>
        <color rgb="FF666666"/>
        <rFont val="Noto Sans CJK SC"/>
        <family val="2"/>
        <charset val="1"/>
      </rPr>
      <t xml:space="preserve">調達・購買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市場相場</t>
    </r>
    <r>
      <rPr>
        <sz val="9"/>
        <color rgb="FF666666"/>
        <rFont val="Noto Sans"/>
        <family val="0"/>
        <charset val="1"/>
      </rPr>
      <t xml:space="preserve">/</t>
    </r>
    <r>
      <rPr>
        <sz val="9"/>
        <color rgb="FF666666"/>
        <rFont val="Noto Sans CJK SC"/>
        <family val="2"/>
        <charset val="1"/>
      </rPr>
      <t xml:space="preserve">入札実績</t>
    </r>
    <r>
      <rPr>
        <sz val="9"/>
        <color rgb="FF666666"/>
        <rFont val="Noto Sans"/>
        <family val="0"/>
        <charset val="1"/>
      </rPr>
      <t xml:space="preserve">) / </t>
    </r>
    <r>
      <rPr>
        <sz val="9"/>
        <color rgb="FF666666"/>
        <rFont val="Noto Sans CJK SC"/>
        <family val="2"/>
        <charset val="1"/>
      </rPr>
      <t xml:space="preserve">投資・コスト</t>
    </r>
    <r>
      <rPr>
        <sz val="9"/>
        <color rgb="FF666666"/>
        <rFont val="Noto Sans"/>
        <family val="0"/>
        <charset val="1"/>
      </rPr>
      <t xml:space="preserve">=VMO</t>
    </r>
    <r>
      <rPr>
        <sz val="9"/>
        <color rgb="FF666666"/>
        <rFont val="Noto Sans CJK SC"/>
        <family val="2"/>
        <charset val="1"/>
      </rPr>
      <t xml:space="preserve">自身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保守的に厚めに設定</t>
    </r>
    <r>
      <rPr>
        <sz val="9"/>
        <color rgb="FF666666"/>
        <rFont val="Noto Sans"/>
        <family val="0"/>
        <charset val="1"/>
      </rPr>
      <t xml:space="preserve">)</t>
    </r>
  </si>
  <si>
    <t xml:space="preserve">計算シート ― 事実→仮説の段階計算と年次立ち上がり</t>
  </si>
  <si>
    <t xml:space="preserve">支出額</t>
  </si>
  <si>
    <r>
      <rPr>
        <b val="true"/>
        <sz val="10"/>
        <color rgb="FFFFFFFF"/>
        <rFont val="Noto Sans CJK SC"/>
        <family val="2"/>
        <charset val="1"/>
      </rPr>
      <t xml:space="preserve">随意契約額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事実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</si>
  <si>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競争対象額
</t>
    </r>
    <r>
      <rPr>
        <b val="true"/>
        <sz val="10"/>
        <color rgb="FFFFFFFF"/>
        <rFont val="Noto Sans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  <charset val="1"/>
      </rPr>
      <t xml:space="preserve">合意割合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</si>
  <si>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年間削減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保守</t>
    </r>
  </si>
  <si>
    <r>
      <rPr>
        <b val="true"/>
        <sz val="10"/>
        <color rgb="FFFFFFFF"/>
        <rFont val="Noto Sans CJK SC"/>
        <family val="2"/>
        <charset val="1"/>
      </rPr>
      <t xml:space="preserve">年間削減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中位</t>
    </r>
  </si>
  <si>
    <r>
      <rPr>
        <b val="true"/>
        <sz val="10"/>
        <color rgb="FFFFFFFF"/>
        <rFont val="Noto Sans CJK SC"/>
        <family val="2"/>
        <charset val="1"/>
      </rPr>
      <t xml:space="preserve">年間削減</t>
    </r>
    <r>
      <rPr>
        <b val="true"/>
        <sz val="10"/>
        <color rgb="FFFFFFFF"/>
        <rFont val="Noto Sans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  <charset val="1"/>
      </rPr>
      <t xml:space="preserve">楽観</t>
    </r>
  </si>
  <si>
    <r>
      <rPr>
        <b val="true"/>
        <sz val="10"/>
        <color rgb="FFFFFFFF"/>
        <rFont val="Noto Sans CJK SC"/>
        <family val="2"/>
        <charset val="1"/>
      </rPr>
      <t xml:space="preserve">グロス削減</t>
    </r>
    <r>
      <rPr>
        <b val="true"/>
        <sz val="10"/>
        <color rgb="FFFFFFFF"/>
        <rFont val="Noto Sans"/>
        <family val="0"/>
        <charset val="1"/>
      </rPr>
      <t xml:space="preserve">Y1
(</t>
    </r>
    <r>
      <rPr>
        <b val="true"/>
        <sz val="10"/>
        <color rgb="FFFFFFFF"/>
        <rFont val="Noto Sans CJK SC"/>
        <family val="2"/>
        <charset val="1"/>
      </rPr>
      <t xml:space="preserve">中位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</si>
  <si>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グロス削減</t>
    </r>
    <r>
      <rPr>
        <b val="true"/>
        <sz val="10"/>
        <color rgb="FFFFFFFF"/>
        <rFont val="Noto Sans"/>
        <family val="0"/>
        <charset val="1"/>
      </rPr>
      <t xml:space="preserve">Y2
(</t>
    </r>
    <r>
      <rPr>
        <b val="true"/>
        <sz val="10"/>
        <color rgb="FFFFFFFF"/>
        <rFont val="Noto Sans CJK SC"/>
        <family val="2"/>
        <charset val="1"/>
      </rPr>
      <t xml:space="preserve">中位</t>
    </r>
    <r>
      <rPr>
        <b val="true"/>
        <sz val="10"/>
        <color rgb="FFFFFFFF"/>
        <rFont val="Noto Sans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</si>
  <si>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グロス削減</t>
    </r>
    <r>
      <rPr>
        <b val="true"/>
        <sz val="10"/>
        <color rgb="FFFFFFFF"/>
        <rFont val="Noto Sans"/>
        <family val="0"/>
        <charset val="1"/>
      </rPr>
      <t xml:space="preserve">Y3
(</t>
    </r>
    <r>
      <rPr>
        <b val="true"/>
        <sz val="10"/>
        <color rgb="FFFFFFFF"/>
        <rFont val="Noto Sans CJK SC"/>
        <family val="2"/>
        <charset val="1"/>
      </rPr>
      <t xml:space="preserve">中位</t>
    </r>
    <r>
      <rPr>
        <b val="true"/>
        <sz val="10"/>
        <color rgb="FFFFFFFF"/>
        <rFont val="Noto Sans"/>
        <family val="0"/>
        <charset val="1"/>
      </rPr>
      <t xml:space="preserve">)</t>
    </r>
  </si>
  <si>
    <t xml:space="preserve">合計</t>
  </si>
  <si>
    <r>
      <rPr>
        <sz val="9"/>
        <color rgb="FF666666"/>
        <rFont val="Noto Sans CJK SC"/>
        <family val="2"/>
        <charset val="1"/>
      </rPr>
      <t xml:space="preserve">※グロス削減の年次立ち上がりは「契約更新の到来に沿って </t>
    </r>
    <r>
      <rPr>
        <sz val="9"/>
        <color rgb="FF666666"/>
        <rFont val="Noto Sans"/>
        <family val="0"/>
        <charset val="1"/>
      </rPr>
      <t xml:space="preserve">min(</t>
    </r>
    <r>
      <rPr>
        <sz val="9"/>
        <color rgb="FF666666"/>
        <rFont val="Noto Sans CJK SC"/>
        <family val="2"/>
        <charset val="1"/>
      </rPr>
      <t xml:space="preserve">経過年</t>
    </r>
    <r>
      <rPr>
        <sz val="9"/>
        <color rgb="FF666666"/>
        <rFont val="Noto Sans"/>
        <family val="0"/>
        <charset val="1"/>
      </rPr>
      <t xml:space="preserve">/</t>
    </r>
    <r>
      <rPr>
        <sz val="9"/>
        <color rgb="FF666666"/>
        <rFont val="Noto Sans CJK SC"/>
        <family val="2"/>
        <charset val="1"/>
      </rPr>
      <t xml:space="preserve">平均契約年数</t>
    </r>
    <r>
      <rPr>
        <sz val="9"/>
        <color rgb="FF666666"/>
        <rFont val="Noto Sans"/>
        <family val="0"/>
        <charset val="1"/>
      </rPr>
      <t xml:space="preserve">, 1) </t>
    </r>
    <r>
      <rPr>
        <sz val="9"/>
        <color rgb="FF666666"/>
        <rFont val="Noto Sans CJK SC"/>
        <family val="2"/>
        <charset val="1"/>
      </rPr>
      <t xml:space="preserve">の割合で効果が積み上がる」近似。実データ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契約単位の更新月</t>
    </r>
    <r>
      <rPr>
        <sz val="9"/>
        <color rgb="FF666666"/>
        <rFont val="Noto Sans"/>
        <family val="0"/>
        <charset val="1"/>
      </rPr>
      <t xml:space="preserve">)</t>
    </r>
    <r>
      <rPr>
        <sz val="9"/>
        <color rgb="FF666666"/>
        <rFont val="Noto Sans CJK SC"/>
        <family val="2"/>
        <charset val="1"/>
      </rPr>
      <t xml:space="preserve">投入時は契約別に置換可能</t>
    </r>
  </si>
  <si>
    <r>
      <rPr>
        <b val="true"/>
        <sz val="13"/>
        <color theme="1"/>
        <rFont val="Noto Sans CJK SC"/>
        <family val="2"/>
        <charset val="1"/>
      </rPr>
      <t xml:space="preserve">投資評価 ― </t>
    </r>
    <r>
      <rPr>
        <b val="true"/>
        <sz val="13"/>
        <color theme="1"/>
        <rFont val="Noto Sans"/>
        <family val="0"/>
        <charset val="1"/>
      </rPr>
      <t xml:space="preserve">NPV / IRR (3</t>
    </r>
    <r>
      <rPr>
        <b val="true"/>
        <sz val="13"/>
        <color theme="1"/>
        <rFont val="Noto Sans CJK SC"/>
        <family val="2"/>
        <charset val="1"/>
      </rPr>
      <t xml:space="preserve">年・真のネット</t>
    </r>
    <r>
      <rPr>
        <b val="true"/>
        <sz val="13"/>
        <color theme="1"/>
        <rFont val="Noto Sans"/>
        <family val="0"/>
        <charset val="1"/>
      </rPr>
      <t xml:space="preserve">CF)</t>
    </r>
  </si>
  <si>
    <r>
      <rPr>
        <sz val="9"/>
        <color rgb="FF666666"/>
        <rFont val="Arial"/>
        <family val="0"/>
        <charset val="1"/>
      </rPr>
      <t xml:space="preserve">VMO</t>
    </r>
    <r>
      <rPr>
        <sz val="9"/>
        <color rgb="FF666666"/>
        <rFont val="Noto Sans CJK SC"/>
        <family val="2"/>
        <charset val="1"/>
      </rPr>
      <t xml:space="preserve">運営費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人件費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Noto Sans CJK SC"/>
        <family val="2"/>
        <charset val="1"/>
      </rPr>
      <t xml:space="preserve">まで控除した保守評価。準備費用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今回承認対象</t>
    </r>
    <r>
      <rPr>
        <sz val="9"/>
        <color rgb="FF666666"/>
        <rFont val="Arial"/>
        <family val="0"/>
        <charset val="1"/>
      </rPr>
      <t xml:space="preserve">20</t>
    </r>
    <r>
      <rPr>
        <sz val="9"/>
        <color rgb="FF666666"/>
        <rFont val="Noto Sans CJK SC"/>
        <family val="2"/>
        <charset val="1"/>
      </rPr>
      <t xml:space="preserve">百万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Noto Sans CJK SC"/>
        <family val="2"/>
        <charset val="1"/>
      </rPr>
      <t xml:space="preserve">は初期投資に含めて評価</t>
    </r>
  </si>
  <si>
    <t xml:space="preserve">項目</t>
  </si>
  <si>
    <t xml:space="preserve">Y0</t>
  </si>
  <si>
    <t xml:space="preserve">Y1</t>
  </si>
  <si>
    <t xml:space="preserve">Y2</t>
  </si>
  <si>
    <t xml:space="preserve">Y3</t>
  </si>
  <si>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  <charset val="1"/>
      </rPr>
      <t xml:space="preserve">参考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  <charset val="1"/>
      </rPr>
      <t xml:space="preserve">無制約グロス</t>
    </r>
  </si>
  <si>
    <r>
      <rPr>
        <sz val="10"/>
        <color rgb="FF000000"/>
        <rFont val="Noto Sans CJK SC"/>
        <family val="2"/>
        <charset val="1"/>
      </rPr>
      <t xml:space="preserve">グロス削減</t>
    </r>
    <r>
      <rPr>
        <sz val="10"/>
        <color rgb="FF000000"/>
        <rFont val="Noto Sans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キャパ制約後</t>
    </r>
    <r>
      <rPr>
        <sz val="10"/>
        <color rgb="FF000000"/>
        <rFont val="Noto Sans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</si>
  <si>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RFP</t>
    </r>
    <r>
      <rPr>
        <sz val="10"/>
        <color rgb="FF000000"/>
        <rFont val="Noto Sans CJK SC"/>
        <family val="2"/>
        <charset val="1"/>
      </rPr>
      <t xml:space="preserve">実行コスト</t>
    </r>
    <r>
      <rPr>
        <sz val="10"/>
        <color rgb="FF000000"/>
        <rFont val="Arial"/>
        <family val="0"/>
        <charset val="1"/>
      </rPr>
      <t xml:space="preserve">(−)</t>
    </r>
  </si>
  <si>
    <r>
      <rPr>
        <sz val="10"/>
        <color rgb="FF000000"/>
        <rFont val="Arial"/>
        <family val="0"/>
        <charset val="1"/>
      </rPr>
      <t xml:space="preserve">VMO</t>
    </r>
    <r>
      <rPr>
        <sz val="10"/>
        <color rgb="FF000000"/>
        <rFont val="Noto Sans CJK SC"/>
        <family val="2"/>
        <charset val="1"/>
      </rPr>
      <t xml:space="preserve">運営費</t>
    </r>
    <r>
      <rPr>
        <sz val="10"/>
        <color rgb="FF000000"/>
        <rFont val="Arial"/>
        <family val="0"/>
        <charset val="1"/>
      </rPr>
      <t xml:space="preserve">(−)</t>
    </r>
  </si>
  <si>
    <r>
      <rPr>
        <sz val="10"/>
        <color rgb="FF000000"/>
        <rFont val="Noto Sans CJK SC"/>
        <family val="2"/>
        <charset val="1"/>
      </rPr>
      <t xml:space="preserve">初期投資</t>
    </r>
    <r>
      <rPr>
        <sz val="10"/>
        <color rgb="FF000000"/>
        <rFont val="Noto Sans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準備費用込</t>
    </r>
    <r>
      <rPr>
        <sz val="10"/>
        <color rgb="FF000000"/>
        <rFont val="Noto Sans"/>
        <family val="0"/>
        <charset val="1"/>
      </rPr>
      <t xml:space="preserve">)(−)</t>
    </r>
  </si>
  <si>
    <r>
      <rPr>
        <b val="true"/>
        <sz val="10"/>
        <color theme="1"/>
        <rFont val="Noto Sans CJK SC"/>
        <family val="2"/>
        <charset val="1"/>
      </rPr>
      <t xml:space="preserve">ネット</t>
    </r>
    <r>
      <rPr>
        <b val="true"/>
        <sz val="10"/>
        <color theme="1"/>
        <rFont val="Noto Sans"/>
        <family val="0"/>
        <charset val="1"/>
      </rPr>
      <t xml:space="preserve">CF</t>
    </r>
  </si>
  <si>
    <t xml:space="preserve">割引係数</t>
  </si>
  <si>
    <r>
      <rPr>
        <sz val="10"/>
        <color rgb="FF000000"/>
        <rFont val="Noto Sans CJK SC"/>
        <family val="2"/>
        <charset val="1"/>
      </rPr>
      <t xml:space="preserve">割引後</t>
    </r>
    <r>
      <rPr>
        <sz val="10"/>
        <color rgb="FF000000"/>
        <rFont val="Noto Sans"/>
        <family val="0"/>
        <charset val="1"/>
      </rPr>
      <t xml:space="preserve">CF</t>
    </r>
  </si>
  <si>
    <r>
      <rPr>
        <b val="true"/>
        <sz val="10"/>
        <color theme="1"/>
        <rFont val="Noto Sans CJK SC"/>
        <family val="2"/>
        <charset val="1"/>
      </rPr>
      <t xml:space="preserve">累積</t>
    </r>
    <r>
      <rPr>
        <b val="true"/>
        <sz val="10"/>
        <color theme="1"/>
        <rFont val="Noto Sans"/>
        <family val="0"/>
        <charset val="1"/>
      </rPr>
      <t xml:space="preserve">NPV</t>
    </r>
  </si>
  <si>
    <t xml:space="preserve">投資評価指標</t>
  </si>
  <si>
    <r>
      <rPr>
        <sz val="10"/>
        <color rgb="FF000000"/>
        <rFont val="Arial"/>
        <family val="0"/>
        <charset val="1"/>
      </rPr>
      <t xml:space="preserve">NPV (</t>
    </r>
    <r>
      <rPr>
        <sz val="10"/>
        <color rgb="FF000000"/>
        <rFont val="Noto Sans CJK SC"/>
        <family val="2"/>
        <charset val="1"/>
      </rPr>
      <t xml:space="preserve">評価期間・</t>
    </r>
    <r>
      <rPr>
        <sz val="10"/>
        <color rgb="FF000000"/>
        <rFont val="Arial"/>
        <family val="0"/>
        <charset val="1"/>
      </rPr>
      <t xml:space="preserve">WACC)</t>
    </r>
  </si>
  <si>
    <t xml:space="preserve">IRR</t>
  </si>
  <si>
    <r>
      <rPr>
        <sz val="10"/>
        <color rgb="FF000000"/>
        <rFont val="Noto Sans CJK SC"/>
        <family val="2"/>
        <charset val="1"/>
      </rPr>
      <t xml:space="preserve">収益性指数 </t>
    </r>
    <r>
      <rPr>
        <sz val="10"/>
        <color rgb="FF000000"/>
        <rFont val="Noto Sans"/>
        <family val="0"/>
        <charset val="1"/>
      </rPr>
      <t xml:space="preserve">PI</t>
    </r>
  </si>
  <si>
    <r>
      <rPr>
        <sz val="10"/>
        <color rgb="FF000000"/>
        <rFont val="Noto Sans CJK SC"/>
        <family val="2"/>
        <charset val="1"/>
      </rPr>
      <t xml:space="preserve">累積ネット</t>
    </r>
    <r>
      <rPr>
        <sz val="10"/>
        <color rgb="FF000000"/>
        <rFont val="Noto Sans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割引前・</t>
    </r>
    <r>
      <rPr>
        <sz val="10"/>
        <color rgb="FF000000"/>
        <rFont val="Noto Sans"/>
        <family val="0"/>
        <charset val="1"/>
      </rPr>
      <t xml:space="preserve">Y1-Y3)</t>
    </r>
  </si>
  <si>
    <r>
      <rPr>
        <sz val="9"/>
        <color rgb="FF666666"/>
        <rFont val="Noto Sans CJK SC"/>
        <family val="2"/>
        <charset val="1"/>
      </rPr>
      <t xml:space="preserve">感度メモ</t>
    </r>
    <r>
      <rPr>
        <sz val="9"/>
        <color rgb="FF666666"/>
        <rFont val="Noto Sans"/>
        <family val="0"/>
        <charset val="1"/>
      </rPr>
      <t xml:space="preserve">: </t>
    </r>
    <r>
      <rPr>
        <sz val="9"/>
        <color rgb="FF666666"/>
        <rFont val="Noto Sans CJK SC"/>
        <family val="2"/>
        <charset val="1"/>
      </rPr>
      <t xml:space="preserve">削減率を「保守」に切替える場合は、計算シートの</t>
    </r>
    <r>
      <rPr>
        <sz val="9"/>
        <color rgb="FF666666"/>
        <rFont val="Noto Sans"/>
        <family val="0"/>
        <charset val="1"/>
      </rPr>
      <t xml:space="preserve">F</t>
    </r>
    <r>
      <rPr>
        <sz val="9"/>
        <color rgb="FF666666"/>
        <rFont val="Noto Sans CJK SC"/>
        <family val="2"/>
        <charset val="1"/>
      </rPr>
      <t xml:space="preserve">列参照を </t>
    </r>
    <r>
      <rPr>
        <sz val="9"/>
        <color rgb="FF666666"/>
        <rFont val="Noto Sans"/>
        <family val="0"/>
        <charset val="1"/>
      </rPr>
      <t xml:space="preserve">E</t>
    </r>
    <r>
      <rPr>
        <sz val="9"/>
        <color rgb="FF666666"/>
        <rFont val="Noto Sans CJK SC"/>
        <family val="2"/>
        <charset val="1"/>
      </rPr>
      <t xml:space="preserve">列</t>
    </r>
    <r>
      <rPr>
        <sz val="9"/>
        <color rgb="FF666666"/>
        <rFont val="Noto Sans"/>
        <family val="0"/>
        <charset val="1"/>
      </rPr>
      <t xml:space="preserve">(</t>
    </r>
    <r>
      <rPr>
        <sz val="9"/>
        <color rgb="FF666666"/>
        <rFont val="Noto Sans CJK SC"/>
        <family val="2"/>
        <charset val="1"/>
      </rPr>
      <t xml:space="preserve">保守</t>
    </r>
    <r>
      <rPr>
        <sz val="9"/>
        <color rgb="FF666666"/>
        <rFont val="Noto Sans"/>
        <family val="0"/>
        <charset val="1"/>
      </rPr>
      <t xml:space="preserve">) </t>
    </r>
    <r>
      <rPr>
        <sz val="9"/>
        <color rgb="FF666666"/>
        <rFont val="Noto Sans CJK SC"/>
        <family val="2"/>
        <charset val="1"/>
      </rPr>
      <t xml:space="preserve">に変更。前提シートの黄色セルを更新すれば全て自動再計算</t>
    </r>
  </si>
  <si>
    <r>
      <rPr>
        <b val="true"/>
        <sz val="12"/>
        <rFont val="Arial"/>
        <family val="0"/>
        <charset val="1"/>
      </rPr>
      <t xml:space="preserve">VMO </t>
    </r>
    <r>
      <rPr>
        <b val="true"/>
        <sz val="12"/>
        <rFont val="Noto Sans CJK SC"/>
        <family val="2"/>
        <charset val="1"/>
      </rPr>
      <t xml:space="preserve">キャパシティ・プランニング ― 需給と年次スループット</t>
    </r>
  </si>
  <si>
    <r>
      <rPr>
        <i val="true"/>
        <sz val="9"/>
        <rFont val="Noto Sans CJK SC"/>
        <family val="2"/>
        <charset val="1"/>
      </rPr>
      <t xml:space="preserve">供給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  <charset val="1"/>
      </rPr>
      <t xml:space="preserve">実効工数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  <charset val="1"/>
      </rPr>
      <t xml:space="preserve">人月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Noto Sans CJK SC"/>
        <family val="2"/>
        <charset val="1"/>
      </rPr>
      <t xml:space="preserve">年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  <charset val="1"/>
      </rPr>
      <t xml:space="preserve">、需要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  <charset val="1"/>
      </rPr>
      <t xml:space="preserve">階層別件数</t>
    </r>
    <r>
      <rPr>
        <i val="true"/>
        <sz val="9"/>
        <rFont val="Arial"/>
        <family val="0"/>
        <charset val="1"/>
      </rPr>
      <t xml:space="preserve">×</t>
    </r>
    <r>
      <rPr>
        <i val="true"/>
        <sz val="9"/>
        <rFont val="Noto Sans CJK SC"/>
        <family val="2"/>
        <charset val="1"/>
      </rPr>
      <t xml:space="preserve">工数原単位。処理可能割合をグロス削減のクリップ係数として投資評価へ連携</t>
    </r>
  </si>
  <si>
    <r>
      <rPr>
        <b val="true"/>
        <sz val="11"/>
        <rFont val="Noto Sans CJK SC"/>
        <family val="2"/>
        <charset val="1"/>
      </rPr>
      <t xml:space="preserve">【供給側】実効工数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  <charset val="1"/>
      </rPr>
      <t xml:space="preserve">人月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  <charset val="1"/>
      </rPr>
      <t xml:space="preserve">年</t>
    </r>
    <r>
      <rPr>
        <b val="true"/>
        <sz val="11"/>
        <rFont val="Arial"/>
        <family val="0"/>
        <charset val="1"/>
      </rPr>
      <t xml:space="preserve">)</t>
    </r>
  </si>
  <si>
    <t xml:space="preserve">要員</t>
  </si>
  <si>
    <t xml:space="preserve">備考</t>
  </si>
  <si>
    <r>
      <rPr>
        <sz val="11"/>
        <rFont val="Noto Sans CJK SC"/>
        <family val="2"/>
        <charset val="1"/>
      </rPr>
      <t xml:space="preserve">マネジャー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パートタイム</t>
    </r>
    <r>
      <rPr>
        <sz val="11"/>
        <rFont val="Arial"/>
        <family val="0"/>
        <charset val="1"/>
      </rPr>
      <t xml:space="preserve">0.5FTE)</t>
    </r>
  </si>
  <si>
    <t xml:space="preserve">統括・品質レビュー中心、管理控除後</t>
  </si>
  <si>
    <r>
      <rPr>
        <sz val="11"/>
        <rFont val="Noto Sans CJK SC"/>
        <family val="2"/>
        <charset val="1"/>
      </rPr>
      <t xml:space="preserve">メンバー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  <charset val="1"/>
      </rPr>
      <t xml:space="preserve">名</t>
    </r>
  </si>
  <si>
    <r>
      <rPr>
        <sz val="11"/>
        <rFont val="Noto Sans CJK SC"/>
        <family val="2"/>
        <charset val="1"/>
      </rPr>
      <t xml:space="preserve">育成期は生産性逓増→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  <charset val="1"/>
      </rPr>
      <t xml:space="preserve">年目自立→定常</t>
    </r>
  </si>
  <si>
    <r>
      <rPr>
        <sz val="11"/>
        <rFont val="Noto Sans CJK SC"/>
        <family val="2"/>
        <charset val="1"/>
      </rPr>
      <t xml:space="preserve">外部コンサル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  <charset val="1"/>
      </rPr>
      <t xml:space="preserve">名</t>
    </r>
  </si>
  <si>
    <r>
      <rPr>
        <sz val="11"/>
        <rFont val="Noto Sans CJK SC"/>
        <family val="2"/>
        <charset val="1"/>
      </rPr>
      <t xml:space="preserve">実務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  <charset val="1"/>
      </rPr>
      <t xml:space="preserve">育成。メンバー自立に伴い実務比重は逓減</t>
    </r>
  </si>
  <si>
    <t xml:space="preserve">実効供給 合計</t>
  </si>
  <si>
    <r>
      <rPr>
        <b val="true"/>
        <sz val="11"/>
        <rFont val="Noto Sans CJK SC"/>
        <family val="2"/>
        <charset val="1"/>
      </rPr>
      <t xml:space="preserve">【需要側】工数原単位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  <charset val="1"/>
      </rPr>
      <t xml:space="preserve">人月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  <charset val="1"/>
      </rPr>
      <t xml:space="preserve">件</t>
    </r>
    <r>
      <rPr>
        <b val="true"/>
        <sz val="11"/>
        <rFont val="Arial"/>
        <family val="0"/>
        <charset val="1"/>
      </rPr>
      <t xml:space="preserve">)</t>
    </r>
  </si>
  <si>
    <t xml:space="preserve">階層</t>
  </si>
  <si>
    <t xml:space="preserve">工数原単位</t>
  </si>
  <si>
    <t xml:space="preserve">根拠</t>
  </si>
  <si>
    <t xml:space="preserve">大型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</si>
  <si>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  <charset val="1"/>
      </rPr>
      <t xml:space="preserve">〜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  <charset val="1"/>
      </rPr>
      <t xml:space="preserve">ヶ月。保守側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  <charset val="1"/>
      </rPr>
      <t xml:space="preserve">ヶ月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  <charset val="1"/>
      </rPr>
      <t xml:space="preserve">を採用</t>
    </r>
  </si>
  <si>
    <t xml:space="preserve">中型</t>
  </si>
  <si>
    <r>
      <rPr>
        <sz val="11"/>
        <rFont val="Noto Sans CJK SC"/>
        <family val="2"/>
        <charset val="1"/>
      </rPr>
      <t xml:space="preserve">約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  <charset val="1"/>
      </rPr>
      <t xml:space="preserve">ヶ月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  <charset val="1"/>
      </rPr>
      <t xml:space="preserve">バッファ</t>
    </r>
  </si>
  <si>
    <t xml:space="preserve">小型</t>
  </si>
  <si>
    <r>
      <rPr>
        <sz val="11"/>
        <rFont val="Noto Sans CJK SC"/>
        <family val="2"/>
        <charset val="1"/>
      </rPr>
      <t xml:space="preserve">約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  <charset val="1"/>
      </rPr>
      <t xml:space="preserve">週間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  <charset val="1"/>
      </rPr>
      <t xml:space="preserve">バッファ</t>
    </r>
  </si>
  <si>
    <r>
      <rPr>
        <b val="true"/>
        <sz val="11"/>
        <rFont val="Noto Sans CJK SC"/>
        <family val="2"/>
        <charset val="1"/>
      </rPr>
      <t xml:space="preserve">【需要側】年次必要工数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  <charset val="1"/>
      </rPr>
      <t xml:space="preserve">最悪複合シナリオ</t>
    </r>
    <r>
      <rPr>
        <b val="true"/>
        <sz val="11"/>
        <rFont val="Arial"/>
        <family val="0"/>
        <charset val="1"/>
      </rPr>
      <t xml:space="preserve">=</t>
    </r>
    <r>
      <rPr>
        <b val="true"/>
        <sz val="11"/>
        <rFont val="Noto Sans CJK SC"/>
        <family val="2"/>
        <charset val="1"/>
      </rPr>
      <t xml:space="preserve">保守</t>
    </r>
    <r>
      <rPr>
        <b val="true"/>
        <sz val="11"/>
        <rFont val="Arial"/>
        <family val="0"/>
        <charset val="1"/>
      </rPr>
      <t xml:space="preserve">)</t>
    </r>
  </si>
  <si>
    <t xml:space="preserve">算定根拠</t>
  </si>
  <si>
    <r>
      <rPr>
        <sz val="11"/>
        <rFont val="Noto Sans CJK SC"/>
        <family val="2"/>
        <charset val="1"/>
      </rPr>
      <t xml:space="preserve">更新到来額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百万円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</si>
  <si>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  <charset val="1"/>
      </rPr>
      <t xml:space="preserve">更新時期分布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事実・要実データ確定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</si>
  <si>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  <charset val="1"/>
      </rPr>
      <t xml:space="preserve">随意比率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  <charset val="1"/>
      </rPr>
      <t xml:space="preserve">競争可能割合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加重</t>
    </r>
    <r>
      <rPr>
        <sz val="11"/>
        <rFont val="Arial"/>
        <family val="0"/>
        <charset val="1"/>
      </rPr>
      <t xml:space="preserve">)</t>
    </r>
  </si>
  <si>
    <t xml:space="preserve">競争対象額に換算</t>
  </si>
  <si>
    <r>
      <rPr>
        <sz val="11"/>
        <rFont val="Noto Sans CJK SC"/>
        <family val="2"/>
        <charset val="1"/>
      </rPr>
      <t xml:space="preserve">階層ミックス 大型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  <charset val="1"/>
      </rPr>
      <t xml:space="preserve">中型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  <charset val="1"/>
      </rPr>
      <t xml:space="preserve">小型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金額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</si>
  <si>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  <charset val="1"/>
      </rPr>
      <t xml:space="preserve">最悪複合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大型偏重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  <charset val="1"/>
      </rPr>
      <t xml:space="preserve">。金額構成比</t>
    </r>
  </si>
  <si>
    <r>
      <rPr>
        <sz val="11"/>
        <rFont val="Noto Sans CJK SC"/>
        <family val="2"/>
        <charset val="1"/>
      </rPr>
      <t xml:space="preserve">平均契約額 大型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  <charset val="1"/>
      </rPr>
      <t xml:space="preserve">中型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  <charset val="1"/>
      </rPr>
      <t xml:space="preserve">小型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百万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</si>
  <si>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  <charset val="1"/>
      </rPr>
      <t xml:space="preserve">最悪複合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小さめ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  <charset val="1"/>
      </rPr>
      <t xml:space="preserve">件数増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  <charset val="1"/>
      </rPr>
      <t xml:space="preserve">。要実データ</t>
    </r>
  </si>
  <si>
    <r>
      <rPr>
        <b val="true"/>
        <sz val="11"/>
        <rFont val="Noto Sans CJK SC"/>
        <family val="2"/>
        <charset val="1"/>
      </rPr>
      <t xml:space="preserve">必要工数 合計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  <charset val="1"/>
      </rPr>
      <t xml:space="preserve">人月</t>
    </r>
    <r>
      <rPr>
        <b val="true"/>
        <sz val="11"/>
        <rFont val="Arial"/>
        <family val="0"/>
        <charset val="1"/>
      </rPr>
      <t xml:space="preserve">)</t>
    </r>
  </si>
  <si>
    <t xml:space="preserve">【需給判定】</t>
  </si>
  <si>
    <r>
      <rPr>
        <sz val="11"/>
        <rFont val="Noto Sans CJK SC"/>
        <family val="2"/>
        <charset val="1"/>
      </rPr>
      <t xml:space="preserve">実効供給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人月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</si>
  <si>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  <charset val="1"/>
      </rPr>
      <t xml:space="preserve">必要工数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  <charset val="1"/>
      </rPr>
      <t xml:space="preserve">人月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</si>
  <si>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  <charset val="1"/>
      </rPr>
      <t xml:space="preserve">処理可能割合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  <charset val="1"/>
      </rPr>
      <t xml:space="preserve">クリップ係数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</si>
  <si>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  <charset val="1"/>
      </rPr>
      <t xml:space="preserve">※処理可能割合</t>
    </r>
    <r>
      <rPr>
        <i val="true"/>
        <sz val="9"/>
        <rFont val="Arial"/>
        <family val="0"/>
        <charset val="1"/>
      </rPr>
      <t xml:space="preserve">&lt;100%</t>
    </r>
    <r>
      <rPr>
        <i val="true"/>
        <sz val="9"/>
        <rFont val="Noto Sans CJK SC"/>
        <family val="2"/>
        <charset val="1"/>
      </rPr>
      <t xml:space="preserve">の年は、その割合でグロス削減をクリップ</t>
    </r>
    <r>
      <rPr>
        <i val="true"/>
        <sz val="9"/>
        <rFont val="Arial"/>
        <family val="0"/>
        <charset val="1"/>
      </rPr>
      <t xml:space="preserve">(=</t>
    </r>
    <r>
      <rPr>
        <i val="true"/>
        <sz val="9"/>
        <rFont val="Noto Sans CJK SC"/>
        <family val="2"/>
        <charset val="1"/>
      </rPr>
      <t xml:space="preserve">キャパ律速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  <charset val="1"/>
      </rPr>
      <t xml:space="preserve">。供給に余裕がある年は</t>
    </r>
    <r>
      <rPr>
        <i val="true"/>
        <sz val="9"/>
        <rFont val="Arial"/>
        <family val="0"/>
        <charset val="1"/>
      </rPr>
      <t xml:space="preserve">100%</t>
    </r>
    <r>
      <rPr>
        <i val="true"/>
        <sz val="9"/>
        <rFont val="Noto Sans CJK SC"/>
        <family val="2"/>
        <charset val="1"/>
      </rPr>
      <t xml:space="preserve">。</t>
    </r>
  </si>
  <si>
    <t xml:space="preserve">※小型が件数を押し上げるため、初年度は大型・中型を優先し小型は翌期繰越とする運営規律で品質を担保。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</si>
</sst>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"/>
    <numFmt numFmtId="168" formatCode="0.000"/>
    <numFmt numFmtId="169" formatCode="0.00"/>
    <numFmt numFmtId="170" formatCode="General"/>
  </numFmts>
  <fonts count="3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Noto Sans CJK SC"/>
      <family val="2"/>
      <charset val="1"/>
    </font>
    <font>
      <sz val="9"/>
      <color rgb="FF666666"/>
      <name val="Noto Sans CJK SC"/>
      <family val="2"/>
      <charset val="1"/>
    </font>
    <font>
      <sz val="9"/>
      <color rgb="FF666666"/>
      <name val="Noto Sans"/>
      <family val="0"/>
      <charset val="1"/>
    </font>
    <font>
      <b val="true"/>
      <sz val="10"/>
      <color theme="1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"/>
      <family val="0"/>
      <charset val="1"/>
    </font>
    <font>
      <b val="true"/>
      <sz val="10"/>
      <color theme="1"/>
      <name val="Noto Sans"/>
      <family val="0"/>
      <charset val="1"/>
    </font>
    <font>
      <sz val="10"/>
      <color rgb="FF008000"/>
      <name val="Noto Sans CJK SC"/>
      <family val="2"/>
      <charset val="1"/>
    </font>
    <font>
      <b val="true"/>
      <sz val="10"/>
      <color theme="1"/>
      <name val="Arial"/>
      <family val="0"/>
      <charset val="1"/>
    </font>
    <font>
      <b val="true"/>
      <sz val="13"/>
      <color theme="1"/>
      <name val="Noto Sans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sz val="11"/>
      <name val="Noto Sans CJK SC"/>
      <family val="2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AF5EA"/>
      </patternFill>
    </fill>
    <fill>
      <patternFill patternType="solid">
        <fgColor rgb="FFFFFF00"/>
        <bgColor rgb="FFFFFF00"/>
      </patternFill>
    </fill>
    <fill>
      <patternFill patternType="solid">
        <fgColor rgb="FF2C5F8A"/>
        <bgColor rgb="FF333399"/>
      </patternFill>
    </fill>
    <fill>
      <patternFill patternType="solid">
        <fgColor rgb="FFEAF5E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EAF5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5EA"/>
      <rgbColor rgb="FFF2F2F2"/>
      <rgbColor rgb="FF660066"/>
      <rgbColor rgb="FFFF8080"/>
      <rgbColor rgb="FF2C5F8A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12"/>
    <col collapsed="false" customWidth="true" hidden="false" outlineLevel="0" max="26" min="9" style="1" width="8.71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  <c r="C5" s="6" t="n">
        <v>8000</v>
      </c>
      <c r="D5" s="3" t="s">
        <v>4</v>
      </c>
    </row>
    <row r="6" customFormat="false" ht="15" hidden="false" customHeight="false" outlineLevel="0" collapsed="false">
      <c r="B6" s="5" t="s">
        <v>5</v>
      </c>
      <c r="C6" s="7" t="n">
        <v>0.8</v>
      </c>
      <c r="D6" s="3" t="s">
        <v>6</v>
      </c>
    </row>
    <row r="7" customFormat="false" ht="15" hidden="false" customHeight="false" outlineLevel="0" collapsed="false">
      <c r="B7" s="8" t="s">
        <v>7</v>
      </c>
      <c r="C7" s="7" t="n">
        <v>0.06</v>
      </c>
      <c r="D7" s="3" t="s">
        <v>8</v>
      </c>
    </row>
    <row r="8" customFormat="false" ht="15" hidden="false" customHeight="false" outlineLevel="0" collapsed="false">
      <c r="B8" s="5" t="s">
        <v>9</v>
      </c>
      <c r="C8" s="9" t="n">
        <v>3</v>
      </c>
      <c r="D8" s="3" t="s">
        <v>10</v>
      </c>
    </row>
    <row r="10" customFormat="false" ht="15" hidden="false" customHeight="false" outlineLevel="0" collapsed="false">
      <c r="B10" s="4" t="s">
        <v>11</v>
      </c>
    </row>
    <row r="11" customFormat="false" ht="15" hidden="false" customHeight="false" outlineLevel="0" collapsed="false">
      <c r="B11" s="5" t="s">
        <v>12</v>
      </c>
      <c r="C11" s="10" t="n">
        <v>20</v>
      </c>
      <c r="D11" s="3" t="s">
        <v>13</v>
      </c>
    </row>
    <row r="12" customFormat="false" ht="15" hidden="false" customHeight="false" outlineLevel="0" collapsed="false">
      <c r="B12" s="8" t="s">
        <v>14</v>
      </c>
      <c r="C12" s="10" t="n">
        <v>150</v>
      </c>
      <c r="D12" s="3" t="s">
        <v>15</v>
      </c>
    </row>
    <row r="13" customFormat="false" ht="15" hidden="false" customHeight="false" outlineLevel="0" collapsed="false">
      <c r="B13" s="8" t="s">
        <v>16</v>
      </c>
      <c r="C13" s="10" t="n">
        <v>80</v>
      </c>
      <c r="D13" s="3" t="s">
        <v>17</v>
      </c>
    </row>
    <row r="14" customFormat="false" ht="15" hidden="false" customHeight="false" outlineLevel="0" collapsed="false">
      <c r="B14" s="8" t="s">
        <v>18</v>
      </c>
      <c r="C14" s="10" t="n">
        <v>120</v>
      </c>
      <c r="D14" s="3" t="s">
        <v>19</v>
      </c>
    </row>
    <row r="15" customFormat="false" ht="15" hidden="false" customHeight="false" outlineLevel="0" collapsed="false">
      <c r="B15" s="8" t="s">
        <v>20</v>
      </c>
      <c r="C15" s="10" t="n">
        <v>90</v>
      </c>
      <c r="D15" s="3" t="s">
        <v>21</v>
      </c>
    </row>
    <row r="16" customFormat="false" ht="15" hidden="false" customHeight="false" outlineLevel="0" collapsed="false">
      <c r="B16" s="8" t="s">
        <v>22</v>
      </c>
      <c r="C16" s="10" t="n">
        <v>60</v>
      </c>
      <c r="D16" s="3" t="s">
        <v>23</v>
      </c>
    </row>
    <row r="19" customFormat="false" ht="15" hidden="false" customHeight="false" outlineLevel="0" collapsed="false">
      <c r="B19" s="4" t="s">
        <v>24</v>
      </c>
    </row>
    <row r="20" customFormat="false" ht="29.85" hidden="false" customHeight="false" outlineLevel="0" collapsed="false">
      <c r="B20" s="11" t="s">
        <v>25</v>
      </c>
      <c r="C20" s="11" t="s">
        <v>26</v>
      </c>
      <c r="D20" s="11" t="s">
        <v>27</v>
      </c>
      <c r="E20" s="11" t="s">
        <v>28</v>
      </c>
      <c r="F20" s="11" t="s">
        <v>29</v>
      </c>
      <c r="G20" s="11" t="s">
        <v>30</v>
      </c>
      <c r="H20" s="11" t="s">
        <v>31</v>
      </c>
    </row>
    <row r="21" customFormat="false" ht="15.75" hidden="false" customHeight="true" outlineLevel="0" collapsed="false">
      <c r="B21" s="12" t="s">
        <v>32</v>
      </c>
      <c r="C21" s="13" t="n">
        <v>0.35</v>
      </c>
      <c r="D21" s="13" t="n">
        <v>0.55</v>
      </c>
      <c r="E21" s="13" t="n">
        <v>0.08</v>
      </c>
      <c r="F21" s="13" t="n">
        <v>0.12</v>
      </c>
      <c r="G21" s="13" t="n">
        <v>0.16</v>
      </c>
      <c r="H21" s="14" t="n">
        <v>3</v>
      </c>
    </row>
    <row r="22" customFormat="false" ht="15.75" hidden="false" customHeight="true" outlineLevel="0" collapsed="false">
      <c r="B22" s="12" t="s">
        <v>33</v>
      </c>
      <c r="C22" s="13" t="n">
        <v>0.2</v>
      </c>
      <c r="D22" s="13" t="n">
        <v>0.65</v>
      </c>
      <c r="E22" s="13" t="n">
        <v>0.1</v>
      </c>
      <c r="F22" s="13" t="n">
        <v>0.15</v>
      </c>
      <c r="G22" s="13" t="n">
        <v>0.2</v>
      </c>
      <c r="H22" s="14" t="n">
        <v>1</v>
      </c>
    </row>
    <row r="23" customFormat="false" ht="15.75" hidden="false" customHeight="true" outlineLevel="0" collapsed="false">
      <c r="B23" s="12" t="s">
        <v>34</v>
      </c>
      <c r="C23" s="13" t="n">
        <v>0.15</v>
      </c>
      <c r="D23" s="13" t="n">
        <v>0.45</v>
      </c>
      <c r="E23" s="13" t="n">
        <v>0.05</v>
      </c>
      <c r="F23" s="13" t="n">
        <v>0.08</v>
      </c>
      <c r="G23" s="13" t="n">
        <v>0.12</v>
      </c>
      <c r="H23" s="14" t="n">
        <v>2</v>
      </c>
    </row>
    <row r="24" customFormat="false" ht="15.75" hidden="false" customHeight="true" outlineLevel="0" collapsed="false">
      <c r="B24" s="12" t="s">
        <v>35</v>
      </c>
      <c r="C24" s="13" t="n">
        <v>0.12</v>
      </c>
      <c r="D24" s="13" t="n">
        <v>0.4</v>
      </c>
      <c r="E24" s="13" t="n">
        <v>0.06</v>
      </c>
      <c r="F24" s="13" t="n">
        <v>0.1</v>
      </c>
      <c r="G24" s="13" t="n">
        <v>0.14</v>
      </c>
      <c r="H24" s="14" t="n">
        <v>1</v>
      </c>
    </row>
    <row r="25" customFormat="false" ht="15.75" hidden="false" customHeight="true" outlineLevel="0" collapsed="false">
      <c r="B25" s="12" t="s">
        <v>36</v>
      </c>
      <c r="C25" s="13" t="n">
        <v>0.1</v>
      </c>
      <c r="D25" s="13" t="n">
        <v>0.7</v>
      </c>
      <c r="E25" s="13" t="n">
        <v>0.09</v>
      </c>
      <c r="F25" s="13" t="n">
        <v>0.14</v>
      </c>
      <c r="G25" s="13" t="n">
        <v>0.18</v>
      </c>
      <c r="H25" s="14" t="n">
        <v>4</v>
      </c>
    </row>
    <row r="26" customFormat="false" ht="15.75" hidden="false" customHeight="true" outlineLevel="0" collapsed="false">
      <c r="B26" s="15" t="s">
        <v>37</v>
      </c>
      <c r="C26" s="13" t="n">
        <v>0.08</v>
      </c>
      <c r="D26" s="13" t="n">
        <v>0.75</v>
      </c>
      <c r="E26" s="13" t="n">
        <v>0.07</v>
      </c>
      <c r="F26" s="13" t="n">
        <v>0.11</v>
      </c>
      <c r="G26" s="13" t="n">
        <v>0.15</v>
      </c>
      <c r="H26" s="14" t="n">
        <v>3</v>
      </c>
    </row>
    <row r="27" customFormat="false" ht="15.75" hidden="false" customHeight="true" outlineLevel="0" collapsed="false">
      <c r="B27" s="16" t="s">
        <v>38</v>
      </c>
      <c r="C27" s="17" t="n">
        <f aca="false">SUM(C21:C26)</f>
        <v>1</v>
      </c>
    </row>
    <row r="28" customFormat="false" ht="15.75" hidden="false" customHeight="true" outlineLevel="0" collapsed="false"/>
    <row r="29" customFormat="false" ht="15.75" hidden="false" customHeight="true" outlineLevel="0" collapsed="false">
      <c r="B29" s="3" t="s">
        <v>39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0" min="2" style="1" width="13"/>
    <col collapsed="false" customWidth="true" hidden="false" outlineLevel="0" max="26" min="11" style="1" width="8.71"/>
  </cols>
  <sheetData>
    <row r="1" customFormat="false" ht="16.15" hidden="false" customHeight="false" outlineLevel="0" collapsed="false">
      <c r="A1" s="2" t="s">
        <v>40</v>
      </c>
    </row>
    <row r="3" customFormat="false" ht="29.85" hidden="false" customHeight="false" outlineLevel="0" collapsed="false">
      <c r="A3" s="11" t="s">
        <v>25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1" t="s">
        <v>46</v>
      </c>
      <c r="H3" s="11" t="s">
        <v>47</v>
      </c>
      <c r="I3" s="11" t="s">
        <v>48</v>
      </c>
      <c r="J3" s="11" t="s">
        <v>49</v>
      </c>
    </row>
    <row r="4" customFormat="false" ht="15" hidden="false" customHeight="false" outlineLevel="0" collapsed="false">
      <c r="A4" s="18" t="str">
        <f aca="false">前提!B21</f>
        <v>既存システム保守運用費</v>
      </c>
      <c r="B4" s="19" t="n">
        <f aca="false">前提!$C$5*前提!C21</f>
        <v>2800</v>
      </c>
      <c r="C4" s="19" t="n">
        <f aca="false">B4*前提!$C$6</f>
        <v>2240</v>
      </c>
      <c r="D4" s="19" t="n">
        <f aca="false">C4*前提!D21</f>
        <v>1232</v>
      </c>
      <c r="E4" s="19" t="n">
        <f aca="false">D4*前提!E21</f>
        <v>98.56</v>
      </c>
      <c r="F4" s="19" t="n">
        <f aca="false">D4*前提!F21</f>
        <v>147.84</v>
      </c>
      <c r="G4" s="19" t="n">
        <f aca="false">D4*前提!G21</f>
        <v>197.12</v>
      </c>
      <c r="H4" s="19" t="n">
        <f aca="false">F4*MIN(1/前提!H21,1)</f>
        <v>49.28</v>
      </c>
      <c r="I4" s="19" t="n">
        <f aca="false">F4*MIN(2/前提!H21,1)</f>
        <v>98.56</v>
      </c>
      <c r="J4" s="19" t="n">
        <f aca="false">F4*MIN(3/前提!H21,1)</f>
        <v>147.84</v>
      </c>
    </row>
    <row r="5" customFormat="false" ht="15" hidden="false" customHeight="false" outlineLevel="0" collapsed="false">
      <c r="A5" s="18" t="str">
        <f aca="false">前提!B22</f>
        <v>システム構築・導入費</v>
      </c>
      <c r="B5" s="19" t="n">
        <f aca="false">前提!$C$5*前提!C22</f>
        <v>1600</v>
      </c>
      <c r="C5" s="19" t="n">
        <f aca="false">B5*前提!$C$6</f>
        <v>1280</v>
      </c>
      <c r="D5" s="19" t="n">
        <f aca="false">C5*前提!D22</f>
        <v>832</v>
      </c>
      <c r="E5" s="19" t="n">
        <f aca="false">D5*前提!E22</f>
        <v>83.2</v>
      </c>
      <c r="F5" s="19" t="n">
        <f aca="false">D5*前提!F22</f>
        <v>124.8</v>
      </c>
      <c r="G5" s="19" t="n">
        <f aca="false">D5*前提!G22</f>
        <v>166.4</v>
      </c>
      <c r="H5" s="19" t="n">
        <f aca="false">F5*MIN(1/前提!H22,1)</f>
        <v>124.8</v>
      </c>
      <c r="I5" s="19" t="n">
        <f aca="false">F5*MIN(2/前提!H22,1)</f>
        <v>124.8</v>
      </c>
      <c r="J5" s="19" t="n">
        <f aca="false">F5*MIN(3/前提!H22,1)</f>
        <v>124.8</v>
      </c>
    </row>
    <row r="6" customFormat="false" ht="15" hidden="false" customHeight="false" outlineLevel="0" collapsed="false">
      <c r="A6" s="18" t="str">
        <f aca="false">前提!B23</f>
        <v>ソフトウェアライセンス費</v>
      </c>
      <c r="B6" s="19" t="n">
        <f aca="false">前提!$C$5*前提!C23</f>
        <v>1200</v>
      </c>
      <c r="C6" s="19" t="n">
        <f aca="false">B6*前提!$C$6</f>
        <v>960</v>
      </c>
      <c r="D6" s="19" t="n">
        <f aca="false">C6*前提!D23</f>
        <v>432</v>
      </c>
      <c r="E6" s="19" t="n">
        <f aca="false">D6*前提!E23</f>
        <v>21.6</v>
      </c>
      <c r="F6" s="19" t="n">
        <f aca="false">D6*前提!F23</f>
        <v>34.56</v>
      </c>
      <c r="G6" s="19" t="n">
        <f aca="false">D6*前提!G23</f>
        <v>51.84</v>
      </c>
      <c r="H6" s="19" t="n">
        <f aca="false">F6*MIN(1/前提!H23,1)</f>
        <v>17.28</v>
      </c>
      <c r="I6" s="19" t="n">
        <f aca="false">F6*MIN(2/前提!H23,1)</f>
        <v>34.56</v>
      </c>
      <c r="J6" s="19" t="n">
        <f aca="false">F6*MIN(3/前提!H23,1)</f>
        <v>34.56</v>
      </c>
    </row>
    <row r="7" customFormat="false" ht="15" hidden="false" customHeight="false" outlineLevel="0" collapsed="false">
      <c r="A7" s="18" t="str">
        <f aca="false">前提!B24</f>
        <v>クラウド利用料</v>
      </c>
      <c r="B7" s="19" t="n">
        <f aca="false">前提!$C$5*前提!C24</f>
        <v>960</v>
      </c>
      <c r="C7" s="19" t="n">
        <f aca="false">B7*前提!$C$6</f>
        <v>768</v>
      </c>
      <c r="D7" s="19" t="n">
        <f aca="false">C7*前提!D24</f>
        <v>307.2</v>
      </c>
      <c r="E7" s="19" t="n">
        <f aca="false">D7*前提!E24</f>
        <v>18.432</v>
      </c>
      <c r="F7" s="19" t="n">
        <f aca="false">D7*前提!F24</f>
        <v>30.72</v>
      </c>
      <c r="G7" s="19" t="n">
        <f aca="false">D7*前提!G24</f>
        <v>43.008</v>
      </c>
      <c r="H7" s="19" t="n">
        <f aca="false">F7*MIN(1/前提!H24,1)</f>
        <v>30.72</v>
      </c>
      <c r="I7" s="19" t="n">
        <f aca="false">F7*MIN(2/前提!H24,1)</f>
        <v>30.72</v>
      </c>
      <c r="J7" s="19" t="n">
        <f aca="false">F7*MIN(3/前提!H24,1)</f>
        <v>30.72</v>
      </c>
    </row>
    <row r="8" customFormat="false" ht="15" hidden="false" customHeight="false" outlineLevel="0" collapsed="false">
      <c r="A8" s="18" t="str">
        <f aca="false">前提!B25</f>
        <v>ネットワーク機器・回線</v>
      </c>
      <c r="B8" s="19" t="n">
        <f aca="false">前提!$C$5*前提!C25</f>
        <v>800</v>
      </c>
      <c r="C8" s="19" t="n">
        <f aca="false">B8*前提!$C$6</f>
        <v>640</v>
      </c>
      <c r="D8" s="19" t="n">
        <f aca="false">C8*前提!D25</f>
        <v>448</v>
      </c>
      <c r="E8" s="19" t="n">
        <f aca="false">D8*前提!E25</f>
        <v>40.32</v>
      </c>
      <c r="F8" s="19" t="n">
        <f aca="false">D8*前提!F25</f>
        <v>62.72</v>
      </c>
      <c r="G8" s="19" t="n">
        <f aca="false">D8*前提!G25</f>
        <v>80.64</v>
      </c>
      <c r="H8" s="19" t="n">
        <f aca="false">F8*MIN(1/前提!H25,1)</f>
        <v>15.68</v>
      </c>
      <c r="I8" s="19" t="n">
        <f aca="false">F8*MIN(2/前提!H25,1)</f>
        <v>31.36</v>
      </c>
      <c r="J8" s="19" t="n">
        <f aca="false">F8*MIN(3/前提!H25,1)</f>
        <v>47.04</v>
      </c>
    </row>
    <row r="9" customFormat="false" ht="15" hidden="false" customHeight="false" outlineLevel="0" collapsed="false">
      <c r="A9" s="18" t="str">
        <f aca="false">前提!B26</f>
        <v>EUC(PC/スマホ)レンタル</v>
      </c>
      <c r="B9" s="19" t="n">
        <f aca="false">前提!$C$5*前提!C26</f>
        <v>640</v>
      </c>
      <c r="C9" s="19" t="n">
        <f aca="false">B9*前提!$C$6</f>
        <v>512</v>
      </c>
      <c r="D9" s="19" t="n">
        <f aca="false">C9*前提!D26</f>
        <v>384</v>
      </c>
      <c r="E9" s="19" t="n">
        <f aca="false">D9*前提!E26</f>
        <v>26.88</v>
      </c>
      <c r="F9" s="19" t="n">
        <f aca="false">D9*前提!F26</f>
        <v>42.24</v>
      </c>
      <c r="G9" s="19" t="n">
        <f aca="false">D9*前提!G26</f>
        <v>57.6</v>
      </c>
      <c r="H9" s="19" t="n">
        <f aca="false">F9*MIN(1/前提!H26,1)</f>
        <v>14.08</v>
      </c>
      <c r="I9" s="19" t="n">
        <f aca="false">F9*MIN(2/前提!H26,1)</f>
        <v>28.16</v>
      </c>
      <c r="J9" s="19" t="n">
        <f aca="false">F9*MIN(3/前提!H26,1)</f>
        <v>42.24</v>
      </c>
    </row>
    <row r="10" customFormat="false" ht="15" hidden="false" customHeight="false" outlineLevel="0" collapsed="false">
      <c r="A10" s="16" t="s">
        <v>50</v>
      </c>
      <c r="B10" s="20" t="n">
        <f aca="false">SUM(B4:B9)</f>
        <v>8000</v>
      </c>
      <c r="C10" s="20" t="n">
        <f aca="false">SUM(C4:C9)</f>
        <v>6400</v>
      </c>
      <c r="D10" s="20" t="n">
        <f aca="false">SUM(D4:D9)</f>
        <v>3635.2</v>
      </c>
      <c r="E10" s="20" t="n">
        <f aca="false">SUM(E4:E9)</f>
        <v>288.992</v>
      </c>
      <c r="F10" s="20" t="n">
        <f aca="false">SUM(F4:F9)</f>
        <v>442.88</v>
      </c>
      <c r="G10" s="20" t="n">
        <f aca="false">SUM(G4:G9)</f>
        <v>596.608</v>
      </c>
      <c r="H10" s="20" t="n">
        <f aca="false">SUM(H4:H9)</f>
        <v>251.84</v>
      </c>
      <c r="I10" s="20" t="n">
        <f aca="false">SUM(I4:I9)</f>
        <v>348.16</v>
      </c>
      <c r="J10" s="20" t="n">
        <f aca="false">SUM(J4:J9)</f>
        <v>427.2</v>
      </c>
    </row>
    <row r="12" customFormat="false" ht="15" hidden="false" customHeight="false" outlineLevel="0" collapsed="false">
      <c r="A12" s="3" t="s">
        <v>51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4"/>
    <col collapsed="false" customWidth="true" hidden="false" outlineLevel="0" max="26" min="6" style="1" width="8.71"/>
  </cols>
  <sheetData>
    <row r="1" customFormat="false" ht="20.1" hidden="false" customHeight="false" outlineLevel="0" collapsed="false">
      <c r="A1" s="2" t="s">
        <v>52</v>
      </c>
    </row>
    <row r="2" customFormat="false" ht="15" hidden="false" customHeight="false" outlineLevel="0" collapsed="false">
      <c r="A2" s="21" t="s">
        <v>53</v>
      </c>
    </row>
    <row r="4" customFormat="false" ht="15" hidden="false" customHeight="false" outlineLevel="0" collapsed="false">
      <c r="A4" s="22" t="s">
        <v>54</v>
      </c>
      <c r="B4" s="23" t="s">
        <v>55</v>
      </c>
      <c r="C4" s="23" t="s">
        <v>56</v>
      </c>
      <c r="D4" s="23" t="s">
        <v>57</v>
      </c>
      <c r="E4" s="23" t="s">
        <v>58</v>
      </c>
      <c r="G4" s="24" t="s">
        <v>59</v>
      </c>
    </row>
    <row r="5" customFormat="false" ht="15" hidden="false" customHeight="false" outlineLevel="0" collapsed="false">
      <c r="A5" s="5" t="s">
        <v>60</v>
      </c>
      <c r="B5" s="19"/>
      <c r="C5" s="25" t="n">
        <f aca="false">計算!H10*キャパシティ!C29</f>
        <v>221.468672172897</v>
      </c>
      <c r="D5" s="25" t="n">
        <f aca="false">計算!I10*キャパシティ!D29</f>
        <v>348.16</v>
      </c>
      <c r="E5" s="25" t="n">
        <f aca="false">計算!J10*キャパシティ!E29</f>
        <v>427.2</v>
      </c>
      <c r="G5" s="26" t="n">
        <f aca="false">計算!H10</f>
        <v>251.84</v>
      </c>
      <c r="H5" s="26" t="n">
        <f aca="false">計算!I10</f>
        <v>348.16</v>
      </c>
      <c r="I5" s="26" t="n">
        <f aca="false">計算!J10</f>
        <v>427.2</v>
      </c>
    </row>
    <row r="6" customFormat="false" ht="15" hidden="false" customHeight="false" outlineLevel="0" collapsed="false">
      <c r="A6" s="8" t="s">
        <v>61</v>
      </c>
      <c r="B6" s="19"/>
      <c r="C6" s="19" t="n">
        <f aca="false">-前提!C14</f>
        <v>-120</v>
      </c>
      <c r="D6" s="19" t="n">
        <f aca="false">-前提!C15</f>
        <v>-90</v>
      </c>
      <c r="E6" s="19" t="n">
        <f aca="false">-前提!C16</f>
        <v>-60</v>
      </c>
    </row>
    <row r="7" customFormat="false" ht="15" hidden="false" customHeight="false" outlineLevel="0" collapsed="false">
      <c r="A7" s="8" t="s">
        <v>62</v>
      </c>
      <c r="B7" s="19"/>
      <c r="C7" s="19" t="n">
        <f aca="false">-前提!C13</f>
        <v>-80</v>
      </c>
      <c r="D7" s="19" t="n">
        <f aca="false">-前提!C13</f>
        <v>-80</v>
      </c>
      <c r="E7" s="19" t="n">
        <f aca="false">-前提!C13</f>
        <v>-80</v>
      </c>
    </row>
    <row r="8" customFormat="false" ht="15" hidden="false" customHeight="false" outlineLevel="0" collapsed="false">
      <c r="A8" s="5" t="s">
        <v>63</v>
      </c>
      <c r="B8" s="19" t="n">
        <f aca="false">-(前提!C11+前提!C12)</f>
        <v>-170</v>
      </c>
      <c r="C8" s="19"/>
      <c r="D8" s="19"/>
      <c r="E8" s="19"/>
    </row>
    <row r="9" customFormat="false" ht="15" hidden="false" customHeight="false" outlineLevel="0" collapsed="false">
      <c r="A9" s="16" t="s">
        <v>64</v>
      </c>
      <c r="B9" s="20" t="n">
        <f aca="false">SUM(B5:B8)</f>
        <v>-170</v>
      </c>
      <c r="C9" s="20" t="n">
        <f aca="false">SUM(C5:C8)</f>
        <v>21.4686721728975</v>
      </c>
      <c r="D9" s="20" t="n">
        <f aca="false">SUM(D5:D8)</f>
        <v>178.16</v>
      </c>
      <c r="E9" s="20" t="n">
        <f aca="false">SUM(E5:E8)</f>
        <v>287.2</v>
      </c>
    </row>
    <row r="10" customFormat="false" ht="15" hidden="false" customHeight="false" outlineLevel="0" collapsed="false">
      <c r="A10" s="5" t="s">
        <v>65</v>
      </c>
      <c r="B10" s="27" t="n">
        <f aca="false">1/(1+前提!$C$7)^0</f>
        <v>1</v>
      </c>
      <c r="C10" s="27" t="n">
        <f aca="false">1/(1+前提!$C$7)^1</f>
        <v>0.943396226415094</v>
      </c>
      <c r="D10" s="27" t="n">
        <f aca="false">1/(1+前提!$C$7)^2</f>
        <v>0.88999644001424</v>
      </c>
      <c r="E10" s="27" t="n">
        <f aca="false">1/(1+前提!$C$7)^3</f>
        <v>0.839619283032302</v>
      </c>
    </row>
    <row r="11" customFormat="false" ht="15" hidden="false" customHeight="false" outlineLevel="0" collapsed="false">
      <c r="A11" s="5" t="s">
        <v>66</v>
      </c>
      <c r="B11" s="19" t="n">
        <f aca="false">B9*B10</f>
        <v>-170</v>
      </c>
      <c r="C11" s="19" t="n">
        <f aca="false">C9*C10</f>
        <v>20.2534643140542</v>
      </c>
      <c r="D11" s="19" t="n">
        <f aca="false">D9*D10</f>
        <v>158.561765752937</v>
      </c>
      <c r="E11" s="19" t="n">
        <f aca="false">E9*E10</f>
        <v>241.138658086877</v>
      </c>
    </row>
    <row r="12" customFormat="false" ht="15" hidden="false" customHeight="false" outlineLevel="0" collapsed="false">
      <c r="A12" s="16" t="s">
        <v>67</v>
      </c>
      <c r="B12" s="20" t="n">
        <f aca="false">B11</f>
        <v>-170</v>
      </c>
      <c r="C12" s="20" t="n">
        <f aca="false">B12+C11</f>
        <v>-149.746535685946</v>
      </c>
      <c r="D12" s="20" t="n">
        <f aca="false">C12+D11</f>
        <v>8.81523006699121</v>
      </c>
      <c r="E12" s="20" t="n">
        <f aca="false">D12+E11</f>
        <v>249.953888153868</v>
      </c>
    </row>
    <row r="15" customFormat="false" ht="15" hidden="false" customHeight="false" outlineLevel="0" collapsed="false">
      <c r="A15" s="4" t="s">
        <v>68</v>
      </c>
    </row>
    <row r="16" customFormat="false" ht="15" hidden="false" customHeight="false" outlineLevel="0" collapsed="false">
      <c r="A16" s="8" t="s">
        <v>69</v>
      </c>
      <c r="B16" s="28" t="n">
        <f aca="false">E12</f>
        <v>249.953888153868</v>
      </c>
    </row>
    <row r="17" customFormat="false" ht="15" hidden="false" customHeight="false" outlineLevel="0" collapsed="false">
      <c r="A17" s="8" t="s">
        <v>70</v>
      </c>
      <c r="B17" s="29" t="n">
        <f aca="false">IRR(B9:E9)</f>
        <v>0.531233225587615</v>
      </c>
    </row>
    <row r="18" customFormat="false" ht="15" hidden="false" customHeight="false" outlineLevel="0" collapsed="false">
      <c r="A18" s="5" t="s">
        <v>71</v>
      </c>
      <c r="B18" s="30" t="n">
        <f aca="false">(E12+ABS(B9))/ABS(B9)</f>
        <v>2.4703169891404</v>
      </c>
    </row>
    <row r="19" customFormat="false" ht="15" hidden="false" customHeight="false" outlineLevel="0" collapsed="false">
      <c r="A19" s="5" t="s">
        <v>72</v>
      </c>
      <c r="B19" s="28" t="n">
        <f aca="false">SUM(C9:E9)</f>
        <v>486.828672172898</v>
      </c>
    </row>
    <row r="21" customFormat="false" ht="15.75" hidden="false" customHeight="true" outlineLevel="0" collapsed="false">
      <c r="A21" s="3" t="s">
        <v>73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40"/>
  </cols>
  <sheetData>
    <row r="1" customFormat="false" ht="19.4" hidden="false" customHeight="false" outlineLevel="0" collapsed="false">
      <c r="A1" s="31" t="s">
        <v>74</v>
      </c>
    </row>
    <row r="2" customFormat="false" ht="15" hidden="false" customHeight="false" outlineLevel="0" collapsed="false">
      <c r="A2" s="32" t="s">
        <v>75</v>
      </c>
    </row>
    <row r="4" customFormat="false" ht="17.15" hidden="false" customHeight="false" outlineLevel="0" collapsed="false">
      <c r="B4" s="33" t="s">
        <v>76</v>
      </c>
    </row>
    <row r="5" customFormat="false" ht="15" hidden="false" customHeight="false" outlineLevel="0" collapsed="false">
      <c r="B5" s="34" t="s">
        <v>77</v>
      </c>
      <c r="C5" s="35" t="s">
        <v>56</v>
      </c>
      <c r="D5" s="35" t="s">
        <v>57</v>
      </c>
      <c r="E5" s="35" t="s">
        <v>58</v>
      </c>
      <c r="F5" s="34" t="s">
        <v>78</v>
      </c>
    </row>
    <row r="6" customFormat="false" ht="17.15" hidden="false" customHeight="false" outlineLevel="0" collapsed="false">
      <c r="B6" s="36" t="s">
        <v>79</v>
      </c>
      <c r="C6" s="37" t="n">
        <v>3.5</v>
      </c>
      <c r="D6" s="37" t="n">
        <v>3.5</v>
      </c>
      <c r="E6" s="37" t="n">
        <v>3.5</v>
      </c>
      <c r="F6" s="36" t="s">
        <v>80</v>
      </c>
    </row>
    <row r="7" customFormat="false" ht="17.15" hidden="false" customHeight="false" outlineLevel="0" collapsed="false">
      <c r="B7" s="36" t="s">
        <v>81</v>
      </c>
      <c r="C7" s="37" t="n">
        <v>12</v>
      </c>
      <c r="D7" s="37" t="n">
        <v>18</v>
      </c>
      <c r="E7" s="37" t="n">
        <v>20</v>
      </c>
      <c r="F7" s="36" t="s">
        <v>82</v>
      </c>
    </row>
    <row r="8" customFormat="false" ht="17.15" hidden="false" customHeight="false" outlineLevel="0" collapsed="false">
      <c r="B8" s="36" t="s">
        <v>83</v>
      </c>
      <c r="C8" s="37" t="n">
        <v>8.5</v>
      </c>
      <c r="D8" s="37" t="n">
        <v>9</v>
      </c>
      <c r="E8" s="37" t="n">
        <v>6</v>
      </c>
      <c r="F8" s="36" t="s">
        <v>84</v>
      </c>
    </row>
    <row r="9" customFormat="false" ht="15" hidden="false" customHeight="false" outlineLevel="0" collapsed="false">
      <c r="B9" s="33" t="s">
        <v>85</v>
      </c>
      <c r="C9" s="33" t="n">
        <f aca="false">SUM(C6:C8)</f>
        <v>24</v>
      </c>
      <c r="D9" s="33" t="n">
        <f aca="false">SUM(D6:D8)</f>
        <v>30.5</v>
      </c>
      <c r="E9" s="33" t="n">
        <f aca="false">SUM(E6:E8)</f>
        <v>29.5</v>
      </c>
    </row>
    <row r="11" customFormat="false" ht="17.15" hidden="false" customHeight="false" outlineLevel="0" collapsed="false">
      <c r="B11" s="33" t="s">
        <v>86</v>
      </c>
    </row>
    <row r="12" customFormat="false" ht="15" hidden="false" customHeight="false" outlineLevel="0" collapsed="false">
      <c r="B12" s="34" t="s">
        <v>87</v>
      </c>
      <c r="C12" s="34" t="s">
        <v>88</v>
      </c>
      <c r="D12" s="34" t="s">
        <v>89</v>
      </c>
    </row>
    <row r="13" customFormat="false" ht="17.15" hidden="false" customHeight="false" outlineLevel="0" collapsed="false">
      <c r="B13" s="36" t="s">
        <v>90</v>
      </c>
      <c r="C13" s="38" t="n">
        <v>6</v>
      </c>
      <c r="D13" s="39" t="s">
        <v>91</v>
      </c>
    </row>
    <row r="14" customFormat="false" ht="17.15" hidden="false" customHeight="false" outlineLevel="0" collapsed="false">
      <c r="B14" s="36" t="s">
        <v>92</v>
      </c>
      <c r="C14" s="38" t="n">
        <v>1.2</v>
      </c>
      <c r="D14" s="36" t="s">
        <v>93</v>
      </c>
    </row>
    <row r="15" customFormat="false" ht="17.15" hidden="false" customHeight="false" outlineLevel="0" collapsed="false">
      <c r="B15" s="36" t="s">
        <v>94</v>
      </c>
      <c r="C15" s="38" t="n">
        <v>0.3</v>
      </c>
      <c r="D15" s="36" t="s">
        <v>95</v>
      </c>
    </row>
    <row r="17" customFormat="false" ht="17.15" hidden="false" customHeight="false" outlineLevel="0" collapsed="false">
      <c r="B17" s="33" t="s">
        <v>96</v>
      </c>
    </row>
    <row r="18" customFormat="false" ht="15" hidden="false" customHeight="false" outlineLevel="0" collapsed="false">
      <c r="B18" s="34" t="s">
        <v>54</v>
      </c>
      <c r="C18" s="35" t="s">
        <v>56</v>
      </c>
      <c r="D18" s="35" t="s">
        <v>57</v>
      </c>
      <c r="E18" s="35" t="s">
        <v>58</v>
      </c>
      <c r="F18" s="34" t="s">
        <v>97</v>
      </c>
    </row>
    <row r="19" customFormat="false" ht="17.15" hidden="false" customHeight="false" outlineLevel="0" collapsed="false">
      <c r="B19" s="36" t="s">
        <v>98</v>
      </c>
      <c r="C19" s="37" t="n">
        <v>2860</v>
      </c>
      <c r="D19" s="37" t="n">
        <v>1800</v>
      </c>
      <c r="E19" s="37" t="n">
        <v>1160</v>
      </c>
      <c r="F19" s="36" t="s">
        <v>99</v>
      </c>
    </row>
    <row r="20" customFormat="false" ht="17.15" hidden="false" customHeight="false" outlineLevel="0" collapsed="false">
      <c r="B20" s="39" t="s">
        <v>100</v>
      </c>
      <c r="C20" s="40" t="n">
        <f aca="false">C19*(前提!C6*SUMPRODUCT(前提!C21:C26,前提!D21:D26)/SUM(前提!C21:C26))</f>
        <v>1299.584</v>
      </c>
      <c r="D20" s="40" t="n">
        <f aca="false">D19*(前提!C6*SUMPRODUCT(前提!C21:C26,前提!D21:D26)/SUM(前提!C21:C26))</f>
        <v>817.92</v>
      </c>
      <c r="E20" s="40" t="n">
        <f aca="false">E19*(前提!C6*SUMPRODUCT(前提!C21:C26,前提!D21:D26)/SUM(前提!C21:C26))</f>
        <v>527.104</v>
      </c>
      <c r="F20" s="36" t="s">
        <v>101</v>
      </c>
    </row>
    <row r="21" customFormat="false" ht="17.15" hidden="false" customHeight="false" outlineLevel="0" collapsed="false">
      <c r="B21" s="36" t="s">
        <v>102</v>
      </c>
      <c r="C21" s="38" t="n">
        <v>0.55</v>
      </c>
      <c r="D21" s="38" t="n">
        <v>0.35</v>
      </c>
      <c r="E21" s="38" t="n">
        <v>0.1</v>
      </c>
      <c r="F21" s="36" t="s">
        <v>103</v>
      </c>
    </row>
    <row r="22" customFormat="false" ht="17.15" hidden="false" customHeight="false" outlineLevel="0" collapsed="false">
      <c r="B22" s="36" t="s">
        <v>104</v>
      </c>
      <c r="C22" s="38" t="n">
        <v>300</v>
      </c>
      <c r="D22" s="38" t="n">
        <v>60</v>
      </c>
      <c r="E22" s="38" t="n">
        <v>10</v>
      </c>
      <c r="F22" s="36" t="s">
        <v>105</v>
      </c>
    </row>
    <row r="23" customFormat="false" ht="17.15" hidden="false" customHeight="false" outlineLevel="0" collapsed="false">
      <c r="B23" s="33" t="s">
        <v>106</v>
      </c>
      <c r="C23" s="33" t="n">
        <f aca="false">C20*($C$21/$C$22*$C$13+$D$21/$D$22*$C$14+$E$21/$E$22*$C$15)</f>
        <v>27.291264</v>
      </c>
      <c r="D23" s="33" t="n">
        <f aca="false">D20*($C$21/$C$22*$C$13+$D$21/$D$22*$C$14+$E$21/$E$22*$C$15)</f>
        <v>17.17632</v>
      </c>
      <c r="E23" s="33" t="n">
        <f aca="false">E20*($C$21/$C$22*$C$13+$D$21/$D$22*$C$14+$E$21/$E$22*$C$15)</f>
        <v>11.069184</v>
      </c>
    </row>
    <row r="25" customFormat="false" ht="15" hidden="false" customHeight="false" outlineLevel="0" collapsed="false">
      <c r="B25" s="33" t="s">
        <v>107</v>
      </c>
    </row>
    <row r="26" customFormat="false" ht="15" hidden="false" customHeight="false" outlineLevel="0" collapsed="false">
      <c r="B26" s="34" t="s">
        <v>54</v>
      </c>
      <c r="C26" s="35" t="s">
        <v>56</v>
      </c>
      <c r="D26" s="35" t="s">
        <v>57</v>
      </c>
      <c r="E26" s="35" t="s">
        <v>58</v>
      </c>
    </row>
    <row r="27" customFormat="false" ht="17.15" hidden="false" customHeight="false" outlineLevel="0" collapsed="false">
      <c r="B27" s="36" t="s">
        <v>108</v>
      </c>
      <c r="C27" s="40" t="n">
        <f aca="false">C9</f>
        <v>24</v>
      </c>
      <c r="D27" s="40" t="n">
        <f aca="false">D9</f>
        <v>30.5</v>
      </c>
      <c r="E27" s="40" t="n">
        <f aca="false">E9</f>
        <v>29.5</v>
      </c>
    </row>
    <row r="28" customFormat="false" ht="17.15" hidden="false" customHeight="false" outlineLevel="0" collapsed="false">
      <c r="B28" s="36" t="s">
        <v>109</v>
      </c>
      <c r="C28" s="40" t="n">
        <f aca="false">C23</f>
        <v>27.291264</v>
      </c>
      <c r="D28" s="40" t="n">
        <f aca="false">D23</f>
        <v>17.17632</v>
      </c>
      <c r="E28" s="40" t="n">
        <f aca="false">E23</f>
        <v>11.069184</v>
      </c>
    </row>
    <row r="29" customFormat="false" ht="17.15" hidden="false" customHeight="false" outlineLevel="0" collapsed="false">
      <c r="B29" s="33" t="s">
        <v>110</v>
      </c>
      <c r="C29" s="41" t="n">
        <f aca="false">MIN(C9/C23,1)</f>
        <v>0.879402287852992</v>
      </c>
      <c r="D29" s="41" t="n">
        <f aca="false">MIN(D9/D23,1)</f>
        <v>1</v>
      </c>
      <c r="E29" s="41" t="n">
        <f aca="false">MIN(E9/E23,1)</f>
        <v>1</v>
      </c>
    </row>
    <row r="31" customFormat="false" ht="15" hidden="false" customHeight="false" outlineLevel="0" collapsed="false">
      <c r="A31" s="32" t="s">
        <v>111</v>
      </c>
    </row>
    <row r="32" customFormat="false" ht="15" hidden="false" customHeight="false" outlineLevel="0" collapsed="false">
      <c r="A32" s="3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2026-07-05T14:23:49Z</dcterms:created>
  <dc:creator>openpyxl</dc:creator>
  <dc:description/>
  <dc:language>en-US</dc:language>
  <cp:lastModifiedBy/>
  <dcterms:modified xsi:type="dcterms:W3CDTF">2026-07-05T14:23:49Z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