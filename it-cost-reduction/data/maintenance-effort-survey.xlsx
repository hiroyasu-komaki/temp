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入要領" sheetId="1" state="visible" r:id="rId1"/>
    <sheet xmlns:r="http://schemas.openxmlformats.org/officeDocument/2006/relationships" name="様式" sheetId="2" state="visible" r:id="rId2"/>
    <sheet xmlns:r="http://schemas.openxmlformats.org/officeDocument/2006/relationships" name="記入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"/>
    <numFmt numFmtId="165" formatCode="#,##0.00;-#,##0.00;&quot;&quot;"/>
    <numFmt numFmtId="166" formatCode="0;-0;&quot;&quot;"/>
    <numFmt numFmtId="167" formatCode="yyyy-mm-dd"/>
  </numFmts>
  <fonts count="6">
    <font>
      <name val="Calibri"/>
      <family val="2"/>
      <color theme="1"/>
      <sz val="11"/>
      <scheme val="minor"/>
    </font>
    <font>
      <name val="Yu Gothic"/>
      <b val="1"/>
      <color rgb="0012305E"/>
      <sz val="14"/>
    </font>
    <font>
      <name val="Yu Gothic"/>
      <b val="1"/>
      <sz val="10"/>
    </font>
    <font>
      <name val="Yu Gothic"/>
      <sz val="10"/>
    </font>
    <font>
      <name val="Yu Gothic"/>
      <color rgb="007F7F7F"/>
      <sz val="10"/>
    </font>
    <font>
      <name val="Yu Gothic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CF3"/>
      </patternFill>
    </fill>
    <fill>
      <patternFill patternType="solid">
        <fgColor rgb="00D6DEEA"/>
      </patternFill>
    </fill>
    <fill>
      <patternFill patternType="solid">
        <fgColor rgb="0012305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3" fillId="2" borderId="1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0" fontId="3" fillId="0" borderId="1" pivotButton="0" quotePrefix="0" xfId="0"/>
    <xf numFmtId="165" fontId="3" fillId="2" borderId="1" pivotButton="0" quotePrefix="0" xfId="0"/>
    <xf numFmtId="165" fontId="3" fillId="0" borderId="1" pivotButton="0" quotePrefix="0" xfId="0"/>
    <xf numFmtId="0" fontId="4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165" fontId="3" fillId="3" borderId="1" pivotButton="0" quotePrefix="0" xfId="0"/>
    <xf numFmtId="0" fontId="2" fillId="4" borderId="1" pivotButton="0" quotePrefix="0" xfId="0"/>
    <xf numFmtId="165" fontId="2" fillId="4" borderId="1" pivotButton="0" quotePrefix="0" xfId="0"/>
    <xf numFmtId="166" fontId="3" fillId="3" borderId="1" pivotButton="0" quotePrefix="0" xfId="0"/>
    <xf numFmtId="167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運用保守委託 工数調査ワークシート</t>
        </is>
      </c>
    </row>
    <row r="3">
      <c r="A3" s="2" t="inlineStr">
        <is>
          <t>目的</t>
        </is>
      </c>
      <c r="B3" s="3" t="inlineStr">
        <is>
          <t>運用保守を委託している契約ごとに、要員別・作業区分別の作業時間を月次で記録する(第6章 6.2)。コストではなく時間を記録する。</t>
        </is>
      </c>
    </row>
    <row r="4">
      <c r="A4" s="2" t="inlineStr">
        <is>
          <t>期間</t>
        </is>
      </c>
      <c r="B4" s="3" t="inlineStr">
        <is>
          <t>最低3か月、できれば1年。</t>
        </is>
      </c>
    </row>
    <row r="5">
      <c r="A5" s="2" t="inlineStr">
        <is>
          <t>シートの作り方</t>
        </is>
      </c>
      <c r="B5" s="3" t="inlineStr">
        <is>
          <t>契約×ベンダー(作業実施会社)ごとに、「様式」シートをコピーして1枚作る。シート名は契約番号と作業実施会社にする(例：C-2025-012_△△テクノ)。</t>
        </is>
      </c>
    </row>
    <row r="6">
      <c r="A6" s="2" t="inlineStr">
        <is>
          <t>流れ</t>
        </is>
      </c>
      <c r="B6" s="3" t="inlineStr">
        <is>
          <t>①ベンダーが月次で時間を記入して提出 → ②IT部門のシステム管理者が内容を確認し、確認欄に記入 → ③VMOが各シートを集約する</t>
        </is>
      </c>
    </row>
    <row r="7">
      <c r="A7" s="2" t="inlineStr"/>
      <c r="B7" s="3" t="inlineStr"/>
    </row>
    <row r="8">
      <c r="A8" s="2" t="inlineStr">
        <is>
          <t>記入するセル</t>
        </is>
      </c>
      <c r="B8" s="3" t="inlineStr">
        <is>
          <t>黄色のセルだけを記入する。青のセルは自動計算なので触らない。</t>
        </is>
      </c>
    </row>
    <row r="9">
      <c r="A9" s="2" t="inlineStr">
        <is>
          <t>上部の項目</t>
        </is>
      </c>
      <c r="B9" s="3" t="inlineStr">
        <is>
          <t>契約番号、契約名、契約先ベンダー(元請)、作業実施会社、確認者、調査開始月を記入する。調査開始月を入れると、年月の見出しが12か月分自動で入る。</t>
        </is>
      </c>
    </row>
    <row r="10">
      <c r="A10" s="2" t="inlineStr">
        <is>
          <t>要員ID</t>
        </is>
      </c>
      <c r="B10" s="3" t="inlineStr">
        <is>
          <t>要員ごとのブロックの1行目に要員IDを記入する(氏名は記入しない)。1シートで10名まで。足りない場合はシートを分ける。</t>
        </is>
      </c>
    </row>
    <row r="11">
      <c r="A11" s="2" t="inlineStr">
        <is>
          <t>時間</t>
        </is>
      </c>
      <c r="B11" s="3" t="inlineStr">
        <is>
          <t>作業区分ごとの月の作業時間を、0.25時間単位で記入する。要員ごとの月合計、全要員の作業区分別合計・月合計、報告した要員数は自動で計算される。</t>
        </is>
      </c>
    </row>
    <row r="12">
      <c r="A12" s="2" t="inlineStr">
        <is>
          <t>作業区分</t>
        </is>
      </c>
      <c r="B12" s="3" t="inlineStr">
        <is>
          <t>①定常運用：監視、ジョブ・バッチ運用、バックアップ、定期作業</t>
        </is>
      </c>
    </row>
    <row r="13">
      <c r="A13" s="2" t="inlineStr"/>
      <c r="B13" s="3" t="inlineStr">
        <is>
          <t>②障害対応：障害の一次・二次対応、原因調査、復旧</t>
        </is>
      </c>
    </row>
    <row r="14">
      <c r="A14" s="2" t="inlineStr"/>
      <c r="B14" s="3" t="inlineStr">
        <is>
          <t>③問い合わせ対応：利用部門からの問い合わせ、操作支援、データ抽出依頼</t>
        </is>
      </c>
    </row>
    <row r="15">
      <c r="A15" s="2" t="inlineStr"/>
      <c r="B15" s="3" t="inlineStr">
        <is>
          <t>④保守内の小規模改修：保守契約の範囲内で行う軽微な改修・設定変更</t>
        </is>
      </c>
    </row>
    <row r="16">
      <c r="A16" s="2" t="inlineStr"/>
      <c r="B16" s="3" t="inlineStr">
        <is>
          <t>⑤体制の維持：待機、知識の維持(①〜④のどれにも当たらない時間)</t>
        </is>
      </c>
    </row>
    <row r="17">
      <c r="A17" s="2" t="inlineStr"/>
      <c r="B17" s="3" t="inlineStr">
        <is>
          <t>⑥管理：プロジェクト管理、月次報告、会議</t>
        </is>
      </c>
    </row>
    <row r="18">
      <c r="A18" s="2" t="inlineStr">
        <is>
          <t>任意の項目</t>
        </is>
      </c>
      <c r="B18" s="3" t="inlineStr">
        <is>
          <t>次の2つは任意。記入できる範囲で記入する。</t>
        </is>
      </c>
    </row>
    <row r="19">
      <c r="A19" s="2" t="inlineStr"/>
      <c r="B19" s="3" t="inlineStr">
        <is>
          <t>保守対象システム：この契約で保守しているシステムを、ベンダーの認識で列挙する(時間をシステムごとに分ける必要はない)。</t>
        </is>
      </c>
    </row>
    <row r="20">
      <c r="A20" s="2" t="inlineStr"/>
      <c r="B20" s="3" t="inlineStr">
        <is>
          <t>主な作業指示元：要員ごとに、日々の作業を主に誰の指示で行っているかを選ぶ(自社のIT部門／自社の利用部門／ベンダー内の責任者／指示なし(自主判断))。</t>
        </is>
      </c>
    </row>
    <row r="21">
      <c r="A21" s="2" t="inlineStr">
        <is>
          <t>確認欄</t>
        </is>
      </c>
      <c r="B21" s="3" t="inlineStr">
        <is>
          <t>ベンダーが報告日を、システム管理者が確認日・確認結果(承認／差戻し)・確認コメントを、月ごとに記入する。差戻しの場合は、ベンダーが同じセルを修正して再提出する。</t>
        </is>
      </c>
    </row>
    <row r="22">
      <c r="A22" s="2" t="inlineStr">
        <is>
          <t>記入例</t>
        </is>
      </c>
      <c r="B22" s="3" t="inlineStr">
        <is>
          <t>「記入例」シートは2名分・3か月分を記入した例。運用では使わない。</t>
        </is>
      </c>
    </row>
    <row r="24">
      <c r="A24" s="4" t="inlineStr">
        <is>
          <t>記入するセル</t>
        </is>
      </c>
    </row>
    <row r="25">
      <c r="A25" s="5" t="inlineStr">
        <is>
          <t>自動計算(小計)</t>
        </is>
      </c>
    </row>
    <row r="26">
      <c r="A26" s="6" t="inlineStr">
        <is>
          <t>自動計算(合計)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8"/>
  <sheetViews>
    <sheetView zoomScale="90"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22" customWidth="1" min="16" max="16"/>
  </cols>
  <sheetData>
    <row r="1">
      <c r="A1" s="1" t="inlineStr">
        <is>
          <t>運用保守 工数報告(契約・ベンダー単位)</t>
        </is>
      </c>
    </row>
    <row r="3">
      <c r="A3" s="7" t="inlineStr">
        <is>
          <t>契約番号</t>
        </is>
      </c>
      <c r="B3" s="4" t="n"/>
      <c r="C3" s="8" t="n"/>
      <c r="D3" s="8" t="n"/>
      <c r="E3" s="8" t="n"/>
    </row>
    <row r="4">
      <c r="A4" s="7" t="inlineStr">
        <is>
          <t>契約名</t>
        </is>
      </c>
      <c r="B4" s="4" t="n"/>
      <c r="C4" s="8" t="n"/>
      <c r="D4" s="8" t="n"/>
      <c r="E4" s="8" t="n"/>
    </row>
    <row r="5">
      <c r="A5" s="7" t="inlineStr">
        <is>
          <t>契約先ベンダー(元請)</t>
        </is>
      </c>
      <c r="B5" s="4" t="n"/>
      <c r="C5" s="8" t="n"/>
      <c r="D5" s="8" t="n"/>
      <c r="E5" s="8" t="n"/>
    </row>
    <row r="6">
      <c r="A6" s="7" t="inlineStr">
        <is>
          <t>作業実施会社</t>
        </is>
      </c>
      <c r="B6" s="4" t="n"/>
      <c r="C6" s="8" t="n"/>
      <c r="D6" s="8" t="n"/>
      <c r="E6" s="8" t="n"/>
    </row>
    <row r="7">
      <c r="A7" s="7" t="inlineStr">
        <is>
          <t>確認者(システム管理者)</t>
        </is>
      </c>
      <c r="B7" s="4" t="n"/>
      <c r="C7" s="8" t="n"/>
      <c r="D7" s="8" t="n"/>
      <c r="E7" s="8" t="n"/>
    </row>
    <row r="8">
      <c r="A8" s="7" t="inlineStr">
        <is>
          <t>調査開始月</t>
        </is>
      </c>
      <c r="B8" s="9" t="n"/>
      <c r="C8" s="8" t="n"/>
      <c r="D8" s="8" t="n"/>
      <c r="E8" s="8" t="n"/>
      <c r="G8" s="10" t="inlineStr">
        <is>
          <t>← 調査開始月を入れると、下の年月の見出しが自動で入る</t>
        </is>
      </c>
    </row>
    <row r="9" ht="42" customHeight="1">
      <c r="A9" s="11" t="inlineStr">
        <is>
          <t>保守対象システム
(任意・ベンダー申告)</t>
        </is>
      </c>
      <c r="B9" s="12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2">
      <c r="A12" s="13" t="inlineStr">
        <is>
          <t>要員ID</t>
        </is>
      </c>
      <c r="B12" s="13" t="inlineStr">
        <is>
          <t>作業区分</t>
        </is>
      </c>
      <c r="C12" s="14">
        <f>IF($B$8="","",$B$8)</f>
        <v/>
      </c>
      <c r="D12" s="14">
        <f>IF($B$8="","",EDATE($B$8,1))</f>
        <v/>
      </c>
      <c r="E12" s="14">
        <f>IF($B$8="","",EDATE($B$8,2))</f>
        <v/>
      </c>
      <c r="F12" s="14">
        <f>IF($B$8="","",EDATE($B$8,3))</f>
        <v/>
      </c>
      <c r="G12" s="14">
        <f>IF($B$8="","",EDATE($B$8,4))</f>
        <v/>
      </c>
      <c r="H12" s="14">
        <f>IF($B$8="","",EDATE($B$8,5))</f>
        <v/>
      </c>
      <c r="I12" s="14">
        <f>IF($B$8="","",EDATE($B$8,6))</f>
        <v/>
      </c>
      <c r="J12" s="14">
        <f>IF($B$8="","",EDATE($B$8,7))</f>
        <v/>
      </c>
      <c r="K12" s="14">
        <f>IF($B$8="","",EDATE($B$8,8))</f>
        <v/>
      </c>
      <c r="L12" s="14">
        <f>IF($B$8="","",EDATE($B$8,9))</f>
        <v/>
      </c>
      <c r="M12" s="14">
        <f>IF($B$8="","",EDATE($B$8,10))</f>
        <v/>
      </c>
      <c r="N12" s="14">
        <f>IF($B$8="","",EDATE($B$8,11))</f>
        <v/>
      </c>
      <c r="O12" s="13" t="inlineStr">
        <is>
          <t>合計</t>
        </is>
      </c>
      <c r="P12" s="13" t="inlineStr">
        <is>
          <t>主な作業指示元(任意)</t>
        </is>
      </c>
    </row>
    <row r="13">
      <c r="A13" s="4" t="n"/>
      <c r="B13" s="15" t="inlineStr">
        <is>
          <t>①定常運用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>
        <f>SUM(C13:N13)</f>
        <v/>
      </c>
      <c r="P13" s="4" t="n"/>
    </row>
    <row r="14">
      <c r="A14" s="18">
        <f>IF($A$13="","",$A$13)</f>
        <v/>
      </c>
      <c r="B14" s="15" t="inlineStr">
        <is>
          <t>②障害対応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7">
        <f>SUM(C14:N14)</f>
        <v/>
      </c>
    </row>
    <row r="15">
      <c r="A15" s="18">
        <f>IF($A$13="","",$A$13)</f>
        <v/>
      </c>
      <c r="B15" s="15" t="inlineStr">
        <is>
          <t>③問い合わせ対応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7">
        <f>SUM(C15:N15)</f>
        <v/>
      </c>
    </row>
    <row r="16">
      <c r="A16" s="18">
        <f>IF($A$13="","",$A$13)</f>
        <v/>
      </c>
      <c r="B16" s="15" t="inlineStr">
        <is>
          <t>④保守内の小規模改修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>
        <f>SUM(C16:N16)</f>
        <v/>
      </c>
    </row>
    <row r="17">
      <c r="A17" s="18">
        <f>IF($A$13="","",$A$13)</f>
        <v/>
      </c>
      <c r="B17" s="15" t="inlineStr">
        <is>
          <t>⑤体制の維持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7">
        <f>SUM(C17:N17)</f>
        <v/>
      </c>
    </row>
    <row r="18">
      <c r="A18" s="18">
        <f>IF($A$13="","",$A$13)</f>
        <v/>
      </c>
      <c r="B18" s="15" t="inlineStr">
        <is>
          <t>⑥管理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7">
        <f>SUM(C18:N18)</f>
        <v/>
      </c>
    </row>
    <row r="19">
      <c r="A19" s="19">
        <f>IF($A$13="","",$A$13)</f>
        <v/>
      </c>
      <c r="B19" s="19" t="inlineStr">
        <is>
          <t>月合計</t>
        </is>
      </c>
      <c r="C19" s="20">
        <f>SUM(C13:C18)</f>
        <v/>
      </c>
      <c r="D19" s="20">
        <f>SUM(D13:D18)</f>
        <v/>
      </c>
      <c r="E19" s="20">
        <f>SUM(E13:E18)</f>
        <v/>
      </c>
      <c r="F19" s="20">
        <f>SUM(F13:F18)</f>
        <v/>
      </c>
      <c r="G19" s="20">
        <f>SUM(G13:G18)</f>
        <v/>
      </c>
      <c r="H19" s="20">
        <f>SUM(H13:H18)</f>
        <v/>
      </c>
      <c r="I19" s="20">
        <f>SUM(I13:I18)</f>
        <v/>
      </c>
      <c r="J19" s="20">
        <f>SUM(J13:J18)</f>
        <v/>
      </c>
      <c r="K19" s="20">
        <f>SUM(K13:K18)</f>
        <v/>
      </c>
      <c r="L19" s="20">
        <f>SUM(L13:L18)</f>
        <v/>
      </c>
      <c r="M19" s="20">
        <f>SUM(M13:M18)</f>
        <v/>
      </c>
      <c r="N19" s="20">
        <f>SUM(N13:N18)</f>
        <v/>
      </c>
      <c r="O19" s="20">
        <f>SUM(O13:O18)</f>
        <v/>
      </c>
    </row>
    <row r="20">
      <c r="A20" s="4" t="n"/>
      <c r="B20" s="15" t="inlineStr">
        <is>
          <t>①定常運用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7">
        <f>SUM(C20:N20)</f>
        <v/>
      </c>
      <c r="P20" s="4" t="n"/>
    </row>
    <row r="21">
      <c r="A21" s="18">
        <f>IF($A$20="","",$A$20)</f>
        <v/>
      </c>
      <c r="B21" s="15" t="inlineStr">
        <is>
          <t>②障害対応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7">
        <f>SUM(C21:N21)</f>
        <v/>
      </c>
    </row>
    <row r="22">
      <c r="A22" s="18">
        <f>IF($A$20="","",$A$20)</f>
        <v/>
      </c>
      <c r="B22" s="15" t="inlineStr">
        <is>
          <t>③問い合わせ対応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>
        <f>SUM(C22:N22)</f>
        <v/>
      </c>
    </row>
    <row r="23">
      <c r="A23" s="18">
        <f>IF($A$20="","",$A$20)</f>
        <v/>
      </c>
      <c r="B23" s="15" t="inlineStr">
        <is>
          <t>④保守内の小規模改修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7">
        <f>SUM(C23:N23)</f>
        <v/>
      </c>
    </row>
    <row r="24">
      <c r="A24" s="18">
        <f>IF($A$20="","",$A$20)</f>
        <v/>
      </c>
      <c r="B24" s="15" t="inlineStr">
        <is>
          <t>⑤体制の維持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7">
        <f>SUM(C24:N24)</f>
        <v/>
      </c>
    </row>
    <row r="25">
      <c r="A25" s="18">
        <f>IF($A$20="","",$A$20)</f>
        <v/>
      </c>
      <c r="B25" s="15" t="inlineStr">
        <is>
          <t>⑥管理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>
        <f>SUM(C25:N25)</f>
        <v/>
      </c>
    </row>
    <row r="26">
      <c r="A26" s="19">
        <f>IF($A$20="","",$A$20)</f>
        <v/>
      </c>
      <c r="B26" s="19" t="inlineStr">
        <is>
          <t>月合計</t>
        </is>
      </c>
      <c r="C26" s="20">
        <f>SUM(C20:C25)</f>
        <v/>
      </c>
      <c r="D26" s="20">
        <f>SUM(D20:D25)</f>
        <v/>
      </c>
      <c r="E26" s="20">
        <f>SUM(E20:E25)</f>
        <v/>
      </c>
      <c r="F26" s="20">
        <f>SUM(F20:F25)</f>
        <v/>
      </c>
      <c r="G26" s="20">
        <f>SUM(G20:G25)</f>
        <v/>
      </c>
      <c r="H26" s="20">
        <f>SUM(H20:H25)</f>
        <v/>
      </c>
      <c r="I26" s="20">
        <f>SUM(I20:I25)</f>
        <v/>
      </c>
      <c r="J26" s="20">
        <f>SUM(J20:J25)</f>
        <v/>
      </c>
      <c r="K26" s="20">
        <f>SUM(K20:K25)</f>
        <v/>
      </c>
      <c r="L26" s="20">
        <f>SUM(L20:L25)</f>
        <v/>
      </c>
      <c r="M26" s="20">
        <f>SUM(M20:M25)</f>
        <v/>
      </c>
      <c r="N26" s="20">
        <f>SUM(N20:N25)</f>
        <v/>
      </c>
      <c r="O26" s="20">
        <f>SUM(O20:O25)</f>
        <v/>
      </c>
    </row>
    <row r="27">
      <c r="A27" s="4" t="n"/>
      <c r="B27" s="15" t="inlineStr">
        <is>
          <t>①定常運用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7">
        <f>SUM(C27:N27)</f>
        <v/>
      </c>
      <c r="P27" s="4" t="n"/>
    </row>
    <row r="28">
      <c r="A28" s="18">
        <f>IF($A$27="","",$A$27)</f>
        <v/>
      </c>
      <c r="B28" s="15" t="inlineStr">
        <is>
          <t>②障害対応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>
        <f>SUM(C28:N28)</f>
        <v/>
      </c>
    </row>
    <row r="29">
      <c r="A29" s="18">
        <f>IF($A$27="","",$A$27)</f>
        <v/>
      </c>
      <c r="B29" s="15" t="inlineStr">
        <is>
          <t>③問い合わせ対応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7">
        <f>SUM(C29:N29)</f>
        <v/>
      </c>
    </row>
    <row r="30">
      <c r="A30" s="18">
        <f>IF($A$27="","",$A$27)</f>
        <v/>
      </c>
      <c r="B30" s="15" t="inlineStr">
        <is>
          <t>④保守内の小規模改修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7">
        <f>SUM(C30:N30)</f>
        <v/>
      </c>
    </row>
    <row r="31">
      <c r="A31" s="18">
        <f>IF($A$27="","",$A$27)</f>
        <v/>
      </c>
      <c r="B31" s="15" t="inlineStr">
        <is>
          <t>⑤体制の維持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>
        <f>SUM(C31:N31)</f>
        <v/>
      </c>
    </row>
    <row r="32">
      <c r="A32" s="18">
        <f>IF($A$27="","",$A$27)</f>
        <v/>
      </c>
      <c r="B32" s="15" t="inlineStr">
        <is>
          <t>⑥管理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7">
        <f>SUM(C32:N32)</f>
        <v/>
      </c>
    </row>
    <row r="33">
      <c r="A33" s="19">
        <f>IF($A$27="","",$A$27)</f>
        <v/>
      </c>
      <c r="B33" s="19" t="inlineStr">
        <is>
          <t>月合計</t>
        </is>
      </c>
      <c r="C33" s="20">
        <f>SUM(C27:C32)</f>
        <v/>
      </c>
      <c r="D33" s="20">
        <f>SUM(D27:D32)</f>
        <v/>
      </c>
      <c r="E33" s="20">
        <f>SUM(E27:E32)</f>
        <v/>
      </c>
      <c r="F33" s="20">
        <f>SUM(F27:F32)</f>
        <v/>
      </c>
      <c r="G33" s="20">
        <f>SUM(G27:G32)</f>
        <v/>
      </c>
      <c r="H33" s="20">
        <f>SUM(H27:H32)</f>
        <v/>
      </c>
      <c r="I33" s="20">
        <f>SUM(I27:I32)</f>
        <v/>
      </c>
      <c r="J33" s="20">
        <f>SUM(J27:J32)</f>
        <v/>
      </c>
      <c r="K33" s="20">
        <f>SUM(K27:K32)</f>
        <v/>
      </c>
      <c r="L33" s="20">
        <f>SUM(L27:L32)</f>
        <v/>
      </c>
      <c r="M33" s="20">
        <f>SUM(M27:M32)</f>
        <v/>
      </c>
      <c r="N33" s="20">
        <f>SUM(N27:N32)</f>
        <v/>
      </c>
      <c r="O33" s="20">
        <f>SUM(O27:O32)</f>
        <v/>
      </c>
    </row>
    <row r="34">
      <c r="A34" s="4" t="n"/>
      <c r="B34" s="15" t="inlineStr">
        <is>
          <t>①定常運用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>
        <f>SUM(C34:N34)</f>
        <v/>
      </c>
      <c r="P34" s="4" t="n"/>
    </row>
    <row r="35">
      <c r="A35" s="18">
        <f>IF($A$34="","",$A$34)</f>
        <v/>
      </c>
      <c r="B35" s="15" t="inlineStr">
        <is>
          <t>②障害対応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7">
        <f>SUM(C35:N35)</f>
        <v/>
      </c>
    </row>
    <row r="36">
      <c r="A36" s="18">
        <f>IF($A$34="","",$A$34)</f>
        <v/>
      </c>
      <c r="B36" s="15" t="inlineStr">
        <is>
          <t>③問い合わせ対応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7">
        <f>SUM(C36:N36)</f>
        <v/>
      </c>
    </row>
    <row r="37">
      <c r="A37" s="18">
        <f>IF($A$34="","",$A$34)</f>
        <v/>
      </c>
      <c r="B37" s="15" t="inlineStr">
        <is>
          <t>④保守内の小規模改修</t>
        </is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>
        <f>SUM(C37:N37)</f>
        <v/>
      </c>
    </row>
    <row r="38">
      <c r="A38" s="18">
        <f>IF($A$34="","",$A$34)</f>
        <v/>
      </c>
      <c r="B38" s="15" t="inlineStr">
        <is>
          <t>⑤体制の維持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7">
        <f>SUM(C38:N38)</f>
        <v/>
      </c>
    </row>
    <row r="39">
      <c r="A39" s="18">
        <f>IF($A$34="","",$A$34)</f>
        <v/>
      </c>
      <c r="B39" s="15" t="inlineStr">
        <is>
          <t>⑥管理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7">
        <f>SUM(C39:N39)</f>
        <v/>
      </c>
    </row>
    <row r="40">
      <c r="A40" s="19">
        <f>IF($A$34="","",$A$34)</f>
        <v/>
      </c>
      <c r="B40" s="19" t="inlineStr">
        <is>
          <t>月合計</t>
        </is>
      </c>
      <c r="C40" s="20">
        <f>SUM(C34:C39)</f>
        <v/>
      </c>
      <c r="D40" s="20">
        <f>SUM(D34:D39)</f>
        <v/>
      </c>
      <c r="E40" s="20">
        <f>SUM(E34:E39)</f>
        <v/>
      </c>
      <c r="F40" s="20">
        <f>SUM(F34:F39)</f>
        <v/>
      </c>
      <c r="G40" s="20">
        <f>SUM(G34:G39)</f>
        <v/>
      </c>
      <c r="H40" s="20">
        <f>SUM(H34:H39)</f>
        <v/>
      </c>
      <c r="I40" s="20">
        <f>SUM(I34:I39)</f>
        <v/>
      </c>
      <c r="J40" s="20">
        <f>SUM(J34:J39)</f>
        <v/>
      </c>
      <c r="K40" s="20">
        <f>SUM(K34:K39)</f>
        <v/>
      </c>
      <c r="L40" s="20">
        <f>SUM(L34:L39)</f>
        <v/>
      </c>
      <c r="M40" s="20">
        <f>SUM(M34:M39)</f>
        <v/>
      </c>
      <c r="N40" s="20">
        <f>SUM(N34:N39)</f>
        <v/>
      </c>
      <c r="O40" s="20">
        <f>SUM(O34:O39)</f>
        <v/>
      </c>
    </row>
    <row r="41">
      <c r="A41" s="4" t="n"/>
      <c r="B41" s="15" t="inlineStr">
        <is>
          <t>①定常運用</t>
        </is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7">
        <f>SUM(C41:N41)</f>
        <v/>
      </c>
      <c r="P41" s="4" t="n"/>
    </row>
    <row r="42">
      <c r="A42" s="18">
        <f>IF($A$41="","",$A$41)</f>
        <v/>
      </c>
      <c r="B42" s="15" t="inlineStr">
        <is>
          <t>②障害対応</t>
        </is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7">
        <f>SUM(C42:N42)</f>
        <v/>
      </c>
    </row>
    <row r="43">
      <c r="A43" s="18">
        <f>IF($A$41="","",$A$41)</f>
        <v/>
      </c>
      <c r="B43" s="15" t="inlineStr">
        <is>
          <t>③問い合わせ対応</t>
        </is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>
        <f>SUM(C43:N43)</f>
        <v/>
      </c>
    </row>
    <row r="44">
      <c r="A44" s="18">
        <f>IF($A$41="","",$A$41)</f>
        <v/>
      </c>
      <c r="B44" s="15" t="inlineStr">
        <is>
          <t>④保守内の小規模改修</t>
        </is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7">
        <f>SUM(C44:N44)</f>
        <v/>
      </c>
    </row>
    <row r="45">
      <c r="A45" s="18">
        <f>IF($A$41="","",$A$41)</f>
        <v/>
      </c>
      <c r="B45" s="15" t="inlineStr">
        <is>
          <t>⑤体制の維持</t>
        </is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7">
        <f>SUM(C45:N45)</f>
        <v/>
      </c>
    </row>
    <row r="46">
      <c r="A46" s="18">
        <f>IF($A$41="","",$A$41)</f>
        <v/>
      </c>
      <c r="B46" s="15" t="inlineStr">
        <is>
          <t>⑥管理</t>
        </is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>
        <f>SUM(C46:N46)</f>
        <v/>
      </c>
    </row>
    <row r="47">
      <c r="A47" s="19">
        <f>IF($A$41="","",$A$41)</f>
        <v/>
      </c>
      <c r="B47" s="19" t="inlineStr">
        <is>
          <t>月合計</t>
        </is>
      </c>
      <c r="C47" s="20">
        <f>SUM(C41:C46)</f>
        <v/>
      </c>
      <c r="D47" s="20">
        <f>SUM(D41:D46)</f>
        <v/>
      </c>
      <c r="E47" s="20">
        <f>SUM(E41:E46)</f>
        <v/>
      </c>
      <c r="F47" s="20">
        <f>SUM(F41:F46)</f>
        <v/>
      </c>
      <c r="G47" s="20">
        <f>SUM(G41:G46)</f>
        <v/>
      </c>
      <c r="H47" s="20">
        <f>SUM(H41:H46)</f>
        <v/>
      </c>
      <c r="I47" s="20">
        <f>SUM(I41:I46)</f>
        <v/>
      </c>
      <c r="J47" s="20">
        <f>SUM(J41:J46)</f>
        <v/>
      </c>
      <c r="K47" s="20">
        <f>SUM(K41:K46)</f>
        <v/>
      </c>
      <c r="L47" s="20">
        <f>SUM(L41:L46)</f>
        <v/>
      </c>
      <c r="M47" s="20">
        <f>SUM(M41:M46)</f>
        <v/>
      </c>
      <c r="N47" s="20">
        <f>SUM(N41:N46)</f>
        <v/>
      </c>
      <c r="O47" s="20">
        <f>SUM(O41:O46)</f>
        <v/>
      </c>
    </row>
    <row r="48">
      <c r="A48" s="4" t="n"/>
      <c r="B48" s="15" t="inlineStr">
        <is>
          <t>①定常運用</t>
        </is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7">
        <f>SUM(C48:N48)</f>
        <v/>
      </c>
      <c r="P48" s="4" t="n"/>
    </row>
    <row r="49">
      <c r="A49" s="18">
        <f>IF($A$48="","",$A$48)</f>
        <v/>
      </c>
      <c r="B49" s="15" t="inlineStr">
        <is>
          <t>②障害対応</t>
        </is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>
        <f>SUM(C49:N49)</f>
        <v/>
      </c>
    </row>
    <row r="50">
      <c r="A50" s="18">
        <f>IF($A$48="","",$A$48)</f>
        <v/>
      </c>
      <c r="B50" s="15" t="inlineStr">
        <is>
          <t>③問い合わせ対応</t>
        </is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7">
        <f>SUM(C50:N50)</f>
        <v/>
      </c>
    </row>
    <row r="51">
      <c r="A51" s="18">
        <f>IF($A$48="","",$A$48)</f>
        <v/>
      </c>
      <c r="B51" s="15" t="inlineStr">
        <is>
          <t>④保守内の小規模改修</t>
        </is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7">
        <f>SUM(C51:N51)</f>
        <v/>
      </c>
    </row>
    <row r="52">
      <c r="A52" s="18">
        <f>IF($A$48="","",$A$48)</f>
        <v/>
      </c>
      <c r="B52" s="15" t="inlineStr">
        <is>
          <t>⑤体制の維持</t>
        </is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>
        <f>SUM(C52:N52)</f>
        <v/>
      </c>
    </row>
    <row r="53">
      <c r="A53" s="18">
        <f>IF($A$48="","",$A$48)</f>
        <v/>
      </c>
      <c r="B53" s="15" t="inlineStr">
        <is>
          <t>⑥管理</t>
        </is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7">
        <f>SUM(C53:N53)</f>
        <v/>
      </c>
    </row>
    <row r="54">
      <c r="A54" s="19">
        <f>IF($A$48="","",$A$48)</f>
        <v/>
      </c>
      <c r="B54" s="19" t="inlineStr">
        <is>
          <t>月合計</t>
        </is>
      </c>
      <c r="C54" s="20">
        <f>SUM(C48:C53)</f>
        <v/>
      </c>
      <c r="D54" s="20">
        <f>SUM(D48:D53)</f>
        <v/>
      </c>
      <c r="E54" s="20">
        <f>SUM(E48:E53)</f>
        <v/>
      </c>
      <c r="F54" s="20">
        <f>SUM(F48:F53)</f>
        <v/>
      </c>
      <c r="G54" s="20">
        <f>SUM(G48:G53)</f>
        <v/>
      </c>
      <c r="H54" s="20">
        <f>SUM(H48:H53)</f>
        <v/>
      </c>
      <c r="I54" s="20">
        <f>SUM(I48:I53)</f>
        <v/>
      </c>
      <c r="J54" s="20">
        <f>SUM(J48:J53)</f>
        <v/>
      </c>
      <c r="K54" s="20">
        <f>SUM(K48:K53)</f>
        <v/>
      </c>
      <c r="L54" s="20">
        <f>SUM(L48:L53)</f>
        <v/>
      </c>
      <c r="M54" s="20">
        <f>SUM(M48:M53)</f>
        <v/>
      </c>
      <c r="N54" s="20">
        <f>SUM(N48:N53)</f>
        <v/>
      </c>
      <c r="O54" s="20">
        <f>SUM(O48:O53)</f>
        <v/>
      </c>
    </row>
    <row r="55">
      <c r="A55" s="4" t="n"/>
      <c r="B55" s="15" t="inlineStr">
        <is>
          <t>①定常運用</t>
        </is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>
        <f>SUM(C55:N55)</f>
        <v/>
      </c>
      <c r="P55" s="4" t="n"/>
    </row>
    <row r="56">
      <c r="A56" s="18">
        <f>IF($A$55="","",$A$55)</f>
        <v/>
      </c>
      <c r="B56" s="15" t="inlineStr">
        <is>
          <t>②障害対応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7">
        <f>SUM(C56:N56)</f>
        <v/>
      </c>
    </row>
    <row r="57">
      <c r="A57" s="18">
        <f>IF($A$55="","",$A$55)</f>
        <v/>
      </c>
      <c r="B57" s="15" t="inlineStr">
        <is>
          <t>③問い合わせ対応</t>
        </is>
      </c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7">
        <f>SUM(C57:N57)</f>
        <v/>
      </c>
    </row>
    <row r="58">
      <c r="A58" s="18">
        <f>IF($A$55="","",$A$55)</f>
        <v/>
      </c>
      <c r="B58" s="15" t="inlineStr">
        <is>
          <t>④保守内の小規模改修</t>
        </is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>
        <f>SUM(C58:N58)</f>
        <v/>
      </c>
    </row>
    <row r="59">
      <c r="A59" s="18">
        <f>IF($A$55="","",$A$55)</f>
        <v/>
      </c>
      <c r="B59" s="15" t="inlineStr">
        <is>
          <t>⑤体制の維持</t>
        </is>
      </c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7">
        <f>SUM(C59:N59)</f>
        <v/>
      </c>
    </row>
    <row r="60">
      <c r="A60" s="18">
        <f>IF($A$55="","",$A$55)</f>
        <v/>
      </c>
      <c r="B60" s="15" t="inlineStr">
        <is>
          <t>⑥管理</t>
        </is>
      </c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7">
        <f>SUM(C60:N60)</f>
        <v/>
      </c>
    </row>
    <row r="61">
      <c r="A61" s="19">
        <f>IF($A$55="","",$A$55)</f>
        <v/>
      </c>
      <c r="B61" s="19" t="inlineStr">
        <is>
          <t>月合計</t>
        </is>
      </c>
      <c r="C61" s="20">
        <f>SUM(C55:C60)</f>
        <v/>
      </c>
      <c r="D61" s="20">
        <f>SUM(D55:D60)</f>
        <v/>
      </c>
      <c r="E61" s="20">
        <f>SUM(E55:E60)</f>
        <v/>
      </c>
      <c r="F61" s="20">
        <f>SUM(F55:F60)</f>
        <v/>
      </c>
      <c r="G61" s="20">
        <f>SUM(G55:G60)</f>
        <v/>
      </c>
      <c r="H61" s="20">
        <f>SUM(H55:H60)</f>
        <v/>
      </c>
      <c r="I61" s="20">
        <f>SUM(I55:I60)</f>
        <v/>
      </c>
      <c r="J61" s="20">
        <f>SUM(J55:J60)</f>
        <v/>
      </c>
      <c r="K61" s="20">
        <f>SUM(K55:K60)</f>
        <v/>
      </c>
      <c r="L61" s="20">
        <f>SUM(L55:L60)</f>
        <v/>
      </c>
      <c r="M61" s="20">
        <f>SUM(M55:M60)</f>
        <v/>
      </c>
      <c r="N61" s="20">
        <f>SUM(N55:N60)</f>
        <v/>
      </c>
      <c r="O61" s="20">
        <f>SUM(O55:O60)</f>
        <v/>
      </c>
    </row>
    <row r="62">
      <c r="A62" s="4" t="n"/>
      <c r="B62" s="15" t="inlineStr">
        <is>
          <t>①定常運用</t>
        </is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7">
        <f>SUM(C62:N62)</f>
        <v/>
      </c>
      <c r="P62" s="4" t="n"/>
    </row>
    <row r="63">
      <c r="A63" s="18">
        <f>IF($A$62="","",$A$62)</f>
        <v/>
      </c>
      <c r="B63" s="15" t="inlineStr">
        <is>
          <t>②障害対応</t>
        </is>
      </c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7">
        <f>SUM(C63:N63)</f>
        <v/>
      </c>
    </row>
    <row r="64">
      <c r="A64" s="18">
        <f>IF($A$62="","",$A$62)</f>
        <v/>
      </c>
      <c r="B64" s="15" t="inlineStr">
        <is>
          <t>③問い合わせ対応</t>
        </is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>
        <f>SUM(C64:N64)</f>
        <v/>
      </c>
    </row>
    <row r="65">
      <c r="A65" s="18">
        <f>IF($A$62="","",$A$62)</f>
        <v/>
      </c>
      <c r="B65" s="15" t="inlineStr">
        <is>
          <t>④保守内の小規模改修</t>
        </is>
      </c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7">
        <f>SUM(C65:N65)</f>
        <v/>
      </c>
    </row>
    <row r="66">
      <c r="A66" s="18">
        <f>IF($A$62="","",$A$62)</f>
        <v/>
      </c>
      <c r="B66" s="15" t="inlineStr">
        <is>
          <t>⑤体制の維持</t>
        </is>
      </c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>
        <f>SUM(C66:N66)</f>
        <v/>
      </c>
    </row>
    <row r="67">
      <c r="A67" s="18">
        <f>IF($A$62="","",$A$62)</f>
        <v/>
      </c>
      <c r="B67" s="15" t="inlineStr">
        <is>
          <t>⑥管理</t>
        </is>
      </c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>
        <f>SUM(C67:N67)</f>
        <v/>
      </c>
    </row>
    <row r="68">
      <c r="A68" s="19">
        <f>IF($A$62="","",$A$62)</f>
        <v/>
      </c>
      <c r="B68" s="19" t="inlineStr">
        <is>
          <t>月合計</t>
        </is>
      </c>
      <c r="C68" s="20">
        <f>SUM(C62:C67)</f>
        <v/>
      </c>
      <c r="D68" s="20">
        <f>SUM(D62:D67)</f>
        <v/>
      </c>
      <c r="E68" s="20">
        <f>SUM(E62:E67)</f>
        <v/>
      </c>
      <c r="F68" s="20">
        <f>SUM(F62:F67)</f>
        <v/>
      </c>
      <c r="G68" s="20">
        <f>SUM(G62:G67)</f>
        <v/>
      </c>
      <c r="H68" s="20">
        <f>SUM(H62:H67)</f>
        <v/>
      </c>
      <c r="I68" s="20">
        <f>SUM(I62:I67)</f>
        <v/>
      </c>
      <c r="J68" s="20">
        <f>SUM(J62:J67)</f>
        <v/>
      </c>
      <c r="K68" s="20">
        <f>SUM(K62:K67)</f>
        <v/>
      </c>
      <c r="L68" s="20">
        <f>SUM(L62:L67)</f>
        <v/>
      </c>
      <c r="M68" s="20">
        <f>SUM(M62:M67)</f>
        <v/>
      </c>
      <c r="N68" s="20">
        <f>SUM(N62:N67)</f>
        <v/>
      </c>
      <c r="O68" s="20">
        <f>SUM(O62:O67)</f>
        <v/>
      </c>
    </row>
    <row r="69">
      <c r="A69" s="4" t="n"/>
      <c r="B69" s="15" t="inlineStr">
        <is>
          <t>①定常運用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>
        <f>SUM(C69:N69)</f>
        <v/>
      </c>
      <c r="P69" s="4" t="n"/>
    </row>
    <row r="70">
      <c r="A70" s="18">
        <f>IF($A$69="","",$A$69)</f>
        <v/>
      </c>
      <c r="B70" s="15" t="inlineStr">
        <is>
          <t>②障害対応</t>
        </is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7">
        <f>SUM(C70:N70)</f>
        <v/>
      </c>
    </row>
    <row r="71">
      <c r="A71" s="18">
        <f>IF($A$69="","",$A$69)</f>
        <v/>
      </c>
      <c r="B71" s="15" t="inlineStr">
        <is>
          <t>③問い合わせ対応</t>
        </is>
      </c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7">
        <f>SUM(C71:N71)</f>
        <v/>
      </c>
    </row>
    <row r="72">
      <c r="A72" s="18">
        <f>IF($A$69="","",$A$69)</f>
        <v/>
      </c>
      <c r="B72" s="15" t="inlineStr">
        <is>
          <t>④保守内の小規模改修</t>
        </is>
      </c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>
        <f>SUM(C72:N72)</f>
        <v/>
      </c>
    </row>
    <row r="73">
      <c r="A73" s="18">
        <f>IF($A$69="","",$A$69)</f>
        <v/>
      </c>
      <c r="B73" s="15" t="inlineStr">
        <is>
          <t>⑤体制の維持</t>
        </is>
      </c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7">
        <f>SUM(C73:N73)</f>
        <v/>
      </c>
    </row>
    <row r="74">
      <c r="A74" s="18">
        <f>IF($A$69="","",$A$69)</f>
        <v/>
      </c>
      <c r="B74" s="15" t="inlineStr">
        <is>
          <t>⑥管理</t>
        </is>
      </c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>
        <f>SUM(C74:N74)</f>
        <v/>
      </c>
    </row>
    <row r="75">
      <c r="A75" s="19">
        <f>IF($A$69="","",$A$69)</f>
        <v/>
      </c>
      <c r="B75" s="19" t="inlineStr">
        <is>
          <t>月合計</t>
        </is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  <c r="H75" s="20">
        <f>SUM(H69:H74)</f>
        <v/>
      </c>
      <c r="I75" s="20">
        <f>SUM(I69:I74)</f>
        <v/>
      </c>
      <c r="J75" s="20">
        <f>SUM(J69:J74)</f>
        <v/>
      </c>
      <c r="K75" s="20">
        <f>SUM(K69:K74)</f>
        <v/>
      </c>
      <c r="L75" s="20">
        <f>SUM(L69:L74)</f>
        <v/>
      </c>
      <c r="M75" s="20">
        <f>SUM(M69:M74)</f>
        <v/>
      </c>
      <c r="N75" s="20">
        <f>SUM(N69:N74)</f>
        <v/>
      </c>
      <c r="O75" s="20">
        <f>SUM(O69:O74)</f>
        <v/>
      </c>
    </row>
    <row r="76">
      <c r="A76" s="4" t="n"/>
      <c r="B76" s="15" t="inlineStr">
        <is>
          <t>①定常運用</t>
        </is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7">
        <f>SUM(C76:N76)</f>
        <v/>
      </c>
      <c r="P76" s="4" t="n"/>
    </row>
    <row r="77">
      <c r="A77" s="18">
        <f>IF($A$76="","",$A$76)</f>
        <v/>
      </c>
      <c r="B77" s="15" t="inlineStr">
        <is>
          <t>②障害対応</t>
        </is>
      </c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>
        <f>SUM(C77:N77)</f>
        <v/>
      </c>
    </row>
    <row r="78">
      <c r="A78" s="18">
        <f>IF($A$76="","",$A$76)</f>
        <v/>
      </c>
      <c r="B78" s="15" t="inlineStr">
        <is>
          <t>③問い合わせ対応</t>
        </is>
      </c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7">
        <f>SUM(C78:N78)</f>
        <v/>
      </c>
    </row>
    <row r="79">
      <c r="A79" s="18">
        <f>IF($A$76="","",$A$76)</f>
        <v/>
      </c>
      <c r="B79" s="15" t="inlineStr">
        <is>
          <t>④保守内の小規模改修</t>
        </is>
      </c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7">
        <f>SUM(C79:N79)</f>
        <v/>
      </c>
    </row>
    <row r="80">
      <c r="A80" s="18">
        <f>IF($A$76="","",$A$76)</f>
        <v/>
      </c>
      <c r="B80" s="15" t="inlineStr">
        <is>
          <t>⑤体制の維持</t>
        </is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>
        <f>SUM(C80:N80)</f>
        <v/>
      </c>
    </row>
    <row r="81">
      <c r="A81" s="18">
        <f>IF($A$76="","",$A$76)</f>
        <v/>
      </c>
      <c r="B81" s="15" t="inlineStr">
        <is>
          <t>⑥管理</t>
        </is>
      </c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7">
        <f>SUM(C81:N81)</f>
        <v/>
      </c>
    </row>
    <row r="82">
      <c r="A82" s="19">
        <f>IF($A$76="","",$A$76)</f>
        <v/>
      </c>
      <c r="B82" s="19" t="inlineStr">
        <is>
          <t>月合計</t>
        </is>
      </c>
      <c r="C82" s="20">
        <f>SUM(C76:C81)</f>
        <v/>
      </c>
      <c r="D82" s="20">
        <f>SUM(D76:D81)</f>
        <v/>
      </c>
      <c r="E82" s="20">
        <f>SUM(E76:E81)</f>
        <v/>
      </c>
      <c r="F82" s="20">
        <f>SUM(F76:F81)</f>
        <v/>
      </c>
      <c r="G82" s="20">
        <f>SUM(G76:G81)</f>
        <v/>
      </c>
      <c r="H82" s="20">
        <f>SUM(H76:H81)</f>
        <v/>
      </c>
      <c r="I82" s="20">
        <f>SUM(I76:I81)</f>
        <v/>
      </c>
      <c r="J82" s="20">
        <f>SUM(J76:J81)</f>
        <v/>
      </c>
      <c r="K82" s="20">
        <f>SUM(K76:K81)</f>
        <v/>
      </c>
      <c r="L82" s="20">
        <f>SUM(L76:L81)</f>
        <v/>
      </c>
      <c r="M82" s="20">
        <f>SUM(M76:M81)</f>
        <v/>
      </c>
      <c r="N82" s="20">
        <f>SUM(N76:N81)</f>
        <v/>
      </c>
      <c r="O82" s="20">
        <f>SUM(O76:O81)</f>
        <v/>
      </c>
    </row>
    <row r="84">
      <c r="A84" s="2" t="inlineStr">
        <is>
          <t>全要員の集計(自動計算)</t>
        </is>
      </c>
    </row>
    <row r="85">
      <c r="A85" s="5" t="inlineStr">
        <is>
          <t>全要員</t>
        </is>
      </c>
      <c r="B85" s="5" t="inlineStr">
        <is>
          <t>①定常運用</t>
        </is>
      </c>
      <c r="C85" s="21">
        <f>SUMIF($B$13:$B$82,$B85,C$13:C$82)</f>
        <v/>
      </c>
      <c r="D85" s="21">
        <f>SUMIF($B$13:$B$82,$B85,D$13:D$82)</f>
        <v/>
      </c>
      <c r="E85" s="21">
        <f>SUMIF($B$13:$B$82,$B85,E$13:E$82)</f>
        <v/>
      </c>
      <c r="F85" s="21">
        <f>SUMIF($B$13:$B$82,$B85,F$13:F$82)</f>
        <v/>
      </c>
      <c r="G85" s="21">
        <f>SUMIF($B$13:$B$82,$B85,G$13:G$82)</f>
        <v/>
      </c>
      <c r="H85" s="21">
        <f>SUMIF($B$13:$B$82,$B85,H$13:H$82)</f>
        <v/>
      </c>
      <c r="I85" s="21">
        <f>SUMIF($B$13:$B$82,$B85,I$13:I$82)</f>
        <v/>
      </c>
      <c r="J85" s="21">
        <f>SUMIF($B$13:$B$82,$B85,J$13:J$82)</f>
        <v/>
      </c>
      <c r="K85" s="21">
        <f>SUMIF($B$13:$B$82,$B85,K$13:K$82)</f>
        <v/>
      </c>
      <c r="L85" s="21">
        <f>SUMIF($B$13:$B$82,$B85,L$13:L$82)</f>
        <v/>
      </c>
      <c r="M85" s="21">
        <f>SUMIF($B$13:$B$82,$B85,M$13:M$82)</f>
        <v/>
      </c>
      <c r="N85" s="21">
        <f>SUMIF($B$13:$B$82,$B85,N$13:N$82)</f>
        <v/>
      </c>
      <c r="O85" s="21">
        <f>SUMIF($B$13:$B$82,$B85,O$13:O$82)</f>
        <v/>
      </c>
    </row>
    <row r="86">
      <c r="A86" s="5" t="inlineStr">
        <is>
          <t>全要員</t>
        </is>
      </c>
      <c r="B86" s="5" t="inlineStr">
        <is>
          <t>②障害対応</t>
        </is>
      </c>
      <c r="C86" s="21">
        <f>SUMIF($B$13:$B$82,$B86,C$13:C$82)</f>
        <v/>
      </c>
      <c r="D86" s="21">
        <f>SUMIF($B$13:$B$82,$B86,D$13:D$82)</f>
        <v/>
      </c>
      <c r="E86" s="21">
        <f>SUMIF($B$13:$B$82,$B86,E$13:E$82)</f>
        <v/>
      </c>
      <c r="F86" s="21">
        <f>SUMIF($B$13:$B$82,$B86,F$13:F$82)</f>
        <v/>
      </c>
      <c r="G86" s="21">
        <f>SUMIF($B$13:$B$82,$B86,G$13:G$82)</f>
        <v/>
      </c>
      <c r="H86" s="21">
        <f>SUMIF($B$13:$B$82,$B86,H$13:H$82)</f>
        <v/>
      </c>
      <c r="I86" s="21">
        <f>SUMIF($B$13:$B$82,$B86,I$13:I$82)</f>
        <v/>
      </c>
      <c r="J86" s="21">
        <f>SUMIF($B$13:$B$82,$B86,J$13:J$82)</f>
        <v/>
      </c>
      <c r="K86" s="21">
        <f>SUMIF($B$13:$B$82,$B86,K$13:K$82)</f>
        <v/>
      </c>
      <c r="L86" s="21">
        <f>SUMIF($B$13:$B$82,$B86,L$13:L$82)</f>
        <v/>
      </c>
      <c r="M86" s="21">
        <f>SUMIF($B$13:$B$82,$B86,M$13:M$82)</f>
        <v/>
      </c>
      <c r="N86" s="21">
        <f>SUMIF($B$13:$B$82,$B86,N$13:N$82)</f>
        <v/>
      </c>
      <c r="O86" s="21">
        <f>SUMIF($B$13:$B$82,$B86,O$13:O$82)</f>
        <v/>
      </c>
    </row>
    <row r="87">
      <c r="A87" s="5" t="inlineStr">
        <is>
          <t>全要員</t>
        </is>
      </c>
      <c r="B87" s="5" t="inlineStr">
        <is>
          <t>③問い合わせ対応</t>
        </is>
      </c>
      <c r="C87" s="21">
        <f>SUMIF($B$13:$B$82,$B87,C$13:C$82)</f>
        <v/>
      </c>
      <c r="D87" s="21">
        <f>SUMIF($B$13:$B$82,$B87,D$13:D$82)</f>
        <v/>
      </c>
      <c r="E87" s="21">
        <f>SUMIF($B$13:$B$82,$B87,E$13:E$82)</f>
        <v/>
      </c>
      <c r="F87" s="21">
        <f>SUMIF($B$13:$B$82,$B87,F$13:F$82)</f>
        <v/>
      </c>
      <c r="G87" s="21">
        <f>SUMIF($B$13:$B$82,$B87,G$13:G$82)</f>
        <v/>
      </c>
      <c r="H87" s="21">
        <f>SUMIF($B$13:$B$82,$B87,H$13:H$82)</f>
        <v/>
      </c>
      <c r="I87" s="21">
        <f>SUMIF($B$13:$B$82,$B87,I$13:I$82)</f>
        <v/>
      </c>
      <c r="J87" s="21">
        <f>SUMIF($B$13:$B$82,$B87,J$13:J$82)</f>
        <v/>
      </c>
      <c r="K87" s="21">
        <f>SUMIF($B$13:$B$82,$B87,K$13:K$82)</f>
        <v/>
      </c>
      <c r="L87" s="21">
        <f>SUMIF($B$13:$B$82,$B87,L$13:L$82)</f>
        <v/>
      </c>
      <c r="M87" s="21">
        <f>SUMIF($B$13:$B$82,$B87,M$13:M$82)</f>
        <v/>
      </c>
      <c r="N87" s="21">
        <f>SUMIF($B$13:$B$82,$B87,N$13:N$82)</f>
        <v/>
      </c>
      <c r="O87" s="21">
        <f>SUMIF($B$13:$B$82,$B87,O$13:O$82)</f>
        <v/>
      </c>
    </row>
    <row r="88">
      <c r="A88" s="5" t="inlineStr">
        <is>
          <t>全要員</t>
        </is>
      </c>
      <c r="B88" s="5" t="inlineStr">
        <is>
          <t>④保守内の小規模改修</t>
        </is>
      </c>
      <c r="C88" s="21">
        <f>SUMIF($B$13:$B$82,$B88,C$13:C$82)</f>
        <v/>
      </c>
      <c r="D88" s="21">
        <f>SUMIF($B$13:$B$82,$B88,D$13:D$82)</f>
        <v/>
      </c>
      <c r="E88" s="21">
        <f>SUMIF($B$13:$B$82,$B88,E$13:E$82)</f>
        <v/>
      </c>
      <c r="F88" s="21">
        <f>SUMIF($B$13:$B$82,$B88,F$13:F$82)</f>
        <v/>
      </c>
      <c r="G88" s="21">
        <f>SUMIF($B$13:$B$82,$B88,G$13:G$82)</f>
        <v/>
      </c>
      <c r="H88" s="21">
        <f>SUMIF($B$13:$B$82,$B88,H$13:H$82)</f>
        <v/>
      </c>
      <c r="I88" s="21">
        <f>SUMIF($B$13:$B$82,$B88,I$13:I$82)</f>
        <v/>
      </c>
      <c r="J88" s="21">
        <f>SUMIF($B$13:$B$82,$B88,J$13:J$82)</f>
        <v/>
      </c>
      <c r="K88" s="21">
        <f>SUMIF($B$13:$B$82,$B88,K$13:K$82)</f>
        <v/>
      </c>
      <c r="L88" s="21">
        <f>SUMIF($B$13:$B$82,$B88,L$13:L$82)</f>
        <v/>
      </c>
      <c r="M88" s="21">
        <f>SUMIF($B$13:$B$82,$B88,M$13:M$82)</f>
        <v/>
      </c>
      <c r="N88" s="21">
        <f>SUMIF($B$13:$B$82,$B88,N$13:N$82)</f>
        <v/>
      </c>
      <c r="O88" s="21">
        <f>SUMIF($B$13:$B$82,$B88,O$13:O$82)</f>
        <v/>
      </c>
    </row>
    <row r="89">
      <c r="A89" s="5" t="inlineStr">
        <is>
          <t>全要員</t>
        </is>
      </c>
      <c r="B89" s="5" t="inlineStr">
        <is>
          <t>⑤体制の維持</t>
        </is>
      </c>
      <c r="C89" s="21">
        <f>SUMIF($B$13:$B$82,$B89,C$13:C$82)</f>
        <v/>
      </c>
      <c r="D89" s="21">
        <f>SUMIF($B$13:$B$82,$B89,D$13:D$82)</f>
        <v/>
      </c>
      <c r="E89" s="21">
        <f>SUMIF($B$13:$B$82,$B89,E$13:E$82)</f>
        <v/>
      </c>
      <c r="F89" s="21">
        <f>SUMIF($B$13:$B$82,$B89,F$13:F$82)</f>
        <v/>
      </c>
      <c r="G89" s="21">
        <f>SUMIF($B$13:$B$82,$B89,G$13:G$82)</f>
        <v/>
      </c>
      <c r="H89" s="21">
        <f>SUMIF($B$13:$B$82,$B89,H$13:H$82)</f>
        <v/>
      </c>
      <c r="I89" s="21">
        <f>SUMIF($B$13:$B$82,$B89,I$13:I$82)</f>
        <v/>
      </c>
      <c r="J89" s="21">
        <f>SUMIF($B$13:$B$82,$B89,J$13:J$82)</f>
        <v/>
      </c>
      <c r="K89" s="21">
        <f>SUMIF($B$13:$B$82,$B89,K$13:K$82)</f>
        <v/>
      </c>
      <c r="L89" s="21">
        <f>SUMIF($B$13:$B$82,$B89,L$13:L$82)</f>
        <v/>
      </c>
      <c r="M89" s="21">
        <f>SUMIF($B$13:$B$82,$B89,M$13:M$82)</f>
        <v/>
      </c>
      <c r="N89" s="21">
        <f>SUMIF($B$13:$B$82,$B89,N$13:N$82)</f>
        <v/>
      </c>
      <c r="O89" s="21">
        <f>SUMIF($B$13:$B$82,$B89,O$13:O$82)</f>
        <v/>
      </c>
    </row>
    <row r="90">
      <c r="A90" s="5" t="inlineStr">
        <is>
          <t>全要員</t>
        </is>
      </c>
      <c r="B90" s="5" t="inlineStr">
        <is>
          <t>⑥管理</t>
        </is>
      </c>
      <c r="C90" s="21">
        <f>SUMIF($B$13:$B$82,$B90,C$13:C$82)</f>
        <v/>
      </c>
      <c r="D90" s="21">
        <f>SUMIF($B$13:$B$82,$B90,D$13:D$82)</f>
        <v/>
      </c>
      <c r="E90" s="21">
        <f>SUMIF($B$13:$B$82,$B90,E$13:E$82)</f>
        <v/>
      </c>
      <c r="F90" s="21">
        <f>SUMIF($B$13:$B$82,$B90,F$13:F$82)</f>
        <v/>
      </c>
      <c r="G90" s="21">
        <f>SUMIF($B$13:$B$82,$B90,G$13:G$82)</f>
        <v/>
      </c>
      <c r="H90" s="21">
        <f>SUMIF($B$13:$B$82,$B90,H$13:H$82)</f>
        <v/>
      </c>
      <c r="I90" s="21">
        <f>SUMIF($B$13:$B$82,$B90,I$13:I$82)</f>
        <v/>
      </c>
      <c r="J90" s="21">
        <f>SUMIF($B$13:$B$82,$B90,J$13:J$82)</f>
        <v/>
      </c>
      <c r="K90" s="21">
        <f>SUMIF($B$13:$B$82,$B90,K$13:K$82)</f>
        <v/>
      </c>
      <c r="L90" s="21">
        <f>SUMIF($B$13:$B$82,$B90,L$13:L$82)</f>
        <v/>
      </c>
      <c r="M90" s="21">
        <f>SUMIF($B$13:$B$82,$B90,M$13:M$82)</f>
        <v/>
      </c>
      <c r="N90" s="21">
        <f>SUMIF($B$13:$B$82,$B90,N$13:N$82)</f>
        <v/>
      </c>
      <c r="O90" s="21">
        <f>SUMIF($B$13:$B$82,$B90,O$13:O$82)</f>
        <v/>
      </c>
    </row>
    <row r="91">
      <c r="A91" s="22" t="inlineStr">
        <is>
          <t>全要員</t>
        </is>
      </c>
      <c r="B91" s="22" t="inlineStr">
        <is>
          <t>月合計</t>
        </is>
      </c>
      <c r="C91" s="23">
        <f>SUM(C85:C90)</f>
        <v/>
      </c>
      <c r="D91" s="23">
        <f>SUM(D85:D90)</f>
        <v/>
      </c>
      <c r="E91" s="23">
        <f>SUM(E85:E90)</f>
        <v/>
      </c>
      <c r="F91" s="23">
        <f>SUM(F85:F90)</f>
        <v/>
      </c>
      <c r="G91" s="23">
        <f>SUM(G85:G90)</f>
        <v/>
      </c>
      <c r="H91" s="23">
        <f>SUM(H85:H90)</f>
        <v/>
      </c>
      <c r="I91" s="23">
        <f>SUM(I85:I90)</f>
        <v/>
      </c>
      <c r="J91" s="23">
        <f>SUM(J85:J90)</f>
        <v/>
      </c>
      <c r="K91" s="23">
        <f>SUM(K85:K90)</f>
        <v/>
      </c>
      <c r="L91" s="23">
        <f>SUM(L85:L90)</f>
        <v/>
      </c>
      <c r="M91" s="23">
        <f>SUM(M85:M90)</f>
        <v/>
      </c>
      <c r="N91" s="23">
        <f>SUM(N85:N90)</f>
        <v/>
      </c>
      <c r="O91" s="23">
        <f>SUM(O85:O90)</f>
        <v/>
      </c>
    </row>
    <row r="92">
      <c r="A92" s="5" t="inlineStr">
        <is>
          <t>全要員</t>
        </is>
      </c>
      <c r="B92" s="5" t="inlineStr">
        <is>
          <t>報告した要員数</t>
        </is>
      </c>
      <c r="C92" s="24">
        <f>(C19&gt;0)+(C26&gt;0)+(C33&gt;0)+(C40&gt;0)+(C47&gt;0)+(C54&gt;0)+(C61&gt;0)+(C68&gt;0)+(C75&gt;0)+(C82&gt;0)</f>
        <v/>
      </c>
      <c r="D92" s="24">
        <f>(D19&gt;0)+(D26&gt;0)+(D33&gt;0)+(D40&gt;0)+(D47&gt;0)+(D54&gt;0)+(D61&gt;0)+(D68&gt;0)+(D75&gt;0)+(D82&gt;0)</f>
        <v/>
      </c>
      <c r="E92" s="24">
        <f>(E19&gt;0)+(E26&gt;0)+(E33&gt;0)+(E40&gt;0)+(E47&gt;0)+(E54&gt;0)+(E61&gt;0)+(E68&gt;0)+(E75&gt;0)+(E82&gt;0)</f>
        <v/>
      </c>
      <c r="F92" s="24">
        <f>(F19&gt;0)+(F26&gt;0)+(F33&gt;0)+(F40&gt;0)+(F47&gt;0)+(F54&gt;0)+(F61&gt;0)+(F68&gt;0)+(F75&gt;0)+(F82&gt;0)</f>
        <v/>
      </c>
      <c r="G92" s="24">
        <f>(G19&gt;0)+(G26&gt;0)+(G33&gt;0)+(G40&gt;0)+(G47&gt;0)+(G54&gt;0)+(G61&gt;0)+(G68&gt;0)+(G75&gt;0)+(G82&gt;0)</f>
        <v/>
      </c>
      <c r="H92" s="24">
        <f>(H19&gt;0)+(H26&gt;0)+(H33&gt;0)+(H40&gt;0)+(H47&gt;0)+(H54&gt;0)+(H61&gt;0)+(H68&gt;0)+(H75&gt;0)+(H82&gt;0)</f>
        <v/>
      </c>
      <c r="I92" s="24">
        <f>(I19&gt;0)+(I26&gt;0)+(I33&gt;0)+(I40&gt;0)+(I47&gt;0)+(I54&gt;0)+(I61&gt;0)+(I68&gt;0)+(I75&gt;0)+(I82&gt;0)</f>
        <v/>
      </c>
      <c r="J92" s="24">
        <f>(J19&gt;0)+(J26&gt;0)+(J33&gt;0)+(J40&gt;0)+(J47&gt;0)+(J54&gt;0)+(J61&gt;0)+(J68&gt;0)+(J75&gt;0)+(J82&gt;0)</f>
        <v/>
      </c>
      <c r="K92" s="24">
        <f>(K19&gt;0)+(K26&gt;0)+(K33&gt;0)+(K40&gt;0)+(K47&gt;0)+(K54&gt;0)+(K61&gt;0)+(K68&gt;0)+(K75&gt;0)+(K82&gt;0)</f>
        <v/>
      </c>
      <c r="L92" s="24">
        <f>(L19&gt;0)+(L26&gt;0)+(L33&gt;0)+(L40&gt;0)+(L47&gt;0)+(L54&gt;0)+(L61&gt;0)+(L68&gt;0)+(L75&gt;0)+(L82&gt;0)</f>
        <v/>
      </c>
      <c r="M92" s="24">
        <f>(M19&gt;0)+(M26&gt;0)+(M33&gt;0)+(M40&gt;0)+(M47&gt;0)+(M54&gt;0)+(M61&gt;0)+(M68&gt;0)+(M75&gt;0)+(M82&gt;0)</f>
        <v/>
      </c>
      <c r="N92" s="24">
        <f>(N19&gt;0)+(N26&gt;0)+(N33&gt;0)+(N40&gt;0)+(N47&gt;0)+(N54&gt;0)+(N61&gt;0)+(N68&gt;0)+(N75&gt;0)+(N82&gt;0)</f>
        <v/>
      </c>
    </row>
    <row r="94">
      <c r="A94" s="2" t="inlineStr">
        <is>
          <t>月次の報告と確認</t>
        </is>
      </c>
    </row>
    <row r="95">
      <c r="A95" s="15" t="inlineStr">
        <is>
          <t>ベンダー</t>
        </is>
      </c>
      <c r="B95" s="7" t="inlineStr">
        <is>
          <t>報告日</t>
        </is>
      </c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</row>
    <row r="96">
      <c r="A96" s="15" t="inlineStr">
        <is>
          <t>システム管理者</t>
        </is>
      </c>
      <c r="B96" s="7" t="inlineStr">
        <is>
          <t>確認日</t>
        </is>
      </c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</row>
    <row r="97">
      <c r="A97" s="15" t="inlineStr">
        <is>
          <t>システム管理者</t>
        </is>
      </c>
      <c r="B97" s="7" t="inlineStr">
        <is>
          <t>確認結果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 ht="45" customHeight="1">
      <c r="A98" s="15" t="inlineStr">
        <is>
          <t>システム管理者</t>
        </is>
      </c>
      <c r="B98" s="7" t="inlineStr">
        <is>
          <t>確認コメント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</row>
  </sheetData>
  <mergeCells count="7">
    <mergeCell ref="B9:O9"/>
    <mergeCell ref="B8:E8"/>
    <mergeCell ref="B4:E4"/>
    <mergeCell ref="B6:E6"/>
    <mergeCell ref="B7:E7"/>
    <mergeCell ref="B3:E3"/>
    <mergeCell ref="B5:E5"/>
  </mergeCells>
  <dataValidations count="4">
    <dataValidation sqref="P13 P20 P27 P34 P41 P48 P55 P62 P69 P76" showDropDown="0" showInputMessage="0" showErrorMessage="0" allowBlank="1" type="list">
      <formula1>"自社のIT部門,自社の利用部門,ベンダー内の責任者,指示なし(自主判断)"</formula1>
    </dataValidation>
    <dataValidation sqref="C13:N18 C20:N25 C27:N32 C34:N39 C41:N46 C48:N53 C55:N60 C62:N67 C69:N74 C76:N81" showDropDown="0" showInputMessage="0" showErrorMessage="0" allowBlank="1" errorTitle="時間" error="0〜744の数値(時間)を入力してください" type="decimal" operator="between">
      <formula1>0</formula1>
      <formula2>744</formula2>
    </dataValidation>
    <dataValidation sqref="C97:N97" showDropDown="0" showInputMessage="0" showErrorMessage="0" allowBlank="1" type="list">
      <formula1>"承認,差戻し"</formula1>
    </dataValidation>
    <dataValidation sqref="C95:N95 C96:N96" showDropDown="0" showInputMessage="0" showErrorMessage="0" allowBlank="1" type="date" operator="greaterThan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8"/>
  <sheetViews>
    <sheetView zoomScale="90"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22" customWidth="1" min="16" max="16"/>
  </cols>
  <sheetData>
    <row r="1">
      <c r="A1" s="1" t="inlineStr">
        <is>
          <t>運用保守 工数報告(契約・ベンダー単位)</t>
        </is>
      </c>
    </row>
    <row r="3">
      <c r="A3" s="7" t="inlineStr">
        <is>
          <t>契約番号</t>
        </is>
      </c>
      <c r="B3" s="4" t="inlineStr">
        <is>
          <t>C-2025-012</t>
        </is>
      </c>
      <c r="C3" s="8" t="n"/>
      <c r="D3" s="8" t="n"/>
      <c r="E3" s="8" t="n"/>
    </row>
    <row r="4">
      <c r="A4" s="7" t="inlineStr">
        <is>
          <t>契約名</t>
        </is>
      </c>
      <c r="B4" s="4" t="inlineStr">
        <is>
          <t>販売管理・在庫管理システム運用保守</t>
        </is>
      </c>
      <c r="C4" s="8" t="n"/>
      <c r="D4" s="8" t="n"/>
      <c r="E4" s="8" t="n"/>
    </row>
    <row r="5">
      <c r="A5" s="7" t="inlineStr">
        <is>
          <t>契約先ベンダー(元請)</t>
        </is>
      </c>
      <c r="B5" s="4" t="inlineStr">
        <is>
          <t>〇〇システムズ</t>
        </is>
      </c>
      <c r="C5" s="8" t="n"/>
      <c r="D5" s="8" t="n"/>
      <c r="E5" s="8" t="n"/>
    </row>
    <row r="6">
      <c r="A6" s="7" t="inlineStr">
        <is>
          <t>作業実施会社</t>
        </is>
      </c>
      <c r="B6" s="4" t="inlineStr">
        <is>
          <t>△△テクノ</t>
        </is>
      </c>
      <c r="C6" s="8" t="n"/>
      <c r="D6" s="8" t="n"/>
      <c r="E6" s="8" t="n"/>
    </row>
    <row r="7">
      <c r="A7" s="7" t="inlineStr">
        <is>
          <t>確認者(システム管理者)</t>
        </is>
      </c>
      <c r="B7" s="4" t="inlineStr">
        <is>
          <t>山田</t>
        </is>
      </c>
      <c r="C7" s="8" t="n"/>
      <c r="D7" s="8" t="n"/>
      <c r="E7" s="8" t="n"/>
    </row>
    <row r="8">
      <c r="A8" s="7" t="inlineStr">
        <is>
          <t>調査開始月</t>
        </is>
      </c>
      <c r="B8" s="9" t="n">
        <v>46327</v>
      </c>
      <c r="C8" s="8" t="n"/>
      <c r="D8" s="8" t="n"/>
      <c r="E8" s="8" t="n"/>
      <c r="G8" s="10" t="inlineStr">
        <is>
          <t>← 調査開始月を入れると、下の年月の見出しが自動で入る</t>
        </is>
      </c>
    </row>
    <row r="9" ht="42" customHeight="1">
      <c r="A9" s="11" t="inlineStr">
        <is>
          <t>保守対象システム
(任意・ベンダー申告)</t>
        </is>
      </c>
      <c r="B9" s="12" t="inlineStr">
        <is>
          <t>販売管理システム、在庫管理システム、受注EDI連携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2">
      <c r="A12" s="13" t="inlineStr">
        <is>
          <t>要員ID</t>
        </is>
      </c>
      <c r="B12" s="13" t="inlineStr">
        <is>
          <t>作業区分</t>
        </is>
      </c>
      <c r="C12" s="14">
        <f>IF($B$8="","",$B$8)</f>
        <v/>
      </c>
      <c r="D12" s="14">
        <f>IF($B$8="","",EDATE($B$8,1))</f>
        <v/>
      </c>
      <c r="E12" s="14">
        <f>IF($B$8="","",EDATE($B$8,2))</f>
        <v/>
      </c>
      <c r="F12" s="14">
        <f>IF($B$8="","",EDATE($B$8,3))</f>
        <v/>
      </c>
      <c r="G12" s="14">
        <f>IF($B$8="","",EDATE($B$8,4))</f>
        <v/>
      </c>
      <c r="H12" s="14">
        <f>IF($B$8="","",EDATE($B$8,5))</f>
        <v/>
      </c>
      <c r="I12" s="14">
        <f>IF($B$8="","",EDATE($B$8,6))</f>
        <v/>
      </c>
      <c r="J12" s="14">
        <f>IF($B$8="","",EDATE($B$8,7))</f>
        <v/>
      </c>
      <c r="K12" s="14">
        <f>IF($B$8="","",EDATE($B$8,8))</f>
        <v/>
      </c>
      <c r="L12" s="14">
        <f>IF($B$8="","",EDATE($B$8,9))</f>
        <v/>
      </c>
      <c r="M12" s="14">
        <f>IF($B$8="","",EDATE($B$8,10))</f>
        <v/>
      </c>
      <c r="N12" s="14">
        <f>IF($B$8="","",EDATE($B$8,11))</f>
        <v/>
      </c>
      <c r="O12" s="13" t="inlineStr">
        <is>
          <t>合計</t>
        </is>
      </c>
      <c r="P12" s="13" t="inlineStr">
        <is>
          <t>主な作業指示元(任意)</t>
        </is>
      </c>
    </row>
    <row r="13">
      <c r="A13" s="4" t="inlineStr">
        <is>
          <t>V-0001</t>
        </is>
      </c>
      <c r="B13" s="15" t="inlineStr">
        <is>
          <t>①定常運用</t>
        </is>
      </c>
      <c r="C13" s="16" t="n">
        <v>60</v>
      </c>
      <c r="D13" s="16" t="n">
        <v>62</v>
      </c>
      <c r="E13" s="16" t="n">
        <v>58</v>
      </c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>
        <f>SUM(C13:N13)</f>
        <v/>
      </c>
      <c r="P13" s="4" t="inlineStr">
        <is>
          <t>自社のIT部門</t>
        </is>
      </c>
    </row>
    <row r="14">
      <c r="A14" s="18">
        <f>IF($A$13="","",$A$13)</f>
        <v/>
      </c>
      <c r="B14" s="15" t="inlineStr">
        <is>
          <t>②障害対応</t>
        </is>
      </c>
      <c r="C14" s="16" t="n">
        <v>12.5</v>
      </c>
      <c r="D14" s="16" t="n">
        <v>8</v>
      </c>
      <c r="E14" s="16" t="n">
        <v>20</v>
      </c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7">
        <f>SUM(C14:N14)</f>
        <v/>
      </c>
    </row>
    <row r="15">
      <c r="A15" s="18">
        <f>IF($A$13="","",$A$13)</f>
        <v/>
      </c>
      <c r="B15" s="15" t="inlineStr">
        <is>
          <t>③問い合わせ対応</t>
        </is>
      </c>
      <c r="C15" s="16" t="n">
        <v>30</v>
      </c>
      <c r="D15" s="16" t="n">
        <v>28</v>
      </c>
      <c r="E15" s="16" t="n">
        <v>26</v>
      </c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7">
        <f>SUM(C15:N15)</f>
        <v/>
      </c>
    </row>
    <row r="16">
      <c r="A16" s="18">
        <f>IF($A$13="","",$A$13)</f>
        <v/>
      </c>
      <c r="B16" s="15" t="inlineStr">
        <is>
          <t>④保守内の小規模改修</t>
        </is>
      </c>
      <c r="C16" s="16" t="n">
        <v>10</v>
      </c>
      <c r="D16" s="16" t="n">
        <v>16</v>
      </c>
      <c r="E16" s="16" t="n">
        <v>6</v>
      </c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>
        <f>SUM(C16:N16)</f>
        <v/>
      </c>
    </row>
    <row r="17">
      <c r="A17" s="18">
        <f>IF($A$13="","",$A$13)</f>
        <v/>
      </c>
      <c r="B17" s="15" t="inlineStr">
        <is>
          <t>⑤体制の維持</t>
        </is>
      </c>
      <c r="C17" s="16" t="n">
        <v>36</v>
      </c>
      <c r="D17" s="16" t="n">
        <v>38</v>
      </c>
      <c r="E17" s="16" t="n">
        <v>38</v>
      </c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7">
        <f>SUM(C17:N17)</f>
        <v/>
      </c>
    </row>
    <row r="18">
      <c r="A18" s="18">
        <f>IF($A$13="","",$A$13)</f>
        <v/>
      </c>
      <c r="B18" s="15" t="inlineStr">
        <is>
          <t>⑥管理</t>
        </is>
      </c>
      <c r="C18" s="16" t="n">
        <v>12</v>
      </c>
      <c r="D18" s="16" t="n">
        <v>8</v>
      </c>
      <c r="E18" s="16" t="n">
        <v>12</v>
      </c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7">
        <f>SUM(C18:N18)</f>
        <v/>
      </c>
    </row>
    <row r="19">
      <c r="A19" s="19">
        <f>IF($A$13="","",$A$13)</f>
        <v/>
      </c>
      <c r="B19" s="19" t="inlineStr">
        <is>
          <t>月合計</t>
        </is>
      </c>
      <c r="C19" s="20">
        <f>SUM(C13:C18)</f>
        <v/>
      </c>
      <c r="D19" s="20">
        <f>SUM(D13:D18)</f>
        <v/>
      </c>
      <c r="E19" s="20">
        <f>SUM(E13:E18)</f>
        <v/>
      </c>
      <c r="F19" s="20">
        <f>SUM(F13:F18)</f>
        <v/>
      </c>
      <c r="G19" s="20">
        <f>SUM(G13:G18)</f>
        <v/>
      </c>
      <c r="H19" s="20">
        <f>SUM(H13:H18)</f>
        <v/>
      </c>
      <c r="I19" s="20">
        <f>SUM(I13:I18)</f>
        <v/>
      </c>
      <c r="J19" s="20">
        <f>SUM(J13:J18)</f>
        <v/>
      </c>
      <c r="K19" s="20">
        <f>SUM(K13:K18)</f>
        <v/>
      </c>
      <c r="L19" s="20">
        <f>SUM(L13:L18)</f>
        <v/>
      </c>
      <c r="M19" s="20">
        <f>SUM(M13:M18)</f>
        <v/>
      </c>
      <c r="N19" s="20">
        <f>SUM(N13:N18)</f>
        <v/>
      </c>
      <c r="O19" s="20">
        <f>SUM(O13:O18)</f>
        <v/>
      </c>
    </row>
    <row r="20">
      <c r="A20" s="4" t="inlineStr">
        <is>
          <t>V-0002</t>
        </is>
      </c>
      <c r="B20" s="15" t="inlineStr">
        <is>
          <t>①定常運用</t>
        </is>
      </c>
      <c r="C20" s="16" t="n">
        <v>80</v>
      </c>
      <c r="D20" s="16" t="n">
        <v>78</v>
      </c>
      <c r="E20" s="16" t="n">
        <v>82</v>
      </c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7">
        <f>SUM(C20:N20)</f>
        <v/>
      </c>
      <c r="P20" s="4" t="inlineStr">
        <is>
          <t>ベンダー内の責任者</t>
        </is>
      </c>
    </row>
    <row r="21">
      <c r="A21" s="18">
        <f>IF($A$20="","",$A$20)</f>
        <v/>
      </c>
      <c r="B21" s="15" t="inlineStr">
        <is>
          <t>②障害対応</t>
        </is>
      </c>
      <c r="C21" s="16" t="n">
        <v>4</v>
      </c>
      <c r="D21" s="16" t="n">
        <v>6</v>
      </c>
      <c r="E21" s="16" t="n">
        <v>2</v>
      </c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7">
        <f>SUM(C21:N21)</f>
        <v/>
      </c>
    </row>
    <row r="22">
      <c r="A22" s="18">
        <f>IF($A$20="","",$A$20)</f>
        <v/>
      </c>
      <c r="B22" s="15" t="inlineStr">
        <is>
          <t>③問い合わせ対応</t>
        </is>
      </c>
      <c r="C22" s="16" t="n">
        <v>20</v>
      </c>
      <c r="D22" s="16" t="n">
        <v>22</v>
      </c>
      <c r="E22" s="16" t="n">
        <v>18</v>
      </c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>
        <f>SUM(C22:N22)</f>
        <v/>
      </c>
    </row>
    <row r="23">
      <c r="A23" s="18">
        <f>IF($A$20="","",$A$20)</f>
        <v/>
      </c>
      <c r="B23" s="15" t="inlineStr">
        <is>
          <t>④保守内の小規模改修</t>
        </is>
      </c>
      <c r="C23" s="16" t="n">
        <v>0</v>
      </c>
      <c r="D23" s="16" t="n">
        <v>0</v>
      </c>
      <c r="E23" s="16" t="n">
        <v>8</v>
      </c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7">
        <f>SUM(C23:N23)</f>
        <v/>
      </c>
    </row>
    <row r="24">
      <c r="A24" s="18">
        <f>IF($A$20="","",$A$20)</f>
        <v/>
      </c>
      <c r="B24" s="15" t="inlineStr">
        <is>
          <t>⑤体制の維持</t>
        </is>
      </c>
      <c r="C24" s="16" t="n">
        <v>44</v>
      </c>
      <c r="D24" s="16" t="n">
        <v>46</v>
      </c>
      <c r="E24" s="16" t="n">
        <v>42</v>
      </c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7">
        <f>SUM(C24:N24)</f>
        <v/>
      </c>
    </row>
    <row r="25">
      <c r="A25" s="18">
        <f>IF($A$20="","",$A$20)</f>
        <v/>
      </c>
      <c r="B25" s="15" t="inlineStr">
        <is>
          <t>⑥管理</t>
        </is>
      </c>
      <c r="C25" s="16" t="n">
        <v>12</v>
      </c>
      <c r="D25" s="16" t="n">
        <v>8</v>
      </c>
      <c r="E25" s="16" t="n">
        <v>8</v>
      </c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>
        <f>SUM(C25:N25)</f>
        <v/>
      </c>
    </row>
    <row r="26">
      <c r="A26" s="19">
        <f>IF($A$20="","",$A$20)</f>
        <v/>
      </c>
      <c r="B26" s="19" t="inlineStr">
        <is>
          <t>月合計</t>
        </is>
      </c>
      <c r="C26" s="20">
        <f>SUM(C20:C25)</f>
        <v/>
      </c>
      <c r="D26" s="20">
        <f>SUM(D20:D25)</f>
        <v/>
      </c>
      <c r="E26" s="20">
        <f>SUM(E20:E25)</f>
        <v/>
      </c>
      <c r="F26" s="20">
        <f>SUM(F20:F25)</f>
        <v/>
      </c>
      <c r="G26" s="20">
        <f>SUM(G20:G25)</f>
        <v/>
      </c>
      <c r="H26" s="20">
        <f>SUM(H20:H25)</f>
        <v/>
      </c>
      <c r="I26" s="20">
        <f>SUM(I20:I25)</f>
        <v/>
      </c>
      <c r="J26" s="20">
        <f>SUM(J20:J25)</f>
        <v/>
      </c>
      <c r="K26" s="20">
        <f>SUM(K20:K25)</f>
        <v/>
      </c>
      <c r="L26" s="20">
        <f>SUM(L20:L25)</f>
        <v/>
      </c>
      <c r="M26" s="20">
        <f>SUM(M20:M25)</f>
        <v/>
      </c>
      <c r="N26" s="20">
        <f>SUM(N20:N25)</f>
        <v/>
      </c>
      <c r="O26" s="20">
        <f>SUM(O20:O25)</f>
        <v/>
      </c>
    </row>
    <row r="27">
      <c r="A27" s="4" t="n"/>
      <c r="B27" s="15" t="inlineStr">
        <is>
          <t>①定常運用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7">
        <f>SUM(C27:N27)</f>
        <v/>
      </c>
      <c r="P27" s="4" t="n"/>
    </row>
    <row r="28">
      <c r="A28" s="18">
        <f>IF($A$27="","",$A$27)</f>
        <v/>
      </c>
      <c r="B28" s="15" t="inlineStr">
        <is>
          <t>②障害対応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>
        <f>SUM(C28:N28)</f>
        <v/>
      </c>
    </row>
    <row r="29">
      <c r="A29" s="18">
        <f>IF($A$27="","",$A$27)</f>
        <v/>
      </c>
      <c r="B29" s="15" t="inlineStr">
        <is>
          <t>③問い合わせ対応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7">
        <f>SUM(C29:N29)</f>
        <v/>
      </c>
    </row>
    <row r="30">
      <c r="A30" s="18">
        <f>IF($A$27="","",$A$27)</f>
        <v/>
      </c>
      <c r="B30" s="15" t="inlineStr">
        <is>
          <t>④保守内の小規模改修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7">
        <f>SUM(C30:N30)</f>
        <v/>
      </c>
    </row>
    <row r="31">
      <c r="A31" s="18">
        <f>IF($A$27="","",$A$27)</f>
        <v/>
      </c>
      <c r="B31" s="15" t="inlineStr">
        <is>
          <t>⑤体制の維持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>
        <f>SUM(C31:N31)</f>
        <v/>
      </c>
    </row>
    <row r="32">
      <c r="A32" s="18">
        <f>IF($A$27="","",$A$27)</f>
        <v/>
      </c>
      <c r="B32" s="15" t="inlineStr">
        <is>
          <t>⑥管理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7">
        <f>SUM(C32:N32)</f>
        <v/>
      </c>
    </row>
    <row r="33">
      <c r="A33" s="19">
        <f>IF($A$27="","",$A$27)</f>
        <v/>
      </c>
      <c r="B33" s="19" t="inlineStr">
        <is>
          <t>月合計</t>
        </is>
      </c>
      <c r="C33" s="20">
        <f>SUM(C27:C32)</f>
        <v/>
      </c>
      <c r="D33" s="20">
        <f>SUM(D27:D32)</f>
        <v/>
      </c>
      <c r="E33" s="20">
        <f>SUM(E27:E32)</f>
        <v/>
      </c>
      <c r="F33" s="20">
        <f>SUM(F27:F32)</f>
        <v/>
      </c>
      <c r="G33" s="20">
        <f>SUM(G27:G32)</f>
        <v/>
      </c>
      <c r="H33" s="20">
        <f>SUM(H27:H32)</f>
        <v/>
      </c>
      <c r="I33" s="20">
        <f>SUM(I27:I32)</f>
        <v/>
      </c>
      <c r="J33" s="20">
        <f>SUM(J27:J32)</f>
        <v/>
      </c>
      <c r="K33" s="20">
        <f>SUM(K27:K32)</f>
        <v/>
      </c>
      <c r="L33" s="20">
        <f>SUM(L27:L32)</f>
        <v/>
      </c>
      <c r="M33" s="20">
        <f>SUM(M27:M32)</f>
        <v/>
      </c>
      <c r="N33" s="20">
        <f>SUM(N27:N32)</f>
        <v/>
      </c>
      <c r="O33" s="20">
        <f>SUM(O27:O32)</f>
        <v/>
      </c>
    </row>
    <row r="34">
      <c r="A34" s="4" t="n"/>
      <c r="B34" s="15" t="inlineStr">
        <is>
          <t>①定常運用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>
        <f>SUM(C34:N34)</f>
        <v/>
      </c>
      <c r="P34" s="4" t="n"/>
    </row>
    <row r="35">
      <c r="A35" s="18">
        <f>IF($A$34="","",$A$34)</f>
        <v/>
      </c>
      <c r="B35" s="15" t="inlineStr">
        <is>
          <t>②障害対応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7">
        <f>SUM(C35:N35)</f>
        <v/>
      </c>
    </row>
    <row r="36">
      <c r="A36" s="18">
        <f>IF($A$34="","",$A$34)</f>
        <v/>
      </c>
      <c r="B36" s="15" t="inlineStr">
        <is>
          <t>③問い合わせ対応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7">
        <f>SUM(C36:N36)</f>
        <v/>
      </c>
    </row>
    <row r="37">
      <c r="A37" s="18">
        <f>IF($A$34="","",$A$34)</f>
        <v/>
      </c>
      <c r="B37" s="15" t="inlineStr">
        <is>
          <t>④保守内の小規模改修</t>
        </is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>
        <f>SUM(C37:N37)</f>
        <v/>
      </c>
    </row>
    <row r="38">
      <c r="A38" s="18">
        <f>IF($A$34="","",$A$34)</f>
        <v/>
      </c>
      <c r="B38" s="15" t="inlineStr">
        <is>
          <t>⑤体制の維持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7">
        <f>SUM(C38:N38)</f>
        <v/>
      </c>
    </row>
    <row r="39">
      <c r="A39" s="18">
        <f>IF($A$34="","",$A$34)</f>
        <v/>
      </c>
      <c r="B39" s="15" t="inlineStr">
        <is>
          <t>⑥管理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7">
        <f>SUM(C39:N39)</f>
        <v/>
      </c>
    </row>
    <row r="40">
      <c r="A40" s="19">
        <f>IF($A$34="","",$A$34)</f>
        <v/>
      </c>
      <c r="B40" s="19" t="inlineStr">
        <is>
          <t>月合計</t>
        </is>
      </c>
      <c r="C40" s="20">
        <f>SUM(C34:C39)</f>
        <v/>
      </c>
      <c r="D40" s="20">
        <f>SUM(D34:D39)</f>
        <v/>
      </c>
      <c r="E40" s="20">
        <f>SUM(E34:E39)</f>
        <v/>
      </c>
      <c r="F40" s="20">
        <f>SUM(F34:F39)</f>
        <v/>
      </c>
      <c r="G40" s="20">
        <f>SUM(G34:G39)</f>
        <v/>
      </c>
      <c r="H40" s="20">
        <f>SUM(H34:H39)</f>
        <v/>
      </c>
      <c r="I40" s="20">
        <f>SUM(I34:I39)</f>
        <v/>
      </c>
      <c r="J40" s="20">
        <f>SUM(J34:J39)</f>
        <v/>
      </c>
      <c r="K40" s="20">
        <f>SUM(K34:K39)</f>
        <v/>
      </c>
      <c r="L40" s="20">
        <f>SUM(L34:L39)</f>
        <v/>
      </c>
      <c r="M40" s="20">
        <f>SUM(M34:M39)</f>
        <v/>
      </c>
      <c r="N40" s="20">
        <f>SUM(N34:N39)</f>
        <v/>
      </c>
      <c r="O40" s="20">
        <f>SUM(O34:O39)</f>
        <v/>
      </c>
    </row>
    <row r="41">
      <c r="A41" s="4" t="n"/>
      <c r="B41" s="15" t="inlineStr">
        <is>
          <t>①定常運用</t>
        </is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7">
        <f>SUM(C41:N41)</f>
        <v/>
      </c>
      <c r="P41" s="4" t="n"/>
    </row>
    <row r="42">
      <c r="A42" s="18">
        <f>IF($A$41="","",$A$41)</f>
        <v/>
      </c>
      <c r="B42" s="15" t="inlineStr">
        <is>
          <t>②障害対応</t>
        </is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7">
        <f>SUM(C42:N42)</f>
        <v/>
      </c>
    </row>
    <row r="43">
      <c r="A43" s="18">
        <f>IF($A$41="","",$A$41)</f>
        <v/>
      </c>
      <c r="B43" s="15" t="inlineStr">
        <is>
          <t>③問い合わせ対応</t>
        </is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>
        <f>SUM(C43:N43)</f>
        <v/>
      </c>
    </row>
    <row r="44">
      <c r="A44" s="18">
        <f>IF($A$41="","",$A$41)</f>
        <v/>
      </c>
      <c r="B44" s="15" t="inlineStr">
        <is>
          <t>④保守内の小規模改修</t>
        </is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7">
        <f>SUM(C44:N44)</f>
        <v/>
      </c>
    </row>
    <row r="45">
      <c r="A45" s="18">
        <f>IF($A$41="","",$A$41)</f>
        <v/>
      </c>
      <c r="B45" s="15" t="inlineStr">
        <is>
          <t>⑤体制の維持</t>
        </is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7">
        <f>SUM(C45:N45)</f>
        <v/>
      </c>
    </row>
    <row r="46">
      <c r="A46" s="18">
        <f>IF($A$41="","",$A$41)</f>
        <v/>
      </c>
      <c r="B46" s="15" t="inlineStr">
        <is>
          <t>⑥管理</t>
        </is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>
        <f>SUM(C46:N46)</f>
        <v/>
      </c>
    </row>
    <row r="47">
      <c r="A47" s="19">
        <f>IF($A$41="","",$A$41)</f>
        <v/>
      </c>
      <c r="B47" s="19" t="inlineStr">
        <is>
          <t>月合計</t>
        </is>
      </c>
      <c r="C47" s="20">
        <f>SUM(C41:C46)</f>
        <v/>
      </c>
      <c r="D47" s="20">
        <f>SUM(D41:D46)</f>
        <v/>
      </c>
      <c r="E47" s="20">
        <f>SUM(E41:E46)</f>
        <v/>
      </c>
      <c r="F47" s="20">
        <f>SUM(F41:F46)</f>
        <v/>
      </c>
      <c r="G47" s="20">
        <f>SUM(G41:G46)</f>
        <v/>
      </c>
      <c r="H47" s="20">
        <f>SUM(H41:H46)</f>
        <v/>
      </c>
      <c r="I47" s="20">
        <f>SUM(I41:I46)</f>
        <v/>
      </c>
      <c r="J47" s="20">
        <f>SUM(J41:J46)</f>
        <v/>
      </c>
      <c r="K47" s="20">
        <f>SUM(K41:K46)</f>
        <v/>
      </c>
      <c r="L47" s="20">
        <f>SUM(L41:L46)</f>
        <v/>
      </c>
      <c r="M47" s="20">
        <f>SUM(M41:M46)</f>
        <v/>
      </c>
      <c r="N47" s="20">
        <f>SUM(N41:N46)</f>
        <v/>
      </c>
      <c r="O47" s="20">
        <f>SUM(O41:O46)</f>
        <v/>
      </c>
    </row>
    <row r="48">
      <c r="A48" s="4" t="n"/>
      <c r="B48" s="15" t="inlineStr">
        <is>
          <t>①定常運用</t>
        </is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7">
        <f>SUM(C48:N48)</f>
        <v/>
      </c>
      <c r="P48" s="4" t="n"/>
    </row>
    <row r="49">
      <c r="A49" s="18">
        <f>IF($A$48="","",$A$48)</f>
        <v/>
      </c>
      <c r="B49" s="15" t="inlineStr">
        <is>
          <t>②障害対応</t>
        </is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>
        <f>SUM(C49:N49)</f>
        <v/>
      </c>
    </row>
    <row r="50">
      <c r="A50" s="18">
        <f>IF($A$48="","",$A$48)</f>
        <v/>
      </c>
      <c r="B50" s="15" t="inlineStr">
        <is>
          <t>③問い合わせ対応</t>
        </is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7">
        <f>SUM(C50:N50)</f>
        <v/>
      </c>
    </row>
    <row r="51">
      <c r="A51" s="18">
        <f>IF($A$48="","",$A$48)</f>
        <v/>
      </c>
      <c r="B51" s="15" t="inlineStr">
        <is>
          <t>④保守内の小規模改修</t>
        </is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7">
        <f>SUM(C51:N51)</f>
        <v/>
      </c>
    </row>
    <row r="52">
      <c r="A52" s="18">
        <f>IF($A$48="","",$A$48)</f>
        <v/>
      </c>
      <c r="B52" s="15" t="inlineStr">
        <is>
          <t>⑤体制の維持</t>
        </is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>
        <f>SUM(C52:N52)</f>
        <v/>
      </c>
    </row>
    <row r="53">
      <c r="A53" s="18">
        <f>IF($A$48="","",$A$48)</f>
        <v/>
      </c>
      <c r="B53" s="15" t="inlineStr">
        <is>
          <t>⑥管理</t>
        </is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7">
        <f>SUM(C53:N53)</f>
        <v/>
      </c>
    </row>
    <row r="54">
      <c r="A54" s="19">
        <f>IF($A$48="","",$A$48)</f>
        <v/>
      </c>
      <c r="B54" s="19" t="inlineStr">
        <is>
          <t>月合計</t>
        </is>
      </c>
      <c r="C54" s="20">
        <f>SUM(C48:C53)</f>
        <v/>
      </c>
      <c r="D54" s="20">
        <f>SUM(D48:D53)</f>
        <v/>
      </c>
      <c r="E54" s="20">
        <f>SUM(E48:E53)</f>
        <v/>
      </c>
      <c r="F54" s="20">
        <f>SUM(F48:F53)</f>
        <v/>
      </c>
      <c r="G54" s="20">
        <f>SUM(G48:G53)</f>
        <v/>
      </c>
      <c r="H54" s="20">
        <f>SUM(H48:H53)</f>
        <v/>
      </c>
      <c r="I54" s="20">
        <f>SUM(I48:I53)</f>
        <v/>
      </c>
      <c r="J54" s="20">
        <f>SUM(J48:J53)</f>
        <v/>
      </c>
      <c r="K54" s="20">
        <f>SUM(K48:K53)</f>
        <v/>
      </c>
      <c r="L54" s="20">
        <f>SUM(L48:L53)</f>
        <v/>
      </c>
      <c r="M54" s="20">
        <f>SUM(M48:M53)</f>
        <v/>
      </c>
      <c r="N54" s="20">
        <f>SUM(N48:N53)</f>
        <v/>
      </c>
      <c r="O54" s="20">
        <f>SUM(O48:O53)</f>
        <v/>
      </c>
    </row>
    <row r="55">
      <c r="A55" s="4" t="n"/>
      <c r="B55" s="15" t="inlineStr">
        <is>
          <t>①定常運用</t>
        </is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>
        <f>SUM(C55:N55)</f>
        <v/>
      </c>
      <c r="P55" s="4" t="n"/>
    </row>
    <row r="56">
      <c r="A56" s="18">
        <f>IF($A$55="","",$A$55)</f>
        <v/>
      </c>
      <c r="B56" s="15" t="inlineStr">
        <is>
          <t>②障害対応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7">
        <f>SUM(C56:N56)</f>
        <v/>
      </c>
    </row>
    <row r="57">
      <c r="A57" s="18">
        <f>IF($A$55="","",$A$55)</f>
        <v/>
      </c>
      <c r="B57" s="15" t="inlineStr">
        <is>
          <t>③問い合わせ対応</t>
        </is>
      </c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7">
        <f>SUM(C57:N57)</f>
        <v/>
      </c>
    </row>
    <row r="58">
      <c r="A58" s="18">
        <f>IF($A$55="","",$A$55)</f>
        <v/>
      </c>
      <c r="B58" s="15" t="inlineStr">
        <is>
          <t>④保守内の小規模改修</t>
        </is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>
        <f>SUM(C58:N58)</f>
        <v/>
      </c>
    </row>
    <row r="59">
      <c r="A59" s="18">
        <f>IF($A$55="","",$A$55)</f>
        <v/>
      </c>
      <c r="B59" s="15" t="inlineStr">
        <is>
          <t>⑤体制の維持</t>
        </is>
      </c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7">
        <f>SUM(C59:N59)</f>
        <v/>
      </c>
    </row>
    <row r="60">
      <c r="A60" s="18">
        <f>IF($A$55="","",$A$55)</f>
        <v/>
      </c>
      <c r="B60" s="15" t="inlineStr">
        <is>
          <t>⑥管理</t>
        </is>
      </c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7">
        <f>SUM(C60:N60)</f>
        <v/>
      </c>
    </row>
    <row r="61">
      <c r="A61" s="19">
        <f>IF($A$55="","",$A$55)</f>
        <v/>
      </c>
      <c r="B61" s="19" t="inlineStr">
        <is>
          <t>月合計</t>
        </is>
      </c>
      <c r="C61" s="20">
        <f>SUM(C55:C60)</f>
        <v/>
      </c>
      <c r="D61" s="20">
        <f>SUM(D55:D60)</f>
        <v/>
      </c>
      <c r="E61" s="20">
        <f>SUM(E55:E60)</f>
        <v/>
      </c>
      <c r="F61" s="20">
        <f>SUM(F55:F60)</f>
        <v/>
      </c>
      <c r="G61" s="20">
        <f>SUM(G55:G60)</f>
        <v/>
      </c>
      <c r="H61" s="20">
        <f>SUM(H55:H60)</f>
        <v/>
      </c>
      <c r="I61" s="20">
        <f>SUM(I55:I60)</f>
        <v/>
      </c>
      <c r="J61" s="20">
        <f>SUM(J55:J60)</f>
        <v/>
      </c>
      <c r="K61" s="20">
        <f>SUM(K55:K60)</f>
        <v/>
      </c>
      <c r="L61" s="20">
        <f>SUM(L55:L60)</f>
        <v/>
      </c>
      <c r="M61" s="20">
        <f>SUM(M55:M60)</f>
        <v/>
      </c>
      <c r="N61" s="20">
        <f>SUM(N55:N60)</f>
        <v/>
      </c>
      <c r="O61" s="20">
        <f>SUM(O55:O60)</f>
        <v/>
      </c>
    </row>
    <row r="62">
      <c r="A62" s="4" t="n"/>
      <c r="B62" s="15" t="inlineStr">
        <is>
          <t>①定常運用</t>
        </is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7">
        <f>SUM(C62:N62)</f>
        <v/>
      </c>
      <c r="P62" s="4" t="n"/>
    </row>
    <row r="63">
      <c r="A63" s="18">
        <f>IF($A$62="","",$A$62)</f>
        <v/>
      </c>
      <c r="B63" s="15" t="inlineStr">
        <is>
          <t>②障害対応</t>
        </is>
      </c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7">
        <f>SUM(C63:N63)</f>
        <v/>
      </c>
    </row>
    <row r="64">
      <c r="A64" s="18">
        <f>IF($A$62="","",$A$62)</f>
        <v/>
      </c>
      <c r="B64" s="15" t="inlineStr">
        <is>
          <t>③問い合わせ対応</t>
        </is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>
        <f>SUM(C64:N64)</f>
        <v/>
      </c>
    </row>
    <row r="65">
      <c r="A65" s="18">
        <f>IF($A$62="","",$A$62)</f>
        <v/>
      </c>
      <c r="B65" s="15" t="inlineStr">
        <is>
          <t>④保守内の小規模改修</t>
        </is>
      </c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7">
        <f>SUM(C65:N65)</f>
        <v/>
      </c>
    </row>
    <row r="66">
      <c r="A66" s="18">
        <f>IF($A$62="","",$A$62)</f>
        <v/>
      </c>
      <c r="B66" s="15" t="inlineStr">
        <is>
          <t>⑤体制の維持</t>
        </is>
      </c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>
        <f>SUM(C66:N66)</f>
        <v/>
      </c>
    </row>
    <row r="67">
      <c r="A67" s="18">
        <f>IF($A$62="","",$A$62)</f>
        <v/>
      </c>
      <c r="B67" s="15" t="inlineStr">
        <is>
          <t>⑥管理</t>
        </is>
      </c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>
        <f>SUM(C67:N67)</f>
        <v/>
      </c>
    </row>
    <row r="68">
      <c r="A68" s="19">
        <f>IF($A$62="","",$A$62)</f>
        <v/>
      </c>
      <c r="B68" s="19" t="inlineStr">
        <is>
          <t>月合計</t>
        </is>
      </c>
      <c r="C68" s="20">
        <f>SUM(C62:C67)</f>
        <v/>
      </c>
      <c r="D68" s="20">
        <f>SUM(D62:D67)</f>
        <v/>
      </c>
      <c r="E68" s="20">
        <f>SUM(E62:E67)</f>
        <v/>
      </c>
      <c r="F68" s="20">
        <f>SUM(F62:F67)</f>
        <v/>
      </c>
      <c r="G68" s="20">
        <f>SUM(G62:G67)</f>
        <v/>
      </c>
      <c r="H68" s="20">
        <f>SUM(H62:H67)</f>
        <v/>
      </c>
      <c r="I68" s="20">
        <f>SUM(I62:I67)</f>
        <v/>
      </c>
      <c r="J68" s="20">
        <f>SUM(J62:J67)</f>
        <v/>
      </c>
      <c r="K68" s="20">
        <f>SUM(K62:K67)</f>
        <v/>
      </c>
      <c r="L68" s="20">
        <f>SUM(L62:L67)</f>
        <v/>
      </c>
      <c r="M68" s="20">
        <f>SUM(M62:M67)</f>
        <v/>
      </c>
      <c r="N68" s="20">
        <f>SUM(N62:N67)</f>
        <v/>
      </c>
      <c r="O68" s="20">
        <f>SUM(O62:O67)</f>
        <v/>
      </c>
    </row>
    <row r="69">
      <c r="A69" s="4" t="n"/>
      <c r="B69" s="15" t="inlineStr">
        <is>
          <t>①定常運用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>
        <f>SUM(C69:N69)</f>
        <v/>
      </c>
      <c r="P69" s="4" t="n"/>
    </row>
    <row r="70">
      <c r="A70" s="18">
        <f>IF($A$69="","",$A$69)</f>
        <v/>
      </c>
      <c r="B70" s="15" t="inlineStr">
        <is>
          <t>②障害対応</t>
        </is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7">
        <f>SUM(C70:N70)</f>
        <v/>
      </c>
    </row>
    <row r="71">
      <c r="A71" s="18">
        <f>IF($A$69="","",$A$69)</f>
        <v/>
      </c>
      <c r="B71" s="15" t="inlineStr">
        <is>
          <t>③問い合わせ対応</t>
        </is>
      </c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7">
        <f>SUM(C71:N71)</f>
        <v/>
      </c>
    </row>
    <row r="72">
      <c r="A72" s="18">
        <f>IF($A$69="","",$A$69)</f>
        <v/>
      </c>
      <c r="B72" s="15" t="inlineStr">
        <is>
          <t>④保守内の小規模改修</t>
        </is>
      </c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>
        <f>SUM(C72:N72)</f>
        <v/>
      </c>
    </row>
    <row r="73">
      <c r="A73" s="18">
        <f>IF($A$69="","",$A$69)</f>
        <v/>
      </c>
      <c r="B73" s="15" t="inlineStr">
        <is>
          <t>⑤体制の維持</t>
        </is>
      </c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7">
        <f>SUM(C73:N73)</f>
        <v/>
      </c>
    </row>
    <row r="74">
      <c r="A74" s="18">
        <f>IF($A$69="","",$A$69)</f>
        <v/>
      </c>
      <c r="B74" s="15" t="inlineStr">
        <is>
          <t>⑥管理</t>
        </is>
      </c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>
        <f>SUM(C74:N74)</f>
        <v/>
      </c>
    </row>
    <row r="75">
      <c r="A75" s="19">
        <f>IF($A$69="","",$A$69)</f>
        <v/>
      </c>
      <c r="B75" s="19" t="inlineStr">
        <is>
          <t>月合計</t>
        </is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  <c r="H75" s="20">
        <f>SUM(H69:H74)</f>
        <v/>
      </c>
      <c r="I75" s="20">
        <f>SUM(I69:I74)</f>
        <v/>
      </c>
      <c r="J75" s="20">
        <f>SUM(J69:J74)</f>
        <v/>
      </c>
      <c r="K75" s="20">
        <f>SUM(K69:K74)</f>
        <v/>
      </c>
      <c r="L75" s="20">
        <f>SUM(L69:L74)</f>
        <v/>
      </c>
      <c r="M75" s="20">
        <f>SUM(M69:M74)</f>
        <v/>
      </c>
      <c r="N75" s="20">
        <f>SUM(N69:N74)</f>
        <v/>
      </c>
      <c r="O75" s="20">
        <f>SUM(O69:O74)</f>
        <v/>
      </c>
    </row>
    <row r="76">
      <c r="A76" s="4" t="n"/>
      <c r="B76" s="15" t="inlineStr">
        <is>
          <t>①定常運用</t>
        </is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7">
        <f>SUM(C76:N76)</f>
        <v/>
      </c>
      <c r="P76" s="4" t="n"/>
    </row>
    <row r="77">
      <c r="A77" s="18">
        <f>IF($A$76="","",$A$76)</f>
        <v/>
      </c>
      <c r="B77" s="15" t="inlineStr">
        <is>
          <t>②障害対応</t>
        </is>
      </c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>
        <f>SUM(C77:N77)</f>
        <v/>
      </c>
    </row>
    <row r="78">
      <c r="A78" s="18">
        <f>IF($A$76="","",$A$76)</f>
        <v/>
      </c>
      <c r="B78" s="15" t="inlineStr">
        <is>
          <t>③問い合わせ対応</t>
        </is>
      </c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7">
        <f>SUM(C78:N78)</f>
        <v/>
      </c>
    </row>
    <row r="79">
      <c r="A79" s="18">
        <f>IF($A$76="","",$A$76)</f>
        <v/>
      </c>
      <c r="B79" s="15" t="inlineStr">
        <is>
          <t>④保守内の小規模改修</t>
        </is>
      </c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7">
        <f>SUM(C79:N79)</f>
        <v/>
      </c>
    </row>
    <row r="80">
      <c r="A80" s="18">
        <f>IF($A$76="","",$A$76)</f>
        <v/>
      </c>
      <c r="B80" s="15" t="inlineStr">
        <is>
          <t>⑤体制の維持</t>
        </is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>
        <f>SUM(C80:N80)</f>
        <v/>
      </c>
    </row>
    <row r="81">
      <c r="A81" s="18">
        <f>IF($A$76="","",$A$76)</f>
        <v/>
      </c>
      <c r="B81" s="15" t="inlineStr">
        <is>
          <t>⑥管理</t>
        </is>
      </c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7">
        <f>SUM(C81:N81)</f>
        <v/>
      </c>
    </row>
    <row r="82">
      <c r="A82" s="19">
        <f>IF($A$76="","",$A$76)</f>
        <v/>
      </c>
      <c r="B82" s="19" t="inlineStr">
        <is>
          <t>月合計</t>
        </is>
      </c>
      <c r="C82" s="20">
        <f>SUM(C76:C81)</f>
        <v/>
      </c>
      <c r="D82" s="20">
        <f>SUM(D76:D81)</f>
        <v/>
      </c>
      <c r="E82" s="20">
        <f>SUM(E76:E81)</f>
        <v/>
      </c>
      <c r="F82" s="20">
        <f>SUM(F76:F81)</f>
        <v/>
      </c>
      <c r="G82" s="20">
        <f>SUM(G76:G81)</f>
        <v/>
      </c>
      <c r="H82" s="20">
        <f>SUM(H76:H81)</f>
        <v/>
      </c>
      <c r="I82" s="20">
        <f>SUM(I76:I81)</f>
        <v/>
      </c>
      <c r="J82" s="20">
        <f>SUM(J76:J81)</f>
        <v/>
      </c>
      <c r="K82" s="20">
        <f>SUM(K76:K81)</f>
        <v/>
      </c>
      <c r="L82" s="20">
        <f>SUM(L76:L81)</f>
        <v/>
      </c>
      <c r="M82" s="20">
        <f>SUM(M76:M81)</f>
        <v/>
      </c>
      <c r="N82" s="20">
        <f>SUM(N76:N81)</f>
        <v/>
      </c>
      <c r="O82" s="20">
        <f>SUM(O76:O81)</f>
        <v/>
      </c>
    </row>
    <row r="84">
      <c r="A84" s="2" t="inlineStr">
        <is>
          <t>全要員の集計(自動計算)</t>
        </is>
      </c>
    </row>
    <row r="85">
      <c r="A85" s="5" t="inlineStr">
        <is>
          <t>全要員</t>
        </is>
      </c>
      <c r="B85" s="5" t="inlineStr">
        <is>
          <t>①定常運用</t>
        </is>
      </c>
      <c r="C85" s="21">
        <f>SUMIF($B$13:$B$82,$B85,C$13:C$82)</f>
        <v/>
      </c>
      <c r="D85" s="21">
        <f>SUMIF($B$13:$B$82,$B85,D$13:D$82)</f>
        <v/>
      </c>
      <c r="E85" s="21">
        <f>SUMIF($B$13:$B$82,$B85,E$13:E$82)</f>
        <v/>
      </c>
      <c r="F85" s="21">
        <f>SUMIF($B$13:$B$82,$B85,F$13:F$82)</f>
        <v/>
      </c>
      <c r="G85" s="21">
        <f>SUMIF($B$13:$B$82,$B85,G$13:G$82)</f>
        <v/>
      </c>
      <c r="H85" s="21">
        <f>SUMIF($B$13:$B$82,$B85,H$13:H$82)</f>
        <v/>
      </c>
      <c r="I85" s="21">
        <f>SUMIF($B$13:$B$82,$B85,I$13:I$82)</f>
        <v/>
      </c>
      <c r="J85" s="21">
        <f>SUMIF($B$13:$B$82,$B85,J$13:J$82)</f>
        <v/>
      </c>
      <c r="K85" s="21">
        <f>SUMIF($B$13:$B$82,$B85,K$13:K$82)</f>
        <v/>
      </c>
      <c r="L85" s="21">
        <f>SUMIF($B$13:$B$82,$B85,L$13:L$82)</f>
        <v/>
      </c>
      <c r="M85" s="21">
        <f>SUMIF($B$13:$B$82,$B85,M$13:M$82)</f>
        <v/>
      </c>
      <c r="N85" s="21">
        <f>SUMIF($B$13:$B$82,$B85,N$13:N$82)</f>
        <v/>
      </c>
      <c r="O85" s="21">
        <f>SUMIF($B$13:$B$82,$B85,O$13:O$82)</f>
        <v/>
      </c>
    </row>
    <row r="86">
      <c r="A86" s="5" t="inlineStr">
        <is>
          <t>全要員</t>
        </is>
      </c>
      <c r="B86" s="5" t="inlineStr">
        <is>
          <t>②障害対応</t>
        </is>
      </c>
      <c r="C86" s="21">
        <f>SUMIF($B$13:$B$82,$B86,C$13:C$82)</f>
        <v/>
      </c>
      <c r="D86" s="21">
        <f>SUMIF($B$13:$B$82,$B86,D$13:D$82)</f>
        <v/>
      </c>
      <c r="E86" s="21">
        <f>SUMIF($B$13:$B$82,$B86,E$13:E$82)</f>
        <v/>
      </c>
      <c r="F86" s="21">
        <f>SUMIF($B$13:$B$82,$B86,F$13:F$82)</f>
        <v/>
      </c>
      <c r="G86" s="21">
        <f>SUMIF($B$13:$B$82,$B86,G$13:G$82)</f>
        <v/>
      </c>
      <c r="H86" s="21">
        <f>SUMIF($B$13:$B$82,$B86,H$13:H$82)</f>
        <v/>
      </c>
      <c r="I86" s="21">
        <f>SUMIF($B$13:$B$82,$B86,I$13:I$82)</f>
        <v/>
      </c>
      <c r="J86" s="21">
        <f>SUMIF($B$13:$B$82,$B86,J$13:J$82)</f>
        <v/>
      </c>
      <c r="K86" s="21">
        <f>SUMIF($B$13:$B$82,$B86,K$13:K$82)</f>
        <v/>
      </c>
      <c r="L86" s="21">
        <f>SUMIF($B$13:$B$82,$B86,L$13:L$82)</f>
        <v/>
      </c>
      <c r="M86" s="21">
        <f>SUMIF($B$13:$B$82,$B86,M$13:M$82)</f>
        <v/>
      </c>
      <c r="N86" s="21">
        <f>SUMIF($B$13:$B$82,$B86,N$13:N$82)</f>
        <v/>
      </c>
      <c r="O86" s="21">
        <f>SUMIF($B$13:$B$82,$B86,O$13:O$82)</f>
        <v/>
      </c>
    </row>
    <row r="87">
      <c r="A87" s="5" t="inlineStr">
        <is>
          <t>全要員</t>
        </is>
      </c>
      <c r="B87" s="5" t="inlineStr">
        <is>
          <t>③問い合わせ対応</t>
        </is>
      </c>
      <c r="C87" s="21">
        <f>SUMIF($B$13:$B$82,$B87,C$13:C$82)</f>
        <v/>
      </c>
      <c r="D87" s="21">
        <f>SUMIF($B$13:$B$82,$B87,D$13:D$82)</f>
        <v/>
      </c>
      <c r="E87" s="21">
        <f>SUMIF($B$13:$B$82,$B87,E$13:E$82)</f>
        <v/>
      </c>
      <c r="F87" s="21">
        <f>SUMIF($B$13:$B$82,$B87,F$13:F$82)</f>
        <v/>
      </c>
      <c r="G87" s="21">
        <f>SUMIF($B$13:$B$82,$B87,G$13:G$82)</f>
        <v/>
      </c>
      <c r="H87" s="21">
        <f>SUMIF($B$13:$B$82,$B87,H$13:H$82)</f>
        <v/>
      </c>
      <c r="I87" s="21">
        <f>SUMIF($B$13:$B$82,$B87,I$13:I$82)</f>
        <v/>
      </c>
      <c r="J87" s="21">
        <f>SUMIF($B$13:$B$82,$B87,J$13:J$82)</f>
        <v/>
      </c>
      <c r="K87" s="21">
        <f>SUMIF($B$13:$B$82,$B87,K$13:K$82)</f>
        <v/>
      </c>
      <c r="L87" s="21">
        <f>SUMIF($B$13:$B$82,$B87,L$13:L$82)</f>
        <v/>
      </c>
      <c r="M87" s="21">
        <f>SUMIF($B$13:$B$82,$B87,M$13:M$82)</f>
        <v/>
      </c>
      <c r="N87" s="21">
        <f>SUMIF($B$13:$B$82,$B87,N$13:N$82)</f>
        <v/>
      </c>
      <c r="O87" s="21">
        <f>SUMIF($B$13:$B$82,$B87,O$13:O$82)</f>
        <v/>
      </c>
    </row>
    <row r="88">
      <c r="A88" s="5" t="inlineStr">
        <is>
          <t>全要員</t>
        </is>
      </c>
      <c r="B88" s="5" t="inlineStr">
        <is>
          <t>④保守内の小規模改修</t>
        </is>
      </c>
      <c r="C88" s="21">
        <f>SUMIF($B$13:$B$82,$B88,C$13:C$82)</f>
        <v/>
      </c>
      <c r="D88" s="21">
        <f>SUMIF($B$13:$B$82,$B88,D$13:D$82)</f>
        <v/>
      </c>
      <c r="E88" s="21">
        <f>SUMIF($B$13:$B$82,$B88,E$13:E$82)</f>
        <v/>
      </c>
      <c r="F88" s="21">
        <f>SUMIF($B$13:$B$82,$B88,F$13:F$82)</f>
        <v/>
      </c>
      <c r="G88" s="21">
        <f>SUMIF($B$13:$B$82,$B88,G$13:G$82)</f>
        <v/>
      </c>
      <c r="H88" s="21">
        <f>SUMIF($B$13:$B$82,$B88,H$13:H$82)</f>
        <v/>
      </c>
      <c r="I88" s="21">
        <f>SUMIF($B$13:$B$82,$B88,I$13:I$82)</f>
        <v/>
      </c>
      <c r="J88" s="21">
        <f>SUMIF($B$13:$B$82,$B88,J$13:J$82)</f>
        <v/>
      </c>
      <c r="K88" s="21">
        <f>SUMIF($B$13:$B$82,$B88,K$13:K$82)</f>
        <v/>
      </c>
      <c r="L88" s="21">
        <f>SUMIF($B$13:$B$82,$B88,L$13:L$82)</f>
        <v/>
      </c>
      <c r="M88" s="21">
        <f>SUMIF($B$13:$B$82,$B88,M$13:M$82)</f>
        <v/>
      </c>
      <c r="N88" s="21">
        <f>SUMIF($B$13:$B$82,$B88,N$13:N$82)</f>
        <v/>
      </c>
      <c r="O88" s="21">
        <f>SUMIF($B$13:$B$82,$B88,O$13:O$82)</f>
        <v/>
      </c>
    </row>
    <row r="89">
      <c r="A89" s="5" t="inlineStr">
        <is>
          <t>全要員</t>
        </is>
      </c>
      <c r="B89" s="5" t="inlineStr">
        <is>
          <t>⑤体制の維持</t>
        </is>
      </c>
      <c r="C89" s="21">
        <f>SUMIF($B$13:$B$82,$B89,C$13:C$82)</f>
        <v/>
      </c>
      <c r="D89" s="21">
        <f>SUMIF($B$13:$B$82,$B89,D$13:D$82)</f>
        <v/>
      </c>
      <c r="E89" s="21">
        <f>SUMIF($B$13:$B$82,$B89,E$13:E$82)</f>
        <v/>
      </c>
      <c r="F89" s="21">
        <f>SUMIF($B$13:$B$82,$B89,F$13:F$82)</f>
        <v/>
      </c>
      <c r="G89" s="21">
        <f>SUMIF($B$13:$B$82,$B89,G$13:G$82)</f>
        <v/>
      </c>
      <c r="H89" s="21">
        <f>SUMIF($B$13:$B$82,$B89,H$13:H$82)</f>
        <v/>
      </c>
      <c r="I89" s="21">
        <f>SUMIF($B$13:$B$82,$B89,I$13:I$82)</f>
        <v/>
      </c>
      <c r="J89" s="21">
        <f>SUMIF($B$13:$B$82,$B89,J$13:J$82)</f>
        <v/>
      </c>
      <c r="K89" s="21">
        <f>SUMIF($B$13:$B$82,$B89,K$13:K$82)</f>
        <v/>
      </c>
      <c r="L89" s="21">
        <f>SUMIF($B$13:$B$82,$B89,L$13:L$82)</f>
        <v/>
      </c>
      <c r="M89" s="21">
        <f>SUMIF($B$13:$B$82,$B89,M$13:M$82)</f>
        <v/>
      </c>
      <c r="N89" s="21">
        <f>SUMIF($B$13:$B$82,$B89,N$13:N$82)</f>
        <v/>
      </c>
      <c r="O89" s="21">
        <f>SUMIF($B$13:$B$82,$B89,O$13:O$82)</f>
        <v/>
      </c>
    </row>
    <row r="90">
      <c r="A90" s="5" t="inlineStr">
        <is>
          <t>全要員</t>
        </is>
      </c>
      <c r="B90" s="5" t="inlineStr">
        <is>
          <t>⑥管理</t>
        </is>
      </c>
      <c r="C90" s="21">
        <f>SUMIF($B$13:$B$82,$B90,C$13:C$82)</f>
        <v/>
      </c>
      <c r="D90" s="21">
        <f>SUMIF($B$13:$B$82,$B90,D$13:D$82)</f>
        <v/>
      </c>
      <c r="E90" s="21">
        <f>SUMIF($B$13:$B$82,$B90,E$13:E$82)</f>
        <v/>
      </c>
      <c r="F90" s="21">
        <f>SUMIF($B$13:$B$82,$B90,F$13:F$82)</f>
        <v/>
      </c>
      <c r="G90" s="21">
        <f>SUMIF($B$13:$B$82,$B90,G$13:G$82)</f>
        <v/>
      </c>
      <c r="H90" s="21">
        <f>SUMIF($B$13:$B$82,$B90,H$13:H$82)</f>
        <v/>
      </c>
      <c r="I90" s="21">
        <f>SUMIF($B$13:$B$82,$B90,I$13:I$82)</f>
        <v/>
      </c>
      <c r="J90" s="21">
        <f>SUMIF($B$13:$B$82,$B90,J$13:J$82)</f>
        <v/>
      </c>
      <c r="K90" s="21">
        <f>SUMIF($B$13:$B$82,$B90,K$13:K$82)</f>
        <v/>
      </c>
      <c r="L90" s="21">
        <f>SUMIF($B$13:$B$82,$B90,L$13:L$82)</f>
        <v/>
      </c>
      <c r="M90" s="21">
        <f>SUMIF($B$13:$B$82,$B90,M$13:M$82)</f>
        <v/>
      </c>
      <c r="N90" s="21">
        <f>SUMIF($B$13:$B$82,$B90,N$13:N$82)</f>
        <v/>
      </c>
      <c r="O90" s="21">
        <f>SUMIF($B$13:$B$82,$B90,O$13:O$82)</f>
        <v/>
      </c>
    </row>
    <row r="91">
      <c r="A91" s="22" t="inlineStr">
        <is>
          <t>全要員</t>
        </is>
      </c>
      <c r="B91" s="22" t="inlineStr">
        <is>
          <t>月合計</t>
        </is>
      </c>
      <c r="C91" s="23">
        <f>SUM(C85:C90)</f>
        <v/>
      </c>
      <c r="D91" s="23">
        <f>SUM(D85:D90)</f>
        <v/>
      </c>
      <c r="E91" s="23">
        <f>SUM(E85:E90)</f>
        <v/>
      </c>
      <c r="F91" s="23">
        <f>SUM(F85:F90)</f>
        <v/>
      </c>
      <c r="G91" s="23">
        <f>SUM(G85:G90)</f>
        <v/>
      </c>
      <c r="H91" s="23">
        <f>SUM(H85:H90)</f>
        <v/>
      </c>
      <c r="I91" s="23">
        <f>SUM(I85:I90)</f>
        <v/>
      </c>
      <c r="J91" s="23">
        <f>SUM(J85:J90)</f>
        <v/>
      </c>
      <c r="K91" s="23">
        <f>SUM(K85:K90)</f>
        <v/>
      </c>
      <c r="L91" s="23">
        <f>SUM(L85:L90)</f>
        <v/>
      </c>
      <c r="M91" s="23">
        <f>SUM(M85:M90)</f>
        <v/>
      </c>
      <c r="N91" s="23">
        <f>SUM(N85:N90)</f>
        <v/>
      </c>
      <c r="O91" s="23">
        <f>SUM(O85:O90)</f>
        <v/>
      </c>
    </row>
    <row r="92">
      <c r="A92" s="5" t="inlineStr">
        <is>
          <t>全要員</t>
        </is>
      </c>
      <c r="B92" s="5" t="inlineStr">
        <is>
          <t>報告した要員数</t>
        </is>
      </c>
      <c r="C92" s="24">
        <f>(C19&gt;0)+(C26&gt;0)+(C33&gt;0)+(C40&gt;0)+(C47&gt;0)+(C54&gt;0)+(C61&gt;0)+(C68&gt;0)+(C75&gt;0)+(C82&gt;0)</f>
        <v/>
      </c>
      <c r="D92" s="24">
        <f>(D19&gt;0)+(D26&gt;0)+(D33&gt;0)+(D40&gt;0)+(D47&gt;0)+(D54&gt;0)+(D61&gt;0)+(D68&gt;0)+(D75&gt;0)+(D82&gt;0)</f>
        <v/>
      </c>
      <c r="E92" s="24">
        <f>(E19&gt;0)+(E26&gt;0)+(E33&gt;0)+(E40&gt;0)+(E47&gt;0)+(E54&gt;0)+(E61&gt;0)+(E68&gt;0)+(E75&gt;0)+(E82&gt;0)</f>
        <v/>
      </c>
      <c r="F92" s="24">
        <f>(F19&gt;0)+(F26&gt;0)+(F33&gt;0)+(F40&gt;0)+(F47&gt;0)+(F54&gt;0)+(F61&gt;0)+(F68&gt;0)+(F75&gt;0)+(F82&gt;0)</f>
        <v/>
      </c>
      <c r="G92" s="24">
        <f>(G19&gt;0)+(G26&gt;0)+(G33&gt;0)+(G40&gt;0)+(G47&gt;0)+(G54&gt;0)+(G61&gt;0)+(G68&gt;0)+(G75&gt;0)+(G82&gt;0)</f>
        <v/>
      </c>
      <c r="H92" s="24">
        <f>(H19&gt;0)+(H26&gt;0)+(H33&gt;0)+(H40&gt;0)+(H47&gt;0)+(H54&gt;0)+(H61&gt;0)+(H68&gt;0)+(H75&gt;0)+(H82&gt;0)</f>
        <v/>
      </c>
      <c r="I92" s="24">
        <f>(I19&gt;0)+(I26&gt;0)+(I33&gt;0)+(I40&gt;0)+(I47&gt;0)+(I54&gt;0)+(I61&gt;0)+(I68&gt;0)+(I75&gt;0)+(I82&gt;0)</f>
        <v/>
      </c>
      <c r="J92" s="24">
        <f>(J19&gt;0)+(J26&gt;0)+(J33&gt;0)+(J40&gt;0)+(J47&gt;0)+(J54&gt;0)+(J61&gt;0)+(J68&gt;0)+(J75&gt;0)+(J82&gt;0)</f>
        <v/>
      </c>
      <c r="K92" s="24">
        <f>(K19&gt;0)+(K26&gt;0)+(K33&gt;0)+(K40&gt;0)+(K47&gt;0)+(K54&gt;0)+(K61&gt;0)+(K68&gt;0)+(K75&gt;0)+(K82&gt;0)</f>
        <v/>
      </c>
      <c r="L92" s="24">
        <f>(L19&gt;0)+(L26&gt;0)+(L33&gt;0)+(L40&gt;0)+(L47&gt;0)+(L54&gt;0)+(L61&gt;0)+(L68&gt;0)+(L75&gt;0)+(L82&gt;0)</f>
        <v/>
      </c>
      <c r="M92" s="24">
        <f>(M19&gt;0)+(M26&gt;0)+(M33&gt;0)+(M40&gt;0)+(M47&gt;0)+(M54&gt;0)+(M61&gt;0)+(M68&gt;0)+(M75&gt;0)+(M82&gt;0)</f>
        <v/>
      </c>
      <c r="N92" s="24">
        <f>(N19&gt;0)+(N26&gt;0)+(N33&gt;0)+(N40&gt;0)+(N47&gt;0)+(N54&gt;0)+(N61&gt;0)+(N68&gt;0)+(N75&gt;0)+(N82&gt;0)</f>
        <v/>
      </c>
    </row>
    <row r="94">
      <c r="A94" s="2" t="inlineStr">
        <is>
          <t>月次の報告と確認</t>
        </is>
      </c>
    </row>
    <row r="95">
      <c r="A95" s="15" t="inlineStr">
        <is>
          <t>ベンダー</t>
        </is>
      </c>
      <c r="B95" s="7" t="inlineStr">
        <is>
          <t>報告日</t>
        </is>
      </c>
      <c r="C95" s="25" t="n">
        <v>46359</v>
      </c>
      <c r="D95" s="25" t="n">
        <v>46390</v>
      </c>
      <c r="E95" s="25" t="n">
        <v>46421</v>
      </c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</row>
    <row r="96">
      <c r="A96" s="15" t="inlineStr">
        <is>
          <t>システム管理者</t>
        </is>
      </c>
      <c r="B96" s="7" t="inlineStr">
        <is>
          <t>確認日</t>
        </is>
      </c>
      <c r="C96" s="25" t="n">
        <v>46364</v>
      </c>
      <c r="D96" s="25" t="n">
        <v>46395</v>
      </c>
      <c r="E96" s="25" t="n">
        <v>46426</v>
      </c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</row>
    <row r="97">
      <c r="A97" s="15" t="inlineStr">
        <is>
          <t>システム管理者</t>
        </is>
      </c>
      <c r="B97" s="7" t="inlineStr">
        <is>
          <t>確認結果</t>
        </is>
      </c>
      <c r="C97" s="4" t="inlineStr">
        <is>
          <t>承認</t>
        </is>
      </c>
      <c r="D97" s="4" t="inlineStr">
        <is>
          <t>承認</t>
        </is>
      </c>
      <c r="E97" s="4" t="inlineStr">
        <is>
          <t>承認</t>
        </is>
      </c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 ht="45" customHeight="1">
      <c r="A98" s="15" t="inlineStr">
        <is>
          <t>システム管理者</t>
        </is>
      </c>
      <c r="B98" s="7" t="inlineStr">
        <is>
          <t>確認コメント</t>
        </is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</row>
  </sheetData>
  <mergeCells count="7">
    <mergeCell ref="B9:O9"/>
    <mergeCell ref="B8:E8"/>
    <mergeCell ref="B4:E4"/>
    <mergeCell ref="B6:E6"/>
    <mergeCell ref="B7:E7"/>
    <mergeCell ref="B3:E3"/>
    <mergeCell ref="B5:E5"/>
  </mergeCells>
  <dataValidations count="4">
    <dataValidation sqref="P13 P20 P27 P34 P41 P48 P55 P62 P69 P76" showDropDown="0" showInputMessage="0" showErrorMessage="0" allowBlank="1" type="list">
      <formula1>"自社のIT部門,自社の利用部門,ベンダー内の責任者,指示なし(自主判断)"</formula1>
    </dataValidation>
    <dataValidation sqref="C13:N18 C20:N25 C27:N32 C34:N39 C41:N46 C48:N53 C55:N60 C62:N67 C69:N74 C76:N81" showDropDown="0" showInputMessage="0" showErrorMessage="0" allowBlank="1" errorTitle="時間" error="0〜744の数値(時間)を入力してください" type="decimal" operator="between">
      <formula1>0</formula1>
      <formula2>744</formula2>
    </dataValidation>
    <dataValidation sqref="C97:N97" showDropDown="0" showInputMessage="0" showErrorMessage="0" allowBlank="1" type="list">
      <formula1>"承認,差戻し"</formula1>
    </dataValidation>
    <dataValidation sqref="C95:N95 C96:N96" showDropDown="0" showInputMessage="0" showErrorMessage="0" allowBlank="1" type="date" operator="greaterThan">
      <formula1>DATE(2020,1,1)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2026-10-17T07:55:04Z</dcterms:created>
  <dcterms:modified xmlns:dcterms="http://purl.org/dc/terms/" xmlns:xsi="http://www.w3.org/2001/XMLSchema-instance" xsi:type="dcterms:W3CDTF">2026-10-17T07:55:04Z</dcterms:modified>
</cp:coreProperties>
</file>