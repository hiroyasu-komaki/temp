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バリューストリーム" sheetId="1" r:id="rId5"/>
    <sheet state="visible" name="ケイパビリティマップ" sheetId="2" r:id="rId6"/>
    <sheet state="visible" name="ケイパビリティレベル" sheetId="3" r:id="rId7"/>
    <sheet state="visible" name="VS×ケイパビリティ関係" sheetId="4" r:id="rId8"/>
    <sheet state="visible" name="VS×ケイパビリティ" sheetId="5" r:id="rId9"/>
    <sheet state="visible" name="情報オブジェクト" sheetId="6" r:id="rId10"/>
    <sheet state="visible" name="ケイパビリティ×情報オブジェクト" sheetId="7" r:id="rId11"/>
    <sheet state="visible" name="アプリケーション" sheetId="8" r:id="rId12"/>
    <sheet state="visible" name="製品一覧" sheetId="9" r:id="rId13"/>
    <sheet state="visible" name="ケイパビリティ×アプリケーション" sheetId="10" r:id="rId14"/>
    <sheet state="visible" name="アプリケーション×情報オブジェクト" sheetId="11" r:id="rId15"/>
    <sheet state="visible" name="アプリケーション×製品" sheetId="12" r:id="rId16"/>
  </sheets>
  <definedNames>
    <definedName hidden="1" localSheetId="0" name="_xlnm._FilterDatabase">'バリューストリーム'!$A$3:$L$202</definedName>
    <definedName hidden="1" localSheetId="1" name="_xlnm._FilterDatabase">'ケイパビリティマップ'!$A$3:$J$220</definedName>
    <definedName hidden="1" localSheetId="2" name="_xlnm._FilterDatabase">'ケイパビリティレベル'!$A$10:$I$63</definedName>
    <definedName hidden="1" localSheetId="3" name="_xlnm._FilterDatabase">'VS×ケイパビリティ関係'!$A$3:$G$294</definedName>
    <definedName hidden="1" localSheetId="5" name="_xlnm._FilterDatabase">'情報オブジェクト'!$A$3:$M$99</definedName>
    <definedName hidden="1" localSheetId="7" name="_xlnm._FilterDatabase">'アプリケーション'!$A$3:$H$40</definedName>
    <definedName hidden="1" localSheetId="8" name="_xlnm._FilterDatabase">'製品一覧'!$A$3:$J$75</definedName>
  </definedNames>
  <calcPr/>
</workbook>
</file>

<file path=xl/sharedStrings.xml><?xml version="1.0" encoding="utf-8"?>
<sst xmlns="http://schemas.openxmlformats.org/spreadsheetml/2006/main" count="7333" uniqueCount="3040">
  <si>
    <t>バリューストリーム（L1〜L4）</t>
  </si>
  <si>
    <t>ケイパビリティの成熟度レベル（L2ごとの定義）</t>
  </si>
  <si>
    <t>ビジネス・ケイパビリティマップ（L1〜L3）</t>
  </si>
  <si>
    <r>
      <rPr>
        <rFont val="Arial"/>
        <b/>
        <color rgb="FF1F3A5F"/>
        <sz val="14.0"/>
      </rPr>
      <t>VS×</t>
    </r>
    <r>
      <rPr>
        <rFont val="Noto Sans CJK SC"/>
        <b/>
        <color rgb="FF1F3A5F"/>
        <sz val="14.0"/>
      </rPr>
      <t>ケイパビリティ関係（正本：</t>
    </r>
    <r>
      <rPr>
        <rFont val="Arial"/>
        <b/>
        <color rgb="FF1F3A5F"/>
        <sz val="14.0"/>
      </rPr>
      <t xml:space="preserve">VS L4 × </t>
    </r>
    <r>
      <rPr>
        <rFont val="Noto Sans CJK SC"/>
        <b/>
        <color rgb="FF1F3A5F"/>
        <sz val="14.0"/>
      </rPr>
      <t>ケイパビリティ</t>
    </r>
    <r>
      <rPr>
        <rFont val="Arial"/>
        <b/>
        <color rgb="FF1F3A5F"/>
        <sz val="14.0"/>
      </rPr>
      <t>L3</t>
    </r>
    <r>
      <rPr>
        <rFont val="Noto Sans CJK SC"/>
        <b/>
        <color rgb="FF1F3A5F"/>
        <sz val="14.0"/>
      </rPr>
      <t>）</t>
    </r>
  </si>
  <si>
    <t>対象：希少疾患向け新規バイオ医薬品（抗体医薬）／米国基準（FDA・BLA・21 CFR）。1行1項目。L1〜L4列の●がその行のレベル。出口はL2、入力・出力情報・GxP区分・主な関与者はL4の項目。 入力情報・出力情報はVS定義の過程で得られる正本（直接入力する）。情報オブジェクトはこれを取りまとめて一覧化したもの。</t>
  </si>
  <si>
    <r>
      <rPr>
        <rFont val="Arial"/>
        <color rgb="FF555555"/>
        <sz val="9.0"/>
      </rPr>
      <t>1</t>
    </r>
    <r>
      <rPr>
        <rFont val="Noto Sans CJK SC"/>
        <color rgb="FF555555"/>
        <sz val="9.0"/>
      </rPr>
      <t>行</t>
    </r>
    <r>
      <rPr>
        <rFont val="Arial"/>
        <color rgb="FF555555"/>
        <sz val="9.0"/>
      </rPr>
      <t>1</t>
    </r>
    <r>
      <rPr>
        <rFont val="Noto Sans CJK SC"/>
        <color rgb="FF555555"/>
        <sz val="9.0"/>
      </rPr>
      <t>関係。区分は「主」（その</t>
    </r>
    <r>
      <rPr>
        <rFont val="Arial"/>
        <color rgb="FF555555"/>
        <sz val="9.0"/>
      </rPr>
      <t>L4</t>
    </r>
    <r>
      <rPr>
        <rFont val="Noto Sans CJK SC"/>
        <color rgb="FF555555"/>
        <sz val="9.0"/>
      </rPr>
      <t>の中核）か「支援」（下支え）。マトリクスはこのシートから数式で集計する。関係の追加・変更はこのシートで行う。灰色の列は数式（編集しない）。</t>
    </r>
  </si>
  <si>
    <t>対象：希少疾患向け新規バイオ医薬品（抗体医薬）／米国基準（FDA・BLA・21 CFR）。評価の対象はL2。規制上の最低水準：GxP・法令が関わるL2はレベル3が事実上の最低水準。</t>
  </si>
  <si>
    <t>対象：希少疾患向け新規バイオ医薬品（抗体医薬）／米国基準（FDA・BLA・21 CFR）。1行1項目。L1〜L3列の●がその行のレベル。区分はL1、範囲・アウトカムはL3の項目。★＝希少疾患に限定したことで追加・強調した能力。</t>
  </si>
  <si>
    <t>ID</t>
  </si>
  <si>
    <t>VS L4 ID</t>
  </si>
  <si>
    <t>レベル</t>
  </si>
  <si>
    <t>VS L4</t>
  </si>
  <si>
    <t>L1</t>
  </si>
  <si>
    <t>L2</t>
  </si>
  <si>
    <t>ケイパビリティL3 ID</t>
  </si>
  <si>
    <t>L3</t>
  </si>
  <si>
    <t>ケイパビリティ名</t>
  </si>
  <si>
    <t>名称</t>
  </si>
  <si>
    <t>共通定義</t>
  </si>
  <si>
    <t>ケイパビリティの定義</t>
  </si>
  <si>
    <t>区分</t>
  </si>
  <si>
    <t>範囲（含む）</t>
  </si>
  <si>
    <t>範囲（含まない）</t>
  </si>
  <si>
    <t>アウトカム</t>
  </si>
  <si>
    <t>C01</t>
  </si>
  <si>
    <t>L4</t>
  </si>
  <si>
    <r>
      <rPr>
        <rFont val="Arial"/>
        <b/>
        <color rgb="FFFFFFFF"/>
        <sz val="10.0"/>
      </rPr>
      <t>VS</t>
    </r>
    <r>
      <rPr>
        <rFont val="Noto Sans CJK SC"/>
        <b/>
        <color rgb="FFFFFFFF"/>
        <sz val="10.0"/>
      </rPr>
      <t>項目名</t>
    </r>
  </si>
  <si>
    <r>
      <rPr>
        <rFont val="Arial"/>
        <b/>
        <color rgb="FFFFFFFF"/>
        <sz val="10.0"/>
      </rPr>
      <t>VS</t>
    </r>
    <r>
      <rPr>
        <rFont val="Noto Sans CJK SC"/>
        <b/>
        <color rgb="FFFFFFFF"/>
        <sz val="10.0"/>
      </rPr>
      <t>の定義</t>
    </r>
  </si>
  <si>
    <t>●</t>
  </si>
  <si>
    <t>出口（ゲート）</t>
  </si>
  <si>
    <t>入力情報</t>
  </si>
  <si>
    <t>戦略・ガバナンス</t>
  </si>
  <si>
    <t>出力情報</t>
  </si>
  <si>
    <r>
      <rPr>
        <rFont val="Arial"/>
        <b/>
        <color rgb="FFFFFFFF"/>
        <sz val="10.0"/>
      </rPr>
      <t>GxP</t>
    </r>
    <r>
      <rPr>
        <rFont val="Noto Sans CJK SC"/>
        <b/>
        <color rgb="FFFFFFFF"/>
        <sz val="10.0"/>
      </rPr>
      <t>区分</t>
    </r>
  </si>
  <si>
    <t>主な関与者（社内／外部）</t>
  </si>
  <si>
    <t>VS</t>
  </si>
  <si>
    <t>研究開発の方向性・資源配分と、知財・外部パートナーを通じた事業基盤を統制する能力</t>
  </si>
  <si>
    <t>Target-to-Patient</t>
  </si>
  <si>
    <t>戦略</t>
  </si>
  <si>
    <t>ケイパビリティL3</t>
  </si>
  <si>
    <t>VS L3 ID</t>
  </si>
  <si>
    <t>希少疾患の標的探索から、FDA承認・上市を経て、少数の患者へ確実に届け、市販後に価値を最大化するまで</t>
  </si>
  <si>
    <t>C01-01</t>
  </si>
  <si>
    <t>01</t>
  </si>
  <si>
    <t>ケイパビリティL2 ID</t>
  </si>
  <si>
    <t>01-01-01</t>
  </si>
  <si>
    <t>初期</t>
  </si>
  <si>
    <t>研究開発ポートフォリオ管理</t>
  </si>
  <si>
    <t>★患者団体・専門医との連携による疾患理解</t>
  </si>
  <si>
    <t>創薬研究</t>
  </si>
  <si>
    <t>属人的・場当たり的。成果が個人に依存し、再現できない</t>
  </si>
  <si>
    <t>パイプラインの価値・リスクを評価し、資源配分と段階移行を判断する</t>
  </si>
  <si>
    <t>疾患の原因を理解して標的を定め、抗体を創出・最適化し、開発候補品を1つに絞り込む段階</t>
  </si>
  <si>
    <t>C10-01-01</t>
  </si>
  <si>
    <t>開発候補品（DC）決定</t>
  </si>
  <si>
    <t>01-01</t>
  </si>
  <si>
    <t>管理された</t>
  </si>
  <si>
    <t>C01-01-01</t>
  </si>
  <si>
    <t>案件（製品・試験・プロジェクト）ごとに計画・管理され、再現できる。ただし方法は案件・部門で異なる</t>
  </si>
  <si>
    <t>標的探索・検証</t>
  </si>
  <si>
    <t>パイプライン評価・優先順位付け</t>
  </si>
  <si>
    <t>定義された</t>
  </si>
  <si>
    <t>全社標準のプロセス・役割・データ定義があり、一貫して運用される</t>
  </si>
  <si>
    <t>患者団体・専門医の知見と遺伝学的解析から病態を理解し、抗体で狙う標的を選んで検証する</t>
  </si>
  <si>
    <t>開発品の価値・成功確率・必要資源を評価し、優先順位と資源配分を決める</t>
  </si>
  <si>
    <t>価値評価（rNPV等）、成功確率の推定、資源配分</t>
  </si>
  <si>
    <t>価格戦略・設定（C11-01-01）</t>
  </si>
  <si>
    <t>資源が優先度に沿って配分されたパイプライン</t>
  </si>
  <si>
    <t>C01-01-02</t>
  </si>
  <si>
    <t>定量的に管理された</t>
  </si>
  <si>
    <t>指標で成果・品質を測定し、データに基づいて管理・予測する</t>
  </si>
  <si>
    <t>段階移行判定</t>
  </si>
  <si>
    <t>開発候補品決定・Go／No-Goなど、段階移行の判断基準を定め、判断を下す</t>
  </si>
  <si>
    <t>判断基準の設定、判定会議の運営、判断記録</t>
  </si>
  <si>
    <t>科学的評価そのもの（各ケイパビリティが担う）</t>
  </si>
  <si>
    <t>根拠が明確で一貫した移行判断</t>
  </si>
  <si>
    <t>C01-01-03</t>
  </si>
  <si>
    <t>目標製品プロファイル（TPP）管理</t>
  </si>
  <si>
    <t>開発品が目指す製品像（適応・用法・有効性・安全性・剤形）を設定し、更新する</t>
  </si>
  <si>
    <t>最適化された</t>
  </si>
  <si>
    <t>継続的な改善と先進的な手法により、変化に先回りし、業界をリードする</t>
  </si>
  <si>
    <r>
      <rPr>
        <rFont val="Arial"/>
        <color rgb="FF000000"/>
        <sz val="9.0"/>
      </rPr>
      <t>TPP</t>
    </r>
    <r>
      <rPr>
        <rFont val="Noto Sans CJK SC"/>
        <color rgb="FF000000"/>
        <sz val="9.0"/>
      </rPr>
      <t>の設定・改訂、機能横断での共有</t>
    </r>
  </si>
  <si>
    <t>—</t>
  </si>
  <si>
    <t>試験デザイン★（C05-01-02）</t>
  </si>
  <si>
    <t>全機能で共有された、根拠のある製品像</t>
  </si>
  <si>
    <t>C01-01-04</t>
  </si>
  <si>
    <t>開発プロジェクト管理</t>
  </si>
  <si>
    <t>開発品ごとに、機能横断の統合計画・進捗・リスクを管理する</t>
  </si>
  <si>
    <t>疾患知見</t>
  </si>
  <si>
    <t>統合スケジュール、課題・リスク管理、部門間調整</t>
  </si>
  <si>
    <t>モニタリング・施設管理（C05-04-02）</t>
  </si>
  <si>
    <t>計画どおりに進む、見通しの立つ開発</t>
  </si>
  <si>
    <t>C01-02</t>
  </si>
  <si>
    <t>知財・独占期間管理</t>
  </si>
  <si>
    <t>特許と規制上の独占期間により、製品の排他性を確保・維持する</t>
  </si>
  <si>
    <t>非GxP</t>
  </si>
  <si>
    <t>L2 ID</t>
  </si>
  <si>
    <t>C01-02-01</t>
  </si>
  <si>
    <t>研究・メディカル／患者団体、専門医</t>
  </si>
  <si>
    <t>ケイパビリティL1</t>
  </si>
  <si>
    <t>01-01-02</t>
  </si>
  <si>
    <t>特許戦略・調査</t>
  </si>
  <si>
    <t>ケイパビリティL2</t>
  </si>
  <si>
    <t>物質・製法・用途の特許の出願・権利化と、他者特許の調査（FTO）を行う</t>
  </si>
  <si>
    <t>規制上の最低水準</t>
  </si>
  <si>
    <t>特許出願・権利化、FTO調査、競合知財の監視</t>
  </si>
  <si>
    <t>疾患生物学の調査・標的仮説の立案</t>
  </si>
  <si>
    <t>規制上の独占期間管理（C01-02-02）</t>
  </si>
  <si>
    <t>レベル1 初期</t>
  </si>
  <si>
    <t>事業化の自由度と排他権の確保</t>
  </si>
  <si>
    <t>C01-02-02</t>
  </si>
  <si>
    <t>規制上の独占期間管理</t>
  </si>
  <si>
    <t>レベル2 管理された</t>
  </si>
  <si>
    <t>レベル3 定義された</t>
  </si>
  <si>
    <r>
      <rPr>
        <rFont val="Arial"/>
        <color rgb="FF000000"/>
        <sz val="9.0"/>
      </rPr>
      <t>Orphan 7</t>
    </r>
    <r>
      <rPr>
        <rFont val="Noto Sans CJK SC"/>
        <color rgb="FF000000"/>
        <sz val="9.0"/>
      </rPr>
      <t>年・生物製剤</t>
    </r>
    <r>
      <rPr>
        <rFont val="Arial"/>
        <color rgb="FF000000"/>
        <sz val="9.0"/>
      </rPr>
      <t>12</t>
    </r>
    <r>
      <rPr>
        <rFont val="Noto Sans CJK SC"/>
        <color rgb="FF000000"/>
        <sz val="9.0"/>
      </rPr>
      <t>年の独占期間の範囲を確認し、維持する</t>
    </r>
  </si>
  <si>
    <t>レベル4 定量的に管理された</t>
  </si>
  <si>
    <t>疾患知見、遺伝子・オミクスデータ</t>
  </si>
  <si>
    <t>独占範囲の確認、Purple Bookの掲載情報の確認</t>
  </si>
  <si>
    <t>レベル5 最適化された</t>
  </si>
  <si>
    <t>指定制度・インセンティブ管理★（C06-01-03）</t>
  </si>
  <si>
    <t>標的</t>
  </si>
  <si>
    <t>最大限に確保された独占期間</t>
  </si>
  <si>
    <t>研究／アカデミア</t>
  </si>
  <si>
    <t>C01-02-03</t>
  </si>
  <si>
    <t>01-01-03</t>
  </si>
  <si>
    <t>バイオシミラー対応</t>
  </si>
  <si>
    <t>後続のバイオシミラー申請者との特許情報交換（BPCIA）と紛争に対応する</t>
  </si>
  <si>
    <t>★遺伝学的原因の解析（単一遺伝子疾患等、患者ゲノム・検体データ）</t>
  </si>
  <si>
    <t>特許情報の交換手続き、訴訟対応</t>
  </si>
  <si>
    <t>特許戦略・調査（C01-02-01）</t>
  </si>
  <si>
    <t>後続品参入に対する権利の適切な行使</t>
  </si>
  <si>
    <t>遺伝子・オミクスデータ、標的</t>
  </si>
  <si>
    <t>研究（ゲノム解析）／アカデミア、専門医</t>
  </si>
  <si>
    <t>C01-03</t>
  </si>
  <si>
    <t>01-01-04</t>
  </si>
  <si>
    <t>外部パートナー管理</t>
  </si>
  <si>
    <t>標的の機能検証（遺伝子ノックダウン、in vitro／in vivo）</t>
  </si>
  <si>
    <r>
      <rPr>
        <rFont val="Arial"/>
        <color rgb="FF000000"/>
        <sz val="9.0"/>
      </rPr>
      <t>CRO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CDMO</t>
    </r>
    <r>
      <rPr>
        <rFont val="Noto Sans CJK SC"/>
        <color rgb="FF000000"/>
        <sz val="9.0"/>
      </rPr>
      <t>・受託機関・提携先を選び、契約し、委託業務を監督する</t>
    </r>
  </si>
  <si>
    <t>優先順位が個人の判断で決まり、根拠が残らない</t>
  </si>
  <si>
    <t>開発品ごとに価値・リスクを評価するが、方法が案件ごとに異なる</t>
  </si>
  <si>
    <t>研究実験データ</t>
  </si>
  <si>
    <t>全社共通の評価基準と判定プロセスで、全開発品を比較・判断する</t>
  </si>
  <si>
    <t>C01-03-01</t>
  </si>
  <si>
    <t>成功確率・価値の予測を実績で検証し、資源配分を定量的に最適化する</t>
  </si>
  <si>
    <t>研究／—</t>
  </si>
  <si>
    <t>ポートフォリオ全体のシナリオ分析で、環境変化に先回りして組み替える</t>
  </si>
  <si>
    <t>01-01-05</t>
  </si>
  <si>
    <t>パートナー選定・評価</t>
  </si>
  <si>
    <t>委託先・提携先の能力・リスクを評価し、選定する</t>
  </si>
  <si>
    <t>候補の調査・評価、選定判断</t>
  </si>
  <si>
    <t>抗体モダリティ適合性評価（細胞外・膜タンパクか、組織発現分布）</t>
  </si>
  <si>
    <t>内部監査・パートナー監査（C08-04-02）</t>
  </si>
  <si>
    <t>目的に合った委託先・提携先</t>
  </si>
  <si>
    <t>標的、研究実験データ</t>
  </si>
  <si>
    <t>C01-03-02</t>
  </si>
  <si>
    <t>01-01-06</t>
  </si>
  <si>
    <t>委託業務の契約・監督</t>
  </si>
  <si>
    <t>業務契約・品質取決めを結び、委託業務の実績・課題を管理する（責任はスポンサーに残る）</t>
  </si>
  <si>
    <t>業務契約、品質取決め、実績・KPIの管理</t>
  </si>
  <si>
    <t>標的選定（競合・知財〔FTO〕調査を含む）</t>
  </si>
  <si>
    <t>保険者・PBM契約（C11-01-03）、流通ネットワーク設計・パートナー管理（C12-02-01）</t>
  </si>
  <si>
    <t>委託しても品質・期限が守られる状態</t>
  </si>
  <si>
    <t>標的、特許・独占期間</t>
  </si>
  <si>
    <t>特許出願が研究者任せで、独占期間を把握していない</t>
  </si>
  <si>
    <t>C01-03-03</t>
  </si>
  <si>
    <t>標的、目標製品プロファイル（TPP）、開発判定記録、適応症</t>
  </si>
  <si>
    <t>研究・知財／—</t>
  </si>
  <si>
    <t>主要製品ごとに特許・独占期間を管理している</t>
  </si>
  <si>
    <t>01-02</t>
  </si>
  <si>
    <t>特許と規制上の独占期間を一元管理し、全製品で戦略的に出願・維持する</t>
  </si>
  <si>
    <t>提携・ライセンス管理</t>
  </si>
  <si>
    <t>共同開発・導入・導出の契約と、提携関係を管理する</t>
  </si>
  <si>
    <t>独占期間の残りと競合参入リスクを定量的に監視し、製品戦略に反映する</t>
  </si>
  <si>
    <t>主</t>
  </si>
  <si>
    <t>知財と規制上の独占を組み合わせ、製品価値を最大化する戦略を先導する</t>
  </si>
  <si>
    <t>ヒット・リード創出</t>
  </si>
  <si>
    <t>提携交渉・契約、提携先との共同運営</t>
  </si>
  <si>
    <t>抗原・評価系を整え、抗体を取得・選別して、目的の機能を持つリード抗体を得る</t>
  </si>
  <si>
    <t>価値を生む提携関係</t>
  </si>
  <si>
    <t>C02</t>
  </si>
  <si>
    <t>委託先の選定・監督が担当者任せ</t>
  </si>
  <si>
    <t>01-02-01</t>
  </si>
  <si>
    <t>委託案件ごとに契約・品質取決めを結び、進捗を管理する</t>
  </si>
  <si>
    <t>研究（創薬）</t>
  </si>
  <si>
    <t>疾患を理解し、標的に対する抗体を創出・最適化して開発候補品を生み出す能力</t>
  </si>
  <si>
    <t>全社標準の選定基準・契約・監督の仕組みで、委託先を一元管理する</t>
  </si>
  <si>
    <t>コア</t>
  </si>
  <si>
    <t>抗原・評価系（アッセイ）の準備</t>
  </si>
  <si>
    <t>C02-01</t>
  </si>
  <si>
    <t>委託先の実績をKPIで評価し、選定・更新に反映する</t>
  </si>
  <si>
    <t>抗原・試薬、アッセイ（評価系）</t>
  </si>
  <si>
    <t>戦略的パートナーと共同で改善し、委託ネットワーク全体を最適化する</t>
  </si>
  <si>
    <t>疾患・標的研究★</t>
  </si>
  <si>
    <t>遺伝学的原因を起点に疾患を理解し、抗体で狙う標的を探索・検証する</t>
  </si>
  <si>
    <t>C02-01-01</t>
  </si>
  <si>
    <t>病態・遺伝学的原因の解析★</t>
  </si>
  <si>
    <t>患者ゲノム・検体データや疾患生物学から、病態と原因遺伝子・経路を明らかにする</t>
  </si>
  <si>
    <t>公開情報が中心で、標的仮説の根拠が限られる</t>
  </si>
  <si>
    <t>遺伝学的解析、病態メカニズムの解明、標的仮説の立案</t>
  </si>
  <si>
    <t>プロジェクトごとに遺伝学的解析・標的検証を行う</t>
  </si>
  <si>
    <t>患者団体との協働★（C10-01-01）</t>
  </si>
  <si>
    <t>根拠のある標的仮説</t>
  </si>
  <si>
    <t>遺伝学的データと患者団体・専門医の知見を体系的に使う、標準的な探索・検証の流れがある</t>
  </si>
  <si>
    <t>研究／試薬メーカー</t>
  </si>
  <si>
    <t>標的の検証成功率・臨床移行率を測定し、標的選定を改善する</t>
  </si>
  <si>
    <t>C02-01-02</t>
  </si>
  <si>
    <t>独自の患者データ・解析基盤により、他社に先んじて新しい標的を見出す</t>
  </si>
  <si>
    <t>01-02-02</t>
  </si>
  <si>
    <t>標的検証</t>
  </si>
  <si>
    <t>標的の関与を実験的に検証する</t>
  </si>
  <si>
    <t>抗体取得（動物免疫／ヒト抗体産生動物／ディスプレイライブラリ）</t>
  </si>
  <si>
    <t>遺伝子ノックダウン等の機能検証、in vitro／in vivoでの検証</t>
  </si>
  <si>
    <t>C02-02</t>
  </si>
  <si>
    <t>抗原・試薬</t>
  </si>
  <si>
    <t>抗体分子</t>
  </si>
  <si>
    <t>抗体創出</t>
  </si>
  <si>
    <t>研究／受託研究機関（免疫・ライブラリ）</t>
  </si>
  <si>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in vivo</t>
    </r>
    <r>
      <rPr>
        <rFont val="Noto Sans CJK SC"/>
        <color rgb="FF000000"/>
        <sz val="9.0"/>
      </rPr>
      <t>薬効評価（</t>
    </r>
    <r>
      <rPr>
        <rFont val="Arial"/>
        <color rgb="FF000000"/>
        <sz val="9.0"/>
      </rPr>
      <t>C02-04-02</t>
    </r>
    <r>
      <rPr>
        <rFont val="Noto Sans CJK SC"/>
        <color rgb="FF000000"/>
        <sz val="9.0"/>
      </rPr>
      <t>）</t>
    </r>
  </si>
  <si>
    <t>01-02-03</t>
  </si>
  <si>
    <t>C10-01-02</t>
  </si>
  <si>
    <t>検証された標的</t>
  </si>
  <si>
    <t>外部技術に依存し、取得・選別が場当たり的</t>
  </si>
  <si>
    <t>C02-01-03</t>
  </si>
  <si>
    <t>一次スクリーニング（結合性）</t>
  </si>
  <si>
    <t>標準的な取得法・アッセイを持ち、案件ごとに運用する</t>
  </si>
  <si>
    <t>抗体分子、アッセイ（評価系）</t>
  </si>
  <si>
    <t>複数の取得プラットフォームと、標準化されたスクリーニング体系を持つ</t>
  </si>
  <si>
    <t>抗体分子、研究実験データ</t>
  </si>
  <si>
    <t>ヒット率・期間を測定し、自動化で効率を管理する</t>
  </si>
  <si>
    <t>モダリティ適合性評価</t>
  </si>
  <si>
    <t>独自のプラットフォームで、難しい標的にも抗体を創出できる</t>
  </si>
  <si>
    <t>標的が抗体で狙えるか（細胞外・膜タンパクか、発現分布など）を評価する</t>
  </si>
  <si>
    <t>標的の局在・発現分布の評価、モダリティ選択</t>
  </si>
  <si>
    <t>C02-03</t>
  </si>
  <si>
    <t>01-02-04</t>
  </si>
  <si>
    <t>抗体エンジニアリング</t>
  </si>
  <si>
    <t>抗体で狙うことの妥当性</t>
  </si>
  <si>
    <t>改変を外部に依存している</t>
  </si>
  <si>
    <t>機能評価（中和活性、ADCC等のエフェクター機能）</t>
  </si>
  <si>
    <t>ヒト化・親和性成熟を案件ごとに実施できる</t>
  </si>
  <si>
    <t>ヒト化・親和性成熟・Fc設計を標準手法として社内で実施する</t>
  </si>
  <si>
    <t>設計の成功率を測定し、構造・計算手法で予測精度を高める</t>
  </si>
  <si>
    <t>抗原・評価系を整え、抗体を取得して選別する</t>
  </si>
  <si>
    <t>01-02-05</t>
  </si>
  <si>
    <r>
      <rPr>
        <rFont val="Arial"/>
        <color rgb="FF000000"/>
        <sz val="9.0"/>
      </rPr>
      <t>AI</t>
    </r>
    <r>
      <rPr>
        <rFont val="Noto Sans CJK SC"/>
        <color rgb="FF000000"/>
        <sz val="9.0"/>
      </rPr>
      <t>・計算設計などで、独自の分子設計により差別化する</t>
    </r>
  </si>
  <si>
    <t>C02-02-01</t>
  </si>
  <si>
    <t>リード抗体の選定</t>
  </si>
  <si>
    <t>C02-04</t>
  </si>
  <si>
    <t>抗原・アッセイ開発</t>
  </si>
  <si>
    <t>疾患モデル・薬効評価</t>
  </si>
  <si>
    <t>抗体分子、開発判定記録</t>
  </si>
  <si>
    <t>抗体取得・評価に使う抗原と評価系（アッセイ）をつくる</t>
  </si>
  <si>
    <t>抗原タンパク・細胞の調製、結合・機能アッセイの構築</t>
  </si>
  <si>
    <t>01-03</t>
  </si>
  <si>
    <t>支援</t>
  </si>
  <si>
    <t>既存モデルに依存し、疾患の再現性が不十分</t>
  </si>
  <si>
    <t>分析法開発・バリデーション（C04-04-02）</t>
  </si>
  <si>
    <t>信頼できる抗原と評価系</t>
  </si>
  <si>
    <t>案件ごとにモデルを構築・評価する</t>
  </si>
  <si>
    <t>リード最適化</t>
  </si>
  <si>
    <t>C02-02-02</t>
  </si>
  <si>
    <t>疾患ごとに検証済みのモデル群を持ち、標準的に評価する</t>
  </si>
  <si>
    <t>ヒト化・親和性成熟・Fc設計でリード抗体を改良し、開発適性・免疫原性リスク・薬効を評価する</t>
  </si>
  <si>
    <t>モデルの予測性（臨床結果との相関）を検証し、改善する</t>
  </si>
  <si>
    <t>患者由来細胞などの独自モデルで、臨床予測性の高い評価を先導する</t>
  </si>
  <si>
    <t>抗体取得</t>
  </si>
  <si>
    <t>動物免疫・ヒト抗体産生動物・ディスプレイライブラリから抗体を得る</t>
  </si>
  <si>
    <t>C02-05</t>
  </si>
  <si>
    <t>01-03-01</t>
  </si>
  <si>
    <t>開発適性・免疫原性リスク評価</t>
  </si>
  <si>
    <t>免疫、ライブラリ構築・パニング、配列取得</t>
  </si>
  <si>
    <t>評価をせず、後工程で問題が発覚する</t>
  </si>
  <si>
    <t>多様な抗体クローン群</t>
  </si>
  <si>
    <t>ヒト化（動物由来抗体の場合）</t>
  </si>
  <si>
    <t>候補選定時に一部の評価を行う</t>
  </si>
  <si>
    <t>C02-02-03</t>
  </si>
  <si>
    <t>標準的な評価項目で全候補を評価し、選定基準に組み込む</t>
  </si>
  <si>
    <t>研究（抗体工学）／—</t>
  </si>
  <si>
    <t>評価結果と後工程（製造性・ADA発生）の相関を測定し、基準を改善する</t>
  </si>
  <si>
    <t>スクリーニング・機能評価</t>
  </si>
  <si>
    <t>01-03-02</t>
  </si>
  <si>
    <t>予測モデルにより、設計段階からリスクを回避する</t>
  </si>
  <si>
    <t>抗体を結合性・機能（中和・エフェクター機能）で選別する</t>
  </si>
  <si>
    <t>親和性成熟</t>
  </si>
  <si>
    <t>C03-01</t>
  </si>
  <si>
    <t>一次スクリーニング、機能評価、ヒット・リードの選定</t>
  </si>
  <si>
    <t>非臨床・臨床薬理</t>
  </si>
  <si>
    <t>目的の機能を持つリード抗体</t>
  </si>
  <si>
    <t>非臨床薬理評価</t>
  </si>
  <si>
    <t>01-03-03</t>
  </si>
  <si>
    <t>試験が場当たり的で、臨床の用量設定に結びつかない</t>
  </si>
  <si>
    <t>開発品ごとに計画して実施する</t>
  </si>
  <si>
    <t>標準的な試験構成で、臨床の作用・用量の根拠を体系的に作る</t>
  </si>
  <si>
    <t>抗体分子を改変し、医薬品として最適化する</t>
  </si>
  <si>
    <r>
      <rPr>
        <rFont val="Arial"/>
        <color rgb="FF000000"/>
        <sz val="9.0"/>
      </rPr>
      <t>Fc</t>
    </r>
    <r>
      <rPr>
        <rFont val="Noto Sans CJK SC"/>
        <color rgb="FF000000"/>
        <sz val="9.0"/>
      </rPr>
      <t>設計（エフェクター機能・血中半減期の調整）</t>
    </r>
  </si>
  <si>
    <t>非臨床と臨床の結果の整合を検証し、試験設計を改善する</t>
  </si>
  <si>
    <t>トランスレーショナルな指標で、臨床結果を高い精度で予測する</t>
  </si>
  <si>
    <t>C02-03-01</t>
  </si>
  <si>
    <t>C03-02</t>
  </si>
  <si>
    <t>01-03-04</t>
  </si>
  <si>
    <t>非臨床安全性評価</t>
  </si>
  <si>
    <t>ヒト化</t>
  </si>
  <si>
    <t>動物由来抗体をヒト型に改変し、免疫原性を下げる</t>
  </si>
  <si>
    <t>開発適性評価（凝集性・安定性・発現性・粘度）</t>
  </si>
  <si>
    <t>レベル3（GLP）</t>
  </si>
  <si>
    <r>
      <rPr>
        <rFont val="Arial"/>
        <color rgb="FF000000"/>
        <sz val="9.0"/>
      </rPr>
      <t>CDR</t>
    </r>
    <r>
      <rPr>
        <rFont val="Noto Sans CJK SC"/>
        <color rgb="FF000000"/>
        <sz val="9.0"/>
      </rPr>
      <t>移植、フレームワーク最適化</t>
    </r>
  </si>
  <si>
    <t>試験構成が指針に沿わず、追加試験が発生する</t>
  </si>
  <si>
    <t>ヒトに投与できる抗体配列</t>
  </si>
  <si>
    <t>開発品ごとに受託試験機関と試験を設計・実施する</t>
  </si>
  <si>
    <t>研究・CMC（分析）／—</t>
  </si>
  <si>
    <t>抗体医薬の指針（ICH S6）に沿った標準戦略で、過不足のない試験構成を組む</t>
  </si>
  <si>
    <t>C02-03-02</t>
  </si>
  <si>
    <t>01-03-05</t>
  </si>
  <si>
    <t>当局からの指摘・追加試験の発生を測定し、戦略を改善する</t>
  </si>
  <si>
    <t>動物試験に代わる新しい手法を活用し、効率と予測性を高める</t>
  </si>
  <si>
    <t>標的への結合力・特異性を高める</t>
  </si>
  <si>
    <t>免疫原性リスクの予測（in silico／in vitro）</t>
  </si>
  <si>
    <t>変異導入・選択</t>
  </si>
  <si>
    <t>C03-03</t>
  </si>
  <si>
    <t>最適な結合特性</t>
  </si>
  <si>
    <t>免疫原性リスク評価</t>
  </si>
  <si>
    <t>C02-03-03</t>
  </si>
  <si>
    <t>バイオアナリシス</t>
  </si>
  <si>
    <t>研究（トランスレーショナル）／—</t>
  </si>
  <si>
    <t>レベル3（GLP・GCP）</t>
  </si>
  <si>
    <t>01-03-06</t>
  </si>
  <si>
    <t>測定法が安定せず、データの信頼性に課題がある</t>
  </si>
  <si>
    <r>
      <rPr>
        <rFont val="Arial"/>
        <color rgb="FF000000"/>
        <sz val="9.0"/>
      </rPr>
      <t>Fc</t>
    </r>
    <r>
      <rPr>
        <rFont val="Noto Sans CJK SC"/>
        <color rgb="FF000000"/>
        <sz val="9.0"/>
      </rPr>
      <t>エンジニアリング</t>
    </r>
  </si>
  <si>
    <t>開発品ごとに測定法を確立・運用する</t>
  </si>
  <si>
    <t>規制ガイダンスに沿った標準的な測定法の開発・バリデーションと、検査機関の管理を行う</t>
  </si>
  <si>
    <r>
      <rPr>
        <rFont val="Arial"/>
        <color rgb="FF000000"/>
        <sz val="9.0"/>
      </rPr>
      <t>Fc</t>
    </r>
    <r>
      <rPr>
        <rFont val="Noto Sans CJK SC"/>
        <color rgb="FF000000"/>
        <sz val="9.0"/>
      </rPr>
      <t>領域を設計し、エフェクター機能・血中半減期を調整する</t>
    </r>
  </si>
  <si>
    <t>再測定率・納期を測定し、管理する</t>
  </si>
  <si>
    <t>★疾患モデルの構築・薬効評価（遺伝子改変動物・患者由来細胞）</t>
  </si>
  <si>
    <t>エフェクター機能の増強・低減、半減期延長</t>
  </si>
  <si>
    <t>新しいバイオマーカー・高感度測定を先導する</t>
  </si>
  <si>
    <t>抗体分子、遺伝子・オミクスデータ</t>
  </si>
  <si>
    <t>目的に合った作用・体内動態</t>
  </si>
  <si>
    <t>疾患モデル、in vivo薬効データ</t>
  </si>
  <si>
    <t>C03-04</t>
  </si>
  <si>
    <t>研究（薬理）／受託研究機関</t>
  </si>
  <si>
    <t>臨床薬理・ファーマコメトリクス</t>
  </si>
  <si>
    <t>01-04</t>
  </si>
  <si>
    <t>経験則で用量を決める</t>
  </si>
  <si>
    <t>開発品ごとにPK解析を行う</t>
  </si>
  <si>
    <t>疾患モデルを構築し、候補抗体の薬効を評価する</t>
  </si>
  <si>
    <t>開発候補品選定</t>
  </si>
  <si>
    <t>モデルに基づく医薬品開発（MIDD）を標準的に適用する</t>
  </si>
  <si>
    <t>C02-04-01</t>
  </si>
  <si>
    <t>モデルの予測と実績の差を検証し、意思決定に定量的に活用する</t>
  </si>
  <si>
    <t>モデルで試験を代替・縮小し、当局と合意する（少数例の希少疾患で特に有効）</t>
  </si>
  <si>
    <r>
      <rPr>
        <rFont val="Arial"/>
        <color rgb="FF000000"/>
        <sz val="9.0"/>
      </rPr>
      <t>TPP</t>
    </r>
    <r>
      <rPr>
        <rFont val="Noto Sans CJK SC"/>
        <color rgb="FF000000"/>
        <sz val="9.0"/>
      </rPr>
      <t>と照らして候補を比較し、患者数の確認と特許出願を経て、開発候補品を決定する</t>
    </r>
  </si>
  <si>
    <t>疾患モデル構築★</t>
  </si>
  <si>
    <t>C04-01</t>
  </si>
  <si>
    <t>遺伝子改変動物・患者由来細胞などで疾患を再現するモデルをつくる</t>
  </si>
  <si>
    <t>モデルの作製・特性評価・維持</t>
  </si>
  <si>
    <t>疾患を反映した評価系</t>
  </si>
  <si>
    <t>01-04-01</t>
  </si>
  <si>
    <t>C02-04-02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</si>
  <si>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開発</t>
    </r>
  </si>
  <si>
    <t>C13-01-03</t>
  </si>
  <si>
    <t>目標製品プロファイル（TPP）との照合・候補比較</t>
  </si>
  <si>
    <t>目標製品プロファイル（TPP）、研究実験データ、in vivo薬効データ、免疫原性リスク評価</t>
  </si>
  <si>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in vivo</t>
    </r>
    <r>
      <rPr>
        <rFont val="Noto Sans CJK SC"/>
        <color rgb="FF000000"/>
        <sz val="9.0"/>
      </rPr>
      <t>薬効評価</t>
    </r>
  </si>
  <si>
    <t>目標製品プロファイル（TPP）、開発判定記録</t>
  </si>
  <si>
    <t>候補選定のために、疾患モデルで候補抗体の薬効を比較評価する</t>
  </si>
  <si>
    <t>細胞株開発・セルバンク管理</t>
  </si>
  <si>
    <t>研究・開発企画／—</t>
  </si>
  <si>
    <t>候補間の薬効比較</t>
  </si>
  <si>
    <t>作用機序・薬効薬理評価（C03-01-01）</t>
  </si>
  <si>
    <t>01-04-02</t>
  </si>
  <si>
    <t>レベル3（GMP：セルバンク）</t>
  </si>
  <si>
    <t>候補選定の根拠となる薬効データ</t>
  </si>
  <si>
    <t>★患者数・疫学の確認（米国で20万人未満の根拠）</t>
  </si>
  <si>
    <t>疾患知見、適応症</t>
  </si>
  <si>
    <t>細胞株構築をCDMOに全面依存し、記録が不十分</t>
  </si>
  <si>
    <t>医薬品として開発・製造できるか、免疫原性のリスクはどうかを早期に評価する</t>
  </si>
  <si>
    <t>疫学データ</t>
  </si>
  <si>
    <t>案件ごとに細胞株を構築し、セルバンクを管理する</t>
  </si>
  <si>
    <t>メディカル（疫学）／データ提供事業者</t>
  </si>
  <si>
    <t>標準的な細胞株開発プラットフォームと、セルバンクの一元管理を持つ</t>
  </si>
  <si>
    <t>C02-05-01</t>
  </si>
  <si>
    <t>01-04-03</t>
  </si>
  <si>
    <t>生産性・安定性を指標で管理し、開発期間を短縮する</t>
  </si>
  <si>
    <t>物質特許の出願</t>
  </si>
  <si>
    <t>開発適性評価</t>
  </si>
  <si>
    <t>凝集性・安定性・発現性・粘度など、開発・製造上の適性を評価する</t>
  </si>
  <si>
    <t>開発適性の各種評価、配列上のリスク部位の特定</t>
  </si>
  <si>
    <t>処方開発（C04-03-01）</t>
  </si>
  <si>
    <t>開発・製造で問題が起きにくい候補</t>
  </si>
  <si>
    <t>C02-05-02</t>
  </si>
  <si>
    <t>免疫原性リスク予測</t>
  </si>
  <si>
    <t>特許・独占期間</t>
  </si>
  <si>
    <t>知財／特許事務所、USPTO</t>
  </si>
  <si>
    <t>01-04-04</t>
  </si>
  <si>
    <r>
      <rPr>
        <rFont val="Arial"/>
        <color rgb="FF000000"/>
        <sz val="9.0"/>
      </rPr>
      <t>in silico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で免疫原性（抗薬物抗体の発生）のリスクを予測する</t>
    </r>
  </si>
  <si>
    <t>独自の高生産プラットフォームで、開発期間・コストの優位に立つ</t>
  </si>
  <si>
    <t>開発移行判定会議</t>
  </si>
  <si>
    <t>C04-02</t>
  </si>
  <si>
    <r>
      <rPr>
        <rFont val="Arial"/>
        <color rgb="FF000000"/>
        <sz val="9.0"/>
      </rPr>
      <t>T</t>
    </r>
    <r>
      <rPr>
        <rFont val="Noto Sans CJK SC"/>
        <color rgb="FF000000"/>
        <sz val="9.0"/>
      </rPr>
      <t>細胞エピトープ予測、</t>
    </r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評価</t>
    </r>
  </si>
  <si>
    <t>開発判定記録、目標製品プロファイル（TPP）、疫学データ、特許・独占期間</t>
  </si>
  <si>
    <t>測定法開発・バリデーション（C03-03-01）</t>
  </si>
  <si>
    <t>原薬プロセス開発</t>
  </si>
  <si>
    <t>開発判定記録、製品マスタ</t>
  </si>
  <si>
    <t>免疫原性リスクの低い候補</t>
  </si>
  <si>
    <t>経営（ポートフォリオ委員会）／—</t>
  </si>
  <si>
    <t>工程が経験則で、スケールを変えると問題が起きる</t>
  </si>
  <si>
    <t>開発品ごとに工程を開発する</t>
  </si>
  <si>
    <t>02</t>
  </si>
  <si>
    <t>プラットフォーム工程とQbD（リスク評価・管理戦略）を標準的に適用する</t>
  </si>
  <si>
    <t>C03</t>
  </si>
  <si>
    <t>工程性能・収率を指標で管理し、データに基づいて最適化する</t>
  </si>
  <si>
    <t>連続生産などの先進的な工程技術を導入し、業界をリードする</t>
  </si>
  <si>
    <t>非臨床開発</t>
  </si>
  <si>
    <t>C04-03</t>
  </si>
  <si>
    <t>開発候補品をヒトに初めて投与できるよう、薬理・体内動態・安全性を非臨床で評価し、INDを発効させる段階</t>
  </si>
  <si>
    <t>ヒトへの投与を可能にし、用法用量を裏づける薬理・安全性・体内動態の知見を生み出す能力</t>
  </si>
  <si>
    <t>製剤・デバイス開発</t>
  </si>
  <si>
    <t>作用機序と薬効・安全性薬理を明らかにする</t>
  </si>
  <si>
    <t>C03-01-01</t>
  </si>
  <si>
    <t>既存処方の流用のみ</t>
  </si>
  <si>
    <t>作用機序・薬効薬理評価</t>
  </si>
  <si>
    <t>作用機序を明らかにし、用量反応を含む薬効薬理を評価する</t>
  </si>
  <si>
    <t>作用機序解析、用量反応試験</t>
  </si>
  <si>
    <t>開発品ごとに処方・容器を開発する</t>
  </si>
  <si>
    <t>標準的な処方開発・容器評価と、デバイスの設計管理を運用する</t>
  </si>
  <si>
    <t>安定性・使いやすさの指標で設計を最適化する</t>
  </si>
  <si>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in vivo</t>
    </r>
    <r>
      <rPr>
        <rFont val="Noto Sans CJK SC"/>
        <color rgb="FF000000"/>
        <sz val="9.0"/>
      </rPr>
      <t>薬効評価（</t>
    </r>
    <r>
      <rPr>
        <rFont val="Arial"/>
        <color rgb="FF000000"/>
        <sz val="9.0"/>
      </rPr>
      <t>C02-04-02</t>
    </r>
    <r>
      <rPr>
        <rFont val="Noto Sans CJK SC"/>
        <color rgb="FF000000"/>
        <sz val="9.0"/>
      </rPr>
      <t>）</t>
    </r>
  </si>
  <si>
    <t>臨床での作用・用量を裏づける薬理データ</t>
  </si>
  <si>
    <t>高濃度製剤・在宅自己投与デバイスなど、患者中心の製剤で差別化する</t>
  </si>
  <si>
    <t>C03-01-02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</si>
  <si>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発効（臨床試験の開始が可能）</t>
    </r>
  </si>
  <si>
    <t>C04-04</t>
  </si>
  <si>
    <t>安全性薬理評価</t>
  </si>
  <si>
    <t>主要な生理機能への影響を評価する（毒性試験に組み込むことが多い）</t>
  </si>
  <si>
    <t>心血管・呼吸・中枢神経系への影響評価</t>
  </si>
  <si>
    <t>安全性薬理の知見</t>
  </si>
  <si>
    <t>分析法開発・品質特性評価</t>
  </si>
  <si>
    <t>レベル3（GMP）</t>
  </si>
  <si>
    <t>特性解析が不十分で、規格の根拠が弱い</t>
  </si>
  <si>
    <t>開発品ごとに分析法・規格を設定する</t>
  </si>
  <si>
    <t>抗体医薬の特性に合わせて、ヒト投与の安全性を非臨床で評価する</t>
  </si>
  <si>
    <t>標準的な特性解析・分析法バリデーション・同等性評価の手順を持つ</t>
  </si>
  <si>
    <t>分析法の性能と同等性判断の実績を指標で管理する</t>
  </si>
  <si>
    <t>高度な分析技術で品質を深く理解し、製法変更を迅速にする</t>
  </si>
  <si>
    <t>C03-02-01</t>
  </si>
  <si>
    <t>C04-05</t>
  </si>
  <si>
    <t>技術移転・製造規模管理</t>
  </si>
  <si>
    <t>毒性試験戦略・動物種選定</t>
  </si>
  <si>
    <t>移転のたびに問題が起き、規模の判断が場当たり的</t>
  </si>
  <si>
    <t>抗体医薬の指針に沿い、関連動物種と必要な試験を決める</t>
  </si>
  <si>
    <t>案件ごとに移転計画を作り、実施する</t>
  </si>
  <si>
    <t>標準的な移転手順と、需要に基づく規模・拠点の判断基準を持つ</t>
  </si>
  <si>
    <t>関連動物種の選定、試験パッケージの設計（生殖発生毒性の要否を含む）</t>
  </si>
  <si>
    <t>移転の期間・成功率を指標で管理する</t>
  </si>
  <si>
    <t>需要の変動に柔軟に対応できる製造ネットワークを先回りして構築する</t>
  </si>
  <si>
    <t>02-01</t>
  </si>
  <si>
    <t>C05-01</t>
  </si>
  <si>
    <t>妥当で過不足のない非臨床安全性パッケージ</t>
  </si>
  <si>
    <t>臨床開発</t>
  </si>
  <si>
    <t>C03-02-02</t>
  </si>
  <si>
    <t>臨床開発戦略・試験デザイン</t>
  </si>
  <si>
    <t>一般的な第I〜III相の流用のみ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</si>
  <si>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毒性試験</t>
    </r>
  </si>
  <si>
    <t>開発品ごとに計画・設計する</t>
  </si>
  <si>
    <t>希少疾患向けの設計手法（単一ピボタル、外部対照、適応的デザイン）を標準的に検討・適用する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</si>
  <si>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に従い、反復投与毒性などの試験を実施・監督する</t>
    </r>
  </si>
  <si>
    <t>非臨床薬理</t>
  </si>
  <si>
    <t>設計の妥当性（当局合意・成功率）を検証し、改善する</t>
  </si>
  <si>
    <t>試験計画、受託試験機関での実施の監督、報告書</t>
  </si>
  <si>
    <t>革新的なデザインで当局と合意を形成し、開発期間を大幅に短縮する</t>
  </si>
  <si>
    <t>信頼できる毒性評価</t>
  </si>
  <si>
    <t>作用機序と用量反応を明らかにし、安全性薬理を評価する</t>
  </si>
  <si>
    <t>C05-02</t>
  </si>
  <si>
    <t>C03-02-03</t>
  </si>
  <si>
    <t>患者エビデンス管理★</t>
  </si>
  <si>
    <t>自然歴データがなく、外部対照を作れない</t>
  </si>
  <si>
    <t>開発品ごとに自然歴研究・レジストリを行う</t>
  </si>
  <si>
    <r>
      <rPr>
        <rFont val="Arial"/>
        <color rgb="FF000000"/>
        <sz val="9.0"/>
      </rPr>
      <t>in vitro</t>
    </r>
    <r>
      <rPr>
        <rFont val="Noto Sans CJK SC"/>
        <color rgb="FF000000"/>
        <sz val="9.0"/>
      </rPr>
      <t>安全性評価</t>
    </r>
  </si>
  <si>
    <t>疾患ごとに標準化された自然歴研究・レジストリを運営し、データ品質を管理する</t>
  </si>
  <si>
    <t>組織交差反応性・サイトカイン放出など、in vitroで安全性を評価する</t>
  </si>
  <si>
    <t>データの完全性・利用実績を指標で管理し、当局提出に使える品質を維持する</t>
  </si>
  <si>
    <t>02-01-01</t>
  </si>
  <si>
    <t>組織交差反応性試験、サイトカイン放出評価</t>
  </si>
  <si>
    <t>患者団体・業界と共有するデータ基盤を主導し、疾患領域のエビデンスを先導する</t>
  </si>
  <si>
    <t>想定外の結合・免疫反応のリスク把握</t>
  </si>
  <si>
    <t>C05-03</t>
  </si>
  <si>
    <t>患者特定・組入れ★</t>
  </si>
  <si>
    <t>施設任せで、組入れが遅れる</t>
  </si>
  <si>
    <t>試験ごとに組入れ計画・施設網をつくる</t>
  </si>
  <si>
    <t>作用機序（MoA）の解明</t>
  </si>
  <si>
    <t>遺伝子検査・紹介ネットワーク・負担軽減策を組み合わせた、標準的な組入れ戦略を持つ</t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</si>
  <si>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・抗薬物抗体（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）・バイオマーカーを測定する（非臨床から臨床まで）</t>
    </r>
  </si>
  <si>
    <t>組入れ速度・脱落率を指標で管理し、予測する</t>
  </si>
  <si>
    <t>患者コミュニティと一体となり、世界規模で迅速に組み入れる</t>
  </si>
  <si>
    <t>C05-04</t>
  </si>
  <si>
    <t>C03-03-01</t>
  </si>
  <si>
    <t>臨床試験運営</t>
  </si>
  <si>
    <t>レベル3（GCP）</t>
  </si>
  <si>
    <t>非臨床試験報告書</t>
  </si>
  <si>
    <t>測定法開発・バリデーション</t>
  </si>
  <si>
    <r>
      <rPr>
        <rFont val="Arial"/>
        <color rgb="FF000000"/>
        <sz val="9.0"/>
      </rPr>
      <t>CRO</t>
    </r>
    <r>
      <rPr>
        <rFont val="Noto Sans CJK SC"/>
        <color rgb="FF000000"/>
        <sz val="9.0"/>
      </rPr>
      <t>任せで、スポンサーとしての監督が弱い</t>
    </r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</si>
  <si>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・中和抗体・バイオマーカーの測定法をつくり、バリデーションする</t>
    </r>
  </si>
  <si>
    <t>リガンド結合法の開発、測定法バリデーション</t>
  </si>
  <si>
    <t>試験ごとに運営計画を立て、監督する</t>
  </si>
  <si>
    <t>02-01-02</t>
  </si>
  <si>
    <t>規制要件を満たす測定法</t>
  </si>
  <si>
    <t>標準的な立ち上げ・リスクに基づくモニタリング・TMF管理を運用する</t>
  </si>
  <si>
    <t>立ち上げ期間・品質指標を管理する</t>
  </si>
  <si>
    <t>C03-03-02</t>
  </si>
  <si>
    <t>分散型試験などの先進的な運営で、患者と施設の負担を最小にする</t>
  </si>
  <si>
    <t>C05-05</t>
  </si>
  <si>
    <t>検体測定</t>
  </si>
  <si>
    <t>薬効薬理試験（用量反応）</t>
  </si>
  <si>
    <t>非臨床・臨床の検体を測定し、結果を報告する</t>
  </si>
  <si>
    <t>臨床データマネジメント・統計解析</t>
  </si>
  <si>
    <t>検体受領・測定・結果報告、中央検査機関の管理</t>
  </si>
  <si>
    <t>疾患モデル</t>
  </si>
  <si>
    <t>非臨床試験データ、非臨床試験報告書</t>
  </si>
  <si>
    <t>信頼できる測定データ</t>
  </si>
  <si>
    <t>データ品質の問題で、データベース固定が遅れる</t>
  </si>
  <si>
    <t>非臨床（薬理）／—</t>
  </si>
  <si>
    <t>試験ごとにデータマネジメント・解析を行う</t>
  </si>
  <si>
    <t>02-01-03</t>
  </si>
  <si>
    <t>体内動態をモデル化し、投与量と用法用量の根拠を構築する</t>
  </si>
  <si>
    <r>
      <rPr>
        <rFont val="Arial"/>
        <color rgb="FF000000"/>
        <sz val="9.0"/>
      </rPr>
      <t>CDISC</t>
    </r>
    <r>
      <rPr>
        <rFont val="Noto Sans CJK SC"/>
        <color rgb="FF000000"/>
        <sz val="9.0"/>
      </rPr>
      <t>標準と、標準的なデータマネジメント・解析・文書作成の手順を持つ</t>
    </r>
  </si>
  <si>
    <t>C03-04-01</t>
  </si>
  <si>
    <t>データベース固定までの期間・データ品質を指標で管理する</t>
  </si>
  <si>
    <t>安全性薬理評価（毒性試験への組込みが一般的）</t>
  </si>
  <si>
    <t>自動化とデータの再利用で、解析・報告を大幅に短縮する</t>
  </si>
  <si>
    <t>ヒトPK予測・初回投与量設定</t>
  </si>
  <si>
    <t>非臨床試験計画</t>
  </si>
  <si>
    <t>非臨床データからヒトPKを予測し、初回投与量（NOAEL／MABEL）を設定する</t>
  </si>
  <si>
    <t>C05-06</t>
  </si>
  <si>
    <t>非臨床試験データ</t>
  </si>
  <si>
    <t>治験薬供給管理</t>
  </si>
  <si>
    <t>GLP</t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</si>
  <si>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予測、初回投与量の根拠</t>
    </r>
  </si>
  <si>
    <t>レベル3（GCP・GMP）</t>
  </si>
  <si>
    <t>非臨床（安全性）／受託試験機関</t>
  </si>
  <si>
    <t>欠品・廃棄が頻発する</t>
  </si>
  <si>
    <t>安全な初回投与量</t>
  </si>
  <si>
    <t>試験ごとに供給計画を立てる</t>
  </si>
  <si>
    <t>02-02</t>
  </si>
  <si>
    <t>C03-04-02</t>
  </si>
  <si>
    <r>
      <rPr>
        <rFont val="Arial"/>
        <color rgb="FF000000"/>
        <sz val="9.0"/>
      </rPr>
      <t>IRT</t>
    </r>
    <r>
      <rPr>
        <rFont val="Noto Sans CJK SC"/>
        <color rgb="FF000000"/>
        <sz val="9.0"/>
      </rPr>
      <t>を用いた標準的な需給・割付・供給管理を行う</t>
    </r>
  </si>
  <si>
    <t>廃棄率・欠品を指標で管理する</t>
  </si>
  <si>
    <t>母集団PK・曝露反応解析</t>
  </si>
  <si>
    <t>薬物動態・免疫原性評価</t>
  </si>
  <si>
    <t>臨床データで母集団PK・曝露反応を解析し、用法用量の根拠を構築する</t>
  </si>
  <si>
    <t>需要予測に基づく動的な供給で、少量・多国間の供給を最適化する</t>
  </si>
  <si>
    <t>モデル構築・シミュレーション、用法用量の根拠</t>
  </si>
  <si>
    <t>C06-01</t>
  </si>
  <si>
    <t>薬事</t>
  </si>
  <si>
    <t>統計解析（C05-05-02）</t>
  </si>
  <si>
    <t>薬事戦略・当局対応</t>
  </si>
  <si>
    <t>根拠ある用法用量</t>
  </si>
  <si>
    <t>当局対応が場当たり的で、合意が得られない</t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</si>
  <si>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の測定法を確立し、動物での体内動態・免疫原性を評価して、ヒト</t>
    </r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を予測する</t>
    </r>
  </si>
  <si>
    <t>C04</t>
  </si>
  <si>
    <t>開発品ごとに規制戦略を立て、会議に臨む</t>
  </si>
  <si>
    <t>標準的な規制戦略の立案・会議準備と、指定制度の体系的な活用</t>
  </si>
  <si>
    <t>当局との合意事項の達成率・審査期間を指標で管理する</t>
  </si>
  <si>
    <t>規制動向を先取りし、新しい制度・枠組みの活用を先導する</t>
  </si>
  <si>
    <t>C06-02</t>
  </si>
  <si>
    <t>02-02-01</t>
  </si>
  <si>
    <t>申請資料作成・管理</t>
  </si>
  <si>
    <t>レベル3（法令）</t>
  </si>
  <si>
    <t>申請資料の作成が遅れ、技術的な不備がある</t>
  </si>
  <si>
    <t>申請ごとに作成・提出する</t>
  </si>
  <si>
    <t>標準的なテンプレート・パブリッシング・提出管理を持つ</t>
  </si>
  <si>
    <r>
      <rPr>
        <rFont val="Arial"/>
        <b/>
        <color rgb="FF000000"/>
        <sz val="9.0"/>
      </rPr>
      <t>CMC</t>
    </r>
    <r>
      <rPr>
        <rFont val="Noto Sans CJK SC"/>
        <b/>
        <color rgb="FF000000"/>
        <sz val="9.0"/>
      </rPr>
      <t>開発</t>
    </r>
  </si>
  <si>
    <t>作成期間・照会件数を指標で管理する</t>
  </si>
  <si>
    <t>構造化データにより、申請資料を自動生成する</t>
  </si>
  <si>
    <t>生細胞で抗体を安定して生産し、品質を保証できる製造プロセス・製剤・分析法を開発する能力</t>
  </si>
  <si>
    <t>C06-03</t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</si>
  <si>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TK</t>
    </r>
    <r>
      <rPr>
        <rFont val="Noto Sans CJK SC"/>
        <color rgb="FF000000"/>
        <sz val="9.0"/>
      </rPr>
      <t>測定法（リガンド結合法）の確立</t>
    </r>
  </si>
  <si>
    <t>ラベリング管理</t>
  </si>
  <si>
    <t>生体試料分析法</t>
  </si>
  <si>
    <t>改訂の反映漏れがある</t>
  </si>
  <si>
    <t>製品ごとに表示を管理する</t>
  </si>
  <si>
    <t>生産細胞株を構築し、マスター／ワーキングセルバンクを作製・維持する</t>
  </si>
  <si>
    <t>非臨床（バイオアナリシス）／受託試験機関</t>
  </si>
  <si>
    <t>標準的な作成・改訂・関連資材への反映の手順を持つ</t>
  </si>
  <si>
    <t>改訂の期間・整合性を指標で管理する</t>
  </si>
  <si>
    <t>構造化された表示情報で、改訂を迅速かつ一貫して反映する</t>
  </si>
  <si>
    <t>C04-01-01</t>
  </si>
  <si>
    <t>02-02-02</t>
  </si>
  <si>
    <t>C06-04</t>
  </si>
  <si>
    <t>市販後薬事コンプライアンス</t>
  </si>
  <si>
    <t>細胞株構築・クローン選択</t>
  </si>
  <si>
    <t>期限の遅れ・報告漏れがある</t>
  </si>
  <si>
    <t>動物PK試験</t>
  </si>
  <si>
    <t>発現ベクターを構築し、生産性・品質の高い単一クローン由来の細胞株を選ぶ</t>
  </si>
  <si>
    <t>製品ごとに要求事項・期限を管理する</t>
  </si>
  <si>
    <t>全製品の市販後要求・変更・報告を一元管理する</t>
  </si>
  <si>
    <t>ベクター設計、宿主細胞への導入、クローン評価、単一クローン性の証明</t>
  </si>
  <si>
    <t>期限の遵守率を指標で管理する</t>
  </si>
  <si>
    <t>非臨床試験計画、生体試料分析法</t>
  </si>
  <si>
    <t>高生産で安定な生産細胞株</t>
  </si>
  <si>
    <t>規制の変化を先取りし、負担を最小にした運用を行う</t>
  </si>
  <si>
    <t>C04-01-02</t>
  </si>
  <si>
    <t>C07-01</t>
  </si>
  <si>
    <t>非臨床（薬物動態）／受託試験機関</t>
  </si>
  <si>
    <t>製造</t>
  </si>
  <si>
    <t>セルバンク作製・管理</t>
  </si>
  <si>
    <t>02-02-03</t>
  </si>
  <si>
    <t>生産計画・製造実行管理</t>
  </si>
  <si>
    <t>紙の記録と場当たり的な計画</t>
  </si>
  <si>
    <r>
      <rPr>
        <rFont val="Arial"/>
        <color rgb="FF000000"/>
        <sz val="9.0"/>
      </rPr>
      <t>MCB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WCB</t>
    </r>
    <r>
      <rPr>
        <rFont val="Noto Sans CJK SC"/>
        <color rgb="FF000000"/>
        <sz val="9.0"/>
      </rPr>
      <t>を作製し、特性解析・安全性試験を行い、保管・使用を管理する</t>
    </r>
  </si>
  <si>
    <t>製造所ごとに計画・記録を管理する</t>
  </si>
  <si>
    <t>抗薬物抗体（ADA）測定法の確立・動物での評価</t>
  </si>
  <si>
    <t>セルバンク作製、特性解析・ウイルス等安全性試験、保管・払出し</t>
  </si>
  <si>
    <t>標準的な計画プロセスと電子バッチ記録を持つ</t>
  </si>
  <si>
    <t>計画の遵守率・記録の不備率を指標で管理する</t>
  </si>
  <si>
    <t>生体試料分析法、非臨床試験データ</t>
  </si>
  <si>
    <t>需要と連動した動的な計画と、記録照査の自動化を行う</t>
  </si>
  <si>
    <t>長期に供給可能で安全なセルバンク</t>
  </si>
  <si>
    <t>C07-02</t>
  </si>
  <si>
    <t>原薬製造</t>
  </si>
  <si>
    <t>02-02-04</t>
  </si>
  <si>
    <t>ロット間のばらつきが大きく、失敗ロットが多い</t>
  </si>
  <si>
    <t>製造所ごとに安定して製造できる</t>
  </si>
  <si>
    <t>培養・精製の工程を設計し、ウイルス安全性と管理戦略を確立する</t>
  </si>
  <si>
    <t>標準化された製造と工程データの監視で、一貫した品質を保つ</t>
  </si>
  <si>
    <t>収率・成功率を統計的に管理する</t>
  </si>
  <si>
    <t>ヒトPKの予測</t>
  </si>
  <si>
    <t>C04-02-01</t>
  </si>
  <si>
    <t>リアルタイムの工程制御など先進的な製造技術で、業界をリードする</t>
  </si>
  <si>
    <t>C07-03</t>
  </si>
  <si>
    <t>培養プロセス開発</t>
  </si>
  <si>
    <t>製剤化・無菌充填・包装</t>
  </si>
  <si>
    <t>培地・流加条件など培養工程を開発する</t>
  </si>
  <si>
    <r>
      <rPr>
        <rFont val="Arial"/>
        <color rgb="FF000000"/>
        <sz val="9.0"/>
      </rPr>
      <t>PK/PD</t>
    </r>
    <r>
      <rPr>
        <rFont val="Noto Sans CJK SC"/>
        <color rgb="FF000000"/>
        <sz val="9.0"/>
      </rPr>
      <t>モデル・解析結果</t>
    </r>
  </si>
  <si>
    <t>培養条件の最適化、小スケール評価</t>
  </si>
  <si>
    <t>生産性・品質が安定した培養工程</t>
  </si>
  <si>
    <t>C04-02-02</t>
  </si>
  <si>
    <t>臨床薬理（ファーマコメトリクス）／—</t>
  </si>
  <si>
    <t>精製プロセス開発</t>
  </si>
  <si>
    <t>ハーベストから精製（プロテインA、イオン交換等）までの工程を開発する</t>
  </si>
  <si>
    <t>02-03</t>
  </si>
  <si>
    <t>精製工程の設計・最適化</t>
  </si>
  <si>
    <t>不純物を除去できる精製工程</t>
  </si>
  <si>
    <t>安全性評価</t>
  </si>
  <si>
    <t>関連動物種を選び、GLP毒性試験などでヒト投与の安全性を評価する</t>
  </si>
  <si>
    <t>C04-02-03</t>
  </si>
  <si>
    <t>無菌性の問題・不良が発生する</t>
  </si>
  <si>
    <t>製造所ごとに管理する</t>
  </si>
  <si>
    <t>ウイルス安全性評価</t>
  </si>
  <si>
    <t>標準化された無菌操作と、シリアル化を含む包装を行う</t>
  </si>
  <si>
    <t>ウイルスの除去・不活化工程を評価し、ウイルス安全性を保証する</t>
  </si>
  <si>
    <t>不良率・無菌性の指標を管理する</t>
  </si>
  <si>
    <t>ウイルスクリアランス試験</t>
  </si>
  <si>
    <t>02-03-01</t>
  </si>
  <si>
    <t>セルバンク作製・管理（C04-01-02）</t>
  </si>
  <si>
    <t>自動化・閉鎖系の技術で、無菌保証の水準を高める</t>
  </si>
  <si>
    <t>ウイルス安全性の保証</t>
  </si>
  <si>
    <t>C07-04</t>
  </si>
  <si>
    <t>設備・環境管理</t>
  </si>
  <si>
    <t>関連動物種の選定（交差反応性・薬理活性の確認）</t>
  </si>
  <si>
    <t>故障への対応が中心</t>
  </si>
  <si>
    <t>設備ごとに保全計画を持つ</t>
  </si>
  <si>
    <t>標準的な予防保全・環境モニタリングを行う</t>
  </si>
  <si>
    <t>稼働率・環境の傾向を指標で管理する</t>
  </si>
  <si>
    <t>予知保全・リアルタイム監視を行う</t>
  </si>
  <si>
    <t>非臨床（安全性）／—</t>
  </si>
  <si>
    <t>C08-01</t>
  </si>
  <si>
    <t>品質</t>
  </si>
  <si>
    <t>02-03-02</t>
  </si>
  <si>
    <t>品質管理（試験・安定性）</t>
  </si>
  <si>
    <t>C04-02-04</t>
  </si>
  <si>
    <t>試験の遅れ・規格外結果が多い</t>
  </si>
  <si>
    <t>組織交差反応性試験（ヒト・動物組織）</t>
  </si>
  <si>
    <t>試験室ごとに運用する</t>
  </si>
  <si>
    <t>プロセス特性解析・管理戦略</t>
  </si>
  <si>
    <t>リスク評価・実験計画法で工程を特性解析し、管理戦略を確立する</t>
  </si>
  <si>
    <t>標準的な試験・安定性試験・OOS調査の手順と、データ完全性の管理を持つ</t>
  </si>
  <si>
    <t>パラメータの許容範囲、管理戦略</t>
  </si>
  <si>
    <t>試験の所要時間・OOS率を管理する</t>
  </si>
  <si>
    <t>品質を一貫して保証できる工程</t>
  </si>
  <si>
    <t>自動化・リアルタイム出荷試験など先進的な手法を用いる</t>
  </si>
  <si>
    <t>02-03-03</t>
  </si>
  <si>
    <t>C08-02</t>
  </si>
  <si>
    <t>品質保証（出荷判定・逸脱・変更）</t>
  </si>
  <si>
    <t>処方・容器・投与デバイスを設計する</t>
  </si>
  <si>
    <t>逸脱・苦情の処理が遅く、再発する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</si>
  <si>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反復投与毒性試験</t>
    </r>
  </si>
  <si>
    <t>C04-03-01</t>
  </si>
  <si>
    <t>製造所ごとに運用する</t>
  </si>
  <si>
    <t>標準的な出荷判定・逸脱・変更・苦情処理の品質システムを持つ</t>
  </si>
  <si>
    <t>非臨床試験計画、ロット</t>
  </si>
  <si>
    <t>逸脱の再発率・CAPAの有効性などの品質指標で管理する</t>
  </si>
  <si>
    <t>処方開発</t>
  </si>
  <si>
    <t>品質データの分析で問題を予防し、品質文化が定着している</t>
  </si>
  <si>
    <t>緩衝液・安定化剤などの処方を設計する（高濃度化を含む）</t>
  </si>
  <si>
    <t>C08-03</t>
  </si>
  <si>
    <t>処方設計、処方の安定性評価</t>
  </si>
  <si>
    <t>バリデーション管理</t>
  </si>
  <si>
    <t>開発適性評価（C02-05-01）</t>
  </si>
  <si>
    <t>文書が不備で、査察で指摘される</t>
  </si>
  <si>
    <t>02-03-04</t>
  </si>
  <si>
    <t>安定で投与しやすい製剤</t>
  </si>
  <si>
    <t>対象ごとにバリデーションを行う</t>
  </si>
  <si>
    <t>リスクに基づく標準的なバリデーション手法（CSAを含む）を持つ</t>
  </si>
  <si>
    <t>C04-03-02</t>
  </si>
  <si>
    <t>バリデーション状態・期間を指標で管理する</t>
  </si>
  <si>
    <t>継続的な工程確認とデータに基づく検証で、効率化する</t>
  </si>
  <si>
    <t>サイトカイン放出評価（免疫賦活作用がある場合）</t>
  </si>
  <si>
    <t>C08-04</t>
  </si>
  <si>
    <t>容器・包装設計</t>
  </si>
  <si>
    <t>品質システム・監査管理</t>
  </si>
  <si>
    <t>バイアル・プレフィルドシリンジなどの一次容器と包装を設計する</t>
  </si>
  <si>
    <t>レベル3（GxP）</t>
  </si>
  <si>
    <t>容器選定、容器完全性の評価</t>
  </si>
  <si>
    <t>監査・査察への対応が場当たり的</t>
  </si>
  <si>
    <t>年次計画で監査を行う</t>
  </si>
  <si>
    <t>品質を守る容器・包装</t>
  </si>
  <si>
    <t>02-03-05</t>
  </si>
  <si>
    <t>リスクに基づく監査計画と、常に査察に対応できる品質システムを持つ</t>
  </si>
  <si>
    <t>C04-03-03</t>
  </si>
  <si>
    <t>監査の指摘・査察結果を指標で管理し、改善する</t>
  </si>
  <si>
    <t>品質システムが事業の改善を先導する</t>
  </si>
  <si>
    <t>開発段階に応じた追加試験の計画（生殖発生毒性等）</t>
  </si>
  <si>
    <t>投与デバイス開発</t>
  </si>
  <si>
    <t>C09-01</t>
  </si>
  <si>
    <t>コンビネーション製品として投与デバイスを設計する（設計管理）</t>
  </si>
  <si>
    <t>ファーマコビジランス（安全性）</t>
  </si>
  <si>
    <t>デバイス設計、ヒューマンファクター評価</t>
  </si>
  <si>
    <t>有害事象管理</t>
  </si>
  <si>
    <t>患者が安全に使えるデバイス</t>
  </si>
  <si>
    <t>レベル3（PV）</t>
  </si>
  <si>
    <t>収集漏れ・報告遅延がある</t>
  </si>
  <si>
    <t>02-04</t>
  </si>
  <si>
    <t>製品ごとに運用する</t>
  </si>
  <si>
    <t>品質特性を評価し、分析法・規格を定め、製法変更時の同等性を評価する</t>
  </si>
  <si>
    <t>標準的な収集・評価・報告のプロセスと、安全性データベースを持つ</t>
  </si>
  <si>
    <t>初回ヒト投与量の設定・IND申請</t>
  </si>
  <si>
    <t>報告期限の遵守率・品質を指標で管理する</t>
  </si>
  <si>
    <t>初回投与量を設定し、IB・指定申請を含めてINDを提出し、30日の待機期間を経て治験を開始できる状態にする</t>
  </si>
  <si>
    <t>C04-04-01</t>
  </si>
  <si>
    <t>受付・コーディングの自動化で処理を効率化する</t>
  </si>
  <si>
    <t>C09-02</t>
  </si>
  <si>
    <t>品質特性評価</t>
  </si>
  <si>
    <t>安全性シグナル・リスク管理</t>
  </si>
  <si>
    <t>構造・糖鎖・電荷・生物活性などの品質特性を解析し、CQAを特定する</t>
  </si>
  <si>
    <t>02-04-01</t>
  </si>
  <si>
    <t>特性解析、CQAのリスク評価</t>
  </si>
  <si>
    <t>シグナルの検出が場当たり的</t>
  </si>
  <si>
    <t>製品品質の科学的な理解</t>
  </si>
  <si>
    <t>製品ごとに定期的に評価する</t>
  </si>
  <si>
    <t>初回投与量の設定（NOAEL／MABEL）</t>
  </si>
  <si>
    <t>C04-04-02</t>
  </si>
  <si>
    <t>標準的なシグナル管理・ベネフィット・リスク評価・REMSの運用を持つ</t>
  </si>
  <si>
    <t>非臨床試験報告書、PK/PDモデル・解析結果</t>
  </si>
  <si>
    <t>シグナル評価の期間・REMSの有効性を指標で管理する</t>
  </si>
  <si>
    <t>分析法開発・バリデーション</t>
  </si>
  <si>
    <t>レジストリ・リアルワールドデータを統合した先進的なリスク評価を行う</t>
  </si>
  <si>
    <t>品質試験の分析法を開発し、バリデーションする</t>
  </si>
  <si>
    <r>
      <rPr>
        <rFont val="Arial"/>
        <color rgb="FF000000"/>
        <sz val="9.0"/>
      </rPr>
      <t>PK/PD</t>
    </r>
    <r>
      <rPr>
        <rFont val="Noto Sans CJK SC"/>
        <color rgb="FF000000"/>
        <sz val="9.0"/>
      </rPr>
      <t>モデル・解析結果</t>
    </r>
  </si>
  <si>
    <t>C10-01</t>
  </si>
  <si>
    <t>分析法の開発・バリデーション・移管</t>
  </si>
  <si>
    <t>試験実施（原材料・工程内・出荷）（C08-01-01）、測定法開発・バリデーション（C03-03-01）</t>
  </si>
  <si>
    <t>メディカル・患者エンゲージメント</t>
  </si>
  <si>
    <t>臨床薬理・非臨床／—</t>
  </si>
  <si>
    <t>信頼できる品質試験法</t>
  </si>
  <si>
    <t>患者団体・専門医連携★</t>
  </si>
  <si>
    <t>02-04-02</t>
  </si>
  <si>
    <t>C04-04-03</t>
  </si>
  <si>
    <t>関係が個人的なつながりに依存する</t>
  </si>
  <si>
    <t>製品ごとに関係を構築する</t>
  </si>
  <si>
    <t>全社の方針・倫理基準に基づき、継続的に協働する</t>
  </si>
  <si>
    <t>関係の質と成果（参画件数、意見の反映）を評価する</t>
  </si>
  <si>
    <t>患者コミュニティに信頼されるパートナーとして、疾患領域を共に先導する</t>
  </si>
  <si>
    <t>C10-02</t>
  </si>
  <si>
    <t>メディカルアフェアーズ</t>
  </si>
  <si>
    <t>規格・有効期間設定</t>
  </si>
  <si>
    <t>問い合わせへの対応が中心</t>
  </si>
  <si>
    <t>規格・標準物質と、安定性試験の計画・有効期間を設定する</t>
  </si>
  <si>
    <t>規格設定、標準物質の確立、安定性試験計画</t>
  </si>
  <si>
    <t>製品ごとにMSL活動・学術活動を計画する</t>
  </si>
  <si>
    <t>安定性試験の実施（C08-01-02）</t>
  </si>
  <si>
    <t>標準的な科学的情報提供・問い合わせ対応・学術活動を行う</t>
  </si>
  <si>
    <t>活動の質・影響を指標で評価する</t>
  </si>
  <si>
    <t>根拠ある規格と有効期間</t>
  </si>
  <si>
    <t>C04-04-04</t>
  </si>
  <si>
    <t>エビデンス創出を先導し、疾患領域の科学的議論をリードする</t>
  </si>
  <si>
    <t>C10-03</t>
  </si>
  <si>
    <t>同等性／同質性評価</t>
  </si>
  <si>
    <t>製法変更の前後で、品質が同等であることを評価する</t>
  </si>
  <si>
    <t>変更前後の比較評価</t>
  </si>
  <si>
    <t>変更の報告区分判定・申請（C06-04-02）</t>
  </si>
  <si>
    <t>製法変更後も品質が変わらないことの証明</t>
  </si>
  <si>
    <t>疾患啓発・診断支援★</t>
  </si>
  <si>
    <t>治験薬概要書（IB）の作成</t>
  </si>
  <si>
    <t>啓発活動がない</t>
  </si>
  <si>
    <t>製品ごとに啓発・検査プログラムを行う</t>
  </si>
  <si>
    <t>製造規模と製造拠点を設計し、技術を移転する</t>
  </si>
  <si>
    <t>非臨床試験報告書、規格</t>
  </si>
  <si>
    <t>啓発・遺伝子検査・専門施設網を組み合わせた、標準的な診断支援を行う</t>
  </si>
  <si>
    <t>診断率・診断までの期間を指標で管理する</t>
  </si>
  <si>
    <t>治験薬概要書（IB）</t>
  </si>
  <si>
    <t>学会・業界と連携し、疾患の診断環境そのものを変える</t>
  </si>
  <si>
    <t>C04-05-01</t>
  </si>
  <si>
    <t>C10-04</t>
  </si>
  <si>
    <t>GCP</t>
  </si>
  <si>
    <t>患者支援サービス★</t>
  </si>
  <si>
    <t>製造規模設定★</t>
  </si>
  <si>
    <t>臨床開発・非臨床／—</t>
  </si>
  <si>
    <t>個別に対応している</t>
  </si>
  <si>
    <t>需要に見合う製造規模を設定し、必要なスケールアップを行う（小規模のまま商用化する場合あり）</t>
  </si>
  <si>
    <t>ハブ事業者に委託して運用する</t>
  </si>
  <si>
    <t>規模の設定、スケールアップ</t>
  </si>
  <si>
    <t>02-04-03</t>
  </si>
  <si>
    <t>標準的なサービス設計・品質管理・個人情報保護のもとで運営する</t>
  </si>
  <si>
    <t>治療開始までの期間・継続率を指標で管理する</t>
  </si>
  <si>
    <t>需要に見合う、無駄のない製造規模</t>
  </si>
  <si>
    <t>患者体験に基づき、先回りした個別の支援を行う</t>
  </si>
  <si>
    <t>C11-01</t>
  </si>
  <si>
    <t>C04-05-02</t>
  </si>
  <si>
    <t>市場アクセス・商業</t>
  </si>
  <si>
    <t>価格・保険者契約管理</t>
  </si>
  <si>
    <t>製造ネットワーク設計</t>
  </si>
  <si>
    <r>
      <rPr>
        <rFont val="Arial"/>
        <color rgb="FF000000"/>
        <sz val="9.0"/>
      </rPr>
      <t>Pre-IND</t>
    </r>
    <r>
      <rPr>
        <rFont val="Noto Sans CJK SC"/>
        <color rgb="FF000000"/>
        <sz val="9.0"/>
      </rPr>
      <t>ミーティング（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）</t>
    </r>
  </si>
  <si>
    <t>価値の根拠が弱く、償還が得られない</t>
  </si>
  <si>
    <t>原薬・充填・包装の拠点構成（自社／CDMO）を設計する</t>
  </si>
  <si>
    <t>製品ごとに価格・契約を検討する</t>
  </si>
  <si>
    <t>非臨床試験報告書、治験薬概要書（IB）</t>
  </si>
  <si>
    <t>拠点構成・二重化の判断</t>
  </si>
  <si>
    <t>価値エビデンスに基づく標準的な価格設定・契約プロセスを持つ</t>
  </si>
  <si>
    <t>パートナー選定・評価（C01-03-01）</t>
  </si>
  <si>
    <t>償還率・契約の成果を指標で管理する</t>
  </si>
  <si>
    <t>当局コミュニケーション記録</t>
  </si>
  <si>
    <t>供給を確保できる製造拠点構成</t>
  </si>
  <si>
    <t>成果連動型など革新的な契約モデルを先導する</t>
  </si>
  <si>
    <t>C04-05-03</t>
  </si>
  <si>
    <t>C11-02</t>
  </si>
  <si>
    <t>薬事／FDA</t>
  </si>
  <si>
    <t>政府価格報告・政策対応</t>
  </si>
  <si>
    <t>技術移転</t>
  </si>
  <si>
    <t>02-04-04</t>
  </si>
  <si>
    <t>報告の誤り・遅延がある</t>
  </si>
  <si>
    <t>開発から製造所へ、または製造所間でプロセスを移転する</t>
  </si>
  <si>
    <t>担当者が手作業で算定・報告する</t>
  </si>
  <si>
    <t>移転計画、マスターバッチレコードの作成</t>
  </si>
  <si>
    <t>標準化された算定方法と統制のもとで報告する</t>
  </si>
  <si>
    <t>報告の精度・期限を指標で管理する</t>
  </si>
  <si>
    <r>
      <rPr>
        <rFont val="Arial"/>
        <color rgb="FF000000"/>
        <sz val="9.0"/>
      </rPr>
      <t>Fc</t>
    </r>
    <r>
      <rPr>
        <rFont val="Noto Sans CJK SC"/>
        <color rgb="FF000000"/>
        <sz val="9.0"/>
      </rPr>
      <t>設計（エフェクター機能・血中半減期の調整）</t>
    </r>
  </si>
  <si>
    <t>政策の変化を先取りして戦略的に対応する</t>
  </si>
  <si>
    <t>移転先で同じ品質を再現できる状態</t>
  </si>
  <si>
    <t>C11-03</t>
  </si>
  <si>
    <t>C05</t>
  </si>
  <si>
    <r>
      <rPr>
        <rFont val="Arial"/>
        <color rgb="FF000000"/>
        <sz val="9.0"/>
      </rPr>
      <t>★Orphan Drug</t>
    </r>
    <r>
      <rPr>
        <rFont val="Noto Sans CJK SC"/>
        <color rgb="FF000000"/>
        <sz val="9.0"/>
      </rPr>
      <t>指定の申請（</t>
    </r>
    <r>
      <rPr>
        <rFont val="Arial"/>
        <color rgb="FF000000"/>
        <sz val="9.0"/>
      </rPr>
      <t>FDA OOPD</t>
    </r>
    <r>
      <rPr>
        <rFont val="Noto Sans CJK SC"/>
        <color rgb="FF000000"/>
        <sz val="9.0"/>
      </rPr>
      <t>。税額控除・ユーザーフィー免除・</t>
    </r>
    <r>
      <rPr>
        <rFont val="Arial"/>
        <color rgb="FF000000"/>
        <sz val="9.0"/>
      </rPr>
      <t>7</t>
    </r>
    <r>
      <rPr>
        <rFont val="Noto Sans CJK SC"/>
        <color rgb="FF000000"/>
        <sz val="9.0"/>
      </rPr>
      <t>年独占の前提）</t>
    </r>
  </si>
  <si>
    <t>疫学データ、非臨床試験報告書、適応症</t>
  </si>
  <si>
    <t>少ない患者で、ヒトでの安全性・有効性の確かなエビデンスを生み出す能力</t>
  </si>
  <si>
    <t>指定・インセンティブ</t>
  </si>
  <si>
    <t>薬事／FDA（OOPD）</t>
  </si>
  <si>
    <t>02-04-05</t>
  </si>
  <si>
    <t>販促・商業コンプライアンス</t>
  </si>
  <si>
    <t>★希少小児疾患指定の申請（該当する場合。承認時の優先審査バウチャーの前提）</t>
  </si>
  <si>
    <t>審査が不十分</t>
  </si>
  <si>
    <t>臨床開発計画を立て、エビデンス要件を満たす試験を設計する</t>
  </si>
  <si>
    <t>資材ごとに審査する</t>
  </si>
  <si>
    <t>標準的な審査・提出・支払報告の手順を持つ</t>
  </si>
  <si>
    <t>審査期間・指摘件数を指標で管理する</t>
  </si>
  <si>
    <t>C05-01-01</t>
  </si>
  <si>
    <t>コンプライアンスが迅速な市場展開を支えている</t>
  </si>
  <si>
    <t>02-04-06</t>
  </si>
  <si>
    <t>C11-04</t>
  </si>
  <si>
    <t>営業・顧客管理</t>
  </si>
  <si>
    <t>臨床開発計画</t>
  </si>
  <si>
    <t>承認までの臨床試験の全体計画を立てる</t>
  </si>
  <si>
    <t>担当者任せ</t>
  </si>
  <si>
    <t>臨床開発計画の策定・改訂</t>
  </si>
  <si>
    <t>製品ごとに対象施設を定めて活動する</t>
  </si>
  <si>
    <t>規制戦略立案（C06-01-01）</t>
  </si>
  <si>
    <t>標準的な顧客の区分と活動管理を行う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</si>
  <si>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申請（</t>
    </r>
    <r>
      <rPr>
        <rFont val="Arial"/>
        <color rgb="FF000000"/>
        <sz val="9.0"/>
      </rPr>
      <t>Form FDA 1571</t>
    </r>
    <r>
      <rPr>
        <rFont val="Noto Sans CJK SC"/>
        <color rgb="FF000000"/>
        <sz val="9.0"/>
      </rPr>
      <t>、</t>
    </r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試験報告書を含む）</t>
    </r>
  </si>
  <si>
    <t>活動の成果を指標で管理する</t>
  </si>
  <si>
    <t>承認に至る道筋が明確な開発計画</t>
  </si>
  <si>
    <t>データに基づき、施設ごとに最適化された活動を行う</t>
  </si>
  <si>
    <t>非臨床試験報告書、治験実施計画書、治験薬概要書（IB）、規格、CMC技術報告書</t>
  </si>
  <si>
    <t>C05-01-02</t>
  </si>
  <si>
    <t>IND</t>
  </si>
  <si>
    <t>C12-01</t>
  </si>
  <si>
    <t>サプライチェーン</t>
  </si>
  <si>
    <t>薬事・臨床開発・CMC／FDA</t>
  </si>
  <si>
    <t>試験デザイン★</t>
  </si>
  <si>
    <t>需給計画</t>
  </si>
  <si>
    <t>02-04-07</t>
  </si>
  <si>
    <t>単一ピボタル試験＋確認的エビデンス、外部対照、適応的デザインを含め、試験を設計する（統計的設計を含む）</t>
  </si>
  <si>
    <t>試験デザイン、症例数設計、統計解析計画</t>
  </si>
  <si>
    <t>経験則の予測で、欠品・廃棄が発生する</t>
  </si>
  <si>
    <t>製品ごとに計画する</t>
  </si>
  <si>
    <t>少数例でも結論を出せる試験</t>
  </si>
  <si>
    <t>患者単位の需要データに基づく、標準的な需給計画（S&amp;OP）を持つ</t>
  </si>
  <si>
    <r>
      <rPr>
        <rFont val="Arial"/>
        <color rgb="FF000000"/>
        <sz val="9.0"/>
      </rPr>
      <t>30</t>
    </r>
    <r>
      <rPr>
        <rFont val="Noto Sans CJK SC"/>
        <color rgb="FF000000"/>
        <sz val="9.0"/>
      </rPr>
      <t>日待機期間（クリニカルホールドの有無の確認）</t>
    </r>
  </si>
  <si>
    <t>予測精度・在庫指標を管理する</t>
  </si>
  <si>
    <t>C05-01-03</t>
  </si>
  <si>
    <t>リアルタイムの需要データで動的に計画する</t>
  </si>
  <si>
    <t>当局コミュニケーション記録、開発判定記録</t>
  </si>
  <si>
    <t>C12-02</t>
  </si>
  <si>
    <t>評価項目・COA開発★</t>
  </si>
  <si>
    <t>流通ネットワーク管理★</t>
  </si>
  <si>
    <t>臨床アウトカム評価（COA）・バイオマーカーなどの評価項目を開発・検証する</t>
  </si>
  <si>
    <t>流通の状況が見えない</t>
  </si>
  <si>
    <t>03</t>
  </si>
  <si>
    <t>パートナーごとに契約・管理する</t>
  </si>
  <si>
    <t>評価項目の選定、COAの開発・検証</t>
  </si>
  <si>
    <t>標準的なネットワーク設計・パートナー管理・データ連携を行う</t>
  </si>
  <si>
    <t>流通パートナーの実績・データ品質を指標で管理する</t>
  </si>
  <si>
    <t>患者にとって意味があり、当局が受け入れる評価項目</t>
  </si>
  <si>
    <t>患者体験を中心に流通網を最適化する</t>
  </si>
  <si>
    <t>C12-03</t>
  </si>
  <si>
    <t>コールドチェーン物流</t>
  </si>
  <si>
    <r>
      <rPr>
        <rFont val="Arial"/>
        <b/>
        <color rgb="FF000000"/>
        <sz val="9.0"/>
      </rPr>
      <t>CMC</t>
    </r>
    <r>
      <rPr>
        <rFont val="Noto Sans CJK SC"/>
        <b/>
        <color rgb="FF000000"/>
        <sz val="9.0"/>
      </rPr>
      <t>開発（臨床と並行）</t>
    </r>
  </si>
  <si>
    <t>温度逸脱が頻発する</t>
  </si>
  <si>
    <t>自然歴研究・患者レジストリ・リアルワールドデータを構築・活用し、患者数を推計する</t>
  </si>
  <si>
    <t>輸送ごとに温度を記録する</t>
  </si>
  <si>
    <t>検証済みの梱包・輸送と、標準的な逸脱対応を持つ</t>
  </si>
  <si>
    <t>C05-02-01</t>
  </si>
  <si>
    <t>温度逸脱率を指標で管理する</t>
  </si>
  <si>
    <t>リアルタイム監視と予測で逸脱を未然に防ぐ</t>
  </si>
  <si>
    <t>自然歴研究</t>
  </si>
  <si>
    <t>C12-04</t>
  </si>
  <si>
    <t>疾患の自然経過を記録し、外部対照・評価項目設定の基礎を作る</t>
  </si>
  <si>
    <t>トレーサビリティ</t>
  </si>
  <si>
    <t>候補品を安定して生産し品質を保証できる細胞株・製造プロセス・製剤・分析法を確立し、治験薬を供給し、商用プロセスをバリデーションする段階</t>
  </si>
  <si>
    <t>研究計画、データ収集・解析</t>
  </si>
  <si>
    <t>レベル3（法令：DSCSA）</t>
  </si>
  <si>
    <t>プロセスバリデーション完了</t>
  </si>
  <si>
    <t>規制への対応が不十分</t>
  </si>
  <si>
    <t>最低限の対応を個別に行う</t>
  </si>
  <si>
    <t>外部対照に使える自然歴データ</t>
  </si>
  <si>
    <t>C05-02-02</t>
  </si>
  <si>
    <t>03-01</t>
  </si>
  <si>
    <r>
      <rPr>
        <rFont val="Arial"/>
        <color rgb="FF000000"/>
        <sz val="9.0"/>
      </rPr>
      <t>DSCSA</t>
    </r>
    <r>
      <rPr>
        <rFont val="Noto Sans CJK SC"/>
        <color rgb="FF000000"/>
        <sz val="9.0"/>
      </rPr>
      <t>に準拠した標準的なシリアル化・取引情報の交換を行う</t>
    </r>
  </si>
  <si>
    <t>データの整合性・照会への対応を指標で管理する</t>
  </si>
  <si>
    <t>患者レジストリ運営</t>
  </si>
  <si>
    <t>追跡データを需要・品質の管理にも活用する</t>
  </si>
  <si>
    <t>患者団体等と協力してレジストリを構築・運営する（市販後の長期追跡を含む）</t>
  </si>
  <si>
    <t>細胞株構築・セルバンク</t>
  </si>
  <si>
    <t>C12-05</t>
  </si>
  <si>
    <t>レジストリの設計・運営、データ品質管理</t>
  </si>
  <si>
    <t>生産細胞株を構築し、MCB／WCBを作製して、その特性と安全性を確認する</t>
  </si>
  <si>
    <t>供給継続・回収管理</t>
  </si>
  <si>
    <t>レベル3（GMP・法令）</t>
  </si>
  <si>
    <t>長期に利用できる患者データ基盤</t>
  </si>
  <si>
    <t>供給中断・回収に場当たり的に対応する</t>
  </si>
  <si>
    <t>C05-02-03</t>
  </si>
  <si>
    <t>製品ごとにリスクを把握する</t>
  </si>
  <si>
    <t>標準的なリスク評価・事業継続計画・回収手順を持つ</t>
  </si>
  <si>
    <t>03-01-01</t>
  </si>
  <si>
    <t>リスク指標を監視し、訓練で有効性を検証する</t>
  </si>
  <si>
    <t>外部データ活用</t>
  </si>
  <si>
    <t>サプライチェーン全体の強靭性を先回りして設計する</t>
  </si>
  <si>
    <t>リアルワールドデータ・外部対照データの品質を確保し、エビデンスとして活用する</t>
  </si>
  <si>
    <t>C13-01</t>
  </si>
  <si>
    <t>データの適合性評価、外部対照の構築</t>
  </si>
  <si>
    <t>共通基盤</t>
  </si>
  <si>
    <t>発現ベクターの設計・構築</t>
  </si>
  <si>
    <t>情報・データ管理</t>
  </si>
  <si>
    <t>当局に受け入れられる外部エビデンス</t>
  </si>
  <si>
    <t>C05-02-04</t>
  </si>
  <si>
    <t>発現ベクター・細胞株</t>
  </si>
  <si>
    <t>データが部門ごとに分散している</t>
  </si>
  <si>
    <t>部門ごとにマスタ・データを管理する</t>
  </si>
  <si>
    <t>全社のデータガバナンス・マスタ管理・個人情報保護の仕組みを持つ</t>
  </si>
  <si>
    <t>疫学評価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</si>
  <si>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（細胞株開発）／—</t>
    </r>
  </si>
  <si>
    <t>データ品質を指標で管理する</t>
  </si>
  <si>
    <t>03-01-02</t>
  </si>
  <si>
    <t>データを戦略的な資産として活用する</t>
  </si>
  <si>
    <t>対象疾患の患者数・有病率・患者の分布を推計する（Orphan Drug指定の根拠、事業性・需要の評価の基礎）</t>
  </si>
  <si>
    <t>C13-02</t>
  </si>
  <si>
    <t>有病率・患者数の推計、文献・データベースの調査</t>
  </si>
  <si>
    <t>宿主細胞（CHO等）への導入・クローン選択</t>
  </si>
  <si>
    <t>外部データ活用（C05-02-03）、需要予測★（C12-01-01）</t>
  </si>
  <si>
    <t>根拠ある患者数の推計</t>
  </si>
  <si>
    <r>
      <rPr>
        <rFont val="Arial"/>
        <b/>
        <color rgb="FF000000"/>
        <sz val="9.0"/>
      </rPr>
      <t>GxP</t>
    </r>
    <r>
      <rPr>
        <rFont val="Noto Sans CJK SC"/>
        <b/>
        <color rgb="FF000000"/>
        <sz val="9.0"/>
      </rPr>
      <t>文書・記録管理</t>
    </r>
  </si>
  <si>
    <t>候補患者を見つけ、試験への参加を実現する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</si>
  <si>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（細胞株開発）／</t>
    </r>
    <r>
      <rPr>
        <rFont val="Arial"/>
        <color rgb="FF000000"/>
        <sz val="9.0"/>
      </rPr>
      <t>CDMO</t>
    </r>
  </si>
  <si>
    <t>レベル3（GxP・Part 11）</t>
  </si>
  <si>
    <t>紙・個人による管理</t>
  </si>
  <si>
    <t>C05-03-01</t>
  </si>
  <si>
    <t>部門ごとに文書を管理する</t>
  </si>
  <si>
    <t>03-01-03</t>
  </si>
  <si>
    <t>全社標準の電子文書管理（Part 11準拠）を持つ</t>
  </si>
  <si>
    <t>文書の改訂期間・記録の検索性を指標で管理する</t>
  </si>
  <si>
    <t>候補患者特定</t>
  </si>
  <si>
    <t>構造化コンテンツで文書を再利用・自動化する</t>
  </si>
  <si>
    <t>クローン評価（生産性・品質・安定性、単一クローン由来の確認）</t>
  </si>
  <si>
    <t>診断・遺伝子検査の情報を通じて、試験の候補患者を特定する</t>
  </si>
  <si>
    <t>C13-03</t>
  </si>
  <si>
    <t>遺伝子検査プログラムとの連携、紹介経路の活用</t>
  </si>
  <si>
    <t>遺伝子検査プログラム★（C10-03-02）</t>
  </si>
  <si>
    <t>発現ベクター・細胞株、プロセス開発データ</t>
  </si>
  <si>
    <t>試験に参加できる候補患者の把握</t>
  </si>
  <si>
    <t>C05-03-02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</si>
  <si>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（細胞株開発）／</t>
    </r>
    <r>
      <rPr>
        <rFont val="Arial"/>
        <color rgb="FF000000"/>
        <sz val="9.0"/>
      </rPr>
      <t>CDMO</t>
    </r>
  </si>
  <si>
    <t>03-01-04</t>
  </si>
  <si>
    <t>施設・紹介ネットワーク</t>
  </si>
  <si>
    <t>少数の専門施設と、施設間の患者紹介のネットワークを構築する</t>
  </si>
  <si>
    <t>専門施設の特定、国際共同の施設網</t>
  </si>
  <si>
    <r>
      <rPr>
        <rFont val="Arial"/>
        <b/>
        <color rgb="FF000000"/>
        <sz val="9.0"/>
      </rPr>
      <t>GxP</t>
    </r>
    <r>
      <rPr>
        <rFont val="Noto Sans CJK SC"/>
        <b/>
        <color rgb="FF000000"/>
        <sz val="9.0"/>
      </rPr>
      <t>教育・資格管理</t>
    </r>
  </si>
  <si>
    <t>専門施設ネットワーク構築★（C10-03-03）</t>
  </si>
  <si>
    <t>マスター／ワーキングセルバンク（MCB／WCB）の作製</t>
  </si>
  <si>
    <t>患者に届く試験実施体制</t>
  </si>
  <si>
    <t>教育記録に不備がある</t>
  </si>
  <si>
    <t>セルバンク、バッチ記録</t>
  </si>
  <si>
    <t>部門ごとに教育を管理する</t>
  </si>
  <si>
    <t>C05-03-03</t>
  </si>
  <si>
    <t>役割に基づく標準的な教育・資格管理を持つ</t>
  </si>
  <si>
    <t>教育の完了率・有効性を指標で管理する</t>
  </si>
  <si>
    <t>GMP</t>
  </si>
  <si>
    <t>業務の変化に先回りした能力開発を行う</t>
  </si>
  <si>
    <t>参加負担の軽減</t>
  </si>
  <si>
    <t>患者・家族の参加負担を減らす（旅費支援、在宅・分散型の要素）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</si>
  <si>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・製造／</t>
    </r>
    <r>
      <rPr>
        <rFont val="Arial"/>
        <color rgb="FF000000"/>
        <sz val="9.0"/>
      </rPr>
      <t>CDMO</t>
    </r>
  </si>
  <si>
    <t>旅費・宿泊支援、在宅訪問、遠隔評価</t>
  </si>
  <si>
    <t>03-01-05</t>
  </si>
  <si>
    <t>参加・継続しやすい試験</t>
  </si>
  <si>
    <t>セルバンクの特性解析・ウイルス等安全性試験</t>
  </si>
  <si>
    <t>セルバンク</t>
  </si>
  <si>
    <t>施設を立ち上げ、試験をGCPに従って実施・管理する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</si>
  <si>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技術報告書</t>
    </r>
  </si>
  <si>
    <t>C05-04-01</t>
  </si>
  <si>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／受託試験機関</t>
    </r>
  </si>
  <si>
    <t>施設立ち上げ</t>
  </si>
  <si>
    <t>03-02</t>
  </si>
  <si>
    <t>実施医療機関の選定・契約・IRB審査を行う</t>
  </si>
  <si>
    <t>施設選定、契約、IRB対応</t>
  </si>
  <si>
    <t>すぐに組入れを始められる施設</t>
  </si>
  <si>
    <t>培養・精製・ウイルス除去の工程を開発し、治験薬の製造スケールに拡大する</t>
  </si>
  <si>
    <t>C05-04-02</t>
  </si>
  <si>
    <t>モニタリング・施設管理</t>
  </si>
  <si>
    <t>03-02-01</t>
  </si>
  <si>
    <t>リスクに基づくモニタリングで、施設の実施状況と症例を管理する</t>
  </si>
  <si>
    <t>モニタリング、施設課題の管理</t>
  </si>
  <si>
    <t>培養プロセス開発（培地・流加条件）</t>
  </si>
  <si>
    <r>
      <rPr>
        <rFont val="Arial"/>
        <color rgb="FF000000"/>
        <sz val="9.0"/>
      </rPr>
      <t>GCP</t>
    </r>
    <r>
      <rPr>
        <rFont val="Noto Sans CJK SC"/>
        <color rgb="FF000000"/>
        <sz val="9.0"/>
      </rPr>
      <t>に適合した試験の実施</t>
    </r>
  </si>
  <si>
    <t>C05-04-03</t>
  </si>
  <si>
    <t>プロセス定義、プロセス開発データ</t>
  </si>
  <si>
    <t>試験文書・登録管理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</si>
  <si>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（プロセス開発）／</t>
    </r>
    <r>
      <rPr>
        <rFont val="Arial"/>
        <color rgb="FF000000"/>
        <sz val="9.0"/>
      </rPr>
      <t>CDMO</t>
    </r>
  </si>
  <si>
    <t>治験マスターファイル（TMF）を管理し、ClinicalTrials.govへの登録・結果公開を行う</t>
  </si>
  <si>
    <t>03-02-02</t>
  </si>
  <si>
    <r>
      <rPr>
        <rFont val="Arial"/>
        <color rgb="FF000000"/>
        <sz val="9.0"/>
      </rPr>
      <t>TMF</t>
    </r>
    <r>
      <rPr>
        <rFont val="Noto Sans CJK SC"/>
        <color rgb="FF000000"/>
        <sz val="9.0"/>
      </rPr>
      <t>管理、試験登録・結果報告</t>
    </r>
  </si>
  <si>
    <t>文書管理（C13-02-01）</t>
  </si>
  <si>
    <t>いつでも査察に耐える試験記録</t>
  </si>
  <si>
    <t>ハーベスト・精製プロセス開発（プロテインA、イオン交換等）</t>
  </si>
  <si>
    <t>プロセス定義</t>
  </si>
  <si>
    <t>臨床データを収集・固定し、解析して報告する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</si>
  <si>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（プロセス開発）／</t>
    </r>
    <r>
      <rPr>
        <rFont val="Arial"/>
        <color rgb="FF000000"/>
        <sz val="9.0"/>
      </rPr>
      <t>CDMO</t>
    </r>
  </si>
  <si>
    <t>C05-05-01</t>
  </si>
  <si>
    <t>03-02-03</t>
  </si>
  <si>
    <t>データマネジメント</t>
  </si>
  <si>
    <t>ウイルスクリアランス評価（除去・不活化工程）</t>
  </si>
  <si>
    <r>
      <rPr>
        <rFont val="Arial"/>
        <color rgb="FF000000"/>
        <sz val="9.0"/>
      </rPr>
      <t>EDC</t>
    </r>
    <r>
      <rPr>
        <rFont val="Noto Sans CJK SC"/>
        <color rgb="FF000000"/>
        <sz val="9.0"/>
      </rPr>
      <t>でデータを収集・クリーニングし、</t>
    </r>
    <r>
      <rPr>
        <rFont val="Arial"/>
        <color rgb="FF000000"/>
        <sz val="9.0"/>
      </rPr>
      <t>CDISC</t>
    </r>
    <r>
      <rPr>
        <rFont val="Noto Sans CJK SC"/>
        <color rgb="FF000000"/>
        <sz val="9.0"/>
      </rPr>
      <t>標準に整えて固定する</t>
    </r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</si>
  <si>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技術報告書</t>
    </r>
  </si>
  <si>
    <t>データ収集・クリーニング、SDTM／ADaMの作成、データベース固定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</si>
  <si>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（プロセス開発）／受託試験機関</t>
    </r>
  </si>
  <si>
    <t>解析に使える、信頼できるデータ</t>
  </si>
  <si>
    <t>03-02-04</t>
  </si>
  <si>
    <t>C05-05-02</t>
  </si>
  <si>
    <t>治験薬スケールへのスケールアップ</t>
  </si>
  <si>
    <t>統計解析</t>
  </si>
  <si>
    <t>統計解析計画に沿って解析し、図表・リストを作成する</t>
  </si>
  <si>
    <t>プロセス定義、セルバンク</t>
  </si>
  <si>
    <t>統計解析、結果の解釈</t>
  </si>
  <si>
    <t>プロセス定義、マスターバッチレコード</t>
  </si>
  <si>
    <t>正確な解析結果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</si>
  <si>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・製造／</t>
    </r>
    <r>
      <rPr>
        <rFont val="Arial"/>
        <color rgb="FF000000"/>
        <sz val="9.0"/>
      </rPr>
      <t>CDMO</t>
    </r>
  </si>
  <si>
    <t>C05-05-03</t>
  </si>
  <si>
    <t>03-03</t>
  </si>
  <si>
    <t>臨床文書作成</t>
  </si>
  <si>
    <t>製剤開発</t>
  </si>
  <si>
    <t>総括報告書（CSR）・統合解析などの臨床文書を作成する</t>
  </si>
  <si>
    <t>処方・剤形・容器・投与デバイスを開発し、製剤の安定性を評価する</t>
  </si>
  <si>
    <r>
      <rPr>
        <rFont val="Arial"/>
        <color rgb="FF000000"/>
        <sz val="9.0"/>
      </rPr>
      <t>CSR</t>
    </r>
    <r>
      <rPr>
        <rFont val="Noto Sans CJK SC"/>
        <color rgb="FF000000"/>
        <sz val="9.0"/>
      </rPr>
      <t>、統合安全性・有効性解析の文書</t>
    </r>
  </si>
  <si>
    <t>申請資料の作成・統合（C06-02-01）</t>
  </si>
  <si>
    <t>申請に使える臨床文書</t>
  </si>
  <si>
    <t>03-03-01</t>
  </si>
  <si>
    <t>治験薬を必要な施設・患者に、必要な時に届ける</t>
  </si>
  <si>
    <t>処方設計（緩衝液・安定化剤、高濃度化）</t>
  </si>
  <si>
    <t>処方・製剤仕様</t>
  </si>
  <si>
    <t>C05-06-01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</si>
  <si>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（製剤開発）／—</t>
    </r>
  </si>
  <si>
    <t>治験薬需給・割付</t>
  </si>
  <si>
    <t>03-03-02</t>
  </si>
  <si>
    <t>治験薬の需給を計画し、割付・施設への供給・在庫を管理する</t>
  </si>
  <si>
    <t>需給計画、IRTによる割付・供給</t>
  </si>
  <si>
    <t>剤形・容器の選定（バイアル／プレフィルドシリンジ等）</t>
  </si>
  <si>
    <t>欠品・無駄のない治験薬供給</t>
  </si>
  <si>
    <t>C05-06-02</t>
  </si>
  <si>
    <t>C06-01-03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</si>
  <si>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（製剤開発）／容器メーカー</t>
    </r>
  </si>
  <si>
    <t>治験薬の包装・表示</t>
  </si>
  <si>
    <t>03-03-03</t>
  </si>
  <si>
    <t>治験薬の包装・表示（盲検化を含む）を行う</t>
  </si>
  <si>
    <t>包装・表示、盲検化</t>
  </si>
  <si>
    <t>試験の要件を満たす治験薬</t>
  </si>
  <si>
    <t>製剤の安定性評価（加速・苛酷・長期）</t>
  </si>
  <si>
    <t>C06</t>
  </si>
  <si>
    <t>処方・製剤仕様、分析法</t>
  </si>
  <si>
    <t>安定性データ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</si>
  <si>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（製剤開発）／—</t>
    </r>
  </si>
  <si>
    <t>03-03-04</t>
  </si>
  <si>
    <t>投与デバイスの開発（必要な場合）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</si>
  <si>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との対話を通じて、開発を承認に導き、承認後も製品を適法に維持する能力</t>
    </r>
  </si>
  <si>
    <t>QMSR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</si>
  <si>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（製剤開発）／デバイスメーカー</t>
    </r>
  </si>
  <si>
    <t>03-04</t>
  </si>
  <si>
    <t>分析法開発・特性解析</t>
  </si>
  <si>
    <t>重要品質特性（CQA）を特定し、分析法・標準物質・規格を確立する</t>
  </si>
  <si>
    <t>規制戦略を立て、FDAと対話し、指定制度を活用する</t>
  </si>
  <si>
    <t>03-04-01</t>
  </si>
  <si>
    <t>C06-01-01</t>
  </si>
  <si>
    <t>重要品質特性（CQA）の特定</t>
  </si>
  <si>
    <t>規制戦略立案</t>
  </si>
  <si>
    <t>抗体分子、プロセス開発データ</t>
  </si>
  <si>
    <t>米国での承認経路と迅速化制度の活用を含め、規制戦略を立てる</t>
  </si>
  <si>
    <t>重要品質特性（CQA）</t>
  </si>
  <si>
    <t>承認経路の選択、迅速化制度の活用方針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</si>
  <si>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（分析開発）／—</t>
    </r>
  </si>
  <si>
    <t>臨床開発計画（C05-01-01）</t>
  </si>
  <si>
    <t>最短で確実な承認経路</t>
  </si>
  <si>
    <t>03-04-02</t>
  </si>
  <si>
    <t>C06-01-02</t>
  </si>
  <si>
    <t>分析法の開発（構造・純度・糖鎖・電荷・生物活性）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</si>
  <si>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会議・照会対応</t>
    </r>
  </si>
  <si>
    <t>分析法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</si>
  <si>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（分析開発）／—</t>
    </r>
  </si>
  <si>
    <t>03-04-03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</si>
  <si>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との会議（</t>
    </r>
    <r>
      <rPr>
        <rFont val="Arial"/>
        <color rgb="FF000000"/>
        <sz val="9.0"/>
      </rPr>
      <t>Pre-IND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EOP2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Pre-BLA</t>
    </r>
    <r>
      <rPr>
        <rFont val="Noto Sans CJK SC"/>
        <color rgb="FF000000"/>
        <sz val="9.0"/>
      </rPr>
      <t>等）と照会に対応する</t>
    </r>
  </si>
  <si>
    <t>会議資料・議事録、照会への回答</t>
  </si>
  <si>
    <t>分析法バリデーション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</si>
  <si>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と合意された開発・審査の論点</t>
    </r>
  </si>
  <si>
    <t>分析法、CMC技術報告書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</si>
  <si>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（分析開発）・</t>
    </r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／—</t>
    </r>
  </si>
  <si>
    <t>指定制度・インセンティブ管理★</t>
  </si>
  <si>
    <t>03-04-04</t>
  </si>
  <si>
    <t>標準物質の確立</t>
  </si>
  <si>
    <r>
      <rPr>
        <rFont val="Arial"/>
        <color rgb="FF000000"/>
        <sz val="9.0"/>
      </rPr>
      <t>Orphan Drug</t>
    </r>
    <r>
      <rPr>
        <rFont val="Noto Sans CJK SC"/>
        <color rgb="FF000000"/>
        <sz val="9.0"/>
      </rPr>
      <t>・希少小児疾患・</t>
    </r>
    <r>
      <rPr>
        <rFont val="Arial"/>
        <color rgb="FF000000"/>
        <sz val="9.0"/>
      </rPr>
      <t>Fast Track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Breakthrough Therapy</t>
    </r>
    <r>
      <rPr>
        <rFont val="Noto Sans CJK SC"/>
        <color rgb="FF000000"/>
        <sz val="9.0"/>
      </rPr>
      <t>の指定と、優先審査バウチャーを管理する</t>
    </r>
  </si>
  <si>
    <t>ロット</t>
  </si>
  <si>
    <t>標準物質</t>
  </si>
  <si>
    <t>指定の申請・維持、バウチャーの受領・活用</t>
  </si>
  <si>
    <t>制度上の優遇の最大化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</si>
  <si>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（分析開発）・</t>
    </r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／—</t>
    </r>
  </si>
  <si>
    <t>C06-01-04</t>
  </si>
  <si>
    <t>03-04-05</t>
  </si>
  <si>
    <t>規制情報収集</t>
  </si>
  <si>
    <t>規格の設定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</si>
  <si>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のガイダンス・制度変更を把握し、影響を評価する</t>
    </r>
  </si>
  <si>
    <t>重要品質特性（CQA）、分析法、試験成績</t>
  </si>
  <si>
    <t>規制動向の監視、影響評価</t>
  </si>
  <si>
    <t>規格</t>
  </si>
  <si>
    <t>規制変更への先回りした対応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</si>
  <si>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／—</t>
    </r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</si>
  <si>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・補足申請の資料を作成・提出し、ライフサイクルを通じて管理する</t>
    </r>
  </si>
  <si>
    <t>C06-02-01</t>
  </si>
  <si>
    <t>申請資料の作成・統合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</si>
  <si>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・補足申請（</t>
    </r>
    <r>
      <rPr>
        <rFont val="Arial"/>
        <color rgb="FF000000"/>
        <sz val="9.0"/>
      </rPr>
      <t>sBLA</t>
    </r>
    <r>
      <rPr>
        <rFont val="Noto Sans CJK SC"/>
        <color rgb="FF000000"/>
        <sz val="9.0"/>
      </rPr>
      <t>）の資料を作成・統合する</t>
    </r>
  </si>
  <si>
    <t>03-05</t>
  </si>
  <si>
    <r>
      <rPr>
        <rFont val="Arial"/>
        <color rgb="FF000000"/>
        <sz val="9.0"/>
      </rPr>
      <t>CTD</t>
    </r>
    <r>
      <rPr>
        <rFont val="Noto Sans CJK SC"/>
        <color rgb="FF000000"/>
        <sz val="9.0"/>
      </rPr>
      <t>各モジュールの統合、品質（</t>
    </r>
    <r>
      <rPr>
        <rFont val="Arial"/>
        <color rgb="FF000000"/>
        <sz val="9.0"/>
      </rPr>
      <t>Module 3</t>
    </r>
    <r>
      <rPr>
        <rFont val="Noto Sans CJK SC"/>
        <color rgb="FF000000"/>
        <sz val="9.0"/>
      </rPr>
      <t>）の作成</t>
    </r>
  </si>
  <si>
    <t>臨床文書作成（C05-05-03）</t>
  </si>
  <si>
    <t>治験薬GMP製造・供給</t>
  </si>
  <si>
    <t>審査に耐える申請資料</t>
  </si>
  <si>
    <t>治験薬をGMPで製造・試験して施設へ供給する。製法を変更したときは同等性を評価する</t>
  </si>
  <si>
    <t>C06-02-02</t>
  </si>
  <si>
    <t>電子申請・パブリッシング</t>
  </si>
  <si>
    <t>03-05-01</t>
  </si>
  <si>
    <r>
      <rPr>
        <rFont val="Arial"/>
        <color rgb="FF000000"/>
        <sz val="9.0"/>
      </rPr>
      <t>eCTD</t>
    </r>
    <r>
      <rPr>
        <rFont val="Noto Sans CJK SC"/>
        <color rgb="FF000000"/>
        <sz val="9.0"/>
      </rPr>
      <t>形式で申請資料を編集し、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へ電子提出する</t>
    </r>
  </si>
  <si>
    <t>治験薬（原薬・製剤）の製造</t>
  </si>
  <si>
    <t>パブリッシング、電子提出</t>
  </si>
  <si>
    <t>マスターバッチレコード、セルバンク、原材料・資材</t>
  </si>
  <si>
    <t>バッチ記録、ロット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</si>
  <si>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・製造／</t>
    </r>
    <r>
      <rPr>
        <rFont val="Arial"/>
        <color rgb="FF000000"/>
        <sz val="9.0"/>
      </rPr>
      <t>CDMO</t>
    </r>
  </si>
  <si>
    <t>03-05-02</t>
  </si>
  <si>
    <t>技術的に受理される申請</t>
  </si>
  <si>
    <t>C06-02-03</t>
  </si>
  <si>
    <t>品質試験・出荷判定</t>
  </si>
  <si>
    <t>ロット、規格、分析法、標準物質</t>
  </si>
  <si>
    <t>申請ライフサイクル管理</t>
  </si>
  <si>
    <t>試験成績、出荷判定記録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</si>
  <si>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の提出履歴と、承認事項の最新状態を管理する</t>
    </r>
  </si>
  <si>
    <t>提出物の追跡、承認事項の管理</t>
  </si>
  <si>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CDMO</t>
    </r>
  </si>
  <si>
    <t>常に正確な承認事項</t>
  </si>
  <si>
    <t>03-05-03</t>
  </si>
  <si>
    <t>安定性モニタリング</t>
  </si>
  <si>
    <r>
      <rPr>
        <rFont val="Arial"/>
        <color rgb="FF000000"/>
        <sz val="9.0"/>
      </rPr>
      <t>USPI</t>
    </r>
    <r>
      <rPr>
        <rFont val="Noto Sans CJK SC"/>
        <color rgb="FF000000"/>
        <sz val="9.0"/>
      </rPr>
      <t>・患者向け資料を作成・合意し、改訂する</t>
    </r>
  </si>
  <si>
    <t>C06-03-01</t>
  </si>
  <si>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CDMO</t>
    </r>
  </si>
  <si>
    <t>表示の作成・交渉</t>
  </si>
  <si>
    <t>03-05-04</t>
  </si>
  <si>
    <r>
      <rPr>
        <rFont val="Arial"/>
        <color rgb="FF000000"/>
        <sz val="9.0"/>
      </rPr>
      <t>USPI</t>
    </r>
    <r>
      <rPr>
        <rFont val="Noto Sans CJK SC"/>
        <color rgb="FF000000"/>
        <sz val="9.0"/>
      </rPr>
      <t>・患者向け資料の案を作成し、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と交渉・合意する</t>
    </r>
  </si>
  <si>
    <t>包装・表示・実施医療機関への供給</t>
  </si>
  <si>
    <t>表示案の作成、FDAとの交渉</t>
  </si>
  <si>
    <t>ロット、治験実施計画書、包装表示（アートワーク）</t>
  </si>
  <si>
    <t>販促資材審査（C11-03-01）</t>
  </si>
  <si>
    <t>治験薬供給記録、包装表示（アートワーク）</t>
  </si>
  <si>
    <t>合意された適正な表示</t>
  </si>
  <si>
    <t>C06-03-02</t>
  </si>
  <si>
    <r>
      <rPr>
        <rFont val="Arial"/>
        <color rgb="FF000000"/>
        <sz val="9.0"/>
      </rPr>
      <t>GMP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GCP</t>
    </r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</si>
  <si>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（臨床供給）／包装業者、実施医療機関</t>
    </r>
  </si>
  <si>
    <t>表示の改訂管理</t>
  </si>
  <si>
    <t>03-05-05</t>
  </si>
  <si>
    <t>安全性情報・適応追加などに応じて表示を改訂する</t>
  </si>
  <si>
    <t>改訂の判断・提出、関連資材への反映</t>
  </si>
  <si>
    <t>常に最新の表示</t>
  </si>
  <si>
    <t>製法変更時の同等性／同質性評価</t>
  </si>
  <si>
    <t>プロセス定義、試験成績、安定性データ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</si>
  <si>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技術報告書</t>
    </r>
  </si>
  <si>
    <t>承認後の要求事項・変更・報告を管理し、製品を適法に維持する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</si>
  <si>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（分析開発）・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／—</t>
    </r>
  </si>
  <si>
    <t>C06-04-01</t>
  </si>
  <si>
    <t>03-06</t>
  </si>
  <si>
    <t>後期プロセス開発・スケールアップ・技術移転</t>
  </si>
  <si>
    <t>工程を特性解析して管理戦略を確立し、商用の製造規模を定めて製造所へ移転する</t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</si>
  <si>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管理</t>
    </r>
  </si>
  <si>
    <t>市販後要求・コミットメントの進捗を管理し、報告する</t>
  </si>
  <si>
    <t>試験の進捗管理、年次状況報告</t>
  </si>
  <si>
    <t>臨床試験運営（C05-04）</t>
  </si>
  <si>
    <t>03-06-01</t>
  </si>
  <si>
    <t>期限どおりに履行された市販後要求</t>
  </si>
  <si>
    <t>C06-04-02</t>
  </si>
  <si>
    <t>プロセス特性解析（リスク評価・実験計画法）</t>
  </si>
  <si>
    <t>変更の報告区分判定・申請</t>
  </si>
  <si>
    <t>プロセス定義、プロセス開発データ、重要品質特性（CQA）</t>
  </si>
  <si>
    <t>製法などの変更を、21 CFR 601.12の報告区分で判定し、申請・報告する</t>
  </si>
  <si>
    <t>報告区分の判定、事前承認申請・報告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</si>
  <si>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（プロセス開発）／</t>
    </r>
    <r>
      <rPr>
        <rFont val="Arial"/>
        <color rgb="FF000000"/>
        <sz val="9.0"/>
      </rPr>
      <t>CDMO</t>
    </r>
  </si>
  <si>
    <t>変更管理（C08-02-03）、同等性／同質性評価（C04-04-04）</t>
  </si>
  <si>
    <t>03-06-02</t>
  </si>
  <si>
    <t>適法に実施された変更</t>
  </si>
  <si>
    <t>C06-04-03</t>
  </si>
  <si>
    <t>管理戦略の確立</t>
  </si>
  <si>
    <t>定期・年次報告</t>
  </si>
  <si>
    <t>重要品質特性（CQA）、プロセス定義、規格</t>
  </si>
  <si>
    <t>管理戦略</t>
  </si>
  <si>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に関する定期・年次の報告を提出する</t>
    </r>
  </si>
  <si>
    <t>年次報告</t>
  </si>
  <si>
    <t>当局への安全性報告（C09-01-03）、PMR／PMC管理（C06-04-01）</t>
  </si>
  <si>
    <t>期限どおりの当局報告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</si>
  <si>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／—</t>
    </r>
  </si>
  <si>
    <t>C06-04-04</t>
  </si>
  <si>
    <t>03-06-03</t>
  </si>
  <si>
    <t>施設登録・製品リスティング</t>
  </si>
  <si>
    <t>製造施設の登録と製品リスティング（NDC）を維持する</t>
  </si>
  <si>
    <t>★需要に見合う製造規模の設定（小ロット、臨床と同規模のまま商用化する場合あり）</t>
  </si>
  <si>
    <t>施設登録、製品リスティングの更新</t>
  </si>
  <si>
    <t>疫学データ、プロセス定義</t>
  </si>
  <si>
    <t>正確な登録・リスティング</t>
  </si>
  <si>
    <t>C07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</si>
  <si>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CDMO</t>
    </r>
  </si>
  <si>
    <t>生細胞を用いて、GMPに従い、原薬・製剤を安定して製造する能力</t>
  </si>
  <si>
    <t>03-06-04</t>
  </si>
  <si>
    <t>商用製造所への技術移転</t>
  </si>
  <si>
    <t>プロセス定義、管理戦略、分析法</t>
  </si>
  <si>
    <t>マスターバッチレコード、CMC技術報告書</t>
  </si>
  <si>
    <t>生産を計画し、資材を確保し、製造の実行と記録を管理する</t>
  </si>
  <si>
    <t>C07-01-01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</si>
  <si>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・製造／</t>
    </r>
    <r>
      <rPr>
        <rFont val="Arial"/>
        <color rgb="FF000000"/>
        <sz val="9.0"/>
      </rPr>
      <t>CDMO</t>
    </r>
    <r>
      <rPr>
        <rFont val="Noto Sans CJK SC"/>
        <color rgb="FF000000"/>
        <sz val="9.0"/>
      </rPr>
      <t>（商用製造所）</t>
    </r>
  </si>
  <si>
    <t>03-07</t>
  </si>
  <si>
    <t>生産計画</t>
  </si>
  <si>
    <t>原薬・製剤の生産スケジュールを立てる</t>
  </si>
  <si>
    <t>プロセスバリデーション（PPQ）</t>
  </si>
  <si>
    <t>生産計画、能力調整</t>
  </si>
  <si>
    <t>設備・洗浄バリデーションとPPQにより、商用プロセスが一貫した品質で製造できることを示す</t>
  </si>
  <si>
    <t>在庫・供給計画（C12-01-02）</t>
  </si>
  <si>
    <r>
      <rPr>
        <rFont val="Arial"/>
        <color rgb="FF000000"/>
        <sz val="9.0"/>
      </rPr>
      <t>PK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TK</t>
    </r>
    <r>
      <rPr>
        <rFont val="Noto Sans CJK SC"/>
        <color rgb="FF000000"/>
        <sz val="9.0"/>
      </rPr>
      <t>測定法（リガンド結合法）の確立</t>
    </r>
  </si>
  <si>
    <t>需要に応える実行可能な生産計画</t>
  </si>
  <si>
    <t>C07-01-02</t>
  </si>
  <si>
    <t>03-07-01</t>
  </si>
  <si>
    <t>資材調達・在庫管理</t>
  </si>
  <si>
    <t>培地・レジン・容器などの原材料・資材を調達し、在庫を管理する</t>
  </si>
  <si>
    <t>調達、受入、在庫管理</t>
  </si>
  <si>
    <t>設備・洗浄バリデーション</t>
  </si>
  <si>
    <t>欠品のない資材供給</t>
  </si>
  <si>
    <t>バリデーション計画・報告</t>
  </si>
  <si>
    <t>C07-01-03</t>
  </si>
  <si>
    <t>製造（エンジニアリング）・QA／CDMO</t>
  </si>
  <si>
    <t>製造記録管理</t>
  </si>
  <si>
    <t>製造指図と製造記録（電子バッチ記録を含む）を管理する</t>
  </si>
  <si>
    <t>03-07-02</t>
  </si>
  <si>
    <t>製造指図の発行、記録の作成・照査準備</t>
  </si>
  <si>
    <t>ロット出荷判定（C08-02-01）</t>
  </si>
  <si>
    <t>完全で正確な製造記録</t>
  </si>
  <si>
    <t>プロセスバリデーション計画の策定</t>
  </si>
  <si>
    <t>管理戦略、マスターバッチレコード</t>
  </si>
  <si>
    <t>製造・QA／CDMO</t>
  </si>
  <si>
    <t>セルバンクから、培養・精製を経て原薬を製造する</t>
  </si>
  <si>
    <t>03-07-03</t>
  </si>
  <si>
    <t>C07-02-01</t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</si>
  <si>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バッチの製造（複数ロット）</t>
    </r>
  </si>
  <si>
    <t>細胞培養</t>
  </si>
  <si>
    <t>バリデーション計画・報告、マスターバッチレコード、セルバンク、原材料・資材</t>
  </si>
  <si>
    <t>セルバンクの融解から拡大培養・本培養（バイオリアクター）までを行う</t>
  </si>
  <si>
    <t>バッチ記録、ロット、工程データ、試験成績</t>
  </si>
  <si>
    <t>シード培養、本培養、工程の監視</t>
  </si>
  <si>
    <t>製造・QC／CDMO</t>
  </si>
  <si>
    <t>計画どおりの生産量と品質</t>
  </si>
  <si>
    <t>03-07-04</t>
  </si>
  <si>
    <t>C07-02-02</t>
  </si>
  <si>
    <t>ハーベスト・精製</t>
  </si>
  <si>
    <t>工程性能の評価・報告</t>
  </si>
  <si>
    <t>培養液を回収し、精製してウイルス除去工程を含めて原薬にする</t>
  </si>
  <si>
    <t>バッチ記録、工程データ、試験成績</t>
  </si>
  <si>
    <t>ハーベスト、クロマトグラフィー、ウイルス除去・不活化</t>
  </si>
  <si>
    <t>規格に適合する精製原薬</t>
  </si>
  <si>
    <t>C07-02-03</t>
  </si>
  <si>
    <t>04</t>
  </si>
  <si>
    <t>原薬の充填・保管</t>
  </si>
  <si>
    <t>原薬を容器に充填し、適切な条件で保管する</t>
  </si>
  <si>
    <t>原薬の充填、凍結・保管</t>
  </si>
  <si>
    <t>品質が保たれた原薬在庫</t>
  </si>
  <si>
    <t>自然歴研究で疾患を把握し、患者での臨床試験を通じて、安全性・有効性のエビデンスを確立する段階</t>
  </si>
  <si>
    <t>申請に足る臨床データ</t>
  </si>
  <si>
    <t>原薬から製剤を無菌的に製造し、包装する</t>
  </si>
  <si>
    <t>C07-03-01</t>
  </si>
  <si>
    <t>04-01</t>
  </si>
  <si>
    <t>無菌製剤化・充填</t>
  </si>
  <si>
    <t>★自然歴研究・患者特定</t>
  </si>
  <si>
    <t>薬液調製・無菌ろ過・無菌充填を行う</t>
  </si>
  <si>
    <t>疾患の自然経過・患者レジストリ・評価指標を整え、候補患者を特定して、臨床試験の基盤をつくる</t>
  </si>
  <si>
    <t>調製、無菌ろ過、アイソレーター等での充填</t>
  </si>
  <si>
    <t>無菌性が保証された製剤</t>
  </si>
  <si>
    <t>C07-03-02</t>
  </si>
  <si>
    <t>04-01-01</t>
  </si>
  <si>
    <t>外観検査</t>
  </si>
  <si>
    <t>充填品の外観を検査する</t>
  </si>
  <si>
    <t>目視・自動検査</t>
  </si>
  <si>
    <t>★自然歴研究の実施（外部対照・評価項目設定の基礎）</t>
  </si>
  <si>
    <t>疾患知見、患者レジストリデータ、患者・被験者</t>
  </si>
  <si>
    <t>不良品の排除</t>
  </si>
  <si>
    <t>自然歴データ、臨床試験</t>
  </si>
  <si>
    <t>C07-03-03</t>
  </si>
  <si>
    <t>メディカル（疫学）／専門医、アカデミア、患者団体</t>
  </si>
  <si>
    <t>表示・包装・シリアル化</t>
  </si>
  <si>
    <t>04-01-02</t>
  </si>
  <si>
    <t>製品に表示・包装を施し、製品識別子を付与する</t>
  </si>
  <si>
    <t>表示、包装、シリアル番号の付与</t>
  </si>
  <si>
    <t>シリアル化データ管理（C12-04-01）、治験薬の包装・表示（C05-06-02）</t>
  </si>
  <si>
    <t>★患者レジストリの構築（患者団体と連携）</t>
  </si>
  <si>
    <t>出荷できる製品</t>
  </si>
  <si>
    <t>患者レジストリデータ、患者・被験者</t>
  </si>
  <si>
    <t>メディカル／患者団体、レジストリ運営者</t>
  </si>
  <si>
    <t>製造設備と無菌環境を維持する</t>
  </si>
  <si>
    <t>04-01-03</t>
  </si>
  <si>
    <t>C07-04-01</t>
  </si>
  <si>
    <t>★診断・患者特定の支援（遺伝子検査プログラム等）</t>
  </si>
  <si>
    <t>設備保全・校正</t>
  </si>
  <si>
    <t>製造設備を保全・校正する</t>
  </si>
  <si>
    <t>患者レジストリデータ、遺伝子・オミクスデータ</t>
  </si>
  <si>
    <t>候補患者情報、患者・被験者</t>
  </si>
  <si>
    <t>予防保全、校正</t>
  </si>
  <si>
    <t>メディカル／遺伝子検査機関、専門医</t>
  </si>
  <si>
    <t>設備・洗浄バリデーション（C08-03-01）</t>
  </si>
  <si>
    <t>04-01-04</t>
  </si>
  <si>
    <t>安定して稼働する設備</t>
  </si>
  <si>
    <t>C07-04-02</t>
  </si>
  <si>
    <t>★臨床評価指標（COA）・バイオマーカーの開発・検証</t>
  </si>
  <si>
    <t>自然歴データ、疾患知見</t>
  </si>
  <si>
    <t>環境・ユーティリティ管理</t>
  </si>
  <si>
    <t>臨床評価指標・バイオマーカー定義</t>
  </si>
  <si>
    <t>無菌環境と、水・空調などのユーティリティを管理・監視する</t>
  </si>
  <si>
    <t>臨床開発・研究（トランスレーショナル）／患者団体、FDA</t>
  </si>
  <si>
    <t>環境モニタリングの運用、ユーティリティ管理</t>
  </si>
  <si>
    <t>04-02</t>
  </si>
  <si>
    <t>試験実施（原材料・工程内・出荷）（C08-01-01）</t>
  </si>
  <si>
    <t>管理された製造環境</t>
  </si>
  <si>
    <t>C08</t>
  </si>
  <si>
    <t>★第I/II相（患者での安全性・PK・PoC）</t>
  </si>
  <si>
    <t>患者を対象に安全性・PK・PoCを確認し、ピボタル試験のデザインについてFDAと合意する</t>
  </si>
  <si>
    <t>製品がGMPなどの要件に適合していることを、製造から独立した立場で試験・保証する能力</t>
  </si>
  <si>
    <t>04-02-01</t>
  </si>
  <si>
    <t>★治験実施計画書の作成（患者対象の用量漸増＋拡大コホート）</t>
  </si>
  <si>
    <t>原材料・工程・製品を試験し、安定性を監視する</t>
  </si>
  <si>
    <t>治験薬概要書（IB）、PK/PDモデル・解析結果、臨床評価指標・バイオマーカー定義、適応症</t>
  </si>
  <si>
    <t>治験実施計画書、臨床試験</t>
  </si>
  <si>
    <t>C08-01-01</t>
  </si>
  <si>
    <t>臨床開発・統計／—</t>
  </si>
  <si>
    <t>試験実施（原材料・工程内・出荷）</t>
  </si>
  <si>
    <t>04-02-02</t>
  </si>
  <si>
    <t>原材料・工程内・出荷の試験と、微生物・環境試験を行う</t>
  </si>
  <si>
    <t>各種試験、試験成績書（CoA）の発行</t>
  </si>
  <si>
    <t>★少数の専門施設・国際共同での立ち上げ・IRB審査</t>
  </si>
  <si>
    <t>正確な試験結果</t>
  </si>
  <si>
    <t>治験実施計画書、取引先・施設マスタ、候補患者情報、臨床試験</t>
  </si>
  <si>
    <t>C08-01-02</t>
  </si>
  <si>
    <t>試験実施体制、契約</t>
  </si>
  <si>
    <t>臨床運営／CRO、実施医療機関、IRB</t>
  </si>
  <si>
    <t>安定性試験の実施</t>
  </si>
  <si>
    <t>04-02-03</t>
  </si>
  <si>
    <t>安定性試験を実施し、結果を監視する</t>
  </si>
  <si>
    <t>保管・試験・傾向監視</t>
  </si>
  <si>
    <t>規格・有効期間設定（C04-04-03）</t>
  </si>
  <si>
    <t>有効期間を裏づけるデータ</t>
  </si>
  <si>
    <t>C08-01-03</t>
  </si>
  <si>
    <r>
      <rPr>
        <rFont val="Arial"/>
        <color rgb="FF000000"/>
        <sz val="9.0"/>
      </rPr>
      <t>ClinicalTrials.gov</t>
    </r>
    <r>
      <rPr>
        <rFont val="Noto Sans CJK SC"/>
        <color rgb="FF000000"/>
        <sz val="9.0"/>
      </rPr>
      <t>への登録</t>
    </r>
  </si>
  <si>
    <t>試験登録情報</t>
  </si>
  <si>
    <t>試験室管理</t>
  </si>
  <si>
    <t>臨床運営／ClinicalTrials.gov（NIH）</t>
  </si>
  <si>
    <t>規格外結果（OOS）の調査と、試験データの完全性を管理する</t>
  </si>
  <si>
    <t>04-02-04</t>
  </si>
  <si>
    <r>
      <rPr>
        <rFont val="Arial"/>
        <color rgb="FF000000"/>
        <sz val="9.0"/>
      </rPr>
      <t>OOS</t>
    </r>
    <r>
      <rPr>
        <rFont val="Noto Sans CJK SC"/>
        <color rgb="FF000000"/>
        <sz val="9.0"/>
      </rPr>
      <t>調査、試験機器・データの管理</t>
    </r>
  </si>
  <si>
    <t>信頼できる試験室</t>
  </si>
  <si>
    <t>初回投与・用量漸増（安全性評価委員会による判断）</t>
  </si>
  <si>
    <t>治験実施計画書、治験薬供給記録、患者・被験者</t>
  </si>
  <si>
    <t>症例データ、有害事象症例</t>
  </si>
  <si>
    <t>臨床運営・医学／実施医療機関、CRO、安全性評価委員会</t>
  </si>
  <si>
    <t>ロットの出荷を判定し、逸脱・変更・苦情を管理する</t>
  </si>
  <si>
    <t>04-02-05</t>
  </si>
  <si>
    <t>C08-02-01</t>
  </si>
  <si>
    <t>ロット出荷判定</t>
  </si>
  <si>
    <r>
      <rPr>
        <rFont val="Arial"/>
        <color rgb="FF000000"/>
        <sz val="9.0"/>
      </rPr>
      <t>★PK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・バイオマーカーの評価</t>
    </r>
  </si>
  <si>
    <t>製造記録・試験結果を照査し、ロットの出荷可否を判定する</t>
  </si>
  <si>
    <t>記録照査、出荷判定</t>
  </si>
  <si>
    <t>症例データ、生体試料分析法</t>
  </si>
  <si>
    <t>臨床検体分析データ</t>
  </si>
  <si>
    <t>品質が保証されたロットだけの出荷</t>
  </si>
  <si>
    <t>臨床薬理・バイオアナリシス／中央検査機関</t>
  </si>
  <si>
    <t>C08-02-02</t>
  </si>
  <si>
    <t>04-02-06</t>
  </si>
  <si>
    <t>逸脱・CAPA管理</t>
  </si>
  <si>
    <t>逸脱を調査し、是正・予防措置を管理する</t>
  </si>
  <si>
    <t>迅速化制度の指定申請（Fast Track／Breakthrough Therapy、該当する場合）</t>
  </si>
  <si>
    <t>逸脱調査、根本原因分析、CAPA</t>
  </si>
  <si>
    <t>症例データ、臨床検体分析データ</t>
  </si>
  <si>
    <t>再発防止された品質問題</t>
  </si>
  <si>
    <t>C08-02-03</t>
  </si>
  <si>
    <t>04-02-07</t>
  </si>
  <si>
    <t>変更管理</t>
  </si>
  <si>
    <t>変更の品質への影響を評価し、実施を管理する</t>
  </si>
  <si>
    <t>変更評価、実施管理</t>
  </si>
  <si>
    <r>
      <rPr>
        <rFont val="Arial"/>
        <color rgb="FF000000"/>
        <sz val="9.0"/>
      </rPr>
      <t>★End-of-Phase 2</t>
    </r>
    <r>
      <rPr>
        <rFont val="Noto Sans CJK SC"/>
        <color rgb="FF000000"/>
        <sz val="9.0"/>
      </rPr>
      <t>ミーティング（ピボタル試験デザイン・エビデンス要件の合意）</t>
    </r>
  </si>
  <si>
    <t>管理された変更</t>
  </si>
  <si>
    <t>C08-02-04</t>
  </si>
  <si>
    <t>症例データ、臨床検体分析データ、自然歴データ、臨床評価指標・バイオマーカー定義</t>
  </si>
  <si>
    <t>年次製品照査・品質指標</t>
  </si>
  <si>
    <t>臨床開発・統計・薬事／FDA</t>
  </si>
  <si>
    <t>製品品質の傾向を年次で照査し、品質指標を監視する</t>
  </si>
  <si>
    <t>04-03</t>
  </si>
  <si>
    <t>年次製品照査（APR）、品質指標</t>
  </si>
  <si>
    <t>品質傾向の把握と改善</t>
  </si>
  <si>
    <t>★ピボタル試験（検証的試験）</t>
  </si>
  <si>
    <t>C08-02-05</t>
  </si>
  <si>
    <t>承認の根拠となる検証的試験を実施し、データを固定して総括報告にまとめる</t>
  </si>
  <si>
    <t>製品品質苦情処理</t>
  </si>
  <si>
    <t>製品の品質に関する苦情を受け付け、調査する</t>
  </si>
  <si>
    <t>04-03-01</t>
  </si>
  <si>
    <t>苦情の受付・調査・対応</t>
  </si>
  <si>
    <t>有害事象情報の収集（C09-01-01）</t>
  </si>
  <si>
    <t>苦情への適切な対応と改善</t>
  </si>
  <si>
    <t>★試験計画（単一の適切な比較試験＋確認的エビデンス、外部対照の活用、該当すればRDEP手続き）</t>
  </si>
  <si>
    <t>当局コミュニケーション記録、自然歴データ、臨床評価指標・バイオマーカー定義、適応症</t>
  </si>
  <si>
    <t>設備・洗浄・プロセス・コンピュータ化システムが意図どおりに機能することを検証する</t>
  </si>
  <si>
    <t>臨床開発・統計／FDA</t>
  </si>
  <si>
    <t>C08-03-01</t>
  </si>
  <si>
    <t>04-03-02</t>
  </si>
  <si>
    <t>設備の適格性確認と、洗浄方法のバリデーションを行う</t>
  </si>
  <si>
    <t>多国籍・多施設の立ち上げ・ClinicalTrials.govへの登録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</si>
  <si>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反復投与毒性試験</t>
    </r>
  </si>
  <si>
    <t>据付・運転・性能適格性確認、洗浄バリデーション</t>
  </si>
  <si>
    <t>治験実施計画書、取引先・施設マスタ、臨床試験</t>
  </si>
  <si>
    <t>適格性が確認された設備</t>
  </si>
  <si>
    <t>試験実施体制、試験登録情報、契約</t>
  </si>
  <si>
    <t>C08-03-02</t>
  </si>
  <si>
    <t>04-03-03</t>
  </si>
  <si>
    <t>プロセスバリデーション</t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</si>
  <si>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と、商用製造での継続的な工程確認を行う</t>
    </r>
  </si>
  <si>
    <t>★被験者登録・投与・モニタリング（患者・家族の負担軽減、分散型の要素）</t>
  </si>
  <si>
    <t>治験実施計画書、試験実施体制、治験薬供給記録、臨床試験</t>
  </si>
  <si>
    <r>
      <rPr>
        <rFont val="Arial"/>
        <color rgb="FF000000"/>
        <sz val="9.0"/>
      </rPr>
      <t>PV</t>
    </r>
    <r>
      <rPr>
        <rFont val="Noto Sans CJK SC"/>
        <color rgb="FF000000"/>
        <sz val="9.0"/>
      </rPr>
      <t>計画、</t>
    </r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、継続的工程確認</t>
    </r>
  </si>
  <si>
    <t>症例データ、臨床検体分析データ、有害事象症例、患者・被験者</t>
  </si>
  <si>
    <t>一貫した品質で製造できる工程</t>
  </si>
  <si>
    <t>臨床運営／CRO、実施医療機関、在宅訪問サービス</t>
  </si>
  <si>
    <t>C08-03-03</t>
  </si>
  <si>
    <t>04-03-04</t>
  </si>
  <si>
    <t>コンピュータ化システムバリデーション</t>
  </si>
  <si>
    <t>データマネジメント・データベース固定</t>
  </si>
  <si>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に関わるシステムのバリデーションを行う（</t>
    </r>
    <r>
      <rPr>
        <rFont val="Arial"/>
        <color rgb="FF000000"/>
        <sz val="9.0"/>
      </rPr>
      <t>21 CFR Part 11</t>
    </r>
    <r>
      <rPr>
        <rFont val="Noto Sans CJK SC"/>
        <color rgb="FF000000"/>
        <sz val="9.0"/>
      </rPr>
      <t>）</t>
    </r>
  </si>
  <si>
    <t>症例データ、臨床検体分析データ、臨床試験</t>
  </si>
  <si>
    <t>臨床データセット</t>
  </si>
  <si>
    <t>リスクに基づく検証、定期レビュー</t>
  </si>
  <si>
    <t>データマネジメント／CRO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</si>
  <si>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反復投与毒性試験</t>
    </r>
  </si>
  <si>
    <t>信頼できるGxPシステム</t>
  </si>
  <si>
    <t>04-03-05</t>
  </si>
  <si>
    <t>統計解析・総括報告</t>
  </si>
  <si>
    <t>品質マネジメントシステムを運営し、監査・査察に対応する</t>
  </si>
  <si>
    <t>統計解析結果、総括報告書（CSR）</t>
  </si>
  <si>
    <t>統計・メディカルライティング／CRO</t>
  </si>
  <si>
    <t>C08-04-01</t>
  </si>
  <si>
    <t>04-04</t>
  </si>
  <si>
    <t>品質マネジメントシステム運営</t>
  </si>
  <si>
    <t>臨床データの統合・評価</t>
  </si>
  <si>
    <t>品質方針・マネジメントレビューなど、品質システム全体を運営する</t>
  </si>
  <si>
    <t>試験横断で安全性・有効性・PK・免疫原性を統合解析し、長期データを加えてベネフィット・リスクを評価する</t>
  </si>
  <si>
    <t>品質方針、マネジメントレビュー、品質計画</t>
  </si>
  <si>
    <t>機能する品質システム</t>
  </si>
  <si>
    <t>04-04-01</t>
  </si>
  <si>
    <t>C08-04-02</t>
  </si>
  <si>
    <t>統合安全性解析</t>
  </si>
  <si>
    <t>内部監査・パートナー監査</t>
  </si>
  <si>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反復投与毒性試験</t>
    </r>
  </si>
  <si>
    <t>臨床データセット、有害事象症例</t>
  </si>
  <si>
    <t>社内と委託先・供給業者のGxP監査を行い、適格性を確認する</t>
  </si>
  <si>
    <t>統合解析</t>
  </si>
  <si>
    <t>監査計画・実施、供給業者の適格性確認</t>
  </si>
  <si>
    <t>統計・安全性／—</t>
  </si>
  <si>
    <t>04-04-02</t>
  </si>
  <si>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に適合した社内外の業務</t>
    </r>
  </si>
  <si>
    <t>C08-04-03</t>
  </si>
  <si>
    <t>★統合有効性解析（自然歴データとの比較を含む）</t>
  </si>
  <si>
    <t>当局査察対応</t>
  </si>
  <si>
    <t>臨床データセット、自然歴データ</t>
  </si>
  <si>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の査察（承認前査察・</t>
    </r>
    <r>
      <rPr>
        <rFont val="Arial"/>
        <color rgb="FF000000"/>
        <sz val="9.0"/>
      </rPr>
      <t>BIMO</t>
    </r>
    <r>
      <rPr>
        <rFont val="Noto Sans CJK SC"/>
        <color rgb="FF000000"/>
        <sz val="9.0"/>
      </rPr>
      <t>・定期査察）に備え、対応する</t>
    </r>
  </si>
  <si>
    <t>統計／—</t>
  </si>
  <si>
    <t>査察準備、査察対応、指摘への回答</t>
  </si>
  <si>
    <t>04-04-03</t>
  </si>
  <si>
    <t>指摘の少ない査察結果</t>
  </si>
  <si>
    <t>C09</t>
  </si>
  <si>
    <t>臨床検体分析データ、臨床データセット、PK/PDモデル・解析結果</t>
  </si>
  <si>
    <r>
      <rPr>
        <rFont val="Arial"/>
        <color rgb="FF000000"/>
        <sz val="9.0"/>
      </rPr>
      <t>PK/PD</t>
    </r>
    <r>
      <rPr>
        <rFont val="Noto Sans CJK SC"/>
        <color rgb="FF000000"/>
        <sz val="9.0"/>
      </rPr>
      <t>モデル・解析結果、統合解析</t>
    </r>
  </si>
  <si>
    <t>治験中から市販後まで、有害事象を把握し、リスクを評価・最小化する能力</t>
  </si>
  <si>
    <t>04-04-04</t>
  </si>
  <si>
    <t>免疫原性の統合評価</t>
  </si>
  <si>
    <t>有害事象を収集・評価し、当局へ報告する</t>
  </si>
  <si>
    <t>臨床検体分析データ、臨床データセット</t>
  </si>
  <si>
    <t>C09-01-01</t>
  </si>
  <si>
    <t>臨床薬理・統計／—</t>
  </si>
  <si>
    <t>04-04-05</t>
  </si>
  <si>
    <t>有害事象情報の収集</t>
  </si>
  <si>
    <t>治験・市販後の有害事象情報を、あらゆる経路から受け付ける</t>
  </si>
  <si>
    <t>★長期継続投与試験（非盲検延長）</t>
  </si>
  <si>
    <t>自発報告・文献・患者支援プログラム経由の受付</t>
  </si>
  <si>
    <t>製品品質苦情処理（C08-02-05）</t>
  </si>
  <si>
    <t>漏れのない有害事象の把握</t>
  </si>
  <si>
    <t>C09-01-02</t>
  </si>
  <si>
    <t>症例評価</t>
  </si>
  <si>
    <t>症例を医学的に評価し、コード化する</t>
  </si>
  <si>
    <t>因果関係・重篤性の評価、MedDRAコーディング</t>
  </si>
  <si>
    <t>正確に評価された症例</t>
  </si>
  <si>
    <t>C09-01-03</t>
  </si>
  <si>
    <t>当局への安全性報告</t>
  </si>
  <si>
    <t>個別症例報告（IND安全性報告・15日アラート報告）と定期報告を提出する</t>
  </si>
  <si>
    <t>臨床運営／実施医療機関、CRO</t>
  </si>
  <si>
    <t>個別報告、定期報告</t>
  </si>
  <si>
    <t>04-04-06</t>
  </si>
  <si>
    <t>定期・年次報告（C06-04-03）</t>
  </si>
  <si>
    <t>期限どおりの安全性報告</t>
  </si>
  <si>
    <t>ベネフィット・リスク評価</t>
  </si>
  <si>
    <t>総括報告書（CSR）、統合解析</t>
  </si>
  <si>
    <t>シグナルを検出・評価し、ベネフィット・リスクとリスク最小化策を管理する</t>
  </si>
  <si>
    <t>医学・統計・安全性・薬事／—</t>
  </si>
  <si>
    <t>C09-02-01</t>
  </si>
  <si>
    <t>05</t>
  </si>
  <si>
    <t>シグナル検出・評価</t>
  </si>
  <si>
    <t>安全性データからシグナルを検出し、評価する</t>
  </si>
  <si>
    <t>データ解析、シグナル評価</t>
  </si>
  <si>
    <t>早期に把握された安全性リスク</t>
  </si>
  <si>
    <r>
      <rPr>
        <rFont val="Arial"/>
        <b/>
        <color rgb="FF000000"/>
        <sz val="9.0"/>
      </rPr>
      <t>BLA</t>
    </r>
    <r>
      <rPr>
        <rFont val="Noto Sans CJK SC"/>
        <b/>
        <color rgb="FF000000"/>
        <sz val="9.0"/>
      </rPr>
      <t>申請・審査</t>
    </r>
  </si>
  <si>
    <t>C09-02-02</t>
  </si>
  <si>
    <t>開発で得たエビデンスをBLAにまとめてFDAに提出し、審査・査察に対応して承認を得る段階</t>
  </si>
  <si>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承認（米国での販売許可）</t>
    </r>
  </si>
  <si>
    <t>製品のベネフィットとリスクを総合的に評価する</t>
  </si>
  <si>
    <t>開発・承認・市販後の各時点での評価</t>
  </si>
  <si>
    <t>適切なベネフィット・リスク判断</t>
  </si>
  <si>
    <t>05-01</t>
  </si>
  <si>
    <t>C09-02-03</t>
  </si>
  <si>
    <t>申請資料（CTD）の作成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</si>
  <si>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・リスク最小化</t>
    </r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</si>
  <si>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などのリスク最小化策を設計・運用・評価する</t>
    </r>
  </si>
  <si>
    <r>
      <rPr>
        <rFont val="Arial"/>
        <color rgb="FF000000"/>
        <sz val="9.0"/>
      </rPr>
      <t>Pre-BLA</t>
    </r>
    <r>
      <rPr>
        <rFont val="Noto Sans CJK SC"/>
        <color rgb="FF000000"/>
        <sz val="9.0"/>
      </rPr>
      <t>ミーティングを経て申請資料（</t>
    </r>
    <r>
      <rPr>
        <rFont val="Arial"/>
        <color rgb="FF000000"/>
        <sz val="9.0"/>
      </rPr>
      <t>Module 1</t>
    </r>
    <r>
      <rPr>
        <rFont val="Noto Sans CJK SC"/>
        <color rgb="FF000000"/>
        <sz val="9.0"/>
      </rPr>
      <t>〜</t>
    </r>
    <r>
      <rPr>
        <rFont val="Arial"/>
        <color rgb="FF000000"/>
        <sz val="9.0"/>
      </rPr>
      <t>5</t>
    </r>
    <r>
      <rPr>
        <rFont val="Noto Sans CJK SC"/>
        <color rgb="FF000000"/>
        <sz val="9.0"/>
      </rPr>
      <t>）を作成し、</t>
    </r>
    <r>
      <rPr>
        <rFont val="Arial"/>
        <color rgb="FF000000"/>
        <sz val="9.0"/>
      </rPr>
      <t>eCTD</t>
    </r>
    <r>
      <rPr>
        <rFont val="Noto Sans CJK SC"/>
        <color rgb="FF000000"/>
        <sz val="9.0"/>
      </rPr>
      <t>で</t>
    </r>
    <r>
      <rPr>
        <rFont val="Arial"/>
        <color rgb="FF000000"/>
        <sz val="9.0"/>
      </rPr>
      <t>BLA</t>
    </r>
    <r>
      <rPr>
        <rFont val="Noto Sans CJK SC"/>
        <color rgb="FF000000"/>
        <sz val="9.0"/>
      </rPr>
      <t>を提出する</t>
    </r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</si>
  <si>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の設計・運用・評価</t>
    </r>
  </si>
  <si>
    <t>管理されたリスク</t>
  </si>
  <si>
    <t>C10</t>
  </si>
  <si>
    <t>05-01-01</t>
  </si>
  <si>
    <t>患者・患者団体・専門医との関係を築き、科学的情報と支援を通じて患者に届ける能力（★希少疾患で差別化の源泉）</t>
  </si>
  <si>
    <r>
      <rPr>
        <rFont val="Arial"/>
        <color rgb="FF000000"/>
        <sz val="9.0"/>
      </rPr>
      <t>Pre-BLA</t>
    </r>
    <r>
      <rPr>
        <rFont val="Noto Sans CJK SC"/>
        <color rgb="FF000000"/>
        <sz val="9.0"/>
      </rPr>
      <t>ミーティング（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）</t>
    </r>
  </si>
  <si>
    <t>総括報告書（CSR）、統合解析、CMC技術報告書</t>
  </si>
  <si>
    <t>患者団体・専門医と、研究から市販後まで継続的な関係を築く</t>
  </si>
  <si>
    <t>05-01-02</t>
  </si>
  <si>
    <t>品質（Module 3）の作成</t>
  </si>
  <si>
    <t>患者団体との協働★</t>
  </si>
  <si>
    <t>プロセス定義、規格、管理戦略、安定性データ、CMC技術報告書、バリデーション計画・報告</t>
  </si>
  <si>
    <t>患者団体と協働し、患者の声を研究・開発・事業に取り込む</t>
  </si>
  <si>
    <t>申請資料</t>
  </si>
  <si>
    <t>患者の声の収集、協働プログラム、患者参画</t>
  </si>
  <si>
    <t>患者視点が反映された開発・事業</t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</si>
  <si>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薬事／</t>
    </r>
    <r>
      <rPr>
        <rFont val="Arial"/>
        <color rgb="FF000000"/>
        <sz val="9.0"/>
      </rPr>
      <t>CDMO</t>
    </r>
  </si>
  <si>
    <t>05-01-03</t>
  </si>
  <si>
    <t>専門医との関係構築</t>
  </si>
  <si>
    <t>少数の専門医・KOLと関係を築き、助言を得る</t>
  </si>
  <si>
    <t>アドバイザリーボード、専門医との対話</t>
  </si>
  <si>
    <t>非臨床・臨床（Module 4・5）の作成</t>
  </si>
  <si>
    <t>医療従事者への科学的情報提供（C10-02-01）</t>
  </si>
  <si>
    <t>専門医との信頼関係</t>
  </si>
  <si>
    <t>非臨床試験報告書、総括報告書（CSR）、統合解析</t>
  </si>
  <si>
    <t>メディカルライティング・薬事／—</t>
  </si>
  <si>
    <t>05-01-04</t>
  </si>
  <si>
    <t>医療従事者に科学的情報を提供し、学術活動を行う</t>
  </si>
  <si>
    <t>概要（Module 2）の作成</t>
  </si>
  <si>
    <t>C10-02-01</t>
  </si>
  <si>
    <t>申請資料、ベネフィット・リスク評価</t>
  </si>
  <si>
    <t>医療従事者への科学的情報提供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</si>
  <si>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が医療従事者と科学的な対話を行う</t>
    </r>
  </si>
  <si>
    <t>05-01-05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</si>
  <si>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活動、科学的交流</t>
    </r>
  </si>
  <si>
    <t>営業活動管理（C11-04-02）</t>
  </si>
  <si>
    <t>米国地域情報（Module 1：Form FDA 356h、表示案）の作成</t>
  </si>
  <si>
    <t>適正使用に必要な科学的理解</t>
  </si>
  <si>
    <t>指定・インセンティブ、適応症</t>
  </si>
  <si>
    <t>C10-02-02</t>
  </si>
  <si>
    <t>申請資料、表示（USPI）</t>
  </si>
  <si>
    <t>薬事（ラベリング）／—</t>
  </si>
  <si>
    <t>医療情報問い合わせ対応</t>
  </si>
  <si>
    <t>05-01-06</t>
  </si>
  <si>
    <t>医療従事者・患者からの医学的な問い合わせに回答する</t>
  </si>
  <si>
    <t>問い合わせ受付・回答</t>
  </si>
  <si>
    <t>電子申請（eCTD）によるBLA提出（PHS法351条(a)）</t>
  </si>
  <si>
    <t>正確で迅速な回答</t>
  </si>
  <si>
    <r>
      <rPr>
        <rFont val="Arial"/>
        <color rgb="FF000000"/>
        <sz val="9.0"/>
      </rPr>
      <t>Pre-IND</t>
    </r>
    <r>
      <rPr>
        <rFont val="Noto Sans CJK SC"/>
        <color rgb="FF000000"/>
        <sz val="9.0"/>
      </rPr>
      <t>ミーティング（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）</t>
    </r>
  </si>
  <si>
    <t>C10-02-03</t>
  </si>
  <si>
    <t>薬事（パブリッシング）／FDA（電子申請ゲートウェイ）</t>
  </si>
  <si>
    <t>学術活動</t>
  </si>
  <si>
    <t>05-02</t>
  </si>
  <si>
    <t>研究者主導研究の支援と、学術発表・論文化を行う</t>
  </si>
  <si>
    <t>研究者主導研究の支援、学術発表、論文</t>
  </si>
  <si>
    <t>審査対応</t>
  </si>
  <si>
    <t>エビデンスの発信と蓄積</t>
  </si>
  <si>
    <t>受理審査、照会への回答、承認前査察（PLI）・BIMO査察、レビュー会議、諮問委員会に対応する</t>
  </si>
  <si>
    <t>疾患の認知を高め、診断されていない患者が診断に至る道筋をつくる</t>
  </si>
  <si>
    <t>05-02-01</t>
  </si>
  <si>
    <t>C10-03-01</t>
  </si>
  <si>
    <t>受理審査（提出から60日）・優先審査の判定</t>
  </si>
  <si>
    <t>疾患啓発</t>
  </si>
  <si>
    <t>製品名を出さない形で疾患の認知を高める</t>
  </si>
  <si>
    <t>医療従事者・一般向けの啓発</t>
  </si>
  <si>
    <t>05-02-02</t>
  </si>
  <si>
    <t>疾患の認知向上</t>
  </si>
  <si>
    <t>C10-03-02</t>
  </si>
  <si>
    <r>
      <rPr>
        <rFont val="Arial"/>
        <color rgb="FF000000"/>
        <sz val="9.0"/>
      </rPr>
      <t>Pre-IND</t>
    </r>
    <r>
      <rPr>
        <rFont val="Noto Sans CJK SC"/>
        <color rgb="FF000000"/>
        <sz val="9.0"/>
      </rPr>
      <t>ミーティング（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）</t>
    </r>
  </si>
  <si>
    <t>情報提供依頼（IR）への回答</t>
  </si>
  <si>
    <t>当局コミュニケーション記録、申請資料</t>
  </si>
  <si>
    <t>遺伝子検査プログラム★</t>
  </si>
  <si>
    <t>無償の遺伝子検査などで、診断を支援する</t>
  </si>
  <si>
    <t>薬事・各機能／FDA</t>
  </si>
  <si>
    <t>検査機関との連携、検査プログラムの運営</t>
  </si>
  <si>
    <t>候補患者特定（C05-03-01）</t>
  </si>
  <si>
    <t>05-02-03</t>
  </si>
  <si>
    <t>診断率の向上</t>
  </si>
  <si>
    <t>C10-03-03</t>
  </si>
  <si>
    <t>承認前査察（PLI）への対応（製造所）</t>
  </si>
  <si>
    <t>バッチ記録、バリデーション計画・報告、CMC技術報告書</t>
  </si>
  <si>
    <t>専門施設ネットワーク構築★</t>
  </si>
  <si>
    <t>査察記録</t>
  </si>
  <si>
    <t>診断・治療ができる専門施設のネットワークをつくる</t>
  </si>
  <si>
    <t>製造・QA／FDA、CDMO</t>
  </si>
  <si>
    <t>専門施設の特定、紹介経路の整備</t>
  </si>
  <si>
    <t>施設・紹介ネットワーク（C05-03-02）</t>
  </si>
  <si>
    <t>05-02-04</t>
  </si>
  <si>
    <t>患者が専門施設にたどり着ける経路</t>
  </si>
  <si>
    <t>臨床試験実施施設の査察（BIMO）への対応</t>
  </si>
  <si>
    <t>試験実施体制、症例データ、臨床試験</t>
  </si>
  <si>
    <t>ハブを通じて、患者の保険確認・治療開始・継続を支援する</t>
  </si>
  <si>
    <t>臨床運営・QA／FDA、実施医療機関、CRO</t>
  </si>
  <si>
    <t>C10-04-01</t>
  </si>
  <si>
    <t>05-02-05</t>
  </si>
  <si>
    <r>
      <rPr>
        <rFont val="Arial"/>
        <color rgb="FF000000"/>
        <sz val="9.0"/>
      </rPr>
      <t>★Orphan Drug</t>
    </r>
    <r>
      <rPr>
        <rFont val="Noto Sans CJK SC"/>
        <color rgb="FF000000"/>
        <sz val="9.0"/>
      </rPr>
      <t>指定の申請（</t>
    </r>
    <r>
      <rPr>
        <rFont val="Arial"/>
        <color rgb="FF000000"/>
        <sz val="9.0"/>
      </rPr>
      <t>FDA OOPD</t>
    </r>
    <r>
      <rPr>
        <rFont val="Noto Sans CJK SC"/>
        <color rgb="FF000000"/>
        <sz val="9.0"/>
      </rPr>
      <t>。税額控除・ユーザーフィー免除・</t>
    </r>
    <r>
      <rPr>
        <rFont val="Arial"/>
        <color rgb="FF000000"/>
        <sz val="9.0"/>
      </rPr>
      <t>7</t>
    </r>
    <r>
      <rPr>
        <rFont val="Noto Sans CJK SC"/>
        <color rgb="FF000000"/>
        <sz val="9.0"/>
      </rPr>
      <t>年独占の前提）</t>
    </r>
  </si>
  <si>
    <t>中間・後期レビュー会議</t>
  </si>
  <si>
    <t>保険確認・事前承認支援</t>
  </si>
  <si>
    <t>患者の保険適用を確認し、事前承認の取得を支援する</t>
  </si>
  <si>
    <t>05-02-06</t>
  </si>
  <si>
    <t>保険確認、事前承認の支援</t>
  </si>
  <si>
    <t>治療開始を妨げない保険手続き</t>
  </si>
  <si>
    <t>諮問委員会への対応（開催される場合）</t>
  </si>
  <si>
    <t>C10-04-02</t>
  </si>
  <si>
    <t>ベネフィット・リスク評価、申請資料</t>
  </si>
  <si>
    <t>経済的支援</t>
  </si>
  <si>
    <t>薬事・医学／FDA、諮問委員会</t>
  </si>
  <si>
    <t>自己負担の支援と、無償提供プログラムを運営する</t>
  </si>
  <si>
    <t>05-03</t>
  </si>
  <si>
    <t>自己負担支援、無償提供</t>
  </si>
  <si>
    <t>経済的理由で治療を断念しない状態</t>
  </si>
  <si>
    <t>承認取得</t>
  </si>
  <si>
    <t>表示・REMS・PMR／PMCを合意し、承認通知（該当すれば優先審査バウチャー）を受領する</t>
  </si>
  <si>
    <t>C10-04-03</t>
  </si>
  <si>
    <t>治療開始・継続支援</t>
  </si>
  <si>
    <t>05-03-01</t>
  </si>
  <si>
    <t>治療の開始・継続を調整し、支援する</t>
  </si>
  <si>
    <t>ケアコーディネーション、看護師による支援</t>
  </si>
  <si>
    <t>表示（USPI・患者向け資料）の交渉・合意</t>
  </si>
  <si>
    <t>途切れない治療</t>
  </si>
  <si>
    <t>表示（USPI）、統合解析</t>
  </si>
  <si>
    <t>表示（USPI）</t>
  </si>
  <si>
    <t>C11</t>
  </si>
  <si>
    <t>薬事（ラベリング）・医学／FDA</t>
  </si>
  <si>
    <t>05-03-02</t>
  </si>
  <si>
    <t>製品の価値を価格と償還に結びつけ、適正に販売する能力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</si>
  <si>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・市販後要求（</t>
    </r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）の合意</t>
    </r>
  </si>
  <si>
    <t>ベネフィット・リスク評価、安全性シグナル評価</t>
  </si>
  <si>
    <t>市販後要求・コミットメント（PMR／PMC）、REMS</t>
  </si>
  <si>
    <t>製品の価値を示し、価格を設定し、保険者と契約する</t>
  </si>
  <si>
    <t>薬事・安全性／FDA</t>
  </si>
  <si>
    <t>05-03-03</t>
  </si>
  <si>
    <t>C11-01-01</t>
  </si>
  <si>
    <t>価格戦略・設定</t>
  </si>
  <si>
    <t>★優先審査バウチャーの受領（希少小児疾患指定の場合）</t>
  </si>
  <si>
    <t>製品の価値に基づき、価格（WAC）を設定・改定する</t>
  </si>
  <si>
    <t>価格戦略、価格設定・改定</t>
  </si>
  <si>
    <t>薬事・経営／FDA</t>
  </si>
  <si>
    <t>価値に見合った価格</t>
  </si>
  <si>
    <t>05-03-04</t>
  </si>
  <si>
    <t>C11-01-02</t>
  </si>
  <si>
    <t>承認通知の受領（または審査完了通知〔CRL〕への対応）</t>
  </si>
  <si>
    <t>医療経済・価値エビデンス</t>
  </si>
  <si>
    <t>医療経済評価と価値エビデンスを作成する</t>
  </si>
  <si>
    <t>承認・許可、製品マスタ</t>
  </si>
  <si>
    <t>医療経済モデル、価値資料</t>
  </si>
  <si>
    <t>保険者に示せる価値の根拠</t>
  </si>
  <si>
    <t>06</t>
  </si>
  <si>
    <t>C11-01-03</t>
  </si>
  <si>
    <t>商用製造（継続）</t>
  </si>
  <si>
    <t>保険者・PBM契約</t>
  </si>
  <si>
    <t>民間保険・PBMと償還条件・契約（成果連動型を含む）を交渉する</t>
  </si>
  <si>
    <t>承認されたプロセスで、原薬・製剤をGMPに従って製造し、品質を保証して出荷できる状態にする継続的な活動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</si>
  <si>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申請（</t>
    </r>
    <r>
      <rPr>
        <rFont val="Arial"/>
        <color rgb="FF000000"/>
        <sz val="9.0"/>
      </rPr>
      <t>Form FDA 1571</t>
    </r>
    <r>
      <rPr>
        <rFont val="Noto Sans CJK SC"/>
        <color rgb="FF000000"/>
        <sz val="9.0"/>
      </rPr>
      <t>、</t>
    </r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試験報告書を含む）</t>
    </r>
  </si>
  <si>
    <t>償還条件の交渉、契約管理</t>
  </si>
  <si>
    <t>出荷判定の合格</t>
  </si>
  <si>
    <t>患者が償還を受けられる状態</t>
  </si>
  <si>
    <t>06-01</t>
  </si>
  <si>
    <t>公的保険プログラムと政府価格報告、薬価政策に対応する</t>
  </si>
  <si>
    <t>原薬製造（培養・精製）</t>
  </si>
  <si>
    <t>セルバンクから培養・精製を経て、原薬ロットを製造・保管する</t>
  </si>
  <si>
    <t>C11-02-01</t>
  </si>
  <si>
    <t>政府価格報告</t>
  </si>
  <si>
    <t>06-01-01</t>
  </si>
  <si>
    <t>生産計画・資材手配</t>
  </si>
  <si>
    <r>
      <rPr>
        <rFont val="Arial"/>
        <color rgb="FF000000"/>
        <sz val="9.0"/>
      </rPr>
      <t>AMP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Best Price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ASP</t>
    </r>
    <r>
      <rPr>
        <rFont val="Noto Sans CJK SC"/>
        <color rgb="FF000000"/>
        <sz val="9.0"/>
      </rPr>
      <t>などの政府価格を算定・報告する</t>
    </r>
  </si>
  <si>
    <t>需給計画、在庫</t>
  </si>
  <si>
    <t>価格算定、報告</t>
  </si>
  <si>
    <t>生産計画、原材料・資材</t>
  </si>
  <si>
    <t>正確で期限どおりの価格報告</t>
  </si>
  <si>
    <t>製造計画・SCM／CDMO、資材サプライヤー</t>
  </si>
  <si>
    <t>C11-02-02</t>
  </si>
  <si>
    <t>06-01-02</t>
  </si>
  <si>
    <t>公的保険プログラム対応</t>
  </si>
  <si>
    <t>セルバンクの融解・拡大培養</t>
  </si>
  <si>
    <r>
      <rPr>
        <rFont val="Arial"/>
        <color rgb="FF000000"/>
        <sz val="9.0"/>
      </rPr>
      <t>IND</t>
    </r>
    <r>
      <rPr>
        <rFont val="Noto Sans CJK SC"/>
        <color rgb="FF000000"/>
        <sz val="9.0"/>
      </rPr>
      <t>申請（</t>
    </r>
    <r>
      <rPr>
        <rFont val="Arial"/>
        <color rgb="FF000000"/>
        <sz val="9.0"/>
      </rPr>
      <t>Form FDA 1571</t>
    </r>
    <r>
      <rPr>
        <rFont val="Noto Sans CJK SC"/>
        <color rgb="FF000000"/>
        <sz val="9.0"/>
      </rPr>
      <t>、</t>
    </r>
    <r>
      <rPr>
        <rFont val="Arial"/>
        <color rgb="FF000000"/>
        <sz val="9.0"/>
      </rPr>
      <t>GLP</t>
    </r>
    <r>
      <rPr>
        <rFont val="Noto Sans CJK SC"/>
        <color rgb="FF000000"/>
        <sz val="9.0"/>
      </rPr>
      <t>試験報告書を含む）</t>
    </r>
  </si>
  <si>
    <t>生産計画、セルバンク、マスターバッチレコード</t>
  </si>
  <si>
    <r>
      <rPr>
        <rFont val="Arial"/>
        <color rgb="FF000000"/>
        <sz val="9.0"/>
      </rPr>
      <t>Medicaid</t>
    </r>
    <r>
      <rPr>
        <rFont val="Noto Sans CJK SC"/>
        <color rgb="FF000000"/>
        <sz val="9.0"/>
      </rPr>
      <t>薬剤リベート・</t>
    </r>
    <r>
      <rPr>
        <rFont val="Arial"/>
        <color rgb="FF000000"/>
        <sz val="9.0"/>
      </rPr>
      <t>Medicare</t>
    </r>
    <r>
      <rPr>
        <rFont val="Noto Sans CJK SC"/>
        <color rgb="FF000000"/>
        <sz val="9.0"/>
      </rPr>
      <t>（</t>
    </r>
    <r>
      <rPr>
        <rFont val="Arial"/>
        <color rgb="FF000000"/>
        <sz val="9.0"/>
      </rPr>
      <t>Part B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D</t>
    </r>
    <r>
      <rPr>
        <rFont val="Noto Sans CJK SC"/>
        <color rgb="FF000000"/>
        <sz val="9.0"/>
      </rPr>
      <t>）・償還コード（</t>
    </r>
    <r>
      <rPr>
        <rFont val="Arial"/>
        <color rgb="FF000000"/>
        <sz val="9.0"/>
      </rPr>
      <t>HCPCS</t>
    </r>
    <r>
      <rPr>
        <rFont val="Noto Sans CJK SC"/>
        <color rgb="FF000000"/>
        <sz val="9.0"/>
      </rPr>
      <t>）に対応する</t>
    </r>
  </si>
  <si>
    <t>製造／CDMO</t>
  </si>
  <si>
    <t>契約・リベート、償還コードの申請</t>
  </si>
  <si>
    <t>06-01-03</t>
  </si>
  <si>
    <t>公的保険での償還</t>
  </si>
  <si>
    <t>C11-02-03</t>
  </si>
  <si>
    <t>本培養（バイオリアクター）</t>
  </si>
  <si>
    <t>バッチ記録、原材料・資材</t>
  </si>
  <si>
    <t>バッチ記録、工程データ</t>
  </si>
  <si>
    <t>薬価政策対応</t>
  </si>
  <si>
    <t>06-01-04</t>
  </si>
  <si>
    <r>
      <rPr>
        <rFont val="Arial"/>
        <color rgb="FF000000"/>
        <sz val="9.0"/>
      </rPr>
      <t>IRA</t>
    </r>
    <r>
      <rPr>
        <rFont val="Noto Sans CJK SC"/>
        <color rgb="FF000000"/>
        <sz val="9.0"/>
      </rPr>
      <t>の</t>
    </r>
    <r>
      <rPr>
        <rFont val="Arial"/>
        <color rgb="FF000000"/>
        <sz val="9.0"/>
      </rPr>
      <t>Medicare</t>
    </r>
    <r>
      <rPr>
        <rFont val="Noto Sans CJK SC"/>
        <color rgb="FF000000"/>
        <sz val="9.0"/>
      </rPr>
      <t>価格交渉など、薬価政策の影響を評価し対応する</t>
    </r>
  </si>
  <si>
    <t>対象・除外要件の判定、交渉対応</t>
  </si>
  <si>
    <t>政策変化に備えた価格・製品戦略</t>
  </si>
  <si>
    <t>バッチ記録</t>
  </si>
  <si>
    <t>バッチ記録、ロット、工程データ</t>
  </si>
  <si>
    <t>販促活動と商業活動が規制に適合するよう管理する</t>
  </si>
  <si>
    <t>06-01-05</t>
  </si>
  <si>
    <t>C11-03-01</t>
  </si>
  <si>
    <r>
      <rPr>
        <rFont val="Arial"/>
        <color rgb="FF000000"/>
        <sz val="9.0"/>
      </rPr>
      <t>30</t>
    </r>
    <r>
      <rPr>
        <rFont val="Noto Sans CJK SC"/>
        <color rgb="FF000000"/>
        <sz val="9.0"/>
      </rPr>
      <t>日待機期間（クリニカルホールドの有無の確認）</t>
    </r>
  </si>
  <si>
    <t>販促資材審査</t>
  </si>
  <si>
    <t>販促資材を医学・法務・薬事の観点で審査する</t>
  </si>
  <si>
    <t>資材の審査・承認</t>
  </si>
  <si>
    <t>表示の作成・交渉（C06-03-01）</t>
  </si>
  <si>
    <t>適正な販促資材</t>
  </si>
  <si>
    <t>ロット、在庫</t>
  </si>
  <si>
    <t>C11-03-02</t>
  </si>
  <si>
    <t>06-02</t>
  </si>
  <si>
    <r>
      <rPr>
        <rFont val="Arial"/>
        <color rgb="FF000000"/>
        <sz val="9.0"/>
      </rPr>
      <t>OPDP</t>
    </r>
    <r>
      <rPr>
        <rFont val="Noto Sans CJK SC"/>
        <color rgb="FF000000"/>
        <sz val="9.0"/>
      </rPr>
      <t>提出</t>
    </r>
  </si>
  <si>
    <t>販促資材をFDA（OPDP）に提出する（Form FDA 2253）</t>
  </si>
  <si>
    <t>製剤化・充填・包装</t>
  </si>
  <si>
    <t>提出</t>
  </si>
  <si>
    <t>原薬を調製・無菌充填し、検査・表示・包装して製品にする</t>
  </si>
  <si>
    <t>適法な販促</t>
  </si>
  <si>
    <t>C11-03-03</t>
  </si>
  <si>
    <t>06-02-01</t>
  </si>
  <si>
    <t>支払の透明性管理</t>
  </si>
  <si>
    <t>医療従事者への支払を記録し、公開する（Open Payments）</t>
  </si>
  <si>
    <t>薬液調製・無菌ろ過</t>
  </si>
  <si>
    <t>支払の記録・報告</t>
  </si>
  <si>
    <t>ロット、処方・製剤仕様、マスターバッチレコード</t>
  </si>
  <si>
    <r>
      <rPr>
        <rFont val="Arial"/>
        <color rgb="FF000000"/>
        <sz val="9.0"/>
      </rPr>
      <t>30</t>
    </r>
    <r>
      <rPr>
        <rFont val="Noto Sans CJK SC"/>
        <color rgb="FF000000"/>
        <sz val="9.0"/>
      </rPr>
      <t>日待機期間（クリニカルホールドの有無の確認）</t>
    </r>
  </si>
  <si>
    <t>透明な医療従事者との関係</t>
  </si>
  <si>
    <t>製造（製剤）／CDMO（充填）</t>
  </si>
  <si>
    <t>06-02-02</t>
  </si>
  <si>
    <t>無菌充填</t>
  </si>
  <si>
    <t>少数の対象施設・医療従事者に対して営業活動を計画・実行し、担当者を教育する</t>
  </si>
  <si>
    <t>バッチ記録、設備・環境モニタリングデータ</t>
  </si>
  <si>
    <t>バッチ記録、ロット、設備・環境モニタリングデータ</t>
  </si>
  <si>
    <t>C11-04-01</t>
  </si>
  <si>
    <t>06-02-03</t>
  </si>
  <si>
    <t>顧客セグメンテーション・担当配置</t>
  </si>
  <si>
    <t>対象施設・医療従事者を特定し、担当を配置する</t>
  </si>
  <si>
    <t>顧客の特定・区分、担当配置</t>
  </si>
  <si>
    <t>必要な顧客に届く営業体制</t>
  </si>
  <si>
    <t>C11-04-02</t>
  </si>
  <si>
    <t>06-02-04</t>
  </si>
  <si>
    <t>表示・包装</t>
  </si>
  <si>
    <t>営業活動管理</t>
  </si>
  <si>
    <t>ロット、包装表示（アートワーク）、製品マスタ</t>
  </si>
  <si>
    <t>営業活動を計画・記録・評価する</t>
  </si>
  <si>
    <t>ロット、製品識別子・取引情報（DSCSA）</t>
  </si>
  <si>
    <t>活動計画、活動記録</t>
  </si>
  <si>
    <t>製造（包装）／CDMO（包装）</t>
  </si>
  <si>
    <t>効果的な営業活動</t>
  </si>
  <si>
    <t>06-03</t>
  </si>
  <si>
    <t>C11-04-03</t>
  </si>
  <si>
    <t>営業・MSLの教育</t>
  </si>
  <si>
    <t>試験・逸脱・変更を管理してロットの出荷を判定し、年次で品質を照査する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</si>
  <si>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・営業担当に、疾患・製品・コンプライアンスの教育を行う</t>
    </r>
  </si>
  <si>
    <t>上市前の教育、継続教育</t>
  </si>
  <si>
    <t>06-03-01</t>
  </si>
  <si>
    <t>教育管理（C13-03-01：GxP業務の従事者向け）</t>
  </si>
  <si>
    <t>適正に情報提供できる担当者</t>
  </si>
  <si>
    <t>C12</t>
  </si>
  <si>
    <t>工程内試験・規格試験</t>
  </si>
  <si>
    <t>試験成績</t>
  </si>
  <si>
    <t>患者単位の需要に応え、品質を保った製品を確実に届ける能力</t>
  </si>
  <si>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／受託試験機関</t>
    </r>
  </si>
  <si>
    <t>06-03-02</t>
  </si>
  <si>
    <t>逸脱・変更の管理（変更は21 CFR 601.12の報告区分を判定）</t>
  </si>
  <si>
    <t>需要を予測し、在庫・供給を計画し、受注・出荷を管理する</t>
  </si>
  <si>
    <t>バッチ記録、試験成績</t>
  </si>
  <si>
    <t>C12-01-01</t>
  </si>
  <si>
    <t>逸脱・CAPA、変更管理記録、申請資料</t>
  </si>
  <si>
    <t>需要予測★</t>
  </si>
  <si>
    <t>ハブ・流通データから患者単位で需要を把握し、予測する</t>
  </si>
  <si>
    <t>患者単位の需要把握、予測</t>
  </si>
  <si>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薬事／</t>
    </r>
    <r>
      <rPr>
        <rFont val="Arial"/>
        <color rgb="FF000000"/>
        <sz val="9.0"/>
      </rPr>
      <t>CDMO</t>
    </r>
  </si>
  <si>
    <t>精度の高い需要予測</t>
  </si>
  <si>
    <t>06-03-03</t>
  </si>
  <si>
    <t>C12-01-02</t>
  </si>
  <si>
    <t>製造記録の照査・品質部門によるロット出荷判定</t>
  </si>
  <si>
    <t>在庫・供給計画</t>
  </si>
  <si>
    <t>バッチ記録、試験成績、逸脱・CAPA</t>
  </si>
  <si>
    <t>需要予測をもとに、在庫・供給を計画する</t>
  </si>
  <si>
    <t>出荷判定記録</t>
  </si>
  <si>
    <t>在庫計画、安全在庫、需給調整</t>
  </si>
  <si>
    <t>生産計画（C07-01-01）</t>
  </si>
  <si>
    <t>欠品も過剰在庫もない供給</t>
  </si>
  <si>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CDMO</t>
    </r>
  </si>
  <si>
    <t>C12-01-03</t>
  </si>
  <si>
    <t>06-03-04</t>
  </si>
  <si>
    <t>受注・出荷管理</t>
  </si>
  <si>
    <t>流通業者・スペシャリティ薬局からの受注を受け付け、出荷を指示・管理する</t>
  </si>
  <si>
    <t>安定性モニタリング・年次製品照査（APR）</t>
  </si>
  <si>
    <t>受注処理、出荷指示、納期回答</t>
  </si>
  <si>
    <t>ロット、安定性データ、試験成績、逸脱・CAPA、変更管理記録</t>
  </si>
  <si>
    <t>在庫・供給計画（C12-01-02）、保冷輸送設計（C12-03-01）</t>
  </si>
  <si>
    <t>安定性データ、年次製品照査（APR）</t>
  </si>
  <si>
    <t>正確で遅れのない受注・出荷</t>
  </si>
  <si>
    <r>
      <rPr>
        <rFont val="Arial"/>
        <color rgb="FF000000"/>
        <sz val="9.0"/>
      </rPr>
      <t>QC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CDMO</t>
    </r>
  </si>
  <si>
    <t>07</t>
  </si>
  <si>
    <t>限定流通ネットワークを設計し、流通パートナーとデータを管理する</t>
  </si>
  <si>
    <t>上市（1回きり）</t>
  </si>
  <si>
    <t>C12-02-01</t>
  </si>
  <si>
    <t>承認後、価格・償還と、診断支援・流通・情報提供の体制を整え、患者が治療を受けられる状態をつくる段階</t>
  </si>
  <si>
    <t>流通ネットワーク設計・パートナー管理</t>
  </si>
  <si>
    <t>保険償還・患者アクセスの確立</t>
  </si>
  <si>
    <t>スペシャリティ薬局・流通業者・3PL・在宅投与事業者のネットワークを設計・管理する</t>
  </si>
  <si>
    <t>チャネル設計、流通契約、パートナー管理</t>
  </si>
  <si>
    <t>委託業務の契約・監督（C01-03-02）</t>
  </si>
  <si>
    <t>07-01</t>
  </si>
  <si>
    <t>患者に届く流通網</t>
  </si>
  <si>
    <t>C12-02-02</t>
  </si>
  <si>
    <t>価格設定・市場アクセス</t>
  </si>
  <si>
    <t>価格を設定し、公的保険・民間保険・PBMでの償還と、患者支援の仕組みを整える</t>
  </si>
  <si>
    <t>流通データ管理</t>
  </si>
  <si>
    <t>流通パートナーから出荷・調剤・在庫のデータを収集・管理する</t>
  </si>
  <si>
    <t>07-01-01</t>
  </si>
  <si>
    <t>データの収集・照合</t>
  </si>
  <si>
    <t>流通の可視化</t>
  </si>
  <si>
    <t>価格（WAC）の設定</t>
  </si>
  <si>
    <t>疫学データ、ベネフィット・リスク評価</t>
  </si>
  <si>
    <t>価格</t>
  </si>
  <si>
    <t>温度を保ちながら製品を保管・輸送する</t>
  </si>
  <si>
    <t>市場アクセス・経営／—</t>
  </si>
  <si>
    <t>07-01-02</t>
  </si>
  <si>
    <t>C12-03-01</t>
  </si>
  <si>
    <t>公的保険への対応（Medicaid薬剤リベート契約、Medicare Part B／D）</t>
  </si>
  <si>
    <t>保冷輸送設計</t>
  </si>
  <si>
    <t>保冷梱包・輸送方法を設計し、検証する</t>
  </si>
  <si>
    <t>保険者契約、政府価格報告</t>
  </si>
  <si>
    <t>梱包仕様、輸送経路の検証</t>
  </si>
  <si>
    <t>市場アクセス（政府価格）／CMS、州Medicaid</t>
  </si>
  <si>
    <t>品質を保てる輸送方法</t>
  </si>
  <si>
    <t>07-01-03</t>
  </si>
  <si>
    <t>C12-03-02</t>
  </si>
  <si>
    <t>温度管理・逸脱対応</t>
  </si>
  <si>
    <t>保管・輸送中の温度を監視し、逸脱に対応する</t>
  </si>
  <si>
    <r>
      <rPr>
        <rFont val="Arial"/>
        <color rgb="FF000000"/>
        <sz val="9.0"/>
      </rPr>
      <t>HCPCS</t>
    </r>
    <r>
      <rPr>
        <rFont val="Noto Sans CJK SC"/>
        <color rgb="FF000000"/>
        <sz val="9.0"/>
      </rPr>
      <t>コードの申請（医師投与型の場合）</t>
    </r>
  </si>
  <si>
    <t>温度監視、逸脱時の評価</t>
  </si>
  <si>
    <t>承認・許可、表示（USPI）</t>
  </si>
  <si>
    <t>逸脱・CAPA管理（C08-02-02）</t>
  </si>
  <si>
    <t>償還コード</t>
  </si>
  <si>
    <t>品質が保たれた製品の到達</t>
  </si>
  <si>
    <t>市場アクセス／CMS</t>
  </si>
  <si>
    <t>07-01-04</t>
  </si>
  <si>
    <t>製品識別子と取引情報で、製品を追跡できるようにする（DSCSA）</t>
  </si>
  <si>
    <t>★民間保険・PBMとの交渉（事前承認基準、成果連動型契約を含む）</t>
  </si>
  <si>
    <t>価格、ベネフィット・リスク評価、表示（USPI）</t>
  </si>
  <si>
    <t>C12-04-01</t>
  </si>
  <si>
    <t>保険者契約</t>
  </si>
  <si>
    <t>市場アクセス／民間保険、PBM</t>
  </si>
  <si>
    <t>シリアル化データ管理</t>
  </si>
  <si>
    <t>07-01-05</t>
  </si>
  <si>
    <t>製品識別子（シリアル番号）のデータを管理する</t>
  </si>
  <si>
    <t>シリアル番号の採番・管理</t>
  </si>
  <si>
    <t>表示・包装・シリアル化（C07-03-03）</t>
  </si>
  <si>
    <t>患者支援プログラムの構築（ハブサービス・自己負担支援）</t>
  </si>
  <si>
    <t>一意に識別できる製品</t>
  </si>
  <si>
    <t>保険者契約、償還コード</t>
  </si>
  <si>
    <t>患者支援ケース、契約</t>
  </si>
  <si>
    <t>C12-04-02</t>
  </si>
  <si>
    <t>患者サービス／ハブ事業者</t>
  </si>
  <si>
    <t>07-02</t>
  </si>
  <si>
    <t>取引情報の交換・検証</t>
  </si>
  <si>
    <t>取引情報を電子的に交換し、疑わしい製品を検証する</t>
  </si>
  <si>
    <t>上市準備</t>
  </si>
  <si>
    <t>販促・情報資材、教育、診断支援、限定流通網を整え、初回出荷する</t>
  </si>
  <si>
    <t>取引情報の交換、製品の検証</t>
  </si>
  <si>
    <t>追跡可能で偽造品を排除した流通</t>
  </si>
  <si>
    <t>07-02-01</t>
  </si>
  <si>
    <t>販促資材の作成・FDA（OPDP）への提出（Form FDA 2253）</t>
  </si>
  <si>
    <t>供給リスクに備え、回収を実施する</t>
  </si>
  <si>
    <t>販促・医療情報資材</t>
  </si>
  <si>
    <t>C12-05-01</t>
  </si>
  <si>
    <t>マーケティング・メディカル・薬事／FDA（OPDP）</t>
  </si>
  <si>
    <t>07-02-02</t>
  </si>
  <si>
    <t>供給リスク管理</t>
  </si>
  <si>
    <t>供給リスクを評価し、事業継続策とFDAへの供給中断の通知を管理する</t>
  </si>
  <si>
    <t>リスク評価、事業継続計画、当局への通知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</si>
  <si>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・営業担当の教育</t>
    </r>
  </si>
  <si>
    <t>途切れない供給</t>
  </si>
  <si>
    <t>販促・医療情報資材、表示（USPI）</t>
  </si>
  <si>
    <t>C12-05-02</t>
  </si>
  <si>
    <t>教育記録</t>
  </si>
  <si>
    <t>営業・メディカル／—</t>
  </si>
  <si>
    <t>07-02-03</t>
  </si>
  <si>
    <t>回収の実施</t>
  </si>
  <si>
    <t>回収を判断・実施し、当局・流通に対応する</t>
  </si>
  <si>
    <t>回収の判断・実施・効果確認</t>
  </si>
  <si>
    <t>★疾患啓発・診断支援（遺伝子検査プログラム、専門施設ネットワーク）</t>
  </si>
  <si>
    <t>迅速で確実な回収</t>
  </si>
  <si>
    <t>候補患者情報、医療機関・医療従事者マスタ</t>
  </si>
  <si>
    <t>医療機関・医療従事者マスタ、販促・医療情報資材</t>
  </si>
  <si>
    <t>C13</t>
  </si>
  <si>
    <t>メディカル・マーケティング／遺伝子検査機関、専門医療機関、患者団体</t>
  </si>
  <si>
    <t>07-02-04</t>
  </si>
  <si>
    <t>全領域が使う情報・文書・教育の基盤を提供する能力</t>
  </si>
  <si>
    <t>★限定流通ネットワークの構築（少数のスペシャリティ薬局・在宅投与）</t>
  </si>
  <si>
    <t>取引先・施設マスタ</t>
  </si>
  <si>
    <t>取引先・施設マスタ、契約</t>
  </si>
  <si>
    <t>マスタデータとデータガバナンスを管理し、個人情報を保護する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</si>
  <si>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・市場アクセス／スペシャリティ薬局、</t>
    </r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、在宅投与事業者</t>
    </r>
  </si>
  <si>
    <t>07-02-05</t>
  </si>
  <si>
    <t>C13-01-01</t>
  </si>
  <si>
    <t>販売開始・初回出荷</t>
  </si>
  <si>
    <t>マスタデータ管理</t>
  </si>
  <si>
    <t>製品・取引先・医療機関などのマスタデータを管理する</t>
  </si>
  <si>
    <t>承認・許可、出荷判定記録、在庫</t>
  </si>
  <si>
    <t>受注・出荷</t>
  </si>
  <si>
    <t>マスタの定義・維持</t>
  </si>
  <si>
    <t>流通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</si>
  <si>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・営業／流通業者、スペシャリティ薬局</t>
    </r>
  </si>
  <si>
    <t>全社で一貫したマスタデータ</t>
  </si>
  <si>
    <t>08</t>
  </si>
  <si>
    <t>C13-01-02</t>
  </si>
  <si>
    <t>供給・流通（継続）</t>
  </si>
  <si>
    <t>データガバナンス・データ完全性</t>
  </si>
  <si>
    <t>需要に応じて、品質を保った製品を患者・医療機関へ継続的に届ける活動</t>
  </si>
  <si>
    <t>データの責任・標準・品質と、データ完全性（ALCOA+）を管理する</t>
  </si>
  <si>
    <t>品質を保った製品の到達</t>
  </si>
  <si>
    <t>データ責任者、データ標準、データ完全性</t>
  </si>
  <si>
    <t>信頼できるデータ</t>
  </si>
  <si>
    <t>08-01</t>
  </si>
  <si>
    <t>受注・需給調整</t>
  </si>
  <si>
    <t>患者単位の需要を把握して在庫を計画し、受注に応え、供給リスクに備える</t>
  </si>
  <si>
    <t>個人情報保護</t>
  </si>
  <si>
    <t>患者・被験者の個人情報を保護し、同意を管理する</t>
  </si>
  <si>
    <t>プライバシー保護、同意管理</t>
  </si>
  <si>
    <t>08-01-01</t>
  </si>
  <si>
    <t>守られた患者のプライバシー</t>
  </si>
  <si>
    <t>★患者単位の需要把握（ハブ経由の処方・治療開始情報）</t>
  </si>
  <si>
    <t>患者支援ケース、受注・出荷、患者・被験者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</si>
  <si>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・患者サービス／ハブ事業者、スペシャリティ薬局</t>
    </r>
  </si>
  <si>
    <r>
      <rPr>
        <rFont val="Arial"/>
        <b/>
        <color rgb="FF000000"/>
        <sz val="9.0"/>
      </rPr>
      <t>GxP</t>
    </r>
    <r>
      <rPr>
        <rFont val="Noto Sans CJK SC"/>
        <b/>
        <color rgb="FF000000"/>
        <sz val="9.0"/>
      </rPr>
      <t>文書・記録管理</t>
    </r>
  </si>
  <si>
    <t>08-01-02</t>
  </si>
  <si>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文書・記録を作成・承認・保管する</t>
    </r>
  </si>
  <si>
    <t>在庫計画（安全在庫）</t>
  </si>
  <si>
    <t>C13-02-01</t>
  </si>
  <si>
    <t>文書管理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</si>
  <si>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／—</t>
    </r>
  </si>
  <si>
    <t>08-01-03</t>
  </si>
  <si>
    <r>
      <rPr>
        <rFont val="Arial"/>
        <color rgb="FF000000"/>
        <sz val="9.0"/>
      </rPr>
      <t>SOP</t>
    </r>
    <r>
      <rPr>
        <rFont val="Noto Sans CJK SC"/>
        <color rgb="FF000000"/>
        <sz val="9.0"/>
      </rPr>
      <t>などの</t>
    </r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文書を作成・承認・配布・改訂する</t>
    </r>
  </si>
  <si>
    <t>文書の作成・承認・配布・改訂</t>
  </si>
  <si>
    <t>流通業者からの受注処理</t>
  </si>
  <si>
    <t>試験文書・登録管理（C05-04-03）</t>
  </si>
  <si>
    <t>最新で承認された文書</t>
  </si>
  <si>
    <t>在庫、契約</t>
  </si>
  <si>
    <t>C13-02-02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</si>
  <si>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（受注）／流通業者、スペシャリティ薬局</t>
    </r>
  </si>
  <si>
    <t>記録の保管・アーカイブ</t>
  </si>
  <si>
    <t>08-01-04</t>
  </si>
  <si>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記録を保管・アーカイブする（電子記録・電子署名を含む）</t>
    </r>
  </si>
  <si>
    <t>保管、アーカイブ、検索</t>
  </si>
  <si>
    <t>供給リスク管理（供給中断時のFDAへの事前通知を含む）</t>
  </si>
  <si>
    <t>いつでも取り出せる記録</t>
  </si>
  <si>
    <t>需給計画、在庫、生産計画</t>
  </si>
  <si>
    <t>供給継続計画、当局コミュニケーション記録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</si>
  <si>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・薬事／</t>
    </r>
    <r>
      <rPr>
        <rFont val="Arial"/>
        <color rgb="FF000000"/>
        <sz val="9.0"/>
      </rPr>
      <t>FDA</t>
    </r>
  </si>
  <si>
    <r>
      <rPr>
        <rFont val="Arial"/>
        <b/>
        <color rgb="FF000000"/>
        <sz val="9.0"/>
      </rPr>
      <t>GxP</t>
    </r>
    <r>
      <rPr>
        <rFont val="Noto Sans CJK SC"/>
        <b/>
        <color rgb="FF000000"/>
        <sz val="9.0"/>
      </rPr>
      <t>教育・資格管理</t>
    </r>
  </si>
  <si>
    <t>08-02</t>
  </si>
  <si>
    <r>
      <rPr>
        <rFont val="Arial"/>
        <color rgb="FF000000"/>
        <sz val="9.0"/>
      </rPr>
      <t>GxP</t>
    </r>
    <r>
      <rPr>
        <rFont val="Noto Sans CJK SC"/>
        <color rgb="FF000000"/>
        <sz val="9.0"/>
      </rPr>
      <t>業務の従事者を教育し、資格を管理する</t>
    </r>
  </si>
  <si>
    <t>コールドチェーン流通</t>
  </si>
  <si>
    <t>C13-03-01</t>
  </si>
  <si>
    <t>温度を保ったまま、製品を梱包・輸送・保管する</t>
  </si>
  <si>
    <t>教育管理</t>
  </si>
  <si>
    <t>08-02-01</t>
  </si>
  <si>
    <t>教育を計画・実施し、記録する</t>
  </si>
  <si>
    <t>教育計画、教育記録</t>
  </si>
  <si>
    <t>保冷梱包・出荷</t>
  </si>
  <si>
    <t>受注・出荷、出荷判定記録</t>
  </si>
  <si>
    <t>必要な教育を受けた従事者</t>
  </si>
  <si>
    <t>受注・出荷、温度記録</t>
  </si>
  <si>
    <t>C13-03-02</t>
  </si>
  <si>
    <r>
      <rPr>
        <rFont val="Arial"/>
        <color rgb="FF000000"/>
        <sz val="9.0"/>
      </rPr>
      <t>GMP</t>
    </r>
    <r>
      <rPr>
        <rFont val="Noto Sans CJK SC"/>
        <color rgb="FF000000"/>
        <sz val="9.0"/>
      </rPr>
      <t>・流通</t>
    </r>
  </si>
  <si>
    <t>資格認定</t>
  </si>
  <si>
    <t>業務に必要な資格を認定する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</si>
  <si>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3PL</t>
    </r>
  </si>
  <si>
    <t>資格要件、認定</t>
  </si>
  <si>
    <t>08-02-02</t>
  </si>
  <si>
    <t>資格を持つ従事者による業務</t>
  </si>
  <si>
    <t>輸送中の温度モニタリング・逸脱対応</t>
  </si>
  <si>
    <t>温度記録</t>
  </si>
  <si>
    <t>温度記録、逸脱・CAPA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</si>
  <si>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、輸送業者</t>
    </r>
  </si>
  <si>
    <t>08-02-03</t>
  </si>
  <si>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・流通業者での保管</t>
    </r>
  </si>
  <si>
    <t>在庫</t>
  </si>
  <si>
    <t>在庫、温度記録</t>
  </si>
  <si>
    <r>
      <rPr>
        <rFont val="Arial"/>
        <color rgb="FF000000"/>
        <sz val="9.0"/>
      </rPr>
      <t>GMP</t>
    </r>
    <r>
      <rPr>
        <rFont val="Noto Sans CJK SC"/>
        <color rgb="FF000000"/>
        <sz val="9.0"/>
      </rPr>
      <t>・流通</t>
    </r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</si>
  <si>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、流通業者</t>
    </r>
  </si>
  <si>
    <t>08-03</t>
  </si>
  <si>
    <t>医療機関・薬局への納入</t>
  </si>
  <si>
    <t>限定流通網を通じて製品を届け、追跡可能性を確保し、必要なときは回収する</t>
  </si>
  <si>
    <t>08-03-01</t>
  </si>
  <si>
    <t>★限定流通ネットワーク経由の配送（在宅投与を含む）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</si>
  <si>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／流通業者、スペシャリティ薬局、在宅投与事業者</t>
    </r>
  </si>
  <si>
    <t>08-03-02</t>
  </si>
  <si>
    <r>
      <rPr>
        <rFont val="Arial"/>
        <color rgb="FF000000"/>
        <sz val="9.0"/>
      </rPr>
      <t>DSCSA</t>
    </r>
    <r>
      <rPr>
        <rFont val="Noto Sans CJK SC"/>
        <color rgb="FF000000"/>
        <sz val="9.0"/>
      </rPr>
      <t>対応（製品識別子・取引情報の電子的な交換）</t>
    </r>
  </si>
  <si>
    <t>製品識別子・取引情報（DSCSA）、受注・出荷</t>
  </si>
  <si>
    <t>製品識別子・取引情報（DSCSA）</t>
  </si>
  <si>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IT</t>
    </r>
    <r>
      <rPr>
        <rFont val="Noto Sans CJK SC"/>
        <color rgb="FF000000"/>
        <sz val="9.0"/>
      </rPr>
      <t>／流通業者、スペシャリティ薬局</t>
    </r>
  </si>
  <si>
    <t>08-03-03</t>
  </si>
  <si>
    <t>回収（リコール）への対応</t>
  </si>
  <si>
    <t>製品識別子・取引情報（DSCSA）、逸脱・CAPA、安全性シグナル評価</t>
  </si>
  <si>
    <t>回収記録、当局コミュニケーション記録</t>
  </si>
  <si>
    <r>
      <rPr>
        <rFont val="Arial"/>
        <color rgb="FF000000"/>
        <sz val="9.0"/>
      </rPr>
      <t>GMP</t>
    </r>
    <r>
      <rPr>
        <rFont val="Noto Sans CJK SC"/>
        <color rgb="FF000000"/>
        <sz val="9.0"/>
      </rPr>
      <t>・薬事</t>
    </r>
  </si>
  <si>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SCM</t>
    </r>
    <r>
      <rPr>
        <rFont val="Noto Sans CJK SC"/>
        <color rgb="FF000000"/>
        <sz val="9.0"/>
      </rPr>
      <t>・薬事／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、流通業者、医療機関</t>
    </r>
  </si>
  <si>
    <t>09</t>
  </si>
  <si>
    <t>市販後</t>
  </si>
  <si>
    <t>市販後の安全性を監視し、FDAとの約束（PMR／PMC）を果たし、適応追加などで製品価値を最大化する継続的な活動</t>
  </si>
  <si>
    <t>市販後要求の履行・製品価値の最大化</t>
  </si>
  <si>
    <t>09-01</t>
  </si>
  <si>
    <t>安全性監視（ファーマコビジランス）</t>
  </si>
  <si>
    <t>有害事象を収集・報告し、シグナルを評価し、REMSを運用する</t>
  </si>
  <si>
    <t>09-01-01</t>
  </si>
  <si>
    <t>有害事象情報の収集（自発報告・文献・患者支援プログラム経由）</t>
  </si>
  <si>
    <t>患者支援ケース、患者・被験者</t>
  </si>
  <si>
    <t>有害事象症例</t>
  </si>
  <si>
    <t>PV</t>
  </si>
  <si>
    <t>安全性・患者サービス／医療従事者、患者、ハブ事業者</t>
  </si>
  <si>
    <t>09-01-02</t>
  </si>
  <si>
    <r>
      <rPr>
        <rFont val="Arial"/>
        <color rgb="FF000000"/>
        <sz val="9.0"/>
      </rPr>
      <t>15</t>
    </r>
    <r>
      <rPr>
        <rFont val="Noto Sans CJK SC"/>
        <color rgb="FF000000"/>
        <sz val="9.0"/>
      </rPr>
      <t>日アラート報告（</t>
    </r>
    <r>
      <rPr>
        <rFont val="Arial"/>
        <color rgb="FF000000"/>
        <sz val="9.0"/>
      </rPr>
      <t>21 CFR 600.80</t>
    </r>
    <r>
      <rPr>
        <rFont val="Noto Sans CJK SC"/>
        <color rgb="FF000000"/>
        <sz val="9.0"/>
      </rPr>
      <t>）</t>
    </r>
  </si>
  <si>
    <t>安全性報告</t>
  </si>
  <si>
    <t>安全性／FDA（FAERS）</t>
  </si>
  <si>
    <t>09-01-03</t>
  </si>
  <si>
    <t>定期報告（承認後3年間は四半期、以後年次）</t>
  </si>
  <si>
    <t>有害事象症例、安全性シグナル評価</t>
  </si>
  <si>
    <t>安全性／FDA</t>
  </si>
  <si>
    <t>09-01-04</t>
  </si>
  <si>
    <t>有害事象症例、患者レジストリデータ</t>
  </si>
  <si>
    <t>安全性シグナル評価</t>
  </si>
  <si>
    <t>安全性／—</t>
  </si>
  <si>
    <t>09-01-05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</si>
  <si>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の運用・評価（課されている場合）</t>
    </r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</si>
  <si>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、有害事象症例</t>
    </r>
  </si>
  <si>
    <t>REMS</t>
  </si>
  <si>
    <t>安全性・薬事／FDA、医療機関</t>
  </si>
  <si>
    <t>09-02</t>
  </si>
  <si>
    <t>市販後要求・コミットメント（PMR／PMC）</t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</si>
  <si>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の試験とレジストリによる長期追跡を実施し、進捗を報告する</t>
    </r>
  </si>
  <si>
    <t>09-02-01</t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</si>
  <si>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試験の計画・実施</t>
    </r>
  </si>
  <si>
    <t>治験実施計画書、症例データ、臨床試験</t>
  </si>
  <si>
    <t>臨床開発／CRO、実施医療機関</t>
  </si>
  <si>
    <t>09-02-02</t>
  </si>
  <si>
    <t>検証的試験の完了（迅速承認の場合）</t>
  </si>
  <si>
    <t>市販後要求・コミットメント（PMR／PMC）、治験実施計画書</t>
  </si>
  <si>
    <t>総括報告書（CSR）、申請資料</t>
  </si>
  <si>
    <r>
      <rPr>
        <rFont val="Arial"/>
        <color rgb="FF000000"/>
        <sz val="9.0"/>
      </rPr>
      <t>GCP</t>
    </r>
    <r>
      <rPr>
        <rFont val="Noto Sans CJK SC"/>
        <color rgb="FF000000"/>
        <sz val="9.0"/>
      </rPr>
      <t>・薬事</t>
    </r>
  </si>
  <si>
    <t>臨床開発・薬事／FDA、CRO</t>
  </si>
  <si>
    <t>09-02-03</t>
  </si>
  <si>
    <t>★患者レジストリによる長期追跡</t>
  </si>
  <si>
    <t>患者レジストリデータ</t>
  </si>
  <si>
    <t>メディカル・安全性／患者団体、レジストリ運営者</t>
  </si>
  <si>
    <t>09-02-04</t>
  </si>
  <si>
    <t>年次状況報告</t>
  </si>
  <si>
    <t>当局年次報告</t>
  </si>
  <si>
    <t>09-03</t>
  </si>
  <si>
    <t>ライフサイクル管理</t>
  </si>
  <si>
    <t>適応・剤形の追加、製法変更、独占期間・価格政策への対応により、製品価値を最大化する</t>
  </si>
  <si>
    <t>09-03-01</t>
  </si>
  <si>
    <t>適応追加（sBLA）</t>
  </si>
  <si>
    <t>申請資料、承認・許可、表示（USPI）、適応症</t>
  </si>
  <si>
    <t>薬事・臨床開発／FDA</t>
  </si>
  <si>
    <t>09-03-02</t>
  </si>
  <si>
    <t>剤形・投与経路の追加（皮下注化等）</t>
  </si>
  <si>
    <t>処方・製剤仕様、総括報告書（CSR）</t>
  </si>
  <si>
    <t>申請資料、承認・許可</t>
  </si>
  <si>
    <t>薬事・CMC／FDA</t>
  </si>
  <si>
    <t>09-03-03</t>
  </si>
  <si>
    <t>製法変更・製造所追加（601.12の報告区分・同等性評価）</t>
  </si>
  <si>
    <t>変更管理記録、年次製品照査（APR）、CMC技術報告書</t>
  </si>
  <si>
    <r>
      <rPr>
        <rFont val="Arial"/>
        <color rgb="FF000000"/>
        <sz val="9.0"/>
      </rPr>
      <t>GMP</t>
    </r>
    <r>
      <rPr>
        <rFont val="Noto Sans CJK SC"/>
        <color rgb="FF000000"/>
        <sz val="9.0"/>
      </rPr>
      <t>・薬事</t>
    </r>
  </si>
  <si>
    <r>
      <rPr>
        <rFont val="Arial"/>
        <color rgb="FF000000"/>
        <sz val="9.0"/>
      </rPr>
      <t>CMC</t>
    </r>
    <r>
      <rPr>
        <rFont val="Noto Sans CJK SC"/>
        <color rgb="FF000000"/>
        <sz val="9.0"/>
      </rPr>
      <t>薬事・</t>
    </r>
    <r>
      <rPr>
        <rFont val="Arial"/>
        <color rgb="FF000000"/>
        <sz val="9.0"/>
      </rPr>
      <t>QA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、</t>
    </r>
    <r>
      <rPr>
        <rFont val="Arial"/>
        <color rgb="FF000000"/>
        <sz val="9.0"/>
      </rPr>
      <t>CDMO</t>
    </r>
  </si>
  <si>
    <t>09-03-04</t>
  </si>
  <si>
    <t>★独占期間の管理（Orphan 7年・生物製剤12年）・特許とバイオシミラーへの対応</t>
  </si>
  <si>
    <t>特許・独占期間、指定・インセンティブ、承認・許可</t>
  </si>
  <si>
    <t>知財・法務・薬事／USPTO、FDA（Purple Book）</t>
  </si>
  <si>
    <t>09-03-05</t>
  </si>
  <si>
    <r>
      <rPr>
        <rFont val="Arial"/>
        <color rgb="FF000000"/>
        <sz val="9.0"/>
      </rPr>
      <t>★Medicare</t>
    </r>
    <r>
      <rPr>
        <rFont val="Noto Sans CJK SC"/>
        <color rgb="FF000000"/>
        <sz val="9.0"/>
      </rPr>
      <t>価格交渉の除外要件の管理（希少疾病のみの適応の場合、</t>
    </r>
    <r>
      <rPr>
        <rFont val="Arial"/>
        <color rgb="FF000000"/>
        <sz val="9.0"/>
      </rPr>
      <t>IRA</t>
    </r>
    <r>
      <rPr>
        <rFont val="Noto Sans CJK SC"/>
        <color rgb="FF000000"/>
        <sz val="9.0"/>
      </rPr>
      <t>）</t>
    </r>
  </si>
  <si>
    <t>指定・インセンティブ、承認・許可、政府価格報告、適応症</t>
  </si>
  <si>
    <r>
      <rPr>
        <rFont val="Arial"/>
        <color rgb="FF000000"/>
        <sz val="9.0"/>
      </rPr>
      <t>Medicare</t>
    </r>
    <r>
      <rPr>
        <rFont val="Noto Sans CJK SC"/>
        <color rgb="FF000000"/>
        <sz val="9.0"/>
      </rPr>
      <t>価格交渉対象判定</t>
    </r>
  </si>
  <si>
    <t>市場アクセス・薬事・法務／CMS</t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</si>
  <si>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バッチの製造（複数ロット）</t>
    </r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</si>
  <si>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バッチの製造（複数ロット）</t>
    </r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</si>
  <si>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バッチの製造（複数ロット）</t>
    </r>
  </si>
  <si>
    <r>
      <rPr>
        <rFont val="Arial"/>
        <color rgb="FF000000"/>
        <sz val="9.0"/>
      </rPr>
      <t>PPQ</t>
    </r>
    <r>
      <rPr>
        <rFont val="Noto Sans CJK SC"/>
        <color rgb="FF000000"/>
        <sz val="9.0"/>
      </rPr>
      <t>バッチの製造（複数ロット）</t>
    </r>
  </si>
  <si>
    <r>
      <rPr>
        <rFont val="Arial"/>
        <color rgb="FF000000"/>
        <sz val="9.0"/>
      </rPr>
      <t>ClinicalTrials.gov</t>
    </r>
    <r>
      <rPr>
        <rFont val="Noto Sans CJK SC"/>
        <color rgb="FF000000"/>
        <sz val="9.0"/>
      </rPr>
      <t>への登録</t>
    </r>
  </si>
  <si>
    <r>
      <rPr>
        <rFont val="Arial"/>
        <color rgb="FF000000"/>
        <sz val="9.0"/>
      </rPr>
      <t>★PK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・バイオマーカーの評価</t>
    </r>
  </si>
  <si>
    <r>
      <rPr>
        <rFont val="Arial"/>
        <color rgb="FF000000"/>
        <sz val="9.0"/>
      </rPr>
      <t>★PK</t>
    </r>
    <r>
      <rPr>
        <rFont val="Noto Sans CJK SC"/>
        <color rgb="FF000000"/>
        <sz val="9.0"/>
      </rPr>
      <t>・</t>
    </r>
    <r>
      <rPr>
        <rFont val="Arial"/>
        <color rgb="FF000000"/>
        <sz val="9.0"/>
      </rPr>
      <t>ADA</t>
    </r>
    <r>
      <rPr>
        <rFont val="Noto Sans CJK SC"/>
        <color rgb="FF000000"/>
        <sz val="9.0"/>
      </rPr>
      <t>・バイオマーカーの評価</t>
    </r>
  </si>
  <si>
    <r>
      <rPr>
        <rFont val="Arial"/>
        <color rgb="FF000000"/>
        <sz val="9.0"/>
      </rPr>
      <t>★End-of-Phase 2</t>
    </r>
    <r>
      <rPr>
        <rFont val="Noto Sans CJK SC"/>
        <color rgb="FF000000"/>
        <sz val="9.0"/>
      </rPr>
      <t>ミーティング（ピボタル試験デザイン・エビデンス要件の合意）</t>
    </r>
  </si>
  <si>
    <r>
      <rPr>
        <rFont val="Arial"/>
        <color rgb="FF000000"/>
        <sz val="9.0"/>
      </rPr>
      <t>★End-of-Phase 2</t>
    </r>
    <r>
      <rPr>
        <rFont val="Noto Sans CJK SC"/>
        <color rgb="FF000000"/>
        <sz val="9.0"/>
      </rPr>
      <t>ミーティング（ピボタル試験デザイン・エビデンス要件の合意）</t>
    </r>
  </si>
  <si>
    <r>
      <rPr>
        <rFont val="Arial"/>
        <color rgb="FF000000"/>
        <sz val="9.0"/>
      </rPr>
      <t>★End-of-Phase 2</t>
    </r>
    <r>
      <rPr>
        <rFont val="Noto Sans CJK SC"/>
        <color rgb="FF000000"/>
        <sz val="9.0"/>
      </rPr>
      <t>ミーティング（ピボタル試験デザイン・エビデンス要件の合意）</t>
    </r>
  </si>
  <si>
    <t>バリューストリーム×ケイパビリティマップ（行：バリューストリームL3 × 列：ケイパビリティL2）</t>
  </si>
  <si>
    <t>●＝主（配下のL4×L3の関係に「主」が1つ以上）　○＝支援のみ　空欄＝関係なし。各セルは「VS×ケイパビリティ関係」シートから数式で集計（直接入力しない）。</t>
  </si>
  <si>
    <t>VS L2</t>
  </si>
  <si>
    <t>L3 ID</t>
  </si>
  <si>
    <t>VS L3</t>
  </si>
  <si>
    <r>
      <rPr>
        <rFont val="Arial"/>
        <b/>
        <color rgb="FFFFFFFF"/>
        <sz val="10.0"/>
      </rPr>
      <t xml:space="preserve">C01 </t>
    </r>
    <r>
      <rPr>
        <rFont val="Noto Sans CJK SC"/>
        <b/>
        <color rgb="FFFFFFFF"/>
        <sz val="10.0"/>
      </rPr>
      <t>戦略・ガバナンス</t>
    </r>
  </si>
  <si>
    <r>
      <rPr>
        <rFont val="Arial"/>
        <b/>
        <color rgb="FFFFFFFF"/>
        <sz val="10.0"/>
      </rPr>
      <t xml:space="preserve">C02 </t>
    </r>
    <r>
      <rPr>
        <rFont val="Noto Sans CJK SC"/>
        <b/>
        <color rgb="FFFFFFFF"/>
        <sz val="10.0"/>
      </rPr>
      <t>研究（創薬）</t>
    </r>
  </si>
  <si>
    <r>
      <rPr>
        <rFont val="Arial"/>
        <b/>
        <color rgb="FFFFFFFF"/>
        <sz val="10.0"/>
      </rPr>
      <t xml:space="preserve">C03 </t>
    </r>
    <r>
      <rPr>
        <rFont val="Noto Sans CJK SC"/>
        <b/>
        <color rgb="FFFFFFFF"/>
        <sz val="10.0"/>
      </rPr>
      <t>非臨床・臨床薬理</t>
    </r>
  </si>
  <si>
    <r>
      <rPr>
        <rFont val="Arial"/>
        <b/>
        <color rgb="FFFFFFFF"/>
        <sz val="10.0"/>
      </rPr>
      <t>C04 CMC</t>
    </r>
    <r>
      <rPr>
        <rFont val="Noto Sans CJK SC"/>
        <b/>
        <color rgb="FFFFFFFF"/>
        <sz val="10.0"/>
      </rPr>
      <t>開発</t>
    </r>
  </si>
  <si>
    <r>
      <rPr>
        <rFont val="Arial"/>
        <b/>
        <color rgb="FFFFFFFF"/>
        <sz val="10.0"/>
      </rPr>
      <t xml:space="preserve">C05 </t>
    </r>
    <r>
      <rPr>
        <rFont val="Noto Sans CJK SC"/>
        <b/>
        <color rgb="FFFFFFFF"/>
        <sz val="10.0"/>
      </rPr>
      <t>臨床開発</t>
    </r>
  </si>
  <si>
    <r>
      <rPr>
        <rFont val="Arial"/>
        <b/>
        <color rgb="FFFFFFFF"/>
        <sz val="10.0"/>
      </rPr>
      <t xml:space="preserve">C06 </t>
    </r>
    <r>
      <rPr>
        <rFont val="Noto Sans CJK SC"/>
        <b/>
        <color rgb="FFFFFFFF"/>
        <sz val="10.0"/>
      </rPr>
      <t>薬事</t>
    </r>
  </si>
  <si>
    <r>
      <rPr>
        <rFont val="Arial"/>
        <b/>
        <color rgb="FFFFFFFF"/>
        <sz val="10.0"/>
      </rPr>
      <t xml:space="preserve">C07 </t>
    </r>
    <r>
      <rPr>
        <rFont val="Noto Sans CJK SC"/>
        <b/>
        <color rgb="FFFFFFFF"/>
        <sz val="10.0"/>
      </rPr>
      <t>製造</t>
    </r>
  </si>
  <si>
    <r>
      <rPr>
        <rFont val="Arial"/>
        <b/>
        <color rgb="FFFFFFFF"/>
        <sz val="10.0"/>
      </rPr>
      <t xml:space="preserve">C08 </t>
    </r>
    <r>
      <rPr>
        <rFont val="Noto Sans CJK SC"/>
        <b/>
        <color rgb="FFFFFFFF"/>
        <sz val="10.0"/>
      </rPr>
      <t>品質</t>
    </r>
  </si>
  <si>
    <r>
      <rPr>
        <rFont val="Arial"/>
        <b/>
        <color rgb="FFFFFFFF"/>
        <sz val="10.0"/>
      </rPr>
      <t xml:space="preserve">C09 </t>
    </r>
    <r>
      <rPr>
        <rFont val="Noto Sans CJK SC"/>
        <b/>
        <color rgb="FFFFFFFF"/>
        <sz val="10.0"/>
      </rPr>
      <t>ファーマコビジランス（安全性）</t>
    </r>
  </si>
  <si>
    <r>
      <rPr>
        <rFont val="Arial"/>
        <b/>
        <color rgb="FFFFFFFF"/>
        <sz val="10.0"/>
      </rPr>
      <t xml:space="preserve">C10 </t>
    </r>
    <r>
      <rPr>
        <rFont val="Noto Sans CJK SC"/>
        <b/>
        <color rgb="FFFFFFFF"/>
        <sz val="10.0"/>
      </rPr>
      <t>メディカル・患者エンゲージメント</t>
    </r>
  </si>
  <si>
    <r>
      <rPr>
        <rFont val="Arial"/>
        <b/>
        <color rgb="FFFFFFFF"/>
        <sz val="10.0"/>
      </rPr>
      <t xml:space="preserve">C11 </t>
    </r>
    <r>
      <rPr>
        <rFont val="Noto Sans CJK SC"/>
        <b/>
        <color rgb="FFFFFFFF"/>
        <sz val="10.0"/>
      </rPr>
      <t>市場アクセス・商業</t>
    </r>
  </si>
  <si>
    <r>
      <rPr>
        <rFont val="Arial"/>
        <b/>
        <color rgb="FFFFFFFF"/>
        <sz val="10.0"/>
      </rPr>
      <t xml:space="preserve">C12 </t>
    </r>
    <r>
      <rPr>
        <rFont val="Noto Sans CJK SC"/>
        <b/>
        <color rgb="FFFFFFFF"/>
        <sz val="10.0"/>
      </rPr>
      <t>サプライチェーン</t>
    </r>
  </si>
  <si>
    <r>
      <rPr>
        <rFont val="Arial"/>
        <b/>
        <color rgb="FFFFFFFF"/>
        <sz val="10.0"/>
      </rPr>
      <t xml:space="preserve">C13 </t>
    </r>
    <r>
      <rPr>
        <rFont val="Noto Sans CJK SC"/>
        <b/>
        <color rgb="FFFFFFFF"/>
        <sz val="10.0"/>
      </rPr>
      <t>共通基盤</t>
    </r>
  </si>
  <si>
    <t>●の数</t>
  </si>
  <si>
    <t>○の数</t>
  </si>
  <si>
    <r>
      <rPr>
        <rFont val="Arial"/>
        <b/>
        <color rgb="FFFFFFFF"/>
        <sz val="10.0"/>
      </rPr>
      <t>GxP</t>
    </r>
    <r>
      <rPr>
        <rFont val="Noto Sans CJK SC"/>
        <b/>
        <color rgb="FFFFFFFF"/>
        <sz val="10.0"/>
      </rPr>
      <t>文書・記録管理</t>
    </r>
  </si>
  <si>
    <r>
      <rPr>
        <rFont val="Arial"/>
        <b/>
        <color rgb="FFFFFFFF"/>
        <sz val="10.0"/>
      </rPr>
      <t>GxP</t>
    </r>
    <r>
      <rPr>
        <rFont val="Noto Sans CJK SC"/>
        <b/>
        <color rgb="FFFFFFFF"/>
        <sz val="10.0"/>
      </rPr>
      <t>教育・資格管理</t>
    </r>
  </si>
  <si>
    <r>
      <rPr>
        <rFont val="Arial"/>
        <color rgb="FF000000"/>
        <sz val="9.0"/>
      </rPr>
      <t>Pre-BLA</t>
    </r>
    <r>
      <rPr>
        <rFont val="Noto Sans CJK SC"/>
        <color rgb="FF000000"/>
        <sz val="9.0"/>
      </rPr>
      <t>ミーティング（</t>
    </r>
    <r>
      <rPr>
        <rFont val="Arial"/>
        <color rgb="FF000000"/>
        <sz val="9.0"/>
      </rPr>
      <t>FDA</t>
    </r>
    <r>
      <rPr>
        <rFont val="Noto Sans CJK SC"/>
        <color rgb="FF000000"/>
        <sz val="9.0"/>
      </rPr>
      <t>）</t>
    </r>
  </si>
  <si>
    <r>
      <rPr>
        <rFont val="Arial"/>
        <b/>
        <color rgb="FF000000"/>
        <sz val="9.0"/>
      </rPr>
      <t xml:space="preserve">01 </t>
    </r>
    <r>
      <rPr>
        <rFont val="Noto Sans CJK SC"/>
        <b/>
        <color rgb="FF000000"/>
        <sz val="9.0"/>
      </rPr>
      <t>創薬研究</t>
    </r>
  </si>
  <si>
    <t>情報オブジェクト（正本：用語集と分類）</t>
  </si>
  <si>
    <t>1行1オブジェクト。業務上ひとまとまりで管理される情報の単位（状態の違いは属性として扱う）。名称・分類・オーナーはこのシートで編集する。灰色の列は数式（編集しない）。分類の定義は解説書5章。</t>
  </si>
  <si>
    <t>領域</t>
  </si>
  <si>
    <t>情報オブジェクト</t>
  </si>
  <si>
    <t>英語名</t>
  </si>
  <si>
    <t>説明</t>
  </si>
  <si>
    <t>データ種別</t>
  </si>
  <si>
    <t>規制区分</t>
  </si>
  <si>
    <t>電子記録の規制対象</t>
  </si>
  <si>
    <t>個人情報</t>
  </si>
  <si>
    <t>オーナー
ケイパビリティL2 ID</t>
  </si>
  <si>
    <t>オーナー
ケイパビリティL2</t>
  </si>
  <si>
    <t>作成する
ケイパビリティL2の数</t>
  </si>
  <si>
    <t>利用する
ケイパビリティL2の数</t>
  </si>
  <si>
    <t>COM-01</t>
  </si>
  <si>
    <t>共通・マスタ</t>
  </si>
  <si>
    <t>製品マスタ</t>
  </si>
  <si>
    <t>Product Master</t>
  </si>
  <si>
    <t>開発コードから、承認後の製品名・NDC・GTINまでを一貫して管理する製品の基本情報</t>
  </si>
  <si>
    <t>マスタ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</si>
  <si>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・市販後要求（</t>
    </r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）の合意</t>
    </r>
  </si>
  <si>
    <t>なし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</si>
  <si>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・市販後要求（</t>
    </r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）の合意</t>
    </r>
  </si>
  <si>
    <t>COM-02</t>
  </si>
  <si>
    <t>開発判定記録</t>
  </si>
  <si>
    <t>Governance Decision</t>
  </si>
  <si>
    <t>DC決定・Go/No-Goなど、段階移行の判断とその根拠資料</t>
  </si>
  <si>
    <t>トランザクション</t>
  </si>
  <si>
    <t>ケイパビリティ×情報オブジェクト（正本：行＝ケイパビリティL2 × 列＝情報オブジェクト）</t>
  </si>
  <si>
    <t>C＝作成・更新（その能力の中で生み出す／維持する情報。オーナーのL2は必ずC）　R＝利用（その能力が入力として参照する情報）　空欄＝関係なし</t>
  </si>
  <si>
    <t>COM-03</t>
  </si>
  <si>
    <t>IP &amp; Exclusivity</t>
  </si>
  <si>
    <t>物質特許・FTO調査、Orphan 7年／生物製剤12年の独占期間</t>
  </si>
  <si>
    <t>研究</t>
  </si>
  <si>
    <t>COM-04</t>
  </si>
  <si>
    <t>Partner &amp; Site Master</t>
  </si>
  <si>
    <t>CRO・CDMO・受託試験機関・実施医療機関・流通業者など外部組織の基本情報</t>
  </si>
  <si>
    <t>非臨床</t>
  </si>
  <si>
    <t>CMC開発</t>
  </si>
  <si>
    <t>製造・品質</t>
  </si>
  <si>
    <t>臨床</t>
  </si>
  <si>
    <t>COM-05</t>
  </si>
  <si>
    <t>契約</t>
  </si>
  <si>
    <t>Contract</t>
  </si>
  <si>
    <t>CRO・CDMO・実施医療機関・流通業者・ハブ事業者などとの契約</t>
  </si>
  <si>
    <t>GCP・GMP</t>
  </si>
  <si>
    <t>安全性</t>
  </si>
  <si>
    <t>COM-06</t>
  </si>
  <si>
    <t>適応症</t>
  </si>
  <si>
    <t>Indication</t>
  </si>
  <si>
    <t>製品が対象とする疾患・適応。Orphan指定・臨床試験・承認・表示が共通して参照する単位</t>
  </si>
  <si>
    <t>供給・流通</t>
  </si>
  <si>
    <t>Cの数</t>
  </si>
  <si>
    <t>Rの数</t>
  </si>
  <si>
    <t>RES-01</t>
  </si>
  <si>
    <t>Disease Knowledge</t>
  </si>
  <si>
    <t>病態・アンメットニーズ・患者の声（患者団体・専門医から得た知見を含む）</t>
  </si>
  <si>
    <t>分析・評価</t>
  </si>
  <si>
    <t>RES-02</t>
  </si>
  <si>
    <t>遺伝子・オミクスデータ</t>
  </si>
  <si>
    <t>Genomic &amp; Omics Data</t>
  </si>
  <si>
    <t>患者ゲノム・検体由来のデータ、原因遺伝子の解析結果</t>
  </si>
  <si>
    <t>測定データ</t>
  </si>
  <si>
    <t>患者（仮名化）</t>
  </si>
  <si>
    <t>RES-03</t>
  </si>
  <si>
    <t>Target</t>
  </si>
  <si>
    <t>標的分子。仮説・検証状況・モダリティ適合性・選定結果を属性に持つ</t>
  </si>
  <si>
    <t>RES-04</t>
  </si>
  <si>
    <t>Antigen &amp; Reagent</t>
  </si>
  <si>
    <t>抗体取得・評価に用いる抗原タンパク・細胞・試薬</t>
  </si>
  <si>
    <t>RES-05</t>
  </si>
  <si>
    <t>アッセイ（評価系）</t>
  </si>
  <si>
    <t>Assay</t>
  </si>
  <si>
    <t>結合性・機能・開発適性などの評価方法</t>
  </si>
  <si>
    <t>定義・仕様</t>
  </si>
  <si>
    <t>RES-06</t>
  </si>
  <si>
    <t>Antibody Molecule</t>
  </si>
  <si>
    <t>配列・クローン。ヒット→リード→最適化→候補品と状態が遷移する中心エンティティ</t>
  </si>
  <si>
    <t>RES-07</t>
  </si>
  <si>
    <t>Research Assay Result</t>
  </si>
  <si>
    <t>標的検証・スクリーニング・機能評価・開発適性評価の結果</t>
  </si>
  <si>
    <t>RES-08</t>
  </si>
  <si>
    <t>Disease Model</t>
  </si>
  <si>
    <t>遺伝子改変動物・患者由来細胞など</t>
  </si>
  <si>
    <t>RES-09</t>
  </si>
  <si>
    <t>in vivo薬効データ</t>
  </si>
  <si>
    <t>In Vivo Efficacy Data</t>
  </si>
  <si>
    <t>疾患モデルでの薬効評価結果</t>
  </si>
  <si>
    <r>
      <rPr>
        <rFont val="Arial"/>
        <color rgb="FF000000"/>
        <sz val="9.0"/>
      </rPr>
      <t>HCPCS</t>
    </r>
    <r>
      <rPr>
        <rFont val="Noto Sans CJK SC"/>
        <color rgb="FF000000"/>
        <sz val="9.0"/>
      </rPr>
      <t>コードの申請（医師投与型の場合）</t>
    </r>
  </si>
  <si>
    <t>RES-10</t>
  </si>
  <si>
    <t>Immunogenicity Risk Assessment</t>
  </si>
  <si>
    <t>in silico／in vitroでの免疫原性予測</t>
  </si>
  <si>
    <t>RES-11</t>
  </si>
  <si>
    <t>目標製品プロファイル（TPP）</t>
  </si>
  <si>
    <t>Target Product Profile</t>
  </si>
  <si>
    <t>目指す適応・用法・有効性・安全性・剤形</t>
  </si>
  <si>
    <t>RES-12</t>
  </si>
  <si>
    <t>Epidemiology Data</t>
  </si>
  <si>
    <t>米国の患者数（20万人未満の根拠）・有病率</t>
  </si>
  <si>
    <t>NCL-01</t>
  </si>
  <si>
    <t>Nonclinical Study Plan</t>
  </si>
  <si>
    <t>試験計画書（GLP試験を含む）</t>
  </si>
  <si>
    <t>文書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</si>
  <si>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・営業担当の教育</t>
    </r>
  </si>
  <si>
    <t>NCL-02</t>
  </si>
  <si>
    <t>Nonclinical Study Data</t>
  </si>
  <si>
    <t>薬理・PK・毒性試験の生データと結果</t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</si>
  <si>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・営業担当の教育</t>
    </r>
  </si>
  <si>
    <r>
      <rPr>
        <rFont val="Arial"/>
        <color rgb="FF000000"/>
        <sz val="9.0"/>
      </rPr>
      <t>MSL</t>
    </r>
    <r>
      <rPr>
        <rFont val="Noto Sans CJK SC"/>
        <color rgb="FF000000"/>
        <sz val="9.0"/>
      </rPr>
      <t>・営業担当の教育</t>
    </r>
  </si>
  <si>
    <t>NCL-03</t>
  </si>
  <si>
    <t>Nonclinical Study Report</t>
  </si>
  <si>
    <t>MoA・動物種選定根拠を含む試験報告書</t>
  </si>
  <si>
    <t>NCL-04</t>
  </si>
  <si>
    <t>Bioanalytical Method</t>
  </si>
  <si>
    <t>PK/TK・ADAの測定法（リガンド結合法）。臨床でも使用</t>
  </si>
  <si>
    <t>GLP・GCP</t>
  </si>
  <si>
    <t>CMC-01</t>
  </si>
  <si>
    <t>Vector &amp; Cell Line</t>
  </si>
  <si>
    <t>発現ベクター、候補クローン、生産細胞株と由来記録</t>
  </si>
  <si>
    <t>CMC-02</t>
  </si>
  <si>
    <t>Cell Bank</t>
  </si>
  <si>
    <t>MCB／WCB。在庫・使用履歴を含む</t>
  </si>
  <si>
    <t>CMC-03</t>
  </si>
  <si>
    <t>Process Definition</t>
  </si>
  <si>
    <t>培養・精製工程、工程パラメータと許容範囲、製造規模</t>
  </si>
  <si>
    <t>CMC-04</t>
  </si>
  <si>
    <t>プロセス開発データ</t>
  </si>
  <si>
    <t>Process Development Data</t>
  </si>
  <si>
    <t>開発ラン・実験計画法（DoE）の結果</t>
  </si>
  <si>
    <t>CMC-05</t>
  </si>
  <si>
    <t>Formulation &amp; Presentation</t>
  </si>
  <si>
    <t>処方、剤形・容器、投与デバイスの仕様</t>
  </si>
  <si>
    <t>GMP・QMSR</t>
  </si>
  <si>
    <t>C01 戦略・ガバナンス</t>
  </si>
  <si>
    <t>CMC-06</t>
  </si>
  <si>
    <t>Critical Quality Attribute</t>
  </si>
  <si>
    <t>品質に影響する特性とそのリスク評価</t>
  </si>
  <si>
    <t>CMC-07</t>
  </si>
  <si>
    <t>Analytical Method</t>
  </si>
  <si>
    <t>構造・純度・糖鎖・電荷・生物活性の試験法とバリデーション状態</t>
  </si>
  <si>
    <t>C</t>
  </si>
  <si>
    <t>R</t>
  </si>
  <si>
    <t>CMC-08</t>
  </si>
  <si>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・流通業者での保管</t>
    </r>
  </si>
  <si>
    <t>Reference Standard</t>
  </si>
  <si>
    <t>試験の基準となる物質とその特性</t>
  </si>
  <si>
    <r>
      <rPr>
        <rFont val="Arial"/>
        <color rgb="FF000000"/>
        <sz val="9.0"/>
      </rPr>
      <t>3PL</t>
    </r>
    <r>
      <rPr>
        <rFont val="Noto Sans CJK SC"/>
        <color rgb="FF000000"/>
        <sz val="9.0"/>
      </rPr>
      <t>・流通業者での保管</t>
    </r>
  </si>
  <si>
    <t>CMC-09</t>
  </si>
  <si>
    <t>Specification</t>
  </si>
  <si>
    <t>原薬・製剤の規格項目と判定基準</t>
  </si>
  <si>
    <r>
      <rPr>
        <rFont val="Arial"/>
        <color rgb="FF000000"/>
        <sz val="9.0"/>
      </rPr>
      <t>DSCSA</t>
    </r>
    <r>
      <rPr>
        <rFont val="Noto Sans CJK SC"/>
        <color rgb="FF000000"/>
        <sz val="9.0"/>
      </rPr>
      <t>対応（製品識別子・取引情報の電子的な交換）</t>
    </r>
  </si>
  <si>
    <r>
      <rPr>
        <rFont val="Arial"/>
        <color rgb="FF000000"/>
        <sz val="9.0"/>
      </rPr>
      <t>DSCSA</t>
    </r>
    <r>
      <rPr>
        <rFont val="Noto Sans CJK SC"/>
        <color rgb="FF000000"/>
        <sz val="9.0"/>
      </rPr>
      <t>対応（製品識別子・取引情報の電子的な交換）</t>
    </r>
  </si>
  <si>
    <t>CMC-10</t>
  </si>
  <si>
    <t>Control Strategy</t>
  </si>
  <si>
    <t>CQAを保証するための工程管理・試験の組合せ</t>
  </si>
  <si>
    <t>CMC-11</t>
  </si>
  <si>
    <t>Stability Data</t>
  </si>
  <si>
    <t>安定性試験の計画と結果（開発・治験薬・商用）</t>
  </si>
  <si>
    <t>CMC-12</t>
  </si>
  <si>
    <t>CMC技術報告書</t>
  </si>
  <si>
    <t>CMC Technical Report</t>
  </si>
  <si>
    <t>セルバンク試験・ウイルスクリアランス・分析法バリデーション・同等性評価・技術移転などの報告書</t>
  </si>
  <si>
    <t>CMC-13</t>
  </si>
  <si>
    <t>マスターバッチレコード</t>
  </si>
  <si>
    <t>Master Batch Record</t>
  </si>
  <si>
    <t>製造所で使う製造指図の原本</t>
  </si>
  <si>
    <r>
      <rPr>
        <rFont val="Arial"/>
        <color rgb="FF000000"/>
        <sz val="9.0"/>
      </rPr>
      <t>15</t>
    </r>
    <r>
      <rPr>
        <rFont val="Noto Sans CJK SC"/>
        <color rgb="FF000000"/>
        <sz val="9.0"/>
      </rPr>
      <t>日アラート報告（</t>
    </r>
    <r>
      <rPr>
        <rFont val="Arial"/>
        <color rgb="FF000000"/>
        <sz val="9.0"/>
      </rPr>
      <t>21 CFR 600.80</t>
    </r>
    <r>
      <rPr>
        <rFont val="Noto Sans CJK SC"/>
        <color rgb="FF000000"/>
        <sz val="9.0"/>
      </rPr>
      <t>）</t>
    </r>
  </si>
  <si>
    <r>
      <rPr>
        <rFont val="Arial"/>
        <color rgb="FF000000"/>
        <sz val="9.0"/>
      </rPr>
      <t>15</t>
    </r>
    <r>
      <rPr>
        <rFont val="Noto Sans CJK SC"/>
        <color rgb="FF000000"/>
        <sz val="9.0"/>
      </rPr>
      <t>日アラート報告（</t>
    </r>
    <r>
      <rPr>
        <rFont val="Arial"/>
        <color rgb="FF000000"/>
        <sz val="9.0"/>
      </rPr>
      <t>21 CFR 600.80</t>
    </r>
    <r>
      <rPr>
        <rFont val="Noto Sans CJK SC"/>
        <color rgb="FF000000"/>
        <sz val="9.0"/>
      </rPr>
      <t>）</t>
    </r>
  </si>
  <si>
    <t>MFG-01</t>
  </si>
  <si>
    <t>Production Plan</t>
  </si>
  <si>
    <t>原薬・製剤の生産スケジュール</t>
  </si>
  <si>
    <t>MFG-02</t>
  </si>
  <si>
    <t>原材料・資材</t>
  </si>
  <si>
    <t>Material</t>
  </si>
  <si>
    <t>培地・レジン・容器などの原材料・資材とそのロット</t>
  </si>
  <si>
    <r>
      <rPr>
        <rFont val="Arial"/>
        <color rgb="FF000000"/>
        <sz val="9.0"/>
      </rPr>
      <t>REMS</t>
    </r>
    <r>
      <rPr>
        <rFont val="Noto Sans CJK SC"/>
        <color rgb="FF000000"/>
        <sz val="9.0"/>
      </rPr>
      <t>の運用・評価（課されている場合）</t>
    </r>
  </si>
  <si>
    <t>MFG-03</t>
  </si>
  <si>
    <t>Executed Batch Record</t>
  </si>
  <si>
    <t>実行された製造記録（培養・精製・充填・包装）</t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</si>
  <si>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試験の計画・実施</t>
    </r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</si>
  <si>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試験の計画・実施</t>
    </r>
  </si>
  <si>
    <t>MFG-04</t>
  </si>
  <si>
    <t>Lot</t>
  </si>
  <si>
    <t>原薬・製剤・製品のロットと系譜（治験薬・PPQロットを含む）</t>
  </si>
  <si>
    <r>
      <rPr>
        <rFont val="Arial"/>
        <color rgb="FF000000"/>
        <sz val="9.0"/>
      </rPr>
      <t>PMR</t>
    </r>
    <r>
      <rPr>
        <rFont val="Noto Sans CJK SC"/>
        <color rgb="FF000000"/>
        <sz val="9.0"/>
      </rPr>
      <t>／</t>
    </r>
    <r>
      <rPr>
        <rFont val="Arial"/>
        <color rgb="FF000000"/>
        <sz val="9.0"/>
      </rPr>
      <t>PMC</t>
    </r>
    <r>
      <rPr>
        <rFont val="Noto Sans CJK SC"/>
        <color rgb="FF000000"/>
        <sz val="9.0"/>
      </rPr>
      <t>試験の計画・実施</t>
    </r>
  </si>
  <si>
    <t>MFG-05</t>
  </si>
  <si>
    <t>工程データ</t>
  </si>
  <si>
    <t>Process Data</t>
  </si>
  <si>
    <t>バイオリアクター等の運転・監視データ</t>
  </si>
  <si>
    <t>MFG-06</t>
  </si>
  <si>
    <t>QC Test Result</t>
  </si>
  <si>
    <t>工程内試験・規格試験の結果、試験成績書（CoA）</t>
  </si>
  <si>
    <t>MFG-07</t>
  </si>
  <si>
    <t>逸脱・CAPA</t>
  </si>
  <si>
    <t>Deviation &amp; CAPA</t>
  </si>
  <si>
    <t>逸脱、原因調査、是正・予防措置（温度逸脱を含む）</t>
  </si>
  <si>
    <t>MFG-08</t>
  </si>
  <si>
    <t>変更管理記録</t>
  </si>
  <si>
    <t>Change Control</t>
  </si>
  <si>
    <t>変更の評価と、21 CFR 601.12の報告区分の判定</t>
  </si>
  <si>
    <t>MFG-09</t>
  </si>
  <si>
    <t>Lot Disposition</t>
  </si>
  <si>
    <t>品質部門によるロットの出荷可否判定</t>
  </si>
  <si>
    <t>C02 研究（創薬）</t>
  </si>
  <si>
    <t>MFG-10</t>
  </si>
  <si>
    <t>Validation Plan &amp; Report</t>
  </si>
  <si>
    <t>設備・洗浄・プロセス（PPQ）のバリデーション</t>
  </si>
  <si>
    <t>MFG-11</t>
  </si>
  <si>
    <t>設備・環境モニタリングデータ</t>
  </si>
  <si>
    <t>Equipment &amp; Environmental Monitoring</t>
  </si>
  <si>
    <t>無菌環境・設備の監視データ</t>
  </si>
  <si>
    <t>MFG-12</t>
  </si>
  <si>
    <t>年次製品照査（APR）</t>
  </si>
  <si>
    <t>Annual Product Review</t>
  </si>
  <si>
    <t>年次の品質傾向レビュー</t>
  </si>
  <si>
    <r>
      <rPr>
        <rFont val="Arial"/>
        <color rgb="FF000000"/>
        <sz val="9.0"/>
      </rPr>
      <t>★Medicare</t>
    </r>
    <r>
      <rPr>
        <rFont val="Noto Sans CJK SC"/>
        <color rgb="FF000000"/>
        <sz val="9.0"/>
      </rPr>
      <t>価格交渉の除外要件の管理（希少疾病のみの適応の場合、</t>
    </r>
    <r>
      <rPr>
        <rFont val="Arial"/>
        <color rgb="FF000000"/>
        <sz val="9.0"/>
      </rPr>
      <t>IRA</t>
    </r>
    <r>
      <rPr>
        <rFont val="Noto Sans CJK SC"/>
        <color rgb="FF000000"/>
        <sz val="9.0"/>
      </rPr>
      <t>）</t>
    </r>
  </si>
  <si>
    <t>MFG-13</t>
  </si>
  <si>
    <t>包装表示（アートワーク）</t>
  </si>
  <si>
    <t>Label Artwork</t>
  </si>
  <si>
    <t>治験薬・商用製品のラベル・包装デザイン</t>
  </si>
  <si>
    <t>GMP・GCP</t>
  </si>
  <si>
    <t>CLN-01</t>
  </si>
  <si>
    <t>自然歴データ</t>
  </si>
  <si>
    <t>Natural History Data</t>
  </si>
  <si>
    <t>疾患の自然経過データ。外部対照・評価項目設定の基礎</t>
  </si>
  <si>
    <t>CLN-02</t>
  </si>
  <si>
    <t>Patient Registry Data</t>
  </si>
  <si>
    <t>患者団体等と構築するレジストリ。市販後の長期追跡にも使用（個人情報を含む）</t>
  </si>
  <si>
    <t>患者</t>
  </si>
  <si>
    <t>CLN-03</t>
  </si>
  <si>
    <t>候補患者情報</t>
  </si>
  <si>
    <t>Patient Identification</t>
  </si>
  <si>
    <t>診断・遺伝子検査結果に基づく候補患者の情報（個人情報を含む）</t>
  </si>
  <si>
    <t>CLN-04</t>
  </si>
  <si>
    <t>COA &amp; Biomarker Definition</t>
  </si>
  <si>
    <t>臨床アウトカム評価（COA）・バイオマーカーの定義と検証結果</t>
  </si>
  <si>
    <t>CLN-05</t>
  </si>
  <si>
    <t>治験実施計画書</t>
  </si>
  <si>
    <t>Clinical Protocol</t>
  </si>
  <si>
    <t>試験デザイン・評価項目・症例数（市販後試験を含む）</t>
  </si>
  <si>
    <t>CLN-06</t>
  </si>
  <si>
    <t>Investigator's Brochure</t>
  </si>
  <si>
    <t>非臨床・臨床の知見をまとめた治験責任医師向け資料</t>
  </si>
  <si>
    <t>CLN-07</t>
  </si>
  <si>
    <t>試験実施体制</t>
  </si>
  <si>
    <t>Study Site &amp; Start-up</t>
  </si>
  <si>
    <t>実施医療機関・治験責任医師・IRB承認・施設の立ち上げ状況</t>
  </si>
  <si>
    <t>医療従事者</t>
  </si>
  <si>
    <t>CLN-08</t>
  </si>
  <si>
    <t>Trial Registration</t>
  </si>
  <si>
    <t>ClinicalTrials.govへの登録・結果報告</t>
  </si>
  <si>
    <t>GCP・薬事</t>
  </si>
  <si>
    <t>CLN-09</t>
  </si>
  <si>
    <t>症例データ</t>
  </si>
  <si>
    <t>Subject &amp; Case Data</t>
  </si>
  <si>
    <t>被験者の登録・投与・評価データ（EDC。個人情報は仮名化）</t>
  </si>
  <si>
    <t>CLN-10</t>
  </si>
  <si>
    <t>Clinical Bioanalytical Data</t>
  </si>
  <si>
    <t>PK・ADA・バイオマーカーの測定結果</t>
  </si>
  <si>
    <t>CLN-11</t>
  </si>
  <si>
    <t>Clinical Dataset</t>
  </si>
  <si>
    <t>固定済みデータ（SDTM／ADaM）</t>
  </si>
  <si>
    <t>C03 非臨床・臨床薬理</t>
  </si>
  <si>
    <t>CLN-12</t>
  </si>
  <si>
    <t>統計解析結果</t>
  </si>
  <si>
    <t>Statistical Output</t>
  </si>
  <si>
    <t>図表・リスト（TLF）</t>
  </si>
  <si>
    <t>CLN-13</t>
  </si>
  <si>
    <t>総括報告書（CSR）</t>
  </si>
  <si>
    <t>Clinical Study Report</t>
  </si>
  <si>
    <t>試験ごとの総括報告書</t>
  </si>
  <si>
    <t>CLN-14</t>
  </si>
  <si>
    <t>Integrated Analysis</t>
  </si>
  <si>
    <t>統合安全性・統合有効性・曝露反応・免疫原性の統合解析</t>
  </si>
  <si>
    <t>CLN-15</t>
  </si>
  <si>
    <t>Benefit-Risk Assessment</t>
  </si>
  <si>
    <t>承認判断・価格設定の根拠となる評価</t>
  </si>
  <si>
    <t>CLN-16</t>
  </si>
  <si>
    <t>治験薬供給記録</t>
  </si>
  <si>
    <t>Clinical Supply Record</t>
  </si>
  <si>
    <t>治験薬の割付・出荷・施設在庫（IRT）</t>
  </si>
  <si>
    <t>CLN-17</t>
  </si>
  <si>
    <t>PK/PDモデル・解析結果</t>
  </si>
  <si>
    <t>PK/PD Model</t>
  </si>
  <si>
    <t>ヒトPK予測・初回投与量根拠・母集団PK・曝露反応モデル</t>
  </si>
  <si>
    <t>CLN-18</t>
  </si>
  <si>
    <t>臨床試験</t>
  </si>
  <si>
    <t>Clinical Study</t>
  </si>
  <si>
    <t>個々の臨床試験・研究（自然歴研究・市販後試験を含む）。試験番号・相・状態を持ち、実施計画書・症例データ・治験薬供給を束ねる</t>
  </si>
  <si>
    <t>CLN-19</t>
  </si>
  <si>
    <t>患者・被験者</t>
  </si>
  <si>
    <t>Patient / Subject</t>
  </si>
  <si>
    <t>レジストリ参加者・候補患者・被験者・治療中の患者を同一人物として識別する情報。試験・レジストリ・患者支援・有害事象をつなぐ（個人情報を含む）</t>
  </si>
  <si>
    <t>GCP・PV</t>
  </si>
  <si>
    <t>REG-01</t>
  </si>
  <si>
    <t>Health Authority Interaction</t>
  </si>
  <si>
    <t>FDAとの会議資料・議事録・照会（IR）・回答・通知</t>
  </si>
  <si>
    <t>REG-02</t>
  </si>
  <si>
    <t>Designation &amp; Incentive</t>
  </si>
  <si>
    <t>Orphan Drug、希少小児疾患、Fast Track、Breakthrough Therapy、優先審査バウチャー</t>
  </si>
  <si>
    <t>REG-03</t>
  </si>
  <si>
    <t>IND申請と、その後の修正・年次報告</t>
  </si>
  <si>
    <t>REG-04</t>
  </si>
  <si>
    <t>Submission Dossier</t>
  </si>
  <si>
    <t>BLA（eCTD Module 1〜5）と補足申請（sBLA・製法変更）</t>
  </si>
  <si>
    <t>C04 CMC開発</t>
  </si>
  <si>
    <t>REG-05</t>
  </si>
  <si>
    <t>承認・許可</t>
  </si>
  <si>
    <t>License &amp; Approval</t>
  </si>
  <si>
    <t>BLA承認通知、承認条件、審査完了通知（CRL）</t>
  </si>
  <si>
    <t>REG-06</t>
  </si>
  <si>
    <t>Labeling</t>
  </si>
  <si>
    <t>添付文書（USPI）・患者向け資料</t>
  </si>
  <si>
    <t>REG-07</t>
  </si>
  <si>
    <t>PMR/PMC</t>
  </si>
  <si>
    <t>承認時に合意した市販後の試験・調査とその状況</t>
  </si>
  <si>
    <t>REG-08</t>
  </si>
  <si>
    <t>リスク評価・緩和戦略とその評価報告</t>
  </si>
  <si>
    <t>薬事・PV</t>
  </si>
  <si>
    <t>REG-09</t>
  </si>
  <si>
    <t>Inspection Record</t>
  </si>
  <si>
    <t>承認前査察（PLI）・BIMO査察の記録と指摘事項</t>
  </si>
  <si>
    <t>REG-10</t>
  </si>
  <si>
    <t>Annual Report to FDA</t>
  </si>
  <si>
    <t>PMR／PMC年次状況報告などの定期提出物</t>
  </si>
  <si>
    <t>SAF-01</t>
  </si>
  <si>
    <t>Adverse Event Case</t>
  </si>
  <si>
    <t>治験中・市販後の有害事象の個別症例（ICSR。個人情報を含む）</t>
  </si>
  <si>
    <t>SAF-02</t>
  </si>
  <si>
    <t>Safety Signal Assessment</t>
  </si>
  <si>
    <t>シグナル検出・評価の結果</t>
  </si>
  <si>
    <t>SAF-03</t>
  </si>
  <si>
    <t>Safety Report</t>
  </si>
  <si>
    <t>15日アラート報告・定期報告</t>
  </si>
  <si>
    <t>MKT-01</t>
  </si>
  <si>
    <t>Price</t>
  </si>
  <si>
    <t>WACと価格改定履歴</t>
  </si>
  <si>
    <t>MKT-02</t>
  </si>
  <si>
    <t>Payer Contract</t>
  </si>
  <si>
    <t>Medicaid薬剤リベート契約、PBM・民間保険との契約（成果連動型を含む）</t>
  </si>
  <si>
    <t>MKT-03</t>
  </si>
  <si>
    <t>Reimbursement Code</t>
  </si>
  <si>
    <t>HCPCSコードなどの償還情報</t>
  </si>
  <si>
    <t>MKT-04</t>
  </si>
  <si>
    <t>患者支援ケース</t>
  </si>
  <si>
    <t>Patient Services Case</t>
  </si>
  <si>
    <t>ハブ経由の患者登録・保険確認・治療開始状況（個人情報を含む）</t>
  </si>
  <si>
    <t>MKT-05</t>
  </si>
  <si>
    <t>Promotional &amp; Medical Material</t>
  </si>
  <si>
    <t>販促資材（Form FDA 2253）・疾患啓発資材</t>
  </si>
  <si>
    <t>C05 臨床開発</t>
  </si>
  <si>
    <t>MKT-06</t>
  </si>
  <si>
    <t>医療機関・医療従事者マスタ</t>
  </si>
  <si>
    <t>HCP/HCO Master</t>
  </si>
  <si>
    <t>専門施設ネットワーク・専門医の情報</t>
  </si>
  <si>
    <t>MKT-07</t>
  </si>
  <si>
    <t>Field Training Record</t>
  </si>
  <si>
    <t>MSL・営業担当の教育記録</t>
  </si>
  <si>
    <t>従業員</t>
  </si>
  <si>
    <t>MKT-08</t>
  </si>
  <si>
    <t>Government Price Reporting</t>
  </si>
  <si>
    <t>AMP・Best Price・ASPなどの報告データ</t>
  </si>
  <si>
    <t>MKT-09</t>
  </si>
  <si>
    <t>Medicare価格交渉対象判定</t>
  </si>
  <si>
    <t>IRA Negotiation Status</t>
  </si>
  <si>
    <t>IRAの交渉対象・除外要件の判定と記録</t>
  </si>
  <si>
    <t>SCM-01</t>
  </si>
  <si>
    <t>Demand &amp; Supply Plan</t>
  </si>
  <si>
    <t>需要予測・在庫計画（患者単位の需要を含む）</t>
  </si>
  <si>
    <t>SCM-02</t>
  </si>
  <si>
    <t>Inventory</t>
  </si>
  <si>
    <t>製品・原薬の在庫（拠点別）</t>
  </si>
  <si>
    <t>GMP・流通</t>
  </si>
  <si>
    <t>SCM-03</t>
  </si>
  <si>
    <t>Order &amp; Shipment</t>
  </si>
  <si>
    <t>受注、出荷、配送、納品</t>
  </si>
  <si>
    <t>SCM-04</t>
  </si>
  <si>
    <t>Temperature Log</t>
  </si>
  <si>
    <t>保管・輸送中の温度データ</t>
  </si>
  <si>
    <t>SCM-05</t>
  </si>
  <si>
    <t>Serialization &amp; Transaction Data</t>
  </si>
  <si>
    <t>シリアル番号、取引情報の電子的な記録・交換</t>
  </si>
  <si>
    <t>SCM-06</t>
  </si>
  <si>
    <t>回収記録</t>
  </si>
  <si>
    <t>Recall Record</t>
  </si>
  <si>
    <t>回収の範囲・実施状況</t>
  </si>
  <si>
    <t>GMP・薬事</t>
  </si>
  <si>
    <t>SCM-07</t>
  </si>
  <si>
    <t>供給継続計画</t>
  </si>
  <si>
    <t>Supply Continuity Plan</t>
  </si>
  <si>
    <t>供給リスクと対応策、FDAへの事前通知</t>
  </si>
  <si>
    <t>C06 薬事</t>
  </si>
  <si>
    <t>C07 製造</t>
  </si>
  <si>
    <t>C08 品質</t>
  </si>
  <si>
    <t>C09 ファーマコビジランス（安全性）</t>
  </si>
  <si>
    <t>C10 メディカル・患者エンゲージメント</t>
  </si>
  <si>
    <t>C11 市場アクセス・商業</t>
  </si>
  <si>
    <r>
      <rPr>
        <rFont val="Arial"/>
        <b/>
        <color rgb="FF000000"/>
        <sz val="9.0"/>
      </rPr>
      <t xml:space="preserve">02 </t>
    </r>
    <r>
      <rPr>
        <rFont val="Noto Sans CJK SC"/>
        <b/>
        <color rgb="FF000000"/>
        <sz val="9.0"/>
      </rPr>
      <t>非臨床開発</t>
    </r>
  </si>
  <si>
    <t>C12 サプライチェーン</t>
  </si>
  <si>
    <t>アプリケーション（正本：種類の単位）</t>
  </si>
  <si>
    <t>1行1種類。製品名ではなく、機能のまとまり（種類）で定義する。現状のシステム名との対応は別の工程で行う。灰色の列は数式（編集しない）。規制区分がGxP・薬事・流通・PVに当たるものは、コンピュータ化システムバリデーションの対象候補。</t>
  </si>
  <si>
    <t>アプリケーション種類</t>
  </si>
  <si>
    <t>略称・通称</t>
  </si>
  <si>
    <t>主な機能</t>
  </si>
  <si>
    <t>主に支える
ケイパビリティ数</t>
  </si>
  <si>
    <t>部分的に支える
ケイパビリティ数</t>
  </si>
  <si>
    <t>APP-01</t>
  </si>
  <si>
    <t>電子実験ノート</t>
  </si>
  <si>
    <t>ELN</t>
  </si>
  <si>
    <t>製品一覧（正本：製品の単位）</t>
  </si>
  <si>
    <t>研究・プロセス開発の実験計画・記録・結果を管理する</t>
  </si>
  <si>
    <t>1行1製品。technology/veeva-data-system の資料から読み取れる製品（Veeva製品は公式サイト2026年10月時点の名称・区分）。日本での提供の「—」は未確認。灰色の列は数式（編集しない）。アプリケーション種類との対応は「アプリケーション×製品」シートで記入する。出典：https://www.veeva.com/products/</t>
  </si>
  <si>
    <t>提供元</t>
  </si>
  <si>
    <t>分類</t>
  </si>
  <si>
    <t>製品名</t>
  </si>
  <si>
    <t>旧名称・別名</t>
  </si>
  <si>
    <t>日本での提供</t>
  </si>
  <si>
    <t>資料の章</t>
  </si>
  <si>
    <t>主に対応する
アプリケーション数</t>
  </si>
  <si>
    <t>部分的に対応する
アプリケーション数</t>
  </si>
  <si>
    <t>PRD-01</t>
  </si>
  <si>
    <t>Veeva</t>
  </si>
  <si>
    <t>Veeva CTMS</t>
  </si>
  <si>
    <t>Vault CTMS</t>
  </si>
  <si>
    <t>治験の試験・施設・被験者登録・モニタリング訪問の進捗を管理する</t>
  </si>
  <si>
    <t>APP-02</t>
  </si>
  <si>
    <t>生物学的物質登録</t>
  </si>
  <si>
    <t>バイオレジストリ</t>
  </si>
  <si>
    <t>標的・抗原・抗体分子・細胞株などの物質を一意に登録し、系譜と状態を管理する</t>
  </si>
  <si>
    <t>APP-03</t>
  </si>
  <si>
    <t>科学データ解析基盤</t>
  </si>
  <si>
    <t>バイオインフォマティクス基盤</t>
  </si>
  <si>
    <t>ゲノム・オミクス・スクリーニングデータの解析と、in silico予測を行う</t>
  </si>
  <si>
    <t>PRD-02</t>
  </si>
  <si>
    <t>Veeva eTMF</t>
  </si>
  <si>
    <t>Vault eTMF</t>
  </si>
  <si>
    <t>治験の必須文書（TMF）を電子的に管理し、査察に対応する</t>
  </si>
  <si>
    <t>APP-04</t>
  </si>
  <si>
    <t>非臨床試験管理</t>
  </si>
  <si>
    <t>毒性試験管理（SEND対応）</t>
  </si>
  <si>
    <t>GLP試験の計画・実施・データ収集と、SEND形式のデータ作成を行う</t>
  </si>
  <si>
    <t>PRD-03</t>
  </si>
  <si>
    <t>Veeva Study Startup</t>
  </si>
  <si>
    <t>Vault Study Startup</t>
  </si>
  <si>
    <t>施設選定・契約・IRB・必須文書の収集により治験施設を立ち上げる</t>
  </si>
  <si>
    <t>APP-05</t>
  </si>
  <si>
    <t>PK/PD解析・モデリング</t>
  </si>
  <si>
    <t>ファーマコメトリクス環境</t>
  </si>
  <si>
    <t>PK/PD解析、母集団PK、曝露反応モデルを実行する</t>
  </si>
  <si>
    <t>PRD-04</t>
  </si>
  <si>
    <t>Veeva Payments</t>
  </si>
  <si>
    <t>治験施設への支払いを管理する</t>
  </si>
  <si>
    <t>APP-06</t>
  </si>
  <si>
    <t>臨床試験管理</t>
  </si>
  <si>
    <t>CTMS</t>
  </si>
  <si>
    <t>試験・施設・進捗・モニタリング・予算を管理する</t>
  </si>
  <si>
    <t>PRD-05</t>
  </si>
  <si>
    <t>Veeva Site Connect</t>
  </si>
  <si>
    <t>依頼者と治験施設の間の文書・情報のやり取りを自動化する</t>
  </si>
  <si>
    <t>APP-07</t>
  </si>
  <si>
    <t>臨床データ収集</t>
  </si>
  <si>
    <t>EDC（eCOA／ePRO含む）</t>
  </si>
  <si>
    <t>症例データと患者報告アウトカムを電子的に収集する</t>
  </si>
  <si>
    <t>PRD-06</t>
  </si>
  <si>
    <t>Veeva Study Training</t>
  </si>
  <si>
    <t>治験責任医師・施設スタッフのトレーニングを管理する</t>
  </si>
  <si>
    <t>APP-08</t>
  </si>
  <si>
    <t>無作為化・治験薬供給</t>
  </si>
  <si>
    <t>IRT</t>
  </si>
  <si>
    <t>無作為化、治験薬の割付・出荷・施設在庫を管理する</t>
  </si>
  <si>
    <t>PRD-07</t>
  </si>
  <si>
    <t>Veeva Disclosures</t>
  </si>
  <si>
    <t>治験情報の公開（レジストリ登録・結果公開）を管理する</t>
  </si>
  <si>
    <t>APP-09</t>
  </si>
  <si>
    <t>電子治験マスターファイル</t>
  </si>
  <si>
    <t>eTMF</t>
  </si>
  <si>
    <t>治験の必須文書を収集・保管する</t>
  </si>
  <si>
    <t>PRD-08</t>
  </si>
  <si>
    <t>Veeva OpenData Clinical</t>
  </si>
  <si>
    <t>治験責任医師・施設のリファレンスデータ</t>
  </si>
  <si>
    <t>02, 05</t>
  </si>
  <si>
    <t>APP-10</t>
  </si>
  <si>
    <t>統計解析環境</t>
  </si>
  <si>
    <t>SCE</t>
  </si>
  <si>
    <t>臨床データセット（SDTM／ADaM）の作成と統計解析を行う</t>
  </si>
  <si>
    <t>PRD-09</t>
  </si>
  <si>
    <t>Veeva EDC</t>
  </si>
  <si>
    <t>Vault EDC</t>
  </si>
  <si>
    <t>症例データを電子的に収集・検証する</t>
  </si>
  <si>
    <t>APP-11</t>
  </si>
  <si>
    <t>患者レジストリ・RWD基盤</t>
  </si>
  <si>
    <t>レジストリ／RWDプラットフォーム</t>
  </si>
  <si>
    <t>患者レジストリ・自然歴・リアルワールドデータを収集・管理する</t>
  </si>
  <si>
    <t>非GxP・PV</t>
  </si>
  <si>
    <t>PRD-10</t>
  </si>
  <si>
    <t>Veeva DQS</t>
  </si>
  <si>
    <t>試験データを集約し、クリーニングする</t>
  </si>
  <si>
    <t>APP-12</t>
  </si>
  <si>
    <t>薬事情報管理</t>
  </si>
  <si>
    <t>RIM</t>
  </si>
  <si>
    <t>当局とのやり取り、申請・承認・指定・約束事項、表示の版を管理する</t>
  </si>
  <si>
    <t>PRD-11</t>
  </si>
  <si>
    <t>Veeva eCOA</t>
  </si>
  <si>
    <t>患者報告アウトカム等を電子的に収集する</t>
  </si>
  <si>
    <t>APP-13</t>
  </si>
  <si>
    <t>申請出版</t>
  </si>
  <si>
    <t>eCTD出版</t>
  </si>
  <si>
    <t>申請資料をeCTD形式に編集し、FDAへ提出する</t>
  </si>
  <si>
    <t>PRD-12</t>
  </si>
  <si>
    <t>Veeva RTSM</t>
  </si>
  <si>
    <t>無作為化割付と治験薬供給を管理する</t>
  </si>
  <si>
    <t>APP-14</t>
  </si>
  <si>
    <t>安全性データベース</t>
  </si>
  <si>
    <t>安全性DB（ICSR）</t>
  </si>
  <si>
    <t>有害事象症例の収集・評価・当局報告を行う</t>
  </si>
  <si>
    <t>PRD-13</t>
  </si>
  <si>
    <t>Veeva Registrations</t>
  </si>
  <si>
    <t>Vault RIM Registrations</t>
  </si>
  <si>
    <t>製品×国ごとの承認状況、当局とのやり取り・コミットメントを管理する</t>
  </si>
  <si>
    <t>APP-15</t>
  </si>
  <si>
    <t>シグナル検出</t>
  </si>
  <si>
    <t>シグナル管理</t>
  </si>
  <si>
    <t>安全性データからシグナルを検出・評価し、リスク管理につなげる</t>
  </si>
  <si>
    <t>PRD-14</t>
  </si>
  <si>
    <t>Veeva Submissions</t>
  </si>
  <si>
    <t>Vault Submissions</t>
  </si>
  <si>
    <t>申請コンテンツ（CTD）の計画・収集・レビュー・承認を行う</t>
  </si>
  <si>
    <t>APP-16</t>
  </si>
  <si>
    <t>製造実行システム</t>
  </si>
  <si>
    <t>MES（電子バッチ記録）</t>
  </si>
  <si>
    <t>製造指図（MBR）を管理し、製造を指図・記録する</t>
  </si>
  <si>
    <t>PRD-15</t>
  </si>
  <si>
    <t>Veeva Submissions Publishing</t>
  </si>
  <si>
    <t>Vault Submissions Publishing</t>
  </si>
  <si>
    <t>申請資料をeCTD形式に組み上げ、当局へ電子提出する</t>
  </si>
  <si>
    <t>C13 共通基盤</t>
  </si>
  <si>
    <t>APP-17</t>
  </si>
  <si>
    <t>工程データ管理</t>
  </si>
  <si>
    <t>プロセスヒストリアン</t>
  </si>
  <si>
    <t>バイオリアクター等の運転・監視データを収集・保存する</t>
  </si>
  <si>
    <t>PRD-16</t>
  </si>
  <si>
    <t>Veeva Submissions Archive</t>
  </si>
  <si>
    <t>Vault Submissions Archive</t>
  </si>
  <si>
    <t>過去の申請物・当局との往復文書を保管・参照する</t>
  </si>
  <si>
    <t>APP-18</t>
  </si>
  <si>
    <t>CMMS／環境モニタリング</t>
  </si>
  <si>
    <t>設備の保全・校正と、無菌環境のモニタリングを管理する</t>
  </si>
  <si>
    <t>PRD-17</t>
  </si>
  <si>
    <t>Veeva Safety</t>
  </si>
  <si>
    <t>Vault Safety</t>
  </si>
  <si>
    <t>有害事象の受付・症例登録・評価・ICSR作成・当局への電子送信を行う</t>
  </si>
  <si>
    <t>APP-19</t>
  </si>
  <si>
    <t>ラベル・アートワーク管理</t>
  </si>
  <si>
    <t>アートワーク管理</t>
  </si>
  <si>
    <t>治験薬・商用製品のラベルと包装デザインの作成・承認・版を管理する</t>
  </si>
  <si>
    <t>PRD-18</t>
  </si>
  <si>
    <t>Veeva SafetyDocs</t>
  </si>
  <si>
    <t>Vault SafetyDocs</t>
  </si>
  <si>
    <t>PSMF・RMP・PSUR等の安全性文書を作成・レビュー・保管する</t>
  </si>
  <si>
    <t>APP-20</t>
  </si>
  <si>
    <t>品質マネジメントシステム</t>
  </si>
  <si>
    <t>eQMS</t>
  </si>
  <si>
    <t>逸脱・CAPA・変更管理・監査・苦情・回収・供給者管理を管理する</t>
  </si>
  <si>
    <t>GMP・GCP・GLP</t>
  </si>
  <si>
    <t>PRD-19</t>
  </si>
  <si>
    <t>Veeva Safety Workbench</t>
  </si>
  <si>
    <t>安全性データを集計・分析し、定期報告の作成を支援する</t>
  </si>
  <si>
    <t>APP-21</t>
  </si>
  <si>
    <t>バリデーションライフサイクル管理</t>
  </si>
  <si>
    <t>設備・プロセス・洗浄・コンピュータ化システムのバリデーションの計画・実行・記録を電子的に行う</t>
  </si>
  <si>
    <t>PRD-20</t>
  </si>
  <si>
    <t>Veeva Safety Signal</t>
  </si>
  <si>
    <t>安全性シグナルを検出・評価・追跡する</t>
  </si>
  <si>
    <t>APP-22</t>
  </si>
  <si>
    <t>試験室情報管理</t>
  </si>
  <si>
    <t>LIMS</t>
  </si>
  <si>
    <t>検体・試験・結果・規格判定・安定性試験を管理する（生体試料分析、品質管理試験）</t>
  </si>
  <si>
    <t>GMP・GLP・GCP</t>
  </si>
  <si>
    <t>PRD-21</t>
  </si>
  <si>
    <t>Veeva QMS</t>
  </si>
  <si>
    <t>Vault QMS</t>
  </si>
  <si>
    <t>逸脱・CAPA・変更管理・苦情・監査・サプライヤー品質を管理する</t>
  </si>
  <si>
    <t>APP-23</t>
  </si>
  <si>
    <t>供給</t>
  </si>
  <si>
    <t>APS／S&amp;OP</t>
  </si>
  <si>
    <t>需要予測・供給計画・在庫計画を立てる</t>
  </si>
  <si>
    <t>PRD-22</t>
  </si>
  <si>
    <t>Veeva QualityDocs</t>
  </si>
  <si>
    <t>Vault QualityDocs</t>
  </si>
  <si>
    <t>SOP・手順書などGxP文書のライフサイクルを管理する</t>
  </si>
  <si>
    <t>APP-24</t>
  </si>
  <si>
    <t>倉庫・物流管理</t>
  </si>
  <si>
    <t>WMS／TMS（温度監視含む）</t>
  </si>
  <si>
    <t>保管・輸送と、輸送中の温度データを管理する</t>
  </si>
  <si>
    <t>PRD-23</t>
  </si>
  <si>
    <t>Veeva Training</t>
  </si>
  <si>
    <t>Vault Training</t>
  </si>
  <si>
    <t>ロール別の教育・資格を管理する</t>
  </si>
  <si>
    <t>APP-25</t>
  </si>
  <si>
    <t>シリアライゼーション</t>
  </si>
  <si>
    <t>DSCSA対応システム</t>
  </si>
  <si>
    <t>製品識別子の付番と、取引情報の電子的な記録・交換を行う</t>
  </si>
  <si>
    <t>PRD-24</t>
  </si>
  <si>
    <t>Veeva Validation Management</t>
  </si>
  <si>
    <t>Vault Validation Management</t>
  </si>
  <si>
    <t>バリデーションをペーパーレスで計画・実行・記録する</t>
  </si>
  <si>
    <t>APP-26</t>
  </si>
  <si>
    <t>商業</t>
  </si>
  <si>
    <t>顧客関係管理</t>
  </si>
  <si>
    <t>CRM</t>
  </si>
  <si>
    <t>医療機関・医療従事者・患者団体との関係と、MSL・営業の活動を管理する</t>
  </si>
  <si>
    <t>PRD-25</t>
  </si>
  <si>
    <t>Veeva Batch Release</t>
  </si>
  <si>
    <t>出荷判定に必要な情報を集約し、判定を迅速化する</t>
  </si>
  <si>
    <t>APP-27</t>
  </si>
  <si>
    <t>患者支援（ハブ）</t>
  </si>
  <si>
    <t>ハブサービスシステム</t>
  </si>
  <si>
    <t>患者の登録・保険確認・自己負担支援・治療開始を管理する</t>
  </si>
  <si>
    <t>PRD-26</t>
  </si>
  <si>
    <t>Veeva LIMS</t>
  </si>
  <si>
    <t>Vault LIMS</t>
  </si>
  <si>
    <t>品質管理試験室の検体・試験・結果・安定性試験を管理する</t>
  </si>
  <si>
    <t>APP-28</t>
  </si>
  <si>
    <t>価格・契約・政府価格報告</t>
  </si>
  <si>
    <t>GTN／リベート管理</t>
  </si>
  <si>
    <t>価格、保険者契約、リベート、政府価格報告（AMP・Best Price・ASP）を管理する</t>
  </si>
  <si>
    <t>PRD-27</t>
  </si>
  <si>
    <t>Veeva Station Manager</t>
  </si>
  <si>
    <t>製造現場の端末に最新版の文書を配信する</t>
  </si>
  <si>
    <t>APP-29</t>
  </si>
  <si>
    <t>MLRレビュー</t>
  </si>
  <si>
    <t>販促・医療情報資材の医学・法務・薬事の審査と承認、FDAへの提出を管理する</t>
  </si>
  <si>
    <t>PRD-28</t>
  </si>
  <si>
    <t>Veeva Product Surveillance</t>
  </si>
  <si>
    <t>医療機器の市販後調査（不具合・苦情）を管理する</t>
  </si>
  <si>
    <t>APP-30</t>
  </si>
  <si>
    <t>共通</t>
  </si>
  <si>
    <t>ERP</t>
  </si>
  <si>
    <t>財務・購買・在庫・受注・出荷を一元管理する基幹システム</t>
  </si>
  <si>
    <t>PRD-29</t>
  </si>
  <si>
    <t>Veeva EHS</t>
  </si>
  <si>
    <t>環境・安全衛生プロセスを管理する</t>
  </si>
  <si>
    <t>APP-31</t>
  </si>
  <si>
    <t>MDM</t>
  </si>
  <si>
    <t>製品・取引先・医療機関などのマスタを統合し、段階をまたぐ一貫した識別子を管理する</t>
  </si>
  <si>
    <t>PRD-30</t>
  </si>
  <si>
    <t>治験施設</t>
  </si>
  <si>
    <t>SiteVault</t>
  </si>
  <si>
    <t>SiteVault CTMS / eISF / eConsent</t>
  </si>
  <si>
    <t>医療機関側の治験管理・電子ISF・電子同意</t>
  </si>
  <si>
    <t>APP-32</t>
  </si>
  <si>
    <t>GxP文書管理</t>
  </si>
  <si>
    <t>eDMS</t>
  </si>
  <si>
    <t>SOP・報告書・申請用文書を版管理し、承認と電子署名を行う</t>
  </si>
  <si>
    <t>GxP全般</t>
  </si>
  <si>
    <t>APP-33</t>
  </si>
  <si>
    <t>LMS</t>
  </si>
  <si>
    <t>PRD-31</t>
  </si>
  <si>
    <t>教育の計画・実施・記録と、資格認定を管理する</t>
  </si>
  <si>
    <t>Veeva eSource</t>
  </si>
  <si>
    <t>医療機関での治験データ収集とEDCへの連携</t>
  </si>
  <si>
    <t>APP-34</t>
  </si>
  <si>
    <t>データ・分析基盤</t>
  </si>
  <si>
    <t>データレイク／DWH／BI</t>
  </si>
  <si>
    <t>PRD-32</t>
  </si>
  <si>
    <t>領域をまたいでデータを集約し、分析・可視化・AI活用に使う</t>
  </si>
  <si>
    <t>メディカル</t>
  </si>
  <si>
    <t>Medical CRM</t>
  </si>
  <si>
    <t>Vault CRM（メディカル機能）</t>
  </si>
  <si>
    <t>MSLのKOL交流の計画・記録、インサイト入力</t>
  </si>
  <si>
    <t>APP-35</t>
  </si>
  <si>
    <t>ポートフォリオ・プロジェクト管理</t>
  </si>
  <si>
    <t>PPM</t>
  </si>
  <si>
    <t>開発品のポートフォリオ、開発計画、資源配分、段階移行の判断を管理する</t>
  </si>
  <si>
    <t>PRD-33</t>
  </si>
  <si>
    <t>Veeva MedInquiry</t>
  </si>
  <si>
    <t>Vault MedInquiry</t>
  </si>
  <si>
    <t>医療関係者からの問い合わせの受付・回答・追跡</t>
  </si>
  <si>
    <t>APP-36</t>
  </si>
  <si>
    <t>契約管理</t>
  </si>
  <si>
    <t>CLM</t>
  </si>
  <si>
    <t>CRO・CDMO・医療機関・流通業者などとの契約の作成・承認・履行を管理する</t>
  </si>
  <si>
    <t>PRD-34</t>
  </si>
  <si>
    <t>Veeva MedComms</t>
  </si>
  <si>
    <t>Vault MedComms</t>
  </si>
  <si>
    <t>メディカルコンテンツ（標準回答文書・学術資料）の作成・承認・配信</t>
  </si>
  <si>
    <t>APP-37</t>
  </si>
  <si>
    <t>知財管理</t>
  </si>
  <si>
    <t>IPMS</t>
  </si>
  <si>
    <t>特許の出願・権利化・期限と、独占期間を管理する</t>
  </si>
  <si>
    <t>PRD-35</t>
  </si>
  <si>
    <t>Veeva Publications</t>
  </si>
  <si>
    <t>論文・学会発表の計画・執筆・管理</t>
  </si>
  <si>
    <t>PRD-36</t>
  </si>
  <si>
    <t>Veeva Link Key People</t>
  </si>
  <si>
    <t>KOLの詳細データ（研究・発表・ネットワーク）</t>
  </si>
  <si>
    <t>PRD-37</t>
  </si>
  <si>
    <t>Veeva Link Workflow</t>
  </si>
  <si>
    <t>KOLエンゲージメント・学会対応の計画</t>
  </si>
  <si>
    <t>PRD-38</t>
  </si>
  <si>
    <t>Veeva Link Medical Insights</t>
  </si>
  <si>
    <t>Veeva Medical Insights</t>
  </si>
  <si>
    <t>MSLの現場インサイトを収集し、AIでテーマ化して社内共有する</t>
  </si>
  <si>
    <t>PRD-39</t>
  </si>
  <si>
    <t>営業・マーケティング</t>
  </si>
  <si>
    <t>Vault CRM</t>
  </si>
  <si>
    <t>Veeva CRM（旧Salesforce基盤版の後継）</t>
  </si>
  <si>
    <t>HCP/HCO管理・活動計画・面談記録・サンプリング。CLM・Approved Email・Engageを含む</t>
  </si>
  <si>
    <t>提供あり</t>
  </si>
  <si>
    <t>PRD-40</t>
  </si>
  <si>
    <t>Campaign Manager</t>
  </si>
  <si>
    <t>対面と非対面を統合したキャンペーンの設計・実行</t>
  </si>
  <si>
    <t>PRD-41</t>
  </si>
  <si>
    <t>Events Management</t>
  </si>
  <si>
    <t>講演会・学術イベントの企画・招待・参加・コンプライアンス管理</t>
  </si>
  <si>
    <t>PRD-42</t>
  </si>
  <si>
    <t>Service Center</t>
  </si>
  <si>
    <t>インバウンド／アウトバウンドのリモート対応</t>
  </si>
  <si>
    <t>PRD-43</t>
  </si>
  <si>
    <t>Align / Align+</t>
  </si>
  <si>
    <t>テリトリー設計、担当者割当、エンゲージメント計画</t>
  </si>
  <si>
    <t>PRD-44</t>
  </si>
  <si>
    <t>Patient CRM</t>
  </si>
  <si>
    <t>患者支援プログラムの管理</t>
  </si>
  <si>
    <t>PRD-45</t>
  </si>
  <si>
    <t>Ostro</t>
  </si>
  <si>
    <t>患者・医療従事者の質問にAIが即時回答する</t>
  </si>
  <si>
    <t>PRD-46</t>
  </si>
  <si>
    <t>Veeva PromoMats</t>
  </si>
  <si>
    <t>Vault PromoMats</t>
  </si>
  <si>
    <t>販促資料のMLRレビュー・承認・配信・失効を管理する</t>
  </si>
  <si>
    <t>PRD-47</t>
  </si>
  <si>
    <t>Veeva Nitro</t>
  </si>
  <si>
    <t>CRM活動データと外部データを統合するコマーシャルデータウェアハウス</t>
  </si>
  <si>
    <t>提供あり（導入事例）</t>
  </si>
  <si>
    <t>PRD-48</t>
  </si>
  <si>
    <t>Marketing Analytics</t>
  </si>
  <si>
    <t>キャンペーン効果測定・顧客インサイト</t>
  </si>
  <si>
    <t>PRD-49</t>
  </si>
  <si>
    <t>データ</t>
  </si>
  <si>
    <t>Veeva Network</t>
  </si>
  <si>
    <t>Network MDM</t>
  </si>
  <si>
    <t>HCP/HCOの顧客マスタデータを統合・重複排除・配信する</t>
  </si>
  <si>
    <t>PRD-50</t>
  </si>
  <si>
    <t>Veeva OpenData Commercial</t>
  </si>
  <si>
    <t>Veeva OpenData</t>
  </si>
  <si>
    <t>Veevaが整備するHCP/HCOのリファレンスデータ</t>
  </si>
  <si>
    <t>なし（Ultmarcで代替）</t>
  </si>
  <si>
    <t>PRD-51</t>
  </si>
  <si>
    <t>Veeva HCP Access</t>
  </si>
  <si>
    <t>医療従事者への業界横断アクセス指標</t>
  </si>
  <si>
    <t>PRD-52</t>
  </si>
  <si>
    <t>Veeva Link Key Accounts</t>
  </si>
  <si>
    <t>主要アカウントと意思決定者のデータ</t>
  </si>
  <si>
    <t>米国向け</t>
  </si>
  <si>
    <t>PRD-53</t>
  </si>
  <si>
    <t>Veeva Compass</t>
  </si>
  <si>
    <t>Compass Patient / Prescriber / National</t>
  </si>
  <si>
    <t>匿名化患者データ・処方データ</t>
  </si>
  <si>
    <t>米国中心</t>
  </si>
  <si>
    <t>PRD-54</t>
  </si>
  <si>
    <t>AI・基盤</t>
  </si>
  <si>
    <t>Vault Platform</t>
  </si>
  <si>
    <t>全アプリケーションの共通クラウド基盤</t>
  </si>
  <si>
    <t>00, 06</t>
  </si>
  <si>
    <t>PRD-55</t>
  </si>
  <si>
    <t>Veeva Connections</t>
  </si>
  <si>
    <t>Connections Hub</t>
  </si>
  <si>
    <t>Veevaアプリ間・外部との製品化された連携</t>
  </si>
  <si>
    <t>PRD-56</t>
  </si>
  <si>
    <t>Vault AI</t>
  </si>
  <si>
    <t>Veeva AI</t>
  </si>
  <si>
    <t>各アプリに組み込まれたAIエージェント（CRM・PromoMats・Safety・Quality等）</t>
  </si>
  <si>
    <t>PRD-57</t>
  </si>
  <si>
    <t>Falcon Clinical</t>
  </si>
  <si>
    <t>Veeva Falcon</t>
  </si>
  <si>
    <t>治験データの受付・品質チェックを自動化するエージェント</t>
  </si>
  <si>
    <t>PRD-58</t>
  </si>
  <si>
    <t>Falcon Regulatory</t>
  </si>
  <si>
    <t>申請文書作成・当局対応を行うエージェント</t>
  </si>
  <si>
    <t>PRD-59</t>
  </si>
  <si>
    <t>Falcon Safety</t>
  </si>
  <si>
    <t>症例受付・トリアージを自動化するエージェント</t>
  </si>
  <si>
    <t>PRD-60</t>
  </si>
  <si>
    <t>Falcon MLR</t>
  </si>
  <si>
    <t>販促資料の審査を自動化するエージェント</t>
  </si>
  <si>
    <t>04, 06</t>
  </si>
  <si>
    <t>PRD-61</t>
  </si>
  <si>
    <t>Veeva Basics</t>
  </si>
  <si>
    <t>新興バイオ企業向けのパッケージ</t>
  </si>
  <si>
    <t>00</t>
  </si>
  <si>
    <t>PRD-62</t>
  </si>
  <si>
    <t>旧製品</t>
  </si>
  <si>
    <t>Veeva CRM（Salesforce基盤）</t>
  </si>
  <si>
    <t>Vault CRMの前身。サポート終了は2029年12月31日</t>
  </si>
  <si>
    <t>提供あり（移行中）</t>
  </si>
  <si>
    <t>00, C</t>
  </si>
  <si>
    <t>PRD-63</t>
  </si>
  <si>
    <t>Ultmarc</t>
  </si>
  <si>
    <t>Ultmarc MDB</t>
  </si>
  <si>
    <t>DCF・DSF・PCF</t>
  </si>
  <si>
    <t>日本の医療施設・医師・薬局・病院薬剤師のマスタファイル（業界共同メンテナンス）</t>
  </si>
  <si>
    <t>日本のみ</t>
  </si>
  <si>
    <t>05, B</t>
  </si>
  <si>
    <t>PRD-64</t>
  </si>
  <si>
    <t>Salesforce</t>
  </si>
  <si>
    <t>競合</t>
  </si>
  <si>
    <t>Salesforce Life Sciences Cloud</t>
  </si>
  <si>
    <t>ライフサイエンス向けCRM・患者支援</t>
  </si>
  <si>
    <t>PRD-65</t>
  </si>
  <si>
    <t>Agentforce Life Sciences</t>
  </si>
  <si>
    <t>HCPスケジューリング等を行うAIエージェント</t>
  </si>
  <si>
    <t>PRD-66</t>
  </si>
  <si>
    <t>Salesforce Data Cloud</t>
  </si>
  <si>
    <t>外部データ（IQVIA・EMR・患者データ等）の統合</t>
  </si>
  <si>
    <t>PRD-67</t>
  </si>
  <si>
    <t>MasterControl</t>
  </si>
  <si>
    <t>代替製品</t>
  </si>
  <si>
    <t>品質マネジメント・文書管理</t>
  </si>
  <si>
    <t>D</t>
  </si>
  <si>
    <t>PRD-68</t>
  </si>
  <si>
    <t>OpenText</t>
  </si>
  <si>
    <t>Documentum</t>
  </si>
  <si>
    <t>PRD-69</t>
  </si>
  <si>
    <t>EXTEDO</t>
  </si>
  <si>
    <t>eCTD申請に特化した薬事システム</t>
  </si>
  <si>
    <t>PRD-70</t>
  </si>
  <si>
    <t>Oracle</t>
  </si>
  <si>
    <t>Oracle Argus</t>
  </si>
  <si>
    <t>PRD-71</t>
  </si>
  <si>
    <t>ArisGlobal</t>
  </si>
  <si>
    <t>ARISg</t>
  </si>
  <si>
    <t>PRD-72</t>
  </si>
  <si>
    <t>Medidata</t>
  </si>
  <si>
    <t>臨床試験の製品群（EDC等）</t>
  </si>
  <si>
    <t>ケイパビリティ×アプリケーション（正本：行＝ケイパビリティL2 × 列＝アプリケーション種類）</t>
  </si>
  <si>
    <t>●＝主に支える（その能力の中核の業務を実行するシステム）　○＝部分的に支える（一部の業務やデータの受け渡しで使う）　空欄＝関係なし。このシートに直接記入する。右端と最下行の数は数式。</t>
  </si>
  <si>
    <t>○</t>
  </si>
  <si>
    <t>アプリケーション×情報オブジェクト（行＝アプリケーション × 列＝情報オブジェクト）</t>
  </si>
  <si>
    <t>C＝作成・更新　R＝利用　空欄＝関係なし。ケイパビリティ経由で導出：アプリが●（主に支える）のL2で、そのL2がC／Rの情報オブジェクトを割り当て（CとRが重なる場合はC）</t>
  </si>
  <si>
    <t>アプリケーション×製品（正本：行＝アプリケーション種類 × 列＝製品）</t>
  </si>
  <si>
    <t>●＝主に対応する（そのアプリケーション種類の中核機能を担う製品）　○＝部分的に対応する（一部の機能やデータの受け渡しを担う）　空欄＝関係なし。このシートに直接記入する。右端と最下行の数は数式。製品の追加は「製品一覧」に行を足し、ここに列を足す。</t>
  </si>
  <si>
    <t>Veeva 臨床</t>
  </si>
  <si>
    <t>Veeva 薬事</t>
  </si>
  <si>
    <t>Veeva 安全性</t>
  </si>
  <si>
    <t>Veeva 品質</t>
  </si>
  <si>
    <t>Veeva 治験施設</t>
  </si>
  <si>
    <t>Veeva メディカル</t>
  </si>
  <si>
    <t>Veeva 営業・マーケティング</t>
  </si>
  <si>
    <t>Veeva データ</t>
  </si>
  <si>
    <t>Veeva AI・基盤</t>
  </si>
  <si>
    <t>Veeva 旧製品</t>
  </si>
  <si>
    <r>
      <rPr>
        <rFont val="Arial"/>
        <b/>
        <color rgb="FF000000"/>
        <sz val="9.0"/>
      </rPr>
      <t>03 CMC</t>
    </r>
    <r>
      <rPr>
        <rFont val="Noto Sans CJK SC"/>
        <b/>
        <color rgb="FF000000"/>
        <sz val="9.0"/>
      </rPr>
      <t>開発（臨床と並行）</t>
    </r>
  </si>
  <si>
    <r>
      <rPr>
        <rFont val="Arial"/>
        <b/>
        <color rgb="FF000000"/>
        <sz val="9.0"/>
      </rPr>
      <t xml:space="preserve">04 </t>
    </r>
    <r>
      <rPr>
        <rFont val="Noto Sans CJK SC"/>
        <b/>
        <color rgb="FF000000"/>
        <sz val="9.0"/>
      </rPr>
      <t>臨床開発</t>
    </r>
  </si>
  <si>
    <r>
      <rPr>
        <rFont val="Arial"/>
        <b/>
        <color rgb="FF000000"/>
        <sz val="9.0"/>
      </rPr>
      <t>05 BLA</t>
    </r>
    <r>
      <rPr>
        <rFont val="Noto Sans CJK SC"/>
        <b/>
        <color rgb="FF000000"/>
        <sz val="9.0"/>
      </rPr>
      <t>申請・審査</t>
    </r>
  </si>
  <si>
    <r>
      <rPr>
        <rFont val="Arial"/>
        <b/>
        <color rgb="FF000000"/>
        <sz val="9.0"/>
      </rPr>
      <t xml:space="preserve">06 </t>
    </r>
    <r>
      <rPr>
        <rFont val="Noto Sans CJK SC"/>
        <b/>
        <color rgb="FF000000"/>
        <sz val="9.0"/>
      </rPr>
      <t>商用製造（継続）</t>
    </r>
  </si>
  <si>
    <r>
      <rPr>
        <rFont val="Arial"/>
        <b/>
        <color rgb="FF000000"/>
        <sz val="9.0"/>
      </rPr>
      <t xml:space="preserve">07 </t>
    </r>
    <r>
      <rPr>
        <rFont val="Noto Sans CJK SC"/>
        <b/>
        <color rgb="FF000000"/>
        <sz val="9.0"/>
      </rPr>
      <t>上市（</t>
    </r>
    <r>
      <rPr>
        <rFont val="Arial"/>
        <b/>
        <color rgb="FF000000"/>
        <sz val="9.0"/>
      </rPr>
      <t>1</t>
    </r>
    <r>
      <rPr>
        <rFont val="Noto Sans CJK SC"/>
        <b/>
        <color rgb="FF000000"/>
        <sz val="9.0"/>
      </rPr>
      <t>回きり）</t>
    </r>
  </si>
  <si>
    <r>
      <rPr>
        <rFont val="Arial"/>
        <b/>
        <color rgb="FF000000"/>
        <sz val="9.0"/>
      </rPr>
      <t xml:space="preserve">08 </t>
    </r>
    <r>
      <rPr>
        <rFont val="Noto Sans CJK SC"/>
        <b/>
        <color rgb="FF000000"/>
        <sz val="9.0"/>
      </rPr>
      <t>供給・流通（継続）</t>
    </r>
  </si>
  <si>
    <r>
      <rPr>
        <rFont val="Arial"/>
        <b/>
        <color rgb="FF000000"/>
        <sz val="9.0"/>
      </rPr>
      <t xml:space="preserve">09 </t>
    </r>
    <r>
      <rPr>
        <rFont val="Noto Sans CJK SC"/>
        <b/>
        <color rgb="FF000000"/>
        <sz val="9.0"/>
      </rPr>
      <t>市販後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</si>
</sst>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1F3A5F"/>
      <name val="Noto Sans"/>
    </font>
    <font>
      <b/>
      <sz val="14.0"/>
      <color rgb="FF1F3A5F"/>
      <name val="Arial"/>
    </font>
    <font>
      <sz val="11.0"/>
      <color theme="1"/>
      <name val="Calibri"/>
    </font>
    <font>
      <sz val="9.0"/>
      <color rgb="FF555555"/>
      <name val="Noto Sans"/>
    </font>
    <font>
      <sz val="9.0"/>
      <color rgb="FF555555"/>
      <name val="Arial"/>
    </font>
    <font>
      <b/>
      <sz val="10.0"/>
      <color rgb="FFFFFFFF"/>
      <name val="Arial"/>
    </font>
    <font>
      <b/>
      <sz val="10.0"/>
      <color rgb="FFFFFFFF"/>
      <name val="Noto Sans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Noto Sans"/>
    </font>
    <font/>
    <font>
      <sz val="9.0"/>
      <color rgb="FF000000"/>
      <name val="Noto Sans"/>
    </font>
    <font>
      <b/>
      <sz val="8.0"/>
      <color rgb="FFFFFFFF"/>
      <name val="Noto Sans"/>
    </font>
    <font>
      <b/>
      <sz val="10.0"/>
      <color rgb="FF1D6F6A"/>
      <name val="Arial"/>
    </font>
    <font>
      <sz val="9.0"/>
      <color rgb="FF6B7785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C9D6E3"/>
        <bgColor rgb="FFC9D6E3"/>
      </patternFill>
    </fill>
    <fill>
      <patternFill patternType="solid">
        <fgColor rgb="FF6B7785"/>
        <bgColor rgb="FF6B7785"/>
      </patternFill>
    </fill>
    <fill>
      <patternFill patternType="solid">
        <fgColor rgb="FFDCE5EE"/>
        <bgColor rgb="FFDCE5EE"/>
      </patternFill>
    </fill>
    <fill>
      <patternFill patternType="solid">
        <fgColor rgb="FFEEF2F7"/>
        <bgColor rgb="FFEEF2F7"/>
      </patternFill>
    </fill>
    <fill>
      <patternFill patternType="solid">
        <fgColor rgb="FFEEEEEE"/>
        <bgColor rgb="FFEEEEEE"/>
      </patternFill>
    </fill>
    <fill>
      <patternFill patternType="solid">
        <fgColor rgb="FF3E8A84"/>
        <bgColor rgb="FF3E8A84"/>
      </patternFill>
    </fill>
    <fill>
      <patternFill patternType="solid">
        <fgColor rgb="FF1D6F6A"/>
        <bgColor rgb="FF1D6F6A"/>
      </patternFill>
    </fill>
    <fill>
      <patternFill patternType="solid">
        <fgColor rgb="FF2F4F5A"/>
        <bgColor rgb="FF2F4F5A"/>
      </patternFill>
    </fill>
  </fills>
  <borders count="15">
    <border/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</border>
    <border>
      <left style="thin">
        <color rgb="FFC8CDD3"/>
      </left>
      <top style="thin">
        <color rgb="FFC8CDD3"/>
      </top>
      <bottom style="thin">
        <color rgb="FFC8CDD3"/>
      </bottom>
    </border>
    <border>
      <top style="thin">
        <color rgb="FFC8CDD3"/>
      </top>
      <bottom style="thin">
        <color rgb="FFC8CDD3"/>
      </bottom>
    </border>
    <border>
      <right style="thin">
        <color rgb="FFC8CDD3"/>
      </right>
      <top style="thin">
        <color rgb="FFC8CDD3"/>
      </top>
      <bottom style="thin">
        <color rgb="FFC8CDD3"/>
      </bottom>
    </border>
    <border>
      <left style="thin">
        <color rgb="FFC8CDD3"/>
      </left>
      <right style="thin">
        <color rgb="FFC8CDD3"/>
      </right>
      <top style="thin">
        <color rgb="FFC8CDD3"/>
      </top>
    </border>
    <border>
      <left style="thin">
        <color rgb="FFC8CDD3"/>
      </left>
      <right style="thin">
        <color rgb="FFC8CDD3"/>
      </right>
    </border>
    <border>
      <left style="thin">
        <color rgb="FFC8CDD3"/>
      </left>
      <right style="thin">
        <color rgb="FFC8CDD3"/>
      </right>
      <bottom style="thin">
        <color rgb="FFC8CDD3"/>
      </bottom>
    </border>
    <border>
      <left/>
      <right/>
      <top/>
      <bottom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top" wrapText="1"/>
    </xf>
    <xf borderId="1" fillId="3" fontId="9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horizontal="left" shrinkToFit="0" vertical="top" wrapText="1"/>
    </xf>
    <xf borderId="3" fillId="0" fontId="11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1" fillId="3" fontId="9" numFmtId="0" xfId="0" applyAlignment="1" applyBorder="1" applyFill="1" applyFont="1">
      <alignment horizontal="left" shrinkToFit="0" vertical="top" wrapText="1"/>
    </xf>
    <xf borderId="1" fillId="3" fontId="12" numFmtId="0" xfId="0" applyAlignment="1" applyBorder="1" applyFill="1" applyFont="1">
      <alignment horizontal="center" shrinkToFit="0" vertical="top" wrapText="1"/>
    </xf>
    <xf borderId="4" fillId="0" fontId="11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ill="1" applyFont="1">
      <alignment horizontal="center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1" fillId="5" fontId="10" numFmtId="0" xfId="0" applyAlignment="1" applyBorder="1" applyFill="1" applyFont="1">
      <alignment horizontal="left" shrinkToFit="0" vertical="top" wrapText="1"/>
    </xf>
    <xf borderId="1" fillId="0" fontId="12" numFmtId="0" xfId="0" applyAlignment="1" applyBorder="1" applyFont="1">
      <alignment horizontal="left" shrinkToFit="0" vertical="top" wrapText="1"/>
    </xf>
    <xf borderId="1" fillId="5" fontId="12" numFmtId="0" xfId="0" applyAlignment="1" applyBorder="1" applyFill="1" applyFont="1">
      <alignment horizontal="left" shrinkToFit="0" vertical="top" wrapText="1"/>
    </xf>
    <xf borderId="2" fillId="0" fontId="12" numFmtId="0" xfId="0" applyAlignment="1" applyBorder="1" applyFont="1">
      <alignment horizontal="left" shrinkToFit="0" vertical="top" wrapText="1"/>
    </xf>
    <xf borderId="1" fillId="5" fontId="8" numFmtId="0" xfId="0" applyAlignment="1" applyBorder="1" applyFill="1" applyFont="1">
      <alignment horizontal="left" shrinkToFit="0" vertical="top" wrapText="1"/>
    </xf>
    <xf borderId="1" fillId="6" fontId="8" numFmtId="0" xfId="0" applyAlignment="1" applyBorder="1" applyFill="1" applyFont="1">
      <alignment horizontal="center" shrinkToFit="0" vertical="top" wrapText="1"/>
    </xf>
    <xf borderId="1" fillId="6" fontId="9" numFmtId="0" xfId="0" applyAlignment="1" applyBorder="1" applyFill="1" applyFont="1">
      <alignment horizontal="center" shrinkToFit="0" vertical="top" wrapText="1"/>
    </xf>
    <xf borderId="1" fillId="6" fontId="10" numFmtId="0" xfId="0" applyAlignment="1" applyBorder="1" applyFill="1" applyFont="1">
      <alignment horizontal="left" shrinkToFit="0" vertical="top" wrapText="1"/>
    </xf>
    <xf borderId="1" fillId="6" fontId="12" numFmtId="0" xfId="0" applyAlignment="1" applyBorder="1" applyFill="1" applyFont="1">
      <alignment horizontal="left" shrinkToFit="0" vertical="top" wrapText="1"/>
    </xf>
    <xf borderId="1" fillId="6" fontId="8" numFmtId="0" xfId="0" applyAlignment="1" applyBorder="1" applyFill="1" applyFont="1">
      <alignment horizontal="left" shrinkToFit="0" vertical="top" wrapText="1"/>
    </xf>
    <xf borderId="1" fillId="7" fontId="8" numFmtId="0" xfId="0" applyAlignment="1" applyBorder="1" applyFill="1" applyFont="1">
      <alignment horizontal="left" shrinkToFit="0" vertical="top" wrapText="1"/>
    </xf>
    <xf borderId="1" fillId="7" fontId="12" numFmtId="0" xfId="0" applyAlignment="1" applyBorder="1" applyFill="1" applyFont="1">
      <alignment horizontal="left"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top" wrapText="1"/>
    </xf>
    <xf borderId="1" fillId="7" fontId="8" numFmtId="0" xfId="0" applyAlignment="1" applyBorder="1" applyFill="1" applyFont="1">
      <alignment horizontal="center" shrinkToFit="0" vertical="top" wrapText="1"/>
    </xf>
    <xf borderId="1" fillId="6" fontId="12" numFmtId="0" xfId="0" applyAlignment="1" applyBorder="1" applyFill="1" applyFont="1">
      <alignment horizontal="center" shrinkToFit="0" vertical="top" wrapText="1"/>
    </xf>
    <xf borderId="1" fillId="5" fontId="9" numFmtId="0" xfId="0" applyAlignment="1" applyBorder="1" applyFill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3" fontId="8" numFmtId="0" xfId="0" applyAlignment="1" applyBorder="1" applyFill="1" applyFont="1">
      <alignment horizontal="left" shrinkToFit="0" vertical="top" wrapText="1"/>
    </xf>
    <xf borderId="5" fillId="2" fontId="6" numFmtId="0" xfId="0" applyAlignment="1" applyBorder="1" applyFill="1" applyFont="1">
      <alignment horizontal="center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6" fillId="0" fontId="11" numFmtId="0" xfId="0" applyBorder="1" applyFont="1"/>
    <xf borderId="1" fillId="9" fontId="6" numFmtId="0" xfId="0" applyAlignment="1" applyBorder="1" applyFill="1" applyFont="1">
      <alignment horizontal="center" shrinkToFit="0" vertical="center" wrapText="1"/>
    </xf>
    <xf borderId="7" fillId="0" fontId="11" numFmtId="0" xfId="0" applyBorder="1" applyFont="1"/>
    <xf borderId="1" fillId="8" fontId="7" numFmtId="0" xfId="0" applyAlignment="1" applyBorder="1" applyFill="1" applyFont="1">
      <alignment horizontal="center" shrinkToFit="0" textRotation="90" vertical="bottom" wrapText="1"/>
    </xf>
    <xf borderId="1" fillId="8" fontId="6" numFmtId="0" xfId="0" applyAlignment="1" applyBorder="1" applyFill="1" applyFont="1">
      <alignment horizontal="center" shrinkToFit="0" textRotation="90" vertical="bottom" wrapText="1"/>
    </xf>
    <xf borderId="8" fillId="2" fontId="7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8" fillId="7" fontId="12" numFmtId="0" xfId="0" applyAlignment="1" applyBorder="1" applyFill="1" applyFont="1">
      <alignment horizontal="center" shrinkToFit="0" vertical="center" wrapText="1"/>
    </xf>
    <xf borderId="8" fillId="7" fontId="12" numFmtId="0" xfId="0" applyAlignment="1" applyBorder="1" applyFill="1" applyFont="1">
      <alignment horizontal="left" shrinkToFit="0" vertical="center" wrapText="1"/>
    </xf>
    <xf borderId="8" fillId="7" fontId="8" numFmtId="0" xfId="0" applyAlignment="1" applyBorder="1" applyFill="1" applyFont="1">
      <alignment horizontal="center" shrinkToFit="0" vertical="center" wrapText="1"/>
    </xf>
    <xf borderId="9" fillId="2" fontId="7" numFmtId="0" xfId="0" applyAlignment="1" applyBorder="1" applyFill="1" applyFont="1">
      <alignment horizontal="center" shrinkToFit="0" vertical="center" wrapText="1"/>
    </xf>
    <xf borderId="10" fillId="10" fontId="7" numFmtId="0" xfId="0" applyAlignment="1" applyBorder="1" applyFill="1" applyFont="1">
      <alignment horizontal="center" shrinkToFit="0" vertical="center" wrapText="1"/>
    </xf>
    <xf borderId="11" fillId="0" fontId="11" numFmtId="0" xfId="0" applyBorder="1" applyFont="1"/>
    <xf borderId="12" fillId="0" fontId="11" numFmtId="0" xfId="0" applyBorder="1" applyFont="1"/>
    <xf borderId="9" fillId="4" fontId="7" numFmtId="0" xfId="0" applyAlignment="1" applyBorder="1" applyFill="1" applyFont="1">
      <alignment horizontal="center" shrinkToFit="0" vertical="center" wrapText="1"/>
    </xf>
    <xf borderId="13" fillId="0" fontId="11" numFmtId="0" xfId="0" applyBorder="1" applyFont="1"/>
    <xf borderId="8" fillId="10" fontId="13" numFmtId="0" xfId="0" applyAlignment="1" applyBorder="1" applyFill="1" applyFont="1">
      <alignment horizontal="center" shrinkToFit="0" textRotation="255" vertical="bottom" wrapText="1"/>
    </xf>
    <xf borderId="0" fillId="0" fontId="10" numFmtId="0" xfId="0" applyAlignment="1" applyFont="1">
      <alignment shrinkToFit="0" vertical="bottom" wrapText="0"/>
    </xf>
    <xf borderId="8" fillId="7" fontId="12" numFmtId="0" xfId="0" applyAlignment="1" applyBorder="1" applyFill="1" applyFont="1">
      <alignment shrinkToFit="0" vertical="bottom" wrapText="0"/>
    </xf>
    <xf borderId="14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8" fillId="10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FE3E0"/>
          <bgColor rgb="FFCFE3E0"/>
        </patternFill>
      </fill>
      <border/>
    </dxf>
    <dxf>
      <font>
        <b/>
        <color rgb="FFFFFFFF"/>
        <name val="Arial"/>
      </font>
      <fill>
        <patternFill patternType="solid">
          <fgColor rgb="FF1D6F6A"/>
          <bgColor rgb="FF1D6F6A"/>
        </patternFill>
      </fill>
      <border/>
    </dxf>
    <dxf>
      <font>
        <color rgb="FF1D6F6A"/>
        <name val="Arial"/>
      </font>
      <fill>
        <patternFill patternType="solid">
          <fgColor rgb="FFCFE6E3"/>
          <bgColor rgb="FFCFE6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9.0"/>
    <col customWidth="1" min="2" max="5" width="4.43"/>
    <col customWidth="1" min="6" max="6" width="36.0"/>
    <col customWidth="1" min="7" max="7" width="44.0"/>
    <col customWidth="1" min="8" max="8" width="18.0"/>
    <col customWidth="1" min="9" max="10" width="26.0"/>
    <col customWidth="1" min="11" max="11" width="10.0"/>
    <col customWidth="1" min="12" max="12" width="28.0"/>
    <col customWidth="1" min="13" max="26" width="8.71"/>
  </cols>
  <sheetData>
    <row r="1" ht="21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5.0" customHeight="1">
      <c r="A2" s="4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30.0" customHeight="1">
      <c r="A3" s="6" t="s">
        <v>8</v>
      </c>
      <c r="B3" s="6" t="s">
        <v>12</v>
      </c>
      <c r="C3" s="6" t="s">
        <v>13</v>
      </c>
      <c r="D3" s="6" t="s">
        <v>15</v>
      </c>
      <c r="E3" s="6" t="s">
        <v>25</v>
      </c>
      <c r="F3" s="6" t="s">
        <v>26</v>
      </c>
      <c r="G3" s="6" t="s">
        <v>27</v>
      </c>
      <c r="H3" s="7" t="s">
        <v>29</v>
      </c>
      <c r="I3" s="10" t="s">
        <v>30</v>
      </c>
      <c r="J3" s="10" t="s">
        <v>32</v>
      </c>
      <c r="K3" s="6" t="s">
        <v>33</v>
      </c>
      <c r="L3" s="7" t="s">
        <v>34</v>
      </c>
    </row>
    <row r="4" ht="26.25" customHeight="1">
      <c r="A4" s="8" t="s">
        <v>35</v>
      </c>
      <c r="B4" s="9" t="s">
        <v>28</v>
      </c>
      <c r="C4" s="9"/>
      <c r="D4" s="9"/>
      <c r="E4" s="9"/>
      <c r="F4" s="15" t="s">
        <v>37</v>
      </c>
      <c r="G4" s="14" t="s">
        <v>41</v>
      </c>
      <c r="H4" s="14"/>
      <c r="I4" s="14"/>
      <c r="J4" s="14"/>
      <c r="K4" s="8"/>
      <c r="L4" s="14"/>
    </row>
    <row r="5" ht="26.25" customHeight="1">
      <c r="A5" s="19" t="s">
        <v>43</v>
      </c>
      <c r="B5" s="21"/>
      <c r="C5" s="21" t="s">
        <v>28</v>
      </c>
      <c r="D5" s="21"/>
      <c r="E5" s="21"/>
      <c r="F5" s="24" t="s">
        <v>49</v>
      </c>
      <c r="G5" s="26" t="s">
        <v>52</v>
      </c>
      <c r="H5" s="26" t="s">
        <v>54</v>
      </c>
      <c r="I5" s="26"/>
      <c r="J5" s="26"/>
      <c r="K5" s="19"/>
      <c r="L5" s="26"/>
    </row>
    <row r="6" ht="26.25" customHeight="1">
      <c r="A6" s="29" t="s">
        <v>55</v>
      </c>
      <c r="B6" s="30"/>
      <c r="C6" s="30"/>
      <c r="D6" s="30" t="s">
        <v>28</v>
      </c>
      <c r="E6" s="30"/>
      <c r="F6" s="31" t="s">
        <v>59</v>
      </c>
      <c r="G6" s="32" t="s">
        <v>63</v>
      </c>
      <c r="H6" s="32"/>
      <c r="I6" s="32"/>
      <c r="J6" s="32"/>
      <c r="K6" s="29"/>
      <c r="L6" s="32"/>
    </row>
    <row r="7" ht="26.25" customHeight="1">
      <c r="A7" s="22" t="s">
        <v>45</v>
      </c>
      <c r="B7" s="20"/>
      <c r="C7" s="20"/>
      <c r="D7" s="20"/>
      <c r="E7" s="20" t="s">
        <v>28</v>
      </c>
      <c r="F7" s="25" t="s">
        <v>48</v>
      </c>
      <c r="G7" s="25"/>
      <c r="H7" s="25"/>
      <c r="I7" s="34" t="s">
        <v>82</v>
      </c>
      <c r="J7" s="35" t="s">
        <v>88</v>
      </c>
      <c r="K7" s="36" t="s">
        <v>95</v>
      </c>
      <c r="L7" s="25" t="s">
        <v>98</v>
      </c>
    </row>
    <row r="8" ht="26.25" customHeight="1">
      <c r="A8" s="22" t="s">
        <v>100</v>
      </c>
      <c r="B8" s="20"/>
      <c r="C8" s="20"/>
      <c r="D8" s="20"/>
      <c r="E8" s="20" t="s">
        <v>28</v>
      </c>
      <c r="F8" s="25" t="s">
        <v>106</v>
      </c>
      <c r="G8" s="38"/>
      <c r="H8" s="38"/>
      <c r="I8" s="35" t="s">
        <v>116</v>
      </c>
      <c r="J8" s="35" t="s">
        <v>120</v>
      </c>
      <c r="K8" s="36" t="s">
        <v>95</v>
      </c>
      <c r="L8" s="25" t="s">
        <v>122</v>
      </c>
    </row>
    <row r="9" ht="26.25" customHeight="1">
      <c r="A9" s="22" t="s">
        <v>124</v>
      </c>
      <c r="B9" s="20"/>
      <c r="C9" s="20"/>
      <c r="D9" s="20"/>
      <c r="E9" s="20" t="s">
        <v>28</v>
      </c>
      <c r="F9" s="25" t="s">
        <v>127</v>
      </c>
      <c r="G9" s="38"/>
      <c r="H9" s="38"/>
      <c r="I9" s="35" t="s">
        <v>88</v>
      </c>
      <c r="J9" s="35" t="s">
        <v>131</v>
      </c>
      <c r="K9" s="36" t="s">
        <v>95</v>
      </c>
      <c r="L9" s="25" t="s">
        <v>132</v>
      </c>
    </row>
    <row r="10" ht="26.25" customHeight="1">
      <c r="A10" s="22" t="s">
        <v>134</v>
      </c>
      <c r="B10" s="20"/>
      <c r="C10" s="20"/>
      <c r="D10" s="20"/>
      <c r="E10" s="20" t="s">
        <v>28</v>
      </c>
      <c r="F10" s="25" t="s">
        <v>136</v>
      </c>
      <c r="G10" s="38"/>
      <c r="H10" s="38"/>
      <c r="I10" s="35" t="s">
        <v>120</v>
      </c>
      <c r="J10" s="35" t="s">
        <v>140</v>
      </c>
      <c r="K10" s="36" t="s">
        <v>95</v>
      </c>
      <c r="L10" s="25" t="s">
        <v>144</v>
      </c>
    </row>
    <row r="11" ht="26.25" customHeight="1">
      <c r="A11" s="22" t="s">
        <v>146</v>
      </c>
      <c r="B11" s="20"/>
      <c r="C11" s="20"/>
      <c r="D11" s="20"/>
      <c r="E11" s="20" t="s">
        <v>28</v>
      </c>
      <c r="F11" s="25" t="s">
        <v>150</v>
      </c>
      <c r="G11" s="38"/>
      <c r="H11" s="38"/>
      <c r="I11" s="35" t="s">
        <v>153</v>
      </c>
      <c r="J11" s="35" t="s">
        <v>120</v>
      </c>
      <c r="K11" s="36" t="s">
        <v>95</v>
      </c>
      <c r="L11" s="25" t="s">
        <v>144</v>
      </c>
    </row>
    <row r="12" ht="26.25" customHeight="1">
      <c r="A12" s="22" t="s">
        <v>155</v>
      </c>
      <c r="B12" s="20"/>
      <c r="C12" s="20"/>
      <c r="D12" s="20"/>
      <c r="E12" s="20" t="s">
        <v>28</v>
      </c>
      <c r="F12" s="25" t="s">
        <v>159</v>
      </c>
      <c r="G12" s="38"/>
      <c r="H12" s="38"/>
      <c r="I12" s="35" t="s">
        <v>162</v>
      </c>
      <c r="J12" s="35" t="s">
        <v>165</v>
      </c>
      <c r="K12" s="36" t="s">
        <v>95</v>
      </c>
      <c r="L12" s="25" t="s">
        <v>166</v>
      </c>
    </row>
    <row r="13" ht="26.25" customHeight="1">
      <c r="A13" s="29" t="s">
        <v>168</v>
      </c>
      <c r="B13" s="30"/>
      <c r="C13" s="30"/>
      <c r="D13" s="30" t="s">
        <v>28</v>
      </c>
      <c r="E13" s="30"/>
      <c r="F13" s="31" t="s">
        <v>175</v>
      </c>
      <c r="G13" s="32" t="s">
        <v>177</v>
      </c>
      <c r="H13" s="32"/>
      <c r="I13" s="32"/>
      <c r="J13" s="32"/>
      <c r="K13" s="29"/>
      <c r="L13" s="32"/>
    </row>
    <row r="14" ht="15.0" customHeight="1">
      <c r="A14" s="22" t="s">
        <v>181</v>
      </c>
      <c r="B14" s="20"/>
      <c r="C14" s="20"/>
      <c r="D14" s="20"/>
      <c r="E14" s="20" t="s">
        <v>28</v>
      </c>
      <c r="F14" s="25" t="s">
        <v>187</v>
      </c>
      <c r="G14" s="38"/>
      <c r="H14" s="38"/>
      <c r="I14" s="35" t="s">
        <v>120</v>
      </c>
      <c r="J14" s="35" t="s">
        <v>190</v>
      </c>
      <c r="K14" s="36" t="s">
        <v>95</v>
      </c>
      <c r="L14" s="25" t="s">
        <v>203</v>
      </c>
    </row>
    <row r="15" ht="26.25" customHeight="1">
      <c r="A15" s="22" t="s">
        <v>207</v>
      </c>
      <c r="B15" s="20"/>
      <c r="C15" s="20"/>
      <c r="D15" s="20"/>
      <c r="E15" s="20" t="s">
        <v>28</v>
      </c>
      <c r="F15" s="25" t="s">
        <v>210</v>
      </c>
      <c r="G15" s="38"/>
      <c r="H15" s="38"/>
      <c r="I15" s="35" t="s">
        <v>213</v>
      </c>
      <c r="J15" s="35" t="s">
        <v>214</v>
      </c>
      <c r="K15" s="36" t="s">
        <v>95</v>
      </c>
      <c r="L15" s="25" t="s">
        <v>216</v>
      </c>
    </row>
    <row r="16" ht="15.0" customHeight="1">
      <c r="A16" s="22" t="s">
        <v>218</v>
      </c>
      <c r="B16" s="20"/>
      <c r="C16" s="20"/>
      <c r="D16" s="20"/>
      <c r="E16" s="20" t="s">
        <v>28</v>
      </c>
      <c r="F16" s="25" t="s">
        <v>223</v>
      </c>
      <c r="G16" s="38"/>
      <c r="H16" s="38"/>
      <c r="I16" s="35" t="s">
        <v>225</v>
      </c>
      <c r="J16" s="35" t="s">
        <v>227</v>
      </c>
      <c r="K16" s="36" t="s">
        <v>95</v>
      </c>
      <c r="L16" s="25" t="s">
        <v>144</v>
      </c>
    </row>
    <row r="17" ht="26.25" customHeight="1">
      <c r="A17" s="22" t="s">
        <v>234</v>
      </c>
      <c r="B17" s="20"/>
      <c r="C17" s="20"/>
      <c r="D17" s="20"/>
      <c r="E17" s="20" t="s">
        <v>28</v>
      </c>
      <c r="F17" s="25" t="s">
        <v>238</v>
      </c>
      <c r="G17" s="38"/>
      <c r="H17" s="38"/>
      <c r="I17" s="35" t="s">
        <v>225</v>
      </c>
      <c r="J17" s="35" t="s">
        <v>140</v>
      </c>
      <c r="K17" s="36" t="s">
        <v>95</v>
      </c>
      <c r="L17" s="25" t="s">
        <v>144</v>
      </c>
    </row>
    <row r="18" ht="15.0" customHeight="1">
      <c r="A18" s="22" t="s">
        <v>243</v>
      </c>
      <c r="B18" s="20"/>
      <c r="C18" s="20"/>
      <c r="D18" s="20"/>
      <c r="E18" s="20" t="s">
        <v>28</v>
      </c>
      <c r="F18" s="25" t="s">
        <v>246</v>
      </c>
      <c r="G18" s="38"/>
      <c r="H18" s="38"/>
      <c r="I18" s="35" t="s">
        <v>140</v>
      </c>
      <c r="J18" s="35" t="s">
        <v>250</v>
      </c>
      <c r="K18" s="36" t="s">
        <v>95</v>
      </c>
      <c r="L18" s="25" t="s">
        <v>144</v>
      </c>
    </row>
    <row r="19" ht="26.25" customHeight="1">
      <c r="A19" s="29" t="s">
        <v>253</v>
      </c>
      <c r="B19" s="30"/>
      <c r="C19" s="30"/>
      <c r="D19" s="30" t="s">
        <v>28</v>
      </c>
      <c r="E19" s="30"/>
      <c r="F19" s="31" t="s">
        <v>259</v>
      </c>
      <c r="G19" s="32" t="s">
        <v>262</v>
      </c>
      <c r="H19" s="32"/>
      <c r="I19" s="32"/>
      <c r="J19" s="32"/>
      <c r="K19" s="29"/>
      <c r="L19" s="32"/>
    </row>
    <row r="20" ht="15.0" customHeight="1">
      <c r="A20" s="22" t="s">
        <v>268</v>
      </c>
      <c r="B20" s="20"/>
      <c r="C20" s="20"/>
      <c r="D20" s="20"/>
      <c r="E20" s="20" t="s">
        <v>28</v>
      </c>
      <c r="F20" s="25" t="s">
        <v>273</v>
      </c>
      <c r="G20" s="38"/>
      <c r="H20" s="38"/>
      <c r="I20" s="35" t="s">
        <v>214</v>
      </c>
      <c r="J20" s="35" t="s">
        <v>214</v>
      </c>
      <c r="K20" s="36" t="s">
        <v>95</v>
      </c>
      <c r="L20" s="25" t="s">
        <v>277</v>
      </c>
    </row>
    <row r="21" ht="15.0" customHeight="1">
      <c r="A21" s="22" t="s">
        <v>280</v>
      </c>
      <c r="B21" s="20"/>
      <c r="C21" s="20"/>
      <c r="D21" s="20"/>
      <c r="E21" s="20" t="s">
        <v>28</v>
      </c>
      <c r="F21" s="25" t="s">
        <v>283</v>
      </c>
      <c r="G21" s="38"/>
      <c r="H21" s="38"/>
      <c r="I21" s="35" t="s">
        <v>214</v>
      </c>
      <c r="J21" s="35" t="s">
        <v>214</v>
      </c>
      <c r="K21" s="36" t="s">
        <v>95</v>
      </c>
      <c r="L21" s="25" t="s">
        <v>277</v>
      </c>
    </row>
    <row r="22" ht="26.25" customHeight="1">
      <c r="A22" s="22" t="s">
        <v>289</v>
      </c>
      <c r="B22" s="20"/>
      <c r="C22" s="20"/>
      <c r="D22" s="20"/>
      <c r="E22" s="20" t="s">
        <v>28</v>
      </c>
      <c r="F22" s="38" t="s">
        <v>294</v>
      </c>
      <c r="G22" s="38"/>
      <c r="H22" s="38"/>
      <c r="I22" s="35" t="s">
        <v>214</v>
      </c>
      <c r="J22" s="35" t="s">
        <v>214</v>
      </c>
      <c r="K22" s="36" t="s">
        <v>95</v>
      </c>
      <c r="L22" s="25" t="s">
        <v>277</v>
      </c>
    </row>
    <row r="23" ht="26.25" customHeight="1">
      <c r="A23" s="22" t="s">
        <v>299</v>
      </c>
      <c r="B23" s="20"/>
      <c r="C23" s="20"/>
      <c r="D23" s="20"/>
      <c r="E23" s="20" t="s">
        <v>28</v>
      </c>
      <c r="F23" s="25" t="s">
        <v>303</v>
      </c>
      <c r="G23" s="38"/>
      <c r="H23" s="38"/>
      <c r="I23" s="35" t="s">
        <v>214</v>
      </c>
      <c r="J23" s="35" t="s">
        <v>140</v>
      </c>
      <c r="K23" s="36" t="s">
        <v>95</v>
      </c>
      <c r="L23" s="25" t="s">
        <v>309</v>
      </c>
    </row>
    <row r="24" ht="15.0" customHeight="1">
      <c r="A24" s="22" t="s">
        <v>312</v>
      </c>
      <c r="B24" s="20"/>
      <c r="C24" s="20"/>
      <c r="D24" s="20"/>
      <c r="E24" s="20" t="s">
        <v>28</v>
      </c>
      <c r="F24" s="25" t="s">
        <v>316</v>
      </c>
      <c r="G24" s="38"/>
      <c r="H24" s="38"/>
      <c r="I24" s="35" t="s">
        <v>214</v>
      </c>
      <c r="J24" s="35" t="s">
        <v>320</v>
      </c>
      <c r="K24" s="36" t="s">
        <v>95</v>
      </c>
      <c r="L24" s="25" t="s">
        <v>323</v>
      </c>
    </row>
    <row r="25" ht="26.25" customHeight="1">
      <c r="A25" s="22" t="s">
        <v>325</v>
      </c>
      <c r="B25" s="20"/>
      <c r="C25" s="20"/>
      <c r="D25" s="20"/>
      <c r="E25" s="20" t="s">
        <v>28</v>
      </c>
      <c r="F25" s="25" t="s">
        <v>332</v>
      </c>
      <c r="G25" s="38"/>
      <c r="H25" s="38"/>
      <c r="I25" s="35" t="s">
        <v>335</v>
      </c>
      <c r="J25" s="35" t="s">
        <v>337</v>
      </c>
      <c r="K25" s="36" t="s">
        <v>95</v>
      </c>
      <c r="L25" s="25" t="s">
        <v>339</v>
      </c>
    </row>
    <row r="26" ht="26.25" customHeight="1">
      <c r="A26" s="29" t="s">
        <v>341</v>
      </c>
      <c r="B26" s="30"/>
      <c r="C26" s="30"/>
      <c r="D26" s="30" t="s">
        <v>28</v>
      </c>
      <c r="E26" s="30"/>
      <c r="F26" s="31" t="s">
        <v>345</v>
      </c>
      <c r="G26" s="33" t="s">
        <v>350</v>
      </c>
      <c r="H26" s="33"/>
      <c r="I26" s="33"/>
      <c r="J26" s="33"/>
      <c r="K26" s="29"/>
      <c r="L26" s="33"/>
    </row>
    <row r="27" ht="39.0" customHeight="1">
      <c r="A27" s="22" t="s">
        <v>356</v>
      </c>
      <c r="B27" s="20"/>
      <c r="C27" s="20"/>
      <c r="D27" s="20"/>
      <c r="E27" s="20" t="s">
        <v>28</v>
      </c>
      <c r="F27" s="25" t="s">
        <v>360</v>
      </c>
      <c r="G27" s="38"/>
      <c r="H27" s="38"/>
      <c r="I27" s="35" t="s">
        <v>361</v>
      </c>
      <c r="J27" s="35" t="s">
        <v>363</v>
      </c>
      <c r="K27" s="36" t="s">
        <v>95</v>
      </c>
      <c r="L27" s="25" t="s">
        <v>366</v>
      </c>
    </row>
    <row r="28" ht="26.25" customHeight="1">
      <c r="A28" s="22" t="s">
        <v>369</v>
      </c>
      <c r="B28" s="20"/>
      <c r="C28" s="20"/>
      <c r="D28" s="20"/>
      <c r="E28" s="20" t="s">
        <v>28</v>
      </c>
      <c r="F28" s="25" t="s">
        <v>372</v>
      </c>
      <c r="G28" s="38"/>
      <c r="H28" s="38"/>
      <c r="I28" s="35" t="s">
        <v>373</v>
      </c>
      <c r="J28" s="35" t="s">
        <v>376</v>
      </c>
      <c r="K28" s="36" t="s">
        <v>95</v>
      </c>
      <c r="L28" s="25" t="s">
        <v>378</v>
      </c>
    </row>
    <row r="29" ht="15.0" customHeight="1">
      <c r="A29" s="22" t="s">
        <v>381</v>
      </c>
      <c r="B29" s="20"/>
      <c r="C29" s="20"/>
      <c r="D29" s="20"/>
      <c r="E29" s="20" t="s">
        <v>28</v>
      </c>
      <c r="F29" s="25" t="s">
        <v>383</v>
      </c>
      <c r="G29" s="38"/>
      <c r="H29" s="38"/>
      <c r="I29" s="35" t="s">
        <v>214</v>
      </c>
      <c r="J29" s="35" t="s">
        <v>391</v>
      </c>
      <c r="K29" s="36" t="s">
        <v>95</v>
      </c>
      <c r="L29" s="25" t="s">
        <v>392</v>
      </c>
    </row>
    <row r="30" ht="39.0" customHeight="1">
      <c r="A30" s="22" t="s">
        <v>393</v>
      </c>
      <c r="B30" s="20"/>
      <c r="C30" s="20"/>
      <c r="D30" s="20"/>
      <c r="E30" s="20" t="s">
        <v>28</v>
      </c>
      <c r="F30" s="25" t="s">
        <v>396</v>
      </c>
      <c r="G30" s="38"/>
      <c r="H30" s="38"/>
      <c r="I30" s="35" t="s">
        <v>399</v>
      </c>
      <c r="J30" s="35" t="s">
        <v>402</v>
      </c>
      <c r="K30" s="36" t="s">
        <v>95</v>
      </c>
      <c r="L30" s="25" t="s">
        <v>404</v>
      </c>
    </row>
    <row r="31" ht="26.25" customHeight="1">
      <c r="A31" s="19" t="s">
        <v>407</v>
      </c>
      <c r="B31" s="21"/>
      <c r="C31" s="21" t="s">
        <v>28</v>
      </c>
      <c r="D31" s="21"/>
      <c r="E31" s="21"/>
      <c r="F31" s="24" t="s">
        <v>412</v>
      </c>
      <c r="G31" s="26" t="s">
        <v>414</v>
      </c>
      <c r="H31" s="28" t="s">
        <v>430</v>
      </c>
      <c r="I31" s="28"/>
      <c r="J31" s="28"/>
      <c r="K31" s="19"/>
      <c r="L31" s="28"/>
    </row>
    <row r="32" ht="15.0" customHeight="1">
      <c r="A32" s="29" t="s">
        <v>455</v>
      </c>
      <c r="B32" s="30"/>
      <c r="C32" s="30"/>
      <c r="D32" s="30" t="s">
        <v>28</v>
      </c>
      <c r="E32" s="30"/>
      <c r="F32" s="31" t="s">
        <v>466</v>
      </c>
      <c r="G32" s="32" t="s">
        <v>471</v>
      </c>
      <c r="H32" s="33"/>
      <c r="I32" s="33"/>
      <c r="J32" s="33"/>
      <c r="K32" s="29"/>
      <c r="L32" s="33"/>
    </row>
    <row r="33" ht="15.0" customHeight="1">
      <c r="A33" s="22" t="s">
        <v>481</v>
      </c>
      <c r="B33" s="20"/>
      <c r="C33" s="20"/>
      <c r="D33" s="20"/>
      <c r="E33" s="20" t="s">
        <v>28</v>
      </c>
      <c r="F33" s="25" t="s">
        <v>489</v>
      </c>
      <c r="G33" s="38"/>
      <c r="H33" s="38"/>
      <c r="I33" s="35" t="s">
        <v>227</v>
      </c>
      <c r="J33" s="35" t="s">
        <v>498</v>
      </c>
      <c r="K33" s="36" t="s">
        <v>95</v>
      </c>
      <c r="L33" s="25" t="s">
        <v>323</v>
      </c>
    </row>
    <row r="34" ht="26.25" customHeight="1">
      <c r="A34" s="22" t="s">
        <v>504</v>
      </c>
      <c r="B34" s="20"/>
      <c r="C34" s="20"/>
      <c r="D34" s="20"/>
      <c r="E34" s="20" t="s">
        <v>28</v>
      </c>
      <c r="F34" s="25" t="s">
        <v>512</v>
      </c>
      <c r="G34" s="38"/>
      <c r="H34" s="38"/>
      <c r="I34" s="35" t="s">
        <v>516</v>
      </c>
      <c r="J34" s="35" t="s">
        <v>517</v>
      </c>
      <c r="K34" s="36" t="s">
        <v>95</v>
      </c>
      <c r="L34" s="25" t="s">
        <v>520</v>
      </c>
    </row>
    <row r="35" ht="26.25" customHeight="1">
      <c r="A35" s="22" t="s">
        <v>522</v>
      </c>
      <c r="B35" s="20"/>
      <c r="C35" s="20"/>
      <c r="D35" s="20"/>
      <c r="E35" s="20" t="s">
        <v>28</v>
      </c>
      <c r="F35" s="25" t="s">
        <v>527</v>
      </c>
      <c r="G35" s="38"/>
      <c r="H35" s="38"/>
      <c r="I35" s="35" t="s">
        <v>530</v>
      </c>
      <c r="J35" s="35" t="s">
        <v>533</v>
      </c>
      <c r="K35" s="22" t="s">
        <v>535</v>
      </c>
      <c r="L35" s="25" t="s">
        <v>538</v>
      </c>
    </row>
    <row r="36" ht="26.25" customHeight="1">
      <c r="A36" s="29" t="s">
        <v>542</v>
      </c>
      <c r="B36" s="30"/>
      <c r="C36" s="30"/>
      <c r="D36" s="30" t="s">
        <v>28</v>
      </c>
      <c r="E36" s="30"/>
      <c r="F36" s="31" t="s">
        <v>547</v>
      </c>
      <c r="G36" s="33" t="s">
        <v>557</v>
      </c>
      <c r="H36" s="33"/>
      <c r="I36" s="33"/>
      <c r="J36" s="33"/>
      <c r="K36" s="29"/>
      <c r="L36" s="33"/>
    </row>
    <row r="37" ht="26.25" customHeight="1">
      <c r="A37" s="22" t="s">
        <v>564</v>
      </c>
      <c r="B37" s="20"/>
      <c r="C37" s="20"/>
      <c r="D37" s="20"/>
      <c r="E37" s="20" t="s">
        <v>28</v>
      </c>
      <c r="F37" s="38" t="s">
        <v>575</v>
      </c>
      <c r="G37" s="38"/>
      <c r="H37" s="38"/>
      <c r="I37" s="35" t="s">
        <v>214</v>
      </c>
      <c r="J37" s="35" t="s">
        <v>577</v>
      </c>
      <c r="K37" s="22" t="s">
        <v>535</v>
      </c>
      <c r="L37" s="25" t="s">
        <v>581</v>
      </c>
    </row>
    <row r="38" ht="15.0" customHeight="1">
      <c r="A38" s="22" t="s">
        <v>586</v>
      </c>
      <c r="B38" s="20"/>
      <c r="C38" s="20"/>
      <c r="D38" s="20"/>
      <c r="E38" s="20" t="s">
        <v>28</v>
      </c>
      <c r="F38" s="25" t="s">
        <v>591</v>
      </c>
      <c r="G38" s="38"/>
      <c r="H38" s="38"/>
      <c r="I38" s="35" t="s">
        <v>597</v>
      </c>
      <c r="J38" s="35" t="s">
        <v>533</v>
      </c>
      <c r="K38" s="36" t="s">
        <v>95</v>
      </c>
      <c r="L38" s="25" t="s">
        <v>602</v>
      </c>
    </row>
    <row r="39" ht="26.25" customHeight="1">
      <c r="A39" s="22" t="s">
        <v>605</v>
      </c>
      <c r="B39" s="20"/>
      <c r="C39" s="20"/>
      <c r="D39" s="20"/>
      <c r="E39" s="20" t="s">
        <v>28</v>
      </c>
      <c r="F39" s="25" t="s">
        <v>610</v>
      </c>
      <c r="G39" s="38"/>
      <c r="H39" s="38"/>
      <c r="I39" s="35" t="s">
        <v>577</v>
      </c>
      <c r="J39" s="35" t="s">
        <v>614</v>
      </c>
      <c r="K39" s="22" t="s">
        <v>535</v>
      </c>
      <c r="L39" s="25" t="s">
        <v>581</v>
      </c>
    </row>
    <row r="40" ht="26.25" customHeight="1">
      <c r="A40" s="22" t="s">
        <v>619</v>
      </c>
      <c r="B40" s="20"/>
      <c r="C40" s="20"/>
      <c r="D40" s="20"/>
      <c r="E40" s="20" t="s">
        <v>28</v>
      </c>
      <c r="F40" s="25" t="s">
        <v>625</v>
      </c>
      <c r="G40" s="38"/>
      <c r="H40" s="38"/>
      <c r="I40" s="35" t="s">
        <v>533</v>
      </c>
      <c r="J40" s="34" t="s">
        <v>632</v>
      </c>
      <c r="K40" s="36" t="s">
        <v>95</v>
      </c>
      <c r="L40" s="25" t="s">
        <v>636</v>
      </c>
    </row>
    <row r="41" ht="26.25" customHeight="1">
      <c r="A41" s="29" t="s">
        <v>639</v>
      </c>
      <c r="B41" s="30"/>
      <c r="C41" s="30"/>
      <c r="D41" s="30" t="s">
        <v>28</v>
      </c>
      <c r="E41" s="30"/>
      <c r="F41" s="31" t="s">
        <v>642</v>
      </c>
      <c r="G41" s="32" t="s">
        <v>643</v>
      </c>
      <c r="H41" s="33"/>
      <c r="I41" s="33"/>
      <c r="J41" s="33"/>
      <c r="K41" s="29"/>
      <c r="L41" s="33"/>
    </row>
    <row r="42" ht="26.25" customHeight="1">
      <c r="A42" s="22" t="s">
        <v>652</v>
      </c>
      <c r="B42" s="20"/>
      <c r="C42" s="20"/>
      <c r="D42" s="20"/>
      <c r="E42" s="20" t="s">
        <v>28</v>
      </c>
      <c r="F42" s="25" t="s">
        <v>658</v>
      </c>
      <c r="G42" s="38"/>
      <c r="H42" s="38"/>
      <c r="I42" s="35" t="s">
        <v>227</v>
      </c>
      <c r="J42" s="35" t="s">
        <v>498</v>
      </c>
      <c r="K42" s="36" t="s">
        <v>95</v>
      </c>
      <c r="L42" s="25" t="s">
        <v>664</v>
      </c>
    </row>
    <row r="43" ht="26.25" customHeight="1">
      <c r="A43" s="22" t="s">
        <v>667</v>
      </c>
      <c r="B43" s="20"/>
      <c r="C43" s="20"/>
      <c r="D43" s="20"/>
      <c r="E43" s="20" t="s">
        <v>28</v>
      </c>
      <c r="F43" s="25" t="s">
        <v>671</v>
      </c>
      <c r="G43" s="38"/>
      <c r="H43" s="38"/>
      <c r="I43" s="35" t="s">
        <v>530</v>
      </c>
      <c r="J43" s="35" t="s">
        <v>517</v>
      </c>
      <c r="K43" s="22" t="s">
        <v>535</v>
      </c>
      <c r="L43" s="25" t="s">
        <v>538</v>
      </c>
    </row>
    <row r="44" ht="26.25" customHeight="1">
      <c r="A44" s="22" t="s">
        <v>680</v>
      </c>
      <c r="B44" s="20"/>
      <c r="C44" s="20"/>
      <c r="D44" s="20"/>
      <c r="E44" s="20" t="s">
        <v>28</v>
      </c>
      <c r="F44" s="38" t="s">
        <v>685</v>
      </c>
      <c r="G44" s="38"/>
      <c r="H44" s="38"/>
      <c r="I44" s="35" t="s">
        <v>689</v>
      </c>
      <c r="J44" s="35" t="s">
        <v>517</v>
      </c>
      <c r="K44" s="22" t="s">
        <v>535</v>
      </c>
      <c r="L44" s="25" t="s">
        <v>538</v>
      </c>
    </row>
    <row r="45" ht="26.25" customHeight="1">
      <c r="A45" s="22" t="s">
        <v>699</v>
      </c>
      <c r="B45" s="20"/>
      <c r="C45" s="20"/>
      <c r="D45" s="20"/>
      <c r="E45" s="20" t="s">
        <v>28</v>
      </c>
      <c r="F45" s="25" t="s">
        <v>706</v>
      </c>
      <c r="G45" s="38"/>
      <c r="H45" s="38"/>
      <c r="I45" s="35" t="s">
        <v>214</v>
      </c>
      <c r="J45" s="35" t="s">
        <v>533</v>
      </c>
      <c r="K45" s="36" t="s">
        <v>95</v>
      </c>
      <c r="L45" s="25" t="s">
        <v>664</v>
      </c>
    </row>
    <row r="46" ht="26.25" customHeight="1">
      <c r="A46" s="22" t="s">
        <v>716</v>
      </c>
      <c r="B46" s="20"/>
      <c r="C46" s="20"/>
      <c r="D46" s="20"/>
      <c r="E46" s="20" t="s">
        <v>28</v>
      </c>
      <c r="F46" s="25" t="s">
        <v>721</v>
      </c>
      <c r="G46" s="38"/>
      <c r="H46" s="38"/>
      <c r="I46" s="35" t="s">
        <v>498</v>
      </c>
      <c r="J46" s="35" t="s">
        <v>530</v>
      </c>
      <c r="K46" s="36" t="s">
        <v>95</v>
      </c>
      <c r="L46" s="25" t="s">
        <v>664</v>
      </c>
    </row>
    <row r="47" ht="26.25" customHeight="1">
      <c r="A47" s="29" t="s">
        <v>731</v>
      </c>
      <c r="B47" s="30"/>
      <c r="C47" s="30"/>
      <c r="D47" s="30" t="s">
        <v>28</v>
      </c>
      <c r="E47" s="30"/>
      <c r="F47" s="31" t="s">
        <v>735</v>
      </c>
      <c r="G47" s="32" t="s">
        <v>737</v>
      </c>
      <c r="H47" s="33"/>
      <c r="I47" s="33"/>
      <c r="J47" s="33"/>
      <c r="K47" s="29"/>
      <c r="L47" s="33"/>
    </row>
    <row r="48" ht="26.25" customHeight="1">
      <c r="A48" s="22" t="s">
        <v>744</v>
      </c>
      <c r="B48" s="20"/>
      <c r="C48" s="20"/>
      <c r="D48" s="20"/>
      <c r="E48" s="20" t="s">
        <v>28</v>
      </c>
      <c r="F48" s="25" t="s">
        <v>749</v>
      </c>
      <c r="G48" s="38"/>
      <c r="H48" s="38"/>
      <c r="I48" s="35" t="s">
        <v>752</v>
      </c>
      <c r="J48" s="34" t="s">
        <v>757</v>
      </c>
      <c r="K48" s="36" t="s">
        <v>95</v>
      </c>
      <c r="L48" s="25" t="s">
        <v>762</v>
      </c>
    </row>
    <row r="49" ht="15.0" customHeight="1">
      <c r="A49" s="22" t="s">
        <v>765</v>
      </c>
      <c r="B49" s="20"/>
      <c r="C49" s="20"/>
      <c r="D49" s="20"/>
      <c r="E49" s="20" t="s">
        <v>28</v>
      </c>
      <c r="F49" s="25" t="s">
        <v>792</v>
      </c>
      <c r="G49" s="38"/>
      <c r="H49" s="38"/>
      <c r="I49" s="35" t="s">
        <v>796</v>
      </c>
      <c r="J49" s="35" t="s">
        <v>799</v>
      </c>
      <c r="K49" s="22" t="s">
        <v>803</v>
      </c>
      <c r="L49" s="25" t="s">
        <v>806</v>
      </c>
    </row>
    <row r="50" ht="26.25" customHeight="1">
      <c r="A50" s="22" t="s">
        <v>811</v>
      </c>
      <c r="B50" s="20"/>
      <c r="C50" s="20"/>
      <c r="D50" s="20"/>
      <c r="E50" s="20" t="s">
        <v>28</v>
      </c>
      <c r="F50" s="38" t="s">
        <v>821</v>
      </c>
      <c r="G50" s="38"/>
      <c r="H50" s="38"/>
      <c r="I50" s="35" t="s">
        <v>825</v>
      </c>
      <c r="J50" s="35" t="s">
        <v>830</v>
      </c>
      <c r="K50" s="36" t="s">
        <v>552</v>
      </c>
      <c r="L50" s="25" t="s">
        <v>835</v>
      </c>
    </row>
    <row r="51" ht="26.25" customHeight="1">
      <c r="A51" s="22" t="s">
        <v>838</v>
      </c>
      <c r="B51" s="20"/>
      <c r="C51" s="20"/>
      <c r="D51" s="20"/>
      <c r="E51" s="20" t="s">
        <v>28</v>
      </c>
      <c r="F51" s="38" t="s">
        <v>850</v>
      </c>
      <c r="G51" s="38"/>
      <c r="H51" s="38"/>
      <c r="I51" s="35" t="s">
        <v>851</v>
      </c>
      <c r="J51" s="35" t="s">
        <v>853</v>
      </c>
      <c r="K51" s="36" t="s">
        <v>552</v>
      </c>
      <c r="L51" s="25" t="s">
        <v>854</v>
      </c>
    </row>
    <row r="52" ht="26.25" customHeight="1">
      <c r="A52" s="22" t="s">
        <v>855</v>
      </c>
      <c r="B52" s="20"/>
      <c r="C52" s="20"/>
      <c r="D52" s="20"/>
      <c r="E52" s="20" t="s">
        <v>28</v>
      </c>
      <c r="F52" s="25" t="s">
        <v>857</v>
      </c>
      <c r="G52" s="38"/>
      <c r="H52" s="38"/>
      <c r="I52" s="35" t="s">
        <v>851</v>
      </c>
      <c r="J52" s="35" t="s">
        <v>853</v>
      </c>
      <c r="K52" s="36" t="s">
        <v>552</v>
      </c>
      <c r="L52" s="25" t="s">
        <v>854</v>
      </c>
    </row>
    <row r="53" ht="39.0" customHeight="1">
      <c r="A53" s="22" t="s">
        <v>865</v>
      </c>
      <c r="B53" s="20"/>
      <c r="C53" s="20"/>
      <c r="D53" s="20"/>
      <c r="E53" s="20" t="s">
        <v>28</v>
      </c>
      <c r="F53" s="38" t="s">
        <v>875</v>
      </c>
      <c r="G53" s="38"/>
      <c r="H53" s="38"/>
      <c r="I53" s="35" t="s">
        <v>879</v>
      </c>
      <c r="J53" s="34" t="s">
        <v>881</v>
      </c>
      <c r="K53" s="36" t="s">
        <v>552</v>
      </c>
      <c r="L53" s="25" t="s">
        <v>884</v>
      </c>
    </row>
    <row r="54" ht="26.25" customHeight="1">
      <c r="A54" s="22" t="s">
        <v>887</v>
      </c>
      <c r="B54" s="20"/>
      <c r="C54" s="20"/>
      <c r="D54" s="20"/>
      <c r="E54" s="20" t="s">
        <v>28</v>
      </c>
      <c r="F54" s="38" t="s">
        <v>894</v>
      </c>
      <c r="G54" s="38"/>
      <c r="H54" s="38"/>
      <c r="I54" s="34" t="s">
        <v>881</v>
      </c>
      <c r="J54" s="35" t="s">
        <v>898</v>
      </c>
      <c r="K54" s="36" t="s">
        <v>552</v>
      </c>
      <c r="L54" s="25" t="s">
        <v>835</v>
      </c>
    </row>
    <row r="55" ht="39.0" customHeight="1">
      <c r="A55" s="19" t="s">
        <v>904</v>
      </c>
      <c r="B55" s="21"/>
      <c r="C55" s="21" t="s">
        <v>28</v>
      </c>
      <c r="D55" s="21"/>
      <c r="E55" s="21"/>
      <c r="F55" s="41" t="s">
        <v>913</v>
      </c>
      <c r="G55" s="26" t="s">
        <v>925</v>
      </c>
      <c r="H55" s="26" t="s">
        <v>928</v>
      </c>
      <c r="I55" s="28"/>
      <c r="J55" s="28"/>
      <c r="K55" s="19"/>
      <c r="L55" s="28"/>
    </row>
    <row r="56" ht="26.25" customHeight="1">
      <c r="A56" s="29" t="s">
        <v>933</v>
      </c>
      <c r="B56" s="30"/>
      <c r="C56" s="30"/>
      <c r="D56" s="30" t="s">
        <v>28</v>
      </c>
      <c r="E56" s="30"/>
      <c r="F56" s="31" t="s">
        <v>939</v>
      </c>
      <c r="G56" s="32" t="s">
        <v>942</v>
      </c>
      <c r="H56" s="33"/>
      <c r="I56" s="33"/>
      <c r="J56" s="33"/>
      <c r="K56" s="29"/>
      <c r="L56" s="33"/>
    </row>
    <row r="57" ht="15.0" customHeight="1">
      <c r="A57" s="22" t="s">
        <v>950</v>
      </c>
      <c r="B57" s="20"/>
      <c r="C57" s="20"/>
      <c r="D57" s="20"/>
      <c r="E57" s="20" t="s">
        <v>28</v>
      </c>
      <c r="F57" s="25" t="s">
        <v>958</v>
      </c>
      <c r="G57" s="38"/>
      <c r="H57" s="38"/>
      <c r="I57" s="35" t="s">
        <v>214</v>
      </c>
      <c r="J57" s="35" t="s">
        <v>962</v>
      </c>
      <c r="K57" s="36" t="s">
        <v>95</v>
      </c>
      <c r="L57" s="38" t="s">
        <v>967</v>
      </c>
    </row>
    <row r="58" ht="15.0" customHeight="1">
      <c r="A58" s="22" t="s">
        <v>969</v>
      </c>
      <c r="B58" s="20"/>
      <c r="C58" s="20"/>
      <c r="D58" s="20"/>
      <c r="E58" s="20" t="s">
        <v>28</v>
      </c>
      <c r="F58" s="25" t="s">
        <v>974</v>
      </c>
      <c r="G58" s="38"/>
      <c r="H58" s="38"/>
      <c r="I58" s="35" t="s">
        <v>962</v>
      </c>
      <c r="J58" s="35" t="s">
        <v>962</v>
      </c>
      <c r="K58" s="36" t="s">
        <v>95</v>
      </c>
      <c r="L58" s="38" t="s">
        <v>979</v>
      </c>
    </row>
    <row r="59" ht="26.25" customHeight="1">
      <c r="A59" s="22" t="s">
        <v>984</v>
      </c>
      <c r="B59" s="20"/>
      <c r="C59" s="20"/>
      <c r="D59" s="20"/>
      <c r="E59" s="20" t="s">
        <v>28</v>
      </c>
      <c r="F59" s="25" t="s">
        <v>989</v>
      </c>
      <c r="G59" s="38"/>
      <c r="H59" s="38"/>
      <c r="I59" s="35" t="s">
        <v>962</v>
      </c>
      <c r="J59" s="35" t="s">
        <v>994</v>
      </c>
      <c r="K59" s="36" t="s">
        <v>95</v>
      </c>
      <c r="L59" s="38" t="s">
        <v>997</v>
      </c>
    </row>
    <row r="60" ht="26.25" customHeight="1">
      <c r="A60" s="22" t="s">
        <v>998</v>
      </c>
      <c r="B60" s="20"/>
      <c r="C60" s="20"/>
      <c r="D60" s="20"/>
      <c r="E60" s="20" t="s">
        <v>28</v>
      </c>
      <c r="F60" s="25" t="s">
        <v>1004</v>
      </c>
      <c r="G60" s="38"/>
      <c r="H60" s="38"/>
      <c r="I60" s="35" t="s">
        <v>962</v>
      </c>
      <c r="J60" s="35" t="s">
        <v>1007</v>
      </c>
      <c r="K60" s="22" t="s">
        <v>1012</v>
      </c>
      <c r="L60" s="38" t="s">
        <v>1016</v>
      </c>
    </row>
    <row r="61" ht="15.0" customHeight="1">
      <c r="A61" s="22" t="s">
        <v>1018</v>
      </c>
      <c r="B61" s="20"/>
      <c r="C61" s="20"/>
      <c r="D61" s="20"/>
      <c r="E61" s="20" t="s">
        <v>28</v>
      </c>
      <c r="F61" s="25" t="s">
        <v>1020</v>
      </c>
      <c r="G61" s="38"/>
      <c r="H61" s="38"/>
      <c r="I61" s="35" t="s">
        <v>1021</v>
      </c>
      <c r="J61" s="34" t="s">
        <v>1023</v>
      </c>
      <c r="K61" s="22" t="s">
        <v>1012</v>
      </c>
      <c r="L61" s="38" t="s">
        <v>1025</v>
      </c>
    </row>
    <row r="62" ht="26.25" customHeight="1">
      <c r="A62" s="29" t="s">
        <v>1027</v>
      </c>
      <c r="B62" s="30"/>
      <c r="C62" s="30"/>
      <c r="D62" s="30" t="s">
        <v>28</v>
      </c>
      <c r="E62" s="30"/>
      <c r="F62" s="31" t="s">
        <v>401</v>
      </c>
      <c r="G62" s="32" t="s">
        <v>1031</v>
      </c>
      <c r="H62" s="33"/>
      <c r="I62" s="33"/>
      <c r="J62" s="33"/>
      <c r="K62" s="29"/>
      <c r="L62" s="33"/>
    </row>
    <row r="63" ht="26.25" customHeight="1">
      <c r="A63" s="22" t="s">
        <v>1034</v>
      </c>
      <c r="B63" s="20"/>
      <c r="C63" s="20"/>
      <c r="D63" s="20"/>
      <c r="E63" s="20" t="s">
        <v>28</v>
      </c>
      <c r="F63" s="25" t="s">
        <v>1037</v>
      </c>
      <c r="G63" s="38"/>
      <c r="H63" s="38"/>
      <c r="I63" s="35" t="s">
        <v>962</v>
      </c>
      <c r="J63" s="35" t="s">
        <v>1040</v>
      </c>
      <c r="K63" s="36" t="s">
        <v>95</v>
      </c>
      <c r="L63" s="38" t="s">
        <v>1042</v>
      </c>
    </row>
    <row r="64" ht="26.25" customHeight="1">
      <c r="A64" s="22" t="s">
        <v>1044</v>
      </c>
      <c r="B64" s="20"/>
      <c r="C64" s="20"/>
      <c r="D64" s="20"/>
      <c r="E64" s="20" t="s">
        <v>28</v>
      </c>
      <c r="F64" s="25" t="s">
        <v>1048</v>
      </c>
      <c r="G64" s="38"/>
      <c r="H64" s="38"/>
      <c r="I64" s="35" t="s">
        <v>1049</v>
      </c>
      <c r="J64" s="35" t="s">
        <v>1040</v>
      </c>
      <c r="K64" s="36" t="s">
        <v>95</v>
      </c>
      <c r="L64" s="38" t="s">
        <v>1051</v>
      </c>
    </row>
    <row r="65" ht="26.25" customHeight="1">
      <c r="A65" s="22" t="s">
        <v>1053</v>
      </c>
      <c r="B65" s="20"/>
      <c r="C65" s="20"/>
      <c r="D65" s="20"/>
      <c r="E65" s="20" t="s">
        <v>28</v>
      </c>
      <c r="F65" s="25" t="s">
        <v>1055</v>
      </c>
      <c r="G65" s="38"/>
      <c r="H65" s="38"/>
      <c r="I65" s="35" t="s">
        <v>1049</v>
      </c>
      <c r="J65" s="34" t="s">
        <v>1057</v>
      </c>
      <c r="K65" s="36" t="s">
        <v>95</v>
      </c>
      <c r="L65" s="38" t="s">
        <v>1059</v>
      </c>
    </row>
    <row r="66" ht="26.25" customHeight="1">
      <c r="A66" s="22" t="s">
        <v>1061</v>
      </c>
      <c r="B66" s="20"/>
      <c r="C66" s="20"/>
      <c r="D66" s="20"/>
      <c r="E66" s="20" t="s">
        <v>28</v>
      </c>
      <c r="F66" s="25" t="s">
        <v>1063</v>
      </c>
      <c r="G66" s="38"/>
      <c r="H66" s="38"/>
      <c r="I66" s="35" t="s">
        <v>1066</v>
      </c>
      <c r="J66" s="35" t="s">
        <v>1068</v>
      </c>
      <c r="K66" s="22" t="s">
        <v>1012</v>
      </c>
      <c r="L66" s="38" t="s">
        <v>1070</v>
      </c>
    </row>
    <row r="67" ht="26.25" customHeight="1">
      <c r="A67" s="29" t="s">
        <v>1072</v>
      </c>
      <c r="B67" s="30"/>
      <c r="C67" s="30"/>
      <c r="D67" s="30" t="s">
        <v>28</v>
      </c>
      <c r="E67" s="30"/>
      <c r="F67" s="31" t="s">
        <v>1074</v>
      </c>
      <c r="G67" s="32" t="s">
        <v>1076</v>
      </c>
      <c r="H67" s="33"/>
      <c r="I67" s="33"/>
      <c r="J67" s="33"/>
      <c r="K67" s="29"/>
      <c r="L67" s="33"/>
    </row>
    <row r="68" ht="15.0" customHeight="1">
      <c r="A68" s="22" t="s">
        <v>1080</v>
      </c>
      <c r="B68" s="20"/>
      <c r="C68" s="20"/>
      <c r="D68" s="20"/>
      <c r="E68" s="20" t="s">
        <v>28</v>
      </c>
      <c r="F68" s="25" t="s">
        <v>1082</v>
      </c>
      <c r="G68" s="38"/>
      <c r="H68" s="38"/>
      <c r="I68" s="35" t="s">
        <v>140</v>
      </c>
      <c r="J68" s="35" t="s">
        <v>1083</v>
      </c>
      <c r="K68" s="36" t="s">
        <v>95</v>
      </c>
      <c r="L68" s="38" t="s">
        <v>1085</v>
      </c>
    </row>
    <row r="69" ht="26.25" customHeight="1">
      <c r="A69" s="22" t="s">
        <v>1087</v>
      </c>
      <c r="B69" s="20"/>
      <c r="C69" s="20"/>
      <c r="D69" s="20"/>
      <c r="E69" s="20" t="s">
        <v>28</v>
      </c>
      <c r="F69" s="25" t="s">
        <v>1090</v>
      </c>
      <c r="G69" s="38"/>
      <c r="H69" s="38"/>
      <c r="I69" s="35" t="s">
        <v>1083</v>
      </c>
      <c r="J69" s="35" t="s">
        <v>1083</v>
      </c>
      <c r="K69" s="36" t="s">
        <v>95</v>
      </c>
      <c r="L69" s="38" t="s">
        <v>1094</v>
      </c>
    </row>
    <row r="70" ht="15.0" customHeight="1">
      <c r="A70" s="22" t="s">
        <v>1096</v>
      </c>
      <c r="B70" s="20"/>
      <c r="C70" s="20"/>
      <c r="D70" s="20"/>
      <c r="E70" s="20" t="s">
        <v>28</v>
      </c>
      <c r="F70" s="25" t="s">
        <v>1100</v>
      </c>
      <c r="G70" s="38"/>
      <c r="H70" s="38"/>
      <c r="I70" s="35" t="s">
        <v>1102</v>
      </c>
      <c r="J70" s="35" t="s">
        <v>1103</v>
      </c>
      <c r="K70" s="36" t="s">
        <v>95</v>
      </c>
      <c r="L70" s="38" t="s">
        <v>1104</v>
      </c>
    </row>
    <row r="71" ht="26.25" customHeight="1">
      <c r="A71" s="22" t="s">
        <v>1105</v>
      </c>
      <c r="B71" s="20"/>
      <c r="C71" s="20"/>
      <c r="D71" s="20"/>
      <c r="E71" s="20" t="s">
        <v>28</v>
      </c>
      <c r="F71" s="25" t="s">
        <v>1106</v>
      </c>
      <c r="G71" s="38"/>
      <c r="H71" s="38"/>
      <c r="I71" s="35" t="s">
        <v>1083</v>
      </c>
      <c r="J71" s="35" t="s">
        <v>1083</v>
      </c>
      <c r="K71" s="22" t="s">
        <v>1108</v>
      </c>
      <c r="L71" s="38" t="s">
        <v>1109</v>
      </c>
    </row>
    <row r="72" ht="26.25" customHeight="1">
      <c r="A72" s="29" t="s">
        <v>1110</v>
      </c>
      <c r="B72" s="30"/>
      <c r="C72" s="30"/>
      <c r="D72" s="30" t="s">
        <v>28</v>
      </c>
      <c r="E72" s="30"/>
      <c r="F72" s="31" t="s">
        <v>1111</v>
      </c>
      <c r="G72" s="32" t="s">
        <v>1112</v>
      </c>
      <c r="H72" s="33"/>
      <c r="I72" s="33"/>
      <c r="J72" s="33"/>
      <c r="K72" s="29"/>
      <c r="L72" s="33"/>
    </row>
    <row r="73" ht="15.0" customHeight="1">
      <c r="A73" s="22" t="s">
        <v>1114</v>
      </c>
      <c r="B73" s="20"/>
      <c r="C73" s="20"/>
      <c r="D73" s="20"/>
      <c r="E73" s="20" t="s">
        <v>28</v>
      </c>
      <c r="F73" s="25" t="s">
        <v>1116</v>
      </c>
      <c r="G73" s="38"/>
      <c r="H73" s="38"/>
      <c r="I73" s="35" t="s">
        <v>1118</v>
      </c>
      <c r="J73" s="35" t="s">
        <v>1120</v>
      </c>
      <c r="K73" s="36" t="s">
        <v>95</v>
      </c>
      <c r="L73" s="38" t="s">
        <v>1122</v>
      </c>
    </row>
    <row r="74" ht="26.25" customHeight="1">
      <c r="A74" s="22" t="s">
        <v>1125</v>
      </c>
      <c r="B74" s="20"/>
      <c r="C74" s="20"/>
      <c r="D74" s="20"/>
      <c r="E74" s="20" t="s">
        <v>28</v>
      </c>
      <c r="F74" s="25" t="s">
        <v>1127</v>
      </c>
      <c r="G74" s="38"/>
      <c r="H74" s="38"/>
      <c r="I74" s="35" t="s">
        <v>1120</v>
      </c>
      <c r="J74" s="35" t="s">
        <v>1129</v>
      </c>
      <c r="K74" s="36" t="s">
        <v>95</v>
      </c>
      <c r="L74" s="38" t="s">
        <v>1130</v>
      </c>
    </row>
    <row r="75" ht="15.0" customHeight="1">
      <c r="A75" s="22" t="s">
        <v>1131</v>
      </c>
      <c r="B75" s="20"/>
      <c r="C75" s="20"/>
      <c r="D75" s="20"/>
      <c r="E75" s="20" t="s">
        <v>28</v>
      </c>
      <c r="F75" s="25" t="s">
        <v>1134</v>
      </c>
      <c r="G75" s="38"/>
      <c r="H75" s="38"/>
      <c r="I75" s="35" t="s">
        <v>1129</v>
      </c>
      <c r="J75" s="35" t="s">
        <v>1136</v>
      </c>
      <c r="K75" s="22" t="s">
        <v>1012</v>
      </c>
      <c r="L75" s="38" t="s">
        <v>1137</v>
      </c>
    </row>
    <row r="76" ht="15.0" customHeight="1">
      <c r="A76" s="22" t="s">
        <v>1139</v>
      </c>
      <c r="B76" s="20"/>
      <c r="C76" s="20"/>
      <c r="D76" s="20"/>
      <c r="E76" s="20" t="s">
        <v>28</v>
      </c>
      <c r="F76" s="25" t="s">
        <v>1140</v>
      </c>
      <c r="G76" s="38"/>
      <c r="H76" s="38"/>
      <c r="I76" s="35" t="s">
        <v>1142</v>
      </c>
      <c r="J76" s="35" t="s">
        <v>1143</v>
      </c>
      <c r="K76" s="22" t="s">
        <v>1012</v>
      </c>
      <c r="L76" s="38" t="s">
        <v>1146</v>
      </c>
    </row>
    <row r="77" ht="26.25" customHeight="1">
      <c r="A77" s="22" t="s">
        <v>1148</v>
      </c>
      <c r="B77" s="20"/>
      <c r="C77" s="20"/>
      <c r="D77" s="20"/>
      <c r="E77" s="20" t="s">
        <v>28</v>
      </c>
      <c r="F77" s="25" t="s">
        <v>1150</v>
      </c>
      <c r="G77" s="38"/>
      <c r="H77" s="38"/>
      <c r="I77" s="35" t="s">
        <v>1152</v>
      </c>
      <c r="J77" s="35" t="s">
        <v>1154</v>
      </c>
      <c r="K77" s="22" t="s">
        <v>1012</v>
      </c>
      <c r="L77" s="38" t="s">
        <v>1156</v>
      </c>
    </row>
    <row r="78" ht="26.25" customHeight="1">
      <c r="A78" s="29" t="s">
        <v>1161</v>
      </c>
      <c r="B78" s="30"/>
      <c r="C78" s="30"/>
      <c r="D78" s="30" t="s">
        <v>28</v>
      </c>
      <c r="E78" s="30"/>
      <c r="F78" s="31" t="s">
        <v>1164</v>
      </c>
      <c r="G78" s="32" t="s">
        <v>1166</v>
      </c>
      <c r="H78" s="33"/>
      <c r="I78" s="33"/>
      <c r="J78" s="33"/>
      <c r="K78" s="29"/>
      <c r="L78" s="33"/>
    </row>
    <row r="79" ht="26.25" customHeight="1">
      <c r="A79" s="22" t="s">
        <v>1169</v>
      </c>
      <c r="B79" s="20"/>
      <c r="C79" s="20"/>
      <c r="D79" s="20"/>
      <c r="E79" s="20" t="s">
        <v>28</v>
      </c>
      <c r="F79" s="25" t="s">
        <v>1171</v>
      </c>
      <c r="G79" s="38"/>
      <c r="H79" s="38"/>
      <c r="I79" s="35" t="s">
        <v>1173</v>
      </c>
      <c r="J79" s="35" t="s">
        <v>1174</v>
      </c>
      <c r="K79" s="22" t="s">
        <v>1012</v>
      </c>
      <c r="L79" s="38" t="s">
        <v>1175</v>
      </c>
    </row>
    <row r="80" ht="15.0" customHeight="1">
      <c r="A80" s="22" t="s">
        <v>1176</v>
      </c>
      <c r="B80" s="20"/>
      <c r="C80" s="20"/>
      <c r="D80" s="20"/>
      <c r="E80" s="20" t="s">
        <v>28</v>
      </c>
      <c r="F80" s="25" t="s">
        <v>1179</v>
      </c>
      <c r="G80" s="38"/>
      <c r="H80" s="38"/>
      <c r="I80" s="35" t="s">
        <v>1180</v>
      </c>
      <c r="J80" s="35" t="s">
        <v>1182</v>
      </c>
      <c r="K80" s="22" t="s">
        <v>1012</v>
      </c>
      <c r="L80" s="38" t="s">
        <v>1185</v>
      </c>
    </row>
    <row r="81" ht="15.0" customHeight="1">
      <c r="A81" s="22" t="s">
        <v>1187</v>
      </c>
      <c r="B81" s="20"/>
      <c r="C81" s="20"/>
      <c r="D81" s="20"/>
      <c r="E81" s="20" t="s">
        <v>28</v>
      </c>
      <c r="F81" s="25" t="s">
        <v>1188</v>
      </c>
      <c r="G81" s="38"/>
      <c r="H81" s="38"/>
      <c r="I81" s="35" t="s">
        <v>1142</v>
      </c>
      <c r="J81" s="35" t="s">
        <v>1103</v>
      </c>
      <c r="K81" s="22" t="s">
        <v>1012</v>
      </c>
      <c r="L81" s="38" t="s">
        <v>1191</v>
      </c>
    </row>
    <row r="82" ht="26.25" customHeight="1">
      <c r="A82" s="22" t="s">
        <v>1193</v>
      </c>
      <c r="B82" s="20"/>
      <c r="C82" s="20"/>
      <c r="D82" s="20"/>
      <c r="E82" s="20" t="s">
        <v>28</v>
      </c>
      <c r="F82" s="25" t="s">
        <v>1195</v>
      </c>
      <c r="G82" s="38"/>
      <c r="H82" s="38"/>
      <c r="I82" s="35" t="s">
        <v>1197</v>
      </c>
      <c r="J82" s="35" t="s">
        <v>1199</v>
      </c>
      <c r="K82" s="22" t="s">
        <v>1202</v>
      </c>
      <c r="L82" s="38" t="s">
        <v>1203</v>
      </c>
    </row>
    <row r="83" ht="26.25" customHeight="1">
      <c r="A83" s="22" t="s">
        <v>1205</v>
      </c>
      <c r="B83" s="20"/>
      <c r="C83" s="20"/>
      <c r="D83" s="20"/>
      <c r="E83" s="20" t="s">
        <v>28</v>
      </c>
      <c r="F83" s="25" t="s">
        <v>1209</v>
      </c>
      <c r="G83" s="38"/>
      <c r="H83" s="38"/>
      <c r="I83" s="35" t="s">
        <v>1210</v>
      </c>
      <c r="J83" s="34" t="s">
        <v>1211</v>
      </c>
      <c r="K83" s="22" t="s">
        <v>1012</v>
      </c>
      <c r="L83" s="38" t="s">
        <v>1213</v>
      </c>
    </row>
    <row r="84" ht="26.25" customHeight="1">
      <c r="A84" s="29" t="s">
        <v>1215</v>
      </c>
      <c r="B84" s="30"/>
      <c r="C84" s="30"/>
      <c r="D84" s="30" t="s">
        <v>28</v>
      </c>
      <c r="E84" s="30"/>
      <c r="F84" s="31" t="s">
        <v>1216</v>
      </c>
      <c r="G84" s="32" t="s">
        <v>1217</v>
      </c>
      <c r="H84" s="33"/>
      <c r="I84" s="33"/>
      <c r="J84" s="33"/>
      <c r="K84" s="29"/>
      <c r="L84" s="33"/>
    </row>
    <row r="85" ht="26.25" customHeight="1">
      <c r="A85" s="22" t="s">
        <v>1222</v>
      </c>
      <c r="B85" s="20"/>
      <c r="C85" s="20"/>
      <c r="D85" s="20"/>
      <c r="E85" s="20" t="s">
        <v>28</v>
      </c>
      <c r="F85" s="25" t="s">
        <v>1225</v>
      </c>
      <c r="G85" s="38"/>
      <c r="H85" s="38"/>
      <c r="I85" s="35" t="s">
        <v>1227</v>
      </c>
      <c r="J85" s="35" t="s">
        <v>1040</v>
      </c>
      <c r="K85" s="36" t="s">
        <v>95</v>
      </c>
      <c r="L85" s="38" t="s">
        <v>1230</v>
      </c>
    </row>
    <row r="86" ht="26.25" customHeight="1">
      <c r="A86" s="22" t="s">
        <v>1232</v>
      </c>
      <c r="B86" s="20"/>
      <c r="C86" s="20"/>
      <c r="D86" s="20"/>
      <c r="E86" s="20" t="s">
        <v>28</v>
      </c>
      <c r="F86" s="25" t="s">
        <v>1235</v>
      </c>
      <c r="G86" s="38"/>
      <c r="H86" s="38"/>
      <c r="I86" s="35" t="s">
        <v>1237</v>
      </c>
      <c r="J86" s="35" t="s">
        <v>1238</v>
      </c>
      <c r="K86" s="22" t="s">
        <v>1012</v>
      </c>
      <c r="L86" s="38" t="s">
        <v>1243</v>
      </c>
    </row>
    <row r="87" ht="26.25" customHeight="1">
      <c r="A87" s="22" t="s">
        <v>1245</v>
      </c>
      <c r="B87" s="20"/>
      <c r="C87" s="20"/>
      <c r="D87" s="20"/>
      <c r="E87" s="20" t="s">
        <v>28</v>
      </c>
      <c r="F87" s="25" t="s">
        <v>1248</v>
      </c>
      <c r="G87" s="38"/>
      <c r="H87" s="38"/>
      <c r="I87" s="35" t="s">
        <v>1250</v>
      </c>
      <c r="J87" s="35" t="s">
        <v>1049</v>
      </c>
      <c r="K87" s="36" t="s">
        <v>95</v>
      </c>
      <c r="L87" s="38" t="s">
        <v>1253</v>
      </c>
    </row>
    <row r="88" ht="26.25" customHeight="1">
      <c r="A88" s="22" t="s">
        <v>1255</v>
      </c>
      <c r="B88" s="20"/>
      <c r="C88" s="20"/>
      <c r="D88" s="20"/>
      <c r="E88" s="20" t="s">
        <v>28</v>
      </c>
      <c r="F88" s="25" t="s">
        <v>1256</v>
      </c>
      <c r="G88" s="38"/>
      <c r="H88" s="38"/>
      <c r="I88" s="35" t="s">
        <v>1257</v>
      </c>
      <c r="J88" s="35" t="s">
        <v>1258</v>
      </c>
      <c r="K88" s="22" t="s">
        <v>1012</v>
      </c>
      <c r="L88" s="38" t="s">
        <v>1261</v>
      </c>
    </row>
    <row r="89" ht="26.25" customHeight="1">
      <c r="A89" s="29" t="s">
        <v>1262</v>
      </c>
      <c r="B89" s="30"/>
      <c r="C89" s="30"/>
      <c r="D89" s="30" t="s">
        <v>28</v>
      </c>
      <c r="E89" s="30"/>
      <c r="F89" s="31" t="s">
        <v>1265</v>
      </c>
      <c r="G89" s="32" t="s">
        <v>1267</v>
      </c>
      <c r="H89" s="33"/>
      <c r="I89" s="33"/>
      <c r="J89" s="33"/>
      <c r="K89" s="29"/>
      <c r="L89" s="33"/>
    </row>
    <row r="90" ht="24.0" customHeight="1">
      <c r="A90" s="22" t="s">
        <v>1272</v>
      </c>
      <c r="B90" s="20"/>
      <c r="C90" s="20"/>
      <c r="D90" s="20"/>
      <c r="E90" s="20" t="s">
        <v>28</v>
      </c>
      <c r="F90" s="25" t="s">
        <v>1276</v>
      </c>
      <c r="G90" s="38"/>
      <c r="H90" s="38"/>
      <c r="I90" s="34" t="s">
        <v>82</v>
      </c>
      <c r="J90" s="35" t="s">
        <v>1278</v>
      </c>
      <c r="K90" s="22" t="s">
        <v>1012</v>
      </c>
      <c r="L90" s="25" t="s">
        <v>1280</v>
      </c>
    </row>
    <row r="91" ht="26.25" customHeight="1">
      <c r="A91" s="22" t="s">
        <v>1283</v>
      </c>
      <c r="B91" s="20"/>
      <c r="C91" s="20"/>
      <c r="D91" s="20"/>
      <c r="E91" s="20" t="s">
        <v>28</v>
      </c>
      <c r="F91" s="25" t="s">
        <v>1287</v>
      </c>
      <c r="G91" s="38"/>
      <c r="H91" s="38"/>
      <c r="I91" s="35" t="s">
        <v>1288</v>
      </c>
      <c r="J91" s="35" t="s">
        <v>1278</v>
      </c>
      <c r="K91" s="22" t="s">
        <v>1012</v>
      </c>
      <c r="L91" s="25" t="s">
        <v>1289</v>
      </c>
    </row>
    <row r="92" ht="39.0" customHeight="1">
      <c r="A92" s="22" t="s">
        <v>1291</v>
      </c>
      <c r="B92" s="20"/>
      <c r="C92" s="20"/>
      <c r="D92" s="20"/>
      <c r="E92" s="20" t="s">
        <v>28</v>
      </c>
      <c r="F92" s="38" t="s">
        <v>1293</v>
      </c>
      <c r="G92" s="38"/>
      <c r="H92" s="38"/>
      <c r="I92" s="35" t="s">
        <v>1295</v>
      </c>
      <c r="J92" s="35" t="s">
        <v>1297</v>
      </c>
      <c r="K92" s="22" t="s">
        <v>1012</v>
      </c>
      <c r="L92" s="25" t="s">
        <v>1299</v>
      </c>
    </row>
    <row r="93" ht="26.25" customHeight="1">
      <c r="A93" s="22" t="s">
        <v>1301</v>
      </c>
      <c r="B93" s="20"/>
      <c r="C93" s="20"/>
      <c r="D93" s="20"/>
      <c r="E93" s="20" t="s">
        <v>28</v>
      </c>
      <c r="F93" s="25" t="s">
        <v>1304</v>
      </c>
      <c r="G93" s="38"/>
      <c r="H93" s="38"/>
      <c r="I93" s="35" t="s">
        <v>1306</v>
      </c>
      <c r="J93" s="35" t="s">
        <v>1278</v>
      </c>
      <c r="K93" s="22" t="s">
        <v>1012</v>
      </c>
      <c r="L93" s="25" t="s">
        <v>1289</v>
      </c>
    </row>
    <row r="94" ht="26.25" customHeight="1">
      <c r="A94" s="19" t="s">
        <v>1310</v>
      </c>
      <c r="B94" s="21"/>
      <c r="C94" s="21" t="s">
        <v>28</v>
      </c>
      <c r="D94" s="21"/>
      <c r="E94" s="21"/>
      <c r="F94" s="24" t="s">
        <v>458</v>
      </c>
      <c r="G94" s="26" t="s">
        <v>1315</v>
      </c>
      <c r="H94" s="26" t="s">
        <v>1316</v>
      </c>
      <c r="I94" s="28"/>
      <c r="J94" s="28"/>
      <c r="K94" s="19"/>
      <c r="L94" s="28"/>
    </row>
    <row r="95" ht="26.25" customHeight="1">
      <c r="A95" s="29" t="s">
        <v>1319</v>
      </c>
      <c r="B95" s="30"/>
      <c r="C95" s="30"/>
      <c r="D95" s="30" t="s">
        <v>28</v>
      </c>
      <c r="E95" s="30"/>
      <c r="F95" s="31" t="s">
        <v>1321</v>
      </c>
      <c r="G95" s="32" t="s">
        <v>1323</v>
      </c>
      <c r="H95" s="33"/>
      <c r="I95" s="33"/>
      <c r="J95" s="33"/>
      <c r="K95" s="29"/>
      <c r="L95" s="33"/>
    </row>
    <row r="96" ht="26.25" customHeight="1">
      <c r="A96" s="22" t="s">
        <v>1327</v>
      </c>
      <c r="B96" s="20"/>
      <c r="C96" s="20"/>
      <c r="D96" s="20"/>
      <c r="E96" s="20" t="s">
        <v>28</v>
      </c>
      <c r="F96" s="25" t="s">
        <v>1331</v>
      </c>
      <c r="G96" s="38"/>
      <c r="H96" s="38"/>
      <c r="I96" s="35" t="s">
        <v>1332</v>
      </c>
      <c r="J96" s="35" t="s">
        <v>1334</v>
      </c>
      <c r="K96" s="36" t="s">
        <v>95</v>
      </c>
      <c r="L96" s="25" t="s">
        <v>1336</v>
      </c>
    </row>
    <row r="97" ht="26.25" customHeight="1">
      <c r="A97" s="22" t="s">
        <v>1338</v>
      </c>
      <c r="B97" s="20"/>
      <c r="C97" s="20"/>
      <c r="D97" s="20"/>
      <c r="E97" s="20" t="s">
        <v>28</v>
      </c>
      <c r="F97" s="25" t="s">
        <v>1342</v>
      </c>
      <c r="G97" s="38"/>
      <c r="H97" s="38"/>
      <c r="I97" s="35" t="s">
        <v>88</v>
      </c>
      <c r="J97" s="35" t="s">
        <v>1344</v>
      </c>
      <c r="K97" s="36" t="s">
        <v>95</v>
      </c>
      <c r="L97" s="25" t="s">
        <v>1345</v>
      </c>
    </row>
    <row r="98" ht="26.25" customHeight="1">
      <c r="A98" s="22" t="s">
        <v>1347</v>
      </c>
      <c r="B98" s="20"/>
      <c r="C98" s="20"/>
      <c r="D98" s="20"/>
      <c r="E98" s="20" t="s">
        <v>28</v>
      </c>
      <c r="F98" s="25" t="s">
        <v>1349</v>
      </c>
      <c r="G98" s="38"/>
      <c r="H98" s="38"/>
      <c r="I98" s="35" t="s">
        <v>1352</v>
      </c>
      <c r="J98" s="35" t="s">
        <v>1353</v>
      </c>
      <c r="K98" s="36" t="s">
        <v>95</v>
      </c>
      <c r="L98" s="25" t="s">
        <v>1355</v>
      </c>
    </row>
    <row r="99" ht="26.25" customHeight="1">
      <c r="A99" s="22" t="s">
        <v>1357</v>
      </c>
      <c r="B99" s="20"/>
      <c r="C99" s="20"/>
      <c r="D99" s="20"/>
      <c r="E99" s="20" t="s">
        <v>28</v>
      </c>
      <c r="F99" s="25" t="s">
        <v>1360</v>
      </c>
      <c r="G99" s="38"/>
      <c r="H99" s="38"/>
      <c r="I99" s="35" t="s">
        <v>1361</v>
      </c>
      <c r="J99" s="35" t="s">
        <v>1363</v>
      </c>
      <c r="K99" s="36" t="s">
        <v>95</v>
      </c>
      <c r="L99" s="25" t="s">
        <v>1365</v>
      </c>
    </row>
    <row r="100" ht="26.25" customHeight="1">
      <c r="A100" s="29" t="s">
        <v>1367</v>
      </c>
      <c r="B100" s="30"/>
      <c r="C100" s="30"/>
      <c r="D100" s="30" t="s">
        <v>28</v>
      </c>
      <c r="E100" s="30"/>
      <c r="F100" s="31" t="s">
        <v>1371</v>
      </c>
      <c r="G100" s="32" t="s">
        <v>1372</v>
      </c>
      <c r="H100" s="33"/>
      <c r="I100" s="33"/>
      <c r="J100" s="33"/>
      <c r="K100" s="29"/>
      <c r="L100" s="33"/>
    </row>
    <row r="101" ht="39.0" customHeight="1">
      <c r="A101" s="22" t="s">
        <v>1374</v>
      </c>
      <c r="B101" s="20"/>
      <c r="C101" s="20"/>
      <c r="D101" s="20"/>
      <c r="E101" s="20" t="s">
        <v>28</v>
      </c>
      <c r="F101" s="25" t="s">
        <v>1375</v>
      </c>
      <c r="G101" s="38"/>
      <c r="H101" s="38"/>
      <c r="I101" s="35" t="s">
        <v>1377</v>
      </c>
      <c r="J101" s="35" t="s">
        <v>1378</v>
      </c>
      <c r="K101" s="22" t="s">
        <v>803</v>
      </c>
      <c r="L101" s="25" t="s">
        <v>1380</v>
      </c>
    </row>
    <row r="102" ht="26.25" customHeight="1">
      <c r="A102" s="22" t="s">
        <v>1382</v>
      </c>
      <c r="B102" s="20"/>
      <c r="C102" s="20"/>
      <c r="D102" s="20"/>
      <c r="E102" s="20" t="s">
        <v>28</v>
      </c>
      <c r="F102" s="25" t="s">
        <v>1385</v>
      </c>
      <c r="G102" s="38"/>
      <c r="H102" s="38"/>
      <c r="I102" s="35" t="s">
        <v>1387</v>
      </c>
      <c r="J102" s="35" t="s">
        <v>1389</v>
      </c>
      <c r="K102" s="22" t="s">
        <v>803</v>
      </c>
      <c r="L102" s="25" t="s">
        <v>1390</v>
      </c>
    </row>
    <row r="103" ht="15.0" customHeight="1">
      <c r="A103" s="22" t="s">
        <v>1392</v>
      </c>
      <c r="B103" s="20"/>
      <c r="C103" s="20"/>
      <c r="D103" s="20"/>
      <c r="E103" s="20" t="s">
        <v>28</v>
      </c>
      <c r="F103" s="38" t="s">
        <v>1398</v>
      </c>
      <c r="G103" s="38"/>
      <c r="H103" s="38"/>
      <c r="I103" s="35" t="s">
        <v>1378</v>
      </c>
      <c r="J103" s="35" t="s">
        <v>1399</v>
      </c>
      <c r="K103" s="36" t="s">
        <v>552</v>
      </c>
      <c r="L103" s="25" t="s">
        <v>1401</v>
      </c>
    </row>
    <row r="104" ht="26.25" customHeight="1">
      <c r="A104" s="22" t="s">
        <v>1403</v>
      </c>
      <c r="B104" s="20"/>
      <c r="C104" s="20"/>
      <c r="D104" s="20"/>
      <c r="E104" s="20" t="s">
        <v>28</v>
      </c>
      <c r="F104" s="25" t="s">
        <v>1406</v>
      </c>
      <c r="G104" s="38"/>
      <c r="H104" s="38"/>
      <c r="I104" s="35" t="s">
        <v>1407</v>
      </c>
      <c r="J104" s="35" t="s">
        <v>1408</v>
      </c>
      <c r="K104" s="22" t="s">
        <v>803</v>
      </c>
      <c r="L104" s="25" t="s">
        <v>1409</v>
      </c>
    </row>
    <row r="105" ht="26.25" customHeight="1">
      <c r="A105" s="22" t="s">
        <v>1411</v>
      </c>
      <c r="B105" s="20"/>
      <c r="C105" s="20"/>
      <c r="D105" s="20"/>
      <c r="E105" s="20" t="s">
        <v>28</v>
      </c>
      <c r="F105" s="38" t="s">
        <v>1414</v>
      </c>
      <c r="G105" s="38"/>
      <c r="H105" s="38"/>
      <c r="I105" s="35" t="s">
        <v>1417</v>
      </c>
      <c r="J105" s="35" t="s">
        <v>1418</v>
      </c>
      <c r="K105" s="22" t="s">
        <v>803</v>
      </c>
      <c r="L105" s="25" t="s">
        <v>1420</v>
      </c>
    </row>
    <row r="106" ht="26.25" customHeight="1">
      <c r="A106" s="22" t="s">
        <v>1422</v>
      </c>
      <c r="B106" s="20"/>
      <c r="C106" s="20"/>
      <c r="D106" s="20"/>
      <c r="E106" s="20" t="s">
        <v>28</v>
      </c>
      <c r="F106" s="25" t="s">
        <v>1425</v>
      </c>
      <c r="G106" s="38"/>
      <c r="H106" s="38"/>
      <c r="I106" s="35" t="s">
        <v>1427</v>
      </c>
      <c r="J106" s="35" t="s">
        <v>853</v>
      </c>
      <c r="K106" s="36" t="s">
        <v>552</v>
      </c>
      <c r="L106" s="25" t="s">
        <v>835</v>
      </c>
    </row>
    <row r="107" ht="39.0" customHeight="1">
      <c r="A107" s="22" t="s">
        <v>1430</v>
      </c>
      <c r="B107" s="20"/>
      <c r="C107" s="20"/>
      <c r="D107" s="20"/>
      <c r="E107" s="20" t="s">
        <v>28</v>
      </c>
      <c r="F107" s="38" t="s">
        <v>1434</v>
      </c>
      <c r="G107" s="38"/>
      <c r="H107" s="38"/>
      <c r="I107" s="35" t="s">
        <v>1437</v>
      </c>
      <c r="J107" s="35" t="s">
        <v>898</v>
      </c>
      <c r="K107" s="36" t="s">
        <v>552</v>
      </c>
      <c r="L107" s="25" t="s">
        <v>1439</v>
      </c>
    </row>
    <row r="108" ht="26.25" customHeight="1">
      <c r="A108" s="29" t="s">
        <v>1441</v>
      </c>
      <c r="B108" s="30"/>
      <c r="C108" s="30"/>
      <c r="D108" s="30" t="s">
        <v>28</v>
      </c>
      <c r="E108" s="30"/>
      <c r="F108" s="31" t="s">
        <v>1444</v>
      </c>
      <c r="G108" s="32" t="s">
        <v>1446</v>
      </c>
      <c r="H108" s="33"/>
      <c r="I108" s="33"/>
      <c r="J108" s="33"/>
      <c r="K108" s="29"/>
      <c r="L108" s="33"/>
    </row>
    <row r="109" ht="39.0" customHeight="1">
      <c r="A109" s="22" t="s">
        <v>1449</v>
      </c>
      <c r="B109" s="20"/>
      <c r="C109" s="20"/>
      <c r="D109" s="20"/>
      <c r="E109" s="20" t="s">
        <v>28</v>
      </c>
      <c r="F109" s="25" t="s">
        <v>1453</v>
      </c>
      <c r="G109" s="38"/>
      <c r="H109" s="38"/>
      <c r="I109" s="35" t="s">
        <v>1454</v>
      </c>
      <c r="J109" s="35" t="s">
        <v>1378</v>
      </c>
      <c r="K109" s="22" t="s">
        <v>803</v>
      </c>
      <c r="L109" s="25" t="s">
        <v>1456</v>
      </c>
    </row>
    <row r="110" ht="26.25" customHeight="1">
      <c r="A110" s="22" t="s">
        <v>1458</v>
      </c>
      <c r="B110" s="20"/>
      <c r="C110" s="20"/>
      <c r="D110" s="20"/>
      <c r="E110" s="20" t="s">
        <v>28</v>
      </c>
      <c r="F110" s="25" t="s">
        <v>1460</v>
      </c>
      <c r="G110" s="38"/>
      <c r="H110" s="38"/>
      <c r="I110" s="35" t="s">
        <v>1463</v>
      </c>
      <c r="J110" s="35" t="s">
        <v>1465</v>
      </c>
      <c r="K110" s="22" t="s">
        <v>803</v>
      </c>
      <c r="L110" s="25" t="s">
        <v>1390</v>
      </c>
    </row>
    <row r="111" ht="26.25" customHeight="1">
      <c r="A111" s="22" t="s">
        <v>1467</v>
      </c>
      <c r="B111" s="20"/>
      <c r="C111" s="20"/>
      <c r="D111" s="20"/>
      <c r="E111" s="20" t="s">
        <v>28</v>
      </c>
      <c r="F111" s="25" t="s">
        <v>1470</v>
      </c>
      <c r="G111" s="38"/>
      <c r="H111" s="38"/>
      <c r="I111" s="35" t="s">
        <v>1471</v>
      </c>
      <c r="J111" s="35" t="s">
        <v>1473</v>
      </c>
      <c r="K111" s="22" t="s">
        <v>803</v>
      </c>
      <c r="L111" s="25" t="s">
        <v>1475</v>
      </c>
    </row>
    <row r="112" ht="15.0" customHeight="1">
      <c r="A112" s="22" t="s">
        <v>1477</v>
      </c>
      <c r="B112" s="20"/>
      <c r="C112" s="20"/>
      <c r="D112" s="20"/>
      <c r="E112" s="20" t="s">
        <v>28</v>
      </c>
      <c r="F112" s="25" t="s">
        <v>1479</v>
      </c>
      <c r="G112" s="38"/>
      <c r="H112" s="38"/>
      <c r="I112" s="35" t="s">
        <v>1481</v>
      </c>
      <c r="J112" s="35" t="s">
        <v>1482</v>
      </c>
      <c r="K112" s="22" t="s">
        <v>803</v>
      </c>
      <c r="L112" s="25" t="s">
        <v>1484</v>
      </c>
    </row>
    <row r="113" ht="26.25" customHeight="1">
      <c r="A113" s="22" t="s">
        <v>1487</v>
      </c>
      <c r="B113" s="20"/>
      <c r="C113" s="20"/>
      <c r="D113" s="20"/>
      <c r="E113" s="20" t="s">
        <v>28</v>
      </c>
      <c r="F113" s="25" t="s">
        <v>1488</v>
      </c>
      <c r="G113" s="38"/>
      <c r="H113" s="38"/>
      <c r="I113" s="35" t="s">
        <v>1482</v>
      </c>
      <c r="J113" s="35" t="s">
        <v>1490</v>
      </c>
      <c r="K113" s="22" t="s">
        <v>803</v>
      </c>
      <c r="L113" s="25" t="s">
        <v>1491</v>
      </c>
    </row>
    <row r="114" ht="26.25" customHeight="1">
      <c r="A114" s="29" t="s">
        <v>1493</v>
      </c>
      <c r="B114" s="30"/>
      <c r="C114" s="30"/>
      <c r="D114" s="30" t="s">
        <v>28</v>
      </c>
      <c r="E114" s="30"/>
      <c r="F114" s="31" t="s">
        <v>1495</v>
      </c>
      <c r="G114" s="32" t="s">
        <v>1497</v>
      </c>
      <c r="H114" s="33"/>
      <c r="I114" s="33"/>
      <c r="J114" s="33"/>
      <c r="K114" s="29"/>
      <c r="L114" s="33"/>
    </row>
    <row r="115" ht="15.0" customHeight="1">
      <c r="A115" s="22" t="s">
        <v>1500</v>
      </c>
      <c r="B115" s="20"/>
      <c r="C115" s="20"/>
      <c r="D115" s="20"/>
      <c r="E115" s="20" t="s">
        <v>28</v>
      </c>
      <c r="F115" s="25" t="s">
        <v>1502</v>
      </c>
      <c r="G115" s="38"/>
      <c r="H115" s="38"/>
      <c r="I115" s="35" t="s">
        <v>1505</v>
      </c>
      <c r="J115" s="35" t="s">
        <v>1507</v>
      </c>
      <c r="K115" s="22" t="s">
        <v>803</v>
      </c>
      <c r="L115" s="25" t="s">
        <v>1509</v>
      </c>
    </row>
    <row r="116" ht="26.25" customHeight="1">
      <c r="A116" s="22" t="s">
        <v>1510</v>
      </c>
      <c r="B116" s="20"/>
      <c r="C116" s="20"/>
      <c r="D116" s="20"/>
      <c r="E116" s="20" t="s">
        <v>28</v>
      </c>
      <c r="F116" s="25" t="s">
        <v>1513</v>
      </c>
      <c r="G116" s="38"/>
      <c r="H116" s="38"/>
      <c r="I116" s="35" t="s">
        <v>1515</v>
      </c>
      <c r="J116" s="35" t="s">
        <v>1507</v>
      </c>
      <c r="K116" s="22" t="s">
        <v>803</v>
      </c>
      <c r="L116" s="25" t="s">
        <v>1517</v>
      </c>
    </row>
    <row r="117" ht="26.25" customHeight="1">
      <c r="A117" s="22" t="s">
        <v>1519</v>
      </c>
      <c r="B117" s="20"/>
      <c r="C117" s="20"/>
      <c r="D117" s="20"/>
      <c r="E117" s="20" t="s">
        <v>28</v>
      </c>
      <c r="F117" s="25" t="s">
        <v>546</v>
      </c>
      <c r="G117" s="38"/>
      <c r="H117" s="38"/>
      <c r="I117" s="35" t="s">
        <v>1522</v>
      </c>
      <c r="J117" s="34" t="s">
        <v>1523</v>
      </c>
      <c r="K117" s="22" t="s">
        <v>803</v>
      </c>
      <c r="L117" s="25" t="s">
        <v>636</v>
      </c>
    </row>
    <row r="118" ht="26.25" customHeight="1">
      <c r="A118" s="22" t="s">
        <v>1525</v>
      </c>
      <c r="B118" s="20"/>
      <c r="C118" s="20"/>
      <c r="D118" s="20"/>
      <c r="E118" s="20" t="s">
        <v>28</v>
      </c>
      <c r="F118" s="25" t="s">
        <v>1526</v>
      </c>
      <c r="G118" s="38"/>
      <c r="H118" s="38"/>
      <c r="I118" s="35" t="s">
        <v>1528</v>
      </c>
      <c r="J118" s="35" t="s">
        <v>1507</v>
      </c>
      <c r="K118" s="22" t="s">
        <v>803</v>
      </c>
      <c r="L118" s="25" t="s">
        <v>1530</v>
      </c>
    </row>
    <row r="119" ht="15.0" customHeight="1">
      <c r="A119" s="22" t="s">
        <v>1531</v>
      </c>
      <c r="B119" s="20"/>
      <c r="C119" s="20"/>
      <c r="D119" s="20"/>
      <c r="E119" s="20" t="s">
        <v>28</v>
      </c>
      <c r="F119" s="25" t="s">
        <v>1534</v>
      </c>
      <c r="G119" s="38"/>
      <c r="H119" s="38"/>
      <c r="I119" s="35" t="s">
        <v>1407</v>
      </c>
      <c r="J119" s="35" t="s">
        <v>1408</v>
      </c>
      <c r="K119" s="22" t="s">
        <v>803</v>
      </c>
      <c r="L119" s="25" t="s">
        <v>1546</v>
      </c>
    </row>
    <row r="120" ht="15.0" customHeight="1">
      <c r="A120" s="22" t="s">
        <v>1548</v>
      </c>
      <c r="B120" s="20"/>
      <c r="C120" s="20"/>
      <c r="D120" s="20"/>
      <c r="E120" s="20" t="s">
        <v>28</v>
      </c>
      <c r="F120" s="25" t="s">
        <v>1551</v>
      </c>
      <c r="G120" s="38"/>
      <c r="H120" s="38"/>
      <c r="I120" s="35" t="s">
        <v>1552</v>
      </c>
      <c r="J120" s="35" t="s">
        <v>1551</v>
      </c>
      <c r="K120" s="36" t="s">
        <v>552</v>
      </c>
      <c r="L120" s="25" t="s">
        <v>1554</v>
      </c>
    </row>
    <row r="121" ht="26.25" customHeight="1">
      <c r="A121" s="19" t="s">
        <v>1556</v>
      </c>
      <c r="B121" s="21"/>
      <c r="C121" s="21" t="s">
        <v>28</v>
      </c>
      <c r="D121" s="21"/>
      <c r="E121" s="21"/>
      <c r="F121" s="41" t="s">
        <v>1561</v>
      </c>
      <c r="G121" s="26" t="s">
        <v>1563</v>
      </c>
      <c r="H121" s="28" t="s">
        <v>1564</v>
      </c>
      <c r="I121" s="28"/>
      <c r="J121" s="28"/>
      <c r="K121" s="19"/>
      <c r="L121" s="28"/>
    </row>
    <row r="122" ht="26.25" customHeight="1">
      <c r="A122" s="29" t="s">
        <v>1568</v>
      </c>
      <c r="B122" s="30"/>
      <c r="C122" s="30"/>
      <c r="D122" s="30" t="s">
        <v>28</v>
      </c>
      <c r="E122" s="30"/>
      <c r="F122" s="31" t="s">
        <v>1570</v>
      </c>
      <c r="G122" s="33" t="s">
        <v>1573</v>
      </c>
      <c r="H122" s="33"/>
      <c r="I122" s="33"/>
      <c r="J122" s="33"/>
      <c r="K122" s="29"/>
      <c r="L122" s="33"/>
    </row>
    <row r="123" ht="26.25" customHeight="1">
      <c r="A123" s="22" t="s">
        <v>1577</v>
      </c>
      <c r="B123" s="20"/>
      <c r="C123" s="20"/>
      <c r="D123" s="20"/>
      <c r="E123" s="20" t="s">
        <v>28</v>
      </c>
      <c r="F123" s="38" t="s">
        <v>1579</v>
      </c>
      <c r="G123" s="38"/>
      <c r="H123" s="38"/>
      <c r="I123" s="35" t="s">
        <v>1580</v>
      </c>
      <c r="J123" s="35" t="s">
        <v>830</v>
      </c>
      <c r="K123" s="36" t="s">
        <v>552</v>
      </c>
      <c r="L123" s="25" t="s">
        <v>835</v>
      </c>
    </row>
    <row r="124" ht="39.0" customHeight="1">
      <c r="A124" s="22" t="s">
        <v>1582</v>
      </c>
      <c r="B124" s="20"/>
      <c r="C124" s="20"/>
      <c r="D124" s="20"/>
      <c r="E124" s="20" t="s">
        <v>28</v>
      </c>
      <c r="F124" s="25" t="s">
        <v>1583</v>
      </c>
      <c r="G124" s="38"/>
      <c r="H124" s="38"/>
      <c r="I124" s="35" t="s">
        <v>1585</v>
      </c>
      <c r="J124" s="35" t="s">
        <v>1587</v>
      </c>
      <c r="K124" s="36" t="s">
        <v>552</v>
      </c>
      <c r="L124" s="38" t="s">
        <v>1590</v>
      </c>
    </row>
    <row r="125" ht="26.25" customHeight="1">
      <c r="A125" s="22" t="s">
        <v>1591</v>
      </c>
      <c r="B125" s="20"/>
      <c r="C125" s="20"/>
      <c r="D125" s="20"/>
      <c r="E125" s="20" t="s">
        <v>28</v>
      </c>
      <c r="F125" s="25" t="s">
        <v>1595</v>
      </c>
      <c r="G125" s="38"/>
      <c r="H125" s="38"/>
      <c r="I125" s="35" t="s">
        <v>1598</v>
      </c>
      <c r="J125" s="35" t="s">
        <v>1587</v>
      </c>
      <c r="K125" s="36" t="s">
        <v>552</v>
      </c>
      <c r="L125" s="25" t="s">
        <v>1599</v>
      </c>
    </row>
    <row r="126" ht="26.25" customHeight="1">
      <c r="A126" s="22" t="s">
        <v>1600</v>
      </c>
      <c r="B126" s="20"/>
      <c r="C126" s="20"/>
      <c r="D126" s="20"/>
      <c r="E126" s="20" t="s">
        <v>28</v>
      </c>
      <c r="F126" s="25" t="s">
        <v>1602</v>
      </c>
      <c r="G126" s="38"/>
      <c r="H126" s="38"/>
      <c r="I126" s="35" t="s">
        <v>1604</v>
      </c>
      <c r="J126" s="35" t="s">
        <v>1587</v>
      </c>
      <c r="K126" s="36" t="s">
        <v>552</v>
      </c>
      <c r="L126" s="25" t="s">
        <v>1599</v>
      </c>
    </row>
    <row r="127" ht="26.25" customHeight="1">
      <c r="A127" s="22" t="s">
        <v>1607</v>
      </c>
      <c r="B127" s="20"/>
      <c r="C127" s="20"/>
      <c r="D127" s="20"/>
      <c r="E127" s="20" t="s">
        <v>28</v>
      </c>
      <c r="F127" s="25" t="s">
        <v>1610</v>
      </c>
      <c r="G127" s="38"/>
      <c r="H127" s="38"/>
      <c r="I127" s="35" t="s">
        <v>1612</v>
      </c>
      <c r="J127" s="35" t="s">
        <v>1614</v>
      </c>
      <c r="K127" s="36" t="s">
        <v>552</v>
      </c>
      <c r="L127" s="25" t="s">
        <v>1615</v>
      </c>
    </row>
    <row r="128" ht="26.25" customHeight="1">
      <c r="A128" s="22" t="s">
        <v>1617</v>
      </c>
      <c r="B128" s="20"/>
      <c r="C128" s="20"/>
      <c r="D128" s="20"/>
      <c r="E128" s="20" t="s">
        <v>28</v>
      </c>
      <c r="F128" s="25" t="s">
        <v>1620</v>
      </c>
      <c r="G128" s="38"/>
      <c r="H128" s="38"/>
      <c r="I128" s="35" t="s">
        <v>1587</v>
      </c>
      <c r="J128" s="35" t="s">
        <v>1587</v>
      </c>
      <c r="K128" s="36" t="s">
        <v>552</v>
      </c>
      <c r="L128" s="25" t="s">
        <v>1624</v>
      </c>
    </row>
    <row r="129" ht="26.25" customHeight="1">
      <c r="A129" s="29" t="s">
        <v>1626</v>
      </c>
      <c r="B129" s="30"/>
      <c r="C129" s="30"/>
      <c r="D129" s="30" t="s">
        <v>28</v>
      </c>
      <c r="E129" s="30"/>
      <c r="F129" s="31" t="s">
        <v>1629</v>
      </c>
      <c r="G129" s="32" t="s">
        <v>1631</v>
      </c>
      <c r="H129" s="33"/>
      <c r="I129" s="33"/>
      <c r="J129" s="33"/>
      <c r="K129" s="29"/>
      <c r="L129" s="33"/>
    </row>
    <row r="130" ht="15.0" customHeight="1">
      <c r="A130" s="22" t="s">
        <v>1633</v>
      </c>
      <c r="B130" s="20"/>
      <c r="C130" s="20"/>
      <c r="D130" s="20"/>
      <c r="E130" s="20" t="s">
        <v>28</v>
      </c>
      <c r="F130" s="25" t="s">
        <v>1635</v>
      </c>
      <c r="G130" s="38"/>
      <c r="H130" s="38"/>
      <c r="I130" s="35" t="s">
        <v>1587</v>
      </c>
      <c r="J130" s="35" t="s">
        <v>830</v>
      </c>
      <c r="K130" s="36" t="s">
        <v>552</v>
      </c>
      <c r="L130" s="25" t="s">
        <v>835</v>
      </c>
    </row>
    <row r="131" ht="26.25" customHeight="1">
      <c r="A131" s="22" t="s">
        <v>1639</v>
      </c>
      <c r="B131" s="20"/>
      <c r="C131" s="20"/>
      <c r="D131" s="20"/>
      <c r="E131" s="20" t="s">
        <v>28</v>
      </c>
      <c r="F131" s="25" t="s">
        <v>1643</v>
      </c>
      <c r="G131" s="38"/>
      <c r="H131" s="38"/>
      <c r="I131" s="35" t="s">
        <v>1644</v>
      </c>
      <c r="J131" s="35" t="s">
        <v>1644</v>
      </c>
      <c r="K131" s="36" t="s">
        <v>552</v>
      </c>
      <c r="L131" s="25" t="s">
        <v>1647</v>
      </c>
    </row>
    <row r="132" ht="26.25" customHeight="1">
      <c r="A132" s="22" t="s">
        <v>1650</v>
      </c>
      <c r="B132" s="20"/>
      <c r="C132" s="20"/>
      <c r="D132" s="20"/>
      <c r="E132" s="20" t="s">
        <v>28</v>
      </c>
      <c r="F132" s="25" t="s">
        <v>1653</v>
      </c>
      <c r="G132" s="38"/>
      <c r="H132" s="38"/>
      <c r="I132" s="35" t="s">
        <v>1654</v>
      </c>
      <c r="J132" s="35" t="s">
        <v>1656</v>
      </c>
      <c r="K132" s="22" t="s">
        <v>1012</v>
      </c>
      <c r="L132" s="25" t="s">
        <v>1658</v>
      </c>
    </row>
    <row r="133" ht="26.25" customHeight="1">
      <c r="A133" s="22" t="s">
        <v>1661</v>
      </c>
      <c r="B133" s="20"/>
      <c r="C133" s="20"/>
      <c r="D133" s="20"/>
      <c r="E133" s="20" t="s">
        <v>28</v>
      </c>
      <c r="F133" s="25" t="s">
        <v>1663</v>
      </c>
      <c r="G133" s="38"/>
      <c r="H133" s="38"/>
      <c r="I133" s="35" t="s">
        <v>1664</v>
      </c>
      <c r="J133" s="35" t="s">
        <v>1656</v>
      </c>
      <c r="K133" s="22" t="s">
        <v>803</v>
      </c>
      <c r="L133" s="25" t="s">
        <v>1666</v>
      </c>
    </row>
    <row r="134" ht="15.0" customHeight="1">
      <c r="A134" s="22" t="s">
        <v>1668</v>
      </c>
      <c r="B134" s="20"/>
      <c r="C134" s="20"/>
      <c r="D134" s="20"/>
      <c r="E134" s="20" t="s">
        <v>28</v>
      </c>
      <c r="F134" s="25" t="s">
        <v>1670</v>
      </c>
      <c r="G134" s="38"/>
      <c r="H134" s="38"/>
      <c r="I134" s="35" t="s">
        <v>830</v>
      </c>
      <c r="J134" s="35" t="s">
        <v>830</v>
      </c>
      <c r="K134" s="36" t="s">
        <v>552</v>
      </c>
      <c r="L134" s="25" t="s">
        <v>835</v>
      </c>
    </row>
    <row r="135" ht="26.25" customHeight="1">
      <c r="A135" s="22" t="s">
        <v>1673</v>
      </c>
      <c r="B135" s="20"/>
      <c r="C135" s="20"/>
      <c r="D135" s="20"/>
      <c r="E135" s="20" t="s">
        <v>28</v>
      </c>
      <c r="F135" s="25" t="s">
        <v>1676</v>
      </c>
      <c r="G135" s="38"/>
      <c r="H135" s="38"/>
      <c r="I135" s="35" t="s">
        <v>1678</v>
      </c>
      <c r="J135" s="35" t="s">
        <v>830</v>
      </c>
      <c r="K135" s="36" t="s">
        <v>552</v>
      </c>
      <c r="L135" s="25" t="s">
        <v>1680</v>
      </c>
    </row>
    <row r="136" ht="26.25" customHeight="1">
      <c r="A136" s="29" t="s">
        <v>1682</v>
      </c>
      <c r="B136" s="30"/>
      <c r="C136" s="30"/>
      <c r="D136" s="30" t="s">
        <v>28</v>
      </c>
      <c r="E136" s="30"/>
      <c r="F136" s="31" t="s">
        <v>1685</v>
      </c>
      <c r="G136" s="32" t="s">
        <v>1686</v>
      </c>
      <c r="H136" s="33"/>
      <c r="I136" s="33"/>
      <c r="J136" s="33"/>
      <c r="K136" s="29"/>
      <c r="L136" s="33"/>
    </row>
    <row r="137" ht="15.0" customHeight="1">
      <c r="A137" s="22" t="s">
        <v>1689</v>
      </c>
      <c r="B137" s="20"/>
      <c r="C137" s="20"/>
      <c r="D137" s="20"/>
      <c r="E137" s="20" t="s">
        <v>28</v>
      </c>
      <c r="F137" s="25" t="s">
        <v>1692</v>
      </c>
      <c r="G137" s="38"/>
      <c r="H137" s="38"/>
      <c r="I137" s="35" t="s">
        <v>1694</v>
      </c>
      <c r="J137" s="35" t="s">
        <v>1695</v>
      </c>
      <c r="K137" s="36" t="s">
        <v>552</v>
      </c>
      <c r="L137" s="25" t="s">
        <v>1697</v>
      </c>
    </row>
    <row r="138" ht="26.25" customHeight="1">
      <c r="A138" s="22" t="s">
        <v>1698</v>
      </c>
      <c r="B138" s="20"/>
      <c r="C138" s="20"/>
      <c r="D138" s="20"/>
      <c r="E138" s="20" t="s">
        <v>28</v>
      </c>
      <c r="F138" s="38" t="s">
        <v>1700</v>
      </c>
      <c r="G138" s="38"/>
      <c r="H138" s="38"/>
      <c r="I138" s="35" t="s">
        <v>1701</v>
      </c>
      <c r="J138" s="35" t="s">
        <v>1702</v>
      </c>
      <c r="K138" s="36" t="s">
        <v>552</v>
      </c>
      <c r="L138" s="25" t="s">
        <v>1704</v>
      </c>
    </row>
    <row r="139" ht="26.25" customHeight="1">
      <c r="A139" s="22" t="s">
        <v>1705</v>
      </c>
      <c r="B139" s="20"/>
      <c r="C139" s="20"/>
      <c r="D139" s="20"/>
      <c r="E139" s="20" t="s">
        <v>28</v>
      </c>
      <c r="F139" s="25" t="s">
        <v>1708</v>
      </c>
      <c r="G139" s="38"/>
      <c r="H139" s="38"/>
      <c r="I139" s="35" t="s">
        <v>853</v>
      </c>
      <c r="J139" s="35" t="s">
        <v>853</v>
      </c>
      <c r="K139" s="36" t="s">
        <v>552</v>
      </c>
      <c r="L139" s="25" t="s">
        <v>1711</v>
      </c>
    </row>
    <row r="140" ht="26.25" customHeight="1">
      <c r="A140" s="22" t="s">
        <v>1713</v>
      </c>
      <c r="B140" s="20"/>
      <c r="C140" s="20"/>
      <c r="D140" s="20"/>
      <c r="E140" s="20" t="s">
        <v>28</v>
      </c>
      <c r="F140" s="25" t="s">
        <v>1715</v>
      </c>
      <c r="G140" s="38"/>
      <c r="H140" s="38"/>
      <c r="I140" s="35" t="s">
        <v>830</v>
      </c>
      <c r="J140" s="35" t="s">
        <v>1718</v>
      </c>
      <c r="K140" s="36" t="s">
        <v>552</v>
      </c>
      <c r="L140" s="25" t="s">
        <v>835</v>
      </c>
    </row>
    <row r="141" ht="26.25" customHeight="1">
      <c r="A141" s="19" t="s">
        <v>1721</v>
      </c>
      <c r="B141" s="21"/>
      <c r="C141" s="21" t="s">
        <v>28</v>
      </c>
      <c r="D141" s="21"/>
      <c r="E141" s="21"/>
      <c r="F141" s="24" t="s">
        <v>1723</v>
      </c>
      <c r="G141" s="26" t="s">
        <v>1726</v>
      </c>
      <c r="H141" s="26" t="s">
        <v>1729</v>
      </c>
      <c r="I141" s="28"/>
      <c r="J141" s="28"/>
      <c r="K141" s="19"/>
      <c r="L141" s="28"/>
    </row>
    <row r="142" ht="26.25" customHeight="1">
      <c r="A142" s="29" t="s">
        <v>1731</v>
      </c>
      <c r="B142" s="30"/>
      <c r="C142" s="30"/>
      <c r="D142" s="30" t="s">
        <v>28</v>
      </c>
      <c r="E142" s="30"/>
      <c r="F142" s="31" t="s">
        <v>1733</v>
      </c>
      <c r="G142" s="32" t="s">
        <v>1734</v>
      </c>
      <c r="H142" s="33"/>
      <c r="I142" s="33"/>
      <c r="J142" s="33"/>
      <c r="K142" s="29"/>
      <c r="L142" s="33"/>
    </row>
    <row r="143" ht="26.25" customHeight="1">
      <c r="A143" s="22" t="s">
        <v>1737</v>
      </c>
      <c r="B143" s="20"/>
      <c r="C143" s="20"/>
      <c r="D143" s="20"/>
      <c r="E143" s="20" t="s">
        <v>28</v>
      </c>
      <c r="F143" s="25" t="s">
        <v>1738</v>
      </c>
      <c r="G143" s="38"/>
      <c r="H143" s="38"/>
      <c r="I143" s="35" t="s">
        <v>1740</v>
      </c>
      <c r="J143" s="35" t="s">
        <v>1742</v>
      </c>
      <c r="K143" s="36" t="s">
        <v>95</v>
      </c>
      <c r="L143" s="25" t="s">
        <v>1744</v>
      </c>
    </row>
    <row r="144" ht="26.25" customHeight="1">
      <c r="A144" s="22" t="s">
        <v>1746</v>
      </c>
      <c r="B144" s="20"/>
      <c r="C144" s="20"/>
      <c r="D144" s="20"/>
      <c r="E144" s="20" t="s">
        <v>28</v>
      </c>
      <c r="F144" s="25" t="s">
        <v>1748</v>
      </c>
      <c r="G144" s="38"/>
      <c r="H144" s="38"/>
      <c r="I144" s="35" t="s">
        <v>1750</v>
      </c>
      <c r="J144" s="35" t="s">
        <v>1174</v>
      </c>
      <c r="K144" s="22" t="s">
        <v>1012</v>
      </c>
      <c r="L144" s="25" t="s">
        <v>1752</v>
      </c>
    </row>
    <row r="145" ht="15.0" customHeight="1">
      <c r="A145" s="22" t="s">
        <v>1754</v>
      </c>
      <c r="B145" s="20"/>
      <c r="C145" s="20"/>
      <c r="D145" s="20"/>
      <c r="E145" s="20" t="s">
        <v>28</v>
      </c>
      <c r="F145" s="25" t="s">
        <v>1757</v>
      </c>
      <c r="G145" s="38"/>
      <c r="H145" s="38"/>
      <c r="I145" s="35" t="s">
        <v>1758</v>
      </c>
      <c r="J145" s="35" t="s">
        <v>1759</v>
      </c>
      <c r="K145" s="22" t="s">
        <v>1012</v>
      </c>
      <c r="L145" s="25" t="s">
        <v>1752</v>
      </c>
    </row>
    <row r="146" ht="15.0" customHeight="1">
      <c r="A146" s="22" t="s">
        <v>1761</v>
      </c>
      <c r="B146" s="20"/>
      <c r="C146" s="20"/>
      <c r="D146" s="20"/>
      <c r="E146" s="20" t="s">
        <v>28</v>
      </c>
      <c r="F146" s="25" t="s">
        <v>1303</v>
      </c>
      <c r="G146" s="38"/>
      <c r="H146" s="38"/>
      <c r="I146" s="35" t="s">
        <v>1765</v>
      </c>
      <c r="J146" s="35" t="s">
        <v>1766</v>
      </c>
      <c r="K146" s="22" t="s">
        <v>1012</v>
      </c>
      <c r="L146" s="25" t="s">
        <v>1752</v>
      </c>
    </row>
    <row r="147" ht="15.0" customHeight="1">
      <c r="A147" s="22" t="s">
        <v>1768</v>
      </c>
      <c r="B147" s="20"/>
      <c r="C147" s="20"/>
      <c r="D147" s="20"/>
      <c r="E147" s="20" t="s">
        <v>28</v>
      </c>
      <c r="F147" s="25" t="s">
        <v>1311</v>
      </c>
      <c r="G147" s="38"/>
      <c r="H147" s="38"/>
      <c r="I147" s="35" t="s">
        <v>1142</v>
      </c>
      <c r="J147" s="35" t="s">
        <v>1776</v>
      </c>
      <c r="K147" s="22" t="s">
        <v>1012</v>
      </c>
      <c r="L147" s="25" t="s">
        <v>1752</v>
      </c>
    </row>
    <row r="148" ht="26.25" customHeight="1">
      <c r="A148" s="29" t="s">
        <v>1778</v>
      </c>
      <c r="B148" s="30"/>
      <c r="C148" s="30"/>
      <c r="D148" s="30" t="s">
        <v>28</v>
      </c>
      <c r="E148" s="30"/>
      <c r="F148" s="31" t="s">
        <v>1781</v>
      </c>
      <c r="G148" s="32" t="s">
        <v>1783</v>
      </c>
      <c r="H148" s="33"/>
      <c r="I148" s="33"/>
      <c r="J148" s="33"/>
      <c r="K148" s="29"/>
      <c r="L148" s="33"/>
    </row>
    <row r="149" ht="26.25" customHeight="1">
      <c r="A149" s="22" t="s">
        <v>1786</v>
      </c>
      <c r="B149" s="20"/>
      <c r="C149" s="20"/>
      <c r="D149" s="20"/>
      <c r="E149" s="20" t="s">
        <v>28</v>
      </c>
      <c r="F149" s="25" t="s">
        <v>1789</v>
      </c>
      <c r="G149" s="38"/>
      <c r="H149" s="38"/>
      <c r="I149" s="35" t="s">
        <v>1791</v>
      </c>
      <c r="J149" s="35" t="s">
        <v>1765</v>
      </c>
      <c r="K149" s="22" t="s">
        <v>1012</v>
      </c>
      <c r="L149" s="25" t="s">
        <v>1794</v>
      </c>
    </row>
    <row r="150" ht="26.25" customHeight="1">
      <c r="A150" s="22" t="s">
        <v>1795</v>
      </c>
      <c r="B150" s="20"/>
      <c r="C150" s="20"/>
      <c r="D150" s="20"/>
      <c r="E150" s="20" t="s">
        <v>28</v>
      </c>
      <c r="F150" s="25" t="s">
        <v>1796</v>
      </c>
      <c r="G150" s="38"/>
      <c r="H150" s="38"/>
      <c r="I150" s="35" t="s">
        <v>1798</v>
      </c>
      <c r="J150" s="35" t="s">
        <v>1799</v>
      </c>
      <c r="K150" s="22" t="s">
        <v>1012</v>
      </c>
      <c r="L150" s="25" t="s">
        <v>1794</v>
      </c>
    </row>
    <row r="151" ht="15.0" customHeight="1">
      <c r="A151" s="22" t="s">
        <v>1801</v>
      </c>
      <c r="B151" s="20"/>
      <c r="C151" s="20"/>
      <c r="D151" s="20"/>
      <c r="E151" s="20" t="s">
        <v>28</v>
      </c>
      <c r="F151" s="25" t="s">
        <v>1328</v>
      </c>
      <c r="G151" s="38"/>
      <c r="H151" s="38"/>
      <c r="I151" s="35" t="s">
        <v>1142</v>
      </c>
      <c r="J151" s="35" t="s">
        <v>1765</v>
      </c>
      <c r="K151" s="22" t="s">
        <v>1012</v>
      </c>
      <c r="L151" s="25" t="s">
        <v>1794</v>
      </c>
    </row>
    <row r="152" ht="26.25" customHeight="1">
      <c r="A152" s="22" t="s">
        <v>1807</v>
      </c>
      <c r="B152" s="20"/>
      <c r="C152" s="20"/>
      <c r="D152" s="20"/>
      <c r="E152" s="20" t="s">
        <v>28</v>
      </c>
      <c r="F152" s="25" t="s">
        <v>1808</v>
      </c>
      <c r="G152" s="38"/>
      <c r="H152" s="38"/>
      <c r="I152" s="35" t="s">
        <v>1810</v>
      </c>
      <c r="J152" s="35" t="s">
        <v>1812</v>
      </c>
      <c r="K152" s="22" t="s">
        <v>1012</v>
      </c>
      <c r="L152" s="25" t="s">
        <v>1814</v>
      </c>
    </row>
    <row r="153" ht="26.25" customHeight="1">
      <c r="A153" s="29" t="s">
        <v>1816</v>
      </c>
      <c r="B153" s="30"/>
      <c r="C153" s="30"/>
      <c r="D153" s="30" t="s">
        <v>28</v>
      </c>
      <c r="E153" s="30"/>
      <c r="F153" s="31" t="s">
        <v>1179</v>
      </c>
      <c r="G153" s="32" t="s">
        <v>1819</v>
      </c>
      <c r="H153" s="33"/>
      <c r="I153" s="33"/>
      <c r="J153" s="33"/>
      <c r="K153" s="29"/>
      <c r="L153" s="33"/>
    </row>
    <row r="154" ht="15.0" customHeight="1">
      <c r="A154" s="22" t="s">
        <v>1822</v>
      </c>
      <c r="B154" s="20"/>
      <c r="C154" s="20"/>
      <c r="D154" s="20"/>
      <c r="E154" s="20" t="s">
        <v>28</v>
      </c>
      <c r="F154" s="25" t="s">
        <v>1826</v>
      </c>
      <c r="G154" s="38"/>
      <c r="H154" s="38"/>
      <c r="I154" s="35" t="s">
        <v>1180</v>
      </c>
      <c r="J154" s="35" t="s">
        <v>1827</v>
      </c>
      <c r="K154" s="22" t="s">
        <v>1012</v>
      </c>
      <c r="L154" s="38" t="s">
        <v>1829</v>
      </c>
    </row>
    <row r="155" ht="26.25" customHeight="1">
      <c r="A155" s="22" t="s">
        <v>1830</v>
      </c>
      <c r="B155" s="20"/>
      <c r="C155" s="20"/>
      <c r="D155" s="20"/>
      <c r="E155" s="20" t="s">
        <v>28</v>
      </c>
      <c r="F155" s="25" t="s">
        <v>1831</v>
      </c>
      <c r="G155" s="38"/>
      <c r="H155" s="38"/>
      <c r="I155" s="35" t="s">
        <v>1833</v>
      </c>
      <c r="J155" s="35" t="s">
        <v>1835</v>
      </c>
      <c r="K155" s="22" t="s">
        <v>1012</v>
      </c>
      <c r="L155" s="38" t="s">
        <v>1839</v>
      </c>
    </row>
    <row r="156" ht="26.25" customHeight="1">
      <c r="A156" s="22" t="s">
        <v>1841</v>
      </c>
      <c r="B156" s="20"/>
      <c r="C156" s="20"/>
      <c r="D156" s="20"/>
      <c r="E156" s="20" t="s">
        <v>28</v>
      </c>
      <c r="F156" s="25" t="s">
        <v>1843</v>
      </c>
      <c r="G156" s="38"/>
      <c r="H156" s="38"/>
      <c r="I156" s="35" t="s">
        <v>1845</v>
      </c>
      <c r="J156" s="35" t="s">
        <v>1847</v>
      </c>
      <c r="K156" s="22" t="s">
        <v>1012</v>
      </c>
      <c r="L156" s="38" t="s">
        <v>1851</v>
      </c>
    </row>
    <row r="157" ht="26.25" customHeight="1">
      <c r="A157" s="22" t="s">
        <v>1853</v>
      </c>
      <c r="B157" s="20"/>
      <c r="C157" s="20"/>
      <c r="D157" s="20"/>
      <c r="E157" s="20" t="s">
        <v>28</v>
      </c>
      <c r="F157" s="25" t="s">
        <v>1856</v>
      </c>
      <c r="G157" s="38"/>
      <c r="H157" s="38"/>
      <c r="I157" s="35" t="s">
        <v>1858</v>
      </c>
      <c r="J157" s="35" t="s">
        <v>1860</v>
      </c>
      <c r="K157" s="22" t="s">
        <v>1012</v>
      </c>
      <c r="L157" s="38" t="s">
        <v>1862</v>
      </c>
    </row>
    <row r="158" ht="26.25" customHeight="1">
      <c r="A158" s="19" t="s">
        <v>1863</v>
      </c>
      <c r="B158" s="21"/>
      <c r="C158" s="21" t="s">
        <v>28</v>
      </c>
      <c r="D158" s="21"/>
      <c r="E158" s="21"/>
      <c r="F158" s="24" t="s">
        <v>1865</v>
      </c>
      <c r="G158" s="26" t="s">
        <v>1867</v>
      </c>
      <c r="H158" s="26" t="s">
        <v>1869</v>
      </c>
      <c r="I158" s="28"/>
      <c r="J158" s="28"/>
      <c r="K158" s="19"/>
      <c r="L158" s="28"/>
    </row>
    <row r="159" ht="26.25" customHeight="1">
      <c r="A159" s="29" t="s">
        <v>1873</v>
      </c>
      <c r="B159" s="30"/>
      <c r="C159" s="30"/>
      <c r="D159" s="30" t="s">
        <v>28</v>
      </c>
      <c r="E159" s="30"/>
      <c r="F159" s="31" t="s">
        <v>1876</v>
      </c>
      <c r="G159" s="32" t="s">
        <v>1877</v>
      </c>
      <c r="H159" s="33"/>
      <c r="I159" s="33"/>
      <c r="J159" s="33"/>
      <c r="K159" s="29"/>
      <c r="L159" s="33"/>
    </row>
    <row r="160" ht="26.25" customHeight="1">
      <c r="A160" s="22" t="s">
        <v>1880</v>
      </c>
      <c r="B160" s="20"/>
      <c r="C160" s="20"/>
      <c r="D160" s="20"/>
      <c r="E160" s="20" t="s">
        <v>28</v>
      </c>
      <c r="F160" s="25" t="s">
        <v>1883</v>
      </c>
      <c r="G160" s="38"/>
      <c r="H160" s="38"/>
      <c r="I160" s="35" t="s">
        <v>1884</v>
      </c>
      <c r="J160" s="35" t="s">
        <v>1885</v>
      </c>
      <c r="K160" s="36" t="s">
        <v>95</v>
      </c>
      <c r="L160" s="25" t="s">
        <v>1887</v>
      </c>
    </row>
    <row r="161" ht="26.25" customHeight="1">
      <c r="A161" s="22" t="s">
        <v>1888</v>
      </c>
      <c r="B161" s="20"/>
      <c r="C161" s="20"/>
      <c r="D161" s="20"/>
      <c r="E161" s="20" t="s">
        <v>28</v>
      </c>
      <c r="F161" s="25" t="s">
        <v>1890</v>
      </c>
      <c r="G161" s="38"/>
      <c r="H161" s="38"/>
      <c r="I161" s="35" t="s">
        <v>1885</v>
      </c>
      <c r="J161" s="35" t="s">
        <v>1893</v>
      </c>
      <c r="K161" s="36" t="s">
        <v>95</v>
      </c>
      <c r="L161" s="25" t="s">
        <v>1895</v>
      </c>
    </row>
    <row r="162" ht="15.0" customHeight="1">
      <c r="A162" s="22" t="s">
        <v>1897</v>
      </c>
      <c r="B162" s="20"/>
      <c r="C162" s="20"/>
      <c r="D162" s="20"/>
      <c r="E162" s="20" t="s">
        <v>28</v>
      </c>
      <c r="F162" s="38" t="s">
        <v>1901</v>
      </c>
      <c r="G162" s="38"/>
      <c r="H162" s="38"/>
      <c r="I162" s="35" t="s">
        <v>1903</v>
      </c>
      <c r="J162" s="35" t="s">
        <v>1905</v>
      </c>
      <c r="K162" s="36" t="s">
        <v>95</v>
      </c>
      <c r="L162" s="25" t="s">
        <v>1907</v>
      </c>
    </row>
    <row r="163" ht="26.25" customHeight="1">
      <c r="A163" s="22" t="s">
        <v>1908</v>
      </c>
      <c r="B163" s="20"/>
      <c r="C163" s="20"/>
      <c r="D163" s="20"/>
      <c r="E163" s="20" t="s">
        <v>28</v>
      </c>
      <c r="F163" s="25" t="s">
        <v>1910</v>
      </c>
      <c r="G163" s="38"/>
      <c r="H163" s="38"/>
      <c r="I163" s="35" t="s">
        <v>1911</v>
      </c>
      <c r="J163" s="35" t="s">
        <v>1913</v>
      </c>
      <c r="K163" s="36" t="s">
        <v>95</v>
      </c>
      <c r="L163" s="25" t="s">
        <v>1914</v>
      </c>
    </row>
    <row r="164" ht="26.25" customHeight="1">
      <c r="A164" s="22" t="s">
        <v>1916</v>
      </c>
      <c r="B164" s="20"/>
      <c r="C164" s="20"/>
      <c r="D164" s="20"/>
      <c r="E164" s="20" t="s">
        <v>28</v>
      </c>
      <c r="F164" s="25" t="s">
        <v>1920</v>
      </c>
      <c r="G164" s="38"/>
      <c r="H164" s="38"/>
      <c r="I164" s="35" t="s">
        <v>1922</v>
      </c>
      <c r="J164" s="35" t="s">
        <v>1923</v>
      </c>
      <c r="K164" s="36" t="s">
        <v>95</v>
      </c>
      <c r="L164" s="25" t="s">
        <v>1925</v>
      </c>
    </row>
    <row r="165" ht="26.25" customHeight="1">
      <c r="A165" s="29" t="s">
        <v>1926</v>
      </c>
      <c r="B165" s="30"/>
      <c r="C165" s="30"/>
      <c r="D165" s="30" t="s">
        <v>28</v>
      </c>
      <c r="E165" s="30"/>
      <c r="F165" s="31" t="s">
        <v>1929</v>
      </c>
      <c r="G165" s="32" t="s">
        <v>1930</v>
      </c>
      <c r="H165" s="33"/>
      <c r="I165" s="33"/>
      <c r="J165" s="33"/>
      <c r="K165" s="29"/>
      <c r="L165" s="33"/>
    </row>
    <row r="166" ht="26.25" customHeight="1">
      <c r="A166" s="22" t="s">
        <v>1933</v>
      </c>
      <c r="B166" s="20"/>
      <c r="C166" s="20"/>
      <c r="D166" s="20"/>
      <c r="E166" s="20" t="s">
        <v>28</v>
      </c>
      <c r="F166" s="25" t="s">
        <v>1934</v>
      </c>
      <c r="G166" s="38"/>
      <c r="H166" s="38"/>
      <c r="I166" s="35" t="s">
        <v>1695</v>
      </c>
      <c r="J166" s="35" t="s">
        <v>1936</v>
      </c>
      <c r="K166" s="36" t="s">
        <v>552</v>
      </c>
      <c r="L166" s="25" t="s">
        <v>1938</v>
      </c>
    </row>
    <row r="167" ht="26.25" customHeight="1">
      <c r="A167" s="22" t="s">
        <v>1939</v>
      </c>
      <c r="B167" s="20"/>
      <c r="C167" s="20"/>
      <c r="D167" s="20"/>
      <c r="E167" s="20" t="s">
        <v>28</v>
      </c>
      <c r="F167" s="38" t="s">
        <v>1943</v>
      </c>
      <c r="G167" s="38"/>
      <c r="H167" s="38"/>
      <c r="I167" s="35" t="s">
        <v>1945</v>
      </c>
      <c r="J167" s="35" t="s">
        <v>1947</v>
      </c>
      <c r="K167" s="36" t="s">
        <v>95</v>
      </c>
      <c r="L167" s="25" t="s">
        <v>1948</v>
      </c>
    </row>
    <row r="168" ht="39.0" customHeight="1">
      <c r="A168" s="22" t="s">
        <v>1949</v>
      </c>
      <c r="B168" s="20"/>
      <c r="C168" s="20"/>
      <c r="D168" s="20"/>
      <c r="E168" s="20" t="s">
        <v>28</v>
      </c>
      <c r="F168" s="25" t="s">
        <v>1953</v>
      </c>
      <c r="G168" s="38"/>
      <c r="H168" s="38"/>
      <c r="I168" s="35" t="s">
        <v>1955</v>
      </c>
      <c r="J168" s="35" t="s">
        <v>1956</v>
      </c>
      <c r="K168" s="36" t="s">
        <v>95</v>
      </c>
      <c r="L168" s="25" t="s">
        <v>1958</v>
      </c>
    </row>
    <row r="169" ht="26.25" customHeight="1">
      <c r="A169" s="22" t="s">
        <v>1959</v>
      </c>
      <c r="B169" s="20"/>
      <c r="C169" s="20"/>
      <c r="D169" s="20"/>
      <c r="E169" s="20" t="s">
        <v>28</v>
      </c>
      <c r="F169" s="25" t="s">
        <v>1961</v>
      </c>
      <c r="G169" s="38"/>
      <c r="H169" s="38"/>
      <c r="I169" s="35" t="s">
        <v>1962</v>
      </c>
      <c r="J169" s="35" t="s">
        <v>1963</v>
      </c>
      <c r="K169" s="36" t="s">
        <v>95</v>
      </c>
      <c r="L169" s="38" t="s">
        <v>1965</v>
      </c>
    </row>
    <row r="170" ht="26.25" customHeight="1">
      <c r="A170" s="22" t="s">
        <v>1966</v>
      </c>
      <c r="B170" s="20"/>
      <c r="C170" s="20"/>
      <c r="D170" s="20"/>
      <c r="E170" s="20" t="s">
        <v>28</v>
      </c>
      <c r="F170" s="25" t="s">
        <v>1968</v>
      </c>
      <c r="G170" s="38"/>
      <c r="H170" s="38"/>
      <c r="I170" s="35" t="s">
        <v>1971</v>
      </c>
      <c r="J170" s="35" t="s">
        <v>1972</v>
      </c>
      <c r="K170" s="36" t="s">
        <v>1974</v>
      </c>
      <c r="L170" s="38" t="s">
        <v>1975</v>
      </c>
    </row>
    <row r="171" ht="26.25" customHeight="1">
      <c r="A171" s="19" t="s">
        <v>1977</v>
      </c>
      <c r="B171" s="21"/>
      <c r="C171" s="21" t="s">
        <v>28</v>
      </c>
      <c r="D171" s="21"/>
      <c r="E171" s="21"/>
      <c r="F171" s="24" t="s">
        <v>1979</v>
      </c>
      <c r="G171" s="26" t="s">
        <v>1981</v>
      </c>
      <c r="H171" s="26" t="s">
        <v>1983</v>
      </c>
      <c r="I171" s="28"/>
      <c r="J171" s="28"/>
      <c r="K171" s="19"/>
      <c r="L171" s="28"/>
    </row>
    <row r="172" ht="26.25" customHeight="1">
      <c r="A172" s="29" t="s">
        <v>1986</v>
      </c>
      <c r="B172" s="30"/>
      <c r="C172" s="30"/>
      <c r="D172" s="30" t="s">
        <v>28</v>
      </c>
      <c r="E172" s="30"/>
      <c r="F172" s="31" t="s">
        <v>1987</v>
      </c>
      <c r="G172" s="32" t="s">
        <v>1988</v>
      </c>
      <c r="H172" s="33"/>
      <c r="I172" s="33"/>
      <c r="J172" s="33"/>
      <c r="K172" s="29"/>
      <c r="L172" s="33"/>
    </row>
    <row r="173" ht="26.25" customHeight="1">
      <c r="A173" s="22" t="s">
        <v>1992</v>
      </c>
      <c r="B173" s="20"/>
      <c r="C173" s="20"/>
      <c r="D173" s="20"/>
      <c r="E173" s="20" t="s">
        <v>28</v>
      </c>
      <c r="F173" s="25" t="s">
        <v>1994</v>
      </c>
      <c r="G173" s="38"/>
      <c r="H173" s="38"/>
      <c r="I173" s="35" t="s">
        <v>1995</v>
      </c>
      <c r="J173" s="35" t="s">
        <v>886</v>
      </c>
      <c r="K173" s="36" t="s">
        <v>95</v>
      </c>
      <c r="L173" s="38" t="s">
        <v>1996</v>
      </c>
    </row>
    <row r="174" ht="15.0" customHeight="1">
      <c r="A174" s="22" t="s">
        <v>1998</v>
      </c>
      <c r="B174" s="20"/>
      <c r="C174" s="20"/>
      <c r="D174" s="20"/>
      <c r="E174" s="20" t="s">
        <v>28</v>
      </c>
      <c r="F174" s="25" t="s">
        <v>2000</v>
      </c>
      <c r="G174" s="38"/>
      <c r="H174" s="38"/>
      <c r="I174" s="35" t="s">
        <v>1740</v>
      </c>
      <c r="J174" s="35" t="s">
        <v>886</v>
      </c>
      <c r="K174" s="36" t="s">
        <v>95</v>
      </c>
      <c r="L174" s="38" t="s">
        <v>2003</v>
      </c>
    </row>
    <row r="175" ht="26.25" customHeight="1">
      <c r="A175" s="22" t="s">
        <v>2004</v>
      </c>
      <c r="B175" s="20"/>
      <c r="C175" s="20"/>
      <c r="D175" s="20"/>
      <c r="E175" s="20" t="s">
        <v>28</v>
      </c>
      <c r="F175" s="25" t="s">
        <v>2007</v>
      </c>
      <c r="G175" s="38"/>
      <c r="H175" s="38"/>
      <c r="I175" s="35" t="s">
        <v>2010</v>
      </c>
      <c r="J175" s="35" t="s">
        <v>1972</v>
      </c>
      <c r="K175" s="36" t="s">
        <v>95</v>
      </c>
      <c r="L175" s="38" t="s">
        <v>2012</v>
      </c>
    </row>
    <row r="176" ht="26.25" customHeight="1">
      <c r="A176" s="22" t="s">
        <v>2014</v>
      </c>
      <c r="B176" s="20"/>
      <c r="C176" s="20"/>
      <c r="D176" s="20"/>
      <c r="E176" s="20" t="s">
        <v>28</v>
      </c>
      <c r="F176" s="25" t="s">
        <v>2017</v>
      </c>
      <c r="G176" s="38"/>
      <c r="H176" s="38"/>
      <c r="I176" s="35" t="s">
        <v>2019</v>
      </c>
      <c r="J176" s="35" t="s">
        <v>2020</v>
      </c>
      <c r="K176" s="36" t="s">
        <v>552</v>
      </c>
      <c r="L176" s="38" t="s">
        <v>2021</v>
      </c>
    </row>
    <row r="177" ht="15.0" customHeight="1">
      <c r="A177" s="29" t="s">
        <v>2023</v>
      </c>
      <c r="B177" s="30"/>
      <c r="C177" s="30"/>
      <c r="D177" s="30" t="s">
        <v>28</v>
      </c>
      <c r="E177" s="30"/>
      <c r="F177" s="31" t="s">
        <v>2025</v>
      </c>
      <c r="G177" s="32" t="s">
        <v>2027</v>
      </c>
      <c r="H177" s="33"/>
      <c r="I177" s="33"/>
      <c r="J177" s="33"/>
      <c r="K177" s="29"/>
      <c r="L177" s="33"/>
    </row>
    <row r="178" ht="15.0" customHeight="1">
      <c r="A178" s="22" t="s">
        <v>2029</v>
      </c>
      <c r="B178" s="20"/>
      <c r="C178" s="20"/>
      <c r="D178" s="20"/>
      <c r="E178" s="20" t="s">
        <v>28</v>
      </c>
      <c r="F178" s="25" t="s">
        <v>2032</v>
      </c>
      <c r="G178" s="38"/>
      <c r="H178" s="38"/>
      <c r="I178" s="35" t="s">
        <v>2033</v>
      </c>
      <c r="J178" s="35" t="s">
        <v>2035</v>
      </c>
      <c r="K178" s="22" t="s">
        <v>2037</v>
      </c>
      <c r="L178" s="38" t="s">
        <v>2040</v>
      </c>
    </row>
    <row r="179" ht="15.0" customHeight="1">
      <c r="A179" s="22" t="s">
        <v>2042</v>
      </c>
      <c r="B179" s="20"/>
      <c r="C179" s="20"/>
      <c r="D179" s="20"/>
      <c r="E179" s="20" t="s">
        <v>28</v>
      </c>
      <c r="F179" s="25" t="s">
        <v>2044</v>
      </c>
      <c r="G179" s="38"/>
      <c r="H179" s="38"/>
      <c r="I179" s="35" t="s">
        <v>2045</v>
      </c>
      <c r="J179" s="35" t="s">
        <v>2046</v>
      </c>
      <c r="K179" s="22" t="s">
        <v>1012</v>
      </c>
      <c r="L179" s="38" t="s">
        <v>2047</v>
      </c>
    </row>
    <row r="180" ht="15.0" customHeight="1">
      <c r="A180" s="22" t="s">
        <v>2048</v>
      </c>
      <c r="B180" s="20"/>
      <c r="C180" s="20"/>
      <c r="D180" s="20"/>
      <c r="E180" s="20" t="s">
        <v>28</v>
      </c>
      <c r="F180" s="38" t="s">
        <v>2049</v>
      </c>
      <c r="G180" s="38"/>
      <c r="H180" s="38"/>
      <c r="I180" s="35" t="s">
        <v>2050</v>
      </c>
      <c r="J180" s="35" t="s">
        <v>2051</v>
      </c>
      <c r="K180" s="22" t="s">
        <v>2052</v>
      </c>
      <c r="L180" s="38" t="s">
        <v>2053</v>
      </c>
    </row>
    <row r="181" ht="26.25" customHeight="1">
      <c r="A181" s="29" t="s">
        <v>2054</v>
      </c>
      <c r="B181" s="30"/>
      <c r="C181" s="30"/>
      <c r="D181" s="30" t="s">
        <v>28</v>
      </c>
      <c r="E181" s="30"/>
      <c r="F181" s="31" t="s">
        <v>2055</v>
      </c>
      <c r="G181" s="32" t="s">
        <v>2056</v>
      </c>
      <c r="H181" s="33"/>
      <c r="I181" s="33"/>
      <c r="J181" s="33"/>
      <c r="K181" s="29"/>
      <c r="L181" s="33"/>
    </row>
    <row r="182" ht="26.25" customHeight="1">
      <c r="A182" s="22" t="s">
        <v>2057</v>
      </c>
      <c r="B182" s="20"/>
      <c r="C182" s="20"/>
      <c r="D182" s="20"/>
      <c r="E182" s="20" t="s">
        <v>28</v>
      </c>
      <c r="F182" s="25" t="s">
        <v>2058</v>
      </c>
      <c r="G182" s="38"/>
      <c r="H182" s="38"/>
      <c r="I182" s="35" t="s">
        <v>1972</v>
      </c>
      <c r="J182" s="35" t="s">
        <v>1972</v>
      </c>
      <c r="K182" s="36" t="s">
        <v>1974</v>
      </c>
      <c r="L182" s="38" t="s">
        <v>2059</v>
      </c>
    </row>
    <row r="183" ht="26.25" customHeight="1">
      <c r="A183" s="22" t="s">
        <v>2060</v>
      </c>
      <c r="B183" s="20"/>
      <c r="C183" s="20"/>
      <c r="D183" s="20"/>
      <c r="E183" s="20" t="s">
        <v>28</v>
      </c>
      <c r="F183" s="38" t="s">
        <v>2061</v>
      </c>
      <c r="G183" s="38"/>
      <c r="H183" s="38"/>
      <c r="I183" s="35" t="s">
        <v>2062</v>
      </c>
      <c r="J183" s="35" t="s">
        <v>2063</v>
      </c>
      <c r="K183" s="36" t="s">
        <v>1974</v>
      </c>
      <c r="L183" s="38" t="s">
        <v>2064</v>
      </c>
    </row>
    <row r="184" ht="39.0" customHeight="1">
      <c r="A184" s="22" t="s">
        <v>2065</v>
      </c>
      <c r="B184" s="20"/>
      <c r="C184" s="20"/>
      <c r="D184" s="20"/>
      <c r="E184" s="20" t="s">
        <v>28</v>
      </c>
      <c r="F184" s="25" t="s">
        <v>2066</v>
      </c>
      <c r="G184" s="38"/>
      <c r="H184" s="38"/>
      <c r="I184" s="35" t="s">
        <v>2067</v>
      </c>
      <c r="J184" s="35" t="s">
        <v>2068</v>
      </c>
      <c r="K184" s="22" t="s">
        <v>2069</v>
      </c>
      <c r="L184" s="38" t="s">
        <v>2070</v>
      </c>
    </row>
    <row r="185" ht="39.0" customHeight="1">
      <c r="A185" s="19" t="s">
        <v>2071</v>
      </c>
      <c r="B185" s="21"/>
      <c r="C185" s="21" t="s">
        <v>28</v>
      </c>
      <c r="D185" s="21"/>
      <c r="E185" s="21"/>
      <c r="F185" s="24" t="s">
        <v>2072</v>
      </c>
      <c r="G185" s="26" t="s">
        <v>2073</v>
      </c>
      <c r="H185" s="26" t="s">
        <v>2074</v>
      </c>
      <c r="I185" s="28"/>
      <c r="J185" s="28"/>
      <c r="K185" s="19"/>
      <c r="L185" s="28"/>
    </row>
    <row r="186" ht="26.25" customHeight="1">
      <c r="A186" s="29" t="s">
        <v>2075</v>
      </c>
      <c r="B186" s="30"/>
      <c r="C186" s="30"/>
      <c r="D186" s="30" t="s">
        <v>28</v>
      </c>
      <c r="E186" s="30"/>
      <c r="F186" s="31" t="s">
        <v>2076</v>
      </c>
      <c r="G186" s="32" t="s">
        <v>2077</v>
      </c>
      <c r="H186" s="33"/>
      <c r="I186" s="33"/>
      <c r="J186" s="33"/>
      <c r="K186" s="29"/>
      <c r="L186" s="33"/>
    </row>
    <row r="187" ht="26.25" customHeight="1">
      <c r="A187" s="22" t="s">
        <v>2078</v>
      </c>
      <c r="B187" s="20"/>
      <c r="C187" s="20"/>
      <c r="D187" s="20"/>
      <c r="E187" s="20" t="s">
        <v>28</v>
      </c>
      <c r="F187" s="25" t="s">
        <v>2079</v>
      </c>
      <c r="G187" s="38"/>
      <c r="H187" s="38"/>
      <c r="I187" s="35" t="s">
        <v>2080</v>
      </c>
      <c r="J187" s="35" t="s">
        <v>2081</v>
      </c>
      <c r="K187" s="22" t="s">
        <v>2082</v>
      </c>
      <c r="L187" s="25" t="s">
        <v>2083</v>
      </c>
    </row>
    <row r="188" ht="15.0" customHeight="1">
      <c r="A188" s="22" t="s">
        <v>2084</v>
      </c>
      <c r="B188" s="20"/>
      <c r="C188" s="20"/>
      <c r="D188" s="20"/>
      <c r="E188" s="20" t="s">
        <v>28</v>
      </c>
      <c r="F188" s="38" t="s">
        <v>2085</v>
      </c>
      <c r="G188" s="38"/>
      <c r="H188" s="38"/>
      <c r="I188" s="35" t="s">
        <v>2081</v>
      </c>
      <c r="J188" s="35" t="s">
        <v>2086</v>
      </c>
      <c r="K188" s="22" t="s">
        <v>2082</v>
      </c>
      <c r="L188" s="25" t="s">
        <v>2087</v>
      </c>
    </row>
    <row r="189" ht="26.25" customHeight="1">
      <c r="A189" s="22" t="s">
        <v>2088</v>
      </c>
      <c r="B189" s="20"/>
      <c r="C189" s="20"/>
      <c r="D189" s="20"/>
      <c r="E189" s="20" t="s">
        <v>28</v>
      </c>
      <c r="F189" s="25" t="s">
        <v>2089</v>
      </c>
      <c r="G189" s="38"/>
      <c r="H189" s="38"/>
      <c r="I189" s="35" t="s">
        <v>2090</v>
      </c>
      <c r="J189" s="35" t="s">
        <v>2086</v>
      </c>
      <c r="K189" s="22" t="s">
        <v>2082</v>
      </c>
      <c r="L189" s="25" t="s">
        <v>2091</v>
      </c>
    </row>
    <row r="190" ht="26.25" customHeight="1">
      <c r="A190" s="22" t="s">
        <v>2092</v>
      </c>
      <c r="B190" s="20"/>
      <c r="C190" s="20"/>
      <c r="D190" s="20"/>
      <c r="E190" s="20" t="s">
        <v>28</v>
      </c>
      <c r="F190" s="25" t="s">
        <v>1557</v>
      </c>
      <c r="G190" s="38"/>
      <c r="H190" s="38"/>
      <c r="I190" s="35" t="s">
        <v>2093</v>
      </c>
      <c r="J190" s="35" t="s">
        <v>2094</v>
      </c>
      <c r="K190" s="22" t="s">
        <v>2082</v>
      </c>
      <c r="L190" s="25" t="s">
        <v>2095</v>
      </c>
    </row>
    <row r="191" ht="15.0" customHeight="1">
      <c r="A191" s="22" t="s">
        <v>2096</v>
      </c>
      <c r="B191" s="20"/>
      <c r="C191" s="20"/>
      <c r="D191" s="20"/>
      <c r="E191" s="20" t="s">
        <v>28</v>
      </c>
      <c r="F191" s="38" t="s">
        <v>2097</v>
      </c>
      <c r="G191" s="38"/>
      <c r="H191" s="38"/>
      <c r="I191" s="34" t="s">
        <v>2098</v>
      </c>
      <c r="J191" s="34" t="s">
        <v>2099</v>
      </c>
      <c r="K191" s="22" t="s">
        <v>2082</v>
      </c>
      <c r="L191" s="25" t="s">
        <v>2100</v>
      </c>
    </row>
    <row r="192" ht="26.25" customHeight="1">
      <c r="A192" s="29" t="s">
        <v>2101</v>
      </c>
      <c r="B192" s="30"/>
      <c r="C192" s="30"/>
      <c r="D192" s="30" t="s">
        <v>28</v>
      </c>
      <c r="E192" s="30"/>
      <c r="F192" s="31" t="s">
        <v>2102</v>
      </c>
      <c r="G192" s="33" t="s">
        <v>2103</v>
      </c>
      <c r="H192" s="33"/>
      <c r="I192" s="33"/>
      <c r="J192" s="33"/>
      <c r="K192" s="29"/>
      <c r="L192" s="33"/>
    </row>
    <row r="193" ht="26.25" customHeight="1">
      <c r="A193" s="22" t="s">
        <v>2104</v>
      </c>
      <c r="B193" s="20"/>
      <c r="C193" s="20"/>
      <c r="D193" s="20"/>
      <c r="E193" s="20" t="s">
        <v>28</v>
      </c>
      <c r="F193" s="38" t="s">
        <v>2105</v>
      </c>
      <c r="G193" s="38"/>
      <c r="H193" s="38"/>
      <c r="I193" s="35" t="s">
        <v>2102</v>
      </c>
      <c r="J193" s="35" t="s">
        <v>2106</v>
      </c>
      <c r="K193" s="22" t="s">
        <v>803</v>
      </c>
      <c r="L193" s="25" t="s">
        <v>2107</v>
      </c>
    </row>
    <row r="194" ht="39.0" customHeight="1">
      <c r="A194" s="22" t="s">
        <v>2108</v>
      </c>
      <c r="B194" s="20"/>
      <c r="C194" s="20"/>
      <c r="D194" s="20"/>
      <c r="E194" s="20" t="s">
        <v>28</v>
      </c>
      <c r="F194" s="25" t="s">
        <v>2109</v>
      </c>
      <c r="G194" s="38"/>
      <c r="H194" s="38"/>
      <c r="I194" s="35" t="s">
        <v>2110</v>
      </c>
      <c r="J194" s="35" t="s">
        <v>2111</v>
      </c>
      <c r="K194" s="22" t="s">
        <v>2112</v>
      </c>
      <c r="L194" s="25" t="s">
        <v>2113</v>
      </c>
    </row>
    <row r="195" ht="26.25" customHeight="1">
      <c r="A195" s="22" t="s">
        <v>2114</v>
      </c>
      <c r="B195" s="20"/>
      <c r="C195" s="20"/>
      <c r="D195" s="20"/>
      <c r="E195" s="20" t="s">
        <v>28</v>
      </c>
      <c r="F195" s="25" t="s">
        <v>2115</v>
      </c>
      <c r="G195" s="38"/>
      <c r="H195" s="38"/>
      <c r="I195" s="35" t="s">
        <v>1344</v>
      </c>
      <c r="J195" s="35" t="s">
        <v>2116</v>
      </c>
      <c r="K195" s="22" t="s">
        <v>2082</v>
      </c>
      <c r="L195" s="25" t="s">
        <v>2117</v>
      </c>
    </row>
    <row r="196" ht="26.25" customHeight="1">
      <c r="A196" s="22" t="s">
        <v>2118</v>
      </c>
      <c r="B196" s="20"/>
      <c r="C196" s="20"/>
      <c r="D196" s="20"/>
      <c r="E196" s="20" t="s">
        <v>28</v>
      </c>
      <c r="F196" s="25" t="s">
        <v>2119</v>
      </c>
      <c r="G196" s="38"/>
      <c r="H196" s="38"/>
      <c r="I196" s="35" t="s">
        <v>2102</v>
      </c>
      <c r="J196" s="35" t="s">
        <v>2120</v>
      </c>
      <c r="K196" s="36" t="s">
        <v>552</v>
      </c>
      <c r="L196" s="25" t="s">
        <v>835</v>
      </c>
    </row>
    <row r="197" ht="26.25" customHeight="1">
      <c r="A197" s="29" t="s">
        <v>2121</v>
      </c>
      <c r="B197" s="30"/>
      <c r="C197" s="30"/>
      <c r="D197" s="30" t="s">
        <v>28</v>
      </c>
      <c r="E197" s="30"/>
      <c r="F197" s="31" t="s">
        <v>2122</v>
      </c>
      <c r="G197" s="32" t="s">
        <v>2123</v>
      </c>
      <c r="H197" s="33"/>
      <c r="I197" s="33"/>
      <c r="J197" s="33"/>
      <c r="K197" s="29"/>
      <c r="L197" s="33"/>
    </row>
    <row r="198" ht="26.25" customHeight="1">
      <c r="A198" s="22" t="s">
        <v>2124</v>
      </c>
      <c r="B198" s="20"/>
      <c r="C198" s="20"/>
      <c r="D198" s="20"/>
      <c r="E198" s="20" t="s">
        <v>28</v>
      </c>
      <c r="F198" s="25" t="s">
        <v>2125</v>
      </c>
      <c r="G198" s="38"/>
      <c r="H198" s="38"/>
      <c r="I198" s="35" t="s">
        <v>1552</v>
      </c>
      <c r="J198" s="35" t="s">
        <v>2126</v>
      </c>
      <c r="K198" s="36" t="s">
        <v>552</v>
      </c>
      <c r="L198" s="25" t="s">
        <v>2127</v>
      </c>
    </row>
    <row r="199" ht="26.25" customHeight="1">
      <c r="A199" s="22" t="s">
        <v>2128</v>
      </c>
      <c r="B199" s="20"/>
      <c r="C199" s="20"/>
      <c r="D199" s="20"/>
      <c r="E199" s="20" t="s">
        <v>28</v>
      </c>
      <c r="F199" s="25" t="s">
        <v>2129</v>
      </c>
      <c r="G199" s="38"/>
      <c r="H199" s="38"/>
      <c r="I199" s="35" t="s">
        <v>2130</v>
      </c>
      <c r="J199" s="35" t="s">
        <v>2131</v>
      </c>
      <c r="K199" s="36" t="s">
        <v>552</v>
      </c>
      <c r="L199" s="25" t="s">
        <v>2132</v>
      </c>
    </row>
    <row r="200" ht="26.25" customHeight="1">
      <c r="A200" s="22" t="s">
        <v>2133</v>
      </c>
      <c r="B200" s="20"/>
      <c r="C200" s="20"/>
      <c r="D200" s="20"/>
      <c r="E200" s="20" t="s">
        <v>28</v>
      </c>
      <c r="F200" s="25" t="s">
        <v>2134</v>
      </c>
      <c r="G200" s="38"/>
      <c r="H200" s="38"/>
      <c r="I200" s="35" t="s">
        <v>2135</v>
      </c>
      <c r="J200" s="35" t="s">
        <v>2131</v>
      </c>
      <c r="K200" s="22" t="s">
        <v>2136</v>
      </c>
      <c r="L200" s="38" t="s">
        <v>2137</v>
      </c>
    </row>
    <row r="201" ht="26.25" customHeight="1">
      <c r="A201" s="22" t="s">
        <v>2138</v>
      </c>
      <c r="B201" s="20"/>
      <c r="C201" s="20"/>
      <c r="D201" s="20"/>
      <c r="E201" s="20" t="s">
        <v>28</v>
      </c>
      <c r="F201" s="25" t="s">
        <v>2139</v>
      </c>
      <c r="G201" s="38"/>
      <c r="H201" s="38"/>
      <c r="I201" s="35" t="s">
        <v>2140</v>
      </c>
      <c r="J201" s="35" t="s">
        <v>391</v>
      </c>
      <c r="K201" s="36" t="s">
        <v>95</v>
      </c>
      <c r="L201" s="25" t="s">
        <v>2141</v>
      </c>
    </row>
    <row r="202" ht="26.25" customHeight="1">
      <c r="A202" s="22" t="s">
        <v>2142</v>
      </c>
      <c r="B202" s="20"/>
      <c r="C202" s="20"/>
      <c r="D202" s="20"/>
      <c r="E202" s="20" t="s">
        <v>28</v>
      </c>
      <c r="F202" s="38" t="s">
        <v>2143</v>
      </c>
      <c r="G202" s="38"/>
      <c r="H202" s="38"/>
      <c r="I202" s="35" t="s">
        <v>2144</v>
      </c>
      <c r="J202" s="34" t="s">
        <v>2145</v>
      </c>
      <c r="K202" s="36" t="s">
        <v>95</v>
      </c>
      <c r="L202" s="25" t="s">
        <v>2146</v>
      </c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autoFilter ref="$A$3:$L$202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11.0"/>
    <col customWidth="1" min="2" max="4" width="4.43"/>
    <col customWidth="1" min="5" max="5" width="30.0"/>
    <col customWidth="1" min="6" max="6" width="46.0"/>
    <col customWidth="1" min="7" max="7" width="8.0"/>
    <col customWidth="1" min="8" max="8" width="30.0"/>
    <col customWidth="1" min="9" max="9" width="32.0"/>
    <col customWidth="1" min="10" max="10" width="26.0"/>
    <col customWidth="1" min="11" max="26" width="8.71"/>
  </cols>
  <sheetData>
    <row r="1" ht="21.0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</row>
    <row r="2" ht="15.0" customHeight="1">
      <c r="A2" s="4" t="s">
        <v>7</v>
      </c>
      <c r="B2" s="3"/>
      <c r="C2" s="3"/>
      <c r="D2" s="3"/>
      <c r="E2" s="3"/>
      <c r="F2" s="3"/>
      <c r="G2" s="3"/>
      <c r="H2" s="3"/>
      <c r="I2" s="3"/>
      <c r="J2" s="3"/>
    </row>
    <row r="3" ht="30.0" customHeight="1">
      <c r="A3" s="6" t="s">
        <v>8</v>
      </c>
      <c r="B3" s="6" t="s">
        <v>12</v>
      </c>
      <c r="C3" s="6" t="s">
        <v>13</v>
      </c>
      <c r="D3" s="6" t="s">
        <v>15</v>
      </c>
      <c r="E3" s="7" t="s">
        <v>16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</row>
    <row r="4" ht="26.25" customHeight="1">
      <c r="A4" s="8" t="s">
        <v>24</v>
      </c>
      <c r="B4" s="9" t="s">
        <v>28</v>
      </c>
      <c r="C4" s="9"/>
      <c r="D4" s="9"/>
      <c r="E4" s="12" t="s">
        <v>31</v>
      </c>
      <c r="F4" s="14" t="s">
        <v>36</v>
      </c>
      <c r="G4" s="16" t="s">
        <v>38</v>
      </c>
      <c r="H4" s="14"/>
      <c r="I4" s="14"/>
      <c r="J4" s="14"/>
    </row>
    <row r="5" ht="26.25" customHeight="1">
      <c r="A5" s="19" t="s">
        <v>42</v>
      </c>
      <c r="B5" s="21"/>
      <c r="C5" s="21" t="s">
        <v>28</v>
      </c>
      <c r="D5" s="21"/>
      <c r="E5" s="24" t="s">
        <v>47</v>
      </c>
      <c r="F5" s="26" t="s">
        <v>51</v>
      </c>
      <c r="G5" s="19"/>
      <c r="H5" s="28"/>
      <c r="I5" s="28"/>
      <c r="J5" s="28"/>
    </row>
    <row r="6" ht="26.25" customHeight="1">
      <c r="A6" s="29" t="s">
        <v>57</v>
      </c>
      <c r="B6" s="30"/>
      <c r="C6" s="30"/>
      <c r="D6" s="30" t="s">
        <v>28</v>
      </c>
      <c r="E6" s="32" t="s">
        <v>60</v>
      </c>
      <c r="F6" s="32" t="s">
        <v>64</v>
      </c>
      <c r="G6" s="29"/>
      <c r="H6" s="32" t="s">
        <v>65</v>
      </c>
      <c r="I6" s="32" t="s">
        <v>66</v>
      </c>
      <c r="J6" s="32" t="s">
        <v>67</v>
      </c>
    </row>
    <row r="7" ht="26.25" customHeight="1">
      <c r="A7" s="29" t="s">
        <v>68</v>
      </c>
      <c r="B7" s="30"/>
      <c r="C7" s="30"/>
      <c r="D7" s="30" t="s">
        <v>28</v>
      </c>
      <c r="E7" s="32" t="s">
        <v>71</v>
      </c>
      <c r="F7" s="32" t="s">
        <v>72</v>
      </c>
      <c r="G7" s="29"/>
      <c r="H7" s="32" t="s">
        <v>73</v>
      </c>
      <c r="I7" s="32" t="s">
        <v>74</v>
      </c>
      <c r="J7" s="32" t="s">
        <v>75</v>
      </c>
    </row>
    <row r="8" ht="26.25" customHeight="1">
      <c r="A8" s="29" t="s">
        <v>76</v>
      </c>
      <c r="B8" s="30"/>
      <c r="C8" s="30"/>
      <c r="D8" s="30" t="s">
        <v>28</v>
      </c>
      <c r="E8" s="32" t="s">
        <v>77</v>
      </c>
      <c r="F8" s="32" t="s">
        <v>78</v>
      </c>
      <c r="G8" s="29"/>
      <c r="H8" s="33" t="s">
        <v>81</v>
      </c>
      <c r="I8" s="32" t="s">
        <v>83</v>
      </c>
      <c r="J8" s="32" t="s">
        <v>84</v>
      </c>
    </row>
    <row r="9" ht="26.25" customHeight="1">
      <c r="A9" s="29" t="s">
        <v>85</v>
      </c>
      <c r="B9" s="30"/>
      <c r="C9" s="30"/>
      <c r="D9" s="30" t="s">
        <v>28</v>
      </c>
      <c r="E9" s="32" t="s">
        <v>86</v>
      </c>
      <c r="F9" s="32" t="s">
        <v>87</v>
      </c>
      <c r="G9" s="29"/>
      <c r="H9" s="32" t="s">
        <v>89</v>
      </c>
      <c r="I9" s="32" t="s">
        <v>90</v>
      </c>
      <c r="J9" s="32" t="s">
        <v>91</v>
      </c>
    </row>
    <row r="10" ht="26.25" customHeight="1">
      <c r="A10" s="19" t="s">
        <v>92</v>
      </c>
      <c r="B10" s="21"/>
      <c r="C10" s="21" t="s">
        <v>28</v>
      </c>
      <c r="D10" s="21"/>
      <c r="E10" s="24" t="s">
        <v>93</v>
      </c>
      <c r="F10" s="26" t="s">
        <v>94</v>
      </c>
      <c r="G10" s="19"/>
      <c r="H10" s="28"/>
      <c r="I10" s="28"/>
      <c r="J10" s="28"/>
    </row>
    <row r="11" ht="26.25" customHeight="1">
      <c r="A11" s="29" t="s">
        <v>97</v>
      </c>
      <c r="B11" s="30"/>
      <c r="C11" s="30"/>
      <c r="D11" s="30" t="s">
        <v>28</v>
      </c>
      <c r="E11" s="32" t="s">
        <v>101</v>
      </c>
      <c r="F11" s="32" t="s">
        <v>103</v>
      </c>
      <c r="G11" s="29"/>
      <c r="H11" s="32" t="s">
        <v>105</v>
      </c>
      <c r="I11" s="32" t="s">
        <v>107</v>
      </c>
      <c r="J11" s="32" t="s">
        <v>109</v>
      </c>
    </row>
    <row r="12" ht="26.25" customHeight="1">
      <c r="A12" s="29" t="s">
        <v>110</v>
      </c>
      <c r="B12" s="30"/>
      <c r="C12" s="30"/>
      <c r="D12" s="30" t="s">
        <v>28</v>
      </c>
      <c r="E12" s="32" t="s">
        <v>111</v>
      </c>
      <c r="F12" s="33" t="s">
        <v>114</v>
      </c>
      <c r="G12" s="29"/>
      <c r="H12" s="32" t="s">
        <v>117</v>
      </c>
      <c r="I12" s="32" t="s">
        <v>119</v>
      </c>
      <c r="J12" s="32" t="s">
        <v>121</v>
      </c>
    </row>
    <row r="13" ht="26.25" customHeight="1">
      <c r="A13" s="29" t="s">
        <v>123</v>
      </c>
      <c r="B13" s="30"/>
      <c r="C13" s="30"/>
      <c r="D13" s="30" t="s">
        <v>28</v>
      </c>
      <c r="E13" s="32" t="s">
        <v>125</v>
      </c>
      <c r="F13" s="32" t="s">
        <v>126</v>
      </c>
      <c r="G13" s="29"/>
      <c r="H13" s="32" t="s">
        <v>128</v>
      </c>
      <c r="I13" s="32" t="s">
        <v>129</v>
      </c>
      <c r="J13" s="32" t="s">
        <v>130</v>
      </c>
    </row>
    <row r="14" ht="26.25" customHeight="1">
      <c r="A14" s="19" t="s">
        <v>133</v>
      </c>
      <c r="B14" s="21"/>
      <c r="C14" s="21" t="s">
        <v>28</v>
      </c>
      <c r="D14" s="21"/>
      <c r="E14" s="24" t="s">
        <v>135</v>
      </c>
      <c r="F14" s="28" t="s">
        <v>137</v>
      </c>
      <c r="G14" s="19"/>
      <c r="H14" s="28"/>
      <c r="I14" s="28"/>
      <c r="J14" s="28"/>
    </row>
    <row r="15" ht="15.0" customHeight="1">
      <c r="A15" s="29" t="s">
        <v>142</v>
      </c>
      <c r="B15" s="30"/>
      <c r="C15" s="30"/>
      <c r="D15" s="30" t="s">
        <v>28</v>
      </c>
      <c r="E15" s="32" t="s">
        <v>147</v>
      </c>
      <c r="F15" s="32" t="s">
        <v>148</v>
      </c>
      <c r="G15" s="29"/>
      <c r="H15" s="32" t="s">
        <v>149</v>
      </c>
      <c r="I15" s="32" t="s">
        <v>151</v>
      </c>
      <c r="J15" s="32" t="s">
        <v>152</v>
      </c>
    </row>
    <row r="16" ht="39.0" customHeight="1">
      <c r="A16" s="29" t="s">
        <v>154</v>
      </c>
      <c r="B16" s="30"/>
      <c r="C16" s="30"/>
      <c r="D16" s="30" t="s">
        <v>28</v>
      </c>
      <c r="E16" s="32" t="s">
        <v>156</v>
      </c>
      <c r="F16" s="32" t="s">
        <v>157</v>
      </c>
      <c r="G16" s="29"/>
      <c r="H16" s="32" t="s">
        <v>158</v>
      </c>
      <c r="I16" s="32" t="s">
        <v>160</v>
      </c>
      <c r="J16" s="32" t="s">
        <v>161</v>
      </c>
    </row>
    <row r="17" ht="15.0" customHeight="1">
      <c r="A17" s="29" t="s">
        <v>164</v>
      </c>
      <c r="B17" s="30"/>
      <c r="C17" s="30"/>
      <c r="D17" s="30" t="s">
        <v>28</v>
      </c>
      <c r="E17" s="32" t="s">
        <v>170</v>
      </c>
      <c r="F17" s="32" t="s">
        <v>171</v>
      </c>
      <c r="G17" s="29"/>
      <c r="H17" s="32" t="s">
        <v>176</v>
      </c>
      <c r="I17" s="33" t="s">
        <v>82</v>
      </c>
      <c r="J17" s="32" t="s">
        <v>178</v>
      </c>
    </row>
    <row r="18" ht="26.25" customHeight="1">
      <c r="A18" s="8" t="s">
        <v>179</v>
      </c>
      <c r="B18" s="9" t="s">
        <v>28</v>
      </c>
      <c r="C18" s="9"/>
      <c r="D18" s="9"/>
      <c r="E18" s="12" t="s">
        <v>183</v>
      </c>
      <c r="F18" s="14" t="s">
        <v>184</v>
      </c>
      <c r="G18" s="16" t="s">
        <v>186</v>
      </c>
      <c r="H18" s="14"/>
      <c r="I18" s="14"/>
      <c r="J18" s="14"/>
    </row>
    <row r="19" ht="26.25" customHeight="1">
      <c r="A19" s="19" t="s">
        <v>188</v>
      </c>
      <c r="B19" s="21"/>
      <c r="C19" s="21" t="s">
        <v>28</v>
      </c>
      <c r="D19" s="21"/>
      <c r="E19" s="24" t="s">
        <v>192</v>
      </c>
      <c r="F19" s="26" t="s">
        <v>193</v>
      </c>
      <c r="G19" s="19"/>
      <c r="H19" s="28"/>
      <c r="I19" s="28"/>
      <c r="J19" s="28"/>
    </row>
    <row r="20" ht="26.25" customHeight="1">
      <c r="A20" s="29" t="s">
        <v>194</v>
      </c>
      <c r="B20" s="30"/>
      <c r="C20" s="30"/>
      <c r="D20" s="30" t="s">
        <v>28</v>
      </c>
      <c r="E20" s="32" t="s">
        <v>195</v>
      </c>
      <c r="F20" s="32" t="s">
        <v>196</v>
      </c>
      <c r="G20" s="29"/>
      <c r="H20" s="32" t="s">
        <v>198</v>
      </c>
      <c r="I20" s="32" t="s">
        <v>200</v>
      </c>
      <c r="J20" s="32" t="s">
        <v>201</v>
      </c>
    </row>
    <row r="21" ht="26.25" customHeight="1">
      <c r="A21" s="29" t="s">
        <v>205</v>
      </c>
      <c r="B21" s="30"/>
      <c r="C21" s="30"/>
      <c r="D21" s="30" t="s">
        <v>28</v>
      </c>
      <c r="E21" s="32" t="s">
        <v>208</v>
      </c>
      <c r="F21" s="32" t="s">
        <v>209</v>
      </c>
      <c r="G21" s="29"/>
      <c r="H21" s="32" t="s">
        <v>211</v>
      </c>
      <c r="I21" s="33" t="s">
        <v>217</v>
      </c>
      <c r="J21" s="32" t="s">
        <v>220</v>
      </c>
    </row>
    <row r="22" ht="26.25" customHeight="1">
      <c r="A22" s="29" t="s">
        <v>222</v>
      </c>
      <c r="B22" s="30"/>
      <c r="C22" s="30"/>
      <c r="D22" s="30" t="s">
        <v>28</v>
      </c>
      <c r="E22" s="32" t="s">
        <v>229</v>
      </c>
      <c r="F22" s="32" t="s">
        <v>231</v>
      </c>
      <c r="G22" s="29"/>
      <c r="H22" s="32" t="s">
        <v>232</v>
      </c>
      <c r="I22" s="33" t="s">
        <v>82</v>
      </c>
      <c r="J22" s="32" t="s">
        <v>236</v>
      </c>
    </row>
    <row r="23" ht="15.0" customHeight="1">
      <c r="A23" s="19" t="s">
        <v>212</v>
      </c>
      <c r="B23" s="21"/>
      <c r="C23" s="21" t="s">
        <v>28</v>
      </c>
      <c r="D23" s="21"/>
      <c r="E23" s="24" t="s">
        <v>215</v>
      </c>
      <c r="F23" s="26" t="s">
        <v>242</v>
      </c>
      <c r="G23" s="19"/>
      <c r="H23" s="28"/>
      <c r="I23" s="28"/>
      <c r="J23" s="28"/>
    </row>
    <row r="24" ht="26.25" customHeight="1">
      <c r="A24" s="29" t="s">
        <v>245</v>
      </c>
      <c r="B24" s="30"/>
      <c r="C24" s="30"/>
      <c r="D24" s="30" t="s">
        <v>28</v>
      </c>
      <c r="E24" s="32" t="s">
        <v>248</v>
      </c>
      <c r="F24" s="32" t="s">
        <v>251</v>
      </c>
      <c r="G24" s="29"/>
      <c r="H24" s="32" t="s">
        <v>252</v>
      </c>
      <c r="I24" s="32" t="s">
        <v>256</v>
      </c>
      <c r="J24" s="32" t="s">
        <v>257</v>
      </c>
    </row>
    <row r="25" ht="26.25" customHeight="1">
      <c r="A25" s="29" t="s">
        <v>260</v>
      </c>
      <c r="B25" s="30"/>
      <c r="C25" s="30"/>
      <c r="D25" s="30" t="s">
        <v>28</v>
      </c>
      <c r="E25" s="32" t="s">
        <v>265</v>
      </c>
      <c r="F25" s="32" t="s">
        <v>266</v>
      </c>
      <c r="G25" s="29"/>
      <c r="H25" s="32" t="s">
        <v>270</v>
      </c>
      <c r="I25" s="33" t="s">
        <v>82</v>
      </c>
      <c r="J25" s="32" t="s">
        <v>272</v>
      </c>
    </row>
    <row r="26" ht="26.25" customHeight="1">
      <c r="A26" s="29" t="s">
        <v>275</v>
      </c>
      <c r="B26" s="30"/>
      <c r="C26" s="30"/>
      <c r="D26" s="30" t="s">
        <v>28</v>
      </c>
      <c r="E26" s="32" t="s">
        <v>279</v>
      </c>
      <c r="F26" s="32" t="s">
        <v>282</v>
      </c>
      <c r="G26" s="29"/>
      <c r="H26" s="32" t="s">
        <v>285</v>
      </c>
      <c r="I26" s="33" t="s">
        <v>82</v>
      </c>
      <c r="J26" s="32" t="s">
        <v>287</v>
      </c>
    </row>
    <row r="27" ht="15.0" customHeight="1">
      <c r="A27" s="19" t="s">
        <v>233</v>
      </c>
      <c r="B27" s="21"/>
      <c r="C27" s="21" t="s">
        <v>28</v>
      </c>
      <c r="D27" s="21"/>
      <c r="E27" s="24" t="s">
        <v>235</v>
      </c>
      <c r="F27" s="26" t="s">
        <v>293</v>
      </c>
      <c r="G27" s="19"/>
      <c r="H27" s="28"/>
      <c r="I27" s="28"/>
      <c r="J27" s="28"/>
    </row>
    <row r="28" ht="15.0" customHeight="1">
      <c r="A28" s="29" t="s">
        <v>297</v>
      </c>
      <c r="B28" s="30"/>
      <c r="C28" s="30"/>
      <c r="D28" s="30" t="s">
        <v>28</v>
      </c>
      <c r="E28" s="32" t="s">
        <v>301</v>
      </c>
      <c r="F28" s="32" t="s">
        <v>302</v>
      </c>
      <c r="G28" s="29"/>
      <c r="H28" s="33" t="s">
        <v>305</v>
      </c>
      <c r="I28" s="33" t="s">
        <v>82</v>
      </c>
      <c r="J28" s="32" t="s">
        <v>307</v>
      </c>
    </row>
    <row r="29" ht="15.0" customHeight="1">
      <c r="A29" s="29" t="s">
        <v>311</v>
      </c>
      <c r="B29" s="30"/>
      <c r="C29" s="30"/>
      <c r="D29" s="30" t="s">
        <v>28</v>
      </c>
      <c r="E29" s="32" t="s">
        <v>283</v>
      </c>
      <c r="F29" s="32" t="s">
        <v>315</v>
      </c>
      <c r="G29" s="29"/>
      <c r="H29" s="32" t="s">
        <v>317</v>
      </c>
      <c r="I29" s="33" t="s">
        <v>82</v>
      </c>
      <c r="J29" s="32" t="s">
        <v>319</v>
      </c>
    </row>
    <row r="30" ht="26.25" customHeight="1">
      <c r="A30" s="29" t="s">
        <v>321</v>
      </c>
      <c r="B30" s="30"/>
      <c r="C30" s="30"/>
      <c r="D30" s="30" t="s">
        <v>28</v>
      </c>
      <c r="E30" s="33" t="s">
        <v>327</v>
      </c>
      <c r="F30" s="33" t="s">
        <v>330</v>
      </c>
      <c r="G30" s="29"/>
      <c r="H30" s="32" t="s">
        <v>333</v>
      </c>
      <c r="I30" s="33" t="s">
        <v>82</v>
      </c>
      <c r="J30" s="32" t="s">
        <v>336</v>
      </c>
    </row>
    <row r="31" ht="15.0" customHeight="1">
      <c r="A31" s="19" t="s">
        <v>247</v>
      </c>
      <c r="B31" s="21"/>
      <c r="C31" s="21" t="s">
        <v>28</v>
      </c>
      <c r="D31" s="21"/>
      <c r="E31" s="24" t="s">
        <v>249</v>
      </c>
      <c r="F31" s="26" t="s">
        <v>344</v>
      </c>
      <c r="G31" s="19"/>
      <c r="H31" s="28"/>
      <c r="I31" s="28"/>
      <c r="J31" s="28"/>
    </row>
    <row r="32" ht="26.25" customHeight="1">
      <c r="A32" s="29" t="s">
        <v>347</v>
      </c>
      <c r="B32" s="30"/>
      <c r="C32" s="30"/>
      <c r="D32" s="30" t="s">
        <v>28</v>
      </c>
      <c r="E32" s="32" t="s">
        <v>351</v>
      </c>
      <c r="F32" s="32" t="s">
        <v>353</v>
      </c>
      <c r="G32" s="29"/>
      <c r="H32" s="32" t="s">
        <v>354</v>
      </c>
      <c r="I32" s="33" t="s">
        <v>82</v>
      </c>
      <c r="J32" s="32" t="s">
        <v>355</v>
      </c>
    </row>
    <row r="33" ht="26.25" customHeight="1">
      <c r="A33" s="29" t="s">
        <v>357</v>
      </c>
      <c r="B33" s="30"/>
      <c r="C33" s="30"/>
      <c r="D33" s="30" t="s">
        <v>28</v>
      </c>
      <c r="E33" s="33" t="s">
        <v>362</v>
      </c>
      <c r="F33" s="32" t="s">
        <v>364</v>
      </c>
      <c r="G33" s="29"/>
      <c r="H33" s="32" t="s">
        <v>367</v>
      </c>
      <c r="I33" s="32" t="s">
        <v>368</v>
      </c>
      <c r="J33" s="32" t="s">
        <v>371</v>
      </c>
    </row>
    <row r="34" ht="26.25" customHeight="1">
      <c r="A34" s="19" t="s">
        <v>267</v>
      </c>
      <c r="B34" s="21"/>
      <c r="C34" s="21" t="s">
        <v>28</v>
      </c>
      <c r="D34" s="21"/>
      <c r="E34" s="24" t="s">
        <v>269</v>
      </c>
      <c r="F34" s="26" t="s">
        <v>375</v>
      </c>
      <c r="G34" s="19"/>
      <c r="H34" s="28"/>
      <c r="I34" s="28"/>
      <c r="J34" s="28"/>
    </row>
    <row r="35" ht="26.25" customHeight="1">
      <c r="A35" s="29" t="s">
        <v>380</v>
      </c>
      <c r="B35" s="30"/>
      <c r="C35" s="30"/>
      <c r="D35" s="30" t="s">
        <v>28</v>
      </c>
      <c r="E35" s="32" t="s">
        <v>384</v>
      </c>
      <c r="F35" s="32" t="s">
        <v>385</v>
      </c>
      <c r="G35" s="29"/>
      <c r="H35" s="32" t="s">
        <v>386</v>
      </c>
      <c r="I35" s="32" t="s">
        <v>387</v>
      </c>
      <c r="J35" s="32" t="s">
        <v>388</v>
      </c>
    </row>
    <row r="36" ht="26.25" customHeight="1">
      <c r="A36" s="29" t="s">
        <v>389</v>
      </c>
      <c r="B36" s="30"/>
      <c r="C36" s="30"/>
      <c r="D36" s="30" t="s">
        <v>28</v>
      </c>
      <c r="E36" s="32" t="s">
        <v>390</v>
      </c>
      <c r="F36" s="33" t="s">
        <v>394</v>
      </c>
      <c r="G36" s="29"/>
      <c r="H36" s="33" t="s">
        <v>398</v>
      </c>
      <c r="I36" s="32" t="s">
        <v>400</v>
      </c>
      <c r="J36" s="32" t="s">
        <v>403</v>
      </c>
    </row>
    <row r="37" ht="26.25" customHeight="1">
      <c r="A37" s="8" t="s">
        <v>409</v>
      </c>
      <c r="B37" s="9" t="s">
        <v>28</v>
      </c>
      <c r="C37" s="9"/>
      <c r="D37" s="9"/>
      <c r="E37" s="12" t="s">
        <v>286</v>
      </c>
      <c r="F37" s="14" t="s">
        <v>415</v>
      </c>
      <c r="G37" s="16" t="s">
        <v>186</v>
      </c>
      <c r="H37" s="14"/>
      <c r="I37" s="14"/>
      <c r="J37" s="14"/>
    </row>
    <row r="38" ht="15.0" customHeight="1">
      <c r="A38" s="19" t="s">
        <v>284</v>
      </c>
      <c r="B38" s="21"/>
      <c r="C38" s="21" t="s">
        <v>28</v>
      </c>
      <c r="D38" s="21"/>
      <c r="E38" s="24" t="s">
        <v>288</v>
      </c>
      <c r="F38" s="26" t="s">
        <v>417</v>
      </c>
      <c r="G38" s="19"/>
      <c r="H38" s="28"/>
      <c r="I38" s="28"/>
      <c r="J38" s="28"/>
    </row>
    <row r="39" ht="26.25" customHeight="1">
      <c r="A39" s="29" t="s">
        <v>418</v>
      </c>
      <c r="B39" s="30"/>
      <c r="C39" s="30"/>
      <c r="D39" s="30" t="s">
        <v>28</v>
      </c>
      <c r="E39" s="32" t="s">
        <v>420</v>
      </c>
      <c r="F39" s="32" t="s">
        <v>421</v>
      </c>
      <c r="G39" s="29"/>
      <c r="H39" s="32" t="s">
        <v>422</v>
      </c>
      <c r="I39" s="33" t="s">
        <v>426</v>
      </c>
      <c r="J39" s="32" t="s">
        <v>427</v>
      </c>
    </row>
    <row r="40" ht="26.25" customHeight="1">
      <c r="A40" s="29" t="s">
        <v>429</v>
      </c>
      <c r="B40" s="30"/>
      <c r="C40" s="30"/>
      <c r="D40" s="30" t="s">
        <v>28</v>
      </c>
      <c r="E40" s="32" t="s">
        <v>432</v>
      </c>
      <c r="F40" s="32" t="s">
        <v>433</v>
      </c>
      <c r="G40" s="29"/>
      <c r="H40" s="32" t="s">
        <v>434</v>
      </c>
      <c r="I40" s="33" t="s">
        <v>82</v>
      </c>
      <c r="J40" s="32" t="s">
        <v>435</v>
      </c>
    </row>
    <row r="41" ht="26.25" customHeight="1">
      <c r="A41" s="19" t="s">
        <v>298</v>
      </c>
      <c r="B41" s="21"/>
      <c r="C41" s="21" t="s">
        <v>28</v>
      </c>
      <c r="D41" s="21"/>
      <c r="E41" s="24" t="s">
        <v>300</v>
      </c>
      <c r="F41" s="26" t="s">
        <v>440</v>
      </c>
      <c r="G41" s="19"/>
      <c r="H41" s="28"/>
      <c r="I41" s="28"/>
      <c r="J41" s="28"/>
    </row>
    <row r="42" ht="26.25" customHeight="1">
      <c r="A42" s="29" t="s">
        <v>444</v>
      </c>
      <c r="B42" s="30"/>
      <c r="C42" s="30"/>
      <c r="D42" s="30" t="s">
        <v>28</v>
      </c>
      <c r="E42" s="32" t="s">
        <v>447</v>
      </c>
      <c r="F42" s="32" t="s">
        <v>449</v>
      </c>
      <c r="G42" s="29"/>
      <c r="H42" s="32" t="s">
        <v>452</v>
      </c>
      <c r="I42" s="33" t="s">
        <v>82</v>
      </c>
      <c r="J42" s="32" t="s">
        <v>457</v>
      </c>
    </row>
    <row r="43" ht="26.25" customHeight="1">
      <c r="A43" s="29" t="s">
        <v>459</v>
      </c>
      <c r="B43" s="30"/>
      <c r="C43" s="30"/>
      <c r="D43" s="30" t="s">
        <v>28</v>
      </c>
      <c r="E43" s="33" t="s">
        <v>462</v>
      </c>
      <c r="F43" s="33" t="s">
        <v>465</v>
      </c>
      <c r="G43" s="29"/>
      <c r="H43" s="32" t="s">
        <v>468</v>
      </c>
      <c r="I43" s="33" t="s">
        <v>82</v>
      </c>
      <c r="J43" s="32" t="s">
        <v>470</v>
      </c>
    </row>
    <row r="44" ht="26.25" customHeight="1">
      <c r="A44" s="29" t="s">
        <v>473</v>
      </c>
      <c r="B44" s="30"/>
      <c r="C44" s="30"/>
      <c r="D44" s="30" t="s">
        <v>28</v>
      </c>
      <c r="E44" s="33" t="s">
        <v>477</v>
      </c>
      <c r="F44" s="32" t="s">
        <v>479</v>
      </c>
      <c r="G44" s="29"/>
      <c r="H44" s="32" t="s">
        <v>482</v>
      </c>
      <c r="I44" s="33" t="s">
        <v>82</v>
      </c>
      <c r="J44" s="32" t="s">
        <v>484</v>
      </c>
    </row>
    <row r="45" ht="26.25" customHeight="1">
      <c r="A45" s="19" t="s">
        <v>318</v>
      </c>
      <c r="B45" s="21"/>
      <c r="C45" s="21" t="s">
        <v>28</v>
      </c>
      <c r="D45" s="21"/>
      <c r="E45" s="24" t="s">
        <v>322</v>
      </c>
      <c r="F45" s="28" t="s">
        <v>491</v>
      </c>
      <c r="G45" s="19"/>
      <c r="H45" s="28"/>
      <c r="I45" s="28"/>
      <c r="J45" s="28"/>
    </row>
    <row r="46" ht="26.25" customHeight="1">
      <c r="A46" s="29" t="s">
        <v>495</v>
      </c>
      <c r="B46" s="30"/>
      <c r="C46" s="30"/>
      <c r="D46" s="30" t="s">
        <v>28</v>
      </c>
      <c r="E46" s="32" t="s">
        <v>499</v>
      </c>
      <c r="F46" s="33" t="s">
        <v>501</v>
      </c>
      <c r="G46" s="29"/>
      <c r="H46" s="32" t="s">
        <v>502</v>
      </c>
      <c r="I46" s="32" t="s">
        <v>256</v>
      </c>
      <c r="J46" s="32" t="s">
        <v>505</v>
      </c>
    </row>
    <row r="47" ht="26.25" customHeight="1">
      <c r="A47" s="29" t="s">
        <v>508</v>
      </c>
      <c r="B47" s="30"/>
      <c r="C47" s="30"/>
      <c r="D47" s="30" t="s">
        <v>28</v>
      </c>
      <c r="E47" s="32" t="s">
        <v>511</v>
      </c>
      <c r="F47" s="32" t="s">
        <v>513</v>
      </c>
      <c r="G47" s="29"/>
      <c r="H47" s="32" t="s">
        <v>515</v>
      </c>
      <c r="I47" s="33" t="s">
        <v>82</v>
      </c>
      <c r="J47" s="32" t="s">
        <v>518</v>
      </c>
    </row>
    <row r="48" ht="15.0" customHeight="1">
      <c r="A48" s="19" t="s">
        <v>338</v>
      </c>
      <c r="B48" s="21"/>
      <c r="C48" s="21" t="s">
        <v>28</v>
      </c>
      <c r="D48" s="21"/>
      <c r="E48" s="24" t="s">
        <v>340</v>
      </c>
      <c r="F48" s="26" t="s">
        <v>523</v>
      </c>
      <c r="G48" s="19"/>
      <c r="H48" s="28"/>
      <c r="I48" s="28"/>
      <c r="J48" s="28"/>
    </row>
    <row r="49" ht="26.25" customHeight="1">
      <c r="A49" s="29" t="s">
        <v>525</v>
      </c>
      <c r="B49" s="30"/>
      <c r="C49" s="30"/>
      <c r="D49" s="30" t="s">
        <v>28</v>
      </c>
      <c r="E49" s="32" t="s">
        <v>529</v>
      </c>
      <c r="F49" s="32" t="s">
        <v>531</v>
      </c>
      <c r="G49" s="29"/>
      <c r="H49" s="33" t="s">
        <v>536</v>
      </c>
      <c r="I49" s="33" t="s">
        <v>82</v>
      </c>
      <c r="J49" s="32" t="s">
        <v>540</v>
      </c>
    </row>
    <row r="50" ht="26.25" customHeight="1">
      <c r="A50" s="29" t="s">
        <v>543</v>
      </c>
      <c r="B50" s="30"/>
      <c r="C50" s="30"/>
      <c r="D50" s="30" t="s">
        <v>28</v>
      </c>
      <c r="E50" s="32" t="s">
        <v>546</v>
      </c>
      <c r="F50" s="32" t="s">
        <v>548</v>
      </c>
      <c r="G50" s="29"/>
      <c r="H50" s="32" t="s">
        <v>550</v>
      </c>
      <c r="I50" s="32" t="s">
        <v>553</v>
      </c>
      <c r="J50" s="32" t="s">
        <v>555</v>
      </c>
    </row>
    <row r="51" ht="26.25" customHeight="1">
      <c r="A51" s="8" t="s">
        <v>558</v>
      </c>
      <c r="B51" s="9" t="s">
        <v>28</v>
      </c>
      <c r="C51" s="9"/>
      <c r="D51" s="9"/>
      <c r="E51" s="15" t="s">
        <v>570</v>
      </c>
      <c r="F51" s="14" t="s">
        <v>573</v>
      </c>
      <c r="G51" s="16" t="s">
        <v>186</v>
      </c>
      <c r="H51" s="14"/>
      <c r="I51" s="14"/>
      <c r="J51" s="14"/>
    </row>
    <row r="52" ht="26.25" customHeight="1">
      <c r="A52" s="19" t="s">
        <v>352</v>
      </c>
      <c r="B52" s="21"/>
      <c r="C52" s="21" t="s">
        <v>28</v>
      </c>
      <c r="D52" s="21"/>
      <c r="E52" s="24" t="s">
        <v>365</v>
      </c>
      <c r="F52" s="26" t="s">
        <v>580</v>
      </c>
      <c r="G52" s="19"/>
      <c r="H52" s="28"/>
      <c r="I52" s="28"/>
      <c r="J52" s="28"/>
    </row>
    <row r="53" ht="26.25" customHeight="1">
      <c r="A53" s="29" t="s">
        <v>585</v>
      </c>
      <c r="B53" s="30"/>
      <c r="C53" s="30"/>
      <c r="D53" s="30" t="s">
        <v>28</v>
      </c>
      <c r="E53" s="32" t="s">
        <v>589</v>
      </c>
      <c r="F53" s="32" t="s">
        <v>592</v>
      </c>
      <c r="G53" s="29"/>
      <c r="H53" s="32" t="s">
        <v>595</v>
      </c>
      <c r="I53" s="33" t="s">
        <v>82</v>
      </c>
      <c r="J53" s="32" t="s">
        <v>598</v>
      </c>
    </row>
    <row r="54" ht="26.25" customHeight="1">
      <c r="A54" s="29" t="s">
        <v>600</v>
      </c>
      <c r="B54" s="30"/>
      <c r="C54" s="30"/>
      <c r="D54" s="30" t="s">
        <v>28</v>
      </c>
      <c r="E54" s="32" t="s">
        <v>604</v>
      </c>
      <c r="F54" s="33" t="s">
        <v>608</v>
      </c>
      <c r="G54" s="29"/>
      <c r="H54" s="32" t="s">
        <v>611</v>
      </c>
      <c r="I54" s="33" t="s">
        <v>82</v>
      </c>
      <c r="J54" s="32" t="s">
        <v>616</v>
      </c>
    </row>
    <row r="55" ht="26.25" customHeight="1">
      <c r="A55" s="19" t="s">
        <v>397</v>
      </c>
      <c r="B55" s="21"/>
      <c r="C55" s="21" t="s">
        <v>28</v>
      </c>
      <c r="D55" s="21"/>
      <c r="E55" s="24" t="s">
        <v>401</v>
      </c>
      <c r="F55" s="26" t="s">
        <v>622</v>
      </c>
      <c r="G55" s="19"/>
      <c r="H55" s="28"/>
      <c r="I55" s="28"/>
      <c r="J55" s="28"/>
    </row>
    <row r="56" ht="15.0" customHeight="1">
      <c r="A56" s="29" t="s">
        <v>626</v>
      </c>
      <c r="B56" s="30"/>
      <c r="C56" s="30"/>
      <c r="D56" s="30" t="s">
        <v>28</v>
      </c>
      <c r="E56" s="32" t="s">
        <v>629</v>
      </c>
      <c r="F56" s="32" t="s">
        <v>631</v>
      </c>
      <c r="G56" s="29"/>
      <c r="H56" s="32" t="s">
        <v>633</v>
      </c>
      <c r="I56" s="33" t="s">
        <v>82</v>
      </c>
      <c r="J56" s="32" t="s">
        <v>634</v>
      </c>
    </row>
    <row r="57" ht="26.25" customHeight="1">
      <c r="A57" s="29" t="s">
        <v>635</v>
      </c>
      <c r="B57" s="30"/>
      <c r="C57" s="30"/>
      <c r="D57" s="30" t="s">
        <v>28</v>
      </c>
      <c r="E57" s="32" t="s">
        <v>637</v>
      </c>
      <c r="F57" s="32" t="s">
        <v>638</v>
      </c>
      <c r="G57" s="29"/>
      <c r="H57" s="32" t="s">
        <v>640</v>
      </c>
      <c r="I57" s="33" t="s">
        <v>82</v>
      </c>
      <c r="J57" s="32" t="s">
        <v>641</v>
      </c>
    </row>
    <row r="58" ht="26.25" customHeight="1">
      <c r="A58" s="29" t="s">
        <v>644</v>
      </c>
      <c r="B58" s="30"/>
      <c r="C58" s="30"/>
      <c r="D58" s="30" t="s">
        <v>28</v>
      </c>
      <c r="E58" s="32" t="s">
        <v>647</v>
      </c>
      <c r="F58" s="32" t="s">
        <v>649</v>
      </c>
      <c r="G58" s="29"/>
      <c r="H58" s="32" t="s">
        <v>651</v>
      </c>
      <c r="I58" s="32" t="s">
        <v>653</v>
      </c>
      <c r="J58" s="32" t="s">
        <v>655</v>
      </c>
    </row>
    <row r="59" ht="26.25" customHeight="1">
      <c r="A59" s="29" t="s">
        <v>669</v>
      </c>
      <c r="B59" s="30"/>
      <c r="C59" s="30"/>
      <c r="D59" s="30" t="s">
        <v>28</v>
      </c>
      <c r="E59" s="32" t="s">
        <v>673</v>
      </c>
      <c r="F59" s="32" t="s">
        <v>674</v>
      </c>
      <c r="G59" s="29"/>
      <c r="H59" s="32" t="s">
        <v>676</v>
      </c>
      <c r="I59" s="33" t="s">
        <v>82</v>
      </c>
      <c r="J59" s="32" t="s">
        <v>678</v>
      </c>
    </row>
    <row r="60" ht="15.0" customHeight="1">
      <c r="A60" s="19" t="s">
        <v>413</v>
      </c>
      <c r="B60" s="21"/>
      <c r="C60" s="21" t="s">
        <v>28</v>
      </c>
      <c r="D60" s="21"/>
      <c r="E60" s="24" t="s">
        <v>416</v>
      </c>
      <c r="F60" s="26" t="s">
        <v>683</v>
      </c>
      <c r="G60" s="19"/>
      <c r="H60" s="28"/>
      <c r="I60" s="28"/>
      <c r="J60" s="28"/>
    </row>
    <row r="61" ht="15.0" customHeight="1">
      <c r="A61" s="29" t="s">
        <v>686</v>
      </c>
      <c r="B61" s="30"/>
      <c r="C61" s="30"/>
      <c r="D61" s="30" t="s">
        <v>28</v>
      </c>
      <c r="E61" s="32" t="s">
        <v>691</v>
      </c>
      <c r="F61" s="32" t="s">
        <v>693</v>
      </c>
      <c r="G61" s="29"/>
      <c r="H61" s="32" t="s">
        <v>695</v>
      </c>
      <c r="I61" s="32" t="s">
        <v>697</v>
      </c>
      <c r="J61" s="32" t="s">
        <v>700</v>
      </c>
    </row>
    <row r="62" ht="26.25" customHeight="1">
      <c r="A62" s="29" t="s">
        <v>703</v>
      </c>
      <c r="B62" s="30"/>
      <c r="C62" s="30"/>
      <c r="D62" s="30" t="s">
        <v>28</v>
      </c>
      <c r="E62" s="32" t="s">
        <v>708</v>
      </c>
      <c r="F62" s="32" t="s">
        <v>710</v>
      </c>
      <c r="G62" s="29"/>
      <c r="H62" s="32" t="s">
        <v>712</v>
      </c>
      <c r="I62" s="33" t="s">
        <v>82</v>
      </c>
      <c r="J62" s="32" t="s">
        <v>715</v>
      </c>
    </row>
    <row r="63" ht="26.25" customHeight="1">
      <c r="A63" s="29" t="s">
        <v>718</v>
      </c>
      <c r="B63" s="30"/>
      <c r="C63" s="30"/>
      <c r="D63" s="30" t="s">
        <v>28</v>
      </c>
      <c r="E63" s="32" t="s">
        <v>722</v>
      </c>
      <c r="F63" s="32" t="s">
        <v>724</v>
      </c>
      <c r="G63" s="29"/>
      <c r="H63" s="32" t="s">
        <v>726</v>
      </c>
      <c r="I63" s="33" t="s">
        <v>82</v>
      </c>
      <c r="J63" s="32" t="s">
        <v>728</v>
      </c>
    </row>
    <row r="64" ht="26.25" customHeight="1">
      <c r="A64" s="19" t="s">
        <v>431</v>
      </c>
      <c r="B64" s="21"/>
      <c r="C64" s="21" t="s">
        <v>28</v>
      </c>
      <c r="D64" s="21"/>
      <c r="E64" s="24" t="s">
        <v>436</v>
      </c>
      <c r="F64" s="26" t="s">
        <v>733</v>
      </c>
      <c r="G64" s="19"/>
      <c r="H64" s="28"/>
      <c r="I64" s="28"/>
      <c r="J64" s="28"/>
    </row>
    <row r="65" ht="26.25" customHeight="1">
      <c r="A65" s="29" t="s">
        <v>738</v>
      </c>
      <c r="B65" s="30"/>
      <c r="C65" s="30"/>
      <c r="D65" s="30" t="s">
        <v>28</v>
      </c>
      <c r="E65" s="32" t="s">
        <v>741</v>
      </c>
      <c r="F65" s="32" t="s">
        <v>743</v>
      </c>
      <c r="G65" s="29"/>
      <c r="H65" s="32" t="s">
        <v>745</v>
      </c>
      <c r="I65" s="33" t="s">
        <v>82</v>
      </c>
      <c r="J65" s="32" t="s">
        <v>747</v>
      </c>
    </row>
    <row r="66" ht="39.0" customHeight="1">
      <c r="A66" s="29" t="s">
        <v>750</v>
      </c>
      <c r="B66" s="30"/>
      <c r="C66" s="30"/>
      <c r="D66" s="30" t="s">
        <v>28</v>
      </c>
      <c r="E66" s="32" t="s">
        <v>754</v>
      </c>
      <c r="F66" s="32" t="s">
        <v>756</v>
      </c>
      <c r="G66" s="29"/>
      <c r="H66" s="32" t="s">
        <v>759</v>
      </c>
      <c r="I66" s="32" t="s">
        <v>760</v>
      </c>
      <c r="J66" s="32" t="s">
        <v>763</v>
      </c>
    </row>
    <row r="67" ht="26.25" customHeight="1">
      <c r="A67" s="29" t="s">
        <v>766</v>
      </c>
      <c r="B67" s="30"/>
      <c r="C67" s="30"/>
      <c r="D67" s="30" t="s">
        <v>28</v>
      </c>
      <c r="E67" s="32" t="s">
        <v>774</v>
      </c>
      <c r="F67" s="32" t="s">
        <v>776</v>
      </c>
      <c r="G67" s="29"/>
      <c r="H67" s="32" t="s">
        <v>777</v>
      </c>
      <c r="I67" s="32" t="s">
        <v>779</v>
      </c>
      <c r="J67" s="32" t="s">
        <v>782</v>
      </c>
    </row>
    <row r="68" ht="26.25" customHeight="1">
      <c r="A68" s="29" t="s">
        <v>783</v>
      </c>
      <c r="B68" s="30"/>
      <c r="C68" s="30"/>
      <c r="D68" s="30" t="s">
        <v>28</v>
      </c>
      <c r="E68" s="32" t="s">
        <v>786</v>
      </c>
      <c r="F68" s="32" t="s">
        <v>787</v>
      </c>
      <c r="G68" s="29"/>
      <c r="H68" s="32" t="s">
        <v>788</v>
      </c>
      <c r="I68" s="32" t="s">
        <v>789</v>
      </c>
      <c r="J68" s="32" t="s">
        <v>790</v>
      </c>
    </row>
    <row r="69" ht="15.0" customHeight="1">
      <c r="A69" s="19" t="s">
        <v>445</v>
      </c>
      <c r="B69" s="21"/>
      <c r="C69" s="21" t="s">
        <v>28</v>
      </c>
      <c r="D69" s="21"/>
      <c r="E69" s="24" t="s">
        <v>446</v>
      </c>
      <c r="F69" s="26" t="s">
        <v>795</v>
      </c>
      <c r="G69" s="19"/>
      <c r="H69" s="28"/>
      <c r="I69" s="28"/>
      <c r="J69" s="28"/>
    </row>
    <row r="70" ht="26.25" customHeight="1">
      <c r="A70" s="29" t="s">
        <v>801</v>
      </c>
      <c r="B70" s="30"/>
      <c r="C70" s="30"/>
      <c r="D70" s="30" t="s">
        <v>28</v>
      </c>
      <c r="E70" s="32" t="s">
        <v>805</v>
      </c>
      <c r="F70" s="32" t="s">
        <v>808</v>
      </c>
      <c r="G70" s="29"/>
      <c r="H70" s="32" t="s">
        <v>810</v>
      </c>
      <c r="I70" s="33" t="s">
        <v>82</v>
      </c>
      <c r="J70" s="32" t="s">
        <v>814</v>
      </c>
    </row>
    <row r="71" ht="15.0" customHeight="1">
      <c r="A71" s="29" t="s">
        <v>817</v>
      </c>
      <c r="B71" s="30"/>
      <c r="C71" s="30"/>
      <c r="D71" s="30" t="s">
        <v>28</v>
      </c>
      <c r="E71" s="32" t="s">
        <v>820</v>
      </c>
      <c r="F71" s="32" t="s">
        <v>823</v>
      </c>
      <c r="G71" s="29"/>
      <c r="H71" s="32" t="s">
        <v>826</v>
      </c>
      <c r="I71" s="32" t="s">
        <v>828</v>
      </c>
      <c r="J71" s="32" t="s">
        <v>831</v>
      </c>
    </row>
    <row r="72" ht="26.25" customHeight="1">
      <c r="A72" s="29" t="s">
        <v>833</v>
      </c>
      <c r="B72" s="30"/>
      <c r="C72" s="30"/>
      <c r="D72" s="30" t="s">
        <v>28</v>
      </c>
      <c r="E72" s="32" t="s">
        <v>837</v>
      </c>
      <c r="F72" s="32" t="s">
        <v>840</v>
      </c>
      <c r="G72" s="29"/>
      <c r="H72" s="32" t="s">
        <v>842</v>
      </c>
      <c r="I72" s="33" t="s">
        <v>82</v>
      </c>
      <c r="J72" s="32" t="s">
        <v>847</v>
      </c>
    </row>
    <row r="73" ht="26.25" customHeight="1">
      <c r="A73" s="8" t="s">
        <v>849</v>
      </c>
      <c r="B73" s="9" t="s">
        <v>28</v>
      </c>
      <c r="C73" s="9"/>
      <c r="D73" s="9"/>
      <c r="E73" s="12" t="s">
        <v>458</v>
      </c>
      <c r="F73" s="14" t="s">
        <v>852</v>
      </c>
      <c r="G73" s="16" t="s">
        <v>186</v>
      </c>
      <c r="H73" s="14"/>
      <c r="I73" s="14"/>
      <c r="J73" s="14"/>
    </row>
    <row r="74" ht="26.25" customHeight="1">
      <c r="A74" s="19" t="s">
        <v>456</v>
      </c>
      <c r="B74" s="21"/>
      <c r="C74" s="21" t="s">
        <v>28</v>
      </c>
      <c r="D74" s="21"/>
      <c r="E74" s="24" t="s">
        <v>460</v>
      </c>
      <c r="F74" s="26" t="s">
        <v>859</v>
      </c>
      <c r="G74" s="19"/>
      <c r="H74" s="28"/>
      <c r="I74" s="28"/>
      <c r="J74" s="28"/>
    </row>
    <row r="75" ht="15.0" customHeight="1">
      <c r="A75" s="29" t="s">
        <v>863</v>
      </c>
      <c r="B75" s="30"/>
      <c r="C75" s="30"/>
      <c r="D75" s="30" t="s">
        <v>28</v>
      </c>
      <c r="E75" s="32" t="s">
        <v>868</v>
      </c>
      <c r="F75" s="32" t="s">
        <v>869</v>
      </c>
      <c r="G75" s="29"/>
      <c r="H75" s="32" t="s">
        <v>871</v>
      </c>
      <c r="I75" s="32" t="s">
        <v>873</v>
      </c>
      <c r="J75" s="32" t="s">
        <v>877</v>
      </c>
    </row>
    <row r="76" ht="26.25" customHeight="1">
      <c r="A76" s="29" t="s">
        <v>880</v>
      </c>
      <c r="B76" s="30"/>
      <c r="C76" s="30"/>
      <c r="D76" s="30" t="s">
        <v>28</v>
      </c>
      <c r="E76" s="32" t="s">
        <v>885</v>
      </c>
      <c r="F76" s="32" t="s">
        <v>888</v>
      </c>
      <c r="G76" s="29"/>
      <c r="H76" s="32" t="s">
        <v>889</v>
      </c>
      <c r="I76" s="32" t="s">
        <v>553</v>
      </c>
      <c r="J76" s="32" t="s">
        <v>892</v>
      </c>
    </row>
    <row r="77" ht="26.25" customHeight="1">
      <c r="A77" s="29" t="s">
        <v>896</v>
      </c>
      <c r="B77" s="30"/>
      <c r="C77" s="30"/>
      <c r="D77" s="30" t="s">
        <v>28</v>
      </c>
      <c r="E77" s="32" t="s">
        <v>900</v>
      </c>
      <c r="F77" s="32" t="s">
        <v>902</v>
      </c>
      <c r="G77" s="29"/>
      <c r="H77" s="32" t="s">
        <v>906</v>
      </c>
      <c r="I77" s="32" t="s">
        <v>200</v>
      </c>
      <c r="J77" s="32" t="s">
        <v>909</v>
      </c>
    </row>
    <row r="78" ht="26.25" customHeight="1">
      <c r="A78" s="19" t="s">
        <v>472</v>
      </c>
      <c r="B78" s="21"/>
      <c r="C78" s="21" t="s">
        <v>28</v>
      </c>
      <c r="D78" s="21"/>
      <c r="E78" s="24" t="s">
        <v>474</v>
      </c>
      <c r="F78" s="26" t="s">
        <v>915</v>
      </c>
      <c r="G78" s="19"/>
      <c r="H78" s="28"/>
      <c r="I78" s="28"/>
      <c r="J78" s="28"/>
    </row>
    <row r="79" ht="26.25" customHeight="1">
      <c r="A79" s="29" t="s">
        <v>918</v>
      </c>
      <c r="B79" s="30"/>
      <c r="C79" s="30"/>
      <c r="D79" s="30" t="s">
        <v>28</v>
      </c>
      <c r="E79" s="32" t="s">
        <v>921</v>
      </c>
      <c r="F79" s="32" t="s">
        <v>923</v>
      </c>
      <c r="G79" s="29"/>
      <c r="H79" s="32" t="s">
        <v>926</v>
      </c>
      <c r="I79" s="33" t="s">
        <v>82</v>
      </c>
      <c r="J79" s="32" t="s">
        <v>931</v>
      </c>
    </row>
    <row r="80" ht="26.25" customHeight="1">
      <c r="A80" s="29" t="s">
        <v>932</v>
      </c>
      <c r="B80" s="30"/>
      <c r="C80" s="30"/>
      <c r="D80" s="30" t="s">
        <v>28</v>
      </c>
      <c r="E80" s="32" t="s">
        <v>936</v>
      </c>
      <c r="F80" s="32" t="s">
        <v>938</v>
      </c>
      <c r="G80" s="29"/>
      <c r="H80" s="32" t="s">
        <v>941</v>
      </c>
      <c r="I80" s="33" t="s">
        <v>82</v>
      </c>
      <c r="J80" s="32" t="s">
        <v>945</v>
      </c>
    </row>
    <row r="81" ht="26.25" customHeight="1">
      <c r="A81" s="29" t="s">
        <v>947</v>
      </c>
      <c r="B81" s="30"/>
      <c r="C81" s="30"/>
      <c r="D81" s="30" t="s">
        <v>28</v>
      </c>
      <c r="E81" s="32" t="s">
        <v>952</v>
      </c>
      <c r="F81" s="32" t="s">
        <v>954</v>
      </c>
      <c r="G81" s="29"/>
      <c r="H81" s="32" t="s">
        <v>956</v>
      </c>
      <c r="I81" s="33" t="s">
        <v>82</v>
      </c>
      <c r="J81" s="32" t="s">
        <v>960</v>
      </c>
    </row>
    <row r="82" ht="26.25" customHeight="1">
      <c r="A82" s="29" t="s">
        <v>961</v>
      </c>
      <c r="B82" s="30"/>
      <c r="C82" s="30"/>
      <c r="D82" s="30" t="s">
        <v>28</v>
      </c>
      <c r="E82" s="32" t="s">
        <v>966</v>
      </c>
      <c r="F82" s="32" t="s">
        <v>971</v>
      </c>
      <c r="G82" s="29"/>
      <c r="H82" s="32" t="s">
        <v>973</v>
      </c>
      <c r="I82" s="32" t="s">
        <v>975</v>
      </c>
      <c r="J82" s="32" t="s">
        <v>976</v>
      </c>
    </row>
    <row r="83" ht="15.0" customHeight="1">
      <c r="A83" s="19" t="s">
        <v>485</v>
      </c>
      <c r="B83" s="21"/>
      <c r="C83" s="21" t="s">
        <v>28</v>
      </c>
      <c r="D83" s="21"/>
      <c r="E83" s="24" t="s">
        <v>486</v>
      </c>
      <c r="F83" s="26" t="s">
        <v>978</v>
      </c>
      <c r="G83" s="19"/>
      <c r="H83" s="28"/>
      <c r="I83" s="28"/>
      <c r="J83" s="28"/>
    </row>
    <row r="84" ht="26.25" customHeight="1">
      <c r="A84" s="29" t="s">
        <v>982</v>
      </c>
      <c r="B84" s="30"/>
      <c r="C84" s="30"/>
      <c r="D84" s="30" t="s">
        <v>28</v>
      </c>
      <c r="E84" s="32" t="s">
        <v>987</v>
      </c>
      <c r="F84" s="32" t="s">
        <v>990</v>
      </c>
      <c r="G84" s="29"/>
      <c r="H84" s="32" t="s">
        <v>992</v>
      </c>
      <c r="I84" s="32" t="s">
        <v>993</v>
      </c>
      <c r="J84" s="32" t="s">
        <v>995</v>
      </c>
    </row>
    <row r="85" ht="26.25" customHeight="1">
      <c r="A85" s="29" t="s">
        <v>996</v>
      </c>
      <c r="B85" s="30"/>
      <c r="C85" s="30"/>
      <c r="D85" s="30" t="s">
        <v>28</v>
      </c>
      <c r="E85" s="32" t="s">
        <v>999</v>
      </c>
      <c r="F85" s="32" t="s">
        <v>1000</v>
      </c>
      <c r="G85" s="29"/>
      <c r="H85" s="32" t="s">
        <v>1001</v>
      </c>
      <c r="I85" s="32" t="s">
        <v>1003</v>
      </c>
      <c r="J85" s="32" t="s">
        <v>1005</v>
      </c>
    </row>
    <row r="86" ht="26.25" customHeight="1">
      <c r="A86" s="29" t="s">
        <v>1009</v>
      </c>
      <c r="B86" s="30"/>
      <c r="C86" s="30"/>
      <c r="D86" s="30" t="s">
        <v>28</v>
      </c>
      <c r="E86" s="32" t="s">
        <v>1014</v>
      </c>
      <c r="F86" s="32" t="s">
        <v>1015</v>
      </c>
      <c r="G86" s="29"/>
      <c r="H86" s="32" t="s">
        <v>1017</v>
      </c>
      <c r="I86" s="33" t="s">
        <v>82</v>
      </c>
      <c r="J86" s="32" t="s">
        <v>1019</v>
      </c>
    </row>
    <row r="87" ht="15.0" customHeight="1">
      <c r="A87" s="19" t="s">
        <v>494</v>
      </c>
      <c r="B87" s="21"/>
      <c r="C87" s="21" t="s">
        <v>28</v>
      </c>
      <c r="D87" s="21"/>
      <c r="E87" s="24" t="s">
        <v>496</v>
      </c>
      <c r="F87" s="26" t="s">
        <v>1022</v>
      </c>
      <c r="G87" s="19"/>
      <c r="H87" s="28"/>
      <c r="I87" s="28"/>
      <c r="J87" s="28"/>
    </row>
    <row r="88" ht="15.0" customHeight="1">
      <c r="A88" s="29" t="s">
        <v>1024</v>
      </c>
      <c r="B88" s="30"/>
      <c r="C88" s="30"/>
      <c r="D88" s="30" t="s">
        <v>28</v>
      </c>
      <c r="E88" s="32" t="s">
        <v>1026</v>
      </c>
      <c r="F88" s="32" t="s">
        <v>1028</v>
      </c>
      <c r="G88" s="29"/>
      <c r="H88" s="32" t="s">
        <v>1029</v>
      </c>
      <c r="I88" s="33" t="s">
        <v>82</v>
      </c>
      <c r="J88" s="32" t="s">
        <v>1030</v>
      </c>
    </row>
    <row r="89" ht="26.25" customHeight="1">
      <c r="A89" s="29" t="s">
        <v>1032</v>
      </c>
      <c r="B89" s="30"/>
      <c r="C89" s="30"/>
      <c r="D89" s="30" t="s">
        <v>28</v>
      </c>
      <c r="E89" s="32" t="s">
        <v>1033</v>
      </c>
      <c r="F89" s="32" t="s">
        <v>1035</v>
      </c>
      <c r="G89" s="29"/>
      <c r="H89" s="32" t="s">
        <v>1036</v>
      </c>
      <c r="I89" s="33" t="s">
        <v>82</v>
      </c>
      <c r="J89" s="33" t="s">
        <v>1038</v>
      </c>
    </row>
    <row r="90" ht="26.25" customHeight="1">
      <c r="A90" s="29" t="s">
        <v>1039</v>
      </c>
      <c r="B90" s="30"/>
      <c r="C90" s="30"/>
      <c r="D90" s="30" t="s">
        <v>28</v>
      </c>
      <c r="E90" s="32" t="s">
        <v>1041</v>
      </c>
      <c r="F90" s="32" t="s">
        <v>1043</v>
      </c>
      <c r="G90" s="29"/>
      <c r="H90" s="33" t="s">
        <v>1045</v>
      </c>
      <c r="I90" s="32" t="s">
        <v>1046</v>
      </c>
      <c r="J90" s="32" t="s">
        <v>1047</v>
      </c>
    </row>
    <row r="91" ht="15.0" customHeight="1">
      <c r="A91" s="19" t="s">
        <v>510</v>
      </c>
      <c r="B91" s="21"/>
      <c r="C91" s="21" t="s">
        <v>28</v>
      </c>
      <c r="D91" s="21"/>
      <c r="E91" s="24" t="s">
        <v>514</v>
      </c>
      <c r="F91" s="26" t="s">
        <v>1050</v>
      </c>
      <c r="G91" s="19"/>
      <c r="H91" s="28"/>
      <c r="I91" s="28"/>
      <c r="J91" s="28"/>
    </row>
    <row r="92" ht="26.25" customHeight="1">
      <c r="A92" s="29" t="s">
        <v>1052</v>
      </c>
      <c r="B92" s="30"/>
      <c r="C92" s="30"/>
      <c r="D92" s="30" t="s">
        <v>28</v>
      </c>
      <c r="E92" s="32" t="s">
        <v>1054</v>
      </c>
      <c r="F92" s="33" t="s">
        <v>1056</v>
      </c>
      <c r="G92" s="29"/>
      <c r="H92" s="32" t="s">
        <v>1058</v>
      </c>
      <c r="I92" s="33" t="s">
        <v>82</v>
      </c>
      <c r="J92" s="32" t="s">
        <v>1060</v>
      </c>
    </row>
    <row r="93" ht="15.0" customHeight="1">
      <c r="A93" s="29" t="s">
        <v>1062</v>
      </c>
      <c r="B93" s="30"/>
      <c r="C93" s="30"/>
      <c r="D93" s="30" t="s">
        <v>28</v>
      </c>
      <c r="E93" s="32" t="s">
        <v>1064</v>
      </c>
      <c r="F93" s="32" t="s">
        <v>1065</v>
      </c>
      <c r="G93" s="29"/>
      <c r="H93" s="32" t="s">
        <v>1067</v>
      </c>
      <c r="I93" s="32" t="s">
        <v>83</v>
      </c>
      <c r="J93" s="32" t="s">
        <v>1069</v>
      </c>
    </row>
    <row r="94" ht="15.0" customHeight="1">
      <c r="A94" s="29" t="s">
        <v>1071</v>
      </c>
      <c r="B94" s="30"/>
      <c r="C94" s="30"/>
      <c r="D94" s="30" t="s">
        <v>28</v>
      </c>
      <c r="E94" s="32" t="s">
        <v>1073</v>
      </c>
      <c r="F94" s="32" t="s">
        <v>1075</v>
      </c>
      <c r="G94" s="29"/>
      <c r="H94" s="33" t="s">
        <v>1077</v>
      </c>
      <c r="I94" s="32" t="s">
        <v>1078</v>
      </c>
      <c r="J94" s="32" t="s">
        <v>1079</v>
      </c>
    </row>
    <row r="95" ht="15.0" customHeight="1">
      <c r="A95" s="19" t="s">
        <v>532</v>
      </c>
      <c r="B95" s="21"/>
      <c r="C95" s="21" t="s">
        <v>28</v>
      </c>
      <c r="D95" s="21"/>
      <c r="E95" s="24" t="s">
        <v>534</v>
      </c>
      <c r="F95" s="26" t="s">
        <v>1081</v>
      </c>
      <c r="G95" s="19"/>
      <c r="H95" s="28"/>
      <c r="I95" s="28"/>
      <c r="J95" s="28"/>
    </row>
    <row r="96" ht="26.25" customHeight="1">
      <c r="A96" s="29" t="s">
        <v>1084</v>
      </c>
      <c r="B96" s="30"/>
      <c r="C96" s="30"/>
      <c r="D96" s="30" t="s">
        <v>28</v>
      </c>
      <c r="E96" s="32" t="s">
        <v>1086</v>
      </c>
      <c r="F96" s="32" t="s">
        <v>1088</v>
      </c>
      <c r="G96" s="29"/>
      <c r="H96" s="32" t="s">
        <v>1089</v>
      </c>
      <c r="I96" s="33" t="s">
        <v>82</v>
      </c>
      <c r="J96" s="32" t="s">
        <v>1091</v>
      </c>
    </row>
    <row r="97" ht="15.0" customHeight="1">
      <c r="A97" s="29" t="s">
        <v>1092</v>
      </c>
      <c r="B97" s="30"/>
      <c r="C97" s="30"/>
      <c r="D97" s="30" t="s">
        <v>28</v>
      </c>
      <c r="E97" s="32" t="s">
        <v>1095</v>
      </c>
      <c r="F97" s="32" t="s">
        <v>1097</v>
      </c>
      <c r="G97" s="29"/>
      <c r="H97" s="32" t="s">
        <v>1098</v>
      </c>
      <c r="I97" s="33" t="s">
        <v>82</v>
      </c>
      <c r="J97" s="32" t="s">
        <v>1099</v>
      </c>
    </row>
    <row r="98" ht="26.25" customHeight="1">
      <c r="A98" s="8" t="s">
        <v>1101</v>
      </c>
      <c r="B98" s="9" t="s">
        <v>28</v>
      </c>
      <c r="C98" s="9"/>
      <c r="D98" s="9"/>
      <c r="E98" s="12" t="s">
        <v>552</v>
      </c>
      <c r="F98" s="43" t="s">
        <v>1107</v>
      </c>
      <c r="G98" s="16" t="s">
        <v>186</v>
      </c>
      <c r="H98" s="43"/>
      <c r="I98" s="43"/>
      <c r="J98" s="43"/>
    </row>
    <row r="99" ht="15.0" customHeight="1">
      <c r="A99" s="19" t="s">
        <v>551</v>
      </c>
      <c r="B99" s="21"/>
      <c r="C99" s="21" t="s">
        <v>28</v>
      </c>
      <c r="D99" s="21"/>
      <c r="E99" s="24" t="s">
        <v>554</v>
      </c>
      <c r="F99" s="26" t="s">
        <v>1113</v>
      </c>
      <c r="G99" s="19"/>
      <c r="H99" s="28"/>
      <c r="I99" s="28"/>
      <c r="J99" s="28"/>
    </row>
    <row r="100" ht="26.25" customHeight="1">
      <c r="A100" s="29" t="s">
        <v>1115</v>
      </c>
      <c r="B100" s="30"/>
      <c r="C100" s="30"/>
      <c r="D100" s="30" t="s">
        <v>28</v>
      </c>
      <c r="E100" s="32" t="s">
        <v>1117</v>
      </c>
      <c r="F100" s="32" t="s">
        <v>1119</v>
      </c>
      <c r="G100" s="29"/>
      <c r="H100" s="32" t="s">
        <v>1121</v>
      </c>
      <c r="I100" s="32" t="s">
        <v>1123</v>
      </c>
      <c r="J100" s="32" t="s">
        <v>1124</v>
      </c>
    </row>
    <row r="101" ht="26.25" customHeight="1">
      <c r="A101" s="29" t="s">
        <v>1126</v>
      </c>
      <c r="B101" s="30"/>
      <c r="C101" s="30"/>
      <c r="D101" s="30" t="s">
        <v>28</v>
      </c>
      <c r="E101" s="33" t="s">
        <v>1128</v>
      </c>
      <c r="F101" s="33" t="s">
        <v>1132</v>
      </c>
      <c r="G101" s="29"/>
      <c r="H101" s="32" t="s">
        <v>1133</v>
      </c>
      <c r="I101" s="33" t="s">
        <v>82</v>
      </c>
      <c r="J101" s="33" t="s">
        <v>1135</v>
      </c>
    </row>
    <row r="102" ht="26.25" customHeight="1">
      <c r="A102" s="29" t="s">
        <v>1093</v>
      </c>
      <c r="B102" s="30"/>
      <c r="C102" s="30"/>
      <c r="D102" s="30" t="s">
        <v>28</v>
      </c>
      <c r="E102" s="32" t="s">
        <v>1138</v>
      </c>
      <c r="F102" s="33" t="s">
        <v>1141</v>
      </c>
      <c r="G102" s="29"/>
      <c r="H102" s="32" t="s">
        <v>1144</v>
      </c>
      <c r="I102" s="32" t="s">
        <v>107</v>
      </c>
      <c r="J102" s="32" t="s">
        <v>1145</v>
      </c>
    </row>
    <row r="103" ht="15.0" customHeight="1">
      <c r="A103" s="29" t="s">
        <v>1147</v>
      </c>
      <c r="B103" s="30"/>
      <c r="C103" s="30"/>
      <c r="D103" s="30" t="s">
        <v>28</v>
      </c>
      <c r="E103" s="32" t="s">
        <v>1149</v>
      </c>
      <c r="F103" s="33" t="s">
        <v>1151</v>
      </c>
      <c r="G103" s="29"/>
      <c r="H103" s="32" t="s">
        <v>1153</v>
      </c>
      <c r="I103" s="33" t="s">
        <v>82</v>
      </c>
      <c r="J103" s="32" t="s">
        <v>1155</v>
      </c>
    </row>
    <row r="104" ht="26.25" customHeight="1">
      <c r="A104" s="19" t="s">
        <v>563</v>
      </c>
      <c r="B104" s="21"/>
      <c r="C104" s="21" t="s">
        <v>28</v>
      </c>
      <c r="D104" s="21"/>
      <c r="E104" s="24" t="s">
        <v>565</v>
      </c>
      <c r="F104" s="28" t="s">
        <v>1157</v>
      </c>
      <c r="G104" s="19"/>
      <c r="H104" s="28"/>
      <c r="I104" s="28"/>
      <c r="J104" s="28"/>
    </row>
    <row r="105" ht="26.25" customHeight="1">
      <c r="A105" s="29" t="s">
        <v>1158</v>
      </c>
      <c r="B105" s="30"/>
      <c r="C105" s="30"/>
      <c r="D105" s="30" t="s">
        <v>28</v>
      </c>
      <c r="E105" s="32" t="s">
        <v>1159</v>
      </c>
      <c r="F105" s="33" t="s">
        <v>1160</v>
      </c>
      <c r="G105" s="29"/>
      <c r="H105" s="33" t="s">
        <v>1162</v>
      </c>
      <c r="I105" s="32" t="s">
        <v>1163</v>
      </c>
      <c r="J105" s="32" t="s">
        <v>1165</v>
      </c>
    </row>
    <row r="106" ht="15.0" customHeight="1">
      <c r="A106" s="29" t="s">
        <v>1167</v>
      </c>
      <c r="B106" s="30"/>
      <c r="C106" s="30"/>
      <c r="D106" s="30" t="s">
        <v>28</v>
      </c>
      <c r="E106" s="32" t="s">
        <v>1168</v>
      </c>
      <c r="F106" s="33" t="s">
        <v>1170</v>
      </c>
      <c r="G106" s="29"/>
      <c r="H106" s="32" t="s">
        <v>1172</v>
      </c>
      <c r="I106" s="33" t="s">
        <v>82</v>
      </c>
      <c r="J106" s="32" t="s">
        <v>1177</v>
      </c>
    </row>
    <row r="107" ht="15.0" customHeight="1">
      <c r="A107" s="29" t="s">
        <v>1178</v>
      </c>
      <c r="B107" s="30"/>
      <c r="C107" s="30"/>
      <c r="D107" s="30" t="s">
        <v>28</v>
      </c>
      <c r="E107" s="32" t="s">
        <v>1181</v>
      </c>
      <c r="F107" s="33" t="s">
        <v>1183</v>
      </c>
      <c r="G107" s="29"/>
      <c r="H107" s="32" t="s">
        <v>1184</v>
      </c>
      <c r="I107" s="33" t="s">
        <v>82</v>
      </c>
      <c r="J107" s="32" t="s">
        <v>1186</v>
      </c>
    </row>
    <row r="108" ht="15.0" customHeight="1">
      <c r="A108" s="19" t="s">
        <v>574</v>
      </c>
      <c r="B108" s="21"/>
      <c r="C108" s="21" t="s">
        <v>28</v>
      </c>
      <c r="D108" s="21"/>
      <c r="E108" s="24" t="s">
        <v>576</v>
      </c>
      <c r="F108" s="28" t="s">
        <v>1189</v>
      </c>
      <c r="G108" s="19"/>
      <c r="H108" s="28"/>
      <c r="I108" s="28"/>
      <c r="J108" s="28"/>
    </row>
    <row r="109" ht="15.0" customHeight="1">
      <c r="A109" s="29" t="s">
        <v>1190</v>
      </c>
      <c r="B109" s="30"/>
      <c r="C109" s="30"/>
      <c r="D109" s="30" t="s">
        <v>28</v>
      </c>
      <c r="E109" s="32" t="s">
        <v>1192</v>
      </c>
      <c r="F109" s="33" t="s">
        <v>1194</v>
      </c>
      <c r="G109" s="29"/>
      <c r="H109" s="32" t="s">
        <v>1196</v>
      </c>
      <c r="I109" s="32" t="s">
        <v>1198</v>
      </c>
      <c r="J109" s="32" t="s">
        <v>1200</v>
      </c>
    </row>
    <row r="110" ht="15.0" customHeight="1">
      <c r="A110" s="29" t="s">
        <v>1201</v>
      </c>
      <c r="B110" s="30"/>
      <c r="C110" s="30"/>
      <c r="D110" s="30" t="s">
        <v>28</v>
      </c>
      <c r="E110" s="32" t="s">
        <v>1204</v>
      </c>
      <c r="F110" s="32" t="s">
        <v>1206</v>
      </c>
      <c r="G110" s="29"/>
      <c r="H110" s="32" t="s">
        <v>1207</v>
      </c>
      <c r="I110" s="33" t="s">
        <v>82</v>
      </c>
      <c r="J110" s="32" t="s">
        <v>1208</v>
      </c>
    </row>
    <row r="111" ht="26.25" customHeight="1">
      <c r="A111" s="19" t="s">
        <v>587</v>
      </c>
      <c r="B111" s="21"/>
      <c r="C111" s="21" t="s">
        <v>28</v>
      </c>
      <c r="D111" s="21"/>
      <c r="E111" s="24" t="s">
        <v>588</v>
      </c>
      <c r="F111" s="26" t="s">
        <v>1212</v>
      </c>
      <c r="G111" s="19"/>
      <c r="H111" s="28"/>
      <c r="I111" s="28"/>
      <c r="J111" s="28"/>
    </row>
    <row r="112" ht="26.25" customHeight="1">
      <c r="A112" s="29" t="s">
        <v>1214</v>
      </c>
      <c r="B112" s="30"/>
      <c r="C112" s="30"/>
      <c r="D112" s="30" t="s">
        <v>28</v>
      </c>
      <c r="E112" s="33" t="s">
        <v>1218</v>
      </c>
      <c r="F112" s="32" t="s">
        <v>1219</v>
      </c>
      <c r="G112" s="29"/>
      <c r="H112" s="32" t="s">
        <v>1220</v>
      </c>
      <c r="I112" s="32" t="s">
        <v>1221</v>
      </c>
      <c r="J112" s="32" t="s">
        <v>1223</v>
      </c>
    </row>
    <row r="113" ht="26.25" customHeight="1">
      <c r="A113" s="29" t="s">
        <v>1224</v>
      </c>
      <c r="B113" s="30"/>
      <c r="C113" s="30"/>
      <c r="D113" s="30" t="s">
        <v>28</v>
      </c>
      <c r="E113" s="32" t="s">
        <v>1226</v>
      </c>
      <c r="F113" s="32" t="s">
        <v>1228</v>
      </c>
      <c r="G113" s="29"/>
      <c r="H113" s="32" t="s">
        <v>1229</v>
      </c>
      <c r="I113" s="32" t="s">
        <v>1231</v>
      </c>
      <c r="J113" s="32" t="s">
        <v>1233</v>
      </c>
    </row>
    <row r="114" ht="26.25" customHeight="1">
      <c r="A114" s="29" t="s">
        <v>1234</v>
      </c>
      <c r="B114" s="30"/>
      <c r="C114" s="30"/>
      <c r="D114" s="30" t="s">
        <v>28</v>
      </c>
      <c r="E114" s="32" t="s">
        <v>1236</v>
      </c>
      <c r="F114" s="33" t="s">
        <v>1239</v>
      </c>
      <c r="G114" s="29"/>
      <c r="H114" s="32" t="s">
        <v>1240</v>
      </c>
      <c r="I114" s="32" t="s">
        <v>1241</v>
      </c>
      <c r="J114" s="32" t="s">
        <v>1242</v>
      </c>
    </row>
    <row r="115" ht="15.0" customHeight="1">
      <c r="A115" s="29" t="s">
        <v>1244</v>
      </c>
      <c r="B115" s="30"/>
      <c r="C115" s="30"/>
      <c r="D115" s="30" t="s">
        <v>28</v>
      </c>
      <c r="E115" s="32" t="s">
        <v>1246</v>
      </c>
      <c r="F115" s="32" t="s">
        <v>1247</v>
      </c>
      <c r="G115" s="29"/>
      <c r="H115" s="32" t="s">
        <v>1249</v>
      </c>
      <c r="I115" s="33" t="s">
        <v>82</v>
      </c>
      <c r="J115" s="32" t="s">
        <v>1251</v>
      </c>
    </row>
    <row r="116" ht="26.25" customHeight="1">
      <c r="A116" s="8" t="s">
        <v>1252</v>
      </c>
      <c r="B116" s="9" t="s">
        <v>28</v>
      </c>
      <c r="C116" s="9"/>
      <c r="D116" s="9"/>
      <c r="E116" s="12" t="s">
        <v>603</v>
      </c>
      <c r="F116" s="14" t="s">
        <v>1254</v>
      </c>
      <c r="G116" s="16" t="s">
        <v>186</v>
      </c>
      <c r="H116" s="43"/>
      <c r="I116" s="43"/>
      <c r="J116" s="43"/>
    </row>
    <row r="117" ht="15.0" customHeight="1">
      <c r="A117" s="19" t="s">
        <v>601</v>
      </c>
      <c r="B117" s="21"/>
      <c r="C117" s="21" t="s">
        <v>28</v>
      </c>
      <c r="D117" s="21"/>
      <c r="E117" s="24" t="s">
        <v>606</v>
      </c>
      <c r="F117" s="26" t="s">
        <v>1259</v>
      </c>
      <c r="G117" s="19"/>
      <c r="H117" s="28"/>
      <c r="I117" s="28"/>
      <c r="J117" s="28"/>
    </row>
    <row r="118" ht="15.0" customHeight="1">
      <c r="A118" s="29" t="s">
        <v>1260</v>
      </c>
      <c r="B118" s="30"/>
      <c r="C118" s="30"/>
      <c r="D118" s="30" t="s">
        <v>28</v>
      </c>
      <c r="E118" s="32" t="s">
        <v>1263</v>
      </c>
      <c r="F118" s="32" t="s">
        <v>1264</v>
      </c>
      <c r="G118" s="29"/>
      <c r="H118" s="32" t="s">
        <v>1266</v>
      </c>
      <c r="I118" s="32" t="s">
        <v>1268</v>
      </c>
      <c r="J118" s="32" t="s">
        <v>1270</v>
      </c>
    </row>
    <row r="119" ht="26.25" customHeight="1">
      <c r="A119" s="29" t="s">
        <v>1271</v>
      </c>
      <c r="B119" s="30"/>
      <c r="C119" s="30"/>
      <c r="D119" s="30" t="s">
        <v>28</v>
      </c>
      <c r="E119" s="32" t="s">
        <v>1273</v>
      </c>
      <c r="F119" s="32" t="s">
        <v>1274</v>
      </c>
      <c r="G119" s="29"/>
      <c r="H119" s="32" t="s">
        <v>1275</v>
      </c>
      <c r="I119" s="32" t="s">
        <v>151</v>
      </c>
      <c r="J119" s="32" t="s">
        <v>1277</v>
      </c>
    </row>
    <row r="120" ht="26.25" customHeight="1">
      <c r="A120" s="29" t="s">
        <v>1279</v>
      </c>
      <c r="B120" s="30"/>
      <c r="C120" s="30"/>
      <c r="D120" s="30" t="s">
        <v>28</v>
      </c>
      <c r="E120" s="32" t="s">
        <v>1281</v>
      </c>
      <c r="F120" s="32" t="s">
        <v>1282</v>
      </c>
      <c r="G120" s="29"/>
      <c r="H120" s="32" t="s">
        <v>1284</v>
      </c>
      <c r="I120" s="32" t="s">
        <v>1285</v>
      </c>
      <c r="J120" s="32" t="s">
        <v>1286</v>
      </c>
    </row>
    <row r="121" ht="15.0" customHeight="1">
      <c r="A121" s="19" t="s">
        <v>617</v>
      </c>
      <c r="B121" s="21"/>
      <c r="C121" s="21" t="s">
        <v>28</v>
      </c>
      <c r="D121" s="21"/>
      <c r="E121" s="24" t="s">
        <v>618</v>
      </c>
      <c r="F121" s="26" t="s">
        <v>1290</v>
      </c>
      <c r="G121" s="19"/>
      <c r="H121" s="28"/>
      <c r="I121" s="28"/>
      <c r="J121" s="28"/>
    </row>
    <row r="122" ht="26.25" customHeight="1">
      <c r="A122" s="29" t="s">
        <v>1292</v>
      </c>
      <c r="B122" s="30"/>
      <c r="C122" s="30"/>
      <c r="D122" s="30" t="s">
        <v>28</v>
      </c>
      <c r="E122" s="32" t="s">
        <v>1294</v>
      </c>
      <c r="F122" s="32" t="s">
        <v>1296</v>
      </c>
      <c r="G122" s="29"/>
      <c r="H122" s="32" t="s">
        <v>1298</v>
      </c>
      <c r="I122" s="33" t="s">
        <v>82</v>
      </c>
      <c r="J122" s="32" t="s">
        <v>1300</v>
      </c>
    </row>
    <row r="123" ht="26.25" customHeight="1">
      <c r="A123" s="29" t="s">
        <v>1302</v>
      </c>
      <c r="B123" s="30"/>
      <c r="C123" s="30"/>
      <c r="D123" s="30" t="s">
        <v>28</v>
      </c>
      <c r="E123" s="32" t="s">
        <v>1303</v>
      </c>
      <c r="F123" s="32" t="s">
        <v>1305</v>
      </c>
      <c r="G123" s="29"/>
      <c r="H123" s="32" t="s">
        <v>1307</v>
      </c>
      <c r="I123" s="33" t="s">
        <v>82</v>
      </c>
      <c r="J123" s="32" t="s">
        <v>1308</v>
      </c>
    </row>
    <row r="124" ht="15.0" customHeight="1">
      <c r="A124" s="29" t="s">
        <v>1309</v>
      </c>
      <c r="B124" s="30"/>
      <c r="C124" s="30"/>
      <c r="D124" s="30" t="s">
        <v>28</v>
      </c>
      <c r="E124" s="32" t="s">
        <v>1311</v>
      </c>
      <c r="F124" s="32" t="s">
        <v>1312</v>
      </c>
      <c r="G124" s="29"/>
      <c r="H124" s="32" t="s">
        <v>1313</v>
      </c>
      <c r="I124" s="33" t="s">
        <v>82</v>
      </c>
      <c r="J124" s="32" t="s">
        <v>1314</v>
      </c>
    </row>
    <row r="125" ht="15.0" customHeight="1">
      <c r="A125" s="19" t="s">
        <v>628</v>
      </c>
      <c r="B125" s="21"/>
      <c r="C125" s="21" t="s">
        <v>28</v>
      </c>
      <c r="D125" s="21"/>
      <c r="E125" s="24" t="s">
        <v>630</v>
      </c>
      <c r="F125" s="26" t="s">
        <v>1317</v>
      </c>
      <c r="G125" s="19"/>
      <c r="H125" s="28"/>
      <c r="I125" s="28"/>
      <c r="J125" s="28"/>
    </row>
    <row r="126" ht="26.25" customHeight="1">
      <c r="A126" s="29" t="s">
        <v>1318</v>
      </c>
      <c r="B126" s="30"/>
      <c r="C126" s="30"/>
      <c r="D126" s="30" t="s">
        <v>28</v>
      </c>
      <c r="E126" s="32" t="s">
        <v>1320</v>
      </c>
      <c r="F126" s="32" t="s">
        <v>1322</v>
      </c>
      <c r="G126" s="29"/>
      <c r="H126" s="32" t="s">
        <v>1324</v>
      </c>
      <c r="I126" s="33" t="s">
        <v>82</v>
      </c>
      <c r="J126" s="32" t="s">
        <v>1325</v>
      </c>
    </row>
    <row r="127" ht="15.0" customHeight="1">
      <c r="A127" s="29" t="s">
        <v>1326</v>
      </c>
      <c r="B127" s="30"/>
      <c r="C127" s="30"/>
      <c r="D127" s="30" t="s">
        <v>28</v>
      </c>
      <c r="E127" s="32" t="s">
        <v>1328</v>
      </c>
      <c r="F127" s="32" t="s">
        <v>1329</v>
      </c>
      <c r="G127" s="29"/>
      <c r="H127" s="32" t="s">
        <v>1330</v>
      </c>
      <c r="I127" s="33" t="s">
        <v>82</v>
      </c>
      <c r="J127" s="32" t="s">
        <v>1333</v>
      </c>
    </row>
    <row r="128" ht="26.25" customHeight="1">
      <c r="A128" s="29" t="s">
        <v>1335</v>
      </c>
      <c r="B128" s="30"/>
      <c r="C128" s="30"/>
      <c r="D128" s="30" t="s">
        <v>28</v>
      </c>
      <c r="E128" s="32" t="s">
        <v>1337</v>
      </c>
      <c r="F128" s="32" t="s">
        <v>1339</v>
      </c>
      <c r="G128" s="29"/>
      <c r="H128" s="32" t="s">
        <v>1340</v>
      </c>
      <c r="I128" s="32" t="s">
        <v>1341</v>
      </c>
      <c r="J128" s="32" t="s">
        <v>1343</v>
      </c>
    </row>
    <row r="129" ht="15.0" customHeight="1">
      <c r="A129" s="19" t="s">
        <v>656</v>
      </c>
      <c r="B129" s="21"/>
      <c r="C129" s="21" t="s">
        <v>28</v>
      </c>
      <c r="D129" s="21"/>
      <c r="E129" s="24" t="s">
        <v>657</v>
      </c>
      <c r="F129" s="26" t="s">
        <v>1346</v>
      </c>
      <c r="G129" s="19"/>
      <c r="H129" s="28"/>
      <c r="I129" s="28"/>
      <c r="J129" s="28"/>
    </row>
    <row r="130" ht="15.0" customHeight="1">
      <c r="A130" s="29" t="s">
        <v>1348</v>
      </c>
      <c r="B130" s="30"/>
      <c r="C130" s="30"/>
      <c r="D130" s="30" t="s">
        <v>28</v>
      </c>
      <c r="E130" s="32" t="s">
        <v>1350</v>
      </c>
      <c r="F130" s="32" t="s">
        <v>1351</v>
      </c>
      <c r="G130" s="29"/>
      <c r="H130" s="32" t="s">
        <v>1354</v>
      </c>
      <c r="I130" s="32" t="s">
        <v>1356</v>
      </c>
      <c r="J130" s="32" t="s">
        <v>1358</v>
      </c>
    </row>
    <row r="131" ht="26.25" customHeight="1">
      <c r="A131" s="29" t="s">
        <v>1359</v>
      </c>
      <c r="B131" s="30"/>
      <c r="C131" s="30"/>
      <c r="D131" s="30" t="s">
        <v>28</v>
      </c>
      <c r="E131" s="32" t="s">
        <v>1362</v>
      </c>
      <c r="F131" s="32" t="s">
        <v>1364</v>
      </c>
      <c r="G131" s="29"/>
      <c r="H131" s="32" t="s">
        <v>1366</v>
      </c>
      <c r="I131" s="32" t="s">
        <v>1368</v>
      </c>
      <c r="J131" s="32" t="s">
        <v>1369</v>
      </c>
    </row>
    <row r="132" ht="26.25" customHeight="1">
      <c r="A132" s="8" t="s">
        <v>1370</v>
      </c>
      <c r="B132" s="9" t="s">
        <v>28</v>
      </c>
      <c r="C132" s="9"/>
      <c r="D132" s="9"/>
      <c r="E132" s="12" t="s">
        <v>666</v>
      </c>
      <c r="F132" s="14" t="s">
        <v>1373</v>
      </c>
      <c r="G132" s="16" t="s">
        <v>186</v>
      </c>
      <c r="H132" s="43"/>
      <c r="I132" s="43"/>
      <c r="J132" s="43"/>
    </row>
    <row r="133" ht="15.0" customHeight="1">
      <c r="A133" s="19" t="s">
        <v>665</v>
      </c>
      <c r="B133" s="21"/>
      <c r="C133" s="21" t="s">
        <v>28</v>
      </c>
      <c r="D133" s="21"/>
      <c r="E133" s="24" t="s">
        <v>668</v>
      </c>
      <c r="F133" s="26" t="s">
        <v>1376</v>
      </c>
      <c r="G133" s="19"/>
      <c r="H133" s="28"/>
      <c r="I133" s="28"/>
      <c r="J133" s="28"/>
    </row>
    <row r="134" ht="26.25" customHeight="1">
      <c r="A134" s="29" t="s">
        <v>1379</v>
      </c>
      <c r="B134" s="30"/>
      <c r="C134" s="30"/>
      <c r="D134" s="30" t="s">
        <v>28</v>
      </c>
      <c r="E134" s="32" t="s">
        <v>1381</v>
      </c>
      <c r="F134" s="32" t="s">
        <v>1383</v>
      </c>
      <c r="G134" s="29"/>
      <c r="H134" s="32" t="s">
        <v>1384</v>
      </c>
      <c r="I134" s="32" t="s">
        <v>256</v>
      </c>
      <c r="J134" s="32" t="s">
        <v>1386</v>
      </c>
    </row>
    <row r="135" ht="15.0" customHeight="1">
      <c r="A135" s="29" t="s">
        <v>1388</v>
      </c>
      <c r="B135" s="30"/>
      <c r="C135" s="30"/>
      <c r="D135" s="30" t="s">
        <v>28</v>
      </c>
      <c r="E135" s="32" t="s">
        <v>1391</v>
      </c>
      <c r="F135" s="32" t="s">
        <v>1393</v>
      </c>
      <c r="G135" s="29"/>
      <c r="H135" s="32" t="s">
        <v>1394</v>
      </c>
      <c r="I135" s="32" t="s">
        <v>1395</v>
      </c>
      <c r="J135" s="32" t="s">
        <v>1396</v>
      </c>
    </row>
    <row r="136" ht="26.25" customHeight="1">
      <c r="A136" s="29" t="s">
        <v>1397</v>
      </c>
      <c r="B136" s="30"/>
      <c r="C136" s="30"/>
      <c r="D136" s="30" t="s">
        <v>28</v>
      </c>
      <c r="E136" s="32" t="s">
        <v>1400</v>
      </c>
      <c r="F136" s="32" t="s">
        <v>1402</v>
      </c>
      <c r="G136" s="29"/>
      <c r="H136" s="33" t="s">
        <v>1404</v>
      </c>
      <c r="I136" s="33" t="s">
        <v>82</v>
      </c>
      <c r="J136" s="32" t="s">
        <v>1405</v>
      </c>
    </row>
    <row r="137" ht="15.0" customHeight="1">
      <c r="A137" s="19" t="s">
        <v>681</v>
      </c>
      <c r="B137" s="21"/>
      <c r="C137" s="21" t="s">
        <v>28</v>
      </c>
      <c r="D137" s="21"/>
      <c r="E137" s="24" t="s">
        <v>682</v>
      </c>
      <c r="F137" s="26" t="s">
        <v>1410</v>
      </c>
      <c r="G137" s="19"/>
      <c r="H137" s="28"/>
      <c r="I137" s="28"/>
      <c r="J137" s="28"/>
    </row>
    <row r="138" ht="26.25" customHeight="1">
      <c r="A138" s="29" t="s">
        <v>1412</v>
      </c>
      <c r="B138" s="30"/>
      <c r="C138" s="30"/>
      <c r="D138" s="30" t="s">
        <v>28</v>
      </c>
      <c r="E138" s="32" t="s">
        <v>1413</v>
      </c>
      <c r="F138" s="32" t="s">
        <v>1415</v>
      </c>
      <c r="G138" s="29"/>
      <c r="H138" s="32" t="s">
        <v>1416</v>
      </c>
      <c r="I138" s="33" t="s">
        <v>82</v>
      </c>
      <c r="J138" s="32" t="s">
        <v>1419</v>
      </c>
    </row>
    <row r="139" ht="15.0" customHeight="1">
      <c r="A139" s="29" t="s">
        <v>1421</v>
      </c>
      <c r="B139" s="30"/>
      <c r="C139" s="30"/>
      <c r="D139" s="30" t="s">
        <v>28</v>
      </c>
      <c r="E139" s="32" t="s">
        <v>1423</v>
      </c>
      <c r="F139" s="32" t="s">
        <v>1424</v>
      </c>
      <c r="G139" s="29"/>
      <c r="H139" s="32" t="s">
        <v>1426</v>
      </c>
      <c r="I139" s="33" t="s">
        <v>82</v>
      </c>
      <c r="J139" s="32" t="s">
        <v>1428</v>
      </c>
    </row>
    <row r="140" ht="15.0" customHeight="1">
      <c r="A140" s="29" t="s">
        <v>1429</v>
      </c>
      <c r="B140" s="30"/>
      <c r="C140" s="30"/>
      <c r="D140" s="30" t="s">
        <v>28</v>
      </c>
      <c r="E140" s="32" t="s">
        <v>1431</v>
      </c>
      <c r="F140" s="32" t="s">
        <v>1432</v>
      </c>
      <c r="G140" s="29"/>
      <c r="H140" s="32" t="s">
        <v>1433</v>
      </c>
      <c r="I140" s="32" t="s">
        <v>789</v>
      </c>
      <c r="J140" s="32" t="s">
        <v>1435</v>
      </c>
    </row>
    <row r="141" ht="15.0" customHeight="1">
      <c r="A141" s="29" t="s">
        <v>1436</v>
      </c>
      <c r="B141" s="30"/>
      <c r="C141" s="30"/>
      <c r="D141" s="30" t="s">
        <v>28</v>
      </c>
      <c r="E141" s="32" t="s">
        <v>1438</v>
      </c>
      <c r="F141" s="32" t="s">
        <v>1440</v>
      </c>
      <c r="G141" s="29"/>
      <c r="H141" s="32" t="s">
        <v>1442</v>
      </c>
      <c r="I141" s="33" t="s">
        <v>82</v>
      </c>
      <c r="J141" s="32" t="s">
        <v>1443</v>
      </c>
    </row>
    <row r="142" ht="15.0" customHeight="1">
      <c r="A142" s="29" t="s">
        <v>1445</v>
      </c>
      <c r="B142" s="30"/>
      <c r="C142" s="30"/>
      <c r="D142" s="30" t="s">
        <v>28</v>
      </c>
      <c r="E142" s="32" t="s">
        <v>1447</v>
      </c>
      <c r="F142" s="32" t="s">
        <v>1448</v>
      </c>
      <c r="G142" s="29"/>
      <c r="H142" s="32" t="s">
        <v>1450</v>
      </c>
      <c r="I142" s="32" t="s">
        <v>1451</v>
      </c>
      <c r="J142" s="32" t="s">
        <v>1452</v>
      </c>
    </row>
    <row r="143" ht="26.25" customHeight="1">
      <c r="A143" s="19" t="s">
        <v>694</v>
      </c>
      <c r="B143" s="21"/>
      <c r="C143" s="21" t="s">
        <v>28</v>
      </c>
      <c r="D143" s="21"/>
      <c r="E143" s="24" t="s">
        <v>696</v>
      </c>
      <c r="F143" s="26" t="s">
        <v>1455</v>
      </c>
      <c r="G143" s="19"/>
      <c r="H143" s="28"/>
      <c r="I143" s="28"/>
      <c r="J143" s="28"/>
    </row>
    <row r="144" ht="26.25" customHeight="1">
      <c r="A144" s="29" t="s">
        <v>1457</v>
      </c>
      <c r="B144" s="30"/>
      <c r="C144" s="30"/>
      <c r="D144" s="30" t="s">
        <v>28</v>
      </c>
      <c r="E144" s="32" t="s">
        <v>1276</v>
      </c>
      <c r="F144" s="32" t="s">
        <v>1459</v>
      </c>
      <c r="G144" s="29"/>
      <c r="H144" s="32" t="s">
        <v>1462</v>
      </c>
      <c r="I144" s="33" t="s">
        <v>82</v>
      </c>
      <c r="J144" s="32" t="s">
        <v>1464</v>
      </c>
    </row>
    <row r="145" ht="15.0" customHeight="1">
      <c r="A145" s="29" t="s">
        <v>1466</v>
      </c>
      <c r="B145" s="30"/>
      <c r="C145" s="30"/>
      <c r="D145" s="30" t="s">
        <v>28</v>
      </c>
      <c r="E145" s="32" t="s">
        <v>1468</v>
      </c>
      <c r="F145" s="33" t="s">
        <v>1469</v>
      </c>
      <c r="G145" s="29"/>
      <c r="H145" s="33" t="s">
        <v>1472</v>
      </c>
      <c r="I145" s="33" t="s">
        <v>82</v>
      </c>
      <c r="J145" s="32" t="s">
        <v>1474</v>
      </c>
    </row>
    <row r="146" ht="26.25" customHeight="1">
      <c r="A146" s="29" t="s">
        <v>1476</v>
      </c>
      <c r="B146" s="30"/>
      <c r="C146" s="30"/>
      <c r="D146" s="30" t="s">
        <v>28</v>
      </c>
      <c r="E146" s="32" t="s">
        <v>1478</v>
      </c>
      <c r="F146" s="33" t="s">
        <v>1480</v>
      </c>
      <c r="G146" s="29"/>
      <c r="H146" s="32" t="s">
        <v>1483</v>
      </c>
      <c r="I146" s="33" t="s">
        <v>82</v>
      </c>
      <c r="J146" s="32" t="s">
        <v>1486</v>
      </c>
    </row>
    <row r="147" ht="15.0" customHeight="1">
      <c r="A147" s="19" t="s">
        <v>707</v>
      </c>
      <c r="B147" s="21"/>
      <c r="C147" s="21" t="s">
        <v>28</v>
      </c>
      <c r="D147" s="21"/>
      <c r="E147" s="24" t="s">
        <v>709</v>
      </c>
      <c r="F147" s="26" t="s">
        <v>1489</v>
      </c>
      <c r="G147" s="19"/>
      <c r="H147" s="28"/>
      <c r="I147" s="28"/>
      <c r="J147" s="28"/>
    </row>
    <row r="148" ht="26.25" customHeight="1">
      <c r="A148" s="29" t="s">
        <v>1492</v>
      </c>
      <c r="B148" s="30"/>
      <c r="C148" s="30"/>
      <c r="D148" s="30" t="s">
        <v>28</v>
      </c>
      <c r="E148" s="32" t="s">
        <v>1494</v>
      </c>
      <c r="F148" s="32" t="s">
        <v>1496</v>
      </c>
      <c r="G148" s="29"/>
      <c r="H148" s="32" t="s">
        <v>1498</v>
      </c>
      <c r="I148" s="33" t="s">
        <v>82</v>
      </c>
      <c r="J148" s="32" t="s">
        <v>1499</v>
      </c>
    </row>
    <row r="149" ht="26.25" customHeight="1">
      <c r="A149" s="29" t="s">
        <v>1501</v>
      </c>
      <c r="B149" s="30"/>
      <c r="C149" s="30"/>
      <c r="D149" s="30" t="s">
        <v>28</v>
      </c>
      <c r="E149" s="32" t="s">
        <v>1503</v>
      </c>
      <c r="F149" s="32" t="s">
        <v>1506</v>
      </c>
      <c r="G149" s="29"/>
      <c r="H149" s="32" t="s">
        <v>1508</v>
      </c>
      <c r="I149" s="32" t="s">
        <v>828</v>
      </c>
      <c r="J149" s="33" t="s">
        <v>1511</v>
      </c>
    </row>
    <row r="150" ht="26.25" customHeight="1">
      <c r="A150" s="29" t="s">
        <v>1512</v>
      </c>
      <c r="B150" s="30"/>
      <c r="C150" s="30"/>
      <c r="D150" s="30" t="s">
        <v>28</v>
      </c>
      <c r="E150" s="32" t="s">
        <v>1514</v>
      </c>
      <c r="F150" s="33" t="s">
        <v>1516</v>
      </c>
      <c r="G150" s="29"/>
      <c r="H150" s="32" t="s">
        <v>1518</v>
      </c>
      <c r="I150" s="33" t="s">
        <v>82</v>
      </c>
      <c r="J150" s="32" t="s">
        <v>1520</v>
      </c>
    </row>
    <row r="151" ht="26.25" customHeight="1">
      <c r="A151" s="8" t="s">
        <v>1521</v>
      </c>
      <c r="B151" s="9" t="s">
        <v>28</v>
      </c>
      <c r="C151" s="9"/>
      <c r="D151" s="9"/>
      <c r="E151" s="12" t="s">
        <v>725</v>
      </c>
      <c r="F151" s="14" t="s">
        <v>1524</v>
      </c>
      <c r="G151" s="16" t="s">
        <v>186</v>
      </c>
      <c r="H151" s="43"/>
      <c r="I151" s="43"/>
      <c r="J151" s="43"/>
    </row>
    <row r="152" ht="15.0" customHeight="1">
      <c r="A152" s="19" t="s">
        <v>723</v>
      </c>
      <c r="B152" s="21"/>
      <c r="C152" s="21" t="s">
        <v>28</v>
      </c>
      <c r="D152" s="21"/>
      <c r="E152" s="24" t="s">
        <v>727</v>
      </c>
      <c r="F152" s="26" t="s">
        <v>1527</v>
      </c>
      <c r="G152" s="19"/>
      <c r="H152" s="28"/>
      <c r="I152" s="28"/>
      <c r="J152" s="28"/>
    </row>
    <row r="153" ht="26.25" customHeight="1">
      <c r="A153" s="29" t="s">
        <v>1529</v>
      </c>
      <c r="B153" s="30"/>
      <c r="C153" s="30"/>
      <c r="D153" s="30" t="s">
        <v>28</v>
      </c>
      <c r="E153" s="32" t="s">
        <v>1532</v>
      </c>
      <c r="F153" s="32" t="s">
        <v>1533</v>
      </c>
      <c r="G153" s="29"/>
      <c r="H153" s="32" t="s">
        <v>1535</v>
      </c>
      <c r="I153" s="32" t="s">
        <v>1536</v>
      </c>
      <c r="J153" s="32" t="s">
        <v>1537</v>
      </c>
    </row>
    <row r="154" ht="26.25" customHeight="1">
      <c r="A154" s="29" t="s">
        <v>1538</v>
      </c>
      <c r="B154" s="30"/>
      <c r="C154" s="30"/>
      <c r="D154" s="30" t="s">
        <v>28</v>
      </c>
      <c r="E154" s="32" t="s">
        <v>1539</v>
      </c>
      <c r="F154" s="32" t="s">
        <v>1540</v>
      </c>
      <c r="G154" s="29"/>
      <c r="H154" s="32" t="s">
        <v>1541</v>
      </c>
      <c r="I154" s="33" t="s">
        <v>82</v>
      </c>
      <c r="J154" s="32" t="s">
        <v>1542</v>
      </c>
    </row>
    <row r="155" ht="26.25" customHeight="1">
      <c r="A155" s="29" t="s">
        <v>1543</v>
      </c>
      <c r="B155" s="30"/>
      <c r="C155" s="30"/>
      <c r="D155" s="30" t="s">
        <v>28</v>
      </c>
      <c r="E155" s="32" t="s">
        <v>1544</v>
      </c>
      <c r="F155" s="32" t="s">
        <v>1545</v>
      </c>
      <c r="G155" s="29"/>
      <c r="H155" s="32" t="s">
        <v>1547</v>
      </c>
      <c r="I155" s="32" t="s">
        <v>1549</v>
      </c>
      <c r="J155" s="32" t="s">
        <v>1550</v>
      </c>
    </row>
    <row r="156" ht="26.25" customHeight="1">
      <c r="A156" s="19" t="s">
        <v>740</v>
      </c>
      <c r="B156" s="21"/>
      <c r="C156" s="21" t="s">
        <v>28</v>
      </c>
      <c r="D156" s="21"/>
      <c r="E156" s="24" t="s">
        <v>742</v>
      </c>
      <c r="F156" s="26" t="s">
        <v>1553</v>
      </c>
      <c r="G156" s="19"/>
      <c r="H156" s="28"/>
      <c r="I156" s="28"/>
      <c r="J156" s="28"/>
    </row>
    <row r="157" ht="15.0" customHeight="1">
      <c r="A157" s="29" t="s">
        <v>1555</v>
      </c>
      <c r="B157" s="30"/>
      <c r="C157" s="30"/>
      <c r="D157" s="30" t="s">
        <v>28</v>
      </c>
      <c r="E157" s="32" t="s">
        <v>1557</v>
      </c>
      <c r="F157" s="32" t="s">
        <v>1558</v>
      </c>
      <c r="G157" s="29"/>
      <c r="H157" s="32" t="s">
        <v>1559</v>
      </c>
      <c r="I157" s="33" t="s">
        <v>82</v>
      </c>
      <c r="J157" s="32" t="s">
        <v>1560</v>
      </c>
    </row>
    <row r="158" ht="15.0" customHeight="1">
      <c r="A158" s="29" t="s">
        <v>1562</v>
      </c>
      <c r="B158" s="30"/>
      <c r="C158" s="30"/>
      <c r="D158" s="30" t="s">
        <v>28</v>
      </c>
      <c r="E158" s="32" t="s">
        <v>1551</v>
      </c>
      <c r="F158" s="32" t="s">
        <v>1565</v>
      </c>
      <c r="G158" s="29"/>
      <c r="H158" s="32" t="s">
        <v>1566</v>
      </c>
      <c r="I158" s="33" t="s">
        <v>82</v>
      </c>
      <c r="J158" s="32" t="s">
        <v>1567</v>
      </c>
    </row>
    <row r="159" ht="15.0" customHeight="1">
      <c r="A159" s="29" t="s">
        <v>1569</v>
      </c>
      <c r="B159" s="30"/>
      <c r="C159" s="30"/>
      <c r="D159" s="30" t="s">
        <v>28</v>
      </c>
      <c r="E159" s="33" t="s">
        <v>1571</v>
      </c>
      <c r="F159" s="33" t="s">
        <v>1572</v>
      </c>
      <c r="G159" s="29"/>
      <c r="H159" s="33" t="s">
        <v>1574</v>
      </c>
      <c r="I159" s="33" t="s">
        <v>82</v>
      </c>
      <c r="J159" s="32" t="s">
        <v>1575</v>
      </c>
    </row>
    <row r="160" ht="26.25" customHeight="1">
      <c r="A160" s="8" t="s">
        <v>1576</v>
      </c>
      <c r="B160" s="9" t="s">
        <v>28</v>
      </c>
      <c r="C160" s="9"/>
      <c r="D160" s="9"/>
      <c r="E160" s="12" t="s">
        <v>761</v>
      </c>
      <c r="F160" s="14" t="s">
        <v>1578</v>
      </c>
      <c r="G160" s="16" t="s">
        <v>186</v>
      </c>
      <c r="H160" s="43"/>
      <c r="I160" s="43"/>
      <c r="J160" s="43"/>
    </row>
    <row r="161" ht="26.25" customHeight="1">
      <c r="A161" s="19" t="s">
        <v>758</v>
      </c>
      <c r="B161" s="21"/>
      <c r="C161" s="21" t="s">
        <v>28</v>
      </c>
      <c r="D161" s="21"/>
      <c r="E161" s="24" t="s">
        <v>764</v>
      </c>
      <c r="F161" s="26" t="s">
        <v>1581</v>
      </c>
      <c r="G161" s="19"/>
      <c r="H161" s="28"/>
      <c r="I161" s="28"/>
      <c r="J161" s="28"/>
    </row>
    <row r="162" ht="26.25" customHeight="1">
      <c r="A162" s="29" t="s">
        <v>53</v>
      </c>
      <c r="B162" s="30"/>
      <c r="C162" s="30"/>
      <c r="D162" s="30" t="s">
        <v>28</v>
      </c>
      <c r="E162" s="32" t="s">
        <v>1584</v>
      </c>
      <c r="F162" s="32" t="s">
        <v>1586</v>
      </c>
      <c r="G162" s="29"/>
      <c r="H162" s="32" t="s">
        <v>1588</v>
      </c>
      <c r="I162" s="33" t="s">
        <v>82</v>
      </c>
      <c r="J162" s="32" t="s">
        <v>1589</v>
      </c>
    </row>
    <row r="163" ht="26.25" customHeight="1">
      <c r="A163" s="29" t="s">
        <v>219</v>
      </c>
      <c r="B163" s="30"/>
      <c r="C163" s="30"/>
      <c r="D163" s="30" t="s">
        <v>28</v>
      </c>
      <c r="E163" s="32" t="s">
        <v>1592</v>
      </c>
      <c r="F163" s="32" t="s">
        <v>1593</v>
      </c>
      <c r="G163" s="29"/>
      <c r="H163" s="32" t="s">
        <v>1594</v>
      </c>
      <c r="I163" s="32" t="s">
        <v>1596</v>
      </c>
      <c r="J163" s="32" t="s">
        <v>1597</v>
      </c>
    </row>
    <row r="164" ht="15.0" customHeight="1">
      <c r="A164" s="19" t="s">
        <v>772</v>
      </c>
      <c r="B164" s="21"/>
      <c r="C164" s="21" t="s">
        <v>28</v>
      </c>
      <c r="D164" s="21"/>
      <c r="E164" s="24" t="s">
        <v>773</v>
      </c>
      <c r="F164" s="26" t="s">
        <v>1601</v>
      </c>
      <c r="G164" s="19"/>
      <c r="H164" s="28"/>
      <c r="I164" s="28"/>
      <c r="J164" s="28"/>
    </row>
    <row r="165" ht="15.0" customHeight="1">
      <c r="A165" s="29" t="s">
        <v>1603</v>
      </c>
      <c r="B165" s="30"/>
      <c r="C165" s="30"/>
      <c r="D165" s="30" t="s">
        <v>28</v>
      </c>
      <c r="E165" s="32" t="s">
        <v>1605</v>
      </c>
      <c r="F165" s="33" t="s">
        <v>1606</v>
      </c>
      <c r="G165" s="29"/>
      <c r="H165" s="33" t="s">
        <v>1608</v>
      </c>
      <c r="I165" s="32" t="s">
        <v>1609</v>
      </c>
      <c r="J165" s="32" t="s">
        <v>1611</v>
      </c>
    </row>
    <row r="166" ht="15.0" customHeight="1">
      <c r="A166" s="29" t="s">
        <v>1613</v>
      </c>
      <c r="B166" s="30"/>
      <c r="C166" s="30"/>
      <c r="D166" s="30" t="s">
        <v>28</v>
      </c>
      <c r="E166" s="32" t="s">
        <v>1616</v>
      </c>
      <c r="F166" s="32" t="s">
        <v>1618</v>
      </c>
      <c r="G166" s="29"/>
      <c r="H166" s="32" t="s">
        <v>1619</v>
      </c>
      <c r="I166" s="33" t="s">
        <v>82</v>
      </c>
      <c r="J166" s="32" t="s">
        <v>1621</v>
      </c>
    </row>
    <row r="167" ht="26.25" customHeight="1">
      <c r="A167" s="29" t="s">
        <v>1623</v>
      </c>
      <c r="B167" s="30"/>
      <c r="C167" s="30"/>
      <c r="D167" s="30" t="s">
        <v>28</v>
      </c>
      <c r="E167" s="32" t="s">
        <v>1625</v>
      </c>
      <c r="F167" s="32" t="s">
        <v>1627</v>
      </c>
      <c r="G167" s="29"/>
      <c r="H167" s="32" t="s">
        <v>1628</v>
      </c>
      <c r="I167" s="33" t="s">
        <v>82</v>
      </c>
      <c r="J167" s="32" t="s">
        <v>1630</v>
      </c>
    </row>
    <row r="168" ht="26.25" customHeight="1">
      <c r="A168" s="19" t="s">
        <v>785</v>
      </c>
      <c r="B168" s="21"/>
      <c r="C168" s="21" t="s">
        <v>28</v>
      </c>
      <c r="D168" s="21"/>
      <c r="E168" s="24" t="s">
        <v>791</v>
      </c>
      <c r="F168" s="26" t="s">
        <v>1632</v>
      </c>
      <c r="G168" s="19"/>
      <c r="H168" s="28"/>
      <c r="I168" s="28"/>
      <c r="J168" s="28"/>
    </row>
    <row r="169" ht="15.0" customHeight="1">
      <c r="A169" s="29" t="s">
        <v>1634</v>
      </c>
      <c r="B169" s="30"/>
      <c r="C169" s="30"/>
      <c r="D169" s="30" t="s">
        <v>28</v>
      </c>
      <c r="E169" s="32" t="s">
        <v>1636</v>
      </c>
      <c r="F169" s="32" t="s">
        <v>1637</v>
      </c>
      <c r="G169" s="29"/>
      <c r="H169" s="32" t="s">
        <v>1638</v>
      </c>
      <c r="I169" s="32" t="s">
        <v>1198</v>
      </c>
      <c r="J169" s="32" t="s">
        <v>1640</v>
      </c>
    </row>
    <row r="170" ht="26.25" customHeight="1">
      <c r="A170" s="29" t="s">
        <v>1641</v>
      </c>
      <c r="B170" s="30"/>
      <c r="C170" s="30"/>
      <c r="D170" s="30" t="s">
        <v>28</v>
      </c>
      <c r="E170" s="32" t="s">
        <v>1645</v>
      </c>
      <c r="F170" s="32" t="s">
        <v>1646</v>
      </c>
      <c r="G170" s="29"/>
      <c r="H170" s="32" t="s">
        <v>1648</v>
      </c>
      <c r="I170" s="32" t="s">
        <v>1649</v>
      </c>
      <c r="J170" s="32" t="s">
        <v>1651</v>
      </c>
    </row>
    <row r="171" ht="26.25" customHeight="1">
      <c r="A171" s="29" t="s">
        <v>1652</v>
      </c>
      <c r="B171" s="30"/>
      <c r="C171" s="30"/>
      <c r="D171" s="30" t="s">
        <v>28</v>
      </c>
      <c r="E171" s="32" t="s">
        <v>1655</v>
      </c>
      <c r="F171" s="32" t="s">
        <v>1657</v>
      </c>
      <c r="G171" s="29"/>
      <c r="H171" s="32" t="s">
        <v>1659</v>
      </c>
      <c r="I171" s="32" t="s">
        <v>1660</v>
      </c>
      <c r="J171" s="32" t="s">
        <v>1662</v>
      </c>
    </row>
    <row r="172" ht="15.0" customHeight="1">
      <c r="A172" s="19" t="s">
        <v>802</v>
      </c>
      <c r="B172" s="21"/>
      <c r="C172" s="21" t="s">
        <v>28</v>
      </c>
      <c r="D172" s="21"/>
      <c r="E172" s="24" t="s">
        <v>804</v>
      </c>
      <c r="F172" s="26" t="s">
        <v>1665</v>
      </c>
      <c r="G172" s="19"/>
      <c r="H172" s="28"/>
      <c r="I172" s="28"/>
      <c r="J172" s="28"/>
    </row>
    <row r="173" ht="15.0" customHeight="1">
      <c r="A173" s="29" t="s">
        <v>1667</v>
      </c>
      <c r="B173" s="30"/>
      <c r="C173" s="30"/>
      <c r="D173" s="30" t="s">
        <v>28</v>
      </c>
      <c r="E173" s="32" t="s">
        <v>1671</v>
      </c>
      <c r="F173" s="32" t="s">
        <v>1672</v>
      </c>
      <c r="G173" s="29"/>
      <c r="H173" s="32" t="s">
        <v>1674</v>
      </c>
      <c r="I173" s="33" t="s">
        <v>82</v>
      </c>
      <c r="J173" s="32" t="s">
        <v>1675</v>
      </c>
    </row>
    <row r="174" ht="26.25" customHeight="1">
      <c r="A174" s="29" t="s">
        <v>1677</v>
      </c>
      <c r="B174" s="30"/>
      <c r="C174" s="30"/>
      <c r="D174" s="30" t="s">
        <v>28</v>
      </c>
      <c r="E174" s="32" t="s">
        <v>1679</v>
      </c>
      <c r="F174" s="32" t="s">
        <v>1681</v>
      </c>
      <c r="G174" s="29"/>
      <c r="H174" s="32" t="s">
        <v>1683</v>
      </c>
      <c r="I174" s="33" t="s">
        <v>82</v>
      </c>
      <c r="J174" s="32" t="s">
        <v>1684</v>
      </c>
    </row>
    <row r="175" ht="26.25" customHeight="1">
      <c r="A175" s="29" t="s">
        <v>1687</v>
      </c>
      <c r="B175" s="30"/>
      <c r="C175" s="30"/>
      <c r="D175" s="30" t="s">
        <v>28</v>
      </c>
      <c r="E175" s="32" t="s">
        <v>1688</v>
      </c>
      <c r="F175" s="32" t="s">
        <v>1690</v>
      </c>
      <c r="G175" s="29"/>
      <c r="H175" s="32" t="s">
        <v>1691</v>
      </c>
      <c r="I175" s="33" t="s">
        <v>82</v>
      </c>
      <c r="J175" s="32" t="s">
        <v>1693</v>
      </c>
    </row>
    <row r="176" ht="15.0" customHeight="1">
      <c r="A176" s="8" t="s">
        <v>1696</v>
      </c>
      <c r="B176" s="9" t="s">
        <v>28</v>
      </c>
      <c r="C176" s="9"/>
      <c r="D176" s="9"/>
      <c r="E176" s="12" t="s">
        <v>818</v>
      </c>
      <c r="F176" s="14" t="s">
        <v>1699</v>
      </c>
      <c r="G176" s="16" t="s">
        <v>186</v>
      </c>
      <c r="H176" s="43"/>
      <c r="I176" s="43"/>
      <c r="J176" s="43"/>
    </row>
    <row r="177" ht="15.0" customHeight="1">
      <c r="A177" s="19" t="s">
        <v>816</v>
      </c>
      <c r="B177" s="21"/>
      <c r="C177" s="21" t="s">
        <v>28</v>
      </c>
      <c r="D177" s="21"/>
      <c r="E177" s="24" t="s">
        <v>819</v>
      </c>
      <c r="F177" s="26" t="s">
        <v>1703</v>
      </c>
      <c r="G177" s="19"/>
      <c r="H177" s="28"/>
      <c r="I177" s="28"/>
      <c r="J177" s="28"/>
    </row>
    <row r="178" ht="15.0" customHeight="1">
      <c r="A178" s="29" t="s">
        <v>1706</v>
      </c>
      <c r="B178" s="30"/>
      <c r="C178" s="30"/>
      <c r="D178" s="30" t="s">
        <v>28</v>
      </c>
      <c r="E178" s="32" t="s">
        <v>1707</v>
      </c>
      <c r="F178" s="32" t="s">
        <v>1709</v>
      </c>
      <c r="G178" s="29"/>
      <c r="H178" s="32" t="s">
        <v>1710</v>
      </c>
      <c r="I178" s="33" t="s">
        <v>82</v>
      </c>
      <c r="J178" s="32" t="s">
        <v>1712</v>
      </c>
    </row>
    <row r="179" ht="15.0" customHeight="1">
      <c r="A179" s="29" t="s">
        <v>1714</v>
      </c>
      <c r="B179" s="30"/>
      <c r="C179" s="30"/>
      <c r="D179" s="30" t="s">
        <v>28</v>
      </c>
      <c r="E179" s="32" t="s">
        <v>1716</v>
      </c>
      <c r="F179" s="32" t="s">
        <v>1717</v>
      </c>
      <c r="G179" s="29"/>
      <c r="H179" s="32" t="s">
        <v>1719</v>
      </c>
      <c r="I179" s="33" t="s">
        <v>82</v>
      </c>
      <c r="J179" s="32" t="s">
        <v>1720</v>
      </c>
    </row>
    <row r="180" ht="26.25" customHeight="1">
      <c r="A180" s="29" t="s">
        <v>1722</v>
      </c>
      <c r="B180" s="30"/>
      <c r="C180" s="30"/>
      <c r="D180" s="30" t="s">
        <v>28</v>
      </c>
      <c r="E180" s="32" t="s">
        <v>1724</v>
      </c>
      <c r="F180" s="32" t="s">
        <v>1725</v>
      </c>
      <c r="G180" s="29"/>
      <c r="H180" s="32" t="s">
        <v>1728</v>
      </c>
      <c r="I180" s="33" t="s">
        <v>82</v>
      </c>
      <c r="J180" s="32" t="s">
        <v>1730</v>
      </c>
    </row>
    <row r="181" ht="15.0" customHeight="1">
      <c r="A181" s="19" t="s">
        <v>834</v>
      </c>
      <c r="B181" s="21"/>
      <c r="C181" s="21" t="s">
        <v>28</v>
      </c>
      <c r="D181" s="21"/>
      <c r="E181" s="24" t="s">
        <v>836</v>
      </c>
      <c r="F181" s="26" t="s">
        <v>1732</v>
      </c>
      <c r="G181" s="19"/>
      <c r="H181" s="28"/>
      <c r="I181" s="28"/>
      <c r="J181" s="28"/>
    </row>
    <row r="182" ht="15.0" customHeight="1">
      <c r="A182" s="29" t="s">
        <v>1735</v>
      </c>
      <c r="B182" s="30"/>
      <c r="C182" s="30"/>
      <c r="D182" s="30" t="s">
        <v>28</v>
      </c>
      <c r="E182" s="32" t="s">
        <v>1736</v>
      </c>
      <c r="F182" s="33" t="s">
        <v>1739</v>
      </c>
      <c r="G182" s="29"/>
      <c r="H182" s="32" t="s">
        <v>1741</v>
      </c>
      <c r="I182" s="33" t="s">
        <v>82</v>
      </c>
      <c r="J182" s="32" t="s">
        <v>1743</v>
      </c>
    </row>
    <row r="183" ht="26.25" customHeight="1">
      <c r="A183" s="29" t="s">
        <v>1745</v>
      </c>
      <c r="B183" s="30"/>
      <c r="C183" s="30"/>
      <c r="D183" s="30" t="s">
        <v>28</v>
      </c>
      <c r="E183" s="32" t="s">
        <v>1747</v>
      </c>
      <c r="F183" s="33" t="s">
        <v>1751</v>
      </c>
      <c r="G183" s="29"/>
      <c r="H183" s="32" t="s">
        <v>1753</v>
      </c>
      <c r="I183" s="33" t="s">
        <v>82</v>
      </c>
      <c r="J183" s="32" t="s">
        <v>1755</v>
      </c>
    </row>
    <row r="184" ht="26.25" customHeight="1">
      <c r="A184" s="29" t="s">
        <v>1756</v>
      </c>
      <c r="B184" s="30"/>
      <c r="C184" s="30"/>
      <c r="D184" s="30" t="s">
        <v>28</v>
      </c>
      <c r="E184" s="32" t="s">
        <v>1760</v>
      </c>
      <c r="F184" s="33" t="s">
        <v>1762</v>
      </c>
      <c r="G184" s="29"/>
      <c r="H184" s="32" t="s">
        <v>1763</v>
      </c>
      <c r="I184" s="33" t="s">
        <v>82</v>
      </c>
      <c r="J184" s="32" t="s">
        <v>1764</v>
      </c>
    </row>
    <row r="185" ht="15.0" customHeight="1">
      <c r="A185" s="19" t="s">
        <v>848</v>
      </c>
      <c r="B185" s="21"/>
      <c r="C185" s="21" t="s">
        <v>28</v>
      </c>
      <c r="D185" s="21"/>
      <c r="E185" s="24" t="s">
        <v>856</v>
      </c>
      <c r="F185" s="26" t="s">
        <v>1767</v>
      </c>
      <c r="G185" s="19"/>
      <c r="H185" s="28"/>
      <c r="I185" s="28"/>
      <c r="J185" s="28"/>
    </row>
    <row r="186" ht="15.0" customHeight="1">
      <c r="A186" s="29" t="s">
        <v>1769</v>
      </c>
      <c r="B186" s="30"/>
      <c r="C186" s="30"/>
      <c r="D186" s="30" t="s">
        <v>28</v>
      </c>
      <c r="E186" s="32" t="s">
        <v>1771</v>
      </c>
      <c r="F186" s="32" t="s">
        <v>1772</v>
      </c>
      <c r="G186" s="29"/>
      <c r="H186" s="32" t="s">
        <v>1773</v>
      </c>
      <c r="I186" s="32" t="s">
        <v>1774</v>
      </c>
      <c r="J186" s="32" t="s">
        <v>1775</v>
      </c>
    </row>
    <row r="187" ht="15.0" customHeight="1">
      <c r="A187" s="29" t="s">
        <v>1777</v>
      </c>
      <c r="B187" s="30"/>
      <c r="C187" s="30"/>
      <c r="D187" s="30" t="s">
        <v>28</v>
      </c>
      <c r="E187" s="33" t="s">
        <v>1779</v>
      </c>
      <c r="F187" s="32" t="s">
        <v>1780</v>
      </c>
      <c r="G187" s="29"/>
      <c r="H187" s="32" t="s">
        <v>1782</v>
      </c>
      <c r="I187" s="33" t="s">
        <v>82</v>
      </c>
      <c r="J187" s="32" t="s">
        <v>1784</v>
      </c>
    </row>
    <row r="188" ht="15.0" customHeight="1">
      <c r="A188" s="29" t="s">
        <v>1785</v>
      </c>
      <c r="B188" s="30"/>
      <c r="C188" s="30"/>
      <c r="D188" s="30" t="s">
        <v>28</v>
      </c>
      <c r="E188" s="32" t="s">
        <v>1787</v>
      </c>
      <c r="F188" s="32" t="s">
        <v>1788</v>
      </c>
      <c r="G188" s="29"/>
      <c r="H188" s="32" t="s">
        <v>1790</v>
      </c>
      <c r="I188" s="33" t="s">
        <v>82</v>
      </c>
      <c r="J188" s="32" t="s">
        <v>1793</v>
      </c>
    </row>
    <row r="189" ht="26.25" customHeight="1">
      <c r="A189" s="19" t="s">
        <v>866</v>
      </c>
      <c r="B189" s="21"/>
      <c r="C189" s="21" t="s">
        <v>28</v>
      </c>
      <c r="D189" s="21"/>
      <c r="E189" s="24" t="s">
        <v>867</v>
      </c>
      <c r="F189" s="26" t="s">
        <v>1797</v>
      </c>
      <c r="G189" s="19"/>
      <c r="H189" s="28"/>
      <c r="I189" s="28"/>
      <c r="J189" s="28"/>
    </row>
    <row r="190" ht="26.25" customHeight="1">
      <c r="A190" s="29" t="s">
        <v>1800</v>
      </c>
      <c r="B190" s="30"/>
      <c r="C190" s="30"/>
      <c r="D190" s="30" t="s">
        <v>28</v>
      </c>
      <c r="E190" s="32" t="s">
        <v>1802</v>
      </c>
      <c r="F190" s="32" t="s">
        <v>1803</v>
      </c>
      <c r="G190" s="29"/>
      <c r="H190" s="32" t="s">
        <v>1804</v>
      </c>
      <c r="I190" s="32" t="s">
        <v>1003</v>
      </c>
      <c r="J190" s="32" t="s">
        <v>1805</v>
      </c>
    </row>
    <row r="191" ht="26.25" customHeight="1">
      <c r="A191" s="29" t="s">
        <v>1806</v>
      </c>
      <c r="B191" s="30"/>
      <c r="C191" s="30"/>
      <c r="D191" s="30" t="s">
        <v>28</v>
      </c>
      <c r="E191" s="32" t="s">
        <v>1809</v>
      </c>
      <c r="F191" s="32" t="s">
        <v>1811</v>
      </c>
      <c r="G191" s="29"/>
      <c r="H191" s="32" t="s">
        <v>1813</v>
      </c>
      <c r="I191" s="32" t="s">
        <v>1596</v>
      </c>
      <c r="J191" s="32" t="s">
        <v>1815</v>
      </c>
    </row>
    <row r="192" ht="26.25" customHeight="1">
      <c r="A192" s="29" t="s">
        <v>1817</v>
      </c>
      <c r="B192" s="30"/>
      <c r="C192" s="30"/>
      <c r="D192" s="30" t="s">
        <v>28</v>
      </c>
      <c r="E192" s="32" t="s">
        <v>1818</v>
      </c>
      <c r="F192" s="33" t="s">
        <v>1820</v>
      </c>
      <c r="G192" s="29"/>
      <c r="H192" s="32" t="s">
        <v>1821</v>
      </c>
      <c r="I192" s="32" t="s">
        <v>1823</v>
      </c>
      <c r="J192" s="32" t="s">
        <v>1824</v>
      </c>
    </row>
    <row r="193" ht="26.25" customHeight="1">
      <c r="A193" s="8" t="s">
        <v>1825</v>
      </c>
      <c r="B193" s="9" t="s">
        <v>28</v>
      </c>
      <c r="C193" s="9"/>
      <c r="D193" s="9"/>
      <c r="E193" s="12" t="s">
        <v>883</v>
      </c>
      <c r="F193" s="14" t="s">
        <v>1828</v>
      </c>
      <c r="G193" s="16" t="s">
        <v>186</v>
      </c>
      <c r="H193" s="43"/>
      <c r="I193" s="43"/>
      <c r="J193" s="43"/>
    </row>
    <row r="194" ht="15.0" customHeight="1">
      <c r="A194" s="19" t="s">
        <v>882</v>
      </c>
      <c r="B194" s="21"/>
      <c r="C194" s="21" t="s">
        <v>28</v>
      </c>
      <c r="D194" s="21"/>
      <c r="E194" s="24" t="s">
        <v>886</v>
      </c>
      <c r="F194" s="26" t="s">
        <v>1832</v>
      </c>
      <c r="G194" s="19"/>
      <c r="H194" s="28"/>
      <c r="I194" s="28"/>
      <c r="J194" s="28"/>
    </row>
    <row r="195" ht="15.0" customHeight="1">
      <c r="A195" s="29" t="s">
        <v>1834</v>
      </c>
      <c r="B195" s="30"/>
      <c r="C195" s="30"/>
      <c r="D195" s="30" t="s">
        <v>28</v>
      </c>
      <c r="E195" s="32" t="s">
        <v>1836</v>
      </c>
      <c r="F195" s="32" t="s">
        <v>1837</v>
      </c>
      <c r="G195" s="29"/>
      <c r="H195" s="32" t="s">
        <v>1838</v>
      </c>
      <c r="I195" s="33" t="s">
        <v>82</v>
      </c>
      <c r="J195" s="32" t="s">
        <v>1840</v>
      </c>
    </row>
    <row r="196" ht="15.0" customHeight="1">
      <c r="A196" s="29" t="s">
        <v>1842</v>
      </c>
      <c r="B196" s="30"/>
      <c r="C196" s="30"/>
      <c r="D196" s="30" t="s">
        <v>28</v>
      </c>
      <c r="E196" s="32" t="s">
        <v>1844</v>
      </c>
      <c r="F196" s="32" t="s">
        <v>1846</v>
      </c>
      <c r="G196" s="29"/>
      <c r="H196" s="32" t="s">
        <v>1848</v>
      </c>
      <c r="I196" s="32" t="s">
        <v>1849</v>
      </c>
      <c r="J196" s="32" t="s">
        <v>1850</v>
      </c>
    </row>
    <row r="197" ht="26.25" customHeight="1">
      <c r="A197" s="29" t="s">
        <v>1852</v>
      </c>
      <c r="B197" s="30"/>
      <c r="C197" s="30"/>
      <c r="D197" s="30" t="s">
        <v>28</v>
      </c>
      <c r="E197" s="32" t="s">
        <v>1854</v>
      </c>
      <c r="F197" s="32" t="s">
        <v>1855</v>
      </c>
      <c r="G197" s="29"/>
      <c r="H197" s="32" t="s">
        <v>1857</v>
      </c>
      <c r="I197" s="32" t="s">
        <v>1859</v>
      </c>
      <c r="J197" s="32" t="s">
        <v>1861</v>
      </c>
    </row>
    <row r="198" ht="26.25" customHeight="1">
      <c r="A198" s="19" t="s">
        <v>899</v>
      </c>
      <c r="B198" s="21"/>
      <c r="C198" s="21" t="s">
        <v>28</v>
      </c>
      <c r="D198" s="21"/>
      <c r="E198" s="24" t="s">
        <v>901</v>
      </c>
      <c r="F198" s="26" t="s">
        <v>1864</v>
      </c>
      <c r="G198" s="19"/>
      <c r="H198" s="28"/>
      <c r="I198" s="28"/>
      <c r="J198" s="28"/>
    </row>
    <row r="199" ht="26.25" customHeight="1">
      <c r="A199" s="29" t="s">
        <v>1866</v>
      </c>
      <c r="B199" s="30"/>
      <c r="C199" s="30"/>
      <c r="D199" s="30" t="s">
        <v>28</v>
      </c>
      <c r="E199" s="32" t="s">
        <v>1868</v>
      </c>
      <c r="F199" s="32" t="s">
        <v>1870</v>
      </c>
      <c r="G199" s="29"/>
      <c r="H199" s="32" t="s">
        <v>1871</v>
      </c>
      <c r="I199" s="32" t="s">
        <v>1872</v>
      </c>
      <c r="J199" s="32" t="s">
        <v>1874</v>
      </c>
    </row>
    <row r="200" ht="26.25" customHeight="1">
      <c r="A200" s="29" t="s">
        <v>1875</v>
      </c>
      <c r="B200" s="30"/>
      <c r="C200" s="30"/>
      <c r="D200" s="30" t="s">
        <v>28</v>
      </c>
      <c r="E200" s="32" t="s">
        <v>1878</v>
      </c>
      <c r="F200" s="32" t="s">
        <v>1879</v>
      </c>
      <c r="G200" s="29"/>
      <c r="H200" s="32" t="s">
        <v>1881</v>
      </c>
      <c r="I200" s="33" t="s">
        <v>82</v>
      </c>
      <c r="J200" s="32" t="s">
        <v>1882</v>
      </c>
    </row>
    <row r="201" ht="15.0" customHeight="1">
      <c r="A201" s="19" t="s">
        <v>911</v>
      </c>
      <c r="B201" s="21"/>
      <c r="C201" s="21" t="s">
        <v>28</v>
      </c>
      <c r="D201" s="21"/>
      <c r="E201" s="24" t="s">
        <v>912</v>
      </c>
      <c r="F201" s="26" t="s">
        <v>1886</v>
      </c>
      <c r="G201" s="19"/>
      <c r="H201" s="28"/>
      <c r="I201" s="28"/>
      <c r="J201" s="28"/>
    </row>
    <row r="202" ht="15.0" customHeight="1">
      <c r="A202" s="29" t="s">
        <v>1889</v>
      </c>
      <c r="B202" s="30"/>
      <c r="C202" s="30"/>
      <c r="D202" s="30" t="s">
        <v>28</v>
      </c>
      <c r="E202" s="32" t="s">
        <v>1891</v>
      </c>
      <c r="F202" s="32" t="s">
        <v>1892</v>
      </c>
      <c r="G202" s="29"/>
      <c r="H202" s="32" t="s">
        <v>1894</v>
      </c>
      <c r="I202" s="33" t="s">
        <v>82</v>
      </c>
      <c r="J202" s="32" t="s">
        <v>1896</v>
      </c>
    </row>
    <row r="203" ht="15.0" customHeight="1">
      <c r="A203" s="29" t="s">
        <v>1898</v>
      </c>
      <c r="B203" s="30"/>
      <c r="C203" s="30"/>
      <c r="D203" s="30" t="s">
        <v>28</v>
      </c>
      <c r="E203" s="32" t="s">
        <v>1899</v>
      </c>
      <c r="F203" s="32" t="s">
        <v>1900</v>
      </c>
      <c r="G203" s="29"/>
      <c r="H203" s="32" t="s">
        <v>1902</v>
      </c>
      <c r="I203" s="32" t="s">
        <v>1904</v>
      </c>
      <c r="J203" s="32" t="s">
        <v>1906</v>
      </c>
    </row>
    <row r="204" ht="26.25" customHeight="1">
      <c r="A204" s="19" t="s">
        <v>922</v>
      </c>
      <c r="B204" s="21"/>
      <c r="C204" s="21" t="s">
        <v>28</v>
      </c>
      <c r="D204" s="21"/>
      <c r="E204" s="24" t="s">
        <v>924</v>
      </c>
      <c r="F204" s="26" t="s">
        <v>1909</v>
      </c>
      <c r="G204" s="19"/>
      <c r="H204" s="28"/>
      <c r="I204" s="28"/>
      <c r="J204" s="28"/>
    </row>
    <row r="205" ht="15.0" customHeight="1">
      <c r="A205" s="29" t="s">
        <v>1912</v>
      </c>
      <c r="B205" s="30"/>
      <c r="C205" s="30"/>
      <c r="D205" s="30" t="s">
        <v>28</v>
      </c>
      <c r="E205" s="32" t="s">
        <v>1915</v>
      </c>
      <c r="F205" s="32" t="s">
        <v>1917</v>
      </c>
      <c r="G205" s="29"/>
      <c r="H205" s="32" t="s">
        <v>1918</v>
      </c>
      <c r="I205" s="32" t="s">
        <v>1919</v>
      </c>
      <c r="J205" s="32" t="s">
        <v>1921</v>
      </c>
    </row>
    <row r="206" ht="15.0" customHeight="1">
      <c r="A206" s="29" t="s">
        <v>1924</v>
      </c>
      <c r="B206" s="30"/>
      <c r="C206" s="30"/>
      <c r="D206" s="30" t="s">
        <v>28</v>
      </c>
      <c r="E206" s="32" t="s">
        <v>1927</v>
      </c>
      <c r="F206" s="32" t="s">
        <v>1928</v>
      </c>
      <c r="G206" s="29"/>
      <c r="H206" s="32" t="s">
        <v>1931</v>
      </c>
      <c r="I206" s="33" t="s">
        <v>82</v>
      </c>
      <c r="J206" s="32" t="s">
        <v>1932</v>
      </c>
    </row>
    <row r="207" ht="15.0" customHeight="1">
      <c r="A207" s="19" t="s">
        <v>940</v>
      </c>
      <c r="B207" s="21"/>
      <c r="C207" s="21" t="s">
        <v>28</v>
      </c>
      <c r="D207" s="21"/>
      <c r="E207" s="24" t="s">
        <v>943</v>
      </c>
      <c r="F207" s="26" t="s">
        <v>1935</v>
      </c>
      <c r="G207" s="19"/>
      <c r="H207" s="28"/>
      <c r="I207" s="28"/>
      <c r="J207" s="28"/>
    </row>
    <row r="208" ht="26.25" customHeight="1">
      <c r="A208" s="29" t="s">
        <v>1937</v>
      </c>
      <c r="B208" s="30"/>
      <c r="C208" s="30"/>
      <c r="D208" s="30" t="s">
        <v>28</v>
      </c>
      <c r="E208" s="32" t="s">
        <v>1940</v>
      </c>
      <c r="F208" s="32" t="s">
        <v>1941</v>
      </c>
      <c r="G208" s="29"/>
      <c r="H208" s="32" t="s">
        <v>1942</v>
      </c>
      <c r="I208" s="33" t="s">
        <v>82</v>
      </c>
      <c r="J208" s="32" t="s">
        <v>1944</v>
      </c>
    </row>
    <row r="209" ht="15.0" customHeight="1">
      <c r="A209" s="29" t="s">
        <v>1946</v>
      </c>
      <c r="B209" s="30"/>
      <c r="C209" s="30"/>
      <c r="D209" s="30" t="s">
        <v>28</v>
      </c>
      <c r="E209" s="32" t="s">
        <v>1950</v>
      </c>
      <c r="F209" s="32" t="s">
        <v>1951</v>
      </c>
      <c r="G209" s="29"/>
      <c r="H209" s="32" t="s">
        <v>1952</v>
      </c>
      <c r="I209" s="33" t="s">
        <v>82</v>
      </c>
      <c r="J209" s="32" t="s">
        <v>1954</v>
      </c>
    </row>
    <row r="210" ht="15.0" customHeight="1">
      <c r="A210" s="8" t="s">
        <v>1957</v>
      </c>
      <c r="B210" s="9" t="s">
        <v>28</v>
      </c>
      <c r="C210" s="9"/>
      <c r="D210" s="9"/>
      <c r="E210" s="12" t="s">
        <v>957</v>
      </c>
      <c r="F210" s="14" t="s">
        <v>1960</v>
      </c>
      <c r="G210" s="16" t="s">
        <v>254</v>
      </c>
      <c r="H210" s="43"/>
      <c r="I210" s="43"/>
      <c r="J210" s="43"/>
    </row>
    <row r="211" ht="26.25" customHeight="1">
      <c r="A211" s="19" t="s">
        <v>955</v>
      </c>
      <c r="B211" s="21"/>
      <c r="C211" s="21" t="s">
        <v>28</v>
      </c>
      <c r="D211" s="21"/>
      <c r="E211" s="24" t="s">
        <v>959</v>
      </c>
      <c r="F211" s="26" t="s">
        <v>1964</v>
      </c>
      <c r="G211" s="19"/>
      <c r="H211" s="28"/>
      <c r="I211" s="28"/>
      <c r="J211" s="28"/>
    </row>
    <row r="212" ht="15.0" customHeight="1">
      <c r="A212" s="29" t="s">
        <v>1967</v>
      </c>
      <c r="B212" s="30"/>
      <c r="C212" s="30"/>
      <c r="D212" s="30" t="s">
        <v>28</v>
      </c>
      <c r="E212" s="32" t="s">
        <v>1969</v>
      </c>
      <c r="F212" s="32" t="s">
        <v>1970</v>
      </c>
      <c r="G212" s="29"/>
      <c r="H212" s="32" t="s">
        <v>1973</v>
      </c>
      <c r="I212" s="33" t="s">
        <v>82</v>
      </c>
      <c r="J212" s="32" t="s">
        <v>1976</v>
      </c>
    </row>
    <row r="213" ht="26.25" customHeight="1">
      <c r="A213" s="29" t="s">
        <v>1978</v>
      </c>
      <c r="B213" s="30"/>
      <c r="C213" s="30"/>
      <c r="D213" s="30" t="s">
        <v>28</v>
      </c>
      <c r="E213" s="32" t="s">
        <v>1980</v>
      </c>
      <c r="F213" s="32" t="s">
        <v>1982</v>
      </c>
      <c r="G213" s="29"/>
      <c r="H213" s="32" t="s">
        <v>1984</v>
      </c>
      <c r="I213" s="33" t="s">
        <v>82</v>
      </c>
      <c r="J213" s="32" t="s">
        <v>1985</v>
      </c>
    </row>
    <row r="214" ht="15.0" customHeight="1">
      <c r="A214" s="29" t="s">
        <v>359</v>
      </c>
      <c r="B214" s="30"/>
      <c r="C214" s="30"/>
      <c r="D214" s="30" t="s">
        <v>28</v>
      </c>
      <c r="E214" s="32" t="s">
        <v>1989</v>
      </c>
      <c r="F214" s="32" t="s">
        <v>1990</v>
      </c>
      <c r="G214" s="29"/>
      <c r="H214" s="32" t="s">
        <v>1991</v>
      </c>
      <c r="I214" s="33" t="s">
        <v>82</v>
      </c>
      <c r="J214" s="32" t="s">
        <v>1993</v>
      </c>
    </row>
    <row r="215" ht="15.0" customHeight="1">
      <c r="A215" s="19" t="s">
        <v>972</v>
      </c>
      <c r="B215" s="21"/>
      <c r="C215" s="21" t="s">
        <v>28</v>
      </c>
      <c r="D215" s="21"/>
      <c r="E215" s="41" t="s">
        <v>1997</v>
      </c>
      <c r="F215" s="28" t="s">
        <v>1999</v>
      </c>
      <c r="G215" s="19"/>
      <c r="H215" s="28"/>
      <c r="I215" s="28"/>
      <c r="J215" s="28"/>
    </row>
    <row r="216" ht="15.0" customHeight="1">
      <c r="A216" s="29" t="s">
        <v>2001</v>
      </c>
      <c r="B216" s="30"/>
      <c r="C216" s="30"/>
      <c r="D216" s="30" t="s">
        <v>28</v>
      </c>
      <c r="E216" s="32" t="s">
        <v>2002</v>
      </c>
      <c r="F216" s="33" t="s">
        <v>2005</v>
      </c>
      <c r="G216" s="29"/>
      <c r="H216" s="32" t="s">
        <v>2006</v>
      </c>
      <c r="I216" s="32" t="s">
        <v>2008</v>
      </c>
      <c r="J216" s="32" t="s">
        <v>2009</v>
      </c>
    </row>
    <row r="217" ht="26.25" customHeight="1">
      <c r="A217" s="29" t="s">
        <v>2011</v>
      </c>
      <c r="B217" s="30"/>
      <c r="C217" s="30"/>
      <c r="D217" s="30" t="s">
        <v>28</v>
      </c>
      <c r="E217" s="32" t="s">
        <v>2013</v>
      </c>
      <c r="F217" s="33" t="s">
        <v>2015</v>
      </c>
      <c r="G217" s="29"/>
      <c r="H217" s="32" t="s">
        <v>2016</v>
      </c>
      <c r="I217" s="33" t="s">
        <v>82</v>
      </c>
      <c r="J217" s="32" t="s">
        <v>2018</v>
      </c>
    </row>
    <row r="218" ht="15.0" customHeight="1">
      <c r="A218" s="19" t="s">
        <v>991</v>
      </c>
      <c r="B218" s="21"/>
      <c r="C218" s="21" t="s">
        <v>28</v>
      </c>
      <c r="D218" s="21"/>
      <c r="E218" s="41" t="s">
        <v>2022</v>
      </c>
      <c r="F218" s="28" t="s">
        <v>2024</v>
      </c>
      <c r="G218" s="19"/>
      <c r="H218" s="28"/>
      <c r="I218" s="28"/>
      <c r="J218" s="28"/>
    </row>
    <row r="219" ht="15.0" customHeight="1">
      <c r="A219" s="29" t="s">
        <v>2026</v>
      </c>
      <c r="B219" s="30"/>
      <c r="C219" s="30"/>
      <c r="D219" s="30" t="s">
        <v>28</v>
      </c>
      <c r="E219" s="32" t="s">
        <v>2028</v>
      </c>
      <c r="F219" s="32" t="s">
        <v>2030</v>
      </c>
      <c r="G219" s="29"/>
      <c r="H219" s="32" t="s">
        <v>2031</v>
      </c>
      <c r="I219" s="33" t="s">
        <v>82</v>
      </c>
      <c r="J219" s="32" t="s">
        <v>2034</v>
      </c>
    </row>
    <row r="220" ht="15.0" customHeight="1">
      <c r="A220" s="29" t="s">
        <v>2036</v>
      </c>
      <c r="B220" s="30"/>
      <c r="C220" s="30"/>
      <c r="D220" s="30" t="s">
        <v>28</v>
      </c>
      <c r="E220" s="32" t="s">
        <v>2038</v>
      </c>
      <c r="F220" s="32" t="s">
        <v>2039</v>
      </c>
      <c r="G220" s="29"/>
      <c r="H220" s="32" t="s">
        <v>2041</v>
      </c>
      <c r="I220" s="33" t="s">
        <v>82</v>
      </c>
      <c r="J220" s="32" t="s">
        <v>2043</v>
      </c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autoFilter ref="$A$3:$J$220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4" width="14.0"/>
    <col customWidth="1" min="5" max="9" width="30.0"/>
    <col customWidth="1" min="10" max="26" width="8.71"/>
  </cols>
  <sheetData>
    <row r="1" ht="21.0" customHeight="1">
      <c r="A1" s="1" t="s">
        <v>1</v>
      </c>
      <c r="B1" s="3"/>
      <c r="C1" s="3"/>
      <c r="D1" s="3"/>
      <c r="E1" s="3"/>
      <c r="F1" s="3"/>
      <c r="G1" s="3"/>
      <c r="H1" s="3"/>
      <c r="I1" s="3"/>
    </row>
    <row r="2" ht="15.0" customHeight="1">
      <c r="A2" s="4" t="s">
        <v>6</v>
      </c>
      <c r="B2" s="3"/>
      <c r="C2" s="3"/>
      <c r="D2" s="3"/>
      <c r="E2" s="3"/>
      <c r="F2" s="3"/>
      <c r="G2" s="3"/>
      <c r="H2" s="3"/>
      <c r="I2" s="3"/>
    </row>
    <row r="3" ht="15.0" customHeight="1">
      <c r="A3" s="7" t="s">
        <v>10</v>
      </c>
      <c r="B3" s="7" t="s">
        <v>17</v>
      </c>
      <c r="C3" s="11" t="s">
        <v>18</v>
      </c>
      <c r="D3" s="13"/>
      <c r="E3" s="13"/>
      <c r="F3" s="13"/>
      <c r="G3" s="13"/>
      <c r="H3" s="13"/>
      <c r="I3" s="17"/>
    </row>
    <row r="4" ht="15.0" customHeight="1">
      <c r="A4" s="20">
        <v>1.0</v>
      </c>
      <c r="B4" s="23" t="s">
        <v>46</v>
      </c>
      <c r="C4" s="27" t="s">
        <v>50</v>
      </c>
      <c r="D4" s="13"/>
      <c r="E4" s="13"/>
      <c r="F4" s="13"/>
      <c r="G4" s="13"/>
      <c r="H4" s="13"/>
      <c r="I4" s="17"/>
    </row>
    <row r="5" ht="15.0" customHeight="1">
      <c r="A5" s="20">
        <v>2.0</v>
      </c>
      <c r="B5" s="23" t="s">
        <v>56</v>
      </c>
      <c r="C5" s="27" t="s">
        <v>58</v>
      </c>
      <c r="D5" s="13"/>
      <c r="E5" s="13"/>
      <c r="F5" s="13"/>
      <c r="G5" s="13"/>
      <c r="H5" s="13"/>
      <c r="I5" s="17"/>
    </row>
    <row r="6" ht="15.0" customHeight="1">
      <c r="A6" s="20">
        <v>3.0</v>
      </c>
      <c r="B6" s="23" t="s">
        <v>61</v>
      </c>
      <c r="C6" s="27" t="s">
        <v>62</v>
      </c>
      <c r="D6" s="13"/>
      <c r="E6" s="13"/>
      <c r="F6" s="13"/>
      <c r="G6" s="13"/>
      <c r="H6" s="13"/>
      <c r="I6" s="17"/>
    </row>
    <row r="7" ht="15.0" customHeight="1">
      <c r="A7" s="20">
        <v>4.0</v>
      </c>
      <c r="B7" s="23" t="s">
        <v>69</v>
      </c>
      <c r="C7" s="27" t="s">
        <v>70</v>
      </c>
      <c r="D7" s="13"/>
      <c r="E7" s="13"/>
      <c r="F7" s="13"/>
      <c r="G7" s="13"/>
      <c r="H7" s="13"/>
      <c r="I7" s="17"/>
    </row>
    <row r="8" ht="15.0" customHeight="1">
      <c r="A8" s="20">
        <v>5.0</v>
      </c>
      <c r="B8" s="23" t="s">
        <v>79</v>
      </c>
      <c r="C8" s="27" t="s">
        <v>80</v>
      </c>
      <c r="D8" s="13"/>
      <c r="E8" s="13"/>
      <c r="F8" s="13"/>
      <c r="G8" s="13"/>
      <c r="H8" s="13"/>
      <c r="I8" s="17"/>
    </row>
    <row r="9">
      <c r="A9" s="3"/>
      <c r="B9" s="3"/>
      <c r="C9" s="3"/>
      <c r="D9" s="3"/>
      <c r="E9" s="3"/>
      <c r="F9" s="3"/>
      <c r="G9" s="3"/>
      <c r="H9" s="3"/>
      <c r="I9" s="3"/>
    </row>
    <row r="10" ht="30.0" customHeight="1">
      <c r="A10" s="6" t="s">
        <v>96</v>
      </c>
      <c r="B10" s="7" t="s">
        <v>99</v>
      </c>
      <c r="C10" s="7" t="s">
        <v>102</v>
      </c>
      <c r="D10" s="7" t="s">
        <v>104</v>
      </c>
      <c r="E10" s="37" t="s">
        <v>108</v>
      </c>
      <c r="F10" s="37" t="s">
        <v>112</v>
      </c>
      <c r="G10" s="37" t="s">
        <v>113</v>
      </c>
      <c r="H10" s="37" t="s">
        <v>115</v>
      </c>
      <c r="I10" s="37" t="s">
        <v>118</v>
      </c>
    </row>
    <row r="11" ht="26.25" customHeight="1">
      <c r="A11" s="29" t="s">
        <v>42</v>
      </c>
      <c r="B11" s="32" t="s">
        <v>31</v>
      </c>
      <c r="C11" s="31" t="s">
        <v>47</v>
      </c>
      <c r="D11" s="29" t="s">
        <v>82</v>
      </c>
      <c r="E11" s="32" t="s">
        <v>138</v>
      </c>
      <c r="F11" s="32" t="s">
        <v>139</v>
      </c>
      <c r="G11" s="32" t="s">
        <v>141</v>
      </c>
      <c r="H11" s="32" t="s">
        <v>143</v>
      </c>
      <c r="I11" s="32" t="s">
        <v>145</v>
      </c>
    </row>
    <row r="12" ht="26.25" customHeight="1">
      <c r="A12" s="22" t="s">
        <v>92</v>
      </c>
      <c r="B12" s="38"/>
      <c r="C12" s="23" t="s">
        <v>93</v>
      </c>
      <c r="D12" s="22" t="s">
        <v>82</v>
      </c>
      <c r="E12" s="25" t="s">
        <v>163</v>
      </c>
      <c r="F12" s="25" t="s">
        <v>167</v>
      </c>
      <c r="G12" s="25" t="s">
        <v>169</v>
      </c>
      <c r="H12" s="25" t="s">
        <v>172</v>
      </c>
      <c r="I12" s="25" t="s">
        <v>174</v>
      </c>
    </row>
    <row r="13" ht="26.25" customHeight="1">
      <c r="A13" s="22" t="s">
        <v>133</v>
      </c>
      <c r="B13" s="38"/>
      <c r="C13" s="23" t="s">
        <v>135</v>
      </c>
      <c r="D13" s="22" t="s">
        <v>82</v>
      </c>
      <c r="E13" s="25" t="s">
        <v>180</v>
      </c>
      <c r="F13" s="25" t="s">
        <v>182</v>
      </c>
      <c r="G13" s="25" t="s">
        <v>185</v>
      </c>
      <c r="H13" s="25" t="s">
        <v>189</v>
      </c>
      <c r="I13" s="25" t="s">
        <v>191</v>
      </c>
    </row>
    <row r="14" ht="39.0" customHeight="1">
      <c r="A14" s="29" t="s">
        <v>188</v>
      </c>
      <c r="B14" s="32" t="s">
        <v>183</v>
      </c>
      <c r="C14" s="31" t="s">
        <v>192</v>
      </c>
      <c r="D14" s="29" t="s">
        <v>82</v>
      </c>
      <c r="E14" s="32" t="s">
        <v>197</v>
      </c>
      <c r="F14" s="32" t="s">
        <v>199</v>
      </c>
      <c r="G14" s="32" t="s">
        <v>202</v>
      </c>
      <c r="H14" s="32" t="s">
        <v>204</v>
      </c>
      <c r="I14" s="32" t="s">
        <v>206</v>
      </c>
    </row>
    <row r="15" ht="26.25" customHeight="1">
      <c r="A15" s="22" t="s">
        <v>212</v>
      </c>
      <c r="B15" s="38"/>
      <c r="C15" s="23" t="s">
        <v>215</v>
      </c>
      <c r="D15" s="22" t="s">
        <v>82</v>
      </c>
      <c r="E15" s="25" t="s">
        <v>221</v>
      </c>
      <c r="F15" s="25" t="s">
        <v>224</v>
      </c>
      <c r="G15" s="25" t="s">
        <v>226</v>
      </c>
      <c r="H15" s="25" t="s">
        <v>228</v>
      </c>
      <c r="I15" s="25" t="s">
        <v>230</v>
      </c>
    </row>
    <row r="16" ht="26.25" customHeight="1">
      <c r="A16" s="22" t="s">
        <v>233</v>
      </c>
      <c r="B16" s="38"/>
      <c r="C16" s="23" t="s">
        <v>235</v>
      </c>
      <c r="D16" s="22" t="s">
        <v>82</v>
      </c>
      <c r="E16" s="25" t="s">
        <v>237</v>
      </c>
      <c r="F16" s="25" t="s">
        <v>239</v>
      </c>
      <c r="G16" s="25" t="s">
        <v>240</v>
      </c>
      <c r="H16" s="25" t="s">
        <v>241</v>
      </c>
      <c r="I16" s="38" t="s">
        <v>244</v>
      </c>
    </row>
    <row r="17" ht="26.25" customHeight="1">
      <c r="A17" s="22" t="s">
        <v>247</v>
      </c>
      <c r="B17" s="38"/>
      <c r="C17" s="23" t="s">
        <v>249</v>
      </c>
      <c r="D17" s="22" t="s">
        <v>82</v>
      </c>
      <c r="E17" s="25" t="s">
        <v>255</v>
      </c>
      <c r="F17" s="25" t="s">
        <v>258</v>
      </c>
      <c r="G17" s="25" t="s">
        <v>261</v>
      </c>
      <c r="H17" s="25" t="s">
        <v>263</v>
      </c>
      <c r="I17" s="25" t="s">
        <v>264</v>
      </c>
    </row>
    <row r="18" ht="26.25" customHeight="1">
      <c r="A18" s="22" t="s">
        <v>267</v>
      </c>
      <c r="B18" s="38"/>
      <c r="C18" s="23" t="s">
        <v>269</v>
      </c>
      <c r="D18" s="22" t="s">
        <v>82</v>
      </c>
      <c r="E18" s="25" t="s">
        <v>271</v>
      </c>
      <c r="F18" s="25" t="s">
        <v>274</v>
      </c>
      <c r="G18" s="25" t="s">
        <v>276</v>
      </c>
      <c r="H18" s="25" t="s">
        <v>278</v>
      </c>
      <c r="I18" s="25" t="s">
        <v>281</v>
      </c>
    </row>
    <row r="19" ht="26.25" customHeight="1">
      <c r="A19" s="29" t="s">
        <v>284</v>
      </c>
      <c r="B19" s="32" t="s">
        <v>286</v>
      </c>
      <c r="C19" s="31" t="s">
        <v>288</v>
      </c>
      <c r="D19" s="29" t="s">
        <v>82</v>
      </c>
      <c r="E19" s="32" t="s">
        <v>290</v>
      </c>
      <c r="F19" s="32" t="s">
        <v>291</v>
      </c>
      <c r="G19" s="32" t="s">
        <v>292</v>
      </c>
      <c r="H19" s="32" t="s">
        <v>295</v>
      </c>
      <c r="I19" s="32" t="s">
        <v>296</v>
      </c>
    </row>
    <row r="20" ht="39.0" customHeight="1">
      <c r="A20" s="22" t="s">
        <v>298</v>
      </c>
      <c r="B20" s="38"/>
      <c r="C20" s="23" t="s">
        <v>300</v>
      </c>
      <c r="D20" s="36" t="s">
        <v>304</v>
      </c>
      <c r="E20" s="25" t="s">
        <v>306</v>
      </c>
      <c r="F20" s="25" t="s">
        <v>308</v>
      </c>
      <c r="G20" s="25" t="s">
        <v>310</v>
      </c>
      <c r="H20" s="25" t="s">
        <v>313</v>
      </c>
      <c r="I20" s="25" t="s">
        <v>314</v>
      </c>
    </row>
    <row r="21" ht="39.0" customHeight="1">
      <c r="A21" s="22" t="s">
        <v>318</v>
      </c>
      <c r="B21" s="38"/>
      <c r="C21" s="23" t="s">
        <v>322</v>
      </c>
      <c r="D21" s="36" t="s">
        <v>324</v>
      </c>
      <c r="E21" s="25" t="s">
        <v>326</v>
      </c>
      <c r="F21" s="25" t="s">
        <v>328</v>
      </c>
      <c r="G21" s="25" t="s">
        <v>329</v>
      </c>
      <c r="H21" s="25" t="s">
        <v>331</v>
      </c>
      <c r="I21" s="25" t="s">
        <v>334</v>
      </c>
    </row>
    <row r="22" ht="39.0" customHeight="1">
      <c r="A22" s="22" t="s">
        <v>338</v>
      </c>
      <c r="B22" s="38"/>
      <c r="C22" s="23" t="s">
        <v>340</v>
      </c>
      <c r="D22" s="22" t="s">
        <v>82</v>
      </c>
      <c r="E22" s="25" t="s">
        <v>342</v>
      </c>
      <c r="F22" s="25" t="s">
        <v>343</v>
      </c>
      <c r="G22" s="25" t="s">
        <v>346</v>
      </c>
      <c r="H22" s="25" t="s">
        <v>348</v>
      </c>
      <c r="I22" s="25" t="s">
        <v>349</v>
      </c>
    </row>
    <row r="23" ht="26.25" customHeight="1">
      <c r="A23" s="29" t="s">
        <v>352</v>
      </c>
      <c r="B23" s="33" t="s">
        <v>358</v>
      </c>
      <c r="C23" s="31" t="s">
        <v>365</v>
      </c>
      <c r="D23" s="40" t="s">
        <v>370</v>
      </c>
      <c r="E23" s="32" t="s">
        <v>374</v>
      </c>
      <c r="F23" s="32" t="s">
        <v>377</v>
      </c>
      <c r="G23" s="32" t="s">
        <v>379</v>
      </c>
      <c r="H23" s="32" t="s">
        <v>382</v>
      </c>
      <c r="I23" s="32" t="s">
        <v>395</v>
      </c>
    </row>
    <row r="24" ht="26.25" customHeight="1">
      <c r="A24" s="22" t="s">
        <v>397</v>
      </c>
      <c r="B24" s="38"/>
      <c r="C24" s="23" t="s">
        <v>401</v>
      </c>
      <c r="D24" s="22" t="s">
        <v>82</v>
      </c>
      <c r="E24" s="25" t="s">
        <v>405</v>
      </c>
      <c r="F24" s="25" t="s">
        <v>406</v>
      </c>
      <c r="G24" s="25" t="s">
        <v>408</v>
      </c>
      <c r="H24" s="25" t="s">
        <v>410</v>
      </c>
      <c r="I24" s="25" t="s">
        <v>411</v>
      </c>
    </row>
    <row r="25" ht="26.25" customHeight="1">
      <c r="A25" s="22" t="s">
        <v>413</v>
      </c>
      <c r="B25" s="38"/>
      <c r="C25" s="23" t="s">
        <v>416</v>
      </c>
      <c r="D25" s="22" t="s">
        <v>82</v>
      </c>
      <c r="E25" s="25" t="s">
        <v>419</v>
      </c>
      <c r="F25" s="25" t="s">
        <v>423</v>
      </c>
      <c r="G25" s="25" t="s">
        <v>424</v>
      </c>
      <c r="H25" s="25" t="s">
        <v>425</v>
      </c>
      <c r="I25" s="25" t="s">
        <v>428</v>
      </c>
    </row>
    <row r="26" ht="26.25" customHeight="1">
      <c r="A26" s="22" t="s">
        <v>431</v>
      </c>
      <c r="B26" s="38"/>
      <c r="C26" s="23" t="s">
        <v>436</v>
      </c>
      <c r="D26" s="36" t="s">
        <v>437</v>
      </c>
      <c r="E26" s="25" t="s">
        <v>438</v>
      </c>
      <c r="F26" s="25" t="s">
        <v>439</v>
      </c>
      <c r="G26" s="25" t="s">
        <v>441</v>
      </c>
      <c r="H26" s="25" t="s">
        <v>442</v>
      </c>
      <c r="I26" s="25" t="s">
        <v>443</v>
      </c>
    </row>
    <row r="27" ht="26.25" customHeight="1">
      <c r="A27" s="22" t="s">
        <v>445</v>
      </c>
      <c r="B27" s="38"/>
      <c r="C27" s="23" t="s">
        <v>446</v>
      </c>
      <c r="D27" s="36" t="s">
        <v>437</v>
      </c>
      <c r="E27" s="25" t="s">
        <v>448</v>
      </c>
      <c r="F27" s="25" t="s">
        <v>450</v>
      </c>
      <c r="G27" s="25" t="s">
        <v>451</v>
      </c>
      <c r="H27" s="25" t="s">
        <v>453</v>
      </c>
      <c r="I27" s="25" t="s">
        <v>454</v>
      </c>
    </row>
    <row r="28" ht="39.0" customHeight="1">
      <c r="A28" s="29" t="s">
        <v>456</v>
      </c>
      <c r="B28" s="32" t="s">
        <v>458</v>
      </c>
      <c r="C28" s="31" t="s">
        <v>460</v>
      </c>
      <c r="D28" s="29" t="s">
        <v>82</v>
      </c>
      <c r="E28" s="32" t="s">
        <v>461</v>
      </c>
      <c r="F28" s="32" t="s">
        <v>463</v>
      </c>
      <c r="G28" s="32" t="s">
        <v>464</v>
      </c>
      <c r="H28" s="32" t="s">
        <v>467</v>
      </c>
      <c r="I28" s="32" t="s">
        <v>469</v>
      </c>
    </row>
    <row r="29" ht="39.0" customHeight="1">
      <c r="A29" s="22" t="s">
        <v>472</v>
      </c>
      <c r="B29" s="38"/>
      <c r="C29" s="23" t="s">
        <v>474</v>
      </c>
      <c r="D29" s="22" t="s">
        <v>82</v>
      </c>
      <c r="E29" s="25" t="s">
        <v>475</v>
      </c>
      <c r="F29" s="25" t="s">
        <v>476</v>
      </c>
      <c r="G29" s="25" t="s">
        <v>478</v>
      </c>
      <c r="H29" s="25" t="s">
        <v>480</v>
      </c>
      <c r="I29" s="25" t="s">
        <v>483</v>
      </c>
    </row>
    <row r="30" ht="39.0" customHeight="1">
      <c r="A30" s="22" t="s">
        <v>485</v>
      </c>
      <c r="B30" s="38"/>
      <c r="C30" s="23" t="s">
        <v>486</v>
      </c>
      <c r="D30" s="22" t="s">
        <v>82</v>
      </c>
      <c r="E30" s="25" t="s">
        <v>487</v>
      </c>
      <c r="F30" s="25" t="s">
        <v>488</v>
      </c>
      <c r="G30" s="25" t="s">
        <v>490</v>
      </c>
      <c r="H30" s="25" t="s">
        <v>492</v>
      </c>
      <c r="I30" s="25" t="s">
        <v>493</v>
      </c>
    </row>
    <row r="31" ht="26.25" customHeight="1">
      <c r="A31" s="22" t="s">
        <v>494</v>
      </c>
      <c r="B31" s="38"/>
      <c r="C31" s="23" t="s">
        <v>496</v>
      </c>
      <c r="D31" s="36" t="s">
        <v>497</v>
      </c>
      <c r="E31" s="38" t="s">
        <v>500</v>
      </c>
      <c r="F31" s="25" t="s">
        <v>503</v>
      </c>
      <c r="G31" s="25" t="s">
        <v>506</v>
      </c>
      <c r="H31" s="25" t="s">
        <v>507</v>
      </c>
      <c r="I31" s="25" t="s">
        <v>509</v>
      </c>
    </row>
    <row r="32" ht="26.25" customHeight="1">
      <c r="A32" s="22" t="s">
        <v>510</v>
      </c>
      <c r="B32" s="38"/>
      <c r="C32" s="23" t="s">
        <v>514</v>
      </c>
      <c r="D32" s="36" t="s">
        <v>497</v>
      </c>
      <c r="E32" s="25" t="s">
        <v>519</v>
      </c>
      <c r="F32" s="25" t="s">
        <v>521</v>
      </c>
      <c r="G32" s="38" t="s">
        <v>524</v>
      </c>
      <c r="H32" s="25" t="s">
        <v>526</v>
      </c>
      <c r="I32" s="25" t="s">
        <v>528</v>
      </c>
    </row>
    <row r="33" ht="26.25" customHeight="1">
      <c r="A33" s="22" t="s">
        <v>532</v>
      </c>
      <c r="B33" s="38"/>
      <c r="C33" s="23" t="s">
        <v>534</v>
      </c>
      <c r="D33" s="36" t="s">
        <v>537</v>
      </c>
      <c r="E33" s="25" t="s">
        <v>539</v>
      </c>
      <c r="F33" s="25" t="s">
        <v>541</v>
      </c>
      <c r="G33" s="38" t="s">
        <v>544</v>
      </c>
      <c r="H33" s="25" t="s">
        <v>545</v>
      </c>
      <c r="I33" s="25" t="s">
        <v>549</v>
      </c>
    </row>
    <row r="34" ht="26.25" customHeight="1">
      <c r="A34" s="29" t="s">
        <v>551</v>
      </c>
      <c r="B34" s="32" t="s">
        <v>552</v>
      </c>
      <c r="C34" s="31" t="s">
        <v>554</v>
      </c>
      <c r="D34" s="29" t="s">
        <v>82</v>
      </c>
      <c r="E34" s="32" t="s">
        <v>556</v>
      </c>
      <c r="F34" s="32" t="s">
        <v>559</v>
      </c>
      <c r="G34" s="32" t="s">
        <v>560</v>
      </c>
      <c r="H34" s="32" t="s">
        <v>561</v>
      </c>
      <c r="I34" s="32" t="s">
        <v>562</v>
      </c>
    </row>
    <row r="35" ht="26.25" customHeight="1">
      <c r="A35" s="22" t="s">
        <v>563</v>
      </c>
      <c r="B35" s="38"/>
      <c r="C35" s="23" t="s">
        <v>565</v>
      </c>
      <c r="D35" s="36" t="s">
        <v>566</v>
      </c>
      <c r="E35" s="25" t="s">
        <v>567</v>
      </c>
      <c r="F35" s="25" t="s">
        <v>568</v>
      </c>
      <c r="G35" s="25" t="s">
        <v>569</v>
      </c>
      <c r="H35" s="25" t="s">
        <v>571</v>
      </c>
      <c r="I35" s="25" t="s">
        <v>572</v>
      </c>
    </row>
    <row r="36" ht="26.25" customHeight="1">
      <c r="A36" s="22" t="s">
        <v>574</v>
      </c>
      <c r="B36" s="38"/>
      <c r="C36" s="23" t="s">
        <v>576</v>
      </c>
      <c r="D36" s="36" t="s">
        <v>566</v>
      </c>
      <c r="E36" s="25" t="s">
        <v>578</v>
      </c>
      <c r="F36" s="25" t="s">
        <v>579</v>
      </c>
      <c r="G36" s="25" t="s">
        <v>582</v>
      </c>
      <c r="H36" s="25" t="s">
        <v>583</v>
      </c>
      <c r="I36" s="25" t="s">
        <v>584</v>
      </c>
    </row>
    <row r="37" ht="26.25" customHeight="1">
      <c r="A37" s="22" t="s">
        <v>587</v>
      </c>
      <c r="B37" s="38"/>
      <c r="C37" s="23" t="s">
        <v>588</v>
      </c>
      <c r="D37" s="36" t="s">
        <v>566</v>
      </c>
      <c r="E37" s="25" t="s">
        <v>590</v>
      </c>
      <c r="F37" s="25" t="s">
        <v>593</v>
      </c>
      <c r="G37" s="25" t="s">
        <v>594</v>
      </c>
      <c r="H37" s="25" t="s">
        <v>596</v>
      </c>
      <c r="I37" s="25" t="s">
        <v>599</v>
      </c>
    </row>
    <row r="38" ht="26.25" customHeight="1">
      <c r="A38" s="29" t="s">
        <v>601</v>
      </c>
      <c r="B38" s="32" t="s">
        <v>603</v>
      </c>
      <c r="C38" s="31" t="s">
        <v>606</v>
      </c>
      <c r="D38" s="40" t="s">
        <v>437</v>
      </c>
      <c r="E38" s="32" t="s">
        <v>607</v>
      </c>
      <c r="F38" s="32" t="s">
        <v>609</v>
      </c>
      <c r="G38" s="32" t="s">
        <v>612</v>
      </c>
      <c r="H38" s="32" t="s">
        <v>613</v>
      </c>
      <c r="I38" s="32" t="s">
        <v>615</v>
      </c>
    </row>
    <row r="39" ht="26.25" customHeight="1">
      <c r="A39" s="22" t="s">
        <v>617</v>
      </c>
      <c r="B39" s="38"/>
      <c r="C39" s="23" t="s">
        <v>618</v>
      </c>
      <c r="D39" s="36" t="s">
        <v>437</v>
      </c>
      <c r="E39" s="25" t="s">
        <v>620</v>
      </c>
      <c r="F39" s="25" t="s">
        <v>621</v>
      </c>
      <c r="G39" s="25" t="s">
        <v>623</v>
      </c>
      <c r="H39" s="25" t="s">
        <v>624</v>
      </c>
      <c r="I39" s="25" t="s">
        <v>627</v>
      </c>
    </row>
    <row r="40" ht="26.25" customHeight="1">
      <c r="A40" s="22" t="s">
        <v>628</v>
      </c>
      <c r="B40" s="38"/>
      <c r="C40" s="23" t="s">
        <v>630</v>
      </c>
      <c r="D40" s="36" t="s">
        <v>437</v>
      </c>
      <c r="E40" s="25" t="s">
        <v>645</v>
      </c>
      <c r="F40" s="25" t="s">
        <v>646</v>
      </c>
      <c r="G40" s="25" t="s">
        <v>648</v>
      </c>
      <c r="H40" s="25" t="s">
        <v>650</v>
      </c>
      <c r="I40" s="25" t="s">
        <v>654</v>
      </c>
    </row>
    <row r="41" ht="26.25" customHeight="1">
      <c r="A41" s="22" t="s">
        <v>656</v>
      </c>
      <c r="B41" s="38"/>
      <c r="C41" s="23" t="s">
        <v>657</v>
      </c>
      <c r="D41" s="36" t="s">
        <v>437</v>
      </c>
      <c r="E41" s="25" t="s">
        <v>659</v>
      </c>
      <c r="F41" s="25" t="s">
        <v>660</v>
      </c>
      <c r="G41" s="25" t="s">
        <v>661</v>
      </c>
      <c r="H41" s="25" t="s">
        <v>662</v>
      </c>
      <c r="I41" s="25" t="s">
        <v>663</v>
      </c>
    </row>
    <row r="42" ht="26.25" customHeight="1">
      <c r="A42" s="29" t="s">
        <v>665</v>
      </c>
      <c r="B42" s="32" t="s">
        <v>666</v>
      </c>
      <c r="C42" s="31" t="s">
        <v>668</v>
      </c>
      <c r="D42" s="40" t="s">
        <v>437</v>
      </c>
      <c r="E42" s="32" t="s">
        <v>670</v>
      </c>
      <c r="F42" s="32" t="s">
        <v>672</v>
      </c>
      <c r="G42" s="32" t="s">
        <v>675</v>
      </c>
      <c r="H42" s="32" t="s">
        <v>677</v>
      </c>
      <c r="I42" s="32" t="s">
        <v>679</v>
      </c>
    </row>
    <row r="43" ht="26.25" customHeight="1">
      <c r="A43" s="22" t="s">
        <v>681</v>
      </c>
      <c r="B43" s="38"/>
      <c r="C43" s="23" t="s">
        <v>682</v>
      </c>
      <c r="D43" s="36" t="s">
        <v>437</v>
      </c>
      <c r="E43" s="25" t="s">
        <v>684</v>
      </c>
      <c r="F43" s="25" t="s">
        <v>687</v>
      </c>
      <c r="G43" s="25" t="s">
        <v>688</v>
      </c>
      <c r="H43" s="25" t="s">
        <v>690</v>
      </c>
      <c r="I43" s="25" t="s">
        <v>692</v>
      </c>
    </row>
    <row r="44" ht="26.25" customHeight="1">
      <c r="A44" s="22" t="s">
        <v>694</v>
      </c>
      <c r="B44" s="38"/>
      <c r="C44" s="23" t="s">
        <v>696</v>
      </c>
      <c r="D44" s="36" t="s">
        <v>437</v>
      </c>
      <c r="E44" s="25" t="s">
        <v>698</v>
      </c>
      <c r="F44" s="25" t="s">
        <v>701</v>
      </c>
      <c r="G44" s="25" t="s">
        <v>702</v>
      </c>
      <c r="H44" s="25" t="s">
        <v>704</v>
      </c>
      <c r="I44" s="25" t="s">
        <v>705</v>
      </c>
    </row>
    <row r="45" ht="26.25" customHeight="1">
      <c r="A45" s="22" t="s">
        <v>707</v>
      </c>
      <c r="B45" s="38"/>
      <c r="C45" s="23" t="s">
        <v>709</v>
      </c>
      <c r="D45" s="36" t="s">
        <v>711</v>
      </c>
      <c r="E45" s="25" t="s">
        <v>713</v>
      </c>
      <c r="F45" s="25" t="s">
        <v>714</v>
      </c>
      <c r="G45" s="25" t="s">
        <v>717</v>
      </c>
      <c r="H45" s="25" t="s">
        <v>719</v>
      </c>
      <c r="I45" s="25" t="s">
        <v>720</v>
      </c>
    </row>
    <row r="46" ht="26.25" customHeight="1">
      <c r="A46" s="29" t="s">
        <v>723</v>
      </c>
      <c r="B46" s="32" t="s">
        <v>725</v>
      </c>
      <c r="C46" s="31" t="s">
        <v>727</v>
      </c>
      <c r="D46" s="40" t="s">
        <v>729</v>
      </c>
      <c r="E46" s="32" t="s">
        <v>730</v>
      </c>
      <c r="F46" s="32" t="s">
        <v>732</v>
      </c>
      <c r="G46" s="32" t="s">
        <v>734</v>
      </c>
      <c r="H46" s="32" t="s">
        <v>736</v>
      </c>
      <c r="I46" s="32" t="s">
        <v>739</v>
      </c>
    </row>
    <row r="47" ht="26.25" customHeight="1">
      <c r="A47" s="22" t="s">
        <v>740</v>
      </c>
      <c r="B47" s="38"/>
      <c r="C47" s="23" t="s">
        <v>742</v>
      </c>
      <c r="D47" s="36" t="s">
        <v>729</v>
      </c>
      <c r="E47" s="25" t="s">
        <v>746</v>
      </c>
      <c r="F47" s="25" t="s">
        <v>748</v>
      </c>
      <c r="G47" s="25" t="s">
        <v>751</v>
      </c>
      <c r="H47" s="25" t="s">
        <v>753</v>
      </c>
      <c r="I47" s="25" t="s">
        <v>755</v>
      </c>
    </row>
    <row r="48" ht="26.25" customHeight="1">
      <c r="A48" s="29" t="s">
        <v>758</v>
      </c>
      <c r="B48" s="32" t="s">
        <v>761</v>
      </c>
      <c r="C48" s="31" t="s">
        <v>764</v>
      </c>
      <c r="D48" s="29" t="s">
        <v>82</v>
      </c>
      <c r="E48" s="32" t="s">
        <v>767</v>
      </c>
      <c r="F48" s="32" t="s">
        <v>768</v>
      </c>
      <c r="G48" s="32" t="s">
        <v>769</v>
      </c>
      <c r="H48" s="32" t="s">
        <v>770</v>
      </c>
      <c r="I48" s="32" t="s">
        <v>771</v>
      </c>
    </row>
    <row r="49" ht="26.25" customHeight="1">
      <c r="A49" s="22" t="s">
        <v>772</v>
      </c>
      <c r="B49" s="38"/>
      <c r="C49" s="23" t="s">
        <v>773</v>
      </c>
      <c r="D49" s="22" t="s">
        <v>82</v>
      </c>
      <c r="E49" s="25" t="s">
        <v>775</v>
      </c>
      <c r="F49" s="25" t="s">
        <v>778</v>
      </c>
      <c r="G49" s="25" t="s">
        <v>780</v>
      </c>
      <c r="H49" s="25" t="s">
        <v>781</v>
      </c>
      <c r="I49" s="25" t="s">
        <v>784</v>
      </c>
    </row>
    <row r="50" ht="26.25" customHeight="1">
      <c r="A50" s="22" t="s">
        <v>785</v>
      </c>
      <c r="B50" s="38"/>
      <c r="C50" s="23" t="s">
        <v>791</v>
      </c>
      <c r="D50" s="22" t="s">
        <v>82</v>
      </c>
      <c r="E50" s="25" t="s">
        <v>793</v>
      </c>
      <c r="F50" s="25" t="s">
        <v>794</v>
      </c>
      <c r="G50" s="25" t="s">
        <v>797</v>
      </c>
      <c r="H50" s="25" t="s">
        <v>798</v>
      </c>
      <c r="I50" s="25" t="s">
        <v>800</v>
      </c>
    </row>
    <row r="51" ht="26.25" customHeight="1">
      <c r="A51" s="22" t="s">
        <v>802</v>
      </c>
      <c r="B51" s="38"/>
      <c r="C51" s="23" t="s">
        <v>804</v>
      </c>
      <c r="D51" s="22" t="s">
        <v>82</v>
      </c>
      <c r="E51" s="25" t="s">
        <v>807</v>
      </c>
      <c r="F51" s="25" t="s">
        <v>809</v>
      </c>
      <c r="G51" s="25" t="s">
        <v>812</v>
      </c>
      <c r="H51" s="25" t="s">
        <v>813</v>
      </c>
      <c r="I51" s="25" t="s">
        <v>815</v>
      </c>
    </row>
    <row r="52" ht="26.25" customHeight="1">
      <c r="A52" s="29" t="s">
        <v>816</v>
      </c>
      <c r="B52" s="32" t="s">
        <v>818</v>
      </c>
      <c r="C52" s="31" t="s">
        <v>819</v>
      </c>
      <c r="D52" s="29" t="s">
        <v>82</v>
      </c>
      <c r="E52" s="32" t="s">
        <v>822</v>
      </c>
      <c r="F52" s="32" t="s">
        <v>824</v>
      </c>
      <c r="G52" s="32" t="s">
        <v>827</v>
      </c>
      <c r="H52" s="32" t="s">
        <v>829</v>
      </c>
      <c r="I52" s="32" t="s">
        <v>832</v>
      </c>
    </row>
    <row r="53" ht="26.25" customHeight="1">
      <c r="A53" s="22" t="s">
        <v>834</v>
      </c>
      <c r="B53" s="38"/>
      <c r="C53" s="23" t="s">
        <v>836</v>
      </c>
      <c r="D53" s="36" t="s">
        <v>566</v>
      </c>
      <c r="E53" s="25" t="s">
        <v>839</v>
      </c>
      <c r="F53" s="25" t="s">
        <v>841</v>
      </c>
      <c r="G53" s="25" t="s">
        <v>843</v>
      </c>
      <c r="H53" s="25" t="s">
        <v>844</v>
      </c>
      <c r="I53" s="25" t="s">
        <v>846</v>
      </c>
    </row>
    <row r="54" ht="26.25" customHeight="1">
      <c r="A54" s="22" t="s">
        <v>848</v>
      </c>
      <c r="B54" s="38"/>
      <c r="C54" s="23" t="s">
        <v>856</v>
      </c>
      <c r="D54" s="36" t="s">
        <v>566</v>
      </c>
      <c r="E54" s="25" t="s">
        <v>858</v>
      </c>
      <c r="F54" s="25" t="s">
        <v>860</v>
      </c>
      <c r="G54" s="25" t="s">
        <v>861</v>
      </c>
      <c r="H54" s="25" t="s">
        <v>862</v>
      </c>
      <c r="I54" s="25" t="s">
        <v>864</v>
      </c>
    </row>
    <row r="55" ht="26.25" customHeight="1">
      <c r="A55" s="22" t="s">
        <v>866</v>
      </c>
      <c r="B55" s="38"/>
      <c r="C55" s="23" t="s">
        <v>867</v>
      </c>
      <c r="D55" s="22" t="s">
        <v>82</v>
      </c>
      <c r="E55" s="25" t="s">
        <v>870</v>
      </c>
      <c r="F55" s="25" t="s">
        <v>872</v>
      </c>
      <c r="G55" s="25" t="s">
        <v>874</v>
      </c>
      <c r="H55" s="25" t="s">
        <v>876</v>
      </c>
      <c r="I55" s="25" t="s">
        <v>878</v>
      </c>
    </row>
    <row r="56" ht="26.25" customHeight="1">
      <c r="A56" s="29" t="s">
        <v>882</v>
      </c>
      <c r="B56" s="32" t="s">
        <v>883</v>
      </c>
      <c r="C56" s="31" t="s">
        <v>886</v>
      </c>
      <c r="D56" s="29" t="s">
        <v>82</v>
      </c>
      <c r="E56" s="32" t="s">
        <v>890</v>
      </c>
      <c r="F56" s="32" t="s">
        <v>891</v>
      </c>
      <c r="G56" s="32" t="s">
        <v>893</v>
      </c>
      <c r="H56" s="32" t="s">
        <v>895</v>
      </c>
      <c r="I56" s="32" t="s">
        <v>897</v>
      </c>
    </row>
    <row r="57" ht="26.25" customHeight="1">
      <c r="A57" s="22" t="s">
        <v>899</v>
      </c>
      <c r="B57" s="38"/>
      <c r="C57" s="23" t="s">
        <v>901</v>
      </c>
      <c r="D57" s="22" t="s">
        <v>82</v>
      </c>
      <c r="E57" s="25" t="s">
        <v>903</v>
      </c>
      <c r="F57" s="25" t="s">
        <v>905</v>
      </c>
      <c r="G57" s="25" t="s">
        <v>907</v>
      </c>
      <c r="H57" s="25" t="s">
        <v>908</v>
      </c>
      <c r="I57" s="25" t="s">
        <v>910</v>
      </c>
    </row>
    <row r="58" ht="26.25" customHeight="1">
      <c r="A58" s="22" t="s">
        <v>911</v>
      </c>
      <c r="B58" s="38"/>
      <c r="C58" s="23" t="s">
        <v>912</v>
      </c>
      <c r="D58" s="36" t="s">
        <v>437</v>
      </c>
      <c r="E58" s="25" t="s">
        <v>914</v>
      </c>
      <c r="F58" s="25" t="s">
        <v>916</v>
      </c>
      <c r="G58" s="25" t="s">
        <v>917</v>
      </c>
      <c r="H58" s="25" t="s">
        <v>919</v>
      </c>
      <c r="I58" s="25" t="s">
        <v>920</v>
      </c>
    </row>
    <row r="59" ht="26.25" customHeight="1">
      <c r="A59" s="22" t="s">
        <v>922</v>
      </c>
      <c r="B59" s="38"/>
      <c r="C59" s="23" t="s">
        <v>924</v>
      </c>
      <c r="D59" s="36" t="s">
        <v>927</v>
      </c>
      <c r="E59" s="25" t="s">
        <v>929</v>
      </c>
      <c r="F59" s="25" t="s">
        <v>930</v>
      </c>
      <c r="G59" s="38" t="s">
        <v>934</v>
      </c>
      <c r="H59" s="25" t="s">
        <v>935</v>
      </c>
      <c r="I59" s="25" t="s">
        <v>937</v>
      </c>
    </row>
    <row r="60" ht="26.25" customHeight="1">
      <c r="A60" s="22" t="s">
        <v>940</v>
      </c>
      <c r="B60" s="38"/>
      <c r="C60" s="23" t="s">
        <v>943</v>
      </c>
      <c r="D60" s="36" t="s">
        <v>944</v>
      </c>
      <c r="E60" s="25" t="s">
        <v>946</v>
      </c>
      <c r="F60" s="25" t="s">
        <v>948</v>
      </c>
      <c r="G60" s="25" t="s">
        <v>949</v>
      </c>
      <c r="H60" s="25" t="s">
        <v>951</v>
      </c>
      <c r="I60" s="25" t="s">
        <v>953</v>
      </c>
    </row>
    <row r="61" ht="26.25" customHeight="1">
      <c r="A61" s="29" t="s">
        <v>955</v>
      </c>
      <c r="B61" s="32" t="s">
        <v>957</v>
      </c>
      <c r="C61" s="31" t="s">
        <v>959</v>
      </c>
      <c r="D61" s="29" t="s">
        <v>82</v>
      </c>
      <c r="E61" s="32" t="s">
        <v>963</v>
      </c>
      <c r="F61" s="32" t="s">
        <v>964</v>
      </c>
      <c r="G61" s="32" t="s">
        <v>965</v>
      </c>
      <c r="H61" s="32" t="s">
        <v>968</v>
      </c>
      <c r="I61" s="32" t="s">
        <v>970</v>
      </c>
    </row>
    <row r="62" ht="26.25" customHeight="1">
      <c r="A62" s="22" t="s">
        <v>972</v>
      </c>
      <c r="B62" s="38"/>
      <c r="C62" s="42" t="s">
        <v>977</v>
      </c>
      <c r="D62" s="36" t="s">
        <v>980</v>
      </c>
      <c r="E62" s="25" t="s">
        <v>981</v>
      </c>
      <c r="F62" s="25" t="s">
        <v>983</v>
      </c>
      <c r="G62" s="25" t="s">
        <v>985</v>
      </c>
      <c r="H62" s="25" t="s">
        <v>986</v>
      </c>
      <c r="I62" s="25" t="s">
        <v>988</v>
      </c>
    </row>
    <row r="63" ht="26.25" customHeight="1">
      <c r="A63" s="22" t="s">
        <v>991</v>
      </c>
      <c r="B63" s="38"/>
      <c r="C63" s="42" t="s">
        <v>1002</v>
      </c>
      <c r="D63" s="36" t="s">
        <v>711</v>
      </c>
      <c r="E63" s="25" t="s">
        <v>1006</v>
      </c>
      <c r="F63" s="25" t="s">
        <v>1008</v>
      </c>
      <c r="G63" s="25" t="s">
        <v>1010</v>
      </c>
      <c r="H63" s="25" t="s">
        <v>1011</v>
      </c>
      <c r="I63" s="25" t="s">
        <v>1013</v>
      </c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autoFilter ref="$A$10:$I$63"/>
  <mergeCells count="6">
    <mergeCell ref="C3:I3"/>
    <mergeCell ref="C4:I4"/>
    <mergeCell ref="C5:I5"/>
    <mergeCell ref="C6:I6"/>
    <mergeCell ref="C7:I7"/>
    <mergeCell ref="C8:I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13.0"/>
    <col customWidth="1" min="4" max="4" width="32.0"/>
    <col customWidth="1" min="5" max="5" width="7.0"/>
    <col customWidth="1" min="6" max="6" width="9.0"/>
    <col customWidth="1" min="7" max="7" width="11.0"/>
    <col customWidth="1" min="8" max="26" width="8.71"/>
  </cols>
  <sheetData>
    <row r="1" ht="21.0" customHeight="1">
      <c r="A1" s="2" t="s">
        <v>3</v>
      </c>
      <c r="B1" s="3"/>
      <c r="C1" s="3"/>
      <c r="D1" s="3"/>
      <c r="E1" s="3"/>
      <c r="F1" s="3"/>
      <c r="G1" s="3"/>
    </row>
    <row r="2" ht="15.0" customHeight="1">
      <c r="A2" s="5" t="s">
        <v>5</v>
      </c>
      <c r="B2" s="3"/>
      <c r="C2" s="3"/>
      <c r="D2" s="3"/>
      <c r="E2" s="3"/>
      <c r="F2" s="3"/>
      <c r="G2" s="3"/>
    </row>
    <row r="3" ht="40.5" customHeight="1">
      <c r="A3" s="6" t="s">
        <v>9</v>
      </c>
      <c r="B3" s="6" t="s">
        <v>11</v>
      </c>
      <c r="C3" s="7" t="s">
        <v>14</v>
      </c>
      <c r="D3" s="7" t="s">
        <v>39</v>
      </c>
      <c r="E3" s="7" t="s">
        <v>20</v>
      </c>
      <c r="F3" s="18" t="s">
        <v>40</v>
      </c>
      <c r="G3" s="10" t="s">
        <v>44</v>
      </c>
    </row>
    <row r="4" ht="15.0" customHeight="1">
      <c r="A4" s="22" t="s">
        <v>45</v>
      </c>
      <c r="B4" s="25" t="s">
        <v>48</v>
      </c>
      <c r="C4" s="22" t="s">
        <v>53</v>
      </c>
      <c r="D4" s="38" t="str">
        <f t="array" ref="D4">IFERROR(INDEX('ケイパビリティマップ'!$E:$E,MATCH(C4,'ケイパビリティマップ'!$A:$A,0)),"（IDなし）")</f>
        <v>患者団体との協働★</v>
      </c>
      <c r="E4" s="36" t="s">
        <v>173</v>
      </c>
      <c r="F4" s="39" t="str">
        <f t="shared" ref="F4:F294" si="1">LEFT(A4,5)</f>
        <v>01-01</v>
      </c>
      <c r="G4" s="39" t="str">
        <f t="shared" ref="G4:G294" si="2">LEFT(C4,6)</f>
        <v>C10-01</v>
      </c>
    </row>
    <row r="5" ht="15.0" customHeight="1">
      <c r="A5" s="22" t="s">
        <v>45</v>
      </c>
      <c r="B5" s="25" t="s">
        <v>48</v>
      </c>
      <c r="C5" s="22" t="s">
        <v>219</v>
      </c>
      <c r="D5" s="38" t="str">
        <f t="array" ref="D5">IFERROR(INDEX('ケイパビリティマップ'!$E:$E,MATCH(C5,'ケイパビリティマップ'!$A:$A,0)),"（IDなし）")</f>
        <v>専門医との関係構築</v>
      </c>
      <c r="E5" s="36" t="s">
        <v>254</v>
      </c>
      <c r="F5" s="39" t="str">
        <f t="shared" si="1"/>
        <v>01-01</v>
      </c>
      <c r="G5" s="39" t="str">
        <f t="shared" si="2"/>
        <v>C10-01</v>
      </c>
    </row>
    <row r="6" ht="15.0" customHeight="1">
      <c r="A6" s="22" t="s">
        <v>45</v>
      </c>
      <c r="B6" s="25" t="s">
        <v>48</v>
      </c>
      <c r="C6" s="22" t="s">
        <v>194</v>
      </c>
      <c r="D6" s="38" t="str">
        <f t="array" ref="D6">IFERROR(INDEX('ケイパビリティマップ'!$E:$E,MATCH(C6,'ケイパビリティマップ'!$A:$A,0)),"（IDなし）")</f>
        <v>病態・遺伝学的原因の解析★</v>
      </c>
      <c r="E6" s="36" t="s">
        <v>254</v>
      </c>
      <c r="F6" s="39" t="str">
        <f t="shared" si="1"/>
        <v>01-01</v>
      </c>
      <c r="G6" s="39" t="str">
        <f t="shared" si="2"/>
        <v>C02-01</v>
      </c>
    </row>
    <row r="7" ht="15.0" customHeight="1">
      <c r="A7" s="22" t="s">
        <v>100</v>
      </c>
      <c r="B7" s="25" t="s">
        <v>106</v>
      </c>
      <c r="C7" s="22" t="s">
        <v>194</v>
      </c>
      <c r="D7" s="38" t="str">
        <f t="array" ref="D7">IFERROR(INDEX('ケイパビリティマップ'!$E:$E,MATCH(C7,'ケイパビリティマップ'!$A:$A,0)),"（IDなし）")</f>
        <v>病態・遺伝学的原因の解析★</v>
      </c>
      <c r="E7" s="36" t="s">
        <v>173</v>
      </c>
      <c r="F7" s="39" t="str">
        <f t="shared" si="1"/>
        <v>01-01</v>
      </c>
      <c r="G7" s="39" t="str">
        <f t="shared" si="2"/>
        <v>C02-01</v>
      </c>
    </row>
    <row r="8" ht="26.25" customHeight="1">
      <c r="A8" s="22" t="s">
        <v>124</v>
      </c>
      <c r="B8" s="25" t="s">
        <v>127</v>
      </c>
      <c r="C8" s="22" t="s">
        <v>194</v>
      </c>
      <c r="D8" s="38" t="str">
        <f t="array" ref="D8">IFERROR(INDEX('ケイパビリティマップ'!$E:$E,MATCH(C8,'ケイパビリティマップ'!$A:$A,0)),"（IDなし）")</f>
        <v>病態・遺伝学的原因の解析★</v>
      </c>
      <c r="E8" s="36" t="s">
        <v>173</v>
      </c>
      <c r="F8" s="39" t="str">
        <f t="shared" si="1"/>
        <v>01-01</v>
      </c>
      <c r="G8" s="39" t="str">
        <f t="shared" si="2"/>
        <v>C02-01</v>
      </c>
    </row>
    <row r="9" ht="26.25" customHeight="1">
      <c r="A9" s="22" t="s">
        <v>124</v>
      </c>
      <c r="B9" s="25" t="s">
        <v>127</v>
      </c>
      <c r="C9" s="22" t="s">
        <v>359</v>
      </c>
      <c r="D9" s="38" t="str">
        <f t="array" ref="D9">IFERROR(INDEX('ケイパビリティマップ'!$E:$E,MATCH(C9,'ケイパビリティマップ'!$A:$A,0)),"（IDなし）")</f>
        <v>個人情報保護</v>
      </c>
      <c r="E9" s="36" t="s">
        <v>254</v>
      </c>
      <c r="F9" s="39" t="str">
        <f t="shared" si="1"/>
        <v>01-01</v>
      </c>
      <c r="G9" s="39" t="str">
        <f t="shared" si="2"/>
        <v>C13-01</v>
      </c>
    </row>
    <row r="10" ht="26.25" customHeight="1">
      <c r="A10" s="22" t="s">
        <v>134</v>
      </c>
      <c r="B10" s="25" t="s">
        <v>136</v>
      </c>
      <c r="C10" s="22" t="s">
        <v>205</v>
      </c>
      <c r="D10" s="38" t="str">
        <f t="array" ref="D10">IFERROR(INDEX('ケイパビリティマップ'!$E:$E,MATCH(C10,'ケイパビリティマップ'!$A:$A,0)),"（IDなし）")</f>
        <v>標的検証</v>
      </c>
      <c r="E10" s="36" t="s">
        <v>173</v>
      </c>
      <c r="F10" s="39" t="str">
        <f t="shared" si="1"/>
        <v>01-01</v>
      </c>
      <c r="G10" s="39" t="str">
        <f t="shared" si="2"/>
        <v>C02-01</v>
      </c>
    </row>
    <row r="11" ht="26.25" customHeight="1">
      <c r="A11" s="22" t="s">
        <v>146</v>
      </c>
      <c r="B11" s="25" t="s">
        <v>150</v>
      </c>
      <c r="C11" s="22" t="s">
        <v>222</v>
      </c>
      <c r="D11" s="38" t="str">
        <f t="array" ref="D11">IFERROR(INDEX('ケイパビリティマップ'!$E:$E,MATCH(C11,'ケイパビリティマップ'!$A:$A,0)),"（IDなし）")</f>
        <v>モダリティ適合性評価</v>
      </c>
      <c r="E11" s="36" t="s">
        <v>173</v>
      </c>
      <c r="F11" s="39" t="str">
        <f t="shared" si="1"/>
        <v>01-01</v>
      </c>
      <c r="G11" s="39" t="str">
        <f t="shared" si="2"/>
        <v>C02-01</v>
      </c>
    </row>
    <row r="12" ht="15.0" customHeight="1">
      <c r="A12" s="22" t="s">
        <v>155</v>
      </c>
      <c r="B12" s="25" t="s">
        <v>159</v>
      </c>
      <c r="C12" s="22" t="s">
        <v>205</v>
      </c>
      <c r="D12" s="38" t="str">
        <f t="array" ref="D12">IFERROR(INDEX('ケイパビリティマップ'!$E:$E,MATCH(C12,'ケイパビリティマップ'!$A:$A,0)),"（IDなし）")</f>
        <v>標的検証</v>
      </c>
      <c r="E12" s="36" t="s">
        <v>173</v>
      </c>
      <c r="F12" s="39" t="str">
        <f t="shared" si="1"/>
        <v>01-01</v>
      </c>
      <c r="G12" s="39" t="str">
        <f t="shared" si="2"/>
        <v>C02-01</v>
      </c>
    </row>
    <row r="13" ht="15.0" customHeight="1">
      <c r="A13" s="22" t="s">
        <v>155</v>
      </c>
      <c r="B13" s="25" t="s">
        <v>159</v>
      </c>
      <c r="C13" s="22" t="s">
        <v>97</v>
      </c>
      <c r="D13" s="38" t="str">
        <f t="array" ref="D13">IFERROR(INDEX('ケイパビリティマップ'!$E:$E,MATCH(C13,'ケイパビリティマップ'!$A:$A,0)),"（IDなし）")</f>
        <v>特許戦略・調査</v>
      </c>
      <c r="E13" s="36" t="s">
        <v>254</v>
      </c>
      <c r="F13" s="39" t="str">
        <f t="shared" si="1"/>
        <v>01-01</v>
      </c>
      <c r="G13" s="39" t="str">
        <f t="shared" si="2"/>
        <v>C01-02</v>
      </c>
    </row>
    <row r="14" ht="15.0" customHeight="1">
      <c r="A14" s="22" t="s">
        <v>155</v>
      </c>
      <c r="B14" s="25" t="s">
        <v>159</v>
      </c>
      <c r="C14" s="22" t="s">
        <v>76</v>
      </c>
      <c r="D14" s="38" t="str">
        <f t="array" ref="D14">IFERROR(INDEX('ケイパビリティマップ'!$E:$E,MATCH(C14,'ケイパビリティマップ'!$A:$A,0)),"（IDなし）")</f>
        <v>目標製品プロファイル（TPP）管理</v>
      </c>
      <c r="E14" s="36" t="s">
        <v>254</v>
      </c>
      <c r="F14" s="39" t="str">
        <f t="shared" si="1"/>
        <v>01-01</v>
      </c>
      <c r="G14" s="39" t="str">
        <f t="shared" si="2"/>
        <v>C01-01</v>
      </c>
    </row>
    <row r="15" ht="15.0" customHeight="1">
      <c r="A15" s="22" t="s">
        <v>181</v>
      </c>
      <c r="B15" s="25" t="s">
        <v>187</v>
      </c>
      <c r="C15" s="22" t="s">
        <v>245</v>
      </c>
      <c r="D15" s="38" t="str">
        <f t="array" ref="D15">IFERROR(INDEX('ケイパビリティマップ'!$E:$E,MATCH(C15,'ケイパビリティマップ'!$A:$A,0)),"（IDなし）")</f>
        <v>抗原・アッセイ開発</v>
      </c>
      <c r="E15" s="36" t="s">
        <v>173</v>
      </c>
      <c r="F15" s="39" t="str">
        <f t="shared" si="1"/>
        <v>01-02</v>
      </c>
      <c r="G15" s="39" t="str">
        <f t="shared" si="2"/>
        <v>C02-02</v>
      </c>
    </row>
    <row r="16" ht="26.25" customHeight="1">
      <c r="A16" s="22" t="s">
        <v>207</v>
      </c>
      <c r="B16" s="25" t="s">
        <v>210</v>
      </c>
      <c r="C16" s="22" t="s">
        <v>260</v>
      </c>
      <c r="D16" s="38" t="str">
        <f t="array" ref="D16">IFERROR(INDEX('ケイパビリティマップ'!$E:$E,MATCH(C16,'ケイパビリティマップ'!$A:$A,0)),"（IDなし）")</f>
        <v>抗体取得</v>
      </c>
      <c r="E16" s="36" t="s">
        <v>173</v>
      </c>
      <c r="F16" s="39" t="str">
        <f t="shared" si="1"/>
        <v>01-02</v>
      </c>
      <c r="G16" s="39" t="str">
        <f t="shared" si="2"/>
        <v>C02-02</v>
      </c>
    </row>
    <row r="17" ht="26.25" customHeight="1">
      <c r="A17" s="22" t="s">
        <v>207</v>
      </c>
      <c r="B17" s="25" t="s">
        <v>210</v>
      </c>
      <c r="C17" s="22" t="s">
        <v>154</v>
      </c>
      <c r="D17" s="38" t="str">
        <f t="array" ref="D17">IFERROR(INDEX('ケイパビリティマップ'!$E:$E,MATCH(C17,'ケイパビリティマップ'!$A:$A,0)),"（IDなし）")</f>
        <v>委託業務の契約・監督</v>
      </c>
      <c r="E17" s="36" t="s">
        <v>254</v>
      </c>
      <c r="F17" s="39" t="str">
        <f t="shared" si="1"/>
        <v>01-02</v>
      </c>
      <c r="G17" s="39" t="str">
        <f t="shared" si="2"/>
        <v>C01-03</v>
      </c>
    </row>
    <row r="18" ht="15.0" customHeight="1">
      <c r="A18" s="22" t="s">
        <v>218</v>
      </c>
      <c r="B18" s="25" t="s">
        <v>223</v>
      </c>
      <c r="C18" s="22" t="s">
        <v>275</v>
      </c>
      <c r="D18" s="38" t="str">
        <f t="array" ref="D18">IFERROR(INDEX('ケイパビリティマップ'!$E:$E,MATCH(C18,'ケイパビリティマップ'!$A:$A,0)),"（IDなし）")</f>
        <v>スクリーニング・機能評価</v>
      </c>
      <c r="E18" s="36" t="s">
        <v>173</v>
      </c>
      <c r="F18" s="39" t="str">
        <f t="shared" si="1"/>
        <v>01-02</v>
      </c>
      <c r="G18" s="39" t="str">
        <f t="shared" si="2"/>
        <v>C02-02</v>
      </c>
    </row>
    <row r="19" ht="26.25" customHeight="1">
      <c r="A19" s="22" t="s">
        <v>234</v>
      </c>
      <c r="B19" s="25" t="s">
        <v>238</v>
      </c>
      <c r="C19" s="22" t="s">
        <v>275</v>
      </c>
      <c r="D19" s="38" t="str">
        <f t="array" ref="D19">IFERROR(INDEX('ケイパビリティマップ'!$E:$E,MATCH(C19,'ケイパビリティマップ'!$A:$A,0)),"（IDなし）")</f>
        <v>スクリーニング・機能評価</v>
      </c>
      <c r="E19" s="36" t="s">
        <v>173</v>
      </c>
      <c r="F19" s="39" t="str">
        <f t="shared" si="1"/>
        <v>01-02</v>
      </c>
      <c r="G19" s="39" t="str">
        <f t="shared" si="2"/>
        <v>C02-02</v>
      </c>
    </row>
    <row r="20" ht="15.0" customHeight="1">
      <c r="A20" s="22" t="s">
        <v>243</v>
      </c>
      <c r="B20" s="25" t="s">
        <v>246</v>
      </c>
      <c r="C20" s="22" t="s">
        <v>275</v>
      </c>
      <c r="D20" s="38" t="str">
        <f t="array" ref="D20">IFERROR(INDEX('ケイパビリティマップ'!$E:$E,MATCH(C20,'ケイパビリティマップ'!$A:$A,0)),"（IDなし）")</f>
        <v>スクリーニング・機能評価</v>
      </c>
      <c r="E20" s="36" t="s">
        <v>173</v>
      </c>
      <c r="F20" s="39" t="str">
        <f t="shared" si="1"/>
        <v>01-02</v>
      </c>
      <c r="G20" s="39" t="str">
        <f t="shared" si="2"/>
        <v>C02-02</v>
      </c>
    </row>
    <row r="21" ht="15.0" customHeight="1">
      <c r="A21" s="22" t="s">
        <v>243</v>
      </c>
      <c r="B21" s="25" t="s">
        <v>246</v>
      </c>
      <c r="C21" s="22" t="s">
        <v>68</v>
      </c>
      <c r="D21" s="38" t="str">
        <f t="array" ref="D21">IFERROR(INDEX('ケイパビリティマップ'!$E:$E,MATCH(C21,'ケイパビリティマップ'!$A:$A,0)),"（IDなし）")</f>
        <v>段階移行判定</v>
      </c>
      <c r="E21" s="36" t="s">
        <v>254</v>
      </c>
      <c r="F21" s="39" t="str">
        <f t="shared" si="1"/>
        <v>01-02</v>
      </c>
      <c r="G21" s="39" t="str">
        <f t="shared" si="2"/>
        <v>C01-01</v>
      </c>
    </row>
    <row r="22" ht="15.0" customHeight="1">
      <c r="A22" s="22" t="s">
        <v>268</v>
      </c>
      <c r="B22" s="25" t="s">
        <v>273</v>
      </c>
      <c r="C22" s="22" t="s">
        <v>297</v>
      </c>
      <c r="D22" s="38" t="str">
        <f t="array" ref="D22">IFERROR(INDEX('ケイパビリティマップ'!$E:$E,MATCH(C22,'ケイパビリティマップ'!$A:$A,0)),"（IDなし）")</f>
        <v>ヒト化</v>
      </c>
      <c r="E22" s="36" t="s">
        <v>173</v>
      </c>
      <c r="F22" s="39" t="str">
        <f t="shared" si="1"/>
        <v>01-03</v>
      </c>
      <c r="G22" s="39" t="str">
        <f t="shared" si="2"/>
        <v>C02-03</v>
      </c>
    </row>
    <row r="23" ht="15.0" customHeight="1">
      <c r="A23" s="22" t="s">
        <v>280</v>
      </c>
      <c r="B23" s="25" t="s">
        <v>283</v>
      </c>
      <c r="C23" s="22" t="s">
        <v>311</v>
      </c>
      <c r="D23" s="38" t="str">
        <f t="array" ref="D23">IFERROR(INDEX('ケイパビリティマップ'!$E:$E,MATCH(C23,'ケイパビリティマップ'!$A:$A,0)),"（IDなし）")</f>
        <v>親和性成熟</v>
      </c>
      <c r="E23" s="36" t="s">
        <v>173</v>
      </c>
      <c r="F23" s="39" t="str">
        <f t="shared" si="1"/>
        <v>01-03</v>
      </c>
      <c r="G23" s="39" t="str">
        <f t="shared" si="2"/>
        <v>C02-03</v>
      </c>
    </row>
    <row r="24" ht="15.0" customHeight="1">
      <c r="A24" s="22" t="s">
        <v>289</v>
      </c>
      <c r="B24" s="38" t="s">
        <v>845</v>
      </c>
      <c r="C24" s="22" t="s">
        <v>321</v>
      </c>
      <c r="D24" s="38" t="str">
        <f t="array" ref="D24">IFERROR(INDEX('ケイパビリティマップ'!$E:$E,MATCH(C24,'ケイパビリティマップ'!$A:$A,0)),"（IDなし）")</f>
        <v>Fcエンジニアリング</v>
      </c>
      <c r="E24" s="36" t="s">
        <v>173</v>
      </c>
      <c r="F24" s="39" t="str">
        <f t="shared" si="1"/>
        <v>01-03</v>
      </c>
      <c r="G24" s="39" t="str">
        <f t="shared" si="2"/>
        <v>C02-03</v>
      </c>
    </row>
    <row r="25" ht="15.0" customHeight="1">
      <c r="A25" s="22" t="s">
        <v>299</v>
      </c>
      <c r="B25" s="25" t="s">
        <v>303</v>
      </c>
      <c r="C25" s="22" t="s">
        <v>380</v>
      </c>
      <c r="D25" s="38" t="str">
        <f t="array" ref="D25">IFERROR(INDEX('ケイパビリティマップ'!$E:$E,MATCH(C25,'ケイパビリティマップ'!$A:$A,0)),"（IDなし）")</f>
        <v>開発適性評価</v>
      </c>
      <c r="E25" s="36" t="s">
        <v>173</v>
      </c>
      <c r="F25" s="39" t="str">
        <f t="shared" si="1"/>
        <v>01-03</v>
      </c>
      <c r="G25" s="39" t="str">
        <f t="shared" si="2"/>
        <v>C02-05</v>
      </c>
    </row>
    <row r="26" ht="15.0" customHeight="1">
      <c r="A26" s="22" t="s">
        <v>299</v>
      </c>
      <c r="B26" s="25" t="s">
        <v>303</v>
      </c>
      <c r="C26" s="22" t="s">
        <v>738</v>
      </c>
      <c r="D26" s="38" t="str">
        <f t="array" ref="D26">IFERROR(INDEX('ケイパビリティマップ'!$E:$E,MATCH(C26,'ケイパビリティマップ'!$A:$A,0)),"（IDなし）")</f>
        <v>品質特性評価</v>
      </c>
      <c r="E26" s="36" t="s">
        <v>254</v>
      </c>
      <c r="F26" s="39" t="str">
        <f t="shared" si="1"/>
        <v>01-03</v>
      </c>
      <c r="G26" s="39" t="str">
        <f t="shared" si="2"/>
        <v>C04-04</v>
      </c>
    </row>
    <row r="27" ht="15.0" customHeight="1">
      <c r="A27" s="22" t="s">
        <v>312</v>
      </c>
      <c r="B27" s="25" t="s">
        <v>316</v>
      </c>
      <c r="C27" s="22" t="s">
        <v>389</v>
      </c>
      <c r="D27" s="38" t="str">
        <f t="array" ref="D27">IFERROR(INDEX('ケイパビリティマップ'!$E:$E,MATCH(C27,'ケイパビリティマップ'!$A:$A,0)),"（IDなし）")</f>
        <v>免疫原性リスク予測</v>
      </c>
      <c r="E27" s="36" t="s">
        <v>173</v>
      </c>
      <c r="F27" s="39" t="str">
        <f t="shared" si="1"/>
        <v>01-03</v>
      </c>
      <c r="G27" s="39" t="str">
        <f t="shared" si="2"/>
        <v>C02-05</v>
      </c>
    </row>
    <row r="28" ht="26.25" customHeight="1">
      <c r="A28" s="22" t="s">
        <v>325</v>
      </c>
      <c r="B28" s="25" t="s">
        <v>332</v>
      </c>
      <c r="C28" s="22" t="s">
        <v>347</v>
      </c>
      <c r="D28" s="38" t="str">
        <f t="array" ref="D28">IFERROR(INDEX('ケイパビリティマップ'!$E:$E,MATCH(C28,'ケイパビリティマップ'!$A:$A,0)),"（IDなし）")</f>
        <v>疾患モデル構築★</v>
      </c>
      <c r="E28" s="36" t="s">
        <v>173</v>
      </c>
      <c r="F28" s="39" t="str">
        <f t="shared" si="1"/>
        <v>01-03</v>
      </c>
      <c r="G28" s="39" t="str">
        <f t="shared" si="2"/>
        <v>C02-04</v>
      </c>
    </row>
    <row r="29" ht="26.25" customHeight="1">
      <c r="A29" s="22" t="s">
        <v>325</v>
      </c>
      <c r="B29" s="25" t="s">
        <v>332</v>
      </c>
      <c r="C29" s="22" t="s">
        <v>357</v>
      </c>
      <c r="D29" s="38" t="str">
        <f t="array" ref="D29">IFERROR(INDEX('ケイパビリティマップ'!$E:$E,MATCH(C29,'ケイパビリティマップ'!$A:$A,0)),"（IDなし）")</f>
        <v>in vitro／in vivo薬効評価</v>
      </c>
      <c r="E29" s="36" t="s">
        <v>173</v>
      </c>
      <c r="F29" s="39" t="str">
        <f t="shared" si="1"/>
        <v>01-03</v>
      </c>
      <c r="G29" s="39" t="str">
        <f t="shared" si="2"/>
        <v>C02-04</v>
      </c>
    </row>
    <row r="30" ht="15.0" customHeight="1">
      <c r="A30" s="22" t="s">
        <v>356</v>
      </c>
      <c r="B30" s="25" t="s">
        <v>360</v>
      </c>
      <c r="C30" s="22" t="s">
        <v>76</v>
      </c>
      <c r="D30" s="38" t="str">
        <f t="array" ref="D30">IFERROR(INDEX('ケイパビリティマップ'!$E:$E,MATCH(C30,'ケイパビリティマップ'!$A:$A,0)),"（IDなし）")</f>
        <v>目標製品プロファイル（TPP）管理</v>
      </c>
      <c r="E30" s="36" t="s">
        <v>173</v>
      </c>
      <c r="F30" s="39" t="str">
        <f t="shared" si="1"/>
        <v>01-04</v>
      </c>
      <c r="G30" s="39" t="str">
        <f t="shared" si="2"/>
        <v>C01-01</v>
      </c>
    </row>
    <row r="31" ht="15.0" customHeight="1">
      <c r="A31" s="22" t="s">
        <v>356</v>
      </c>
      <c r="B31" s="25" t="s">
        <v>360</v>
      </c>
      <c r="C31" s="22" t="s">
        <v>57</v>
      </c>
      <c r="D31" s="38" t="str">
        <f t="array" ref="D31">IFERROR(INDEX('ケイパビリティマップ'!$E:$E,MATCH(C31,'ケイパビリティマップ'!$A:$A,0)),"（IDなし）")</f>
        <v>パイプライン評価・優先順位付け</v>
      </c>
      <c r="E31" s="36" t="s">
        <v>254</v>
      </c>
      <c r="F31" s="39" t="str">
        <f t="shared" si="1"/>
        <v>01-04</v>
      </c>
      <c r="G31" s="39" t="str">
        <f t="shared" si="2"/>
        <v>C01-01</v>
      </c>
    </row>
    <row r="32" ht="15.0" customHeight="1">
      <c r="A32" s="22" t="s">
        <v>369</v>
      </c>
      <c r="B32" s="25" t="s">
        <v>372</v>
      </c>
      <c r="C32" s="22" t="s">
        <v>961</v>
      </c>
      <c r="D32" s="38" t="str">
        <f t="array" ref="D32">IFERROR(INDEX('ケイパビリティマップ'!$E:$E,MATCH(C32,'ケイパビリティマップ'!$A:$A,0)),"（IDなし）")</f>
        <v>疫学評価</v>
      </c>
      <c r="E32" s="36" t="s">
        <v>173</v>
      </c>
      <c r="F32" s="39" t="str">
        <f t="shared" si="1"/>
        <v>01-04</v>
      </c>
      <c r="G32" s="39" t="str">
        <f t="shared" si="2"/>
        <v>C05-02</v>
      </c>
    </row>
    <row r="33" ht="15.0" customHeight="1">
      <c r="A33" s="22" t="s">
        <v>369</v>
      </c>
      <c r="B33" s="25" t="s">
        <v>372</v>
      </c>
      <c r="C33" s="22" t="s">
        <v>1093</v>
      </c>
      <c r="D33" s="38" t="str">
        <f t="array" ref="D33">IFERROR(INDEX('ケイパビリティマップ'!$E:$E,MATCH(C33,'ケイパビリティマップ'!$A:$A,0)),"（IDなし）")</f>
        <v>指定制度・インセンティブ管理★</v>
      </c>
      <c r="E33" s="36" t="s">
        <v>254</v>
      </c>
      <c r="F33" s="39" t="str">
        <f t="shared" si="1"/>
        <v>01-04</v>
      </c>
      <c r="G33" s="39" t="str">
        <f t="shared" si="2"/>
        <v>C06-01</v>
      </c>
    </row>
    <row r="34" ht="15.0" customHeight="1">
      <c r="A34" s="22" t="s">
        <v>381</v>
      </c>
      <c r="B34" s="25" t="s">
        <v>383</v>
      </c>
      <c r="C34" s="22" t="s">
        <v>97</v>
      </c>
      <c r="D34" s="38" t="str">
        <f t="array" ref="D34">IFERROR(INDEX('ケイパビリティマップ'!$E:$E,MATCH(C34,'ケイパビリティマップ'!$A:$A,0)),"（IDなし）")</f>
        <v>特許戦略・調査</v>
      </c>
      <c r="E34" s="36" t="s">
        <v>173</v>
      </c>
      <c r="F34" s="39" t="str">
        <f t="shared" si="1"/>
        <v>01-04</v>
      </c>
      <c r="G34" s="39" t="str">
        <f t="shared" si="2"/>
        <v>C01-02</v>
      </c>
    </row>
    <row r="35" ht="15.0" customHeight="1">
      <c r="A35" s="22" t="s">
        <v>393</v>
      </c>
      <c r="B35" s="25" t="s">
        <v>396</v>
      </c>
      <c r="C35" s="22" t="s">
        <v>68</v>
      </c>
      <c r="D35" s="38" t="str">
        <f t="array" ref="D35">IFERROR(INDEX('ケイパビリティマップ'!$E:$E,MATCH(C35,'ケイパビリティマップ'!$A:$A,0)),"（IDなし）")</f>
        <v>段階移行判定</v>
      </c>
      <c r="E35" s="36" t="s">
        <v>173</v>
      </c>
      <c r="F35" s="39" t="str">
        <f t="shared" si="1"/>
        <v>01-04</v>
      </c>
      <c r="G35" s="39" t="str">
        <f t="shared" si="2"/>
        <v>C01-01</v>
      </c>
    </row>
    <row r="36" ht="15.0" customHeight="1">
      <c r="A36" s="22" t="s">
        <v>393</v>
      </c>
      <c r="B36" s="25" t="s">
        <v>396</v>
      </c>
      <c r="C36" s="22" t="s">
        <v>57</v>
      </c>
      <c r="D36" s="38" t="str">
        <f t="array" ref="D36">IFERROR(INDEX('ケイパビリティマップ'!$E:$E,MATCH(C36,'ケイパビリティマップ'!$A:$A,0)),"（IDなし）")</f>
        <v>パイプライン評価・優先順位付け</v>
      </c>
      <c r="E36" s="36" t="s">
        <v>254</v>
      </c>
      <c r="F36" s="39" t="str">
        <f t="shared" si="1"/>
        <v>01-04</v>
      </c>
      <c r="G36" s="39" t="str">
        <f t="shared" si="2"/>
        <v>C01-01</v>
      </c>
    </row>
    <row r="37" ht="15.0" customHeight="1">
      <c r="A37" s="22" t="s">
        <v>481</v>
      </c>
      <c r="B37" s="25" t="s">
        <v>489</v>
      </c>
      <c r="C37" s="22" t="s">
        <v>418</v>
      </c>
      <c r="D37" s="38" t="str">
        <f t="array" ref="D37">IFERROR(INDEX('ケイパビリティマップ'!$E:$E,MATCH(C37,'ケイパビリティマップ'!$A:$A,0)),"（IDなし）")</f>
        <v>作用機序・薬効薬理評価</v>
      </c>
      <c r="E37" s="36" t="s">
        <v>173</v>
      </c>
      <c r="F37" s="39" t="str">
        <f t="shared" si="1"/>
        <v>02-01</v>
      </c>
      <c r="G37" s="39" t="str">
        <f t="shared" si="2"/>
        <v>C03-01</v>
      </c>
    </row>
    <row r="38" ht="15.0" customHeight="1">
      <c r="A38" s="22" t="s">
        <v>504</v>
      </c>
      <c r="B38" s="25" t="s">
        <v>512</v>
      </c>
      <c r="C38" s="22" t="s">
        <v>418</v>
      </c>
      <c r="D38" s="38" t="str">
        <f t="array" ref="D38">IFERROR(INDEX('ケイパビリティマップ'!$E:$E,MATCH(C38,'ケイパビリティマップ'!$A:$A,0)),"（IDなし）")</f>
        <v>作用機序・薬効薬理評価</v>
      </c>
      <c r="E38" s="36" t="s">
        <v>173</v>
      </c>
      <c r="F38" s="39" t="str">
        <f t="shared" si="1"/>
        <v>02-01</v>
      </c>
      <c r="G38" s="39" t="str">
        <f t="shared" si="2"/>
        <v>C03-01</v>
      </c>
    </row>
    <row r="39" ht="15.0" customHeight="1">
      <c r="A39" s="22" t="s">
        <v>504</v>
      </c>
      <c r="B39" s="25" t="s">
        <v>512</v>
      </c>
      <c r="C39" s="22" t="s">
        <v>347</v>
      </c>
      <c r="D39" s="38" t="str">
        <f t="array" ref="D39">IFERROR(INDEX('ケイパビリティマップ'!$E:$E,MATCH(C39,'ケイパビリティマップ'!$A:$A,0)),"（IDなし）")</f>
        <v>疾患モデル構築★</v>
      </c>
      <c r="E39" s="36" t="s">
        <v>254</v>
      </c>
      <c r="F39" s="39" t="str">
        <f t="shared" si="1"/>
        <v>02-01</v>
      </c>
      <c r="G39" s="39" t="str">
        <f t="shared" si="2"/>
        <v>C02-04</v>
      </c>
    </row>
    <row r="40" ht="15.0" customHeight="1">
      <c r="A40" s="22" t="s">
        <v>522</v>
      </c>
      <c r="B40" s="25" t="s">
        <v>527</v>
      </c>
      <c r="C40" s="22" t="s">
        <v>429</v>
      </c>
      <c r="D40" s="38" t="str">
        <f t="array" ref="D40">IFERROR(INDEX('ケイパビリティマップ'!$E:$E,MATCH(C40,'ケイパビリティマップ'!$A:$A,0)),"（IDなし）")</f>
        <v>安全性薬理評価</v>
      </c>
      <c r="E40" s="36" t="s">
        <v>173</v>
      </c>
      <c r="F40" s="39" t="str">
        <f t="shared" si="1"/>
        <v>02-01</v>
      </c>
      <c r="G40" s="39" t="str">
        <f t="shared" si="2"/>
        <v>C03-01</v>
      </c>
    </row>
    <row r="41" ht="15.0" customHeight="1">
      <c r="A41" s="22" t="s">
        <v>522</v>
      </c>
      <c r="B41" s="25" t="s">
        <v>527</v>
      </c>
      <c r="C41" s="22" t="s">
        <v>154</v>
      </c>
      <c r="D41" s="38" t="str">
        <f t="array" ref="D41">IFERROR(INDEX('ケイパビリティマップ'!$E:$E,MATCH(C41,'ケイパビリティマップ'!$A:$A,0)),"（IDなし）")</f>
        <v>委託業務の契約・監督</v>
      </c>
      <c r="E41" s="36" t="s">
        <v>254</v>
      </c>
      <c r="F41" s="39" t="str">
        <f t="shared" si="1"/>
        <v>02-01</v>
      </c>
      <c r="G41" s="39" t="str">
        <f t="shared" si="2"/>
        <v>C01-03</v>
      </c>
    </row>
    <row r="42" ht="15.0" customHeight="1">
      <c r="A42" s="22" t="s">
        <v>564</v>
      </c>
      <c r="B42" s="38" t="s">
        <v>1269</v>
      </c>
      <c r="C42" s="22" t="s">
        <v>495</v>
      </c>
      <c r="D42" s="38" t="str">
        <f t="array" ref="D42">IFERROR(INDEX('ケイパビリティマップ'!$E:$E,MATCH(C42,'ケイパビリティマップ'!$A:$A,0)),"（IDなし）")</f>
        <v>測定法開発・バリデーション</v>
      </c>
      <c r="E42" s="36" t="s">
        <v>173</v>
      </c>
      <c r="F42" s="39" t="str">
        <f t="shared" si="1"/>
        <v>02-02</v>
      </c>
      <c r="G42" s="39" t="str">
        <f t="shared" si="2"/>
        <v>C03-03</v>
      </c>
    </row>
    <row r="43" ht="15.0" customHeight="1">
      <c r="A43" s="22" t="s">
        <v>586</v>
      </c>
      <c r="B43" s="25" t="s">
        <v>591</v>
      </c>
      <c r="C43" s="22" t="s">
        <v>508</v>
      </c>
      <c r="D43" s="38" t="str">
        <f t="array" ref="D43">IFERROR(INDEX('ケイパビリティマップ'!$E:$E,MATCH(C43,'ケイパビリティマップ'!$A:$A,0)),"（IDなし）")</f>
        <v>検体測定</v>
      </c>
      <c r="E43" s="36" t="s">
        <v>173</v>
      </c>
      <c r="F43" s="39" t="str">
        <f t="shared" si="1"/>
        <v>02-02</v>
      </c>
      <c r="G43" s="39" t="str">
        <f t="shared" si="2"/>
        <v>C03-03</v>
      </c>
    </row>
    <row r="44" ht="15.0" customHeight="1">
      <c r="A44" s="22" t="s">
        <v>586</v>
      </c>
      <c r="B44" s="25" t="s">
        <v>591</v>
      </c>
      <c r="C44" s="22" t="s">
        <v>154</v>
      </c>
      <c r="D44" s="38" t="str">
        <f t="array" ref="D44">IFERROR(INDEX('ケイパビリティマップ'!$E:$E,MATCH(C44,'ケイパビリティマップ'!$A:$A,0)),"（IDなし）")</f>
        <v>委託業務の契約・監督</v>
      </c>
      <c r="E44" s="36" t="s">
        <v>254</v>
      </c>
      <c r="F44" s="39" t="str">
        <f t="shared" si="1"/>
        <v>02-02</v>
      </c>
      <c r="G44" s="39" t="str">
        <f t="shared" si="2"/>
        <v>C01-03</v>
      </c>
    </row>
    <row r="45" ht="15.0" customHeight="1">
      <c r="A45" s="22" t="s">
        <v>605</v>
      </c>
      <c r="B45" s="25" t="s">
        <v>610</v>
      </c>
      <c r="C45" s="22" t="s">
        <v>495</v>
      </c>
      <c r="D45" s="38" t="str">
        <f t="array" ref="D45">IFERROR(INDEX('ケイパビリティマップ'!$E:$E,MATCH(C45,'ケイパビリティマップ'!$A:$A,0)),"（IDなし）")</f>
        <v>測定法開発・バリデーション</v>
      </c>
      <c r="E45" s="36" t="s">
        <v>173</v>
      </c>
      <c r="F45" s="39" t="str">
        <f t="shared" si="1"/>
        <v>02-02</v>
      </c>
      <c r="G45" s="39" t="str">
        <f t="shared" si="2"/>
        <v>C03-03</v>
      </c>
    </row>
    <row r="46" ht="15.0" customHeight="1">
      <c r="A46" s="22" t="s">
        <v>605</v>
      </c>
      <c r="B46" s="25" t="s">
        <v>610</v>
      </c>
      <c r="C46" s="22" t="s">
        <v>508</v>
      </c>
      <c r="D46" s="38" t="str">
        <f t="array" ref="D46">IFERROR(INDEX('ケイパビリティマップ'!$E:$E,MATCH(C46,'ケイパビリティマップ'!$A:$A,0)),"（IDなし）")</f>
        <v>検体測定</v>
      </c>
      <c r="E46" s="36" t="s">
        <v>173</v>
      </c>
      <c r="F46" s="39" t="str">
        <f t="shared" si="1"/>
        <v>02-02</v>
      </c>
      <c r="G46" s="39" t="str">
        <f t="shared" si="2"/>
        <v>C03-03</v>
      </c>
    </row>
    <row r="47" ht="15.0" customHeight="1">
      <c r="A47" s="22" t="s">
        <v>619</v>
      </c>
      <c r="B47" s="25" t="s">
        <v>625</v>
      </c>
      <c r="C47" s="22" t="s">
        <v>525</v>
      </c>
      <c r="D47" s="38" t="str">
        <f t="array" ref="D47">IFERROR(INDEX('ケイパビリティマップ'!$E:$E,MATCH(C47,'ケイパビリティマップ'!$A:$A,0)),"（IDなし）")</f>
        <v>ヒトPK予測・初回投与量設定</v>
      </c>
      <c r="E47" s="36" t="s">
        <v>173</v>
      </c>
      <c r="F47" s="39" t="str">
        <f t="shared" si="1"/>
        <v>02-02</v>
      </c>
      <c r="G47" s="39" t="str">
        <f t="shared" si="2"/>
        <v>C03-04</v>
      </c>
    </row>
    <row r="48" ht="15.0" customHeight="1">
      <c r="A48" s="22" t="s">
        <v>652</v>
      </c>
      <c r="B48" s="25" t="s">
        <v>658</v>
      </c>
      <c r="C48" s="22" t="s">
        <v>444</v>
      </c>
      <c r="D48" s="38" t="str">
        <f t="array" ref="D48">IFERROR(INDEX('ケイパビリティマップ'!$E:$E,MATCH(C48,'ケイパビリティマップ'!$A:$A,0)),"（IDなし）")</f>
        <v>毒性試験戦略・動物種選定</v>
      </c>
      <c r="E48" s="36" t="s">
        <v>173</v>
      </c>
      <c r="F48" s="39" t="str">
        <f t="shared" si="1"/>
        <v>02-03</v>
      </c>
      <c r="G48" s="39" t="str">
        <f t="shared" si="2"/>
        <v>C03-02</v>
      </c>
    </row>
    <row r="49" ht="15.0" customHeight="1">
      <c r="A49" s="22" t="s">
        <v>667</v>
      </c>
      <c r="B49" s="25" t="s">
        <v>671</v>
      </c>
      <c r="C49" s="22" t="s">
        <v>473</v>
      </c>
      <c r="D49" s="38" t="str">
        <f t="array" ref="D49">IFERROR(INDEX('ケイパビリティマップ'!$E:$E,MATCH(C49,'ケイパビリティマップ'!$A:$A,0)),"（IDなし）")</f>
        <v>in vitro安全性評価</v>
      </c>
      <c r="E49" s="36" t="s">
        <v>173</v>
      </c>
      <c r="F49" s="39" t="str">
        <f t="shared" si="1"/>
        <v>02-03</v>
      </c>
      <c r="G49" s="39" t="str">
        <f t="shared" si="2"/>
        <v>C03-02</v>
      </c>
    </row>
    <row r="50" ht="15.0" customHeight="1">
      <c r="A50" s="22" t="s">
        <v>667</v>
      </c>
      <c r="B50" s="25" t="s">
        <v>671</v>
      </c>
      <c r="C50" s="22" t="s">
        <v>154</v>
      </c>
      <c r="D50" s="38" t="str">
        <f t="array" ref="D50">IFERROR(INDEX('ケイパビリティマップ'!$E:$E,MATCH(C50,'ケイパビリティマップ'!$A:$A,0)),"（IDなし）")</f>
        <v>委託業務の契約・監督</v>
      </c>
      <c r="E50" s="36" t="s">
        <v>254</v>
      </c>
      <c r="F50" s="39" t="str">
        <f t="shared" si="1"/>
        <v>02-03</v>
      </c>
      <c r="G50" s="39" t="str">
        <f t="shared" si="2"/>
        <v>C01-03</v>
      </c>
    </row>
    <row r="51" ht="15.0" customHeight="1">
      <c r="A51" s="22" t="s">
        <v>680</v>
      </c>
      <c r="B51" s="38" t="s">
        <v>1461</v>
      </c>
      <c r="C51" s="22" t="s">
        <v>459</v>
      </c>
      <c r="D51" s="38" t="str">
        <f t="array" ref="D51">IFERROR(INDEX('ケイパビリティマップ'!$E:$E,MATCH(C51,'ケイパビリティマップ'!$A:$A,0)),"（IDなし）")</f>
        <v>GLP毒性試験</v>
      </c>
      <c r="E51" s="36" t="s">
        <v>173</v>
      </c>
      <c r="F51" s="39" t="str">
        <f t="shared" si="1"/>
        <v>02-03</v>
      </c>
      <c r="G51" s="39" t="str">
        <f t="shared" si="2"/>
        <v>C03-02</v>
      </c>
    </row>
    <row r="52" ht="15.0" customHeight="1">
      <c r="A52" s="22" t="s">
        <v>680</v>
      </c>
      <c r="B52" s="38" t="s">
        <v>1485</v>
      </c>
      <c r="C52" s="22" t="s">
        <v>154</v>
      </c>
      <c r="D52" s="38" t="str">
        <f t="array" ref="D52">IFERROR(INDEX('ケイパビリティマップ'!$E:$E,MATCH(C52,'ケイパビリティマップ'!$A:$A,0)),"（IDなし）")</f>
        <v>委託業務の契約・監督</v>
      </c>
      <c r="E52" s="36" t="s">
        <v>254</v>
      </c>
      <c r="F52" s="39" t="str">
        <f t="shared" si="1"/>
        <v>02-03</v>
      </c>
      <c r="G52" s="39" t="str">
        <f t="shared" si="2"/>
        <v>C01-03</v>
      </c>
    </row>
    <row r="53" ht="15.0" customHeight="1">
      <c r="A53" s="22" t="s">
        <v>680</v>
      </c>
      <c r="B53" s="38" t="s">
        <v>1504</v>
      </c>
      <c r="C53" s="22" t="s">
        <v>1501</v>
      </c>
      <c r="D53" s="38" t="str">
        <f t="array" ref="D53">IFERROR(INDEX('ケイパビリティマップ'!$E:$E,MATCH(C53,'ケイパビリティマップ'!$A:$A,0)),"（IDなし）")</f>
        <v>内部監査・パートナー監査</v>
      </c>
      <c r="E53" s="36" t="s">
        <v>254</v>
      </c>
      <c r="F53" s="39" t="str">
        <f t="shared" si="1"/>
        <v>02-03</v>
      </c>
      <c r="G53" s="39" t="str">
        <f t="shared" si="2"/>
        <v>C08-04</v>
      </c>
    </row>
    <row r="54" ht="15.0" customHeight="1">
      <c r="A54" s="22" t="s">
        <v>699</v>
      </c>
      <c r="B54" s="25" t="s">
        <v>706</v>
      </c>
      <c r="C54" s="22" t="s">
        <v>473</v>
      </c>
      <c r="D54" s="38" t="str">
        <f t="array" ref="D54">IFERROR(INDEX('ケイパビリティマップ'!$E:$E,MATCH(C54,'ケイパビリティマップ'!$A:$A,0)),"（IDなし）")</f>
        <v>in vitro安全性評価</v>
      </c>
      <c r="E54" s="36" t="s">
        <v>173</v>
      </c>
      <c r="F54" s="39" t="str">
        <f t="shared" si="1"/>
        <v>02-03</v>
      </c>
      <c r="G54" s="39" t="str">
        <f t="shared" si="2"/>
        <v>C03-02</v>
      </c>
    </row>
    <row r="55" ht="26.25" customHeight="1">
      <c r="A55" s="22" t="s">
        <v>716</v>
      </c>
      <c r="B55" s="25" t="s">
        <v>721</v>
      </c>
      <c r="C55" s="22" t="s">
        <v>444</v>
      </c>
      <c r="D55" s="38" t="str">
        <f t="array" ref="D55">IFERROR(INDEX('ケイパビリティマップ'!$E:$E,MATCH(C55,'ケイパビリティマップ'!$A:$A,0)),"（IDなし）")</f>
        <v>毒性試験戦略・動物種選定</v>
      </c>
      <c r="E55" s="36" t="s">
        <v>173</v>
      </c>
      <c r="F55" s="39" t="str">
        <f t="shared" si="1"/>
        <v>02-03</v>
      </c>
      <c r="G55" s="39" t="str">
        <f t="shared" si="2"/>
        <v>C03-02</v>
      </c>
    </row>
    <row r="56" ht="15.0" customHeight="1">
      <c r="A56" s="22" t="s">
        <v>744</v>
      </c>
      <c r="B56" s="25" t="s">
        <v>749</v>
      </c>
      <c r="C56" s="22" t="s">
        <v>525</v>
      </c>
      <c r="D56" s="38" t="str">
        <f t="array" ref="D56">IFERROR(INDEX('ケイパビリティマップ'!$E:$E,MATCH(C56,'ケイパビリティマップ'!$A:$A,0)),"（IDなし）")</f>
        <v>ヒトPK予測・初回投与量設定</v>
      </c>
      <c r="E56" s="36" t="s">
        <v>173</v>
      </c>
      <c r="F56" s="39" t="str">
        <f t="shared" si="1"/>
        <v>02-04</v>
      </c>
      <c r="G56" s="39" t="str">
        <f t="shared" si="2"/>
        <v>C03-04</v>
      </c>
    </row>
    <row r="57" ht="15.0" customHeight="1">
      <c r="A57" s="22" t="s">
        <v>765</v>
      </c>
      <c r="B57" s="25" t="s">
        <v>792</v>
      </c>
      <c r="C57" s="22" t="s">
        <v>1071</v>
      </c>
      <c r="D57" s="38" t="str">
        <f t="array" ref="D57">IFERROR(INDEX('ケイパビリティマップ'!$E:$E,MATCH(C57,'ケイパビリティマップ'!$A:$A,0)),"（IDなし）")</f>
        <v>臨床文書作成</v>
      </c>
      <c r="E57" s="36" t="s">
        <v>173</v>
      </c>
      <c r="F57" s="39" t="str">
        <f t="shared" si="1"/>
        <v>02-04</v>
      </c>
      <c r="G57" s="39" t="str">
        <f t="shared" si="2"/>
        <v>C05-05</v>
      </c>
    </row>
    <row r="58" ht="15.0" customHeight="1">
      <c r="A58" s="22" t="s">
        <v>765</v>
      </c>
      <c r="B58" s="25" t="s">
        <v>792</v>
      </c>
      <c r="C58" s="22" t="s">
        <v>444</v>
      </c>
      <c r="D58" s="38" t="str">
        <f t="array" ref="D58">IFERROR(INDEX('ケイパビリティマップ'!$E:$E,MATCH(C58,'ケイパビリティマップ'!$A:$A,0)),"（IDなし）")</f>
        <v>毒性試験戦略・動物種選定</v>
      </c>
      <c r="E58" s="36" t="s">
        <v>254</v>
      </c>
      <c r="F58" s="39" t="str">
        <f t="shared" si="1"/>
        <v>02-04</v>
      </c>
      <c r="G58" s="39" t="str">
        <f t="shared" si="2"/>
        <v>C03-02</v>
      </c>
    </row>
    <row r="59" ht="15.0" customHeight="1">
      <c r="A59" s="22" t="s">
        <v>811</v>
      </c>
      <c r="B59" s="38" t="s">
        <v>1622</v>
      </c>
      <c r="C59" s="22" t="s">
        <v>1126</v>
      </c>
      <c r="D59" s="38" t="str">
        <f t="array" ref="D59">IFERROR(INDEX('ケイパビリティマップ'!$E:$E,MATCH(C59,'ケイパビリティマップ'!$A:$A,0)),"（IDなし）")</f>
        <v>FDA会議・照会対応</v>
      </c>
      <c r="E59" s="36" t="s">
        <v>173</v>
      </c>
      <c r="F59" s="39" t="str">
        <f t="shared" si="1"/>
        <v>02-04</v>
      </c>
      <c r="G59" s="39" t="str">
        <f t="shared" si="2"/>
        <v>C06-01</v>
      </c>
    </row>
    <row r="60" ht="15.0" customHeight="1">
      <c r="A60" s="22" t="s">
        <v>811</v>
      </c>
      <c r="B60" s="38" t="s">
        <v>1642</v>
      </c>
      <c r="C60" s="22" t="s">
        <v>1115</v>
      </c>
      <c r="D60" s="38" t="str">
        <f t="array" ref="D60">IFERROR(INDEX('ケイパビリティマップ'!$E:$E,MATCH(C60,'ケイパビリティマップ'!$A:$A,0)),"（IDなし）")</f>
        <v>規制戦略立案</v>
      </c>
      <c r="E60" s="36" t="s">
        <v>254</v>
      </c>
      <c r="F60" s="39" t="str">
        <f t="shared" si="1"/>
        <v>02-04</v>
      </c>
      <c r="G60" s="39" t="str">
        <f t="shared" si="2"/>
        <v>C06-01</v>
      </c>
    </row>
    <row r="61" ht="26.25" customHeight="1">
      <c r="A61" s="22" t="s">
        <v>838</v>
      </c>
      <c r="B61" s="38" t="s">
        <v>1669</v>
      </c>
      <c r="C61" s="22" t="s">
        <v>1093</v>
      </c>
      <c r="D61" s="38" t="str">
        <f t="array" ref="D61">IFERROR(INDEX('ケイパビリティマップ'!$E:$E,MATCH(C61,'ケイパビリティマップ'!$A:$A,0)),"（IDなし）")</f>
        <v>指定制度・インセンティブ管理★</v>
      </c>
      <c r="E61" s="36" t="s">
        <v>173</v>
      </c>
      <c r="F61" s="39" t="str">
        <f t="shared" si="1"/>
        <v>02-04</v>
      </c>
      <c r="G61" s="39" t="str">
        <f t="shared" si="2"/>
        <v>C06-01</v>
      </c>
    </row>
    <row r="62" ht="26.25" customHeight="1">
      <c r="A62" s="22" t="s">
        <v>855</v>
      </c>
      <c r="B62" s="25" t="s">
        <v>857</v>
      </c>
      <c r="C62" s="22" t="s">
        <v>1093</v>
      </c>
      <c r="D62" s="38" t="str">
        <f t="array" ref="D62">IFERROR(INDEX('ケイパビリティマップ'!$E:$E,MATCH(C62,'ケイパビリティマップ'!$A:$A,0)),"（IDなし）")</f>
        <v>指定制度・インセンティブ管理★</v>
      </c>
      <c r="E62" s="36" t="s">
        <v>173</v>
      </c>
      <c r="F62" s="39" t="str">
        <f t="shared" si="1"/>
        <v>02-04</v>
      </c>
      <c r="G62" s="39" t="str">
        <f t="shared" si="2"/>
        <v>C06-01</v>
      </c>
    </row>
    <row r="63" ht="26.25" customHeight="1">
      <c r="A63" s="22" t="s">
        <v>865</v>
      </c>
      <c r="B63" s="38" t="s">
        <v>1727</v>
      </c>
      <c r="C63" s="22" t="s">
        <v>1158</v>
      </c>
      <c r="D63" s="38" t="str">
        <f t="array" ref="D63">IFERROR(INDEX('ケイパビリティマップ'!$E:$E,MATCH(C63,'ケイパビリティマップ'!$A:$A,0)),"（IDなし）")</f>
        <v>申請資料の作成・統合</v>
      </c>
      <c r="E63" s="36" t="s">
        <v>173</v>
      </c>
      <c r="F63" s="39" t="str">
        <f t="shared" si="1"/>
        <v>02-04</v>
      </c>
      <c r="G63" s="39" t="str">
        <f t="shared" si="2"/>
        <v>C06-02</v>
      </c>
    </row>
    <row r="64" ht="26.25" customHeight="1">
      <c r="A64" s="22" t="s">
        <v>865</v>
      </c>
      <c r="B64" s="38" t="s">
        <v>1749</v>
      </c>
      <c r="C64" s="22" t="s">
        <v>1167</v>
      </c>
      <c r="D64" s="38" t="str">
        <f t="array" ref="D64">IFERROR(INDEX('ケイパビリティマップ'!$E:$E,MATCH(C64,'ケイパビリティマップ'!$A:$A,0)),"（IDなし）")</f>
        <v>電子申請・パブリッシング</v>
      </c>
      <c r="E64" s="36" t="s">
        <v>254</v>
      </c>
      <c r="F64" s="39" t="str">
        <f t="shared" si="1"/>
        <v>02-04</v>
      </c>
      <c r="G64" s="39" t="str">
        <f t="shared" si="2"/>
        <v>C06-02</v>
      </c>
    </row>
    <row r="65" ht="15.0" customHeight="1">
      <c r="A65" s="22" t="s">
        <v>887</v>
      </c>
      <c r="B65" s="38" t="s">
        <v>1770</v>
      </c>
      <c r="C65" s="22" t="s">
        <v>1126</v>
      </c>
      <c r="D65" s="38" t="str">
        <f t="array" ref="D65">IFERROR(INDEX('ケイパビリティマップ'!$E:$E,MATCH(C65,'ケイパビリティマップ'!$A:$A,0)),"（IDなし）")</f>
        <v>FDA会議・照会対応</v>
      </c>
      <c r="E65" s="36" t="s">
        <v>173</v>
      </c>
      <c r="F65" s="39" t="str">
        <f t="shared" si="1"/>
        <v>02-04</v>
      </c>
      <c r="G65" s="39" t="str">
        <f t="shared" si="2"/>
        <v>C06-01</v>
      </c>
    </row>
    <row r="66" ht="15.0" customHeight="1">
      <c r="A66" s="22" t="s">
        <v>887</v>
      </c>
      <c r="B66" s="38" t="s">
        <v>1792</v>
      </c>
      <c r="C66" s="22" t="s">
        <v>68</v>
      </c>
      <c r="D66" s="38" t="str">
        <f t="array" ref="D66">IFERROR(INDEX('ケイパビリティマップ'!$E:$E,MATCH(C66,'ケイパビリティマップ'!$A:$A,0)),"（IDなし）")</f>
        <v>段階移行判定</v>
      </c>
      <c r="E66" s="36" t="s">
        <v>254</v>
      </c>
      <c r="F66" s="39" t="str">
        <f t="shared" si="1"/>
        <v>02-04</v>
      </c>
      <c r="G66" s="39" t="str">
        <f t="shared" si="2"/>
        <v>C01-01</v>
      </c>
    </row>
    <row r="67" ht="15.0" customHeight="1">
      <c r="A67" s="22" t="s">
        <v>950</v>
      </c>
      <c r="B67" s="25" t="s">
        <v>958</v>
      </c>
      <c r="C67" s="22" t="s">
        <v>585</v>
      </c>
      <c r="D67" s="38" t="str">
        <f t="array" ref="D67">IFERROR(INDEX('ケイパビリティマップ'!$E:$E,MATCH(C67,'ケイパビリティマップ'!$A:$A,0)),"（IDなし）")</f>
        <v>細胞株構築・クローン選択</v>
      </c>
      <c r="E67" s="36" t="s">
        <v>173</v>
      </c>
      <c r="F67" s="39" t="str">
        <f t="shared" si="1"/>
        <v>03-01</v>
      </c>
      <c r="G67" s="39" t="str">
        <f t="shared" si="2"/>
        <v>C04-01</v>
      </c>
    </row>
    <row r="68" ht="15.0" customHeight="1">
      <c r="A68" s="22" t="s">
        <v>969</v>
      </c>
      <c r="B68" s="25" t="s">
        <v>974</v>
      </c>
      <c r="C68" s="22" t="s">
        <v>585</v>
      </c>
      <c r="D68" s="38" t="str">
        <f t="array" ref="D68">IFERROR(INDEX('ケイパビリティマップ'!$E:$E,MATCH(C68,'ケイパビリティマップ'!$A:$A,0)),"（IDなし）")</f>
        <v>細胞株構築・クローン選択</v>
      </c>
      <c r="E68" s="36" t="s">
        <v>173</v>
      </c>
      <c r="F68" s="39" t="str">
        <f t="shared" si="1"/>
        <v>03-01</v>
      </c>
      <c r="G68" s="39" t="str">
        <f t="shared" si="2"/>
        <v>C04-01</v>
      </c>
    </row>
    <row r="69" ht="15.0" customHeight="1">
      <c r="A69" s="22" t="s">
        <v>969</v>
      </c>
      <c r="B69" s="25" t="s">
        <v>974</v>
      </c>
      <c r="C69" s="22" t="s">
        <v>154</v>
      </c>
      <c r="D69" s="38" t="str">
        <f t="array" ref="D69">IFERROR(INDEX('ケイパビリティマップ'!$E:$E,MATCH(C69,'ケイパビリティマップ'!$A:$A,0)),"（IDなし）")</f>
        <v>委託業務の契約・監督</v>
      </c>
      <c r="E69" s="36" t="s">
        <v>254</v>
      </c>
      <c r="F69" s="39" t="str">
        <f t="shared" si="1"/>
        <v>03-01</v>
      </c>
      <c r="G69" s="39" t="str">
        <f t="shared" si="2"/>
        <v>C01-03</v>
      </c>
    </row>
    <row r="70" ht="26.25" customHeight="1">
      <c r="A70" s="22" t="s">
        <v>984</v>
      </c>
      <c r="B70" s="25" t="s">
        <v>989</v>
      </c>
      <c r="C70" s="22" t="s">
        <v>585</v>
      </c>
      <c r="D70" s="38" t="str">
        <f t="array" ref="D70">IFERROR(INDEX('ケイパビリティマップ'!$E:$E,MATCH(C70,'ケイパビリティマップ'!$A:$A,0)),"（IDなし）")</f>
        <v>細胞株構築・クローン選択</v>
      </c>
      <c r="E70" s="36" t="s">
        <v>173</v>
      </c>
      <c r="F70" s="39" t="str">
        <f t="shared" si="1"/>
        <v>03-01</v>
      </c>
      <c r="G70" s="39" t="str">
        <f t="shared" si="2"/>
        <v>C04-01</v>
      </c>
    </row>
    <row r="71" ht="26.25" customHeight="1">
      <c r="A71" s="22" t="s">
        <v>998</v>
      </c>
      <c r="B71" s="25" t="s">
        <v>1004</v>
      </c>
      <c r="C71" s="22" t="s">
        <v>600</v>
      </c>
      <c r="D71" s="38" t="str">
        <f t="array" ref="D71">IFERROR(INDEX('ケイパビリティマップ'!$E:$E,MATCH(C71,'ケイパビリティマップ'!$A:$A,0)),"（IDなし）")</f>
        <v>セルバンク作製・管理</v>
      </c>
      <c r="E71" s="36" t="s">
        <v>173</v>
      </c>
      <c r="F71" s="39" t="str">
        <f t="shared" si="1"/>
        <v>03-01</v>
      </c>
      <c r="G71" s="39" t="str">
        <f t="shared" si="2"/>
        <v>C04-01</v>
      </c>
    </row>
    <row r="72" ht="26.25" customHeight="1">
      <c r="A72" s="22" t="s">
        <v>998</v>
      </c>
      <c r="B72" s="25" t="s">
        <v>1004</v>
      </c>
      <c r="C72" s="22" t="s">
        <v>1279</v>
      </c>
      <c r="D72" s="38" t="str">
        <f t="array" ref="D72">IFERROR(INDEX('ケイパビリティマップ'!$E:$E,MATCH(C72,'ケイパビリティマップ'!$A:$A,0)),"（IDなし）")</f>
        <v>製造記録管理</v>
      </c>
      <c r="E72" s="36" t="s">
        <v>254</v>
      </c>
      <c r="F72" s="39" t="str">
        <f t="shared" si="1"/>
        <v>03-01</v>
      </c>
      <c r="G72" s="39" t="str">
        <f t="shared" si="2"/>
        <v>C07-01</v>
      </c>
    </row>
    <row r="73" ht="26.25" customHeight="1">
      <c r="A73" s="22" t="s">
        <v>998</v>
      </c>
      <c r="B73" s="25" t="s">
        <v>1004</v>
      </c>
      <c r="C73" s="22" t="s">
        <v>154</v>
      </c>
      <c r="D73" s="38" t="str">
        <f t="array" ref="D73">IFERROR(INDEX('ケイパビリティマップ'!$E:$E,MATCH(C73,'ケイパビリティマップ'!$A:$A,0)),"（IDなし）")</f>
        <v>委託業務の契約・監督</v>
      </c>
      <c r="E73" s="36" t="s">
        <v>254</v>
      </c>
      <c r="F73" s="39" t="str">
        <f t="shared" si="1"/>
        <v>03-01</v>
      </c>
      <c r="G73" s="39" t="str">
        <f t="shared" si="2"/>
        <v>C01-03</v>
      </c>
    </row>
    <row r="74" ht="15.0" customHeight="1">
      <c r="A74" s="22" t="s">
        <v>1018</v>
      </c>
      <c r="B74" s="25" t="s">
        <v>1020</v>
      </c>
      <c r="C74" s="22" t="s">
        <v>600</v>
      </c>
      <c r="D74" s="38" t="str">
        <f t="array" ref="D74">IFERROR(INDEX('ケイパビリティマップ'!$E:$E,MATCH(C74,'ケイパビリティマップ'!$A:$A,0)),"（IDなし）")</f>
        <v>セルバンク作製・管理</v>
      </c>
      <c r="E74" s="36" t="s">
        <v>173</v>
      </c>
      <c r="F74" s="39" t="str">
        <f t="shared" si="1"/>
        <v>03-01</v>
      </c>
      <c r="G74" s="39" t="str">
        <f t="shared" si="2"/>
        <v>C04-01</v>
      </c>
    </row>
    <row r="75" ht="15.0" customHeight="1">
      <c r="A75" s="22" t="s">
        <v>1018</v>
      </c>
      <c r="B75" s="25" t="s">
        <v>1020</v>
      </c>
      <c r="C75" s="22" t="s">
        <v>1379</v>
      </c>
      <c r="D75" s="38" t="str">
        <f t="array" ref="D75">IFERROR(INDEX('ケイパビリティマップ'!$E:$E,MATCH(C75,'ケイパビリティマップ'!$A:$A,0)),"（IDなし）")</f>
        <v>試験実施（原材料・工程内・出荷）</v>
      </c>
      <c r="E75" s="36" t="s">
        <v>254</v>
      </c>
      <c r="F75" s="39" t="str">
        <f t="shared" si="1"/>
        <v>03-01</v>
      </c>
      <c r="G75" s="39" t="str">
        <f t="shared" si="2"/>
        <v>C08-01</v>
      </c>
    </row>
    <row r="76" ht="15.0" customHeight="1">
      <c r="A76" s="22" t="s">
        <v>1034</v>
      </c>
      <c r="B76" s="25" t="s">
        <v>1037</v>
      </c>
      <c r="C76" s="22" t="s">
        <v>626</v>
      </c>
      <c r="D76" s="38" t="str">
        <f t="array" ref="D76">IFERROR(INDEX('ケイパビリティマップ'!$E:$E,MATCH(C76,'ケイパビリティマップ'!$A:$A,0)),"（IDなし）")</f>
        <v>培養プロセス開発</v>
      </c>
      <c r="E76" s="36" t="s">
        <v>173</v>
      </c>
      <c r="F76" s="39" t="str">
        <f t="shared" si="1"/>
        <v>03-02</v>
      </c>
      <c r="G76" s="39" t="str">
        <f t="shared" si="2"/>
        <v>C04-02</v>
      </c>
    </row>
    <row r="77" ht="26.25" customHeight="1">
      <c r="A77" s="22" t="s">
        <v>1044</v>
      </c>
      <c r="B77" s="25" t="s">
        <v>1048</v>
      </c>
      <c r="C77" s="22" t="s">
        <v>635</v>
      </c>
      <c r="D77" s="38" t="str">
        <f t="array" ref="D77">IFERROR(INDEX('ケイパビリティマップ'!$E:$E,MATCH(C77,'ケイパビリティマップ'!$A:$A,0)),"（IDなし）")</f>
        <v>精製プロセス開発</v>
      </c>
      <c r="E77" s="36" t="s">
        <v>173</v>
      </c>
      <c r="F77" s="39" t="str">
        <f t="shared" si="1"/>
        <v>03-02</v>
      </c>
      <c r="G77" s="39" t="str">
        <f t="shared" si="2"/>
        <v>C04-02</v>
      </c>
    </row>
    <row r="78" ht="15.0" customHeight="1">
      <c r="A78" s="22" t="s">
        <v>1053</v>
      </c>
      <c r="B78" s="25" t="s">
        <v>1055</v>
      </c>
      <c r="C78" s="22" t="s">
        <v>644</v>
      </c>
      <c r="D78" s="38" t="str">
        <f t="array" ref="D78">IFERROR(INDEX('ケイパビリティマップ'!$E:$E,MATCH(C78,'ケイパビリティマップ'!$A:$A,0)),"（IDなし）")</f>
        <v>ウイルス安全性評価</v>
      </c>
      <c r="E78" s="36" t="s">
        <v>173</v>
      </c>
      <c r="F78" s="39" t="str">
        <f t="shared" si="1"/>
        <v>03-02</v>
      </c>
      <c r="G78" s="39" t="str">
        <f t="shared" si="2"/>
        <v>C04-02</v>
      </c>
    </row>
    <row r="79" ht="15.0" customHeight="1">
      <c r="A79" s="22" t="s">
        <v>1061</v>
      </c>
      <c r="B79" s="25" t="s">
        <v>1063</v>
      </c>
      <c r="C79" s="22" t="s">
        <v>801</v>
      </c>
      <c r="D79" s="38" t="str">
        <f t="array" ref="D79">IFERROR(INDEX('ケイパビリティマップ'!$E:$E,MATCH(C79,'ケイパビリティマップ'!$A:$A,0)),"（IDなし）")</f>
        <v>製造規模設定★</v>
      </c>
      <c r="E79" s="36" t="s">
        <v>173</v>
      </c>
      <c r="F79" s="39" t="str">
        <f t="shared" si="1"/>
        <v>03-02</v>
      </c>
      <c r="G79" s="39" t="str">
        <f t="shared" si="2"/>
        <v>C04-05</v>
      </c>
    </row>
    <row r="80" ht="15.0" customHeight="1">
      <c r="A80" s="22" t="s">
        <v>1061</v>
      </c>
      <c r="B80" s="25" t="s">
        <v>1063</v>
      </c>
      <c r="C80" s="22" t="s">
        <v>833</v>
      </c>
      <c r="D80" s="38" t="str">
        <f t="array" ref="D80">IFERROR(INDEX('ケイパビリティマップ'!$E:$E,MATCH(C80,'ケイパビリティマップ'!$A:$A,0)),"（IDなし）")</f>
        <v>技術移転</v>
      </c>
      <c r="E80" s="36" t="s">
        <v>254</v>
      </c>
      <c r="F80" s="39" t="str">
        <f t="shared" si="1"/>
        <v>03-02</v>
      </c>
      <c r="G80" s="39" t="str">
        <f t="shared" si="2"/>
        <v>C04-05</v>
      </c>
    </row>
    <row r="81" ht="15.0" customHeight="1">
      <c r="A81" s="22" t="s">
        <v>1080</v>
      </c>
      <c r="B81" s="25" t="s">
        <v>1082</v>
      </c>
      <c r="C81" s="22" t="s">
        <v>686</v>
      </c>
      <c r="D81" s="38" t="str">
        <f t="array" ref="D81">IFERROR(INDEX('ケイパビリティマップ'!$E:$E,MATCH(C81,'ケイパビリティマップ'!$A:$A,0)),"（IDなし）")</f>
        <v>処方開発</v>
      </c>
      <c r="E81" s="36" t="s">
        <v>173</v>
      </c>
      <c r="F81" s="39" t="str">
        <f t="shared" si="1"/>
        <v>03-03</v>
      </c>
      <c r="G81" s="39" t="str">
        <f t="shared" si="2"/>
        <v>C04-03</v>
      </c>
    </row>
    <row r="82" ht="26.25" customHeight="1">
      <c r="A82" s="22" t="s">
        <v>1087</v>
      </c>
      <c r="B82" s="25" t="s">
        <v>1090</v>
      </c>
      <c r="C82" s="22" t="s">
        <v>703</v>
      </c>
      <c r="D82" s="38" t="str">
        <f t="array" ref="D82">IFERROR(INDEX('ケイパビリティマップ'!$E:$E,MATCH(C82,'ケイパビリティマップ'!$A:$A,0)),"（IDなし）")</f>
        <v>容器・包装設計</v>
      </c>
      <c r="E82" s="36" t="s">
        <v>173</v>
      </c>
      <c r="F82" s="39" t="str">
        <f t="shared" si="1"/>
        <v>03-03</v>
      </c>
      <c r="G82" s="39" t="str">
        <f t="shared" si="2"/>
        <v>C04-03</v>
      </c>
    </row>
    <row r="83" ht="15.0" customHeight="1">
      <c r="A83" s="22" t="s">
        <v>1096</v>
      </c>
      <c r="B83" s="25" t="s">
        <v>1100</v>
      </c>
      <c r="C83" s="22" t="s">
        <v>686</v>
      </c>
      <c r="D83" s="38" t="str">
        <f t="array" ref="D83">IFERROR(INDEX('ケイパビリティマップ'!$E:$E,MATCH(C83,'ケイパビリティマップ'!$A:$A,0)),"（IDなし）")</f>
        <v>処方開発</v>
      </c>
      <c r="E83" s="36" t="s">
        <v>173</v>
      </c>
      <c r="F83" s="39" t="str">
        <f t="shared" si="1"/>
        <v>03-03</v>
      </c>
      <c r="G83" s="39" t="str">
        <f t="shared" si="2"/>
        <v>C04-03</v>
      </c>
    </row>
    <row r="84" ht="15.0" customHeight="1">
      <c r="A84" s="22" t="s">
        <v>1096</v>
      </c>
      <c r="B84" s="25" t="s">
        <v>1100</v>
      </c>
      <c r="C84" s="22" t="s">
        <v>766</v>
      </c>
      <c r="D84" s="38" t="str">
        <f t="array" ref="D84">IFERROR(INDEX('ケイパビリティマップ'!$E:$E,MATCH(C84,'ケイパビリティマップ'!$A:$A,0)),"（IDなし）")</f>
        <v>規格・有効期間設定</v>
      </c>
      <c r="E84" s="36" t="s">
        <v>254</v>
      </c>
      <c r="F84" s="39" t="str">
        <f t="shared" si="1"/>
        <v>03-03</v>
      </c>
      <c r="G84" s="39" t="str">
        <f t="shared" si="2"/>
        <v>C04-04</v>
      </c>
    </row>
    <row r="85" ht="15.0" customHeight="1">
      <c r="A85" s="22" t="s">
        <v>1105</v>
      </c>
      <c r="B85" s="25" t="s">
        <v>1106</v>
      </c>
      <c r="C85" s="22" t="s">
        <v>718</v>
      </c>
      <c r="D85" s="38" t="str">
        <f t="array" ref="D85">IFERROR(INDEX('ケイパビリティマップ'!$E:$E,MATCH(C85,'ケイパビリティマップ'!$A:$A,0)),"（IDなし）")</f>
        <v>投与デバイス開発</v>
      </c>
      <c r="E85" s="36" t="s">
        <v>173</v>
      </c>
      <c r="F85" s="39" t="str">
        <f t="shared" si="1"/>
        <v>03-03</v>
      </c>
      <c r="G85" s="39" t="str">
        <f t="shared" si="2"/>
        <v>C04-03</v>
      </c>
    </row>
    <row r="86" ht="15.0" customHeight="1">
      <c r="A86" s="22" t="s">
        <v>1114</v>
      </c>
      <c r="B86" s="25" t="s">
        <v>1116</v>
      </c>
      <c r="C86" s="22" t="s">
        <v>738</v>
      </c>
      <c r="D86" s="38" t="str">
        <f t="array" ref="D86">IFERROR(INDEX('ケイパビリティマップ'!$E:$E,MATCH(C86,'ケイパビリティマップ'!$A:$A,0)),"（IDなし）")</f>
        <v>品質特性評価</v>
      </c>
      <c r="E86" s="36" t="s">
        <v>173</v>
      </c>
      <c r="F86" s="39" t="str">
        <f t="shared" si="1"/>
        <v>03-04</v>
      </c>
      <c r="G86" s="39" t="str">
        <f t="shared" si="2"/>
        <v>C04-04</v>
      </c>
    </row>
    <row r="87" ht="26.25" customHeight="1">
      <c r="A87" s="22" t="s">
        <v>1125</v>
      </c>
      <c r="B87" s="25" t="s">
        <v>1127</v>
      </c>
      <c r="C87" s="22" t="s">
        <v>750</v>
      </c>
      <c r="D87" s="38" t="str">
        <f t="array" ref="D87">IFERROR(INDEX('ケイパビリティマップ'!$E:$E,MATCH(C87,'ケイパビリティマップ'!$A:$A,0)),"（IDなし）")</f>
        <v>分析法開発・バリデーション</v>
      </c>
      <c r="E87" s="36" t="s">
        <v>173</v>
      </c>
      <c r="F87" s="39" t="str">
        <f t="shared" si="1"/>
        <v>03-04</v>
      </c>
      <c r="G87" s="39" t="str">
        <f t="shared" si="2"/>
        <v>C04-04</v>
      </c>
    </row>
    <row r="88" ht="15.0" customHeight="1">
      <c r="A88" s="22" t="s">
        <v>1131</v>
      </c>
      <c r="B88" s="25" t="s">
        <v>1134</v>
      </c>
      <c r="C88" s="22" t="s">
        <v>750</v>
      </c>
      <c r="D88" s="38" t="str">
        <f t="array" ref="D88">IFERROR(INDEX('ケイパビリティマップ'!$E:$E,MATCH(C88,'ケイパビリティマップ'!$A:$A,0)),"（IDなし）")</f>
        <v>分析法開発・バリデーション</v>
      </c>
      <c r="E88" s="36" t="s">
        <v>173</v>
      </c>
      <c r="F88" s="39" t="str">
        <f t="shared" si="1"/>
        <v>03-04</v>
      </c>
      <c r="G88" s="39" t="str">
        <f t="shared" si="2"/>
        <v>C04-04</v>
      </c>
    </row>
    <row r="89" ht="15.0" customHeight="1">
      <c r="A89" s="22" t="s">
        <v>1139</v>
      </c>
      <c r="B89" s="25" t="s">
        <v>1140</v>
      </c>
      <c r="C89" s="22" t="s">
        <v>766</v>
      </c>
      <c r="D89" s="38" t="str">
        <f t="array" ref="D89">IFERROR(INDEX('ケイパビリティマップ'!$E:$E,MATCH(C89,'ケイパビリティマップ'!$A:$A,0)),"（IDなし）")</f>
        <v>規格・有効期間設定</v>
      </c>
      <c r="E89" s="36" t="s">
        <v>173</v>
      </c>
      <c r="F89" s="39" t="str">
        <f t="shared" si="1"/>
        <v>03-04</v>
      </c>
      <c r="G89" s="39" t="str">
        <f t="shared" si="2"/>
        <v>C04-04</v>
      </c>
    </row>
    <row r="90" ht="15.0" customHeight="1">
      <c r="A90" s="22" t="s">
        <v>1148</v>
      </c>
      <c r="B90" s="25" t="s">
        <v>1150</v>
      </c>
      <c r="C90" s="22" t="s">
        <v>766</v>
      </c>
      <c r="D90" s="38" t="str">
        <f t="array" ref="D90">IFERROR(INDEX('ケイパビリティマップ'!$E:$E,MATCH(C90,'ケイパビリティマップ'!$A:$A,0)),"（IDなし）")</f>
        <v>規格・有効期間設定</v>
      </c>
      <c r="E90" s="36" t="s">
        <v>173</v>
      </c>
      <c r="F90" s="39" t="str">
        <f t="shared" si="1"/>
        <v>03-04</v>
      </c>
      <c r="G90" s="39" t="str">
        <f t="shared" si="2"/>
        <v>C04-04</v>
      </c>
    </row>
    <row r="91" ht="15.0" customHeight="1">
      <c r="A91" s="22" t="s">
        <v>1169</v>
      </c>
      <c r="B91" s="25" t="s">
        <v>1171</v>
      </c>
      <c r="C91" s="22" t="s">
        <v>1292</v>
      </c>
      <c r="D91" s="38" t="str">
        <f t="array" ref="D91">IFERROR(INDEX('ケイパビリティマップ'!$E:$E,MATCH(C91,'ケイパビリティマップ'!$A:$A,0)),"（IDなし）")</f>
        <v>細胞培養</v>
      </c>
      <c r="E91" s="36" t="s">
        <v>173</v>
      </c>
      <c r="F91" s="39" t="str">
        <f t="shared" si="1"/>
        <v>03-05</v>
      </c>
      <c r="G91" s="39" t="str">
        <f t="shared" si="2"/>
        <v>C07-02</v>
      </c>
    </row>
    <row r="92" ht="15.0" customHeight="1">
      <c r="A92" s="22" t="s">
        <v>1169</v>
      </c>
      <c r="B92" s="25" t="s">
        <v>1171</v>
      </c>
      <c r="C92" s="22" t="s">
        <v>1302</v>
      </c>
      <c r="D92" s="38" t="str">
        <f t="array" ref="D92">IFERROR(INDEX('ケイパビリティマップ'!$E:$E,MATCH(C92,'ケイパビリティマップ'!$A:$A,0)),"（IDなし）")</f>
        <v>ハーベスト・精製</v>
      </c>
      <c r="E92" s="36" t="s">
        <v>173</v>
      </c>
      <c r="F92" s="39" t="str">
        <f t="shared" si="1"/>
        <v>03-05</v>
      </c>
      <c r="G92" s="39" t="str">
        <f t="shared" si="2"/>
        <v>C07-02</v>
      </c>
    </row>
    <row r="93" ht="15.0" customHeight="1">
      <c r="A93" s="22" t="s">
        <v>1169</v>
      </c>
      <c r="B93" s="25" t="s">
        <v>1171</v>
      </c>
      <c r="C93" s="22" t="s">
        <v>1318</v>
      </c>
      <c r="D93" s="38" t="str">
        <f t="array" ref="D93">IFERROR(INDEX('ケイパビリティマップ'!$E:$E,MATCH(C93,'ケイパビリティマップ'!$A:$A,0)),"（IDなし）")</f>
        <v>無菌製剤化・充填</v>
      </c>
      <c r="E93" s="36" t="s">
        <v>173</v>
      </c>
      <c r="F93" s="39" t="str">
        <f t="shared" si="1"/>
        <v>03-05</v>
      </c>
      <c r="G93" s="39" t="str">
        <f t="shared" si="2"/>
        <v>C07-03</v>
      </c>
    </row>
    <row r="94" ht="15.0" customHeight="1">
      <c r="A94" s="22" t="s">
        <v>1169</v>
      </c>
      <c r="B94" s="25" t="s">
        <v>1171</v>
      </c>
      <c r="C94" s="22" t="s">
        <v>154</v>
      </c>
      <c r="D94" s="38" t="str">
        <f t="array" ref="D94">IFERROR(INDEX('ケイパビリティマップ'!$E:$E,MATCH(C94,'ケイパビリティマップ'!$A:$A,0)),"（IDなし）")</f>
        <v>委託業務の契約・監督</v>
      </c>
      <c r="E94" s="36" t="s">
        <v>254</v>
      </c>
      <c r="F94" s="39" t="str">
        <f t="shared" si="1"/>
        <v>03-05</v>
      </c>
      <c r="G94" s="39" t="str">
        <f t="shared" si="2"/>
        <v>C01-03</v>
      </c>
    </row>
    <row r="95" ht="15.0" customHeight="1">
      <c r="A95" s="22" t="s">
        <v>1169</v>
      </c>
      <c r="B95" s="25" t="s">
        <v>1171</v>
      </c>
      <c r="C95" s="22" t="s">
        <v>1279</v>
      </c>
      <c r="D95" s="38" t="str">
        <f t="array" ref="D95">IFERROR(INDEX('ケイパビリティマップ'!$E:$E,MATCH(C95,'ケイパビリティマップ'!$A:$A,0)),"（IDなし）")</f>
        <v>製造記録管理</v>
      </c>
      <c r="E95" s="36" t="s">
        <v>254</v>
      </c>
      <c r="F95" s="39" t="str">
        <f t="shared" si="1"/>
        <v>03-05</v>
      </c>
      <c r="G95" s="39" t="str">
        <f t="shared" si="2"/>
        <v>C07-01</v>
      </c>
    </row>
    <row r="96" ht="15.0" customHeight="1">
      <c r="A96" s="22" t="s">
        <v>1176</v>
      </c>
      <c r="B96" s="25" t="s">
        <v>1179</v>
      </c>
      <c r="C96" s="22" t="s">
        <v>1379</v>
      </c>
      <c r="D96" s="38" t="str">
        <f t="array" ref="D96">IFERROR(INDEX('ケイパビリティマップ'!$E:$E,MATCH(C96,'ケイパビリティマップ'!$A:$A,0)),"（IDなし）")</f>
        <v>試験実施（原材料・工程内・出荷）</v>
      </c>
      <c r="E96" s="36" t="s">
        <v>173</v>
      </c>
      <c r="F96" s="39" t="str">
        <f t="shared" si="1"/>
        <v>03-05</v>
      </c>
      <c r="G96" s="39" t="str">
        <f t="shared" si="2"/>
        <v>C08-01</v>
      </c>
    </row>
    <row r="97" ht="15.0" customHeight="1">
      <c r="A97" s="22" t="s">
        <v>1176</v>
      </c>
      <c r="B97" s="25" t="s">
        <v>1179</v>
      </c>
      <c r="C97" s="22" t="s">
        <v>1412</v>
      </c>
      <c r="D97" s="38" t="str">
        <f t="array" ref="D97">IFERROR(INDEX('ケイパビリティマップ'!$E:$E,MATCH(C97,'ケイパビリティマップ'!$A:$A,0)),"（IDなし）")</f>
        <v>ロット出荷判定</v>
      </c>
      <c r="E97" s="36" t="s">
        <v>173</v>
      </c>
      <c r="F97" s="39" t="str">
        <f t="shared" si="1"/>
        <v>03-05</v>
      </c>
      <c r="G97" s="39" t="str">
        <f t="shared" si="2"/>
        <v>C08-02</v>
      </c>
    </row>
    <row r="98" ht="15.0" customHeight="1">
      <c r="A98" s="22" t="s">
        <v>1187</v>
      </c>
      <c r="B98" s="25" t="s">
        <v>1188</v>
      </c>
      <c r="C98" s="22" t="s">
        <v>1388</v>
      </c>
      <c r="D98" s="38" t="str">
        <f t="array" ref="D98">IFERROR(INDEX('ケイパビリティマップ'!$E:$E,MATCH(C98,'ケイパビリティマップ'!$A:$A,0)),"（IDなし）")</f>
        <v>安定性試験の実施</v>
      </c>
      <c r="E98" s="36" t="s">
        <v>173</v>
      </c>
      <c r="F98" s="39" t="str">
        <f t="shared" si="1"/>
        <v>03-05</v>
      </c>
      <c r="G98" s="39" t="str">
        <f t="shared" si="2"/>
        <v>C08-01</v>
      </c>
    </row>
    <row r="99" ht="15.0" customHeight="1">
      <c r="A99" s="22" t="s">
        <v>1193</v>
      </c>
      <c r="B99" s="25" t="s">
        <v>1195</v>
      </c>
      <c r="C99" s="22" t="s">
        <v>1092</v>
      </c>
      <c r="D99" s="38" t="str">
        <f t="array" ref="D99">IFERROR(INDEX('ケイパビリティマップ'!$E:$E,MATCH(C99,'ケイパビリティマップ'!$A:$A,0)),"（IDなし）")</f>
        <v>治験薬の包装・表示</v>
      </c>
      <c r="E99" s="36" t="s">
        <v>173</v>
      </c>
      <c r="F99" s="39" t="str">
        <f t="shared" si="1"/>
        <v>03-05</v>
      </c>
      <c r="G99" s="39" t="str">
        <f t="shared" si="2"/>
        <v>C05-06</v>
      </c>
    </row>
    <row r="100" ht="15.0" customHeight="1">
      <c r="A100" s="22" t="s">
        <v>1193</v>
      </c>
      <c r="B100" s="25" t="s">
        <v>1195</v>
      </c>
      <c r="C100" s="22" t="s">
        <v>1084</v>
      </c>
      <c r="D100" s="38" t="str">
        <f t="array" ref="D100">IFERROR(INDEX('ケイパビリティマップ'!$E:$E,MATCH(C100,'ケイパビリティマップ'!$A:$A,0)),"（IDなし）")</f>
        <v>治験薬需給・割付</v>
      </c>
      <c r="E100" s="36" t="s">
        <v>173</v>
      </c>
      <c r="F100" s="39" t="str">
        <f t="shared" si="1"/>
        <v>03-05</v>
      </c>
      <c r="G100" s="39" t="str">
        <f t="shared" si="2"/>
        <v>C05-06</v>
      </c>
    </row>
    <row r="101" ht="15.0" customHeight="1">
      <c r="A101" s="22" t="s">
        <v>1205</v>
      </c>
      <c r="B101" s="25" t="s">
        <v>1209</v>
      </c>
      <c r="C101" s="22" t="s">
        <v>783</v>
      </c>
      <c r="D101" s="38" t="str">
        <f t="array" ref="D101">IFERROR(INDEX('ケイパビリティマップ'!$E:$E,MATCH(C101,'ケイパビリティマップ'!$A:$A,0)),"（IDなし）")</f>
        <v>同等性／同質性評価</v>
      </c>
      <c r="E101" s="36" t="s">
        <v>173</v>
      </c>
      <c r="F101" s="39" t="str">
        <f t="shared" si="1"/>
        <v>03-05</v>
      </c>
      <c r="G101" s="39" t="str">
        <f t="shared" si="2"/>
        <v>C04-04</v>
      </c>
    </row>
    <row r="102" ht="15.0" customHeight="1">
      <c r="A102" s="22" t="s">
        <v>1205</v>
      </c>
      <c r="B102" s="25" t="s">
        <v>1209</v>
      </c>
      <c r="C102" s="22" t="s">
        <v>1429</v>
      </c>
      <c r="D102" s="38" t="str">
        <f t="array" ref="D102">IFERROR(INDEX('ケイパビリティマップ'!$E:$E,MATCH(C102,'ケイパビリティマップ'!$A:$A,0)),"（IDなし）")</f>
        <v>変更管理</v>
      </c>
      <c r="E102" s="36" t="s">
        <v>254</v>
      </c>
      <c r="F102" s="39" t="str">
        <f t="shared" si="1"/>
        <v>03-05</v>
      </c>
      <c r="G102" s="39" t="str">
        <f t="shared" si="2"/>
        <v>C08-02</v>
      </c>
    </row>
    <row r="103" ht="15.0" customHeight="1">
      <c r="A103" s="22" t="s">
        <v>1222</v>
      </c>
      <c r="B103" s="25" t="s">
        <v>1225</v>
      </c>
      <c r="C103" s="22" t="s">
        <v>669</v>
      </c>
      <c r="D103" s="38" t="str">
        <f t="array" ref="D103">IFERROR(INDEX('ケイパビリティマップ'!$E:$E,MATCH(C103,'ケイパビリティマップ'!$A:$A,0)),"（IDなし）")</f>
        <v>プロセス特性解析・管理戦略</v>
      </c>
      <c r="E103" s="36" t="s">
        <v>173</v>
      </c>
      <c r="F103" s="39" t="str">
        <f t="shared" si="1"/>
        <v>03-06</v>
      </c>
      <c r="G103" s="39" t="str">
        <f t="shared" si="2"/>
        <v>C04-02</v>
      </c>
    </row>
    <row r="104" ht="15.0" customHeight="1">
      <c r="A104" s="22" t="s">
        <v>1232</v>
      </c>
      <c r="B104" s="25" t="s">
        <v>1235</v>
      </c>
      <c r="C104" s="22" t="s">
        <v>669</v>
      </c>
      <c r="D104" s="38" t="str">
        <f t="array" ref="D104">IFERROR(INDEX('ケイパビリティマップ'!$E:$E,MATCH(C104,'ケイパビリティマップ'!$A:$A,0)),"（IDなし）")</f>
        <v>プロセス特性解析・管理戦略</v>
      </c>
      <c r="E104" s="36" t="s">
        <v>173</v>
      </c>
      <c r="F104" s="39" t="str">
        <f t="shared" si="1"/>
        <v>03-06</v>
      </c>
      <c r="G104" s="39" t="str">
        <f t="shared" si="2"/>
        <v>C04-02</v>
      </c>
    </row>
    <row r="105" ht="15.0" customHeight="1">
      <c r="A105" s="22" t="s">
        <v>1232</v>
      </c>
      <c r="B105" s="25" t="s">
        <v>1235</v>
      </c>
      <c r="C105" s="22" t="s">
        <v>738</v>
      </c>
      <c r="D105" s="38" t="str">
        <f t="array" ref="D105">IFERROR(INDEX('ケイパビリティマップ'!$E:$E,MATCH(C105,'ケイパビリティマップ'!$A:$A,0)),"（IDなし）")</f>
        <v>品質特性評価</v>
      </c>
      <c r="E105" s="36" t="s">
        <v>254</v>
      </c>
      <c r="F105" s="39" t="str">
        <f t="shared" si="1"/>
        <v>03-06</v>
      </c>
      <c r="G105" s="39" t="str">
        <f t="shared" si="2"/>
        <v>C04-04</v>
      </c>
    </row>
    <row r="106" ht="26.25" customHeight="1">
      <c r="A106" s="22" t="s">
        <v>1245</v>
      </c>
      <c r="B106" s="25" t="s">
        <v>1248</v>
      </c>
      <c r="C106" s="22" t="s">
        <v>801</v>
      </c>
      <c r="D106" s="38" t="str">
        <f t="array" ref="D106">IFERROR(INDEX('ケイパビリティマップ'!$E:$E,MATCH(C106,'ケイパビリティマップ'!$A:$A,0)),"（IDなし）")</f>
        <v>製造規模設定★</v>
      </c>
      <c r="E106" s="36" t="s">
        <v>173</v>
      </c>
      <c r="F106" s="39" t="str">
        <f t="shared" si="1"/>
        <v>03-06</v>
      </c>
      <c r="G106" s="39" t="str">
        <f t="shared" si="2"/>
        <v>C04-05</v>
      </c>
    </row>
    <row r="107" ht="26.25" customHeight="1">
      <c r="A107" s="22" t="s">
        <v>1245</v>
      </c>
      <c r="B107" s="25" t="s">
        <v>1248</v>
      </c>
      <c r="C107" s="22" t="s">
        <v>817</v>
      </c>
      <c r="D107" s="38" t="str">
        <f t="array" ref="D107">IFERROR(INDEX('ケイパビリティマップ'!$E:$E,MATCH(C107,'ケイパビリティマップ'!$A:$A,0)),"（IDなし）")</f>
        <v>製造ネットワーク設計</v>
      </c>
      <c r="E107" s="36" t="s">
        <v>254</v>
      </c>
      <c r="F107" s="39" t="str">
        <f t="shared" si="1"/>
        <v>03-06</v>
      </c>
      <c r="G107" s="39" t="str">
        <f t="shared" si="2"/>
        <v>C04-05</v>
      </c>
    </row>
    <row r="108" ht="26.25" customHeight="1">
      <c r="A108" s="22" t="s">
        <v>1245</v>
      </c>
      <c r="B108" s="25" t="s">
        <v>1248</v>
      </c>
      <c r="C108" s="22" t="s">
        <v>1834</v>
      </c>
      <c r="D108" s="38" t="str">
        <f t="array" ref="D108">IFERROR(INDEX('ケイパビリティマップ'!$E:$E,MATCH(C108,'ケイパビリティマップ'!$A:$A,0)),"（IDなし）")</f>
        <v>需要予測★</v>
      </c>
      <c r="E108" s="36" t="s">
        <v>254</v>
      </c>
      <c r="F108" s="39" t="str">
        <f t="shared" si="1"/>
        <v>03-06</v>
      </c>
      <c r="G108" s="39" t="str">
        <f t="shared" si="2"/>
        <v>C12-01</v>
      </c>
    </row>
    <row r="109" ht="26.25" customHeight="1">
      <c r="A109" s="22" t="s">
        <v>1245</v>
      </c>
      <c r="B109" s="25" t="s">
        <v>1248</v>
      </c>
      <c r="C109" s="22" t="s">
        <v>961</v>
      </c>
      <c r="D109" s="38" t="str">
        <f t="array" ref="D109">IFERROR(INDEX('ケイパビリティマップ'!$E:$E,MATCH(C109,'ケイパビリティマップ'!$A:$A,0)),"（IDなし）")</f>
        <v>疫学評価</v>
      </c>
      <c r="E109" s="36" t="s">
        <v>254</v>
      </c>
      <c r="F109" s="39" t="str">
        <f t="shared" si="1"/>
        <v>03-06</v>
      </c>
      <c r="G109" s="39" t="str">
        <f t="shared" si="2"/>
        <v>C05-02</v>
      </c>
    </row>
    <row r="110" ht="15.0" customHeight="1">
      <c r="A110" s="22" t="s">
        <v>1255</v>
      </c>
      <c r="B110" s="25" t="s">
        <v>1256</v>
      </c>
      <c r="C110" s="22" t="s">
        <v>833</v>
      </c>
      <c r="D110" s="38" t="str">
        <f t="array" ref="D110">IFERROR(INDEX('ケイパビリティマップ'!$E:$E,MATCH(C110,'ケイパビリティマップ'!$A:$A,0)),"（IDなし）")</f>
        <v>技術移転</v>
      </c>
      <c r="E110" s="36" t="s">
        <v>173</v>
      </c>
      <c r="F110" s="39" t="str">
        <f t="shared" si="1"/>
        <v>03-06</v>
      </c>
      <c r="G110" s="39" t="str">
        <f t="shared" si="2"/>
        <v>C04-05</v>
      </c>
    </row>
    <row r="111" ht="15.0" customHeight="1">
      <c r="A111" s="22" t="s">
        <v>1255</v>
      </c>
      <c r="B111" s="25" t="s">
        <v>1256</v>
      </c>
      <c r="C111" s="22" t="s">
        <v>817</v>
      </c>
      <c r="D111" s="38" t="str">
        <f t="array" ref="D111">IFERROR(INDEX('ケイパビリティマップ'!$E:$E,MATCH(C111,'ケイパビリティマップ'!$A:$A,0)),"（IDなし）")</f>
        <v>製造ネットワーク設計</v>
      </c>
      <c r="E111" s="36" t="s">
        <v>254</v>
      </c>
      <c r="F111" s="39" t="str">
        <f t="shared" si="1"/>
        <v>03-06</v>
      </c>
      <c r="G111" s="39" t="str">
        <f t="shared" si="2"/>
        <v>C04-05</v>
      </c>
    </row>
    <row r="112" ht="15.0" customHeight="1">
      <c r="A112" s="22" t="s">
        <v>1255</v>
      </c>
      <c r="B112" s="25" t="s">
        <v>1256</v>
      </c>
      <c r="C112" s="22" t="s">
        <v>142</v>
      </c>
      <c r="D112" s="38" t="str">
        <f t="array" ref="D112">IFERROR(INDEX('ケイパビリティマップ'!$E:$E,MATCH(C112,'ケイパビリティマップ'!$A:$A,0)),"（IDなし）")</f>
        <v>パートナー選定・評価</v>
      </c>
      <c r="E112" s="36" t="s">
        <v>254</v>
      </c>
      <c r="F112" s="39" t="str">
        <f t="shared" si="1"/>
        <v>03-06</v>
      </c>
      <c r="G112" s="39" t="str">
        <f t="shared" si="2"/>
        <v>C01-03</v>
      </c>
    </row>
    <row r="113" ht="15.0" customHeight="1">
      <c r="A113" s="22" t="s">
        <v>1255</v>
      </c>
      <c r="B113" s="25" t="s">
        <v>1256</v>
      </c>
      <c r="C113" s="22" t="s">
        <v>154</v>
      </c>
      <c r="D113" s="38" t="str">
        <f t="array" ref="D113">IFERROR(INDEX('ケイパビリティマップ'!$E:$E,MATCH(C113,'ケイパビリティマップ'!$A:$A,0)),"（IDなし）")</f>
        <v>委託業務の契約・監督</v>
      </c>
      <c r="E113" s="36" t="s">
        <v>254</v>
      </c>
      <c r="F113" s="39" t="str">
        <f t="shared" si="1"/>
        <v>03-06</v>
      </c>
      <c r="G113" s="39" t="str">
        <f t="shared" si="2"/>
        <v>C01-03</v>
      </c>
    </row>
    <row r="114" ht="15.0" customHeight="1">
      <c r="A114" s="22" t="s">
        <v>1272</v>
      </c>
      <c r="B114" s="25" t="s">
        <v>1276</v>
      </c>
      <c r="C114" s="22" t="s">
        <v>1457</v>
      </c>
      <c r="D114" s="38" t="str">
        <f t="array" ref="D114">IFERROR(INDEX('ケイパビリティマップ'!$E:$E,MATCH(C114,'ケイパビリティマップ'!$A:$A,0)),"（IDなし）")</f>
        <v>設備・洗浄バリデーション</v>
      </c>
      <c r="E114" s="36" t="s">
        <v>173</v>
      </c>
      <c r="F114" s="39" t="str">
        <f t="shared" si="1"/>
        <v>03-07</v>
      </c>
      <c r="G114" s="39" t="str">
        <f t="shared" si="2"/>
        <v>C08-03</v>
      </c>
    </row>
    <row r="115" ht="15.0" customHeight="1">
      <c r="A115" s="22" t="s">
        <v>1272</v>
      </c>
      <c r="B115" s="25" t="s">
        <v>1276</v>
      </c>
      <c r="C115" s="22" t="s">
        <v>1348</v>
      </c>
      <c r="D115" s="38" t="str">
        <f t="array" ref="D115">IFERROR(INDEX('ケイパビリティマップ'!$E:$E,MATCH(C115,'ケイパビリティマップ'!$A:$A,0)),"（IDなし）")</f>
        <v>設備保全・校正</v>
      </c>
      <c r="E115" s="36" t="s">
        <v>254</v>
      </c>
      <c r="F115" s="39" t="str">
        <f t="shared" si="1"/>
        <v>03-07</v>
      </c>
      <c r="G115" s="39" t="str">
        <f t="shared" si="2"/>
        <v>C07-04</v>
      </c>
    </row>
    <row r="116" ht="15.0" customHeight="1">
      <c r="A116" s="22" t="s">
        <v>1283</v>
      </c>
      <c r="B116" s="25" t="s">
        <v>1287</v>
      </c>
      <c r="C116" s="22" t="s">
        <v>1466</v>
      </c>
      <c r="D116" s="38" t="str">
        <f t="array" ref="D116">IFERROR(INDEX('ケイパビリティマップ'!$E:$E,MATCH(C116,'ケイパビリティマップ'!$A:$A,0)),"（IDなし）")</f>
        <v>プロセスバリデーション</v>
      </c>
      <c r="E116" s="36" t="s">
        <v>173</v>
      </c>
      <c r="F116" s="39" t="str">
        <f t="shared" si="1"/>
        <v>03-07</v>
      </c>
      <c r="G116" s="39" t="str">
        <f t="shared" si="2"/>
        <v>C08-03</v>
      </c>
    </row>
    <row r="117" ht="15.0" customHeight="1">
      <c r="A117" s="22" t="s">
        <v>1291</v>
      </c>
      <c r="B117" s="38" t="s">
        <v>2147</v>
      </c>
      <c r="C117" s="22" t="s">
        <v>1466</v>
      </c>
      <c r="D117" s="38" t="str">
        <f t="array" ref="D117">IFERROR(INDEX('ケイパビリティマップ'!$E:$E,MATCH(C117,'ケイパビリティマップ'!$A:$A,0)),"（IDなし）")</f>
        <v>プロセスバリデーション</v>
      </c>
      <c r="E117" s="36" t="s">
        <v>173</v>
      </c>
      <c r="F117" s="39" t="str">
        <f t="shared" si="1"/>
        <v>03-07</v>
      </c>
      <c r="G117" s="39" t="str">
        <f t="shared" si="2"/>
        <v>C08-03</v>
      </c>
    </row>
    <row r="118" ht="15.0" customHeight="1">
      <c r="A118" s="22" t="s">
        <v>1291</v>
      </c>
      <c r="B118" s="38" t="s">
        <v>2148</v>
      </c>
      <c r="C118" s="22" t="s">
        <v>1292</v>
      </c>
      <c r="D118" s="38" t="str">
        <f t="array" ref="D118">IFERROR(INDEX('ケイパビリティマップ'!$E:$E,MATCH(C118,'ケイパビリティマップ'!$A:$A,0)),"（IDなし）")</f>
        <v>細胞培養</v>
      </c>
      <c r="E118" s="36" t="s">
        <v>254</v>
      </c>
      <c r="F118" s="39" t="str">
        <f t="shared" si="1"/>
        <v>03-07</v>
      </c>
      <c r="G118" s="39" t="str">
        <f t="shared" si="2"/>
        <v>C07-02</v>
      </c>
    </row>
    <row r="119" ht="15.0" customHeight="1">
      <c r="A119" s="22" t="s">
        <v>1291</v>
      </c>
      <c r="B119" s="38" t="s">
        <v>2149</v>
      </c>
      <c r="C119" s="22" t="s">
        <v>1302</v>
      </c>
      <c r="D119" s="38" t="str">
        <f t="array" ref="D119">IFERROR(INDEX('ケイパビリティマップ'!$E:$E,MATCH(C119,'ケイパビリティマップ'!$A:$A,0)),"（IDなし）")</f>
        <v>ハーベスト・精製</v>
      </c>
      <c r="E119" s="36" t="s">
        <v>254</v>
      </c>
      <c r="F119" s="39" t="str">
        <f t="shared" si="1"/>
        <v>03-07</v>
      </c>
      <c r="G119" s="39" t="str">
        <f t="shared" si="2"/>
        <v>C07-02</v>
      </c>
    </row>
    <row r="120" ht="15.0" customHeight="1">
      <c r="A120" s="22" t="s">
        <v>1291</v>
      </c>
      <c r="B120" s="38" t="s">
        <v>2150</v>
      </c>
      <c r="C120" s="22" t="s">
        <v>1318</v>
      </c>
      <c r="D120" s="38" t="str">
        <f t="array" ref="D120">IFERROR(INDEX('ケイパビリティマップ'!$E:$E,MATCH(C120,'ケイパビリティマップ'!$A:$A,0)),"（IDなし）")</f>
        <v>無菌製剤化・充填</v>
      </c>
      <c r="E120" s="36" t="s">
        <v>254</v>
      </c>
      <c r="F120" s="39" t="str">
        <f t="shared" si="1"/>
        <v>03-07</v>
      </c>
      <c r="G120" s="39" t="str">
        <f t="shared" si="2"/>
        <v>C07-03</v>
      </c>
    </row>
    <row r="121" ht="15.0" customHeight="1">
      <c r="A121" s="22" t="s">
        <v>1301</v>
      </c>
      <c r="B121" s="25" t="s">
        <v>1304</v>
      </c>
      <c r="C121" s="22" t="s">
        <v>1466</v>
      </c>
      <c r="D121" s="38" t="str">
        <f t="array" ref="D121">IFERROR(INDEX('ケイパビリティマップ'!$E:$E,MATCH(C121,'ケイパビリティマップ'!$A:$A,0)),"（IDなし）")</f>
        <v>プロセスバリデーション</v>
      </c>
      <c r="E121" s="36" t="s">
        <v>173</v>
      </c>
      <c r="F121" s="39" t="str">
        <f t="shared" si="1"/>
        <v>03-07</v>
      </c>
      <c r="G121" s="39" t="str">
        <f t="shared" si="2"/>
        <v>C08-03</v>
      </c>
    </row>
    <row r="122" ht="26.25" customHeight="1">
      <c r="A122" s="22" t="s">
        <v>1327</v>
      </c>
      <c r="B122" s="25" t="s">
        <v>1331</v>
      </c>
      <c r="C122" s="22" t="s">
        <v>918</v>
      </c>
      <c r="D122" s="38" t="str">
        <f t="array" ref="D122">IFERROR(INDEX('ケイパビリティマップ'!$E:$E,MATCH(C122,'ケイパビリティマップ'!$A:$A,0)),"（IDなし）")</f>
        <v>自然歴研究</v>
      </c>
      <c r="E122" s="36" t="s">
        <v>173</v>
      </c>
      <c r="F122" s="39" t="str">
        <f t="shared" si="1"/>
        <v>04-01</v>
      </c>
      <c r="G122" s="39" t="str">
        <f t="shared" si="2"/>
        <v>C05-02</v>
      </c>
    </row>
    <row r="123" ht="26.25" customHeight="1">
      <c r="A123" s="22" t="s">
        <v>1327</v>
      </c>
      <c r="B123" s="25" t="s">
        <v>1331</v>
      </c>
      <c r="C123" s="22" t="s">
        <v>53</v>
      </c>
      <c r="D123" s="38" t="str">
        <f t="array" ref="D123">IFERROR(INDEX('ケイパビリティマップ'!$E:$E,MATCH(C123,'ケイパビリティマップ'!$A:$A,0)),"（IDなし）")</f>
        <v>患者団体との協働★</v>
      </c>
      <c r="E123" s="36" t="s">
        <v>254</v>
      </c>
      <c r="F123" s="39" t="str">
        <f t="shared" si="1"/>
        <v>04-01</v>
      </c>
      <c r="G123" s="39" t="str">
        <f t="shared" si="2"/>
        <v>C10-01</v>
      </c>
    </row>
    <row r="124" ht="15.0" customHeight="1">
      <c r="A124" s="22" t="s">
        <v>1338</v>
      </c>
      <c r="B124" s="25" t="s">
        <v>1342</v>
      </c>
      <c r="C124" s="22" t="s">
        <v>932</v>
      </c>
      <c r="D124" s="38" t="str">
        <f t="array" ref="D124">IFERROR(INDEX('ケイパビリティマップ'!$E:$E,MATCH(C124,'ケイパビリティマップ'!$A:$A,0)),"（IDなし）")</f>
        <v>患者レジストリ運営</v>
      </c>
      <c r="E124" s="36" t="s">
        <v>173</v>
      </c>
      <c r="F124" s="39" t="str">
        <f t="shared" si="1"/>
        <v>04-01</v>
      </c>
      <c r="G124" s="39" t="str">
        <f t="shared" si="2"/>
        <v>C05-02</v>
      </c>
    </row>
    <row r="125" ht="15.0" customHeight="1">
      <c r="A125" s="22" t="s">
        <v>1338</v>
      </c>
      <c r="B125" s="25" t="s">
        <v>1342</v>
      </c>
      <c r="C125" s="22" t="s">
        <v>53</v>
      </c>
      <c r="D125" s="38" t="str">
        <f t="array" ref="D125">IFERROR(INDEX('ケイパビリティマップ'!$E:$E,MATCH(C125,'ケイパビリティマップ'!$A:$A,0)),"（IDなし）")</f>
        <v>患者団体との協働★</v>
      </c>
      <c r="E125" s="36" t="s">
        <v>254</v>
      </c>
      <c r="F125" s="39" t="str">
        <f t="shared" si="1"/>
        <v>04-01</v>
      </c>
      <c r="G125" s="39" t="str">
        <f t="shared" si="2"/>
        <v>C10-01</v>
      </c>
    </row>
    <row r="126" ht="15.0" customHeight="1">
      <c r="A126" s="22" t="s">
        <v>1338</v>
      </c>
      <c r="B126" s="25" t="s">
        <v>1342</v>
      </c>
      <c r="C126" s="22" t="s">
        <v>359</v>
      </c>
      <c r="D126" s="38" t="str">
        <f t="array" ref="D126">IFERROR(INDEX('ケイパビリティマップ'!$E:$E,MATCH(C126,'ケイパビリティマップ'!$A:$A,0)),"（IDなし）")</f>
        <v>個人情報保護</v>
      </c>
      <c r="E126" s="36" t="s">
        <v>254</v>
      </c>
      <c r="F126" s="39" t="str">
        <f t="shared" si="1"/>
        <v>04-01</v>
      </c>
      <c r="G126" s="39" t="str">
        <f t="shared" si="2"/>
        <v>C13-01</v>
      </c>
    </row>
    <row r="127" ht="26.25" customHeight="1">
      <c r="A127" s="22" t="s">
        <v>1347</v>
      </c>
      <c r="B127" s="25" t="s">
        <v>1349</v>
      </c>
      <c r="C127" s="22" t="s">
        <v>982</v>
      </c>
      <c r="D127" s="38" t="str">
        <f t="array" ref="D127">IFERROR(INDEX('ケイパビリティマップ'!$E:$E,MATCH(C127,'ケイパビリティマップ'!$A:$A,0)),"（IDなし）")</f>
        <v>候補患者特定</v>
      </c>
      <c r="E127" s="36" t="s">
        <v>173</v>
      </c>
      <c r="F127" s="39" t="str">
        <f t="shared" si="1"/>
        <v>04-01</v>
      </c>
      <c r="G127" s="39" t="str">
        <f t="shared" si="2"/>
        <v>C05-03</v>
      </c>
    </row>
    <row r="128" ht="26.25" customHeight="1">
      <c r="A128" s="22" t="s">
        <v>1347</v>
      </c>
      <c r="B128" s="25" t="s">
        <v>1349</v>
      </c>
      <c r="C128" s="22" t="s">
        <v>1641</v>
      </c>
      <c r="D128" s="38" t="str">
        <f t="array" ref="D128">IFERROR(INDEX('ケイパビリティマップ'!$E:$E,MATCH(C128,'ケイパビリティマップ'!$A:$A,0)),"（IDなし）")</f>
        <v>遺伝子検査プログラム★</v>
      </c>
      <c r="E128" s="36" t="s">
        <v>254</v>
      </c>
      <c r="F128" s="39" t="str">
        <f t="shared" si="1"/>
        <v>04-01</v>
      </c>
      <c r="G128" s="39" t="str">
        <f t="shared" si="2"/>
        <v>C10-03</v>
      </c>
    </row>
    <row r="129" ht="26.25" customHeight="1">
      <c r="A129" s="22" t="s">
        <v>1357</v>
      </c>
      <c r="B129" s="25" t="s">
        <v>1360</v>
      </c>
      <c r="C129" s="22" t="s">
        <v>896</v>
      </c>
      <c r="D129" s="38" t="str">
        <f t="array" ref="D129">IFERROR(INDEX('ケイパビリティマップ'!$E:$E,MATCH(C129,'ケイパビリティマップ'!$A:$A,0)),"（IDなし）")</f>
        <v>評価項目・COA開発★</v>
      </c>
      <c r="E129" s="36" t="s">
        <v>173</v>
      </c>
      <c r="F129" s="39" t="str">
        <f t="shared" si="1"/>
        <v>04-01</v>
      </c>
      <c r="G129" s="39" t="str">
        <f t="shared" si="2"/>
        <v>C05-01</v>
      </c>
    </row>
    <row r="130" ht="26.25" customHeight="1">
      <c r="A130" s="22" t="s">
        <v>1357</v>
      </c>
      <c r="B130" s="25" t="s">
        <v>1360</v>
      </c>
      <c r="C130" s="22" t="s">
        <v>53</v>
      </c>
      <c r="D130" s="38" t="str">
        <f t="array" ref="D130">IFERROR(INDEX('ケイパビリティマップ'!$E:$E,MATCH(C130,'ケイパビリティマップ'!$A:$A,0)),"（IDなし）")</f>
        <v>患者団体との協働★</v>
      </c>
      <c r="E130" s="36" t="s">
        <v>254</v>
      </c>
      <c r="F130" s="39" t="str">
        <f t="shared" si="1"/>
        <v>04-01</v>
      </c>
      <c r="G130" s="39" t="str">
        <f t="shared" si="2"/>
        <v>C10-01</v>
      </c>
    </row>
    <row r="131" ht="26.25" customHeight="1">
      <c r="A131" s="22" t="s">
        <v>1374</v>
      </c>
      <c r="B131" s="25" t="s">
        <v>1375</v>
      </c>
      <c r="C131" s="22" t="s">
        <v>880</v>
      </c>
      <c r="D131" s="38" t="str">
        <f t="array" ref="D131">IFERROR(INDEX('ケイパビリティマップ'!$E:$E,MATCH(C131,'ケイパビリティマップ'!$A:$A,0)),"（IDなし）")</f>
        <v>試験デザイン★</v>
      </c>
      <c r="E131" s="36" t="s">
        <v>173</v>
      </c>
      <c r="F131" s="39" t="str">
        <f t="shared" si="1"/>
        <v>04-02</v>
      </c>
      <c r="G131" s="39" t="str">
        <f t="shared" si="2"/>
        <v>C05-01</v>
      </c>
    </row>
    <row r="132" ht="26.25" customHeight="1">
      <c r="A132" s="22" t="s">
        <v>1374</v>
      </c>
      <c r="B132" s="25" t="s">
        <v>1375</v>
      </c>
      <c r="C132" s="22" t="s">
        <v>863</v>
      </c>
      <c r="D132" s="38" t="str">
        <f t="array" ref="D132">IFERROR(INDEX('ケイパビリティマップ'!$E:$E,MATCH(C132,'ケイパビリティマップ'!$A:$A,0)),"（IDなし）")</f>
        <v>臨床開発計画</v>
      </c>
      <c r="E132" s="36" t="s">
        <v>254</v>
      </c>
      <c r="F132" s="39" t="str">
        <f t="shared" si="1"/>
        <v>04-02</v>
      </c>
      <c r="G132" s="39" t="str">
        <f t="shared" si="2"/>
        <v>C05-01</v>
      </c>
    </row>
    <row r="133" ht="26.25" customHeight="1">
      <c r="A133" s="22" t="s">
        <v>1374</v>
      </c>
      <c r="B133" s="25" t="s">
        <v>1375</v>
      </c>
      <c r="C133" s="22" t="s">
        <v>525</v>
      </c>
      <c r="D133" s="38" t="str">
        <f t="array" ref="D133">IFERROR(INDEX('ケイパビリティマップ'!$E:$E,MATCH(C133,'ケイパビリティマップ'!$A:$A,0)),"（IDなし）")</f>
        <v>ヒトPK予測・初回投与量設定</v>
      </c>
      <c r="E133" s="36" t="s">
        <v>254</v>
      </c>
      <c r="F133" s="39" t="str">
        <f t="shared" si="1"/>
        <v>04-02</v>
      </c>
      <c r="G133" s="39" t="str">
        <f t="shared" si="2"/>
        <v>C03-04</v>
      </c>
    </row>
    <row r="134" ht="26.25" customHeight="1">
      <c r="A134" s="22" t="s">
        <v>1382</v>
      </c>
      <c r="B134" s="25" t="s">
        <v>1385</v>
      </c>
      <c r="C134" s="22" t="s">
        <v>1024</v>
      </c>
      <c r="D134" s="38" t="str">
        <f t="array" ref="D134">IFERROR(INDEX('ケイパビリティマップ'!$E:$E,MATCH(C134,'ケイパビリティマップ'!$A:$A,0)),"（IDなし）")</f>
        <v>施設立ち上げ</v>
      </c>
      <c r="E134" s="36" t="s">
        <v>173</v>
      </c>
      <c r="F134" s="39" t="str">
        <f t="shared" si="1"/>
        <v>04-02</v>
      </c>
      <c r="G134" s="39" t="str">
        <f t="shared" si="2"/>
        <v>C05-04</v>
      </c>
    </row>
    <row r="135" ht="26.25" customHeight="1">
      <c r="A135" s="22" t="s">
        <v>1382</v>
      </c>
      <c r="B135" s="25" t="s">
        <v>1385</v>
      </c>
      <c r="C135" s="22" t="s">
        <v>996</v>
      </c>
      <c r="D135" s="38" t="str">
        <f t="array" ref="D135">IFERROR(INDEX('ケイパビリティマップ'!$E:$E,MATCH(C135,'ケイパビリティマップ'!$A:$A,0)),"（IDなし）")</f>
        <v>施設・紹介ネットワーク</v>
      </c>
      <c r="E135" s="36" t="s">
        <v>254</v>
      </c>
      <c r="F135" s="39" t="str">
        <f t="shared" si="1"/>
        <v>04-02</v>
      </c>
      <c r="G135" s="39" t="str">
        <f t="shared" si="2"/>
        <v>C05-03</v>
      </c>
    </row>
    <row r="136" ht="26.25" customHeight="1">
      <c r="A136" s="22" t="s">
        <v>1382</v>
      </c>
      <c r="B136" s="25" t="s">
        <v>1385</v>
      </c>
      <c r="C136" s="22" t="s">
        <v>142</v>
      </c>
      <c r="D136" s="38" t="str">
        <f t="array" ref="D136">IFERROR(INDEX('ケイパビリティマップ'!$E:$E,MATCH(C136,'ケイパビリティマップ'!$A:$A,0)),"（IDなし）")</f>
        <v>パートナー選定・評価</v>
      </c>
      <c r="E136" s="36" t="s">
        <v>254</v>
      </c>
      <c r="F136" s="39" t="str">
        <f t="shared" si="1"/>
        <v>04-02</v>
      </c>
      <c r="G136" s="39" t="str">
        <f t="shared" si="2"/>
        <v>C01-03</v>
      </c>
    </row>
    <row r="137" ht="26.25" customHeight="1">
      <c r="A137" s="22" t="s">
        <v>1382</v>
      </c>
      <c r="B137" s="25" t="s">
        <v>1385</v>
      </c>
      <c r="C137" s="22" t="s">
        <v>154</v>
      </c>
      <c r="D137" s="38" t="str">
        <f t="array" ref="D137">IFERROR(INDEX('ケイパビリティマップ'!$E:$E,MATCH(C137,'ケイパビリティマップ'!$A:$A,0)),"（IDなし）")</f>
        <v>委託業務の契約・監督</v>
      </c>
      <c r="E137" s="36" t="s">
        <v>254</v>
      </c>
      <c r="F137" s="39" t="str">
        <f t="shared" si="1"/>
        <v>04-02</v>
      </c>
      <c r="G137" s="39" t="str">
        <f t="shared" si="2"/>
        <v>C01-03</v>
      </c>
    </row>
    <row r="138" ht="15.0" customHeight="1">
      <c r="A138" s="22" t="s">
        <v>1392</v>
      </c>
      <c r="B138" s="38" t="s">
        <v>2151</v>
      </c>
      <c r="C138" s="22" t="s">
        <v>1039</v>
      </c>
      <c r="D138" s="38" t="str">
        <f t="array" ref="D138">IFERROR(INDEX('ケイパビリティマップ'!$E:$E,MATCH(C138,'ケイパビリティマップ'!$A:$A,0)),"（IDなし）")</f>
        <v>試験文書・登録管理</v>
      </c>
      <c r="E138" s="36" t="s">
        <v>173</v>
      </c>
      <c r="F138" s="39" t="str">
        <f t="shared" si="1"/>
        <v>04-02</v>
      </c>
      <c r="G138" s="39" t="str">
        <f t="shared" si="2"/>
        <v>C05-04</v>
      </c>
    </row>
    <row r="139" ht="26.25" customHeight="1">
      <c r="A139" s="22" t="s">
        <v>1403</v>
      </c>
      <c r="B139" s="25" t="s">
        <v>1406</v>
      </c>
      <c r="C139" s="22" t="s">
        <v>1032</v>
      </c>
      <c r="D139" s="38" t="str">
        <f t="array" ref="D139">IFERROR(INDEX('ケイパビリティマップ'!$E:$E,MATCH(C139,'ケイパビリティマップ'!$A:$A,0)),"（IDなし）")</f>
        <v>モニタリング・施設管理</v>
      </c>
      <c r="E139" s="36" t="s">
        <v>173</v>
      </c>
      <c r="F139" s="39" t="str">
        <f t="shared" si="1"/>
        <v>04-02</v>
      </c>
      <c r="G139" s="39" t="str">
        <f t="shared" si="2"/>
        <v>C05-04</v>
      </c>
    </row>
    <row r="140" ht="26.25" customHeight="1">
      <c r="A140" s="22" t="s">
        <v>1403</v>
      </c>
      <c r="B140" s="25" t="s">
        <v>1406</v>
      </c>
      <c r="C140" s="22" t="s">
        <v>1529</v>
      </c>
      <c r="D140" s="38" t="str">
        <f t="array" ref="D140">IFERROR(INDEX('ケイパビリティマップ'!$E:$E,MATCH(C140,'ケイパビリティマップ'!$A:$A,0)),"（IDなし）")</f>
        <v>有害事象情報の収集</v>
      </c>
      <c r="E140" s="36" t="s">
        <v>254</v>
      </c>
      <c r="F140" s="39" t="str">
        <f t="shared" si="1"/>
        <v>04-02</v>
      </c>
      <c r="G140" s="39" t="str">
        <f t="shared" si="2"/>
        <v>C09-01</v>
      </c>
    </row>
    <row r="141" ht="26.25" customHeight="1">
      <c r="A141" s="22" t="s">
        <v>1403</v>
      </c>
      <c r="B141" s="25" t="s">
        <v>1406</v>
      </c>
      <c r="C141" s="22" t="s">
        <v>1084</v>
      </c>
      <c r="D141" s="38" t="str">
        <f t="array" ref="D141">IFERROR(INDEX('ケイパビリティマップ'!$E:$E,MATCH(C141,'ケイパビリティマップ'!$A:$A,0)),"（IDなし）")</f>
        <v>治験薬需給・割付</v>
      </c>
      <c r="E141" s="36" t="s">
        <v>254</v>
      </c>
      <c r="F141" s="39" t="str">
        <f t="shared" si="1"/>
        <v>04-02</v>
      </c>
      <c r="G141" s="39" t="str">
        <f t="shared" si="2"/>
        <v>C05-06</v>
      </c>
    </row>
    <row r="142" ht="15.0" customHeight="1">
      <c r="A142" s="22" t="s">
        <v>1411</v>
      </c>
      <c r="B142" s="38" t="s">
        <v>2152</v>
      </c>
      <c r="C142" s="22" t="s">
        <v>508</v>
      </c>
      <c r="D142" s="38" t="str">
        <f t="array" ref="D142">IFERROR(INDEX('ケイパビリティマップ'!$E:$E,MATCH(C142,'ケイパビリティマップ'!$A:$A,0)),"（IDなし）")</f>
        <v>検体測定</v>
      </c>
      <c r="E142" s="36" t="s">
        <v>173</v>
      </c>
      <c r="F142" s="39" t="str">
        <f t="shared" si="1"/>
        <v>04-02</v>
      </c>
      <c r="G142" s="39" t="str">
        <f t="shared" si="2"/>
        <v>C03-03</v>
      </c>
    </row>
    <row r="143" ht="15.0" customHeight="1">
      <c r="A143" s="22" t="s">
        <v>1411</v>
      </c>
      <c r="B143" s="38" t="s">
        <v>2153</v>
      </c>
      <c r="C143" s="22" t="s">
        <v>543</v>
      </c>
      <c r="D143" s="38" t="str">
        <f t="array" ref="D143">IFERROR(INDEX('ケイパビリティマップ'!$E:$E,MATCH(C143,'ケイパビリティマップ'!$A:$A,0)),"（IDなし）")</f>
        <v>母集団PK・曝露反応解析</v>
      </c>
      <c r="E143" s="36" t="s">
        <v>254</v>
      </c>
      <c r="F143" s="39" t="str">
        <f t="shared" si="1"/>
        <v>04-02</v>
      </c>
      <c r="G143" s="39" t="str">
        <f t="shared" si="2"/>
        <v>C03-04</v>
      </c>
    </row>
    <row r="144" ht="26.25" customHeight="1">
      <c r="A144" s="22" t="s">
        <v>1422</v>
      </c>
      <c r="B144" s="25" t="s">
        <v>1425</v>
      </c>
      <c r="C144" s="22" t="s">
        <v>1093</v>
      </c>
      <c r="D144" s="38" t="str">
        <f t="array" ref="D144">IFERROR(INDEX('ケイパビリティマップ'!$E:$E,MATCH(C144,'ケイパビリティマップ'!$A:$A,0)),"（IDなし）")</f>
        <v>指定制度・インセンティブ管理★</v>
      </c>
      <c r="E144" s="36" t="s">
        <v>173</v>
      </c>
      <c r="F144" s="39" t="str">
        <f t="shared" si="1"/>
        <v>04-02</v>
      </c>
      <c r="G144" s="39" t="str">
        <f t="shared" si="2"/>
        <v>C06-01</v>
      </c>
    </row>
    <row r="145" ht="26.25" customHeight="1">
      <c r="A145" s="22" t="s">
        <v>1430</v>
      </c>
      <c r="B145" s="38" t="s">
        <v>2154</v>
      </c>
      <c r="C145" s="22" t="s">
        <v>1126</v>
      </c>
      <c r="D145" s="38" t="str">
        <f t="array" ref="D145">IFERROR(INDEX('ケイパビリティマップ'!$E:$E,MATCH(C145,'ケイパビリティマップ'!$A:$A,0)),"（IDなし）")</f>
        <v>FDA会議・照会対応</v>
      </c>
      <c r="E145" s="36" t="s">
        <v>173</v>
      </c>
      <c r="F145" s="39" t="str">
        <f t="shared" si="1"/>
        <v>04-02</v>
      </c>
      <c r="G145" s="39" t="str">
        <f t="shared" si="2"/>
        <v>C06-01</v>
      </c>
    </row>
    <row r="146" ht="26.25" customHeight="1">
      <c r="A146" s="22" t="s">
        <v>1430</v>
      </c>
      <c r="B146" s="38" t="s">
        <v>2155</v>
      </c>
      <c r="C146" s="22" t="s">
        <v>880</v>
      </c>
      <c r="D146" s="38" t="str">
        <f t="array" ref="D146">IFERROR(INDEX('ケイパビリティマップ'!$E:$E,MATCH(C146,'ケイパビリティマップ'!$A:$A,0)),"（IDなし）")</f>
        <v>試験デザイン★</v>
      </c>
      <c r="E146" s="36" t="s">
        <v>254</v>
      </c>
      <c r="F146" s="39" t="str">
        <f t="shared" si="1"/>
        <v>04-02</v>
      </c>
      <c r="G146" s="39" t="str">
        <f t="shared" si="2"/>
        <v>C05-01</v>
      </c>
    </row>
    <row r="147" ht="26.25" customHeight="1">
      <c r="A147" s="22" t="s">
        <v>1430</v>
      </c>
      <c r="B147" s="38" t="s">
        <v>2156</v>
      </c>
      <c r="C147" s="22" t="s">
        <v>68</v>
      </c>
      <c r="D147" s="38" t="str">
        <f t="array" ref="D147">IFERROR(INDEX('ケイパビリティマップ'!$E:$E,MATCH(C147,'ケイパビリティマップ'!$A:$A,0)),"（IDなし）")</f>
        <v>段階移行判定</v>
      </c>
      <c r="E147" s="36" t="s">
        <v>254</v>
      </c>
      <c r="F147" s="39" t="str">
        <f t="shared" si="1"/>
        <v>04-02</v>
      </c>
      <c r="G147" s="39" t="str">
        <f t="shared" si="2"/>
        <v>C01-01</v>
      </c>
    </row>
    <row r="148" ht="26.25" customHeight="1">
      <c r="A148" s="22" t="s">
        <v>1449</v>
      </c>
      <c r="B148" s="25" t="s">
        <v>1453</v>
      </c>
      <c r="C148" s="22" t="s">
        <v>880</v>
      </c>
      <c r="D148" s="38" t="str">
        <f t="array" ref="D148">IFERROR(INDEX('ケイパビリティマップ'!$E:$E,MATCH(C148,'ケイパビリティマップ'!$A:$A,0)),"（IDなし）")</f>
        <v>試験デザイン★</v>
      </c>
      <c r="E148" s="36" t="s">
        <v>173</v>
      </c>
      <c r="F148" s="39" t="str">
        <f t="shared" si="1"/>
        <v>04-03</v>
      </c>
      <c r="G148" s="39" t="str">
        <f t="shared" si="2"/>
        <v>C05-01</v>
      </c>
    </row>
    <row r="149" ht="26.25" customHeight="1">
      <c r="A149" s="22" t="s">
        <v>1449</v>
      </c>
      <c r="B149" s="25" t="s">
        <v>1453</v>
      </c>
      <c r="C149" s="22" t="s">
        <v>947</v>
      </c>
      <c r="D149" s="38" t="str">
        <f t="array" ref="D149">IFERROR(INDEX('ケイパビリティマップ'!$E:$E,MATCH(C149,'ケイパビリティマップ'!$A:$A,0)),"（IDなし）")</f>
        <v>外部データ活用</v>
      </c>
      <c r="E149" s="36" t="s">
        <v>254</v>
      </c>
      <c r="F149" s="39" t="str">
        <f t="shared" si="1"/>
        <v>04-03</v>
      </c>
      <c r="G149" s="39" t="str">
        <f t="shared" si="2"/>
        <v>C05-02</v>
      </c>
    </row>
    <row r="150" ht="26.25" customHeight="1">
      <c r="A150" s="22" t="s">
        <v>1449</v>
      </c>
      <c r="B150" s="25" t="s">
        <v>1453</v>
      </c>
      <c r="C150" s="22" t="s">
        <v>1126</v>
      </c>
      <c r="D150" s="38" t="str">
        <f t="array" ref="D150">IFERROR(INDEX('ケイパビリティマップ'!$E:$E,MATCH(C150,'ケイパビリティマップ'!$A:$A,0)),"（IDなし）")</f>
        <v>FDA会議・照会対応</v>
      </c>
      <c r="E150" s="36" t="s">
        <v>254</v>
      </c>
      <c r="F150" s="39" t="str">
        <f t="shared" si="1"/>
        <v>04-03</v>
      </c>
      <c r="G150" s="39" t="str">
        <f t="shared" si="2"/>
        <v>C06-01</v>
      </c>
    </row>
    <row r="151" ht="26.25" customHeight="1">
      <c r="A151" s="22" t="s">
        <v>1458</v>
      </c>
      <c r="B151" s="25" t="s">
        <v>1460</v>
      </c>
      <c r="C151" s="22" t="s">
        <v>1024</v>
      </c>
      <c r="D151" s="38" t="str">
        <f t="array" ref="D151">IFERROR(INDEX('ケイパビリティマップ'!$E:$E,MATCH(C151,'ケイパビリティマップ'!$A:$A,0)),"（IDなし）")</f>
        <v>施設立ち上げ</v>
      </c>
      <c r="E151" s="36" t="s">
        <v>173</v>
      </c>
      <c r="F151" s="39" t="str">
        <f t="shared" si="1"/>
        <v>04-03</v>
      </c>
      <c r="G151" s="39" t="str">
        <f t="shared" si="2"/>
        <v>C05-04</v>
      </c>
    </row>
    <row r="152" ht="26.25" customHeight="1">
      <c r="A152" s="22" t="s">
        <v>1458</v>
      </c>
      <c r="B152" s="25" t="s">
        <v>1460</v>
      </c>
      <c r="C152" s="22" t="s">
        <v>1039</v>
      </c>
      <c r="D152" s="38" t="str">
        <f t="array" ref="D152">IFERROR(INDEX('ケイパビリティマップ'!$E:$E,MATCH(C152,'ケイパビリティマップ'!$A:$A,0)),"（IDなし）")</f>
        <v>試験文書・登録管理</v>
      </c>
      <c r="E152" s="36" t="s">
        <v>254</v>
      </c>
      <c r="F152" s="39" t="str">
        <f t="shared" si="1"/>
        <v>04-03</v>
      </c>
      <c r="G152" s="39" t="str">
        <f t="shared" si="2"/>
        <v>C05-04</v>
      </c>
    </row>
    <row r="153" ht="26.25" customHeight="1">
      <c r="A153" s="22" t="s">
        <v>1458</v>
      </c>
      <c r="B153" s="25" t="s">
        <v>1460</v>
      </c>
      <c r="C153" s="22" t="s">
        <v>996</v>
      </c>
      <c r="D153" s="38" t="str">
        <f t="array" ref="D153">IFERROR(INDEX('ケイパビリティマップ'!$E:$E,MATCH(C153,'ケイパビリティマップ'!$A:$A,0)),"（IDなし）")</f>
        <v>施設・紹介ネットワーク</v>
      </c>
      <c r="E153" s="36" t="s">
        <v>254</v>
      </c>
      <c r="F153" s="39" t="str">
        <f t="shared" si="1"/>
        <v>04-03</v>
      </c>
      <c r="G153" s="39" t="str">
        <f t="shared" si="2"/>
        <v>C05-03</v>
      </c>
    </row>
    <row r="154" ht="26.25" customHeight="1">
      <c r="A154" s="22" t="s">
        <v>1467</v>
      </c>
      <c r="B154" s="25" t="s">
        <v>1470</v>
      </c>
      <c r="C154" s="22" t="s">
        <v>1032</v>
      </c>
      <c r="D154" s="38" t="str">
        <f t="array" ref="D154">IFERROR(INDEX('ケイパビリティマップ'!$E:$E,MATCH(C154,'ケイパビリティマップ'!$A:$A,0)),"（IDなし）")</f>
        <v>モニタリング・施設管理</v>
      </c>
      <c r="E154" s="36" t="s">
        <v>173</v>
      </c>
      <c r="F154" s="39" t="str">
        <f t="shared" si="1"/>
        <v>04-03</v>
      </c>
      <c r="G154" s="39" t="str">
        <f t="shared" si="2"/>
        <v>C05-04</v>
      </c>
    </row>
    <row r="155" ht="26.25" customHeight="1">
      <c r="A155" s="22" t="s">
        <v>1467</v>
      </c>
      <c r="B155" s="25" t="s">
        <v>1470</v>
      </c>
      <c r="C155" s="22" t="s">
        <v>1009</v>
      </c>
      <c r="D155" s="38" t="str">
        <f t="array" ref="D155">IFERROR(INDEX('ケイパビリティマップ'!$E:$E,MATCH(C155,'ケイパビリティマップ'!$A:$A,0)),"（IDなし）")</f>
        <v>参加負担の軽減</v>
      </c>
      <c r="E155" s="36" t="s">
        <v>254</v>
      </c>
      <c r="F155" s="39" t="str">
        <f t="shared" si="1"/>
        <v>04-03</v>
      </c>
      <c r="G155" s="39" t="str">
        <f t="shared" si="2"/>
        <v>C05-03</v>
      </c>
    </row>
    <row r="156" ht="26.25" customHeight="1">
      <c r="A156" s="22" t="s">
        <v>1467</v>
      </c>
      <c r="B156" s="25" t="s">
        <v>1470</v>
      </c>
      <c r="C156" s="22" t="s">
        <v>1084</v>
      </c>
      <c r="D156" s="38" t="str">
        <f t="array" ref="D156">IFERROR(INDEX('ケイパビリティマップ'!$E:$E,MATCH(C156,'ケイパビリティマップ'!$A:$A,0)),"（IDなし）")</f>
        <v>治験薬需給・割付</v>
      </c>
      <c r="E156" s="36" t="s">
        <v>254</v>
      </c>
      <c r="F156" s="39" t="str">
        <f t="shared" si="1"/>
        <v>04-03</v>
      </c>
      <c r="G156" s="39" t="str">
        <f t="shared" si="2"/>
        <v>C05-06</v>
      </c>
    </row>
    <row r="157" ht="26.25" customHeight="1">
      <c r="A157" s="22" t="s">
        <v>1467</v>
      </c>
      <c r="B157" s="25" t="s">
        <v>1470</v>
      </c>
      <c r="C157" s="22" t="s">
        <v>1529</v>
      </c>
      <c r="D157" s="38" t="str">
        <f t="array" ref="D157">IFERROR(INDEX('ケイパビリティマップ'!$E:$E,MATCH(C157,'ケイパビリティマップ'!$A:$A,0)),"（IDなし）")</f>
        <v>有害事象情報の収集</v>
      </c>
      <c r="E157" s="36" t="s">
        <v>254</v>
      </c>
      <c r="F157" s="39" t="str">
        <f t="shared" si="1"/>
        <v>04-03</v>
      </c>
      <c r="G157" s="39" t="str">
        <f t="shared" si="2"/>
        <v>C09-01</v>
      </c>
    </row>
    <row r="158" ht="15.0" customHeight="1">
      <c r="A158" s="22" t="s">
        <v>1477</v>
      </c>
      <c r="B158" s="25" t="s">
        <v>1479</v>
      </c>
      <c r="C158" s="22" t="s">
        <v>1052</v>
      </c>
      <c r="D158" s="38" t="str">
        <f t="array" ref="D158">IFERROR(INDEX('ケイパビリティマップ'!$E:$E,MATCH(C158,'ケイパビリティマップ'!$A:$A,0)),"（IDなし）")</f>
        <v>データマネジメント</v>
      </c>
      <c r="E158" s="36" t="s">
        <v>173</v>
      </c>
      <c r="F158" s="39" t="str">
        <f t="shared" si="1"/>
        <v>04-03</v>
      </c>
      <c r="G158" s="39" t="str">
        <f t="shared" si="2"/>
        <v>C05-05</v>
      </c>
    </row>
    <row r="159" ht="15.0" customHeight="1">
      <c r="A159" s="22" t="s">
        <v>1487</v>
      </c>
      <c r="B159" s="25" t="s">
        <v>1488</v>
      </c>
      <c r="C159" s="22" t="s">
        <v>1062</v>
      </c>
      <c r="D159" s="38" t="str">
        <f t="array" ref="D159">IFERROR(INDEX('ケイパビリティマップ'!$E:$E,MATCH(C159,'ケイパビリティマップ'!$A:$A,0)),"（IDなし）")</f>
        <v>統計解析</v>
      </c>
      <c r="E159" s="36" t="s">
        <v>173</v>
      </c>
      <c r="F159" s="39" t="str">
        <f t="shared" si="1"/>
        <v>04-03</v>
      </c>
      <c r="G159" s="39" t="str">
        <f t="shared" si="2"/>
        <v>C05-05</v>
      </c>
    </row>
    <row r="160" ht="15.0" customHeight="1">
      <c r="A160" s="22" t="s">
        <v>1487</v>
      </c>
      <c r="B160" s="25" t="s">
        <v>1488</v>
      </c>
      <c r="C160" s="22" t="s">
        <v>1071</v>
      </c>
      <c r="D160" s="38" t="str">
        <f t="array" ref="D160">IFERROR(INDEX('ケイパビリティマップ'!$E:$E,MATCH(C160,'ケイパビリティマップ'!$A:$A,0)),"（IDなし）")</f>
        <v>臨床文書作成</v>
      </c>
      <c r="E160" s="36" t="s">
        <v>173</v>
      </c>
      <c r="F160" s="39" t="str">
        <f t="shared" si="1"/>
        <v>04-03</v>
      </c>
      <c r="G160" s="39" t="str">
        <f t="shared" si="2"/>
        <v>C05-05</v>
      </c>
    </row>
    <row r="161" ht="15.0" customHeight="1">
      <c r="A161" s="22" t="s">
        <v>1500</v>
      </c>
      <c r="B161" s="25" t="s">
        <v>1502</v>
      </c>
      <c r="C161" s="22" t="s">
        <v>1062</v>
      </c>
      <c r="D161" s="38" t="str">
        <f t="array" ref="D161">IFERROR(INDEX('ケイパビリティマップ'!$E:$E,MATCH(C161,'ケイパビリティマップ'!$A:$A,0)),"（IDなし）")</f>
        <v>統計解析</v>
      </c>
      <c r="E161" s="36" t="s">
        <v>173</v>
      </c>
      <c r="F161" s="39" t="str">
        <f t="shared" si="1"/>
        <v>04-04</v>
      </c>
      <c r="G161" s="39" t="str">
        <f t="shared" si="2"/>
        <v>C05-05</v>
      </c>
    </row>
    <row r="162" ht="15.0" customHeight="1">
      <c r="A162" s="22" t="s">
        <v>1500</v>
      </c>
      <c r="B162" s="25" t="s">
        <v>1502</v>
      </c>
      <c r="C162" s="22" t="s">
        <v>1555</v>
      </c>
      <c r="D162" s="38" t="str">
        <f t="array" ref="D162">IFERROR(INDEX('ケイパビリティマップ'!$E:$E,MATCH(C162,'ケイパビリティマップ'!$A:$A,0)),"（IDなし）")</f>
        <v>シグナル検出・評価</v>
      </c>
      <c r="E162" s="36" t="s">
        <v>254</v>
      </c>
      <c r="F162" s="39" t="str">
        <f t="shared" si="1"/>
        <v>04-04</v>
      </c>
      <c r="G162" s="39" t="str">
        <f t="shared" si="2"/>
        <v>C09-02</v>
      </c>
    </row>
    <row r="163" ht="15.0" customHeight="1">
      <c r="A163" s="22" t="s">
        <v>1510</v>
      </c>
      <c r="B163" s="25" t="s">
        <v>1513</v>
      </c>
      <c r="C163" s="22" t="s">
        <v>1062</v>
      </c>
      <c r="D163" s="38" t="str">
        <f t="array" ref="D163">IFERROR(INDEX('ケイパビリティマップ'!$E:$E,MATCH(C163,'ケイパビリティマップ'!$A:$A,0)),"（IDなし）")</f>
        <v>統計解析</v>
      </c>
      <c r="E163" s="36" t="s">
        <v>173</v>
      </c>
      <c r="F163" s="39" t="str">
        <f t="shared" si="1"/>
        <v>04-04</v>
      </c>
      <c r="G163" s="39" t="str">
        <f t="shared" si="2"/>
        <v>C05-05</v>
      </c>
    </row>
    <row r="164" ht="15.0" customHeight="1">
      <c r="A164" s="22" t="s">
        <v>1510</v>
      </c>
      <c r="B164" s="25" t="s">
        <v>1513</v>
      </c>
      <c r="C164" s="22" t="s">
        <v>947</v>
      </c>
      <c r="D164" s="38" t="str">
        <f t="array" ref="D164">IFERROR(INDEX('ケイパビリティマップ'!$E:$E,MATCH(C164,'ケイパビリティマップ'!$A:$A,0)),"（IDなし）")</f>
        <v>外部データ活用</v>
      </c>
      <c r="E164" s="36" t="s">
        <v>254</v>
      </c>
      <c r="F164" s="39" t="str">
        <f t="shared" si="1"/>
        <v>04-04</v>
      </c>
      <c r="G164" s="39" t="str">
        <f t="shared" si="2"/>
        <v>C05-02</v>
      </c>
    </row>
    <row r="165" ht="15.0" customHeight="1">
      <c r="A165" s="22" t="s">
        <v>1519</v>
      </c>
      <c r="B165" s="25" t="s">
        <v>546</v>
      </c>
      <c r="C165" s="22" t="s">
        <v>543</v>
      </c>
      <c r="D165" s="38" t="str">
        <f t="array" ref="D165">IFERROR(INDEX('ケイパビリティマップ'!$E:$E,MATCH(C165,'ケイパビリティマップ'!$A:$A,0)),"（IDなし）")</f>
        <v>母集団PK・曝露反応解析</v>
      </c>
      <c r="E165" s="36" t="s">
        <v>173</v>
      </c>
      <c r="F165" s="39" t="str">
        <f t="shared" si="1"/>
        <v>04-04</v>
      </c>
      <c r="G165" s="39" t="str">
        <f t="shared" si="2"/>
        <v>C03-04</v>
      </c>
    </row>
    <row r="166" ht="15.0" customHeight="1">
      <c r="A166" s="22" t="s">
        <v>1525</v>
      </c>
      <c r="B166" s="25" t="s">
        <v>1526</v>
      </c>
      <c r="C166" s="22" t="s">
        <v>1062</v>
      </c>
      <c r="D166" s="38" t="str">
        <f t="array" ref="D166">IFERROR(INDEX('ケイパビリティマップ'!$E:$E,MATCH(C166,'ケイパビリティマップ'!$A:$A,0)),"（IDなし）")</f>
        <v>統計解析</v>
      </c>
      <c r="E166" s="36" t="s">
        <v>173</v>
      </c>
      <c r="F166" s="39" t="str">
        <f t="shared" si="1"/>
        <v>04-04</v>
      </c>
      <c r="G166" s="39" t="str">
        <f t="shared" si="2"/>
        <v>C05-05</v>
      </c>
    </row>
    <row r="167" ht="15.0" customHeight="1">
      <c r="A167" s="22" t="s">
        <v>1525</v>
      </c>
      <c r="B167" s="25" t="s">
        <v>1526</v>
      </c>
      <c r="C167" s="22" t="s">
        <v>508</v>
      </c>
      <c r="D167" s="38" t="str">
        <f t="array" ref="D167">IFERROR(INDEX('ケイパビリティマップ'!$E:$E,MATCH(C167,'ケイパビリティマップ'!$A:$A,0)),"（IDなし）")</f>
        <v>検体測定</v>
      </c>
      <c r="E167" s="36" t="s">
        <v>254</v>
      </c>
      <c r="F167" s="39" t="str">
        <f t="shared" si="1"/>
        <v>04-04</v>
      </c>
      <c r="G167" s="39" t="str">
        <f t="shared" si="2"/>
        <v>C03-03</v>
      </c>
    </row>
    <row r="168" ht="15.0" customHeight="1">
      <c r="A168" s="22" t="s">
        <v>1531</v>
      </c>
      <c r="B168" s="25" t="s">
        <v>1534</v>
      </c>
      <c r="C168" s="22" t="s">
        <v>1032</v>
      </c>
      <c r="D168" s="38" t="str">
        <f t="array" ref="D168">IFERROR(INDEX('ケイパビリティマップ'!$E:$E,MATCH(C168,'ケイパビリティマップ'!$A:$A,0)),"（IDなし）")</f>
        <v>モニタリング・施設管理</v>
      </c>
      <c r="E168" s="36" t="s">
        <v>173</v>
      </c>
      <c r="F168" s="39" t="str">
        <f t="shared" si="1"/>
        <v>04-04</v>
      </c>
      <c r="G168" s="39" t="str">
        <f t="shared" si="2"/>
        <v>C05-04</v>
      </c>
    </row>
    <row r="169" ht="15.0" customHeight="1">
      <c r="A169" s="22" t="s">
        <v>1531</v>
      </c>
      <c r="B169" s="25" t="s">
        <v>1534</v>
      </c>
      <c r="C169" s="22" t="s">
        <v>1529</v>
      </c>
      <c r="D169" s="38" t="str">
        <f t="array" ref="D169">IFERROR(INDEX('ケイパビリティマップ'!$E:$E,MATCH(C169,'ケイパビリティマップ'!$A:$A,0)),"（IDなし）")</f>
        <v>有害事象情報の収集</v>
      </c>
      <c r="E169" s="36" t="s">
        <v>254</v>
      </c>
      <c r="F169" s="39" t="str">
        <f t="shared" si="1"/>
        <v>04-04</v>
      </c>
      <c r="G169" s="39" t="str">
        <f t="shared" si="2"/>
        <v>C09-01</v>
      </c>
    </row>
    <row r="170" ht="15.0" customHeight="1">
      <c r="A170" s="22" t="s">
        <v>1548</v>
      </c>
      <c r="B170" s="25" t="s">
        <v>1551</v>
      </c>
      <c r="C170" s="22" t="s">
        <v>1562</v>
      </c>
      <c r="D170" s="38" t="str">
        <f t="array" ref="D170">IFERROR(INDEX('ケイパビリティマップ'!$E:$E,MATCH(C170,'ケイパビリティマップ'!$A:$A,0)),"（IDなし）")</f>
        <v>ベネフィット・リスク評価</v>
      </c>
      <c r="E170" s="36" t="s">
        <v>173</v>
      </c>
      <c r="F170" s="39" t="str">
        <f t="shared" si="1"/>
        <v>04-04</v>
      </c>
      <c r="G170" s="39" t="str">
        <f t="shared" si="2"/>
        <v>C09-02</v>
      </c>
    </row>
    <row r="171" ht="15.0" customHeight="1">
      <c r="A171" s="22" t="s">
        <v>1577</v>
      </c>
      <c r="B171" s="38" t="s">
        <v>2179</v>
      </c>
      <c r="C171" s="22" t="s">
        <v>1126</v>
      </c>
      <c r="D171" s="38" t="str">
        <f t="array" ref="D171">IFERROR(INDEX('ケイパビリティマップ'!$E:$E,MATCH(C171,'ケイパビリティマップ'!$A:$A,0)),"（IDなし）")</f>
        <v>FDA会議・照会対応</v>
      </c>
      <c r="E171" s="36" t="s">
        <v>173</v>
      </c>
      <c r="F171" s="39" t="str">
        <f t="shared" si="1"/>
        <v>05-01</v>
      </c>
      <c r="G171" s="39" t="str">
        <f t="shared" si="2"/>
        <v>C06-01</v>
      </c>
    </row>
    <row r="172" ht="15.0" customHeight="1">
      <c r="A172" s="22" t="s">
        <v>1582</v>
      </c>
      <c r="B172" s="25" t="s">
        <v>1583</v>
      </c>
      <c r="C172" s="22" t="s">
        <v>1158</v>
      </c>
      <c r="D172" s="38" t="str">
        <f t="array" ref="D172">IFERROR(INDEX('ケイパビリティマップ'!$E:$E,MATCH(C172,'ケイパビリティマップ'!$A:$A,0)),"（IDなし）")</f>
        <v>申請資料の作成・統合</v>
      </c>
      <c r="E172" s="36" t="s">
        <v>173</v>
      </c>
      <c r="F172" s="39" t="str">
        <f t="shared" si="1"/>
        <v>05-01</v>
      </c>
      <c r="G172" s="39" t="str">
        <f t="shared" si="2"/>
        <v>C06-02</v>
      </c>
    </row>
    <row r="173" ht="15.0" customHeight="1">
      <c r="A173" s="22" t="s">
        <v>1582</v>
      </c>
      <c r="B173" s="25" t="s">
        <v>1583</v>
      </c>
      <c r="C173" s="22" t="s">
        <v>669</v>
      </c>
      <c r="D173" s="38" t="str">
        <f t="array" ref="D173">IFERROR(INDEX('ケイパビリティマップ'!$E:$E,MATCH(C173,'ケイパビリティマップ'!$A:$A,0)),"（IDなし）")</f>
        <v>プロセス特性解析・管理戦略</v>
      </c>
      <c r="E173" s="36" t="s">
        <v>254</v>
      </c>
      <c r="F173" s="39" t="str">
        <f t="shared" si="1"/>
        <v>05-01</v>
      </c>
      <c r="G173" s="39" t="str">
        <f t="shared" si="2"/>
        <v>C04-02</v>
      </c>
    </row>
    <row r="174" ht="15.0" customHeight="1">
      <c r="A174" s="22" t="s">
        <v>1591</v>
      </c>
      <c r="B174" s="25" t="s">
        <v>1595</v>
      </c>
      <c r="C174" s="22" t="s">
        <v>1158</v>
      </c>
      <c r="D174" s="38" t="str">
        <f t="array" ref="D174">IFERROR(INDEX('ケイパビリティマップ'!$E:$E,MATCH(C174,'ケイパビリティマップ'!$A:$A,0)),"（IDなし）")</f>
        <v>申請資料の作成・統合</v>
      </c>
      <c r="E174" s="36" t="s">
        <v>173</v>
      </c>
      <c r="F174" s="39" t="str">
        <f t="shared" si="1"/>
        <v>05-01</v>
      </c>
      <c r="G174" s="39" t="str">
        <f t="shared" si="2"/>
        <v>C06-02</v>
      </c>
    </row>
    <row r="175" ht="15.0" customHeight="1">
      <c r="A175" s="22" t="s">
        <v>1591</v>
      </c>
      <c r="B175" s="25" t="s">
        <v>1595</v>
      </c>
      <c r="C175" s="22" t="s">
        <v>1071</v>
      </c>
      <c r="D175" s="38" t="str">
        <f t="array" ref="D175">IFERROR(INDEX('ケイパビリティマップ'!$E:$E,MATCH(C175,'ケイパビリティマップ'!$A:$A,0)),"（IDなし）")</f>
        <v>臨床文書作成</v>
      </c>
      <c r="E175" s="36" t="s">
        <v>254</v>
      </c>
      <c r="F175" s="39" t="str">
        <f t="shared" si="1"/>
        <v>05-01</v>
      </c>
      <c r="G175" s="39" t="str">
        <f t="shared" si="2"/>
        <v>C05-05</v>
      </c>
    </row>
    <row r="176" ht="15.0" customHeight="1">
      <c r="A176" s="22" t="s">
        <v>1600</v>
      </c>
      <c r="B176" s="25" t="s">
        <v>1602</v>
      </c>
      <c r="C176" s="22" t="s">
        <v>1158</v>
      </c>
      <c r="D176" s="38" t="str">
        <f t="array" ref="D176">IFERROR(INDEX('ケイパビリティマップ'!$E:$E,MATCH(C176,'ケイパビリティマップ'!$A:$A,0)),"（IDなし）")</f>
        <v>申請資料の作成・統合</v>
      </c>
      <c r="E176" s="36" t="s">
        <v>173</v>
      </c>
      <c r="F176" s="39" t="str">
        <f t="shared" si="1"/>
        <v>05-01</v>
      </c>
      <c r="G176" s="39" t="str">
        <f t="shared" si="2"/>
        <v>C06-02</v>
      </c>
    </row>
    <row r="177" ht="15.0" customHeight="1">
      <c r="A177" s="22" t="s">
        <v>1600</v>
      </c>
      <c r="B177" s="25" t="s">
        <v>1602</v>
      </c>
      <c r="C177" s="22" t="s">
        <v>1071</v>
      </c>
      <c r="D177" s="38" t="str">
        <f t="array" ref="D177">IFERROR(INDEX('ケイパビリティマップ'!$E:$E,MATCH(C177,'ケイパビリティマップ'!$A:$A,0)),"（IDなし）")</f>
        <v>臨床文書作成</v>
      </c>
      <c r="E177" s="36" t="s">
        <v>254</v>
      </c>
      <c r="F177" s="39" t="str">
        <f t="shared" si="1"/>
        <v>05-01</v>
      </c>
      <c r="G177" s="39" t="str">
        <f t="shared" si="2"/>
        <v>C05-05</v>
      </c>
    </row>
    <row r="178" ht="26.25" customHeight="1">
      <c r="A178" s="22" t="s">
        <v>1607</v>
      </c>
      <c r="B178" s="25" t="s">
        <v>1610</v>
      </c>
      <c r="C178" s="22" t="s">
        <v>1158</v>
      </c>
      <c r="D178" s="38" t="str">
        <f t="array" ref="D178">IFERROR(INDEX('ケイパビリティマップ'!$E:$E,MATCH(C178,'ケイパビリティマップ'!$A:$A,0)),"（IDなし）")</f>
        <v>申請資料の作成・統合</v>
      </c>
      <c r="E178" s="36" t="s">
        <v>173</v>
      </c>
      <c r="F178" s="39" t="str">
        <f t="shared" si="1"/>
        <v>05-01</v>
      </c>
      <c r="G178" s="39" t="str">
        <f t="shared" si="2"/>
        <v>C06-02</v>
      </c>
    </row>
    <row r="179" ht="26.25" customHeight="1">
      <c r="A179" s="22" t="s">
        <v>1607</v>
      </c>
      <c r="B179" s="25" t="s">
        <v>1610</v>
      </c>
      <c r="C179" s="22" t="s">
        <v>1190</v>
      </c>
      <c r="D179" s="38" t="str">
        <f t="array" ref="D179">IFERROR(INDEX('ケイパビリティマップ'!$E:$E,MATCH(C179,'ケイパビリティマップ'!$A:$A,0)),"（IDなし）")</f>
        <v>表示の作成・交渉</v>
      </c>
      <c r="E179" s="36" t="s">
        <v>254</v>
      </c>
      <c r="F179" s="39" t="str">
        <f t="shared" si="1"/>
        <v>05-01</v>
      </c>
      <c r="G179" s="39" t="str">
        <f t="shared" si="2"/>
        <v>C06-03</v>
      </c>
    </row>
    <row r="180" ht="26.25" customHeight="1">
      <c r="A180" s="22" t="s">
        <v>1617</v>
      </c>
      <c r="B180" s="25" t="s">
        <v>1620</v>
      </c>
      <c r="C180" s="22" t="s">
        <v>1167</v>
      </c>
      <c r="D180" s="38" t="str">
        <f t="array" ref="D180">IFERROR(INDEX('ケイパビリティマップ'!$E:$E,MATCH(C180,'ケイパビリティマップ'!$A:$A,0)),"（IDなし）")</f>
        <v>電子申請・パブリッシング</v>
      </c>
      <c r="E180" s="36" t="s">
        <v>173</v>
      </c>
      <c r="F180" s="39" t="str">
        <f t="shared" si="1"/>
        <v>05-01</v>
      </c>
      <c r="G180" s="39" t="str">
        <f t="shared" si="2"/>
        <v>C06-02</v>
      </c>
    </row>
    <row r="181" ht="15.0" customHeight="1">
      <c r="A181" s="22" t="s">
        <v>1633</v>
      </c>
      <c r="B181" s="25" t="s">
        <v>1635</v>
      </c>
      <c r="C181" s="22" t="s">
        <v>1126</v>
      </c>
      <c r="D181" s="38" t="str">
        <f t="array" ref="D181">IFERROR(INDEX('ケイパビリティマップ'!$E:$E,MATCH(C181,'ケイパビリティマップ'!$A:$A,0)),"（IDなし）")</f>
        <v>FDA会議・照会対応</v>
      </c>
      <c r="E181" s="36" t="s">
        <v>173</v>
      </c>
      <c r="F181" s="39" t="str">
        <f t="shared" si="1"/>
        <v>05-02</v>
      </c>
      <c r="G181" s="39" t="str">
        <f t="shared" si="2"/>
        <v>C06-01</v>
      </c>
    </row>
    <row r="182" ht="15.0" customHeight="1">
      <c r="A182" s="22" t="s">
        <v>1639</v>
      </c>
      <c r="B182" s="25" t="s">
        <v>1643</v>
      </c>
      <c r="C182" s="22" t="s">
        <v>1126</v>
      </c>
      <c r="D182" s="38" t="str">
        <f t="array" ref="D182">IFERROR(INDEX('ケイパビリティマップ'!$E:$E,MATCH(C182,'ケイパビリティマップ'!$A:$A,0)),"（IDなし）")</f>
        <v>FDA会議・照会対応</v>
      </c>
      <c r="E182" s="36" t="s">
        <v>173</v>
      </c>
      <c r="F182" s="39" t="str">
        <f t="shared" si="1"/>
        <v>05-02</v>
      </c>
      <c r="G182" s="39" t="str">
        <f t="shared" si="2"/>
        <v>C06-01</v>
      </c>
    </row>
    <row r="183" ht="15.0" customHeight="1">
      <c r="A183" s="22" t="s">
        <v>1639</v>
      </c>
      <c r="B183" s="25" t="s">
        <v>1643</v>
      </c>
      <c r="C183" s="22" t="s">
        <v>1178</v>
      </c>
      <c r="D183" s="38" t="str">
        <f t="array" ref="D183">IFERROR(INDEX('ケイパビリティマップ'!$E:$E,MATCH(C183,'ケイパビリティマップ'!$A:$A,0)),"（IDなし）")</f>
        <v>申請ライフサイクル管理</v>
      </c>
      <c r="E183" s="36" t="s">
        <v>254</v>
      </c>
      <c r="F183" s="39" t="str">
        <f t="shared" si="1"/>
        <v>05-02</v>
      </c>
      <c r="G183" s="39" t="str">
        <f t="shared" si="2"/>
        <v>C06-02</v>
      </c>
    </row>
    <row r="184" ht="15.0" customHeight="1">
      <c r="A184" s="22" t="s">
        <v>1650</v>
      </c>
      <c r="B184" s="25" t="s">
        <v>1653</v>
      </c>
      <c r="C184" s="22" t="s">
        <v>1512</v>
      </c>
      <c r="D184" s="38" t="str">
        <f t="array" ref="D184">IFERROR(INDEX('ケイパビリティマップ'!$E:$E,MATCH(C184,'ケイパビリティマップ'!$A:$A,0)),"（IDなし）")</f>
        <v>当局査察対応</v>
      </c>
      <c r="E184" s="36" t="s">
        <v>173</v>
      </c>
      <c r="F184" s="39" t="str">
        <f t="shared" si="1"/>
        <v>05-02</v>
      </c>
      <c r="G184" s="39" t="str">
        <f t="shared" si="2"/>
        <v>C08-04</v>
      </c>
    </row>
    <row r="185" ht="15.0" customHeight="1">
      <c r="A185" s="22" t="s">
        <v>1650</v>
      </c>
      <c r="B185" s="25" t="s">
        <v>1653</v>
      </c>
      <c r="C185" s="22" t="s">
        <v>154</v>
      </c>
      <c r="D185" s="38" t="str">
        <f t="array" ref="D185">IFERROR(INDEX('ケイパビリティマップ'!$E:$E,MATCH(C185,'ケイパビリティマップ'!$A:$A,0)),"（IDなし）")</f>
        <v>委託業務の契約・監督</v>
      </c>
      <c r="E185" s="36" t="s">
        <v>254</v>
      </c>
      <c r="F185" s="39" t="str">
        <f t="shared" si="1"/>
        <v>05-02</v>
      </c>
      <c r="G185" s="39" t="str">
        <f t="shared" si="2"/>
        <v>C01-03</v>
      </c>
    </row>
    <row r="186" ht="15.0" customHeight="1">
      <c r="A186" s="22" t="s">
        <v>1661</v>
      </c>
      <c r="B186" s="25" t="s">
        <v>1663</v>
      </c>
      <c r="C186" s="22" t="s">
        <v>1512</v>
      </c>
      <c r="D186" s="38" t="str">
        <f t="array" ref="D186">IFERROR(INDEX('ケイパビリティマップ'!$E:$E,MATCH(C186,'ケイパビリティマップ'!$A:$A,0)),"（IDなし）")</f>
        <v>当局査察対応</v>
      </c>
      <c r="E186" s="36" t="s">
        <v>173</v>
      </c>
      <c r="F186" s="39" t="str">
        <f t="shared" si="1"/>
        <v>05-02</v>
      </c>
      <c r="G186" s="39" t="str">
        <f t="shared" si="2"/>
        <v>C08-04</v>
      </c>
    </row>
    <row r="187" ht="15.0" customHeight="1">
      <c r="A187" s="22" t="s">
        <v>1661</v>
      </c>
      <c r="B187" s="25" t="s">
        <v>1663</v>
      </c>
      <c r="C187" s="22" t="s">
        <v>1039</v>
      </c>
      <c r="D187" s="38" t="str">
        <f t="array" ref="D187">IFERROR(INDEX('ケイパビリティマップ'!$E:$E,MATCH(C187,'ケイパビリティマップ'!$A:$A,0)),"（IDなし）")</f>
        <v>試験文書・登録管理</v>
      </c>
      <c r="E187" s="36" t="s">
        <v>254</v>
      </c>
      <c r="F187" s="39" t="str">
        <f t="shared" si="1"/>
        <v>05-02</v>
      </c>
      <c r="G187" s="39" t="str">
        <f t="shared" si="2"/>
        <v>C05-04</v>
      </c>
    </row>
    <row r="188" ht="15.0" customHeight="1">
      <c r="A188" s="22" t="s">
        <v>1668</v>
      </c>
      <c r="B188" s="25" t="s">
        <v>1670</v>
      </c>
      <c r="C188" s="22" t="s">
        <v>1126</v>
      </c>
      <c r="D188" s="38" t="str">
        <f t="array" ref="D188">IFERROR(INDEX('ケイパビリティマップ'!$E:$E,MATCH(C188,'ケイパビリティマップ'!$A:$A,0)),"（IDなし）")</f>
        <v>FDA会議・照会対応</v>
      </c>
      <c r="E188" s="36" t="s">
        <v>173</v>
      </c>
      <c r="F188" s="39" t="str">
        <f t="shared" si="1"/>
        <v>05-02</v>
      </c>
      <c r="G188" s="39" t="str">
        <f t="shared" si="2"/>
        <v>C06-01</v>
      </c>
    </row>
    <row r="189" ht="15.0" customHeight="1">
      <c r="A189" s="22" t="s">
        <v>1673</v>
      </c>
      <c r="B189" s="25" t="s">
        <v>1676</v>
      </c>
      <c r="C189" s="22" t="s">
        <v>1126</v>
      </c>
      <c r="D189" s="38" t="str">
        <f t="array" ref="D189">IFERROR(INDEX('ケイパビリティマップ'!$E:$E,MATCH(C189,'ケイパビリティマップ'!$A:$A,0)),"（IDなし）")</f>
        <v>FDA会議・照会対応</v>
      </c>
      <c r="E189" s="36" t="s">
        <v>173</v>
      </c>
      <c r="F189" s="39" t="str">
        <f t="shared" si="1"/>
        <v>05-02</v>
      </c>
      <c r="G189" s="39" t="str">
        <f t="shared" si="2"/>
        <v>C06-01</v>
      </c>
    </row>
    <row r="190" ht="15.0" customHeight="1">
      <c r="A190" s="22" t="s">
        <v>1673</v>
      </c>
      <c r="B190" s="25" t="s">
        <v>1676</v>
      </c>
      <c r="C190" s="22" t="s">
        <v>1562</v>
      </c>
      <c r="D190" s="38" t="str">
        <f t="array" ref="D190">IFERROR(INDEX('ケイパビリティマップ'!$E:$E,MATCH(C190,'ケイパビリティマップ'!$A:$A,0)),"（IDなし）")</f>
        <v>ベネフィット・リスク評価</v>
      </c>
      <c r="E190" s="36" t="s">
        <v>254</v>
      </c>
      <c r="F190" s="39" t="str">
        <f t="shared" si="1"/>
        <v>05-02</v>
      </c>
      <c r="G190" s="39" t="str">
        <f t="shared" si="2"/>
        <v>C09-02</v>
      </c>
    </row>
    <row r="191" ht="15.0" customHeight="1">
      <c r="A191" s="22" t="s">
        <v>1689</v>
      </c>
      <c r="B191" s="25" t="s">
        <v>1692</v>
      </c>
      <c r="C191" s="22" t="s">
        <v>1190</v>
      </c>
      <c r="D191" s="38" t="str">
        <f t="array" ref="D191">IFERROR(INDEX('ケイパビリティマップ'!$E:$E,MATCH(C191,'ケイパビリティマップ'!$A:$A,0)),"（IDなし）")</f>
        <v>表示の作成・交渉</v>
      </c>
      <c r="E191" s="36" t="s">
        <v>173</v>
      </c>
      <c r="F191" s="39" t="str">
        <f t="shared" si="1"/>
        <v>05-03</v>
      </c>
      <c r="G191" s="39" t="str">
        <f t="shared" si="2"/>
        <v>C06-03</v>
      </c>
    </row>
    <row r="192" ht="15.0" customHeight="1">
      <c r="A192" s="22" t="s">
        <v>1698</v>
      </c>
      <c r="B192" s="38" t="s">
        <v>2201</v>
      </c>
      <c r="C192" s="22" t="s">
        <v>1569</v>
      </c>
      <c r="D192" s="38" t="str">
        <f t="array" ref="D192">IFERROR(INDEX('ケイパビリティマップ'!$E:$E,MATCH(C192,'ケイパビリティマップ'!$A:$A,0)),"（IDなし）")</f>
        <v>REMS・リスク最小化</v>
      </c>
      <c r="E192" s="36" t="s">
        <v>173</v>
      </c>
      <c r="F192" s="39" t="str">
        <f t="shared" si="1"/>
        <v>05-03</v>
      </c>
      <c r="G192" s="39" t="str">
        <f t="shared" si="2"/>
        <v>C09-02</v>
      </c>
    </row>
    <row r="193" ht="15.0" customHeight="1">
      <c r="A193" s="22" t="s">
        <v>1698</v>
      </c>
      <c r="B193" s="38" t="s">
        <v>2203</v>
      </c>
      <c r="C193" s="22" t="s">
        <v>1214</v>
      </c>
      <c r="D193" s="38" t="str">
        <f t="array" ref="D193">IFERROR(INDEX('ケイパビリティマップ'!$E:$E,MATCH(C193,'ケイパビリティマップ'!$A:$A,0)),"（IDなし）")</f>
        <v>PMR／PMC管理</v>
      </c>
      <c r="E193" s="36" t="s">
        <v>173</v>
      </c>
      <c r="F193" s="39" t="str">
        <f t="shared" si="1"/>
        <v>05-03</v>
      </c>
      <c r="G193" s="39" t="str">
        <f t="shared" si="2"/>
        <v>C06-04</v>
      </c>
    </row>
    <row r="194" ht="26.25" customHeight="1">
      <c r="A194" s="22" t="s">
        <v>1705</v>
      </c>
      <c r="B194" s="25" t="s">
        <v>1708</v>
      </c>
      <c r="C194" s="22" t="s">
        <v>1093</v>
      </c>
      <c r="D194" s="38" t="str">
        <f t="array" ref="D194">IFERROR(INDEX('ケイパビリティマップ'!$E:$E,MATCH(C194,'ケイパビリティマップ'!$A:$A,0)),"（IDなし）")</f>
        <v>指定制度・インセンティブ管理★</v>
      </c>
      <c r="E194" s="36" t="s">
        <v>173</v>
      </c>
      <c r="F194" s="39" t="str">
        <f t="shared" si="1"/>
        <v>05-03</v>
      </c>
      <c r="G194" s="39" t="str">
        <f t="shared" si="2"/>
        <v>C06-01</v>
      </c>
    </row>
    <row r="195" ht="26.25" customHeight="1">
      <c r="A195" s="22" t="s">
        <v>1713</v>
      </c>
      <c r="B195" s="25" t="s">
        <v>1715</v>
      </c>
      <c r="C195" s="22" t="s">
        <v>1126</v>
      </c>
      <c r="D195" s="38" t="str">
        <f t="array" ref="D195">IFERROR(INDEX('ケイパビリティマップ'!$E:$E,MATCH(C195,'ケイパビリティマップ'!$A:$A,0)),"（IDなし）")</f>
        <v>FDA会議・照会対応</v>
      </c>
      <c r="E195" s="36" t="s">
        <v>173</v>
      </c>
      <c r="F195" s="39" t="str">
        <f t="shared" si="1"/>
        <v>05-03</v>
      </c>
      <c r="G195" s="39" t="str">
        <f t="shared" si="2"/>
        <v>C06-01</v>
      </c>
    </row>
    <row r="196" ht="26.25" customHeight="1">
      <c r="A196" s="22" t="s">
        <v>1713</v>
      </c>
      <c r="B196" s="25" t="s">
        <v>1715</v>
      </c>
      <c r="C196" s="22" t="s">
        <v>1178</v>
      </c>
      <c r="D196" s="38" t="str">
        <f t="array" ref="D196">IFERROR(INDEX('ケイパビリティマップ'!$E:$E,MATCH(C196,'ケイパビリティマップ'!$A:$A,0)),"（IDなし）")</f>
        <v>申請ライフサイクル管理</v>
      </c>
      <c r="E196" s="36" t="s">
        <v>254</v>
      </c>
      <c r="F196" s="39" t="str">
        <f t="shared" si="1"/>
        <v>05-03</v>
      </c>
      <c r="G196" s="39" t="str">
        <f t="shared" si="2"/>
        <v>C06-02</v>
      </c>
    </row>
    <row r="197" ht="26.25" customHeight="1">
      <c r="A197" s="22" t="s">
        <v>1713</v>
      </c>
      <c r="B197" s="25" t="s">
        <v>1715</v>
      </c>
      <c r="C197" s="22" t="s">
        <v>1244</v>
      </c>
      <c r="D197" s="38" t="str">
        <f t="array" ref="D197">IFERROR(INDEX('ケイパビリティマップ'!$E:$E,MATCH(C197,'ケイパビリティマップ'!$A:$A,0)),"（IDなし）")</f>
        <v>施設登録・製品リスティング</v>
      </c>
      <c r="E197" s="36" t="s">
        <v>254</v>
      </c>
      <c r="F197" s="39" t="str">
        <f t="shared" si="1"/>
        <v>05-03</v>
      </c>
      <c r="G197" s="39" t="str">
        <f t="shared" si="2"/>
        <v>C06-04</v>
      </c>
    </row>
    <row r="198" ht="15.0" customHeight="1">
      <c r="A198" s="22" t="s">
        <v>1737</v>
      </c>
      <c r="B198" s="25" t="s">
        <v>1738</v>
      </c>
      <c r="C198" s="22" t="s">
        <v>1260</v>
      </c>
      <c r="D198" s="38" t="str">
        <f t="array" ref="D198">IFERROR(INDEX('ケイパビリティマップ'!$E:$E,MATCH(C198,'ケイパビリティマップ'!$A:$A,0)),"（IDなし）")</f>
        <v>生産計画</v>
      </c>
      <c r="E198" s="36" t="s">
        <v>173</v>
      </c>
      <c r="F198" s="39" t="str">
        <f t="shared" si="1"/>
        <v>06-01</v>
      </c>
      <c r="G198" s="39" t="str">
        <f t="shared" si="2"/>
        <v>C07-01</v>
      </c>
    </row>
    <row r="199" ht="15.0" customHeight="1">
      <c r="A199" s="22" t="s">
        <v>1737</v>
      </c>
      <c r="B199" s="25" t="s">
        <v>1738</v>
      </c>
      <c r="C199" s="22" t="s">
        <v>1271</v>
      </c>
      <c r="D199" s="38" t="str">
        <f t="array" ref="D199">IFERROR(INDEX('ケイパビリティマップ'!$E:$E,MATCH(C199,'ケイパビリティマップ'!$A:$A,0)),"（IDなし）")</f>
        <v>資材調達・在庫管理</v>
      </c>
      <c r="E199" s="36" t="s">
        <v>173</v>
      </c>
      <c r="F199" s="39" t="str">
        <f t="shared" si="1"/>
        <v>06-01</v>
      </c>
      <c r="G199" s="39" t="str">
        <f t="shared" si="2"/>
        <v>C07-01</v>
      </c>
    </row>
    <row r="200" ht="15.0" customHeight="1">
      <c r="A200" s="22" t="s">
        <v>1746</v>
      </c>
      <c r="B200" s="25" t="s">
        <v>1748</v>
      </c>
      <c r="C200" s="22" t="s">
        <v>1292</v>
      </c>
      <c r="D200" s="38" t="str">
        <f t="array" ref="D200">IFERROR(INDEX('ケイパビリティマップ'!$E:$E,MATCH(C200,'ケイパビリティマップ'!$A:$A,0)),"（IDなし）")</f>
        <v>細胞培養</v>
      </c>
      <c r="E200" s="36" t="s">
        <v>173</v>
      </c>
      <c r="F200" s="39" t="str">
        <f t="shared" si="1"/>
        <v>06-01</v>
      </c>
      <c r="G200" s="39" t="str">
        <f t="shared" si="2"/>
        <v>C07-02</v>
      </c>
    </row>
    <row r="201" ht="15.0" customHeight="1">
      <c r="A201" s="22" t="s">
        <v>1746</v>
      </c>
      <c r="B201" s="25" t="s">
        <v>1748</v>
      </c>
      <c r="C201" s="22" t="s">
        <v>600</v>
      </c>
      <c r="D201" s="38" t="str">
        <f t="array" ref="D201">IFERROR(INDEX('ケイパビリティマップ'!$E:$E,MATCH(C201,'ケイパビリティマップ'!$A:$A,0)),"（IDなし）")</f>
        <v>セルバンク作製・管理</v>
      </c>
      <c r="E201" s="36" t="s">
        <v>254</v>
      </c>
      <c r="F201" s="39" t="str">
        <f t="shared" si="1"/>
        <v>06-01</v>
      </c>
      <c r="G201" s="39" t="str">
        <f t="shared" si="2"/>
        <v>C04-01</v>
      </c>
    </row>
    <row r="202" ht="15.0" customHeight="1">
      <c r="A202" s="22" t="s">
        <v>1754</v>
      </c>
      <c r="B202" s="25" t="s">
        <v>1757</v>
      </c>
      <c r="C202" s="22" t="s">
        <v>1292</v>
      </c>
      <c r="D202" s="38" t="str">
        <f t="array" ref="D202">IFERROR(INDEX('ケイパビリティマップ'!$E:$E,MATCH(C202,'ケイパビリティマップ'!$A:$A,0)),"（IDなし）")</f>
        <v>細胞培養</v>
      </c>
      <c r="E202" s="36" t="s">
        <v>173</v>
      </c>
      <c r="F202" s="39" t="str">
        <f t="shared" si="1"/>
        <v>06-01</v>
      </c>
      <c r="G202" s="39" t="str">
        <f t="shared" si="2"/>
        <v>C07-02</v>
      </c>
    </row>
    <row r="203" ht="15.0" customHeight="1">
      <c r="A203" s="22" t="s">
        <v>1754</v>
      </c>
      <c r="B203" s="25" t="s">
        <v>1757</v>
      </c>
      <c r="C203" s="22" t="s">
        <v>1359</v>
      </c>
      <c r="D203" s="38" t="str">
        <f t="array" ref="D203">IFERROR(INDEX('ケイパビリティマップ'!$E:$E,MATCH(C203,'ケイパビリティマップ'!$A:$A,0)),"（IDなし）")</f>
        <v>環境・ユーティリティ管理</v>
      </c>
      <c r="E203" s="36" t="s">
        <v>254</v>
      </c>
      <c r="F203" s="39" t="str">
        <f t="shared" si="1"/>
        <v>06-01</v>
      </c>
      <c r="G203" s="39" t="str">
        <f t="shared" si="2"/>
        <v>C07-04</v>
      </c>
    </row>
    <row r="204" ht="15.0" customHeight="1">
      <c r="A204" s="22" t="s">
        <v>1761</v>
      </c>
      <c r="B204" s="25" t="s">
        <v>1303</v>
      </c>
      <c r="C204" s="22" t="s">
        <v>1302</v>
      </c>
      <c r="D204" s="38" t="str">
        <f t="array" ref="D204">IFERROR(INDEX('ケイパビリティマップ'!$E:$E,MATCH(C204,'ケイパビリティマップ'!$A:$A,0)),"（IDなし）")</f>
        <v>ハーベスト・精製</v>
      </c>
      <c r="E204" s="36" t="s">
        <v>173</v>
      </c>
      <c r="F204" s="39" t="str">
        <f t="shared" si="1"/>
        <v>06-01</v>
      </c>
      <c r="G204" s="39" t="str">
        <f t="shared" si="2"/>
        <v>C07-02</v>
      </c>
    </row>
    <row r="205" ht="15.0" customHeight="1">
      <c r="A205" s="22" t="s">
        <v>1768</v>
      </c>
      <c r="B205" s="25" t="s">
        <v>1311</v>
      </c>
      <c r="C205" s="22" t="s">
        <v>1309</v>
      </c>
      <c r="D205" s="38" t="str">
        <f t="array" ref="D205">IFERROR(INDEX('ケイパビリティマップ'!$E:$E,MATCH(C205,'ケイパビリティマップ'!$A:$A,0)),"（IDなし）")</f>
        <v>原薬の充填・保管</v>
      </c>
      <c r="E205" s="36" t="s">
        <v>173</v>
      </c>
      <c r="F205" s="39" t="str">
        <f t="shared" si="1"/>
        <v>06-01</v>
      </c>
      <c r="G205" s="39" t="str">
        <f t="shared" si="2"/>
        <v>C07-02</v>
      </c>
    </row>
    <row r="206" ht="15.0" customHeight="1">
      <c r="A206" s="22" t="s">
        <v>1786</v>
      </c>
      <c r="B206" s="25" t="s">
        <v>1789</v>
      </c>
      <c r="C206" s="22" t="s">
        <v>1318</v>
      </c>
      <c r="D206" s="38" t="str">
        <f t="array" ref="D206">IFERROR(INDEX('ケイパビリティマップ'!$E:$E,MATCH(C206,'ケイパビリティマップ'!$A:$A,0)),"（IDなし）")</f>
        <v>無菌製剤化・充填</v>
      </c>
      <c r="E206" s="36" t="s">
        <v>173</v>
      </c>
      <c r="F206" s="39" t="str">
        <f t="shared" si="1"/>
        <v>06-02</v>
      </c>
      <c r="G206" s="39" t="str">
        <f t="shared" si="2"/>
        <v>C07-03</v>
      </c>
    </row>
    <row r="207" ht="15.0" customHeight="1">
      <c r="A207" s="22" t="s">
        <v>1795</v>
      </c>
      <c r="B207" s="25" t="s">
        <v>1796</v>
      </c>
      <c r="C207" s="22" t="s">
        <v>1318</v>
      </c>
      <c r="D207" s="38" t="str">
        <f t="array" ref="D207">IFERROR(INDEX('ケイパビリティマップ'!$E:$E,MATCH(C207,'ケイパビリティマップ'!$A:$A,0)),"（IDなし）")</f>
        <v>無菌製剤化・充填</v>
      </c>
      <c r="E207" s="36" t="s">
        <v>173</v>
      </c>
      <c r="F207" s="39" t="str">
        <f t="shared" si="1"/>
        <v>06-02</v>
      </c>
      <c r="G207" s="39" t="str">
        <f t="shared" si="2"/>
        <v>C07-03</v>
      </c>
    </row>
    <row r="208" ht="15.0" customHeight="1">
      <c r="A208" s="22" t="s">
        <v>1795</v>
      </c>
      <c r="B208" s="25" t="s">
        <v>1796</v>
      </c>
      <c r="C208" s="22" t="s">
        <v>1359</v>
      </c>
      <c r="D208" s="38" t="str">
        <f t="array" ref="D208">IFERROR(INDEX('ケイパビリティマップ'!$E:$E,MATCH(C208,'ケイパビリティマップ'!$A:$A,0)),"（IDなし）")</f>
        <v>環境・ユーティリティ管理</v>
      </c>
      <c r="E208" s="36" t="s">
        <v>254</v>
      </c>
      <c r="F208" s="39" t="str">
        <f t="shared" si="1"/>
        <v>06-02</v>
      </c>
      <c r="G208" s="39" t="str">
        <f t="shared" si="2"/>
        <v>C07-04</v>
      </c>
    </row>
    <row r="209" ht="15.0" customHeight="1">
      <c r="A209" s="22" t="s">
        <v>1801</v>
      </c>
      <c r="B209" s="25" t="s">
        <v>1328</v>
      </c>
      <c r="C209" s="22" t="s">
        <v>1326</v>
      </c>
      <c r="D209" s="38" t="str">
        <f t="array" ref="D209">IFERROR(INDEX('ケイパビリティマップ'!$E:$E,MATCH(C209,'ケイパビリティマップ'!$A:$A,0)),"（IDなし）")</f>
        <v>外観検査</v>
      </c>
      <c r="E209" s="36" t="s">
        <v>173</v>
      </c>
      <c r="F209" s="39" t="str">
        <f t="shared" si="1"/>
        <v>06-02</v>
      </c>
      <c r="G209" s="39" t="str">
        <f t="shared" si="2"/>
        <v>C07-03</v>
      </c>
    </row>
    <row r="210" ht="15.0" customHeight="1">
      <c r="A210" s="22" t="s">
        <v>1807</v>
      </c>
      <c r="B210" s="25" t="s">
        <v>1808</v>
      </c>
      <c r="C210" s="22" t="s">
        <v>1335</v>
      </c>
      <c r="D210" s="38" t="str">
        <f t="array" ref="D210">IFERROR(INDEX('ケイパビリティマップ'!$E:$E,MATCH(C210,'ケイパビリティマップ'!$A:$A,0)),"（IDなし）")</f>
        <v>表示・包装・シリアル化</v>
      </c>
      <c r="E210" s="36" t="s">
        <v>173</v>
      </c>
      <c r="F210" s="39" t="str">
        <f t="shared" si="1"/>
        <v>06-02</v>
      </c>
      <c r="G210" s="39" t="str">
        <f t="shared" si="2"/>
        <v>C07-03</v>
      </c>
    </row>
    <row r="211" ht="15.0" customHeight="1">
      <c r="A211" s="22" t="s">
        <v>1807</v>
      </c>
      <c r="B211" s="25" t="s">
        <v>1808</v>
      </c>
      <c r="C211" s="22" t="s">
        <v>1912</v>
      </c>
      <c r="D211" s="38" t="str">
        <f t="array" ref="D211">IFERROR(INDEX('ケイパビリティマップ'!$E:$E,MATCH(C211,'ケイパビリティマップ'!$A:$A,0)),"（IDなし）")</f>
        <v>シリアル化データ管理</v>
      </c>
      <c r="E211" s="36" t="s">
        <v>254</v>
      </c>
      <c r="F211" s="39" t="str">
        <f t="shared" si="1"/>
        <v>06-02</v>
      </c>
      <c r="G211" s="39" t="str">
        <f t="shared" si="2"/>
        <v>C12-04</v>
      </c>
    </row>
    <row r="212" ht="15.0" customHeight="1">
      <c r="A212" s="22" t="s">
        <v>1822</v>
      </c>
      <c r="B212" s="25" t="s">
        <v>1826</v>
      </c>
      <c r="C212" s="22" t="s">
        <v>1379</v>
      </c>
      <c r="D212" s="38" t="str">
        <f t="array" ref="D212">IFERROR(INDEX('ケイパビリティマップ'!$E:$E,MATCH(C212,'ケイパビリティマップ'!$A:$A,0)),"（IDなし）")</f>
        <v>試験実施（原材料・工程内・出荷）</v>
      </c>
      <c r="E212" s="36" t="s">
        <v>173</v>
      </c>
      <c r="F212" s="39" t="str">
        <f t="shared" si="1"/>
        <v>06-03</v>
      </c>
      <c r="G212" s="39" t="str">
        <f t="shared" si="2"/>
        <v>C08-01</v>
      </c>
    </row>
    <row r="213" ht="15.0" customHeight="1">
      <c r="A213" s="22" t="s">
        <v>1822</v>
      </c>
      <c r="B213" s="25" t="s">
        <v>1826</v>
      </c>
      <c r="C213" s="22" t="s">
        <v>1397</v>
      </c>
      <c r="D213" s="38" t="str">
        <f t="array" ref="D213">IFERROR(INDEX('ケイパビリティマップ'!$E:$E,MATCH(C213,'ケイパビリティマップ'!$A:$A,0)),"（IDなし）")</f>
        <v>試験室管理</v>
      </c>
      <c r="E213" s="36" t="s">
        <v>254</v>
      </c>
      <c r="F213" s="39" t="str">
        <f t="shared" si="1"/>
        <v>06-03</v>
      </c>
      <c r="G213" s="39" t="str">
        <f t="shared" si="2"/>
        <v>C08-01</v>
      </c>
    </row>
    <row r="214" ht="26.25" customHeight="1">
      <c r="A214" s="22" t="s">
        <v>1830</v>
      </c>
      <c r="B214" s="25" t="s">
        <v>1831</v>
      </c>
      <c r="C214" s="22" t="s">
        <v>1421</v>
      </c>
      <c r="D214" s="38" t="str">
        <f t="array" ref="D214">IFERROR(INDEX('ケイパビリティマップ'!$E:$E,MATCH(C214,'ケイパビリティマップ'!$A:$A,0)),"（IDなし）")</f>
        <v>逸脱・CAPA管理</v>
      </c>
      <c r="E214" s="36" t="s">
        <v>173</v>
      </c>
      <c r="F214" s="39" t="str">
        <f t="shared" si="1"/>
        <v>06-03</v>
      </c>
      <c r="G214" s="39" t="str">
        <f t="shared" si="2"/>
        <v>C08-02</v>
      </c>
    </row>
    <row r="215" ht="26.25" customHeight="1">
      <c r="A215" s="22" t="s">
        <v>1830</v>
      </c>
      <c r="B215" s="25" t="s">
        <v>1831</v>
      </c>
      <c r="C215" s="22" t="s">
        <v>1429</v>
      </c>
      <c r="D215" s="38" t="str">
        <f t="array" ref="D215">IFERROR(INDEX('ケイパビリティマップ'!$E:$E,MATCH(C215,'ケイパビリティマップ'!$A:$A,0)),"（IDなし）")</f>
        <v>変更管理</v>
      </c>
      <c r="E215" s="36" t="s">
        <v>173</v>
      </c>
      <c r="F215" s="39" t="str">
        <f t="shared" si="1"/>
        <v>06-03</v>
      </c>
      <c r="G215" s="39" t="str">
        <f t="shared" si="2"/>
        <v>C08-02</v>
      </c>
    </row>
    <row r="216" ht="26.25" customHeight="1">
      <c r="A216" s="22" t="s">
        <v>1830</v>
      </c>
      <c r="B216" s="25" t="s">
        <v>1831</v>
      </c>
      <c r="C216" s="22" t="s">
        <v>1224</v>
      </c>
      <c r="D216" s="38" t="str">
        <f t="array" ref="D216">IFERROR(INDEX('ケイパビリティマップ'!$E:$E,MATCH(C216,'ケイパビリティマップ'!$A:$A,0)),"（IDなし）")</f>
        <v>変更の報告区分判定・申請</v>
      </c>
      <c r="E216" s="36" t="s">
        <v>254</v>
      </c>
      <c r="F216" s="39" t="str">
        <f t="shared" si="1"/>
        <v>06-03</v>
      </c>
      <c r="G216" s="39" t="str">
        <f t="shared" si="2"/>
        <v>C06-04</v>
      </c>
    </row>
    <row r="217" ht="15.0" customHeight="1">
      <c r="A217" s="22" t="s">
        <v>1841</v>
      </c>
      <c r="B217" s="25" t="s">
        <v>1843</v>
      </c>
      <c r="C217" s="22" t="s">
        <v>1412</v>
      </c>
      <c r="D217" s="38" t="str">
        <f t="array" ref="D217">IFERROR(INDEX('ケイパビリティマップ'!$E:$E,MATCH(C217,'ケイパビリティマップ'!$A:$A,0)),"（IDなし）")</f>
        <v>ロット出荷判定</v>
      </c>
      <c r="E217" s="36" t="s">
        <v>173</v>
      </c>
      <c r="F217" s="39" t="str">
        <f t="shared" si="1"/>
        <v>06-03</v>
      </c>
      <c r="G217" s="39" t="str">
        <f t="shared" si="2"/>
        <v>C08-02</v>
      </c>
    </row>
    <row r="218" ht="15.0" customHeight="1">
      <c r="A218" s="22" t="s">
        <v>1841</v>
      </c>
      <c r="B218" s="25" t="s">
        <v>1843</v>
      </c>
      <c r="C218" s="22" t="s">
        <v>1279</v>
      </c>
      <c r="D218" s="38" t="str">
        <f t="array" ref="D218">IFERROR(INDEX('ケイパビリティマップ'!$E:$E,MATCH(C218,'ケイパビリティマップ'!$A:$A,0)),"（IDなし）")</f>
        <v>製造記録管理</v>
      </c>
      <c r="E218" s="36" t="s">
        <v>254</v>
      </c>
      <c r="F218" s="39" t="str">
        <f t="shared" si="1"/>
        <v>06-03</v>
      </c>
      <c r="G218" s="39" t="str">
        <f t="shared" si="2"/>
        <v>C07-01</v>
      </c>
    </row>
    <row r="219" ht="15.0" customHeight="1">
      <c r="A219" s="22" t="s">
        <v>1853</v>
      </c>
      <c r="B219" s="25" t="s">
        <v>1856</v>
      </c>
      <c r="C219" s="22" t="s">
        <v>1388</v>
      </c>
      <c r="D219" s="38" t="str">
        <f t="array" ref="D219">IFERROR(INDEX('ケイパビリティマップ'!$E:$E,MATCH(C219,'ケイパビリティマップ'!$A:$A,0)),"（IDなし）")</f>
        <v>安定性試験の実施</v>
      </c>
      <c r="E219" s="36" t="s">
        <v>173</v>
      </c>
      <c r="F219" s="39" t="str">
        <f t="shared" si="1"/>
        <v>06-03</v>
      </c>
      <c r="G219" s="39" t="str">
        <f t="shared" si="2"/>
        <v>C08-01</v>
      </c>
    </row>
    <row r="220" ht="15.0" customHeight="1">
      <c r="A220" s="22" t="s">
        <v>1853</v>
      </c>
      <c r="B220" s="25" t="s">
        <v>1856</v>
      </c>
      <c r="C220" s="22" t="s">
        <v>1436</v>
      </c>
      <c r="D220" s="38" t="str">
        <f t="array" ref="D220">IFERROR(INDEX('ケイパビリティマップ'!$E:$E,MATCH(C220,'ケイパビリティマップ'!$A:$A,0)),"（IDなし）")</f>
        <v>年次製品照査・品質指標</v>
      </c>
      <c r="E220" s="36" t="s">
        <v>173</v>
      </c>
      <c r="F220" s="39" t="str">
        <f t="shared" si="1"/>
        <v>06-03</v>
      </c>
      <c r="G220" s="39" t="str">
        <f t="shared" si="2"/>
        <v>C08-02</v>
      </c>
    </row>
    <row r="221" ht="15.0" customHeight="1">
      <c r="A221" s="22" t="s">
        <v>1880</v>
      </c>
      <c r="B221" s="25" t="s">
        <v>1883</v>
      </c>
      <c r="C221" s="22" t="s">
        <v>1706</v>
      </c>
      <c r="D221" s="38" t="str">
        <f t="array" ref="D221">IFERROR(INDEX('ケイパビリティマップ'!$E:$E,MATCH(C221,'ケイパビリティマップ'!$A:$A,0)),"（IDなし）")</f>
        <v>価格戦略・設定</v>
      </c>
      <c r="E221" s="36" t="s">
        <v>173</v>
      </c>
      <c r="F221" s="39" t="str">
        <f t="shared" si="1"/>
        <v>07-01</v>
      </c>
      <c r="G221" s="39" t="str">
        <f t="shared" si="2"/>
        <v>C11-01</v>
      </c>
    </row>
    <row r="222" ht="15.0" customHeight="1">
      <c r="A222" s="22" t="s">
        <v>1880</v>
      </c>
      <c r="B222" s="25" t="s">
        <v>1883</v>
      </c>
      <c r="C222" s="22" t="s">
        <v>1714</v>
      </c>
      <c r="D222" s="38" t="str">
        <f t="array" ref="D222">IFERROR(INDEX('ケイパビリティマップ'!$E:$E,MATCH(C222,'ケイパビリティマップ'!$A:$A,0)),"（IDなし）")</f>
        <v>医療経済・価値エビデンス</v>
      </c>
      <c r="E222" s="36" t="s">
        <v>254</v>
      </c>
      <c r="F222" s="39" t="str">
        <f t="shared" si="1"/>
        <v>07-01</v>
      </c>
      <c r="G222" s="39" t="str">
        <f t="shared" si="2"/>
        <v>C11-01</v>
      </c>
    </row>
    <row r="223" ht="15.0" customHeight="1">
      <c r="A223" s="22" t="s">
        <v>1880</v>
      </c>
      <c r="B223" s="25" t="s">
        <v>1883</v>
      </c>
      <c r="C223" s="22" t="s">
        <v>961</v>
      </c>
      <c r="D223" s="38" t="str">
        <f t="array" ref="D223">IFERROR(INDEX('ケイパビリティマップ'!$E:$E,MATCH(C223,'ケイパビリティマップ'!$A:$A,0)),"（IDなし）")</f>
        <v>疫学評価</v>
      </c>
      <c r="E223" s="36" t="s">
        <v>254</v>
      </c>
      <c r="F223" s="39" t="str">
        <f t="shared" si="1"/>
        <v>07-01</v>
      </c>
      <c r="G223" s="39" t="str">
        <f t="shared" si="2"/>
        <v>C05-02</v>
      </c>
    </row>
    <row r="224" ht="26.25" customHeight="1">
      <c r="A224" s="22" t="s">
        <v>1888</v>
      </c>
      <c r="B224" s="25" t="s">
        <v>1890</v>
      </c>
      <c r="C224" s="22" t="s">
        <v>1745</v>
      </c>
      <c r="D224" s="38" t="str">
        <f t="array" ref="D224">IFERROR(INDEX('ケイパビリティマップ'!$E:$E,MATCH(C224,'ケイパビリティマップ'!$A:$A,0)),"（IDなし）")</f>
        <v>公的保険プログラム対応</v>
      </c>
      <c r="E224" s="36" t="s">
        <v>173</v>
      </c>
      <c r="F224" s="39" t="str">
        <f t="shared" si="1"/>
        <v>07-01</v>
      </c>
      <c r="G224" s="39" t="str">
        <f t="shared" si="2"/>
        <v>C11-02</v>
      </c>
    </row>
    <row r="225" ht="26.25" customHeight="1">
      <c r="A225" s="22" t="s">
        <v>1888</v>
      </c>
      <c r="B225" s="25" t="s">
        <v>1890</v>
      </c>
      <c r="C225" s="22" t="s">
        <v>1735</v>
      </c>
      <c r="D225" s="38" t="str">
        <f t="array" ref="D225">IFERROR(INDEX('ケイパビリティマップ'!$E:$E,MATCH(C225,'ケイパビリティマップ'!$A:$A,0)),"（IDなし）")</f>
        <v>政府価格報告</v>
      </c>
      <c r="E225" s="36" t="s">
        <v>254</v>
      </c>
      <c r="F225" s="39" t="str">
        <f t="shared" si="1"/>
        <v>07-01</v>
      </c>
      <c r="G225" s="39" t="str">
        <f t="shared" si="2"/>
        <v>C11-02</v>
      </c>
    </row>
    <row r="226" ht="15.0" customHeight="1">
      <c r="A226" s="22" t="s">
        <v>1897</v>
      </c>
      <c r="B226" s="38" t="s">
        <v>2269</v>
      </c>
      <c r="C226" s="22" t="s">
        <v>1745</v>
      </c>
      <c r="D226" s="38" t="str">
        <f t="array" ref="D226">IFERROR(INDEX('ケイパビリティマップ'!$E:$E,MATCH(C226,'ケイパビリティマップ'!$A:$A,0)),"（IDなし）")</f>
        <v>公的保険プログラム対応</v>
      </c>
      <c r="E226" s="36" t="s">
        <v>173</v>
      </c>
      <c r="F226" s="39" t="str">
        <f t="shared" si="1"/>
        <v>07-01</v>
      </c>
      <c r="G226" s="39" t="str">
        <f t="shared" si="2"/>
        <v>C11-02</v>
      </c>
    </row>
    <row r="227" ht="26.25" customHeight="1">
      <c r="A227" s="22" t="s">
        <v>1908</v>
      </c>
      <c r="B227" s="25" t="s">
        <v>1910</v>
      </c>
      <c r="C227" s="22" t="s">
        <v>1722</v>
      </c>
      <c r="D227" s="38" t="str">
        <f t="array" ref="D227">IFERROR(INDEX('ケイパビリティマップ'!$E:$E,MATCH(C227,'ケイパビリティマップ'!$A:$A,0)),"（IDなし）")</f>
        <v>保険者・PBM契約</v>
      </c>
      <c r="E227" s="36" t="s">
        <v>173</v>
      </c>
      <c r="F227" s="39" t="str">
        <f t="shared" si="1"/>
        <v>07-01</v>
      </c>
      <c r="G227" s="39" t="str">
        <f t="shared" si="2"/>
        <v>C11-01</v>
      </c>
    </row>
    <row r="228" ht="26.25" customHeight="1">
      <c r="A228" s="22" t="s">
        <v>1908</v>
      </c>
      <c r="B228" s="25" t="s">
        <v>1910</v>
      </c>
      <c r="C228" s="22" t="s">
        <v>1714</v>
      </c>
      <c r="D228" s="38" t="str">
        <f t="array" ref="D228">IFERROR(INDEX('ケイパビリティマップ'!$E:$E,MATCH(C228,'ケイパビリティマップ'!$A:$A,0)),"（IDなし）")</f>
        <v>医療経済・価値エビデンス</v>
      </c>
      <c r="E228" s="36" t="s">
        <v>254</v>
      </c>
      <c r="F228" s="39" t="str">
        <f t="shared" si="1"/>
        <v>07-01</v>
      </c>
      <c r="G228" s="39" t="str">
        <f t="shared" si="2"/>
        <v>C11-01</v>
      </c>
    </row>
    <row r="229" ht="26.25" customHeight="1">
      <c r="A229" s="22" t="s">
        <v>1916</v>
      </c>
      <c r="B229" s="25" t="s">
        <v>1920</v>
      </c>
      <c r="C229" s="22" t="s">
        <v>1667</v>
      </c>
      <c r="D229" s="38" t="str">
        <f t="array" ref="D229">IFERROR(INDEX('ケイパビリティマップ'!$E:$E,MATCH(C229,'ケイパビリティマップ'!$A:$A,0)),"（IDなし）")</f>
        <v>保険確認・事前承認支援</v>
      </c>
      <c r="E229" s="36" t="s">
        <v>173</v>
      </c>
      <c r="F229" s="39" t="str">
        <f t="shared" si="1"/>
        <v>07-01</v>
      </c>
      <c r="G229" s="39" t="str">
        <f t="shared" si="2"/>
        <v>C10-04</v>
      </c>
    </row>
    <row r="230" ht="26.25" customHeight="1">
      <c r="A230" s="22" t="s">
        <v>1916</v>
      </c>
      <c r="B230" s="25" t="s">
        <v>1920</v>
      </c>
      <c r="C230" s="22" t="s">
        <v>1677</v>
      </c>
      <c r="D230" s="38" t="str">
        <f t="array" ref="D230">IFERROR(INDEX('ケイパビリティマップ'!$E:$E,MATCH(C230,'ケイパビリティマップ'!$A:$A,0)),"（IDなし）")</f>
        <v>経済的支援</v>
      </c>
      <c r="E230" s="36" t="s">
        <v>254</v>
      </c>
      <c r="F230" s="39" t="str">
        <f t="shared" si="1"/>
        <v>07-01</v>
      </c>
      <c r="G230" s="39" t="str">
        <f t="shared" si="2"/>
        <v>C10-04</v>
      </c>
    </row>
    <row r="231" ht="26.25" customHeight="1">
      <c r="A231" s="22" t="s">
        <v>1916</v>
      </c>
      <c r="B231" s="25" t="s">
        <v>1920</v>
      </c>
      <c r="C231" s="22" t="s">
        <v>1687</v>
      </c>
      <c r="D231" s="38" t="str">
        <f t="array" ref="D231">IFERROR(INDEX('ケイパビリティマップ'!$E:$E,MATCH(C231,'ケイパビリティマップ'!$A:$A,0)),"（IDなし）")</f>
        <v>治療開始・継続支援</v>
      </c>
      <c r="E231" s="36" t="s">
        <v>254</v>
      </c>
      <c r="F231" s="39" t="str">
        <f t="shared" si="1"/>
        <v>07-01</v>
      </c>
      <c r="G231" s="39" t="str">
        <f t="shared" si="2"/>
        <v>C10-04</v>
      </c>
    </row>
    <row r="232" ht="26.25" customHeight="1">
      <c r="A232" s="22" t="s">
        <v>1916</v>
      </c>
      <c r="B232" s="25" t="s">
        <v>1920</v>
      </c>
      <c r="C232" s="22" t="s">
        <v>359</v>
      </c>
      <c r="D232" s="38" t="str">
        <f t="array" ref="D232">IFERROR(INDEX('ケイパビリティマップ'!$E:$E,MATCH(C232,'ケイパビリティマップ'!$A:$A,0)),"（IDなし）")</f>
        <v>個人情報保護</v>
      </c>
      <c r="E232" s="36" t="s">
        <v>254</v>
      </c>
      <c r="F232" s="39" t="str">
        <f t="shared" si="1"/>
        <v>07-01</v>
      </c>
      <c r="G232" s="39" t="str">
        <f t="shared" si="2"/>
        <v>C13-01</v>
      </c>
    </row>
    <row r="233" ht="26.25" customHeight="1">
      <c r="A233" s="22" t="s">
        <v>1933</v>
      </c>
      <c r="B233" s="25" t="s">
        <v>1934</v>
      </c>
      <c r="C233" s="22" t="s">
        <v>1769</v>
      </c>
      <c r="D233" s="38" t="str">
        <f t="array" ref="D233">IFERROR(INDEX('ケイパビリティマップ'!$E:$E,MATCH(C233,'ケイパビリティマップ'!$A:$A,0)),"（IDなし）")</f>
        <v>販促資材審査</v>
      </c>
      <c r="E233" s="36" t="s">
        <v>173</v>
      </c>
      <c r="F233" s="39" t="str">
        <f t="shared" si="1"/>
        <v>07-02</v>
      </c>
      <c r="G233" s="39" t="str">
        <f t="shared" si="2"/>
        <v>C11-03</v>
      </c>
    </row>
    <row r="234" ht="26.25" customHeight="1">
      <c r="A234" s="22" t="s">
        <v>1933</v>
      </c>
      <c r="B234" s="25" t="s">
        <v>1934</v>
      </c>
      <c r="C234" s="22" t="s">
        <v>1777</v>
      </c>
      <c r="D234" s="38" t="str">
        <f t="array" ref="D234">IFERROR(INDEX('ケイパビリティマップ'!$E:$E,MATCH(C234,'ケイパビリティマップ'!$A:$A,0)),"（IDなし）")</f>
        <v>OPDP提出</v>
      </c>
      <c r="E234" s="36" t="s">
        <v>173</v>
      </c>
      <c r="F234" s="39" t="str">
        <f t="shared" si="1"/>
        <v>07-02</v>
      </c>
      <c r="G234" s="39" t="str">
        <f t="shared" si="2"/>
        <v>C11-03</v>
      </c>
    </row>
    <row r="235" ht="15.0" customHeight="1">
      <c r="A235" s="22" t="s">
        <v>1939</v>
      </c>
      <c r="B235" s="38" t="s">
        <v>2284</v>
      </c>
      <c r="C235" s="22" t="s">
        <v>1817</v>
      </c>
      <c r="D235" s="38" t="str">
        <f t="array" ref="D235">IFERROR(INDEX('ケイパビリティマップ'!$E:$E,MATCH(C235,'ケイパビリティマップ'!$A:$A,0)),"（IDなし）")</f>
        <v>営業・MSLの教育</v>
      </c>
      <c r="E235" s="36" t="s">
        <v>173</v>
      </c>
      <c r="F235" s="39" t="str">
        <f t="shared" si="1"/>
        <v>07-02</v>
      </c>
      <c r="G235" s="39" t="str">
        <f t="shared" si="2"/>
        <v>C11-04</v>
      </c>
    </row>
    <row r="236" ht="15.0" customHeight="1">
      <c r="A236" s="22" t="s">
        <v>1939</v>
      </c>
      <c r="B236" s="38" t="s">
        <v>2288</v>
      </c>
      <c r="C236" s="22" t="s">
        <v>1603</v>
      </c>
      <c r="D236" s="38" t="str">
        <f t="array" ref="D236">IFERROR(INDEX('ケイパビリティマップ'!$E:$E,MATCH(C236,'ケイパビリティマップ'!$A:$A,0)),"（IDなし）")</f>
        <v>医療従事者への科学的情報提供</v>
      </c>
      <c r="E236" s="36" t="s">
        <v>254</v>
      </c>
      <c r="F236" s="39" t="str">
        <f t="shared" si="1"/>
        <v>07-02</v>
      </c>
      <c r="G236" s="39" t="str">
        <f t="shared" si="2"/>
        <v>C10-02</v>
      </c>
    </row>
    <row r="237" ht="15.0" customHeight="1">
      <c r="A237" s="22" t="s">
        <v>1939</v>
      </c>
      <c r="B237" s="38" t="s">
        <v>2289</v>
      </c>
      <c r="C237" s="22" t="s">
        <v>1800</v>
      </c>
      <c r="D237" s="38" t="str">
        <f t="array" ref="D237">IFERROR(INDEX('ケイパビリティマップ'!$E:$E,MATCH(C237,'ケイパビリティマップ'!$A:$A,0)),"（IDなし）")</f>
        <v>顧客セグメンテーション・担当配置</v>
      </c>
      <c r="E237" s="36" t="s">
        <v>254</v>
      </c>
      <c r="F237" s="39" t="str">
        <f t="shared" si="1"/>
        <v>07-02</v>
      </c>
      <c r="G237" s="39" t="str">
        <f t="shared" si="2"/>
        <v>C11-04</v>
      </c>
    </row>
    <row r="238" ht="26.25" customHeight="1">
      <c r="A238" s="22" t="s">
        <v>1949</v>
      </c>
      <c r="B238" s="25" t="s">
        <v>1953</v>
      </c>
      <c r="C238" s="22" t="s">
        <v>1641</v>
      </c>
      <c r="D238" s="38" t="str">
        <f t="array" ref="D238">IFERROR(INDEX('ケイパビリティマップ'!$E:$E,MATCH(C238,'ケイパビリティマップ'!$A:$A,0)),"（IDなし）")</f>
        <v>遺伝子検査プログラム★</v>
      </c>
      <c r="E238" s="36" t="s">
        <v>173</v>
      </c>
      <c r="F238" s="39" t="str">
        <f t="shared" si="1"/>
        <v>07-02</v>
      </c>
      <c r="G238" s="39" t="str">
        <f t="shared" si="2"/>
        <v>C10-03</v>
      </c>
    </row>
    <row r="239" ht="26.25" customHeight="1">
      <c r="A239" s="22" t="s">
        <v>1949</v>
      </c>
      <c r="B239" s="25" t="s">
        <v>1953</v>
      </c>
      <c r="C239" s="22" t="s">
        <v>1652</v>
      </c>
      <c r="D239" s="38" t="str">
        <f t="array" ref="D239">IFERROR(INDEX('ケイパビリティマップ'!$E:$E,MATCH(C239,'ケイパビリティマップ'!$A:$A,0)),"（IDなし）")</f>
        <v>専門施設ネットワーク構築★</v>
      </c>
      <c r="E239" s="36" t="s">
        <v>173</v>
      </c>
      <c r="F239" s="39" t="str">
        <f t="shared" si="1"/>
        <v>07-02</v>
      </c>
      <c r="G239" s="39" t="str">
        <f t="shared" si="2"/>
        <v>C10-03</v>
      </c>
    </row>
    <row r="240" ht="26.25" customHeight="1">
      <c r="A240" s="22" t="s">
        <v>1949</v>
      </c>
      <c r="B240" s="25" t="s">
        <v>1953</v>
      </c>
      <c r="C240" s="22" t="s">
        <v>1634</v>
      </c>
      <c r="D240" s="38" t="str">
        <f t="array" ref="D240">IFERROR(INDEX('ケイパビリティマップ'!$E:$E,MATCH(C240,'ケイパビリティマップ'!$A:$A,0)),"（IDなし）")</f>
        <v>疾患啓発</v>
      </c>
      <c r="E240" s="36" t="s">
        <v>254</v>
      </c>
      <c r="F240" s="39" t="str">
        <f t="shared" si="1"/>
        <v>07-02</v>
      </c>
      <c r="G240" s="39" t="str">
        <f t="shared" si="2"/>
        <v>C10-03</v>
      </c>
    </row>
    <row r="241" ht="26.25" customHeight="1">
      <c r="A241" s="22" t="s">
        <v>1959</v>
      </c>
      <c r="B241" s="25" t="s">
        <v>1961</v>
      </c>
      <c r="C241" s="22" t="s">
        <v>1866</v>
      </c>
      <c r="D241" s="38" t="str">
        <f t="array" ref="D241">IFERROR(INDEX('ケイパビリティマップ'!$E:$E,MATCH(C241,'ケイパビリティマップ'!$A:$A,0)),"（IDなし）")</f>
        <v>流通ネットワーク設計・パートナー管理</v>
      </c>
      <c r="E241" s="36" t="s">
        <v>173</v>
      </c>
      <c r="F241" s="39" t="str">
        <f t="shared" si="1"/>
        <v>07-02</v>
      </c>
      <c r="G241" s="39" t="str">
        <f t="shared" si="2"/>
        <v>C12-02</v>
      </c>
    </row>
    <row r="242" ht="15.0" customHeight="1">
      <c r="A242" s="22" t="s">
        <v>1966</v>
      </c>
      <c r="B242" s="25" t="s">
        <v>1968</v>
      </c>
      <c r="C242" s="22" t="s">
        <v>1852</v>
      </c>
      <c r="D242" s="38" t="str">
        <f t="array" ref="D242">IFERROR(INDEX('ケイパビリティマップ'!$E:$E,MATCH(C242,'ケイパビリティマップ'!$A:$A,0)),"（IDなし）")</f>
        <v>受注・出荷管理</v>
      </c>
      <c r="E242" s="36" t="s">
        <v>173</v>
      </c>
      <c r="F242" s="39" t="str">
        <f t="shared" si="1"/>
        <v>07-02</v>
      </c>
      <c r="G242" s="39" t="str">
        <f t="shared" si="2"/>
        <v>C12-01</v>
      </c>
    </row>
    <row r="243" ht="15.0" customHeight="1">
      <c r="A243" s="22" t="s">
        <v>1966</v>
      </c>
      <c r="B243" s="25" t="s">
        <v>1968</v>
      </c>
      <c r="C243" s="22" t="s">
        <v>1842</v>
      </c>
      <c r="D243" s="38" t="str">
        <f t="array" ref="D243">IFERROR(INDEX('ケイパビリティマップ'!$E:$E,MATCH(C243,'ケイパビリティマップ'!$A:$A,0)),"（IDなし）")</f>
        <v>在庫・供給計画</v>
      </c>
      <c r="E243" s="36" t="s">
        <v>254</v>
      </c>
      <c r="F243" s="39" t="str">
        <f t="shared" si="1"/>
        <v>07-02</v>
      </c>
      <c r="G243" s="39" t="str">
        <f t="shared" si="2"/>
        <v>C12-01</v>
      </c>
    </row>
    <row r="244" ht="15.0" customHeight="1">
      <c r="A244" s="22" t="s">
        <v>1966</v>
      </c>
      <c r="B244" s="25" t="s">
        <v>1968</v>
      </c>
      <c r="C244" s="22" t="s">
        <v>1412</v>
      </c>
      <c r="D244" s="38" t="str">
        <f t="array" ref="D244">IFERROR(INDEX('ケイパビリティマップ'!$E:$E,MATCH(C244,'ケイパビリティマップ'!$A:$A,0)),"（IDなし）")</f>
        <v>ロット出荷判定</v>
      </c>
      <c r="E244" s="36" t="s">
        <v>254</v>
      </c>
      <c r="F244" s="39" t="str">
        <f t="shared" si="1"/>
        <v>07-02</v>
      </c>
      <c r="G244" s="39" t="str">
        <f t="shared" si="2"/>
        <v>C08-02</v>
      </c>
    </row>
    <row r="245" ht="15.0" customHeight="1">
      <c r="A245" s="22" t="s">
        <v>1966</v>
      </c>
      <c r="B245" s="25" t="s">
        <v>1968</v>
      </c>
      <c r="C245" s="22" t="s">
        <v>1866</v>
      </c>
      <c r="D245" s="38" t="str">
        <f t="array" ref="D245">IFERROR(INDEX('ケイパビリティマップ'!$E:$E,MATCH(C245,'ケイパビリティマップ'!$A:$A,0)),"（IDなし）")</f>
        <v>流通ネットワーク設計・パートナー管理</v>
      </c>
      <c r="E245" s="36" t="s">
        <v>254</v>
      </c>
      <c r="F245" s="39" t="str">
        <f t="shared" si="1"/>
        <v>07-02</v>
      </c>
      <c r="G245" s="39" t="str">
        <f t="shared" si="2"/>
        <v>C12-02</v>
      </c>
    </row>
    <row r="246" ht="26.25" customHeight="1">
      <c r="A246" s="22" t="s">
        <v>1992</v>
      </c>
      <c r="B246" s="25" t="s">
        <v>1994</v>
      </c>
      <c r="C246" s="22" t="s">
        <v>1834</v>
      </c>
      <c r="D246" s="38" t="str">
        <f t="array" ref="D246">IFERROR(INDEX('ケイパビリティマップ'!$E:$E,MATCH(C246,'ケイパビリティマップ'!$A:$A,0)),"（IDなし）")</f>
        <v>需要予測★</v>
      </c>
      <c r="E246" s="36" t="s">
        <v>173</v>
      </c>
      <c r="F246" s="39" t="str">
        <f t="shared" si="1"/>
        <v>08-01</v>
      </c>
      <c r="G246" s="39" t="str">
        <f t="shared" si="2"/>
        <v>C12-01</v>
      </c>
    </row>
    <row r="247" ht="26.25" customHeight="1">
      <c r="A247" s="22" t="s">
        <v>1992</v>
      </c>
      <c r="B247" s="25" t="s">
        <v>1994</v>
      </c>
      <c r="C247" s="22" t="s">
        <v>1687</v>
      </c>
      <c r="D247" s="38" t="str">
        <f t="array" ref="D247">IFERROR(INDEX('ケイパビリティマップ'!$E:$E,MATCH(C247,'ケイパビリティマップ'!$A:$A,0)),"（IDなし）")</f>
        <v>治療開始・継続支援</v>
      </c>
      <c r="E247" s="36" t="s">
        <v>254</v>
      </c>
      <c r="F247" s="39" t="str">
        <f t="shared" si="1"/>
        <v>08-01</v>
      </c>
      <c r="G247" s="39" t="str">
        <f t="shared" si="2"/>
        <v>C10-04</v>
      </c>
    </row>
    <row r="248" ht="26.25" customHeight="1">
      <c r="A248" s="22" t="s">
        <v>1992</v>
      </c>
      <c r="B248" s="25" t="s">
        <v>1994</v>
      </c>
      <c r="C248" s="22" t="s">
        <v>1875</v>
      </c>
      <c r="D248" s="38" t="str">
        <f t="array" ref="D248">IFERROR(INDEX('ケイパビリティマップ'!$E:$E,MATCH(C248,'ケイパビリティマップ'!$A:$A,0)),"（IDなし）")</f>
        <v>流通データ管理</v>
      </c>
      <c r="E248" s="36" t="s">
        <v>254</v>
      </c>
      <c r="F248" s="39" t="str">
        <f t="shared" si="1"/>
        <v>08-01</v>
      </c>
      <c r="G248" s="39" t="str">
        <f t="shared" si="2"/>
        <v>C12-02</v>
      </c>
    </row>
    <row r="249" ht="15.0" customHeight="1">
      <c r="A249" s="22" t="s">
        <v>1998</v>
      </c>
      <c r="B249" s="25" t="s">
        <v>2000</v>
      </c>
      <c r="C249" s="22" t="s">
        <v>1842</v>
      </c>
      <c r="D249" s="38" t="str">
        <f t="array" ref="D249">IFERROR(INDEX('ケイパビリティマップ'!$E:$E,MATCH(C249,'ケイパビリティマップ'!$A:$A,0)),"（IDなし）")</f>
        <v>在庫・供給計画</v>
      </c>
      <c r="E249" s="36" t="s">
        <v>173</v>
      </c>
      <c r="F249" s="39" t="str">
        <f t="shared" si="1"/>
        <v>08-01</v>
      </c>
      <c r="G249" s="39" t="str">
        <f t="shared" si="2"/>
        <v>C12-01</v>
      </c>
    </row>
    <row r="250" ht="15.0" customHeight="1">
      <c r="A250" s="22" t="s">
        <v>2004</v>
      </c>
      <c r="B250" s="25" t="s">
        <v>2007</v>
      </c>
      <c r="C250" s="22" t="s">
        <v>1852</v>
      </c>
      <c r="D250" s="38" t="str">
        <f t="array" ref="D250">IFERROR(INDEX('ケイパビリティマップ'!$E:$E,MATCH(C250,'ケイパビリティマップ'!$A:$A,0)),"（IDなし）")</f>
        <v>受注・出荷管理</v>
      </c>
      <c r="E250" s="36" t="s">
        <v>173</v>
      </c>
      <c r="F250" s="39" t="str">
        <f t="shared" si="1"/>
        <v>08-01</v>
      </c>
      <c r="G250" s="39" t="str">
        <f t="shared" si="2"/>
        <v>C12-01</v>
      </c>
    </row>
    <row r="251" ht="15.0" customHeight="1">
      <c r="A251" s="22" t="s">
        <v>2004</v>
      </c>
      <c r="B251" s="25" t="s">
        <v>2007</v>
      </c>
      <c r="C251" s="22" t="s">
        <v>1866</v>
      </c>
      <c r="D251" s="38" t="str">
        <f t="array" ref="D251">IFERROR(INDEX('ケイパビリティマップ'!$E:$E,MATCH(C251,'ケイパビリティマップ'!$A:$A,0)),"（IDなし）")</f>
        <v>流通ネットワーク設計・パートナー管理</v>
      </c>
      <c r="E251" s="36" t="s">
        <v>254</v>
      </c>
      <c r="F251" s="39" t="str">
        <f t="shared" si="1"/>
        <v>08-01</v>
      </c>
      <c r="G251" s="39" t="str">
        <f t="shared" si="2"/>
        <v>C12-02</v>
      </c>
    </row>
    <row r="252" ht="26.25" customHeight="1">
      <c r="A252" s="22" t="s">
        <v>2014</v>
      </c>
      <c r="B252" s="25" t="s">
        <v>2017</v>
      </c>
      <c r="C252" s="22" t="s">
        <v>1937</v>
      </c>
      <c r="D252" s="38" t="str">
        <f t="array" ref="D252">IFERROR(INDEX('ケイパビリティマップ'!$E:$E,MATCH(C252,'ケイパビリティマップ'!$A:$A,0)),"（IDなし）")</f>
        <v>供給リスク管理</v>
      </c>
      <c r="E252" s="36" t="s">
        <v>173</v>
      </c>
      <c r="F252" s="39" t="str">
        <f t="shared" si="1"/>
        <v>08-01</v>
      </c>
      <c r="G252" s="39" t="str">
        <f t="shared" si="2"/>
        <v>C12-05</v>
      </c>
    </row>
    <row r="253" ht="15.0" customHeight="1">
      <c r="A253" s="22" t="s">
        <v>2029</v>
      </c>
      <c r="B253" s="25" t="s">
        <v>2032</v>
      </c>
      <c r="C253" s="22" t="s">
        <v>1889</v>
      </c>
      <c r="D253" s="38" t="str">
        <f t="array" ref="D253">IFERROR(INDEX('ケイパビリティマップ'!$E:$E,MATCH(C253,'ケイパビリティマップ'!$A:$A,0)),"（IDなし）")</f>
        <v>保冷輸送設計</v>
      </c>
      <c r="E253" s="36" t="s">
        <v>173</v>
      </c>
      <c r="F253" s="39" t="str">
        <f t="shared" si="1"/>
        <v>08-02</v>
      </c>
      <c r="G253" s="39" t="str">
        <f t="shared" si="2"/>
        <v>C12-03</v>
      </c>
    </row>
    <row r="254" ht="15.0" customHeight="1">
      <c r="A254" s="22" t="s">
        <v>2029</v>
      </c>
      <c r="B254" s="25" t="s">
        <v>2032</v>
      </c>
      <c r="C254" s="22" t="s">
        <v>1898</v>
      </c>
      <c r="D254" s="38" t="str">
        <f t="array" ref="D254">IFERROR(INDEX('ケイパビリティマップ'!$E:$E,MATCH(C254,'ケイパビリティマップ'!$A:$A,0)),"（IDなし）")</f>
        <v>温度管理・逸脱対応</v>
      </c>
      <c r="E254" s="36" t="s">
        <v>254</v>
      </c>
      <c r="F254" s="39" t="str">
        <f t="shared" si="1"/>
        <v>08-02</v>
      </c>
      <c r="G254" s="39" t="str">
        <f t="shared" si="2"/>
        <v>C12-03</v>
      </c>
    </row>
    <row r="255" ht="15.0" customHeight="1">
      <c r="A255" s="22" t="s">
        <v>2042</v>
      </c>
      <c r="B255" s="25" t="s">
        <v>2044</v>
      </c>
      <c r="C255" s="22" t="s">
        <v>1898</v>
      </c>
      <c r="D255" s="38" t="str">
        <f t="array" ref="D255">IFERROR(INDEX('ケイパビリティマップ'!$E:$E,MATCH(C255,'ケイパビリティマップ'!$A:$A,0)),"（IDなし）")</f>
        <v>温度管理・逸脱対応</v>
      </c>
      <c r="E255" s="36" t="s">
        <v>173</v>
      </c>
      <c r="F255" s="39" t="str">
        <f t="shared" si="1"/>
        <v>08-02</v>
      </c>
      <c r="G255" s="39" t="str">
        <f t="shared" si="2"/>
        <v>C12-03</v>
      </c>
    </row>
    <row r="256" ht="15.0" customHeight="1">
      <c r="A256" s="22" t="s">
        <v>2042</v>
      </c>
      <c r="B256" s="25" t="s">
        <v>2044</v>
      </c>
      <c r="C256" s="22" t="s">
        <v>1421</v>
      </c>
      <c r="D256" s="38" t="str">
        <f t="array" ref="D256">IFERROR(INDEX('ケイパビリティマップ'!$E:$E,MATCH(C256,'ケイパビリティマップ'!$A:$A,0)),"（IDなし）")</f>
        <v>逸脱・CAPA管理</v>
      </c>
      <c r="E256" s="36" t="s">
        <v>254</v>
      </c>
      <c r="F256" s="39" t="str">
        <f t="shared" si="1"/>
        <v>08-02</v>
      </c>
      <c r="G256" s="39" t="str">
        <f t="shared" si="2"/>
        <v>C08-02</v>
      </c>
    </row>
    <row r="257" ht="15.0" customHeight="1">
      <c r="A257" s="22" t="s">
        <v>2048</v>
      </c>
      <c r="B257" s="38" t="s">
        <v>2324</v>
      </c>
      <c r="C257" s="22" t="s">
        <v>1898</v>
      </c>
      <c r="D257" s="38" t="str">
        <f t="array" ref="D257">IFERROR(INDEX('ケイパビリティマップ'!$E:$E,MATCH(C257,'ケイパビリティマップ'!$A:$A,0)),"（IDなし）")</f>
        <v>温度管理・逸脱対応</v>
      </c>
      <c r="E257" s="36" t="s">
        <v>173</v>
      </c>
      <c r="F257" s="39" t="str">
        <f t="shared" si="1"/>
        <v>08-02</v>
      </c>
      <c r="G257" s="39" t="str">
        <f t="shared" si="2"/>
        <v>C12-03</v>
      </c>
    </row>
    <row r="258" ht="15.0" customHeight="1">
      <c r="A258" s="22" t="s">
        <v>2048</v>
      </c>
      <c r="B258" s="38" t="s">
        <v>2327</v>
      </c>
      <c r="C258" s="22" t="s">
        <v>1866</v>
      </c>
      <c r="D258" s="38" t="str">
        <f t="array" ref="D258">IFERROR(INDEX('ケイパビリティマップ'!$E:$E,MATCH(C258,'ケイパビリティマップ'!$A:$A,0)),"（IDなし）")</f>
        <v>流通ネットワーク設計・パートナー管理</v>
      </c>
      <c r="E258" s="36" t="s">
        <v>254</v>
      </c>
      <c r="F258" s="39" t="str">
        <f t="shared" si="1"/>
        <v>08-02</v>
      </c>
      <c r="G258" s="39" t="str">
        <f t="shared" si="2"/>
        <v>C12-02</v>
      </c>
    </row>
    <row r="259" ht="26.25" customHeight="1">
      <c r="A259" s="22" t="s">
        <v>2057</v>
      </c>
      <c r="B259" s="25" t="s">
        <v>2058</v>
      </c>
      <c r="C259" s="22" t="s">
        <v>1866</v>
      </c>
      <c r="D259" s="38" t="str">
        <f t="array" ref="D259">IFERROR(INDEX('ケイパビリティマップ'!$E:$E,MATCH(C259,'ケイパビリティマップ'!$A:$A,0)),"（IDなし）")</f>
        <v>流通ネットワーク設計・パートナー管理</v>
      </c>
      <c r="E259" s="36" t="s">
        <v>173</v>
      </c>
      <c r="F259" s="39" t="str">
        <f t="shared" si="1"/>
        <v>08-03</v>
      </c>
      <c r="G259" s="39" t="str">
        <f t="shared" si="2"/>
        <v>C12-02</v>
      </c>
    </row>
    <row r="260" ht="26.25" customHeight="1">
      <c r="A260" s="22" t="s">
        <v>2060</v>
      </c>
      <c r="B260" s="38" t="s">
        <v>2331</v>
      </c>
      <c r="C260" s="22" t="s">
        <v>1924</v>
      </c>
      <c r="D260" s="38" t="str">
        <f t="array" ref="D260">IFERROR(INDEX('ケイパビリティマップ'!$E:$E,MATCH(C260,'ケイパビリティマップ'!$A:$A,0)),"（IDなし）")</f>
        <v>取引情報の交換・検証</v>
      </c>
      <c r="E260" s="36" t="s">
        <v>173</v>
      </c>
      <c r="F260" s="39" t="str">
        <f t="shared" si="1"/>
        <v>08-03</v>
      </c>
      <c r="G260" s="39" t="str">
        <f t="shared" si="2"/>
        <v>C12-04</v>
      </c>
    </row>
    <row r="261" ht="26.25" customHeight="1">
      <c r="A261" s="22" t="s">
        <v>2060</v>
      </c>
      <c r="B261" s="38" t="s">
        <v>2332</v>
      </c>
      <c r="C261" s="22" t="s">
        <v>1912</v>
      </c>
      <c r="D261" s="38" t="str">
        <f t="array" ref="D261">IFERROR(INDEX('ケイパビリティマップ'!$E:$E,MATCH(C261,'ケイパビリティマップ'!$A:$A,0)),"（IDなし）")</f>
        <v>シリアル化データ管理</v>
      </c>
      <c r="E261" s="36" t="s">
        <v>254</v>
      </c>
      <c r="F261" s="39" t="str">
        <f t="shared" si="1"/>
        <v>08-03</v>
      </c>
      <c r="G261" s="39" t="str">
        <f t="shared" si="2"/>
        <v>C12-04</v>
      </c>
    </row>
    <row r="262" ht="15.0" customHeight="1">
      <c r="A262" s="22" t="s">
        <v>2065</v>
      </c>
      <c r="B262" s="25" t="s">
        <v>2066</v>
      </c>
      <c r="C262" s="22" t="s">
        <v>1946</v>
      </c>
      <c r="D262" s="38" t="str">
        <f t="array" ref="D262">IFERROR(INDEX('ケイパビリティマップ'!$E:$E,MATCH(C262,'ケイパビリティマップ'!$A:$A,0)),"（IDなし）")</f>
        <v>回収の実施</v>
      </c>
      <c r="E262" s="36" t="s">
        <v>173</v>
      </c>
      <c r="F262" s="39" t="str">
        <f t="shared" si="1"/>
        <v>08-03</v>
      </c>
      <c r="G262" s="39" t="str">
        <f t="shared" si="2"/>
        <v>C12-05</v>
      </c>
    </row>
    <row r="263" ht="15.0" customHeight="1">
      <c r="A263" s="22" t="s">
        <v>2065</v>
      </c>
      <c r="B263" s="25" t="s">
        <v>2066</v>
      </c>
      <c r="C263" s="22" t="s">
        <v>1421</v>
      </c>
      <c r="D263" s="38" t="str">
        <f t="array" ref="D263">IFERROR(INDEX('ケイパビリティマップ'!$E:$E,MATCH(C263,'ケイパビリティマップ'!$A:$A,0)),"（IDなし）")</f>
        <v>逸脱・CAPA管理</v>
      </c>
      <c r="E263" s="36" t="s">
        <v>254</v>
      </c>
      <c r="F263" s="39" t="str">
        <f t="shared" si="1"/>
        <v>08-03</v>
      </c>
      <c r="G263" s="39" t="str">
        <f t="shared" si="2"/>
        <v>C08-02</v>
      </c>
    </row>
    <row r="264" ht="26.25" customHeight="1">
      <c r="A264" s="22" t="s">
        <v>2078</v>
      </c>
      <c r="B264" s="25" t="s">
        <v>2079</v>
      </c>
      <c r="C264" s="22" t="s">
        <v>1529</v>
      </c>
      <c r="D264" s="38" t="str">
        <f t="array" ref="D264">IFERROR(INDEX('ケイパビリティマップ'!$E:$E,MATCH(C264,'ケイパビリティマップ'!$A:$A,0)),"（IDなし）")</f>
        <v>有害事象情報の収集</v>
      </c>
      <c r="E264" s="36" t="s">
        <v>173</v>
      </c>
      <c r="F264" s="39" t="str">
        <f t="shared" si="1"/>
        <v>09-01</v>
      </c>
      <c r="G264" s="39" t="str">
        <f t="shared" si="2"/>
        <v>C09-01</v>
      </c>
    </row>
    <row r="265" ht="26.25" customHeight="1">
      <c r="A265" s="22" t="s">
        <v>2078</v>
      </c>
      <c r="B265" s="25" t="s">
        <v>2079</v>
      </c>
      <c r="C265" s="22" t="s">
        <v>1687</v>
      </c>
      <c r="D265" s="38" t="str">
        <f t="array" ref="D265">IFERROR(INDEX('ケイパビリティマップ'!$E:$E,MATCH(C265,'ケイパビリティマップ'!$A:$A,0)),"（IDなし）")</f>
        <v>治療開始・継続支援</v>
      </c>
      <c r="E265" s="36" t="s">
        <v>254</v>
      </c>
      <c r="F265" s="39" t="str">
        <f t="shared" si="1"/>
        <v>09-01</v>
      </c>
      <c r="G265" s="39" t="str">
        <f t="shared" si="2"/>
        <v>C10-04</v>
      </c>
    </row>
    <row r="266" ht="26.25" customHeight="1">
      <c r="A266" s="22" t="s">
        <v>2078</v>
      </c>
      <c r="B266" s="25" t="s">
        <v>2079</v>
      </c>
      <c r="C266" s="22" t="s">
        <v>1613</v>
      </c>
      <c r="D266" s="38" t="str">
        <f t="array" ref="D266">IFERROR(INDEX('ケイパビリティマップ'!$E:$E,MATCH(C266,'ケイパビリティマップ'!$A:$A,0)),"（IDなし）")</f>
        <v>医療情報問い合わせ対応</v>
      </c>
      <c r="E266" s="36" t="s">
        <v>254</v>
      </c>
      <c r="F266" s="39" t="str">
        <f t="shared" si="1"/>
        <v>09-01</v>
      </c>
      <c r="G266" s="39" t="str">
        <f t="shared" si="2"/>
        <v>C10-02</v>
      </c>
    </row>
    <row r="267" ht="26.25" customHeight="1">
      <c r="A267" s="22" t="s">
        <v>2078</v>
      </c>
      <c r="B267" s="25" t="s">
        <v>2079</v>
      </c>
      <c r="C267" s="22" t="s">
        <v>1445</v>
      </c>
      <c r="D267" s="38" t="str">
        <f t="array" ref="D267">IFERROR(INDEX('ケイパビリティマップ'!$E:$E,MATCH(C267,'ケイパビリティマップ'!$A:$A,0)),"（IDなし）")</f>
        <v>製品品質苦情処理</v>
      </c>
      <c r="E267" s="36" t="s">
        <v>254</v>
      </c>
      <c r="F267" s="39" t="str">
        <f t="shared" si="1"/>
        <v>09-01</v>
      </c>
      <c r="G267" s="39" t="str">
        <f t="shared" si="2"/>
        <v>C08-02</v>
      </c>
    </row>
    <row r="268" ht="15.0" customHeight="1">
      <c r="A268" s="22" t="s">
        <v>2084</v>
      </c>
      <c r="B268" s="38" t="s">
        <v>2347</v>
      </c>
      <c r="C268" s="22" t="s">
        <v>1543</v>
      </c>
      <c r="D268" s="38" t="str">
        <f t="array" ref="D268">IFERROR(INDEX('ケイパビリティマップ'!$E:$E,MATCH(C268,'ケイパビリティマップ'!$A:$A,0)),"（IDなし）")</f>
        <v>当局への安全性報告</v>
      </c>
      <c r="E268" s="36" t="s">
        <v>173</v>
      </c>
      <c r="F268" s="39" t="str">
        <f t="shared" si="1"/>
        <v>09-01</v>
      </c>
      <c r="G268" s="39" t="str">
        <f t="shared" si="2"/>
        <v>C09-01</v>
      </c>
    </row>
    <row r="269" ht="15.0" customHeight="1">
      <c r="A269" s="22" t="s">
        <v>2084</v>
      </c>
      <c r="B269" s="38" t="s">
        <v>2348</v>
      </c>
      <c r="C269" s="22" t="s">
        <v>1538</v>
      </c>
      <c r="D269" s="38" t="str">
        <f t="array" ref="D269">IFERROR(INDEX('ケイパビリティマップ'!$E:$E,MATCH(C269,'ケイパビリティマップ'!$A:$A,0)),"（IDなし）")</f>
        <v>症例評価</v>
      </c>
      <c r="E269" s="36" t="s">
        <v>254</v>
      </c>
      <c r="F269" s="39" t="str">
        <f t="shared" si="1"/>
        <v>09-01</v>
      </c>
      <c r="G269" s="39" t="str">
        <f t="shared" si="2"/>
        <v>C09-01</v>
      </c>
    </row>
    <row r="270" ht="15.0" customHeight="1">
      <c r="A270" s="22" t="s">
        <v>2088</v>
      </c>
      <c r="B270" s="25" t="s">
        <v>2089</v>
      </c>
      <c r="C270" s="22" t="s">
        <v>1543</v>
      </c>
      <c r="D270" s="38" t="str">
        <f t="array" ref="D270">IFERROR(INDEX('ケイパビリティマップ'!$E:$E,MATCH(C270,'ケイパビリティマップ'!$A:$A,0)),"（IDなし）")</f>
        <v>当局への安全性報告</v>
      </c>
      <c r="E270" s="36" t="s">
        <v>173</v>
      </c>
      <c r="F270" s="39" t="str">
        <f t="shared" si="1"/>
        <v>09-01</v>
      </c>
      <c r="G270" s="39" t="str">
        <f t="shared" si="2"/>
        <v>C09-01</v>
      </c>
    </row>
    <row r="271" ht="15.0" customHeight="1">
      <c r="A271" s="22" t="s">
        <v>2092</v>
      </c>
      <c r="B271" s="25" t="s">
        <v>1557</v>
      </c>
      <c r="C271" s="22" t="s">
        <v>1555</v>
      </c>
      <c r="D271" s="38" t="str">
        <f t="array" ref="D271">IFERROR(INDEX('ケイパビリティマップ'!$E:$E,MATCH(C271,'ケイパビリティマップ'!$A:$A,0)),"（IDなし）")</f>
        <v>シグナル検出・評価</v>
      </c>
      <c r="E271" s="36" t="s">
        <v>173</v>
      </c>
      <c r="F271" s="39" t="str">
        <f t="shared" si="1"/>
        <v>09-01</v>
      </c>
      <c r="G271" s="39" t="str">
        <f t="shared" si="2"/>
        <v>C09-02</v>
      </c>
    </row>
    <row r="272" ht="15.0" customHeight="1">
      <c r="A272" s="22" t="s">
        <v>2092</v>
      </c>
      <c r="B272" s="25" t="s">
        <v>1557</v>
      </c>
      <c r="C272" s="22" t="s">
        <v>932</v>
      </c>
      <c r="D272" s="38" t="str">
        <f t="array" ref="D272">IFERROR(INDEX('ケイパビリティマップ'!$E:$E,MATCH(C272,'ケイパビリティマップ'!$A:$A,0)),"（IDなし）")</f>
        <v>患者レジストリ運営</v>
      </c>
      <c r="E272" s="36" t="s">
        <v>254</v>
      </c>
      <c r="F272" s="39" t="str">
        <f t="shared" si="1"/>
        <v>09-01</v>
      </c>
      <c r="G272" s="39" t="str">
        <f t="shared" si="2"/>
        <v>C05-02</v>
      </c>
    </row>
    <row r="273" ht="15.0" customHeight="1">
      <c r="A273" s="22" t="s">
        <v>2096</v>
      </c>
      <c r="B273" s="38" t="s">
        <v>2356</v>
      </c>
      <c r="C273" s="22" t="s">
        <v>1569</v>
      </c>
      <c r="D273" s="38" t="str">
        <f t="array" ref="D273">IFERROR(INDEX('ケイパビリティマップ'!$E:$E,MATCH(C273,'ケイパビリティマップ'!$A:$A,0)),"（IDなし）")</f>
        <v>REMS・リスク最小化</v>
      </c>
      <c r="E273" s="36" t="s">
        <v>173</v>
      </c>
      <c r="F273" s="39" t="str">
        <f t="shared" si="1"/>
        <v>09-01</v>
      </c>
      <c r="G273" s="39" t="str">
        <f t="shared" si="2"/>
        <v>C09-02</v>
      </c>
    </row>
    <row r="274" ht="15.0" customHeight="1">
      <c r="A274" s="22" t="s">
        <v>2104</v>
      </c>
      <c r="B274" s="38" t="s">
        <v>2360</v>
      </c>
      <c r="C274" s="22" t="s">
        <v>1032</v>
      </c>
      <c r="D274" s="38" t="str">
        <f t="array" ref="D274">IFERROR(INDEX('ケイパビリティマップ'!$E:$E,MATCH(C274,'ケイパビリティマップ'!$A:$A,0)),"（IDなし）")</f>
        <v>モニタリング・施設管理</v>
      </c>
      <c r="E274" s="36" t="s">
        <v>173</v>
      </c>
      <c r="F274" s="39" t="str">
        <f t="shared" si="1"/>
        <v>09-02</v>
      </c>
      <c r="G274" s="39" t="str">
        <f t="shared" si="2"/>
        <v>C05-04</v>
      </c>
    </row>
    <row r="275" ht="15.0" customHeight="1">
      <c r="A275" s="22" t="s">
        <v>2104</v>
      </c>
      <c r="B275" s="38" t="s">
        <v>2361</v>
      </c>
      <c r="C275" s="22" t="s">
        <v>1214</v>
      </c>
      <c r="D275" s="38" t="str">
        <f t="array" ref="D275">IFERROR(INDEX('ケイパビリティマップ'!$E:$E,MATCH(C275,'ケイパビリティマップ'!$A:$A,0)),"（IDなし）")</f>
        <v>PMR／PMC管理</v>
      </c>
      <c r="E275" s="36" t="s">
        <v>254</v>
      </c>
      <c r="F275" s="39" t="str">
        <f t="shared" si="1"/>
        <v>09-02</v>
      </c>
      <c r="G275" s="39" t="str">
        <f t="shared" si="2"/>
        <v>C06-04</v>
      </c>
    </row>
    <row r="276" ht="15.0" customHeight="1">
      <c r="A276" s="22" t="s">
        <v>2104</v>
      </c>
      <c r="B276" s="38" t="s">
        <v>2365</v>
      </c>
      <c r="C276" s="22" t="s">
        <v>880</v>
      </c>
      <c r="D276" s="38" t="str">
        <f t="array" ref="D276">IFERROR(INDEX('ケイパビリティマップ'!$E:$E,MATCH(C276,'ケイパビリティマップ'!$A:$A,0)),"（IDなし）")</f>
        <v>試験デザイン★</v>
      </c>
      <c r="E276" s="36" t="s">
        <v>254</v>
      </c>
      <c r="F276" s="39" t="str">
        <f t="shared" si="1"/>
        <v>09-02</v>
      </c>
      <c r="G276" s="39" t="str">
        <f t="shared" si="2"/>
        <v>C05-01</v>
      </c>
    </row>
    <row r="277" ht="15.0" customHeight="1">
      <c r="A277" s="22" t="s">
        <v>2108</v>
      </c>
      <c r="B277" s="25" t="s">
        <v>2109</v>
      </c>
      <c r="C277" s="22" t="s">
        <v>1032</v>
      </c>
      <c r="D277" s="38" t="str">
        <f t="array" ref="D277">IFERROR(INDEX('ケイパビリティマップ'!$E:$E,MATCH(C277,'ケイパビリティマップ'!$A:$A,0)),"（IDなし）")</f>
        <v>モニタリング・施設管理</v>
      </c>
      <c r="E277" s="36" t="s">
        <v>173</v>
      </c>
      <c r="F277" s="39" t="str">
        <f t="shared" si="1"/>
        <v>09-02</v>
      </c>
      <c r="G277" s="39" t="str">
        <f t="shared" si="2"/>
        <v>C05-04</v>
      </c>
    </row>
    <row r="278" ht="15.0" customHeight="1">
      <c r="A278" s="22" t="s">
        <v>2108</v>
      </c>
      <c r="B278" s="25" t="s">
        <v>2109</v>
      </c>
      <c r="C278" s="22" t="s">
        <v>1214</v>
      </c>
      <c r="D278" s="38" t="str">
        <f t="array" ref="D278">IFERROR(INDEX('ケイパビリティマップ'!$E:$E,MATCH(C278,'ケイパビリティマップ'!$A:$A,0)),"（IDなし）")</f>
        <v>PMR／PMC管理</v>
      </c>
      <c r="E278" s="36" t="s">
        <v>254</v>
      </c>
      <c r="F278" s="39" t="str">
        <f t="shared" si="1"/>
        <v>09-02</v>
      </c>
      <c r="G278" s="39" t="str">
        <f t="shared" si="2"/>
        <v>C06-04</v>
      </c>
    </row>
    <row r="279" ht="15.0" customHeight="1">
      <c r="A279" s="22" t="s">
        <v>2108</v>
      </c>
      <c r="B279" s="25" t="s">
        <v>2109</v>
      </c>
      <c r="C279" s="22" t="s">
        <v>1158</v>
      </c>
      <c r="D279" s="38" t="str">
        <f t="array" ref="D279">IFERROR(INDEX('ケイパビリティマップ'!$E:$E,MATCH(C279,'ケイパビリティマップ'!$A:$A,0)),"（IDなし）")</f>
        <v>申請資料の作成・統合</v>
      </c>
      <c r="E279" s="36" t="s">
        <v>254</v>
      </c>
      <c r="F279" s="39" t="str">
        <f t="shared" si="1"/>
        <v>09-02</v>
      </c>
      <c r="G279" s="39" t="str">
        <f t="shared" si="2"/>
        <v>C06-02</v>
      </c>
    </row>
    <row r="280" ht="15.0" customHeight="1">
      <c r="A280" s="22" t="s">
        <v>2114</v>
      </c>
      <c r="B280" s="25" t="s">
        <v>2115</v>
      </c>
      <c r="C280" s="22" t="s">
        <v>932</v>
      </c>
      <c r="D280" s="38" t="str">
        <f t="array" ref="D280">IFERROR(INDEX('ケイパビリティマップ'!$E:$E,MATCH(C280,'ケイパビリティマップ'!$A:$A,0)),"（IDなし）")</f>
        <v>患者レジストリ運営</v>
      </c>
      <c r="E280" s="36" t="s">
        <v>173</v>
      </c>
      <c r="F280" s="39" t="str">
        <f t="shared" si="1"/>
        <v>09-02</v>
      </c>
      <c r="G280" s="39" t="str">
        <f t="shared" si="2"/>
        <v>C05-02</v>
      </c>
    </row>
    <row r="281" ht="15.0" customHeight="1">
      <c r="A281" s="22" t="s">
        <v>2114</v>
      </c>
      <c r="B281" s="25" t="s">
        <v>2115</v>
      </c>
      <c r="C281" s="22" t="s">
        <v>1555</v>
      </c>
      <c r="D281" s="38" t="str">
        <f t="array" ref="D281">IFERROR(INDEX('ケイパビリティマップ'!$E:$E,MATCH(C281,'ケイパビリティマップ'!$A:$A,0)),"（IDなし）")</f>
        <v>シグナル検出・評価</v>
      </c>
      <c r="E281" s="36" t="s">
        <v>254</v>
      </c>
      <c r="F281" s="39" t="str">
        <f t="shared" si="1"/>
        <v>09-02</v>
      </c>
      <c r="G281" s="39" t="str">
        <f t="shared" si="2"/>
        <v>C09-02</v>
      </c>
    </row>
    <row r="282" ht="15.0" customHeight="1">
      <c r="A282" s="22" t="s">
        <v>2118</v>
      </c>
      <c r="B282" s="25" t="s">
        <v>2119</v>
      </c>
      <c r="C282" s="22" t="s">
        <v>1214</v>
      </c>
      <c r="D282" s="38" t="str">
        <f t="array" ref="D282">IFERROR(INDEX('ケイパビリティマップ'!$E:$E,MATCH(C282,'ケイパビリティマップ'!$A:$A,0)),"（IDなし）")</f>
        <v>PMR／PMC管理</v>
      </c>
      <c r="E282" s="36" t="s">
        <v>173</v>
      </c>
      <c r="F282" s="39" t="str">
        <f t="shared" si="1"/>
        <v>09-02</v>
      </c>
      <c r="G282" s="39" t="str">
        <f t="shared" si="2"/>
        <v>C06-04</v>
      </c>
    </row>
    <row r="283" ht="15.0" customHeight="1">
      <c r="A283" s="22" t="s">
        <v>2124</v>
      </c>
      <c r="B283" s="25" t="s">
        <v>2125</v>
      </c>
      <c r="C283" s="22" t="s">
        <v>1158</v>
      </c>
      <c r="D283" s="38" t="str">
        <f t="array" ref="D283">IFERROR(INDEX('ケイパビリティマップ'!$E:$E,MATCH(C283,'ケイパビリティマップ'!$A:$A,0)),"（IDなし）")</f>
        <v>申請資料の作成・統合</v>
      </c>
      <c r="E283" s="36" t="s">
        <v>173</v>
      </c>
      <c r="F283" s="39" t="str">
        <f t="shared" si="1"/>
        <v>09-03</v>
      </c>
      <c r="G283" s="39" t="str">
        <f t="shared" si="2"/>
        <v>C06-02</v>
      </c>
    </row>
    <row r="284" ht="15.0" customHeight="1">
      <c r="A284" s="22" t="s">
        <v>2124</v>
      </c>
      <c r="B284" s="25" t="s">
        <v>2125</v>
      </c>
      <c r="C284" s="22" t="s">
        <v>863</v>
      </c>
      <c r="D284" s="38" t="str">
        <f t="array" ref="D284">IFERROR(INDEX('ケイパビリティマップ'!$E:$E,MATCH(C284,'ケイパビリティマップ'!$A:$A,0)),"（IDなし）")</f>
        <v>臨床開発計画</v>
      </c>
      <c r="E284" s="36" t="s">
        <v>254</v>
      </c>
      <c r="F284" s="39" t="str">
        <f t="shared" si="1"/>
        <v>09-03</v>
      </c>
      <c r="G284" s="39" t="str">
        <f t="shared" si="2"/>
        <v>C05-01</v>
      </c>
    </row>
    <row r="285" ht="15.0" customHeight="1">
      <c r="A285" s="22" t="s">
        <v>2124</v>
      </c>
      <c r="B285" s="25" t="s">
        <v>2125</v>
      </c>
      <c r="C285" s="22" t="s">
        <v>1201</v>
      </c>
      <c r="D285" s="38" t="str">
        <f t="array" ref="D285">IFERROR(INDEX('ケイパビリティマップ'!$E:$E,MATCH(C285,'ケイパビリティマップ'!$A:$A,0)),"（IDなし）")</f>
        <v>表示の改訂管理</v>
      </c>
      <c r="E285" s="36" t="s">
        <v>254</v>
      </c>
      <c r="F285" s="39" t="str">
        <f t="shared" si="1"/>
        <v>09-03</v>
      </c>
      <c r="G285" s="39" t="str">
        <f t="shared" si="2"/>
        <v>C06-03</v>
      </c>
    </row>
    <row r="286" ht="15.0" customHeight="1">
      <c r="A286" s="22" t="s">
        <v>2128</v>
      </c>
      <c r="B286" s="25" t="s">
        <v>2129</v>
      </c>
      <c r="C286" s="22" t="s">
        <v>1158</v>
      </c>
      <c r="D286" s="38" t="str">
        <f t="array" ref="D286">IFERROR(INDEX('ケイパビリティマップ'!$E:$E,MATCH(C286,'ケイパビリティマップ'!$A:$A,0)),"（IDなし）")</f>
        <v>申請資料の作成・統合</v>
      </c>
      <c r="E286" s="36" t="s">
        <v>173</v>
      </c>
      <c r="F286" s="39" t="str">
        <f t="shared" si="1"/>
        <v>09-03</v>
      </c>
      <c r="G286" s="39" t="str">
        <f t="shared" si="2"/>
        <v>C06-02</v>
      </c>
    </row>
    <row r="287" ht="15.0" customHeight="1">
      <c r="A287" s="22" t="s">
        <v>2128</v>
      </c>
      <c r="B287" s="25" t="s">
        <v>2129</v>
      </c>
      <c r="C287" s="22" t="s">
        <v>718</v>
      </c>
      <c r="D287" s="38" t="str">
        <f t="array" ref="D287">IFERROR(INDEX('ケイパビリティマップ'!$E:$E,MATCH(C287,'ケイパビリティマップ'!$A:$A,0)),"（IDなし）")</f>
        <v>投与デバイス開発</v>
      </c>
      <c r="E287" s="36" t="s">
        <v>254</v>
      </c>
      <c r="F287" s="39" t="str">
        <f t="shared" si="1"/>
        <v>09-03</v>
      </c>
      <c r="G287" s="39" t="str">
        <f t="shared" si="2"/>
        <v>C04-03</v>
      </c>
    </row>
    <row r="288" ht="15.0" customHeight="1">
      <c r="A288" s="22" t="s">
        <v>2128</v>
      </c>
      <c r="B288" s="25" t="s">
        <v>2129</v>
      </c>
      <c r="C288" s="22" t="s">
        <v>783</v>
      </c>
      <c r="D288" s="38" t="str">
        <f t="array" ref="D288">IFERROR(INDEX('ケイパビリティマップ'!$E:$E,MATCH(C288,'ケイパビリティマップ'!$A:$A,0)),"（IDなし）")</f>
        <v>同等性／同質性評価</v>
      </c>
      <c r="E288" s="36" t="s">
        <v>254</v>
      </c>
      <c r="F288" s="39" t="str">
        <f t="shared" si="1"/>
        <v>09-03</v>
      </c>
      <c r="G288" s="39" t="str">
        <f t="shared" si="2"/>
        <v>C04-04</v>
      </c>
    </row>
    <row r="289" ht="26.25" customHeight="1">
      <c r="A289" s="22" t="s">
        <v>2133</v>
      </c>
      <c r="B289" s="25" t="s">
        <v>2134</v>
      </c>
      <c r="C289" s="22" t="s">
        <v>1224</v>
      </c>
      <c r="D289" s="38" t="str">
        <f t="array" ref="D289">IFERROR(INDEX('ケイパビリティマップ'!$E:$E,MATCH(C289,'ケイパビリティマップ'!$A:$A,0)),"（IDなし）")</f>
        <v>変更の報告区分判定・申請</v>
      </c>
      <c r="E289" s="36" t="s">
        <v>173</v>
      </c>
      <c r="F289" s="39" t="str">
        <f t="shared" si="1"/>
        <v>09-03</v>
      </c>
      <c r="G289" s="39" t="str">
        <f t="shared" si="2"/>
        <v>C06-04</v>
      </c>
    </row>
    <row r="290" ht="26.25" customHeight="1">
      <c r="A290" s="22" t="s">
        <v>2133</v>
      </c>
      <c r="B290" s="25" t="s">
        <v>2134</v>
      </c>
      <c r="C290" s="22" t="s">
        <v>783</v>
      </c>
      <c r="D290" s="38" t="str">
        <f t="array" ref="D290">IFERROR(INDEX('ケイパビリティマップ'!$E:$E,MATCH(C290,'ケイパビリティマップ'!$A:$A,0)),"（IDなし）")</f>
        <v>同等性／同質性評価</v>
      </c>
      <c r="E290" s="36" t="s">
        <v>254</v>
      </c>
      <c r="F290" s="39" t="str">
        <f t="shared" si="1"/>
        <v>09-03</v>
      </c>
      <c r="G290" s="39" t="str">
        <f t="shared" si="2"/>
        <v>C04-04</v>
      </c>
    </row>
    <row r="291" ht="26.25" customHeight="1">
      <c r="A291" s="22" t="s">
        <v>2133</v>
      </c>
      <c r="B291" s="25" t="s">
        <v>2134</v>
      </c>
      <c r="C291" s="22" t="s">
        <v>1429</v>
      </c>
      <c r="D291" s="38" t="str">
        <f t="array" ref="D291">IFERROR(INDEX('ケイパビリティマップ'!$E:$E,MATCH(C291,'ケイパビリティマップ'!$A:$A,0)),"（IDなし）")</f>
        <v>変更管理</v>
      </c>
      <c r="E291" s="36" t="s">
        <v>254</v>
      </c>
      <c r="F291" s="39" t="str">
        <f t="shared" si="1"/>
        <v>09-03</v>
      </c>
      <c r="G291" s="39" t="str">
        <f t="shared" si="2"/>
        <v>C08-02</v>
      </c>
    </row>
    <row r="292" ht="26.25" customHeight="1">
      <c r="A292" s="22" t="s">
        <v>2138</v>
      </c>
      <c r="B292" s="25" t="s">
        <v>2139</v>
      </c>
      <c r="C292" s="22" t="s">
        <v>110</v>
      </c>
      <c r="D292" s="38" t="str">
        <f t="array" ref="D292">IFERROR(INDEX('ケイパビリティマップ'!$E:$E,MATCH(C292,'ケイパビリティマップ'!$A:$A,0)),"（IDなし）")</f>
        <v>規制上の独占期間管理</v>
      </c>
      <c r="E292" s="36" t="s">
        <v>173</v>
      </c>
      <c r="F292" s="39" t="str">
        <f t="shared" si="1"/>
        <v>09-03</v>
      </c>
      <c r="G292" s="39" t="str">
        <f t="shared" si="2"/>
        <v>C01-02</v>
      </c>
    </row>
    <row r="293" ht="26.25" customHeight="1">
      <c r="A293" s="22" t="s">
        <v>2138</v>
      </c>
      <c r="B293" s="25" t="s">
        <v>2139</v>
      </c>
      <c r="C293" s="22" t="s">
        <v>123</v>
      </c>
      <c r="D293" s="38" t="str">
        <f t="array" ref="D293">IFERROR(INDEX('ケイパビリティマップ'!$E:$E,MATCH(C293,'ケイパビリティマップ'!$A:$A,0)),"（IDなし）")</f>
        <v>バイオシミラー対応</v>
      </c>
      <c r="E293" s="36" t="s">
        <v>173</v>
      </c>
      <c r="F293" s="39" t="str">
        <f t="shared" si="1"/>
        <v>09-03</v>
      </c>
      <c r="G293" s="39" t="str">
        <f t="shared" si="2"/>
        <v>C01-02</v>
      </c>
    </row>
    <row r="294" ht="26.25" customHeight="1">
      <c r="A294" s="22" t="s">
        <v>2142</v>
      </c>
      <c r="B294" s="38" t="s">
        <v>2396</v>
      </c>
      <c r="C294" s="22" t="s">
        <v>1756</v>
      </c>
      <c r="D294" s="38" t="str">
        <f t="array" ref="D294">IFERROR(INDEX('ケイパビリティマップ'!$E:$E,MATCH(C294,'ケイパビリティマップ'!$A:$A,0)),"（IDなし）")</f>
        <v>薬価政策対応</v>
      </c>
      <c r="E294" s="36" t="s">
        <v>173</v>
      </c>
      <c r="F294" s="39" t="str">
        <f t="shared" si="1"/>
        <v>09-03</v>
      </c>
      <c r="G294" s="39" t="str">
        <f t="shared" si="2"/>
        <v>C11-02</v>
      </c>
    </row>
    <row r="295" ht="15.0" customHeight="1">
      <c r="A295" s="3"/>
      <c r="B295" s="3"/>
      <c r="C295" s="3"/>
      <c r="D295" s="72" t="str">
        <f t="array" ref="D295">IF(C295="","",IFERROR(INDEX('ケイパビリティマップ'!$E:$E,MATCH(C295,'ケイパビリティマップ'!$A:$A,0)),"（IDなし）"))</f>
        <v/>
      </c>
      <c r="E295" s="3"/>
      <c r="F295" s="72" t="str">
        <f t="shared" ref="F295:F494" si="3">IF(A295="","",LEFT(A295,5))</f>
        <v/>
      </c>
      <c r="G295" s="72" t="str">
        <f t="shared" ref="G295:G494" si="4">IF(C295="","",LEFT(C295,6))</f>
        <v/>
      </c>
    </row>
    <row r="296" ht="15.0" customHeight="1">
      <c r="A296" s="3"/>
      <c r="B296" s="3"/>
      <c r="C296" s="3"/>
      <c r="D296" s="72" t="str">
        <f t="array" ref="D296">IF(C296="","",IFERROR(INDEX('ケイパビリティマップ'!$E:$E,MATCH(C296,'ケイパビリティマップ'!$A:$A,0)),"（IDなし）"))</f>
        <v/>
      </c>
      <c r="E296" s="3"/>
      <c r="F296" s="72" t="str">
        <f t="shared" si="3"/>
        <v/>
      </c>
      <c r="G296" s="72" t="str">
        <f t="shared" si="4"/>
        <v/>
      </c>
    </row>
    <row r="297" ht="15.0" customHeight="1">
      <c r="A297" s="3"/>
      <c r="B297" s="3"/>
      <c r="C297" s="3"/>
      <c r="D297" s="72" t="str">
        <f t="array" ref="D297">IF(C297="","",IFERROR(INDEX('ケイパビリティマップ'!$E:$E,MATCH(C297,'ケイパビリティマップ'!$A:$A,0)),"（IDなし）"))</f>
        <v/>
      </c>
      <c r="E297" s="3"/>
      <c r="F297" s="72" t="str">
        <f t="shared" si="3"/>
        <v/>
      </c>
      <c r="G297" s="72" t="str">
        <f t="shared" si="4"/>
        <v/>
      </c>
    </row>
    <row r="298" ht="15.0" customHeight="1">
      <c r="A298" s="3"/>
      <c r="B298" s="3"/>
      <c r="C298" s="3"/>
      <c r="D298" s="72" t="str">
        <f t="array" ref="D298">IF(C298="","",IFERROR(INDEX('ケイパビリティマップ'!$E:$E,MATCH(C298,'ケイパビリティマップ'!$A:$A,0)),"（IDなし）"))</f>
        <v/>
      </c>
      <c r="E298" s="3"/>
      <c r="F298" s="72" t="str">
        <f t="shared" si="3"/>
        <v/>
      </c>
      <c r="G298" s="72" t="str">
        <f t="shared" si="4"/>
        <v/>
      </c>
    </row>
    <row r="299" ht="15.0" customHeight="1">
      <c r="A299" s="3"/>
      <c r="B299" s="3"/>
      <c r="C299" s="3"/>
      <c r="D299" s="72" t="str">
        <f t="array" ref="D299">IF(C299="","",IFERROR(INDEX('ケイパビリティマップ'!$E:$E,MATCH(C299,'ケイパビリティマップ'!$A:$A,0)),"（IDなし）"))</f>
        <v/>
      </c>
      <c r="E299" s="3"/>
      <c r="F299" s="72" t="str">
        <f t="shared" si="3"/>
        <v/>
      </c>
      <c r="G299" s="72" t="str">
        <f t="shared" si="4"/>
        <v/>
      </c>
    </row>
    <row r="300" ht="15.0" customHeight="1">
      <c r="A300" s="3"/>
      <c r="B300" s="3"/>
      <c r="C300" s="3"/>
      <c r="D300" s="72" t="str">
        <f t="array" ref="D300">IF(C300="","",IFERROR(INDEX('ケイパビリティマップ'!$E:$E,MATCH(C300,'ケイパビリティマップ'!$A:$A,0)),"（IDなし）"))</f>
        <v/>
      </c>
      <c r="E300" s="3"/>
      <c r="F300" s="72" t="str">
        <f t="shared" si="3"/>
        <v/>
      </c>
      <c r="G300" s="72" t="str">
        <f t="shared" si="4"/>
        <v/>
      </c>
    </row>
    <row r="301" ht="15.0" customHeight="1">
      <c r="A301" s="3"/>
      <c r="B301" s="3"/>
      <c r="C301" s="3"/>
      <c r="D301" s="72" t="str">
        <f t="array" ref="D301">IF(C301="","",IFERROR(INDEX('ケイパビリティマップ'!$E:$E,MATCH(C301,'ケイパビリティマップ'!$A:$A,0)),"（IDなし）"))</f>
        <v/>
      </c>
      <c r="E301" s="3"/>
      <c r="F301" s="72" t="str">
        <f t="shared" si="3"/>
        <v/>
      </c>
      <c r="G301" s="72" t="str">
        <f t="shared" si="4"/>
        <v/>
      </c>
    </row>
    <row r="302" ht="15.0" customHeight="1">
      <c r="A302" s="3"/>
      <c r="B302" s="3"/>
      <c r="C302" s="3"/>
      <c r="D302" s="72" t="str">
        <f t="array" ref="D302">IF(C302="","",IFERROR(INDEX('ケイパビリティマップ'!$E:$E,MATCH(C302,'ケイパビリティマップ'!$A:$A,0)),"（IDなし）"))</f>
        <v/>
      </c>
      <c r="E302" s="3"/>
      <c r="F302" s="72" t="str">
        <f t="shared" si="3"/>
        <v/>
      </c>
      <c r="G302" s="72" t="str">
        <f t="shared" si="4"/>
        <v/>
      </c>
    </row>
    <row r="303" ht="15.0" customHeight="1">
      <c r="A303" s="3"/>
      <c r="B303" s="3"/>
      <c r="C303" s="3"/>
      <c r="D303" s="72" t="str">
        <f t="array" ref="D303">IF(C303="","",IFERROR(INDEX('ケイパビリティマップ'!$E:$E,MATCH(C303,'ケイパビリティマップ'!$A:$A,0)),"（IDなし）"))</f>
        <v/>
      </c>
      <c r="E303" s="3"/>
      <c r="F303" s="72" t="str">
        <f t="shared" si="3"/>
        <v/>
      </c>
      <c r="G303" s="72" t="str">
        <f t="shared" si="4"/>
        <v/>
      </c>
    </row>
    <row r="304" ht="15.0" customHeight="1">
      <c r="A304" s="3"/>
      <c r="B304" s="3"/>
      <c r="C304" s="3"/>
      <c r="D304" s="72" t="str">
        <f t="array" ref="D304">IF(C304="","",IFERROR(INDEX('ケイパビリティマップ'!$E:$E,MATCH(C304,'ケイパビリティマップ'!$A:$A,0)),"（IDなし）"))</f>
        <v/>
      </c>
      <c r="E304" s="3"/>
      <c r="F304" s="72" t="str">
        <f t="shared" si="3"/>
        <v/>
      </c>
      <c r="G304" s="72" t="str">
        <f t="shared" si="4"/>
        <v/>
      </c>
    </row>
    <row r="305" ht="15.0" customHeight="1">
      <c r="A305" s="3"/>
      <c r="B305" s="3"/>
      <c r="C305" s="3"/>
      <c r="D305" s="72" t="str">
        <f t="array" ref="D305">IF(C305="","",IFERROR(INDEX('ケイパビリティマップ'!$E:$E,MATCH(C305,'ケイパビリティマップ'!$A:$A,0)),"（IDなし）"))</f>
        <v/>
      </c>
      <c r="E305" s="3"/>
      <c r="F305" s="72" t="str">
        <f t="shared" si="3"/>
        <v/>
      </c>
      <c r="G305" s="72" t="str">
        <f t="shared" si="4"/>
        <v/>
      </c>
    </row>
    <row r="306" ht="15.0" customHeight="1">
      <c r="A306" s="3"/>
      <c r="B306" s="3"/>
      <c r="C306" s="3"/>
      <c r="D306" s="72" t="str">
        <f t="array" ref="D306">IF(C306="","",IFERROR(INDEX('ケイパビリティマップ'!$E:$E,MATCH(C306,'ケイパビリティマップ'!$A:$A,0)),"（IDなし）"))</f>
        <v/>
      </c>
      <c r="E306" s="3"/>
      <c r="F306" s="72" t="str">
        <f t="shared" si="3"/>
        <v/>
      </c>
      <c r="G306" s="72" t="str">
        <f t="shared" si="4"/>
        <v/>
      </c>
    </row>
    <row r="307" ht="15.0" customHeight="1">
      <c r="A307" s="3"/>
      <c r="B307" s="3"/>
      <c r="C307" s="3"/>
      <c r="D307" s="72" t="str">
        <f t="array" ref="D307">IF(C307="","",IFERROR(INDEX('ケイパビリティマップ'!$E:$E,MATCH(C307,'ケイパビリティマップ'!$A:$A,0)),"（IDなし）"))</f>
        <v/>
      </c>
      <c r="E307" s="3"/>
      <c r="F307" s="72" t="str">
        <f t="shared" si="3"/>
        <v/>
      </c>
      <c r="G307" s="72" t="str">
        <f t="shared" si="4"/>
        <v/>
      </c>
    </row>
    <row r="308" ht="15.0" customHeight="1">
      <c r="A308" s="3"/>
      <c r="B308" s="3"/>
      <c r="C308" s="3"/>
      <c r="D308" s="72" t="str">
        <f t="array" ref="D308">IF(C308="","",IFERROR(INDEX('ケイパビリティマップ'!$E:$E,MATCH(C308,'ケイパビリティマップ'!$A:$A,0)),"（IDなし）"))</f>
        <v/>
      </c>
      <c r="E308" s="3"/>
      <c r="F308" s="72" t="str">
        <f t="shared" si="3"/>
        <v/>
      </c>
      <c r="G308" s="72" t="str">
        <f t="shared" si="4"/>
        <v/>
      </c>
    </row>
    <row r="309" ht="15.0" customHeight="1">
      <c r="A309" s="3"/>
      <c r="B309" s="3"/>
      <c r="C309" s="3"/>
      <c r="D309" s="72" t="str">
        <f t="array" ref="D309">IF(C309="","",IFERROR(INDEX('ケイパビリティマップ'!$E:$E,MATCH(C309,'ケイパビリティマップ'!$A:$A,0)),"（IDなし）"))</f>
        <v/>
      </c>
      <c r="E309" s="3"/>
      <c r="F309" s="72" t="str">
        <f t="shared" si="3"/>
        <v/>
      </c>
      <c r="G309" s="72" t="str">
        <f t="shared" si="4"/>
        <v/>
      </c>
    </row>
    <row r="310" ht="15.0" customHeight="1">
      <c r="A310" s="3"/>
      <c r="B310" s="3"/>
      <c r="C310" s="3"/>
      <c r="D310" s="72" t="str">
        <f t="array" ref="D310">IF(C310="","",IFERROR(INDEX('ケイパビリティマップ'!$E:$E,MATCH(C310,'ケイパビリティマップ'!$A:$A,0)),"（IDなし）"))</f>
        <v/>
      </c>
      <c r="E310" s="3"/>
      <c r="F310" s="72" t="str">
        <f t="shared" si="3"/>
        <v/>
      </c>
      <c r="G310" s="72" t="str">
        <f t="shared" si="4"/>
        <v/>
      </c>
    </row>
    <row r="311" ht="15.0" customHeight="1">
      <c r="A311" s="3"/>
      <c r="B311" s="3"/>
      <c r="C311" s="3"/>
      <c r="D311" s="72" t="str">
        <f t="array" ref="D311">IF(C311="","",IFERROR(INDEX('ケイパビリティマップ'!$E:$E,MATCH(C311,'ケイパビリティマップ'!$A:$A,0)),"（IDなし）"))</f>
        <v/>
      </c>
      <c r="E311" s="3"/>
      <c r="F311" s="72" t="str">
        <f t="shared" si="3"/>
        <v/>
      </c>
      <c r="G311" s="72" t="str">
        <f t="shared" si="4"/>
        <v/>
      </c>
    </row>
    <row r="312" ht="15.0" customHeight="1">
      <c r="A312" s="3"/>
      <c r="B312" s="3"/>
      <c r="C312" s="3"/>
      <c r="D312" s="72" t="str">
        <f t="array" ref="D312">IF(C312="","",IFERROR(INDEX('ケイパビリティマップ'!$E:$E,MATCH(C312,'ケイパビリティマップ'!$A:$A,0)),"（IDなし）"))</f>
        <v/>
      </c>
      <c r="E312" s="3"/>
      <c r="F312" s="72" t="str">
        <f t="shared" si="3"/>
        <v/>
      </c>
      <c r="G312" s="72" t="str">
        <f t="shared" si="4"/>
        <v/>
      </c>
    </row>
    <row r="313" ht="15.0" customHeight="1">
      <c r="A313" s="3"/>
      <c r="B313" s="3"/>
      <c r="C313" s="3"/>
      <c r="D313" s="72" t="str">
        <f t="array" ref="D313">IF(C313="","",IFERROR(INDEX('ケイパビリティマップ'!$E:$E,MATCH(C313,'ケイパビリティマップ'!$A:$A,0)),"（IDなし）"))</f>
        <v/>
      </c>
      <c r="E313" s="3"/>
      <c r="F313" s="72" t="str">
        <f t="shared" si="3"/>
        <v/>
      </c>
      <c r="G313" s="72" t="str">
        <f t="shared" si="4"/>
        <v/>
      </c>
    </row>
    <row r="314" ht="15.0" customHeight="1">
      <c r="A314" s="3"/>
      <c r="B314" s="3"/>
      <c r="C314" s="3"/>
      <c r="D314" s="72" t="str">
        <f t="array" ref="D314">IF(C314="","",IFERROR(INDEX('ケイパビリティマップ'!$E:$E,MATCH(C314,'ケイパビリティマップ'!$A:$A,0)),"（IDなし）"))</f>
        <v/>
      </c>
      <c r="E314" s="3"/>
      <c r="F314" s="72" t="str">
        <f t="shared" si="3"/>
        <v/>
      </c>
      <c r="G314" s="72" t="str">
        <f t="shared" si="4"/>
        <v/>
      </c>
    </row>
    <row r="315" ht="15.0" customHeight="1">
      <c r="A315" s="3"/>
      <c r="B315" s="3"/>
      <c r="C315" s="3"/>
      <c r="D315" s="72" t="str">
        <f t="array" ref="D315">IF(C315="","",IFERROR(INDEX('ケイパビリティマップ'!$E:$E,MATCH(C315,'ケイパビリティマップ'!$A:$A,0)),"（IDなし）"))</f>
        <v/>
      </c>
      <c r="E315" s="3"/>
      <c r="F315" s="72" t="str">
        <f t="shared" si="3"/>
        <v/>
      </c>
      <c r="G315" s="72" t="str">
        <f t="shared" si="4"/>
        <v/>
      </c>
    </row>
    <row r="316" ht="15.0" customHeight="1">
      <c r="A316" s="3"/>
      <c r="B316" s="3"/>
      <c r="C316" s="3"/>
      <c r="D316" s="72" t="str">
        <f t="array" ref="D316">IF(C316="","",IFERROR(INDEX('ケイパビリティマップ'!$E:$E,MATCH(C316,'ケイパビリティマップ'!$A:$A,0)),"（IDなし）"))</f>
        <v/>
      </c>
      <c r="E316" s="3"/>
      <c r="F316" s="72" t="str">
        <f t="shared" si="3"/>
        <v/>
      </c>
      <c r="G316" s="72" t="str">
        <f t="shared" si="4"/>
        <v/>
      </c>
    </row>
    <row r="317" ht="15.0" customHeight="1">
      <c r="A317" s="3"/>
      <c r="B317" s="3"/>
      <c r="C317" s="3"/>
      <c r="D317" s="72" t="str">
        <f t="array" ref="D317">IF(C317="","",IFERROR(INDEX('ケイパビリティマップ'!$E:$E,MATCH(C317,'ケイパビリティマップ'!$A:$A,0)),"（IDなし）"))</f>
        <v/>
      </c>
      <c r="E317" s="3"/>
      <c r="F317" s="72" t="str">
        <f t="shared" si="3"/>
        <v/>
      </c>
      <c r="G317" s="72" t="str">
        <f t="shared" si="4"/>
        <v/>
      </c>
    </row>
    <row r="318" ht="15.0" customHeight="1">
      <c r="A318" s="3"/>
      <c r="B318" s="3"/>
      <c r="C318" s="3"/>
      <c r="D318" s="72" t="str">
        <f t="array" ref="D318">IF(C318="","",IFERROR(INDEX('ケイパビリティマップ'!$E:$E,MATCH(C318,'ケイパビリティマップ'!$A:$A,0)),"（IDなし）"))</f>
        <v/>
      </c>
      <c r="E318" s="3"/>
      <c r="F318" s="72" t="str">
        <f t="shared" si="3"/>
        <v/>
      </c>
      <c r="G318" s="72" t="str">
        <f t="shared" si="4"/>
        <v/>
      </c>
    </row>
    <row r="319" ht="15.0" customHeight="1">
      <c r="A319" s="3"/>
      <c r="B319" s="3"/>
      <c r="C319" s="3"/>
      <c r="D319" s="72" t="str">
        <f t="array" ref="D319">IF(C319="","",IFERROR(INDEX('ケイパビリティマップ'!$E:$E,MATCH(C319,'ケイパビリティマップ'!$A:$A,0)),"（IDなし）"))</f>
        <v/>
      </c>
      <c r="E319" s="3"/>
      <c r="F319" s="72" t="str">
        <f t="shared" si="3"/>
        <v/>
      </c>
      <c r="G319" s="72" t="str">
        <f t="shared" si="4"/>
        <v/>
      </c>
    </row>
    <row r="320" ht="15.0" customHeight="1">
      <c r="A320" s="3"/>
      <c r="B320" s="3"/>
      <c r="C320" s="3"/>
      <c r="D320" s="72" t="str">
        <f t="array" ref="D320">IF(C320="","",IFERROR(INDEX('ケイパビリティマップ'!$E:$E,MATCH(C320,'ケイパビリティマップ'!$A:$A,0)),"（IDなし）"))</f>
        <v/>
      </c>
      <c r="E320" s="3"/>
      <c r="F320" s="72" t="str">
        <f t="shared" si="3"/>
        <v/>
      </c>
      <c r="G320" s="72" t="str">
        <f t="shared" si="4"/>
        <v/>
      </c>
    </row>
    <row r="321" ht="15.0" customHeight="1">
      <c r="A321" s="3"/>
      <c r="B321" s="3"/>
      <c r="C321" s="3"/>
      <c r="D321" s="72" t="str">
        <f t="array" ref="D321">IF(C321="","",IFERROR(INDEX('ケイパビリティマップ'!$E:$E,MATCH(C321,'ケイパビリティマップ'!$A:$A,0)),"（IDなし）"))</f>
        <v/>
      </c>
      <c r="E321" s="3"/>
      <c r="F321" s="72" t="str">
        <f t="shared" si="3"/>
        <v/>
      </c>
      <c r="G321" s="72" t="str">
        <f t="shared" si="4"/>
        <v/>
      </c>
    </row>
    <row r="322" ht="15.0" customHeight="1">
      <c r="A322" s="3"/>
      <c r="B322" s="3"/>
      <c r="C322" s="3"/>
      <c r="D322" s="72" t="str">
        <f t="array" ref="D322">IF(C322="","",IFERROR(INDEX('ケイパビリティマップ'!$E:$E,MATCH(C322,'ケイパビリティマップ'!$A:$A,0)),"（IDなし）"))</f>
        <v/>
      </c>
      <c r="E322" s="3"/>
      <c r="F322" s="72" t="str">
        <f t="shared" si="3"/>
        <v/>
      </c>
      <c r="G322" s="72" t="str">
        <f t="shared" si="4"/>
        <v/>
      </c>
    </row>
    <row r="323" ht="15.0" customHeight="1">
      <c r="A323" s="3"/>
      <c r="B323" s="3"/>
      <c r="C323" s="3"/>
      <c r="D323" s="72" t="str">
        <f t="array" ref="D323">IF(C323="","",IFERROR(INDEX('ケイパビリティマップ'!$E:$E,MATCH(C323,'ケイパビリティマップ'!$A:$A,0)),"（IDなし）"))</f>
        <v/>
      </c>
      <c r="E323" s="3"/>
      <c r="F323" s="72" t="str">
        <f t="shared" si="3"/>
        <v/>
      </c>
      <c r="G323" s="72" t="str">
        <f t="shared" si="4"/>
        <v/>
      </c>
    </row>
    <row r="324" ht="15.0" customHeight="1">
      <c r="A324" s="3"/>
      <c r="B324" s="3"/>
      <c r="C324" s="3"/>
      <c r="D324" s="72" t="str">
        <f t="array" ref="D324">IF(C324="","",IFERROR(INDEX('ケイパビリティマップ'!$E:$E,MATCH(C324,'ケイパビリティマップ'!$A:$A,0)),"（IDなし）"))</f>
        <v/>
      </c>
      <c r="E324" s="3"/>
      <c r="F324" s="72" t="str">
        <f t="shared" si="3"/>
        <v/>
      </c>
      <c r="G324" s="72" t="str">
        <f t="shared" si="4"/>
        <v/>
      </c>
    </row>
    <row r="325" ht="15.0" customHeight="1">
      <c r="A325" s="3"/>
      <c r="B325" s="3"/>
      <c r="C325" s="3"/>
      <c r="D325" s="72" t="str">
        <f t="array" ref="D325">IF(C325="","",IFERROR(INDEX('ケイパビリティマップ'!$E:$E,MATCH(C325,'ケイパビリティマップ'!$A:$A,0)),"（IDなし）"))</f>
        <v/>
      </c>
      <c r="E325" s="3"/>
      <c r="F325" s="72" t="str">
        <f t="shared" si="3"/>
        <v/>
      </c>
      <c r="G325" s="72" t="str">
        <f t="shared" si="4"/>
        <v/>
      </c>
    </row>
    <row r="326" ht="15.0" customHeight="1">
      <c r="A326" s="3"/>
      <c r="B326" s="3"/>
      <c r="C326" s="3"/>
      <c r="D326" s="72" t="str">
        <f t="array" ref="D326">IF(C326="","",IFERROR(INDEX('ケイパビリティマップ'!$E:$E,MATCH(C326,'ケイパビリティマップ'!$A:$A,0)),"（IDなし）"))</f>
        <v/>
      </c>
      <c r="E326" s="3"/>
      <c r="F326" s="72" t="str">
        <f t="shared" si="3"/>
        <v/>
      </c>
      <c r="G326" s="72" t="str">
        <f t="shared" si="4"/>
        <v/>
      </c>
    </row>
    <row r="327" ht="15.0" customHeight="1">
      <c r="A327" s="3"/>
      <c r="B327" s="3"/>
      <c r="C327" s="3"/>
      <c r="D327" s="72" t="str">
        <f t="array" ref="D327">IF(C327="","",IFERROR(INDEX('ケイパビリティマップ'!$E:$E,MATCH(C327,'ケイパビリティマップ'!$A:$A,0)),"（IDなし）"))</f>
        <v/>
      </c>
      <c r="E327" s="3"/>
      <c r="F327" s="72" t="str">
        <f t="shared" si="3"/>
        <v/>
      </c>
      <c r="G327" s="72" t="str">
        <f t="shared" si="4"/>
        <v/>
      </c>
    </row>
    <row r="328" ht="15.0" customHeight="1">
      <c r="A328" s="3"/>
      <c r="B328" s="3"/>
      <c r="C328" s="3"/>
      <c r="D328" s="72" t="str">
        <f t="array" ref="D328">IF(C328="","",IFERROR(INDEX('ケイパビリティマップ'!$E:$E,MATCH(C328,'ケイパビリティマップ'!$A:$A,0)),"（IDなし）"))</f>
        <v/>
      </c>
      <c r="E328" s="3"/>
      <c r="F328" s="72" t="str">
        <f t="shared" si="3"/>
        <v/>
      </c>
      <c r="G328" s="72" t="str">
        <f t="shared" si="4"/>
        <v/>
      </c>
    </row>
    <row r="329" ht="15.0" customHeight="1">
      <c r="A329" s="3"/>
      <c r="B329" s="3"/>
      <c r="C329" s="3"/>
      <c r="D329" s="72" t="str">
        <f t="array" ref="D329">IF(C329="","",IFERROR(INDEX('ケイパビリティマップ'!$E:$E,MATCH(C329,'ケイパビリティマップ'!$A:$A,0)),"（IDなし）"))</f>
        <v/>
      </c>
      <c r="E329" s="3"/>
      <c r="F329" s="72" t="str">
        <f t="shared" si="3"/>
        <v/>
      </c>
      <c r="G329" s="72" t="str">
        <f t="shared" si="4"/>
        <v/>
      </c>
    </row>
    <row r="330" ht="15.0" customHeight="1">
      <c r="A330" s="3"/>
      <c r="B330" s="3"/>
      <c r="C330" s="3"/>
      <c r="D330" s="72" t="str">
        <f t="array" ref="D330">IF(C330="","",IFERROR(INDEX('ケイパビリティマップ'!$E:$E,MATCH(C330,'ケイパビリティマップ'!$A:$A,0)),"（IDなし）"))</f>
        <v/>
      </c>
      <c r="E330" s="3"/>
      <c r="F330" s="72" t="str">
        <f t="shared" si="3"/>
        <v/>
      </c>
      <c r="G330" s="72" t="str">
        <f t="shared" si="4"/>
        <v/>
      </c>
    </row>
    <row r="331" ht="15.0" customHeight="1">
      <c r="A331" s="3"/>
      <c r="B331" s="3"/>
      <c r="C331" s="3"/>
      <c r="D331" s="72" t="str">
        <f t="array" ref="D331">IF(C331="","",IFERROR(INDEX('ケイパビリティマップ'!$E:$E,MATCH(C331,'ケイパビリティマップ'!$A:$A,0)),"（IDなし）"))</f>
        <v/>
      </c>
      <c r="E331" s="3"/>
      <c r="F331" s="72" t="str">
        <f t="shared" si="3"/>
        <v/>
      </c>
      <c r="G331" s="72" t="str">
        <f t="shared" si="4"/>
        <v/>
      </c>
    </row>
    <row r="332" ht="15.0" customHeight="1">
      <c r="A332" s="3"/>
      <c r="B332" s="3"/>
      <c r="C332" s="3"/>
      <c r="D332" s="72" t="str">
        <f t="array" ref="D332">IF(C332="","",IFERROR(INDEX('ケイパビリティマップ'!$E:$E,MATCH(C332,'ケイパビリティマップ'!$A:$A,0)),"（IDなし）"))</f>
        <v/>
      </c>
      <c r="E332" s="3"/>
      <c r="F332" s="72" t="str">
        <f t="shared" si="3"/>
        <v/>
      </c>
      <c r="G332" s="72" t="str">
        <f t="shared" si="4"/>
        <v/>
      </c>
    </row>
    <row r="333" ht="15.0" customHeight="1">
      <c r="A333" s="3"/>
      <c r="B333" s="3"/>
      <c r="C333" s="3"/>
      <c r="D333" s="72" t="str">
        <f t="array" ref="D333">IF(C333="","",IFERROR(INDEX('ケイパビリティマップ'!$E:$E,MATCH(C333,'ケイパビリティマップ'!$A:$A,0)),"（IDなし）"))</f>
        <v/>
      </c>
      <c r="E333" s="3"/>
      <c r="F333" s="72" t="str">
        <f t="shared" si="3"/>
        <v/>
      </c>
      <c r="G333" s="72" t="str">
        <f t="shared" si="4"/>
        <v/>
      </c>
    </row>
    <row r="334" ht="15.0" customHeight="1">
      <c r="A334" s="3"/>
      <c r="B334" s="3"/>
      <c r="C334" s="3"/>
      <c r="D334" s="72" t="str">
        <f t="array" ref="D334">IF(C334="","",IFERROR(INDEX('ケイパビリティマップ'!$E:$E,MATCH(C334,'ケイパビリティマップ'!$A:$A,0)),"（IDなし）"))</f>
        <v/>
      </c>
      <c r="E334" s="3"/>
      <c r="F334" s="72" t="str">
        <f t="shared" si="3"/>
        <v/>
      </c>
      <c r="G334" s="72" t="str">
        <f t="shared" si="4"/>
        <v/>
      </c>
    </row>
    <row r="335" ht="15.0" customHeight="1">
      <c r="A335" s="3"/>
      <c r="B335" s="3"/>
      <c r="C335" s="3"/>
      <c r="D335" s="72" t="str">
        <f t="array" ref="D335">IF(C335="","",IFERROR(INDEX('ケイパビリティマップ'!$E:$E,MATCH(C335,'ケイパビリティマップ'!$A:$A,0)),"（IDなし）"))</f>
        <v/>
      </c>
      <c r="E335" s="3"/>
      <c r="F335" s="72" t="str">
        <f t="shared" si="3"/>
        <v/>
      </c>
      <c r="G335" s="72" t="str">
        <f t="shared" si="4"/>
        <v/>
      </c>
    </row>
    <row r="336" ht="15.0" customHeight="1">
      <c r="A336" s="3"/>
      <c r="B336" s="3"/>
      <c r="C336" s="3"/>
      <c r="D336" s="72" t="str">
        <f t="array" ref="D336">IF(C336="","",IFERROR(INDEX('ケイパビリティマップ'!$E:$E,MATCH(C336,'ケイパビリティマップ'!$A:$A,0)),"（IDなし）"))</f>
        <v/>
      </c>
      <c r="E336" s="3"/>
      <c r="F336" s="72" t="str">
        <f t="shared" si="3"/>
        <v/>
      </c>
      <c r="G336" s="72" t="str">
        <f t="shared" si="4"/>
        <v/>
      </c>
    </row>
    <row r="337" ht="15.0" customHeight="1">
      <c r="A337" s="3"/>
      <c r="B337" s="3"/>
      <c r="C337" s="3"/>
      <c r="D337" s="72" t="str">
        <f t="array" ref="D337">IF(C337="","",IFERROR(INDEX('ケイパビリティマップ'!$E:$E,MATCH(C337,'ケイパビリティマップ'!$A:$A,0)),"（IDなし）"))</f>
        <v/>
      </c>
      <c r="E337" s="3"/>
      <c r="F337" s="72" t="str">
        <f t="shared" si="3"/>
        <v/>
      </c>
      <c r="G337" s="72" t="str">
        <f t="shared" si="4"/>
        <v/>
      </c>
    </row>
    <row r="338" ht="15.0" customHeight="1">
      <c r="A338" s="3"/>
      <c r="B338" s="3"/>
      <c r="C338" s="3"/>
      <c r="D338" s="72" t="str">
        <f t="array" ref="D338">IF(C338="","",IFERROR(INDEX('ケイパビリティマップ'!$E:$E,MATCH(C338,'ケイパビリティマップ'!$A:$A,0)),"（IDなし）"))</f>
        <v/>
      </c>
      <c r="E338" s="3"/>
      <c r="F338" s="72" t="str">
        <f t="shared" si="3"/>
        <v/>
      </c>
      <c r="G338" s="72" t="str">
        <f t="shared" si="4"/>
        <v/>
      </c>
    </row>
    <row r="339" ht="15.0" customHeight="1">
      <c r="A339" s="3"/>
      <c r="B339" s="3"/>
      <c r="C339" s="3"/>
      <c r="D339" s="72" t="str">
        <f t="array" ref="D339">IF(C339="","",IFERROR(INDEX('ケイパビリティマップ'!$E:$E,MATCH(C339,'ケイパビリティマップ'!$A:$A,0)),"（IDなし）"))</f>
        <v/>
      </c>
      <c r="E339" s="3"/>
      <c r="F339" s="72" t="str">
        <f t="shared" si="3"/>
        <v/>
      </c>
      <c r="G339" s="72" t="str">
        <f t="shared" si="4"/>
        <v/>
      </c>
    </row>
    <row r="340" ht="15.0" customHeight="1">
      <c r="A340" s="3"/>
      <c r="B340" s="3"/>
      <c r="C340" s="3"/>
      <c r="D340" s="72" t="str">
        <f t="array" ref="D340">IF(C340="","",IFERROR(INDEX('ケイパビリティマップ'!$E:$E,MATCH(C340,'ケイパビリティマップ'!$A:$A,0)),"（IDなし）"))</f>
        <v/>
      </c>
      <c r="E340" s="3"/>
      <c r="F340" s="72" t="str">
        <f t="shared" si="3"/>
        <v/>
      </c>
      <c r="G340" s="72" t="str">
        <f t="shared" si="4"/>
        <v/>
      </c>
    </row>
    <row r="341" ht="15.0" customHeight="1">
      <c r="A341" s="3"/>
      <c r="B341" s="3"/>
      <c r="C341" s="3"/>
      <c r="D341" s="72" t="str">
        <f t="array" ref="D341">IF(C341="","",IFERROR(INDEX('ケイパビリティマップ'!$E:$E,MATCH(C341,'ケイパビリティマップ'!$A:$A,0)),"（IDなし）"))</f>
        <v/>
      </c>
      <c r="E341" s="3"/>
      <c r="F341" s="72" t="str">
        <f t="shared" si="3"/>
        <v/>
      </c>
      <c r="G341" s="72" t="str">
        <f t="shared" si="4"/>
        <v/>
      </c>
    </row>
    <row r="342" ht="15.0" customHeight="1">
      <c r="A342" s="3"/>
      <c r="B342" s="3"/>
      <c r="C342" s="3"/>
      <c r="D342" s="72" t="str">
        <f t="array" ref="D342">IF(C342="","",IFERROR(INDEX('ケイパビリティマップ'!$E:$E,MATCH(C342,'ケイパビリティマップ'!$A:$A,0)),"（IDなし）"))</f>
        <v/>
      </c>
      <c r="E342" s="3"/>
      <c r="F342" s="72" t="str">
        <f t="shared" si="3"/>
        <v/>
      </c>
      <c r="G342" s="72" t="str">
        <f t="shared" si="4"/>
        <v/>
      </c>
    </row>
    <row r="343" ht="15.0" customHeight="1">
      <c r="A343" s="3"/>
      <c r="B343" s="3"/>
      <c r="C343" s="3"/>
      <c r="D343" s="72" t="str">
        <f t="array" ref="D343">IF(C343="","",IFERROR(INDEX('ケイパビリティマップ'!$E:$E,MATCH(C343,'ケイパビリティマップ'!$A:$A,0)),"（IDなし）"))</f>
        <v/>
      </c>
      <c r="E343" s="3"/>
      <c r="F343" s="72" t="str">
        <f t="shared" si="3"/>
        <v/>
      </c>
      <c r="G343" s="72" t="str">
        <f t="shared" si="4"/>
        <v/>
      </c>
    </row>
    <row r="344" ht="15.0" customHeight="1">
      <c r="A344" s="3"/>
      <c r="B344" s="3"/>
      <c r="C344" s="3"/>
      <c r="D344" s="72" t="str">
        <f t="array" ref="D344">IF(C344="","",IFERROR(INDEX('ケイパビリティマップ'!$E:$E,MATCH(C344,'ケイパビリティマップ'!$A:$A,0)),"（IDなし）"))</f>
        <v/>
      </c>
      <c r="E344" s="3"/>
      <c r="F344" s="72" t="str">
        <f t="shared" si="3"/>
        <v/>
      </c>
      <c r="G344" s="72" t="str">
        <f t="shared" si="4"/>
        <v/>
      </c>
    </row>
    <row r="345" ht="15.0" customHeight="1">
      <c r="A345" s="3"/>
      <c r="B345" s="3"/>
      <c r="C345" s="3"/>
      <c r="D345" s="72" t="str">
        <f t="array" ref="D345">IF(C345="","",IFERROR(INDEX('ケイパビリティマップ'!$E:$E,MATCH(C345,'ケイパビリティマップ'!$A:$A,0)),"（IDなし）"))</f>
        <v/>
      </c>
      <c r="E345" s="3"/>
      <c r="F345" s="72" t="str">
        <f t="shared" si="3"/>
        <v/>
      </c>
      <c r="G345" s="72" t="str">
        <f t="shared" si="4"/>
        <v/>
      </c>
    </row>
    <row r="346" ht="15.0" customHeight="1">
      <c r="A346" s="3"/>
      <c r="B346" s="3"/>
      <c r="C346" s="3"/>
      <c r="D346" s="72" t="str">
        <f t="array" ref="D346">IF(C346="","",IFERROR(INDEX('ケイパビリティマップ'!$E:$E,MATCH(C346,'ケイパビリティマップ'!$A:$A,0)),"（IDなし）"))</f>
        <v/>
      </c>
      <c r="E346" s="3"/>
      <c r="F346" s="72" t="str">
        <f t="shared" si="3"/>
        <v/>
      </c>
      <c r="G346" s="72" t="str">
        <f t="shared" si="4"/>
        <v/>
      </c>
    </row>
    <row r="347" ht="15.0" customHeight="1">
      <c r="A347" s="3"/>
      <c r="B347" s="3"/>
      <c r="C347" s="3"/>
      <c r="D347" s="72" t="str">
        <f t="array" ref="D347">IF(C347="","",IFERROR(INDEX('ケイパビリティマップ'!$E:$E,MATCH(C347,'ケイパビリティマップ'!$A:$A,0)),"（IDなし）"))</f>
        <v/>
      </c>
      <c r="E347" s="3"/>
      <c r="F347" s="72" t="str">
        <f t="shared" si="3"/>
        <v/>
      </c>
      <c r="G347" s="72" t="str">
        <f t="shared" si="4"/>
        <v/>
      </c>
    </row>
    <row r="348" ht="15.0" customHeight="1">
      <c r="A348" s="3"/>
      <c r="B348" s="3"/>
      <c r="C348" s="3"/>
      <c r="D348" s="72" t="str">
        <f t="array" ref="D348">IF(C348="","",IFERROR(INDEX('ケイパビリティマップ'!$E:$E,MATCH(C348,'ケイパビリティマップ'!$A:$A,0)),"（IDなし）"))</f>
        <v/>
      </c>
      <c r="E348" s="3"/>
      <c r="F348" s="72" t="str">
        <f t="shared" si="3"/>
        <v/>
      </c>
      <c r="G348" s="72" t="str">
        <f t="shared" si="4"/>
        <v/>
      </c>
    </row>
    <row r="349" ht="15.0" customHeight="1">
      <c r="A349" s="3"/>
      <c r="B349" s="3"/>
      <c r="C349" s="3"/>
      <c r="D349" s="72" t="str">
        <f t="array" ref="D349">IF(C349="","",IFERROR(INDEX('ケイパビリティマップ'!$E:$E,MATCH(C349,'ケイパビリティマップ'!$A:$A,0)),"（IDなし）"))</f>
        <v/>
      </c>
      <c r="E349" s="3"/>
      <c r="F349" s="72" t="str">
        <f t="shared" si="3"/>
        <v/>
      </c>
      <c r="G349" s="72" t="str">
        <f t="shared" si="4"/>
        <v/>
      </c>
    </row>
    <row r="350" ht="15.0" customHeight="1">
      <c r="A350" s="3"/>
      <c r="B350" s="3"/>
      <c r="C350" s="3"/>
      <c r="D350" s="72" t="str">
        <f t="array" ref="D350">IF(C350="","",IFERROR(INDEX('ケイパビリティマップ'!$E:$E,MATCH(C350,'ケイパビリティマップ'!$A:$A,0)),"（IDなし）"))</f>
        <v/>
      </c>
      <c r="E350" s="3"/>
      <c r="F350" s="72" t="str">
        <f t="shared" si="3"/>
        <v/>
      </c>
      <c r="G350" s="72" t="str">
        <f t="shared" si="4"/>
        <v/>
      </c>
    </row>
    <row r="351" ht="15.0" customHeight="1">
      <c r="A351" s="3"/>
      <c r="B351" s="3"/>
      <c r="C351" s="3"/>
      <c r="D351" s="72" t="str">
        <f t="array" ref="D351">IF(C351="","",IFERROR(INDEX('ケイパビリティマップ'!$E:$E,MATCH(C351,'ケイパビリティマップ'!$A:$A,0)),"（IDなし）"))</f>
        <v/>
      </c>
      <c r="E351" s="3"/>
      <c r="F351" s="72" t="str">
        <f t="shared" si="3"/>
        <v/>
      </c>
      <c r="G351" s="72" t="str">
        <f t="shared" si="4"/>
        <v/>
      </c>
    </row>
    <row r="352" ht="15.0" customHeight="1">
      <c r="A352" s="3"/>
      <c r="B352" s="3"/>
      <c r="C352" s="3"/>
      <c r="D352" s="72" t="str">
        <f t="array" ref="D352">IF(C352="","",IFERROR(INDEX('ケイパビリティマップ'!$E:$E,MATCH(C352,'ケイパビリティマップ'!$A:$A,0)),"（IDなし）"))</f>
        <v/>
      </c>
      <c r="E352" s="3"/>
      <c r="F352" s="72" t="str">
        <f t="shared" si="3"/>
        <v/>
      </c>
      <c r="G352" s="72" t="str">
        <f t="shared" si="4"/>
        <v/>
      </c>
    </row>
    <row r="353" ht="15.0" customHeight="1">
      <c r="A353" s="3"/>
      <c r="B353" s="3"/>
      <c r="C353" s="3"/>
      <c r="D353" s="72" t="str">
        <f t="array" ref="D353">IF(C353="","",IFERROR(INDEX('ケイパビリティマップ'!$E:$E,MATCH(C353,'ケイパビリティマップ'!$A:$A,0)),"（IDなし）"))</f>
        <v/>
      </c>
      <c r="E353" s="3"/>
      <c r="F353" s="72" t="str">
        <f t="shared" si="3"/>
        <v/>
      </c>
      <c r="G353" s="72" t="str">
        <f t="shared" si="4"/>
        <v/>
      </c>
    </row>
    <row r="354" ht="15.0" customHeight="1">
      <c r="A354" s="3"/>
      <c r="B354" s="3"/>
      <c r="C354" s="3"/>
      <c r="D354" s="72" t="str">
        <f t="array" ref="D354">IF(C354="","",IFERROR(INDEX('ケイパビリティマップ'!$E:$E,MATCH(C354,'ケイパビリティマップ'!$A:$A,0)),"（IDなし）"))</f>
        <v/>
      </c>
      <c r="E354" s="3"/>
      <c r="F354" s="72" t="str">
        <f t="shared" si="3"/>
        <v/>
      </c>
      <c r="G354" s="72" t="str">
        <f t="shared" si="4"/>
        <v/>
      </c>
    </row>
    <row r="355" ht="15.0" customHeight="1">
      <c r="A355" s="3"/>
      <c r="B355" s="3"/>
      <c r="C355" s="3"/>
      <c r="D355" s="72" t="str">
        <f t="array" ref="D355">IF(C355="","",IFERROR(INDEX('ケイパビリティマップ'!$E:$E,MATCH(C355,'ケイパビリティマップ'!$A:$A,0)),"（IDなし）"))</f>
        <v/>
      </c>
      <c r="E355" s="3"/>
      <c r="F355" s="72" t="str">
        <f t="shared" si="3"/>
        <v/>
      </c>
      <c r="G355" s="72" t="str">
        <f t="shared" si="4"/>
        <v/>
      </c>
    </row>
    <row r="356" ht="15.0" customHeight="1">
      <c r="A356" s="3"/>
      <c r="B356" s="3"/>
      <c r="C356" s="3"/>
      <c r="D356" s="72" t="str">
        <f t="array" ref="D356">IF(C356="","",IFERROR(INDEX('ケイパビリティマップ'!$E:$E,MATCH(C356,'ケイパビリティマップ'!$A:$A,0)),"（IDなし）"))</f>
        <v/>
      </c>
      <c r="E356" s="3"/>
      <c r="F356" s="72" t="str">
        <f t="shared" si="3"/>
        <v/>
      </c>
      <c r="G356" s="72" t="str">
        <f t="shared" si="4"/>
        <v/>
      </c>
    </row>
    <row r="357" ht="15.0" customHeight="1">
      <c r="A357" s="3"/>
      <c r="B357" s="3"/>
      <c r="C357" s="3"/>
      <c r="D357" s="72" t="str">
        <f t="array" ref="D357">IF(C357="","",IFERROR(INDEX('ケイパビリティマップ'!$E:$E,MATCH(C357,'ケイパビリティマップ'!$A:$A,0)),"（IDなし）"))</f>
        <v/>
      </c>
      <c r="E357" s="3"/>
      <c r="F357" s="72" t="str">
        <f t="shared" si="3"/>
        <v/>
      </c>
      <c r="G357" s="72" t="str">
        <f t="shared" si="4"/>
        <v/>
      </c>
    </row>
    <row r="358" ht="15.0" customHeight="1">
      <c r="A358" s="3"/>
      <c r="B358" s="3"/>
      <c r="C358" s="3"/>
      <c r="D358" s="72" t="str">
        <f t="array" ref="D358">IF(C358="","",IFERROR(INDEX('ケイパビリティマップ'!$E:$E,MATCH(C358,'ケイパビリティマップ'!$A:$A,0)),"（IDなし）"))</f>
        <v/>
      </c>
      <c r="E358" s="3"/>
      <c r="F358" s="72" t="str">
        <f t="shared" si="3"/>
        <v/>
      </c>
      <c r="G358" s="72" t="str">
        <f t="shared" si="4"/>
        <v/>
      </c>
    </row>
    <row r="359" ht="15.0" customHeight="1">
      <c r="A359" s="3"/>
      <c r="B359" s="3"/>
      <c r="C359" s="3"/>
      <c r="D359" s="72" t="str">
        <f t="array" ref="D359">IF(C359="","",IFERROR(INDEX('ケイパビリティマップ'!$E:$E,MATCH(C359,'ケイパビリティマップ'!$A:$A,0)),"（IDなし）"))</f>
        <v/>
      </c>
      <c r="E359" s="3"/>
      <c r="F359" s="72" t="str">
        <f t="shared" si="3"/>
        <v/>
      </c>
      <c r="G359" s="72" t="str">
        <f t="shared" si="4"/>
        <v/>
      </c>
    </row>
    <row r="360" ht="15.0" customHeight="1">
      <c r="A360" s="3"/>
      <c r="B360" s="3"/>
      <c r="C360" s="3"/>
      <c r="D360" s="72" t="str">
        <f t="array" ref="D360">IF(C360="","",IFERROR(INDEX('ケイパビリティマップ'!$E:$E,MATCH(C360,'ケイパビリティマップ'!$A:$A,0)),"（IDなし）"))</f>
        <v/>
      </c>
      <c r="E360" s="3"/>
      <c r="F360" s="72" t="str">
        <f t="shared" si="3"/>
        <v/>
      </c>
      <c r="G360" s="72" t="str">
        <f t="shared" si="4"/>
        <v/>
      </c>
    </row>
    <row r="361" ht="15.0" customHeight="1">
      <c r="A361" s="3"/>
      <c r="B361" s="3"/>
      <c r="C361" s="3"/>
      <c r="D361" s="72" t="str">
        <f t="array" ref="D361">IF(C361="","",IFERROR(INDEX('ケイパビリティマップ'!$E:$E,MATCH(C361,'ケイパビリティマップ'!$A:$A,0)),"（IDなし）"))</f>
        <v/>
      </c>
      <c r="E361" s="3"/>
      <c r="F361" s="72" t="str">
        <f t="shared" si="3"/>
        <v/>
      </c>
      <c r="G361" s="72" t="str">
        <f t="shared" si="4"/>
        <v/>
      </c>
    </row>
    <row r="362" ht="15.0" customHeight="1">
      <c r="A362" s="3"/>
      <c r="B362" s="3"/>
      <c r="C362" s="3"/>
      <c r="D362" s="72" t="str">
        <f t="array" ref="D362">IF(C362="","",IFERROR(INDEX('ケイパビリティマップ'!$E:$E,MATCH(C362,'ケイパビリティマップ'!$A:$A,0)),"（IDなし）"))</f>
        <v/>
      </c>
      <c r="E362" s="3"/>
      <c r="F362" s="72" t="str">
        <f t="shared" si="3"/>
        <v/>
      </c>
      <c r="G362" s="72" t="str">
        <f t="shared" si="4"/>
        <v/>
      </c>
    </row>
    <row r="363" ht="15.0" customHeight="1">
      <c r="A363" s="3"/>
      <c r="B363" s="3"/>
      <c r="C363" s="3"/>
      <c r="D363" s="72" t="str">
        <f t="array" ref="D363">IF(C363="","",IFERROR(INDEX('ケイパビリティマップ'!$E:$E,MATCH(C363,'ケイパビリティマップ'!$A:$A,0)),"（IDなし）"))</f>
        <v/>
      </c>
      <c r="E363" s="3"/>
      <c r="F363" s="72" t="str">
        <f t="shared" si="3"/>
        <v/>
      </c>
      <c r="G363" s="72" t="str">
        <f t="shared" si="4"/>
        <v/>
      </c>
    </row>
    <row r="364" ht="15.0" customHeight="1">
      <c r="A364" s="3"/>
      <c r="B364" s="3"/>
      <c r="C364" s="3"/>
      <c r="D364" s="72" t="str">
        <f t="array" ref="D364">IF(C364="","",IFERROR(INDEX('ケイパビリティマップ'!$E:$E,MATCH(C364,'ケイパビリティマップ'!$A:$A,0)),"（IDなし）"))</f>
        <v/>
      </c>
      <c r="E364" s="3"/>
      <c r="F364" s="72" t="str">
        <f t="shared" si="3"/>
        <v/>
      </c>
      <c r="G364" s="72" t="str">
        <f t="shared" si="4"/>
        <v/>
      </c>
    </row>
    <row r="365" ht="15.0" customHeight="1">
      <c r="A365" s="3"/>
      <c r="B365" s="3"/>
      <c r="C365" s="3"/>
      <c r="D365" s="72" t="str">
        <f t="array" ref="D365">IF(C365="","",IFERROR(INDEX('ケイパビリティマップ'!$E:$E,MATCH(C365,'ケイパビリティマップ'!$A:$A,0)),"（IDなし）"))</f>
        <v/>
      </c>
      <c r="E365" s="3"/>
      <c r="F365" s="72" t="str">
        <f t="shared" si="3"/>
        <v/>
      </c>
      <c r="G365" s="72" t="str">
        <f t="shared" si="4"/>
        <v/>
      </c>
    </row>
    <row r="366" ht="15.0" customHeight="1">
      <c r="A366" s="3"/>
      <c r="B366" s="3"/>
      <c r="C366" s="3"/>
      <c r="D366" s="72" t="str">
        <f t="array" ref="D366">IF(C366="","",IFERROR(INDEX('ケイパビリティマップ'!$E:$E,MATCH(C366,'ケイパビリティマップ'!$A:$A,0)),"（IDなし）"))</f>
        <v/>
      </c>
      <c r="E366" s="3"/>
      <c r="F366" s="72" t="str">
        <f t="shared" si="3"/>
        <v/>
      </c>
      <c r="G366" s="72" t="str">
        <f t="shared" si="4"/>
        <v/>
      </c>
    </row>
    <row r="367" ht="15.0" customHeight="1">
      <c r="A367" s="3"/>
      <c r="B367" s="3"/>
      <c r="C367" s="3"/>
      <c r="D367" s="72" t="str">
        <f t="array" ref="D367">IF(C367="","",IFERROR(INDEX('ケイパビリティマップ'!$E:$E,MATCH(C367,'ケイパビリティマップ'!$A:$A,0)),"（IDなし）"))</f>
        <v/>
      </c>
      <c r="E367" s="3"/>
      <c r="F367" s="72" t="str">
        <f t="shared" si="3"/>
        <v/>
      </c>
      <c r="G367" s="72" t="str">
        <f t="shared" si="4"/>
        <v/>
      </c>
    </row>
    <row r="368" ht="15.0" customHeight="1">
      <c r="A368" s="3"/>
      <c r="B368" s="3"/>
      <c r="C368" s="3"/>
      <c r="D368" s="72" t="str">
        <f t="array" ref="D368">IF(C368="","",IFERROR(INDEX('ケイパビリティマップ'!$E:$E,MATCH(C368,'ケイパビリティマップ'!$A:$A,0)),"（IDなし）"))</f>
        <v/>
      </c>
      <c r="E368" s="3"/>
      <c r="F368" s="72" t="str">
        <f t="shared" si="3"/>
        <v/>
      </c>
      <c r="G368" s="72" t="str">
        <f t="shared" si="4"/>
        <v/>
      </c>
    </row>
    <row r="369" ht="15.0" customHeight="1">
      <c r="A369" s="3"/>
      <c r="B369" s="3"/>
      <c r="C369" s="3"/>
      <c r="D369" s="72" t="str">
        <f t="array" ref="D369">IF(C369="","",IFERROR(INDEX('ケイパビリティマップ'!$E:$E,MATCH(C369,'ケイパビリティマップ'!$A:$A,0)),"（IDなし）"))</f>
        <v/>
      </c>
      <c r="E369" s="3"/>
      <c r="F369" s="72" t="str">
        <f t="shared" si="3"/>
        <v/>
      </c>
      <c r="G369" s="72" t="str">
        <f t="shared" si="4"/>
        <v/>
      </c>
    </row>
    <row r="370" ht="15.0" customHeight="1">
      <c r="A370" s="3"/>
      <c r="B370" s="3"/>
      <c r="C370" s="3"/>
      <c r="D370" s="72" t="str">
        <f t="array" ref="D370">IF(C370="","",IFERROR(INDEX('ケイパビリティマップ'!$E:$E,MATCH(C370,'ケイパビリティマップ'!$A:$A,0)),"（IDなし）"))</f>
        <v/>
      </c>
      <c r="E370" s="3"/>
      <c r="F370" s="72" t="str">
        <f t="shared" si="3"/>
        <v/>
      </c>
      <c r="G370" s="72" t="str">
        <f t="shared" si="4"/>
        <v/>
      </c>
    </row>
    <row r="371" ht="15.0" customHeight="1">
      <c r="A371" s="3"/>
      <c r="B371" s="3"/>
      <c r="C371" s="3"/>
      <c r="D371" s="72" t="str">
        <f t="array" ref="D371">IF(C371="","",IFERROR(INDEX('ケイパビリティマップ'!$E:$E,MATCH(C371,'ケイパビリティマップ'!$A:$A,0)),"（IDなし）"))</f>
        <v/>
      </c>
      <c r="E371" s="3"/>
      <c r="F371" s="72" t="str">
        <f t="shared" si="3"/>
        <v/>
      </c>
      <c r="G371" s="72" t="str">
        <f t="shared" si="4"/>
        <v/>
      </c>
    </row>
    <row r="372" ht="15.0" customHeight="1">
      <c r="A372" s="3"/>
      <c r="B372" s="3"/>
      <c r="C372" s="3"/>
      <c r="D372" s="72" t="str">
        <f t="array" ref="D372">IF(C372="","",IFERROR(INDEX('ケイパビリティマップ'!$E:$E,MATCH(C372,'ケイパビリティマップ'!$A:$A,0)),"（IDなし）"))</f>
        <v/>
      </c>
      <c r="E372" s="3"/>
      <c r="F372" s="72" t="str">
        <f t="shared" si="3"/>
        <v/>
      </c>
      <c r="G372" s="72" t="str">
        <f t="shared" si="4"/>
        <v/>
      </c>
    </row>
    <row r="373" ht="15.0" customHeight="1">
      <c r="A373" s="3"/>
      <c r="B373" s="3"/>
      <c r="C373" s="3"/>
      <c r="D373" s="72" t="str">
        <f t="array" ref="D373">IF(C373="","",IFERROR(INDEX('ケイパビリティマップ'!$E:$E,MATCH(C373,'ケイパビリティマップ'!$A:$A,0)),"（IDなし）"))</f>
        <v/>
      </c>
      <c r="E373" s="3"/>
      <c r="F373" s="72" t="str">
        <f t="shared" si="3"/>
        <v/>
      </c>
      <c r="G373" s="72" t="str">
        <f t="shared" si="4"/>
        <v/>
      </c>
    </row>
    <row r="374" ht="15.0" customHeight="1">
      <c r="A374" s="3"/>
      <c r="B374" s="3"/>
      <c r="C374" s="3"/>
      <c r="D374" s="72" t="str">
        <f t="array" ref="D374">IF(C374="","",IFERROR(INDEX('ケイパビリティマップ'!$E:$E,MATCH(C374,'ケイパビリティマップ'!$A:$A,0)),"（IDなし）"))</f>
        <v/>
      </c>
      <c r="E374" s="3"/>
      <c r="F374" s="72" t="str">
        <f t="shared" si="3"/>
        <v/>
      </c>
      <c r="G374" s="72" t="str">
        <f t="shared" si="4"/>
        <v/>
      </c>
    </row>
    <row r="375" ht="15.0" customHeight="1">
      <c r="A375" s="3"/>
      <c r="B375" s="3"/>
      <c r="C375" s="3"/>
      <c r="D375" s="72" t="str">
        <f t="array" ref="D375">IF(C375="","",IFERROR(INDEX('ケイパビリティマップ'!$E:$E,MATCH(C375,'ケイパビリティマップ'!$A:$A,0)),"（IDなし）"))</f>
        <v/>
      </c>
      <c r="E375" s="3"/>
      <c r="F375" s="72" t="str">
        <f t="shared" si="3"/>
        <v/>
      </c>
      <c r="G375" s="72" t="str">
        <f t="shared" si="4"/>
        <v/>
      </c>
    </row>
    <row r="376" ht="15.0" customHeight="1">
      <c r="A376" s="3"/>
      <c r="B376" s="3"/>
      <c r="C376" s="3"/>
      <c r="D376" s="72" t="str">
        <f t="array" ref="D376">IF(C376="","",IFERROR(INDEX('ケイパビリティマップ'!$E:$E,MATCH(C376,'ケイパビリティマップ'!$A:$A,0)),"（IDなし）"))</f>
        <v/>
      </c>
      <c r="E376" s="3"/>
      <c r="F376" s="72" t="str">
        <f t="shared" si="3"/>
        <v/>
      </c>
      <c r="G376" s="72" t="str">
        <f t="shared" si="4"/>
        <v/>
      </c>
    </row>
    <row r="377" ht="15.0" customHeight="1">
      <c r="A377" s="3"/>
      <c r="B377" s="3"/>
      <c r="C377" s="3"/>
      <c r="D377" s="72" t="str">
        <f t="array" ref="D377">IF(C377="","",IFERROR(INDEX('ケイパビリティマップ'!$E:$E,MATCH(C377,'ケイパビリティマップ'!$A:$A,0)),"（IDなし）"))</f>
        <v/>
      </c>
      <c r="E377" s="3"/>
      <c r="F377" s="72" t="str">
        <f t="shared" si="3"/>
        <v/>
      </c>
      <c r="G377" s="72" t="str">
        <f t="shared" si="4"/>
        <v/>
      </c>
    </row>
    <row r="378" ht="15.0" customHeight="1">
      <c r="A378" s="3"/>
      <c r="B378" s="3"/>
      <c r="C378" s="3"/>
      <c r="D378" s="72" t="str">
        <f t="array" ref="D378">IF(C378="","",IFERROR(INDEX('ケイパビリティマップ'!$E:$E,MATCH(C378,'ケイパビリティマップ'!$A:$A,0)),"（IDなし）"))</f>
        <v/>
      </c>
      <c r="E378" s="3"/>
      <c r="F378" s="72" t="str">
        <f t="shared" si="3"/>
        <v/>
      </c>
      <c r="G378" s="72" t="str">
        <f t="shared" si="4"/>
        <v/>
      </c>
    </row>
    <row r="379" ht="15.0" customHeight="1">
      <c r="A379" s="3"/>
      <c r="B379" s="3"/>
      <c r="C379" s="3"/>
      <c r="D379" s="72" t="str">
        <f t="array" ref="D379">IF(C379="","",IFERROR(INDEX('ケイパビリティマップ'!$E:$E,MATCH(C379,'ケイパビリティマップ'!$A:$A,0)),"（IDなし）"))</f>
        <v/>
      </c>
      <c r="E379" s="3"/>
      <c r="F379" s="72" t="str">
        <f t="shared" si="3"/>
        <v/>
      </c>
      <c r="G379" s="72" t="str">
        <f t="shared" si="4"/>
        <v/>
      </c>
    </row>
    <row r="380" ht="15.0" customHeight="1">
      <c r="A380" s="3"/>
      <c r="B380" s="3"/>
      <c r="C380" s="3"/>
      <c r="D380" s="72" t="str">
        <f t="array" ref="D380">IF(C380="","",IFERROR(INDEX('ケイパビリティマップ'!$E:$E,MATCH(C380,'ケイパビリティマップ'!$A:$A,0)),"（IDなし）"))</f>
        <v/>
      </c>
      <c r="E380" s="3"/>
      <c r="F380" s="72" t="str">
        <f t="shared" si="3"/>
        <v/>
      </c>
      <c r="G380" s="72" t="str">
        <f t="shared" si="4"/>
        <v/>
      </c>
    </row>
    <row r="381" ht="15.0" customHeight="1">
      <c r="A381" s="3"/>
      <c r="B381" s="3"/>
      <c r="C381" s="3"/>
      <c r="D381" s="72" t="str">
        <f t="array" ref="D381">IF(C381="","",IFERROR(INDEX('ケイパビリティマップ'!$E:$E,MATCH(C381,'ケイパビリティマップ'!$A:$A,0)),"（IDなし）"))</f>
        <v/>
      </c>
      <c r="E381" s="3"/>
      <c r="F381" s="72" t="str">
        <f t="shared" si="3"/>
        <v/>
      </c>
      <c r="G381" s="72" t="str">
        <f t="shared" si="4"/>
        <v/>
      </c>
    </row>
    <row r="382" ht="15.0" customHeight="1">
      <c r="A382" s="3"/>
      <c r="B382" s="3"/>
      <c r="C382" s="3"/>
      <c r="D382" s="72" t="str">
        <f t="array" ref="D382">IF(C382="","",IFERROR(INDEX('ケイパビリティマップ'!$E:$E,MATCH(C382,'ケイパビリティマップ'!$A:$A,0)),"（IDなし）"))</f>
        <v/>
      </c>
      <c r="E382" s="3"/>
      <c r="F382" s="72" t="str">
        <f t="shared" si="3"/>
        <v/>
      </c>
      <c r="G382" s="72" t="str">
        <f t="shared" si="4"/>
        <v/>
      </c>
    </row>
    <row r="383" ht="15.0" customHeight="1">
      <c r="A383" s="3"/>
      <c r="B383" s="3"/>
      <c r="C383" s="3"/>
      <c r="D383" s="72" t="str">
        <f t="array" ref="D383">IF(C383="","",IFERROR(INDEX('ケイパビリティマップ'!$E:$E,MATCH(C383,'ケイパビリティマップ'!$A:$A,0)),"（IDなし）"))</f>
        <v/>
      </c>
      <c r="E383" s="3"/>
      <c r="F383" s="72" t="str">
        <f t="shared" si="3"/>
        <v/>
      </c>
      <c r="G383" s="72" t="str">
        <f t="shared" si="4"/>
        <v/>
      </c>
    </row>
    <row r="384" ht="15.0" customHeight="1">
      <c r="A384" s="3"/>
      <c r="B384" s="3"/>
      <c r="C384" s="3"/>
      <c r="D384" s="72" t="str">
        <f t="array" ref="D384">IF(C384="","",IFERROR(INDEX('ケイパビリティマップ'!$E:$E,MATCH(C384,'ケイパビリティマップ'!$A:$A,0)),"（IDなし）"))</f>
        <v/>
      </c>
      <c r="E384" s="3"/>
      <c r="F384" s="72" t="str">
        <f t="shared" si="3"/>
        <v/>
      </c>
      <c r="G384" s="72" t="str">
        <f t="shared" si="4"/>
        <v/>
      </c>
    </row>
    <row r="385" ht="15.0" customHeight="1">
      <c r="A385" s="3"/>
      <c r="B385" s="3"/>
      <c r="C385" s="3"/>
      <c r="D385" s="72" t="str">
        <f t="array" ref="D385">IF(C385="","",IFERROR(INDEX('ケイパビリティマップ'!$E:$E,MATCH(C385,'ケイパビリティマップ'!$A:$A,0)),"（IDなし）"))</f>
        <v/>
      </c>
      <c r="E385" s="3"/>
      <c r="F385" s="72" t="str">
        <f t="shared" si="3"/>
        <v/>
      </c>
      <c r="G385" s="72" t="str">
        <f t="shared" si="4"/>
        <v/>
      </c>
    </row>
    <row r="386" ht="15.0" customHeight="1">
      <c r="A386" s="3"/>
      <c r="B386" s="3"/>
      <c r="C386" s="3"/>
      <c r="D386" s="72" t="str">
        <f t="array" ref="D386">IF(C386="","",IFERROR(INDEX('ケイパビリティマップ'!$E:$E,MATCH(C386,'ケイパビリティマップ'!$A:$A,0)),"（IDなし）"))</f>
        <v/>
      </c>
      <c r="E386" s="3"/>
      <c r="F386" s="72" t="str">
        <f t="shared" si="3"/>
        <v/>
      </c>
      <c r="G386" s="72" t="str">
        <f t="shared" si="4"/>
        <v/>
      </c>
    </row>
    <row r="387" ht="15.0" customHeight="1">
      <c r="A387" s="3"/>
      <c r="B387" s="3"/>
      <c r="C387" s="3"/>
      <c r="D387" s="72" t="str">
        <f t="array" ref="D387">IF(C387="","",IFERROR(INDEX('ケイパビリティマップ'!$E:$E,MATCH(C387,'ケイパビリティマップ'!$A:$A,0)),"（IDなし）"))</f>
        <v/>
      </c>
      <c r="E387" s="3"/>
      <c r="F387" s="72" t="str">
        <f t="shared" si="3"/>
        <v/>
      </c>
      <c r="G387" s="72" t="str">
        <f t="shared" si="4"/>
        <v/>
      </c>
    </row>
    <row r="388" ht="15.0" customHeight="1">
      <c r="A388" s="3"/>
      <c r="B388" s="3"/>
      <c r="C388" s="3"/>
      <c r="D388" s="72" t="str">
        <f t="array" ref="D388">IF(C388="","",IFERROR(INDEX('ケイパビリティマップ'!$E:$E,MATCH(C388,'ケイパビリティマップ'!$A:$A,0)),"（IDなし）"))</f>
        <v/>
      </c>
      <c r="E388" s="3"/>
      <c r="F388" s="72" t="str">
        <f t="shared" si="3"/>
        <v/>
      </c>
      <c r="G388" s="72" t="str">
        <f t="shared" si="4"/>
        <v/>
      </c>
    </row>
    <row r="389" ht="15.0" customHeight="1">
      <c r="A389" s="3"/>
      <c r="B389" s="3"/>
      <c r="C389" s="3"/>
      <c r="D389" s="72" t="str">
        <f t="array" ref="D389">IF(C389="","",IFERROR(INDEX('ケイパビリティマップ'!$E:$E,MATCH(C389,'ケイパビリティマップ'!$A:$A,0)),"（IDなし）"))</f>
        <v/>
      </c>
      <c r="E389" s="3"/>
      <c r="F389" s="72" t="str">
        <f t="shared" si="3"/>
        <v/>
      </c>
      <c r="G389" s="72" t="str">
        <f t="shared" si="4"/>
        <v/>
      </c>
    </row>
    <row r="390" ht="15.0" customHeight="1">
      <c r="A390" s="3"/>
      <c r="B390" s="3"/>
      <c r="C390" s="3"/>
      <c r="D390" s="72" t="str">
        <f t="array" ref="D390">IF(C390="","",IFERROR(INDEX('ケイパビリティマップ'!$E:$E,MATCH(C390,'ケイパビリティマップ'!$A:$A,0)),"（IDなし）"))</f>
        <v/>
      </c>
      <c r="E390" s="3"/>
      <c r="F390" s="72" t="str">
        <f t="shared" si="3"/>
        <v/>
      </c>
      <c r="G390" s="72" t="str">
        <f t="shared" si="4"/>
        <v/>
      </c>
    </row>
    <row r="391" ht="15.0" customHeight="1">
      <c r="A391" s="3"/>
      <c r="B391" s="3"/>
      <c r="C391" s="3"/>
      <c r="D391" s="72" t="str">
        <f t="array" ref="D391">IF(C391="","",IFERROR(INDEX('ケイパビリティマップ'!$E:$E,MATCH(C391,'ケイパビリティマップ'!$A:$A,0)),"（IDなし）"))</f>
        <v/>
      </c>
      <c r="E391" s="3"/>
      <c r="F391" s="72" t="str">
        <f t="shared" si="3"/>
        <v/>
      </c>
      <c r="G391" s="72" t="str">
        <f t="shared" si="4"/>
        <v/>
      </c>
    </row>
    <row r="392" ht="15.0" customHeight="1">
      <c r="A392" s="3"/>
      <c r="B392" s="3"/>
      <c r="C392" s="3"/>
      <c r="D392" s="72" t="str">
        <f t="array" ref="D392">IF(C392="","",IFERROR(INDEX('ケイパビリティマップ'!$E:$E,MATCH(C392,'ケイパビリティマップ'!$A:$A,0)),"（IDなし）"))</f>
        <v/>
      </c>
      <c r="E392" s="3"/>
      <c r="F392" s="72" t="str">
        <f t="shared" si="3"/>
        <v/>
      </c>
      <c r="G392" s="72" t="str">
        <f t="shared" si="4"/>
        <v/>
      </c>
    </row>
    <row r="393" ht="15.0" customHeight="1">
      <c r="A393" s="3"/>
      <c r="B393" s="3"/>
      <c r="C393" s="3"/>
      <c r="D393" s="72" t="str">
        <f t="array" ref="D393">IF(C393="","",IFERROR(INDEX('ケイパビリティマップ'!$E:$E,MATCH(C393,'ケイパビリティマップ'!$A:$A,0)),"（IDなし）"))</f>
        <v/>
      </c>
      <c r="E393" s="3"/>
      <c r="F393" s="72" t="str">
        <f t="shared" si="3"/>
        <v/>
      </c>
      <c r="G393" s="72" t="str">
        <f t="shared" si="4"/>
        <v/>
      </c>
    </row>
    <row r="394" ht="15.0" customHeight="1">
      <c r="A394" s="3"/>
      <c r="B394" s="3"/>
      <c r="C394" s="3"/>
      <c r="D394" s="72" t="str">
        <f t="array" ref="D394">IF(C394="","",IFERROR(INDEX('ケイパビリティマップ'!$E:$E,MATCH(C394,'ケイパビリティマップ'!$A:$A,0)),"（IDなし）"))</f>
        <v/>
      </c>
      <c r="E394" s="3"/>
      <c r="F394" s="72" t="str">
        <f t="shared" si="3"/>
        <v/>
      </c>
      <c r="G394" s="72" t="str">
        <f t="shared" si="4"/>
        <v/>
      </c>
    </row>
    <row r="395" ht="15.0" customHeight="1">
      <c r="A395" s="3"/>
      <c r="B395" s="3"/>
      <c r="C395" s="3"/>
      <c r="D395" s="72" t="str">
        <f t="array" ref="D395">IF(C395="","",IFERROR(INDEX('ケイパビリティマップ'!$E:$E,MATCH(C395,'ケイパビリティマップ'!$A:$A,0)),"（IDなし）"))</f>
        <v/>
      </c>
      <c r="E395" s="3"/>
      <c r="F395" s="72" t="str">
        <f t="shared" si="3"/>
        <v/>
      </c>
      <c r="G395" s="72" t="str">
        <f t="shared" si="4"/>
        <v/>
      </c>
    </row>
    <row r="396" ht="15.0" customHeight="1">
      <c r="A396" s="3"/>
      <c r="B396" s="3"/>
      <c r="C396" s="3"/>
      <c r="D396" s="72" t="str">
        <f t="array" ref="D396">IF(C396="","",IFERROR(INDEX('ケイパビリティマップ'!$E:$E,MATCH(C396,'ケイパビリティマップ'!$A:$A,0)),"（IDなし）"))</f>
        <v/>
      </c>
      <c r="E396" s="3"/>
      <c r="F396" s="72" t="str">
        <f t="shared" si="3"/>
        <v/>
      </c>
      <c r="G396" s="72" t="str">
        <f t="shared" si="4"/>
        <v/>
      </c>
    </row>
    <row r="397" ht="15.0" customHeight="1">
      <c r="A397" s="3"/>
      <c r="B397" s="3"/>
      <c r="C397" s="3"/>
      <c r="D397" s="72" t="str">
        <f t="array" ref="D397">IF(C397="","",IFERROR(INDEX('ケイパビリティマップ'!$E:$E,MATCH(C397,'ケイパビリティマップ'!$A:$A,0)),"（IDなし）"))</f>
        <v/>
      </c>
      <c r="E397" s="3"/>
      <c r="F397" s="72" t="str">
        <f t="shared" si="3"/>
        <v/>
      </c>
      <c r="G397" s="72" t="str">
        <f t="shared" si="4"/>
        <v/>
      </c>
    </row>
    <row r="398" ht="15.0" customHeight="1">
      <c r="A398" s="3"/>
      <c r="B398" s="3"/>
      <c r="C398" s="3"/>
      <c r="D398" s="72" t="str">
        <f t="array" ref="D398">IF(C398="","",IFERROR(INDEX('ケイパビリティマップ'!$E:$E,MATCH(C398,'ケイパビリティマップ'!$A:$A,0)),"（IDなし）"))</f>
        <v/>
      </c>
      <c r="E398" s="3"/>
      <c r="F398" s="72" t="str">
        <f t="shared" si="3"/>
        <v/>
      </c>
      <c r="G398" s="72" t="str">
        <f t="shared" si="4"/>
        <v/>
      </c>
    </row>
    <row r="399" ht="15.0" customHeight="1">
      <c r="A399" s="3"/>
      <c r="B399" s="3"/>
      <c r="C399" s="3"/>
      <c r="D399" s="72" t="str">
        <f t="array" ref="D399">IF(C399="","",IFERROR(INDEX('ケイパビリティマップ'!$E:$E,MATCH(C399,'ケイパビリティマップ'!$A:$A,0)),"（IDなし）"))</f>
        <v/>
      </c>
      <c r="E399" s="3"/>
      <c r="F399" s="72" t="str">
        <f t="shared" si="3"/>
        <v/>
      </c>
      <c r="G399" s="72" t="str">
        <f t="shared" si="4"/>
        <v/>
      </c>
    </row>
    <row r="400" ht="15.0" customHeight="1">
      <c r="A400" s="3"/>
      <c r="B400" s="3"/>
      <c r="C400" s="3"/>
      <c r="D400" s="72" t="str">
        <f t="array" ref="D400">IF(C400="","",IFERROR(INDEX('ケイパビリティマップ'!$E:$E,MATCH(C400,'ケイパビリティマップ'!$A:$A,0)),"（IDなし）"))</f>
        <v/>
      </c>
      <c r="E400" s="3"/>
      <c r="F400" s="72" t="str">
        <f t="shared" si="3"/>
        <v/>
      </c>
      <c r="G400" s="72" t="str">
        <f t="shared" si="4"/>
        <v/>
      </c>
    </row>
    <row r="401" ht="15.0" customHeight="1">
      <c r="A401" s="3"/>
      <c r="B401" s="3"/>
      <c r="C401" s="3"/>
      <c r="D401" s="72" t="str">
        <f t="array" ref="D401">IF(C401="","",IFERROR(INDEX('ケイパビリティマップ'!$E:$E,MATCH(C401,'ケイパビリティマップ'!$A:$A,0)),"（IDなし）"))</f>
        <v/>
      </c>
      <c r="E401" s="3"/>
      <c r="F401" s="72" t="str">
        <f t="shared" si="3"/>
        <v/>
      </c>
      <c r="G401" s="72" t="str">
        <f t="shared" si="4"/>
        <v/>
      </c>
    </row>
    <row r="402" ht="15.0" customHeight="1">
      <c r="A402" s="3"/>
      <c r="B402" s="3"/>
      <c r="C402" s="3"/>
      <c r="D402" s="72" t="str">
        <f t="array" ref="D402">IF(C402="","",IFERROR(INDEX('ケイパビリティマップ'!$E:$E,MATCH(C402,'ケイパビリティマップ'!$A:$A,0)),"（IDなし）"))</f>
        <v/>
      </c>
      <c r="E402" s="3"/>
      <c r="F402" s="72" t="str">
        <f t="shared" si="3"/>
        <v/>
      </c>
      <c r="G402" s="72" t="str">
        <f t="shared" si="4"/>
        <v/>
      </c>
    </row>
    <row r="403" ht="15.0" customHeight="1">
      <c r="A403" s="3"/>
      <c r="B403" s="3"/>
      <c r="C403" s="3"/>
      <c r="D403" s="72" t="str">
        <f t="array" ref="D403">IF(C403="","",IFERROR(INDEX('ケイパビリティマップ'!$E:$E,MATCH(C403,'ケイパビリティマップ'!$A:$A,0)),"（IDなし）"))</f>
        <v/>
      </c>
      <c r="E403" s="3"/>
      <c r="F403" s="72" t="str">
        <f t="shared" si="3"/>
        <v/>
      </c>
      <c r="G403" s="72" t="str">
        <f t="shared" si="4"/>
        <v/>
      </c>
    </row>
    <row r="404" ht="15.0" customHeight="1">
      <c r="A404" s="3"/>
      <c r="B404" s="3"/>
      <c r="C404" s="3"/>
      <c r="D404" s="72" t="str">
        <f t="array" ref="D404">IF(C404="","",IFERROR(INDEX('ケイパビリティマップ'!$E:$E,MATCH(C404,'ケイパビリティマップ'!$A:$A,0)),"（IDなし）"))</f>
        <v/>
      </c>
      <c r="E404" s="3"/>
      <c r="F404" s="72" t="str">
        <f t="shared" si="3"/>
        <v/>
      </c>
      <c r="G404" s="72" t="str">
        <f t="shared" si="4"/>
        <v/>
      </c>
    </row>
    <row r="405" ht="15.0" customHeight="1">
      <c r="A405" s="3"/>
      <c r="B405" s="3"/>
      <c r="C405" s="3"/>
      <c r="D405" s="72" t="str">
        <f t="array" ref="D405">IF(C405="","",IFERROR(INDEX('ケイパビリティマップ'!$E:$E,MATCH(C405,'ケイパビリティマップ'!$A:$A,0)),"（IDなし）"))</f>
        <v/>
      </c>
      <c r="E405" s="3"/>
      <c r="F405" s="72" t="str">
        <f t="shared" si="3"/>
        <v/>
      </c>
      <c r="G405" s="72" t="str">
        <f t="shared" si="4"/>
        <v/>
      </c>
    </row>
    <row r="406" ht="15.0" customHeight="1">
      <c r="A406" s="3"/>
      <c r="B406" s="3"/>
      <c r="C406" s="3"/>
      <c r="D406" s="72" t="str">
        <f t="array" ref="D406">IF(C406="","",IFERROR(INDEX('ケイパビリティマップ'!$E:$E,MATCH(C406,'ケイパビリティマップ'!$A:$A,0)),"（IDなし）"))</f>
        <v/>
      </c>
      <c r="E406" s="3"/>
      <c r="F406" s="72" t="str">
        <f t="shared" si="3"/>
        <v/>
      </c>
      <c r="G406" s="72" t="str">
        <f t="shared" si="4"/>
        <v/>
      </c>
    </row>
    <row r="407" ht="15.0" customHeight="1">
      <c r="A407" s="3"/>
      <c r="B407" s="3"/>
      <c r="C407" s="3"/>
      <c r="D407" s="72" t="str">
        <f t="array" ref="D407">IF(C407="","",IFERROR(INDEX('ケイパビリティマップ'!$E:$E,MATCH(C407,'ケイパビリティマップ'!$A:$A,0)),"（IDなし）"))</f>
        <v/>
      </c>
      <c r="E407" s="3"/>
      <c r="F407" s="72" t="str">
        <f t="shared" si="3"/>
        <v/>
      </c>
      <c r="G407" s="72" t="str">
        <f t="shared" si="4"/>
        <v/>
      </c>
    </row>
    <row r="408" ht="15.0" customHeight="1">
      <c r="A408" s="3"/>
      <c r="B408" s="3"/>
      <c r="C408" s="3"/>
      <c r="D408" s="72" t="str">
        <f t="array" ref="D408">IF(C408="","",IFERROR(INDEX('ケイパビリティマップ'!$E:$E,MATCH(C408,'ケイパビリティマップ'!$A:$A,0)),"（IDなし）"))</f>
        <v/>
      </c>
      <c r="E408" s="3"/>
      <c r="F408" s="72" t="str">
        <f t="shared" si="3"/>
        <v/>
      </c>
      <c r="G408" s="72" t="str">
        <f t="shared" si="4"/>
        <v/>
      </c>
    </row>
    <row r="409" ht="15.0" customHeight="1">
      <c r="A409" s="3"/>
      <c r="B409" s="3"/>
      <c r="C409" s="3"/>
      <c r="D409" s="72" t="str">
        <f t="array" ref="D409">IF(C409="","",IFERROR(INDEX('ケイパビリティマップ'!$E:$E,MATCH(C409,'ケイパビリティマップ'!$A:$A,0)),"（IDなし）"))</f>
        <v/>
      </c>
      <c r="E409" s="3"/>
      <c r="F409" s="72" t="str">
        <f t="shared" si="3"/>
        <v/>
      </c>
      <c r="G409" s="72" t="str">
        <f t="shared" si="4"/>
        <v/>
      </c>
    </row>
    <row r="410" ht="15.0" customHeight="1">
      <c r="A410" s="3"/>
      <c r="B410" s="3"/>
      <c r="C410" s="3"/>
      <c r="D410" s="72" t="str">
        <f t="array" ref="D410">IF(C410="","",IFERROR(INDEX('ケイパビリティマップ'!$E:$E,MATCH(C410,'ケイパビリティマップ'!$A:$A,0)),"（IDなし）"))</f>
        <v/>
      </c>
      <c r="E410" s="3"/>
      <c r="F410" s="72" t="str">
        <f t="shared" si="3"/>
        <v/>
      </c>
      <c r="G410" s="72" t="str">
        <f t="shared" si="4"/>
        <v/>
      </c>
    </row>
    <row r="411" ht="15.0" customHeight="1">
      <c r="A411" s="3"/>
      <c r="B411" s="3"/>
      <c r="C411" s="3"/>
      <c r="D411" s="72" t="str">
        <f t="array" ref="D411">IF(C411="","",IFERROR(INDEX('ケイパビリティマップ'!$E:$E,MATCH(C411,'ケイパビリティマップ'!$A:$A,0)),"（IDなし）"))</f>
        <v/>
      </c>
      <c r="E411" s="3"/>
      <c r="F411" s="72" t="str">
        <f t="shared" si="3"/>
        <v/>
      </c>
      <c r="G411" s="72" t="str">
        <f t="shared" si="4"/>
        <v/>
      </c>
    </row>
    <row r="412" ht="15.0" customHeight="1">
      <c r="A412" s="3"/>
      <c r="B412" s="3"/>
      <c r="C412" s="3"/>
      <c r="D412" s="72" t="str">
        <f t="array" ref="D412">IF(C412="","",IFERROR(INDEX('ケイパビリティマップ'!$E:$E,MATCH(C412,'ケイパビリティマップ'!$A:$A,0)),"（IDなし）"))</f>
        <v/>
      </c>
      <c r="E412" s="3"/>
      <c r="F412" s="72" t="str">
        <f t="shared" si="3"/>
        <v/>
      </c>
      <c r="G412" s="72" t="str">
        <f t="shared" si="4"/>
        <v/>
      </c>
    </row>
    <row r="413" ht="15.0" customHeight="1">
      <c r="A413" s="3"/>
      <c r="B413" s="3"/>
      <c r="C413" s="3"/>
      <c r="D413" s="72" t="str">
        <f t="array" ref="D413">IF(C413="","",IFERROR(INDEX('ケイパビリティマップ'!$E:$E,MATCH(C413,'ケイパビリティマップ'!$A:$A,0)),"（IDなし）"))</f>
        <v/>
      </c>
      <c r="E413" s="3"/>
      <c r="F413" s="72" t="str">
        <f t="shared" si="3"/>
        <v/>
      </c>
      <c r="G413" s="72" t="str">
        <f t="shared" si="4"/>
        <v/>
      </c>
    </row>
    <row r="414" ht="15.0" customHeight="1">
      <c r="A414" s="3"/>
      <c r="B414" s="3"/>
      <c r="C414" s="3"/>
      <c r="D414" s="72" t="str">
        <f t="array" ref="D414">IF(C414="","",IFERROR(INDEX('ケイパビリティマップ'!$E:$E,MATCH(C414,'ケイパビリティマップ'!$A:$A,0)),"（IDなし）"))</f>
        <v/>
      </c>
      <c r="E414" s="3"/>
      <c r="F414" s="72" t="str">
        <f t="shared" si="3"/>
        <v/>
      </c>
      <c r="G414" s="72" t="str">
        <f t="shared" si="4"/>
        <v/>
      </c>
    </row>
    <row r="415" ht="15.0" customHeight="1">
      <c r="A415" s="3"/>
      <c r="B415" s="3"/>
      <c r="C415" s="3"/>
      <c r="D415" s="72" t="str">
        <f t="array" ref="D415">IF(C415="","",IFERROR(INDEX('ケイパビリティマップ'!$E:$E,MATCH(C415,'ケイパビリティマップ'!$A:$A,0)),"（IDなし）"))</f>
        <v/>
      </c>
      <c r="E415" s="3"/>
      <c r="F415" s="72" t="str">
        <f t="shared" si="3"/>
        <v/>
      </c>
      <c r="G415" s="72" t="str">
        <f t="shared" si="4"/>
        <v/>
      </c>
    </row>
    <row r="416" ht="15.0" customHeight="1">
      <c r="A416" s="3"/>
      <c r="B416" s="3"/>
      <c r="C416" s="3"/>
      <c r="D416" s="72" t="str">
        <f t="array" ref="D416">IF(C416="","",IFERROR(INDEX('ケイパビリティマップ'!$E:$E,MATCH(C416,'ケイパビリティマップ'!$A:$A,0)),"（IDなし）"))</f>
        <v/>
      </c>
      <c r="E416" s="3"/>
      <c r="F416" s="72" t="str">
        <f t="shared" si="3"/>
        <v/>
      </c>
      <c r="G416" s="72" t="str">
        <f t="shared" si="4"/>
        <v/>
      </c>
    </row>
    <row r="417" ht="15.0" customHeight="1">
      <c r="A417" s="3"/>
      <c r="B417" s="3"/>
      <c r="C417" s="3"/>
      <c r="D417" s="72" t="str">
        <f t="array" ref="D417">IF(C417="","",IFERROR(INDEX('ケイパビリティマップ'!$E:$E,MATCH(C417,'ケイパビリティマップ'!$A:$A,0)),"（IDなし）"))</f>
        <v/>
      </c>
      <c r="E417" s="3"/>
      <c r="F417" s="72" t="str">
        <f t="shared" si="3"/>
        <v/>
      </c>
      <c r="G417" s="72" t="str">
        <f t="shared" si="4"/>
        <v/>
      </c>
    </row>
    <row r="418" ht="15.0" customHeight="1">
      <c r="A418" s="3"/>
      <c r="B418" s="3"/>
      <c r="C418" s="3"/>
      <c r="D418" s="72" t="str">
        <f t="array" ref="D418">IF(C418="","",IFERROR(INDEX('ケイパビリティマップ'!$E:$E,MATCH(C418,'ケイパビリティマップ'!$A:$A,0)),"（IDなし）"))</f>
        <v/>
      </c>
      <c r="E418" s="3"/>
      <c r="F418" s="72" t="str">
        <f t="shared" si="3"/>
        <v/>
      </c>
      <c r="G418" s="72" t="str">
        <f t="shared" si="4"/>
        <v/>
      </c>
    </row>
    <row r="419" ht="15.0" customHeight="1">
      <c r="A419" s="3"/>
      <c r="B419" s="3"/>
      <c r="C419" s="3"/>
      <c r="D419" s="72" t="str">
        <f t="array" ref="D419">IF(C419="","",IFERROR(INDEX('ケイパビリティマップ'!$E:$E,MATCH(C419,'ケイパビリティマップ'!$A:$A,0)),"（IDなし）"))</f>
        <v/>
      </c>
      <c r="E419" s="3"/>
      <c r="F419" s="72" t="str">
        <f t="shared" si="3"/>
        <v/>
      </c>
      <c r="G419" s="72" t="str">
        <f t="shared" si="4"/>
        <v/>
      </c>
    </row>
    <row r="420" ht="15.0" customHeight="1">
      <c r="A420" s="3"/>
      <c r="B420" s="3"/>
      <c r="C420" s="3"/>
      <c r="D420" s="72" t="str">
        <f t="array" ref="D420">IF(C420="","",IFERROR(INDEX('ケイパビリティマップ'!$E:$E,MATCH(C420,'ケイパビリティマップ'!$A:$A,0)),"（IDなし）"))</f>
        <v/>
      </c>
      <c r="E420" s="3"/>
      <c r="F420" s="72" t="str">
        <f t="shared" si="3"/>
        <v/>
      </c>
      <c r="G420" s="72" t="str">
        <f t="shared" si="4"/>
        <v/>
      </c>
    </row>
    <row r="421" ht="15.0" customHeight="1">
      <c r="A421" s="3"/>
      <c r="B421" s="3"/>
      <c r="C421" s="3"/>
      <c r="D421" s="72" t="str">
        <f t="array" ref="D421">IF(C421="","",IFERROR(INDEX('ケイパビリティマップ'!$E:$E,MATCH(C421,'ケイパビリティマップ'!$A:$A,0)),"（IDなし）"))</f>
        <v/>
      </c>
      <c r="E421" s="3"/>
      <c r="F421" s="72" t="str">
        <f t="shared" si="3"/>
        <v/>
      </c>
      <c r="G421" s="72" t="str">
        <f t="shared" si="4"/>
        <v/>
      </c>
    </row>
    <row r="422" ht="15.0" customHeight="1">
      <c r="A422" s="3"/>
      <c r="B422" s="3"/>
      <c r="C422" s="3"/>
      <c r="D422" s="72" t="str">
        <f t="array" ref="D422">IF(C422="","",IFERROR(INDEX('ケイパビリティマップ'!$E:$E,MATCH(C422,'ケイパビリティマップ'!$A:$A,0)),"（IDなし）"))</f>
        <v/>
      </c>
      <c r="E422" s="3"/>
      <c r="F422" s="72" t="str">
        <f t="shared" si="3"/>
        <v/>
      </c>
      <c r="G422" s="72" t="str">
        <f t="shared" si="4"/>
        <v/>
      </c>
    </row>
    <row r="423" ht="15.0" customHeight="1">
      <c r="A423" s="3"/>
      <c r="B423" s="3"/>
      <c r="C423" s="3"/>
      <c r="D423" s="72" t="str">
        <f t="array" ref="D423">IF(C423="","",IFERROR(INDEX('ケイパビリティマップ'!$E:$E,MATCH(C423,'ケイパビリティマップ'!$A:$A,0)),"（IDなし）"))</f>
        <v/>
      </c>
      <c r="E423" s="3"/>
      <c r="F423" s="72" t="str">
        <f t="shared" si="3"/>
        <v/>
      </c>
      <c r="G423" s="72" t="str">
        <f t="shared" si="4"/>
        <v/>
      </c>
    </row>
    <row r="424" ht="15.0" customHeight="1">
      <c r="A424" s="3"/>
      <c r="B424" s="3"/>
      <c r="C424" s="3"/>
      <c r="D424" s="72" t="str">
        <f t="array" ref="D424">IF(C424="","",IFERROR(INDEX('ケイパビリティマップ'!$E:$E,MATCH(C424,'ケイパビリティマップ'!$A:$A,0)),"（IDなし）"))</f>
        <v/>
      </c>
      <c r="E424" s="3"/>
      <c r="F424" s="72" t="str">
        <f t="shared" si="3"/>
        <v/>
      </c>
      <c r="G424" s="72" t="str">
        <f t="shared" si="4"/>
        <v/>
      </c>
    </row>
    <row r="425" ht="15.0" customHeight="1">
      <c r="A425" s="3"/>
      <c r="B425" s="3"/>
      <c r="C425" s="3"/>
      <c r="D425" s="72" t="str">
        <f t="array" ref="D425">IF(C425="","",IFERROR(INDEX('ケイパビリティマップ'!$E:$E,MATCH(C425,'ケイパビリティマップ'!$A:$A,0)),"（IDなし）"))</f>
        <v/>
      </c>
      <c r="E425" s="3"/>
      <c r="F425" s="72" t="str">
        <f t="shared" si="3"/>
        <v/>
      </c>
      <c r="G425" s="72" t="str">
        <f t="shared" si="4"/>
        <v/>
      </c>
    </row>
    <row r="426" ht="15.0" customHeight="1">
      <c r="A426" s="3"/>
      <c r="B426" s="3"/>
      <c r="C426" s="3"/>
      <c r="D426" s="72" t="str">
        <f t="array" ref="D426">IF(C426="","",IFERROR(INDEX('ケイパビリティマップ'!$E:$E,MATCH(C426,'ケイパビリティマップ'!$A:$A,0)),"（IDなし）"))</f>
        <v/>
      </c>
      <c r="E426" s="3"/>
      <c r="F426" s="72" t="str">
        <f t="shared" si="3"/>
        <v/>
      </c>
      <c r="G426" s="72" t="str">
        <f t="shared" si="4"/>
        <v/>
      </c>
    </row>
    <row r="427" ht="15.0" customHeight="1">
      <c r="A427" s="3"/>
      <c r="B427" s="3"/>
      <c r="C427" s="3"/>
      <c r="D427" s="72" t="str">
        <f t="array" ref="D427">IF(C427="","",IFERROR(INDEX('ケイパビリティマップ'!$E:$E,MATCH(C427,'ケイパビリティマップ'!$A:$A,0)),"（IDなし）"))</f>
        <v/>
      </c>
      <c r="E427" s="3"/>
      <c r="F427" s="72" t="str">
        <f t="shared" si="3"/>
        <v/>
      </c>
      <c r="G427" s="72" t="str">
        <f t="shared" si="4"/>
        <v/>
      </c>
    </row>
    <row r="428" ht="15.0" customHeight="1">
      <c r="A428" s="3"/>
      <c r="B428" s="3"/>
      <c r="C428" s="3"/>
      <c r="D428" s="72" t="str">
        <f t="array" ref="D428">IF(C428="","",IFERROR(INDEX('ケイパビリティマップ'!$E:$E,MATCH(C428,'ケイパビリティマップ'!$A:$A,0)),"（IDなし）"))</f>
        <v/>
      </c>
      <c r="E428" s="3"/>
      <c r="F428" s="72" t="str">
        <f t="shared" si="3"/>
        <v/>
      </c>
      <c r="G428" s="72" t="str">
        <f t="shared" si="4"/>
        <v/>
      </c>
    </row>
    <row r="429" ht="15.0" customHeight="1">
      <c r="A429" s="3"/>
      <c r="B429" s="3"/>
      <c r="C429" s="3"/>
      <c r="D429" s="72" t="str">
        <f t="array" ref="D429">IF(C429="","",IFERROR(INDEX('ケイパビリティマップ'!$E:$E,MATCH(C429,'ケイパビリティマップ'!$A:$A,0)),"（IDなし）"))</f>
        <v/>
      </c>
      <c r="E429" s="3"/>
      <c r="F429" s="72" t="str">
        <f t="shared" si="3"/>
        <v/>
      </c>
      <c r="G429" s="72" t="str">
        <f t="shared" si="4"/>
        <v/>
      </c>
    </row>
    <row r="430" ht="15.0" customHeight="1">
      <c r="A430" s="3"/>
      <c r="B430" s="3"/>
      <c r="C430" s="3"/>
      <c r="D430" s="72" t="str">
        <f t="array" ref="D430">IF(C430="","",IFERROR(INDEX('ケイパビリティマップ'!$E:$E,MATCH(C430,'ケイパビリティマップ'!$A:$A,0)),"（IDなし）"))</f>
        <v/>
      </c>
      <c r="E430" s="3"/>
      <c r="F430" s="72" t="str">
        <f t="shared" si="3"/>
        <v/>
      </c>
      <c r="G430" s="72" t="str">
        <f t="shared" si="4"/>
        <v/>
      </c>
    </row>
    <row r="431" ht="15.0" customHeight="1">
      <c r="A431" s="3"/>
      <c r="B431" s="3"/>
      <c r="C431" s="3"/>
      <c r="D431" s="72" t="str">
        <f t="array" ref="D431">IF(C431="","",IFERROR(INDEX('ケイパビリティマップ'!$E:$E,MATCH(C431,'ケイパビリティマップ'!$A:$A,0)),"（IDなし）"))</f>
        <v/>
      </c>
      <c r="E431" s="3"/>
      <c r="F431" s="72" t="str">
        <f t="shared" si="3"/>
        <v/>
      </c>
      <c r="G431" s="72" t="str">
        <f t="shared" si="4"/>
        <v/>
      </c>
    </row>
    <row r="432" ht="15.0" customHeight="1">
      <c r="A432" s="3"/>
      <c r="B432" s="3"/>
      <c r="C432" s="3"/>
      <c r="D432" s="72" t="str">
        <f t="array" ref="D432">IF(C432="","",IFERROR(INDEX('ケイパビリティマップ'!$E:$E,MATCH(C432,'ケイパビリティマップ'!$A:$A,0)),"（IDなし）"))</f>
        <v/>
      </c>
      <c r="E432" s="3"/>
      <c r="F432" s="72" t="str">
        <f t="shared" si="3"/>
        <v/>
      </c>
      <c r="G432" s="72" t="str">
        <f t="shared" si="4"/>
        <v/>
      </c>
    </row>
    <row r="433" ht="15.0" customHeight="1">
      <c r="A433" s="3"/>
      <c r="B433" s="3"/>
      <c r="C433" s="3"/>
      <c r="D433" s="72" t="str">
        <f t="array" ref="D433">IF(C433="","",IFERROR(INDEX('ケイパビリティマップ'!$E:$E,MATCH(C433,'ケイパビリティマップ'!$A:$A,0)),"（IDなし）"))</f>
        <v/>
      </c>
      <c r="E433" s="3"/>
      <c r="F433" s="72" t="str">
        <f t="shared" si="3"/>
        <v/>
      </c>
      <c r="G433" s="72" t="str">
        <f t="shared" si="4"/>
        <v/>
      </c>
    </row>
    <row r="434" ht="15.0" customHeight="1">
      <c r="A434" s="3"/>
      <c r="B434" s="3"/>
      <c r="C434" s="3"/>
      <c r="D434" s="72" t="str">
        <f t="array" ref="D434">IF(C434="","",IFERROR(INDEX('ケイパビリティマップ'!$E:$E,MATCH(C434,'ケイパビリティマップ'!$A:$A,0)),"（IDなし）"))</f>
        <v/>
      </c>
      <c r="E434" s="3"/>
      <c r="F434" s="72" t="str">
        <f t="shared" si="3"/>
        <v/>
      </c>
      <c r="G434" s="72" t="str">
        <f t="shared" si="4"/>
        <v/>
      </c>
    </row>
    <row r="435" ht="15.0" customHeight="1">
      <c r="A435" s="3"/>
      <c r="B435" s="3"/>
      <c r="C435" s="3"/>
      <c r="D435" s="72" t="str">
        <f t="array" ref="D435">IF(C435="","",IFERROR(INDEX('ケイパビリティマップ'!$E:$E,MATCH(C435,'ケイパビリティマップ'!$A:$A,0)),"（IDなし）"))</f>
        <v/>
      </c>
      <c r="E435" s="3"/>
      <c r="F435" s="72" t="str">
        <f t="shared" si="3"/>
        <v/>
      </c>
      <c r="G435" s="72" t="str">
        <f t="shared" si="4"/>
        <v/>
      </c>
    </row>
    <row r="436" ht="15.0" customHeight="1">
      <c r="A436" s="3"/>
      <c r="B436" s="3"/>
      <c r="C436" s="3"/>
      <c r="D436" s="72" t="str">
        <f t="array" ref="D436">IF(C436="","",IFERROR(INDEX('ケイパビリティマップ'!$E:$E,MATCH(C436,'ケイパビリティマップ'!$A:$A,0)),"（IDなし）"))</f>
        <v/>
      </c>
      <c r="E436" s="3"/>
      <c r="F436" s="72" t="str">
        <f t="shared" si="3"/>
        <v/>
      </c>
      <c r="G436" s="72" t="str">
        <f t="shared" si="4"/>
        <v/>
      </c>
    </row>
    <row r="437" ht="15.0" customHeight="1">
      <c r="A437" s="3"/>
      <c r="B437" s="3"/>
      <c r="C437" s="3"/>
      <c r="D437" s="72" t="str">
        <f t="array" ref="D437">IF(C437="","",IFERROR(INDEX('ケイパビリティマップ'!$E:$E,MATCH(C437,'ケイパビリティマップ'!$A:$A,0)),"（IDなし）"))</f>
        <v/>
      </c>
      <c r="E437" s="3"/>
      <c r="F437" s="72" t="str">
        <f t="shared" si="3"/>
        <v/>
      </c>
      <c r="G437" s="72" t="str">
        <f t="shared" si="4"/>
        <v/>
      </c>
    </row>
    <row r="438" ht="15.0" customHeight="1">
      <c r="A438" s="3"/>
      <c r="B438" s="3"/>
      <c r="C438" s="3"/>
      <c r="D438" s="72" t="str">
        <f t="array" ref="D438">IF(C438="","",IFERROR(INDEX('ケイパビリティマップ'!$E:$E,MATCH(C438,'ケイパビリティマップ'!$A:$A,0)),"（IDなし）"))</f>
        <v/>
      </c>
      <c r="E438" s="3"/>
      <c r="F438" s="72" t="str">
        <f t="shared" si="3"/>
        <v/>
      </c>
      <c r="G438" s="72" t="str">
        <f t="shared" si="4"/>
        <v/>
      </c>
    </row>
    <row r="439" ht="15.0" customHeight="1">
      <c r="A439" s="3"/>
      <c r="B439" s="3"/>
      <c r="C439" s="3"/>
      <c r="D439" s="72" t="str">
        <f t="array" ref="D439">IF(C439="","",IFERROR(INDEX('ケイパビリティマップ'!$E:$E,MATCH(C439,'ケイパビリティマップ'!$A:$A,0)),"（IDなし）"))</f>
        <v/>
      </c>
      <c r="E439" s="3"/>
      <c r="F439" s="72" t="str">
        <f t="shared" si="3"/>
        <v/>
      </c>
      <c r="G439" s="72" t="str">
        <f t="shared" si="4"/>
        <v/>
      </c>
    </row>
    <row r="440" ht="15.0" customHeight="1">
      <c r="A440" s="3"/>
      <c r="B440" s="3"/>
      <c r="C440" s="3"/>
      <c r="D440" s="72" t="str">
        <f t="array" ref="D440">IF(C440="","",IFERROR(INDEX('ケイパビリティマップ'!$E:$E,MATCH(C440,'ケイパビリティマップ'!$A:$A,0)),"（IDなし）"))</f>
        <v/>
      </c>
      <c r="E440" s="3"/>
      <c r="F440" s="72" t="str">
        <f t="shared" si="3"/>
        <v/>
      </c>
      <c r="G440" s="72" t="str">
        <f t="shared" si="4"/>
        <v/>
      </c>
    </row>
    <row r="441" ht="15.0" customHeight="1">
      <c r="A441" s="3"/>
      <c r="B441" s="3"/>
      <c r="C441" s="3"/>
      <c r="D441" s="72" t="str">
        <f t="array" ref="D441">IF(C441="","",IFERROR(INDEX('ケイパビリティマップ'!$E:$E,MATCH(C441,'ケイパビリティマップ'!$A:$A,0)),"（IDなし）"))</f>
        <v/>
      </c>
      <c r="E441" s="3"/>
      <c r="F441" s="72" t="str">
        <f t="shared" si="3"/>
        <v/>
      </c>
      <c r="G441" s="72" t="str">
        <f t="shared" si="4"/>
        <v/>
      </c>
    </row>
    <row r="442" ht="15.0" customHeight="1">
      <c r="A442" s="3"/>
      <c r="B442" s="3"/>
      <c r="C442" s="3"/>
      <c r="D442" s="72" t="str">
        <f t="array" ref="D442">IF(C442="","",IFERROR(INDEX('ケイパビリティマップ'!$E:$E,MATCH(C442,'ケイパビリティマップ'!$A:$A,0)),"（IDなし）"))</f>
        <v/>
      </c>
      <c r="E442" s="3"/>
      <c r="F442" s="72" t="str">
        <f t="shared" si="3"/>
        <v/>
      </c>
      <c r="G442" s="72" t="str">
        <f t="shared" si="4"/>
        <v/>
      </c>
    </row>
    <row r="443" ht="15.0" customHeight="1">
      <c r="A443" s="3"/>
      <c r="B443" s="3"/>
      <c r="C443" s="3"/>
      <c r="D443" s="72" t="str">
        <f t="array" ref="D443">IF(C443="","",IFERROR(INDEX('ケイパビリティマップ'!$E:$E,MATCH(C443,'ケイパビリティマップ'!$A:$A,0)),"（IDなし）"))</f>
        <v/>
      </c>
      <c r="E443" s="3"/>
      <c r="F443" s="72" t="str">
        <f t="shared" si="3"/>
        <v/>
      </c>
      <c r="G443" s="72" t="str">
        <f t="shared" si="4"/>
        <v/>
      </c>
    </row>
    <row r="444" ht="15.0" customHeight="1">
      <c r="A444" s="3"/>
      <c r="B444" s="3"/>
      <c r="C444" s="3"/>
      <c r="D444" s="72" t="str">
        <f t="array" ref="D444">IF(C444="","",IFERROR(INDEX('ケイパビリティマップ'!$E:$E,MATCH(C444,'ケイパビリティマップ'!$A:$A,0)),"（IDなし）"))</f>
        <v/>
      </c>
      <c r="E444" s="3"/>
      <c r="F444" s="72" t="str">
        <f t="shared" si="3"/>
        <v/>
      </c>
      <c r="G444" s="72" t="str">
        <f t="shared" si="4"/>
        <v/>
      </c>
    </row>
    <row r="445" ht="15.0" customHeight="1">
      <c r="A445" s="3"/>
      <c r="B445" s="3"/>
      <c r="C445" s="3"/>
      <c r="D445" s="72" t="str">
        <f t="array" ref="D445">IF(C445="","",IFERROR(INDEX('ケイパビリティマップ'!$E:$E,MATCH(C445,'ケイパビリティマップ'!$A:$A,0)),"（IDなし）"))</f>
        <v/>
      </c>
      <c r="E445" s="3"/>
      <c r="F445" s="72" t="str">
        <f t="shared" si="3"/>
        <v/>
      </c>
      <c r="G445" s="72" t="str">
        <f t="shared" si="4"/>
        <v/>
      </c>
    </row>
    <row r="446" ht="15.0" customHeight="1">
      <c r="A446" s="3"/>
      <c r="B446" s="3"/>
      <c r="C446" s="3"/>
      <c r="D446" s="72" t="str">
        <f t="array" ref="D446">IF(C446="","",IFERROR(INDEX('ケイパビリティマップ'!$E:$E,MATCH(C446,'ケイパビリティマップ'!$A:$A,0)),"（IDなし）"))</f>
        <v/>
      </c>
      <c r="E446" s="3"/>
      <c r="F446" s="72" t="str">
        <f t="shared" si="3"/>
        <v/>
      </c>
      <c r="G446" s="72" t="str">
        <f t="shared" si="4"/>
        <v/>
      </c>
    </row>
    <row r="447" ht="15.0" customHeight="1">
      <c r="A447" s="3"/>
      <c r="B447" s="3"/>
      <c r="C447" s="3"/>
      <c r="D447" s="72" t="str">
        <f t="array" ref="D447">IF(C447="","",IFERROR(INDEX('ケイパビリティマップ'!$E:$E,MATCH(C447,'ケイパビリティマップ'!$A:$A,0)),"（IDなし）"))</f>
        <v/>
      </c>
      <c r="E447" s="3"/>
      <c r="F447" s="72" t="str">
        <f t="shared" si="3"/>
        <v/>
      </c>
      <c r="G447" s="72" t="str">
        <f t="shared" si="4"/>
        <v/>
      </c>
    </row>
    <row r="448" ht="15.0" customHeight="1">
      <c r="A448" s="3"/>
      <c r="B448" s="3"/>
      <c r="C448" s="3"/>
      <c r="D448" s="72" t="str">
        <f t="array" ref="D448">IF(C448="","",IFERROR(INDEX('ケイパビリティマップ'!$E:$E,MATCH(C448,'ケイパビリティマップ'!$A:$A,0)),"（IDなし）"))</f>
        <v/>
      </c>
      <c r="E448" s="3"/>
      <c r="F448" s="72" t="str">
        <f t="shared" si="3"/>
        <v/>
      </c>
      <c r="G448" s="72" t="str">
        <f t="shared" si="4"/>
        <v/>
      </c>
    </row>
    <row r="449" ht="15.0" customHeight="1">
      <c r="A449" s="3"/>
      <c r="B449" s="3"/>
      <c r="C449" s="3"/>
      <c r="D449" s="72" t="str">
        <f t="array" ref="D449">IF(C449="","",IFERROR(INDEX('ケイパビリティマップ'!$E:$E,MATCH(C449,'ケイパビリティマップ'!$A:$A,0)),"（IDなし）"))</f>
        <v/>
      </c>
      <c r="E449" s="3"/>
      <c r="F449" s="72" t="str">
        <f t="shared" si="3"/>
        <v/>
      </c>
      <c r="G449" s="72" t="str">
        <f t="shared" si="4"/>
        <v/>
      </c>
    </row>
    <row r="450" ht="15.0" customHeight="1">
      <c r="A450" s="3"/>
      <c r="B450" s="3"/>
      <c r="C450" s="3"/>
      <c r="D450" s="72" t="str">
        <f t="array" ref="D450">IF(C450="","",IFERROR(INDEX('ケイパビリティマップ'!$E:$E,MATCH(C450,'ケイパビリティマップ'!$A:$A,0)),"（IDなし）"))</f>
        <v/>
      </c>
      <c r="E450" s="3"/>
      <c r="F450" s="72" t="str">
        <f t="shared" si="3"/>
        <v/>
      </c>
      <c r="G450" s="72" t="str">
        <f t="shared" si="4"/>
        <v/>
      </c>
    </row>
    <row r="451" ht="15.0" customHeight="1">
      <c r="A451" s="3"/>
      <c r="B451" s="3"/>
      <c r="C451" s="3"/>
      <c r="D451" s="72" t="str">
        <f t="array" ref="D451">IF(C451="","",IFERROR(INDEX('ケイパビリティマップ'!$E:$E,MATCH(C451,'ケイパビリティマップ'!$A:$A,0)),"（IDなし）"))</f>
        <v/>
      </c>
      <c r="E451" s="3"/>
      <c r="F451" s="72" t="str">
        <f t="shared" si="3"/>
        <v/>
      </c>
      <c r="G451" s="72" t="str">
        <f t="shared" si="4"/>
        <v/>
      </c>
    </row>
    <row r="452" ht="15.0" customHeight="1">
      <c r="A452" s="3"/>
      <c r="B452" s="3"/>
      <c r="C452" s="3"/>
      <c r="D452" s="72" t="str">
        <f t="array" ref="D452">IF(C452="","",IFERROR(INDEX('ケイパビリティマップ'!$E:$E,MATCH(C452,'ケイパビリティマップ'!$A:$A,0)),"（IDなし）"))</f>
        <v/>
      </c>
      <c r="E452" s="3"/>
      <c r="F452" s="72" t="str">
        <f t="shared" si="3"/>
        <v/>
      </c>
      <c r="G452" s="72" t="str">
        <f t="shared" si="4"/>
        <v/>
      </c>
    </row>
    <row r="453" ht="15.0" customHeight="1">
      <c r="A453" s="3"/>
      <c r="B453" s="3"/>
      <c r="C453" s="3"/>
      <c r="D453" s="72" t="str">
        <f t="array" ref="D453">IF(C453="","",IFERROR(INDEX('ケイパビリティマップ'!$E:$E,MATCH(C453,'ケイパビリティマップ'!$A:$A,0)),"（IDなし）"))</f>
        <v/>
      </c>
      <c r="E453" s="3"/>
      <c r="F453" s="72" t="str">
        <f t="shared" si="3"/>
        <v/>
      </c>
      <c r="G453" s="72" t="str">
        <f t="shared" si="4"/>
        <v/>
      </c>
    </row>
    <row r="454" ht="15.0" customHeight="1">
      <c r="A454" s="3"/>
      <c r="B454" s="3"/>
      <c r="C454" s="3"/>
      <c r="D454" s="72" t="str">
        <f t="array" ref="D454">IF(C454="","",IFERROR(INDEX('ケイパビリティマップ'!$E:$E,MATCH(C454,'ケイパビリティマップ'!$A:$A,0)),"（IDなし）"))</f>
        <v/>
      </c>
      <c r="E454" s="3"/>
      <c r="F454" s="72" t="str">
        <f t="shared" si="3"/>
        <v/>
      </c>
      <c r="G454" s="72" t="str">
        <f t="shared" si="4"/>
        <v/>
      </c>
    </row>
    <row r="455" ht="15.0" customHeight="1">
      <c r="A455" s="3"/>
      <c r="B455" s="3"/>
      <c r="C455" s="3"/>
      <c r="D455" s="72" t="str">
        <f t="array" ref="D455">IF(C455="","",IFERROR(INDEX('ケイパビリティマップ'!$E:$E,MATCH(C455,'ケイパビリティマップ'!$A:$A,0)),"（IDなし）"))</f>
        <v/>
      </c>
      <c r="E455" s="3"/>
      <c r="F455" s="72" t="str">
        <f t="shared" si="3"/>
        <v/>
      </c>
      <c r="G455" s="72" t="str">
        <f t="shared" si="4"/>
        <v/>
      </c>
    </row>
    <row r="456" ht="15.0" customHeight="1">
      <c r="A456" s="3"/>
      <c r="B456" s="3"/>
      <c r="C456" s="3"/>
      <c r="D456" s="72" t="str">
        <f t="array" ref="D456">IF(C456="","",IFERROR(INDEX('ケイパビリティマップ'!$E:$E,MATCH(C456,'ケイパビリティマップ'!$A:$A,0)),"（IDなし）"))</f>
        <v/>
      </c>
      <c r="E456" s="3"/>
      <c r="F456" s="72" t="str">
        <f t="shared" si="3"/>
        <v/>
      </c>
      <c r="G456" s="72" t="str">
        <f t="shared" si="4"/>
        <v/>
      </c>
    </row>
    <row r="457" ht="15.0" customHeight="1">
      <c r="A457" s="3"/>
      <c r="B457" s="3"/>
      <c r="C457" s="3"/>
      <c r="D457" s="72" t="str">
        <f t="array" ref="D457">IF(C457="","",IFERROR(INDEX('ケイパビリティマップ'!$E:$E,MATCH(C457,'ケイパビリティマップ'!$A:$A,0)),"（IDなし）"))</f>
        <v/>
      </c>
      <c r="E457" s="3"/>
      <c r="F457" s="72" t="str">
        <f t="shared" si="3"/>
        <v/>
      </c>
      <c r="G457" s="72" t="str">
        <f t="shared" si="4"/>
        <v/>
      </c>
    </row>
    <row r="458" ht="15.0" customHeight="1">
      <c r="A458" s="3"/>
      <c r="B458" s="3"/>
      <c r="C458" s="3"/>
      <c r="D458" s="72" t="str">
        <f t="array" ref="D458">IF(C458="","",IFERROR(INDEX('ケイパビリティマップ'!$E:$E,MATCH(C458,'ケイパビリティマップ'!$A:$A,0)),"（IDなし）"))</f>
        <v/>
      </c>
      <c r="E458" s="3"/>
      <c r="F458" s="72" t="str">
        <f t="shared" si="3"/>
        <v/>
      </c>
      <c r="G458" s="72" t="str">
        <f t="shared" si="4"/>
        <v/>
      </c>
    </row>
    <row r="459" ht="15.0" customHeight="1">
      <c r="A459" s="3"/>
      <c r="B459" s="3"/>
      <c r="C459" s="3"/>
      <c r="D459" s="72" t="str">
        <f t="array" ref="D459">IF(C459="","",IFERROR(INDEX('ケイパビリティマップ'!$E:$E,MATCH(C459,'ケイパビリティマップ'!$A:$A,0)),"（IDなし）"))</f>
        <v/>
      </c>
      <c r="E459" s="3"/>
      <c r="F459" s="72" t="str">
        <f t="shared" si="3"/>
        <v/>
      </c>
      <c r="G459" s="72" t="str">
        <f t="shared" si="4"/>
        <v/>
      </c>
    </row>
    <row r="460" ht="15.0" customHeight="1">
      <c r="A460" s="3"/>
      <c r="B460" s="3"/>
      <c r="C460" s="3"/>
      <c r="D460" s="72" t="str">
        <f t="array" ref="D460">IF(C460="","",IFERROR(INDEX('ケイパビリティマップ'!$E:$E,MATCH(C460,'ケイパビリティマップ'!$A:$A,0)),"（IDなし）"))</f>
        <v/>
      </c>
      <c r="E460" s="3"/>
      <c r="F460" s="72" t="str">
        <f t="shared" si="3"/>
        <v/>
      </c>
      <c r="G460" s="72" t="str">
        <f t="shared" si="4"/>
        <v/>
      </c>
    </row>
    <row r="461" ht="15.0" customHeight="1">
      <c r="A461" s="3"/>
      <c r="B461" s="3"/>
      <c r="C461" s="3"/>
      <c r="D461" s="72" t="str">
        <f t="array" ref="D461">IF(C461="","",IFERROR(INDEX('ケイパビリティマップ'!$E:$E,MATCH(C461,'ケイパビリティマップ'!$A:$A,0)),"（IDなし）"))</f>
        <v/>
      </c>
      <c r="E461" s="3"/>
      <c r="F461" s="72" t="str">
        <f t="shared" si="3"/>
        <v/>
      </c>
      <c r="G461" s="72" t="str">
        <f t="shared" si="4"/>
        <v/>
      </c>
    </row>
    <row r="462" ht="15.0" customHeight="1">
      <c r="A462" s="3"/>
      <c r="B462" s="3"/>
      <c r="C462" s="3"/>
      <c r="D462" s="72" t="str">
        <f t="array" ref="D462">IF(C462="","",IFERROR(INDEX('ケイパビリティマップ'!$E:$E,MATCH(C462,'ケイパビリティマップ'!$A:$A,0)),"（IDなし）"))</f>
        <v/>
      </c>
      <c r="E462" s="3"/>
      <c r="F462" s="72" t="str">
        <f t="shared" si="3"/>
        <v/>
      </c>
      <c r="G462" s="72" t="str">
        <f t="shared" si="4"/>
        <v/>
      </c>
    </row>
    <row r="463" ht="15.0" customHeight="1">
      <c r="A463" s="3"/>
      <c r="B463" s="3"/>
      <c r="C463" s="3"/>
      <c r="D463" s="72" t="str">
        <f t="array" ref="D463">IF(C463="","",IFERROR(INDEX('ケイパビリティマップ'!$E:$E,MATCH(C463,'ケイパビリティマップ'!$A:$A,0)),"（IDなし）"))</f>
        <v/>
      </c>
      <c r="E463" s="3"/>
      <c r="F463" s="72" t="str">
        <f t="shared" si="3"/>
        <v/>
      </c>
      <c r="G463" s="72" t="str">
        <f t="shared" si="4"/>
        <v/>
      </c>
    </row>
    <row r="464" ht="15.0" customHeight="1">
      <c r="A464" s="3"/>
      <c r="B464" s="3"/>
      <c r="C464" s="3"/>
      <c r="D464" s="72" t="str">
        <f t="array" ref="D464">IF(C464="","",IFERROR(INDEX('ケイパビリティマップ'!$E:$E,MATCH(C464,'ケイパビリティマップ'!$A:$A,0)),"（IDなし）"))</f>
        <v/>
      </c>
      <c r="E464" s="3"/>
      <c r="F464" s="72" t="str">
        <f t="shared" si="3"/>
        <v/>
      </c>
      <c r="G464" s="72" t="str">
        <f t="shared" si="4"/>
        <v/>
      </c>
    </row>
    <row r="465" ht="15.0" customHeight="1">
      <c r="A465" s="3"/>
      <c r="B465" s="3"/>
      <c r="C465" s="3"/>
      <c r="D465" s="72" t="str">
        <f t="array" ref="D465">IF(C465="","",IFERROR(INDEX('ケイパビリティマップ'!$E:$E,MATCH(C465,'ケイパビリティマップ'!$A:$A,0)),"（IDなし）"))</f>
        <v/>
      </c>
      <c r="E465" s="3"/>
      <c r="F465" s="72" t="str">
        <f t="shared" si="3"/>
        <v/>
      </c>
      <c r="G465" s="72" t="str">
        <f t="shared" si="4"/>
        <v/>
      </c>
    </row>
    <row r="466" ht="15.0" customHeight="1">
      <c r="A466" s="3"/>
      <c r="B466" s="3"/>
      <c r="C466" s="3"/>
      <c r="D466" s="72" t="str">
        <f t="array" ref="D466">IF(C466="","",IFERROR(INDEX('ケイパビリティマップ'!$E:$E,MATCH(C466,'ケイパビリティマップ'!$A:$A,0)),"（IDなし）"))</f>
        <v/>
      </c>
      <c r="E466" s="3"/>
      <c r="F466" s="72" t="str">
        <f t="shared" si="3"/>
        <v/>
      </c>
      <c r="G466" s="72" t="str">
        <f t="shared" si="4"/>
        <v/>
      </c>
    </row>
    <row r="467" ht="15.0" customHeight="1">
      <c r="A467" s="3"/>
      <c r="B467" s="3"/>
      <c r="C467" s="3"/>
      <c r="D467" s="72" t="str">
        <f t="array" ref="D467">IF(C467="","",IFERROR(INDEX('ケイパビリティマップ'!$E:$E,MATCH(C467,'ケイパビリティマップ'!$A:$A,0)),"（IDなし）"))</f>
        <v/>
      </c>
      <c r="E467" s="3"/>
      <c r="F467" s="72" t="str">
        <f t="shared" si="3"/>
        <v/>
      </c>
      <c r="G467" s="72" t="str">
        <f t="shared" si="4"/>
        <v/>
      </c>
    </row>
    <row r="468" ht="15.0" customHeight="1">
      <c r="A468" s="3"/>
      <c r="B468" s="3"/>
      <c r="C468" s="3"/>
      <c r="D468" s="72" t="str">
        <f t="array" ref="D468">IF(C468="","",IFERROR(INDEX('ケイパビリティマップ'!$E:$E,MATCH(C468,'ケイパビリティマップ'!$A:$A,0)),"（IDなし）"))</f>
        <v/>
      </c>
      <c r="E468" s="3"/>
      <c r="F468" s="72" t="str">
        <f t="shared" si="3"/>
        <v/>
      </c>
      <c r="G468" s="72" t="str">
        <f t="shared" si="4"/>
        <v/>
      </c>
    </row>
    <row r="469" ht="15.0" customHeight="1">
      <c r="A469" s="3"/>
      <c r="B469" s="3"/>
      <c r="C469" s="3"/>
      <c r="D469" s="72" t="str">
        <f t="array" ref="D469">IF(C469="","",IFERROR(INDEX('ケイパビリティマップ'!$E:$E,MATCH(C469,'ケイパビリティマップ'!$A:$A,0)),"（IDなし）"))</f>
        <v/>
      </c>
      <c r="E469" s="3"/>
      <c r="F469" s="72" t="str">
        <f t="shared" si="3"/>
        <v/>
      </c>
      <c r="G469" s="72" t="str">
        <f t="shared" si="4"/>
        <v/>
      </c>
    </row>
    <row r="470" ht="15.0" customHeight="1">
      <c r="A470" s="3"/>
      <c r="B470" s="3"/>
      <c r="C470" s="3"/>
      <c r="D470" s="72" t="str">
        <f t="array" ref="D470">IF(C470="","",IFERROR(INDEX('ケイパビリティマップ'!$E:$E,MATCH(C470,'ケイパビリティマップ'!$A:$A,0)),"（IDなし）"))</f>
        <v/>
      </c>
      <c r="E470" s="3"/>
      <c r="F470" s="72" t="str">
        <f t="shared" si="3"/>
        <v/>
      </c>
      <c r="G470" s="72" t="str">
        <f t="shared" si="4"/>
        <v/>
      </c>
    </row>
    <row r="471" ht="15.0" customHeight="1">
      <c r="A471" s="3"/>
      <c r="B471" s="3"/>
      <c r="C471" s="3"/>
      <c r="D471" s="72" t="str">
        <f t="array" ref="D471">IF(C471="","",IFERROR(INDEX('ケイパビリティマップ'!$E:$E,MATCH(C471,'ケイパビリティマップ'!$A:$A,0)),"（IDなし）"))</f>
        <v/>
      </c>
      <c r="E471" s="3"/>
      <c r="F471" s="72" t="str">
        <f t="shared" si="3"/>
        <v/>
      </c>
      <c r="G471" s="72" t="str">
        <f t="shared" si="4"/>
        <v/>
      </c>
    </row>
    <row r="472" ht="15.0" customHeight="1">
      <c r="A472" s="3"/>
      <c r="B472" s="3"/>
      <c r="C472" s="3"/>
      <c r="D472" s="72" t="str">
        <f t="array" ref="D472">IF(C472="","",IFERROR(INDEX('ケイパビリティマップ'!$E:$E,MATCH(C472,'ケイパビリティマップ'!$A:$A,0)),"（IDなし）"))</f>
        <v/>
      </c>
      <c r="E472" s="3"/>
      <c r="F472" s="72" t="str">
        <f t="shared" si="3"/>
        <v/>
      </c>
      <c r="G472" s="72" t="str">
        <f t="shared" si="4"/>
        <v/>
      </c>
    </row>
    <row r="473" ht="15.0" customHeight="1">
      <c r="A473" s="3"/>
      <c r="B473" s="3"/>
      <c r="C473" s="3"/>
      <c r="D473" s="72" t="str">
        <f t="array" ref="D473">IF(C473="","",IFERROR(INDEX('ケイパビリティマップ'!$E:$E,MATCH(C473,'ケイパビリティマップ'!$A:$A,0)),"（IDなし）"))</f>
        <v/>
      </c>
      <c r="E473" s="3"/>
      <c r="F473" s="72" t="str">
        <f t="shared" si="3"/>
        <v/>
      </c>
      <c r="G473" s="72" t="str">
        <f t="shared" si="4"/>
        <v/>
      </c>
    </row>
    <row r="474" ht="15.0" customHeight="1">
      <c r="A474" s="3"/>
      <c r="B474" s="3"/>
      <c r="C474" s="3"/>
      <c r="D474" s="72" t="str">
        <f t="array" ref="D474">IF(C474="","",IFERROR(INDEX('ケイパビリティマップ'!$E:$E,MATCH(C474,'ケイパビリティマップ'!$A:$A,0)),"（IDなし）"))</f>
        <v/>
      </c>
      <c r="E474" s="3"/>
      <c r="F474" s="72" t="str">
        <f t="shared" si="3"/>
        <v/>
      </c>
      <c r="G474" s="72" t="str">
        <f t="shared" si="4"/>
        <v/>
      </c>
    </row>
    <row r="475" ht="15.0" customHeight="1">
      <c r="A475" s="3"/>
      <c r="B475" s="3"/>
      <c r="C475" s="3"/>
      <c r="D475" s="72" t="str">
        <f t="array" ref="D475">IF(C475="","",IFERROR(INDEX('ケイパビリティマップ'!$E:$E,MATCH(C475,'ケイパビリティマップ'!$A:$A,0)),"（IDなし）"))</f>
        <v/>
      </c>
      <c r="E475" s="3"/>
      <c r="F475" s="72" t="str">
        <f t="shared" si="3"/>
        <v/>
      </c>
      <c r="G475" s="72" t="str">
        <f t="shared" si="4"/>
        <v/>
      </c>
    </row>
    <row r="476" ht="15.0" customHeight="1">
      <c r="A476" s="3"/>
      <c r="B476" s="3"/>
      <c r="C476" s="3"/>
      <c r="D476" s="72" t="str">
        <f t="array" ref="D476">IF(C476="","",IFERROR(INDEX('ケイパビリティマップ'!$E:$E,MATCH(C476,'ケイパビリティマップ'!$A:$A,0)),"（IDなし）"))</f>
        <v/>
      </c>
      <c r="E476" s="3"/>
      <c r="F476" s="72" t="str">
        <f t="shared" si="3"/>
        <v/>
      </c>
      <c r="G476" s="72" t="str">
        <f t="shared" si="4"/>
        <v/>
      </c>
    </row>
    <row r="477" ht="15.0" customHeight="1">
      <c r="A477" s="3"/>
      <c r="B477" s="3"/>
      <c r="C477" s="3"/>
      <c r="D477" s="72" t="str">
        <f t="array" ref="D477">IF(C477="","",IFERROR(INDEX('ケイパビリティマップ'!$E:$E,MATCH(C477,'ケイパビリティマップ'!$A:$A,0)),"（IDなし）"))</f>
        <v/>
      </c>
      <c r="E477" s="3"/>
      <c r="F477" s="72" t="str">
        <f t="shared" si="3"/>
        <v/>
      </c>
      <c r="G477" s="72" t="str">
        <f t="shared" si="4"/>
        <v/>
      </c>
    </row>
    <row r="478" ht="15.0" customHeight="1">
      <c r="A478" s="3"/>
      <c r="B478" s="3"/>
      <c r="C478" s="3"/>
      <c r="D478" s="72" t="str">
        <f t="array" ref="D478">IF(C478="","",IFERROR(INDEX('ケイパビリティマップ'!$E:$E,MATCH(C478,'ケイパビリティマップ'!$A:$A,0)),"（IDなし）"))</f>
        <v/>
      </c>
      <c r="E478" s="3"/>
      <c r="F478" s="72" t="str">
        <f t="shared" si="3"/>
        <v/>
      </c>
      <c r="G478" s="72" t="str">
        <f t="shared" si="4"/>
        <v/>
      </c>
    </row>
    <row r="479" ht="15.0" customHeight="1">
      <c r="A479" s="3"/>
      <c r="B479" s="3"/>
      <c r="C479" s="3"/>
      <c r="D479" s="72" t="str">
        <f t="array" ref="D479">IF(C479="","",IFERROR(INDEX('ケイパビリティマップ'!$E:$E,MATCH(C479,'ケイパビリティマップ'!$A:$A,0)),"（IDなし）"))</f>
        <v/>
      </c>
      <c r="E479" s="3"/>
      <c r="F479" s="72" t="str">
        <f t="shared" si="3"/>
        <v/>
      </c>
      <c r="G479" s="72" t="str">
        <f t="shared" si="4"/>
        <v/>
      </c>
    </row>
    <row r="480" ht="15.0" customHeight="1">
      <c r="A480" s="3"/>
      <c r="B480" s="3"/>
      <c r="C480" s="3"/>
      <c r="D480" s="72" t="str">
        <f t="array" ref="D480">IF(C480="","",IFERROR(INDEX('ケイパビリティマップ'!$E:$E,MATCH(C480,'ケイパビリティマップ'!$A:$A,0)),"（IDなし）"))</f>
        <v/>
      </c>
      <c r="E480" s="3"/>
      <c r="F480" s="72" t="str">
        <f t="shared" si="3"/>
        <v/>
      </c>
      <c r="G480" s="72" t="str">
        <f t="shared" si="4"/>
        <v/>
      </c>
    </row>
    <row r="481" ht="15.0" customHeight="1">
      <c r="A481" s="3"/>
      <c r="B481" s="3"/>
      <c r="C481" s="3"/>
      <c r="D481" s="72" t="str">
        <f t="array" ref="D481">IF(C481="","",IFERROR(INDEX('ケイパビリティマップ'!$E:$E,MATCH(C481,'ケイパビリティマップ'!$A:$A,0)),"（IDなし）"))</f>
        <v/>
      </c>
      <c r="E481" s="3"/>
      <c r="F481" s="72" t="str">
        <f t="shared" si="3"/>
        <v/>
      </c>
      <c r="G481" s="72" t="str">
        <f t="shared" si="4"/>
        <v/>
      </c>
    </row>
    <row r="482" ht="15.0" customHeight="1">
      <c r="A482" s="3"/>
      <c r="B482" s="3"/>
      <c r="C482" s="3"/>
      <c r="D482" s="72" t="str">
        <f t="array" ref="D482">IF(C482="","",IFERROR(INDEX('ケイパビリティマップ'!$E:$E,MATCH(C482,'ケイパビリティマップ'!$A:$A,0)),"（IDなし）"))</f>
        <v/>
      </c>
      <c r="E482" s="3"/>
      <c r="F482" s="72" t="str">
        <f t="shared" si="3"/>
        <v/>
      </c>
      <c r="G482" s="72" t="str">
        <f t="shared" si="4"/>
        <v/>
      </c>
    </row>
    <row r="483" ht="15.0" customHeight="1">
      <c r="A483" s="3"/>
      <c r="B483" s="3"/>
      <c r="C483" s="3"/>
      <c r="D483" s="72" t="str">
        <f t="array" ref="D483">IF(C483="","",IFERROR(INDEX('ケイパビリティマップ'!$E:$E,MATCH(C483,'ケイパビリティマップ'!$A:$A,0)),"（IDなし）"))</f>
        <v/>
      </c>
      <c r="E483" s="3"/>
      <c r="F483" s="72" t="str">
        <f t="shared" si="3"/>
        <v/>
      </c>
      <c r="G483" s="72" t="str">
        <f t="shared" si="4"/>
        <v/>
      </c>
    </row>
    <row r="484" ht="15.0" customHeight="1">
      <c r="A484" s="3"/>
      <c r="B484" s="3"/>
      <c r="C484" s="3"/>
      <c r="D484" s="72" t="str">
        <f t="array" ref="D484">IF(C484="","",IFERROR(INDEX('ケイパビリティマップ'!$E:$E,MATCH(C484,'ケイパビリティマップ'!$A:$A,0)),"（IDなし）"))</f>
        <v/>
      </c>
      <c r="E484" s="3"/>
      <c r="F484" s="72" t="str">
        <f t="shared" si="3"/>
        <v/>
      </c>
      <c r="G484" s="72" t="str">
        <f t="shared" si="4"/>
        <v/>
      </c>
    </row>
    <row r="485" ht="15.0" customHeight="1">
      <c r="A485" s="3"/>
      <c r="B485" s="3"/>
      <c r="C485" s="3"/>
      <c r="D485" s="72" t="str">
        <f t="array" ref="D485">IF(C485="","",IFERROR(INDEX('ケイパビリティマップ'!$E:$E,MATCH(C485,'ケイパビリティマップ'!$A:$A,0)),"（IDなし）"))</f>
        <v/>
      </c>
      <c r="E485" s="3"/>
      <c r="F485" s="72" t="str">
        <f t="shared" si="3"/>
        <v/>
      </c>
      <c r="G485" s="72" t="str">
        <f t="shared" si="4"/>
        <v/>
      </c>
    </row>
    <row r="486" ht="15.0" customHeight="1">
      <c r="A486" s="3"/>
      <c r="B486" s="3"/>
      <c r="C486" s="3"/>
      <c r="D486" s="72" t="str">
        <f t="array" ref="D486">IF(C486="","",IFERROR(INDEX('ケイパビリティマップ'!$E:$E,MATCH(C486,'ケイパビリティマップ'!$A:$A,0)),"（IDなし）"))</f>
        <v/>
      </c>
      <c r="E486" s="3"/>
      <c r="F486" s="72" t="str">
        <f t="shared" si="3"/>
        <v/>
      </c>
      <c r="G486" s="72" t="str">
        <f t="shared" si="4"/>
        <v/>
      </c>
    </row>
    <row r="487" ht="15.0" customHeight="1">
      <c r="A487" s="3"/>
      <c r="B487" s="3"/>
      <c r="C487" s="3"/>
      <c r="D487" s="72" t="str">
        <f t="array" ref="D487">IF(C487="","",IFERROR(INDEX('ケイパビリティマップ'!$E:$E,MATCH(C487,'ケイパビリティマップ'!$A:$A,0)),"（IDなし）"))</f>
        <v/>
      </c>
      <c r="E487" s="3"/>
      <c r="F487" s="72" t="str">
        <f t="shared" si="3"/>
        <v/>
      </c>
      <c r="G487" s="72" t="str">
        <f t="shared" si="4"/>
        <v/>
      </c>
    </row>
    <row r="488" ht="15.0" customHeight="1">
      <c r="A488" s="3"/>
      <c r="B488" s="3"/>
      <c r="C488" s="3"/>
      <c r="D488" s="72" t="str">
        <f t="array" ref="D488">IF(C488="","",IFERROR(INDEX('ケイパビリティマップ'!$E:$E,MATCH(C488,'ケイパビリティマップ'!$A:$A,0)),"（IDなし）"))</f>
        <v/>
      </c>
      <c r="E488" s="3"/>
      <c r="F488" s="72" t="str">
        <f t="shared" si="3"/>
        <v/>
      </c>
      <c r="G488" s="72" t="str">
        <f t="shared" si="4"/>
        <v/>
      </c>
    </row>
    <row r="489" ht="15.0" customHeight="1">
      <c r="A489" s="3"/>
      <c r="B489" s="3"/>
      <c r="C489" s="3"/>
      <c r="D489" s="72" t="str">
        <f t="array" ref="D489">IF(C489="","",IFERROR(INDEX('ケイパビリティマップ'!$E:$E,MATCH(C489,'ケイパビリティマップ'!$A:$A,0)),"（IDなし）"))</f>
        <v/>
      </c>
      <c r="E489" s="3"/>
      <c r="F489" s="72" t="str">
        <f t="shared" si="3"/>
        <v/>
      </c>
      <c r="G489" s="72" t="str">
        <f t="shared" si="4"/>
        <v/>
      </c>
    </row>
    <row r="490" ht="15.0" customHeight="1">
      <c r="A490" s="3"/>
      <c r="B490" s="3"/>
      <c r="C490" s="3"/>
      <c r="D490" s="72" t="str">
        <f t="array" ref="D490">IF(C490="","",IFERROR(INDEX('ケイパビリティマップ'!$E:$E,MATCH(C490,'ケイパビリティマップ'!$A:$A,0)),"（IDなし）"))</f>
        <v/>
      </c>
      <c r="E490" s="3"/>
      <c r="F490" s="72" t="str">
        <f t="shared" si="3"/>
        <v/>
      </c>
      <c r="G490" s="72" t="str">
        <f t="shared" si="4"/>
        <v/>
      </c>
    </row>
    <row r="491" ht="15.0" customHeight="1">
      <c r="A491" s="3"/>
      <c r="B491" s="3"/>
      <c r="C491" s="3"/>
      <c r="D491" s="72" t="str">
        <f t="array" ref="D491">IF(C491="","",IFERROR(INDEX('ケイパビリティマップ'!$E:$E,MATCH(C491,'ケイパビリティマップ'!$A:$A,0)),"（IDなし）"))</f>
        <v/>
      </c>
      <c r="E491" s="3"/>
      <c r="F491" s="72" t="str">
        <f t="shared" si="3"/>
        <v/>
      </c>
      <c r="G491" s="72" t="str">
        <f t="shared" si="4"/>
        <v/>
      </c>
    </row>
    <row r="492" ht="15.0" customHeight="1">
      <c r="A492" s="3"/>
      <c r="B492" s="3"/>
      <c r="C492" s="3"/>
      <c r="D492" s="72" t="str">
        <f t="array" ref="D492">IF(C492="","",IFERROR(INDEX('ケイパビリティマップ'!$E:$E,MATCH(C492,'ケイパビリティマップ'!$A:$A,0)),"（IDなし）"))</f>
        <v/>
      </c>
      <c r="E492" s="3"/>
      <c r="F492" s="72" t="str">
        <f t="shared" si="3"/>
        <v/>
      </c>
      <c r="G492" s="72" t="str">
        <f t="shared" si="4"/>
        <v/>
      </c>
    </row>
    <row r="493" ht="15.0" customHeight="1">
      <c r="A493" s="3"/>
      <c r="B493" s="3"/>
      <c r="C493" s="3"/>
      <c r="D493" s="72" t="str">
        <f t="array" ref="D493">IF(C493="","",IFERROR(INDEX('ケイパビリティマップ'!$E:$E,MATCH(C493,'ケイパビリティマップ'!$A:$A,0)),"（IDなし）"))</f>
        <v/>
      </c>
      <c r="E493" s="3"/>
      <c r="F493" s="72" t="str">
        <f t="shared" si="3"/>
        <v/>
      </c>
      <c r="G493" s="72" t="str">
        <f t="shared" si="4"/>
        <v/>
      </c>
    </row>
    <row r="494" ht="15.0" customHeight="1">
      <c r="A494" s="3"/>
      <c r="B494" s="3"/>
      <c r="C494" s="3"/>
      <c r="D494" s="72" t="str">
        <f t="array" ref="D494">IF(C494="","",IFERROR(INDEX('ケイパビリティマップ'!$E:$E,MATCH(C494,'ケイパビリティマップ'!$A:$A,0)),"（IDなし）"))</f>
        <v/>
      </c>
      <c r="E494" s="3"/>
      <c r="F494" s="72" t="str">
        <f t="shared" si="3"/>
        <v/>
      </c>
      <c r="G494" s="72" t="str">
        <f t="shared" si="4"/>
        <v/>
      </c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autoFilter ref="$A$3:$G$294"/>
  <dataValidations>
    <dataValidation type="list" allowBlank="1" sqref="E4:E494">
      <formula1>"主,支援"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6.0"/>
    <col customWidth="1" min="2" max="2" width="7.0"/>
    <col customWidth="1" min="3" max="3" width="30.0"/>
    <col customWidth="1" min="4" max="56" width="5.57"/>
    <col customWidth="1" min="57" max="58" width="7.0"/>
  </cols>
  <sheetData>
    <row r="1" ht="21.0" customHeight="1">
      <c r="A1" s="1" t="s">
        <v>2157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ht="15.0" customHeight="1">
      <c r="A2" s="4" t="s">
        <v>2158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ht="42.0" customHeight="1">
      <c r="A4" s="44" t="s">
        <v>2159</v>
      </c>
      <c r="B4" s="44" t="s">
        <v>2160</v>
      </c>
      <c r="C4" s="44" t="s">
        <v>2161</v>
      </c>
      <c r="D4" s="45" t="s">
        <v>2162</v>
      </c>
      <c r="E4" s="13"/>
      <c r="F4" s="17"/>
      <c r="G4" s="45" t="s">
        <v>2163</v>
      </c>
      <c r="H4" s="13"/>
      <c r="I4" s="13"/>
      <c r="J4" s="13"/>
      <c r="K4" s="17"/>
      <c r="L4" s="45" t="s">
        <v>2164</v>
      </c>
      <c r="M4" s="13"/>
      <c r="N4" s="13"/>
      <c r="O4" s="17"/>
      <c r="P4" s="45" t="s">
        <v>2165</v>
      </c>
      <c r="Q4" s="13"/>
      <c r="R4" s="13"/>
      <c r="S4" s="13"/>
      <c r="T4" s="17"/>
      <c r="U4" s="45" t="s">
        <v>2166</v>
      </c>
      <c r="V4" s="13"/>
      <c r="W4" s="13"/>
      <c r="X4" s="13"/>
      <c r="Y4" s="13"/>
      <c r="Z4" s="17"/>
      <c r="AA4" s="45" t="s">
        <v>2167</v>
      </c>
      <c r="AB4" s="13"/>
      <c r="AC4" s="13"/>
      <c r="AD4" s="17"/>
      <c r="AE4" s="45" t="s">
        <v>2168</v>
      </c>
      <c r="AF4" s="13"/>
      <c r="AG4" s="13"/>
      <c r="AH4" s="17"/>
      <c r="AI4" s="45" t="s">
        <v>2169</v>
      </c>
      <c r="AJ4" s="13"/>
      <c r="AK4" s="13"/>
      <c r="AL4" s="17"/>
      <c r="AM4" s="45" t="s">
        <v>2170</v>
      </c>
      <c r="AN4" s="17"/>
      <c r="AO4" s="45" t="s">
        <v>2171</v>
      </c>
      <c r="AP4" s="13"/>
      <c r="AQ4" s="13"/>
      <c r="AR4" s="17"/>
      <c r="AS4" s="45" t="s">
        <v>2172</v>
      </c>
      <c r="AT4" s="13"/>
      <c r="AU4" s="13"/>
      <c r="AV4" s="17"/>
      <c r="AW4" s="45" t="s">
        <v>2173</v>
      </c>
      <c r="AX4" s="13"/>
      <c r="AY4" s="13"/>
      <c r="AZ4" s="13"/>
      <c r="BA4" s="17"/>
      <c r="BB4" s="45" t="s">
        <v>2174</v>
      </c>
      <c r="BC4" s="13"/>
      <c r="BD4" s="17"/>
      <c r="BE4" s="46" t="s">
        <v>2175</v>
      </c>
      <c r="BF4" s="46" t="s">
        <v>2176</v>
      </c>
    </row>
    <row r="5" ht="23.25" customHeight="1">
      <c r="A5" s="47"/>
      <c r="B5" s="47"/>
      <c r="C5" s="47"/>
      <c r="D5" s="48" t="s">
        <v>42</v>
      </c>
      <c r="E5" s="48" t="s">
        <v>92</v>
      </c>
      <c r="F5" s="48" t="s">
        <v>133</v>
      </c>
      <c r="G5" s="48" t="s">
        <v>188</v>
      </c>
      <c r="H5" s="48" t="s">
        <v>212</v>
      </c>
      <c r="I5" s="48" t="s">
        <v>233</v>
      </c>
      <c r="J5" s="48" t="s">
        <v>247</v>
      </c>
      <c r="K5" s="48" t="s">
        <v>267</v>
      </c>
      <c r="L5" s="48" t="s">
        <v>284</v>
      </c>
      <c r="M5" s="48" t="s">
        <v>298</v>
      </c>
      <c r="N5" s="48" t="s">
        <v>318</v>
      </c>
      <c r="O5" s="48" t="s">
        <v>338</v>
      </c>
      <c r="P5" s="48" t="s">
        <v>352</v>
      </c>
      <c r="Q5" s="48" t="s">
        <v>397</v>
      </c>
      <c r="R5" s="48" t="s">
        <v>413</v>
      </c>
      <c r="S5" s="48" t="s">
        <v>431</v>
      </c>
      <c r="T5" s="48" t="s">
        <v>445</v>
      </c>
      <c r="U5" s="48" t="s">
        <v>456</v>
      </c>
      <c r="V5" s="48" t="s">
        <v>472</v>
      </c>
      <c r="W5" s="48" t="s">
        <v>485</v>
      </c>
      <c r="X5" s="48" t="s">
        <v>494</v>
      </c>
      <c r="Y5" s="48" t="s">
        <v>510</v>
      </c>
      <c r="Z5" s="48" t="s">
        <v>532</v>
      </c>
      <c r="AA5" s="48" t="s">
        <v>551</v>
      </c>
      <c r="AB5" s="48" t="s">
        <v>563</v>
      </c>
      <c r="AC5" s="48" t="s">
        <v>574</v>
      </c>
      <c r="AD5" s="48" t="s">
        <v>587</v>
      </c>
      <c r="AE5" s="48" t="s">
        <v>601</v>
      </c>
      <c r="AF5" s="48" t="s">
        <v>617</v>
      </c>
      <c r="AG5" s="48" t="s">
        <v>628</v>
      </c>
      <c r="AH5" s="48" t="s">
        <v>656</v>
      </c>
      <c r="AI5" s="48" t="s">
        <v>665</v>
      </c>
      <c r="AJ5" s="48" t="s">
        <v>681</v>
      </c>
      <c r="AK5" s="48" t="s">
        <v>694</v>
      </c>
      <c r="AL5" s="48" t="s">
        <v>707</v>
      </c>
      <c r="AM5" s="48" t="s">
        <v>723</v>
      </c>
      <c r="AN5" s="48" t="s">
        <v>740</v>
      </c>
      <c r="AO5" s="48" t="s">
        <v>758</v>
      </c>
      <c r="AP5" s="48" t="s">
        <v>772</v>
      </c>
      <c r="AQ5" s="48" t="s">
        <v>785</v>
      </c>
      <c r="AR5" s="48" t="s">
        <v>802</v>
      </c>
      <c r="AS5" s="48" t="s">
        <v>816</v>
      </c>
      <c r="AT5" s="48" t="s">
        <v>834</v>
      </c>
      <c r="AU5" s="48" t="s">
        <v>848</v>
      </c>
      <c r="AV5" s="48" t="s">
        <v>866</v>
      </c>
      <c r="AW5" s="48" t="s">
        <v>882</v>
      </c>
      <c r="AX5" s="48" t="s">
        <v>899</v>
      </c>
      <c r="AY5" s="48" t="s">
        <v>911</v>
      </c>
      <c r="AZ5" s="48" t="s">
        <v>922</v>
      </c>
      <c r="BA5" s="48" t="s">
        <v>940</v>
      </c>
      <c r="BB5" s="48" t="s">
        <v>955</v>
      </c>
      <c r="BC5" s="48" t="s">
        <v>972</v>
      </c>
      <c r="BD5" s="48" t="s">
        <v>991</v>
      </c>
      <c r="BE5" s="47"/>
      <c r="BF5" s="47"/>
    </row>
    <row r="6" ht="150.0" customHeight="1">
      <c r="A6" s="49"/>
      <c r="B6" s="49"/>
      <c r="C6" s="49"/>
      <c r="D6" s="50" t="s">
        <v>47</v>
      </c>
      <c r="E6" s="50" t="s">
        <v>93</v>
      </c>
      <c r="F6" s="50" t="s">
        <v>135</v>
      </c>
      <c r="G6" s="50" t="s">
        <v>192</v>
      </c>
      <c r="H6" s="50" t="s">
        <v>215</v>
      </c>
      <c r="I6" s="50" t="s">
        <v>235</v>
      </c>
      <c r="J6" s="50" t="s">
        <v>249</v>
      </c>
      <c r="K6" s="50" t="s">
        <v>269</v>
      </c>
      <c r="L6" s="50" t="s">
        <v>288</v>
      </c>
      <c r="M6" s="50" t="s">
        <v>300</v>
      </c>
      <c r="N6" s="50" t="s">
        <v>322</v>
      </c>
      <c r="O6" s="50" t="s">
        <v>340</v>
      </c>
      <c r="P6" s="50" t="s">
        <v>365</v>
      </c>
      <c r="Q6" s="50" t="s">
        <v>401</v>
      </c>
      <c r="R6" s="50" t="s">
        <v>416</v>
      </c>
      <c r="S6" s="50" t="s">
        <v>436</v>
      </c>
      <c r="T6" s="50" t="s">
        <v>446</v>
      </c>
      <c r="U6" s="50" t="s">
        <v>460</v>
      </c>
      <c r="V6" s="50" t="s">
        <v>474</v>
      </c>
      <c r="W6" s="50" t="s">
        <v>486</v>
      </c>
      <c r="X6" s="50" t="s">
        <v>496</v>
      </c>
      <c r="Y6" s="50" t="s">
        <v>514</v>
      </c>
      <c r="Z6" s="50" t="s">
        <v>534</v>
      </c>
      <c r="AA6" s="50" t="s">
        <v>554</v>
      </c>
      <c r="AB6" s="50" t="s">
        <v>565</v>
      </c>
      <c r="AC6" s="50" t="s">
        <v>576</v>
      </c>
      <c r="AD6" s="50" t="s">
        <v>588</v>
      </c>
      <c r="AE6" s="50" t="s">
        <v>606</v>
      </c>
      <c r="AF6" s="50" t="s">
        <v>618</v>
      </c>
      <c r="AG6" s="50" t="s">
        <v>630</v>
      </c>
      <c r="AH6" s="50" t="s">
        <v>657</v>
      </c>
      <c r="AI6" s="50" t="s">
        <v>668</v>
      </c>
      <c r="AJ6" s="50" t="s">
        <v>682</v>
      </c>
      <c r="AK6" s="50" t="s">
        <v>696</v>
      </c>
      <c r="AL6" s="50" t="s">
        <v>709</v>
      </c>
      <c r="AM6" s="50" t="s">
        <v>727</v>
      </c>
      <c r="AN6" s="50" t="s">
        <v>742</v>
      </c>
      <c r="AO6" s="50" t="s">
        <v>764</v>
      </c>
      <c r="AP6" s="50" t="s">
        <v>773</v>
      </c>
      <c r="AQ6" s="50" t="s">
        <v>791</v>
      </c>
      <c r="AR6" s="50" t="s">
        <v>804</v>
      </c>
      <c r="AS6" s="50" t="s">
        <v>819</v>
      </c>
      <c r="AT6" s="50" t="s">
        <v>836</v>
      </c>
      <c r="AU6" s="50" t="s">
        <v>856</v>
      </c>
      <c r="AV6" s="50" t="s">
        <v>867</v>
      </c>
      <c r="AW6" s="50" t="s">
        <v>886</v>
      </c>
      <c r="AX6" s="50" t="s">
        <v>901</v>
      </c>
      <c r="AY6" s="50" t="s">
        <v>912</v>
      </c>
      <c r="AZ6" s="50" t="s">
        <v>924</v>
      </c>
      <c r="BA6" s="50" t="s">
        <v>943</v>
      </c>
      <c r="BB6" s="50" t="s">
        <v>959</v>
      </c>
      <c r="BC6" s="51" t="s">
        <v>2177</v>
      </c>
      <c r="BD6" s="51" t="s">
        <v>2178</v>
      </c>
      <c r="BE6" s="49"/>
      <c r="BF6" s="49"/>
    </row>
    <row r="7" ht="15.0" customHeight="1">
      <c r="A7" s="42" t="s">
        <v>2180</v>
      </c>
      <c r="B7" s="22" t="s">
        <v>55</v>
      </c>
      <c r="C7" s="25" t="s">
        <v>59</v>
      </c>
      <c r="D7" s="22" t="str">
        <f>IF(COUNTIFS('VS×ケイパビリティ関係'!$F$4:$F$494,$B7,'VS×ケイパビリティ関係'!$G$4:$G$494,D$5,'VS×ケイパビリティ関係'!$E$4:$E$494,"主")&gt;0,"●",IF(COUNTIFS('VS×ケイパビリティ関係'!$F$4:$F$494,$B7,'VS×ケイパビリティ関係'!$G$4:$G$494,D$5,'VS×ケイパビリティ関係'!$E$4:$E$494,"支援")&gt;0,"○",""))</f>
        <v>○</v>
      </c>
      <c r="E7" s="22" t="str">
        <f>IF(COUNTIFS('VS×ケイパビリティ関係'!$F$4:$F$494,$B7,'VS×ケイパビリティ関係'!$G$4:$G$494,E$5,'VS×ケイパビリティ関係'!$E$4:$E$494,"主")&gt;0,"●",IF(COUNTIFS('VS×ケイパビリティ関係'!$F$4:$F$494,$B7,'VS×ケイパビリティ関係'!$G$4:$G$494,E$5,'VS×ケイパビリティ関係'!$E$4:$E$494,"支援")&gt;0,"○",""))</f>
        <v>○</v>
      </c>
      <c r="F7" s="22" t="str">
        <f>IF(COUNTIFS('VS×ケイパビリティ関係'!$F$4:$F$494,$B7,'VS×ケイパビリティ関係'!$G$4:$G$494,F$5,'VS×ケイパビリティ関係'!$E$4:$E$494,"主")&gt;0,"●",IF(COUNTIFS('VS×ケイパビリティ関係'!$F$4:$F$494,$B7,'VS×ケイパビリティ関係'!$G$4:$G$494,F$5,'VS×ケイパビリティ関係'!$E$4:$E$494,"支援")&gt;0,"○",""))</f>
        <v/>
      </c>
      <c r="G7" s="22" t="str">
        <f>IF(COUNTIFS('VS×ケイパビリティ関係'!$F$4:$F$494,$B7,'VS×ケイパビリティ関係'!$G$4:$G$494,G$5,'VS×ケイパビリティ関係'!$E$4:$E$494,"主")&gt;0,"●",IF(COUNTIFS('VS×ケイパビリティ関係'!$F$4:$F$494,$B7,'VS×ケイパビリティ関係'!$G$4:$G$494,G$5,'VS×ケイパビリティ関係'!$E$4:$E$494,"支援")&gt;0,"○",""))</f>
        <v>●</v>
      </c>
      <c r="H7" s="22" t="str">
        <f>IF(COUNTIFS('VS×ケイパビリティ関係'!$F$4:$F$494,$B7,'VS×ケイパビリティ関係'!$G$4:$G$494,H$5,'VS×ケイパビリティ関係'!$E$4:$E$494,"主")&gt;0,"●",IF(COUNTIFS('VS×ケイパビリティ関係'!$F$4:$F$494,$B7,'VS×ケイパビリティ関係'!$G$4:$G$494,H$5,'VS×ケイパビリティ関係'!$E$4:$E$494,"支援")&gt;0,"○",""))</f>
        <v/>
      </c>
      <c r="I7" s="22" t="str">
        <f>IF(COUNTIFS('VS×ケイパビリティ関係'!$F$4:$F$494,$B7,'VS×ケイパビリティ関係'!$G$4:$G$494,I$5,'VS×ケイパビリティ関係'!$E$4:$E$494,"主")&gt;0,"●",IF(COUNTIFS('VS×ケイパビリティ関係'!$F$4:$F$494,$B7,'VS×ケイパビリティ関係'!$G$4:$G$494,I$5,'VS×ケイパビリティ関係'!$E$4:$E$494,"支援")&gt;0,"○",""))</f>
        <v/>
      </c>
      <c r="J7" s="22" t="str">
        <f>IF(COUNTIFS('VS×ケイパビリティ関係'!$F$4:$F$494,$B7,'VS×ケイパビリティ関係'!$G$4:$G$494,J$5,'VS×ケイパビリティ関係'!$E$4:$E$494,"主")&gt;0,"●",IF(COUNTIFS('VS×ケイパビリティ関係'!$F$4:$F$494,$B7,'VS×ケイパビリティ関係'!$G$4:$G$494,J$5,'VS×ケイパビリティ関係'!$E$4:$E$494,"支援")&gt;0,"○",""))</f>
        <v/>
      </c>
      <c r="K7" s="22" t="str">
        <f>IF(COUNTIFS('VS×ケイパビリティ関係'!$F$4:$F$494,$B7,'VS×ケイパビリティ関係'!$G$4:$G$494,K$5,'VS×ケイパビリティ関係'!$E$4:$E$494,"主")&gt;0,"●",IF(COUNTIFS('VS×ケイパビリティ関係'!$F$4:$F$494,$B7,'VS×ケイパビリティ関係'!$G$4:$G$494,K$5,'VS×ケイパビリティ関係'!$E$4:$E$494,"支援")&gt;0,"○",""))</f>
        <v/>
      </c>
      <c r="L7" s="22" t="str">
        <f>IF(COUNTIFS('VS×ケイパビリティ関係'!$F$4:$F$494,$B7,'VS×ケイパビリティ関係'!$G$4:$G$494,L$5,'VS×ケイパビリティ関係'!$E$4:$E$494,"主")&gt;0,"●",IF(COUNTIFS('VS×ケイパビリティ関係'!$F$4:$F$494,$B7,'VS×ケイパビリティ関係'!$G$4:$G$494,L$5,'VS×ケイパビリティ関係'!$E$4:$E$494,"支援")&gt;0,"○",""))</f>
        <v/>
      </c>
      <c r="M7" s="22" t="str">
        <f>IF(COUNTIFS('VS×ケイパビリティ関係'!$F$4:$F$494,$B7,'VS×ケイパビリティ関係'!$G$4:$G$494,M$5,'VS×ケイパビリティ関係'!$E$4:$E$494,"主")&gt;0,"●",IF(COUNTIFS('VS×ケイパビリティ関係'!$F$4:$F$494,$B7,'VS×ケイパビリティ関係'!$G$4:$G$494,M$5,'VS×ケイパビリティ関係'!$E$4:$E$494,"支援")&gt;0,"○",""))</f>
        <v/>
      </c>
      <c r="N7" s="22" t="str">
        <f>IF(COUNTIFS('VS×ケイパビリティ関係'!$F$4:$F$494,$B7,'VS×ケイパビリティ関係'!$G$4:$G$494,N$5,'VS×ケイパビリティ関係'!$E$4:$E$494,"主")&gt;0,"●",IF(COUNTIFS('VS×ケイパビリティ関係'!$F$4:$F$494,$B7,'VS×ケイパビリティ関係'!$G$4:$G$494,N$5,'VS×ケイパビリティ関係'!$E$4:$E$494,"支援")&gt;0,"○",""))</f>
        <v/>
      </c>
      <c r="O7" s="22" t="str">
        <f>IF(COUNTIFS('VS×ケイパビリティ関係'!$F$4:$F$494,$B7,'VS×ケイパビリティ関係'!$G$4:$G$494,O$5,'VS×ケイパビリティ関係'!$E$4:$E$494,"主")&gt;0,"●",IF(COUNTIFS('VS×ケイパビリティ関係'!$F$4:$F$494,$B7,'VS×ケイパビリティ関係'!$G$4:$G$494,O$5,'VS×ケイパビリティ関係'!$E$4:$E$494,"支援")&gt;0,"○",""))</f>
        <v/>
      </c>
      <c r="P7" s="22" t="str">
        <f>IF(COUNTIFS('VS×ケイパビリティ関係'!$F$4:$F$494,$B7,'VS×ケイパビリティ関係'!$G$4:$G$494,P$5,'VS×ケイパビリティ関係'!$E$4:$E$494,"主")&gt;0,"●",IF(COUNTIFS('VS×ケイパビリティ関係'!$F$4:$F$494,$B7,'VS×ケイパビリティ関係'!$G$4:$G$494,P$5,'VS×ケイパビリティ関係'!$E$4:$E$494,"支援")&gt;0,"○",""))</f>
        <v/>
      </c>
      <c r="Q7" s="22" t="str">
        <f>IF(COUNTIFS('VS×ケイパビリティ関係'!$F$4:$F$494,$B7,'VS×ケイパビリティ関係'!$G$4:$G$494,Q$5,'VS×ケイパビリティ関係'!$E$4:$E$494,"主")&gt;0,"●",IF(COUNTIFS('VS×ケイパビリティ関係'!$F$4:$F$494,$B7,'VS×ケイパビリティ関係'!$G$4:$G$494,Q$5,'VS×ケイパビリティ関係'!$E$4:$E$494,"支援")&gt;0,"○",""))</f>
        <v/>
      </c>
      <c r="R7" s="22" t="str">
        <f>IF(COUNTIFS('VS×ケイパビリティ関係'!$F$4:$F$494,$B7,'VS×ケイパビリティ関係'!$G$4:$G$494,R$5,'VS×ケイパビリティ関係'!$E$4:$E$494,"主")&gt;0,"●",IF(COUNTIFS('VS×ケイパビリティ関係'!$F$4:$F$494,$B7,'VS×ケイパビリティ関係'!$G$4:$G$494,R$5,'VS×ケイパビリティ関係'!$E$4:$E$494,"支援")&gt;0,"○",""))</f>
        <v/>
      </c>
      <c r="S7" s="22" t="str">
        <f>IF(COUNTIFS('VS×ケイパビリティ関係'!$F$4:$F$494,$B7,'VS×ケイパビリティ関係'!$G$4:$G$494,S$5,'VS×ケイパビリティ関係'!$E$4:$E$494,"主")&gt;0,"●",IF(COUNTIFS('VS×ケイパビリティ関係'!$F$4:$F$494,$B7,'VS×ケイパビリティ関係'!$G$4:$G$494,S$5,'VS×ケイパビリティ関係'!$E$4:$E$494,"支援")&gt;0,"○",""))</f>
        <v/>
      </c>
      <c r="T7" s="22" t="str">
        <f>IF(COUNTIFS('VS×ケイパビリティ関係'!$F$4:$F$494,$B7,'VS×ケイパビリティ関係'!$G$4:$G$494,T$5,'VS×ケイパビリティ関係'!$E$4:$E$494,"主")&gt;0,"●",IF(COUNTIFS('VS×ケイパビリティ関係'!$F$4:$F$494,$B7,'VS×ケイパビリティ関係'!$G$4:$G$494,T$5,'VS×ケイパビリティ関係'!$E$4:$E$494,"支援")&gt;0,"○",""))</f>
        <v/>
      </c>
      <c r="U7" s="22" t="str">
        <f>IF(COUNTIFS('VS×ケイパビリティ関係'!$F$4:$F$494,$B7,'VS×ケイパビリティ関係'!$G$4:$G$494,U$5,'VS×ケイパビリティ関係'!$E$4:$E$494,"主")&gt;0,"●",IF(COUNTIFS('VS×ケイパビリティ関係'!$F$4:$F$494,$B7,'VS×ケイパビリティ関係'!$G$4:$G$494,U$5,'VS×ケイパビリティ関係'!$E$4:$E$494,"支援")&gt;0,"○",""))</f>
        <v/>
      </c>
      <c r="V7" s="22" t="str">
        <f>IF(COUNTIFS('VS×ケイパビリティ関係'!$F$4:$F$494,$B7,'VS×ケイパビリティ関係'!$G$4:$G$494,V$5,'VS×ケイパビリティ関係'!$E$4:$E$494,"主")&gt;0,"●",IF(COUNTIFS('VS×ケイパビリティ関係'!$F$4:$F$494,$B7,'VS×ケイパビリティ関係'!$G$4:$G$494,V$5,'VS×ケイパビリティ関係'!$E$4:$E$494,"支援")&gt;0,"○",""))</f>
        <v/>
      </c>
      <c r="W7" s="22" t="str">
        <f>IF(COUNTIFS('VS×ケイパビリティ関係'!$F$4:$F$494,$B7,'VS×ケイパビリティ関係'!$G$4:$G$494,W$5,'VS×ケイパビリティ関係'!$E$4:$E$494,"主")&gt;0,"●",IF(COUNTIFS('VS×ケイパビリティ関係'!$F$4:$F$494,$B7,'VS×ケイパビリティ関係'!$G$4:$G$494,W$5,'VS×ケイパビリティ関係'!$E$4:$E$494,"支援")&gt;0,"○",""))</f>
        <v/>
      </c>
      <c r="X7" s="22" t="str">
        <f>IF(COUNTIFS('VS×ケイパビリティ関係'!$F$4:$F$494,$B7,'VS×ケイパビリティ関係'!$G$4:$G$494,X$5,'VS×ケイパビリティ関係'!$E$4:$E$494,"主")&gt;0,"●",IF(COUNTIFS('VS×ケイパビリティ関係'!$F$4:$F$494,$B7,'VS×ケイパビリティ関係'!$G$4:$G$494,X$5,'VS×ケイパビリティ関係'!$E$4:$E$494,"支援")&gt;0,"○",""))</f>
        <v/>
      </c>
      <c r="Y7" s="22" t="str">
        <f>IF(COUNTIFS('VS×ケイパビリティ関係'!$F$4:$F$494,$B7,'VS×ケイパビリティ関係'!$G$4:$G$494,Y$5,'VS×ケイパビリティ関係'!$E$4:$E$494,"主")&gt;0,"●",IF(COUNTIFS('VS×ケイパビリティ関係'!$F$4:$F$494,$B7,'VS×ケイパビリティ関係'!$G$4:$G$494,Y$5,'VS×ケイパビリティ関係'!$E$4:$E$494,"支援")&gt;0,"○",""))</f>
        <v/>
      </c>
      <c r="Z7" s="22" t="str">
        <f>IF(COUNTIFS('VS×ケイパビリティ関係'!$F$4:$F$494,$B7,'VS×ケイパビリティ関係'!$G$4:$G$494,Z$5,'VS×ケイパビリティ関係'!$E$4:$E$494,"主")&gt;0,"●",IF(COUNTIFS('VS×ケイパビリティ関係'!$F$4:$F$494,$B7,'VS×ケイパビリティ関係'!$G$4:$G$494,Z$5,'VS×ケイパビリティ関係'!$E$4:$E$494,"支援")&gt;0,"○",""))</f>
        <v/>
      </c>
      <c r="AA7" s="22" t="str">
        <f>IF(COUNTIFS('VS×ケイパビリティ関係'!$F$4:$F$494,$B7,'VS×ケイパビリティ関係'!$G$4:$G$494,AA$5,'VS×ケイパビリティ関係'!$E$4:$E$494,"主")&gt;0,"●",IF(COUNTIFS('VS×ケイパビリティ関係'!$F$4:$F$494,$B7,'VS×ケイパビリティ関係'!$G$4:$G$494,AA$5,'VS×ケイパビリティ関係'!$E$4:$E$494,"支援")&gt;0,"○",""))</f>
        <v/>
      </c>
      <c r="AB7" s="22" t="str">
        <f>IF(COUNTIFS('VS×ケイパビリティ関係'!$F$4:$F$494,$B7,'VS×ケイパビリティ関係'!$G$4:$G$494,AB$5,'VS×ケイパビリティ関係'!$E$4:$E$494,"主")&gt;0,"●",IF(COUNTIFS('VS×ケイパビリティ関係'!$F$4:$F$494,$B7,'VS×ケイパビリティ関係'!$G$4:$G$494,AB$5,'VS×ケイパビリティ関係'!$E$4:$E$494,"支援")&gt;0,"○",""))</f>
        <v/>
      </c>
      <c r="AC7" s="22" t="str">
        <f>IF(COUNTIFS('VS×ケイパビリティ関係'!$F$4:$F$494,$B7,'VS×ケイパビリティ関係'!$G$4:$G$494,AC$5,'VS×ケイパビリティ関係'!$E$4:$E$494,"主")&gt;0,"●",IF(COUNTIFS('VS×ケイパビリティ関係'!$F$4:$F$494,$B7,'VS×ケイパビリティ関係'!$G$4:$G$494,AC$5,'VS×ケイパビリティ関係'!$E$4:$E$494,"支援")&gt;0,"○",""))</f>
        <v/>
      </c>
      <c r="AD7" s="22" t="str">
        <f>IF(COUNTIFS('VS×ケイパビリティ関係'!$F$4:$F$494,$B7,'VS×ケイパビリティ関係'!$G$4:$G$494,AD$5,'VS×ケイパビリティ関係'!$E$4:$E$494,"主")&gt;0,"●",IF(COUNTIFS('VS×ケイパビリティ関係'!$F$4:$F$494,$B7,'VS×ケイパビリティ関係'!$G$4:$G$494,AD$5,'VS×ケイパビリティ関係'!$E$4:$E$494,"支援")&gt;0,"○",""))</f>
        <v/>
      </c>
      <c r="AE7" s="22" t="str">
        <f>IF(COUNTIFS('VS×ケイパビリティ関係'!$F$4:$F$494,$B7,'VS×ケイパビリティ関係'!$G$4:$G$494,AE$5,'VS×ケイパビリティ関係'!$E$4:$E$494,"主")&gt;0,"●",IF(COUNTIFS('VS×ケイパビリティ関係'!$F$4:$F$494,$B7,'VS×ケイパビリティ関係'!$G$4:$G$494,AE$5,'VS×ケイパビリティ関係'!$E$4:$E$494,"支援")&gt;0,"○",""))</f>
        <v/>
      </c>
      <c r="AF7" s="22" t="str">
        <f>IF(COUNTIFS('VS×ケイパビリティ関係'!$F$4:$F$494,$B7,'VS×ケイパビリティ関係'!$G$4:$G$494,AF$5,'VS×ケイパビリティ関係'!$E$4:$E$494,"主")&gt;0,"●",IF(COUNTIFS('VS×ケイパビリティ関係'!$F$4:$F$494,$B7,'VS×ケイパビリティ関係'!$G$4:$G$494,AF$5,'VS×ケイパビリティ関係'!$E$4:$E$494,"支援")&gt;0,"○",""))</f>
        <v/>
      </c>
      <c r="AG7" s="22" t="str">
        <f>IF(COUNTIFS('VS×ケイパビリティ関係'!$F$4:$F$494,$B7,'VS×ケイパビリティ関係'!$G$4:$G$494,AG$5,'VS×ケイパビリティ関係'!$E$4:$E$494,"主")&gt;0,"●",IF(COUNTIFS('VS×ケイパビリティ関係'!$F$4:$F$494,$B7,'VS×ケイパビリティ関係'!$G$4:$G$494,AG$5,'VS×ケイパビリティ関係'!$E$4:$E$494,"支援")&gt;0,"○",""))</f>
        <v/>
      </c>
      <c r="AH7" s="22" t="str">
        <f>IF(COUNTIFS('VS×ケイパビリティ関係'!$F$4:$F$494,$B7,'VS×ケイパビリティ関係'!$G$4:$G$494,AH$5,'VS×ケイパビリティ関係'!$E$4:$E$494,"主")&gt;0,"●",IF(COUNTIFS('VS×ケイパビリティ関係'!$F$4:$F$494,$B7,'VS×ケイパビリティ関係'!$G$4:$G$494,AH$5,'VS×ケイパビリティ関係'!$E$4:$E$494,"支援")&gt;0,"○",""))</f>
        <v/>
      </c>
      <c r="AI7" s="22" t="str">
        <f>IF(COUNTIFS('VS×ケイパビリティ関係'!$F$4:$F$494,$B7,'VS×ケイパビリティ関係'!$G$4:$G$494,AI$5,'VS×ケイパビリティ関係'!$E$4:$E$494,"主")&gt;0,"●",IF(COUNTIFS('VS×ケイパビリティ関係'!$F$4:$F$494,$B7,'VS×ケイパビリティ関係'!$G$4:$G$494,AI$5,'VS×ケイパビリティ関係'!$E$4:$E$494,"支援")&gt;0,"○",""))</f>
        <v/>
      </c>
      <c r="AJ7" s="22" t="str">
        <f>IF(COUNTIFS('VS×ケイパビリティ関係'!$F$4:$F$494,$B7,'VS×ケイパビリティ関係'!$G$4:$G$494,AJ$5,'VS×ケイパビリティ関係'!$E$4:$E$494,"主")&gt;0,"●",IF(COUNTIFS('VS×ケイパビリティ関係'!$F$4:$F$494,$B7,'VS×ケイパビリティ関係'!$G$4:$G$494,AJ$5,'VS×ケイパビリティ関係'!$E$4:$E$494,"支援")&gt;0,"○",""))</f>
        <v/>
      </c>
      <c r="AK7" s="22" t="str">
        <f>IF(COUNTIFS('VS×ケイパビリティ関係'!$F$4:$F$494,$B7,'VS×ケイパビリティ関係'!$G$4:$G$494,AK$5,'VS×ケイパビリティ関係'!$E$4:$E$494,"主")&gt;0,"●",IF(COUNTIFS('VS×ケイパビリティ関係'!$F$4:$F$494,$B7,'VS×ケイパビリティ関係'!$G$4:$G$494,AK$5,'VS×ケイパビリティ関係'!$E$4:$E$494,"支援")&gt;0,"○",""))</f>
        <v/>
      </c>
      <c r="AL7" s="22" t="str">
        <f>IF(COUNTIFS('VS×ケイパビリティ関係'!$F$4:$F$494,$B7,'VS×ケイパビリティ関係'!$G$4:$G$494,AL$5,'VS×ケイパビリティ関係'!$E$4:$E$494,"主")&gt;0,"●",IF(COUNTIFS('VS×ケイパビリティ関係'!$F$4:$F$494,$B7,'VS×ケイパビリティ関係'!$G$4:$G$494,AL$5,'VS×ケイパビリティ関係'!$E$4:$E$494,"支援")&gt;0,"○",""))</f>
        <v/>
      </c>
      <c r="AM7" s="22" t="str">
        <f>IF(COUNTIFS('VS×ケイパビリティ関係'!$F$4:$F$494,$B7,'VS×ケイパビリティ関係'!$G$4:$G$494,AM$5,'VS×ケイパビリティ関係'!$E$4:$E$494,"主")&gt;0,"●",IF(COUNTIFS('VS×ケイパビリティ関係'!$F$4:$F$494,$B7,'VS×ケイパビリティ関係'!$G$4:$G$494,AM$5,'VS×ケイパビリティ関係'!$E$4:$E$494,"支援")&gt;0,"○",""))</f>
        <v/>
      </c>
      <c r="AN7" s="22" t="str">
        <f>IF(COUNTIFS('VS×ケイパビリティ関係'!$F$4:$F$494,$B7,'VS×ケイパビリティ関係'!$G$4:$G$494,AN$5,'VS×ケイパビリティ関係'!$E$4:$E$494,"主")&gt;0,"●",IF(COUNTIFS('VS×ケイパビリティ関係'!$F$4:$F$494,$B7,'VS×ケイパビリティ関係'!$G$4:$G$494,AN$5,'VS×ケイパビリティ関係'!$E$4:$E$494,"支援")&gt;0,"○",""))</f>
        <v/>
      </c>
      <c r="AO7" s="22" t="str">
        <f>IF(COUNTIFS('VS×ケイパビリティ関係'!$F$4:$F$494,$B7,'VS×ケイパビリティ関係'!$G$4:$G$494,AO$5,'VS×ケイパビリティ関係'!$E$4:$E$494,"主")&gt;0,"●",IF(COUNTIFS('VS×ケイパビリティ関係'!$F$4:$F$494,$B7,'VS×ケイパビリティ関係'!$G$4:$G$494,AO$5,'VS×ケイパビリティ関係'!$E$4:$E$494,"支援")&gt;0,"○",""))</f>
        <v>●</v>
      </c>
      <c r="AP7" s="22" t="str">
        <f>IF(COUNTIFS('VS×ケイパビリティ関係'!$F$4:$F$494,$B7,'VS×ケイパビリティ関係'!$G$4:$G$494,AP$5,'VS×ケイパビリティ関係'!$E$4:$E$494,"主")&gt;0,"●",IF(COUNTIFS('VS×ケイパビリティ関係'!$F$4:$F$494,$B7,'VS×ケイパビリティ関係'!$G$4:$G$494,AP$5,'VS×ケイパビリティ関係'!$E$4:$E$494,"支援")&gt;0,"○",""))</f>
        <v/>
      </c>
      <c r="AQ7" s="22" t="str">
        <f>IF(COUNTIFS('VS×ケイパビリティ関係'!$F$4:$F$494,$B7,'VS×ケイパビリティ関係'!$G$4:$G$494,AQ$5,'VS×ケイパビリティ関係'!$E$4:$E$494,"主")&gt;0,"●",IF(COUNTIFS('VS×ケイパビリティ関係'!$F$4:$F$494,$B7,'VS×ケイパビリティ関係'!$G$4:$G$494,AQ$5,'VS×ケイパビリティ関係'!$E$4:$E$494,"支援")&gt;0,"○",""))</f>
        <v/>
      </c>
      <c r="AR7" s="22" t="str">
        <f>IF(COUNTIFS('VS×ケイパビリティ関係'!$F$4:$F$494,$B7,'VS×ケイパビリティ関係'!$G$4:$G$494,AR$5,'VS×ケイパビリティ関係'!$E$4:$E$494,"主")&gt;0,"●",IF(COUNTIFS('VS×ケイパビリティ関係'!$F$4:$F$494,$B7,'VS×ケイパビリティ関係'!$G$4:$G$494,AR$5,'VS×ケイパビリティ関係'!$E$4:$E$494,"支援")&gt;0,"○",""))</f>
        <v/>
      </c>
      <c r="AS7" s="22" t="str">
        <f>IF(COUNTIFS('VS×ケイパビリティ関係'!$F$4:$F$494,$B7,'VS×ケイパビリティ関係'!$G$4:$G$494,AS$5,'VS×ケイパビリティ関係'!$E$4:$E$494,"主")&gt;0,"●",IF(COUNTIFS('VS×ケイパビリティ関係'!$F$4:$F$494,$B7,'VS×ケイパビリティ関係'!$G$4:$G$494,AS$5,'VS×ケイパビリティ関係'!$E$4:$E$494,"支援")&gt;0,"○",""))</f>
        <v/>
      </c>
      <c r="AT7" s="22" t="str">
        <f>IF(COUNTIFS('VS×ケイパビリティ関係'!$F$4:$F$494,$B7,'VS×ケイパビリティ関係'!$G$4:$G$494,AT$5,'VS×ケイパビリティ関係'!$E$4:$E$494,"主")&gt;0,"●",IF(COUNTIFS('VS×ケイパビリティ関係'!$F$4:$F$494,$B7,'VS×ケイパビリティ関係'!$G$4:$G$494,AT$5,'VS×ケイパビリティ関係'!$E$4:$E$494,"支援")&gt;0,"○",""))</f>
        <v/>
      </c>
      <c r="AU7" s="22" t="str">
        <f>IF(COUNTIFS('VS×ケイパビリティ関係'!$F$4:$F$494,$B7,'VS×ケイパビリティ関係'!$G$4:$G$494,AU$5,'VS×ケイパビリティ関係'!$E$4:$E$494,"主")&gt;0,"●",IF(COUNTIFS('VS×ケイパビリティ関係'!$F$4:$F$494,$B7,'VS×ケイパビリティ関係'!$G$4:$G$494,AU$5,'VS×ケイパビリティ関係'!$E$4:$E$494,"支援")&gt;0,"○",""))</f>
        <v/>
      </c>
      <c r="AV7" s="22" t="str">
        <f>IF(COUNTIFS('VS×ケイパビリティ関係'!$F$4:$F$494,$B7,'VS×ケイパビリティ関係'!$G$4:$G$494,AV$5,'VS×ケイパビリティ関係'!$E$4:$E$494,"主")&gt;0,"●",IF(COUNTIFS('VS×ケイパビリティ関係'!$F$4:$F$494,$B7,'VS×ケイパビリティ関係'!$G$4:$G$494,AV$5,'VS×ケイパビリティ関係'!$E$4:$E$494,"支援")&gt;0,"○",""))</f>
        <v/>
      </c>
      <c r="AW7" s="22" t="str">
        <f>IF(COUNTIFS('VS×ケイパビリティ関係'!$F$4:$F$494,$B7,'VS×ケイパビリティ関係'!$G$4:$G$494,AW$5,'VS×ケイパビリティ関係'!$E$4:$E$494,"主")&gt;0,"●",IF(COUNTIFS('VS×ケイパビリティ関係'!$F$4:$F$494,$B7,'VS×ケイパビリティ関係'!$G$4:$G$494,AW$5,'VS×ケイパビリティ関係'!$E$4:$E$494,"支援")&gt;0,"○",""))</f>
        <v/>
      </c>
      <c r="AX7" s="22" t="str">
        <f>IF(COUNTIFS('VS×ケイパビリティ関係'!$F$4:$F$494,$B7,'VS×ケイパビリティ関係'!$G$4:$G$494,AX$5,'VS×ケイパビリティ関係'!$E$4:$E$494,"主")&gt;0,"●",IF(COUNTIFS('VS×ケイパビリティ関係'!$F$4:$F$494,$B7,'VS×ケイパビリティ関係'!$G$4:$G$494,AX$5,'VS×ケイパビリティ関係'!$E$4:$E$494,"支援")&gt;0,"○",""))</f>
        <v/>
      </c>
      <c r="AY7" s="22" t="str">
        <f>IF(COUNTIFS('VS×ケイパビリティ関係'!$F$4:$F$494,$B7,'VS×ケイパビリティ関係'!$G$4:$G$494,AY$5,'VS×ケイパビリティ関係'!$E$4:$E$494,"主")&gt;0,"●",IF(COUNTIFS('VS×ケイパビリティ関係'!$F$4:$F$494,$B7,'VS×ケイパビリティ関係'!$G$4:$G$494,AY$5,'VS×ケイパビリティ関係'!$E$4:$E$494,"支援")&gt;0,"○",""))</f>
        <v/>
      </c>
      <c r="AZ7" s="22" t="str">
        <f>IF(COUNTIFS('VS×ケイパビリティ関係'!$F$4:$F$494,$B7,'VS×ケイパビリティ関係'!$G$4:$G$494,AZ$5,'VS×ケイパビリティ関係'!$E$4:$E$494,"主")&gt;0,"●",IF(COUNTIFS('VS×ケイパビリティ関係'!$F$4:$F$494,$B7,'VS×ケイパビリティ関係'!$G$4:$G$494,AZ$5,'VS×ケイパビリティ関係'!$E$4:$E$494,"支援")&gt;0,"○",""))</f>
        <v/>
      </c>
      <c r="BA7" s="22" t="str">
        <f>IF(COUNTIFS('VS×ケイパビリティ関係'!$F$4:$F$494,$B7,'VS×ケイパビリティ関係'!$G$4:$G$494,BA$5,'VS×ケイパビリティ関係'!$E$4:$E$494,"主")&gt;0,"●",IF(COUNTIFS('VS×ケイパビリティ関係'!$F$4:$F$494,$B7,'VS×ケイパビリティ関係'!$G$4:$G$494,BA$5,'VS×ケイパビリティ関係'!$E$4:$E$494,"支援")&gt;0,"○",""))</f>
        <v/>
      </c>
      <c r="BB7" s="22" t="str">
        <f>IF(COUNTIFS('VS×ケイパビリティ関係'!$F$4:$F$494,$B7,'VS×ケイパビリティ関係'!$G$4:$G$494,BB$5,'VS×ケイパビリティ関係'!$E$4:$E$494,"主")&gt;0,"●",IF(COUNTIFS('VS×ケイパビリティ関係'!$F$4:$F$494,$B7,'VS×ケイパビリティ関係'!$G$4:$G$494,BB$5,'VS×ケイパビリティ関係'!$E$4:$E$494,"支援")&gt;0,"○",""))</f>
        <v>○</v>
      </c>
      <c r="BC7" s="22" t="str">
        <f>IF(COUNTIFS('VS×ケイパビリティ関係'!$F$4:$F$494,$B7,'VS×ケイパビリティ関係'!$G$4:$G$494,BC$5,'VS×ケイパビリティ関係'!$E$4:$E$494,"主")&gt;0,"●",IF(COUNTIFS('VS×ケイパビリティ関係'!$F$4:$F$494,$B7,'VS×ケイパビリティ関係'!$G$4:$G$494,BC$5,'VS×ケイパビリティ関係'!$E$4:$E$494,"支援")&gt;0,"○",""))</f>
        <v/>
      </c>
      <c r="BD7" s="22" t="str">
        <f>IF(COUNTIFS('VS×ケイパビリティ関係'!$F$4:$F$494,$B7,'VS×ケイパビリティ関係'!$G$4:$G$494,BD$5,'VS×ケイパビリティ関係'!$E$4:$E$494,"主")&gt;0,"●",IF(COUNTIFS('VS×ケイパビリティ関係'!$F$4:$F$494,$B7,'VS×ケイパビリティ関係'!$G$4:$G$494,BD$5,'VS×ケイパビリティ関係'!$E$4:$E$494,"支援")&gt;0,"○",""))</f>
        <v/>
      </c>
      <c r="BE7" s="22">
        <f t="shared" ref="BE7:BE39" si="1">COUNTIF(D7:BD7,"●")</f>
        <v>2</v>
      </c>
      <c r="BF7" s="22">
        <f t="shared" ref="BF7:BF39" si="2">COUNTIF(D7:BD7,"○")</f>
        <v>3</v>
      </c>
    </row>
    <row r="8" ht="15.0" customHeight="1">
      <c r="A8" s="42"/>
      <c r="B8" s="22" t="s">
        <v>168</v>
      </c>
      <c r="C8" s="25" t="s">
        <v>175</v>
      </c>
      <c r="D8" s="22" t="str">
        <f>IF(COUNTIFS('VS×ケイパビリティ関係'!$F$4:$F$494,$B8,'VS×ケイパビリティ関係'!$G$4:$G$494,D$5,'VS×ケイパビリティ関係'!$E$4:$E$494,"主")&gt;0,"●",IF(COUNTIFS('VS×ケイパビリティ関係'!$F$4:$F$494,$B8,'VS×ケイパビリティ関係'!$G$4:$G$494,D$5,'VS×ケイパビリティ関係'!$E$4:$E$494,"支援")&gt;0,"○",""))</f>
        <v>○</v>
      </c>
      <c r="E8" s="22" t="str">
        <f>IF(COUNTIFS('VS×ケイパビリティ関係'!$F$4:$F$494,$B8,'VS×ケイパビリティ関係'!$G$4:$G$494,E$5,'VS×ケイパビリティ関係'!$E$4:$E$494,"主")&gt;0,"●",IF(COUNTIFS('VS×ケイパビリティ関係'!$F$4:$F$494,$B8,'VS×ケイパビリティ関係'!$G$4:$G$494,E$5,'VS×ケイパビリティ関係'!$E$4:$E$494,"支援")&gt;0,"○",""))</f>
        <v/>
      </c>
      <c r="F8" s="22" t="str">
        <f>IF(COUNTIFS('VS×ケイパビリティ関係'!$F$4:$F$494,$B8,'VS×ケイパビリティ関係'!$G$4:$G$494,F$5,'VS×ケイパビリティ関係'!$E$4:$E$494,"主")&gt;0,"●",IF(COUNTIFS('VS×ケイパビリティ関係'!$F$4:$F$494,$B8,'VS×ケイパビリティ関係'!$G$4:$G$494,F$5,'VS×ケイパビリティ関係'!$E$4:$E$494,"支援")&gt;0,"○",""))</f>
        <v>○</v>
      </c>
      <c r="G8" s="22" t="str">
        <f>IF(COUNTIFS('VS×ケイパビリティ関係'!$F$4:$F$494,$B8,'VS×ケイパビリティ関係'!$G$4:$G$494,G$5,'VS×ケイパビリティ関係'!$E$4:$E$494,"主")&gt;0,"●",IF(COUNTIFS('VS×ケイパビリティ関係'!$F$4:$F$494,$B8,'VS×ケイパビリティ関係'!$G$4:$G$494,G$5,'VS×ケイパビリティ関係'!$E$4:$E$494,"支援")&gt;0,"○",""))</f>
        <v/>
      </c>
      <c r="H8" s="22" t="str">
        <f>IF(COUNTIFS('VS×ケイパビリティ関係'!$F$4:$F$494,$B8,'VS×ケイパビリティ関係'!$G$4:$G$494,H$5,'VS×ケイパビリティ関係'!$E$4:$E$494,"主")&gt;0,"●",IF(COUNTIFS('VS×ケイパビリティ関係'!$F$4:$F$494,$B8,'VS×ケイパビリティ関係'!$G$4:$G$494,H$5,'VS×ケイパビリティ関係'!$E$4:$E$494,"支援")&gt;0,"○",""))</f>
        <v>●</v>
      </c>
      <c r="I8" s="22" t="str">
        <f>IF(COUNTIFS('VS×ケイパビリティ関係'!$F$4:$F$494,$B8,'VS×ケイパビリティ関係'!$G$4:$G$494,I$5,'VS×ケイパビリティ関係'!$E$4:$E$494,"主")&gt;0,"●",IF(COUNTIFS('VS×ケイパビリティ関係'!$F$4:$F$494,$B8,'VS×ケイパビリティ関係'!$G$4:$G$494,I$5,'VS×ケイパビリティ関係'!$E$4:$E$494,"支援")&gt;0,"○",""))</f>
        <v/>
      </c>
      <c r="J8" s="22" t="str">
        <f>IF(COUNTIFS('VS×ケイパビリティ関係'!$F$4:$F$494,$B8,'VS×ケイパビリティ関係'!$G$4:$G$494,J$5,'VS×ケイパビリティ関係'!$E$4:$E$494,"主")&gt;0,"●",IF(COUNTIFS('VS×ケイパビリティ関係'!$F$4:$F$494,$B8,'VS×ケイパビリティ関係'!$G$4:$G$494,J$5,'VS×ケイパビリティ関係'!$E$4:$E$494,"支援")&gt;0,"○",""))</f>
        <v/>
      </c>
      <c r="K8" s="22" t="str">
        <f>IF(COUNTIFS('VS×ケイパビリティ関係'!$F$4:$F$494,$B8,'VS×ケイパビリティ関係'!$G$4:$G$494,K$5,'VS×ケイパビリティ関係'!$E$4:$E$494,"主")&gt;0,"●",IF(COUNTIFS('VS×ケイパビリティ関係'!$F$4:$F$494,$B8,'VS×ケイパビリティ関係'!$G$4:$G$494,K$5,'VS×ケイパビリティ関係'!$E$4:$E$494,"支援")&gt;0,"○",""))</f>
        <v/>
      </c>
      <c r="L8" s="22" t="str">
        <f>IF(COUNTIFS('VS×ケイパビリティ関係'!$F$4:$F$494,$B8,'VS×ケイパビリティ関係'!$G$4:$G$494,L$5,'VS×ケイパビリティ関係'!$E$4:$E$494,"主")&gt;0,"●",IF(COUNTIFS('VS×ケイパビリティ関係'!$F$4:$F$494,$B8,'VS×ケイパビリティ関係'!$G$4:$G$494,L$5,'VS×ケイパビリティ関係'!$E$4:$E$494,"支援")&gt;0,"○",""))</f>
        <v/>
      </c>
      <c r="M8" s="22" t="str">
        <f>IF(COUNTIFS('VS×ケイパビリティ関係'!$F$4:$F$494,$B8,'VS×ケイパビリティ関係'!$G$4:$G$494,M$5,'VS×ケイパビリティ関係'!$E$4:$E$494,"主")&gt;0,"●",IF(COUNTIFS('VS×ケイパビリティ関係'!$F$4:$F$494,$B8,'VS×ケイパビリティ関係'!$G$4:$G$494,M$5,'VS×ケイパビリティ関係'!$E$4:$E$494,"支援")&gt;0,"○",""))</f>
        <v/>
      </c>
      <c r="N8" s="22" t="str">
        <f>IF(COUNTIFS('VS×ケイパビリティ関係'!$F$4:$F$494,$B8,'VS×ケイパビリティ関係'!$G$4:$G$494,N$5,'VS×ケイパビリティ関係'!$E$4:$E$494,"主")&gt;0,"●",IF(COUNTIFS('VS×ケイパビリティ関係'!$F$4:$F$494,$B8,'VS×ケイパビリティ関係'!$G$4:$G$494,N$5,'VS×ケイパビリティ関係'!$E$4:$E$494,"支援")&gt;0,"○",""))</f>
        <v/>
      </c>
      <c r="O8" s="22" t="str">
        <f>IF(COUNTIFS('VS×ケイパビリティ関係'!$F$4:$F$494,$B8,'VS×ケイパビリティ関係'!$G$4:$G$494,O$5,'VS×ケイパビリティ関係'!$E$4:$E$494,"主")&gt;0,"●",IF(COUNTIFS('VS×ケイパビリティ関係'!$F$4:$F$494,$B8,'VS×ケイパビリティ関係'!$G$4:$G$494,O$5,'VS×ケイパビリティ関係'!$E$4:$E$494,"支援")&gt;0,"○",""))</f>
        <v/>
      </c>
      <c r="P8" s="22" t="str">
        <f>IF(COUNTIFS('VS×ケイパビリティ関係'!$F$4:$F$494,$B8,'VS×ケイパビリティ関係'!$G$4:$G$494,P$5,'VS×ケイパビリティ関係'!$E$4:$E$494,"主")&gt;0,"●",IF(COUNTIFS('VS×ケイパビリティ関係'!$F$4:$F$494,$B8,'VS×ケイパビリティ関係'!$G$4:$G$494,P$5,'VS×ケイパビリティ関係'!$E$4:$E$494,"支援")&gt;0,"○",""))</f>
        <v/>
      </c>
      <c r="Q8" s="22" t="str">
        <f>IF(COUNTIFS('VS×ケイパビリティ関係'!$F$4:$F$494,$B8,'VS×ケイパビリティ関係'!$G$4:$G$494,Q$5,'VS×ケイパビリティ関係'!$E$4:$E$494,"主")&gt;0,"●",IF(COUNTIFS('VS×ケイパビリティ関係'!$F$4:$F$494,$B8,'VS×ケイパビリティ関係'!$G$4:$G$494,Q$5,'VS×ケイパビリティ関係'!$E$4:$E$494,"支援")&gt;0,"○",""))</f>
        <v/>
      </c>
      <c r="R8" s="22" t="str">
        <f>IF(COUNTIFS('VS×ケイパビリティ関係'!$F$4:$F$494,$B8,'VS×ケイパビリティ関係'!$G$4:$G$494,R$5,'VS×ケイパビリティ関係'!$E$4:$E$494,"主")&gt;0,"●",IF(COUNTIFS('VS×ケイパビリティ関係'!$F$4:$F$494,$B8,'VS×ケイパビリティ関係'!$G$4:$G$494,R$5,'VS×ケイパビリティ関係'!$E$4:$E$494,"支援")&gt;0,"○",""))</f>
        <v/>
      </c>
      <c r="S8" s="22" t="str">
        <f>IF(COUNTIFS('VS×ケイパビリティ関係'!$F$4:$F$494,$B8,'VS×ケイパビリティ関係'!$G$4:$G$494,S$5,'VS×ケイパビリティ関係'!$E$4:$E$494,"主")&gt;0,"●",IF(COUNTIFS('VS×ケイパビリティ関係'!$F$4:$F$494,$B8,'VS×ケイパビリティ関係'!$G$4:$G$494,S$5,'VS×ケイパビリティ関係'!$E$4:$E$494,"支援")&gt;0,"○",""))</f>
        <v/>
      </c>
      <c r="T8" s="22" t="str">
        <f>IF(COUNTIFS('VS×ケイパビリティ関係'!$F$4:$F$494,$B8,'VS×ケイパビリティ関係'!$G$4:$G$494,T$5,'VS×ケイパビリティ関係'!$E$4:$E$494,"主")&gt;0,"●",IF(COUNTIFS('VS×ケイパビリティ関係'!$F$4:$F$494,$B8,'VS×ケイパビリティ関係'!$G$4:$G$494,T$5,'VS×ケイパビリティ関係'!$E$4:$E$494,"支援")&gt;0,"○",""))</f>
        <v/>
      </c>
      <c r="U8" s="22" t="str">
        <f>IF(COUNTIFS('VS×ケイパビリティ関係'!$F$4:$F$494,$B8,'VS×ケイパビリティ関係'!$G$4:$G$494,U$5,'VS×ケイパビリティ関係'!$E$4:$E$494,"主")&gt;0,"●",IF(COUNTIFS('VS×ケイパビリティ関係'!$F$4:$F$494,$B8,'VS×ケイパビリティ関係'!$G$4:$G$494,U$5,'VS×ケイパビリティ関係'!$E$4:$E$494,"支援")&gt;0,"○",""))</f>
        <v/>
      </c>
      <c r="V8" s="22" t="str">
        <f>IF(COUNTIFS('VS×ケイパビリティ関係'!$F$4:$F$494,$B8,'VS×ケイパビリティ関係'!$G$4:$G$494,V$5,'VS×ケイパビリティ関係'!$E$4:$E$494,"主")&gt;0,"●",IF(COUNTIFS('VS×ケイパビリティ関係'!$F$4:$F$494,$B8,'VS×ケイパビリティ関係'!$G$4:$G$494,V$5,'VS×ケイパビリティ関係'!$E$4:$E$494,"支援")&gt;0,"○",""))</f>
        <v/>
      </c>
      <c r="W8" s="22" t="str">
        <f>IF(COUNTIFS('VS×ケイパビリティ関係'!$F$4:$F$494,$B8,'VS×ケイパビリティ関係'!$G$4:$G$494,W$5,'VS×ケイパビリティ関係'!$E$4:$E$494,"主")&gt;0,"●",IF(COUNTIFS('VS×ケイパビリティ関係'!$F$4:$F$494,$B8,'VS×ケイパビリティ関係'!$G$4:$G$494,W$5,'VS×ケイパビリティ関係'!$E$4:$E$494,"支援")&gt;0,"○",""))</f>
        <v/>
      </c>
      <c r="X8" s="22" t="str">
        <f>IF(COUNTIFS('VS×ケイパビリティ関係'!$F$4:$F$494,$B8,'VS×ケイパビリティ関係'!$G$4:$G$494,X$5,'VS×ケイパビリティ関係'!$E$4:$E$494,"主")&gt;0,"●",IF(COUNTIFS('VS×ケイパビリティ関係'!$F$4:$F$494,$B8,'VS×ケイパビリティ関係'!$G$4:$G$494,X$5,'VS×ケイパビリティ関係'!$E$4:$E$494,"支援")&gt;0,"○",""))</f>
        <v/>
      </c>
      <c r="Y8" s="22" t="str">
        <f>IF(COUNTIFS('VS×ケイパビリティ関係'!$F$4:$F$494,$B8,'VS×ケイパビリティ関係'!$G$4:$G$494,Y$5,'VS×ケイパビリティ関係'!$E$4:$E$494,"主")&gt;0,"●",IF(COUNTIFS('VS×ケイパビリティ関係'!$F$4:$F$494,$B8,'VS×ケイパビリティ関係'!$G$4:$G$494,Y$5,'VS×ケイパビリティ関係'!$E$4:$E$494,"支援")&gt;0,"○",""))</f>
        <v/>
      </c>
      <c r="Z8" s="22" t="str">
        <f>IF(COUNTIFS('VS×ケイパビリティ関係'!$F$4:$F$494,$B8,'VS×ケイパビリティ関係'!$G$4:$G$494,Z$5,'VS×ケイパビリティ関係'!$E$4:$E$494,"主")&gt;0,"●",IF(COUNTIFS('VS×ケイパビリティ関係'!$F$4:$F$494,$B8,'VS×ケイパビリティ関係'!$G$4:$G$494,Z$5,'VS×ケイパビリティ関係'!$E$4:$E$494,"支援")&gt;0,"○",""))</f>
        <v/>
      </c>
      <c r="AA8" s="22" t="str">
        <f>IF(COUNTIFS('VS×ケイパビリティ関係'!$F$4:$F$494,$B8,'VS×ケイパビリティ関係'!$G$4:$G$494,AA$5,'VS×ケイパビリティ関係'!$E$4:$E$494,"主")&gt;0,"●",IF(COUNTIFS('VS×ケイパビリティ関係'!$F$4:$F$494,$B8,'VS×ケイパビリティ関係'!$G$4:$G$494,AA$5,'VS×ケイパビリティ関係'!$E$4:$E$494,"支援")&gt;0,"○",""))</f>
        <v/>
      </c>
      <c r="AB8" s="22" t="str">
        <f>IF(COUNTIFS('VS×ケイパビリティ関係'!$F$4:$F$494,$B8,'VS×ケイパビリティ関係'!$G$4:$G$494,AB$5,'VS×ケイパビリティ関係'!$E$4:$E$494,"主")&gt;0,"●",IF(COUNTIFS('VS×ケイパビリティ関係'!$F$4:$F$494,$B8,'VS×ケイパビリティ関係'!$G$4:$G$494,AB$5,'VS×ケイパビリティ関係'!$E$4:$E$494,"支援")&gt;0,"○",""))</f>
        <v/>
      </c>
      <c r="AC8" s="22" t="str">
        <f>IF(COUNTIFS('VS×ケイパビリティ関係'!$F$4:$F$494,$B8,'VS×ケイパビリティ関係'!$G$4:$G$494,AC$5,'VS×ケイパビリティ関係'!$E$4:$E$494,"主")&gt;0,"●",IF(COUNTIFS('VS×ケイパビリティ関係'!$F$4:$F$494,$B8,'VS×ケイパビリティ関係'!$G$4:$G$494,AC$5,'VS×ケイパビリティ関係'!$E$4:$E$494,"支援")&gt;0,"○",""))</f>
        <v/>
      </c>
      <c r="AD8" s="22" t="str">
        <f>IF(COUNTIFS('VS×ケイパビリティ関係'!$F$4:$F$494,$B8,'VS×ケイパビリティ関係'!$G$4:$G$494,AD$5,'VS×ケイパビリティ関係'!$E$4:$E$494,"主")&gt;0,"●",IF(COUNTIFS('VS×ケイパビリティ関係'!$F$4:$F$494,$B8,'VS×ケイパビリティ関係'!$G$4:$G$494,AD$5,'VS×ケイパビリティ関係'!$E$4:$E$494,"支援")&gt;0,"○",""))</f>
        <v/>
      </c>
      <c r="AE8" s="22" t="str">
        <f>IF(COUNTIFS('VS×ケイパビリティ関係'!$F$4:$F$494,$B8,'VS×ケイパビリティ関係'!$G$4:$G$494,AE$5,'VS×ケイパビリティ関係'!$E$4:$E$494,"主")&gt;0,"●",IF(COUNTIFS('VS×ケイパビリティ関係'!$F$4:$F$494,$B8,'VS×ケイパビリティ関係'!$G$4:$G$494,AE$5,'VS×ケイパビリティ関係'!$E$4:$E$494,"支援")&gt;0,"○",""))</f>
        <v/>
      </c>
      <c r="AF8" s="22" t="str">
        <f>IF(COUNTIFS('VS×ケイパビリティ関係'!$F$4:$F$494,$B8,'VS×ケイパビリティ関係'!$G$4:$G$494,AF$5,'VS×ケイパビリティ関係'!$E$4:$E$494,"主")&gt;0,"●",IF(COUNTIFS('VS×ケイパビリティ関係'!$F$4:$F$494,$B8,'VS×ケイパビリティ関係'!$G$4:$G$494,AF$5,'VS×ケイパビリティ関係'!$E$4:$E$494,"支援")&gt;0,"○",""))</f>
        <v/>
      </c>
      <c r="AG8" s="22" t="str">
        <f>IF(COUNTIFS('VS×ケイパビリティ関係'!$F$4:$F$494,$B8,'VS×ケイパビリティ関係'!$G$4:$G$494,AG$5,'VS×ケイパビリティ関係'!$E$4:$E$494,"主")&gt;0,"●",IF(COUNTIFS('VS×ケイパビリティ関係'!$F$4:$F$494,$B8,'VS×ケイパビリティ関係'!$G$4:$G$494,AG$5,'VS×ケイパビリティ関係'!$E$4:$E$494,"支援")&gt;0,"○",""))</f>
        <v/>
      </c>
      <c r="AH8" s="22" t="str">
        <f>IF(COUNTIFS('VS×ケイパビリティ関係'!$F$4:$F$494,$B8,'VS×ケイパビリティ関係'!$G$4:$G$494,AH$5,'VS×ケイパビリティ関係'!$E$4:$E$494,"主")&gt;0,"●",IF(COUNTIFS('VS×ケイパビリティ関係'!$F$4:$F$494,$B8,'VS×ケイパビリティ関係'!$G$4:$G$494,AH$5,'VS×ケイパビリティ関係'!$E$4:$E$494,"支援")&gt;0,"○",""))</f>
        <v/>
      </c>
      <c r="AI8" s="22" t="str">
        <f>IF(COUNTIFS('VS×ケイパビリティ関係'!$F$4:$F$494,$B8,'VS×ケイパビリティ関係'!$G$4:$G$494,AI$5,'VS×ケイパビリティ関係'!$E$4:$E$494,"主")&gt;0,"●",IF(COUNTIFS('VS×ケイパビリティ関係'!$F$4:$F$494,$B8,'VS×ケイパビリティ関係'!$G$4:$G$494,AI$5,'VS×ケイパビリティ関係'!$E$4:$E$494,"支援")&gt;0,"○",""))</f>
        <v/>
      </c>
      <c r="AJ8" s="22" t="str">
        <f>IF(COUNTIFS('VS×ケイパビリティ関係'!$F$4:$F$494,$B8,'VS×ケイパビリティ関係'!$G$4:$G$494,AJ$5,'VS×ケイパビリティ関係'!$E$4:$E$494,"主")&gt;0,"●",IF(COUNTIFS('VS×ケイパビリティ関係'!$F$4:$F$494,$B8,'VS×ケイパビリティ関係'!$G$4:$G$494,AJ$5,'VS×ケイパビリティ関係'!$E$4:$E$494,"支援")&gt;0,"○",""))</f>
        <v/>
      </c>
      <c r="AK8" s="22" t="str">
        <f>IF(COUNTIFS('VS×ケイパビリティ関係'!$F$4:$F$494,$B8,'VS×ケイパビリティ関係'!$G$4:$G$494,AK$5,'VS×ケイパビリティ関係'!$E$4:$E$494,"主")&gt;0,"●",IF(COUNTIFS('VS×ケイパビリティ関係'!$F$4:$F$494,$B8,'VS×ケイパビリティ関係'!$G$4:$G$494,AK$5,'VS×ケイパビリティ関係'!$E$4:$E$494,"支援")&gt;0,"○",""))</f>
        <v/>
      </c>
      <c r="AL8" s="22" t="str">
        <f>IF(COUNTIFS('VS×ケイパビリティ関係'!$F$4:$F$494,$B8,'VS×ケイパビリティ関係'!$G$4:$G$494,AL$5,'VS×ケイパビリティ関係'!$E$4:$E$494,"主")&gt;0,"●",IF(COUNTIFS('VS×ケイパビリティ関係'!$F$4:$F$494,$B8,'VS×ケイパビリティ関係'!$G$4:$G$494,AL$5,'VS×ケイパビリティ関係'!$E$4:$E$494,"支援")&gt;0,"○",""))</f>
        <v/>
      </c>
      <c r="AM8" s="22" t="str">
        <f>IF(COUNTIFS('VS×ケイパビリティ関係'!$F$4:$F$494,$B8,'VS×ケイパビリティ関係'!$G$4:$G$494,AM$5,'VS×ケイパビリティ関係'!$E$4:$E$494,"主")&gt;0,"●",IF(COUNTIFS('VS×ケイパビリティ関係'!$F$4:$F$494,$B8,'VS×ケイパビリティ関係'!$G$4:$G$494,AM$5,'VS×ケイパビリティ関係'!$E$4:$E$494,"支援")&gt;0,"○",""))</f>
        <v/>
      </c>
      <c r="AN8" s="22" t="str">
        <f>IF(COUNTIFS('VS×ケイパビリティ関係'!$F$4:$F$494,$B8,'VS×ケイパビリティ関係'!$G$4:$G$494,AN$5,'VS×ケイパビリティ関係'!$E$4:$E$494,"主")&gt;0,"●",IF(COUNTIFS('VS×ケイパビリティ関係'!$F$4:$F$494,$B8,'VS×ケイパビリティ関係'!$G$4:$G$494,AN$5,'VS×ケイパビリティ関係'!$E$4:$E$494,"支援")&gt;0,"○",""))</f>
        <v/>
      </c>
      <c r="AO8" s="22" t="str">
        <f>IF(COUNTIFS('VS×ケイパビリティ関係'!$F$4:$F$494,$B8,'VS×ケイパビリティ関係'!$G$4:$G$494,AO$5,'VS×ケイパビリティ関係'!$E$4:$E$494,"主")&gt;0,"●",IF(COUNTIFS('VS×ケイパビリティ関係'!$F$4:$F$494,$B8,'VS×ケイパビリティ関係'!$G$4:$G$494,AO$5,'VS×ケイパビリティ関係'!$E$4:$E$494,"支援")&gt;0,"○",""))</f>
        <v/>
      </c>
      <c r="AP8" s="22" t="str">
        <f>IF(COUNTIFS('VS×ケイパビリティ関係'!$F$4:$F$494,$B8,'VS×ケイパビリティ関係'!$G$4:$G$494,AP$5,'VS×ケイパビリティ関係'!$E$4:$E$494,"主")&gt;0,"●",IF(COUNTIFS('VS×ケイパビリティ関係'!$F$4:$F$494,$B8,'VS×ケイパビリティ関係'!$G$4:$G$494,AP$5,'VS×ケイパビリティ関係'!$E$4:$E$494,"支援")&gt;0,"○",""))</f>
        <v/>
      </c>
      <c r="AQ8" s="22" t="str">
        <f>IF(COUNTIFS('VS×ケイパビリティ関係'!$F$4:$F$494,$B8,'VS×ケイパビリティ関係'!$G$4:$G$494,AQ$5,'VS×ケイパビリティ関係'!$E$4:$E$494,"主")&gt;0,"●",IF(COUNTIFS('VS×ケイパビリティ関係'!$F$4:$F$494,$B8,'VS×ケイパビリティ関係'!$G$4:$G$494,AQ$5,'VS×ケイパビリティ関係'!$E$4:$E$494,"支援")&gt;0,"○",""))</f>
        <v/>
      </c>
      <c r="AR8" s="22" t="str">
        <f>IF(COUNTIFS('VS×ケイパビリティ関係'!$F$4:$F$494,$B8,'VS×ケイパビリティ関係'!$G$4:$G$494,AR$5,'VS×ケイパビリティ関係'!$E$4:$E$494,"主")&gt;0,"●",IF(COUNTIFS('VS×ケイパビリティ関係'!$F$4:$F$494,$B8,'VS×ケイパビリティ関係'!$G$4:$G$494,AR$5,'VS×ケイパビリティ関係'!$E$4:$E$494,"支援")&gt;0,"○",""))</f>
        <v/>
      </c>
      <c r="AS8" s="22" t="str">
        <f>IF(COUNTIFS('VS×ケイパビリティ関係'!$F$4:$F$494,$B8,'VS×ケイパビリティ関係'!$G$4:$G$494,AS$5,'VS×ケイパビリティ関係'!$E$4:$E$494,"主")&gt;0,"●",IF(COUNTIFS('VS×ケイパビリティ関係'!$F$4:$F$494,$B8,'VS×ケイパビリティ関係'!$G$4:$G$494,AS$5,'VS×ケイパビリティ関係'!$E$4:$E$494,"支援")&gt;0,"○",""))</f>
        <v/>
      </c>
      <c r="AT8" s="22" t="str">
        <f>IF(COUNTIFS('VS×ケイパビリティ関係'!$F$4:$F$494,$B8,'VS×ケイパビリティ関係'!$G$4:$G$494,AT$5,'VS×ケイパビリティ関係'!$E$4:$E$494,"主")&gt;0,"●",IF(COUNTIFS('VS×ケイパビリティ関係'!$F$4:$F$494,$B8,'VS×ケイパビリティ関係'!$G$4:$G$494,AT$5,'VS×ケイパビリティ関係'!$E$4:$E$494,"支援")&gt;0,"○",""))</f>
        <v/>
      </c>
      <c r="AU8" s="22" t="str">
        <f>IF(COUNTIFS('VS×ケイパビリティ関係'!$F$4:$F$494,$B8,'VS×ケイパビリティ関係'!$G$4:$G$494,AU$5,'VS×ケイパビリティ関係'!$E$4:$E$494,"主")&gt;0,"●",IF(COUNTIFS('VS×ケイパビリティ関係'!$F$4:$F$494,$B8,'VS×ケイパビリティ関係'!$G$4:$G$494,AU$5,'VS×ケイパビリティ関係'!$E$4:$E$494,"支援")&gt;0,"○",""))</f>
        <v/>
      </c>
      <c r="AV8" s="22" t="str">
        <f>IF(COUNTIFS('VS×ケイパビリティ関係'!$F$4:$F$494,$B8,'VS×ケイパビリティ関係'!$G$4:$G$494,AV$5,'VS×ケイパビリティ関係'!$E$4:$E$494,"主")&gt;0,"●",IF(COUNTIFS('VS×ケイパビリティ関係'!$F$4:$F$494,$B8,'VS×ケイパビリティ関係'!$G$4:$G$494,AV$5,'VS×ケイパビリティ関係'!$E$4:$E$494,"支援")&gt;0,"○",""))</f>
        <v/>
      </c>
      <c r="AW8" s="22" t="str">
        <f>IF(COUNTIFS('VS×ケイパビリティ関係'!$F$4:$F$494,$B8,'VS×ケイパビリティ関係'!$G$4:$G$494,AW$5,'VS×ケイパビリティ関係'!$E$4:$E$494,"主")&gt;0,"●",IF(COUNTIFS('VS×ケイパビリティ関係'!$F$4:$F$494,$B8,'VS×ケイパビリティ関係'!$G$4:$G$494,AW$5,'VS×ケイパビリティ関係'!$E$4:$E$494,"支援")&gt;0,"○",""))</f>
        <v/>
      </c>
      <c r="AX8" s="22" t="str">
        <f>IF(COUNTIFS('VS×ケイパビリティ関係'!$F$4:$F$494,$B8,'VS×ケイパビリティ関係'!$G$4:$G$494,AX$5,'VS×ケイパビリティ関係'!$E$4:$E$494,"主")&gt;0,"●",IF(COUNTIFS('VS×ケイパビリティ関係'!$F$4:$F$494,$B8,'VS×ケイパビリティ関係'!$G$4:$G$494,AX$5,'VS×ケイパビリティ関係'!$E$4:$E$494,"支援")&gt;0,"○",""))</f>
        <v/>
      </c>
      <c r="AY8" s="22" t="str">
        <f>IF(COUNTIFS('VS×ケイパビリティ関係'!$F$4:$F$494,$B8,'VS×ケイパビリティ関係'!$G$4:$G$494,AY$5,'VS×ケイパビリティ関係'!$E$4:$E$494,"主")&gt;0,"●",IF(COUNTIFS('VS×ケイパビリティ関係'!$F$4:$F$494,$B8,'VS×ケイパビリティ関係'!$G$4:$G$494,AY$5,'VS×ケイパビリティ関係'!$E$4:$E$494,"支援")&gt;0,"○",""))</f>
        <v/>
      </c>
      <c r="AZ8" s="22" t="str">
        <f>IF(COUNTIFS('VS×ケイパビリティ関係'!$F$4:$F$494,$B8,'VS×ケイパビリティ関係'!$G$4:$G$494,AZ$5,'VS×ケイパビリティ関係'!$E$4:$E$494,"主")&gt;0,"●",IF(COUNTIFS('VS×ケイパビリティ関係'!$F$4:$F$494,$B8,'VS×ケイパビリティ関係'!$G$4:$G$494,AZ$5,'VS×ケイパビリティ関係'!$E$4:$E$494,"支援")&gt;0,"○",""))</f>
        <v/>
      </c>
      <c r="BA8" s="22" t="str">
        <f>IF(COUNTIFS('VS×ケイパビリティ関係'!$F$4:$F$494,$B8,'VS×ケイパビリティ関係'!$G$4:$G$494,BA$5,'VS×ケイパビリティ関係'!$E$4:$E$494,"主")&gt;0,"●",IF(COUNTIFS('VS×ケイパビリティ関係'!$F$4:$F$494,$B8,'VS×ケイパビリティ関係'!$G$4:$G$494,BA$5,'VS×ケイパビリティ関係'!$E$4:$E$494,"支援")&gt;0,"○",""))</f>
        <v/>
      </c>
      <c r="BB8" s="22" t="str">
        <f>IF(COUNTIFS('VS×ケイパビリティ関係'!$F$4:$F$494,$B8,'VS×ケイパビリティ関係'!$G$4:$G$494,BB$5,'VS×ケイパビリティ関係'!$E$4:$E$494,"主")&gt;0,"●",IF(COUNTIFS('VS×ケイパビリティ関係'!$F$4:$F$494,$B8,'VS×ケイパビリティ関係'!$G$4:$G$494,BB$5,'VS×ケイパビリティ関係'!$E$4:$E$494,"支援")&gt;0,"○",""))</f>
        <v/>
      </c>
      <c r="BC8" s="22" t="str">
        <f>IF(COUNTIFS('VS×ケイパビリティ関係'!$F$4:$F$494,$B8,'VS×ケイパビリティ関係'!$G$4:$G$494,BC$5,'VS×ケイパビリティ関係'!$E$4:$E$494,"主")&gt;0,"●",IF(COUNTIFS('VS×ケイパビリティ関係'!$F$4:$F$494,$B8,'VS×ケイパビリティ関係'!$G$4:$G$494,BC$5,'VS×ケイパビリティ関係'!$E$4:$E$494,"支援")&gt;0,"○",""))</f>
        <v/>
      </c>
      <c r="BD8" s="22" t="str">
        <f>IF(COUNTIFS('VS×ケイパビリティ関係'!$F$4:$F$494,$B8,'VS×ケイパビリティ関係'!$G$4:$G$494,BD$5,'VS×ケイパビリティ関係'!$E$4:$E$494,"主")&gt;0,"●",IF(COUNTIFS('VS×ケイパビリティ関係'!$F$4:$F$494,$B8,'VS×ケイパビリティ関係'!$G$4:$G$494,BD$5,'VS×ケイパビリティ関係'!$E$4:$E$494,"支援")&gt;0,"○",""))</f>
        <v/>
      </c>
      <c r="BE8" s="22">
        <f t="shared" si="1"/>
        <v>1</v>
      </c>
      <c r="BF8" s="22">
        <f t="shared" si="2"/>
        <v>2</v>
      </c>
    </row>
    <row r="9" ht="15.0" customHeight="1">
      <c r="A9" s="42"/>
      <c r="B9" s="22" t="s">
        <v>253</v>
      </c>
      <c r="C9" s="25" t="s">
        <v>259</v>
      </c>
      <c r="D9" s="22" t="str">
        <f>IF(COUNTIFS('VS×ケイパビリティ関係'!$F$4:$F$494,$B9,'VS×ケイパビリティ関係'!$G$4:$G$494,D$5,'VS×ケイパビリティ関係'!$E$4:$E$494,"主")&gt;0,"●",IF(COUNTIFS('VS×ケイパビリティ関係'!$F$4:$F$494,$B9,'VS×ケイパビリティ関係'!$G$4:$G$494,D$5,'VS×ケイパビリティ関係'!$E$4:$E$494,"支援")&gt;0,"○",""))</f>
        <v/>
      </c>
      <c r="E9" s="22" t="str">
        <f>IF(COUNTIFS('VS×ケイパビリティ関係'!$F$4:$F$494,$B9,'VS×ケイパビリティ関係'!$G$4:$G$494,E$5,'VS×ケイパビリティ関係'!$E$4:$E$494,"主")&gt;0,"●",IF(COUNTIFS('VS×ケイパビリティ関係'!$F$4:$F$494,$B9,'VS×ケイパビリティ関係'!$G$4:$G$494,E$5,'VS×ケイパビリティ関係'!$E$4:$E$494,"支援")&gt;0,"○",""))</f>
        <v/>
      </c>
      <c r="F9" s="22" t="str">
        <f>IF(COUNTIFS('VS×ケイパビリティ関係'!$F$4:$F$494,$B9,'VS×ケイパビリティ関係'!$G$4:$G$494,F$5,'VS×ケイパビリティ関係'!$E$4:$E$494,"主")&gt;0,"●",IF(COUNTIFS('VS×ケイパビリティ関係'!$F$4:$F$494,$B9,'VS×ケイパビリティ関係'!$G$4:$G$494,F$5,'VS×ケイパビリティ関係'!$E$4:$E$494,"支援")&gt;0,"○",""))</f>
        <v/>
      </c>
      <c r="G9" s="22" t="str">
        <f>IF(COUNTIFS('VS×ケイパビリティ関係'!$F$4:$F$494,$B9,'VS×ケイパビリティ関係'!$G$4:$G$494,G$5,'VS×ケイパビリティ関係'!$E$4:$E$494,"主")&gt;0,"●",IF(COUNTIFS('VS×ケイパビリティ関係'!$F$4:$F$494,$B9,'VS×ケイパビリティ関係'!$G$4:$G$494,G$5,'VS×ケイパビリティ関係'!$E$4:$E$494,"支援")&gt;0,"○",""))</f>
        <v/>
      </c>
      <c r="H9" s="22" t="str">
        <f>IF(COUNTIFS('VS×ケイパビリティ関係'!$F$4:$F$494,$B9,'VS×ケイパビリティ関係'!$G$4:$G$494,H$5,'VS×ケイパビリティ関係'!$E$4:$E$494,"主")&gt;0,"●",IF(COUNTIFS('VS×ケイパビリティ関係'!$F$4:$F$494,$B9,'VS×ケイパビリティ関係'!$G$4:$G$494,H$5,'VS×ケイパビリティ関係'!$E$4:$E$494,"支援")&gt;0,"○",""))</f>
        <v/>
      </c>
      <c r="I9" s="22" t="str">
        <f>IF(COUNTIFS('VS×ケイパビリティ関係'!$F$4:$F$494,$B9,'VS×ケイパビリティ関係'!$G$4:$G$494,I$5,'VS×ケイパビリティ関係'!$E$4:$E$494,"主")&gt;0,"●",IF(COUNTIFS('VS×ケイパビリティ関係'!$F$4:$F$494,$B9,'VS×ケイパビリティ関係'!$G$4:$G$494,I$5,'VS×ケイパビリティ関係'!$E$4:$E$494,"支援")&gt;0,"○",""))</f>
        <v>●</v>
      </c>
      <c r="J9" s="22" t="str">
        <f>IF(COUNTIFS('VS×ケイパビリティ関係'!$F$4:$F$494,$B9,'VS×ケイパビリティ関係'!$G$4:$G$494,J$5,'VS×ケイパビリティ関係'!$E$4:$E$494,"主")&gt;0,"●",IF(COUNTIFS('VS×ケイパビリティ関係'!$F$4:$F$494,$B9,'VS×ケイパビリティ関係'!$G$4:$G$494,J$5,'VS×ケイパビリティ関係'!$E$4:$E$494,"支援")&gt;0,"○",""))</f>
        <v>●</v>
      </c>
      <c r="K9" s="22" t="str">
        <f>IF(COUNTIFS('VS×ケイパビリティ関係'!$F$4:$F$494,$B9,'VS×ケイパビリティ関係'!$G$4:$G$494,K$5,'VS×ケイパビリティ関係'!$E$4:$E$494,"主")&gt;0,"●",IF(COUNTIFS('VS×ケイパビリティ関係'!$F$4:$F$494,$B9,'VS×ケイパビリティ関係'!$G$4:$G$494,K$5,'VS×ケイパビリティ関係'!$E$4:$E$494,"支援")&gt;0,"○",""))</f>
        <v>●</v>
      </c>
      <c r="L9" s="22" t="str">
        <f>IF(COUNTIFS('VS×ケイパビリティ関係'!$F$4:$F$494,$B9,'VS×ケイパビリティ関係'!$G$4:$G$494,L$5,'VS×ケイパビリティ関係'!$E$4:$E$494,"主")&gt;0,"●",IF(COUNTIFS('VS×ケイパビリティ関係'!$F$4:$F$494,$B9,'VS×ケイパビリティ関係'!$G$4:$G$494,L$5,'VS×ケイパビリティ関係'!$E$4:$E$494,"支援")&gt;0,"○",""))</f>
        <v/>
      </c>
      <c r="M9" s="22" t="str">
        <f>IF(COUNTIFS('VS×ケイパビリティ関係'!$F$4:$F$494,$B9,'VS×ケイパビリティ関係'!$G$4:$G$494,M$5,'VS×ケイパビリティ関係'!$E$4:$E$494,"主")&gt;0,"●",IF(COUNTIFS('VS×ケイパビリティ関係'!$F$4:$F$494,$B9,'VS×ケイパビリティ関係'!$G$4:$G$494,M$5,'VS×ケイパビリティ関係'!$E$4:$E$494,"支援")&gt;0,"○",""))</f>
        <v/>
      </c>
      <c r="N9" s="22" t="str">
        <f>IF(COUNTIFS('VS×ケイパビリティ関係'!$F$4:$F$494,$B9,'VS×ケイパビリティ関係'!$G$4:$G$494,N$5,'VS×ケイパビリティ関係'!$E$4:$E$494,"主")&gt;0,"●",IF(COUNTIFS('VS×ケイパビリティ関係'!$F$4:$F$494,$B9,'VS×ケイパビリティ関係'!$G$4:$G$494,N$5,'VS×ケイパビリティ関係'!$E$4:$E$494,"支援")&gt;0,"○",""))</f>
        <v/>
      </c>
      <c r="O9" s="22" t="str">
        <f>IF(COUNTIFS('VS×ケイパビリティ関係'!$F$4:$F$494,$B9,'VS×ケイパビリティ関係'!$G$4:$G$494,O$5,'VS×ケイパビリティ関係'!$E$4:$E$494,"主")&gt;0,"●",IF(COUNTIFS('VS×ケイパビリティ関係'!$F$4:$F$494,$B9,'VS×ケイパビリティ関係'!$G$4:$G$494,O$5,'VS×ケイパビリティ関係'!$E$4:$E$494,"支援")&gt;0,"○",""))</f>
        <v/>
      </c>
      <c r="P9" s="22" t="str">
        <f>IF(COUNTIFS('VS×ケイパビリティ関係'!$F$4:$F$494,$B9,'VS×ケイパビリティ関係'!$G$4:$G$494,P$5,'VS×ケイパビリティ関係'!$E$4:$E$494,"主")&gt;0,"●",IF(COUNTIFS('VS×ケイパビリティ関係'!$F$4:$F$494,$B9,'VS×ケイパビリティ関係'!$G$4:$G$494,P$5,'VS×ケイパビリティ関係'!$E$4:$E$494,"支援")&gt;0,"○",""))</f>
        <v/>
      </c>
      <c r="Q9" s="22" t="str">
        <f>IF(COUNTIFS('VS×ケイパビリティ関係'!$F$4:$F$494,$B9,'VS×ケイパビリティ関係'!$G$4:$G$494,Q$5,'VS×ケイパビリティ関係'!$E$4:$E$494,"主")&gt;0,"●",IF(COUNTIFS('VS×ケイパビリティ関係'!$F$4:$F$494,$B9,'VS×ケイパビリティ関係'!$G$4:$G$494,Q$5,'VS×ケイパビリティ関係'!$E$4:$E$494,"支援")&gt;0,"○",""))</f>
        <v/>
      </c>
      <c r="R9" s="22" t="str">
        <f>IF(COUNTIFS('VS×ケイパビリティ関係'!$F$4:$F$494,$B9,'VS×ケイパビリティ関係'!$G$4:$G$494,R$5,'VS×ケイパビリティ関係'!$E$4:$E$494,"主")&gt;0,"●",IF(COUNTIFS('VS×ケイパビリティ関係'!$F$4:$F$494,$B9,'VS×ケイパビリティ関係'!$G$4:$G$494,R$5,'VS×ケイパビリティ関係'!$E$4:$E$494,"支援")&gt;0,"○",""))</f>
        <v/>
      </c>
      <c r="S9" s="22" t="str">
        <f>IF(COUNTIFS('VS×ケイパビリティ関係'!$F$4:$F$494,$B9,'VS×ケイパビリティ関係'!$G$4:$G$494,S$5,'VS×ケイパビリティ関係'!$E$4:$E$494,"主")&gt;0,"●",IF(COUNTIFS('VS×ケイパビリティ関係'!$F$4:$F$494,$B9,'VS×ケイパビリティ関係'!$G$4:$G$494,S$5,'VS×ケイパビリティ関係'!$E$4:$E$494,"支援")&gt;0,"○",""))</f>
        <v>○</v>
      </c>
      <c r="T9" s="22" t="str">
        <f>IF(COUNTIFS('VS×ケイパビリティ関係'!$F$4:$F$494,$B9,'VS×ケイパビリティ関係'!$G$4:$G$494,T$5,'VS×ケイパビリティ関係'!$E$4:$E$494,"主")&gt;0,"●",IF(COUNTIFS('VS×ケイパビリティ関係'!$F$4:$F$494,$B9,'VS×ケイパビリティ関係'!$G$4:$G$494,T$5,'VS×ケイパビリティ関係'!$E$4:$E$494,"支援")&gt;0,"○",""))</f>
        <v/>
      </c>
      <c r="U9" s="22" t="str">
        <f>IF(COUNTIFS('VS×ケイパビリティ関係'!$F$4:$F$494,$B9,'VS×ケイパビリティ関係'!$G$4:$G$494,U$5,'VS×ケイパビリティ関係'!$E$4:$E$494,"主")&gt;0,"●",IF(COUNTIFS('VS×ケイパビリティ関係'!$F$4:$F$494,$B9,'VS×ケイパビリティ関係'!$G$4:$G$494,U$5,'VS×ケイパビリティ関係'!$E$4:$E$494,"支援")&gt;0,"○",""))</f>
        <v/>
      </c>
      <c r="V9" s="22" t="str">
        <f>IF(COUNTIFS('VS×ケイパビリティ関係'!$F$4:$F$494,$B9,'VS×ケイパビリティ関係'!$G$4:$G$494,V$5,'VS×ケイパビリティ関係'!$E$4:$E$494,"主")&gt;0,"●",IF(COUNTIFS('VS×ケイパビリティ関係'!$F$4:$F$494,$B9,'VS×ケイパビリティ関係'!$G$4:$G$494,V$5,'VS×ケイパビリティ関係'!$E$4:$E$494,"支援")&gt;0,"○",""))</f>
        <v/>
      </c>
      <c r="W9" s="22" t="str">
        <f>IF(COUNTIFS('VS×ケイパビリティ関係'!$F$4:$F$494,$B9,'VS×ケイパビリティ関係'!$G$4:$G$494,W$5,'VS×ケイパビリティ関係'!$E$4:$E$494,"主")&gt;0,"●",IF(COUNTIFS('VS×ケイパビリティ関係'!$F$4:$F$494,$B9,'VS×ケイパビリティ関係'!$G$4:$G$494,W$5,'VS×ケイパビリティ関係'!$E$4:$E$494,"支援")&gt;0,"○",""))</f>
        <v/>
      </c>
      <c r="X9" s="22" t="str">
        <f>IF(COUNTIFS('VS×ケイパビリティ関係'!$F$4:$F$494,$B9,'VS×ケイパビリティ関係'!$G$4:$G$494,X$5,'VS×ケイパビリティ関係'!$E$4:$E$494,"主")&gt;0,"●",IF(COUNTIFS('VS×ケイパビリティ関係'!$F$4:$F$494,$B9,'VS×ケイパビリティ関係'!$G$4:$G$494,X$5,'VS×ケイパビリティ関係'!$E$4:$E$494,"支援")&gt;0,"○",""))</f>
        <v/>
      </c>
      <c r="Y9" s="22" t="str">
        <f>IF(COUNTIFS('VS×ケイパビリティ関係'!$F$4:$F$494,$B9,'VS×ケイパビリティ関係'!$G$4:$G$494,Y$5,'VS×ケイパビリティ関係'!$E$4:$E$494,"主")&gt;0,"●",IF(COUNTIFS('VS×ケイパビリティ関係'!$F$4:$F$494,$B9,'VS×ケイパビリティ関係'!$G$4:$G$494,Y$5,'VS×ケイパビリティ関係'!$E$4:$E$494,"支援")&gt;0,"○",""))</f>
        <v/>
      </c>
      <c r="Z9" s="22" t="str">
        <f>IF(COUNTIFS('VS×ケイパビリティ関係'!$F$4:$F$494,$B9,'VS×ケイパビリティ関係'!$G$4:$G$494,Z$5,'VS×ケイパビリティ関係'!$E$4:$E$494,"主")&gt;0,"●",IF(COUNTIFS('VS×ケイパビリティ関係'!$F$4:$F$494,$B9,'VS×ケイパビリティ関係'!$G$4:$G$494,Z$5,'VS×ケイパビリティ関係'!$E$4:$E$494,"支援")&gt;0,"○",""))</f>
        <v/>
      </c>
      <c r="AA9" s="22" t="str">
        <f>IF(COUNTIFS('VS×ケイパビリティ関係'!$F$4:$F$494,$B9,'VS×ケイパビリティ関係'!$G$4:$G$494,AA$5,'VS×ケイパビリティ関係'!$E$4:$E$494,"主")&gt;0,"●",IF(COUNTIFS('VS×ケイパビリティ関係'!$F$4:$F$494,$B9,'VS×ケイパビリティ関係'!$G$4:$G$494,AA$5,'VS×ケイパビリティ関係'!$E$4:$E$494,"支援")&gt;0,"○",""))</f>
        <v/>
      </c>
      <c r="AB9" s="22" t="str">
        <f>IF(COUNTIFS('VS×ケイパビリティ関係'!$F$4:$F$494,$B9,'VS×ケイパビリティ関係'!$G$4:$G$494,AB$5,'VS×ケイパビリティ関係'!$E$4:$E$494,"主")&gt;0,"●",IF(COUNTIFS('VS×ケイパビリティ関係'!$F$4:$F$494,$B9,'VS×ケイパビリティ関係'!$G$4:$G$494,AB$5,'VS×ケイパビリティ関係'!$E$4:$E$494,"支援")&gt;0,"○",""))</f>
        <v/>
      </c>
      <c r="AC9" s="22" t="str">
        <f>IF(COUNTIFS('VS×ケイパビリティ関係'!$F$4:$F$494,$B9,'VS×ケイパビリティ関係'!$G$4:$G$494,AC$5,'VS×ケイパビリティ関係'!$E$4:$E$494,"主")&gt;0,"●",IF(COUNTIFS('VS×ケイパビリティ関係'!$F$4:$F$494,$B9,'VS×ケイパビリティ関係'!$G$4:$G$494,AC$5,'VS×ケイパビリティ関係'!$E$4:$E$494,"支援")&gt;0,"○",""))</f>
        <v/>
      </c>
      <c r="AD9" s="22" t="str">
        <f>IF(COUNTIFS('VS×ケイパビリティ関係'!$F$4:$F$494,$B9,'VS×ケイパビリティ関係'!$G$4:$G$494,AD$5,'VS×ケイパビリティ関係'!$E$4:$E$494,"主")&gt;0,"●",IF(COUNTIFS('VS×ケイパビリティ関係'!$F$4:$F$494,$B9,'VS×ケイパビリティ関係'!$G$4:$G$494,AD$5,'VS×ケイパビリティ関係'!$E$4:$E$494,"支援")&gt;0,"○",""))</f>
        <v/>
      </c>
      <c r="AE9" s="22" t="str">
        <f>IF(COUNTIFS('VS×ケイパビリティ関係'!$F$4:$F$494,$B9,'VS×ケイパビリティ関係'!$G$4:$G$494,AE$5,'VS×ケイパビリティ関係'!$E$4:$E$494,"主")&gt;0,"●",IF(COUNTIFS('VS×ケイパビリティ関係'!$F$4:$F$494,$B9,'VS×ケイパビリティ関係'!$G$4:$G$494,AE$5,'VS×ケイパビリティ関係'!$E$4:$E$494,"支援")&gt;0,"○",""))</f>
        <v/>
      </c>
      <c r="AF9" s="22" t="str">
        <f>IF(COUNTIFS('VS×ケイパビリティ関係'!$F$4:$F$494,$B9,'VS×ケイパビリティ関係'!$G$4:$G$494,AF$5,'VS×ケイパビリティ関係'!$E$4:$E$494,"主")&gt;0,"●",IF(COUNTIFS('VS×ケイパビリティ関係'!$F$4:$F$494,$B9,'VS×ケイパビリティ関係'!$G$4:$G$494,AF$5,'VS×ケイパビリティ関係'!$E$4:$E$494,"支援")&gt;0,"○",""))</f>
        <v/>
      </c>
      <c r="AG9" s="22" t="str">
        <f>IF(COUNTIFS('VS×ケイパビリティ関係'!$F$4:$F$494,$B9,'VS×ケイパビリティ関係'!$G$4:$G$494,AG$5,'VS×ケイパビリティ関係'!$E$4:$E$494,"主")&gt;0,"●",IF(COUNTIFS('VS×ケイパビリティ関係'!$F$4:$F$494,$B9,'VS×ケイパビリティ関係'!$G$4:$G$494,AG$5,'VS×ケイパビリティ関係'!$E$4:$E$494,"支援")&gt;0,"○",""))</f>
        <v/>
      </c>
      <c r="AH9" s="22" t="str">
        <f>IF(COUNTIFS('VS×ケイパビリティ関係'!$F$4:$F$494,$B9,'VS×ケイパビリティ関係'!$G$4:$G$494,AH$5,'VS×ケイパビリティ関係'!$E$4:$E$494,"主")&gt;0,"●",IF(COUNTIFS('VS×ケイパビリティ関係'!$F$4:$F$494,$B9,'VS×ケイパビリティ関係'!$G$4:$G$494,AH$5,'VS×ケイパビリティ関係'!$E$4:$E$494,"支援")&gt;0,"○",""))</f>
        <v/>
      </c>
      <c r="AI9" s="22" t="str">
        <f>IF(COUNTIFS('VS×ケイパビリティ関係'!$F$4:$F$494,$B9,'VS×ケイパビリティ関係'!$G$4:$G$494,AI$5,'VS×ケイパビリティ関係'!$E$4:$E$494,"主")&gt;0,"●",IF(COUNTIFS('VS×ケイパビリティ関係'!$F$4:$F$494,$B9,'VS×ケイパビリティ関係'!$G$4:$G$494,AI$5,'VS×ケイパビリティ関係'!$E$4:$E$494,"支援")&gt;0,"○",""))</f>
        <v/>
      </c>
      <c r="AJ9" s="22" t="str">
        <f>IF(COUNTIFS('VS×ケイパビリティ関係'!$F$4:$F$494,$B9,'VS×ケイパビリティ関係'!$G$4:$G$494,AJ$5,'VS×ケイパビリティ関係'!$E$4:$E$494,"主")&gt;0,"●",IF(COUNTIFS('VS×ケイパビリティ関係'!$F$4:$F$494,$B9,'VS×ケイパビリティ関係'!$G$4:$G$494,AJ$5,'VS×ケイパビリティ関係'!$E$4:$E$494,"支援")&gt;0,"○",""))</f>
        <v/>
      </c>
      <c r="AK9" s="22" t="str">
        <f>IF(COUNTIFS('VS×ケイパビリティ関係'!$F$4:$F$494,$B9,'VS×ケイパビリティ関係'!$G$4:$G$494,AK$5,'VS×ケイパビリティ関係'!$E$4:$E$494,"主")&gt;0,"●",IF(COUNTIFS('VS×ケイパビリティ関係'!$F$4:$F$494,$B9,'VS×ケイパビリティ関係'!$G$4:$G$494,AK$5,'VS×ケイパビリティ関係'!$E$4:$E$494,"支援")&gt;0,"○",""))</f>
        <v/>
      </c>
      <c r="AL9" s="22" t="str">
        <f>IF(COUNTIFS('VS×ケイパビリティ関係'!$F$4:$F$494,$B9,'VS×ケイパビリティ関係'!$G$4:$G$494,AL$5,'VS×ケイパビリティ関係'!$E$4:$E$494,"主")&gt;0,"●",IF(COUNTIFS('VS×ケイパビリティ関係'!$F$4:$F$494,$B9,'VS×ケイパビリティ関係'!$G$4:$G$494,AL$5,'VS×ケイパビリティ関係'!$E$4:$E$494,"支援")&gt;0,"○",""))</f>
        <v/>
      </c>
      <c r="AM9" s="22" t="str">
        <f>IF(COUNTIFS('VS×ケイパビリティ関係'!$F$4:$F$494,$B9,'VS×ケイパビリティ関係'!$G$4:$G$494,AM$5,'VS×ケイパビリティ関係'!$E$4:$E$494,"主")&gt;0,"●",IF(COUNTIFS('VS×ケイパビリティ関係'!$F$4:$F$494,$B9,'VS×ケイパビリティ関係'!$G$4:$G$494,AM$5,'VS×ケイパビリティ関係'!$E$4:$E$494,"支援")&gt;0,"○",""))</f>
        <v/>
      </c>
      <c r="AN9" s="22" t="str">
        <f>IF(COUNTIFS('VS×ケイパビリティ関係'!$F$4:$F$494,$B9,'VS×ケイパビリティ関係'!$G$4:$G$494,AN$5,'VS×ケイパビリティ関係'!$E$4:$E$494,"主")&gt;0,"●",IF(COUNTIFS('VS×ケイパビリティ関係'!$F$4:$F$494,$B9,'VS×ケイパビリティ関係'!$G$4:$G$494,AN$5,'VS×ケイパビリティ関係'!$E$4:$E$494,"支援")&gt;0,"○",""))</f>
        <v/>
      </c>
      <c r="AO9" s="22" t="str">
        <f>IF(COUNTIFS('VS×ケイパビリティ関係'!$F$4:$F$494,$B9,'VS×ケイパビリティ関係'!$G$4:$G$494,AO$5,'VS×ケイパビリティ関係'!$E$4:$E$494,"主")&gt;0,"●",IF(COUNTIFS('VS×ケイパビリティ関係'!$F$4:$F$494,$B9,'VS×ケイパビリティ関係'!$G$4:$G$494,AO$5,'VS×ケイパビリティ関係'!$E$4:$E$494,"支援")&gt;0,"○",""))</f>
        <v/>
      </c>
      <c r="AP9" s="22" t="str">
        <f>IF(COUNTIFS('VS×ケイパビリティ関係'!$F$4:$F$494,$B9,'VS×ケイパビリティ関係'!$G$4:$G$494,AP$5,'VS×ケイパビリティ関係'!$E$4:$E$494,"主")&gt;0,"●",IF(COUNTIFS('VS×ケイパビリティ関係'!$F$4:$F$494,$B9,'VS×ケイパビリティ関係'!$G$4:$G$494,AP$5,'VS×ケイパビリティ関係'!$E$4:$E$494,"支援")&gt;0,"○",""))</f>
        <v/>
      </c>
      <c r="AQ9" s="22" t="str">
        <f>IF(COUNTIFS('VS×ケイパビリティ関係'!$F$4:$F$494,$B9,'VS×ケイパビリティ関係'!$G$4:$G$494,AQ$5,'VS×ケイパビリティ関係'!$E$4:$E$494,"主")&gt;0,"●",IF(COUNTIFS('VS×ケイパビリティ関係'!$F$4:$F$494,$B9,'VS×ケイパビリティ関係'!$G$4:$G$494,AQ$5,'VS×ケイパビリティ関係'!$E$4:$E$494,"支援")&gt;0,"○",""))</f>
        <v/>
      </c>
      <c r="AR9" s="22" t="str">
        <f>IF(COUNTIFS('VS×ケイパビリティ関係'!$F$4:$F$494,$B9,'VS×ケイパビリティ関係'!$G$4:$G$494,AR$5,'VS×ケイパビリティ関係'!$E$4:$E$494,"主")&gt;0,"●",IF(COUNTIFS('VS×ケイパビリティ関係'!$F$4:$F$494,$B9,'VS×ケイパビリティ関係'!$G$4:$G$494,AR$5,'VS×ケイパビリティ関係'!$E$4:$E$494,"支援")&gt;0,"○",""))</f>
        <v/>
      </c>
      <c r="AS9" s="22" t="str">
        <f>IF(COUNTIFS('VS×ケイパビリティ関係'!$F$4:$F$494,$B9,'VS×ケイパビリティ関係'!$G$4:$G$494,AS$5,'VS×ケイパビリティ関係'!$E$4:$E$494,"主")&gt;0,"●",IF(COUNTIFS('VS×ケイパビリティ関係'!$F$4:$F$494,$B9,'VS×ケイパビリティ関係'!$G$4:$G$494,AS$5,'VS×ケイパビリティ関係'!$E$4:$E$494,"支援")&gt;0,"○",""))</f>
        <v/>
      </c>
      <c r="AT9" s="22" t="str">
        <f>IF(COUNTIFS('VS×ケイパビリティ関係'!$F$4:$F$494,$B9,'VS×ケイパビリティ関係'!$G$4:$G$494,AT$5,'VS×ケイパビリティ関係'!$E$4:$E$494,"主")&gt;0,"●",IF(COUNTIFS('VS×ケイパビリティ関係'!$F$4:$F$494,$B9,'VS×ケイパビリティ関係'!$G$4:$G$494,AT$5,'VS×ケイパビリティ関係'!$E$4:$E$494,"支援")&gt;0,"○",""))</f>
        <v/>
      </c>
      <c r="AU9" s="22" t="str">
        <f>IF(COUNTIFS('VS×ケイパビリティ関係'!$F$4:$F$494,$B9,'VS×ケイパビリティ関係'!$G$4:$G$494,AU$5,'VS×ケイパビリティ関係'!$E$4:$E$494,"主")&gt;0,"●",IF(COUNTIFS('VS×ケイパビリティ関係'!$F$4:$F$494,$B9,'VS×ケイパビリティ関係'!$G$4:$G$494,AU$5,'VS×ケイパビリティ関係'!$E$4:$E$494,"支援")&gt;0,"○",""))</f>
        <v/>
      </c>
      <c r="AV9" s="22" t="str">
        <f>IF(COUNTIFS('VS×ケイパビリティ関係'!$F$4:$F$494,$B9,'VS×ケイパビリティ関係'!$G$4:$G$494,AV$5,'VS×ケイパビリティ関係'!$E$4:$E$494,"主")&gt;0,"●",IF(COUNTIFS('VS×ケイパビリティ関係'!$F$4:$F$494,$B9,'VS×ケイパビリティ関係'!$G$4:$G$494,AV$5,'VS×ケイパビリティ関係'!$E$4:$E$494,"支援")&gt;0,"○",""))</f>
        <v/>
      </c>
      <c r="AW9" s="22" t="str">
        <f>IF(COUNTIFS('VS×ケイパビリティ関係'!$F$4:$F$494,$B9,'VS×ケイパビリティ関係'!$G$4:$G$494,AW$5,'VS×ケイパビリティ関係'!$E$4:$E$494,"主")&gt;0,"●",IF(COUNTIFS('VS×ケイパビリティ関係'!$F$4:$F$494,$B9,'VS×ケイパビリティ関係'!$G$4:$G$494,AW$5,'VS×ケイパビリティ関係'!$E$4:$E$494,"支援")&gt;0,"○",""))</f>
        <v/>
      </c>
      <c r="AX9" s="22" t="str">
        <f>IF(COUNTIFS('VS×ケイパビリティ関係'!$F$4:$F$494,$B9,'VS×ケイパビリティ関係'!$G$4:$G$494,AX$5,'VS×ケイパビリティ関係'!$E$4:$E$494,"主")&gt;0,"●",IF(COUNTIFS('VS×ケイパビリティ関係'!$F$4:$F$494,$B9,'VS×ケイパビリティ関係'!$G$4:$G$494,AX$5,'VS×ケイパビリティ関係'!$E$4:$E$494,"支援")&gt;0,"○",""))</f>
        <v/>
      </c>
      <c r="AY9" s="22" t="str">
        <f>IF(COUNTIFS('VS×ケイパビリティ関係'!$F$4:$F$494,$B9,'VS×ケイパビリティ関係'!$G$4:$G$494,AY$5,'VS×ケイパビリティ関係'!$E$4:$E$494,"主")&gt;0,"●",IF(COUNTIFS('VS×ケイパビリティ関係'!$F$4:$F$494,$B9,'VS×ケイパビリティ関係'!$G$4:$G$494,AY$5,'VS×ケイパビリティ関係'!$E$4:$E$494,"支援")&gt;0,"○",""))</f>
        <v/>
      </c>
      <c r="AZ9" s="22" t="str">
        <f>IF(COUNTIFS('VS×ケイパビリティ関係'!$F$4:$F$494,$B9,'VS×ケイパビリティ関係'!$G$4:$G$494,AZ$5,'VS×ケイパビリティ関係'!$E$4:$E$494,"主")&gt;0,"●",IF(COUNTIFS('VS×ケイパビリティ関係'!$F$4:$F$494,$B9,'VS×ケイパビリティ関係'!$G$4:$G$494,AZ$5,'VS×ケイパビリティ関係'!$E$4:$E$494,"支援")&gt;0,"○",""))</f>
        <v/>
      </c>
      <c r="BA9" s="22" t="str">
        <f>IF(COUNTIFS('VS×ケイパビリティ関係'!$F$4:$F$494,$B9,'VS×ケイパビリティ関係'!$G$4:$G$494,BA$5,'VS×ケイパビリティ関係'!$E$4:$E$494,"主")&gt;0,"●",IF(COUNTIFS('VS×ケイパビリティ関係'!$F$4:$F$494,$B9,'VS×ケイパビリティ関係'!$G$4:$G$494,BA$5,'VS×ケイパビリティ関係'!$E$4:$E$494,"支援")&gt;0,"○",""))</f>
        <v/>
      </c>
      <c r="BB9" s="22" t="str">
        <f>IF(COUNTIFS('VS×ケイパビリティ関係'!$F$4:$F$494,$B9,'VS×ケイパビリティ関係'!$G$4:$G$494,BB$5,'VS×ケイパビリティ関係'!$E$4:$E$494,"主")&gt;0,"●",IF(COUNTIFS('VS×ケイパビリティ関係'!$F$4:$F$494,$B9,'VS×ケイパビリティ関係'!$G$4:$G$494,BB$5,'VS×ケイパビリティ関係'!$E$4:$E$494,"支援")&gt;0,"○",""))</f>
        <v/>
      </c>
      <c r="BC9" s="22" t="str">
        <f>IF(COUNTIFS('VS×ケイパビリティ関係'!$F$4:$F$494,$B9,'VS×ケイパビリティ関係'!$G$4:$G$494,BC$5,'VS×ケイパビリティ関係'!$E$4:$E$494,"主")&gt;0,"●",IF(COUNTIFS('VS×ケイパビリティ関係'!$F$4:$F$494,$B9,'VS×ケイパビリティ関係'!$G$4:$G$494,BC$5,'VS×ケイパビリティ関係'!$E$4:$E$494,"支援")&gt;0,"○",""))</f>
        <v/>
      </c>
      <c r="BD9" s="22" t="str">
        <f>IF(COUNTIFS('VS×ケイパビリティ関係'!$F$4:$F$494,$B9,'VS×ケイパビリティ関係'!$G$4:$G$494,BD$5,'VS×ケイパビリティ関係'!$E$4:$E$494,"主")&gt;0,"●",IF(COUNTIFS('VS×ケイパビリティ関係'!$F$4:$F$494,$B9,'VS×ケイパビリティ関係'!$G$4:$G$494,BD$5,'VS×ケイパビリティ関係'!$E$4:$E$494,"支援")&gt;0,"○",""))</f>
        <v/>
      </c>
      <c r="BE9" s="22">
        <f t="shared" si="1"/>
        <v>3</v>
      </c>
      <c r="BF9" s="22">
        <f t="shared" si="2"/>
        <v>1</v>
      </c>
    </row>
    <row r="10" ht="15.0" customHeight="1">
      <c r="A10" s="42"/>
      <c r="B10" s="22" t="s">
        <v>341</v>
      </c>
      <c r="C10" s="25" t="s">
        <v>345</v>
      </c>
      <c r="D10" s="22" t="str">
        <f>IF(COUNTIFS('VS×ケイパビリティ関係'!$F$4:$F$494,$B10,'VS×ケイパビリティ関係'!$G$4:$G$494,D$5,'VS×ケイパビリティ関係'!$E$4:$E$494,"主")&gt;0,"●",IF(COUNTIFS('VS×ケイパビリティ関係'!$F$4:$F$494,$B10,'VS×ケイパビリティ関係'!$G$4:$G$494,D$5,'VS×ケイパビリティ関係'!$E$4:$E$494,"支援")&gt;0,"○",""))</f>
        <v>●</v>
      </c>
      <c r="E10" s="22" t="str">
        <f>IF(COUNTIFS('VS×ケイパビリティ関係'!$F$4:$F$494,$B10,'VS×ケイパビリティ関係'!$G$4:$G$494,E$5,'VS×ケイパビリティ関係'!$E$4:$E$494,"主")&gt;0,"●",IF(COUNTIFS('VS×ケイパビリティ関係'!$F$4:$F$494,$B10,'VS×ケイパビリティ関係'!$G$4:$G$494,E$5,'VS×ケイパビリティ関係'!$E$4:$E$494,"支援")&gt;0,"○",""))</f>
        <v>●</v>
      </c>
      <c r="F10" s="22" t="str">
        <f>IF(COUNTIFS('VS×ケイパビリティ関係'!$F$4:$F$494,$B10,'VS×ケイパビリティ関係'!$G$4:$G$494,F$5,'VS×ケイパビリティ関係'!$E$4:$E$494,"主")&gt;0,"●",IF(COUNTIFS('VS×ケイパビリティ関係'!$F$4:$F$494,$B10,'VS×ケイパビリティ関係'!$G$4:$G$494,F$5,'VS×ケイパビリティ関係'!$E$4:$E$494,"支援")&gt;0,"○",""))</f>
        <v/>
      </c>
      <c r="G10" s="22" t="str">
        <f>IF(COUNTIFS('VS×ケイパビリティ関係'!$F$4:$F$494,$B10,'VS×ケイパビリティ関係'!$G$4:$G$494,G$5,'VS×ケイパビリティ関係'!$E$4:$E$494,"主")&gt;0,"●",IF(COUNTIFS('VS×ケイパビリティ関係'!$F$4:$F$494,$B10,'VS×ケイパビリティ関係'!$G$4:$G$494,G$5,'VS×ケイパビリティ関係'!$E$4:$E$494,"支援")&gt;0,"○",""))</f>
        <v/>
      </c>
      <c r="H10" s="22" t="str">
        <f>IF(COUNTIFS('VS×ケイパビリティ関係'!$F$4:$F$494,$B10,'VS×ケイパビリティ関係'!$G$4:$G$494,H$5,'VS×ケイパビリティ関係'!$E$4:$E$494,"主")&gt;0,"●",IF(COUNTIFS('VS×ケイパビリティ関係'!$F$4:$F$494,$B10,'VS×ケイパビリティ関係'!$G$4:$G$494,H$5,'VS×ケイパビリティ関係'!$E$4:$E$494,"支援")&gt;0,"○",""))</f>
        <v/>
      </c>
      <c r="I10" s="22" t="str">
        <f>IF(COUNTIFS('VS×ケイパビリティ関係'!$F$4:$F$494,$B10,'VS×ケイパビリティ関係'!$G$4:$G$494,I$5,'VS×ケイパビリティ関係'!$E$4:$E$494,"主")&gt;0,"●",IF(COUNTIFS('VS×ケイパビリティ関係'!$F$4:$F$494,$B10,'VS×ケイパビリティ関係'!$G$4:$G$494,I$5,'VS×ケイパビリティ関係'!$E$4:$E$494,"支援")&gt;0,"○",""))</f>
        <v/>
      </c>
      <c r="J10" s="22" t="str">
        <f>IF(COUNTIFS('VS×ケイパビリティ関係'!$F$4:$F$494,$B10,'VS×ケイパビリティ関係'!$G$4:$G$494,J$5,'VS×ケイパビリティ関係'!$E$4:$E$494,"主")&gt;0,"●",IF(COUNTIFS('VS×ケイパビリティ関係'!$F$4:$F$494,$B10,'VS×ケイパビリティ関係'!$G$4:$G$494,J$5,'VS×ケイパビリティ関係'!$E$4:$E$494,"支援")&gt;0,"○",""))</f>
        <v/>
      </c>
      <c r="K10" s="22" t="str">
        <f>IF(COUNTIFS('VS×ケイパビリティ関係'!$F$4:$F$494,$B10,'VS×ケイパビリティ関係'!$G$4:$G$494,K$5,'VS×ケイパビリティ関係'!$E$4:$E$494,"主")&gt;0,"●",IF(COUNTIFS('VS×ケイパビリティ関係'!$F$4:$F$494,$B10,'VS×ケイパビリティ関係'!$G$4:$G$494,K$5,'VS×ケイパビリティ関係'!$E$4:$E$494,"支援")&gt;0,"○",""))</f>
        <v/>
      </c>
      <c r="L10" s="22" t="str">
        <f>IF(COUNTIFS('VS×ケイパビリティ関係'!$F$4:$F$494,$B10,'VS×ケイパビリティ関係'!$G$4:$G$494,L$5,'VS×ケイパビリティ関係'!$E$4:$E$494,"主")&gt;0,"●",IF(COUNTIFS('VS×ケイパビリティ関係'!$F$4:$F$494,$B10,'VS×ケイパビリティ関係'!$G$4:$G$494,L$5,'VS×ケイパビリティ関係'!$E$4:$E$494,"支援")&gt;0,"○",""))</f>
        <v/>
      </c>
      <c r="M10" s="22" t="str">
        <f>IF(COUNTIFS('VS×ケイパビリティ関係'!$F$4:$F$494,$B10,'VS×ケイパビリティ関係'!$G$4:$G$494,M$5,'VS×ケイパビリティ関係'!$E$4:$E$494,"主")&gt;0,"●",IF(COUNTIFS('VS×ケイパビリティ関係'!$F$4:$F$494,$B10,'VS×ケイパビリティ関係'!$G$4:$G$494,M$5,'VS×ケイパビリティ関係'!$E$4:$E$494,"支援")&gt;0,"○",""))</f>
        <v/>
      </c>
      <c r="N10" s="22" t="str">
        <f>IF(COUNTIFS('VS×ケイパビリティ関係'!$F$4:$F$494,$B10,'VS×ケイパビリティ関係'!$G$4:$G$494,N$5,'VS×ケイパビリティ関係'!$E$4:$E$494,"主")&gt;0,"●",IF(COUNTIFS('VS×ケイパビリティ関係'!$F$4:$F$494,$B10,'VS×ケイパビリティ関係'!$G$4:$G$494,N$5,'VS×ケイパビリティ関係'!$E$4:$E$494,"支援")&gt;0,"○",""))</f>
        <v/>
      </c>
      <c r="O10" s="22" t="str">
        <f>IF(COUNTIFS('VS×ケイパビリティ関係'!$F$4:$F$494,$B10,'VS×ケイパビリティ関係'!$G$4:$G$494,O$5,'VS×ケイパビリティ関係'!$E$4:$E$494,"主")&gt;0,"●",IF(COUNTIFS('VS×ケイパビリティ関係'!$F$4:$F$494,$B10,'VS×ケイパビリティ関係'!$G$4:$G$494,O$5,'VS×ケイパビリティ関係'!$E$4:$E$494,"支援")&gt;0,"○",""))</f>
        <v/>
      </c>
      <c r="P10" s="22" t="str">
        <f>IF(COUNTIFS('VS×ケイパビリティ関係'!$F$4:$F$494,$B10,'VS×ケイパビリティ関係'!$G$4:$G$494,P$5,'VS×ケイパビリティ関係'!$E$4:$E$494,"主")&gt;0,"●",IF(COUNTIFS('VS×ケイパビリティ関係'!$F$4:$F$494,$B10,'VS×ケイパビリティ関係'!$G$4:$G$494,P$5,'VS×ケイパビリティ関係'!$E$4:$E$494,"支援")&gt;0,"○",""))</f>
        <v/>
      </c>
      <c r="Q10" s="22" t="str">
        <f>IF(COUNTIFS('VS×ケイパビリティ関係'!$F$4:$F$494,$B10,'VS×ケイパビリティ関係'!$G$4:$G$494,Q$5,'VS×ケイパビリティ関係'!$E$4:$E$494,"主")&gt;0,"●",IF(COUNTIFS('VS×ケイパビリティ関係'!$F$4:$F$494,$B10,'VS×ケイパビリティ関係'!$G$4:$G$494,Q$5,'VS×ケイパビリティ関係'!$E$4:$E$494,"支援")&gt;0,"○",""))</f>
        <v/>
      </c>
      <c r="R10" s="22" t="str">
        <f>IF(COUNTIFS('VS×ケイパビリティ関係'!$F$4:$F$494,$B10,'VS×ケイパビリティ関係'!$G$4:$G$494,R$5,'VS×ケイパビリティ関係'!$E$4:$E$494,"主")&gt;0,"●",IF(COUNTIFS('VS×ケイパビリティ関係'!$F$4:$F$494,$B10,'VS×ケイパビリティ関係'!$G$4:$G$494,R$5,'VS×ケイパビリティ関係'!$E$4:$E$494,"支援")&gt;0,"○",""))</f>
        <v/>
      </c>
      <c r="S10" s="22" t="str">
        <f>IF(COUNTIFS('VS×ケイパビリティ関係'!$F$4:$F$494,$B10,'VS×ケイパビリティ関係'!$G$4:$G$494,S$5,'VS×ケイパビリティ関係'!$E$4:$E$494,"主")&gt;0,"●",IF(COUNTIFS('VS×ケイパビリティ関係'!$F$4:$F$494,$B10,'VS×ケイパビリティ関係'!$G$4:$G$494,S$5,'VS×ケイパビリティ関係'!$E$4:$E$494,"支援")&gt;0,"○",""))</f>
        <v/>
      </c>
      <c r="T10" s="22" t="str">
        <f>IF(COUNTIFS('VS×ケイパビリティ関係'!$F$4:$F$494,$B10,'VS×ケイパビリティ関係'!$G$4:$G$494,T$5,'VS×ケイパビリティ関係'!$E$4:$E$494,"主")&gt;0,"●",IF(COUNTIFS('VS×ケイパビリティ関係'!$F$4:$F$494,$B10,'VS×ケイパビリティ関係'!$G$4:$G$494,T$5,'VS×ケイパビリティ関係'!$E$4:$E$494,"支援")&gt;0,"○",""))</f>
        <v/>
      </c>
      <c r="U10" s="22" t="str">
        <f>IF(COUNTIFS('VS×ケイパビリティ関係'!$F$4:$F$494,$B10,'VS×ケイパビリティ関係'!$G$4:$G$494,U$5,'VS×ケイパビリティ関係'!$E$4:$E$494,"主")&gt;0,"●",IF(COUNTIFS('VS×ケイパビリティ関係'!$F$4:$F$494,$B10,'VS×ケイパビリティ関係'!$G$4:$G$494,U$5,'VS×ケイパビリティ関係'!$E$4:$E$494,"支援")&gt;0,"○",""))</f>
        <v/>
      </c>
      <c r="V10" s="22" t="str">
        <f>IF(COUNTIFS('VS×ケイパビリティ関係'!$F$4:$F$494,$B10,'VS×ケイパビリティ関係'!$G$4:$G$494,V$5,'VS×ケイパビリティ関係'!$E$4:$E$494,"主")&gt;0,"●",IF(COUNTIFS('VS×ケイパビリティ関係'!$F$4:$F$494,$B10,'VS×ケイパビリティ関係'!$G$4:$G$494,V$5,'VS×ケイパビリティ関係'!$E$4:$E$494,"支援")&gt;0,"○",""))</f>
        <v>●</v>
      </c>
      <c r="W10" s="22" t="str">
        <f>IF(COUNTIFS('VS×ケイパビリティ関係'!$F$4:$F$494,$B10,'VS×ケイパビリティ関係'!$G$4:$G$494,W$5,'VS×ケイパビリティ関係'!$E$4:$E$494,"主")&gt;0,"●",IF(COUNTIFS('VS×ケイパビリティ関係'!$F$4:$F$494,$B10,'VS×ケイパビリティ関係'!$G$4:$G$494,W$5,'VS×ケイパビリティ関係'!$E$4:$E$494,"支援")&gt;0,"○",""))</f>
        <v/>
      </c>
      <c r="X10" s="22" t="str">
        <f>IF(COUNTIFS('VS×ケイパビリティ関係'!$F$4:$F$494,$B10,'VS×ケイパビリティ関係'!$G$4:$G$494,X$5,'VS×ケイパビリティ関係'!$E$4:$E$494,"主")&gt;0,"●",IF(COUNTIFS('VS×ケイパビリティ関係'!$F$4:$F$494,$B10,'VS×ケイパビリティ関係'!$G$4:$G$494,X$5,'VS×ケイパビリティ関係'!$E$4:$E$494,"支援")&gt;0,"○",""))</f>
        <v/>
      </c>
      <c r="Y10" s="22" t="str">
        <f>IF(COUNTIFS('VS×ケイパビリティ関係'!$F$4:$F$494,$B10,'VS×ケイパビリティ関係'!$G$4:$G$494,Y$5,'VS×ケイパビリティ関係'!$E$4:$E$494,"主")&gt;0,"●",IF(COUNTIFS('VS×ケイパビリティ関係'!$F$4:$F$494,$B10,'VS×ケイパビリティ関係'!$G$4:$G$494,Y$5,'VS×ケイパビリティ関係'!$E$4:$E$494,"支援")&gt;0,"○",""))</f>
        <v/>
      </c>
      <c r="Z10" s="22" t="str">
        <f>IF(COUNTIFS('VS×ケイパビリティ関係'!$F$4:$F$494,$B10,'VS×ケイパビリティ関係'!$G$4:$G$494,Z$5,'VS×ケイパビリティ関係'!$E$4:$E$494,"主")&gt;0,"●",IF(COUNTIFS('VS×ケイパビリティ関係'!$F$4:$F$494,$B10,'VS×ケイパビリティ関係'!$G$4:$G$494,Z$5,'VS×ケイパビリティ関係'!$E$4:$E$494,"支援")&gt;0,"○",""))</f>
        <v/>
      </c>
      <c r="AA10" s="22" t="str">
        <f>IF(COUNTIFS('VS×ケイパビリティ関係'!$F$4:$F$494,$B10,'VS×ケイパビリティ関係'!$G$4:$G$494,AA$5,'VS×ケイパビリティ関係'!$E$4:$E$494,"主")&gt;0,"●",IF(COUNTIFS('VS×ケイパビリティ関係'!$F$4:$F$494,$B10,'VS×ケイパビリティ関係'!$G$4:$G$494,AA$5,'VS×ケイパビリティ関係'!$E$4:$E$494,"支援")&gt;0,"○",""))</f>
        <v>○</v>
      </c>
      <c r="AB10" s="22" t="str">
        <f>IF(COUNTIFS('VS×ケイパビリティ関係'!$F$4:$F$494,$B10,'VS×ケイパビリティ関係'!$G$4:$G$494,AB$5,'VS×ケイパビリティ関係'!$E$4:$E$494,"主")&gt;0,"●",IF(COUNTIFS('VS×ケイパビリティ関係'!$F$4:$F$494,$B10,'VS×ケイパビリティ関係'!$G$4:$G$494,AB$5,'VS×ケイパビリティ関係'!$E$4:$E$494,"支援")&gt;0,"○",""))</f>
        <v/>
      </c>
      <c r="AC10" s="22" t="str">
        <f>IF(COUNTIFS('VS×ケイパビリティ関係'!$F$4:$F$494,$B10,'VS×ケイパビリティ関係'!$G$4:$G$494,AC$5,'VS×ケイパビリティ関係'!$E$4:$E$494,"主")&gt;0,"●",IF(COUNTIFS('VS×ケイパビリティ関係'!$F$4:$F$494,$B10,'VS×ケイパビリティ関係'!$G$4:$G$494,AC$5,'VS×ケイパビリティ関係'!$E$4:$E$494,"支援")&gt;0,"○",""))</f>
        <v/>
      </c>
      <c r="AD10" s="22" t="str">
        <f>IF(COUNTIFS('VS×ケイパビリティ関係'!$F$4:$F$494,$B10,'VS×ケイパビリティ関係'!$G$4:$G$494,AD$5,'VS×ケイパビリティ関係'!$E$4:$E$494,"主")&gt;0,"●",IF(COUNTIFS('VS×ケイパビリティ関係'!$F$4:$F$494,$B10,'VS×ケイパビリティ関係'!$G$4:$G$494,AD$5,'VS×ケイパビリティ関係'!$E$4:$E$494,"支援")&gt;0,"○",""))</f>
        <v/>
      </c>
      <c r="AE10" s="22" t="str">
        <f>IF(COUNTIFS('VS×ケイパビリティ関係'!$F$4:$F$494,$B10,'VS×ケイパビリティ関係'!$G$4:$G$494,AE$5,'VS×ケイパビリティ関係'!$E$4:$E$494,"主")&gt;0,"●",IF(COUNTIFS('VS×ケイパビリティ関係'!$F$4:$F$494,$B10,'VS×ケイパビリティ関係'!$G$4:$G$494,AE$5,'VS×ケイパビリティ関係'!$E$4:$E$494,"支援")&gt;0,"○",""))</f>
        <v/>
      </c>
      <c r="AF10" s="22" t="str">
        <f>IF(COUNTIFS('VS×ケイパビリティ関係'!$F$4:$F$494,$B10,'VS×ケイパビリティ関係'!$G$4:$G$494,AF$5,'VS×ケイパビリティ関係'!$E$4:$E$494,"主")&gt;0,"●",IF(COUNTIFS('VS×ケイパビリティ関係'!$F$4:$F$494,$B10,'VS×ケイパビリティ関係'!$G$4:$G$494,AF$5,'VS×ケイパビリティ関係'!$E$4:$E$494,"支援")&gt;0,"○",""))</f>
        <v/>
      </c>
      <c r="AG10" s="22" t="str">
        <f>IF(COUNTIFS('VS×ケイパビリティ関係'!$F$4:$F$494,$B10,'VS×ケイパビリティ関係'!$G$4:$G$494,AG$5,'VS×ケイパビリティ関係'!$E$4:$E$494,"主")&gt;0,"●",IF(COUNTIFS('VS×ケイパビリティ関係'!$F$4:$F$494,$B10,'VS×ケイパビリティ関係'!$G$4:$G$494,AG$5,'VS×ケイパビリティ関係'!$E$4:$E$494,"支援")&gt;0,"○",""))</f>
        <v/>
      </c>
      <c r="AH10" s="22" t="str">
        <f>IF(COUNTIFS('VS×ケイパビリティ関係'!$F$4:$F$494,$B10,'VS×ケイパビリティ関係'!$G$4:$G$494,AH$5,'VS×ケイパビリティ関係'!$E$4:$E$494,"主")&gt;0,"●",IF(COUNTIFS('VS×ケイパビリティ関係'!$F$4:$F$494,$B10,'VS×ケイパビリティ関係'!$G$4:$G$494,AH$5,'VS×ケイパビリティ関係'!$E$4:$E$494,"支援")&gt;0,"○",""))</f>
        <v/>
      </c>
      <c r="AI10" s="22" t="str">
        <f>IF(COUNTIFS('VS×ケイパビリティ関係'!$F$4:$F$494,$B10,'VS×ケイパビリティ関係'!$G$4:$G$494,AI$5,'VS×ケイパビリティ関係'!$E$4:$E$494,"主")&gt;0,"●",IF(COUNTIFS('VS×ケイパビリティ関係'!$F$4:$F$494,$B10,'VS×ケイパビリティ関係'!$G$4:$G$494,AI$5,'VS×ケイパビリティ関係'!$E$4:$E$494,"支援")&gt;0,"○",""))</f>
        <v/>
      </c>
      <c r="AJ10" s="22" t="str">
        <f>IF(COUNTIFS('VS×ケイパビリティ関係'!$F$4:$F$494,$B10,'VS×ケイパビリティ関係'!$G$4:$G$494,AJ$5,'VS×ケイパビリティ関係'!$E$4:$E$494,"主")&gt;0,"●",IF(COUNTIFS('VS×ケイパビリティ関係'!$F$4:$F$494,$B10,'VS×ケイパビリティ関係'!$G$4:$G$494,AJ$5,'VS×ケイパビリティ関係'!$E$4:$E$494,"支援")&gt;0,"○",""))</f>
        <v/>
      </c>
      <c r="AK10" s="22" t="str">
        <f>IF(COUNTIFS('VS×ケイパビリティ関係'!$F$4:$F$494,$B10,'VS×ケイパビリティ関係'!$G$4:$G$494,AK$5,'VS×ケイパビリティ関係'!$E$4:$E$494,"主")&gt;0,"●",IF(COUNTIFS('VS×ケイパビリティ関係'!$F$4:$F$494,$B10,'VS×ケイパビリティ関係'!$G$4:$G$494,AK$5,'VS×ケイパビリティ関係'!$E$4:$E$494,"支援")&gt;0,"○",""))</f>
        <v/>
      </c>
      <c r="AL10" s="22" t="str">
        <f>IF(COUNTIFS('VS×ケイパビリティ関係'!$F$4:$F$494,$B10,'VS×ケイパビリティ関係'!$G$4:$G$494,AL$5,'VS×ケイパビリティ関係'!$E$4:$E$494,"主")&gt;0,"●",IF(COUNTIFS('VS×ケイパビリティ関係'!$F$4:$F$494,$B10,'VS×ケイパビリティ関係'!$G$4:$G$494,AL$5,'VS×ケイパビリティ関係'!$E$4:$E$494,"支援")&gt;0,"○",""))</f>
        <v/>
      </c>
      <c r="AM10" s="22" t="str">
        <f>IF(COUNTIFS('VS×ケイパビリティ関係'!$F$4:$F$494,$B10,'VS×ケイパビリティ関係'!$G$4:$G$494,AM$5,'VS×ケイパビリティ関係'!$E$4:$E$494,"主")&gt;0,"●",IF(COUNTIFS('VS×ケイパビリティ関係'!$F$4:$F$494,$B10,'VS×ケイパビリティ関係'!$G$4:$G$494,AM$5,'VS×ケイパビリティ関係'!$E$4:$E$494,"支援")&gt;0,"○",""))</f>
        <v/>
      </c>
      <c r="AN10" s="22" t="str">
        <f>IF(COUNTIFS('VS×ケイパビリティ関係'!$F$4:$F$494,$B10,'VS×ケイパビリティ関係'!$G$4:$G$494,AN$5,'VS×ケイパビリティ関係'!$E$4:$E$494,"主")&gt;0,"●",IF(COUNTIFS('VS×ケイパビリティ関係'!$F$4:$F$494,$B10,'VS×ケイパビリティ関係'!$G$4:$G$494,AN$5,'VS×ケイパビリティ関係'!$E$4:$E$494,"支援")&gt;0,"○",""))</f>
        <v/>
      </c>
      <c r="AO10" s="22" t="str">
        <f>IF(COUNTIFS('VS×ケイパビリティ関係'!$F$4:$F$494,$B10,'VS×ケイパビリティ関係'!$G$4:$G$494,AO$5,'VS×ケイパビリティ関係'!$E$4:$E$494,"主")&gt;0,"●",IF(COUNTIFS('VS×ケイパビリティ関係'!$F$4:$F$494,$B10,'VS×ケイパビリティ関係'!$G$4:$G$494,AO$5,'VS×ケイパビリティ関係'!$E$4:$E$494,"支援")&gt;0,"○",""))</f>
        <v/>
      </c>
      <c r="AP10" s="22" t="str">
        <f>IF(COUNTIFS('VS×ケイパビリティ関係'!$F$4:$F$494,$B10,'VS×ケイパビリティ関係'!$G$4:$G$494,AP$5,'VS×ケイパビリティ関係'!$E$4:$E$494,"主")&gt;0,"●",IF(COUNTIFS('VS×ケイパビリティ関係'!$F$4:$F$494,$B10,'VS×ケイパビリティ関係'!$G$4:$G$494,AP$5,'VS×ケイパビリティ関係'!$E$4:$E$494,"支援")&gt;0,"○",""))</f>
        <v/>
      </c>
      <c r="AQ10" s="22" t="str">
        <f>IF(COUNTIFS('VS×ケイパビリティ関係'!$F$4:$F$494,$B10,'VS×ケイパビリティ関係'!$G$4:$G$494,AQ$5,'VS×ケイパビリティ関係'!$E$4:$E$494,"主")&gt;0,"●",IF(COUNTIFS('VS×ケイパビリティ関係'!$F$4:$F$494,$B10,'VS×ケイパビリティ関係'!$G$4:$G$494,AQ$5,'VS×ケイパビリティ関係'!$E$4:$E$494,"支援")&gt;0,"○",""))</f>
        <v/>
      </c>
      <c r="AR10" s="22" t="str">
        <f>IF(COUNTIFS('VS×ケイパビリティ関係'!$F$4:$F$494,$B10,'VS×ケイパビリティ関係'!$G$4:$G$494,AR$5,'VS×ケイパビリティ関係'!$E$4:$E$494,"主")&gt;0,"●",IF(COUNTIFS('VS×ケイパビリティ関係'!$F$4:$F$494,$B10,'VS×ケイパビリティ関係'!$G$4:$G$494,AR$5,'VS×ケイパビリティ関係'!$E$4:$E$494,"支援")&gt;0,"○",""))</f>
        <v/>
      </c>
      <c r="AS10" s="22" t="str">
        <f>IF(COUNTIFS('VS×ケイパビリティ関係'!$F$4:$F$494,$B10,'VS×ケイパビリティ関係'!$G$4:$G$494,AS$5,'VS×ケイパビリティ関係'!$E$4:$E$494,"主")&gt;0,"●",IF(COUNTIFS('VS×ケイパビリティ関係'!$F$4:$F$494,$B10,'VS×ケイパビリティ関係'!$G$4:$G$494,AS$5,'VS×ケイパビリティ関係'!$E$4:$E$494,"支援")&gt;0,"○",""))</f>
        <v/>
      </c>
      <c r="AT10" s="22" t="str">
        <f>IF(COUNTIFS('VS×ケイパビリティ関係'!$F$4:$F$494,$B10,'VS×ケイパビリティ関係'!$G$4:$G$494,AT$5,'VS×ケイパビリティ関係'!$E$4:$E$494,"主")&gt;0,"●",IF(COUNTIFS('VS×ケイパビリティ関係'!$F$4:$F$494,$B10,'VS×ケイパビリティ関係'!$G$4:$G$494,AT$5,'VS×ケイパビリティ関係'!$E$4:$E$494,"支援")&gt;0,"○",""))</f>
        <v/>
      </c>
      <c r="AU10" s="22" t="str">
        <f>IF(COUNTIFS('VS×ケイパビリティ関係'!$F$4:$F$494,$B10,'VS×ケイパビリティ関係'!$G$4:$G$494,AU$5,'VS×ケイパビリティ関係'!$E$4:$E$494,"主")&gt;0,"●",IF(COUNTIFS('VS×ケイパビリティ関係'!$F$4:$F$494,$B10,'VS×ケイパビリティ関係'!$G$4:$G$494,AU$5,'VS×ケイパビリティ関係'!$E$4:$E$494,"支援")&gt;0,"○",""))</f>
        <v/>
      </c>
      <c r="AV10" s="22" t="str">
        <f>IF(COUNTIFS('VS×ケイパビリティ関係'!$F$4:$F$494,$B10,'VS×ケイパビリティ関係'!$G$4:$G$494,AV$5,'VS×ケイパビリティ関係'!$E$4:$E$494,"主")&gt;0,"●",IF(COUNTIFS('VS×ケイパビリティ関係'!$F$4:$F$494,$B10,'VS×ケイパビリティ関係'!$G$4:$G$494,AV$5,'VS×ケイパビリティ関係'!$E$4:$E$494,"支援")&gt;0,"○",""))</f>
        <v/>
      </c>
      <c r="AW10" s="22" t="str">
        <f>IF(COUNTIFS('VS×ケイパビリティ関係'!$F$4:$F$494,$B10,'VS×ケイパビリティ関係'!$G$4:$G$494,AW$5,'VS×ケイパビリティ関係'!$E$4:$E$494,"主")&gt;0,"●",IF(COUNTIFS('VS×ケイパビリティ関係'!$F$4:$F$494,$B10,'VS×ケイパビリティ関係'!$G$4:$G$494,AW$5,'VS×ケイパビリティ関係'!$E$4:$E$494,"支援")&gt;0,"○",""))</f>
        <v/>
      </c>
      <c r="AX10" s="22" t="str">
        <f>IF(COUNTIFS('VS×ケイパビリティ関係'!$F$4:$F$494,$B10,'VS×ケイパビリティ関係'!$G$4:$G$494,AX$5,'VS×ケイパビリティ関係'!$E$4:$E$494,"主")&gt;0,"●",IF(COUNTIFS('VS×ケイパビリティ関係'!$F$4:$F$494,$B10,'VS×ケイパビリティ関係'!$G$4:$G$494,AX$5,'VS×ケイパビリティ関係'!$E$4:$E$494,"支援")&gt;0,"○",""))</f>
        <v/>
      </c>
      <c r="AY10" s="22" t="str">
        <f>IF(COUNTIFS('VS×ケイパビリティ関係'!$F$4:$F$494,$B10,'VS×ケイパビリティ関係'!$G$4:$G$494,AY$5,'VS×ケイパビリティ関係'!$E$4:$E$494,"主")&gt;0,"●",IF(COUNTIFS('VS×ケイパビリティ関係'!$F$4:$F$494,$B10,'VS×ケイパビリティ関係'!$G$4:$G$494,AY$5,'VS×ケイパビリティ関係'!$E$4:$E$494,"支援")&gt;0,"○",""))</f>
        <v/>
      </c>
      <c r="AZ10" s="22" t="str">
        <f>IF(COUNTIFS('VS×ケイパビリティ関係'!$F$4:$F$494,$B10,'VS×ケイパビリティ関係'!$G$4:$G$494,AZ$5,'VS×ケイパビリティ関係'!$E$4:$E$494,"主")&gt;0,"●",IF(COUNTIFS('VS×ケイパビリティ関係'!$F$4:$F$494,$B10,'VS×ケイパビリティ関係'!$G$4:$G$494,AZ$5,'VS×ケイパビリティ関係'!$E$4:$E$494,"支援")&gt;0,"○",""))</f>
        <v/>
      </c>
      <c r="BA10" s="22" t="str">
        <f>IF(COUNTIFS('VS×ケイパビリティ関係'!$F$4:$F$494,$B10,'VS×ケイパビリティ関係'!$G$4:$G$494,BA$5,'VS×ケイパビリティ関係'!$E$4:$E$494,"主")&gt;0,"●",IF(COUNTIFS('VS×ケイパビリティ関係'!$F$4:$F$494,$B10,'VS×ケイパビリティ関係'!$G$4:$G$494,BA$5,'VS×ケイパビリティ関係'!$E$4:$E$494,"支援")&gt;0,"○",""))</f>
        <v/>
      </c>
      <c r="BB10" s="22" t="str">
        <f>IF(COUNTIFS('VS×ケイパビリティ関係'!$F$4:$F$494,$B10,'VS×ケイパビリティ関係'!$G$4:$G$494,BB$5,'VS×ケイパビリティ関係'!$E$4:$E$494,"主")&gt;0,"●",IF(COUNTIFS('VS×ケイパビリティ関係'!$F$4:$F$494,$B10,'VS×ケイパビリティ関係'!$G$4:$G$494,BB$5,'VS×ケイパビリティ関係'!$E$4:$E$494,"支援")&gt;0,"○",""))</f>
        <v/>
      </c>
      <c r="BC10" s="22" t="str">
        <f>IF(COUNTIFS('VS×ケイパビリティ関係'!$F$4:$F$494,$B10,'VS×ケイパビリティ関係'!$G$4:$G$494,BC$5,'VS×ケイパビリティ関係'!$E$4:$E$494,"主")&gt;0,"●",IF(COUNTIFS('VS×ケイパビリティ関係'!$F$4:$F$494,$B10,'VS×ケイパビリティ関係'!$G$4:$G$494,BC$5,'VS×ケイパビリティ関係'!$E$4:$E$494,"支援")&gt;0,"○",""))</f>
        <v/>
      </c>
      <c r="BD10" s="22" t="str">
        <f>IF(COUNTIFS('VS×ケイパビリティ関係'!$F$4:$F$494,$B10,'VS×ケイパビリティ関係'!$G$4:$G$494,BD$5,'VS×ケイパビリティ関係'!$E$4:$E$494,"主")&gt;0,"●",IF(COUNTIFS('VS×ケイパビリティ関係'!$F$4:$F$494,$B10,'VS×ケイパビリティ関係'!$G$4:$G$494,BD$5,'VS×ケイパビリティ関係'!$E$4:$E$494,"支援")&gt;0,"○",""))</f>
        <v/>
      </c>
      <c r="BE10" s="22">
        <f t="shared" si="1"/>
        <v>3</v>
      </c>
      <c r="BF10" s="22">
        <f t="shared" si="2"/>
        <v>1</v>
      </c>
    </row>
    <row r="11" ht="15.0" customHeight="1">
      <c r="A11" s="42" t="s">
        <v>2578</v>
      </c>
      <c r="B11" s="22" t="s">
        <v>455</v>
      </c>
      <c r="C11" s="25" t="s">
        <v>466</v>
      </c>
      <c r="D11" s="22" t="str">
        <f>IF(COUNTIFS('VS×ケイパビリティ関係'!$F$4:$F$494,$B11,'VS×ケイパビリティ関係'!$G$4:$G$494,D$5,'VS×ケイパビリティ関係'!$E$4:$E$494,"主")&gt;0,"●",IF(COUNTIFS('VS×ケイパビリティ関係'!$F$4:$F$494,$B11,'VS×ケイパビリティ関係'!$G$4:$G$494,D$5,'VS×ケイパビリティ関係'!$E$4:$E$494,"支援")&gt;0,"○",""))</f>
        <v/>
      </c>
      <c r="E11" s="22" t="str">
        <f>IF(COUNTIFS('VS×ケイパビリティ関係'!$F$4:$F$494,$B11,'VS×ケイパビリティ関係'!$G$4:$G$494,E$5,'VS×ケイパビリティ関係'!$E$4:$E$494,"主")&gt;0,"●",IF(COUNTIFS('VS×ケイパビリティ関係'!$F$4:$F$494,$B11,'VS×ケイパビリティ関係'!$G$4:$G$494,E$5,'VS×ケイパビリティ関係'!$E$4:$E$494,"支援")&gt;0,"○",""))</f>
        <v/>
      </c>
      <c r="F11" s="22" t="str">
        <f>IF(COUNTIFS('VS×ケイパビリティ関係'!$F$4:$F$494,$B11,'VS×ケイパビリティ関係'!$G$4:$G$494,F$5,'VS×ケイパビリティ関係'!$E$4:$E$494,"主")&gt;0,"●",IF(COUNTIFS('VS×ケイパビリティ関係'!$F$4:$F$494,$B11,'VS×ケイパビリティ関係'!$G$4:$G$494,F$5,'VS×ケイパビリティ関係'!$E$4:$E$494,"支援")&gt;0,"○",""))</f>
        <v>○</v>
      </c>
      <c r="G11" s="22" t="str">
        <f>IF(COUNTIFS('VS×ケイパビリティ関係'!$F$4:$F$494,$B11,'VS×ケイパビリティ関係'!$G$4:$G$494,G$5,'VS×ケイパビリティ関係'!$E$4:$E$494,"主")&gt;0,"●",IF(COUNTIFS('VS×ケイパビリティ関係'!$F$4:$F$494,$B11,'VS×ケイパビリティ関係'!$G$4:$G$494,G$5,'VS×ケイパビリティ関係'!$E$4:$E$494,"支援")&gt;0,"○",""))</f>
        <v/>
      </c>
      <c r="H11" s="22" t="str">
        <f>IF(COUNTIFS('VS×ケイパビリティ関係'!$F$4:$F$494,$B11,'VS×ケイパビリティ関係'!$G$4:$G$494,H$5,'VS×ケイパビリティ関係'!$E$4:$E$494,"主")&gt;0,"●",IF(COUNTIFS('VS×ケイパビリティ関係'!$F$4:$F$494,$B11,'VS×ケイパビリティ関係'!$G$4:$G$494,H$5,'VS×ケイパビリティ関係'!$E$4:$E$494,"支援")&gt;0,"○",""))</f>
        <v/>
      </c>
      <c r="I11" s="22" t="str">
        <f>IF(COUNTIFS('VS×ケイパビリティ関係'!$F$4:$F$494,$B11,'VS×ケイパビリティ関係'!$G$4:$G$494,I$5,'VS×ケイパビリティ関係'!$E$4:$E$494,"主")&gt;0,"●",IF(COUNTIFS('VS×ケイパビリティ関係'!$F$4:$F$494,$B11,'VS×ケイパビリティ関係'!$G$4:$G$494,I$5,'VS×ケイパビリティ関係'!$E$4:$E$494,"支援")&gt;0,"○",""))</f>
        <v/>
      </c>
      <c r="J11" s="22" t="str">
        <f>IF(COUNTIFS('VS×ケイパビリティ関係'!$F$4:$F$494,$B11,'VS×ケイパビリティ関係'!$G$4:$G$494,J$5,'VS×ケイパビリティ関係'!$E$4:$E$494,"主")&gt;0,"●",IF(COUNTIFS('VS×ケイパビリティ関係'!$F$4:$F$494,$B11,'VS×ケイパビリティ関係'!$G$4:$G$494,J$5,'VS×ケイパビリティ関係'!$E$4:$E$494,"支援")&gt;0,"○",""))</f>
        <v>○</v>
      </c>
      <c r="K11" s="22" t="str">
        <f>IF(COUNTIFS('VS×ケイパビリティ関係'!$F$4:$F$494,$B11,'VS×ケイパビリティ関係'!$G$4:$G$494,K$5,'VS×ケイパビリティ関係'!$E$4:$E$494,"主")&gt;0,"●",IF(COUNTIFS('VS×ケイパビリティ関係'!$F$4:$F$494,$B11,'VS×ケイパビリティ関係'!$G$4:$G$494,K$5,'VS×ケイパビリティ関係'!$E$4:$E$494,"支援")&gt;0,"○",""))</f>
        <v/>
      </c>
      <c r="L11" s="22" t="str">
        <f>IF(COUNTIFS('VS×ケイパビリティ関係'!$F$4:$F$494,$B11,'VS×ケイパビリティ関係'!$G$4:$G$494,L$5,'VS×ケイパビリティ関係'!$E$4:$E$494,"主")&gt;0,"●",IF(COUNTIFS('VS×ケイパビリティ関係'!$F$4:$F$494,$B11,'VS×ケイパビリティ関係'!$G$4:$G$494,L$5,'VS×ケイパビリティ関係'!$E$4:$E$494,"支援")&gt;0,"○",""))</f>
        <v>●</v>
      </c>
      <c r="M11" s="22" t="str">
        <f>IF(COUNTIFS('VS×ケイパビリティ関係'!$F$4:$F$494,$B11,'VS×ケイパビリティ関係'!$G$4:$G$494,M$5,'VS×ケイパビリティ関係'!$E$4:$E$494,"主")&gt;0,"●",IF(COUNTIFS('VS×ケイパビリティ関係'!$F$4:$F$494,$B11,'VS×ケイパビリティ関係'!$G$4:$G$494,M$5,'VS×ケイパビリティ関係'!$E$4:$E$494,"支援")&gt;0,"○",""))</f>
        <v/>
      </c>
      <c r="N11" s="22" t="str">
        <f>IF(COUNTIFS('VS×ケイパビリティ関係'!$F$4:$F$494,$B11,'VS×ケイパビリティ関係'!$G$4:$G$494,N$5,'VS×ケイパビリティ関係'!$E$4:$E$494,"主")&gt;0,"●",IF(COUNTIFS('VS×ケイパビリティ関係'!$F$4:$F$494,$B11,'VS×ケイパビリティ関係'!$G$4:$G$494,N$5,'VS×ケイパビリティ関係'!$E$4:$E$494,"支援")&gt;0,"○",""))</f>
        <v/>
      </c>
      <c r="O11" s="22" t="str">
        <f>IF(COUNTIFS('VS×ケイパビリティ関係'!$F$4:$F$494,$B11,'VS×ケイパビリティ関係'!$G$4:$G$494,O$5,'VS×ケイパビリティ関係'!$E$4:$E$494,"主")&gt;0,"●",IF(COUNTIFS('VS×ケイパビリティ関係'!$F$4:$F$494,$B11,'VS×ケイパビリティ関係'!$G$4:$G$494,O$5,'VS×ケイパビリティ関係'!$E$4:$E$494,"支援")&gt;0,"○",""))</f>
        <v/>
      </c>
      <c r="P11" s="22" t="str">
        <f>IF(COUNTIFS('VS×ケイパビリティ関係'!$F$4:$F$494,$B11,'VS×ケイパビリティ関係'!$G$4:$G$494,P$5,'VS×ケイパビリティ関係'!$E$4:$E$494,"主")&gt;0,"●",IF(COUNTIFS('VS×ケイパビリティ関係'!$F$4:$F$494,$B11,'VS×ケイパビリティ関係'!$G$4:$G$494,P$5,'VS×ケイパビリティ関係'!$E$4:$E$494,"支援")&gt;0,"○",""))</f>
        <v/>
      </c>
      <c r="Q11" s="22" t="str">
        <f>IF(COUNTIFS('VS×ケイパビリティ関係'!$F$4:$F$494,$B11,'VS×ケイパビリティ関係'!$G$4:$G$494,Q$5,'VS×ケイパビリティ関係'!$E$4:$E$494,"主")&gt;0,"●",IF(COUNTIFS('VS×ケイパビリティ関係'!$F$4:$F$494,$B11,'VS×ケイパビリティ関係'!$G$4:$G$494,Q$5,'VS×ケイパビリティ関係'!$E$4:$E$494,"支援")&gt;0,"○",""))</f>
        <v/>
      </c>
      <c r="R11" s="22" t="str">
        <f>IF(COUNTIFS('VS×ケイパビリティ関係'!$F$4:$F$494,$B11,'VS×ケイパビリティ関係'!$G$4:$G$494,R$5,'VS×ケイパビリティ関係'!$E$4:$E$494,"主")&gt;0,"●",IF(COUNTIFS('VS×ケイパビリティ関係'!$F$4:$F$494,$B11,'VS×ケイパビリティ関係'!$G$4:$G$494,R$5,'VS×ケイパビリティ関係'!$E$4:$E$494,"支援")&gt;0,"○",""))</f>
        <v/>
      </c>
      <c r="S11" s="22" t="str">
        <f>IF(COUNTIFS('VS×ケイパビリティ関係'!$F$4:$F$494,$B11,'VS×ケイパビリティ関係'!$G$4:$G$494,S$5,'VS×ケイパビリティ関係'!$E$4:$E$494,"主")&gt;0,"●",IF(COUNTIFS('VS×ケイパビリティ関係'!$F$4:$F$494,$B11,'VS×ケイパビリティ関係'!$G$4:$G$494,S$5,'VS×ケイパビリティ関係'!$E$4:$E$494,"支援")&gt;0,"○",""))</f>
        <v/>
      </c>
      <c r="T11" s="22" t="str">
        <f>IF(COUNTIFS('VS×ケイパビリティ関係'!$F$4:$F$494,$B11,'VS×ケイパビリティ関係'!$G$4:$G$494,T$5,'VS×ケイパビリティ関係'!$E$4:$E$494,"主")&gt;0,"●",IF(COUNTIFS('VS×ケイパビリティ関係'!$F$4:$F$494,$B11,'VS×ケイパビリティ関係'!$G$4:$G$494,T$5,'VS×ケイパビリティ関係'!$E$4:$E$494,"支援")&gt;0,"○",""))</f>
        <v/>
      </c>
      <c r="U11" s="22" t="str">
        <f>IF(COUNTIFS('VS×ケイパビリティ関係'!$F$4:$F$494,$B11,'VS×ケイパビリティ関係'!$G$4:$G$494,U$5,'VS×ケイパビリティ関係'!$E$4:$E$494,"主")&gt;0,"●",IF(COUNTIFS('VS×ケイパビリティ関係'!$F$4:$F$494,$B11,'VS×ケイパビリティ関係'!$G$4:$G$494,U$5,'VS×ケイパビリティ関係'!$E$4:$E$494,"支援")&gt;0,"○",""))</f>
        <v/>
      </c>
      <c r="V11" s="22" t="str">
        <f>IF(COUNTIFS('VS×ケイパビリティ関係'!$F$4:$F$494,$B11,'VS×ケイパビリティ関係'!$G$4:$G$494,V$5,'VS×ケイパビリティ関係'!$E$4:$E$494,"主")&gt;0,"●",IF(COUNTIFS('VS×ケイパビリティ関係'!$F$4:$F$494,$B11,'VS×ケイパビリティ関係'!$G$4:$G$494,V$5,'VS×ケイパビリティ関係'!$E$4:$E$494,"支援")&gt;0,"○",""))</f>
        <v/>
      </c>
      <c r="W11" s="22" t="str">
        <f>IF(COUNTIFS('VS×ケイパビリティ関係'!$F$4:$F$494,$B11,'VS×ケイパビリティ関係'!$G$4:$G$494,W$5,'VS×ケイパビリティ関係'!$E$4:$E$494,"主")&gt;0,"●",IF(COUNTIFS('VS×ケイパビリティ関係'!$F$4:$F$494,$B11,'VS×ケイパビリティ関係'!$G$4:$G$494,W$5,'VS×ケイパビリティ関係'!$E$4:$E$494,"支援")&gt;0,"○",""))</f>
        <v/>
      </c>
      <c r="X11" s="22" t="str">
        <f>IF(COUNTIFS('VS×ケイパビリティ関係'!$F$4:$F$494,$B11,'VS×ケイパビリティ関係'!$G$4:$G$494,X$5,'VS×ケイパビリティ関係'!$E$4:$E$494,"主")&gt;0,"●",IF(COUNTIFS('VS×ケイパビリティ関係'!$F$4:$F$494,$B11,'VS×ケイパビリティ関係'!$G$4:$G$494,X$5,'VS×ケイパビリティ関係'!$E$4:$E$494,"支援")&gt;0,"○",""))</f>
        <v/>
      </c>
      <c r="Y11" s="22" t="str">
        <f>IF(COUNTIFS('VS×ケイパビリティ関係'!$F$4:$F$494,$B11,'VS×ケイパビリティ関係'!$G$4:$G$494,Y$5,'VS×ケイパビリティ関係'!$E$4:$E$494,"主")&gt;0,"●",IF(COUNTIFS('VS×ケイパビリティ関係'!$F$4:$F$494,$B11,'VS×ケイパビリティ関係'!$G$4:$G$494,Y$5,'VS×ケイパビリティ関係'!$E$4:$E$494,"支援")&gt;0,"○",""))</f>
        <v/>
      </c>
      <c r="Z11" s="22" t="str">
        <f>IF(COUNTIFS('VS×ケイパビリティ関係'!$F$4:$F$494,$B11,'VS×ケイパビリティ関係'!$G$4:$G$494,Z$5,'VS×ケイパビリティ関係'!$E$4:$E$494,"主")&gt;0,"●",IF(COUNTIFS('VS×ケイパビリティ関係'!$F$4:$F$494,$B11,'VS×ケイパビリティ関係'!$G$4:$G$494,Z$5,'VS×ケイパビリティ関係'!$E$4:$E$494,"支援")&gt;0,"○",""))</f>
        <v/>
      </c>
      <c r="AA11" s="22" t="str">
        <f>IF(COUNTIFS('VS×ケイパビリティ関係'!$F$4:$F$494,$B11,'VS×ケイパビリティ関係'!$G$4:$G$494,AA$5,'VS×ケイパビリティ関係'!$E$4:$E$494,"主")&gt;0,"●",IF(COUNTIFS('VS×ケイパビリティ関係'!$F$4:$F$494,$B11,'VS×ケイパビリティ関係'!$G$4:$G$494,AA$5,'VS×ケイパビリティ関係'!$E$4:$E$494,"支援")&gt;0,"○",""))</f>
        <v/>
      </c>
      <c r="AB11" s="22" t="str">
        <f>IF(COUNTIFS('VS×ケイパビリティ関係'!$F$4:$F$494,$B11,'VS×ケイパビリティ関係'!$G$4:$G$494,AB$5,'VS×ケイパビリティ関係'!$E$4:$E$494,"主")&gt;0,"●",IF(COUNTIFS('VS×ケイパビリティ関係'!$F$4:$F$494,$B11,'VS×ケイパビリティ関係'!$G$4:$G$494,AB$5,'VS×ケイパビリティ関係'!$E$4:$E$494,"支援")&gt;0,"○",""))</f>
        <v/>
      </c>
      <c r="AC11" s="22" t="str">
        <f>IF(COUNTIFS('VS×ケイパビリティ関係'!$F$4:$F$494,$B11,'VS×ケイパビリティ関係'!$G$4:$G$494,AC$5,'VS×ケイパビリティ関係'!$E$4:$E$494,"主")&gt;0,"●",IF(COUNTIFS('VS×ケイパビリティ関係'!$F$4:$F$494,$B11,'VS×ケイパビリティ関係'!$G$4:$G$494,AC$5,'VS×ケイパビリティ関係'!$E$4:$E$494,"支援")&gt;0,"○",""))</f>
        <v/>
      </c>
      <c r="AD11" s="22" t="str">
        <f>IF(COUNTIFS('VS×ケイパビリティ関係'!$F$4:$F$494,$B11,'VS×ケイパビリティ関係'!$G$4:$G$494,AD$5,'VS×ケイパビリティ関係'!$E$4:$E$494,"主")&gt;0,"●",IF(COUNTIFS('VS×ケイパビリティ関係'!$F$4:$F$494,$B11,'VS×ケイパビリティ関係'!$G$4:$G$494,AD$5,'VS×ケイパビリティ関係'!$E$4:$E$494,"支援")&gt;0,"○",""))</f>
        <v/>
      </c>
      <c r="AE11" s="22" t="str">
        <f>IF(COUNTIFS('VS×ケイパビリティ関係'!$F$4:$F$494,$B11,'VS×ケイパビリティ関係'!$G$4:$G$494,AE$5,'VS×ケイパビリティ関係'!$E$4:$E$494,"主")&gt;0,"●",IF(COUNTIFS('VS×ケイパビリティ関係'!$F$4:$F$494,$B11,'VS×ケイパビリティ関係'!$G$4:$G$494,AE$5,'VS×ケイパビリティ関係'!$E$4:$E$494,"支援")&gt;0,"○",""))</f>
        <v/>
      </c>
      <c r="AF11" s="22" t="str">
        <f>IF(COUNTIFS('VS×ケイパビリティ関係'!$F$4:$F$494,$B11,'VS×ケイパビリティ関係'!$G$4:$G$494,AF$5,'VS×ケイパビリティ関係'!$E$4:$E$494,"主")&gt;0,"●",IF(COUNTIFS('VS×ケイパビリティ関係'!$F$4:$F$494,$B11,'VS×ケイパビリティ関係'!$G$4:$G$494,AF$5,'VS×ケイパビリティ関係'!$E$4:$E$494,"支援")&gt;0,"○",""))</f>
        <v/>
      </c>
      <c r="AG11" s="22" t="str">
        <f>IF(COUNTIFS('VS×ケイパビリティ関係'!$F$4:$F$494,$B11,'VS×ケイパビリティ関係'!$G$4:$G$494,AG$5,'VS×ケイパビリティ関係'!$E$4:$E$494,"主")&gt;0,"●",IF(COUNTIFS('VS×ケイパビリティ関係'!$F$4:$F$494,$B11,'VS×ケイパビリティ関係'!$G$4:$G$494,AG$5,'VS×ケイパビリティ関係'!$E$4:$E$494,"支援")&gt;0,"○",""))</f>
        <v/>
      </c>
      <c r="AH11" s="22" t="str">
        <f>IF(COUNTIFS('VS×ケイパビリティ関係'!$F$4:$F$494,$B11,'VS×ケイパビリティ関係'!$G$4:$G$494,AH$5,'VS×ケイパビリティ関係'!$E$4:$E$494,"主")&gt;0,"●",IF(COUNTIFS('VS×ケイパビリティ関係'!$F$4:$F$494,$B11,'VS×ケイパビリティ関係'!$G$4:$G$494,AH$5,'VS×ケイパビリティ関係'!$E$4:$E$494,"支援")&gt;0,"○",""))</f>
        <v/>
      </c>
      <c r="AI11" s="22" t="str">
        <f>IF(COUNTIFS('VS×ケイパビリティ関係'!$F$4:$F$494,$B11,'VS×ケイパビリティ関係'!$G$4:$G$494,AI$5,'VS×ケイパビリティ関係'!$E$4:$E$494,"主")&gt;0,"●",IF(COUNTIFS('VS×ケイパビリティ関係'!$F$4:$F$494,$B11,'VS×ケイパビリティ関係'!$G$4:$G$494,AI$5,'VS×ケイパビリティ関係'!$E$4:$E$494,"支援")&gt;0,"○",""))</f>
        <v/>
      </c>
      <c r="AJ11" s="22" t="str">
        <f>IF(COUNTIFS('VS×ケイパビリティ関係'!$F$4:$F$494,$B11,'VS×ケイパビリティ関係'!$G$4:$G$494,AJ$5,'VS×ケイパビリティ関係'!$E$4:$E$494,"主")&gt;0,"●",IF(COUNTIFS('VS×ケイパビリティ関係'!$F$4:$F$494,$B11,'VS×ケイパビリティ関係'!$G$4:$G$494,AJ$5,'VS×ケイパビリティ関係'!$E$4:$E$494,"支援")&gt;0,"○",""))</f>
        <v/>
      </c>
      <c r="AK11" s="22" t="str">
        <f>IF(COUNTIFS('VS×ケイパビリティ関係'!$F$4:$F$494,$B11,'VS×ケイパビリティ関係'!$G$4:$G$494,AK$5,'VS×ケイパビリティ関係'!$E$4:$E$494,"主")&gt;0,"●",IF(COUNTIFS('VS×ケイパビリティ関係'!$F$4:$F$494,$B11,'VS×ケイパビリティ関係'!$G$4:$G$494,AK$5,'VS×ケイパビリティ関係'!$E$4:$E$494,"支援")&gt;0,"○",""))</f>
        <v/>
      </c>
      <c r="AL11" s="22" t="str">
        <f>IF(COUNTIFS('VS×ケイパビリティ関係'!$F$4:$F$494,$B11,'VS×ケイパビリティ関係'!$G$4:$G$494,AL$5,'VS×ケイパビリティ関係'!$E$4:$E$494,"主")&gt;0,"●",IF(COUNTIFS('VS×ケイパビリティ関係'!$F$4:$F$494,$B11,'VS×ケイパビリティ関係'!$G$4:$G$494,AL$5,'VS×ケイパビリティ関係'!$E$4:$E$494,"支援")&gt;0,"○",""))</f>
        <v/>
      </c>
      <c r="AM11" s="22" t="str">
        <f>IF(COUNTIFS('VS×ケイパビリティ関係'!$F$4:$F$494,$B11,'VS×ケイパビリティ関係'!$G$4:$G$494,AM$5,'VS×ケイパビリティ関係'!$E$4:$E$494,"主")&gt;0,"●",IF(COUNTIFS('VS×ケイパビリティ関係'!$F$4:$F$494,$B11,'VS×ケイパビリティ関係'!$G$4:$G$494,AM$5,'VS×ケイパビリティ関係'!$E$4:$E$494,"支援")&gt;0,"○",""))</f>
        <v/>
      </c>
      <c r="AN11" s="22" t="str">
        <f>IF(COUNTIFS('VS×ケイパビリティ関係'!$F$4:$F$494,$B11,'VS×ケイパビリティ関係'!$G$4:$G$494,AN$5,'VS×ケイパビリティ関係'!$E$4:$E$494,"主")&gt;0,"●",IF(COUNTIFS('VS×ケイパビリティ関係'!$F$4:$F$494,$B11,'VS×ケイパビリティ関係'!$G$4:$G$494,AN$5,'VS×ケイパビリティ関係'!$E$4:$E$494,"支援")&gt;0,"○",""))</f>
        <v/>
      </c>
      <c r="AO11" s="22" t="str">
        <f>IF(COUNTIFS('VS×ケイパビリティ関係'!$F$4:$F$494,$B11,'VS×ケイパビリティ関係'!$G$4:$G$494,AO$5,'VS×ケイパビリティ関係'!$E$4:$E$494,"主")&gt;0,"●",IF(COUNTIFS('VS×ケイパビリティ関係'!$F$4:$F$494,$B11,'VS×ケイパビリティ関係'!$G$4:$G$494,AO$5,'VS×ケイパビリティ関係'!$E$4:$E$494,"支援")&gt;0,"○",""))</f>
        <v/>
      </c>
      <c r="AP11" s="22" t="str">
        <f>IF(COUNTIFS('VS×ケイパビリティ関係'!$F$4:$F$494,$B11,'VS×ケイパビリティ関係'!$G$4:$G$494,AP$5,'VS×ケイパビリティ関係'!$E$4:$E$494,"主")&gt;0,"●",IF(COUNTIFS('VS×ケイパビリティ関係'!$F$4:$F$494,$B11,'VS×ケイパビリティ関係'!$G$4:$G$494,AP$5,'VS×ケイパビリティ関係'!$E$4:$E$494,"支援")&gt;0,"○",""))</f>
        <v/>
      </c>
      <c r="AQ11" s="22" t="str">
        <f>IF(COUNTIFS('VS×ケイパビリティ関係'!$F$4:$F$494,$B11,'VS×ケイパビリティ関係'!$G$4:$G$494,AQ$5,'VS×ケイパビリティ関係'!$E$4:$E$494,"主")&gt;0,"●",IF(COUNTIFS('VS×ケイパビリティ関係'!$F$4:$F$494,$B11,'VS×ケイパビリティ関係'!$G$4:$G$494,AQ$5,'VS×ケイパビリティ関係'!$E$4:$E$494,"支援")&gt;0,"○",""))</f>
        <v/>
      </c>
      <c r="AR11" s="22" t="str">
        <f>IF(COUNTIFS('VS×ケイパビリティ関係'!$F$4:$F$494,$B11,'VS×ケイパビリティ関係'!$G$4:$G$494,AR$5,'VS×ケイパビリティ関係'!$E$4:$E$494,"主")&gt;0,"●",IF(COUNTIFS('VS×ケイパビリティ関係'!$F$4:$F$494,$B11,'VS×ケイパビリティ関係'!$G$4:$G$494,AR$5,'VS×ケイパビリティ関係'!$E$4:$E$494,"支援")&gt;0,"○",""))</f>
        <v/>
      </c>
      <c r="AS11" s="22" t="str">
        <f>IF(COUNTIFS('VS×ケイパビリティ関係'!$F$4:$F$494,$B11,'VS×ケイパビリティ関係'!$G$4:$G$494,AS$5,'VS×ケイパビリティ関係'!$E$4:$E$494,"主")&gt;0,"●",IF(COUNTIFS('VS×ケイパビリティ関係'!$F$4:$F$494,$B11,'VS×ケイパビリティ関係'!$G$4:$G$494,AS$5,'VS×ケイパビリティ関係'!$E$4:$E$494,"支援")&gt;0,"○",""))</f>
        <v/>
      </c>
      <c r="AT11" s="22" t="str">
        <f>IF(COUNTIFS('VS×ケイパビリティ関係'!$F$4:$F$494,$B11,'VS×ケイパビリティ関係'!$G$4:$G$494,AT$5,'VS×ケイパビリティ関係'!$E$4:$E$494,"主")&gt;0,"●",IF(COUNTIFS('VS×ケイパビリティ関係'!$F$4:$F$494,$B11,'VS×ケイパビリティ関係'!$G$4:$G$494,AT$5,'VS×ケイパビリティ関係'!$E$4:$E$494,"支援")&gt;0,"○",""))</f>
        <v/>
      </c>
      <c r="AU11" s="22" t="str">
        <f>IF(COUNTIFS('VS×ケイパビリティ関係'!$F$4:$F$494,$B11,'VS×ケイパビリティ関係'!$G$4:$G$494,AU$5,'VS×ケイパビリティ関係'!$E$4:$E$494,"主")&gt;0,"●",IF(COUNTIFS('VS×ケイパビリティ関係'!$F$4:$F$494,$B11,'VS×ケイパビリティ関係'!$G$4:$G$494,AU$5,'VS×ケイパビリティ関係'!$E$4:$E$494,"支援")&gt;0,"○",""))</f>
        <v/>
      </c>
      <c r="AV11" s="22" t="str">
        <f>IF(COUNTIFS('VS×ケイパビリティ関係'!$F$4:$F$494,$B11,'VS×ケイパビリティ関係'!$G$4:$G$494,AV$5,'VS×ケイパビリティ関係'!$E$4:$E$494,"主")&gt;0,"●",IF(COUNTIFS('VS×ケイパビリティ関係'!$F$4:$F$494,$B11,'VS×ケイパビリティ関係'!$G$4:$G$494,AV$5,'VS×ケイパビリティ関係'!$E$4:$E$494,"支援")&gt;0,"○",""))</f>
        <v/>
      </c>
      <c r="AW11" s="22" t="str">
        <f>IF(COUNTIFS('VS×ケイパビリティ関係'!$F$4:$F$494,$B11,'VS×ケイパビリティ関係'!$G$4:$G$494,AW$5,'VS×ケイパビリティ関係'!$E$4:$E$494,"主")&gt;0,"●",IF(COUNTIFS('VS×ケイパビリティ関係'!$F$4:$F$494,$B11,'VS×ケイパビリティ関係'!$G$4:$G$494,AW$5,'VS×ケイパビリティ関係'!$E$4:$E$494,"支援")&gt;0,"○",""))</f>
        <v/>
      </c>
      <c r="AX11" s="22" t="str">
        <f>IF(COUNTIFS('VS×ケイパビリティ関係'!$F$4:$F$494,$B11,'VS×ケイパビリティ関係'!$G$4:$G$494,AX$5,'VS×ケイパビリティ関係'!$E$4:$E$494,"主")&gt;0,"●",IF(COUNTIFS('VS×ケイパビリティ関係'!$F$4:$F$494,$B11,'VS×ケイパビリティ関係'!$G$4:$G$494,AX$5,'VS×ケイパビリティ関係'!$E$4:$E$494,"支援")&gt;0,"○",""))</f>
        <v/>
      </c>
      <c r="AY11" s="22" t="str">
        <f>IF(COUNTIFS('VS×ケイパビリティ関係'!$F$4:$F$494,$B11,'VS×ケイパビリティ関係'!$G$4:$G$494,AY$5,'VS×ケイパビリティ関係'!$E$4:$E$494,"主")&gt;0,"●",IF(COUNTIFS('VS×ケイパビリティ関係'!$F$4:$F$494,$B11,'VS×ケイパビリティ関係'!$G$4:$G$494,AY$5,'VS×ケイパビリティ関係'!$E$4:$E$494,"支援")&gt;0,"○",""))</f>
        <v/>
      </c>
      <c r="AZ11" s="22" t="str">
        <f>IF(COUNTIFS('VS×ケイパビリティ関係'!$F$4:$F$494,$B11,'VS×ケイパビリティ関係'!$G$4:$G$494,AZ$5,'VS×ケイパビリティ関係'!$E$4:$E$494,"主")&gt;0,"●",IF(COUNTIFS('VS×ケイパビリティ関係'!$F$4:$F$494,$B11,'VS×ケイパビリティ関係'!$G$4:$G$494,AZ$5,'VS×ケイパビリティ関係'!$E$4:$E$494,"支援")&gt;0,"○",""))</f>
        <v/>
      </c>
      <c r="BA11" s="22" t="str">
        <f>IF(COUNTIFS('VS×ケイパビリティ関係'!$F$4:$F$494,$B11,'VS×ケイパビリティ関係'!$G$4:$G$494,BA$5,'VS×ケイパビリティ関係'!$E$4:$E$494,"主")&gt;0,"●",IF(COUNTIFS('VS×ケイパビリティ関係'!$F$4:$F$494,$B11,'VS×ケイパビリティ関係'!$G$4:$G$494,BA$5,'VS×ケイパビリティ関係'!$E$4:$E$494,"支援")&gt;0,"○",""))</f>
        <v/>
      </c>
      <c r="BB11" s="22" t="str">
        <f>IF(COUNTIFS('VS×ケイパビリティ関係'!$F$4:$F$494,$B11,'VS×ケイパビリティ関係'!$G$4:$G$494,BB$5,'VS×ケイパビリティ関係'!$E$4:$E$494,"主")&gt;0,"●",IF(COUNTIFS('VS×ケイパビリティ関係'!$F$4:$F$494,$B11,'VS×ケイパビリティ関係'!$G$4:$G$494,BB$5,'VS×ケイパビリティ関係'!$E$4:$E$494,"支援")&gt;0,"○",""))</f>
        <v/>
      </c>
      <c r="BC11" s="22" t="str">
        <f>IF(COUNTIFS('VS×ケイパビリティ関係'!$F$4:$F$494,$B11,'VS×ケイパビリティ関係'!$G$4:$G$494,BC$5,'VS×ケイパビリティ関係'!$E$4:$E$494,"主")&gt;0,"●",IF(COUNTIFS('VS×ケイパビリティ関係'!$F$4:$F$494,$B11,'VS×ケイパビリティ関係'!$G$4:$G$494,BC$5,'VS×ケイパビリティ関係'!$E$4:$E$494,"支援")&gt;0,"○",""))</f>
        <v/>
      </c>
      <c r="BD11" s="22" t="str">
        <f>IF(COUNTIFS('VS×ケイパビリティ関係'!$F$4:$F$494,$B11,'VS×ケイパビリティ関係'!$G$4:$G$494,BD$5,'VS×ケイパビリティ関係'!$E$4:$E$494,"主")&gt;0,"●",IF(COUNTIFS('VS×ケイパビリティ関係'!$F$4:$F$494,$B11,'VS×ケイパビリティ関係'!$G$4:$G$494,BD$5,'VS×ケイパビリティ関係'!$E$4:$E$494,"支援")&gt;0,"○",""))</f>
        <v/>
      </c>
      <c r="BE11" s="22">
        <f t="shared" si="1"/>
        <v>1</v>
      </c>
      <c r="BF11" s="22">
        <f t="shared" si="2"/>
        <v>2</v>
      </c>
    </row>
    <row r="12" ht="15.0" customHeight="1">
      <c r="A12" s="42"/>
      <c r="B12" s="22" t="s">
        <v>542</v>
      </c>
      <c r="C12" s="25" t="s">
        <v>547</v>
      </c>
      <c r="D12" s="22" t="str">
        <f>IF(COUNTIFS('VS×ケイパビリティ関係'!$F$4:$F$494,$B12,'VS×ケイパビリティ関係'!$G$4:$G$494,D$5,'VS×ケイパビリティ関係'!$E$4:$E$494,"主")&gt;0,"●",IF(COUNTIFS('VS×ケイパビリティ関係'!$F$4:$F$494,$B12,'VS×ケイパビリティ関係'!$G$4:$G$494,D$5,'VS×ケイパビリティ関係'!$E$4:$E$494,"支援")&gt;0,"○",""))</f>
        <v/>
      </c>
      <c r="E12" s="22" t="str">
        <f>IF(COUNTIFS('VS×ケイパビリティ関係'!$F$4:$F$494,$B12,'VS×ケイパビリティ関係'!$G$4:$G$494,E$5,'VS×ケイパビリティ関係'!$E$4:$E$494,"主")&gt;0,"●",IF(COUNTIFS('VS×ケイパビリティ関係'!$F$4:$F$494,$B12,'VS×ケイパビリティ関係'!$G$4:$G$494,E$5,'VS×ケイパビリティ関係'!$E$4:$E$494,"支援")&gt;0,"○",""))</f>
        <v/>
      </c>
      <c r="F12" s="22" t="str">
        <f>IF(COUNTIFS('VS×ケイパビリティ関係'!$F$4:$F$494,$B12,'VS×ケイパビリティ関係'!$G$4:$G$494,F$5,'VS×ケイパビリティ関係'!$E$4:$E$494,"主")&gt;0,"●",IF(COUNTIFS('VS×ケイパビリティ関係'!$F$4:$F$494,$B12,'VS×ケイパビリティ関係'!$G$4:$G$494,F$5,'VS×ケイパビリティ関係'!$E$4:$E$494,"支援")&gt;0,"○",""))</f>
        <v>○</v>
      </c>
      <c r="G12" s="22" t="str">
        <f>IF(COUNTIFS('VS×ケイパビリティ関係'!$F$4:$F$494,$B12,'VS×ケイパビリティ関係'!$G$4:$G$494,G$5,'VS×ケイパビリティ関係'!$E$4:$E$494,"主")&gt;0,"●",IF(COUNTIFS('VS×ケイパビリティ関係'!$F$4:$F$494,$B12,'VS×ケイパビリティ関係'!$G$4:$G$494,G$5,'VS×ケイパビリティ関係'!$E$4:$E$494,"支援")&gt;0,"○",""))</f>
        <v/>
      </c>
      <c r="H12" s="22" t="str">
        <f>IF(COUNTIFS('VS×ケイパビリティ関係'!$F$4:$F$494,$B12,'VS×ケイパビリティ関係'!$G$4:$G$494,H$5,'VS×ケイパビリティ関係'!$E$4:$E$494,"主")&gt;0,"●",IF(COUNTIFS('VS×ケイパビリティ関係'!$F$4:$F$494,$B12,'VS×ケイパビリティ関係'!$G$4:$G$494,H$5,'VS×ケイパビリティ関係'!$E$4:$E$494,"支援")&gt;0,"○",""))</f>
        <v/>
      </c>
      <c r="I12" s="22" t="str">
        <f>IF(COUNTIFS('VS×ケイパビリティ関係'!$F$4:$F$494,$B12,'VS×ケイパビリティ関係'!$G$4:$G$494,I$5,'VS×ケイパビリティ関係'!$E$4:$E$494,"主")&gt;0,"●",IF(COUNTIFS('VS×ケイパビリティ関係'!$F$4:$F$494,$B12,'VS×ケイパビリティ関係'!$G$4:$G$494,I$5,'VS×ケイパビリティ関係'!$E$4:$E$494,"支援")&gt;0,"○",""))</f>
        <v/>
      </c>
      <c r="J12" s="22" t="str">
        <f>IF(COUNTIFS('VS×ケイパビリティ関係'!$F$4:$F$494,$B12,'VS×ケイパビリティ関係'!$G$4:$G$494,J$5,'VS×ケイパビリティ関係'!$E$4:$E$494,"主")&gt;0,"●",IF(COUNTIFS('VS×ケイパビリティ関係'!$F$4:$F$494,$B12,'VS×ケイパビリティ関係'!$G$4:$G$494,J$5,'VS×ケイパビリティ関係'!$E$4:$E$494,"支援")&gt;0,"○",""))</f>
        <v/>
      </c>
      <c r="K12" s="22" t="str">
        <f>IF(COUNTIFS('VS×ケイパビリティ関係'!$F$4:$F$494,$B12,'VS×ケイパビリティ関係'!$G$4:$G$494,K$5,'VS×ケイパビリティ関係'!$E$4:$E$494,"主")&gt;0,"●",IF(COUNTIFS('VS×ケイパビリティ関係'!$F$4:$F$494,$B12,'VS×ケイパビリティ関係'!$G$4:$G$494,K$5,'VS×ケイパビリティ関係'!$E$4:$E$494,"支援")&gt;0,"○",""))</f>
        <v/>
      </c>
      <c r="L12" s="22" t="str">
        <f>IF(COUNTIFS('VS×ケイパビリティ関係'!$F$4:$F$494,$B12,'VS×ケイパビリティ関係'!$G$4:$G$494,L$5,'VS×ケイパビリティ関係'!$E$4:$E$494,"主")&gt;0,"●",IF(COUNTIFS('VS×ケイパビリティ関係'!$F$4:$F$494,$B12,'VS×ケイパビリティ関係'!$G$4:$G$494,L$5,'VS×ケイパビリティ関係'!$E$4:$E$494,"支援")&gt;0,"○",""))</f>
        <v/>
      </c>
      <c r="M12" s="22" t="str">
        <f>IF(COUNTIFS('VS×ケイパビリティ関係'!$F$4:$F$494,$B12,'VS×ケイパビリティ関係'!$G$4:$G$494,M$5,'VS×ケイパビリティ関係'!$E$4:$E$494,"主")&gt;0,"●",IF(COUNTIFS('VS×ケイパビリティ関係'!$F$4:$F$494,$B12,'VS×ケイパビリティ関係'!$G$4:$G$494,M$5,'VS×ケイパビリティ関係'!$E$4:$E$494,"支援")&gt;0,"○",""))</f>
        <v/>
      </c>
      <c r="N12" s="22" t="str">
        <f>IF(COUNTIFS('VS×ケイパビリティ関係'!$F$4:$F$494,$B12,'VS×ケイパビリティ関係'!$G$4:$G$494,N$5,'VS×ケイパビリティ関係'!$E$4:$E$494,"主")&gt;0,"●",IF(COUNTIFS('VS×ケイパビリティ関係'!$F$4:$F$494,$B12,'VS×ケイパビリティ関係'!$G$4:$G$494,N$5,'VS×ケイパビリティ関係'!$E$4:$E$494,"支援")&gt;0,"○",""))</f>
        <v>●</v>
      </c>
      <c r="O12" s="22" t="str">
        <f>IF(COUNTIFS('VS×ケイパビリティ関係'!$F$4:$F$494,$B12,'VS×ケイパビリティ関係'!$G$4:$G$494,O$5,'VS×ケイパビリティ関係'!$E$4:$E$494,"主")&gt;0,"●",IF(COUNTIFS('VS×ケイパビリティ関係'!$F$4:$F$494,$B12,'VS×ケイパビリティ関係'!$G$4:$G$494,O$5,'VS×ケイパビリティ関係'!$E$4:$E$494,"支援")&gt;0,"○",""))</f>
        <v>●</v>
      </c>
      <c r="P12" s="22" t="str">
        <f>IF(COUNTIFS('VS×ケイパビリティ関係'!$F$4:$F$494,$B12,'VS×ケイパビリティ関係'!$G$4:$G$494,P$5,'VS×ケイパビリティ関係'!$E$4:$E$494,"主")&gt;0,"●",IF(COUNTIFS('VS×ケイパビリティ関係'!$F$4:$F$494,$B12,'VS×ケイパビリティ関係'!$G$4:$G$494,P$5,'VS×ケイパビリティ関係'!$E$4:$E$494,"支援")&gt;0,"○",""))</f>
        <v/>
      </c>
      <c r="Q12" s="22" t="str">
        <f>IF(COUNTIFS('VS×ケイパビリティ関係'!$F$4:$F$494,$B12,'VS×ケイパビリティ関係'!$G$4:$G$494,Q$5,'VS×ケイパビリティ関係'!$E$4:$E$494,"主")&gt;0,"●",IF(COUNTIFS('VS×ケイパビリティ関係'!$F$4:$F$494,$B12,'VS×ケイパビリティ関係'!$G$4:$G$494,Q$5,'VS×ケイパビリティ関係'!$E$4:$E$494,"支援")&gt;0,"○",""))</f>
        <v/>
      </c>
      <c r="R12" s="22" t="str">
        <f>IF(COUNTIFS('VS×ケイパビリティ関係'!$F$4:$F$494,$B12,'VS×ケイパビリティ関係'!$G$4:$G$494,R$5,'VS×ケイパビリティ関係'!$E$4:$E$494,"主")&gt;0,"●",IF(COUNTIFS('VS×ケイパビリティ関係'!$F$4:$F$494,$B12,'VS×ケイパビリティ関係'!$G$4:$G$494,R$5,'VS×ケイパビリティ関係'!$E$4:$E$494,"支援")&gt;0,"○",""))</f>
        <v/>
      </c>
      <c r="S12" s="22" t="str">
        <f>IF(COUNTIFS('VS×ケイパビリティ関係'!$F$4:$F$494,$B12,'VS×ケイパビリティ関係'!$G$4:$G$494,S$5,'VS×ケイパビリティ関係'!$E$4:$E$494,"主")&gt;0,"●",IF(COUNTIFS('VS×ケイパビリティ関係'!$F$4:$F$494,$B12,'VS×ケイパビリティ関係'!$G$4:$G$494,S$5,'VS×ケイパビリティ関係'!$E$4:$E$494,"支援")&gt;0,"○",""))</f>
        <v/>
      </c>
      <c r="T12" s="22" t="str">
        <f>IF(COUNTIFS('VS×ケイパビリティ関係'!$F$4:$F$494,$B12,'VS×ケイパビリティ関係'!$G$4:$G$494,T$5,'VS×ケイパビリティ関係'!$E$4:$E$494,"主")&gt;0,"●",IF(COUNTIFS('VS×ケイパビリティ関係'!$F$4:$F$494,$B12,'VS×ケイパビリティ関係'!$G$4:$G$494,T$5,'VS×ケイパビリティ関係'!$E$4:$E$494,"支援")&gt;0,"○",""))</f>
        <v/>
      </c>
      <c r="U12" s="22" t="str">
        <f>IF(COUNTIFS('VS×ケイパビリティ関係'!$F$4:$F$494,$B12,'VS×ケイパビリティ関係'!$G$4:$G$494,U$5,'VS×ケイパビリティ関係'!$E$4:$E$494,"主")&gt;0,"●",IF(COUNTIFS('VS×ケイパビリティ関係'!$F$4:$F$494,$B12,'VS×ケイパビリティ関係'!$G$4:$G$494,U$5,'VS×ケイパビリティ関係'!$E$4:$E$494,"支援")&gt;0,"○",""))</f>
        <v/>
      </c>
      <c r="V12" s="22" t="str">
        <f>IF(COUNTIFS('VS×ケイパビリティ関係'!$F$4:$F$494,$B12,'VS×ケイパビリティ関係'!$G$4:$G$494,V$5,'VS×ケイパビリティ関係'!$E$4:$E$494,"主")&gt;0,"●",IF(COUNTIFS('VS×ケイパビリティ関係'!$F$4:$F$494,$B12,'VS×ケイパビリティ関係'!$G$4:$G$494,V$5,'VS×ケイパビリティ関係'!$E$4:$E$494,"支援")&gt;0,"○",""))</f>
        <v/>
      </c>
      <c r="W12" s="22" t="str">
        <f>IF(COUNTIFS('VS×ケイパビリティ関係'!$F$4:$F$494,$B12,'VS×ケイパビリティ関係'!$G$4:$G$494,W$5,'VS×ケイパビリティ関係'!$E$4:$E$494,"主")&gt;0,"●",IF(COUNTIFS('VS×ケイパビリティ関係'!$F$4:$F$494,$B12,'VS×ケイパビリティ関係'!$G$4:$G$494,W$5,'VS×ケイパビリティ関係'!$E$4:$E$494,"支援")&gt;0,"○",""))</f>
        <v/>
      </c>
      <c r="X12" s="22" t="str">
        <f>IF(COUNTIFS('VS×ケイパビリティ関係'!$F$4:$F$494,$B12,'VS×ケイパビリティ関係'!$G$4:$G$494,X$5,'VS×ケイパビリティ関係'!$E$4:$E$494,"主")&gt;0,"●",IF(COUNTIFS('VS×ケイパビリティ関係'!$F$4:$F$494,$B12,'VS×ケイパビリティ関係'!$G$4:$G$494,X$5,'VS×ケイパビリティ関係'!$E$4:$E$494,"支援")&gt;0,"○",""))</f>
        <v/>
      </c>
      <c r="Y12" s="22" t="str">
        <f>IF(COUNTIFS('VS×ケイパビリティ関係'!$F$4:$F$494,$B12,'VS×ケイパビリティ関係'!$G$4:$G$494,Y$5,'VS×ケイパビリティ関係'!$E$4:$E$494,"主")&gt;0,"●",IF(COUNTIFS('VS×ケイパビリティ関係'!$F$4:$F$494,$B12,'VS×ケイパビリティ関係'!$G$4:$G$494,Y$5,'VS×ケイパビリティ関係'!$E$4:$E$494,"支援")&gt;0,"○",""))</f>
        <v/>
      </c>
      <c r="Z12" s="22" t="str">
        <f>IF(COUNTIFS('VS×ケイパビリティ関係'!$F$4:$F$494,$B12,'VS×ケイパビリティ関係'!$G$4:$G$494,Z$5,'VS×ケイパビリティ関係'!$E$4:$E$494,"主")&gt;0,"●",IF(COUNTIFS('VS×ケイパビリティ関係'!$F$4:$F$494,$B12,'VS×ケイパビリティ関係'!$G$4:$G$494,Z$5,'VS×ケイパビリティ関係'!$E$4:$E$494,"支援")&gt;0,"○",""))</f>
        <v/>
      </c>
      <c r="AA12" s="22" t="str">
        <f>IF(COUNTIFS('VS×ケイパビリティ関係'!$F$4:$F$494,$B12,'VS×ケイパビリティ関係'!$G$4:$G$494,AA$5,'VS×ケイパビリティ関係'!$E$4:$E$494,"主")&gt;0,"●",IF(COUNTIFS('VS×ケイパビリティ関係'!$F$4:$F$494,$B12,'VS×ケイパビリティ関係'!$G$4:$G$494,AA$5,'VS×ケイパビリティ関係'!$E$4:$E$494,"支援")&gt;0,"○",""))</f>
        <v/>
      </c>
      <c r="AB12" s="22" t="str">
        <f>IF(COUNTIFS('VS×ケイパビリティ関係'!$F$4:$F$494,$B12,'VS×ケイパビリティ関係'!$G$4:$G$494,AB$5,'VS×ケイパビリティ関係'!$E$4:$E$494,"主")&gt;0,"●",IF(COUNTIFS('VS×ケイパビリティ関係'!$F$4:$F$494,$B12,'VS×ケイパビリティ関係'!$G$4:$G$494,AB$5,'VS×ケイパビリティ関係'!$E$4:$E$494,"支援")&gt;0,"○",""))</f>
        <v/>
      </c>
      <c r="AC12" s="22" t="str">
        <f>IF(COUNTIFS('VS×ケイパビリティ関係'!$F$4:$F$494,$B12,'VS×ケイパビリティ関係'!$G$4:$G$494,AC$5,'VS×ケイパビリティ関係'!$E$4:$E$494,"主")&gt;0,"●",IF(COUNTIFS('VS×ケイパビリティ関係'!$F$4:$F$494,$B12,'VS×ケイパビリティ関係'!$G$4:$G$494,AC$5,'VS×ケイパビリティ関係'!$E$4:$E$494,"支援")&gt;0,"○",""))</f>
        <v/>
      </c>
      <c r="AD12" s="22" t="str">
        <f>IF(COUNTIFS('VS×ケイパビリティ関係'!$F$4:$F$494,$B12,'VS×ケイパビリティ関係'!$G$4:$G$494,AD$5,'VS×ケイパビリティ関係'!$E$4:$E$494,"主")&gt;0,"●",IF(COUNTIFS('VS×ケイパビリティ関係'!$F$4:$F$494,$B12,'VS×ケイパビリティ関係'!$G$4:$G$494,AD$5,'VS×ケイパビリティ関係'!$E$4:$E$494,"支援")&gt;0,"○",""))</f>
        <v/>
      </c>
      <c r="AE12" s="22" t="str">
        <f>IF(COUNTIFS('VS×ケイパビリティ関係'!$F$4:$F$494,$B12,'VS×ケイパビリティ関係'!$G$4:$G$494,AE$5,'VS×ケイパビリティ関係'!$E$4:$E$494,"主")&gt;0,"●",IF(COUNTIFS('VS×ケイパビリティ関係'!$F$4:$F$494,$B12,'VS×ケイパビリティ関係'!$G$4:$G$494,AE$5,'VS×ケイパビリティ関係'!$E$4:$E$494,"支援")&gt;0,"○",""))</f>
        <v/>
      </c>
      <c r="AF12" s="22" t="str">
        <f>IF(COUNTIFS('VS×ケイパビリティ関係'!$F$4:$F$494,$B12,'VS×ケイパビリティ関係'!$G$4:$G$494,AF$5,'VS×ケイパビリティ関係'!$E$4:$E$494,"主")&gt;0,"●",IF(COUNTIFS('VS×ケイパビリティ関係'!$F$4:$F$494,$B12,'VS×ケイパビリティ関係'!$G$4:$G$494,AF$5,'VS×ケイパビリティ関係'!$E$4:$E$494,"支援")&gt;0,"○",""))</f>
        <v/>
      </c>
      <c r="AG12" s="22" t="str">
        <f>IF(COUNTIFS('VS×ケイパビリティ関係'!$F$4:$F$494,$B12,'VS×ケイパビリティ関係'!$G$4:$G$494,AG$5,'VS×ケイパビリティ関係'!$E$4:$E$494,"主")&gt;0,"●",IF(COUNTIFS('VS×ケイパビリティ関係'!$F$4:$F$494,$B12,'VS×ケイパビリティ関係'!$G$4:$G$494,AG$5,'VS×ケイパビリティ関係'!$E$4:$E$494,"支援")&gt;0,"○",""))</f>
        <v/>
      </c>
      <c r="AH12" s="22" t="str">
        <f>IF(COUNTIFS('VS×ケイパビリティ関係'!$F$4:$F$494,$B12,'VS×ケイパビリティ関係'!$G$4:$G$494,AH$5,'VS×ケイパビリティ関係'!$E$4:$E$494,"主")&gt;0,"●",IF(COUNTIFS('VS×ケイパビリティ関係'!$F$4:$F$494,$B12,'VS×ケイパビリティ関係'!$G$4:$G$494,AH$5,'VS×ケイパビリティ関係'!$E$4:$E$494,"支援")&gt;0,"○",""))</f>
        <v/>
      </c>
      <c r="AI12" s="22" t="str">
        <f>IF(COUNTIFS('VS×ケイパビリティ関係'!$F$4:$F$494,$B12,'VS×ケイパビリティ関係'!$G$4:$G$494,AI$5,'VS×ケイパビリティ関係'!$E$4:$E$494,"主")&gt;0,"●",IF(COUNTIFS('VS×ケイパビリティ関係'!$F$4:$F$494,$B12,'VS×ケイパビリティ関係'!$G$4:$G$494,AI$5,'VS×ケイパビリティ関係'!$E$4:$E$494,"支援")&gt;0,"○",""))</f>
        <v/>
      </c>
      <c r="AJ12" s="22" t="str">
        <f>IF(COUNTIFS('VS×ケイパビリティ関係'!$F$4:$F$494,$B12,'VS×ケイパビリティ関係'!$G$4:$G$494,AJ$5,'VS×ケイパビリティ関係'!$E$4:$E$494,"主")&gt;0,"●",IF(COUNTIFS('VS×ケイパビリティ関係'!$F$4:$F$494,$B12,'VS×ケイパビリティ関係'!$G$4:$G$494,AJ$5,'VS×ケイパビリティ関係'!$E$4:$E$494,"支援")&gt;0,"○",""))</f>
        <v/>
      </c>
      <c r="AK12" s="22" t="str">
        <f>IF(COUNTIFS('VS×ケイパビリティ関係'!$F$4:$F$494,$B12,'VS×ケイパビリティ関係'!$G$4:$G$494,AK$5,'VS×ケイパビリティ関係'!$E$4:$E$494,"主")&gt;0,"●",IF(COUNTIFS('VS×ケイパビリティ関係'!$F$4:$F$494,$B12,'VS×ケイパビリティ関係'!$G$4:$G$494,AK$5,'VS×ケイパビリティ関係'!$E$4:$E$494,"支援")&gt;0,"○",""))</f>
        <v/>
      </c>
      <c r="AL12" s="22" t="str">
        <f>IF(COUNTIFS('VS×ケイパビリティ関係'!$F$4:$F$494,$B12,'VS×ケイパビリティ関係'!$G$4:$G$494,AL$5,'VS×ケイパビリティ関係'!$E$4:$E$494,"主")&gt;0,"●",IF(COUNTIFS('VS×ケイパビリティ関係'!$F$4:$F$494,$B12,'VS×ケイパビリティ関係'!$G$4:$G$494,AL$5,'VS×ケイパビリティ関係'!$E$4:$E$494,"支援")&gt;0,"○",""))</f>
        <v/>
      </c>
      <c r="AM12" s="22" t="str">
        <f>IF(COUNTIFS('VS×ケイパビリティ関係'!$F$4:$F$494,$B12,'VS×ケイパビリティ関係'!$G$4:$G$494,AM$5,'VS×ケイパビリティ関係'!$E$4:$E$494,"主")&gt;0,"●",IF(COUNTIFS('VS×ケイパビリティ関係'!$F$4:$F$494,$B12,'VS×ケイパビリティ関係'!$G$4:$G$494,AM$5,'VS×ケイパビリティ関係'!$E$4:$E$494,"支援")&gt;0,"○",""))</f>
        <v/>
      </c>
      <c r="AN12" s="22" t="str">
        <f>IF(COUNTIFS('VS×ケイパビリティ関係'!$F$4:$F$494,$B12,'VS×ケイパビリティ関係'!$G$4:$G$494,AN$5,'VS×ケイパビリティ関係'!$E$4:$E$494,"主")&gt;0,"●",IF(COUNTIFS('VS×ケイパビリティ関係'!$F$4:$F$494,$B12,'VS×ケイパビリティ関係'!$G$4:$G$494,AN$5,'VS×ケイパビリティ関係'!$E$4:$E$494,"支援")&gt;0,"○",""))</f>
        <v/>
      </c>
      <c r="AO12" s="22" t="str">
        <f>IF(COUNTIFS('VS×ケイパビリティ関係'!$F$4:$F$494,$B12,'VS×ケイパビリティ関係'!$G$4:$G$494,AO$5,'VS×ケイパビリティ関係'!$E$4:$E$494,"主")&gt;0,"●",IF(COUNTIFS('VS×ケイパビリティ関係'!$F$4:$F$494,$B12,'VS×ケイパビリティ関係'!$G$4:$G$494,AO$5,'VS×ケイパビリティ関係'!$E$4:$E$494,"支援")&gt;0,"○",""))</f>
        <v/>
      </c>
      <c r="AP12" s="22" t="str">
        <f>IF(COUNTIFS('VS×ケイパビリティ関係'!$F$4:$F$494,$B12,'VS×ケイパビリティ関係'!$G$4:$G$494,AP$5,'VS×ケイパビリティ関係'!$E$4:$E$494,"主")&gt;0,"●",IF(COUNTIFS('VS×ケイパビリティ関係'!$F$4:$F$494,$B12,'VS×ケイパビリティ関係'!$G$4:$G$494,AP$5,'VS×ケイパビリティ関係'!$E$4:$E$494,"支援")&gt;0,"○",""))</f>
        <v/>
      </c>
      <c r="AQ12" s="22" t="str">
        <f>IF(COUNTIFS('VS×ケイパビリティ関係'!$F$4:$F$494,$B12,'VS×ケイパビリティ関係'!$G$4:$G$494,AQ$5,'VS×ケイパビリティ関係'!$E$4:$E$494,"主")&gt;0,"●",IF(COUNTIFS('VS×ケイパビリティ関係'!$F$4:$F$494,$B12,'VS×ケイパビリティ関係'!$G$4:$G$494,AQ$5,'VS×ケイパビリティ関係'!$E$4:$E$494,"支援")&gt;0,"○",""))</f>
        <v/>
      </c>
      <c r="AR12" s="22" t="str">
        <f>IF(COUNTIFS('VS×ケイパビリティ関係'!$F$4:$F$494,$B12,'VS×ケイパビリティ関係'!$G$4:$G$494,AR$5,'VS×ケイパビリティ関係'!$E$4:$E$494,"主")&gt;0,"●",IF(COUNTIFS('VS×ケイパビリティ関係'!$F$4:$F$494,$B12,'VS×ケイパビリティ関係'!$G$4:$G$494,AR$5,'VS×ケイパビリティ関係'!$E$4:$E$494,"支援")&gt;0,"○",""))</f>
        <v/>
      </c>
      <c r="AS12" s="22" t="str">
        <f>IF(COUNTIFS('VS×ケイパビリティ関係'!$F$4:$F$494,$B12,'VS×ケイパビリティ関係'!$G$4:$G$494,AS$5,'VS×ケイパビリティ関係'!$E$4:$E$494,"主")&gt;0,"●",IF(COUNTIFS('VS×ケイパビリティ関係'!$F$4:$F$494,$B12,'VS×ケイパビリティ関係'!$G$4:$G$494,AS$5,'VS×ケイパビリティ関係'!$E$4:$E$494,"支援")&gt;0,"○",""))</f>
        <v/>
      </c>
      <c r="AT12" s="22" t="str">
        <f>IF(COUNTIFS('VS×ケイパビリティ関係'!$F$4:$F$494,$B12,'VS×ケイパビリティ関係'!$G$4:$G$494,AT$5,'VS×ケイパビリティ関係'!$E$4:$E$494,"主")&gt;0,"●",IF(COUNTIFS('VS×ケイパビリティ関係'!$F$4:$F$494,$B12,'VS×ケイパビリティ関係'!$G$4:$G$494,AT$5,'VS×ケイパビリティ関係'!$E$4:$E$494,"支援")&gt;0,"○",""))</f>
        <v/>
      </c>
      <c r="AU12" s="22" t="str">
        <f>IF(COUNTIFS('VS×ケイパビリティ関係'!$F$4:$F$494,$B12,'VS×ケイパビリティ関係'!$G$4:$G$494,AU$5,'VS×ケイパビリティ関係'!$E$4:$E$494,"主")&gt;0,"●",IF(COUNTIFS('VS×ケイパビリティ関係'!$F$4:$F$494,$B12,'VS×ケイパビリティ関係'!$G$4:$G$494,AU$5,'VS×ケイパビリティ関係'!$E$4:$E$494,"支援")&gt;0,"○",""))</f>
        <v/>
      </c>
      <c r="AV12" s="22" t="str">
        <f>IF(COUNTIFS('VS×ケイパビリティ関係'!$F$4:$F$494,$B12,'VS×ケイパビリティ関係'!$G$4:$G$494,AV$5,'VS×ケイパビリティ関係'!$E$4:$E$494,"主")&gt;0,"●",IF(COUNTIFS('VS×ケイパビリティ関係'!$F$4:$F$494,$B12,'VS×ケイパビリティ関係'!$G$4:$G$494,AV$5,'VS×ケイパビリティ関係'!$E$4:$E$494,"支援")&gt;0,"○",""))</f>
        <v/>
      </c>
      <c r="AW12" s="22" t="str">
        <f>IF(COUNTIFS('VS×ケイパビリティ関係'!$F$4:$F$494,$B12,'VS×ケイパビリティ関係'!$G$4:$G$494,AW$5,'VS×ケイパビリティ関係'!$E$4:$E$494,"主")&gt;0,"●",IF(COUNTIFS('VS×ケイパビリティ関係'!$F$4:$F$494,$B12,'VS×ケイパビリティ関係'!$G$4:$G$494,AW$5,'VS×ケイパビリティ関係'!$E$4:$E$494,"支援")&gt;0,"○",""))</f>
        <v/>
      </c>
      <c r="AX12" s="22" t="str">
        <f>IF(COUNTIFS('VS×ケイパビリティ関係'!$F$4:$F$494,$B12,'VS×ケイパビリティ関係'!$G$4:$G$494,AX$5,'VS×ケイパビリティ関係'!$E$4:$E$494,"主")&gt;0,"●",IF(COUNTIFS('VS×ケイパビリティ関係'!$F$4:$F$494,$B12,'VS×ケイパビリティ関係'!$G$4:$G$494,AX$5,'VS×ケイパビリティ関係'!$E$4:$E$494,"支援")&gt;0,"○",""))</f>
        <v/>
      </c>
      <c r="AY12" s="22" t="str">
        <f>IF(COUNTIFS('VS×ケイパビリティ関係'!$F$4:$F$494,$B12,'VS×ケイパビリティ関係'!$G$4:$G$494,AY$5,'VS×ケイパビリティ関係'!$E$4:$E$494,"主")&gt;0,"●",IF(COUNTIFS('VS×ケイパビリティ関係'!$F$4:$F$494,$B12,'VS×ケイパビリティ関係'!$G$4:$G$494,AY$5,'VS×ケイパビリティ関係'!$E$4:$E$494,"支援")&gt;0,"○",""))</f>
        <v/>
      </c>
      <c r="AZ12" s="22" t="str">
        <f>IF(COUNTIFS('VS×ケイパビリティ関係'!$F$4:$F$494,$B12,'VS×ケイパビリティ関係'!$G$4:$G$494,AZ$5,'VS×ケイパビリティ関係'!$E$4:$E$494,"主")&gt;0,"●",IF(COUNTIFS('VS×ケイパビリティ関係'!$F$4:$F$494,$B12,'VS×ケイパビリティ関係'!$G$4:$G$494,AZ$5,'VS×ケイパビリティ関係'!$E$4:$E$494,"支援")&gt;0,"○",""))</f>
        <v/>
      </c>
      <c r="BA12" s="22" t="str">
        <f>IF(COUNTIFS('VS×ケイパビリティ関係'!$F$4:$F$494,$B12,'VS×ケイパビリティ関係'!$G$4:$G$494,BA$5,'VS×ケイパビリティ関係'!$E$4:$E$494,"主")&gt;0,"●",IF(COUNTIFS('VS×ケイパビリティ関係'!$F$4:$F$494,$B12,'VS×ケイパビリティ関係'!$G$4:$G$494,BA$5,'VS×ケイパビリティ関係'!$E$4:$E$494,"支援")&gt;0,"○",""))</f>
        <v/>
      </c>
      <c r="BB12" s="22" t="str">
        <f>IF(COUNTIFS('VS×ケイパビリティ関係'!$F$4:$F$494,$B12,'VS×ケイパビリティ関係'!$G$4:$G$494,BB$5,'VS×ケイパビリティ関係'!$E$4:$E$494,"主")&gt;0,"●",IF(COUNTIFS('VS×ケイパビリティ関係'!$F$4:$F$494,$B12,'VS×ケイパビリティ関係'!$G$4:$G$494,BB$5,'VS×ケイパビリティ関係'!$E$4:$E$494,"支援")&gt;0,"○",""))</f>
        <v/>
      </c>
      <c r="BC12" s="22" t="str">
        <f>IF(COUNTIFS('VS×ケイパビリティ関係'!$F$4:$F$494,$B12,'VS×ケイパビリティ関係'!$G$4:$G$494,BC$5,'VS×ケイパビリティ関係'!$E$4:$E$494,"主")&gt;0,"●",IF(COUNTIFS('VS×ケイパビリティ関係'!$F$4:$F$494,$B12,'VS×ケイパビリティ関係'!$G$4:$G$494,BC$5,'VS×ケイパビリティ関係'!$E$4:$E$494,"支援")&gt;0,"○",""))</f>
        <v/>
      </c>
      <c r="BD12" s="22" t="str">
        <f>IF(COUNTIFS('VS×ケイパビリティ関係'!$F$4:$F$494,$B12,'VS×ケイパビリティ関係'!$G$4:$G$494,BD$5,'VS×ケイパビリティ関係'!$E$4:$E$494,"主")&gt;0,"●",IF(COUNTIFS('VS×ケイパビリティ関係'!$F$4:$F$494,$B12,'VS×ケイパビリティ関係'!$G$4:$G$494,BD$5,'VS×ケイパビリティ関係'!$E$4:$E$494,"支援")&gt;0,"○",""))</f>
        <v/>
      </c>
      <c r="BE12" s="22">
        <f t="shared" si="1"/>
        <v>2</v>
      </c>
      <c r="BF12" s="22">
        <f t="shared" si="2"/>
        <v>1</v>
      </c>
    </row>
    <row r="13" ht="15.0" customHeight="1">
      <c r="A13" s="42"/>
      <c r="B13" s="22" t="s">
        <v>639</v>
      </c>
      <c r="C13" s="25" t="s">
        <v>642</v>
      </c>
      <c r="D13" s="22" t="str">
        <f>IF(COUNTIFS('VS×ケイパビリティ関係'!$F$4:$F$494,$B13,'VS×ケイパビリティ関係'!$G$4:$G$494,D$5,'VS×ケイパビリティ関係'!$E$4:$E$494,"主")&gt;0,"●",IF(COUNTIFS('VS×ケイパビリティ関係'!$F$4:$F$494,$B13,'VS×ケイパビリティ関係'!$G$4:$G$494,D$5,'VS×ケイパビリティ関係'!$E$4:$E$494,"支援")&gt;0,"○",""))</f>
        <v/>
      </c>
      <c r="E13" s="22" t="str">
        <f>IF(COUNTIFS('VS×ケイパビリティ関係'!$F$4:$F$494,$B13,'VS×ケイパビリティ関係'!$G$4:$G$494,E$5,'VS×ケイパビリティ関係'!$E$4:$E$494,"主")&gt;0,"●",IF(COUNTIFS('VS×ケイパビリティ関係'!$F$4:$F$494,$B13,'VS×ケイパビリティ関係'!$G$4:$G$494,E$5,'VS×ケイパビリティ関係'!$E$4:$E$494,"支援")&gt;0,"○",""))</f>
        <v/>
      </c>
      <c r="F13" s="22" t="str">
        <f>IF(COUNTIFS('VS×ケイパビリティ関係'!$F$4:$F$494,$B13,'VS×ケイパビリティ関係'!$G$4:$G$494,F$5,'VS×ケイパビリティ関係'!$E$4:$E$494,"主")&gt;0,"●",IF(COUNTIFS('VS×ケイパビリティ関係'!$F$4:$F$494,$B13,'VS×ケイパビリティ関係'!$G$4:$G$494,F$5,'VS×ケイパビリティ関係'!$E$4:$E$494,"支援")&gt;0,"○",""))</f>
        <v>○</v>
      </c>
      <c r="G13" s="22" t="str">
        <f>IF(COUNTIFS('VS×ケイパビリティ関係'!$F$4:$F$494,$B13,'VS×ケイパビリティ関係'!$G$4:$G$494,G$5,'VS×ケイパビリティ関係'!$E$4:$E$494,"主")&gt;0,"●",IF(COUNTIFS('VS×ケイパビリティ関係'!$F$4:$F$494,$B13,'VS×ケイパビリティ関係'!$G$4:$G$494,G$5,'VS×ケイパビリティ関係'!$E$4:$E$494,"支援")&gt;0,"○",""))</f>
        <v/>
      </c>
      <c r="H13" s="22" t="str">
        <f>IF(COUNTIFS('VS×ケイパビリティ関係'!$F$4:$F$494,$B13,'VS×ケイパビリティ関係'!$G$4:$G$494,H$5,'VS×ケイパビリティ関係'!$E$4:$E$494,"主")&gt;0,"●",IF(COUNTIFS('VS×ケイパビリティ関係'!$F$4:$F$494,$B13,'VS×ケイパビリティ関係'!$G$4:$G$494,H$5,'VS×ケイパビリティ関係'!$E$4:$E$494,"支援")&gt;0,"○",""))</f>
        <v/>
      </c>
      <c r="I13" s="22" t="str">
        <f>IF(COUNTIFS('VS×ケイパビリティ関係'!$F$4:$F$494,$B13,'VS×ケイパビリティ関係'!$G$4:$G$494,I$5,'VS×ケイパビリティ関係'!$E$4:$E$494,"主")&gt;0,"●",IF(COUNTIFS('VS×ケイパビリティ関係'!$F$4:$F$494,$B13,'VS×ケイパビリティ関係'!$G$4:$G$494,I$5,'VS×ケイパビリティ関係'!$E$4:$E$494,"支援")&gt;0,"○",""))</f>
        <v/>
      </c>
      <c r="J13" s="22" t="str">
        <f>IF(COUNTIFS('VS×ケイパビリティ関係'!$F$4:$F$494,$B13,'VS×ケイパビリティ関係'!$G$4:$G$494,J$5,'VS×ケイパビリティ関係'!$E$4:$E$494,"主")&gt;0,"●",IF(COUNTIFS('VS×ケイパビリティ関係'!$F$4:$F$494,$B13,'VS×ケイパビリティ関係'!$G$4:$G$494,J$5,'VS×ケイパビリティ関係'!$E$4:$E$494,"支援")&gt;0,"○",""))</f>
        <v/>
      </c>
      <c r="K13" s="22" t="str">
        <f>IF(COUNTIFS('VS×ケイパビリティ関係'!$F$4:$F$494,$B13,'VS×ケイパビリティ関係'!$G$4:$G$494,K$5,'VS×ケイパビリティ関係'!$E$4:$E$494,"主")&gt;0,"●",IF(COUNTIFS('VS×ケイパビリティ関係'!$F$4:$F$494,$B13,'VS×ケイパビリティ関係'!$G$4:$G$494,K$5,'VS×ケイパビリティ関係'!$E$4:$E$494,"支援")&gt;0,"○",""))</f>
        <v/>
      </c>
      <c r="L13" s="22" t="str">
        <f>IF(COUNTIFS('VS×ケイパビリティ関係'!$F$4:$F$494,$B13,'VS×ケイパビリティ関係'!$G$4:$G$494,L$5,'VS×ケイパビリティ関係'!$E$4:$E$494,"主")&gt;0,"●",IF(COUNTIFS('VS×ケイパビリティ関係'!$F$4:$F$494,$B13,'VS×ケイパビリティ関係'!$G$4:$G$494,L$5,'VS×ケイパビリティ関係'!$E$4:$E$494,"支援")&gt;0,"○",""))</f>
        <v/>
      </c>
      <c r="M13" s="22" t="str">
        <f>IF(COUNTIFS('VS×ケイパビリティ関係'!$F$4:$F$494,$B13,'VS×ケイパビリティ関係'!$G$4:$G$494,M$5,'VS×ケイパビリティ関係'!$E$4:$E$494,"主")&gt;0,"●",IF(COUNTIFS('VS×ケイパビリティ関係'!$F$4:$F$494,$B13,'VS×ケイパビリティ関係'!$G$4:$G$494,M$5,'VS×ケイパビリティ関係'!$E$4:$E$494,"支援")&gt;0,"○",""))</f>
        <v>●</v>
      </c>
      <c r="N13" s="22" t="str">
        <f>IF(COUNTIFS('VS×ケイパビリティ関係'!$F$4:$F$494,$B13,'VS×ケイパビリティ関係'!$G$4:$G$494,N$5,'VS×ケイパビリティ関係'!$E$4:$E$494,"主")&gt;0,"●",IF(COUNTIFS('VS×ケイパビリティ関係'!$F$4:$F$494,$B13,'VS×ケイパビリティ関係'!$G$4:$G$494,N$5,'VS×ケイパビリティ関係'!$E$4:$E$494,"支援")&gt;0,"○",""))</f>
        <v/>
      </c>
      <c r="O13" s="22" t="str">
        <f>IF(COUNTIFS('VS×ケイパビリティ関係'!$F$4:$F$494,$B13,'VS×ケイパビリティ関係'!$G$4:$G$494,O$5,'VS×ケイパビリティ関係'!$E$4:$E$494,"主")&gt;0,"●",IF(COUNTIFS('VS×ケイパビリティ関係'!$F$4:$F$494,$B13,'VS×ケイパビリティ関係'!$G$4:$G$494,O$5,'VS×ケイパビリティ関係'!$E$4:$E$494,"支援")&gt;0,"○",""))</f>
        <v/>
      </c>
      <c r="P13" s="22" t="str">
        <f>IF(COUNTIFS('VS×ケイパビリティ関係'!$F$4:$F$494,$B13,'VS×ケイパビリティ関係'!$G$4:$G$494,P$5,'VS×ケイパビリティ関係'!$E$4:$E$494,"主")&gt;0,"●",IF(COUNTIFS('VS×ケイパビリティ関係'!$F$4:$F$494,$B13,'VS×ケイパビリティ関係'!$G$4:$G$494,P$5,'VS×ケイパビリティ関係'!$E$4:$E$494,"支援")&gt;0,"○",""))</f>
        <v/>
      </c>
      <c r="Q13" s="22" t="str">
        <f>IF(COUNTIFS('VS×ケイパビリティ関係'!$F$4:$F$494,$B13,'VS×ケイパビリティ関係'!$G$4:$G$494,Q$5,'VS×ケイパビリティ関係'!$E$4:$E$494,"主")&gt;0,"●",IF(COUNTIFS('VS×ケイパビリティ関係'!$F$4:$F$494,$B13,'VS×ケイパビリティ関係'!$G$4:$G$494,Q$5,'VS×ケイパビリティ関係'!$E$4:$E$494,"支援")&gt;0,"○",""))</f>
        <v/>
      </c>
      <c r="R13" s="22" t="str">
        <f>IF(COUNTIFS('VS×ケイパビリティ関係'!$F$4:$F$494,$B13,'VS×ケイパビリティ関係'!$G$4:$G$494,R$5,'VS×ケイパビリティ関係'!$E$4:$E$494,"主")&gt;0,"●",IF(COUNTIFS('VS×ケイパビリティ関係'!$F$4:$F$494,$B13,'VS×ケイパビリティ関係'!$G$4:$G$494,R$5,'VS×ケイパビリティ関係'!$E$4:$E$494,"支援")&gt;0,"○",""))</f>
        <v/>
      </c>
      <c r="S13" s="22" t="str">
        <f>IF(COUNTIFS('VS×ケイパビリティ関係'!$F$4:$F$494,$B13,'VS×ケイパビリティ関係'!$G$4:$G$494,S$5,'VS×ケイパビリティ関係'!$E$4:$E$494,"主")&gt;0,"●",IF(COUNTIFS('VS×ケイパビリティ関係'!$F$4:$F$494,$B13,'VS×ケイパビリティ関係'!$G$4:$G$494,S$5,'VS×ケイパビリティ関係'!$E$4:$E$494,"支援")&gt;0,"○",""))</f>
        <v/>
      </c>
      <c r="T13" s="22" t="str">
        <f>IF(COUNTIFS('VS×ケイパビリティ関係'!$F$4:$F$494,$B13,'VS×ケイパビリティ関係'!$G$4:$G$494,T$5,'VS×ケイパビリティ関係'!$E$4:$E$494,"主")&gt;0,"●",IF(COUNTIFS('VS×ケイパビリティ関係'!$F$4:$F$494,$B13,'VS×ケイパビリティ関係'!$G$4:$G$494,T$5,'VS×ケイパビリティ関係'!$E$4:$E$494,"支援")&gt;0,"○",""))</f>
        <v/>
      </c>
      <c r="U13" s="22" t="str">
        <f>IF(COUNTIFS('VS×ケイパビリティ関係'!$F$4:$F$494,$B13,'VS×ケイパビリティ関係'!$G$4:$G$494,U$5,'VS×ケイパビリティ関係'!$E$4:$E$494,"主")&gt;0,"●",IF(COUNTIFS('VS×ケイパビリティ関係'!$F$4:$F$494,$B13,'VS×ケイパビリティ関係'!$G$4:$G$494,U$5,'VS×ケイパビリティ関係'!$E$4:$E$494,"支援")&gt;0,"○",""))</f>
        <v/>
      </c>
      <c r="V13" s="22" t="str">
        <f>IF(COUNTIFS('VS×ケイパビリティ関係'!$F$4:$F$494,$B13,'VS×ケイパビリティ関係'!$G$4:$G$494,V$5,'VS×ケイパビリティ関係'!$E$4:$E$494,"主")&gt;0,"●",IF(COUNTIFS('VS×ケイパビリティ関係'!$F$4:$F$494,$B13,'VS×ケイパビリティ関係'!$G$4:$G$494,V$5,'VS×ケイパビリティ関係'!$E$4:$E$494,"支援")&gt;0,"○",""))</f>
        <v/>
      </c>
      <c r="W13" s="22" t="str">
        <f>IF(COUNTIFS('VS×ケイパビリティ関係'!$F$4:$F$494,$B13,'VS×ケイパビリティ関係'!$G$4:$G$494,W$5,'VS×ケイパビリティ関係'!$E$4:$E$494,"主")&gt;0,"●",IF(COUNTIFS('VS×ケイパビリティ関係'!$F$4:$F$494,$B13,'VS×ケイパビリティ関係'!$G$4:$G$494,W$5,'VS×ケイパビリティ関係'!$E$4:$E$494,"支援")&gt;0,"○",""))</f>
        <v/>
      </c>
      <c r="X13" s="22" t="str">
        <f>IF(COUNTIFS('VS×ケイパビリティ関係'!$F$4:$F$494,$B13,'VS×ケイパビリティ関係'!$G$4:$G$494,X$5,'VS×ケイパビリティ関係'!$E$4:$E$494,"主")&gt;0,"●",IF(COUNTIFS('VS×ケイパビリティ関係'!$F$4:$F$494,$B13,'VS×ケイパビリティ関係'!$G$4:$G$494,X$5,'VS×ケイパビリティ関係'!$E$4:$E$494,"支援")&gt;0,"○",""))</f>
        <v/>
      </c>
      <c r="Y13" s="22" t="str">
        <f>IF(COUNTIFS('VS×ケイパビリティ関係'!$F$4:$F$494,$B13,'VS×ケイパビリティ関係'!$G$4:$G$494,Y$5,'VS×ケイパビリティ関係'!$E$4:$E$494,"主")&gt;0,"●",IF(COUNTIFS('VS×ケイパビリティ関係'!$F$4:$F$494,$B13,'VS×ケイパビリティ関係'!$G$4:$G$494,Y$5,'VS×ケイパビリティ関係'!$E$4:$E$494,"支援")&gt;0,"○",""))</f>
        <v/>
      </c>
      <c r="Z13" s="22" t="str">
        <f>IF(COUNTIFS('VS×ケイパビリティ関係'!$F$4:$F$494,$B13,'VS×ケイパビリティ関係'!$G$4:$G$494,Z$5,'VS×ケイパビリティ関係'!$E$4:$E$494,"主")&gt;0,"●",IF(COUNTIFS('VS×ケイパビリティ関係'!$F$4:$F$494,$B13,'VS×ケイパビリティ関係'!$G$4:$G$494,Z$5,'VS×ケイパビリティ関係'!$E$4:$E$494,"支援")&gt;0,"○",""))</f>
        <v/>
      </c>
      <c r="AA13" s="22" t="str">
        <f>IF(COUNTIFS('VS×ケイパビリティ関係'!$F$4:$F$494,$B13,'VS×ケイパビリティ関係'!$G$4:$G$494,AA$5,'VS×ケイパビリティ関係'!$E$4:$E$494,"主")&gt;0,"●",IF(COUNTIFS('VS×ケイパビリティ関係'!$F$4:$F$494,$B13,'VS×ケイパビリティ関係'!$G$4:$G$494,AA$5,'VS×ケイパビリティ関係'!$E$4:$E$494,"支援")&gt;0,"○",""))</f>
        <v/>
      </c>
      <c r="AB13" s="22" t="str">
        <f>IF(COUNTIFS('VS×ケイパビリティ関係'!$F$4:$F$494,$B13,'VS×ケイパビリティ関係'!$G$4:$G$494,AB$5,'VS×ケイパビリティ関係'!$E$4:$E$494,"主")&gt;0,"●",IF(COUNTIFS('VS×ケイパビリティ関係'!$F$4:$F$494,$B13,'VS×ケイパビリティ関係'!$G$4:$G$494,AB$5,'VS×ケイパビリティ関係'!$E$4:$E$494,"支援")&gt;0,"○",""))</f>
        <v/>
      </c>
      <c r="AC13" s="22" t="str">
        <f>IF(COUNTIFS('VS×ケイパビリティ関係'!$F$4:$F$494,$B13,'VS×ケイパビリティ関係'!$G$4:$G$494,AC$5,'VS×ケイパビリティ関係'!$E$4:$E$494,"主")&gt;0,"●",IF(COUNTIFS('VS×ケイパビリティ関係'!$F$4:$F$494,$B13,'VS×ケイパビリティ関係'!$G$4:$G$494,AC$5,'VS×ケイパビリティ関係'!$E$4:$E$494,"支援")&gt;0,"○",""))</f>
        <v/>
      </c>
      <c r="AD13" s="22" t="str">
        <f>IF(COUNTIFS('VS×ケイパビリティ関係'!$F$4:$F$494,$B13,'VS×ケイパビリティ関係'!$G$4:$G$494,AD$5,'VS×ケイパビリティ関係'!$E$4:$E$494,"主")&gt;0,"●",IF(COUNTIFS('VS×ケイパビリティ関係'!$F$4:$F$494,$B13,'VS×ケイパビリティ関係'!$G$4:$G$494,AD$5,'VS×ケイパビリティ関係'!$E$4:$E$494,"支援")&gt;0,"○",""))</f>
        <v/>
      </c>
      <c r="AE13" s="22" t="str">
        <f>IF(COUNTIFS('VS×ケイパビリティ関係'!$F$4:$F$494,$B13,'VS×ケイパビリティ関係'!$G$4:$G$494,AE$5,'VS×ケイパビリティ関係'!$E$4:$E$494,"主")&gt;0,"●",IF(COUNTIFS('VS×ケイパビリティ関係'!$F$4:$F$494,$B13,'VS×ケイパビリティ関係'!$G$4:$G$494,AE$5,'VS×ケイパビリティ関係'!$E$4:$E$494,"支援")&gt;0,"○",""))</f>
        <v/>
      </c>
      <c r="AF13" s="22" t="str">
        <f>IF(COUNTIFS('VS×ケイパビリティ関係'!$F$4:$F$494,$B13,'VS×ケイパビリティ関係'!$G$4:$G$494,AF$5,'VS×ケイパビリティ関係'!$E$4:$E$494,"主")&gt;0,"●",IF(COUNTIFS('VS×ケイパビリティ関係'!$F$4:$F$494,$B13,'VS×ケイパビリティ関係'!$G$4:$G$494,AF$5,'VS×ケイパビリティ関係'!$E$4:$E$494,"支援")&gt;0,"○",""))</f>
        <v/>
      </c>
      <c r="AG13" s="22" t="str">
        <f>IF(COUNTIFS('VS×ケイパビリティ関係'!$F$4:$F$494,$B13,'VS×ケイパビリティ関係'!$G$4:$G$494,AG$5,'VS×ケイパビリティ関係'!$E$4:$E$494,"主")&gt;0,"●",IF(COUNTIFS('VS×ケイパビリティ関係'!$F$4:$F$494,$B13,'VS×ケイパビリティ関係'!$G$4:$G$494,AG$5,'VS×ケイパビリティ関係'!$E$4:$E$494,"支援")&gt;0,"○",""))</f>
        <v/>
      </c>
      <c r="AH13" s="22" t="str">
        <f>IF(COUNTIFS('VS×ケイパビリティ関係'!$F$4:$F$494,$B13,'VS×ケイパビリティ関係'!$G$4:$G$494,AH$5,'VS×ケイパビリティ関係'!$E$4:$E$494,"主")&gt;0,"●",IF(COUNTIFS('VS×ケイパビリティ関係'!$F$4:$F$494,$B13,'VS×ケイパビリティ関係'!$G$4:$G$494,AH$5,'VS×ケイパビリティ関係'!$E$4:$E$494,"支援")&gt;0,"○",""))</f>
        <v/>
      </c>
      <c r="AI13" s="22" t="str">
        <f>IF(COUNTIFS('VS×ケイパビリティ関係'!$F$4:$F$494,$B13,'VS×ケイパビリティ関係'!$G$4:$G$494,AI$5,'VS×ケイパビリティ関係'!$E$4:$E$494,"主")&gt;0,"●",IF(COUNTIFS('VS×ケイパビリティ関係'!$F$4:$F$494,$B13,'VS×ケイパビリティ関係'!$G$4:$G$494,AI$5,'VS×ケイパビリティ関係'!$E$4:$E$494,"支援")&gt;0,"○",""))</f>
        <v/>
      </c>
      <c r="AJ13" s="22" t="str">
        <f>IF(COUNTIFS('VS×ケイパビリティ関係'!$F$4:$F$494,$B13,'VS×ケイパビリティ関係'!$G$4:$G$494,AJ$5,'VS×ケイパビリティ関係'!$E$4:$E$494,"主")&gt;0,"●",IF(COUNTIFS('VS×ケイパビリティ関係'!$F$4:$F$494,$B13,'VS×ケイパビリティ関係'!$G$4:$G$494,AJ$5,'VS×ケイパビリティ関係'!$E$4:$E$494,"支援")&gt;0,"○",""))</f>
        <v/>
      </c>
      <c r="AK13" s="22" t="str">
        <f>IF(COUNTIFS('VS×ケイパビリティ関係'!$F$4:$F$494,$B13,'VS×ケイパビリティ関係'!$G$4:$G$494,AK$5,'VS×ケイパビリティ関係'!$E$4:$E$494,"主")&gt;0,"●",IF(COUNTIFS('VS×ケイパビリティ関係'!$F$4:$F$494,$B13,'VS×ケイパビリティ関係'!$G$4:$G$494,AK$5,'VS×ケイパビリティ関係'!$E$4:$E$494,"支援")&gt;0,"○",""))</f>
        <v/>
      </c>
      <c r="AL13" s="22" t="str">
        <f>IF(COUNTIFS('VS×ケイパビリティ関係'!$F$4:$F$494,$B13,'VS×ケイパビリティ関係'!$G$4:$G$494,AL$5,'VS×ケイパビリティ関係'!$E$4:$E$494,"主")&gt;0,"●",IF(COUNTIFS('VS×ケイパビリティ関係'!$F$4:$F$494,$B13,'VS×ケイパビリティ関係'!$G$4:$G$494,AL$5,'VS×ケイパビリティ関係'!$E$4:$E$494,"支援")&gt;0,"○",""))</f>
        <v>○</v>
      </c>
      <c r="AM13" s="22" t="str">
        <f>IF(COUNTIFS('VS×ケイパビリティ関係'!$F$4:$F$494,$B13,'VS×ケイパビリティ関係'!$G$4:$G$494,AM$5,'VS×ケイパビリティ関係'!$E$4:$E$494,"主")&gt;0,"●",IF(COUNTIFS('VS×ケイパビリティ関係'!$F$4:$F$494,$B13,'VS×ケイパビリティ関係'!$G$4:$G$494,AM$5,'VS×ケイパビリティ関係'!$E$4:$E$494,"支援")&gt;0,"○",""))</f>
        <v/>
      </c>
      <c r="AN13" s="22" t="str">
        <f>IF(COUNTIFS('VS×ケイパビリティ関係'!$F$4:$F$494,$B13,'VS×ケイパビリティ関係'!$G$4:$G$494,AN$5,'VS×ケイパビリティ関係'!$E$4:$E$494,"主")&gt;0,"●",IF(COUNTIFS('VS×ケイパビリティ関係'!$F$4:$F$494,$B13,'VS×ケイパビリティ関係'!$G$4:$G$494,AN$5,'VS×ケイパビリティ関係'!$E$4:$E$494,"支援")&gt;0,"○",""))</f>
        <v/>
      </c>
      <c r="AO13" s="22" t="str">
        <f>IF(COUNTIFS('VS×ケイパビリティ関係'!$F$4:$F$494,$B13,'VS×ケイパビリティ関係'!$G$4:$G$494,AO$5,'VS×ケイパビリティ関係'!$E$4:$E$494,"主")&gt;0,"●",IF(COUNTIFS('VS×ケイパビリティ関係'!$F$4:$F$494,$B13,'VS×ケイパビリティ関係'!$G$4:$G$494,AO$5,'VS×ケイパビリティ関係'!$E$4:$E$494,"支援")&gt;0,"○",""))</f>
        <v/>
      </c>
      <c r="AP13" s="22" t="str">
        <f>IF(COUNTIFS('VS×ケイパビリティ関係'!$F$4:$F$494,$B13,'VS×ケイパビリティ関係'!$G$4:$G$494,AP$5,'VS×ケイパビリティ関係'!$E$4:$E$494,"主")&gt;0,"●",IF(COUNTIFS('VS×ケイパビリティ関係'!$F$4:$F$494,$B13,'VS×ケイパビリティ関係'!$G$4:$G$494,AP$5,'VS×ケイパビリティ関係'!$E$4:$E$494,"支援")&gt;0,"○",""))</f>
        <v/>
      </c>
      <c r="AQ13" s="22" t="str">
        <f>IF(COUNTIFS('VS×ケイパビリティ関係'!$F$4:$F$494,$B13,'VS×ケイパビリティ関係'!$G$4:$G$494,AQ$5,'VS×ケイパビリティ関係'!$E$4:$E$494,"主")&gt;0,"●",IF(COUNTIFS('VS×ケイパビリティ関係'!$F$4:$F$494,$B13,'VS×ケイパビリティ関係'!$G$4:$G$494,AQ$5,'VS×ケイパビリティ関係'!$E$4:$E$494,"支援")&gt;0,"○",""))</f>
        <v/>
      </c>
      <c r="AR13" s="22" t="str">
        <f>IF(COUNTIFS('VS×ケイパビリティ関係'!$F$4:$F$494,$B13,'VS×ケイパビリティ関係'!$G$4:$G$494,AR$5,'VS×ケイパビリティ関係'!$E$4:$E$494,"主")&gt;0,"●",IF(COUNTIFS('VS×ケイパビリティ関係'!$F$4:$F$494,$B13,'VS×ケイパビリティ関係'!$G$4:$G$494,AR$5,'VS×ケイパビリティ関係'!$E$4:$E$494,"支援")&gt;0,"○",""))</f>
        <v/>
      </c>
      <c r="AS13" s="22" t="str">
        <f>IF(COUNTIFS('VS×ケイパビリティ関係'!$F$4:$F$494,$B13,'VS×ケイパビリティ関係'!$G$4:$G$494,AS$5,'VS×ケイパビリティ関係'!$E$4:$E$494,"主")&gt;0,"●",IF(COUNTIFS('VS×ケイパビリティ関係'!$F$4:$F$494,$B13,'VS×ケイパビリティ関係'!$G$4:$G$494,AS$5,'VS×ケイパビリティ関係'!$E$4:$E$494,"支援")&gt;0,"○",""))</f>
        <v/>
      </c>
      <c r="AT13" s="22" t="str">
        <f>IF(COUNTIFS('VS×ケイパビリティ関係'!$F$4:$F$494,$B13,'VS×ケイパビリティ関係'!$G$4:$G$494,AT$5,'VS×ケイパビリティ関係'!$E$4:$E$494,"主")&gt;0,"●",IF(COUNTIFS('VS×ケイパビリティ関係'!$F$4:$F$494,$B13,'VS×ケイパビリティ関係'!$G$4:$G$494,AT$5,'VS×ケイパビリティ関係'!$E$4:$E$494,"支援")&gt;0,"○",""))</f>
        <v/>
      </c>
      <c r="AU13" s="22" t="str">
        <f>IF(COUNTIFS('VS×ケイパビリティ関係'!$F$4:$F$494,$B13,'VS×ケイパビリティ関係'!$G$4:$G$494,AU$5,'VS×ケイパビリティ関係'!$E$4:$E$494,"主")&gt;0,"●",IF(COUNTIFS('VS×ケイパビリティ関係'!$F$4:$F$494,$B13,'VS×ケイパビリティ関係'!$G$4:$G$494,AU$5,'VS×ケイパビリティ関係'!$E$4:$E$494,"支援")&gt;0,"○",""))</f>
        <v/>
      </c>
      <c r="AV13" s="22" t="str">
        <f>IF(COUNTIFS('VS×ケイパビリティ関係'!$F$4:$F$494,$B13,'VS×ケイパビリティ関係'!$G$4:$G$494,AV$5,'VS×ケイパビリティ関係'!$E$4:$E$494,"主")&gt;0,"●",IF(COUNTIFS('VS×ケイパビリティ関係'!$F$4:$F$494,$B13,'VS×ケイパビリティ関係'!$G$4:$G$494,AV$5,'VS×ケイパビリティ関係'!$E$4:$E$494,"支援")&gt;0,"○",""))</f>
        <v/>
      </c>
      <c r="AW13" s="22" t="str">
        <f>IF(COUNTIFS('VS×ケイパビリティ関係'!$F$4:$F$494,$B13,'VS×ケイパビリティ関係'!$G$4:$G$494,AW$5,'VS×ケイパビリティ関係'!$E$4:$E$494,"主")&gt;0,"●",IF(COUNTIFS('VS×ケイパビリティ関係'!$F$4:$F$494,$B13,'VS×ケイパビリティ関係'!$G$4:$G$494,AW$5,'VS×ケイパビリティ関係'!$E$4:$E$494,"支援")&gt;0,"○",""))</f>
        <v/>
      </c>
      <c r="AX13" s="22" t="str">
        <f>IF(COUNTIFS('VS×ケイパビリティ関係'!$F$4:$F$494,$B13,'VS×ケイパビリティ関係'!$G$4:$G$494,AX$5,'VS×ケイパビリティ関係'!$E$4:$E$494,"主")&gt;0,"●",IF(COUNTIFS('VS×ケイパビリティ関係'!$F$4:$F$494,$B13,'VS×ケイパビリティ関係'!$G$4:$G$494,AX$5,'VS×ケイパビリティ関係'!$E$4:$E$494,"支援")&gt;0,"○",""))</f>
        <v/>
      </c>
      <c r="AY13" s="22" t="str">
        <f>IF(COUNTIFS('VS×ケイパビリティ関係'!$F$4:$F$494,$B13,'VS×ケイパビリティ関係'!$G$4:$G$494,AY$5,'VS×ケイパビリティ関係'!$E$4:$E$494,"主")&gt;0,"●",IF(COUNTIFS('VS×ケイパビリティ関係'!$F$4:$F$494,$B13,'VS×ケイパビリティ関係'!$G$4:$G$494,AY$5,'VS×ケイパビリティ関係'!$E$4:$E$494,"支援")&gt;0,"○",""))</f>
        <v/>
      </c>
      <c r="AZ13" s="22" t="str">
        <f>IF(COUNTIFS('VS×ケイパビリティ関係'!$F$4:$F$494,$B13,'VS×ケイパビリティ関係'!$G$4:$G$494,AZ$5,'VS×ケイパビリティ関係'!$E$4:$E$494,"主")&gt;0,"●",IF(COUNTIFS('VS×ケイパビリティ関係'!$F$4:$F$494,$B13,'VS×ケイパビリティ関係'!$G$4:$G$494,AZ$5,'VS×ケイパビリティ関係'!$E$4:$E$494,"支援")&gt;0,"○",""))</f>
        <v/>
      </c>
      <c r="BA13" s="22" t="str">
        <f>IF(COUNTIFS('VS×ケイパビリティ関係'!$F$4:$F$494,$B13,'VS×ケイパビリティ関係'!$G$4:$G$494,BA$5,'VS×ケイパビリティ関係'!$E$4:$E$494,"主")&gt;0,"●",IF(COUNTIFS('VS×ケイパビリティ関係'!$F$4:$F$494,$B13,'VS×ケイパビリティ関係'!$G$4:$G$494,BA$5,'VS×ケイパビリティ関係'!$E$4:$E$494,"支援")&gt;0,"○",""))</f>
        <v/>
      </c>
      <c r="BB13" s="22" t="str">
        <f>IF(COUNTIFS('VS×ケイパビリティ関係'!$F$4:$F$494,$B13,'VS×ケイパビリティ関係'!$G$4:$G$494,BB$5,'VS×ケイパビリティ関係'!$E$4:$E$494,"主")&gt;0,"●",IF(COUNTIFS('VS×ケイパビリティ関係'!$F$4:$F$494,$B13,'VS×ケイパビリティ関係'!$G$4:$G$494,BB$5,'VS×ケイパビリティ関係'!$E$4:$E$494,"支援")&gt;0,"○",""))</f>
        <v/>
      </c>
      <c r="BC13" s="22" t="str">
        <f>IF(COUNTIFS('VS×ケイパビリティ関係'!$F$4:$F$494,$B13,'VS×ケイパビリティ関係'!$G$4:$G$494,BC$5,'VS×ケイパビリティ関係'!$E$4:$E$494,"主")&gt;0,"●",IF(COUNTIFS('VS×ケイパビリティ関係'!$F$4:$F$494,$B13,'VS×ケイパビリティ関係'!$G$4:$G$494,BC$5,'VS×ケイパビリティ関係'!$E$4:$E$494,"支援")&gt;0,"○",""))</f>
        <v/>
      </c>
      <c r="BD13" s="22" t="str">
        <f>IF(COUNTIFS('VS×ケイパビリティ関係'!$F$4:$F$494,$B13,'VS×ケイパビリティ関係'!$G$4:$G$494,BD$5,'VS×ケイパビリティ関係'!$E$4:$E$494,"主")&gt;0,"●",IF(COUNTIFS('VS×ケイパビリティ関係'!$F$4:$F$494,$B13,'VS×ケイパビリティ関係'!$G$4:$G$494,BD$5,'VS×ケイパビリティ関係'!$E$4:$E$494,"支援")&gt;0,"○",""))</f>
        <v/>
      </c>
      <c r="BE13" s="22">
        <f t="shared" si="1"/>
        <v>1</v>
      </c>
      <c r="BF13" s="22">
        <f t="shared" si="2"/>
        <v>2</v>
      </c>
    </row>
    <row r="14" ht="15.0" customHeight="1">
      <c r="A14" s="42"/>
      <c r="B14" s="22" t="s">
        <v>731</v>
      </c>
      <c r="C14" s="25" t="s">
        <v>735</v>
      </c>
      <c r="D14" s="22" t="str">
        <f>IF(COUNTIFS('VS×ケイパビリティ関係'!$F$4:$F$494,$B14,'VS×ケイパビリティ関係'!$G$4:$G$494,D$5,'VS×ケイパビリティ関係'!$E$4:$E$494,"主")&gt;0,"●",IF(COUNTIFS('VS×ケイパビリティ関係'!$F$4:$F$494,$B14,'VS×ケイパビリティ関係'!$G$4:$G$494,D$5,'VS×ケイパビリティ関係'!$E$4:$E$494,"支援")&gt;0,"○",""))</f>
        <v>○</v>
      </c>
      <c r="E14" s="22" t="str">
        <f>IF(COUNTIFS('VS×ケイパビリティ関係'!$F$4:$F$494,$B14,'VS×ケイパビリティ関係'!$G$4:$G$494,E$5,'VS×ケイパビリティ関係'!$E$4:$E$494,"主")&gt;0,"●",IF(COUNTIFS('VS×ケイパビリティ関係'!$F$4:$F$494,$B14,'VS×ケイパビリティ関係'!$G$4:$G$494,E$5,'VS×ケイパビリティ関係'!$E$4:$E$494,"支援")&gt;0,"○",""))</f>
        <v/>
      </c>
      <c r="F14" s="22" t="str">
        <f>IF(COUNTIFS('VS×ケイパビリティ関係'!$F$4:$F$494,$B14,'VS×ケイパビリティ関係'!$G$4:$G$494,F$5,'VS×ケイパビリティ関係'!$E$4:$E$494,"主")&gt;0,"●",IF(COUNTIFS('VS×ケイパビリティ関係'!$F$4:$F$494,$B14,'VS×ケイパビリティ関係'!$G$4:$G$494,F$5,'VS×ケイパビリティ関係'!$E$4:$E$494,"支援")&gt;0,"○",""))</f>
        <v/>
      </c>
      <c r="G14" s="22" t="str">
        <f>IF(COUNTIFS('VS×ケイパビリティ関係'!$F$4:$F$494,$B14,'VS×ケイパビリティ関係'!$G$4:$G$494,G$5,'VS×ケイパビリティ関係'!$E$4:$E$494,"主")&gt;0,"●",IF(COUNTIFS('VS×ケイパビリティ関係'!$F$4:$F$494,$B14,'VS×ケイパビリティ関係'!$G$4:$G$494,G$5,'VS×ケイパビリティ関係'!$E$4:$E$494,"支援")&gt;0,"○",""))</f>
        <v/>
      </c>
      <c r="H14" s="22" t="str">
        <f>IF(COUNTIFS('VS×ケイパビリティ関係'!$F$4:$F$494,$B14,'VS×ケイパビリティ関係'!$G$4:$G$494,H$5,'VS×ケイパビリティ関係'!$E$4:$E$494,"主")&gt;0,"●",IF(COUNTIFS('VS×ケイパビリティ関係'!$F$4:$F$494,$B14,'VS×ケイパビリティ関係'!$G$4:$G$494,H$5,'VS×ケイパビリティ関係'!$E$4:$E$494,"支援")&gt;0,"○",""))</f>
        <v/>
      </c>
      <c r="I14" s="22" t="str">
        <f>IF(COUNTIFS('VS×ケイパビリティ関係'!$F$4:$F$494,$B14,'VS×ケイパビリティ関係'!$G$4:$G$494,I$5,'VS×ケイパビリティ関係'!$E$4:$E$494,"主")&gt;0,"●",IF(COUNTIFS('VS×ケイパビリティ関係'!$F$4:$F$494,$B14,'VS×ケイパビリティ関係'!$G$4:$G$494,I$5,'VS×ケイパビリティ関係'!$E$4:$E$494,"支援")&gt;0,"○",""))</f>
        <v/>
      </c>
      <c r="J14" s="22" t="str">
        <f>IF(COUNTIFS('VS×ケイパビリティ関係'!$F$4:$F$494,$B14,'VS×ケイパビリティ関係'!$G$4:$G$494,J$5,'VS×ケイパビリティ関係'!$E$4:$E$494,"主")&gt;0,"●",IF(COUNTIFS('VS×ケイパビリティ関係'!$F$4:$F$494,$B14,'VS×ケイパビリティ関係'!$G$4:$G$494,J$5,'VS×ケイパビリティ関係'!$E$4:$E$494,"支援")&gt;0,"○",""))</f>
        <v/>
      </c>
      <c r="K14" s="22" t="str">
        <f>IF(COUNTIFS('VS×ケイパビリティ関係'!$F$4:$F$494,$B14,'VS×ケイパビリティ関係'!$G$4:$G$494,K$5,'VS×ケイパビリティ関係'!$E$4:$E$494,"主")&gt;0,"●",IF(COUNTIFS('VS×ケイパビリティ関係'!$F$4:$F$494,$B14,'VS×ケイパビリティ関係'!$G$4:$G$494,K$5,'VS×ケイパビリティ関係'!$E$4:$E$494,"支援")&gt;0,"○",""))</f>
        <v/>
      </c>
      <c r="L14" s="22" t="str">
        <f>IF(COUNTIFS('VS×ケイパビリティ関係'!$F$4:$F$494,$B14,'VS×ケイパビリティ関係'!$G$4:$G$494,L$5,'VS×ケイパビリティ関係'!$E$4:$E$494,"主")&gt;0,"●",IF(COUNTIFS('VS×ケイパビリティ関係'!$F$4:$F$494,$B14,'VS×ケイパビリティ関係'!$G$4:$G$494,L$5,'VS×ケイパビリティ関係'!$E$4:$E$494,"支援")&gt;0,"○",""))</f>
        <v/>
      </c>
      <c r="M14" s="22" t="str">
        <f>IF(COUNTIFS('VS×ケイパビリティ関係'!$F$4:$F$494,$B14,'VS×ケイパビリティ関係'!$G$4:$G$494,M$5,'VS×ケイパビリティ関係'!$E$4:$E$494,"主")&gt;0,"●",IF(COUNTIFS('VS×ケイパビリティ関係'!$F$4:$F$494,$B14,'VS×ケイパビリティ関係'!$G$4:$G$494,M$5,'VS×ケイパビリティ関係'!$E$4:$E$494,"支援")&gt;0,"○",""))</f>
        <v>○</v>
      </c>
      <c r="N14" s="22" t="str">
        <f>IF(COUNTIFS('VS×ケイパビリティ関係'!$F$4:$F$494,$B14,'VS×ケイパビリティ関係'!$G$4:$G$494,N$5,'VS×ケイパビリティ関係'!$E$4:$E$494,"主")&gt;0,"●",IF(COUNTIFS('VS×ケイパビリティ関係'!$F$4:$F$494,$B14,'VS×ケイパビリティ関係'!$G$4:$G$494,N$5,'VS×ケイパビリティ関係'!$E$4:$E$494,"支援")&gt;0,"○",""))</f>
        <v/>
      </c>
      <c r="O14" s="22" t="str">
        <f>IF(COUNTIFS('VS×ケイパビリティ関係'!$F$4:$F$494,$B14,'VS×ケイパビリティ関係'!$G$4:$G$494,O$5,'VS×ケイパビリティ関係'!$E$4:$E$494,"主")&gt;0,"●",IF(COUNTIFS('VS×ケイパビリティ関係'!$F$4:$F$494,$B14,'VS×ケイパビリティ関係'!$G$4:$G$494,O$5,'VS×ケイパビリティ関係'!$E$4:$E$494,"支援")&gt;0,"○",""))</f>
        <v>●</v>
      </c>
      <c r="P14" s="22" t="str">
        <f>IF(COUNTIFS('VS×ケイパビリティ関係'!$F$4:$F$494,$B14,'VS×ケイパビリティ関係'!$G$4:$G$494,P$5,'VS×ケイパビリティ関係'!$E$4:$E$494,"主")&gt;0,"●",IF(COUNTIFS('VS×ケイパビリティ関係'!$F$4:$F$494,$B14,'VS×ケイパビリティ関係'!$G$4:$G$494,P$5,'VS×ケイパビリティ関係'!$E$4:$E$494,"支援")&gt;0,"○",""))</f>
        <v/>
      </c>
      <c r="Q14" s="22" t="str">
        <f>IF(COUNTIFS('VS×ケイパビリティ関係'!$F$4:$F$494,$B14,'VS×ケイパビリティ関係'!$G$4:$G$494,Q$5,'VS×ケイパビリティ関係'!$E$4:$E$494,"主")&gt;0,"●",IF(COUNTIFS('VS×ケイパビリティ関係'!$F$4:$F$494,$B14,'VS×ケイパビリティ関係'!$G$4:$G$494,Q$5,'VS×ケイパビリティ関係'!$E$4:$E$494,"支援")&gt;0,"○",""))</f>
        <v/>
      </c>
      <c r="R14" s="22" t="str">
        <f>IF(COUNTIFS('VS×ケイパビリティ関係'!$F$4:$F$494,$B14,'VS×ケイパビリティ関係'!$G$4:$G$494,R$5,'VS×ケイパビリティ関係'!$E$4:$E$494,"主")&gt;0,"●",IF(COUNTIFS('VS×ケイパビリティ関係'!$F$4:$F$494,$B14,'VS×ケイパビリティ関係'!$G$4:$G$494,R$5,'VS×ケイパビリティ関係'!$E$4:$E$494,"支援")&gt;0,"○",""))</f>
        <v/>
      </c>
      <c r="S14" s="22" t="str">
        <f>IF(COUNTIFS('VS×ケイパビリティ関係'!$F$4:$F$494,$B14,'VS×ケイパビリティ関係'!$G$4:$G$494,S$5,'VS×ケイパビリティ関係'!$E$4:$E$494,"主")&gt;0,"●",IF(COUNTIFS('VS×ケイパビリティ関係'!$F$4:$F$494,$B14,'VS×ケイパビリティ関係'!$G$4:$G$494,S$5,'VS×ケイパビリティ関係'!$E$4:$E$494,"支援")&gt;0,"○",""))</f>
        <v/>
      </c>
      <c r="T14" s="22" t="str">
        <f>IF(COUNTIFS('VS×ケイパビリティ関係'!$F$4:$F$494,$B14,'VS×ケイパビリティ関係'!$G$4:$G$494,T$5,'VS×ケイパビリティ関係'!$E$4:$E$494,"主")&gt;0,"●",IF(COUNTIFS('VS×ケイパビリティ関係'!$F$4:$F$494,$B14,'VS×ケイパビリティ関係'!$G$4:$G$494,T$5,'VS×ケイパビリティ関係'!$E$4:$E$494,"支援")&gt;0,"○",""))</f>
        <v/>
      </c>
      <c r="U14" s="22" t="str">
        <f>IF(COUNTIFS('VS×ケイパビリティ関係'!$F$4:$F$494,$B14,'VS×ケイパビリティ関係'!$G$4:$G$494,U$5,'VS×ケイパビリティ関係'!$E$4:$E$494,"主")&gt;0,"●",IF(COUNTIFS('VS×ケイパビリティ関係'!$F$4:$F$494,$B14,'VS×ケイパビリティ関係'!$G$4:$G$494,U$5,'VS×ケイパビリティ関係'!$E$4:$E$494,"支援")&gt;0,"○",""))</f>
        <v/>
      </c>
      <c r="V14" s="22" t="str">
        <f>IF(COUNTIFS('VS×ケイパビリティ関係'!$F$4:$F$494,$B14,'VS×ケイパビリティ関係'!$G$4:$G$494,V$5,'VS×ケイパビリティ関係'!$E$4:$E$494,"主")&gt;0,"●",IF(COUNTIFS('VS×ケイパビリティ関係'!$F$4:$F$494,$B14,'VS×ケイパビリティ関係'!$G$4:$G$494,V$5,'VS×ケイパビリティ関係'!$E$4:$E$494,"支援")&gt;0,"○",""))</f>
        <v/>
      </c>
      <c r="W14" s="22" t="str">
        <f>IF(COUNTIFS('VS×ケイパビリティ関係'!$F$4:$F$494,$B14,'VS×ケイパビリティ関係'!$G$4:$G$494,W$5,'VS×ケイパビリティ関係'!$E$4:$E$494,"主")&gt;0,"●",IF(COUNTIFS('VS×ケイパビリティ関係'!$F$4:$F$494,$B14,'VS×ケイパビリティ関係'!$G$4:$G$494,W$5,'VS×ケイパビリティ関係'!$E$4:$E$494,"支援")&gt;0,"○",""))</f>
        <v/>
      </c>
      <c r="X14" s="22" t="str">
        <f>IF(COUNTIFS('VS×ケイパビリティ関係'!$F$4:$F$494,$B14,'VS×ケイパビリティ関係'!$G$4:$G$494,X$5,'VS×ケイパビリティ関係'!$E$4:$E$494,"主")&gt;0,"●",IF(COUNTIFS('VS×ケイパビリティ関係'!$F$4:$F$494,$B14,'VS×ケイパビリティ関係'!$G$4:$G$494,X$5,'VS×ケイパビリティ関係'!$E$4:$E$494,"支援")&gt;0,"○",""))</f>
        <v/>
      </c>
      <c r="Y14" s="22" t="str">
        <f>IF(COUNTIFS('VS×ケイパビリティ関係'!$F$4:$F$494,$B14,'VS×ケイパビリティ関係'!$G$4:$G$494,Y$5,'VS×ケイパビリティ関係'!$E$4:$E$494,"主")&gt;0,"●",IF(COUNTIFS('VS×ケイパビリティ関係'!$F$4:$F$494,$B14,'VS×ケイパビリティ関係'!$G$4:$G$494,Y$5,'VS×ケイパビリティ関係'!$E$4:$E$494,"支援")&gt;0,"○",""))</f>
        <v>●</v>
      </c>
      <c r="Z14" s="22" t="str">
        <f>IF(COUNTIFS('VS×ケイパビリティ関係'!$F$4:$F$494,$B14,'VS×ケイパビリティ関係'!$G$4:$G$494,Z$5,'VS×ケイパビリティ関係'!$E$4:$E$494,"主")&gt;0,"●",IF(COUNTIFS('VS×ケイパビリティ関係'!$F$4:$F$494,$B14,'VS×ケイパビリティ関係'!$G$4:$G$494,Z$5,'VS×ケイパビリティ関係'!$E$4:$E$494,"支援")&gt;0,"○",""))</f>
        <v/>
      </c>
      <c r="AA14" s="22" t="str">
        <f>IF(COUNTIFS('VS×ケイパビリティ関係'!$F$4:$F$494,$B14,'VS×ケイパビリティ関係'!$G$4:$G$494,AA$5,'VS×ケイパビリティ関係'!$E$4:$E$494,"主")&gt;0,"●",IF(COUNTIFS('VS×ケイパビリティ関係'!$F$4:$F$494,$B14,'VS×ケイパビリティ関係'!$G$4:$G$494,AA$5,'VS×ケイパビリティ関係'!$E$4:$E$494,"支援")&gt;0,"○",""))</f>
        <v>●</v>
      </c>
      <c r="AB14" s="22" t="str">
        <f>IF(COUNTIFS('VS×ケイパビリティ関係'!$F$4:$F$494,$B14,'VS×ケイパビリティ関係'!$G$4:$G$494,AB$5,'VS×ケイパビリティ関係'!$E$4:$E$494,"主")&gt;0,"●",IF(COUNTIFS('VS×ケイパビリティ関係'!$F$4:$F$494,$B14,'VS×ケイパビリティ関係'!$G$4:$G$494,AB$5,'VS×ケイパビリティ関係'!$E$4:$E$494,"支援")&gt;0,"○",""))</f>
        <v>●</v>
      </c>
      <c r="AC14" s="22" t="str">
        <f>IF(COUNTIFS('VS×ケイパビリティ関係'!$F$4:$F$494,$B14,'VS×ケイパビリティ関係'!$G$4:$G$494,AC$5,'VS×ケイパビリティ関係'!$E$4:$E$494,"主")&gt;0,"●",IF(COUNTIFS('VS×ケイパビリティ関係'!$F$4:$F$494,$B14,'VS×ケイパビリティ関係'!$G$4:$G$494,AC$5,'VS×ケイパビリティ関係'!$E$4:$E$494,"支援")&gt;0,"○",""))</f>
        <v/>
      </c>
      <c r="AD14" s="22" t="str">
        <f>IF(COUNTIFS('VS×ケイパビリティ関係'!$F$4:$F$494,$B14,'VS×ケイパビリティ関係'!$G$4:$G$494,AD$5,'VS×ケイパビリティ関係'!$E$4:$E$494,"主")&gt;0,"●",IF(COUNTIFS('VS×ケイパビリティ関係'!$F$4:$F$494,$B14,'VS×ケイパビリティ関係'!$G$4:$G$494,AD$5,'VS×ケイパビリティ関係'!$E$4:$E$494,"支援")&gt;0,"○",""))</f>
        <v/>
      </c>
      <c r="AE14" s="22" t="str">
        <f>IF(COUNTIFS('VS×ケイパビリティ関係'!$F$4:$F$494,$B14,'VS×ケイパビリティ関係'!$G$4:$G$494,AE$5,'VS×ケイパビリティ関係'!$E$4:$E$494,"主")&gt;0,"●",IF(COUNTIFS('VS×ケイパビリティ関係'!$F$4:$F$494,$B14,'VS×ケイパビリティ関係'!$G$4:$G$494,AE$5,'VS×ケイパビリティ関係'!$E$4:$E$494,"支援")&gt;0,"○",""))</f>
        <v/>
      </c>
      <c r="AF14" s="22" t="str">
        <f>IF(COUNTIFS('VS×ケイパビリティ関係'!$F$4:$F$494,$B14,'VS×ケイパビリティ関係'!$G$4:$G$494,AF$5,'VS×ケイパビリティ関係'!$E$4:$E$494,"主")&gt;0,"●",IF(COUNTIFS('VS×ケイパビリティ関係'!$F$4:$F$494,$B14,'VS×ケイパビリティ関係'!$G$4:$G$494,AF$5,'VS×ケイパビリティ関係'!$E$4:$E$494,"支援")&gt;0,"○",""))</f>
        <v/>
      </c>
      <c r="AG14" s="22" t="str">
        <f>IF(COUNTIFS('VS×ケイパビリティ関係'!$F$4:$F$494,$B14,'VS×ケイパビリティ関係'!$G$4:$G$494,AG$5,'VS×ケイパビリティ関係'!$E$4:$E$494,"主")&gt;0,"●",IF(COUNTIFS('VS×ケイパビリティ関係'!$F$4:$F$494,$B14,'VS×ケイパビリティ関係'!$G$4:$G$494,AG$5,'VS×ケイパビリティ関係'!$E$4:$E$494,"支援")&gt;0,"○",""))</f>
        <v/>
      </c>
      <c r="AH14" s="22" t="str">
        <f>IF(COUNTIFS('VS×ケイパビリティ関係'!$F$4:$F$494,$B14,'VS×ケイパビリティ関係'!$G$4:$G$494,AH$5,'VS×ケイパビリティ関係'!$E$4:$E$494,"主")&gt;0,"●",IF(COUNTIFS('VS×ケイパビリティ関係'!$F$4:$F$494,$B14,'VS×ケイパビリティ関係'!$G$4:$G$494,AH$5,'VS×ケイパビリティ関係'!$E$4:$E$494,"支援")&gt;0,"○",""))</f>
        <v/>
      </c>
      <c r="AI14" s="22" t="str">
        <f>IF(COUNTIFS('VS×ケイパビリティ関係'!$F$4:$F$494,$B14,'VS×ケイパビリティ関係'!$G$4:$G$494,AI$5,'VS×ケイパビリティ関係'!$E$4:$E$494,"主")&gt;0,"●",IF(COUNTIFS('VS×ケイパビリティ関係'!$F$4:$F$494,$B14,'VS×ケイパビリティ関係'!$G$4:$G$494,AI$5,'VS×ケイパビリティ関係'!$E$4:$E$494,"支援")&gt;0,"○",""))</f>
        <v/>
      </c>
      <c r="AJ14" s="22" t="str">
        <f>IF(COUNTIFS('VS×ケイパビリティ関係'!$F$4:$F$494,$B14,'VS×ケイパビリティ関係'!$G$4:$G$494,AJ$5,'VS×ケイパビリティ関係'!$E$4:$E$494,"主")&gt;0,"●",IF(COUNTIFS('VS×ケイパビリティ関係'!$F$4:$F$494,$B14,'VS×ケイパビリティ関係'!$G$4:$G$494,AJ$5,'VS×ケイパビリティ関係'!$E$4:$E$494,"支援")&gt;0,"○",""))</f>
        <v/>
      </c>
      <c r="AK14" s="22" t="str">
        <f>IF(COUNTIFS('VS×ケイパビリティ関係'!$F$4:$F$494,$B14,'VS×ケイパビリティ関係'!$G$4:$G$494,AK$5,'VS×ケイパビリティ関係'!$E$4:$E$494,"主")&gt;0,"●",IF(COUNTIFS('VS×ケイパビリティ関係'!$F$4:$F$494,$B14,'VS×ケイパビリティ関係'!$G$4:$G$494,AK$5,'VS×ケイパビリティ関係'!$E$4:$E$494,"支援")&gt;0,"○",""))</f>
        <v/>
      </c>
      <c r="AL14" s="22" t="str">
        <f>IF(COUNTIFS('VS×ケイパビリティ関係'!$F$4:$F$494,$B14,'VS×ケイパビリティ関係'!$G$4:$G$494,AL$5,'VS×ケイパビリティ関係'!$E$4:$E$494,"主")&gt;0,"●",IF(COUNTIFS('VS×ケイパビリティ関係'!$F$4:$F$494,$B14,'VS×ケイパビリティ関係'!$G$4:$G$494,AL$5,'VS×ケイパビリティ関係'!$E$4:$E$494,"支援")&gt;0,"○",""))</f>
        <v/>
      </c>
      <c r="AM14" s="22" t="str">
        <f>IF(COUNTIFS('VS×ケイパビリティ関係'!$F$4:$F$494,$B14,'VS×ケイパビリティ関係'!$G$4:$G$494,AM$5,'VS×ケイパビリティ関係'!$E$4:$E$494,"主")&gt;0,"●",IF(COUNTIFS('VS×ケイパビリティ関係'!$F$4:$F$494,$B14,'VS×ケイパビリティ関係'!$G$4:$G$494,AM$5,'VS×ケイパビリティ関係'!$E$4:$E$494,"支援")&gt;0,"○",""))</f>
        <v/>
      </c>
      <c r="AN14" s="22" t="str">
        <f>IF(COUNTIFS('VS×ケイパビリティ関係'!$F$4:$F$494,$B14,'VS×ケイパビリティ関係'!$G$4:$G$494,AN$5,'VS×ケイパビリティ関係'!$E$4:$E$494,"主")&gt;0,"●",IF(COUNTIFS('VS×ケイパビリティ関係'!$F$4:$F$494,$B14,'VS×ケイパビリティ関係'!$G$4:$G$494,AN$5,'VS×ケイパビリティ関係'!$E$4:$E$494,"支援")&gt;0,"○",""))</f>
        <v/>
      </c>
      <c r="AO14" s="22" t="str">
        <f>IF(COUNTIFS('VS×ケイパビリティ関係'!$F$4:$F$494,$B14,'VS×ケイパビリティ関係'!$G$4:$G$494,AO$5,'VS×ケイパビリティ関係'!$E$4:$E$494,"主")&gt;0,"●",IF(COUNTIFS('VS×ケイパビリティ関係'!$F$4:$F$494,$B14,'VS×ケイパビリティ関係'!$G$4:$G$494,AO$5,'VS×ケイパビリティ関係'!$E$4:$E$494,"支援")&gt;0,"○",""))</f>
        <v/>
      </c>
      <c r="AP14" s="22" t="str">
        <f>IF(COUNTIFS('VS×ケイパビリティ関係'!$F$4:$F$494,$B14,'VS×ケイパビリティ関係'!$G$4:$G$494,AP$5,'VS×ケイパビリティ関係'!$E$4:$E$494,"主")&gt;0,"●",IF(COUNTIFS('VS×ケイパビリティ関係'!$F$4:$F$494,$B14,'VS×ケイパビリティ関係'!$G$4:$G$494,AP$5,'VS×ケイパビリティ関係'!$E$4:$E$494,"支援")&gt;0,"○",""))</f>
        <v/>
      </c>
      <c r="AQ14" s="22" t="str">
        <f>IF(COUNTIFS('VS×ケイパビリティ関係'!$F$4:$F$494,$B14,'VS×ケイパビリティ関係'!$G$4:$G$494,AQ$5,'VS×ケイパビリティ関係'!$E$4:$E$494,"主")&gt;0,"●",IF(COUNTIFS('VS×ケイパビリティ関係'!$F$4:$F$494,$B14,'VS×ケイパビリティ関係'!$G$4:$G$494,AQ$5,'VS×ケイパビリティ関係'!$E$4:$E$494,"支援")&gt;0,"○",""))</f>
        <v/>
      </c>
      <c r="AR14" s="22" t="str">
        <f>IF(COUNTIFS('VS×ケイパビリティ関係'!$F$4:$F$494,$B14,'VS×ケイパビリティ関係'!$G$4:$G$494,AR$5,'VS×ケイパビリティ関係'!$E$4:$E$494,"主")&gt;0,"●",IF(COUNTIFS('VS×ケイパビリティ関係'!$F$4:$F$494,$B14,'VS×ケイパビリティ関係'!$G$4:$G$494,AR$5,'VS×ケイパビリティ関係'!$E$4:$E$494,"支援")&gt;0,"○",""))</f>
        <v/>
      </c>
      <c r="AS14" s="22" t="str">
        <f>IF(COUNTIFS('VS×ケイパビリティ関係'!$F$4:$F$494,$B14,'VS×ケイパビリティ関係'!$G$4:$G$494,AS$5,'VS×ケイパビリティ関係'!$E$4:$E$494,"主")&gt;0,"●",IF(COUNTIFS('VS×ケイパビリティ関係'!$F$4:$F$494,$B14,'VS×ケイパビリティ関係'!$G$4:$G$494,AS$5,'VS×ケイパビリティ関係'!$E$4:$E$494,"支援")&gt;0,"○",""))</f>
        <v/>
      </c>
      <c r="AT14" s="22" t="str">
        <f>IF(COUNTIFS('VS×ケイパビリティ関係'!$F$4:$F$494,$B14,'VS×ケイパビリティ関係'!$G$4:$G$494,AT$5,'VS×ケイパビリティ関係'!$E$4:$E$494,"主")&gt;0,"●",IF(COUNTIFS('VS×ケイパビリティ関係'!$F$4:$F$494,$B14,'VS×ケイパビリティ関係'!$G$4:$G$494,AT$5,'VS×ケイパビリティ関係'!$E$4:$E$494,"支援")&gt;0,"○",""))</f>
        <v/>
      </c>
      <c r="AU14" s="22" t="str">
        <f>IF(COUNTIFS('VS×ケイパビリティ関係'!$F$4:$F$494,$B14,'VS×ケイパビリティ関係'!$G$4:$G$494,AU$5,'VS×ケイパビリティ関係'!$E$4:$E$494,"主")&gt;0,"●",IF(COUNTIFS('VS×ケイパビリティ関係'!$F$4:$F$494,$B14,'VS×ケイパビリティ関係'!$G$4:$G$494,AU$5,'VS×ケイパビリティ関係'!$E$4:$E$494,"支援")&gt;0,"○",""))</f>
        <v/>
      </c>
      <c r="AV14" s="22" t="str">
        <f>IF(COUNTIFS('VS×ケイパビリティ関係'!$F$4:$F$494,$B14,'VS×ケイパビリティ関係'!$G$4:$G$494,AV$5,'VS×ケイパビリティ関係'!$E$4:$E$494,"主")&gt;0,"●",IF(COUNTIFS('VS×ケイパビリティ関係'!$F$4:$F$494,$B14,'VS×ケイパビリティ関係'!$G$4:$G$494,AV$5,'VS×ケイパビリティ関係'!$E$4:$E$494,"支援")&gt;0,"○",""))</f>
        <v/>
      </c>
      <c r="AW14" s="22" t="str">
        <f>IF(COUNTIFS('VS×ケイパビリティ関係'!$F$4:$F$494,$B14,'VS×ケイパビリティ関係'!$G$4:$G$494,AW$5,'VS×ケイパビリティ関係'!$E$4:$E$494,"主")&gt;0,"●",IF(COUNTIFS('VS×ケイパビリティ関係'!$F$4:$F$494,$B14,'VS×ケイパビリティ関係'!$G$4:$G$494,AW$5,'VS×ケイパビリティ関係'!$E$4:$E$494,"支援")&gt;0,"○",""))</f>
        <v/>
      </c>
      <c r="AX14" s="22" t="str">
        <f>IF(COUNTIFS('VS×ケイパビリティ関係'!$F$4:$F$494,$B14,'VS×ケイパビリティ関係'!$G$4:$G$494,AX$5,'VS×ケイパビリティ関係'!$E$4:$E$494,"主")&gt;0,"●",IF(COUNTIFS('VS×ケイパビリティ関係'!$F$4:$F$494,$B14,'VS×ケイパビリティ関係'!$G$4:$G$494,AX$5,'VS×ケイパビリティ関係'!$E$4:$E$494,"支援")&gt;0,"○",""))</f>
        <v/>
      </c>
      <c r="AY14" s="22" t="str">
        <f>IF(COUNTIFS('VS×ケイパビリティ関係'!$F$4:$F$494,$B14,'VS×ケイパビリティ関係'!$G$4:$G$494,AY$5,'VS×ケイパビリティ関係'!$E$4:$E$494,"主")&gt;0,"●",IF(COUNTIFS('VS×ケイパビリティ関係'!$F$4:$F$494,$B14,'VS×ケイパビリティ関係'!$G$4:$G$494,AY$5,'VS×ケイパビリティ関係'!$E$4:$E$494,"支援")&gt;0,"○",""))</f>
        <v/>
      </c>
      <c r="AZ14" s="22" t="str">
        <f>IF(COUNTIFS('VS×ケイパビリティ関係'!$F$4:$F$494,$B14,'VS×ケイパビリティ関係'!$G$4:$G$494,AZ$5,'VS×ケイパビリティ関係'!$E$4:$E$494,"主")&gt;0,"●",IF(COUNTIFS('VS×ケイパビリティ関係'!$F$4:$F$494,$B14,'VS×ケイパビリティ関係'!$G$4:$G$494,AZ$5,'VS×ケイパビリティ関係'!$E$4:$E$494,"支援")&gt;0,"○",""))</f>
        <v/>
      </c>
      <c r="BA14" s="22" t="str">
        <f>IF(COUNTIFS('VS×ケイパビリティ関係'!$F$4:$F$494,$B14,'VS×ケイパビリティ関係'!$G$4:$G$494,BA$5,'VS×ケイパビリティ関係'!$E$4:$E$494,"主")&gt;0,"●",IF(COUNTIFS('VS×ケイパビリティ関係'!$F$4:$F$494,$B14,'VS×ケイパビリティ関係'!$G$4:$G$494,BA$5,'VS×ケイパビリティ関係'!$E$4:$E$494,"支援")&gt;0,"○",""))</f>
        <v/>
      </c>
      <c r="BB14" s="22" t="str">
        <f>IF(COUNTIFS('VS×ケイパビリティ関係'!$F$4:$F$494,$B14,'VS×ケイパビリティ関係'!$G$4:$G$494,BB$5,'VS×ケイパビリティ関係'!$E$4:$E$494,"主")&gt;0,"●",IF(COUNTIFS('VS×ケイパビリティ関係'!$F$4:$F$494,$B14,'VS×ケイパビリティ関係'!$G$4:$G$494,BB$5,'VS×ケイパビリティ関係'!$E$4:$E$494,"支援")&gt;0,"○",""))</f>
        <v/>
      </c>
      <c r="BC14" s="22" t="str">
        <f>IF(COUNTIFS('VS×ケイパビリティ関係'!$F$4:$F$494,$B14,'VS×ケイパビリティ関係'!$G$4:$G$494,BC$5,'VS×ケイパビリティ関係'!$E$4:$E$494,"主")&gt;0,"●",IF(COUNTIFS('VS×ケイパビリティ関係'!$F$4:$F$494,$B14,'VS×ケイパビリティ関係'!$G$4:$G$494,BC$5,'VS×ケイパビリティ関係'!$E$4:$E$494,"支援")&gt;0,"○",""))</f>
        <v/>
      </c>
      <c r="BD14" s="22" t="str">
        <f>IF(COUNTIFS('VS×ケイパビリティ関係'!$F$4:$F$494,$B14,'VS×ケイパビリティ関係'!$G$4:$G$494,BD$5,'VS×ケイパビリティ関係'!$E$4:$E$494,"主")&gt;0,"●",IF(COUNTIFS('VS×ケイパビリティ関係'!$F$4:$F$494,$B14,'VS×ケイパビリティ関係'!$G$4:$G$494,BD$5,'VS×ケイパビリティ関係'!$E$4:$E$494,"支援")&gt;0,"○",""))</f>
        <v/>
      </c>
      <c r="BE14" s="22">
        <f t="shared" si="1"/>
        <v>4</v>
      </c>
      <c r="BF14" s="22">
        <f t="shared" si="2"/>
        <v>2</v>
      </c>
    </row>
    <row r="15" ht="26.25" customHeight="1">
      <c r="A15" s="42" t="s">
        <v>3033</v>
      </c>
      <c r="B15" s="22" t="s">
        <v>933</v>
      </c>
      <c r="C15" s="25" t="s">
        <v>939</v>
      </c>
      <c r="D15" s="22" t="str">
        <f>IF(COUNTIFS('VS×ケイパビリティ関係'!$F$4:$F$494,$B15,'VS×ケイパビリティ関係'!$G$4:$G$494,D$5,'VS×ケイパビリティ関係'!$E$4:$E$494,"主")&gt;0,"●",IF(COUNTIFS('VS×ケイパビリティ関係'!$F$4:$F$494,$B15,'VS×ケイパビリティ関係'!$G$4:$G$494,D$5,'VS×ケイパビリティ関係'!$E$4:$E$494,"支援")&gt;0,"○",""))</f>
        <v/>
      </c>
      <c r="E15" s="22" t="str">
        <f>IF(COUNTIFS('VS×ケイパビリティ関係'!$F$4:$F$494,$B15,'VS×ケイパビリティ関係'!$G$4:$G$494,E$5,'VS×ケイパビリティ関係'!$E$4:$E$494,"主")&gt;0,"●",IF(COUNTIFS('VS×ケイパビリティ関係'!$F$4:$F$494,$B15,'VS×ケイパビリティ関係'!$G$4:$G$494,E$5,'VS×ケイパビリティ関係'!$E$4:$E$494,"支援")&gt;0,"○",""))</f>
        <v/>
      </c>
      <c r="F15" s="22" t="str">
        <f>IF(COUNTIFS('VS×ケイパビリティ関係'!$F$4:$F$494,$B15,'VS×ケイパビリティ関係'!$G$4:$G$494,F$5,'VS×ケイパビリティ関係'!$E$4:$E$494,"主")&gt;0,"●",IF(COUNTIFS('VS×ケイパビリティ関係'!$F$4:$F$494,$B15,'VS×ケイパビリティ関係'!$G$4:$G$494,F$5,'VS×ケイパビリティ関係'!$E$4:$E$494,"支援")&gt;0,"○",""))</f>
        <v>○</v>
      </c>
      <c r="G15" s="22" t="str">
        <f>IF(COUNTIFS('VS×ケイパビリティ関係'!$F$4:$F$494,$B15,'VS×ケイパビリティ関係'!$G$4:$G$494,G$5,'VS×ケイパビリティ関係'!$E$4:$E$494,"主")&gt;0,"●",IF(COUNTIFS('VS×ケイパビリティ関係'!$F$4:$F$494,$B15,'VS×ケイパビリティ関係'!$G$4:$G$494,G$5,'VS×ケイパビリティ関係'!$E$4:$E$494,"支援")&gt;0,"○",""))</f>
        <v/>
      </c>
      <c r="H15" s="22" t="str">
        <f>IF(COUNTIFS('VS×ケイパビリティ関係'!$F$4:$F$494,$B15,'VS×ケイパビリティ関係'!$G$4:$G$494,H$5,'VS×ケイパビリティ関係'!$E$4:$E$494,"主")&gt;0,"●",IF(COUNTIFS('VS×ケイパビリティ関係'!$F$4:$F$494,$B15,'VS×ケイパビリティ関係'!$G$4:$G$494,H$5,'VS×ケイパビリティ関係'!$E$4:$E$494,"支援")&gt;0,"○",""))</f>
        <v/>
      </c>
      <c r="I15" s="22" t="str">
        <f>IF(COUNTIFS('VS×ケイパビリティ関係'!$F$4:$F$494,$B15,'VS×ケイパビリティ関係'!$G$4:$G$494,I$5,'VS×ケイパビリティ関係'!$E$4:$E$494,"主")&gt;0,"●",IF(COUNTIFS('VS×ケイパビリティ関係'!$F$4:$F$494,$B15,'VS×ケイパビリティ関係'!$G$4:$G$494,I$5,'VS×ケイパビリティ関係'!$E$4:$E$494,"支援")&gt;0,"○",""))</f>
        <v/>
      </c>
      <c r="J15" s="22" t="str">
        <f>IF(COUNTIFS('VS×ケイパビリティ関係'!$F$4:$F$494,$B15,'VS×ケイパビリティ関係'!$G$4:$G$494,J$5,'VS×ケイパビリティ関係'!$E$4:$E$494,"主")&gt;0,"●",IF(COUNTIFS('VS×ケイパビリティ関係'!$F$4:$F$494,$B15,'VS×ケイパビリティ関係'!$G$4:$G$494,J$5,'VS×ケイパビリティ関係'!$E$4:$E$494,"支援")&gt;0,"○",""))</f>
        <v/>
      </c>
      <c r="K15" s="22" t="str">
        <f>IF(COUNTIFS('VS×ケイパビリティ関係'!$F$4:$F$494,$B15,'VS×ケイパビリティ関係'!$G$4:$G$494,K$5,'VS×ケイパビリティ関係'!$E$4:$E$494,"主")&gt;0,"●",IF(COUNTIFS('VS×ケイパビリティ関係'!$F$4:$F$494,$B15,'VS×ケイパビリティ関係'!$G$4:$G$494,K$5,'VS×ケイパビリティ関係'!$E$4:$E$494,"支援")&gt;0,"○",""))</f>
        <v/>
      </c>
      <c r="L15" s="22" t="str">
        <f>IF(COUNTIFS('VS×ケイパビリティ関係'!$F$4:$F$494,$B15,'VS×ケイパビリティ関係'!$G$4:$G$494,L$5,'VS×ケイパビリティ関係'!$E$4:$E$494,"主")&gt;0,"●",IF(COUNTIFS('VS×ケイパビリティ関係'!$F$4:$F$494,$B15,'VS×ケイパビリティ関係'!$G$4:$G$494,L$5,'VS×ケイパビリティ関係'!$E$4:$E$494,"支援")&gt;0,"○",""))</f>
        <v/>
      </c>
      <c r="M15" s="22" t="str">
        <f>IF(COUNTIFS('VS×ケイパビリティ関係'!$F$4:$F$494,$B15,'VS×ケイパビリティ関係'!$G$4:$G$494,M$5,'VS×ケイパビリティ関係'!$E$4:$E$494,"主")&gt;0,"●",IF(COUNTIFS('VS×ケイパビリティ関係'!$F$4:$F$494,$B15,'VS×ケイパビリティ関係'!$G$4:$G$494,M$5,'VS×ケイパビリティ関係'!$E$4:$E$494,"支援")&gt;0,"○",""))</f>
        <v/>
      </c>
      <c r="N15" s="22" t="str">
        <f>IF(COUNTIFS('VS×ケイパビリティ関係'!$F$4:$F$494,$B15,'VS×ケイパビリティ関係'!$G$4:$G$494,N$5,'VS×ケイパビリティ関係'!$E$4:$E$494,"主")&gt;0,"●",IF(COUNTIFS('VS×ケイパビリティ関係'!$F$4:$F$494,$B15,'VS×ケイパビリティ関係'!$G$4:$G$494,N$5,'VS×ケイパビリティ関係'!$E$4:$E$494,"支援")&gt;0,"○",""))</f>
        <v/>
      </c>
      <c r="O15" s="22" t="str">
        <f>IF(COUNTIFS('VS×ケイパビリティ関係'!$F$4:$F$494,$B15,'VS×ケイパビリティ関係'!$G$4:$G$494,O$5,'VS×ケイパビリティ関係'!$E$4:$E$494,"主")&gt;0,"●",IF(COUNTIFS('VS×ケイパビリティ関係'!$F$4:$F$494,$B15,'VS×ケイパビリティ関係'!$G$4:$G$494,O$5,'VS×ケイパビリティ関係'!$E$4:$E$494,"支援")&gt;0,"○",""))</f>
        <v/>
      </c>
      <c r="P15" s="22" t="str">
        <f>IF(COUNTIFS('VS×ケイパビリティ関係'!$F$4:$F$494,$B15,'VS×ケイパビリティ関係'!$G$4:$G$494,P$5,'VS×ケイパビリティ関係'!$E$4:$E$494,"主")&gt;0,"●",IF(COUNTIFS('VS×ケイパビリティ関係'!$F$4:$F$494,$B15,'VS×ケイパビリティ関係'!$G$4:$G$494,P$5,'VS×ケイパビリティ関係'!$E$4:$E$494,"支援")&gt;0,"○",""))</f>
        <v>●</v>
      </c>
      <c r="Q15" s="22" t="str">
        <f>IF(COUNTIFS('VS×ケイパビリティ関係'!$F$4:$F$494,$B15,'VS×ケイパビリティ関係'!$G$4:$G$494,Q$5,'VS×ケイパビリティ関係'!$E$4:$E$494,"主")&gt;0,"●",IF(COUNTIFS('VS×ケイパビリティ関係'!$F$4:$F$494,$B15,'VS×ケイパビリティ関係'!$G$4:$G$494,Q$5,'VS×ケイパビリティ関係'!$E$4:$E$494,"支援")&gt;0,"○",""))</f>
        <v/>
      </c>
      <c r="R15" s="22" t="str">
        <f>IF(COUNTIFS('VS×ケイパビリティ関係'!$F$4:$F$494,$B15,'VS×ケイパビリティ関係'!$G$4:$G$494,R$5,'VS×ケイパビリティ関係'!$E$4:$E$494,"主")&gt;0,"●",IF(COUNTIFS('VS×ケイパビリティ関係'!$F$4:$F$494,$B15,'VS×ケイパビリティ関係'!$G$4:$G$494,R$5,'VS×ケイパビリティ関係'!$E$4:$E$494,"支援")&gt;0,"○",""))</f>
        <v/>
      </c>
      <c r="S15" s="22" t="str">
        <f>IF(COUNTIFS('VS×ケイパビリティ関係'!$F$4:$F$494,$B15,'VS×ケイパビリティ関係'!$G$4:$G$494,S$5,'VS×ケイパビリティ関係'!$E$4:$E$494,"主")&gt;0,"●",IF(COUNTIFS('VS×ケイパビリティ関係'!$F$4:$F$494,$B15,'VS×ケイパビリティ関係'!$G$4:$G$494,S$5,'VS×ケイパビリティ関係'!$E$4:$E$494,"支援")&gt;0,"○",""))</f>
        <v/>
      </c>
      <c r="T15" s="22" t="str">
        <f>IF(COUNTIFS('VS×ケイパビリティ関係'!$F$4:$F$494,$B15,'VS×ケイパビリティ関係'!$G$4:$G$494,T$5,'VS×ケイパビリティ関係'!$E$4:$E$494,"主")&gt;0,"●",IF(COUNTIFS('VS×ケイパビリティ関係'!$F$4:$F$494,$B15,'VS×ケイパビリティ関係'!$G$4:$G$494,T$5,'VS×ケイパビリティ関係'!$E$4:$E$494,"支援")&gt;0,"○",""))</f>
        <v/>
      </c>
      <c r="U15" s="22" t="str">
        <f>IF(COUNTIFS('VS×ケイパビリティ関係'!$F$4:$F$494,$B15,'VS×ケイパビリティ関係'!$G$4:$G$494,U$5,'VS×ケイパビリティ関係'!$E$4:$E$494,"主")&gt;0,"●",IF(COUNTIFS('VS×ケイパビリティ関係'!$F$4:$F$494,$B15,'VS×ケイパビリティ関係'!$G$4:$G$494,U$5,'VS×ケイパビリティ関係'!$E$4:$E$494,"支援")&gt;0,"○",""))</f>
        <v/>
      </c>
      <c r="V15" s="22" t="str">
        <f>IF(COUNTIFS('VS×ケイパビリティ関係'!$F$4:$F$494,$B15,'VS×ケイパビリティ関係'!$G$4:$G$494,V$5,'VS×ケイパビリティ関係'!$E$4:$E$494,"主")&gt;0,"●",IF(COUNTIFS('VS×ケイパビリティ関係'!$F$4:$F$494,$B15,'VS×ケイパビリティ関係'!$G$4:$G$494,V$5,'VS×ケイパビリティ関係'!$E$4:$E$494,"支援")&gt;0,"○",""))</f>
        <v/>
      </c>
      <c r="W15" s="22" t="str">
        <f>IF(COUNTIFS('VS×ケイパビリティ関係'!$F$4:$F$494,$B15,'VS×ケイパビリティ関係'!$G$4:$G$494,W$5,'VS×ケイパビリティ関係'!$E$4:$E$494,"主")&gt;0,"●",IF(COUNTIFS('VS×ケイパビリティ関係'!$F$4:$F$494,$B15,'VS×ケイパビリティ関係'!$G$4:$G$494,W$5,'VS×ケイパビリティ関係'!$E$4:$E$494,"支援")&gt;0,"○",""))</f>
        <v/>
      </c>
      <c r="X15" s="22" t="str">
        <f>IF(COUNTIFS('VS×ケイパビリティ関係'!$F$4:$F$494,$B15,'VS×ケイパビリティ関係'!$G$4:$G$494,X$5,'VS×ケイパビリティ関係'!$E$4:$E$494,"主")&gt;0,"●",IF(COUNTIFS('VS×ケイパビリティ関係'!$F$4:$F$494,$B15,'VS×ケイパビリティ関係'!$G$4:$G$494,X$5,'VS×ケイパビリティ関係'!$E$4:$E$494,"支援")&gt;0,"○",""))</f>
        <v/>
      </c>
      <c r="Y15" s="22" t="str">
        <f>IF(COUNTIFS('VS×ケイパビリティ関係'!$F$4:$F$494,$B15,'VS×ケイパビリティ関係'!$G$4:$G$494,Y$5,'VS×ケイパビリティ関係'!$E$4:$E$494,"主")&gt;0,"●",IF(COUNTIFS('VS×ケイパビリティ関係'!$F$4:$F$494,$B15,'VS×ケイパビリティ関係'!$G$4:$G$494,Y$5,'VS×ケイパビリティ関係'!$E$4:$E$494,"支援")&gt;0,"○",""))</f>
        <v/>
      </c>
      <c r="Z15" s="22" t="str">
        <f>IF(COUNTIFS('VS×ケイパビリティ関係'!$F$4:$F$494,$B15,'VS×ケイパビリティ関係'!$G$4:$G$494,Z$5,'VS×ケイパビリティ関係'!$E$4:$E$494,"主")&gt;0,"●",IF(COUNTIFS('VS×ケイパビリティ関係'!$F$4:$F$494,$B15,'VS×ケイパビリティ関係'!$G$4:$G$494,Z$5,'VS×ケイパビリティ関係'!$E$4:$E$494,"支援")&gt;0,"○",""))</f>
        <v/>
      </c>
      <c r="AA15" s="22" t="str">
        <f>IF(COUNTIFS('VS×ケイパビリティ関係'!$F$4:$F$494,$B15,'VS×ケイパビリティ関係'!$G$4:$G$494,AA$5,'VS×ケイパビリティ関係'!$E$4:$E$494,"主")&gt;0,"●",IF(COUNTIFS('VS×ケイパビリティ関係'!$F$4:$F$494,$B15,'VS×ケイパビリティ関係'!$G$4:$G$494,AA$5,'VS×ケイパビリティ関係'!$E$4:$E$494,"支援")&gt;0,"○",""))</f>
        <v/>
      </c>
      <c r="AB15" s="22" t="str">
        <f>IF(COUNTIFS('VS×ケイパビリティ関係'!$F$4:$F$494,$B15,'VS×ケイパビリティ関係'!$G$4:$G$494,AB$5,'VS×ケイパビリティ関係'!$E$4:$E$494,"主")&gt;0,"●",IF(COUNTIFS('VS×ケイパビリティ関係'!$F$4:$F$494,$B15,'VS×ケイパビリティ関係'!$G$4:$G$494,AB$5,'VS×ケイパビリティ関係'!$E$4:$E$494,"支援")&gt;0,"○",""))</f>
        <v/>
      </c>
      <c r="AC15" s="22" t="str">
        <f>IF(COUNTIFS('VS×ケイパビリティ関係'!$F$4:$F$494,$B15,'VS×ケイパビリティ関係'!$G$4:$G$494,AC$5,'VS×ケイパビリティ関係'!$E$4:$E$494,"主")&gt;0,"●",IF(COUNTIFS('VS×ケイパビリティ関係'!$F$4:$F$494,$B15,'VS×ケイパビリティ関係'!$G$4:$G$494,AC$5,'VS×ケイパビリティ関係'!$E$4:$E$494,"支援")&gt;0,"○",""))</f>
        <v/>
      </c>
      <c r="AD15" s="22" t="str">
        <f>IF(COUNTIFS('VS×ケイパビリティ関係'!$F$4:$F$494,$B15,'VS×ケイパビリティ関係'!$G$4:$G$494,AD$5,'VS×ケイパビリティ関係'!$E$4:$E$494,"主")&gt;0,"●",IF(COUNTIFS('VS×ケイパビリティ関係'!$F$4:$F$494,$B15,'VS×ケイパビリティ関係'!$G$4:$G$494,AD$5,'VS×ケイパビリティ関係'!$E$4:$E$494,"支援")&gt;0,"○",""))</f>
        <v/>
      </c>
      <c r="AE15" s="22" t="str">
        <f>IF(COUNTIFS('VS×ケイパビリティ関係'!$F$4:$F$494,$B15,'VS×ケイパビリティ関係'!$G$4:$G$494,AE$5,'VS×ケイパビリティ関係'!$E$4:$E$494,"主")&gt;0,"●",IF(COUNTIFS('VS×ケイパビリティ関係'!$F$4:$F$494,$B15,'VS×ケイパビリティ関係'!$G$4:$G$494,AE$5,'VS×ケイパビリティ関係'!$E$4:$E$494,"支援")&gt;0,"○",""))</f>
        <v>○</v>
      </c>
      <c r="AF15" s="22" t="str">
        <f>IF(COUNTIFS('VS×ケイパビリティ関係'!$F$4:$F$494,$B15,'VS×ケイパビリティ関係'!$G$4:$G$494,AF$5,'VS×ケイパビリティ関係'!$E$4:$E$494,"主")&gt;0,"●",IF(COUNTIFS('VS×ケイパビリティ関係'!$F$4:$F$494,$B15,'VS×ケイパビリティ関係'!$G$4:$G$494,AF$5,'VS×ケイパビリティ関係'!$E$4:$E$494,"支援")&gt;0,"○",""))</f>
        <v/>
      </c>
      <c r="AG15" s="22" t="str">
        <f>IF(COUNTIFS('VS×ケイパビリティ関係'!$F$4:$F$494,$B15,'VS×ケイパビリティ関係'!$G$4:$G$494,AG$5,'VS×ケイパビリティ関係'!$E$4:$E$494,"主")&gt;0,"●",IF(COUNTIFS('VS×ケイパビリティ関係'!$F$4:$F$494,$B15,'VS×ケイパビリティ関係'!$G$4:$G$494,AG$5,'VS×ケイパビリティ関係'!$E$4:$E$494,"支援")&gt;0,"○",""))</f>
        <v/>
      </c>
      <c r="AH15" s="22" t="str">
        <f>IF(COUNTIFS('VS×ケイパビリティ関係'!$F$4:$F$494,$B15,'VS×ケイパビリティ関係'!$G$4:$G$494,AH$5,'VS×ケイパビリティ関係'!$E$4:$E$494,"主")&gt;0,"●",IF(COUNTIFS('VS×ケイパビリティ関係'!$F$4:$F$494,$B15,'VS×ケイパビリティ関係'!$G$4:$G$494,AH$5,'VS×ケイパビリティ関係'!$E$4:$E$494,"支援")&gt;0,"○",""))</f>
        <v/>
      </c>
      <c r="AI15" s="22" t="str">
        <f>IF(COUNTIFS('VS×ケイパビリティ関係'!$F$4:$F$494,$B15,'VS×ケイパビリティ関係'!$G$4:$G$494,AI$5,'VS×ケイパビリティ関係'!$E$4:$E$494,"主")&gt;0,"●",IF(COUNTIFS('VS×ケイパビリティ関係'!$F$4:$F$494,$B15,'VS×ケイパビリティ関係'!$G$4:$G$494,AI$5,'VS×ケイパビリティ関係'!$E$4:$E$494,"支援")&gt;0,"○",""))</f>
        <v>○</v>
      </c>
      <c r="AJ15" s="22" t="str">
        <f>IF(COUNTIFS('VS×ケイパビリティ関係'!$F$4:$F$494,$B15,'VS×ケイパビリティ関係'!$G$4:$G$494,AJ$5,'VS×ケイパビリティ関係'!$E$4:$E$494,"主")&gt;0,"●",IF(COUNTIFS('VS×ケイパビリティ関係'!$F$4:$F$494,$B15,'VS×ケイパビリティ関係'!$G$4:$G$494,AJ$5,'VS×ケイパビリティ関係'!$E$4:$E$494,"支援")&gt;0,"○",""))</f>
        <v/>
      </c>
      <c r="AK15" s="22" t="str">
        <f>IF(COUNTIFS('VS×ケイパビリティ関係'!$F$4:$F$494,$B15,'VS×ケイパビリティ関係'!$G$4:$G$494,AK$5,'VS×ケイパビリティ関係'!$E$4:$E$494,"主")&gt;0,"●",IF(COUNTIFS('VS×ケイパビリティ関係'!$F$4:$F$494,$B15,'VS×ケイパビリティ関係'!$G$4:$G$494,AK$5,'VS×ケイパビリティ関係'!$E$4:$E$494,"支援")&gt;0,"○",""))</f>
        <v/>
      </c>
      <c r="AL15" s="22" t="str">
        <f>IF(COUNTIFS('VS×ケイパビリティ関係'!$F$4:$F$494,$B15,'VS×ケイパビリティ関係'!$G$4:$G$494,AL$5,'VS×ケイパビリティ関係'!$E$4:$E$494,"主")&gt;0,"●",IF(COUNTIFS('VS×ケイパビリティ関係'!$F$4:$F$494,$B15,'VS×ケイパビリティ関係'!$G$4:$G$494,AL$5,'VS×ケイパビリティ関係'!$E$4:$E$494,"支援")&gt;0,"○",""))</f>
        <v/>
      </c>
      <c r="AM15" s="22" t="str">
        <f>IF(COUNTIFS('VS×ケイパビリティ関係'!$F$4:$F$494,$B15,'VS×ケイパビリティ関係'!$G$4:$G$494,AM$5,'VS×ケイパビリティ関係'!$E$4:$E$494,"主")&gt;0,"●",IF(COUNTIFS('VS×ケイパビリティ関係'!$F$4:$F$494,$B15,'VS×ケイパビリティ関係'!$G$4:$G$494,AM$5,'VS×ケイパビリティ関係'!$E$4:$E$494,"支援")&gt;0,"○",""))</f>
        <v/>
      </c>
      <c r="AN15" s="22" t="str">
        <f>IF(COUNTIFS('VS×ケイパビリティ関係'!$F$4:$F$494,$B15,'VS×ケイパビリティ関係'!$G$4:$G$494,AN$5,'VS×ケイパビリティ関係'!$E$4:$E$494,"主")&gt;0,"●",IF(COUNTIFS('VS×ケイパビリティ関係'!$F$4:$F$494,$B15,'VS×ケイパビリティ関係'!$G$4:$G$494,AN$5,'VS×ケイパビリティ関係'!$E$4:$E$494,"支援")&gt;0,"○",""))</f>
        <v/>
      </c>
      <c r="AO15" s="22" t="str">
        <f>IF(COUNTIFS('VS×ケイパビリティ関係'!$F$4:$F$494,$B15,'VS×ケイパビリティ関係'!$G$4:$G$494,AO$5,'VS×ケイパビリティ関係'!$E$4:$E$494,"主")&gt;0,"●",IF(COUNTIFS('VS×ケイパビリティ関係'!$F$4:$F$494,$B15,'VS×ケイパビリティ関係'!$G$4:$G$494,AO$5,'VS×ケイパビリティ関係'!$E$4:$E$494,"支援")&gt;0,"○",""))</f>
        <v/>
      </c>
      <c r="AP15" s="22" t="str">
        <f>IF(COUNTIFS('VS×ケイパビリティ関係'!$F$4:$F$494,$B15,'VS×ケイパビリティ関係'!$G$4:$G$494,AP$5,'VS×ケイパビリティ関係'!$E$4:$E$494,"主")&gt;0,"●",IF(COUNTIFS('VS×ケイパビリティ関係'!$F$4:$F$494,$B15,'VS×ケイパビリティ関係'!$G$4:$G$494,AP$5,'VS×ケイパビリティ関係'!$E$4:$E$494,"支援")&gt;0,"○",""))</f>
        <v/>
      </c>
      <c r="AQ15" s="22" t="str">
        <f>IF(COUNTIFS('VS×ケイパビリティ関係'!$F$4:$F$494,$B15,'VS×ケイパビリティ関係'!$G$4:$G$494,AQ$5,'VS×ケイパビリティ関係'!$E$4:$E$494,"主")&gt;0,"●",IF(COUNTIFS('VS×ケイパビリティ関係'!$F$4:$F$494,$B15,'VS×ケイパビリティ関係'!$G$4:$G$494,AQ$5,'VS×ケイパビリティ関係'!$E$4:$E$494,"支援")&gt;0,"○",""))</f>
        <v/>
      </c>
      <c r="AR15" s="22" t="str">
        <f>IF(COUNTIFS('VS×ケイパビリティ関係'!$F$4:$F$494,$B15,'VS×ケイパビリティ関係'!$G$4:$G$494,AR$5,'VS×ケイパビリティ関係'!$E$4:$E$494,"主")&gt;0,"●",IF(COUNTIFS('VS×ケイパビリティ関係'!$F$4:$F$494,$B15,'VS×ケイパビリティ関係'!$G$4:$G$494,AR$5,'VS×ケイパビリティ関係'!$E$4:$E$494,"支援")&gt;0,"○",""))</f>
        <v/>
      </c>
      <c r="AS15" s="22" t="str">
        <f>IF(COUNTIFS('VS×ケイパビリティ関係'!$F$4:$F$494,$B15,'VS×ケイパビリティ関係'!$G$4:$G$494,AS$5,'VS×ケイパビリティ関係'!$E$4:$E$494,"主")&gt;0,"●",IF(COUNTIFS('VS×ケイパビリティ関係'!$F$4:$F$494,$B15,'VS×ケイパビリティ関係'!$G$4:$G$494,AS$5,'VS×ケイパビリティ関係'!$E$4:$E$494,"支援")&gt;0,"○",""))</f>
        <v/>
      </c>
      <c r="AT15" s="22" t="str">
        <f>IF(COUNTIFS('VS×ケイパビリティ関係'!$F$4:$F$494,$B15,'VS×ケイパビリティ関係'!$G$4:$G$494,AT$5,'VS×ケイパビリティ関係'!$E$4:$E$494,"主")&gt;0,"●",IF(COUNTIFS('VS×ケイパビリティ関係'!$F$4:$F$494,$B15,'VS×ケイパビリティ関係'!$G$4:$G$494,AT$5,'VS×ケイパビリティ関係'!$E$4:$E$494,"支援")&gt;0,"○",""))</f>
        <v/>
      </c>
      <c r="AU15" s="22" t="str">
        <f>IF(COUNTIFS('VS×ケイパビリティ関係'!$F$4:$F$494,$B15,'VS×ケイパビリティ関係'!$G$4:$G$494,AU$5,'VS×ケイパビリティ関係'!$E$4:$E$494,"主")&gt;0,"●",IF(COUNTIFS('VS×ケイパビリティ関係'!$F$4:$F$494,$B15,'VS×ケイパビリティ関係'!$G$4:$G$494,AU$5,'VS×ケイパビリティ関係'!$E$4:$E$494,"支援")&gt;0,"○",""))</f>
        <v/>
      </c>
      <c r="AV15" s="22" t="str">
        <f>IF(COUNTIFS('VS×ケイパビリティ関係'!$F$4:$F$494,$B15,'VS×ケイパビリティ関係'!$G$4:$G$494,AV$5,'VS×ケイパビリティ関係'!$E$4:$E$494,"主")&gt;0,"●",IF(COUNTIFS('VS×ケイパビリティ関係'!$F$4:$F$494,$B15,'VS×ケイパビリティ関係'!$G$4:$G$494,AV$5,'VS×ケイパビリティ関係'!$E$4:$E$494,"支援")&gt;0,"○",""))</f>
        <v/>
      </c>
      <c r="AW15" s="22" t="str">
        <f>IF(COUNTIFS('VS×ケイパビリティ関係'!$F$4:$F$494,$B15,'VS×ケイパビリティ関係'!$G$4:$G$494,AW$5,'VS×ケイパビリティ関係'!$E$4:$E$494,"主")&gt;0,"●",IF(COUNTIFS('VS×ケイパビリティ関係'!$F$4:$F$494,$B15,'VS×ケイパビリティ関係'!$G$4:$G$494,AW$5,'VS×ケイパビリティ関係'!$E$4:$E$494,"支援")&gt;0,"○",""))</f>
        <v/>
      </c>
      <c r="AX15" s="22" t="str">
        <f>IF(COUNTIFS('VS×ケイパビリティ関係'!$F$4:$F$494,$B15,'VS×ケイパビリティ関係'!$G$4:$G$494,AX$5,'VS×ケイパビリティ関係'!$E$4:$E$494,"主")&gt;0,"●",IF(COUNTIFS('VS×ケイパビリティ関係'!$F$4:$F$494,$B15,'VS×ケイパビリティ関係'!$G$4:$G$494,AX$5,'VS×ケイパビリティ関係'!$E$4:$E$494,"支援")&gt;0,"○",""))</f>
        <v/>
      </c>
      <c r="AY15" s="22" t="str">
        <f>IF(COUNTIFS('VS×ケイパビリティ関係'!$F$4:$F$494,$B15,'VS×ケイパビリティ関係'!$G$4:$G$494,AY$5,'VS×ケイパビリティ関係'!$E$4:$E$494,"主")&gt;0,"●",IF(COUNTIFS('VS×ケイパビリティ関係'!$F$4:$F$494,$B15,'VS×ケイパビリティ関係'!$G$4:$G$494,AY$5,'VS×ケイパビリティ関係'!$E$4:$E$494,"支援")&gt;0,"○",""))</f>
        <v/>
      </c>
      <c r="AZ15" s="22" t="str">
        <f>IF(COUNTIFS('VS×ケイパビリティ関係'!$F$4:$F$494,$B15,'VS×ケイパビリティ関係'!$G$4:$G$494,AZ$5,'VS×ケイパビリティ関係'!$E$4:$E$494,"主")&gt;0,"●",IF(COUNTIFS('VS×ケイパビリティ関係'!$F$4:$F$494,$B15,'VS×ケイパビリティ関係'!$G$4:$G$494,AZ$5,'VS×ケイパビリティ関係'!$E$4:$E$494,"支援")&gt;0,"○",""))</f>
        <v/>
      </c>
      <c r="BA15" s="22" t="str">
        <f>IF(COUNTIFS('VS×ケイパビリティ関係'!$F$4:$F$494,$B15,'VS×ケイパビリティ関係'!$G$4:$G$494,BA$5,'VS×ケイパビリティ関係'!$E$4:$E$494,"主")&gt;0,"●",IF(COUNTIFS('VS×ケイパビリティ関係'!$F$4:$F$494,$B15,'VS×ケイパビリティ関係'!$G$4:$G$494,BA$5,'VS×ケイパビリティ関係'!$E$4:$E$494,"支援")&gt;0,"○",""))</f>
        <v/>
      </c>
      <c r="BB15" s="22" t="str">
        <f>IF(COUNTIFS('VS×ケイパビリティ関係'!$F$4:$F$494,$B15,'VS×ケイパビリティ関係'!$G$4:$G$494,BB$5,'VS×ケイパビリティ関係'!$E$4:$E$494,"主")&gt;0,"●",IF(COUNTIFS('VS×ケイパビリティ関係'!$F$4:$F$494,$B15,'VS×ケイパビリティ関係'!$G$4:$G$494,BB$5,'VS×ケイパビリティ関係'!$E$4:$E$494,"支援")&gt;0,"○",""))</f>
        <v/>
      </c>
      <c r="BC15" s="22" t="str">
        <f>IF(COUNTIFS('VS×ケイパビリティ関係'!$F$4:$F$494,$B15,'VS×ケイパビリティ関係'!$G$4:$G$494,BC$5,'VS×ケイパビリティ関係'!$E$4:$E$494,"主")&gt;0,"●",IF(COUNTIFS('VS×ケイパビリティ関係'!$F$4:$F$494,$B15,'VS×ケイパビリティ関係'!$G$4:$G$494,BC$5,'VS×ケイパビリティ関係'!$E$4:$E$494,"支援")&gt;0,"○",""))</f>
        <v/>
      </c>
      <c r="BD15" s="22" t="str">
        <f>IF(COUNTIFS('VS×ケイパビリティ関係'!$F$4:$F$494,$B15,'VS×ケイパビリティ関係'!$G$4:$G$494,BD$5,'VS×ケイパビリティ関係'!$E$4:$E$494,"主")&gt;0,"●",IF(COUNTIFS('VS×ケイパビリティ関係'!$F$4:$F$494,$B15,'VS×ケイパビリティ関係'!$G$4:$G$494,BD$5,'VS×ケイパビリティ関係'!$E$4:$E$494,"支援")&gt;0,"○",""))</f>
        <v/>
      </c>
      <c r="BE15" s="22">
        <f t="shared" si="1"/>
        <v>1</v>
      </c>
      <c r="BF15" s="22">
        <f t="shared" si="2"/>
        <v>3</v>
      </c>
    </row>
    <row r="16" ht="15.0" customHeight="1">
      <c r="A16" s="42"/>
      <c r="B16" s="22" t="s">
        <v>1027</v>
      </c>
      <c r="C16" s="25" t="s">
        <v>401</v>
      </c>
      <c r="D16" s="22" t="str">
        <f>IF(COUNTIFS('VS×ケイパビリティ関係'!$F$4:$F$494,$B16,'VS×ケイパビリティ関係'!$G$4:$G$494,D$5,'VS×ケイパビリティ関係'!$E$4:$E$494,"主")&gt;0,"●",IF(COUNTIFS('VS×ケイパビリティ関係'!$F$4:$F$494,$B16,'VS×ケイパビリティ関係'!$G$4:$G$494,D$5,'VS×ケイパビリティ関係'!$E$4:$E$494,"支援")&gt;0,"○",""))</f>
        <v/>
      </c>
      <c r="E16" s="22" t="str">
        <f>IF(COUNTIFS('VS×ケイパビリティ関係'!$F$4:$F$494,$B16,'VS×ケイパビリティ関係'!$G$4:$G$494,E$5,'VS×ケイパビリティ関係'!$E$4:$E$494,"主")&gt;0,"●",IF(COUNTIFS('VS×ケイパビリティ関係'!$F$4:$F$494,$B16,'VS×ケイパビリティ関係'!$G$4:$G$494,E$5,'VS×ケイパビリティ関係'!$E$4:$E$494,"支援")&gt;0,"○",""))</f>
        <v/>
      </c>
      <c r="F16" s="22" t="str">
        <f>IF(COUNTIFS('VS×ケイパビリティ関係'!$F$4:$F$494,$B16,'VS×ケイパビリティ関係'!$G$4:$G$494,F$5,'VS×ケイパビリティ関係'!$E$4:$E$494,"主")&gt;0,"●",IF(COUNTIFS('VS×ケイパビリティ関係'!$F$4:$F$494,$B16,'VS×ケイパビリティ関係'!$G$4:$G$494,F$5,'VS×ケイパビリティ関係'!$E$4:$E$494,"支援")&gt;0,"○",""))</f>
        <v/>
      </c>
      <c r="G16" s="22" t="str">
        <f>IF(COUNTIFS('VS×ケイパビリティ関係'!$F$4:$F$494,$B16,'VS×ケイパビリティ関係'!$G$4:$G$494,G$5,'VS×ケイパビリティ関係'!$E$4:$E$494,"主")&gt;0,"●",IF(COUNTIFS('VS×ケイパビリティ関係'!$F$4:$F$494,$B16,'VS×ケイパビリティ関係'!$G$4:$G$494,G$5,'VS×ケイパビリティ関係'!$E$4:$E$494,"支援")&gt;0,"○",""))</f>
        <v/>
      </c>
      <c r="H16" s="22" t="str">
        <f>IF(COUNTIFS('VS×ケイパビリティ関係'!$F$4:$F$494,$B16,'VS×ケイパビリティ関係'!$G$4:$G$494,H$5,'VS×ケイパビリティ関係'!$E$4:$E$494,"主")&gt;0,"●",IF(COUNTIFS('VS×ケイパビリティ関係'!$F$4:$F$494,$B16,'VS×ケイパビリティ関係'!$G$4:$G$494,H$5,'VS×ケイパビリティ関係'!$E$4:$E$494,"支援")&gt;0,"○",""))</f>
        <v/>
      </c>
      <c r="I16" s="22" t="str">
        <f>IF(COUNTIFS('VS×ケイパビリティ関係'!$F$4:$F$494,$B16,'VS×ケイパビリティ関係'!$G$4:$G$494,I$5,'VS×ケイパビリティ関係'!$E$4:$E$494,"主")&gt;0,"●",IF(COUNTIFS('VS×ケイパビリティ関係'!$F$4:$F$494,$B16,'VS×ケイパビリティ関係'!$G$4:$G$494,I$5,'VS×ケイパビリティ関係'!$E$4:$E$494,"支援")&gt;0,"○",""))</f>
        <v/>
      </c>
      <c r="J16" s="22" t="str">
        <f>IF(COUNTIFS('VS×ケイパビリティ関係'!$F$4:$F$494,$B16,'VS×ケイパビリティ関係'!$G$4:$G$494,J$5,'VS×ケイパビリティ関係'!$E$4:$E$494,"主")&gt;0,"●",IF(COUNTIFS('VS×ケイパビリティ関係'!$F$4:$F$494,$B16,'VS×ケイパビリティ関係'!$G$4:$G$494,J$5,'VS×ケイパビリティ関係'!$E$4:$E$494,"支援")&gt;0,"○",""))</f>
        <v/>
      </c>
      <c r="K16" s="22" t="str">
        <f>IF(COUNTIFS('VS×ケイパビリティ関係'!$F$4:$F$494,$B16,'VS×ケイパビリティ関係'!$G$4:$G$494,K$5,'VS×ケイパビリティ関係'!$E$4:$E$494,"主")&gt;0,"●",IF(COUNTIFS('VS×ケイパビリティ関係'!$F$4:$F$494,$B16,'VS×ケイパビリティ関係'!$G$4:$G$494,K$5,'VS×ケイパビリティ関係'!$E$4:$E$494,"支援")&gt;0,"○",""))</f>
        <v/>
      </c>
      <c r="L16" s="22" t="str">
        <f>IF(COUNTIFS('VS×ケイパビリティ関係'!$F$4:$F$494,$B16,'VS×ケイパビリティ関係'!$G$4:$G$494,L$5,'VS×ケイパビリティ関係'!$E$4:$E$494,"主")&gt;0,"●",IF(COUNTIFS('VS×ケイパビリティ関係'!$F$4:$F$494,$B16,'VS×ケイパビリティ関係'!$G$4:$G$494,L$5,'VS×ケイパビリティ関係'!$E$4:$E$494,"支援")&gt;0,"○",""))</f>
        <v/>
      </c>
      <c r="M16" s="22" t="str">
        <f>IF(COUNTIFS('VS×ケイパビリティ関係'!$F$4:$F$494,$B16,'VS×ケイパビリティ関係'!$G$4:$G$494,M$5,'VS×ケイパビリティ関係'!$E$4:$E$494,"主")&gt;0,"●",IF(COUNTIFS('VS×ケイパビリティ関係'!$F$4:$F$494,$B16,'VS×ケイパビリティ関係'!$G$4:$G$494,M$5,'VS×ケイパビリティ関係'!$E$4:$E$494,"支援")&gt;0,"○",""))</f>
        <v/>
      </c>
      <c r="N16" s="22" t="str">
        <f>IF(COUNTIFS('VS×ケイパビリティ関係'!$F$4:$F$494,$B16,'VS×ケイパビリティ関係'!$G$4:$G$494,N$5,'VS×ケイパビリティ関係'!$E$4:$E$494,"主")&gt;0,"●",IF(COUNTIFS('VS×ケイパビリティ関係'!$F$4:$F$494,$B16,'VS×ケイパビリティ関係'!$G$4:$G$494,N$5,'VS×ケイパビリティ関係'!$E$4:$E$494,"支援")&gt;0,"○",""))</f>
        <v/>
      </c>
      <c r="O16" s="22" t="str">
        <f>IF(COUNTIFS('VS×ケイパビリティ関係'!$F$4:$F$494,$B16,'VS×ケイパビリティ関係'!$G$4:$G$494,O$5,'VS×ケイパビリティ関係'!$E$4:$E$494,"主")&gt;0,"●",IF(COUNTIFS('VS×ケイパビリティ関係'!$F$4:$F$494,$B16,'VS×ケイパビリティ関係'!$G$4:$G$494,O$5,'VS×ケイパビリティ関係'!$E$4:$E$494,"支援")&gt;0,"○",""))</f>
        <v/>
      </c>
      <c r="P16" s="22" t="str">
        <f>IF(COUNTIFS('VS×ケイパビリティ関係'!$F$4:$F$494,$B16,'VS×ケイパビリティ関係'!$G$4:$G$494,P$5,'VS×ケイパビリティ関係'!$E$4:$E$494,"主")&gt;0,"●",IF(COUNTIFS('VS×ケイパビリティ関係'!$F$4:$F$494,$B16,'VS×ケイパビリティ関係'!$G$4:$G$494,P$5,'VS×ケイパビリティ関係'!$E$4:$E$494,"支援")&gt;0,"○",""))</f>
        <v/>
      </c>
      <c r="Q16" s="22" t="str">
        <f>IF(COUNTIFS('VS×ケイパビリティ関係'!$F$4:$F$494,$B16,'VS×ケイパビリティ関係'!$G$4:$G$494,Q$5,'VS×ケイパビリティ関係'!$E$4:$E$494,"主")&gt;0,"●",IF(COUNTIFS('VS×ケイパビリティ関係'!$F$4:$F$494,$B16,'VS×ケイパビリティ関係'!$G$4:$G$494,Q$5,'VS×ケイパビリティ関係'!$E$4:$E$494,"支援")&gt;0,"○",""))</f>
        <v>●</v>
      </c>
      <c r="R16" s="22" t="str">
        <f>IF(COUNTIFS('VS×ケイパビリティ関係'!$F$4:$F$494,$B16,'VS×ケイパビリティ関係'!$G$4:$G$494,R$5,'VS×ケイパビリティ関係'!$E$4:$E$494,"主")&gt;0,"●",IF(COUNTIFS('VS×ケイパビリティ関係'!$F$4:$F$494,$B16,'VS×ケイパビリティ関係'!$G$4:$G$494,R$5,'VS×ケイパビリティ関係'!$E$4:$E$494,"支援")&gt;0,"○",""))</f>
        <v/>
      </c>
      <c r="S16" s="22" t="str">
        <f>IF(COUNTIFS('VS×ケイパビリティ関係'!$F$4:$F$494,$B16,'VS×ケイパビリティ関係'!$G$4:$G$494,S$5,'VS×ケイパビリティ関係'!$E$4:$E$494,"主")&gt;0,"●",IF(COUNTIFS('VS×ケイパビリティ関係'!$F$4:$F$494,$B16,'VS×ケイパビリティ関係'!$G$4:$G$494,S$5,'VS×ケイパビリティ関係'!$E$4:$E$494,"支援")&gt;0,"○",""))</f>
        <v/>
      </c>
      <c r="T16" s="22" t="str">
        <f>IF(COUNTIFS('VS×ケイパビリティ関係'!$F$4:$F$494,$B16,'VS×ケイパビリティ関係'!$G$4:$G$494,T$5,'VS×ケイパビリティ関係'!$E$4:$E$494,"主")&gt;0,"●",IF(COUNTIFS('VS×ケイパビリティ関係'!$F$4:$F$494,$B16,'VS×ケイパビリティ関係'!$G$4:$G$494,T$5,'VS×ケイパビリティ関係'!$E$4:$E$494,"支援")&gt;0,"○",""))</f>
        <v>●</v>
      </c>
      <c r="U16" s="22" t="str">
        <f>IF(COUNTIFS('VS×ケイパビリティ関係'!$F$4:$F$494,$B16,'VS×ケイパビリティ関係'!$G$4:$G$494,U$5,'VS×ケイパビリティ関係'!$E$4:$E$494,"主")&gt;0,"●",IF(COUNTIFS('VS×ケイパビリティ関係'!$F$4:$F$494,$B16,'VS×ケイパビリティ関係'!$G$4:$G$494,U$5,'VS×ケイパビリティ関係'!$E$4:$E$494,"支援")&gt;0,"○",""))</f>
        <v/>
      </c>
      <c r="V16" s="22" t="str">
        <f>IF(COUNTIFS('VS×ケイパビリティ関係'!$F$4:$F$494,$B16,'VS×ケイパビリティ関係'!$G$4:$G$494,V$5,'VS×ケイパビリティ関係'!$E$4:$E$494,"主")&gt;0,"●",IF(COUNTIFS('VS×ケイパビリティ関係'!$F$4:$F$494,$B16,'VS×ケイパビリティ関係'!$G$4:$G$494,V$5,'VS×ケイパビリティ関係'!$E$4:$E$494,"支援")&gt;0,"○",""))</f>
        <v/>
      </c>
      <c r="W16" s="22" t="str">
        <f>IF(COUNTIFS('VS×ケイパビリティ関係'!$F$4:$F$494,$B16,'VS×ケイパビリティ関係'!$G$4:$G$494,W$5,'VS×ケイパビリティ関係'!$E$4:$E$494,"主")&gt;0,"●",IF(COUNTIFS('VS×ケイパビリティ関係'!$F$4:$F$494,$B16,'VS×ケイパビリティ関係'!$G$4:$G$494,W$5,'VS×ケイパビリティ関係'!$E$4:$E$494,"支援")&gt;0,"○",""))</f>
        <v/>
      </c>
      <c r="X16" s="22" t="str">
        <f>IF(COUNTIFS('VS×ケイパビリティ関係'!$F$4:$F$494,$B16,'VS×ケイパビリティ関係'!$G$4:$G$494,X$5,'VS×ケイパビリティ関係'!$E$4:$E$494,"主")&gt;0,"●",IF(COUNTIFS('VS×ケイパビリティ関係'!$F$4:$F$494,$B16,'VS×ケイパビリティ関係'!$G$4:$G$494,X$5,'VS×ケイパビリティ関係'!$E$4:$E$494,"支援")&gt;0,"○",""))</f>
        <v/>
      </c>
      <c r="Y16" s="22" t="str">
        <f>IF(COUNTIFS('VS×ケイパビリティ関係'!$F$4:$F$494,$B16,'VS×ケイパビリティ関係'!$G$4:$G$494,Y$5,'VS×ケイパビリティ関係'!$E$4:$E$494,"主")&gt;0,"●",IF(COUNTIFS('VS×ケイパビリティ関係'!$F$4:$F$494,$B16,'VS×ケイパビリティ関係'!$G$4:$G$494,Y$5,'VS×ケイパビリティ関係'!$E$4:$E$494,"支援")&gt;0,"○",""))</f>
        <v/>
      </c>
      <c r="Z16" s="22" t="str">
        <f>IF(COUNTIFS('VS×ケイパビリティ関係'!$F$4:$F$494,$B16,'VS×ケイパビリティ関係'!$G$4:$G$494,Z$5,'VS×ケイパビリティ関係'!$E$4:$E$494,"主")&gt;0,"●",IF(COUNTIFS('VS×ケイパビリティ関係'!$F$4:$F$494,$B16,'VS×ケイパビリティ関係'!$G$4:$G$494,Z$5,'VS×ケイパビリティ関係'!$E$4:$E$494,"支援")&gt;0,"○",""))</f>
        <v/>
      </c>
      <c r="AA16" s="22" t="str">
        <f>IF(COUNTIFS('VS×ケイパビリティ関係'!$F$4:$F$494,$B16,'VS×ケイパビリティ関係'!$G$4:$G$494,AA$5,'VS×ケイパビリティ関係'!$E$4:$E$494,"主")&gt;0,"●",IF(COUNTIFS('VS×ケイパビリティ関係'!$F$4:$F$494,$B16,'VS×ケイパビリティ関係'!$G$4:$G$494,AA$5,'VS×ケイパビリティ関係'!$E$4:$E$494,"支援")&gt;0,"○",""))</f>
        <v/>
      </c>
      <c r="AB16" s="22" t="str">
        <f>IF(COUNTIFS('VS×ケイパビリティ関係'!$F$4:$F$494,$B16,'VS×ケイパビリティ関係'!$G$4:$G$494,AB$5,'VS×ケイパビリティ関係'!$E$4:$E$494,"主")&gt;0,"●",IF(COUNTIFS('VS×ケイパビリティ関係'!$F$4:$F$494,$B16,'VS×ケイパビリティ関係'!$G$4:$G$494,AB$5,'VS×ケイパビリティ関係'!$E$4:$E$494,"支援")&gt;0,"○",""))</f>
        <v/>
      </c>
      <c r="AC16" s="22" t="str">
        <f>IF(COUNTIFS('VS×ケイパビリティ関係'!$F$4:$F$494,$B16,'VS×ケイパビリティ関係'!$G$4:$G$494,AC$5,'VS×ケイパビリティ関係'!$E$4:$E$494,"主")&gt;0,"●",IF(COUNTIFS('VS×ケイパビリティ関係'!$F$4:$F$494,$B16,'VS×ケイパビリティ関係'!$G$4:$G$494,AC$5,'VS×ケイパビリティ関係'!$E$4:$E$494,"支援")&gt;0,"○",""))</f>
        <v/>
      </c>
      <c r="AD16" s="22" t="str">
        <f>IF(COUNTIFS('VS×ケイパビリティ関係'!$F$4:$F$494,$B16,'VS×ケイパビリティ関係'!$G$4:$G$494,AD$5,'VS×ケイパビリティ関係'!$E$4:$E$494,"主")&gt;0,"●",IF(COUNTIFS('VS×ケイパビリティ関係'!$F$4:$F$494,$B16,'VS×ケイパビリティ関係'!$G$4:$G$494,AD$5,'VS×ケイパビリティ関係'!$E$4:$E$494,"支援")&gt;0,"○",""))</f>
        <v/>
      </c>
      <c r="AE16" s="22" t="str">
        <f>IF(COUNTIFS('VS×ケイパビリティ関係'!$F$4:$F$494,$B16,'VS×ケイパビリティ関係'!$G$4:$G$494,AE$5,'VS×ケイパビリティ関係'!$E$4:$E$494,"主")&gt;0,"●",IF(COUNTIFS('VS×ケイパビリティ関係'!$F$4:$F$494,$B16,'VS×ケイパビリティ関係'!$G$4:$G$494,AE$5,'VS×ケイパビリティ関係'!$E$4:$E$494,"支援")&gt;0,"○",""))</f>
        <v/>
      </c>
      <c r="AF16" s="22" t="str">
        <f>IF(COUNTIFS('VS×ケイパビリティ関係'!$F$4:$F$494,$B16,'VS×ケイパビリティ関係'!$G$4:$G$494,AF$5,'VS×ケイパビリティ関係'!$E$4:$E$494,"主")&gt;0,"●",IF(COUNTIFS('VS×ケイパビリティ関係'!$F$4:$F$494,$B16,'VS×ケイパビリティ関係'!$G$4:$G$494,AF$5,'VS×ケイパビリティ関係'!$E$4:$E$494,"支援")&gt;0,"○",""))</f>
        <v/>
      </c>
      <c r="AG16" s="22" t="str">
        <f>IF(COUNTIFS('VS×ケイパビリティ関係'!$F$4:$F$494,$B16,'VS×ケイパビリティ関係'!$G$4:$G$494,AG$5,'VS×ケイパビリティ関係'!$E$4:$E$494,"主")&gt;0,"●",IF(COUNTIFS('VS×ケイパビリティ関係'!$F$4:$F$494,$B16,'VS×ケイパビリティ関係'!$G$4:$G$494,AG$5,'VS×ケイパビリティ関係'!$E$4:$E$494,"支援")&gt;0,"○",""))</f>
        <v/>
      </c>
      <c r="AH16" s="22" t="str">
        <f>IF(COUNTIFS('VS×ケイパビリティ関係'!$F$4:$F$494,$B16,'VS×ケイパビリティ関係'!$G$4:$G$494,AH$5,'VS×ケイパビリティ関係'!$E$4:$E$494,"主")&gt;0,"●",IF(COUNTIFS('VS×ケイパビリティ関係'!$F$4:$F$494,$B16,'VS×ケイパビリティ関係'!$G$4:$G$494,AH$5,'VS×ケイパビリティ関係'!$E$4:$E$494,"支援")&gt;0,"○",""))</f>
        <v/>
      </c>
      <c r="AI16" s="22" t="str">
        <f>IF(COUNTIFS('VS×ケイパビリティ関係'!$F$4:$F$494,$B16,'VS×ケイパビリティ関係'!$G$4:$G$494,AI$5,'VS×ケイパビリティ関係'!$E$4:$E$494,"主")&gt;0,"●",IF(COUNTIFS('VS×ケイパビリティ関係'!$F$4:$F$494,$B16,'VS×ケイパビリティ関係'!$G$4:$G$494,AI$5,'VS×ケイパビリティ関係'!$E$4:$E$494,"支援")&gt;0,"○",""))</f>
        <v/>
      </c>
      <c r="AJ16" s="22" t="str">
        <f>IF(COUNTIFS('VS×ケイパビリティ関係'!$F$4:$F$494,$B16,'VS×ケイパビリティ関係'!$G$4:$G$494,AJ$5,'VS×ケイパビリティ関係'!$E$4:$E$494,"主")&gt;0,"●",IF(COUNTIFS('VS×ケイパビリティ関係'!$F$4:$F$494,$B16,'VS×ケイパビリティ関係'!$G$4:$G$494,AJ$5,'VS×ケイパビリティ関係'!$E$4:$E$494,"支援")&gt;0,"○",""))</f>
        <v/>
      </c>
      <c r="AK16" s="22" t="str">
        <f>IF(COUNTIFS('VS×ケイパビリティ関係'!$F$4:$F$494,$B16,'VS×ケイパビリティ関係'!$G$4:$G$494,AK$5,'VS×ケイパビリティ関係'!$E$4:$E$494,"主")&gt;0,"●",IF(COUNTIFS('VS×ケイパビリティ関係'!$F$4:$F$494,$B16,'VS×ケイパビリティ関係'!$G$4:$G$494,AK$5,'VS×ケイパビリティ関係'!$E$4:$E$494,"支援")&gt;0,"○",""))</f>
        <v/>
      </c>
      <c r="AL16" s="22" t="str">
        <f>IF(COUNTIFS('VS×ケイパビリティ関係'!$F$4:$F$494,$B16,'VS×ケイパビリティ関係'!$G$4:$G$494,AL$5,'VS×ケイパビリティ関係'!$E$4:$E$494,"主")&gt;0,"●",IF(COUNTIFS('VS×ケイパビリティ関係'!$F$4:$F$494,$B16,'VS×ケイパビリティ関係'!$G$4:$G$494,AL$5,'VS×ケイパビリティ関係'!$E$4:$E$494,"支援")&gt;0,"○",""))</f>
        <v/>
      </c>
      <c r="AM16" s="22" t="str">
        <f>IF(COUNTIFS('VS×ケイパビリティ関係'!$F$4:$F$494,$B16,'VS×ケイパビリティ関係'!$G$4:$G$494,AM$5,'VS×ケイパビリティ関係'!$E$4:$E$494,"主")&gt;0,"●",IF(COUNTIFS('VS×ケイパビリティ関係'!$F$4:$F$494,$B16,'VS×ケイパビリティ関係'!$G$4:$G$494,AM$5,'VS×ケイパビリティ関係'!$E$4:$E$494,"支援")&gt;0,"○",""))</f>
        <v/>
      </c>
      <c r="AN16" s="22" t="str">
        <f>IF(COUNTIFS('VS×ケイパビリティ関係'!$F$4:$F$494,$B16,'VS×ケイパビリティ関係'!$G$4:$G$494,AN$5,'VS×ケイパビリティ関係'!$E$4:$E$494,"主")&gt;0,"●",IF(COUNTIFS('VS×ケイパビリティ関係'!$F$4:$F$494,$B16,'VS×ケイパビリティ関係'!$G$4:$G$494,AN$5,'VS×ケイパビリティ関係'!$E$4:$E$494,"支援")&gt;0,"○",""))</f>
        <v/>
      </c>
      <c r="AO16" s="22" t="str">
        <f>IF(COUNTIFS('VS×ケイパビリティ関係'!$F$4:$F$494,$B16,'VS×ケイパビリティ関係'!$G$4:$G$494,AO$5,'VS×ケイパビリティ関係'!$E$4:$E$494,"主")&gt;0,"●",IF(COUNTIFS('VS×ケイパビリティ関係'!$F$4:$F$494,$B16,'VS×ケイパビリティ関係'!$G$4:$G$494,AO$5,'VS×ケイパビリティ関係'!$E$4:$E$494,"支援")&gt;0,"○",""))</f>
        <v/>
      </c>
      <c r="AP16" s="22" t="str">
        <f>IF(COUNTIFS('VS×ケイパビリティ関係'!$F$4:$F$494,$B16,'VS×ケイパビリティ関係'!$G$4:$G$494,AP$5,'VS×ケイパビリティ関係'!$E$4:$E$494,"主")&gt;0,"●",IF(COUNTIFS('VS×ケイパビリティ関係'!$F$4:$F$494,$B16,'VS×ケイパビリティ関係'!$G$4:$G$494,AP$5,'VS×ケイパビリティ関係'!$E$4:$E$494,"支援")&gt;0,"○",""))</f>
        <v/>
      </c>
      <c r="AQ16" s="22" t="str">
        <f>IF(COUNTIFS('VS×ケイパビリティ関係'!$F$4:$F$494,$B16,'VS×ケイパビリティ関係'!$G$4:$G$494,AQ$5,'VS×ケイパビリティ関係'!$E$4:$E$494,"主")&gt;0,"●",IF(COUNTIFS('VS×ケイパビリティ関係'!$F$4:$F$494,$B16,'VS×ケイパビリティ関係'!$G$4:$G$494,AQ$5,'VS×ケイパビリティ関係'!$E$4:$E$494,"支援")&gt;0,"○",""))</f>
        <v/>
      </c>
      <c r="AR16" s="22" t="str">
        <f>IF(COUNTIFS('VS×ケイパビリティ関係'!$F$4:$F$494,$B16,'VS×ケイパビリティ関係'!$G$4:$G$494,AR$5,'VS×ケイパビリティ関係'!$E$4:$E$494,"主")&gt;0,"●",IF(COUNTIFS('VS×ケイパビリティ関係'!$F$4:$F$494,$B16,'VS×ケイパビリティ関係'!$G$4:$G$494,AR$5,'VS×ケイパビリティ関係'!$E$4:$E$494,"支援")&gt;0,"○",""))</f>
        <v/>
      </c>
      <c r="AS16" s="22" t="str">
        <f>IF(COUNTIFS('VS×ケイパビリティ関係'!$F$4:$F$494,$B16,'VS×ケイパビリティ関係'!$G$4:$G$494,AS$5,'VS×ケイパビリティ関係'!$E$4:$E$494,"主")&gt;0,"●",IF(COUNTIFS('VS×ケイパビリティ関係'!$F$4:$F$494,$B16,'VS×ケイパビリティ関係'!$G$4:$G$494,AS$5,'VS×ケイパビリティ関係'!$E$4:$E$494,"支援")&gt;0,"○",""))</f>
        <v/>
      </c>
      <c r="AT16" s="22" t="str">
        <f>IF(COUNTIFS('VS×ケイパビリティ関係'!$F$4:$F$494,$B16,'VS×ケイパビリティ関係'!$G$4:$G$494,AT$5,'VS×ケイパビリティ関係'!$E$4:$E$494,"主")&gt;0,"●",IF(COUNTIFS('VS×ケイパビリティ関係'!$F$4:$F$494,$B16,'VS×ケイパビリティ関係'!$G$4:$G$494,AT$5,'VS×ケイパビリティ関係'!$E$4:$E$494,"支援")&gt;0,"○",""))</f>
        <v/>
      </c>
      <c r="AU16" s="22" t="str">
        <f>IF(COUNTIFS('VS×ケイパビリティ関係'!$F$4:$F$494,$B16,'VS×ケイパビリティ関係'!$G$4:$G$494,AU$5,'VS×ケイパビリティ関係'!$E$4:$E$494,"主")&gt;0,"●",IF(COUNTIFS('VS×ケイパビリティ関係'!$F$4:$F$494,$B16,'VS×ケイパビリティ関係'!$G$4:$G$494,AU$5,'VS×ケイパビリティ関係'!$E$4:$E$494,"支援")&gt;0,"○",""))</f>
        <v/>
      </c>
      <c r="AV16" s="22" t="str">
        <f>IF(COUNTIFS('VS×ケイパビリティ関係'!$F$4:$F$494,$B16,'VS×ケイパビリティ関係'!$G$4:$G$494,AV$5,'VS×ケイパビリティ関係'!$E$4:$E$494,"主")&gt;0,"●",IF(COUNTIFS('VS×ケイパビリティ関係'!$F$4:$F$494,$B16,'VS×ケイパビリティ関係'!$G$4:$G$494,AV$5,'VS×ケイパビリティ関係'!$E$4:$E$494,"支援")&gt;0,"○",""))</f>
        <v/>
      </c>
      <c r="AW16" s="22" t="str">
        <f>IF(COUNTIFS('VS×ケイパビリティ関係'!$F$4:$F$494,$B16,'VS×ケイパビリティ関係'!$G$4:$G$494,AW$5,'VS×ケイパビリティ関係'!$E$4:$E$494,"主")&gt;0,"●",IF(COUNTIFS('VS×ケイパビリティ関係'!$F$4:$F$494,$B16,'VS×ケイパビリティ関係'!$G$4:$G$494,AW$5,'VS×ケイパビリティ関係'!$E$4:$E$494,"支援")&gt;0,"○",""))</f>
        <v/>
      </c>
      <c r="AX16" s="22" t="str">
        <f>IF(COUNTIFS('VS×ケイパビリティ関係'!$F$4:$F$494,$B16,'VS×ケイパビリティ関係'!$G$4:$G$494,AX$5,'VS×ケイパビリティ関係'!$E$4:$E$494,"主")&gt;0,"●",IF(COUNTIFS('VS×ケイパビリティ関係'!$F$4:$F$494,$B16,'VS×ケイパビリティ関係'!$G$4:$G$494,AX$5,'VS×ケイパビリティ関係'!$E$4:$E$494,"支援")&gt;0,"○",""))</f>
        <v/>
      </c>
      <c r="AY16" s="22" t="str">
        <f>IF(COUNTIFS('VS×ケイパビリティ関係'!$F$4:$F$494,$B16,'VS×ケイパビリティ関係'!$G$4:$G$494,AY$5,'VS×ケイパビリティ関係'!$E$4:$E$494,"主")&gt;0,"●",IF(COUNTIFS('VS×ケイパビリティ関係'!$F$4:$F$494,$B16,'VS×ケイパビリティ関係'!$G$4:$G$494,AY$5,'VS×ケイパビリティ関係'!$E$4:$E$494,"支援")&gt;0,"○",""))</f>
        <v/>
      </c>
      <c r="AZ16" s="22" t="str">
        <f>IF(COUNTIFS('VS×ケイパビリティ関係'!$F$4:$F$494,$B16,'VS×ケイパビリティ関係'!$G$4:$G$494,AZ$5,'VS×ケイパビリティ関係'!$E$4:$E$494,"主")&gt;0,"●",IF(COUNTIFS('VS×ケイパビリティ関係'!$F$4:$F$494,$B16,'VS×ケイパビリティ関係'!$G$4:$G$494,AZ$5,'VS×ケイパビリティ関係'!$E$4:$E$494,"支援")&gt;0,"○",""))</f>
        <v/>
      </c>
      <c r="BA16" s="22" t="str">
        <f>IF(COUNTIFS('VS×ケイパビリティ関係'!$F$4:$F$494,$B16,'VS×ケイパビリティ関係'!$G$4:$G$494,BA$5,'VS×ケイパビリティ関係'!$E$4:$E$494,"主")&gt;0,"●",IF(COUNTIFS('VS×ケイパビリティ関係'!$F$4:$F$494,$B16,'VS×ケイパビリティ関係'!$G$4:$G$494,BA$5,'VS×ケイパビリティ関係'!$E$4:$E$494,"支援")&gt;0,"○",""))</f>
        <v/>
      </c>
      <c r="BB16" s="22" t="str">
        <f>IF(COUNTIFS('VS×ケイパビリティ関係'!$F$4:$F$494,$B16,'VS×ケイパビリティ関係'!$G$4:$G$494,BB$5,'VS×ケイパビリティ関係'!$E$4:$E$494,"主")&gt;0,"●",IF(COUNTIFS('VS×ケイパビリティ関係'!$F$4:$F$494,$B16,'VS×ケイパビリティ関係'!$G$4:$G$494,BB$5,'VS×ケイパビリティ関係'!$E$4:$E$494,"支援")&gt;0,"○",""))</f>
        <v/>
      </c>
      <c r="BC16" s="22" t="str">
        <f>IF(COUNTIFS('VS×ケイパビリティ関係'!$F$4:$F$494,$B16,'VS×ケイパビリティ関係'!$G$4:$G$494,BC$5,'VS×ケイパビリティ関係'!$E$4:$E$494,"主")&gt;0,"●",IF(COUNTIFS('VS×ケイパビリティ関係'!$F$4:$F$494,$B16,'VS×ケイパビリティ関係'!$G$4:$G$494,BC$5,'VS×ケイパビリティ関係'!$E$4:$E$494,"支援")&gt;0,"○",""))</f>
        <v/>
      </c>
      <c r="BD16" s="22" t="str">
        <f>IF(COUNTIFS('VS×ケイパビリティ関係'!$F$4:$F$494,$B16,'VS×ケイパビリティ関係'!$G$4:$G$494,BD$5,'VS×ケイパビリティ関係'!$E$4:$E$494,"主")&gt;0,"●",IF(COUNTIFS('VS×ケイパビリティ関係'!$F$4:$F$494,$B16,'VS×ケイパビリティ関係'!$G$4:$G$494,BD$5,'VS×ケイパビリティ関係'!$E$4:$E$494,"支援")&gt;0,"○",""))</f>
        <v/>
      </c>
      <c r="BE16" s="22">
        <f t="shared" si="1"/>
        <v>2</v>
      </c>
      <c r="BF16" s="22">
        <f t="shared" si="2"/>
        <v>0</v>
      </c>
    </row>
    <row r="17" ht="15.0" customHeight="1">
      <c r="A17" s="42"/>
      <c r="B17" s="22" t="s">
        <v>1072</v>
      </c>
      <c r="C17" s="25" t="s">
        <v>1074</v>
      </c>
      <c r="D17" s="22" t="str">
        <f>IF(COUNTIFS('VS×ケイパビリティ関係'!$F$4:$F$494,$B17,'VS×ケイパビリティ関係'!$G$4:$G$494,D$5,'VS×ケイパビリティ関係'!$E$4:$E$494,"主")&gt;0,"●",IF(COUNTIFS('VS×ケイパビリティ関係'!$F$4:$F$494,$B17,'VS×ケイパビリティ関係'!$G$4:$G$494,D$5,'VS×ケイパビリティ関係'!$E$4:$E$494,"支援")&gt;0,"○",""))</f>
        <v/>
      </c>
      <c r="E17" s="22" t="str">
        <f>IF(COUNTIFS('VS×ケイパビリティ関係'!$F$4:$F$494,$B17,'VS×ケイパビリティ関係'!$G$4:$G$494,E$5,'VS×ケイパビリティ関係'!$E$4:$E$494,"主")&gt;0,"●",IF(COUNTIFS('VS×ケイパビリティ関係'!$F$4:$F$494,$B17,'VS×ケイパビリティ関係'!$G$4:$G$494,E$5,'VS×ケイパビリティ関係'!$E$4:$E$494,"支援")&gt;0,"○",""))</f>
        <v/>
      </c>
      <c r="F17" s="22" t="str">
        <f>IF(COUNTIFS('VS×ケイパビリティ関係'!$F$4:$F$494,$B17,'VS×ケイパビリティ関係'!$G$4:$G$494,F$5,'VS×ケイパビリティ関係'!$E$4:$E$494,"主")&gt;0,"●",IF(COUNTIFS('VS×ケイパビリティ関係'!$F$4:$F$494,$B17,'VS×ケイパビリティ関係'!$G$4:$G$494,F$5,'VS×ケイパビリティ関係'!$E$4:$E$494,"支援")&gt;0,"○",""))</f>
        <v/>
      </c>
      <c r="G17" s="22" t="str">
        <f>IF(COUNTIFS('VS×ケイパビリティ関係'!$F$4:$F$494,$B17,'VS×ケイパビリティ関係'!$G$4:$G$494,G$5,'VS×ケイパビリティ関係'!$E$4:$E$494,"主")&gt;0,"●",IF(COUNTIFS('VS×ケイパビリティ関係'!$F$4:$F$494,$B17,'VS×ケイパビリティ関係'!$G$4:$G$494,G$5,'VS×ケイパビリティ関係'!$E$4:$E$494,"支援")&gt;0,"○",""))</f>
        <v/>
      </c>
      <c r="H17" s="22" t="str">
        <f>IF(COUNTIFS('VS×ケイパビリティ関係'!$F$4:$F$494,$B17,'VS×ケイパビリティ関係'!$G$4:$G$494,H$5,'VS×ケイパビリティ関係'!$E$4:$E$494,"主")&gt;0,"●",IF(COUNTIFS('VS×ケイパビリティ関係'!$F$4:$F$494,$B17,'VS×ケイパビリティ関係'!$G$4:$G$494,H$5,'VS×ケイパビリティ関係'!$E$4:$E$494,"支援")&gt;0,"○",""))</f>
        <v/>
      </c>
      <c r="I17" s="22" t="str">
        <f>IF(COUNTIFS('VS×ケイパビリティ関係'!$F$4:$F$494,$B17,'VS×ケイパビリティ関係'!$G$4:$G$494,I$5,'VS×ケイパビリティ関係'!$E$4:$E$494,"主")&gt;0,"●",IF(COUNTIFS('VS×ケイパビリティ関係'!$F$4:$F$494,$B17,'VS×ケイパビリティ関係'!$G$4:$G$494,I$5,'VS×ケイパビリティ関係'!$E$4:$E$494,"支援")&gt;0,"○",""))</f>
        <v/>
      </c>
      <c r="J17" s="22" t="str">
        <f>IF(COUNTIFS('VS×ケイパビリティ関係'!$F$4:$F$494,$B17,'VS×ケイパビリティ関係'!$G$4:$G$494,J$5,'VS×ケイパビリティ関係'!$E$4:$E$494,"主")&gt;0,"●",IF(COUNTIFS('VS×ケイパビリティ関係'!$F$4:$F$494,$B17,'VS×ケイパビリティ関係'!$G$4:$G$494,J$5,'VS×ケイパビリティ関係'!$E$4:$E$494,"支援")&gt;0,"○",""))</f>
        <v/>
      </c>
      <c r="K17" s="22" t="str">
        <f>IF(COUNTIFS('VS×ケイパビリティ関係'!$F$4:$F$494,$B17,'VS×ケイパビリティ関係'!$G$4:$G$494,K$5,'VS×ケイパビリティ関係'!$E$4:$E$494,"主")&gt;0,"●",IF(COUNTIFS('VS×ケイパビリティ関係'!$F$4:$F$494,$B17,'VS×ケイパビリティ関係'!$G$4:$G$494,K$5,'VS×ケイパビリティ関係'!$E$4:$E$494,"支援")&gt;0,"○",""))</f>
        <v/>
      </c>
      <c r="L17" s="22" t="str">
        <f>IF(COUNTIFS('VS×ケイパビリティ関係'!$F$4:$F$494,$B17,'VS×ケイパビリティ関係'!$G$4:$G$494,L$5,'VS×ケイパビリティ関係'!$E$4:$E$494,"主")&gt;0,"●",IF(COUNTIFS('VS×ケイパビリティ関係'!$F$4:$F$494,$B17,'VS×ケイパビリティ関係'!$G$4:$G$494,L$5,'VS×ケイパビリティ関係'!$E$4:$E$494,"支援")&gt;0,"○",""))</f>
        <v/>
      </c>
      <c r="M17" s="22" t="str">
        <f>IF(COUNTIFS('VS×ケイパビリティ関係'!$F$4:$F$494,$B17,'VS×ケイパビリティ関係'!$G$4:$G$494,M$5,'VS×ケイパビリティ関係'!$E$4:$E$494,"主")&gt;0,"●",IF(COUNTIFS('VS×ケイパビリティ関係'!$F$4:$F$494,$B17,'VS×ケイパビリティ関係'!$G$4:$G$494,M$5,'VS×ケイパビリティ関係'!$E$4:$E$494,"支援")&gt;0,"○",""))</f>
        <v/>
      </c>
      <c r="N17" s="22" t="str">
        <f>IF(COUNTIFS('VS×ケイパビリティ関係'!$F$4:$F$494,$B17,'VS×ケイパビリティ関係'!$G$4:$G$494,N$5,'VS×ケイパビリティ関係'!$E$4:$E$494,"主")&gt;0,"●",IF(COUNTIFS('VS×ケイパビリティ関係'!$F$4:$F$494,$B17,'VS×ケイパビリティ関係'!$G$4:$G$494,N$5,'VS×ケイパビリティ関係'!$E$4:$E$494,"支援")&gt;0,"○",""))</f>
        <v/>
      </c>
      <c r="O17" s="22" t="str">
        <f>IF(COUNTIFS('VS×ケイパビリティ関係'!$F$4:$F$494,$B17,'VS×ケイパビリティ関係'!$G$4:$G$494,O$5,'VS×ケイパビリティ関係'!$E$4:$E$494,"主")&gt;0,"●",IF(COUNTIFS('VS×ケイパビリティ関係'!$F$4:$F$494,$B17,'VS×ケイパビリティ関係'!$G$4:$G$494,O$5,'VS×ケイパビリティ関係'!$E$4:$E$494,"支援")&gt;0,"○",""))</f>
        <v/>
      </c>
      <c r="P17" s="22" t="str">
        <f>IF(COUNTIFS('VS×ケイパビリティ関係'!$F$4:$F$494,$B17,'VS×ケイパビリティ関係'!$G$4:$G$494,P$5,'VS×ケイパビリティ関係'!$E$4:$E$494,"主")&gt;0,"●",IF(COUNTIFS('VS×ケイパビリティ関係'!$F$4:$F$494,$B17,'VS×ケイパビリティ関係'!$G$4:$G$494,P$5,'VS×ケイパビリティ関係'!$E$4:$E$494,"支援")&gt;0,"○",""))</f>
        <v/>
      </c>
      <c r="Q17" s="22" t="str">
        <f>IF(COUNTIFS('VS×ケイパビリティ関係'!$F$4:$F$494,$B17,'VS×ケイパビリティ関係'!$G$4:$G$494,Q$5,'VS×ケイパビリティ関係'!$E$4:$E$494,"主")&gt;0,"●",IF(COUNTIFS('VS×ケイパビリティ関係'!$F$4:$F$494,$B17,'VS×ケイパビリティ関係'!$G$4:$G$494,Q$5,'VS×ケイパビリティ関係'!$E$4:$E$494,"支援")&gt;0,"○",""))</f>
        <v/>
      </c>
      <c r="R17" s="22" t="str">
        <f>IF(COUNTIFS('VS×ケイパビリティ関係'!$F$4:$F$494,$B17,'VS×ケイパビリティ関係'!$G$4:$G$494,R$5,'VS×ケイパビリティ関係'!$E$4:$E$494,"主")&gt;0,"●",IF(COUNTIFS('VS×ケイパビリティ関係'!$F$4:$F$494,$B17,'VS×ケイパビリティ関係'!$G$4:$G$494,R$5,'VS×ケイパビリティ関係'!$E$4:$E$494,"支援")&gt;0,"○",""))</f>
        <v>●</v>
      </c>
      <c r="S17" s="22" t="str">
        <f>IF(COUNTIFS('VS×ケイパビリティ関係'!$F$4:$F$494,$B17,'VS×ケイパビリティ関係'!$G$4:$G$494,S$5,'VS×ケイパビリティ関係'!$E$4:$E$494,"主")&gt;0,"●",IF(COUNTIFS('VS×ケイパビリティ関係'!$F$4:$F$494,$B17,'VS×ケイパビリティ関係'!$G$4:$G$494,S$5,'VS×ケイパビリティ関係'!$E$4:$E$494,"支援")&gt;0,"○",""))</f>
        <v>○</v>
      </c>
      <c r="T17" s="22" t="str">
        <f>IF(COUNTIFS('VS×ケイパビリティ関係'!$F$4:$F$494,$B17,'VS×ケイパビリティ関係'!$G$4:$G$494,T$5,'VS×ケイパビリティ関係'!$E$4:$E$494,"主")&gt;0,"●",IF(COUNTIFS('VS×ケイパビリティ関係'!$F$4:$F$494,$B17,'VS×ケイパビリティ関係'!$G$4:$G$494,T$5,'VS×ケイパビリティ関係'!$E$4:$E$494,"支援")&gt;0,"○",""))</f>
        <v/>
      </c>
      <c r="U17" s="22" t="str">
        <f>IF(COUNTIFS('VS×ケイパビリティ関係'!$F$4:$F$494,$B17,'VS×ケイパビリティ関係'!$G$4:$G$494,U$5,'VS×ケイパビリティ関係'!$E$4:$E$494,"主")&gt;0,"●",IF(COUNTIFS('VS×ケイパビリティ関係'!$F$4:$F$494,$B17,'VS×ケイパビリティ関係'!$G$4:$G$494,U$5,'VS×ケイパビリティ関係'!$E$4:$E$494,"支援")&gt;0,"○",""))</f>
        <v/>
      </c>
      <c r="V17" s="22" t="str">
        <f>IF(COUNTIFS('VS×ケイパビリティ関係'!$F$4:$F$494,$B17,'VS×ケイパビリティ関係'!$G$4:$G$494,V$5,'VS×ケイパビリティ関係'!$E$4:$E$494,"主")&gt;0,"●",IF(COUNTIFS('VS×ケイパビリティ関係'!$F$4:$F$494,$B17,'VS×ケイパビリティ関係'!$G$4:$G$494,V$5,'VS×ケイパビリティ関係'!$E$4:$E$494,"支援")&gt;0,"○",""))</f>
        <v/>
      </c>
      <c r="W17" s="22" t="str">
        <f>IF(COUNTIFS('VS×ケイパビリティ関係'!$F$4:$F$494,$B17,'VS×ケイパビリティ関係'!$G$4:$G$494,W$5,'VS×ケイパビリティ関係'!$E$4:$E$494,"主")&gt;0,"●",IF(COUNTIFS('VS×ケイパビリティ関係'!$F$4:$F$494,$B17,'VS×ケイパビリティ関係'!$G$4:$G$494,W$5,'VS×ケイパビリティ関係'!$E$4:$E$494,"支援")&gt;0,"○",""))</f>
        <v/>
      </c>
      <c r="X17" s="22" t="str">
        <f>IF(COUNTIFS('VS×ケイパビリティ関係'!$F$4:$F$494,$B17,'VS×ケイパビリティ関係'!$G$4:$G$494,X$5,'VS×ケイパビリティ関係'!$E$4:$E$494,"主")&gt;0,"●",IF(COUNTIFS('VS×ケイパビリティ関係'!$F$4:$F$494,$B17,'VS×ケイパビリティ関係'!$G$4:$G$494,X$5,'VS×ケイパビリティ関係'!$E$4:$E$494,"支援")&gt;0,"○",""))</f>
        <v/>
      </c>
      <c r="Y17" s="22" t="str">
        <f>IF(COUNTIFS('VS×ケイパビリティ関係'!$F$4:$F$494,$B17,'VS×ケイパビリティ関係'!$G$4:$G$494,Y$5,'VS×ケイパビリティ関係'!$E$4:$E$494,"主")&gt;0,"●",IF(COUNTIFS('VS×ケイパビリティ関係'!$F$4:$F$494,$B17,'VS×ケイパビリティ関係'!$G$4:$G$494,Y$5,'VS×ケイパビリティ関係'!$E$4:$E$494,"支援")&gt;0,"○",""))</f>
        <v/>
      </c>
      <c r="Z17" s="22" t="str">
        <f>IF(COUNTIFS('VS×ケイパビリティ関係'!$F$4:$F$494,$B17,'VS×ケイパビリティ関係'!$G$4:$G$494,Z$5,'VS×ケイパビリティ関係'!$E$4:$E$494,"主")&gt;0,"●",IF(COUNTIFS('VS×ケイパビリティ関係'!$F$4:$F$494,$B17,'VS×ケイパビリティ関係'!$G$4:$G$494,Z$5,'VS×ケイパビリティ関係'!$E$4:$E$494,"支援")&gt;0,"○",""))</f>
        <v/>
      </c>
      <c r="AA17" s="22" t="str">
        <f>IF(COUNTIFS('VS×ケイパビリティ関係'!$F$4:$F$494,$B17,'VS×ケイパビリティ関係'!$G$4:$G$494,AA$5,'VS×ケイパビリティ関係'!$E$4:$E$494,"主")&gt;0,"●",IF(COUNTIFS('VS×ケイパビリティ関係'!$F$4:$F$494,$B17,'VS×ケイパビリティ関係'!$G$4:$G$494,AA$5,'VS×ケイパビリティ関係'!$E$4:$E$494,"支援")&gt;0,"○",""))</f>
        <v/>
      </c>
      <c r="AB17" s="22" t="str">
        <f>IF(COUNTIFS('VS×ケイパビリティ関係'!$F$4:$F$494,$B17,'VS×ケイパビリティ関係'!$G$4:$G$494,AB$5,'VS×ケイパビリティ関係'!$E$4:$E$494,"主")&gt;0,"●",IF(COUNTIFS('VS×ケイパビリティ関係'!$F$4:$F$494,$B17,'VS×ケイパビリティ関係'!$G$4:$G$494,AB$5,'VS×ケイパビリティ関係'!$E$4:$E$494,"支援")&gt;0,"○",""))</f>
        <v/>
      </c>
      <c r="AC17" s="22" t="str">
        <f>IF(COUNTIFS('VS×ケイパビリティ関係'!$F$4:$F$494,$B17,'VS×ケイパビリティ関係'!$G$4:$G$494,AC$5,'VS×ケイパビリティ関係'!$E$4:$E$494,"主")&gt;0,"●",IF(COUNTIFS('VS×ケイパビリティ関係'!$F$4:$F$494,$B17,'VS×ケイパビリティ関係'!$G$4:$G$494,AC$5,'VS×ケイパビリティ関係'!$E$4:$E$494,"支援")&gt;0,"○",""))</f>
        <v/>
      </c>
      <c r="AD17" s="22" t="str">
        <f>IF(COUNTIFS('VS×ケイパビリティ関係'!$F$4:$F$494,$B17,'VS×ケイパビリティ関係'!$G$4:$G$494,AD$5,'VS×ケイパビリティ関係'!$E$4:$E$494,"主")&gt;0,"●",IF(COUNTIFS('VS×ケイパビリティ関係'!$F$4:$F$494,$B17,'VS×ケイパビリティ関係'!$G$4:$G$494,AD$5,'VS×ケイパビリティ関係'!$E$4:$E$494,"支援")&gt;0,"○",""))</f>
        <v/>
      </c>
      <c r="AE17" s="22" t="str">
        <f>IF(COUNTIFS('VS×ケイパビリティ関係'!$F$4:$F$494,$B17,'VS×ケイパビリティ関係'!$G$4:$G$494,AE$5,'VS×ケイパビリティ関係'!$E$4:$E$494,"主")&gt;0,"●",IF(COUNTIFS('VS×ケイパビリティ関係'!$F$4:$F$494,$B17,'VS×ケイパビリティ関係'!$G$4:$G$494,AE$5,'VS×ケイパビリティ関係'!$E$4:$E$494,"支援")&gt;0,"○",""))</f>
        <v/>
      </c>
      <c r="AF17" s="22" t="str">
        <f>IF(COUNTIFS('VS×ケイパビリティ関係'!$F$4:$F$494,$B17,'VS×ケイパビリティ関係'!$G$4:$G$494,AF$5,'VS×ケイパビリティ関係'!$E$4:$E$494,"主")&gt;0,"●",IF(COUNTIFS('VS×ケイパビリティ関係'!$F$4:$F$494,$B17,'VS×ケイパビリティ関係'!$G$4:$G$494,AF$5,'VS×ケイパビリティ関係'!$E$4:$E$494,"支援")&gt;0,"○",""))</f>
        <v/>
      </c>
      <c r="AG17" s="22" t="str">
        <f>IF(COUNTIFS('VS×ケイパビリティ関係'!$F$4:$F$494,$B17,'VS×ケイパビリティ関係'!$G$4:$G$494,AG$5,'VS×ケイパビリティ関係'!$E$4:$E$494,"主")&gt;0,"●",IF(COUNTIFS('VS×ケイパビリティ関係'!$F$4:$F$494,$B17,'VS×ケイパビリティ関係'!$G$4:$G$494,AG$5,'VS×ケイパビリティ関係'!$E$4:$E$494,"支援")&gt;0,"○",""))</f>
        <v/>
      </c>
      <c r="AH17" s="22" t="str">
        <f>IF(COUNTIFS('VS×ケイパビリティ関係'!$F$4:$F$494,$B17,'VS×ケイパビリティ関係'!$G$4:$G$494,AH$5,'VS×ケイパビリティ関係'!$E$4:$E$494,"主")&gt;0,"●",IF(COUNTIFS('VS×ケイパビリティ関係'!$F$4:$F$494,$B17,'VS×ケイパビリティ関係'!$G$4:$G$494,AH$5,'VS×ケイパビリティ関係'!$E$4:$E$494,"支援")&gt;0,"○",""))</f>
        <v/>
      </c>
      <c r="AI17" s="22" t="str">
        <f>IF(COUNTIFS('VS×ケイパビリティ関係'!$F$4:$F$494,$B17,'VS×ケイパビリティ関係'!$G$4:$G$494,AI$5,'VS×ケイパビリティ関係'!$E$4:$E$494,"主")&gt;0,"●",IF(COUNTIFS('VS×ケイパビリティ関係'!$F$4:$F$494,$B17,'VS×ケイパビリティ関係'!$G$4:$G$494,AI$5,'VS×ケイパビリティ関係'!$E$4:$E$494,"支援")&gt;0,"○",""))</f>
        <v/>
      </c>
      <c r="AJ17" s="22" t="str">
        <f>IF(COUNTIFS('VS×ケイパビリティ関係'!$F$4:$F$494,$B17,'VS×ケイパビリティ関係'!$G$4:$G$494,AJ$5,'VS×ケイパビリティ関係'!$E$4:$E$494,"主")&gt;0,"●",IF(COUNTIFS('VS×ケイパビリティ関係'!$F$4:$F$494,$B17,'VS×ケイパビリティ関係'!$G$4:$G$494,AJ$5,'VS×ケイパビリティ関係'!$E$4:$E$494,"支援")&gt;0,"○",""))</f>
        <v/>
      </c>
      <c r="AK17" s="22" t="str">
        <f>IF(COUNTIFS('VS×ケイパビリティ関係'!$F$4:$F$494,$B17,'VS×ケイパビリティ関係'!$G$4:$G$494,AK$5,'VS×ケイパビリティ関係'!$E$4:$E$494,"主")&gt;0,"●",IF(COUNTIFS('VS×ケイパビリティ関係'!$F$4:$F$494,$B17,'VS×ケイパビリティ関係'!$G$4:$G$494,AK$5,'VS×ケイパビリティ関係'!$E$4:$E$494,"支援")&gt;0,"○",""))</f>
        <v/>
      </c>
      <c r="AL17" s="22" t="str">
        <f>IF(COUNTIFS('VS×ケイパビリティ関係'!$F$4:$F$494,$B17,'VS×ケイパビリティ関係'!$G$4:$G$494,AL$5,'VS×ケイパビリティ関係'!$E$4:$E$494,"主")&gt;0,"●",IF(COUNTIFS('VS×ケイパビリティ関係'!$F$4:$F$494,$B17,'VS×ケイパビリティ関係'!$G$4:$G$494,AL$5,'VS×ケイパビリティ関係'!$E$4:$E$494,"支援")&gt;0,"○",""))</f>
        <v/>
      </c>
      <c r="AM17" s="22" t="str">
        <f>IF(COUNTIFS('VS×ケイパビリティ関係'!$F$4:$F$494,$B17,'VS×ケイパビリティ関係'!$G$4:$G$494,AM$5,'VS×ケイパビリティ関係'!$E$4:$E$494,"主")&gt;0,"●",IF(COUNTIFS('VS×ケイパビリティ関係'!$F$4:$F$494,$B17,'VS×ケイパビリティ関係'!$G$4:$G$494,AM$5,'VS×ケイパビリティ関係'!$E$4:$E$494,"支援")&gt;0,"○",""))</f>
        <v/>
      </c>
      <c r="AN17" s="22" t="str">
        <f>IF(COUNTIFS('VS×ケイパビリティ関係'!$F$4:$F$494,$B17,'VS×ケイパビリティ関係'!$G$4:$G$494,AN$5,'VS×ケイパビリティ関係'!$E$4:$E$494,"主")&gt;0,"●",IF(COUNTIFS('VS×ケイパビリティ関係'!$F$4:$F$494,$B17,'VS×ケイパビリティ関係'!$G$4:$G$494,AN$5,'VS×ケイパビリティ関係'!$E$4:$E$494,"支援")&gt;0,"○",""))</f>
        <v/>
      </c>
      <c r="AO17" s="22" t="str">
        <f>IF(COUNTIFS('VS×ケイパビリティ関係'!$F$4:$F$494,$B17,'VS×ケイパビリティ関係'!$G$4:$G$494,AO$5,'VS×ケイパビリティ関係'!$E$4:$E$494,"主")&gt;0,"●",IF(COUNTIFS('VS×ケイパビリティ関係'!$F$4:$F$494,$B17,'VS×ケイパビリティ関係'!$G$4:$G$494,AO$5,'VS×ケイパビリティ関係'!$E$4:$E$494,"支援")&gt;0,"○",""))</f>
        <v/>
      </c>
      <c r="AP17" s="22" t="str">
        <f>IF(COUNTIFS('VS×ケイパビリティ関係'!$F$4:$F$494,$B17,'VS×ケイパビリティ関係'!$G$4:$G$494,AP$5,'VS×ケイパビリティ関係'!$E$4:$E$494,"主")&gt;0,"●",IF(COUNTIFS('VS×ケイパビリティ関係'!$F$4:$F$494,$B17,'VS×ケイパビリティ関係'!$G$4:$G$494,AP$5,'VS×ケイパビリティ関係'!$E$4:$E$494,"支援")&gt;0,"○",""))</f>
        <v/>
      </c>
      <c r="AQ17" s="22" t="str">
        <f>IF(COUNTIFS('VS×ケイパビリティ関係'!$F$4:$F$494,$B17,'VS×ケイパビリティ関係'!$G$4:$G$494,AQ$5,'VS×ケイパビリティ関係'!$E$4:$E$494,"主")&gt;0,"●",IF(COUNTIFS('VS×ケイパビリティ関係'!$F$4:$F$494,$B17,'VS×ケイパビリティ関係'!$G$4:$G$494,AQ$5,'VS×ケイパビリティ関係'!$E$4:$E$494,"支援")&gt;0,"○",""))</f>
        <v/>
      </c>
      <c r="AR17" s="22" t="str">
        <f>IF(COUNTIFS('VS×ケイパビリティ関係'!$F$4:$F$494,$B17,'VS×ケイパビリティ関係'!$G$4:$G$494,AR$5,'VS×ケイパビリティ関係'!$E$4:$E$494,"主")&gt;0,"●",IF(COUNTIFS('VS×ケイパビリティ関係'!$F$4:$F$494,$B17,'VS×ケイパビリティ関係'!$G$4:$G$494,AR$5,'VS×ケイパビリティ関係'!$E$4:$E$494,"支援")&gt;0,"○",""))</f>
        <v/>
      </c>
      <c r="AS17" s="22" t="str">
        <f>IF(COUNTIFS('VS×ケイパビリティ関係'!$F$4:$F$494,$B17,'VS×ケイパビリティ関係'!$G$4:$G$494,AS$5,'VS×ケイパビリティ関係'!$E$4:$E$494,"主")&gt;0,"●",IF(COUNTIFS('VS×ケイパビリティ関係'!$F$4:$F$494,$B17,'VS×ケイパビリティ関係'!$G$4:$G$494,AS$5,'VS×ケイパビリティ関係'!$E$4:$E$494,"支援")&gt;0,"○",""))</f>
        <v/>
      </c>
      <c r="AT17" s="22" t="str">
        <f>IF(COUNTIFS('VS×ケイパビリティ関係'!$F$4:$F$494,$B17,'VS×ケイパビリティ関係'!$G$4:$G$494,AT$5,'VS×ケイパビリティ関係'!$E$4:$E$494,"主")&gt;0,"●",IF(COUNTIFS('VS×ケイパビリティ関係'!$F$4:$F$494,$B17,'VS×ケイパビリティ関係'!$G$4:$G$494,AT$5,'VS×ケイパビリティ関係'!$E$4:$E$494,"支援")&gt;0,"○",""))</f>
        <v/>
      </c>
      <c r="AU17" s="22" t="str">
        <f>IF(COUNTIFS('VS×ケイパビリティ関係'!$F$4:$F$494,$B17,'VS×ケイパビリティ関係'!$G$4:$G$494,AU$5,'VS×ケイパビリティ関係'!$E$4:$E$494,"主")&gt;0,"●",IF(COUNTIFS('VS×ケイパビリティ関係'!$F$4:$F$494,$B17,'VS×ケイパビリティ関係'!$G$4:$G$494,AU$5,'VS×ケイパビリティ関係'!$E$4:$E$494,"支援")&gt;0,"○",""))</f>
        <v/>
      </c>
      <c r="AV17" s="22" t="str">
        <f>IF(COUNTIFS('VS×ケイパビリティ関係'!$F$4:$F$494,$B17,'VS×ケイパビリティ関係'!$G$4:$G$494,AV$5,'VS×ケイパビリティ関係'!$E$4:$E$494,"主")&gt;0,"●",IF(COUNTIFS('VS×ケイパビリティ関係'!$F$4:$F$494,$B17,'VS×ケイパビリティ関係'!$G$4:$G$494,AV$5,'VS×ケイパビリティ関係'!$E$4:$E$494,"支援")&gt;0,"○",""))</f>
        <v/>
      </c>
      <c r="AW17" s="22" t="str">
        <f>IF(COUNTIFS('VS×ケイパビリティ関係'!$F$4:$F$494,$B17,'VS×ケイパビリティ関係'!$G$4:$G$494,AW$5,'VS×ケイパビリティ関係'!$E$4:$E$494,"主")&gt;0,"●",IF(COUNTIFS('VS×ケイパビリティ関係'!$F$4:$F$494,$B17,'VS×ケイパビリティ関係'!$G$4:$G$494,AW$5,'VS×ケイパビリティ関係'!$E$4:$E$494,"支援")&gt;0,"○",""))</f>
        <v/>
      </c>
      <c r="AX17" s="22" t="str">
        <f>IF(COUNTIFS('VS×ケイパビリティ関係'!$F$4:$F$494,$B17,'VS×ケイパビリティ関係'!$G$4:$G$494,AX$5,'VS×ケイパビリティ関係'!$E$4:$E$494,"主")&gt;0,"●",IF(COUNTIFS('VS×ケイパビリティ関係'!$F$4:$F$494,$B17,'VS×ケイパビリティ関係'!$G$4:$G$494,AX$5,'VS×ケイパビリティ関係'!$E$4:$E$494,"支援")&gt;0,"○",""))</f>
        <v/>
      </c>
      <c r="AY17" s="22" t="str">
        <f>IF(COUNTIFS('VS×ケイパビリティ関係'!$F$4:$F$494,$B17,'VS×ケイパビリティ関係'!$G$4:$G$494,AY$5,'VS×ケイパビリティ関係'!$E$4:$E$494,"主")&gt;0,"●",IF(COUNTIFS('VS×ケイパビリティ関係'!$F$4:$F$494,$B17,'VS×ケイパビリティ関係'!$G$4:$G$494,AY$5,'VS×ケイパビリティ関係'!$E$4:$E$494,"支援")&gt;0,"○",""))</f>
        <v/>
      </c>
      <c r="AZ17" s="22" t="str">
        <f>IF(COUNTIFS('VS×ケイパビリティ関係'!$F$4:$F$494,$B17,'VS×ケイパビリティ関係'!$G$4:$G$494,AZ$5,'VS×ケイパビリティ関係'!$E$4:$E$494,"主")&gt;0,"●",IF(COUNTIFS('VS×ケイパビリティ関係'!$F$4:$F$494,$B17,'VS×ケイパビリティ関係'!$G$4:$G$494,AZ$5,'VS×ケイパビリティ関係'!$E$4:$E$494,"支援")&gt;0,"○",""))</f>
        <v/>
      </c>
      <c r="BA17" s="22" t="str">
        <f>IF(COUNTIFS('VS×ケイパビリティ関係'!$F$4:$F$494,$B17,'VS×ケイパビリティ関係'!$G$4:$G$494,BA$5,'VS×ケイパビリティ関係'!$E$4:$E$494,"主")&gt;0,"●",IF(COUNTIFS('VS×ケイパビリティ関係'!$F$4:$F$494,$B17,'VS×ケイパビリティ関係'!$G$4:$G$494,BA$5,'VS×ケイパビリティ関係'!$E$4:$E$494,"支援")&gt;0,"○",""))</f>
        <v/>
      </c>
      <c r="BB17" s="22" t="str">
        <f>IF(COUNTIFS('VS×ケイパビリティ関係'!$F$4:$F$494,$B17,'VS×ケイパビリティ関係'!$G$4:$G$494,BB$5,'VS×ケイパビリティ関係'!$E$4:$E$494,"主")&gt;0,"●",IF(COUNTIFS('VS×ケイパビリティ関係'!$F$4:$F$494,$B17,'VS×ケイパビリティ関係'!$G$4:$G$494,BB$5,'VS×ケイパビリティ関係'!$E$4:$E$494,"支援")&gt;0,"○",""))</f>
        <v/>
      </c>
      <c r="BC17" s="22" t="str">
        <f>IF(COUNTIFS('VS×ケイパビリティ関係'!$F$4:$F$494,$B17,'VS×ケイパビリティ関係'!$G$4:$G$494,BC$5,'VS×ケイパビリティ関係'!$E$4:$E$494,"主")&gt;0,"●",IF(COUNTIFS('VS×ケイパビリティ関係'!$F$4:$F$494,$B17,'VS×ケイパビリティ関係'!$G$4:$G$494,BC$5,'VS×ケイパビリティ関係'!$E$4:$E$494,"支援")&gt;0,"○",""))</f>
        <v/>
      </c>
      <c r="BD17" s="22" t="str">
        <f>IF(COUNTIFS('VS×ケイパビリティ関係'!$F$4:$F$494,$B17,'VS×ケイパビリティ関係'!$G$4:$G$494,BD$5,'VS×ケイパビリティ関係'!$E$4:$E$494,"主")&gt;0,"●",IF(COUNTIFS('VS×ケイパビリティ関係'!$F$4:$F$494,$B17,'VS×ケイパビリティ関係'!$G$4:$G$494,BD$5,'VS×ケイパビリティ関係'!$E$4:$E$494,"支援")&gt;0,"○",""))</f>
        <v/>
      </c>
      <c r="BE17" s="22">
        <f t="shared" si="1"/>
        <v>1</v>
      </c>
      <c r="BF17" s="22">
        <f t="shared" si="2"/>
        <v>1</v>
      </c>
    </row>
    <row r="18" ht="15.0" customHeight="1">
      <c r="A18" s="42"/>
      <c r="B18" s="22" t="s">
        <v>1110</v>
      </c>
      <c r="C18" s="25" t="s">
        <v>1111</v>
      </c>
      <c r="D18" s="22" t="str">
        <f>IF(COUNTIFS('VS×ケイパビリティ関係'!$F$4:$F$494,$B18,'VS×ケイパビリティ関係'!$G$4:$G$494,D$5,'VS×ケイパビリティ関係'!$E$4:$E$494,"主")&gt;0,"●",IF(COUNTIFS('VS×ケイパビリティ関係'!$F$4:$F$494,$B18,'VS×ケイパビリティ関係'!$G$4:$G$494,D$5,'VS×ケイパビリティ関係'!$E$4:$E$494,"支援")&gt;0,"○",""))</f>
        <v/>
      </c>
      <c r="E18" s="22" t="str">
        <f>IF(COUNTIFS('VS×ケイパビリティ関係'!$F$4:$F$494,$B18,'VS×ケイパビリティ関係'!$G$4:$G$494,E$5,'VS×ケイパビリティ関係'!$E$4:$E$494,"主")&gt;0,"●",IF(COUNTIFS('VS×ケイパビリティ関係'!$F$4:$F$494,$B18,'VS×ケイパビリティ関係'!$G$4:$G$494,E$5,'VS×ケイパビリティ関係'!$E$4:$E$494,"支援")&gt;0,"○",""))</f>
        <v/>
      </c>
      <c r="F18" s="22" t="str">
        <f>IF(COUNTIFS('VS×ケイパビリティ関係'!$F$4:$F$494,$B18,'VS×ケイパビリティ関係'!$G$4:$G$494,F$5,'VS×ケイパビリティ関係'!$E$4:$E$494,"主")&gt;0,"●",IF(COUNTIFS('VS×ケイパビリティ関係'!$F$4:$F$494,$B18,'VS×ケイパビリティ関係'!$G$4:$G$494,F$5,'VS×ケイパビリティ関係'!$E$4:$E$494,"支援")&gt;0,"○",""))</f>
        <v/>
      </c>
      <c r="G18" s="22" t="str">
        <f>IF(COUNTIFS('VS×ケイパビリティ関係'!$F$4:$F$494,$B18,'VS×ケイパビリティ関係'!$G$4:$G$494,G$5,'VS×ケイパビリティ関係'!$E$4:$E$494,"主")&gt;0,"●",IF(COUNTIFS('VS×ケイパビリティ関係'!$F$4:$F$494,$B18,'VS×ケイパビリティ関係'!$G$4:$G$494,G$5,'VS×ケイパビリティ関係'!$E$4:$E$494,"支援")&gt;0,"○",""))</f>
        <v/>
      </c>
      <c r="H18" s="22" t="str">
        <f>IF(COUNTIFS('VS×ケイパビリティ関係'!$F$4:$F$494,$B18,'VS×ケイパビリティ関係'!$G$4:$G$494,H$5,'VS×ケイパビリティ関係'!$E$4:$E$494,"主")&gt;0,"●",IF(COUNTIFS('VS×ケイパビリティ関係'!$F$4:$F$494,$B18,'VS×ケイパビリティ関係'!$G$4:$G$494,H$5,'VS×ケイパビリティ関係'!$E$4:$E$494,"支援")&gt;0,"○",""))</f>
        <v/>
      </c>
      <c r="I18" s="22" t="str">
        <f>IF(COUNTIFS('VS×ケイパビリティ関係'!$F$4:$F$494,$B18,'VS×ケイパビリティ関係'!$G$4:$G$494,I$5,'VS×ケイパビリティ関係'!$E$4:$E$494,"主")&gt;0,"●",IF(COUNTIFS('VS×ケイパビリティ関係'!$F$4:$F$494,$B18,'VS×ケイパビリティ関係'!$G$4:$G$494,I$5,'VS×ケイパビリティ関係'!$E$4:$E$494,"支援")&gt;0,"○",""))</f>
        <v/>
      </c>
      <c r="J18" s="22" t="str">
        <f>IF(COUNTIFS('VS×ケイパビリティ関係'!$F$4:$F$494,$B18,'VS×ケイパビリティ関係'!$G$4:$G$494,J$5,'VS×ケイパビリティ関係'!$E$4:$E$494,"主")&gt;0,"●",IF(COUNTIFS('VS×ケイパビリティ関係'!$F$4:$F$494,$B18,'VS×ケイパビリティ関係'!$G$4:$G$494,J$5,'VS×ケイパビリティ関係'!$E$4:$E$494,"支援")&gt;0,"○",""))</f>
        <v/>
      </c>
      <c r="K18" s="22" t="str">
        <f>IF(COUNTIFS('VS×ケイパビリティ関係'!$F$4:$F$494,$B18,'VS×ケイパビリティ関係'!$G$4:$G$494,K$5,'VS×ケイパビリティ関係'!$E$4:$E$494,"主")&gt;0,"●",IF(COUNTIFS('VS×ケイパビリティ関係'!$F$4:$F$494,$B18,'VS×ケイパビリティ関係'!$G$4:$G$494,K$5,'VS×ケイパビリティ関係'!$E$4:$E$494,"支援")&gt;0,"○",""))</f>
        <v/>
      </c>
      <c r="L18" s="22" t="str">
        <f>IF(COUNTIFS('VS×ケイパビリティ関係'!$F$4:$F$494,$B18,'VS×ケイパビリティ関係'!$G$4:$G$494,L$5,'VS×ケイパビリティ関係'!$E$4:$E$494,"主")&gt;0,"●",IF(COUNTIFS('VS×ケイパビリティ関係'!$F$4:$F$494,$B18,'VS×ケイパビリティ関係'!$G$4:$G$494,L$5,'VS×ケイパビリティ関係'!$E$4:$E$494,"支援")&gt;0,"○",""))</f>
        <v/>
      </c>
      <c r="M18" s="22" t="str">
        <f>IF(COUNTIFS('VS×ケイパビリティ関係'!$F$4:$F$494,$B18,'VS×ケイパビリティ関係'!$G$4:$G$494,M$5,'VS×ケイパビリティ関係'!$E$4:$E$494,"主")&gt;0,"●",IF(COUNTIFS('VS×ケイパビリティ関係'!$F$4:$F$494,$B18,'VS×ケイパビリティ関係'!$G$4:$G$494,M$5,'VS×ケイパビリティ関係'!$E$4:$E$494,"支援")&gt;0,"○",""))</f>
        <v/>
      </c>
      <c r="N18" s="22" t="str">
        <f>IF(COUNTIFS('VS×ケイパビリティ関係'!$F$4:$F$494,$B18,'VS×ケイパビリティ関係'!$G$4:$G$494,N$5,'VS×ケイパビリティ関係'!$E$4:$E$494,"主")&gt;0,"●",IF(COUNTIFS('VS×ケイパビリティ関係'!$F$4:$F$494,$B18,'VS×ケイパビリティ関係'!$G$4:$G$494,N$5,'VS×ケイパビリティ関係'!$E$4:$E$494,"支援")&gt;0,"○",""))</f>
        <v/>
      </c>
      <c r="O18" s="22" t="str">
        <f>IF(COUNTIFS('VS×ケイパビリティ関係'!$F$4:$F$494,$B18,'VS×ケイパビリティ関係'!$G$4:$G$494,O$5,'VS×ケイパビリティ関係'!$E$4:$E$494,"主")&gt;0,"●",IF(COUNTIFS('VS×ケイパビリティ関係'!$F$4:$F$494,$B18,'VS×ケイパビリティ関係'!$G$4:$G$494,O$5,'VS×ケイパビリティ関係'!$E$4:$E$494,"支援")&gt;0,"○",""))</f>
        <v/>
      </c>
      <c r="P18" s="22" t="str">
        <f>IF(COUNTIFS('VS×ケイパビリティ関係'!$F$4:$F$494,$B18,'VS×ケイパビリティ関係'!$G$4:$G$494,P$5,'VS×ケイパビリティ関係'!$E$4:$E$494,"主")&gt;0,"●",IF(COUNTIFS('VS×ケイパビリティ関係'!$F$4:$F$494,$B18,'VS×ケイパビリティ関係'!$G$4:$G$494,P$5,'VS×ケイパビリティ関係'!$E$4:$E$494,"支援")&gt;0,"○",""))</f>
        <v/>
      </c>
      <c r="Q18" s="22" t="str">
        <f>IF(COUNTIFS('VS×ケイパビリティ関係'!$F$4:$F$494,$B18,'VS×ケイパビリティ関係'!$G$4:$G$494,Q$5,'VS×ケイパビリティ関係'!$E$4:$E$494,"主")&gt;0,"●",IF(COUNTIFS('VS×ケイパビリティ関係'!$F$4:$F$494,$B18,'VS×ケイパビリティ関係'!$G$4:$G$494,Q$5,'VS×ケイパビリティ関係'!$E$4:$E$494,"支援")&gt;0,"○",""))</f>
        <v/>
      </c>
      <c r="R18" s="22" t="str">
        <f>IF(COUNTIFS('VS×ケイパビリティ関係'!$F$4:$F$494,$B18,'VS×ケイパビリティ関係'!$G$4:$G$494,R$5,'VS×ケイパビリティ関係'!$E$4:$E$494,"主")&gt;0,"●",IF(COUNTIFS('VS×ケイパビリティ関係'!$F$4:$F$494,$B18,'VS×ケイパビリティ関係'!$G$4:$G$494,R$5,'VS×ケイパビリティ関係'!$E$4:$E$494,"支援")&gt;0,"○",""))</f>
        <v/>
      </c>
      <c r="S18" s="22" t="str">
        <f>IF(COUNTIFS('VS×ケイパビリティ関係'!$F$4:$F$494,$B18,'VS×ケイパビリティ関係'!$G$4:$G$494,S$5,'VS×ケイパビリティ関係'!$E$4:$E$494,"主")&gt;0,"●",IF(COUNTIFS('VS×ケイパビリティ関係'!$F$4:$F$494,$B18,'VS×ケイパビリティ関係'!$G$4:$G$494,S$5,'VS×ケイパビリティ関係'!$E$4:$E$494,"支援")&gt;0,"○",""))</f>
        <v>●</v>
      </c>
      <c r="T18" s="22" t="str">
        <f>IF(COUNTIFS('VS×ケイパビリティ関係'!$F$4:$F$494,$B18,'VS×ケイパビリティ関係'!$G$4:$G$494,T$5,'VS×ケイパビリティ関係'!$E$4:$E$494,"主")&gt;0,"●",IF(COUNTIFS('VS×ケイパビリティ関係'!$F$4:$F$494,$B18,'VS×ケイパビリティ関係'!$G$4:$G$494,T$5,'VS×ケイパビリティ関係'!$E$4:$E$494,"支援")&gt;0,"○",""))</f>
        <v/>
      </c>
      <c r="U18" s="22" t="str">
        <f>IF(COUNTIFS('VS×ケイパビリティ関係'!$F$4:$F$494,$B18,'VS×ケイパビリティ関係'!$G$4:$G$494,U$5,'VS×ケイパビリティ関係'!$E$4:$E$494,"主")&gt;0,"●",IF(COUNTIFS('VS×ケイパビリティ関係'!$F$4:$F$494,$B18,'VS×ケイパビリティ関係'!$G$4:$G$494,U$5,'VS×ケイパビリティ関係'!$E$4:$E$494,"支援")&gt;0,"○",""))</f>
        <v/>
      </c>
      <c r="V18" s="22" t="str">
        <f>IF(COUNTIFS('VS×ケイパビリティ関係'!$F$4:$F$494,$B18,'VS×ケイパビリティ関係'!$G$4:$G$494,V$5,'VS×ケイパビリティ関係'!$E$4:$E$494,"主")&gt;0,"●",IF(COUNTIFS('VS×ケイパビリティ関係'!$F$4:$F$494,$B18,'VS×ケイパビリティ関係'!$G$4:$G$494,V$5,'VS×ケイパビリティ関係'!$E$4:$E$494,"支援")&gt;0,"○",""))</f>
        <v/>
      </c>
      <c r="W18" s="22" t="str">
        <f>IF(COUNTIFS('VS×ケイパビリティ関係'!$F$4:$F$494,$B18,'VS×ケイパビリティ関係'!$G$4:$G$494,W$5,'VS×ケイパビリティ関係'!$E$4:$E$494,"主")&gt;0,"●",IF(COUNTIFS('VS×ケイパビリティ関係'!$F$4:$F$494,$B18,'VS×ケイパビリティ関係'!$G$4:$G$494,W$5,'VS×ケイパビリティ関係'!$E$4:$E$494,"支援")&gt;0,"○",""))</f>
        <v/>
      </c>
      <c r="X18" s="22" t="str">
        <f>IF(COUNTIFS('VS×ケイパビリティ関係'!$F$4:$F$494,$B18,'VS×ケイパビリティ関係'!$G$4:$G$494,X$5,'VS×ケイパビリティ関係'!$E$4:$E$494,"主")&gt;0,"●",IF(COUNTIFS('VS×ケイパビリティ関係'!$F$4:$F$494,$B18,'VS×ケイパビリティ関係'!$G$4:$G$494,X$5,'VS×ケイパビリティ関係'!$E$4:$E$494,"支援")&gt;0,"○",""))</f>
        <v/>
      </c>
      <c r="Y18" s="22" t="str">
        <f>IF(COUNTIFS('VS×ケイパビリティ関係'!$F$4:$F$494,$B18,'VS×ケイパビリティ関係'!$G$4:$G$494,Y$5,'VS×ケイパビリティ関係'!$E$4:$E$494,"主")&gt;0,"●",IF(COUNTIFS('VS×ケイパビリティ関係'!$F$4:$F$494,$B18,'VS×ケイパビリティ関係'!$G$4:$G$494,Y$5,'VS×ケイパビリティ関係'!$E$4:$E$494,"支援")&gt;0,"○",""))</f>
        <v/>
      </c>
      <c r="Z18" s="22" t="str">
        <f>IF(COUNTIFS('VS×ケイパビリティ関係'!$F$4:$F$494,$B18,'VS×ケイパビリティ関係'!$G$4:$G$494,Z$5,'VS×ケイパビリティ関係'!$E$4:$E$494,"主")&gt;0,"●",IF(COUNTIFS('VS×ケイパビリティ関係'!$F$4:$F$494,$B18,'VS×ケイパビリティ関係'!$G$4:$G$494,Z$5,'VS×ケイパビリティ関係'!$E$4:$E$494,"支援")&gt;0,"○",""))</f>
        <v/>
      </c>
      <c r="AA18" s="22" t="str">
        <f>IF(COUNTIFS('VS×ケイパビリティ関係'!$F$4:$F$494,$B18,'VS×ケイパビリティ関係'!$G$4:$G$494,AA$5,'VS×ケイパビリティ関係'!$E$4:$E$494,"主")&gt;0,"●",IF(COUNTIFS('VS×ケイパビリティ関係'!$F$4:$F$494,$B18,'VS×ケイパビリティ関係'!$G$4:$G$494,AA$5,'VS×ケイパビリティ関係'!$E$4:$E$494,"支援")&gt;0,"○",""))</f>
        <v/>
      </c>
      <c r="AB18" s="22" t="str">
        <f>IF(COUNTIFS('VS×ケイパビリティ関係'!$F$4:$F$494,$B18,'VS×ケイパビリティ関係'!$G$4:$G$494,AB$5,'VS×ケイパビリティ関係'!$E$4:$E$494,"主")&gt;0,"●",IF(COUNTIFS('VS×ケイパビリティ関係'!$F$4:$F$494,$B18,'VS×ケイパビリティ関係'!$G$4:$G$494,AB$5,'VS×ケイパビリティ関係'!$E$4:$E$494,"支援")&gt;0,"○",""))</f>
        <v/>
      </c>
      <c r="AC18" s="22" t="str">
        <f>IF(COUNTIFS('VS×ケイパビリティ関係'!$F$4:$F$494,$B18,'VS×ケイパビリティ関係'!$G$4:$G$494,AC$5,'VS×ケイパビリティ関係'!$E$4:$E$494,"主")&gt;0,"●",IF(COUNTIFS('VS×ケイパビリティ関係'!$F$4:$F$494,$B18,'VS×ケイパビリティ関係'!$G$4:$G$494,AC$5,'VS×ケイパビリティ関係'!$E$4:$E$494,"支援")&gt;0,"○",""))</f>
        <v/>
      </c>
      <c r="AD18" s="22" t="str">
        <f>IF(COUNTIFS('VS×ケイパビリティ関係'!$F$4:$F$494,$B18,'VS×ケイパビリティ関係'!$G$4:$G$494,AD$5,'VS×ケイパビリティ関係'!$E$4:$E$494,"主")&gt;0,"●",IF(COUNTIFS('VS×ケイパビリティ関係'!$F$4:$F$494,$B18,'VS×ケイパビリティ関係'!$G$4:$G$494,AD$5,'VS×ケイパビリティ関係'!$E$4:$E$494,"支援")&gt;0,"○",""))</f>
        <v/>
      </c>
      <c r="AE18" s="22" t="str">
        <f>IF(COUNTIFS('VS×ケイパビリティ関係'!$F$4:$F$494,$B18,'VS×ケイパビリティ関係'!$G$4:$G$494,AE$5,'VS×ケイパビリティ関係'!$E$4:$E$494,"主")&gt;0,"●",IF(COUNTIFS('VS×ケイパビリティ関係'!$F$4:$F$494,$B18,'VS×ケイパビリティ関係'!$G$4:$G$494,AE$5,'VS×ケイパビリティ関係'!$E$4:$E$494,"支援")&gt;0,"○",""))</f>
        <v/>
      </c>
      <c r="AF18" s="22" t="str">
        <f>IF(COUNTIFS('VS×ケイパビリティ関係'!$F$4:$F$494,$B18,'VS×ケイパビリティ関係'!$G$4:$G$494,AF$5,'VS×ケイパビリティ関係'!$E$4:$E$494,"主")&gt;0,"●",IF(COUNTIFS('VS×ケイパビリティ関係'!$F$4:$F$494,$B18,'VS×ケイパビリティ関係'!$G$4:$G$494,AF$5,'VS×ケイパビリティ関係'!$E$4:$E$494,"支援")&gt;0,"○",""))</f>
        <v/>
      </c>
      <c r="AG18" s="22" t="str">
        <f>IF(COUNTIFS('VS×ケイパビリティ関係'!$F$4:$F$494,$B18,'VS×ケイパビリティ関係'!$G$4:$G$494,AG$5,'VS×ケイパビリティ関係'!$E$4:$E$494,"主")&gt;0,"●",IF(COUNTIFS('VS×ケイパビリティ関係'!$F$4:$F$494,$B18,'VS×ケイパビリティ関係'!$G$4:$G$494,AG$5,'VS×ケイパビリティ関係'!$E$4:$E$494,"支援")&gt;0,"○",""))</f>
        <v/>
      </c>
      <c r="AH18" s="22" t="str">
        <f>IF(COUNTIFS('VS×ケイパビリティ関係'!$F$4:$F$494,$B18,'VS×ケイパビリティ関係'!$G$4:$G$494,AH$5,'VS×ケイパビリティ関係'!$E$4:$E$494,"主")&gt;0,"●",IF(COUNTIFS('VS×ケイパビリティ関係'!$F$4:$F$494,$B18,'VS×ケイパビリティ関係'!$G$4:$G$494,AH$5,'VS×ケイパビリティ関係'!$E$4:$E$494,"支援")&gt;0,"○",""))</f>
        <v/>
      </c>
      <c r="AI18" s="22" t="str">
        <f>IF(COUNTIFS('VS×ケイパビリティ関係'!$F$4:$F$494,$B18,'VS×ケイパビリティ関係'!$G$4:$G$494,AI$5,'VS×ケイパビリティ関係'!$E$4:$E$494,"主")&gt;0,"●",IF(COUNTIFS('VS×ケイパビリティ関係'!$F$4:$F$494,$B18,'VS×ケイパビリティ関係'!$G$4:$G$494,AI$5,'VS×ケイパビリティ関係'!$E$4:$E$494,"支援")&gt;0,"○",""))</f>
        <v/>
      </c>
      <c r="AJ18" s="22" t="str">
        <f>IF(COUNTIFS('VS×ケイパビリティ関係'!$F$4:$F$494,$B18,'VS×ケイパビリティ関係'!$G$4:$G$494,AJ$5,'VS×ケイパビリティ関係'!$E$4:$E$494,"主")&gt;0,"●",IF(COUNTIFS('VS×ケイパビリティ関係'!$F$4:$F$494,$B18,'VS×ケイパビリティ関係'!$G$4:$G$494,AJ$5,'VS×ケイパビリティ関係'!$E$4:$E$494,"支援")&gt;0,"○",""))</f>
        <v/>
      </c>
      <c r="AK18" s="22" t="str">
        <f>IF(COUNTIFS('VS×ケイパビリティ関係'!$F$4:$F$494,$B18,'VS×ケイパビリティ関係'!$G$4:$G$494,AK$5,'VS×ケイパビリティ関係'!$E$4:$E$494,"主")&gt;0,"●",IF(COUNTIFS('VS×ケイパビリティ関係'!$F$4:$F$494,$B18,'VS×ケイパビリティ関係'!$G$4:$G$494,AK$5,'VS×ケイパビリティ関係'!$E$4:$E$494,"支援")&gt;0,"○",""))</f>
        <v/>
      </c>
      <c r="AL18" s="22" t="str">
        <f>IF(COUNTIFS('VS×ケイパビリティ関係'!$F$4:$F$494,$B18,'VS×ケイパビリティ関係'!$G$4:$G$494,AL$5,'VS×ケイパビリティ関係'!$E$4:$E$494,"主")&gt;0,"●",IF(COUNTIFS('VS×ケイパビリティ関係'!$F$4:$F$494,$B18,'VS×ケイパビリティ関係'!$G$4:$G$494,AL$5,'VS×ケイパビリティ関係'!$E$4:$E$494,"支援")&gt;0,"○",""))</f>
        <v/>
      </c>
      <c r="AM18" s="22" t="str">
        <f>IF(COUNTIFS('VS×ケイパビリティ関係'!$F$4:$F$494,$B18,'VS×ケイパビリティ関係'!$G$4:$G$494,AM$5,'VS×ケイパビリティ関係'!$E$4:$E$494,"主")&gt;0,"●",IF(COUNTIFS('VS×ケイパビリティ関係'!$F$4:$F$494,$B18,'VS×ケイパビリティ関係'!$G$4:$G$494,AM$5,'VS×ケイパビリティ関係'!$E$4:$E$494,"支援")&gt;0,"○",""))</f>
        <v/>
      </c>
      <c r="AN18" s="22" t="str">
        <f>IF(COUNTIFS('VS×ケイパビリティ関係'!$F$4:$F$494,$B18,'VS×ケイパビリティ関係'!$G$4:$G$494,AN$5,'VS×ケイパビリティ関係'!$E$4:$E$494,"主")&gt;0,"●",IF(COUNTIFS('VS×ケイパビリティ関係'!$F$4:$F$494,$B18,'VS×ケイパビリティ関係'!$G$4:$G$494,AN$5,'VS×ケイパビリティ関係'!$E$4:$E$494,"支援")&gt;0,"○",""))</f>
        <v/>
      </c>
      <c r="AO18" s="22" t="str">
        <f>IF(COUNTIFS('VS×ケイパビリティ関係'!$F$4:$F$494,$B18,'VS×ケイパビリティ関係'!$G$4:$G$494,AO$5,'VS×ケイパビリティ関係'!$E$4:$E$494,"主")&gt;0,"●",IF(COUNTIFS('VS×ケイパビリティ関係'!$F$4:$F$494,$B18,'VS×ケイパビリティ関係'!$G$4:$G$494,AO$5,'VS×ケイパビリティ関係'!$E$4:$E$494,"支援")&gt;0,"○",""))</f>
        <v/>
      </c>
      <c r="AP18" s="22" t="str">
        <f>IF(COUNTIFS('VS×ケイパビリティ関係'!$F$4:$F$494,$B18,'VS×ケイパビリティ関係'!$G$4:$G$494,AP$5,'VS×ケイパビリティ関係'!$E$4:$E$494,"主")&gt;0,"●",IF(COUNTIFS('VS×ケイパビリティ関係'!$F$4:$F$494,$B18,'VS×ケイパビリティ関係'!$G$4:$G$494,AP$5,'VS×ケイパビリティ関係'!$E$4:$E$494,"支援")&gt;0,"○",""))</f>
        <v/>
      </c>
      <c r="AQ18" s="22" t="str">
        <f>IF(COUNTIFS('VS×ケイパビリティ関係'!$F$4:$F$494,$B18,'VS×ケイパビリティ関係'!$G$4:$G$494,AQ$5,'VS×ケイパビリティ関係'!$E$4:$E$494,"主")&gt;0,"●",IF(COUNTIFS('VS×ケイパビリティ関係'!$F$4:$F$494,$B18,'VS×ケイパビリティ関係'!$G$4:$G$494,AQ$5,'VS×ケイパビリティ関係'!$E$4:$E$494,"支援")&gt;0,"○",""))</f>
        <v/>
      </c>
      <c r="AR18" s="22" t="str">
        <f>IF(COUNTIFS('VS×ケイパビリティ関係'!$F$4:$F$494,$B18,'VS×ケイパビリティ関係'!$G$4:$G$494,AR$5,'VS×ケイパビリティ関係'!$E$4:$E$494,"主")&gt;0,"●",IF(COUNTIFS('VS×ケイパビリティ関係'!$F$4:$F$494,$B18,'VS×ケイパビリティ関係'!$G$4:$G$494,AR$5,'VS×ケイパビリティ関係'!$E$4:$E$494,"支援")&gt;0,"○",""))</f>
        <v/>
      </c>
      <c r="AS18" s="22" t="str">
        <f>IF(COUNTIFS('VS×ケイパビリティ関係'!$F$4:$F$494,$B18,'VS×ケイパビリティ関係'!$G$4:$G$494,AS$5,'VS×ケイパビリティ関係'!$E$4:$E$494,"主")&gt;0,"●",IF(COUNTIFS('VS×ケイパビリティ関係'!$F$4:$F$494,$B18,'VS×ケイパビリティ関係'!$G$4:$G$494,AS$5,'VS×ケイパビリティ関係'!$E$4:$E$494,"支援")&gt;0,"○",""))</f>
        <v/>
      </c>
      <c r="AT18" s="22" t="str">
        <f>IF(COUNTIFS('VS×ケイパビリティ関係'!$F$4:$F$494,$B18,'VS×ケイパビリティ関係'!$G$4:$G$494,AT$5,'VS×ケイパビリティ関係'!$E$4:$E$494,"主")&gt;0,"●",IF(COUNTIFS('VS×ケイパビリティ関係'!$F$4:$F$494,$B18,'VS×ケイパビリティ関係'!$G$4:$G$494,AT$5,'VS×ケイパビリティ関係'!$E$4:$E$494,"支援")&gt;0,"○",""))</f>
        <v/>
      </c>
      <c r="AU18" s="22" t="str">
        <f>IF(COUNTIFS('VS×ケイパビリティ関係'!$F$4:$F$494,$B18,'VS×ケイパビリティ関係'!$G$4:$G$494,AU$5,'VS×ケイパビリティ関係'!$E$4:$E$494,"主")&gt;0,"●",IF(COUNTIFS('VS×ケイパビリティ関係'!$F$4:$F$494,$B18,'VS×ケイパビリティ関係'!$G$4:$G$494,AU$5,'VS×ケイパビリティ関係'!$E$4:$E$494,"支援")&gt;0,"○",""))</f>
        <v/>
      </c>
      <c r="AV18" s="22" t="str">
        <f>IF(COUNTIFS('VS×ケイパビリティ関係'!$F$4:$F$494,$B18,'VS×ケイパビリティ関係'!$G$4:$G$494,AV$5,'VS×ケイパビリティ関係'!$E$4:$E$494,"主")&gt;0,"●",IF(COUNTIFS('VS×ケイパビリティ関係'!$F$4:$F$494,$B18,'VS×ケイパビリティ関係'!$G$4:$G$494,AV$5,'VS×ケイパビリティ関係'!$E$4:$E$494,"支援")&gt;0,"○",""))</f>
        <v/>
      </c>
      <c r="AW18" s="22" t="str">
        <f>IF(COUNTIFS('VS×ケイパビリティ関係'!$F$4:$F$494,$B18,'VS×ケイパビリティ関係'!$G$4:$G$494,AW$5,'VS×ケイパビリティ関係'!$E$4:$E$494,"主")&gt;0,"●",IF(COUNTIFS('VS×ケイパビリティ関係'!$F$4:$F$494,$B18,'VS×ケイパビリティ関係'!$G$4:$G$494,AW$5,'VS×ケイパビリティ関係'!$E$4:$E$494,"支援")&gt;0,"○",""))</f>
        <v/>
      </c>
      <c r="AX18" s="22" t="str">
        <f>IF(COUNTIFS('VS×ケイパビリティ関係'!$F$4:$F$494,$B18,'VS×ケイパビリティ関係'!$G$4:$G$494,AX$5,'VS×ケイパビリティ関係'!$E$4:$E$494,"主")&gt;0,"●",IF(COUNTIFS('VS×ケイパビリティ関係'!$F$4:$F$494,$B18,'VS×ケイパビリティ関係'!$G$4:$G$494,AX$5,'VS×ケイパビリティ関係'!$E$4:$E$494,"支援")&gt;0,"○",""))</f>
        <v/>
      </c>
      <c r="AY18" s="22" t="str">
        <f>IF(COUNTIFS('VS×ケイパビリティ関係'!$F$4:$F$494,$B18,'VS×ケイパビリティ関係'!$G$4:$G$494,AY$5,'VS×ケイパビリティ関係'!$E$4:$E$494,"主")&gt;0,"●",IF(COUNTIFS('VS×ケイパビリティ関係'!$F$4:$F$494,$B18,'VS×ケイパビリティ関係'!$G$4:$G$494,AY$5,'VS×ケイパビリティ関係'!$E$4:$E$494,"支援")&gt;0,"○",""))</f>
        <v/>
      </c>
      <c r="AZ18" s="22" t="str">
        <f>IF(COUNTIFS('VS×ケイパビリティ関係'!$F$4:$F$494,$B18,'VS×ケイパビリティ関係'!$G$4:$G$494,AZ$5,'VS×ケイパビリティ関係'!$E$4:$E$494,"主")&gt;0,"●",IF(COUNTIFS('VS×ケイパビリティ関係'!$F$4:$F$494,$B18,'VS×ケイパビリティ関係'!$G$4:$G$494,AZ$5,'VS×ケイパビリティ関係'!$E$4:$E$494,"支援")&gt;0,"○",""))</f>
        <v/>
      </c>
      <c r="BA18" s="22" t="str">
        <f>IF(COUNTIFS('VS×ケイパビリティ関係'!$F$4:$F$494,$B18,'VS×ケイパビリティ関係'!$G$4:$G$494,BA$5,'VS×ケイパビリティ関係'!$E$4:$E$494,"主")&gt;0,"●",IF(COUNTIFS('VS×ケイパビリティ関係'!$F$4:$F$494,$B18,'VS×ケイパビリティ関係'!$G$4:$G$494,BA$5,'VS×ケイパビリティ関係'!$E$4:$E$494,"支援")&gt;0,"○",""))</f>
        <v/>
      </c>
      <c r="BB18" s="22" t="str">
        <f>IF(COUNTIFS('VS×ケイパビリティ関係'!$F$4:$F$494,$B18,'VS×ケイパビリティ関係'!$G$4:$G$494,BB$5,'VS×ケイパビリティ関係'!$E$4:$E$494,"主")&gt;0,"●",IF(COUNTIFS('VS×ケイパビリティ関係'!$F$4:$F$494,$B18,'VS×ケイパビリティ関係'!$G$4:$G$494,BB$5,'VS×ケイパビリティ関係'!$E$4:$E$494,"支援")&gt;0,"○",""))</f>
        <v/>
      </c>
      <c r="BC18" s="22" t="str">
        <f>IF(COUNTIFS('VS×ケイパビリティ関係'!$F$4:$F$494,$B18,'VS×ケイパビリティ関係'!$G$4:$G$494,BC$5,'VS×ケイパビリティ関係'!$E$4:$E$494,"主")&gt;0,"●",IF(COUNTIFS('VS×ケイパビリティ関係'!$F$4:$F$494,$B18,'VS×ケイパビリティ関係'!$G$4:$G$494,BC$5,'VS×ケイパビリティ関係'!$E$4:$E$494,"支援")&gt;0,"○",""))</f>
        <v/>
      </c>
      <c r="BD18" s="22" t="str">
        <f>IF(COUNTIFS('VS×ケイパビリティ関係'!$F$4:$F$494,$B18,'VS×ケイパビリティ関係'!$G$4:$G$494,BD$5,'VS×ケイパビリティ関係'!$E$4:$E$494,"主")&gt;0,"●",IF(COUNTIFS('VS×ケイパビリティ関係'!$F$4:$F$494,$B18,'VS×ケイパビリティ関係'!$G$4:$G$494,BD$5,'VS×ケイパビリティ関係'!$E$4:$E$494,"支援")&gt;0,"○",""))</f>
        <v/>
      </c>
      <c r="BE18" s="22">
        <f t="shared" si="1"/>
        <v>1</v>
      </c>
      <c r="BF18" s="22">
        <f t="shared" si="2"/>
        <v>0</v>
      </c>
    </row>
    <row r="19" ht="15.0" customHeight="1">
      <c r="A19" s="42"/>
      <c r="B19" s="22" t="s">
        <v>1161</v>
      </c>
      <c r="C19" s="25" t="s">
        <v>1164</v>
      </c>
      <c r="D19" s="22" t="str">
        <f>IF(COUNTIFS('VS×ケイパビリティ関係'!$F$4:$F$494,$B19,'VS×ケイパビリティ関係'!$G$4:$G$494,D$5,'VS×ケイパビリティ関係'!$E$4:$E$494,"主")&gt;0,"●",IF(COUNTIFS('VS×ケイパビリティ関係'!$F$4:$F$494,$B19,'VS×ケイパビリティ関係'!$G$4:$G$494,D$5,'VS×ケイパビリティ関係'!$E$4:$E$494,"支援")&gt;0,"○",""))</f>
        <v/>
      </c>
      <c r="E19" s="22" t="str">
        <f>IF(COUNTIFS('VS×ケイパビリティ関係'!$F$4:$F$494,$B19,'VS×ケイパビリティ関係'!$G$4:$G$494,E$5,'VS×ケイパビリティ関係'!$E$4:$E$494,"主")&gt;0,"●",IF(COUNTIFS('VS×ケイパビリティ関係'!$F$4:$F$494,$B19,'VS×ケイパビリティ関係'!$G$4:$G$494,E$5,'VS×ケイパビリティ関係'!$E$4:$E$494,"支援")&gt;0,"○",""))</f>
        <v/>
      </c>
      <c r="F19" s="22" t="str">
        <f>IF(COUNTIFS('VS×ケイパビリティ関係'!$F$4:$F$494,$B19,'VS×ケイパビリティ関係'!$G$4:$G$494,F$5,'VS×ケイパビリティ関係'!$E$4:$E$494,"主")&gt;0,"●",IF(COUNTIFS('VS×ケイパビリティ関係'!$F$4:$F$494,$B19,'VS×ケイパビリティ関係'!$G$4:$G$494,F$5,'VS×ケイパビリティ関係'!$E$4:$E$494,"支援")&gt;0,"○",""))</f>
        <v>○</v>
      </c>
      <c r="G19" s="22" t="str">
        <f>IF(COUNTIFS('VS×ケイパビリティ関係'!$F$4:$F$494,$B19,'VS×ケイパビリティ関係'!$G$4:$G$494,G$5,'VS×ケイパビリティ関係'!$E$4:$E$494,"主")&gt;0,"●",IF(COUNTIFS('VS×ケイパビリティ関係'!$F$4:$F$494,$B19,'VS×ケイパビリティ関係'!$G$4:$G$494,G$5,'VS×ケイパビリティ関係'!$E$4:$E$494,"支援")&gt;0,"○",""))</f>
        <v/>
      </c>
      <c r="H19" s="22" t="str">
        <f>IF(COUNTIFS('VS×ケイパビリティ関係'!$F$4:$F$494,$B19,'VS×ケイパビリティ関係'!$G$4:$G$494,H$5,'VS×ケイパビリティ関係'!$E$4:$E$494,"主")&gt;0,"●",IF(COUNTIFS('VS×ケイパビリティ関係'!$F$4:$F$494,$B19,'VS×ケイパビリティ関係'!$G$4:$G$494,H$5,'VS×ケイパビリティ関係'!$E$4:$E$494,"支援")&gt;0,"○",""))</f>
        <v/>
      </c>
      <c r="I19" s="22" t="str">
        <f>IF(COUNTIFS('VS×ケイパビリティ関係'!$F$4:$F$494,$B19,'VS×ケイパビリティ関係'!$G$4:$G$494,I$5,'VS×ケイパビリティ関係'!$E$4:$E$494,"主")&gt;0,"●",IF(COUNTIFS('VS×ケイパビリティ関係'!$F$4:$F$494,$B19,'VS×ケイパビリティ関係'!$G$4:$G$494,I$5,'VS×ケイパビリティ関係'!$E$4:$E$494,"支援")&gt;0,"○",""))</f>
        <v/>
      </c>
      <c r="J19" s="22" t="str">
        <f>IF(COUNTIFS('VS×ケイパビリティ関係'!$F$4:$F$494,$B19,'VS×ケイパビリティ関係'!$G$4:$G$494,J$5,'VS×ケイパビリティ関係'!$E$4:$E$494,"主")&gt;0,"●",IF(COUNTIFS('VS×ケイパビリティ関係'!$F$4:$F$494,$B19,'VS×ケイパビリティ関係'!$G$4:$G$494,J$5,'VS×ケイパビリティ関係'!$E$4:$E$494,"支援")&gt;0,"○",""))</f>
        <v/>
      </c>
      <c r="K19" s="22" t="str">
        <f>IF(COUNTIFS('VS×ケイパビリティ関係'!$F$4:$F$494,$B19,'VS×ケイパビリティ関係'!$G$4:$G$494,K$5,'VS×ケイパビリティ関係'!$E$4:$E$494,"主")&gt;0,"●",IF(COUNTIFS('VS×ケイパビリティ関係'!$F$4:$F$494,$B19,'VS×ケイパビリティ関係'!$G$4:$G$494,K$5,'VS×ケイパビリティ関係'!$E$4:$E$494,"支援")&gt;0,"○",""))</f>
        <v/>
      </c>
      <c r="L19" s="22" t="str">
        <f>IF(COUNTIFS('VS×ケイパビリティ関係'!$F$4:$F$494,$B19,'VS×ケイパビリティ関係'!$G$4:$G$494,L$5,'VS×ケイパビリティ関係'!$E$4:$E$494,"主")&gt;0,"●",IF(COUNTIFS('VS×ケイパビリティ関係'!$F$4:$F$494,$B19,'VS×ケイパビリティ関係'!$G$4:$G$494,L$5,'VS×ケイパビリティ関係'!$E$4:$E$494,"支援")&gt;0,"○",""))</f>
        <v/>
      </c>
      <c r="M19" s="22" t="str">
        <f>IF(COUNTIFS('VS×ケイパビリティ関係'!$F$4:$F$494,$B19,'VS×ケイパビリティ関係'!$G$4:$G$494,M$5,'VS×ケイパビリティ関係'!$E$4:$E$494,"主")&gt;0,"●",IF(COUNTIFS('VS×ケイパビリティ関係'!$F$4:$F$494,$B19,'VS×ケイパビリティ関係'!$G$4:$G$494,M$5,'VS×ケイパビリティ関係'!$E$4:$E$494,"支援")&gt;0,"○",""))</f>
        <v/>
      </c>
      <c r="N19" s="22" t="str">
        <f>IF(COUNTIFS('VS×ケイパビリティ関係'!$F$4:$F$494,$B19,'VS×ケイパビリティ関係'!$G$4:$G$494,N$5,'VS×ケイパビリティ関係'!$E$4:$E$494,"主")&gt;0,"●",IF(COUNTIFS('VS×ケイパビリティ関係'!$F$4:$F$494,$B19,'VS×ケイパビリティ関係'!$G$4:$G$494,N$5,'VS×ケイパビリティ関係'!$E$4:$E$494,"支援")&gt;0,"○",""))</f>
        <v/>
      </c>
      <c r="O19" s="22" t="str">
        <f>IF(COUNTIFS('VS×ケイパビリティ関係'!$F$4:$F$494,$B19,'VS×ケイパビリティ関係'!$G$4:$G$494,O$5,'VS×ケイパビリティ関係'!$E$4:$E$494,"主")&gt;0,"●",IF(COUNTIFS('VS×ケイパビリティ関係'!$F$4:$F$494,$B19,'VS×ケイパビリティ関係'!$G$4:$G$494,O$5,'VS×ケイパビリティ関係'!$E$4:$E$494,"支援")&gt;0,"○",""))</f>
        <v/>
      </c>
      <c r="P19" s="22" t="str">
        <f>IF(COUNTIFS('VS×ケイパビリティ関係'!$F$4:$F$494,$B19,'VS×ケイパビリティ関係'!$G$4:$G$494,P$5,'VS×ケイパビリティ関係'!$E$4:$E$494,"主")&gt;0,"●",IF(COUNTIFS('VS×ケイパビリティ関係'!$F$4:$F$494,$B19,'VS×ケイパビリティ関係'!$G$4:$G$494,P$5,'VS×ケイパビリティ関係'!$E$4:$E$494,"支援")&gt;0,"○",""))</f>
        <v/>
      </c>
      <c r="Q19" s="22" t="str">
        <f>IF(COUNTIFS('VS×ケイパビリティ関係'!$F$4:$F$494,$B19,'VS×ケイパビリティ関係'!$G$4:$G$494,Q$5,'VS×ケイパビリティ関係'!$E$4:$E$494,"主")&gt;0,"●",IF(COUNTIFS('VS×ケイパビリティ関係'!$F$4:$F$494,$B19,'VS×ケイパビリティ関係'!$G$4:$G$494,Q$5,'VS×ケイパビリティ関係'!$E$4:$E$494,"支援")&gt;0,"○",""))</f>
        <v/>
      </c>
      <c r="R19" s="22" t="str">
        <f>IF(COUNTIFS('VS×ケイパビリティ関係'!$F$4:$F$494,$B19,'VS×ケイパビリティ関係'!$G$4:$G$494,R$5,'VS×ケイパビリティ関係'!$E$4:$E$494,"主")&gt;0,"●",IF(COUNTIFS('VS×ケイパビリティ関係'!$F$4:$F$494,$B19,'VS×ケイパビリティ関係'!$G$4:$G$494,R$5,'VS×ケイパビリティ関係'!$E$4:$E$494,"支援")&gt;0,"○",""))</f>
        <v/>
      </c>
      <c r="S19" s="22" t="str">
        <f>IF(COUNTIFS('VS×ケイパビリティ関係'!$F$4:$F$494,$B19,'VS×ケイパビリティ関係'!$G$4:$G$494,S$5,'VS×ケイパビリティ関係'!$E$4:$E$494,"主")&gt;0,"●",IF(COUNTIFS('VS×ケイパビリティ関係'!$F$4:$F$494,$B19,'VS×ケイパビリティ関係'!$G$4:$G$494,S$5,'VS×ケイパビリティ関係'!$E$4:$E$494,"支援")&gt;0,"○",""))</f>
        <v>●</v>
      </c>
      <c r="T19" s="22" t="str">
        <f>IF(COUNTIFS('VS×ケイパビリティ関係'!$F$4:$F$494,$B19,'VS×ケイパビリティ関係'!$G$4:$G$494,T$5,'VS×ケイパビリティ関係'!$E$4:$E$494,"主")&gt;0,"●",IF(COUNTIFS('VS×ケイパビリティ関係'!$F$4:$F$494,$B19,'VS×ケイパビリティ関係'!$G$4:$G$494,T$5,'VS×ケイパビリティ関係'!$E$4:$E$494,"支援")&gt;0,"○",""))</f>
        <v/>
      </c>
      <c r="U19" s="22" t="str">
        <f>IF(COUNTIFS('VS×ケイパビリティ関係'!$F$4:$F$494,$B19,'VS×ケイパビリティ関係'!$G$4:$G$494,U$5,'VS×ケイパビリティ関係'!$E$4:$E$494,"主")&gt;0,"●",IF(COUNTIFS('VS×ケイパビリティ関係'!$F$4:$F$494,$B19,'VS×ケイパビリティ関係'!$G$4:$G$494,U$5,'VS×ケイパビリティ関係'!$E$4:$E$494,"支援")&gt;0,"○",""))</f>
        <v/>
      </c>
      <c r="V19" s="22" t="str">
        <f>IF(COUNTIFS('VS×ケイパビリティ関係'!$F$4:$F$494,$B19,'VS×ケイパビリティ関係'!$G$4:$G$494,V$5,'VS×ケイパビリティ関係'!$E$4:$E$494,"主")&gt;0,"●",IF(COUNTIFS('VS×ケイパビリティ関係'!$F$4:$F$494,$B19,'VS×ケイパビリティ関係'!$G$4:$G$494,V$5,'VS×ケイパビリティ関係'!$E$4:$E$494,"支援")&gt;0,"○",""))</f>
        <v/>
      </c>
      <c r="W19" s="22" t="str">
        <f>IF(COUNTIFS('VS×ケイパビリティ関係'!$F$4:$F$494,$B19,'VS×ケイパビリティ関係'!$G$4:$G$494,W$5,'VS×ケイパビリティ関係'!$E$4:$E$494,"主")&gt;0,"●",IF(COUNTIFS('VS×ケイパビリティ関係'!$F$4:$F$494,$B19,'VS×ケイパビリティ関係'!$G$4:$G$494,W$5,'VS×ケイパビリティ関係'!$E$4:$E$494,"支援")&gt;0,"○",""))</f>
        <v/>
      </c>
      <c r="X19" s="22" t="str">
        <f>IF(COUNTIFS('VS×ケイパビリティ関係'!$F$4:$F$494,$B19,'VS×ケイパビリティ関係'!$G$4:$G$494,X$5,'VS×ケイパビリティ関係'!$E$4:$E$494,"主")&gt;0,"●",IF(COUNTIFS('VS×ケイパビリティ関係'!$F$4:$F$494,$B19,'VS×ケイパビリティ関係'!$G$4:$G$494,X$5,'VS×ケイパビリティ関係'!$E$4:$E$494,"支援")&gt;0,"○",""))</f>
        <v/>
      </c>
      <c r="Y19" s="22" t="str">
        <f>IF(COUNTIFS('VS×ケイパビリティ関係'!$F$4:$F$494,$B19,'VS×ケイパビリティ関係'!$G$4:$G$494,Y$5,'VS×ケイパビリティ関係'!$E$4:$E$494,"主")&gt;0,"●",IF(COUNTIFS('VS×ケイパビリティ関係'!$F$4:$F$494,$B19,'VS×ケイパビリティ関係'!$G$4:$G$494,Y$5,'VS×ケイパビリティ関係'!$E$4:$E$494,"支援")&gt;0,"○",""))</f>
        <v/>
      </c>
      <c r="Z19" s="22" t="str">
        <f>IF(COUNTIFS('VS×ケイパビリティ関係'!$F$4:$F$494,$B19,'VS×ケイパビリティ関係'!$G$4:$G$494,Z$5,'VS×ケイパビリティ関係'!$E$4:$E$494,"主")&gt;0,"●",IF(COUNTIFS('VS×ケイパビリティ関係'!$F$4:$F$494,$B19,'VS×ケイパビリティ関係'!$G$4:$G$494,Z$5,'VS×ケイパビリティ関係'!$E$4:$E$494,"支援")&gt;0,"○",""))</f>
        <v>●</v>
      </c>
      <c r="AA19" s="22" t="str">
        <f>IF(COUNTIFS('VS×ケイパビリティ関係'!$F$4:$F$494,$B19,'VS×ケイパビリティ関係'!$G$4:$G$494,AA$5,'VS×ケイパビリティ関係'!$E$4:$E$494,"主")&gt;0,"●",IF(COUNTIFS('VS×ケイパビリティ関係'!$F$4:$F$494,$B19,'VS×ケイパビリティ関係'!$G$4:$G$494,AA$5,'VS×ケイパビリティ関係'!$E$4:$E$494,"支援")&gt;0,"○",""))</f>
        <v/>
      </c>
      <c r="AB19" s="22" t="str">
        <f>IF(COUNTIFS('VS×ケイパビリティ関係'!$F$4:$F$494,$B19,'VS×ケイパビリティ関係'!$G$4:$G$494,AB$5,'VS×ケイパビリティ関係'!$E$4:$E$494,"主")&gt;0,"●",IF(COUNTIFS('VS×ケイパビリティ関係'!$F$4:$F$494,$B19,'VS×ケイパビリティ関係'!$G$4:$G$494,AB$5,'VS×ケイパビリティ関係'!$E$4:$E$494,"支援")&gt;0,"○",""))</f>
        <v/>
      </c>
      <c r="AC19" s="22" t="str">
        <f>IF(COUNTIFS('VS×ケイパビリティ関係'!$F$4:$F$494,$B19,'VS×ケイパビリティ関係'!$G$4:$G$494,AC$5,'VS×ケイパビリティ関係'!$E$4:$E$494,"主")&gt;0,"●",IF(COUNTIFS('VS×ケイパビリティ関係'!$F$4:$F$494,$B19,'VS×ケイパビリティ関係'!$G$4:$G$494,AC$5,'VS×ケイパビリティ関係'!$E$4:$E$494,"支援")&gt;0,"○",""))</f>
        <v/>
      </c>
      <c r="AD19" s="22" t="str">
        <f>IF(COUNTIFS('VS×ケイパビリティ関係'!$F$4:$F$494,$B19,'VS×ケイパビリティ関係'!$G$4:$G$494,AD$5,'VS×ケイパビリティ関係'!$E$4:$E$494,"主")&gt;0,"●",IF(COUNTIFS('VS×ケイパビリティ関係'!$F$4:$F$494,$B19,'VS×ケイパビリティ関係'!$G$4:$G$494,AD$5,'VS×ケイパビリティ関係'!$E$4:$E$494,"支援")&gt;0,"○",""))</f>
        <v/>
      </c>
      <c r="AE19" s="22" t="str">
        <f>IF(COUNTIFS('VS×ケイパビリティ関係'!$F$4:$F$494,$B19,'VS×ケイパビリティ関係'!$G$4:$G$494,AE$5,'VS×ケイパビリティ関係'!$E$4:$E$494,"主")&gt;0,"●",IF(COUNTIFS('VS×ケイパビリティ関係'!$F$4:$F$494,$B19,'VS×ケイパビリティ関係'!$G$4:$G$494,AE$5,'VS×ケイパビリティ関係'!$E$4:$E$494,"支援")&gt;0,"○",""))</f>
        <v>○</v>
      </c>
      <c r="AF19" s="22" t="str">
        <f>IF(COUNTIFS('VS×ケイパビリティ関係'!$F$4:$F$494,$B19,'VS×ケイパビリティ関係'!$G$4:$G$494,AF$5,'VS×ケイパビリティ関係'!$E$4:$E$494,"主")&gt;0,"●",IF(COUNTIFS('VS×ケイパビリティ関係'!$F$4:$F$494,$B19,'VS×ケイパビリティ関係'!$G$4:$G$494,AF$5,'VS×ケイパビリティ関係'!$E$4:$E$494,"支援")&gt;0,"○",""))</f>
        <v>●</v>
      </c>
      <c r="AG19" s="22" t="str">
        <f>IF(COUNTIFS('VS×ケイパビリティ関係'!$F$4:$F$494,$B19,'VS×ケイパビリティ関係'!$G$4:$G$494,AG$5,'VS×ケイパビリティ関係'!$E$4:$E$494,"主")&gt;0,"●",IF(COUNTIFS('VS×ケイパビリティ関係'!$F$4:$F$494,$B19,'VS×ケイパビリティ関係'!$G$4:$G$494,AG$5,'VS×ケイパビリティ関係'!$E$4:$E$494,"支援")&gt;0,"○",""))</f>
        <v>●</v>
      </c>
      <c r="AH19" s="22" t="str">
        <f>IF(COUNTIFS('VS×ケイパビリティ関係'!$F$4:$F$494,$B19,'VS×ケイパビリティ関係'!$G$4:$G$494,AH$5,'VS×ケイパビリティ関係'!$E$4:$E$494,"主")&gt;0,"●",IF(COUNTIFS('VS×ケイパビリティ関係'!$F$4:$F$494,$B19,'VS×ケイパビリティ関係'!$G$4:$G$494,AH$5,'VS×ケイパビリティ関係'!$E$4:$E$494,"支援")&gt;0,"○",""))</f>
        <v/>
      </c>
      <c r="AI19" s="22" t="str">
        <f>IF(COUNTIFS('VS×ケイパビリティ関係'!$F$4:$F$494,$B19,'VS×ケイパビリティ関係'!$G$4:$G$494,AI$5,'VS×ケイパビリティ関係'!$E$4:$E$494,"主")&gt;0,"●",IF(COUNTIFS('VS×ケイパビリティ関係'!$F$4:$F$494,$B19,'VS×ケイパビリティ関係'!$G$4:$G$494,AI$5,'VS×ケイパビリティ関係'!$E$4:$E$494,"支援")&gt;0,"○",""))</f>
        <v>●</v>
      </c>
      <c r="AJ19" s="22" t="str">
        <f>IF(COUNTIFS('VS×ケイパビリティ関係'!$F$4:$F$494,$B19,'VS×ケイパビリティ関係'!$G$4:$G$494,AJ$5,'VS×ケイパビリティ関係'!$E$4:$E$494,"主")&gt;0,"●",IF(COUNTIFS('VS×ケイパビリティ関係'!$F$4:$F$494,$B19,'VS×ケイパビリティ関係'!$G$4:$G$494,AJ$5,'VS×ケイパビリティ関係'!$E$4:$E$494,"支援")&gt;0,"○",""))</f>
        <v>●</v>
      </c>
      <c r="AK19" s="22" t="str">
        <f>IF(COUNTIFS('VS×ケイパビリティ関係'!$F$4:$F$494,$B19,'VS×ケイパビリティ関係'!$G$4:$G$494,AK$5,'VS×ケイパビリティ関係'!$E$4:$E$494,"主")&gt;0,"●",IF(COUNTIFS('VS×ケイパビリティ関係'!$F$4:$F$494,$B19,'VS×ケイパビリティ関係'!$G$4:$G$494,AK$5,'VS×ケイパビリティ関係'!$E$4:$E$494,"支援")&gt;0,"○",""))</f>
        <v/>
      </c>
      <c r="AL19" s="22" t="str">
        <f>IF(COUNTIFS('VS×ケイパビリティ関係'!$F$4:$F$494,$B19,'VS×ケイパビリティ関係'!$G$4:$G$494,AL$5,'VS×ケイパビリティ関係'!$E$4:$E$494,"主")&gt;0,"●",IF(COUNTIFS('VS×ケイパビリティ関係'!$F$4:$F$494,$B19,'VS×ケイパビリティ関係'!$G$4:$G$494,AL$5,'VS×ケイパビリティ関係'!$E$4:$E$494,"支援")&gt;0,"○",""))</f>
        <v/>
      </c>
      <c r="AM19" s="22" t="str">
        <f>IF(COUNTIFS('VS×ケイパビリティ関係'!$F$4:$F$494,$B19,'VS×ケイパビリティ関係'!$G$4:$G$494,AM$5,'VS×ケイパビリティ関係'!$E$4:$E$494,"主")&gt;0,"●",IF(COUNTIFS('VS×ケイパビリティ関係'!$F$4:$F$494,$B19,'VS×ケイパビリティ関係'!$G$4:$G$494,AM$5,'VS×ケイパビリティ関係'!$E$4:$E$494,"支援")&gt;0,"○",""))</f>
        <v/>
      </c>
      <c r="AN19" s="22" t="str">
        <f>IF(COUNTIFS('VS×ケイパビリティ関係'!$F$4:$F$494,$B19,'VS×ケイパビリティ関係'!$G$4:$G$494,AN$5,'VS×ケイパビリティ関係'!$E$4:$E$494,"主")&gt;0,"●",IF(COUNTIFS('VS×ケイパビリティ関係'!$F$4:$F$494,$B19,'VS×ケイパビリティ関係'!$G$4:$G$494,AN$5,'VS×ケイパビリティ関係'!$E$4:$E$494,"支援")&gt;0,"○",""))</f>
        <v/>
      </c>
      <c r="AO19" s="22" t="str">
        <f>IF(COUNTIFS('VS×ケイパビリティ関係'!$F$4:$F$494,$B19,'VS×ケイパビリティ関係'!$G$4:$G$494,AO$5,'VS×ケイパビリティ関係'!$E$4:$E$494,"主")&gt;0,"●",IF(COUNTIFS('VS×ケイパビリティ関係'!$F$4:$F$494,$B19,'VS×ケイパビリティ関係'!$G$4:$G$494,AO$5,'VS×ケイパビリティ関係'!$E$4:$E$494,"支援")&gt;0,"○",""))</f>
        <v/>
      </c>
      <c r="AP19" s="22" t="str">
        <f>IF(COUNTIFS('VS×ケイパビリティ関係'!$F$4:$F$494,$B19,'VS×ケイパビリティ関係'!$G$4:$G$494,AP$5,'VS×ケイパビリティ関係'!$E$4:$E$494,"主")&gt;0,"●",IF(COUNTIFS('VS×ケイパビリティ関係'!$F$4:$F$494,$B19,'VS×ケイパビリティ関係'!$G$4:$G$494,AP$5,'VS×ケイパビリティ関係'!$E$4:$E$494,"支援")&gt;0,"○",""))</f>
        <v/>
      </c>
      <c r="AQ19" s="22" t="str">
        <f>IF(COUNTIFS('VS×ケイパビリティ関係'!$F$4:$F$494,$B19,'VS×ケイパビリティ関係'!$G$4:$G$494,AQ$5,'VS×ケイパビリティ関係'!$E$4:$E$494,"主")&gt;0,"●",IF(COUNTIFS('VS×ケイパビリティ関係'!$F$4:$F$494,$B19,'VS×ケイパビリティ関係'!$G$4:$G$494,AQ$5,'VS×ケイパビリティ関係'!$E$4:$E$494,"支援")&gt;0,"○",""))</f>
        <v/>
      </c>
      <c r="AR19" s="22" t="str">
        <f>IF(COUNTIFS('VS×ケイパビリティ関係'!$F$4:$F$494,$B19,'VS×ケイパビリティ関係'!$G$4:$G$494,AR$5,'VS×ケイパビリティ関係'!$E$4:$E$494,"主")&gt;0,"●",IF(COUNTIFS('VS×ケイパビリティ関係'!$F$4:$F$494,$B19,'VS×ケイパビリティ関係'!$G$4:$G$494,AR$5,'VS×ケイパビリティ関係'!$E$4:$E$494,"支援")&gt;0,"○",""))</f>
        <v/>
      </c>
      <c r="AS19" s="22" t="str">
        <f>IF(COUNTIFS('VS×ケイパビリティ関係'!$F$4:$F$494,$B19,'VS×ケイパビリティ関係'!$G$4:$G$494,AS$5,'VS×ケイパビリティ関係'!$E$4:$E$494,"主")&gt;0,"●",IF(COUNTIFS('VS×ケイパビリティ関係'!$F$4:$F$494,$B19,'VS×ケイパビリティ関係'!$G$4:$G$494,AS$5,'VS×ケイパビリティ関係'!$E$4:$E$494,"支援")&gt;0,"○",""))</f>
        <v/>
      </c>
      <c r="AT19" s="22" t="str">
        <f>IF(COUNTIFS('VS×ケイパビリティ関係'!$F$4:$F$494,$B19,'VS×ケイパビリティ関係'!$G$4:$G$494,AT$5,'VS×ケイパビリティ関係'!$E$4:$E$494,"主")&gt;0,"●",IF(COUNTIFS('VS×ケイパビリティ関係'!$F$4:$F$494,$B19,'VS×ケイパビリティ関係'!$G$4:$G$494,AT$5,'VS×ケイパビリティ関係'!$E$4:$E$494,"支援")&gt;0,"○",""))</f>
        <v/>
      </c>
      <c r="AU19" s="22" t="str">
        <f>IF(COUNTIFS('VS×ケイパビリティ関係'!$F$4:$F$494,$B19,'VS×ケイパビリティ関係'!$G$4:$G$494,AU$5,'VS×ケイパビリティ関係'!$E$4:$E$494,"主")&gt;0,"●",IF(COUNTIFS('VS×ケイパビリティ関係'!$F$4:$F$494,$B19,'VS×ケイパビリティ関係'!$G$4:$G$494,AU$5,'VS×ケイパビリティ関係'!$E$4:$E$494,"支援")&gt;0,"○",""))</f>
        <v/>
      </c>
      <c r="AV19" s="22" t="str">
        <f>IF(COUNTIFS('VS×ケイパビリティ関係'!$F$4:$F$494,$B19,'VS×ケイパビリティ関係'!$G$4:$G$494,AV$5,'VS×ケイパビリティ関係'!$E$4:$E$494,"主")&gt;0,"●",IF(COUNTIFS('VS×ケイパビリティ関係'!$F$4:$F$494,$B19,'VS×ケイパビリティ関係'!$G$4:$G$494,AV$5,'VS×ケイパビリティ関係'!$E$4:$E$494,"支援")&gt;0,"○",""))</f>
        <v/>
      </c>
      <c r="AW19" s="22" t="str">
        <f>IF(COUNTIFS('VS×ケイパビリティ関係'!$F$4:$F$494,$B19,'VS×ケイパビリティ関係'!$G$4:$G$494,AW$5,'VS×ケイパビリティ関係'!$E$4:$E$494,"主")&gt;0,"●",IF(COUNTIFS('VS×ケイパビリティ関係'!$F$4:$F$494,$B19,'VS×ケイパビリティ関係'!$G$4:$G$494,AW$5,'VS×ケイパビリティ関係'!$E$4:$E$494,"支援")&gt;0,"○",""))</f>
        <v/>
      </c>
      <c r="AX19" s="22" t="str">
        <f>IF(COUNTIFS('VS×ケイパビリティ関係'!$F$4:$F$494,$B19,'VS×ケイパビリティ関係'!$G$4:$G$494,AX$5,'VS×ケイパビリティ関係'!$E$4:$E$494,"主")&gt;0,"●",IF(COUNTIFS('VS×ケイパビリティ関係'!$F$4:$F$494,$B19,'VS×ケイパビリティ関係'!$G$4:$G$494,AX$5,'VS×ケイパビリティ関係'!$E$4:$E$494,"支援")&gt;0,"○",""))</f>
        <v/>
      </c>
      <c r="AY19" s="22" t="str">
        <f>IF(COUNTIFS('VS×ケイパビリティ関係'!$F$4:$F$494,$B19,'VS×ケイパビリティ関係'!$G$4:$G$494,AY$5,'VS×ケイパビリティ関係'!$E$4:$E$494,"主")&gt;0,"●",IF(COUNTIFS('VS×ケイパビリティ関係'!$F$4:$F$494,$B19,'VS×ケイパビリティ関係'!$G$4:$G$494,AY$5,'VS×ケイパビリティ関係'!$E$4:$E$494,"支援")&gt;0,"○",""))</f>
        <v/>
      </c>
      <c r="AZ19" s="22" t="str">
        <f>IF(COUNTIFS('VS×ケイパビリティ関係'!$F$4:$F$494,$B19,'VS×ケイパビリティ関係'!$G$4:$G$494,AZ$5,'VS×ケイパビリティ関係'!$E$4:$E$494,"主")&gt;0,"●",IF(COUNTIFS('VS×ケイパビリティ関係'!$F$4:$F$494,$B19,'VS×ケイパビリティ関係'!$G$4:$G$494,AZ$5,'VS×ケイパビリティ関係'!$E$4:$E$494,"支援")&gt;0,"○",""))</f>
        <v/>
      </c>
      <c r="BA19" s="22" t="str">
        <f>IF(COUNTIFS('VS×ケイパビリティ関係'!$F$4:$F$494,$B19,'VS×ケイパビリティ関係'!$G$4:$G$494,BA$5,'VS×ケイパビリティ関係'!$E$4:$E$494,"主")&gt;0,"●",IF(COUNTIFS('VS×ケイパビリティ関係'!$F$4:$F$494,$B19,'VS×ケイパビリティ関係'!$G$4:$G$494,BA$5,'VS×ケイパビリティ関係'!$E$4:$E$494,"支援")&gt;0,"○",""))</f>
        <v/>
      </c>
      <c r="BB19" s="22" t="str">
        <f>IF(COUNTIFS('VS×ケイパビリティ関係'!$F$4:$F$494,$B19,'VS×ケイパビリティ関係'!$G$4:$G$494,BB$5,'VS×ケイパビリティ関係'!$E$4:$E$494,"主")&gt;0,"●",IF(COUNTIFS('VS×ケイパビリティ関係'!$F$4:$F$494,$B19,'VS×ケイパビリティ関係'!$G$4:$G$494,BB$5,'VS×ケイパビリティ関係'!$E$4:$E$494,"支援")&gt;0,"○",""))</f>
        <v/>
      </c>
      <c r="BC19" s="22" t="str">
        <f>IF(COUNTIFS('VS×ケイパビリティ関係'!$F$4:$F$494,$B19,'VS×ケイパビリティ関係'!$G$4:$G$494,BC$5,'VS×ケイパビリティ関係'!$E$4:$E$494,"主")&gt;0,"●",IF(COUNTIFS('VS×ケイパビリティ関係'!$F$4:$F$494,$B19,'VS×ケイパビリティ関係'!$G$4:$G$494,BC$5,'VS×ケイパビリティ関係'!$E$4:$E$494,"支援")&gt;0,"○",""))</f>
        <v/>
      </c>
      <c r="BD19" s="22" t="str">
        <f>IF(COUNTIFS('VS×ケイパビリティ関係'!$F$4:$F$494,$B19,'VS×ケイパビリティ関係'!$G$4:$G$494,BD$5,'VS×ケイパビリティ関係'!$E$4:$E$494,"主")&gt;0,"●",IF(COUNTIFS('VS×ケイパビリティ関係'!$F$4:$F$494,$B19,'VS×ケイパビリティ関係'!$G$4:$G$494,BD$5,'VS×ケイパビリティ関係'!$E$4:$E$494,"支援")&gt;0,"○",""))</f>
        <v/>
      </c>
      <c r="BE19" s="22">
        <f t="shared" si="1"/>
        <v>6</v>
      </c>
      <c r="BF19" s="22">
        <f t="shared" si="2"/>
        <v>2</v>
      </c>
    </row>
    <row r="20" ht="26.25" customHeight="1">
      <c r="A20" s="42"/>
      <c r="B20" s="22" t="s">
        <v>1215</v>
      </c>
      <c r="C20" s="25" t="s">
        <v>1216</v>
      </c>
      <c r="D20" s="22" t="str">
        <f>IF(COUNTIFS('VS×ケイパビリティ関係'!$F$4:$F$494,$B20,'VS×ケイパビリティ関係'!$G$4:$G$494,D$5,'VS×ケイパビリティ関係'!$E$4:$E$494,"主")&gt;0,"●",IF(COUNTIFS('VS×ケイパビリティ関係'!$F$4:$F$494,$B20,'VS×ケイパビリティ関係'!$G$4:$G$494,D$5,'VS×ケイパビリティ関係'!$E$4:$E$494,"支援")&gt;0,"○",""))</f>
        <v/>
      </c>
      <c r="E20" s="22" t="str">
        <f>IF(COUNTIFS('VS×ケイパビリティ関係'!$F$4:$F$494,$B20,'VS×ケイパビリティ関係'!$G$4:$G$494,E$5,'VS×ケイパビリティ関係'!$E$4:$E$494,"主")&gt;0,"●",IF(COUNTIFS('VS×ケイパビリティ関係'!$F$4:$F$494,$B20,'VS×ケイパビリティ関係'!$G$4:$G$494,E$5,'VS×ケイパビリティ関係'!$E$4:$E$494,"支援")&gt;0,"○",""))</f>
        <v/>
      </c>
      <c r="F20" s="22" t="str">
        <f>IF(COUNTIFS('VS×ケイパビリティ関係'!$F$4:$F$494,$B20,'VS×ケイパビリティ関係'!$G$4:$G$494,F$5,'VS×ケイパビリティ関係'!$E$4:$E$494,"主")&gt;0,"●",IF(COUNTIFS('VS×ケイパビリティ関係'!$F$4:$F$494,$B20,'VS×ケイパビリティ関係'!$G$4:$G$494,F$5,'VS×ケイパビリティ関係'!$E$4:$E$494,"支援")&gt;0,"○",""))</f>
        <v>○</v>
      </c>
      <c r="G20" s="22" t="str">
        <f>IF(COUNTIFS('VS×ケイパビリティ関係'!$F$4:$F$494,$B20,'VS×ケイパビリティ関係'!$G$4:$G$494,G$5,'VS×ケイパビリティ関係'!$E$4:$E$494,"主")&gt;0,"●",IF(COUNTIFS('VS×ケイパビリティ関係'!$F$4:$F$494,$B20,'VS×ケイパビリティ関係'!$G$4:$G$494,G$5,'VS×ケイパビリティ関係'!$E$4:$E$494,"支援")&gt;0,"○",""))</f>
        <v/>
      </c>
      <c r="H20" s="22" t="str">
        <f>IF(COUNTIFS('VS×ケイパビリティ関係'!$F$4:$F$494,$B20,'VS×ケイパビリティ関係'!$G$4:$G$494,H$5,'VS×ケイパビリティ関係'!$E$4:$E$494,"主")&gt;0,"●",IF(COUNTIFS('VS×ケイパビリティ関係'!$F$4:$F$494,$B20,'VS×ケイパビリティ関係'!$G$4:$G$494,H$5,'VS×ケイパビリティ関係'!$E$4:$E$494,"支援")&gt;0,"○",""))</f>
        <v/>
      </c>
      <c r="I20" s="22" t="str">
        <f>IF(COUNTIFS('VS×ケイパビリティ関係'!$F$4:$F$494,$B20,'VS×ケイパビリティ関係'!$G$4:$G$494,I$5,'VS×ケイパビリティ関係'!$E$4:$E$494,"主")&gt;0,"●",IF(COUNTIFS('VS×ケイパビリティ関係'!$F$4:$F$494,$B20,'VS×ケイパビリティ関係'!$G$4:$G$494,I$5,'VS×ケイパビリティ関係'!$E$4:$E$494,"支援")&gt;0,"○",""))</f>
        <v/>
      </c>
      <c r="J20" s="22" t="str">
        <f>IF(COUNTIFS('VS×ケイパビリティ関係'!$F$4:$F$494,$B20,'VS×ケイパビリティ関係'!$G$4:$G$494,J$5,'VS×ケイパビリティ関係'!$E$4:$E$494,"主")&gt;0,"●",IF(COUNTIFS('VS×ケイパビリティ関係'!$F$4:$F$494,$B20,'VS×ケイパビリティ関係'!$G$4:$G$494,J$5,'VS×ケイパビリティ関係'!$E$4:$E$494,"支援")&gt;0,"○",""))</f>
        <v/>
      </c>
      <c r="K20" s="22" t="str">
        <f>IF(COUNTIFS('VS×ケイパビリティ関係'!$F$4:$F$494,$B20,'VS×ケイパビリティ関係'!$G$4:$G$494,K$5,'VS×ケイパビリティ関係'!$E$4:$E$494,"主")&gt;0,"●",IF(COUNTIFS('VS×ケイパビリティ関係'!$F$4:$F$494,$B20,'VS×ケイパビリティ関係'!$G$4:$G$494,K$5,'VS×ケイパビリティ関係'!$E$4:$E$494,"支援")&gt;0,"○",""))</f>
        <v/>
      </c>
      <c r="L20" s="22" t="str">
        <f>IF(COUNTIFS('VS×ケイパビリティ関係'!$F$4:$F$494,$B20,'VS×ケイパビリティ関係'!$G$4:$G$494,L$5,'VS×ケイパビリティ関係'!$E$4:$E$494,"主")&gt;0,"●",IF(COUNTIFS('VS×ケイパビリティ関係'!$F$4:$F$494,$B20,'VS×ケイパビリティ関係'!$G$4:$G$494,L$5,'VS×ケイパビリティ関係'!$E$4:$E$494,"支援")&gt;0,"○",""))</f>
        <v/>
      </c>
      <c r="M20" s="22" t="str">
        <f>IF(COUNTIFS('VS×ケイパビリティ関係'!$F$4:$F$494,$B20,'VS×ケイパビリティ関係'!$G$4:$G$494,M$5,'VS×ケイパビリティ関係'!$E$4:$E$494,"主")&gt;0,"●",IF(COUNTIFS('VS×ケイパビリティ関係'!$F$4:$F$494,$B20,'VS×ケイパビリティ関係'!$G$4:$G$494,M$5,'VS×ケイパビリティ関係'!$E$4:$E$494,"支援")&gt;0,"○",""))</f>
        <v/>
      </c>
      <c r="N20" s="22" t="str">
        <f>IF(COUNTIFS('VS×ケイパビリティ関係'!$F$4:$F$494,$B20,'VS×ケイパビリティ関係'!$G$4:$G$494,N$5,'VS×ケイパビリティ関係'!$E$4:$E$494,"主")&gt;0,"●",IF(COUNTIFS('VS×ケイパビリティ関係'!$F$4:$F$494,$B20,'VS×ケイパビリティ関係'!$G$4:$G$494,N$5,'VS×ケイパビリティ関係'!$E$4:$E$494,"支援")&gt;0,"○",""))</f>
        <v/>
      </c>
      <c r="O20" s="22" t="str">
        <f>IF(COUNTIFS('VS×ケイパビリティ関係'!$F$4:$F$494,$B20,'VS×ケイパビリティ関係'!$G$4:$G$494,O$5,'VS×ケイパビリティ関係'!$E$4:$E$494,"主")&gt;0,"●",IF(COUNTIFS('VS×ケイパビリティ関係'!$F$4:$F$494,$B20,'VS×ケイパビリティ関係'!$G$4:$G$494,O$5,'VS×ケイパビリティ関係'!$E$4:$E$494,"支援")&gt;0,"○",""))</f>
        <v/>
      </c>
      <c r="P20" s="22" t="str">
        <f>IF(COUNTIFS('VS×ケイパビリティ関係'!$F$4:$F$494,$B20,'VS×ケイパビリティ関係'!$G$4:$G$494,P$5,'VS×ケイパビリティ関係'!$E$4:$E$494,"主")&gt;0,"●",IF(COUNTIFS('VS×ケイパビリティ関係'!$F$4:$F$494,$B20,'VS×ケイパビリティ関係'!$G$4:$G$494,P$5,'VS×ケイパビリティ関係'!$E$4:$E$494,"支援")&gt;0,"○",""))</f>
        <v/>
      </c>
      <c r="Q20" s="22" t="str">
        <f>IF(COUNTIFS('VS×ケイパビリティ関係'!$F$4:$F$494,$B20,'VS×ケイパビリティ関係'!$G$4:$G$494,Q$5,'VS×ケイパビリティ関係'!$E$4:$E$494,"主")&gt;0,"●",IF(COUNTIFS('VS×ケイパビリティ関係'!$F$4:$F$494,$B20,'VS×ケイパビリティ関係'!$G$4:$G$494,Q$5,'VS×ケイパビリティ関係'!$E$4:$E$494,"支援")&gt;0,"○",""))</f>
        <v>●</v>
      </c>
      <c r="R20" s="22" t="str">
        <f>IF(COUNTIFS('VS×ケイパビリティ関係'!$F$4:$F$494,$B20,'VS×ケイパビリティ関係'!$G$4:$G$494,R$5,'VS×ケイパビリティ関係'!$E$4:$E$494,"主")&gt;0,"●",IF(COUNTIFS('VS×ケイパビリティ関係'!$F$4:$F$494,$B20,'VS×ケイパビリティ関係'!$G$4:$G$494,R$5,'VS×ケイパビリティ関係'!$E$4:$E$494,"支援")&gt;0,"○",""))</f>
        <v/>
      </c>
      <c r="S20" s="22" t="str">
        <f>IF(COUNTIFS('VS×ケイパビリティ関係'!$F$4:$F$494,$B20,'VS×ケイパビリティ関係'!$G$4:$G$494,S$5,'VS×ケイパビリティ関係'!$E$4:$E$494,"主")&gt;0,"●",IF(COUNTIFS('VS×ケイパビリティ関係'!$F$4:$F$494,$B20,'VS×ケイパビリティ関係'!$G$4:$G$494,S$5,'VS×ケイパビリティ関係'!$E$4:$E$494,"支援")&gt;0,"○",""))</f>
        <v>○</v>
      </c>
      <c r="T20" s="22" t="str">
        <f>IF(COUNTIFS('VS×ケイパビリティ関係'!$F$4:$F$494,$B20,'VS×ケイパビリティ関係'!$G$4:$G$494,T$5,'VS×ケイパビリティ関係'!$E$4:$E$494,"主")&gt;0,"●",IF(COUNTIFS('VS×ケイパビリティ関係'!$F$4:$F$494,$B20,'VS×ケイパビリティ関係'!$G$4:$G$494,T$5,'VS×ケイパビリティ関係'!$E$4:$E$494,"支援")&gt;0,"○",""))</f>
        <v>●</v>
      </c>
      <c r="U20" s="22" t="str">
        <f>IF(COUNTIFS('VS×ケイパビリティ関係'!$F$4:$F$494,$B20,'VS×ケイパビリティ関係'!$G$4:$G$494,U$5,'VS×ケイパビリティ関係'!$E$4:$E$494,"主")&gt;0,"●",IF(COUNTIFS('VS×ケイパビリティ関係'!$F$4:$F$494,$B20,'VS×ケイパビリティ関係'!$G$4:$G$494,U$5,'VS×ケイパビリティ関係'!$E$4:$E$494,"支援")&gt;0,"○",""))</f>
        <v/>
      </c>
      <c r="V20" s="22" t="str">
        <f>IF(COUNTIFS('VS×ケイパビリティ関係'!$F$4:$F$494,$B20,'VS×ケイパビリティ関係'!$G$4:$G$494,V$5,'VS×ケイパビリティ関係'!$E$4:$E$494,"主")&gt;0,"●",IF(COUNTIFS('VS×ケイパビリティ関係'!$F$4:$F$494,$B20,'VS×ケイパビリティ関係'!$G$4:$G$494,V$5,'VS×ケイパビリティ関係'!$E$4:$E$494,"支援")&gt;0,"○",""))</f>
        <v>○</v>
      </c>
      <c r="W20" s="22" t="str">
        <f>IF(COUNTIFS('VS×ケイパビリティ関係'!$F$4:$F$494,$B20,'VS×ケイパビリティ関係'!$G$4:$G$494,W$5,'VS×ケイパビリティ関係'!$E$4:$E$494,"主")&gt;0,"●",IF(COUNTIFS('VS×ケイパビリティ関係'!$F$4:$F$494,$B20,'VS×ケイパビリティ関係'!$G$4:$G$494,W$5,'VS×ケイパビリティ関係'!$E$4:$E$494,"支援")&gt;0,"○",""))</f>
        <v/>
      </c>
      <c r="X20" s="22" t="str">
        <f>IF(COUNTIFS('VS×ケイパビリティ関係'!$F$4:$F$494,$B20,'VS×ケイパビリティ関係'!$G$4:$G$494,X$5,'VS×ケイパビリティ関係'!$E$4:$E$494,"主")&gt;0,"●",IF(COUNTIFS('VS×ケイパビリティ関係'!$F$4:$F$494,$B20,'VS×ケイパビリティ関係'!$G$4:$G$494,X$5,'VS×ケイパビリティ関係'!$E$4:$E$494,"支援")&gt;0,"○",""))</f>
        <v/>
      </c>
      <c r="Y20" s="22" t="str">
        <f>IF(COUNTIFS('VS×ケイパビリティ関係'!$F$4:$F$494,$B20,'VS×ケイパビリティ関係'!$G$4:$G$494,Y$5,'VS×ケイパビリティ関係'!$E$4:$E$494,"主")&gt;0,"●",IF(COUNTIFS('VS×ケイパビリティ関係'!$F$4:$F$494,$B20,'VS×ケイパビリティ関係'!$G$4:$G$494,Y$5,'VS×ケイパビリティ関係'!$E$4:$E$494,"支援")&gt;0,"○",""))</f>
        <v/>
      </c>
      <c r="Z20" s="22" t="str">
        <f>IF(COUNTIFS('VS×ケイパビリティ関係'!$F$4:$F$494,$B20,'VS×ケイパビリティ関係'!$G$4:$G$494,Z$5,'VS×ケイパビリティ関係'!$E$4:$E$494,"主")&gt;0,"●",IF(COUNTIFS('VS×ケイパビリティ関係'!$F$4:$F$494,$B20,'VS×ケイパビリティ関係'!$G$4:$G$494,Z$5,'VS×ケイパビリティ関係'!$E$4:$E$494,"支援")&gt;0,"○",""))</f>
        <v/>
      </c>
      <c r="AA20" s="22" t="str">
        <f>IF(COUNTIFS('VS×ケイパビリティ関係'!$F$4:$F$494,$B20,'VS×ケイパビリティ関係'!$G$4:$G$494,AA$5,'VS×ケイパビリティ関係'!$E$4:$E$494,"主")&gt;0,"●",IF(COUNTIFS('VS×ケイパビリティ関係'!$F$4:$F$494,$B20,'VS×ケイパビリティ関係'!$G$4:$G$494,AA$5,'VS×ケイパビリティ関係'!$E$4:$E$494,"支援")&gt;0,"○",""))</f>
        <v/>
      </c>
      <c r="AB20" s="22" t="str">
        <f>IF(COUNTIFS('VS×ケイパビリティ関係'!$F$4:$F$494,$B20,'VS×ケイパビリティ関係'!$G$4:$G$494,AB$5,'VS×ケイパビリティ関係'!$E$4:$E$494,"主")&gt;0,"●",IF(COUNTIFS('VS×ケイパビリティ関係'!$F$4:$F$494,$B20,'VS×ケイパビリティ関係'!$G$4:$G$494,AB$5,'VS×ケイパビリティ関係'!$E$4:$E$494,"支援")&gt;0,"○",""))</f>
        <v/>
      </c>
      <c r="AC20" s="22" t="str">
        <f>IF(COUNTIFS('VS×ケイパビリティ関係'!$F$4:$F$494,$B20,'VS×ケイパビリティ関係'!$G$4:$G$494,AC$5,'VS×ケイパビリティ関係'!$E$4:$E$494,"主")&gt;0,"●",IF(COUNTIFS('VS×ケイパビリティ関係'!$F$4:$F$494,$B20,'VS×ケイパビリティ関係'!$G$4:$G$494,AC$5,'VS×ケイパビリティ関係'!$E$4:$E$494,"支援")&gt;0,"○",""))</f>
        <v/>
      </c>
      <c r="AD20" s="22" t="str">
        <f>IF(COUNTIFS('VS×ケイパビリティ関係'!$F$4:$F$494,$B20,'VS×ケイパビリティ関係'!$G$4:$G$494,AD$5,'VS×ケイパビリティ関係'!$E$4:$E$494,"主")&gt;0,"●",IF(COUNTIFS('VS×ケイパビリティ関係'!$F$4:$F$494,$B20,'VS×ケイパビリティ関係'!$G$4:$G$494,AD$5,'VS×ケイパビリティ関係'!$E$4:$E$494,"支援")&gt;0,"○",""))</f>
        <v/>
      </c>
      <c r="AE20" s="22" t="str">
        <f>IF(COUNTIFS('VS×ケイパビリティ関係'!$F$4:$F$494,$B20,'VS×ケイパビリティ関係'!$G$4:$G$494,AE$5,'VS×ケイパビリティ関係'!$E$4:$E$494,"主")&gt;0,"●",IF(COUNTIFS('VS×ケイパビリティ関係'!$F$4:$F$494,$B20,'VS×ケイパビリティ関係'!$G$4:$G$494,AE$5,'VS×ケイパビリティ関係'!$E$4:$E$494,"支援")&gt;0,"○",""))</f>
        <v/>
      </c>
      <c r="AF20" s="22" t="str">
        <f>IF(COUNTIFS('VS×ケイパビリティ関係'!$F$4:$F$494,$B20,'VS×ケイパビリティ関係'!$G$4:$G$494,AF$5,'VS×ケイパビリティ関係'!$E$4:$E$494,"主")&gt;0,"●",IF(COUNTIFS('VS×ケイパビリティ関係'!$F$4:$F$494,$B20,'VS×ケイパビリティ関係'!$G$4:$G$494,AF$5,'VS×ケイパビリティ関係'!$E$4:$E$494,"支援")&gt;0,"○",""))</f>
        <v/>
      </c>
      <c r="AG20" s="22" t="str">
        <f>IF(COUNTIFS('VS×ケイパビリティ関係'!$F$4:$F$494,$B20,'VS×ケイパビリティ関係'!$G$4:$G$494,AG$5,'VS×ケイパビリティ関係'!$E$4:$E$494,"主")&gt;0,"●",IF(COUNTIFS('VS×ケイパビリティ関係'!$F$4:$F$494,$B20,'VS×ケイパビリティ関係'!$G$4:$G$494,AG$5,'VS×ケイパビリティ関係'!$E$4:$E$494,"支援")&gt;0,"○",""))</f>
        <v/>
      </c>
      <c r="AH20" s="22" t="str">
        <f>IF(COUNTIFS('VS×ケイパビリティ関係'!$F$4:$F$494,$B20,'VS×ケイパビリティ関係'!$G$4:$G$494,AH$5,'VS×ケイパビリティ関係'!$E$4:$E$494,"主")&gt;0,"●",IF(COUNTIFS('VS×ケイパビリティ関係'!$F$4:$F$494,$B20,'VS×ケイパビリティ関係'!$G$4:$G$494,AH$5,'VS×ケイパビリティ関係'!$E$4:$E$494,"支援")&gt;0,"○",""))</f>
        <v/>
      </c>
      <c r="AI20" s="22" t="str">
        <f>IF(COUNTIFS('VS×ケイパビリティ関係'!$F$4:$F$494,$B20,'VS×ケイパビリティ関係'!$G$4:$G$494,AI$5,'VS×ケイパビリティ関係'!$E$4:$E$494,"主")&gt;0,"●",IF(COUNTIFS('VS×ケイパビリティ関係'!$F$4:$F$494,$B20,'VS×ケイパビリティ関係'!$G$4:$G$494,AI$5,'VS×ケイパビリティ関係'!$E$4:$E$494,"支援")&gt;0,"○",""))</f>
        <v/>
      </c>
      <c r="AJ20" s="22" t="str">
        <f>IF(COUNTIFS('VS×ケイパビリティ関係'!$F$4:$F$494,$B20,'VS×ケイパビリティ関係'!$G$4:$G$494,AJ$5,'VS×ケイパビリティ関係'!$E$4:$E$494,"主")&gt;0,"●",IF(COUNTIFS('VS×ケイパビリティ関係'!$F$4:$F$494,$B20,'VS×ケイパビリティ関係'!$G$4:$G$494,AJ$5,'VS×ケイパビリティ関係'!$E$4:$E$494,"支援")&gt;0,"○",""))</f>
        <v/>
      </c>
      <c r="AK20" s="22" t="str">
        <f>IF(COUNTIFS('VS×ケイパビリティ関係'!$F$4:$F$494,$B20,'VS×ケイパビリティ関係'!$G$4:$G$494,AK$5,'VS×ケイパビリティ関係'!$E$4:$E$494,"主")&gt;0,"●",IF(COUNTIFS('VS×ケイパビリティ関係'!$F$4:$F$494,$B20,'VS×ケイパビリティ関係'!$G$4:$G$494,AK$5,'VS×ケイパビリティ関係'!$E$4:$E$494,"支援")&gt;0,"○",""))</f>
        <v/>
      </c>
      <c r="AL20" s="22" t="str">
        <f>IF(COUNTIFS('VS×ケイパビリティ関係'!$F$4:$F$494,$B20,'VS×ケイパビリティ関係'!$G$4:$G$494,AL$5,'VS×ケイパビリティ関係'!$E$4:$E$494,"主")&gt;0,"●",IF(COUNTIFS('VS×ケイパビリティ関係'!$F$4:$F$494,$B20,'VS×ケイパビリティ関係'!$G$4:$G$494,AL$5,'VS×ケイパビリティ関係'!$E$4:$E$494,"支援")&gt;0,"○",""))</f>
        <v/>
      </c>
      <c r="AM20" s="22" t="str">
        <f>IF(COUNTIFS('VS×ケイパビリティ関係'!$F$4:$F$494,$B20,'VS×ケイパビリティ関係'!$G$4:$G$494,AM$5,'VS×ケイパビリティ関係'!$E$4:$E$494,"主")&gt;0,"●",IF(COUNTIFS('VS×ケイパビリティ関係'!$F$4:$F$494,$B20,'VS×ケイパビリティ関係'!$G$4:$G$494,AM$5,'VS×ケイパビリティ関係'!$E$4:$E$494,"支援")&gt;0,"○",""))</f>
        <v/>
      </c>
      <c r="AN20" s="22" t="str">
        <f>IF(COUNTIFS('VS×ケイパビリティ関係'!$F$4:$F$494,$B20,'VS×ケイパビリティ関係'!$G$4:$G$494,AN$5,'VS×ケイパビリティ関係'!$E$4:$E$494,"主")&gt;0,"●",IF(COUNTIFS('VS×ケイパビリティ関係'!$F$4:$F$494,$B20,'VS×ケイパビリティ関係'!$G$4:$G$494,AN$5,'VS×ケイパビリティ関係'!$E$4:$E$494,"支援")&gt;0,"○",""))</f>
        <v/>
      </c>
      <c r="AO20" s="22" t="str">
        <f>IF(COUNTIFS('VS×ケイパビリティ関係'!$F$4:$F$494,$B20,'VS×ケイパビリティ関係'!$G$4:$G$494,AO$5,'VS×ケイパビリティ関係'!$E$4:$E$494,"主")&gt;0,"●",IF(COUNTIFS('VS×ケイパビリティ関係'!$F$4:$F$494,$B20,'VS×ケイパビリティ関係'!$G$4:$G$494,AO$5,'VS×ケイパビリティ関係'!$E$4:$E$494,"支援")&gt;0,"○",""))</f>
        <v/>
      </c>
      <c r="AP20" s="22" t="str">
        <f>IF(COUNTIFS('VS×ケイパビリティ関係'!$F$4:$F$494,$B20,'VS×ケイパビリティ関係'!$G$4:$G$494,AP$5,'VS×ケイパビリティ関係'!$E$4:$E$494,"主")&gt;0,"●",IF(COUNTIFS('VS×ケイパビリティ関係'!$F$4:$F$494,$B20,'VS×ケイパビリティ関係'!$G$4:$G$494,AP$5,'VS×ケイパビリティ関係'!$E$4:$E$494,"支援")&gt;0,"○",""))</f>
        <v/>
      </c>
      <c r="AQ20" s="22" t="str">
        <f>IF(COUNTIFS('VS×ケイパビリティ関係'!$F$4:$F$494,$B20,'VS×ケイパビリティ関係'!$G$4:$G$494,AQ$5,'VS×ケイパビリティ関係'!$E$4:$E$494,"主")&gt;0,"●",IF(COUNTIFS('VS×ケイパビリティ関係'!$F$4:$F$494,$B20,'VS×ケイパビリティ関係'!$G$4:$G$494,AQ$5,'VS×ケイパビリティ関係'!$E$4:$E$494,"支援")&gt;0,"○",""))</f>
        <v/>
      </c>
      <c r="AR20" s="22" t="str">
        <f>IF(COUNTIFS('VS×ケイパビリティ関係'!$F$4:$F$494,$B20,'VS×ケイパビリティ関係'!$G$4:$G$494,AR$5,'VS×ケイパビリティ関係'!$E$4:$E$494,"主")&gt;0,"●",IF(COUNTIFS('VS×ケイパビリティ関係'!$F$4:$F$494,$B20,'VS×ケイパビリティ関係'!$G$4:$G$494,AR$5,'VS×ケイパビリティ関係'!$E$4:$E$494,"支援")&gt;0,"○",""))</f>
        <v/>
      </c>
      <c r="AS20" s="22" t="str">
        <f>IF(COUNTIFS('VS×ケイパビリティ関係'!$F$4:$F$494,$B20,'VS×ケイパビリティ関係'!$G$4:$G$494,AS$5,'VS×ケイパビリティ関係'!$E$4:$E$494,"主")&gt;0,"●",IF(COUNTIFS('VS×ケイパビリティ関係'!$F$4:$F$494,$B20,'VS×ケイパビリティ関係'!$G$4:$G$494,AS$5,'VS×ケイパビリティ関係'!$E$4:$E$494,"支援")&gt;0,"○",""))</f>
        <v/>
      </c>
      <c r="AT20" s="22" t="str">
        <f>IF(COUNTIFS('VS×ケイパビリティ関係'!$F$4:$F$494,$B20,'VS×ケイパビリティ関係'!$G$4:$G$494,AT$5,'VS×ケイパビリティ関係'!$E$4:$E$494,"主")&gt;0,"●",IF(COUNTIFS('VS×ケイパビリティ関係'!$F$4:$F$494,$B20,'VS×ケイパビリティ関係'!$G$4:$G$494,AT$5,'VS×ケイパビリティ関係'!$E$4:$E$494,"支援")&gt;0,"○",""))</f>
        <v/>
      </c>
      <c r="AU20" s="22" t="str">
        <f>IF(COUNTIFS('VS×ケイパビリティ関係'!$F$4:$F$494,$B20,'VS×ケイパビリティ関係'!$G$4:$G$494,AU$5,'VS×ケイパビリティ関係'!$E$4:$E$494,"主")&gt;0,"●",IF(COUNTIFS('VS×ケイパビリティ関係'!$F$4:$F$494,$B20,'VS×ケイパビリティ関係'!$G$4:$G$494,AU$5,'VS×ケイパビリティ関係'!$E$4:$E$494,"支援")&gt;0,"○",""))</f>
        <v/>
      </c>
      <c r="AV20" s="22" t="str">
        <f>IF(COUNTIFS('VS×ケイパビリティ関係'!$F$4:$F$494,$B20,'VS×ケイパビリティ関係'!$G$4:$G$494,AV$5,'VS×ケイパビリティ関係'!$E$4:$E$494,"主")&gt;0,"●",IF(COUNTIFS('VS×ケイパビリティ関係'!$F$4:$F$494,$B20,'VS×ケイパビリティ関係'!$G$4:$G$494,AV$5,'VS×ケイパビリティ関係'!$E$4:$E$494,"支援")&gt;0,"○",""))</f>
        <v/>
      </c>
      <c r="AW20" s="22" t="str">
        <f>IF(COUNTIFS('VS×ケイパビリティ関係'!$F$4:$F$494,$B20,'VS×ケイパビリティ関係'!$G$4:$G$494,AW$5,'VS×ケイパビリティ関係'!$E$4:$E$494,"主")&gt;0,"●",IF(COUNTIFS('VS×ケイパビリティ関係'!$F$4:$F$494,$B20,'VS×ケイパビリティ関係'!$G$4:$G$494,AW$5,'VS×ケイパビリティ関係'!$E$4:$E$494,"支援")&gt;0,"○",""))</f>
        <v>○</v>
      </c>
      <c r="AX20" s="22" t="str">
        <f>IF(COUNTIFS('VS×ケイパビリティ関係'!$F$4:$F$494,$B20,'VS×ケイパビリティ関係'!$G$4:$G$494,AX$5,'VS×ケイパビリティ関係'!$E$4:$E$494,"主")&gt;0,"●",IF(COUNTIFS('VS×ケイパビリティ関係'!$F$4:$F$494,$B20,'VS×ケイパビリティ関係'!$G$4:$G$494,AX$5,'VS×ケイパビリティ関係'!$E$4:$E$494,"支援")&gt;0,"○",""))</f>
        <v/>
      </c>
      <c r="AY20" s="22" t="str">
        <f>IF(COUNTIFS('VS×ケイパビリティ関係'!$F$4:$F$494,$B20,'VS×ケイパビリティ関係'!$G$4:$G$494,AY$5,'VS×ケイパビリティ関係'!$E$4:$E$494,"主")&gt;0,"●",IF(COUNTIFS('VS×ケイパビリティ関係'!$F$4:$F$494,$B20,'VS×ケイパビリティ関係'!$G$4:$G$494,AY$5,'VS×ケイパビリティ関係'!$E$4:$E$494,"支援")&gt;0,"○",""))</f>
        <v/>
      </c>
      <c r="AZ20" s="22" t="str">
        <f>IF(COUNTIFS('VS×ケイパビリティ関係'!$F$4:$F$494,$B20,'VS×ケイパビリティ関係'!$G$4:$G$494,AZ$5,'VS×ケイパビリティ関係'!$E$4:$E$494,"主")&gt;0,"●",IF(COUNTIFS('VS×ケイパビリティ関係'!$F$4:$F$494,$B20,'VS×ケイパビリティ関係'!$G$4:$G$494,AZ$5,'VS×ケイパビリティ関係'!$E$4:$E$494,"支援")&gt;0,"○",""))</f>
        <v/>
      </c>
      <c r="BA20" s="22" t="str">
        <f>IF(COUNTIFS('VS×ケイパビリティ関係'!$F$4:$F$494,$B20,'VS×ケイパビリティ関係'!$G$4:$G$494,BA$5,'VS×ケイパビリティ関係'!$E$4:$E$494,"主")&gt;0,"●",IF(COUNTIFS('VS×ケイパビリティ関係'!$F$4:$F$494,$B20,'VS×ケイパビリティ関係'!$G$4:$G$494,BA$5,'VS×ケイパビリティ関係'!$E$4:$E$494,"支援")&gt;0,"○",""))</f>
        <v/>
      </c>
      <c r="BB20" s="22" t="str">
        <f>IF(COUNTIFS('VS×ケイパビリティ関係'!$F$4:$F$494,$B20,'VS×ケイパビリティ関係'!$G$4:$G$494,BB$5,'VS×ケイパビリティ関係'!$E$4:$E$494,"主")&gt;0,"●",IF(COUNTIFS('VS×ケイパビリティ関係'!$F$4:$F$494,$B20,'VS×ケイパビリティ関係'!$G$4:$G$494,BB$5,'VS×ケイパビリティ関係'!$E$4:$E$494,"支援")&gt;0,"○",""))</f>
        <v/>
      </c>
      <c r="BC20" s="22" t="str">
        <f>IF(COUNTIFS('VS×ケイパビリティ関係'!$F$4:$F$494,$B20,'VS×ケイパビリティ関係'!$G$4:$G$494,BC$5,'VS×ケイパビリティ関係'!$E$4:$E$494,"主")&gt;0,"●",IF(COUNTIFS('VS×ケイパビリティ関係'!$F$4:$F$494,$B20,'VS×ケイパビリティ関係'!$G$4:$G$494,BC$5,'VS×ケイパビリティ関係'!$E$4:$E$494,"支援")&gt;0,"○",""))</f>
        <v/>
      </c>
      <c r="BD20" s="22" t="str">
        <f>IF(COUNTIFS('VS×ケイパビリティ関係'!$F$4:$F$494,$B20,'VS×ケイパビリティ関係'!$G$4:$G$494,BD$5,'VS×ケイパビリティ関係'!$E$4:$E$494,"主")&gt;0,"●",IF(COUNTIFS('VS×ケイパビリティ関係'!$F$4:$F$494,$B20,'VS×ケイパビリティ関係'!$G$4:$G$494,BD$5,'VS×ケイパビリティ関係'!$E$4:$E$494,"支援")&gt;0,"○",""))</f>
        <v/>
      </c>
      <c r="BE20" s="22">
        <f t="shared" si="1"/>
        <v>2</v>
      </c>
      <c r="BF20" s="22">
        <f t="shared" si="2"/>
        <v>4</v>
      </c>
    </row>
    <row r="21" ht="15.0" customHeight="1">
      <c r="A21" s="42"/>
      <c r="B21" s="22" t="s">
        <v>1262</v>
      </c>
      <c r="C21" s="25" t="s">
        <v>1265</v>
      </c>
      <c r="D21" s="22" t="str">
        <f>IF(COUNTIFS('VS×ケイパビリティ関係'!$F$4:$F$494,$B21,'VS×ケイパビリティ関係'!$G$4:$G$494,D$5,'VS×ケイパビリティ関係'!$E$4:$E$494,"主")&gt;0,"●",IF(COUNTIFS('VS×ケイパビリティ関係'!$F$4:$F$494,$B21,'VS×ケイパビリティ関係'!$G$4:$G$494,D$5,'VS×ケイパビリティ関係'!$E$4:$E$494,"支援")&gt;0,"○",""))</f>
        <v/>
      </c>
      <c r="E21" s="22" t="str">
        <f>IF(COUNTIFS('VS×ケイパビリティ関係'!$F$4:$F$494,$B21,'VS×ケイパビリティ関係'!$G$4:$G$494,E$5,'VS×ケイパビリティ関係'!$E$4:$E$494,"主")&gt;0,"●",IF(COUNTIFS('VS×ケイパビリティ関係'!$F$4:$F$494,$B21,'VS×ケイパビリティ関係'!$G$4:$G$494,E$5,'VS×ケイパビリティ関係'!$E$4:$E$494,"支援")&gt;0,"○",""))</f>
        <v/>
      </c>
      <c r="F21" s="22" t="str">
        <f>IF(COUNTIFS('VS×ケイパビリティ関係'!$F$4:$F$494,$B21,'VS×ケイパビリティ関係'!$G$4:$G$494,F$5,'VS×ケイパビリティ関係'!$E$4:$E$494,"主")&gt;0,"●",IF(COUNTIFS('VS×ケイパビリティ関係'!$F$4:$F$494,$B21,'VS×ケイパビリティ関係'!$G$4:$G$494,F$5,'VS×ケイパビリティ関係'!$E$4:$E$494,"支援")&gt;0,"○",""))</f>
        <v/>
      </c>
      <c r="G21" s="22" t="str">
        <f>IF(COUNTIFS('VS×ケイパビリティ関係'!$F$4:$F$494,$B21,'VS×ケイパビリティ関係'!$G$4:$G$494,G$5,'VS×ケイパビリティ関係'!$E$4:$E$494,"主")&gt;0,"●",IF(COUNTIFS('VS×ケイパビリティ関係'!$F$4:$F$494,$B21,'VS×ケイパビリティ関係'!$G$4:$G$494,G$5,'VS×ケイパビリティ関係'!$E$4:$E$494,"支援")&gt;0,"○",""))</f>
        <v/>
      </c>
      <c r="H21" s="22" t="str">
        <f>IF(COUNTIFS('VS×ケイパビリティ関係'!$F$4:$F$494,$B21,'VS×ケイパビリティ関係'!$G$4:$G$494,H$5,'VS×ケイパビリティ関係'!$E$4:$E$494,"主")&gt;0,"●",IF(COUNTIFS('VS×ケイパビリティ関係'!$F$4:$F$494,$B21,'VS×ケイパビリティ関係'!$G$4:$G$494,H$5,'VS×ケイパビリティ関係'!$E$4:$E$494,"支援")&gt;0,"○",""))</f>
        <v/>
      </c>
      <c r="I21" s="22" t="str">
        <f>IF(COUNTIFS('VS×ケイパビリティ関係'!$F$4:$F$494,$B21,'VS×ケイパビリティ関係'!$G$4:$G$494,I$5,'VS×ケイパビリティ関係'!$E$4:$E$494,"主")&gt;0,"●",IF(COUNTIFS('VS×ケイパビリティ関係'!$F$4:$F$494,$B21,'VS×ケイパビリティ関係'!$G$4:$G$494,I$5,'VS×ケイパビリティ関係'!$E$4:$E$494,"支援")&gt;0,"○",""))</f>
        <v/>
      </c>
      <c r="J21" s="22" t="str">
        <f>IF(COUNTIFS('VS×ケイパビリティ関係'!$F$4:$F$494,$B21,'VS×ケイパビリティ関係'!$G$4:$G$494,J$5,'VS×ケイパビリティ関係'!$E$4:$E$494,"主")&gt;0,"●",IF(COUNTIFS('VS×ケイパビリティ関係'!$F$4:$F$494,$B21,'VS×ケイパビリティ関係'!$G$4:$G$494,J$5,'VS×ケイパビリティ関係'!$E$4:$E$494,"支援")&gt;0,"○",""))</f>
        <v/>
      </c>
      <c r="K21" s="22" t="str">
        <f>IF(COUNTIFS('VS×ケイパビリティ関係'!$F$4:$F$494,$B21,'VS×ケイパビリティ関係'!$G$4:$G$494,K$5,'VS×ケイパビリティ関係'!$E$4:$E$494,"主")&gt;0,"●",IF(COUNTIFS('VS×ケイパビリティ関係'!$F$4:$F$494,$B21,'VS×ケイパビリティ関係'!$G$4:$G$494,K$5,'VS×ケイパビリティ関係'!$E$4:$E$494,"支援")&gt;0,"○",""))</f>
        <v/>
      </c>
      <c r="L21" s="22" t="str">
        <f>IF(COUNTIFS('VS×ケイパビリティ関係'!$F$4:$F$494,$B21,'VS×ケイパビリティ関係'!$G$4:$G$494,L$5,'VS×ケイパビリティ関係'!$E$4:$E$494,"主")&gt;0,"●",IF(COUNTIFS('VS×ケイパビリティ関係'!$F$4:$F$494,$B21,'VS×ケイパビリティ関係'!$G$4:$G$494,L$5,'VS×ケイパビリティ関係'!$E$4:$E$494,"支援")&gt;0,"○",""))</f>
        <v/>
      </c>
      <c r="M21" s="22" t="str">
        <f>IF(COUNTIFS('VS×ケイパビリティ関係'!$F$4:$F$494,$B21,'VS×ケイパビリティ関係'!$G$4:$G$494,M$5,'VS×ケイパビリティ関係'!$E$4:$E$494,"主")&gt;0,"●",IF(COUNTIFS('VS×ケイパビリティ関係'!$F$4:$F$494,$B21,'VS×ケイパビリティ関係'!$G$4:$G$494,M$5,'VS×ケイパビリティ関係'!$E$4:$E$494,"支援")&gt;0,"○",""))</f>
        <v/>
      </c>
      <c r="N21" s="22" t="str">
        <f>IF(COUNTIFS('VS×ケイパビリティ関係'!$F$4:$F$494,$B21,'VS×ケイパビリティ関係'!$G$4:$G$494,N$5,'VS×ケイパビリティ関係'!$E$4:$E$494,"主")&gt;0,"●",IF(COUNTIFS('VS×ケイパビリティ関係'!$F$4:$F$494,$B21,'VS×ケイパビリティ関係'!$G$4:$G$494,N$5,'VS×ケイパビリティ関係'!$E$4:$E$494,"支援")&gt;0,"○",""))</f>
        <v/>
      </c>
      <c r="O21" s="22" t="str">
        <f>IF(COUNTIFS('VS×ケイパビリティ関係'!$F$4:$F$494,$B21,'VS×ケイパビリティ関係'!$G$4:$G$494,O$5,'VS×ケイパビリティ関係'!$E$4:$E$494,"主")&gt;0,"●",IF(COUNTIFS('VS×ケイパビリティ関係'!$F$4:$F$494,$B21,'VS×ケイパビリティ関係'!$G$4:$G$494,O$5,'VS×ケイパビリティ関係'!$E$4:$E$494,"支援")&gt;0,"○",""))</f>
        <v/>
      </c>
      <c r="P21" s="22" t="str">
        <f>IF(COUNTIFS('VS×ケイパビリティ関係'!$F$4:$F$494,$B21,'VS×ケイパビリティ関係'!$G$4:$G$494,P$5,'VS×ケイパビリティ関係'!$E$4:$E$494,"主")&gt;0,"●",IF(COUNTIFS('VS×ケイパビリティ関係'!$F$4:$F$494,$B21,'VS×ケイパビリティ関係'!$G$4:$G$494,P$5,'VS×ケイパビリティ関係'!$E$4:$E$494,"支援")&gt;0,"○",""))</f>
        <v/>
      </c>
      <c r="Q21" s="22" t="str">
        <f>IF(COUNTIFS('VS×ケイパビリティ関係'!$F$4:$F$494,$B21,'VS×ケイパビリティ関係'!$G$4:$G$494,Q$5,'VS×ケイパビリティ関係'!$E$4:$E$494,"主")&gt;0,"●",IF(COUNTIFS('VS×ケイパビリティ関係'!$F$4:$F$494,$B21,'VS×ケイパビリティ関係'!$G$4:$G$494,Q$5,'VS×ケイパビリティ関係'!$E$4:$E$494,"支援")&gt;0,"○",""))</f>
        <v/>
      </c>
      <c r="R21" s="22" t="str">
        <f>IF(COUNTIFS('VS×ケイパビリティ関係'!$F$4:$F$494,$B21,'VS×ケイパビリティ関係'!$G$4:$G$494,R$5,'VS×ケイパビリティ関係'!$E$4:$E$494,"主")&gt;0,"●",IF(COUNTIFS('VS×ケイパビリティ関係'!$F$4:$F$494,$B21,'VS×ケイパビリティ関係'!$G$4:$G$494,R$5,'VS×ケイパビリティ関係'!$E$4:$E$494,"支援")&gt;0,"○",""))</f>
        <v/>
      </c>
      <c r="S21" s="22" t="str">
        <f>IF(COUNTIFS('VS×ケイパビリティ関係'!$F$4:$F$494,$B21,'VS×ケイパビリティ関係'!$G$4:$G$494,S$5,'VS×ケイパビリティ関係'!$E$4:$E$494,"主")&gt;0,"●",IF(COUNTIFS('VS×ケイパビリティ関係'!$F$4:$F$494,$B21,'VS×ケイパビリティ関係'!$G$4:$G$494,S$5,'VS×ケイパビリティ関係'!$E$4:$E$494,"支援")&gt;0,"○",""))</f>
        <v/>
      </c>
      <c r="T21" s="22" t="str">
        <f>IF(COUNTIFS('VS×ケイパビリティ関係'!$F$4:$F$494,$B21,'VS×ケイパビリティ関係'!$G$4:$G$494,T$5,'VS×ケイパビリティ関係'!$E$4:$E$494,"主")&gt;0,"●",IF(COUNTIFS('VS×ケイパビリティ関係'!$F$4:$F$494,$B21,'VS×ケイパビリティ関係'!$G$4:$G$494,T$5,'VS×ケイパビリティ関係'!$E$4:$E$494,"支援")&gt;0,"○",""))</f>
        <v/>
      </c>
      <c r="U21" s="22" t="str">
        <f>IF(COUNTIFS('VS×ケイパビリティ関係'!$F$4:$F$494,$B21,'VS×ケイパビリティ関係'!$G$4:$G$494,U$5,'VS×ケイパビリティ関係'!$E$4:$E$494,"主")&gt;0,"●",IF(COUNTIFS('VS×ケイパビリティ関係'!$F$4:$F$494,$B21,'VS×ケイパビリティ関係'!$G$4:$G$494,U$5,'VS×ケイパビリティ関係'!$E$4:$E$494,"支援")&gt;0,"○",""))</f>
        <v/>
      </c>
      <c r="V21" s="22" t="str">
        <f>IF(COUNTIFS('VS×ケイパビリティ関係'!$F$4:$F$494,$B21,'VS×ケイパビリティ関係'!$G$4:$G$494,V$5,'VS×ケイパビリティ関係'!$E$4:$E$494,"主")&gt;0,"●",IF(COUNTIFS('VS×ケイパビリティ関係'!$F$4:$F$494,$B21,'VS×ケイパビリティ関係'!$G$4:$G$494,V$5,'VS×ケイパビリティ関係'!$E$4:$E$494,"支援")&gt;0,"○",""))</f>
        <v/>
      </c>
      <c r="W21" s="22" t="str">
        <f>IF(COUNTIFS('VS×ケイパビリティ関係'!$F$4:$F$494,$B21,'VS×ケイパビリティ関係'!$G$4:$G$494,W$5,'VS×ケイパビリティ関係'!$E$4:$E$494,"主")&gt;0,"●",IF(COUNTIFS('VS×ケイパビリティ関係'!$F$4:$F$494,$B21,'VS×ケイパビリティ関係'!$G$4:$G$494,W$5,'VS×ケイパビリティ関係'!$E$4:$E$494,"支援")&gt;0,"○",""))</f>
        <v/>
      </c>
      <c r="X21" s="22" t="str">
        <f>IF(COUNTIFS('VS×ケイパビリティ関係'!$F$4:$F$494,$B21,'VS×ケイパビリティ関係'!$G$4:$G$494,X$5,'VS×ケイパビリティ関係'!$E$4:$E$494,"主")&gt;0,"●",IF(COUNTIFS('VS×ケイパビリティ関係'!$F$4:$F$494,$B21,'VS×ケイパビリティ関係'!$G$4:$G$494,X$5,'VS×ケイパビリティ関係'!$E$4:$E$494,"支援")&gt;0,"○",""))</f>
        <v/>
      </c>
      <c r="Y21" s="22" t="str">
        <f>IF(COUNTIFS('VS×ケイパビリティ関係'!$F$4:$F$494,$B21,'VS×ケイパビリティ関係'!$G$4:$G$494,Y$5,'VS×ケイパビリティ関係'!$E$4:$E$494,"主")&gt;0,"●",IF(COUNTIFS('VS×ケイパビリティ関係'!$F$4:$F$494,$B21,'VS×ケイパビリティ関係'!$G$4:$G$494,Y$5,'VS×ケイパビリティ関係'!$E$4:$E$494,"支援")&gt;0,"○",""))</f>
        <v/>
      </c>
      <c r="Z21" s="22" t="str">
        <f>IF(COUNTIFS('VS×ケイパビリティ関係'!$F$4:$F$494,$B21,'VS×ケイパビリティ関係'!$G$4:$G$494,Z$5,'VS×ケイパビリティ関係'!$E$4:$E$494,"主")&gt;0,"●",IF(COUNTIFS('VS×ケイパビリティ関係'!$F$4:$F$494,$B21,'VS×ケイパビリティ関係'!$G$4:$G$494,Z$5,'VS×ケイパビリティ関係'!$E$4:$E$494,"支援")&gt;0,"○",""))</f>
        <v/>
      </c>
      <c r="AA21" s="22" t="str">
        <f>IF(COUNTIFS('VS×ケイパビリティ関係'!$F$4:$F$494,$B21,'VS×ケイパビリティ関係'!$G$4:$G$494,AA$5,'VS×ケイパビリティ関係'!$E$4:$E$494,"主")&gt;0,"●",IF(COUNTIFS('VS×ケイパビリティ関係'!$F$4:$F$494,$B21,'VS×ケイパビリティ関係'!$G$4:$G$494,AA$5,'VS×ケイパビリティ関係'!$E$4:$E$494,"支援")&gt;0,"○",""))</f>
        <v/>
      </c>
      <c r="AB21" s="22" t="str">
        <f>IF(COUNTIFS('VS×ケイパビリティ関係'!$F$4:$F$494,$B21,'VS×ケイパビリティ関係'!$G$4:$G$494,AB$5,'VS×ケイパビリティ関係'!$E$4:$E$494,"主")&gt;0,"●",IF(COUNTIFS('VS×ケイパビリティ関係'!$F$4:$F$494,$B21,'VS×ケイパビリティ関係'!$G$4:$G$494,AB$5,'VS×ケイパビリティ関係'!$E$4:$E$494,"支援")&gt;0,"○",""))</f>
        <v/>
      </c>
      <c r="AC21" s="22" t="str">
        <f>IF(COUNTIFS('VS×ケイパビリティ関係'!$F$4:$F$494,$B21,'VS×ケイパビリティ関係'!$G$4:$G$494,AC$5,'VS×ケイパビリティ関係'!$E$4:$E$494,"主")&gt;0,"●",IF(COUNTIFS('VS×ケイパビリティ関係'!$F$4:$F$494,$B21,'VS×ケイパビリティ関係'!$G$4:$G$494,AC$5,'VS×ケイパビリティ関係'!$E$4:$E$494,"支援")&gt;0,"○",""))</f>
        <v/>
      </c>
      <c r="AD21" s="22" t="str">
        <f>IF(COUNTIFS('VS×ケイパビリティ関係'!$F$4:$F$494,$B21,'VS×ケイパビリティ関係'!$G$4:$G$494,AD$5,'VS×ケイパビリティ関係'!$E$4:$E$494,"主")&gt;0,"●",IF(COUNTIFS('VS×ケイパビリティ関係'!$F$4:$F$494,$B21,'VS×ケイパビリティ関係'!$G$4:$G$494,AD$5,'VS×ケイパビリティ関係'!$E$4:$E$494,"支援")&gt;0,"○",""))</f>
        <v/>
      </c>
      <c r="AE21" s="22" t="str">
        <f>IF(COUNTIFS('VS×ケイパビリティ関係'!$F$4:$F$494,$B21,'VS×ケイパビリティ関係'!$G$4:$G$494,AE$5,'VS×ケイパビリティ関係'!$E$4:$E$494,"主")&gt;0,"●",IF(COUNTIFS('VS×ケイパビリティ関係'!$F$4:$F$494,$B21,'VS×ケイパビリティ関係'!$G$4:$G$494,AE$5,'VS×ケイパビリティ関係'!$E$4:$E$494,"支援")&gt;0,"○",""))</f>
        <v/>
      </c>
      <c r="AF21" s="22" t="str">
        <f>IF(COUNTIFS('VS×ケイパビリティ関係'!$F$4:$F$494,$B21,'VS×ケイパビリティ関係'!$G$4:$G$494,AF$5,'VS×ケイパビリティ関係'!$E$4:$E$494,"主")&gt;0,"●",IF(COUNTIFS('VS×ケイパビリティ関係'!$F$4:$F$494,$B21,'VS×ケイパビリティ関係'!$G$4:$G$494,AF$5,'VS×ケイパビリティ関係'!$E$4:$E$494,"支援")&gt;0,"○",""))</f>
        <v>○</v>
      </c>
      <c r="AG21" s="22" t="str">
        <f>IF(COUNTIFS('VS×ケイパビリティ関係'!$F$4:$F$494,$B21,'VS×ケイパビリティ関係'!$G$4:$G$494,AG$5,'VS×ケイパビリティ関係'!$E$4:$E$494,"主")&gt;0,"●",IF(COUNTIFS('VS×ケイパビリティ関係'!$F$4:$F$494,$B21,'VS×ケイパビリティ関係'!$G$4:$G$494,AG$5,'VS×ケイパビリティ関係'!$E$4:$E$494,"支援")&gt;0,"○",""))</f>
        <v>○</v>
      </c>
      <c r="AH21" s="22" t="str">
        <f>IF(COUNTIFS('VS×ケイパビリティ関係'!$F$4:$F$494,$B21,'VS×ケイパビリティ関係'!$G$4:$G$494,AH$5,'VS×ケイパビリティ関係'!$E$4:$E$494,"主")&gt;0,"●",IF(COUNTIFS('VS×ケイパビリティ関係'!$F$4:$F$494,$B21,'VS×ケイパビリティ関係'!$G$4:$G$494,AH$5,'VS×ケイパビリティ関係'!$E$4:$E$494,"支援")&gt;0,"○",""))</f>
        <v>○</v>
      </c>
      <c r="AI21" s="22" t="str">
        <f>IF(COUNTIFS('VS×ケイパビリティ関係'!$F$4:$F$494,$B21,'VS×ケイパビリティ関係'!$G$4:$G$494,AI$5,'VS×ケイパビリティ関係'!$E$4:$E$494,"主")&gt;0,"●",IF(COUNTIFS('VS×ケイパビリティ関係'!$F$4:$F$494,$B21,'VS×ケイパビリティ関係'!$G$4:$G$494,AI$5,'VS×ケイパビリティ関係'!$E$4:$E$494,"支援")&gt;0,"○",""))</f>
        <v/>
      </c>
      <c r="AJ21" s="22" t="str">
        <f>IF(COUNTIFS('VS×ケイパビリティ関係'!$F$4:$F$494,$B21,'VS×ケイパビリティ関係'!$G$4:$G$494,AJ$5,'VS×ケイパビリティ関係'!$E$4:$E$494,"主")&gt;0,"●",IF(COUNTIFS('VS×ケイパビリティ関係'!$F$4:$F$494,$B21,'VS×ケイパビリティ関係'!$G$4:$G$494,AJ$5,'VS×ケイパビリティ関係'!$E$4:$E$494,"支援")&gt;0,"○",""))</f>
        <v/>
      </c>
      <c r="AK21" s="22" t="str">
        <f>IF(COUNTIFS('VS×ケイパビリティ関係'!$F$4:$F$494,$B21,'VS×ケイパビリティ関係'!$G$4:$G$494,AK$5,'VS×ケイパビリティ関係'!$E$4:$E$494,"主")&gt;0,"●",IF(COUNTIFS('VS×ケイパビリティ関係'!$F$4:$F$494,$B21,'VS×ケイパビリティ関係'!$G$4:$G$494,AK$5,'VS×ケイパビリティ関係'!$E$4:$E$494,"支援")&gt;0,"○",""))</f>
        <v>●</v>
      </c>
      <c r="AL21" s="22" t="str">
        <f>IF(COUNTIFS('VS×ケイパビリティ関係'!$F$4:$F$494,$B21,'VS×ケイパビリティ関係'!$G$4:$G$494,AL$5,'VS×ケイパビリティ関係'!$E$4:$E$494,"主")&gt;0,"●",IF(COUNTIFS('VS×ケイパビリティ関係'!$F$4:$F$494,$B21,'VS×ケイパビリティ関係'!$G$4:$G$494,AL$5,'VS×ケイパビリティ関係'!$E$4:$E$494,"支援")&gt;0,"○",""))</f>
        <v/>
      </c>
      <c r="AM21" s="22" t="str">
        <f>IF(COUNTIFS('VS×ケイパビリティ関係'!$F$4:$F$494,$B21,'VS×ケイパビリティ関係'!$G$4:$G$494,AM$5,'VS×ケイパビリティ関係'!$E$4:$E$494,"主")&gt;0,"●",IF(COUNTIFS('VS×ケイパビリティ関係'!$F$4:$F$494,$B21,'VS×ケイパビリティ関係'!$G$4:$G$494,AM$5,'VS×ケイパビリティ関係'!$E$4:$E$494,"支援")&gt;0,"○",""))</f>
        <v/>
      </c>
      <c r="AN21" s="22" t="str">
        <f>IF(COUNTIFS('VS×ケイパビリティ関係'!$F$4:$F$494,$B21,'VS×ケイパビリティ関係'!$G$4:$G$494,AN$5,'VS×ケイパビリティ関係'!$E$4:$E$494,"主")&gt;0,"●",IF(COUNTIFS('VS×ケイパビリティ関係'!$F$4:$F$494,$B21,'VS×ケイパビリティ関係'!$G$4:$G$494,AN$5,'VS×ケイパビリティ関係'!$E$4:$E$494,"支援")&gt;0,"○",""))</f>
        <v/>
      </c>
      <c r="AO21" s="22" t="str">
        <f>IF(COUNTIFS('VS×ケイパビリティ関係'!$F$4:$F$494,$B21,'VS×ケイパビリティ関係'!$G$4:$G$494,AO$5,'VS×ケイパビリティ関係'!$E$4:$E$494,"主")&gt;0,"●",IF(COUNTIFS('VS×ケイパビリティ関係'!$F$4:$F$494,$B21,'VS×ケイパビリティ関係'!$G$4:$G$494,AO$5,'VS×ケイパビリティ関係'!$E$4:$E$494,"支援")&gt;0,"○",""))</f>
        <v/>
      </c>
      <c r="AP21" s="22" t="str">
        <f>IF(COUNTIFS('VS×ケイパビリティ関係'!$F$4:$F$494,$B21,'VS×ケイパビリティ関係'!$G$4:$G$494,AP$5,'VS×ケイパビリティ関係'!$E$4:$E$494,"主")&gt;0,"●",IF(COUNTIFS('VS×ケイパビリティ関係'!$F$4:$F$494,$B21,'VS×ケイパビリティ関係'!$G$4:$G$494,AP$5,'VS×ケイパビリティ関係'!$E$4:$E$494,"支援")&gt;0,"○",""))</f>
        <v/>
      </c>
      <c r="AQ21" s="22" t="str">
        <f>IF(COUNTIFS('VS×ケイパビリティ関係'!$F$4:$F$494,$B21,'VS×ケイパビリティ関係'!$G$4:$G$494,AQ$5,'VS×ケイパビリティ関係'!$E$4:$E$494,"主")&gt;0,"●",IF(COUNTIFS('VS×ケイパビリティ関係'!$F$4:$F$494,$B21,'VS×ケイパビリティ関係'!$G$4:$G$494,AQ$5,'VS×ケイパビリティ関係'!$E$4:$E$494,"支援")&gt;0,"○",""))</f>
        <v/>
      </c>
      <c r="AR21" s="22" t="str">
        <f>IF(COUNTIFS('VS×ケイパビリティ関係'!$F$4:$F$494,$B21,'VS×ケイパビリティ関係'!$G$4:$G$494,AR$5,'VS×ケイパビリティ関係'!$E$4:$E$494,"主")&gt;0,"●",IF(COUNTIFS('VS×ケイパビリティ関係'!$F$4:$F$494,$B21,'VS×ケイパビリティ関係'!$G$4:$G$494,AR$5,'VS×ケイパビリティ関係'!$E$4:$E$494,"支援")&gt;0,"○",""))</f>
        <v/>
      </c>
      <c r="AS21" s="22" t="str">
        <f>IF(COUNTIFS('VS×ケイパビリティ関係'!$F$4:$F$494,$B21,'VS×ケイパビリティ関係'!$G$4:$G$494,AS$5,'VS×ケイパビリティ関係'!$E$4:$E$494,"主")&gt;0,"●",IF(COUNTIFS('VS×ケイパビリティ関係'!$F$4:$F$494,$B21,'VS×ケイパビリティ関係'!$G$4:$G$494,AS$5,'VS×ケイパビリティ関係'!$E$4:$E$494,"支援")&gt;0,"○",""))</f>
        <v/>
      </c>
      <c r="AT21" s="22" t="str">
        <f>IF(COUNTIFS('VS×ケイパビリティ関係'!$F$4:$F$494,$B21,'VS×ケイパビリティ関係'!$G$4:$G$494,AT$5,'VS×ケイパビリティ関係'!$E$4:$E$494,"主")&gt;0,"●",IF(COUNTIFS('VS×ケイパビリティ関係'!$F$4:$F$494,$B21,'VS×ケイパビリティ関係'!$G$4:$G$494,AT$5,'VS×ケイパビリティ関係'!$E$4:$E$494,"支援")&gt;0,"○",""))</f>
        <v/>
      </c>
      <c r="AU21" s="22" t="str">
        <f>IF(COUNTIFS('VS×ケイパビリティ関係'!$F$4:$F$494,$B21,'VS×ケイパビリティ関係'!$G$4:$G$494,AU$5,'VS×ケイパビリティ関係'!$E$4:$E$494,"主")&gt;0,"●",IF(COUNTIFS('VS×ケイパビリティ関係'!$F$4:$F$494,$B21,'VS×ケイパビリティ関係'!$G$4:$G$494,AU$5,'VS×ケイパビリティ関係'!$E$4:$E$494,"支援")&gt;0,"○",""))</f>
        <v/>
      </c>
      <c r="AV21" s="22" t="str">
        <f>IF(COUNTIFS('VS×ケイパビリティ関係'!$F$4:$F$494,$B21,'VS×ケイパビリティ関係'!$G$4:$G$494,AV$5,'VS×ケイパビリティ関係'!$E$4:$E$494,"主")&gt;0,"●",IF(COUNTIFS('VS×ケイパビリティ関係'!$F$4:$F$494,$B21,'VS×ケイパビリティ関係'!$G$4:$G$494,AV$5,'VS×ケイパビリティ関係'!$E$4:$E$494,"支援")&gt;0,"○",""))</f>
        <v/>
      </c>
      <c r="AW21" s="22" t="str">
        <f>IF(COUNTIFS('VS×ケイパビリティ関係'!$F$4:$F$494,$B21,'VS×ケイパビリティ関係'!$G$4:$G$494,AW$5,'VS×ケイパビリティ関係'!$E$4:$E$494,"主")&gt;0,"●",IF(COUNTIFS('VS×ケイパビリティ関係'!$F$4:$F$494,$B21,'VS×ケイパビリティ関係'!$G$4:$G$494,AW$5,'VS×ケイパビリティ関係'!$E$4:$E$494,"支援")&gt;0,"○",""))</f>
        <v/>
      </c>
      <c r="AX21" s="22" t="str">
        <f>IF(COUNTIFS('VS×ケイパビリティ関係'!$F$4:$F$494,$B21,'VS×ケイパビリティ関係'!$G$4:$G$494,AX$5,'VS×ケイパビリティ関係'!$E$4:$E$494,"主")&gt;0,"●",IF(COUNTIFS('VS×ケイパビリティ関係'!$F$4:$F$494,$B21,'VS×ケイパビリティ関係'!$G$4:$G$494,AX$5,'VS×ケイパビリティ関係'!$E$4:$E$494,"支援")&gt;0,"○",""))</f>
        <v/>
      </c>
      <c r="AY21" s="22" t="str">
        <f>IF(COUNTIFS('VS×ケイパビリティ関係'!$F$4:$F$494,$B21,'VS×ケイパビリティ関係'!$G$4:$G$494,AY$5,'VS×ケイパビリティ関係'!$E$4:$E$494,"主")&gt;0,"●",IF(COUNTIFS('VS×ケイパビリティ関係'!$F$4:$F$494,$B21,'VS×ケイパビリティ関係'!$G$4:$G$494,AY$5,'VS×ケイパビリティ関係'!$E$4:$E$494,"支援")&gt;0,"○",""))</f>
        <v/>
      </c>
      <c r="AZ21" s="22" t="str">
        <f>IF(COUNTIFS('VS×ケイパビリティ関係'!$F$4:$F$494,$B21,'VS×ケイパビリティ関係'!$G$4:$G$494,AZ$5,'VS×ケイパビリティ関係'!$E$4:$E$494,"主")&gt;0,"●",IF(COUNTIFS('VS×ケイパビリティ関係'!$F$4:$F$494,$B21,'VS×ケイパビリティ関係'!$G$4:$G$494,AZ$5,'VS×ケイパビリティ関係'!$E$4:$E$494,"支援")&gt;0,"○",""))</f>
        <v/>
      </c>
      <c r="BA21" s="22" t="str">
        <f>IF(COUNTIFS('VS×ケイパビリティ関係'!$F$4:$F$494,$B21,'VS×ケイパビリティ関係'!$G$4:$G$494,BA$5,'VS×ケイパビリティ関係'!$E$4:$E$494,"主")&gt;0,"●",IF(COUNTIFS('VS×ケイパビリティ関係'!$F$4:$F$494,$B21,'VS×ケイパビリティ関係'!$G$4:$G$494,BA$5,'VS×ケイパビリティ関係'!$E$4:$E$494,"支援")&gt;0,"○",""))</f>
        <v/>
      </c>
      <c r="BB21" s="22" t="str">
        <f>IF(COUNTIFS('VS×ケイパビリティ関係'!$F$4:$F$494,$B21,'VS×ケイパビリティ関係'!$G$4:$G$494,BB$5,'VS×ケイパビリティ関係'!$E$4:$E$494,"主")&gt;0,"●",IF(COUNTIFS('VS×ケイパビリティ関係'!$F$4:$F$494,$B21,'VS×ケイパビリティ関係'!$G$4:$G$494,BB$5,'VS×ケイパビリティ関係'!$E$4:$E$494,"支援")&gt;0,"○",""))</f>
        <v/>
      </c>
      <c r="BC21" s="22" t="str">
        <f>IF(COUNTIFS('VS×ケイパビリティ関係'!$F$4:$F$494,$B21,'VS×ケイパビリティ関係'!$G$4:$G$494,BC$5,'VS×ケイパビリティ関係'!$E$4:$E$494,"主")&gt;0,"●",IF(COUNTIFS('VS×ケイパビリティ関係'!$F$4:$F$494,$B21,'VS×ケイパビリティ関係'!$G$4:$G$494,BC$5,'VS×ケイパビリティ関係'!$E$4:$E$494,"支援")&gt;0,"○",""))</f>
        <v/>
      </c>
      <c r="BD21" s="22" t="str">
        <f>IF(COUNTIFS('VS×ケイパビリティ関係'!$F$4:$F$494,$B21,'VS×ケイパビリティ関係'!$G$4:$G$494,BD$5,'VS×ケイパビリティ関係'!$E$4:$E$494,"主")&gt;0,"●",IF(COUNTIFS('VS×ケイパビリティ関係'!$F$4:$F$494,$B21,'VS×ケイパビリティ関係'!$G$4:$G$494,BD$5,'VS×ケイパビリティ関係'!$E$4:$E$494,"支援")&gt;0,"○",""))</f>
        <v/>
      </c>
      <c r="BE21" s="22">
        <f t="shared" si="1"/>
        <v>1</v>
      </c>
      <c r="BF21" s="22">
        <f t="shared" si="2"/>
        <v>3</v>
      </c>
    </row>
    <row r="22" ht="15.0" customHeight="1">
      <c r="A22" s="42" t="s">
        <v>3034</v>
      </c>
      <c r="B22" s="22" t="s">
        <v>1319</v>
      </c>
      <c r="C22" s="25" t="s">
        <v>1321</v>
      </c>
      <c r="D22" s="22" t="str">
        <f>IF(COUNTIFS('VS×ケイパビリティ関係'!$F$4:$F$494,$B22,'VS×ケイパビリティ関係'!$G$4:$G$494,D$5,'VS×ケイパビリティ関係'!$E$4:$E$494,"主")&gt;0,"●",IF(COUNTIFS('VS×ケイパビリティ関係'!$F$4:$F$494,$B22,'VS×ケイパビリティ関係'!$G$4:$G$494,D$5,'VS×ケイパビリティ関係'!$E$4:$E$494,"支援")&gt;0,"○",""))</f>
        <v/>
      </c>
      <c r="E22" s="22" t="str">
        <f>IF(COUNTIFS('VS×ケイパビリティ関係'!$F$4:$F$494,$B22,'VS×ケイパビリティ関係'!$G$4:$G$494,E$5,'VS×ケイパビリティ関係'!$E$4:$E$494,"主")&gt;0,"●",IF(COUNTIFS('VS×ケイパビリティ関係'!$F$4:$F$494,$B22,'VS×ケイパビリティ関係'!$G$4:$G$494,E$5,'VS×ケイパビリティ関係'!$E$4:$E$494,"支援")&gt;0,"○",""))</f>
        <v/>
      </c>
      <c r="F22" s="22" t="str">
        <f>IF(COUNTIFS('VS×ケイパビリティ関係'!$F$4:$F$494,$B22,'VS×ケイパビリティ関係'!$G$4:$G$494,F$5,'VS×ケイパビリティ関係'!$E$4:$E$494,"主")&gt;0,"●",IF(COUNTIFS('VS×ケイパビリティ関係'!$F$4:$F$494,$B22,'VS×ケイパビリティ関係'!$G$4:$G$494,F$5,'VS×ケイパビリティ関係'!$E$4:$E$494,"支援")&gt;0,"○",""))</f>
        <v/>
      </c>
      <c r="G22" s="22" t="str">
        <f>IF(COUNTIFS('VS×ケイパビリティ関係'!$F$4:$F$494,$B22,'VS×ケイパビリティ関係'!$G$4:$G$494,G$5,'VS×ケイパビリティ関係'!$E$4:$E$494,"主")&gt;0,"●",IF(COUNTIFS('VS×ケイパビリティ関係'!$F$4:$F$494,$B22,'VS×ケイパビリティ関係'!$G$4:$G$494,G$5,'VS×ケイパビリティ関係'!$E$4:$E$494,"支援")&gt;0,"○",""))</f>
        <v/>
      </c>
      <c r="H22" s="22" t="str">
        <f>IF(COUNTIFS('VS×ケイパビリティ関係'!$F$4:$F$494,$B22,'VS×ケイパビリティ関係'!$G$4:$G$494,H$5,'VS×ケイパビリティ関係'!$E$4:$E$494,"主")&gt;0,"●",IF(COUNTIFS('VS×ケイパビリティ関係'!$F$4:$F$494,$B22,'VS×ケイパビリティ関係'!$G$4:$G$494,H$5,'VS×ケイパビリティ関係'!$E$4:$E$494,"支援")&gt;0,"○",""))</f>
        <v/>
      </c>
      <c r="I22" s="22" t="str">
        <f>IF(COUNTIFS('VS×ケイパビリティ関係'!$F$4:$F$494,$B22,'VS×ケイパビリティ関係'!$G$4:$G$494,I$5,'VS×ケイパビリティ関係'!$E$4:$E$494,"主")&gt;0,"●",IF(COUNTIFS('VS×ケイパビリティ関係'!$F$4:$F$494,$B22,'VS×ケイパビリティ関係'!$G$4:$G$494,I$5,'VS×ケイパビリティ関係'!$E$4:$E$494,"支援")&gt;0,"○",""))</f>
        <v/>
      </c>
      <c r="J22" s="22" t="str">
        <f>IF(COUNTIFS('VS×ケイパビリティ関係'!$F$4:$F$494,$B22,'VS×ケイパビリティ関係'!$G$4:$G$494,J$5,'VS×ケイパビリティ関係'!$E$4:$E$494,"主")&gt;0,"●",IF(COUNTIFS('VS×ケイパビリティ関係'!$F$4:$F$494,$B22,'VS×ケイパビリティ関係'!$G$4:$G$494,J$5,'VS×ケイパビリティ関係'!$E$4:$E$494,"支援")&gt;0,"○",""))</f>
        <v/>
      </c>
      <c r="K22" s="22" t="str">
        <f>IF(COUNTIFS('VS×ケイパビリティ関係'!$F$4:$F$494,$B22,'VS×ケイパビリティ関係'!$G$4:$G$494,K$5,'VS×ケイパビリティ関係'!$E$4:$E$494,"主")&gt;0,"●",IF(COUNTIFS('VS×ケイパビリティ関係'!$F$4:$F$494,$B22,'VS×ケイパビリティ関係'!$G$4:$G$494,K$5,'VS×ケイパビリティ関係'!$E$4:$E$494,"支援")&gt;0,"○",""))</f>
        <v/>
      </c>
      <c r="L22" s="22" t="str">
        <f>IF(COUNTIFS('VS×ケイパビリティ関係'!$F$4:$F$494,$B22,'VS×ケイパビリティ関係'!$G$4:$G$494,L$5,'VS×ケイパビリティ関係'!$E$4:$E$494,"主")&gt;0,"●",IF(COUNTIFS('VS×ケイパビリティ関係'!$F$4:$F$494,$B22,'VS×ケイパビリティ関係'!$G$4:$G$494,L$5,'VS×ケイパビリティ関係'!$E$4:$E$494,"支援")&gt;0,"○",""))</f>
        <v/>
      </c>
      <c r="M22" s="22" t="str">
        <f>IF(COUNTIFS('VS×ケイパビリティ関係'!$F$4:$F$494,$B22,'VS×ケイパビリティ関係'!$G$4:$G$494,M$5,'VS×ケイパビリティ関係'!$E$4:$E$494,"主")&gt;0,"●",IF(COUNTIFS('VS×ケイパビリティ関係'!$F$4:$F$494,$B22,'VS×ケイパビリティ関係'!$G$4:$G$494,M$5,'VS×ケイパビリティ関係'!$E$4:$E$494,"支援")&gt;0,"○",""))</f>
        <v/>
      </c>
      <c r="N22" s="22" t="str">
        <f>IF(COUNTIFS('VS×ケイパビリティ関係'!$F$4:$F$494,$B22,'VS×ケイパビリティ関係'!$G$4:$G$494,N$5,'VS×ケイパビリティ関係'!$E$4:$E$494,"主")&gt;0,"●",IF(COUNTIFS('VS×ケイパビリティ関係'!$F$4:$F$494,$B22,'VS×ケイパビリティ関係'!$G$4:$G$494,N$5,'VS×ケイパビリティ関係'!$E$4:$E$494,"支援")&gt;0,"○",""))</f>
        <v/>
      </c>
      <c r="O22" s="22" t="str">
        <f>IF(COUNTIFS('VS×ケイパビリティ関係'!$F$4:$F$494,$B22,'VS×ケイパビリティ関係'!$G$4:$G$494,O$5,'VS×ケイパビリティ関係'!$E$4:$E$494,"主")&gt;0,"●",IF(COUNTIFS('VS×ケイパビリティ関係'!$F$4:$F$494,$B22,'VS×ケイパビリティ関係'!$G$4:$G$494,O$5,'VS×ケイパビリティ関係'!$E$4:$E$494,"支援")&gt;0,"○",""))</f>
        <v/>
      </c>
      <c r="P22" s="22" t="str">
        <f>IF(COUNTIFS('VS×ケイパビリティ関係'!$F$4:$F$494,$B22,'VS×ケイパビリティ関係'!$G$4:$G$494,P$5,'VS×ケイパビリティ関係'!$E$4:$E$494,"主")&gt;0,"●",IF(COUNTIFS('VS×ケイパビリティ関係'!$F$4:$F$494,$B22,'VS×ケイパビリティ関係'!$G$4:$G$494,P$5,'VS×ケイパビリティ関係'!$E$4:$E$494,"支援")&gt;0,"○",""))</f>
        <v/>
      </c>
      <c r="Q22" s="22" t="str">
        <f>IF(COUNTIFS('VS×ケイパビリティ関係'!$F$4:$F$494,$B22,'VS×ケイパビリティ関係'!$G$4:$G$494,Q$5,'VS×ケイパビリティ関係'!$E$4:$E$494,"主")&gt;0,"●",IF(COUNTIFS('VS×ケイパビリティ関係'!$F$4:$F$494,$B22,'VS×ケイパビリティ関係'!$G$4:$G$494,Q$5,'VS×ケイパビリティ関係'!$E$4:$E$494,"支援")&gt;0,"○",""))</f>
        <v/>
      </c>
      <c r="R22" s="22" t="str">
        <f>IF(COUNTIFS('VS×ケイパビリティ関係'!$F$4:$F$494,$B22,'VS×ケイパビリティ関係'!$G$4:$G$494,R$5,'VS×ケイパビリティ関係'!$E$4:$E$494,"主")&gt;0,"●",IF(COUNTIFS('VS×ケイパビリティ関係'!$F$4:$F$494,$B22,'VS×ケイパビリティ関係'!$G$4:$G$494,R$5,'VS×ケイパビリティ関係'!$E$4:$E$494,"支援")&gt;0,"○",""))</f>
        <v/>
      </c>
      <c r="S22" s="22" t="str">
        <f>IF(COUNTIFS('VS×ケイパビリティ関係'!$F$4:$F$494,$B22,'VS×ケイパビリティ関係'!$G$4:$G$494,S$5,'VS×ケイパビリティ関係'!$E$4:$E$494,"主")&gt;0,"●",IF(COUNTIFS('VS×ケイパビリティ関係'!$F$4:$F$494,$B22,'VS×ケイパビリティ関係'!$G$4:$G$494,S$5,'VS×ケイパビリティ関係'!$E$4:$E$494,"支援")&gt;0,"○",""))</f>
        <v/>
      </c>
      <c r="T22" s="22" t="str">
        <f>IF(COUNTIFS('VS×ケイパビリティ関係'!$F$4:$F$494,$B22,'VS×ケイパビリティ関係'!$G$4:$G$494,T$5,'VS×ケイパビリティ関係'!$E$4:$E$494,"主")&gt;0,"●",IF(COUNTIFS('VS×ケイパビリティ関係'!$F$4:$F$494,$B22,'VS×ケイパビリティ関係'!$G$4:$G$494,T$5,'VS×ケイパビリティ関係'!$E$4:$E$494,"支援")&gt;0,"○",""))</f>
        <v/>
      </c>
      <c r="U22" s="22" t="str">
        <f>IF(COUNTIFS('VS×ケイパビリティ関係'!$F$4:$F$494,$B22,'VS×ケイパビリティ関係'!$G$4:$G$494,U$5,'VS×ケイパビリティ関係'!$E$4:$E$494,"主")&gt;0,"●",IF(COUNTIFS('VS×ケイパビリティ関係'!$F$4:$F$494,$B22,'VS×ケイパビリティ関係'!$G$4:$G$494,U$5,'VS×ケイパビリティ関係'!$E$4:$E$494,"支援")&gt;0,"○",""))</f>
        <v>●</v>
      </c>
      <c r="V22" s="22" t="str">
        <f>IF(COUNTIFS('VS×ケイパビリティ関係'!$F$4:$F$494,$B22,'VS×ケイパビリティ関係'!$G$4:$G$494,V$5,'VS×ケイパビリティ関係'!$E$4:$E$494,"主")&gt;0,"●",IF(COUNTIFS('VS×ケイパビリティ関係'!$F$4:$F$494,$B22,'VS×ケイパビリティ関係'!$G$4:$G$494,V$5,'VS×ケイパビリティ関係'!$E$4:$E$494,"支援")&gt;0,"○",""))</f>
        <v>●</v>
      </c>
      <c r="W22" s="22" t="str">
        <f>IF(COUNTIFS('VS×ケイパビリティ関係'!$F$4:$F$494,$B22,'VS×ケイパビリティ関係'!$G$4:$G$494,W$5,'VS×ケイパビリティ関係'!$E$4:$E$494,"主")&gt;0,"●",IF(COUNTIFS('VS×ケイパビリティ関係'!$F$4:$F$494,$B22,'VS×ケイパビリティ関係'!$G$4:$G$494,W$5,'VS×ケイパビリティ関係'!$E$4:$E$494,"支援")&gt;0,"○",""))</f>
        <v>●</v>
      </c>
      <c r="X22" s="22" t="str">
        <f>IF(COUNTIFS('VS×ケイパビリティ関係'!$F$4:$F$494,$B22,'VS×ケイパビリティ関係'!$G$4:$G$494,X$5,'VS×ケイパビリティ関係'!$E$4:$E$494,"主")&gt;0,"●",IF(COUNTIFS('VS×ケイパビリティ関係'!$F$4:$F$494,$B22,'VS×ケイパビリティ関係'!$G$4:$G$494,X$5,'VS×ケイパビリティ関係'!$E$4:$E$494,"支援")&gt;0,"○",""))</f>
        <v/>
      </c>
      <c r="Y22" s="22" t="str">
        <f>IF(COUNTIFS('VS×ケイパビリティ関係'!$F$4:$F$494,$B22,'VS×ケイパビリティ関係'!$G$4:$G$494,Y$5,'VS×ケイパビリティ関係'!$E$4:$E$494,"主")&gt;0,"●",IF(COUNTIFS('VS×ケイパビリティ関係'!$F$4:$F$494,$B22,'VS×ケイパビリティ関係'!$G$4:$G$494,Y$5,'VS×ケイパビリティ関係'!$E$4:$E$494,"支援")&gt;0,"○",""))</f>
        <v/>
      </c>
      <c r="Z22" s="22" t="str">
        <f>IF(COUNTIFS('VS×ケイパビリティ関係'!$F$4:$F$494,$B22,'VS×ケイパビリティ関係'!$G$4:$G$494,Z$5,'VS×ケイパビリティ関係'!$E$4:$E$494,"主")&gt;0,"●",IF(COUNTIFS('VS×ケイパビリティ関係'!$F$4:$F$494,$B22,'VS×ケイパビリティ関係'!$G$4:$G$494,Z$5,'VS×ケイパビリティ関係'!$E$4:$E$494,"支援")&gt;0,"○",""))</f>
        <v/>
      </c>
      <c r="AA22" s="22" t="str">
        <f>IF(COUNTIFS('VS×ケイパビリティ関係'!$F$4:$F$494,$B22,'VS×ケイパビリティ関係'!$G$4:$G$494,AA$5,'VS×ケイパビリティ関係'!$E$4:$E$494,"主")&gt;0,"●",IF(COUNTIFS('VS×ケイパビリティ関係'!$F$4:$F$494,$B22,'VS×ケイパビリティ関係'!$G$4:$G$494,AA$5,'VS×ケイパビリティ関係'!$E$4:$E$494,"支援")&gt;0,"○",""))</f>
        <v/>
      </c>
      <c r="AB22" s="22" t="str">
        <f>IF(COUNTIFS('VS×ケイパビリティ関係'!$F$4:$F$494,$B22,'VS×ケイパビリティ関係'!$G$4:$G$494,AB$5,'VS×ケイパビリティ関係'!$E$4:$E$494,"主")&gt;0,"●",IF(COUNTIFS('VS×ケイパビリティ関係'!$F$4:$F$494,$B22,'VS×ケイパビリティ関係'!$G$4:$G$494,AB$5,'VS×ケイパビリティ関係'!$E$4:$E$494,"支援")&gt;0,"○",""))</f>
        <v/>
      </c>
      <c r="AC22" s="22" t="str">
        <f>IF(COUNTIFS('VS×ケイパビリティ関係'!$F$4:$F$494,$B22,'VS×ケイパビリティ関係'!$G$4:$G$494,AC$5,'VS×ケイパビリティ関係'!$E$4:$E$494,"主")&gt;0,"●",IF(COUNTIFS('VS×ケイパビリティ関係'!$F$4:$F$494,$B22,'VS×ケイパビリティ関係'!$G$4:$G$494,AC$5,'VS×ケイパビリティ関係'!$E$4:$E$494,"支援")&gt;0,"○",""))</f>
        <v/>
      </c>
      <c r="AD22" s="22" t="str">
        <f>IF(COUNTIFS('VS×ケイパビリティ関係'!$F$4:$F$494,$B22,'VS×ケイパビリティ関係'!$G$4:$G$494,AD$5,'VS×ケイパビリティ関係'!$E$4:$E$494,"主")&gt;0,"●",IF(COUNTIFS('VS×ケイパビリティ関係'!$F$4:$F$494,$B22,'VS×ケイパビリティ関係'!$G$4:$G$494,AD$5,'VS×ケイパビリティ関係'!$E$4:$E$494,"支援")&gt;0,"○",""))</f>
        <v/>
      </c>
      <c r="AE22" s="22" t="str">
        <f>IF(COUNTIFS('VS×ケイパビリティ関係'!$F$4:$F$494,$B22,'VS×ケイパビリティ関係'!$G$4:$G$494,AE$5,'VS×ケイパビリティ関係'!$E$4:$E$494,"主")&gt;0,"●",IF(COUNTIFS('VS×ケイパビリティ関係'!$F$4:$F$494,$B22,'VS×ケイパビリティ関係'!$G$4:$G$494,AE$5,'VS×ケイパビリティ関係'!$E$4:$E$494,"支援")&gt;0,"○",""))</f>
        <v/>
      </c>
      <c r="AF22" s="22" t="str">
        <f>IF(COUNTIFS('VS×ケイパビリティ関係'!$F$4:$F$494,$B22,'VS×ケイパビリティ関係'!$G$4:$G$494,AF$5,'VS×ケイパビリティ関係'!$E$4:$E$494,"主")&gt;0,"●",IF(COUNTIFS('VS×ケイパビリティ関係'!$F$4:$F$494,$B22,'VS×ケイパビリティ関係'!$G$4:$G$494,AF$5,'VS×ケイパビリティ関係'!$E$4:$E$494,"支援")&gt;0,"○",""))</f>
        <v/>
      </c>
      <c r="AG22" s="22" t="str">
        <f>IF(COUNTIFS('VS×ケイパビリティ関係'!$F$4:$F$494,$B22,'VS×ケイパビリティ関係'!$G$4:$G$494,AG$5,'VS×ケイパビリティ関係'!$E$4:$E$494,"主")&gt;0,"●",IF(COUNTIFS('VS×ケイパビリティ関係'!$F$4:$F$494,$B22,'VS×ケイパビリティ関係'!$G$4:$G$494,AG$5,'VS×ケイパビリティ関係'!$E$4:$E$494,"支援")&gt;0,"○",""))</f>
        <v/>
      </c>
      <c r="AH22" s="22" t="str">
        <f>IF(COUNTIFS('VS×ケイパビリティ関係'!$F$4:$F$494,$B22,'VS×ケイパビリティ関係'!$G$4:$G$494,AH$5,'VS×ケイパビリティ関係'!$E$4:$E$494,"主")&gt;0,"●",IF(COUNTIFS('VS×ケイパビリティ関係'!$F$4:$F$494,$B22,'VS×ケイパビリティ関係'!$G$4:$G$494,AH$5,'VS×ケイパビリティ関係'!$E$4:$E$494,"支援")&gt;0,"○",""))</f>
        <v/>
      </c>
      <c r="AI22" s="22" t="str">
        <f>IF(COUNTIFS('VS×ケイパビリティ関係'!$F$4:$F$494,$B22,'VS×ケイパビリティ関係'!$G$4:$G$494,AI$5,'VS×ケイパビリティ関係'!$E$4:$E$494,"主")&gt;0,"●",IF(COUNTIFS('VS×ケイパビリティ関係'!$F$4:$F$494,$B22,'VS×ケイパビリティ関係'!$G$4:$G$494,AI$5,'VS×ケイパビリティ関係'!$E$4:$E$494,"支援")&gt;0,"○",""))</f>
        <v/>
      </c>
      <c r="AJ22" s="22" t="str">
        <f>IF(COUNTIFS('VS×ケイパビリティ関係'!$F$4:$F$494,$B22,'VS×ケイパビリティ関係'!$G$4:$G$494,AJ$5,'VS×ケイパビリティ関係'!$E$4:$E$494,"主")&gt;0,"●",IF(COUNTIFS('VS×ケイパビリティ関係'!$F$4:$F$494,$B22,'VS×ケイパビリティ関係'!$G$4:$G$494,AJ$5,'VS×ケイパビリティ関係'!$E$4:$E$494,"支援")&gt;0,"○",""))</f>
        <v/>
      </c>
      <c r="AK22" s="22" t="str">
        <f>IF(COUNTIFS('VS×ケイパビリティ関係'!$F$4:$F$494,$B22,'VS×ケイパビリティ関係'!$G$4:$G$494,AK$5,'VS×ケイパビリティ関係'!$E$4:$E$494,"主")&gt;0,"●",IF(COUNTIFS('VS×ケイパビリティ関係'!$F$4:$F$494,$B22,'VS×ケイパビリティ関係'!$G$4:$G$494,AK$5,'VS×ケイパビリティ関係'!$E$4:$E$494,"支援")&gt;0,"○",""))</f>
        <v/>
      </c>
      <c r="AL22" s="22" t="str">
        <f>IF(COUNTIFS('VS×ケイパビリティ関係'!$F$4:$F$494,$B22,'VS×ケイパビリティ関係'!$G$4:$G$494,AL$5,'VS×ケイパビリティ関係'!$E$4:$E$494,"主")&gt;0,"●",IF(COUNTIFS('VS×ケイパビリティ関係'!$F$4:$F$494,$B22,'VS×ケイパビリティ関係'!$G$4:$G$494,AL$5,'VS×ケイパビリティ関係'!$E$4:$E$494,"支援")&gt;0,"○",""))</f>
        <v/>
      </c>
      <c r="AM22" s="22" t="str">
        <f>IF(COUNTIFS('VS×ケイパビリティ関係'!$F$4:$F$494,$B22,'VS×ケイパビリティ関係'!$G$4:$G$494,AM$5,'VS×ケイパビリティ関係'!$E$4:$E$494,"主")&gt;0,"●",IF(COUNTIFS('VS×ケイパビリティ関係'!$F$4:$F$494,$B22,'VS×ケイパビリティ関係'!$G$4:$G$494,AM$5,'VS×ケイパビリティ関係'!$E$4:$E$494,"支援")&gt;0,"○",""))</f>
        <v/>
      </c>
      <c r="AN22" s="22" t="str">
        <f>IF(COUNTIFS('VS×ケイパビリティ関係'!$F$4:$F$494,$B22,'VS×ケイパビリティ関係'!$G$4:$G$494,AN$5,'VS×ケイパビリティ関係'!$E$4:$E$494,"主")&gt;0,"●",IF(COUNTIFS('VS×ケイパビリティ関係'!$F$4:$F$494,$B22,'VS×ケイパビリティ関係'!$G$4:$G$494,AN$5,'VS×ケイパビリティ関係'!$E$4:$E$494,"支援")&gt;0,"○",""))</f>
        <v/>
      </c>
      <c r="AO22" s="22" t="str">
        <f>IF(COUNTIFS('VS×ケイパビリティ関係'!$F$4:$F$494,$B22,'VS×ケイパビリティ関係'!$G$4:$G$494,AO$5,'VS×ケイパビリティ関係'!$E$4:$E$494,"主")&gt;0,"●",IF(COUNTIFS('VS×ケイパビリティ関係'!$F$4:$F$494,$B22,'VS×ケイパビリティ関係'!$G$4:$G$494,AO$5,'VS×ケイパビリティ関係'!$E$4:$E$494,"支援")&gt;0,"○",""))</f>
        <v>○</v>
      </c>
      <c r="AP22" s="22" t="str">
        <f>IF(COUNTIFS('VS×ケイパビリティ関係'!$F$4:$F$494,$B22,'VS×ケイパビリティ関係'!$G$4:$G$494,AP$5,'VS×ケイパビリティ関係'!$E$4:$E$494,"主")&gt;0,"●",IF(COUNTIFS('VS×ケイパビリティ関係'!$F$4:$F$494,$B22,'VS×ケイパビリティ関係'!$G$4:$G$494,AP$5,'VS×ケイパビリティ関係'!$E$4:$E$494,"支援")&gt;0,"○",""))</f>
        <v/>
      </c>
      <c r="AQ22" s="22" t="str">
        <f>IF(COUNTIFS('VS×ケイパビリティ関係'!$F$4:$F$494,$B22,'VS×ケイパビリティ関係'!$G$4:$G$494,AQ$5,'VS×ケイパビリティ関係'!$E$4:$E$494,"主")&gt;0,"●",IF(COUNTIFS('VS×ケイパビリティ関係'!$F$4:$F$494,$B22,'VS×ケイパビリティ関係'!$G$4:$G$494,AQ$5,'VS×ケイパビリティ関係'!$E$4:$E$494,"支援")&gt;0,"○",""))</f>
        <v>○</v>
      </c>
      <c r="AR22" s="22" t="str">
        <f>IF(COUNTIFS('VS×ケイパビリティ関係'!$F$4:$F$494,$B22,'VS×ケイパビリティ関係'!$G$4:$G$494,AR$5,'VS×ケイパビリティ関係'!$E$4:$E$494,"主")&gt;0,"●",IF(COUNTIFS('VS×ケイパビリティ関係'!$F$4:$F$494,$B22,'VS×ケイパビリティ関係'!$G$4:$G$494,AR$5,'VS×ケイパビリティ関係'!$E$4:$E$494,"支援")&gt;0,"○",""))</f>
        <v/>
      </c>
      <c r="AS22" s="22" t="str">
        <f>IF(COUNTIFS('VS×ケイパビリティ関係'!$F$4:$F$494,$B22,'VS×ケイパビリティ関係'!$G$4:$G$494,AS$5,'VS×ケイパビリティ関係'!$E$4:$E$494,"主")&gt;0,"●",IF(COUNTIFS('VS×ケイパビリティ関係'!$F$4:$F$494,$B22,'VS×ケイパビリティ関係'!$G$4:$G$494,AS$5,'VS×ケイパビリティ関係'!$E$4:$E$494,"支援")&gt;0,"○",""))</f>
        <v/>
      </c>
      <c r="AT22" s="22" t="str">
        <f>IF(COUNTIFS('VS×ケイパビリティ関係'!$F$4:$F$494,$B22,'VS×ケイパビリティ関係'!$G$4:$G$494,AT$5,'VS×ケイパビリティ関係'!$E$4:$E$494,"主")&gt;0,"●",IF(COUNTIFS('VS×ケイパビリティ関係'!$F$4:$F$494,$B22,'VS×ケイパビリティ関係'!$G$4:$G$494,AT$5,'VS×ケイパビリティ関係'!$E$4:$E$494,"支援")&gt;0,"○",""))</f>
        <v/>
      </c>
      <c r="AU22" s="22" t="str">
        <f>IF(COUNTIFS('VS×ケイパビリティ関係'!$F$4:$F$494,$B22,'VS×ケイパビリティ関係'!$G$4:$G$494,AU$5,'VS×ケイパビリティ関係'!$E$4:$E$494,"主")&gt;0,"●",IF(COUNTIFS('VS×ケイパビリティ関係'!$F$4:$F$494,$B22,'VS×ケイパビリティ関係'!$G$4:$G$494,AU$5,'VS×ケイパビリティ関係'!$E$4:$E$494,"支援")&gt;0,"○",""))</f>
        <v/>
      </c>
      <c r="AV22" s="22" t="str">
        <f>IF(COUNTIFS('VS×ケイパビリティ関係'!$F$4:$F$494,$B22,'VS×ケイパビリティ関係'!$G$4:$G$494,AV$5,'VS×ケイパビリティ関係'!$E$4:$E$494,"主")&gt;0,"●",IF(COUNTIFS('VS×ケイパビリティ関係'!$F$4:$F$494,$B22,'VS×ケイパビリティ関係'!$G$4:$G$494,AV$5,'VS×ケイパビリティ関係'!$E$4:$E$494,"支援")&gt;0,"○",""))</f>
        <v/>
      </c>
      <c r="AW22" s="22" t="str">
        <f>IF(COUNTIFS('VS×ケイパビリティ関係'!$F$4:$F$494,$B22,'VS×ケイパビリティ関係'!$G$4:$G$494,AW$5,'VS×ケイパビリティ関係'!$E$4:$E$494,"主")&gt;0,"●",IF(COUNTIFS('VS×ケイパビリティ関係'!$F$4:$F$494,$B22,'VS×ケイパビリティ関係'!$G$4:$G$494,AW$5,'VS×ケイパビリティ関係'!$E$4:$E$494,"支援")&gt;0,"○",""))</f>
        <v/>
      </c>
      <c r="AX22" s="22" t="str">
        <f>IF(COUNTIFS('VS×ケイパビリティ関係'!$F$4:$F$494,$B22,'VS×ケイパビリティ関係'!$G$4:$G$494,AX$5,'VS×ケイパビリティ関係'!$E$4:$E$494,"主")&gt;0,"●",IF(COUNTIFS('VS×ケイパビリティ関係'!$F$4:$F$494,$B22,'VS×ケイパビリティ関係'!$G$4:$G$494,AX$5,'VS×ケイパビリティ関係'!$E$4:$E$494,"支援")&gt;0,"○",""))</f>
        <v/>
      </c>
      <c r="AY22" s="22" t="str">
        <f>IF(COUNTIFS('VS×ケイパビリティ関係'!$F$4:$F$494,$B22,'VS×ケイパビリティ関係'!$G$4:$G$494,AY$5,'VS×ケイパビリティ関係'!$E$4:$E$494,"主")&gt;0,"●",IF(COUNTIFS('VS×ケイパビリティ関係'!$F$4:$F$494,$B22,'VS×ケイパビリティ関係'!$G$4:$G$494,AY$5,'VS×ケイパビリティ関係'!$E$4:$E$494,"支援")&gt;0,"○",""))</f>
        <v/>
      </c>
      <c r="AZ22" s="22" t="str">
        <f>IF(COUNTIFS('VS×ケイパビリティ関係'!$F$4:$F$494,$B22,'VS×ケイパビリティ関係'!$G$4:$G$494,AZ$5,'VS×ケイパビリティ関係'!$E$4:$E$494,"主")&gt;0,"●",IF(COUNTIFS('VS×ケイパビリティ関係'!$F$4:$F$494,$B22,'VS×ケイパビリティ関係'!$G$4:$G$494,AZ$5,'VS×ケイパビリティ関係'!$E$4:$E$494,"支援")&gt;0,"○",""))</f>
        <v/>
      </c>
      <c r="BA22" s="22" t="str">
        <f>IF(COUNTIFS('VS×ケイパビリティ関係'!$F$4:$F$494,$B22,'VS×ケイパビリティ関係'!$G$4:$G$494,BA$5,'VS×ケイパビリティ関係'!$E$4:$E$494,"主")&gt;0,"●",IF(COUNTIFS('VS×ケイパビリティ関係'!$F$4:$F$494,$B22,'VS×ケイパビリティ関係'!$G$4:$G$494,BA$5,'VS×ケイパビリティ関係'!$E$4:$E$494,"支援")&gt;0,"○",""))</f>
        <v/>
      </c>
      <c r="BB22" s="22" t="str">
        <f>IF(COUNTIFS('VS×ケイパビリティ関係'!$F$4:$F$494,$B22,'VS×ケイパビリティ関係'!$G$4:$G$494,BB$5,'VS×ケイパビリティ関係'!$E$4:$E$494,"主")&gt;0,"●",IF(COUNTIFS('VS×ケイパビリティ関係'!$F$4:$F$494,$B22,'VS×ケイパビリティ関係'!$G$4:$G$494,BB$5,'VS×ケイパビリティ関係'!$E$4:$E$494,"支援")&gt;0,"○",""))</f>
        <v>○</v>
      </c>
      <c r="BC22" s="22" t="str">
        <f>IF(COUNTIFS('VS×ケイパビリティ関係'!$F$4:$F$494,$B22,'VS×ケイパビリティ関係'!$G$4:$G$494,BC$5,'VS×ケイパビリティ関係'!$E$4:$E$494,"主")&gt;0,"●",IF(COUNTIFS('VS×ケイパビリティ関係'!$F$4:$F$494,$B22,'VS×ケイパビリティ関係'!$G$4:$G$494,BC$5,'VS×ケイパビリティ関係'!$E$4:$E$494,"支援")&gt;0,"○",""))</f>
        <v/>
      </c>
      <c r="BD22" s="22" t="str">
        <f>IF(COUNTIFS('VS×ケイパビリティ関係'!$F$4:$F$494,$B22,'VS×ケイパビリティ関係'!$G$4:$G$494,BD$5,'VS×ケイパビリティ関係'!$E$4:$E$494,"主")&gt;0,"●",IF(COUNTIFS('VS×ケイパビリティ関係'!$F$4:$F$494,$B22,'VS×ケイパビリティ関係'!$G$4:$G$494,BD$5,'VS×ケイパビリティ関係'!$E$4:$E$494,"支援")&gt;0,"○",""))</f>
        <v/>
      </c>
      <c r="BE22" s="22">
        <f t="shared" si="1"/>
        <v>3</v>
      </c>
      <c r="BF22" s="22">
        <f t="shared" si="2"/>
        <v>3</v>
      </c>
    </row>
    <row r="23" ht="26.25" customHeight="1">
      <c r="A23" s="42"/>
      <c r="B23" s="22" t="s">
        <v>1367</v>
      </c>
      <c r="C23" s="25" t="s">
        <v>1371</v>
      </c>
      <c r="D23" s="22" t="str">
        <f>IF(COUNTIFS('VS×ケイパビリティ関係'!$F$4:$F$494,$B23,'VS×ケイパビリティ関係'!$G$4:$G$494,D$5,'VS×ケイパビリティ関係'!$E$4:$E$494,"主")&gt;0,"●",IF(COUNTIFS('VS×ケイパビリティ関係'!$F$4:$F$494,$B23,'VS×ケイパビリティ関係'!$G$4:$G$494,D$5,'VS×ケイパビリティ関係'!$E$4:$E$494,"支援")&gt;0,"○",""))</f>
        <v>○</v>
      </c>
      <c r="E23" s="22" t="str">
        <f>IF(COUNTIFS('VS×ケイパビリティ関係'!$F$4:$F$494,$B23,'VS×ケイパビリティ関係'!$G$4:$G$494,E$5,'VS×ケイパビリティ関係'!$E$4:$E$494,"主")&gt;0,"●",IF(COUNTIFS('VS×ケイパビリティ関係'!$F$4:$F$494,$B23,'VS×ケイパビリティ関係'!$G$4:$G$494,E$5,'VS×ケイパビリティ関係'!$E$4:$E$494,"支援")&gt;0,"○",""))</f>
        <v/>
      </c>
      <c r="F23" s="22" t="str">
        <f>IF(COUNTIFS('VS×ケイパビリティ関係'!$F$4:$F$494,$B23,'VS×ケイパビリティ関係'!$G$4:$G$494,F$5,'VS×ケイパビリティ関係'!$E$4:$E$494,"主")&gt;0,"●",IF(COUNTIFS('VS×ケイパビリティ関係'!$F$4:$F$494,$B23,'VS×ケイパビリティ関係'!$G$4:$G$494,F$5,'VS×ケイパビリティ関係'!$E$4:$E$494,"支援")&gt;0,"○",""))</f>
        <v>○</v>
      </c>
      <c r="G23" s="22" t="str">
        <f>IF(COUNTIFS('VS×ケイパビリティ関係'!$F$4:$F$494,$B23,'VS×ケイパビリティ関係'!$G$4:$G$494,G$5,'VS×ケイパビリティ関係'!$E$4:$E$494,"主")&gt;0,"●",IF(COUNTIFS('VS×ケイパビリティ関係'!$F$4:$F$494,$B23,'VS×ケイパビリティ関係'!$G$4:$G$494,G$5,'VS×ケイパビリティ関係'!$E$4:$E$494,"支援")&gt;0,"○",""))</f>
        <v/>
      </c>
      <c r="H23" s="22" t="str">
        <f>IF(COUNTIFS('VS×ケイパビリティ関係'!$F$4:$F$494,$B23,'VS×ケイパビリティ関係'!$G$4:$G$494,H$5,'VS×ケイパビリティ関係'!$E$4:$E$494,"主")&gt;0,"●",IF(COUNTIFS('VS×ケイパビリティ関係'!$F$4:$F$494,$B23,'VS×ケイパビリティ関係'!$G$4:$G$494,H$5,'VS×ケイパビリティ関係'!$E$4:$E$494,"支援")&gt;0,"○",""))</f>
        <v/>
      </c>
      <c r="I23" s="22" t="str">
        <f>IF(COUNTIFS('VS×ケイパビリティ関係'!$F$4:$F$494,$B23,'VS×ケイパビリティ関係'!$G$4:$G$494,I$5,'VS×ケイパビリティ関係'!$E$4:$E$494,"主")&gt;0,"●",IF(COUNTIFS('VS×ケイパビリティ関係'!$F$4:$F$494,$B23,'VS×ケイパビリティ関係'!$G$4:$G$494,I$5,'VS×ケイパビリティ関係'!$E$4:$E$494,"支援")&gt;0,"○",""))</f>
        <v/>
      </c>
      <c r="J23" s="22" t="str">
        <f>IF(COUNTIFS('VS×ケイパビリティ関係'!$F$4:$F$494,$B23,'VS×ケイパビリティ関係'!$G$4:$G$494,J$5,'VS×ケイパビリティ関係'!$E$4:$E$494,"主")&gt;0,"●",IF(COUNTIFS('VS×ケイパビリティ関係'!$F$4:$F$494,$B23,'VS×ケイパビリティ関係'!$G$4:$G$494,J$5,'VS×ケイパビリティ関係'!$E$4:$E$494,"支援")&gt;0,"○",""))</f>
        <v/>
      </c>
      <c r="K23" s="22" t="str">
        <f>IF(COUNTIFS('VS×ケイパビリティ関係'!$F$4:$F$494,$B23,'VS×ケイパビリティ関係'!$G$4:$G$494,K$5,'VS×ケイパビリティ関係'!$E$4:$E$494,"主")&gt;0,"●",IF(COUNTIFS('VS×ケイパビリティ関係'!$F$4:$F$494,$B23,'VS×ケイパビリティ関係'!$G$4:$G$494,K$5,'VS×ケイパビリティ関係'!$E$4:$E$494,"支援")&gt;0,"○",""))</f>
        <v/>
      </c>
      <c r="L23" s="22" t="str">
        <f>IF(COUNTIFS('VS×ケイパビリティ関係'!$F$4:$F$494,$B23,'VS×ケイパビリティ関係'!$G$4:$G$494,L$5,'VS×ケイパビリティ関係'!$E$4:$E$494,"主")&gt;0,"●",IF(COUNTIFS('VS×ケイパビリティ関係'!$F$4:$F$494,$B23,'VS×ケイパビリティ関係'!$G$4:$G$494,L$5,'VS×ケイパビリティ関係'!$E$4:$E$494,"支援")&gt;0,"○",""))</f>
        <v/>
      </c>
      <c r="M23" s="22" t="str">
        <f>IF(COUNTIFS('VS×ケイパビリティ関係'!$F$4:$F$494,$B23,'VS×ケイパビリティ関係'!$G$4:$G$494,M$5,'VS×ケイパビリティ関係'!$E$4:$E$494,"主")&gt;0,"●",IF(COUNTIFS('VS×ケイパビリティ関係'!$F$4:$F$494,$B23,'VS×ケイパビリティ関係'!$G$4:$G$494,M$5,'VS×ケイパビリティ関係'!$E$4:$E$494,"支援")&gt;0,"○",""))</f>
        <v/>
      </c>
      <c r="N23" s="22" t="str">
        <f>IF(COUNTIFS('VS×ケイパビリティ関係'!$F$4:$F$494,$B23,'VS×ケイパビリティ関係'!$G$4:$G$494,N$5,'VS×ケイパビリティ関係'!$E$4:$E$494,"主")&gt;0,"●",IF(COUNTIFS('VS×ケイパビリティ関係'!$F$4:$F$494,$B23,'VS×ケイパビリティ関係'!$G$4:$G$494,N$5,'VS×ケイパビリティ関係'!$E$4:$E$494,"支援")&gt;0,"○",""))</f>
        <v>●</v>
      </c>
      <c r="O23" s="22" t="str">
        <f>IF(COUNTIFS('VS×ケイパビリティ関係'!$F$4:$F$494,$B23,'VS×ケイパビリティ関係'!$G$4:$G$494,O$5,'VS×ケイパビリティ関係'!$E$4:$E$494,"主")&gt;0,"●",IF(COUNTIFS('VS×ケイパビリティ関係'!$F$4:$F$494,$B23,'VS×ケイパビリティ関係'!$G$4:$G$494,O$5,'VS×ケイパビリティ関係'!$E$4:$E$494,"支援")&gt;0,"○",""))</f>
        <v>○</v>
      </c>
      <c r="P23" s="22" t="str">
        <f>IF(COUNTIFS('VS×ケイパビリティ関係'!$F$4:$F$494,$B23,'VS×ケイパビリティ関係'!$G$4:$G$494,P$5,'VS×ケイパビリティ関係'!$E$4:$E$494,"主")&gt;0,"●",IF(COUNTIFS('VS×ケイパビリティ関係'!$F$4:$F$494,$B23,'VS×ケイパビリティ関係'!$G$4:$G$494,P$5,'VS×ケイパビリティ関係'!$E$4:$E$494,"支援")&gt;0,"○",""))</f>
        <v/>
      </c>
      <c r="Q23" s="22" t="str">
        <f>IF(COUNTIFS('VS×ケイパビリティ関係'!$F$4:$F$494,$B23,'VS×ケイパビリティ関係'!$G$4:$G$494,Q$5,'VS×ケイパビリティ関係'!$E$4:$E$494,"主")&gt;0,"●",IF(COUNTIFS('VS×ケイパビリティ関係'!$F$4:$F$494,$B23,'VS×ケイパビリティ関係'!$G$4:$G$494,Q$5,'VS×ケイパビリティ関係'!$E$4:$E$494,"支援")&gt;0,"○",""))</f>
        <v/>
      </c>
      <c r="R23" s="22" t="str">
        <f>IF(COUNTIFS('VS×ケイパビリティ関係'!$F$4:$F$494,$B23,'VS×ケイパビリティ関係'!$G$4:$G$494,R$5,'VS×ケイパビリティ関係'!$E$4:$E$494,"主")&gt;0,"●",IF(COUNTIFS('VS×ケイパビリティ関係'!$F$4:$F$494,$B23,'VS×ケイパビリティ関係'!$G$4:$G$494,R$5,'VS×ケイパビリティ関係'!$E$4:$E$494,"支援")&gt;0,"○",""))</f>
        <v/>
      </c>
      <c r="S23" s="22" t="str">
        <f>IF(COUNTIFS('VS×ケイパビリティ関係'!$F$4:$F$494,$B23,'VS×ケイパビリティ関係'!$G$4:$G$494,S$5,'VS×ケイパビリティ関係'!$E$4:$E$494,"主")&gt;0,"●",IF(COUNTIFS('VS×ケイパビリティ関係'!$F$4:$F$494,$B23,'VS×ケイパビリティ関係'!$G$4:$G$494,S$5,'VS×ケイパビリティ関係'!$E$4:$E$494,"支援")&gt;0,"○",""))</f>
        <v/>
      </c>
      <c r="T23" s="22" t="str">
        <f>IF(COUNTIFS('VS×ケイパビリティ関係'!$F$4:$F$494,$B23,'VS×ケイパビリティ関係'!$G$4:$G$494,T$5,'VS×ケイパビリティ関係'!$E$4:$E$494,"主")&gt;0,"●",IF(COUNTIFS('VS×ケイパビリティ関係'!$F$4:$F$494,$B23,'VS×ケイパビリティ関係'!$G$4:$G$494,T$5,'VS×ケイパビリティ関係'!$E$4:$E$494,"支援")&gt;0,"○",""))</f>
        <v/>
      </c>
      <c r="U23" s="22" t="str">
        <f>IF(COUNTIFS('VS×ケイパビリティ関係'!$F$4:$F$494,$B23,'VS×ケイパビリティ関係'!$G$4:$G$494,U$5,'VS×ケイパビリティ関係'!$E$4:$E$494,"主")&gt;0,"●",IF(COUNTIFS('VS×ケイパビリティ関係'!$F$4:$F$494,$B23,'VS×ケイパビリティ関係'!$G$4:$G$494,U$5,'VS×ケイパビリティ関係'!$E$4:$E$494,"支援")&gt;0,"○",""))</f>
        <v>●</v>
      </c>
      <c r="V23" s="22" t="str">
        <f>IF(COUNTIFS('VS×ケイパビリティ関係'!$F$4:$F$494,$B23,'VS×ケイパビリティ関係'!$G$4:$G$494,V$5,'VS×ケイパビリティ関係'!$E$4:$E$494,"主")&gt;0,"●",IF(COUNTIFS('VS×ケイパビリティ関係'!$F$4:$F$494,$B23,'VS×ケイパビリティ関係'!$G$4:$G$494,V$5,'VS×ケイパビリティ関係'!$E$4:$E$494,"支援")&gt;0,"○",""))</f>
        <v/>
      </c>
      <c r="W23" s="22" t="str">
        <f>IF(COUNTIFS('VS×ケイパビリティ関係'!$F$4:$F$494,$B23,'VS×ケイパビリティ関係'!$G$4:$G$494,W$5,'VS×ケイパビリティ関係'!$E$4:$E$494,"主")&gt;0,"●",IF(COUNTIFS('VS×ケイパビリティ関係'!$F$4:$F$494,$B23,'VS×ケイパビリティ関係'!$G$4:$G$494,W$5,'VS×ケイパビリティ関係'!$E$4:$E$494,"支援")&gt;0,"○",""))</f>
        <v>○</v>
      </c>
      <c r="X23" s="22" t="str">
        <f>IF(COUNTIFS('VS×ケイパビリティ関係'!$F$4:$F$494,$B23,'VS×ケイパビリティ関係'!$G$4:$G$494,X$5,'VS×ケイパビリティ関係'!$E$4:$E$494,"主")&gt;0,"●",IF(COUNTIFS('VS×ケイパビリティ関係'!$F$4:$F$494,$B23,'VS×ケイパビリティ関係'!$G$4:$G$494,X$5,'VS×ケイパビリティ関係'!$E$4:$E$494,"支援")&gt;0,"○",""))</f>
        <v>●</v>
      </c>
      <c r="Y23" s="22" t="str">
        <f>IF(COUNTIFS('VS×ケイパビリティ関係'!$F$4:$F$494,$B23,'VS×ケイパビリティ関係'!$G$4:$G$494,Y$5,'VS×ケイパビリティ関係'!$E$4:$E$494,"主")&gt;0,"●",IF(COUNTIFS('VS×ケイパビリティ関係'!$F$4:$F$494,$B23,'VS×ケイパビリティ関係'!$G$4:$G$494,Y$5,'VS×ケイパビリティ関係'!$E$4:$E$494,"支援")&gt;0,"○",""))</f>
        <v/>
      </c>
      <c r="Z23" s="22" t="str">
        <f>IF(COUNTIFS('VS×ケイパビリティ関係'!$F$4:$F$494,$B23,'VS×ケイパビリティ関係'!$G$4:$G$494,Z$5,'VS×ケイパビリティ関係'!$E$4:$E$494,"主")&gt;0,"●",IF(COUNTIFS('VS×ケイパビリティ関係'!$F$4:$F$494,$B23,'VS×ケイパビリティ関係'!$G$4:$G$494,Z$5,'VS×ケイパビリティ関係'!$E$4:$E$494,"支援")&gt;0,"○",""))</f>
        <v>○</v>
      </c>
      <c r="AA23" s="22" t="str">
        <f>IF(COUNTIFS('VS×ケイパビリティ関係'!$F$4:$F$494,$B23,'VS×ケイパビリティ関係'!$G$4:$G$494,AA$5,'VS×ケイパビリティ関係'!$E$4:$E$494,"主")&gt;0,"●",IF(COUNTIFS('VS×ケイパビリティ関係'!$F$4:$F$494,$B23,'VS×ケイパビリティ関係'!$G$4:$G$494,AA$5,'VS×ケイパビリティ関係'!$E$4:$E$494,"支援")&gt;0,"○",""))</f>
        <v>●</v>
      </c>
      <c r="AB23" s="22" t="str">
        <f>IF(COUNTIFS('VS×ケイパビリティ関係'!$F$4:$F$494,$B23,'VS×ケイパビリティ関係'!$G$4:$G$494,AB$5,'VS×ケイパビリティ関係'!$E$4:$E$494,"主")&gt;0,"●",IF(COUNTIFS('VS×ケイパビリティ関係'!$F$4:$F$494,$B23,'VS×ケイパビリティ関係'!$G$4:$G$494,AB$5,'VS×ケイパビリティ関係'!$E$4:$E$494,"支援")&gt;0,"○",""))</f>
        <v/>
      </c>
      <c r="AC23" s="22" t="str">
        <f>IF(COUNTIFS('VS×ケイパビリティ関係'!$F$4:$F$494,$B23,'VS×ケイパビリティ関係'!$G$4:$G$494,AC$5,'VS×ケイパビリティ関係'!$E$4:$E$494,"主")&gt;0,"●",IF(COUNTIFS('VS×ケイパビリティ関係'!$F$4:$F$494,$B23,'VS×ケイパビリティ関係'!$G$4:$G$494,AC$5,'VS×ケイパビリティ関係'!$E$4:$E$494,"支援")&gt;0,"○",""))</f>
        <v/>
      </c>
      <c r="AD23" s="22" t="str">
        <f>IF(COUNTIFS('VS×ケイパビリティ関係'!$F$4:$F$494,$B23,'VS×ケイパビリティ関係'!$G$4:$G$494,AD$5,'VS×ケイパビリティ関係'!$E$4:$E$494,"主")&gt;0,"●",IF(COUNTIFS('VS×ケイパビリティ関係'!$F$4:$F$494,$B23,'VS×ケイパビリティ関係'!$G$4:$G$494,AD$5,'VS×ケイパビリティ関係'!$E$4:$E$494,"支援")&gt;0,"○",""))</f>
        <v/>
      </c>
      <c r="AE23" s="22" t="str">
        <f>IF(COUNTIFS('VS×ケイパビリティ関係'!$F$4:$F$494,$B23,'VS×ケイパビリティ関係'!$G$4:$G$494,AE$5,'VS×ケイパビリティ関係'!$E$4:$E$494,"主")&gt;0,"●",IF(COUNTIFS('VS×ケイパビリティ関係'!$F$4:$F$494,$B23,'VS×ケイパビリティ関係'!$G$4:$G$494,AE$5,'VS×ケイパビリティ関係'!$E$4:$E$494,"支援")&gt;0,"○",""))</f>
        <v/>
      </c>
      <c r="AF23" s="22" t="str">
        <f>IF(COUNTIFS('VS×ケイパビリティ関係'!$F$4:$F$494,$B23,'VS×ケイパビリティ関係'!$G$4:$G$494,AF$5,'VS×ケイパビリティ関係'!$E$4:$E$494,"主")&gt;0,"●",IF(COUNTIFS('VS×ケイパビリティ関係'!$F$4:$F$494,$B23,'VS×ケイパビリティ関係'!$G$4:$G$494,AF$5,'VS×ケイパビリティ関係'!$E$4:$E$494,"支援")&gt;0,"○",""))</f>
        <v/>
      </c>
      <c r="AG23" s="22" t="str">
        <f>IF(COUNTIFS('VS×ケイパビリティ関係'!$F$4:$F$494,$B23,'VS×ケイパビリティ関係'!$G$4:$G$494,AG$5,'VS×ケイパビリティ関係'!$E$4:$E$494,"主")&gt;0,"●",IF(COUNTIFS('VS×ケイパビリティ関係'!$F$4:$F$494,$B23,'VS×ケイパビリティ関係'!$G$4:$G$494,AG$5,'VS×ケイパビリティ関係'!$E$4:$E$494,"支援")&gt;0,"○",""))</f>
        <v/>
      </c>
      <c r="AH23" s="22" t="str">
        <f>IF(COUNTIFS('VS×ケイパビリティ関係'!$F$4:$F$494,$B23,'VS×ケイパビリティ関係'!$G$4:$G$494,AH$5,'VS×ケイパビリティ関係'!$E$4:$E$494,"主")&gt;0,"●",IF(COUNTIFS('VS×ケイパビリティ関係'!$F$4:$F$494,$B23,'VS×ケイパビリティ関係'!$G$4:$G$494,AH$5,'VS×ケイパビリティ関係'!$E$4:$E$494,"支援")&gt;0,"○",""))</f>
        <v/>
      </c>
      <c r="AI23" s="22" t="str">
        <f>IF(COUNTIFS('VS×ケイパビリティ関係'!$F$4:$F$494,$B23,'VS×ケイパビリティ関係'!$G$4:$G$494,AI$5,'VS×ケイパビリティ関係'!$E$4:$E$494,"主")&gt;0,"●",IF(COUNTIFS('VS×ケイパビリティ関係'!$F$4:$F$494,$B23,'VS×ケイパビリティ関係'!$G$4:$G$494,AI$5,'VS×ケイパビリティ関係'!$E$4:$E$494,"支援")&gt;0,"○",""))</f>
        <v/>
      </c>
      <c r="AJ23" s="22" t="str">
        <f>IF(COUNTIFS('VS×ケイパビリティ関係'!$F$4:$F$494,$B23,'VS×ケイパビリティ関係'!$G$4:$G$494,AJ$5,'VS×ケイパビリティ関係'!$E$4:$E$494,"主")&gt;0,"●",IF(COUNTIFS('VS×ケイパビリティ関係'!$F$4:$F$494,$B23,'VS×ケイパビリティ関係'!$G$4:$G$494,AJ$5,'VS×ケイパビリティ関係'!$E$4:$E$494,"支援")&gt;0,"○",""))</f>
        <v/>
      </c>
      <c r="AK23" s="22" t="str">
        <f>IF(COUNTIFS('VS×ケイパビリティ関係'!$F$4:$F$494,$B23,'VS×ケイパビリティ関係'!$G$4:$G$494,AK$5,'VS×ケイパビリティ関係'!$E$4:$E$494,"主")&gt;0,"●",IF(COUNTIFS('VS×ケイパビリティ関係'!$F$4:$F$494,$B23,'VS×ケイパビリティ関係'!$G$4:$G$494,AK$5,'VS×ケイパビリティ関係'!$E$4:$E$494,"支援")&gt;0,"○",""))</f>
        <v/>
      </c>
      <c r="AL23" s="22" t="str">
        <f>IF(COUNTIFS('VS×ケイパビリティ関係'!$F$4:$F$494,$B23,'VS×ケイパビリティ関係'!$G$4:$G$494,AL$5,'VS×ケイパビリティ関係'!$E$4:$E$494,"主")&gt;0,"●",IF(COUNTIFS('VS×ケイパビリティ関係'!$F$4:$F$494,$B23,'VS×ケイパビリティ関係'!$G$4:$G$494,AL$5,'VS×ケイパビリティ関係'!$E$4:$E$494,"支援")&gt;0,"○",""))</f>
        <v/>
      </c>
      <c r="AM23" s="22" t="str">
        <f>IF(COUNTIFS('VS×ケイパビリティ関係'!$F$4:$F$494,$B23,'VS×ケイパビリティ関係'!$G$4:$G$494,AM$5,'VS×ケイパビリティ関係'!$E$4:$E$494,"主")&gt;0,"●",IF(COUNTIFS('VS×ケイパビリティ関係'!$F$4:$F$494,$B23,'VS×ケイパビリティ関係'!$G$4:$G$494,AM$5,'VS×ケイパビリティ関係'!$E$4:$E$494,"支援")&gt;0,"○",""))</f>
        <v>○</v>
      </c>
      <c r="AN23" s="22" t="str">
        <f>IF(COUNTIFS('VS×ケイパビリティ関係'!$F$4:$F$494,$B23,'VS×ケイパビリティ関係'!$G$4:$G$494,AN$5,'VS×ケイパビリティ関係'!$E$4:$E$494,"主")&gt;0,"●",IF(COUNTIFS('VS×ケイパビリティ関係'!$F$4:$F$494,$B23,'VS×ケイパビリティ関係'!$G$4:$G$494,AN$5,'VS×ケイパビリティ関係'!$E$4:$E$494,"支援")&gt;0,"○",""))</f>
        <v/>
      </c>
      <c r="AO23" s="22" t="str">
        <f>IF(COUNTIFS('VS×ケイパビリティ関係'!$F$4:$F$494,$B23,'VS×ケイパビリティ関係'!$G$4:$G$494,AO$5,'VS×ケイパビリティ関係'!$E$4:$E$494,"主")&gt;0,"●",IF(COUNTIFS('VS×ケイパビリティ関係'!$F$4:$F$494,$B23,'VS×ケイパビリティ関係'!$G$4:$G$494,AO$5,'VS×ケイパビリティ関係'!$E$4:$E$494,"支援")&gt;0,"○",""))</f>
        <v/>
      </c>
      <c r="AP23" s="22" t="str">
        <f>IF(COUNTIFS('VS×ケイパビリティ関係'!$F$4:$F$494,$B23,'VS×ケイパビリティ関係'!$G$4:$G$494,AP$5,'VS×ケイパビリティ関係'!$E$4:$E$494,"主")&gt;0,"●",IF(COUNTIFS('VS×ケイパビリティ関係'!$F$4:$F$494,$B23,'VS×ケイパビリティ関係'!$G$4:$G$494,AP$5,'VS×ケイパビリティ関係'!$E$4:$E$494,"支援")&gt;0,"○",""))</f>
        <v/>
      </c>
      <c r="AQ23" s="22" t="str">
        <f>IF(COUNTIFS('VS×ケイパビリティ関係'!$F$4:$F$494,$B23,'VS×ケイパビリティ関係'!$G$4:$G$494,AQ$5,'VS×ケイパビリティ関係'!$E$4:$E$494,"主")&gt;0,"●",IF(COUNTIFS('VS×ケイパビリティ関係'!$F$4:$F$494,$B23,'VS×ケイパビリティ関係'!$G$4:$G$494,AQ$5,'VS×ケイパビリティ関係'!$E$4:$E$494,"支援")&gt;0,"○",""))</f>
        <v/>
      </c>
      <c r="AR23" s="22" t="str">
        <f>IF(COUNTIFS('VS×ケイパビリティ関係'!$F$4:$F$494,$B23,'VS×ケイパビリティ関係'!$G$4:$G$494,AR$5,'VS×ケイパビリティ関係'!$E$4:$E$494,"主")&gt;0,"●",IF(COUNTIFS('VS×ケイパビリティ関係'!$F$4:$F$494,$B23,'VS×ケイパビリティ関係'!$G$4:$G$494,AR$5,'VS×ケイパビリティ関係'!$E$4:$E$494,"支援")&gt;0,"○",""))</f>
        <v/>
      </c>
      <c r="AS23" s="22" t="str">
        <f>IF(COUNTIFS('VS×ケイパビリティ関係'!$F$4:$F$494,$B23,'VS×ケイパビリティ関係'!$G$4:$G$494,AS$5,'VS×ケイパビリティ関係'!$E$4:$E$494,"主")&gt;0,"●",IF(COUNTIFS('VS×ケイパビリティ関係'!$F$4:$F$494,$B23,'VS×ケイパビリティ関係'!$G$4:$G$494,AS$5,'VS×ケイパビリティ関係'!$E$4:$E$494,"支援")&gt;0,"○",""))</f>
        <v/>
      </c>
      <c r="AT23" s="22" t="str">
        <f>IF(COUNTIFS('VS×ケイパビリティ関係'!$F$4:$F$494,$B23,'VS×ケイパビリティ関係'!$G$4:$G$494,AT$5,'VS×ケイパビリティ関係'!$E$4:$E$494,"主")&gt;0,"●",IF(COUNTIFS('VS×ケイパビリティ関係'!$F$4:$F$494,$B23,'VS×ケイパビリティ関係'!$G$4:$G$494,AT$5,'VS×ケイパビリティ関係'!$E$4:$E$494,"支援")&gt;0,"○",""))</f>
        <v/>
      </c>
      <c r="AU23" s="22" t="str">
        <f>IF(COUNTIFS('VS×ケイパビリティ関係'!$F$4:$F$494,$B23,'VS×ケイパビリティ関係'!$G$4:$G$494,AU$5,'VS×ケイパビリティ関係'!$E$4:$E$494,"主")&gt;0,"●",IF(COUNTIFS('VS×ケイパビリティ関係'!$F$4:$F$494,$B23,'VS×ケイパビリティ関係'!$G$4:$G$494,AU$5,'VS×ケイパビリティ関係'!$E$4:$E$494,"支援")&gt;0,"○",""))</f>
        <v/>
      </c>
      <c r="AV23" s="22" t="str">
        <f>IF(COUNTIFS('VS×ケイパビリティ関係'!$F$4:$F$494,$B23,'VS×ケイパビリティ関係'!$G$4:$G$494,AV$5,'VS×ケイパビリティ関係'!$E$4:$E$494,"主")&gt;0,"●",IF(COUNTIFS('VS×ケイパビリティ関係'!$F$4:$F$494,$B23,'VS×ケイパビリティ関係'!$G$4:$G$494,AV$5,'VS×ケイパビリティ関係'!$E$4:$E$494,"支援")&gt;0,"○",""))</f>
        <v/>
      </c>
      <c r="AW23" s="22" t="str">
        <f>IF(COUNTIFS('VS×ケイパビリティ関係'!$F$4:$F$494,$B23,'VS×ケイパビリティ関係'!$G$4:$G$494,AW$5,'VS×ケイパビリティ関係'!$E$4:$E$494,"主")&gt;0,"●",IF(COUNTIFS('VS×ケイパビリティ関係'!$F$4:$F$494,$B23,'VS×ケイパビリティ関係'!$G$4:$G$494,AW$5,'VS×ケイパビリティ関係'!$E$4:$E$494,"支援")&gt;0,"○",""))</f>
        <v/>
      </c>
      <c r="AX23" s="22" t="str">
        <f>IF(COUNTIFS('VS×ケイパビリティ関係'!$F$4:$F$494,$B23,'VS×ケイパビリティ関係'!$G$4:$G$494,AX$5,'VS×ケイパビリティ関係'!$E$4:$E$494,"主")&gt;0,"●",IF(COUNTIFS('VS×ケイパビリティ関係'!$F$4:$F$494,$B23,'VS×ケイパビリティ関係'!$G$4:$G$494,AX$5,'VS×ケイパビリティ関係'!$E$4:$E$494,"支援")&gt;0,"○",""))</f>
        <v/>
      </c>
      <c r="AY23" s="22" t="str">
        <f>IF(COUNTIFS('VS×ケイパビリティ関係'!$F$4:$F$494,$B23,'VS×ケイパビリティ関係'!$G$4:$G$494,AY$5,'VS×ケイパビリティ関係'!$E$4:$E$494,"主")&gt;0,"●",IF(COUNTIFS('VS×ケイパビリティ関係'!$F$4:$F$494,$B23,'VS×ケイパビリティ関係'!$G$4:$G$494,AY$5,'VS×ケイパビリティ関係'!$E$4:$E$494,"支援")&gt;0,"○",""))</f>
        <v/>
      </c>
      <c r="AZ23" s="22" t="str">
        <f>IF(COUNTIFS('VS×ケイパビリティ関係'!$F$4:$F$494,$B23,'VS×ケイパビリティ関係'!$G$4:$G$494,AZ$5,'VS×ケイパビリティ関係'!$E$4:$E$494,"主")&gt;0,"●",IF(COUNTIFS('VS×ケイパビリティ関係'!$F$4:$F$494,$B23,'VS×ケイパビリティ関係'!$G$4:$G$494,AZ$5,'VS×ケイパビリティ関係'!$E$4:$E$494,"支援")&gt;0,"○",""))</f>
        <v/>
      </c>
      <c r="BA23" s="22" t="str">
        <f>IF(COUNTIFS('VS×ケイパビリティ関係'!$F$4:$F$494,$B23,'VS×ケイパビリティ関係'!$G$4:$G$494,BA$5,'VS×ケイパビリティ関係'!$E$4:$E$494,"主")&gt;0,"●",IF(COUNTIFS('VS×ケイパビリティ関係'!$F$4:$F$494,$B23,'VS×ケイパビリティ関係'!$G$4:$G$494,BA$5,'VS×ケイパビリティ関係'!$E$4:$E$494,"支援")&gt;0,"○",""))</f>
        <v/>
      </c>
      <c r="BB23" s="22" t="str">
        <f>IF(COUNTIFS('VS×ケイパビリティ関係'!$F$4:$F$494,$B23,'VS×ケイパビリティ関係'!$G$4:$G$494,BB$5,'VS×ケイパビリティ関係'!$E$4:$E$494,"主")&gt;0,"●",IF(COUNTIFS('VS×ケイパビリティ関係'!$F$4:$F$494,$B23,'VS×ケイパビリティ関係'!$G$4:$G$494,BB$5,'VS×ケイパビリティ関係'!$E$4:$E$494,"支援")&gt;0,"○",""))</f>
        <v/>
      </c>
      <c r="BC23" s="22" t="str">
        <f>IF(COUNTIFS('VS×ケイパビリティ関係'!$F$4:$F$494,$B23,'VS×ケイパビリティ関係'!$G$4:$G$494,BC$5,'VS×ケイパビリティ関係'!$E$4:$E$494,"主")&gt;0,"●",IF(COUNTIFS('VS×ケイパビリティ関係'!$F$4:$F$494,$B23,'VS×ケイパビリティ関係'!$G$4:$G$494,BC$5,'VS×ケイパビリティ関係'!$E$4:$E$494,"支援")&gt;0,"○",""))</f>
        <v/>
      </c>
      <c r="BD23" s="22" t="str">
        <f>IF(COUNTIFS('VS×ケイパビリティ関係'!$F$4:$F$494,$B23,'VS×ケイパビリティ関係'!$G$4:$G$494,BD$5,'VS×ケイパビリティ関係'!$E$4:$E$494,"主")&gt;0,"●",IF(COUNTIFS('VS×ケイパビリティ関係'!$F$4:$F$494,$B23,'VS×ケイパビリティ関係'!$G$4:$G$494,BD$5,'VS×ケイパビリティ関係'!$E$4:$E$494,"支援")&gt;0,"○",""))</f>
        <v/>
      </c>
      <c r="BE23" s="22">
        <f t="shared" si="1"/>
        <v>4</v>
      </c>
      <c r="BF23" s="22">
        <f t="shared" si="2"/>
        <v>6</v>
      </c>
    </row>
    <row r="24" ht="15.0" customHeight="1">
      <c r="A24" s="42"/>
      <c r="B24" s="22" t="s">
        <v>1441</v>
      </c>
      <c r="C24" s="25" t="s">
        <v>1444</v>
      </c>
      <c r="D24" s="22" t="str">
        <f>IF(COUNTIFS('VS×ケイパビリティ関係'!$F$4:$F$494,$B24,'VS×ケイパビリティ関係'!$G$4:$G$494,D$5,'VS×ケイパビリティ関係'!$E$4:$E$494,"主")&gt;0,"●",IF(COUNTIFS('VS×ケイパビリティ関係'!$F$4:$F$494,$B24,'VS×ケイパビリティ関係'!$G$4:$G$494,D$5,'VS×ケイパビリティ関係'!$E$4:$E$494,"支援")&gt;0,"○",""))</f>
        <v/>
      </c>
      <c r="E24" s="22" t="str">
        <f>IF(COUNTIFS('VS×ケイパビリティ関係'!$F$4:$F$494,$B24,'VS×ケイパビリティ関係'!$G$4:$G$494,E$5,'VS×ケイパビリティ関係'!$E$4:$E$494,"主")&gt;0,"●",IF(COUNTIFS('VS×ケイパビリティ関係'!$F$4:$F$494,$B24,'VS×ケイパビリティ関係'!$G$4:$G$494,E$5,'VS×ケイパビリティ関係'!$E$4:$E$494,"支援")&gt;0,"○",""))</f>
        <v/>
      </c>
      <c r="F24" s="22" t="str">
        <f>IF(COUNTIFS('VS×ケイパビリティ関係'!$F$4:$F$494,$B24,'VS×ケイパビリティ関係'!$G$4:$G$494,F$5,'VS×ケイパビリティ関係'!$E$4:$E$494,"主")&gt;0,"●",IF(COUNTIFS('VS×ケイパビリティ関係'!$F$4:$F$494,$B24,'VS×ケイパビリティ関係'!$G$4:$G$494,F$5,'VS×ケイパビリティ関係'!$E$4:$E$494,"支援")&gt;0,"○",""))</f>
        <v/>
      </c>
      <c r="G24" s="22" t="str">
        <f>IF(COUNTIFS('VS×ケイパビリティ関係'!$F$4:$F$494,$B24,'VS×ケイパビリティ関係'!$G$4:$G$494,G$5,'VS×ケイパビリティ関係'!$E$4:$E$494,"主")&gt;0,"●",IF(COUNTIFS('VS×ケイパビリティ関係'!$F$4:$F$494,$B24,'VS×ケイパビリティ関係'!$G$4:$G$494,G$5,'VS×ケイパビリティ関係'!$E$4:$E$494,"支援")&gt;0,"○",""))</f>
        <v/>
      </c>
      <c r="H24" s="22" t="str">
        <f>IF(COUNTIFS('VS×ケイパビリティ関係'!$F$4:$F$494,$B24,'VS×ケイパビリティ関係'!$G$4:$G$494,H$5,'VS×ケイパビリティ関係'!$E$4:$E$494,"主")&gt;0,"●",IF(COUNTIFS('VS×ケイパビリティ関係'!$F$4:$F$494,$B24,'VS×ケイパビリティ関係'!$G$4:$G$494,H$5,'VS×ケイパビリティ関係'!$E$4:$E$494,"支援")&gt;0,"○",""))</f>
        <v/>
      </c>
      <c r="I24" s="22" t="str">
        <f>IF(COUNTIFS('VS×ケイパビリティ関係'!$F$4:$F$494,$B24,'VS×ケイパビリティ関係'!$G$4:$G$494,I$5,'VS×ケイパビリティ関係'!$E$4:$E$494,"主")&gt;0,"●",IF(COUNTIFS('VS×ケイパビリティ関係'!$F$4:$F$494,$B24,'VS×ケイパビリティ関係'!$G$4:$G$494,I$5,'VS×ケイパビリティ関係'!$E$4:$E$494,"支援")&gt;0,"○",""))</f>
        <v/>
      </c>
      <c r="J24" s="22" t="str">
        <f>IF(COUNTIFS('VS×ケイパビリティ関係'!$F$4:$F$494,$B24,'VS×ケイパビリティ関係'!$G$4:$G$494,J$5,'VS×ケイパビリティ関係'!$E$4:$E$494,"主")&gt;0,"●",IF(COUNTIFS('VS×ケイパビリティ関係'!$F$4:$F$494,$B24,'VS×ケイパビリティ関係'!$G$4:$G$494,J$5,'VS×ケイパビリティ関係'!$E$4:$E$494,"支援")&gt;0,"○",""))</f>
        <v/>
      </c>
      <c r="K24" s="22" t="str">
        <f>IF(COUNTIFS('VS×ケイパビリティ関係'!$F$4:$F$494,$B24,'VS×ケイパビリティ関係'!$G$4:$G$494,K$5,'VS×ケイパビリティ関係'!$E$4:$E$494,"主")&gt;0,"●",IF(COUNTIFS('VS×ケイパビリティ関係'!$F$4:$F$494,$B24,'VS×ケイパビリティ関係'!$G$4:$G$494,K$5,'VS×ケイパビリティ関係'!$E$4:$E$494,"支援")&gt;0,"○",""))</f>
        <v/>
      </c>
      <c r="L24" s="22" t="str">
        <f>IF(COUNTIFS('VS×ケイパビリティ関係'!$F$4:$F$494,$B24,'VS×ケイパビリティ関係'!$G$4:$G$494,L$5,'VS×ケイパビリティ関係'!$E$4:$E$494,"主")&gt;0,"●",IF(COUNTIFS('VS×ケイパビリティ関係'!$F$4:$F$494,$B24,'VS×ケイパビリティ関係'!$G$4:$G$494,L$5,'VS×ケイパビリティ関係'!$E$4:$E$494,"支援")&gt;0,"○",""))</f>
        <v/>
      </c>
      <c r="M24" s="22" t="str">
        <f>IF(COUNTIFS('VS×ケイパビリティ関係'!$F$4:$F$494,$B24,'VS×ケイパビリティ関係'!$G$4:$G$494,M$5,'VS×ケイパビリティ関係'!$E$4:$E$494,"主")&gt;0,"●",IF(COUNTIFS('VS×ケイパビリティ関係'!$F$4:$F$494,$B24,'VS×ケイパビリティ関係'!$G$4:$G$494,M$5,'VS×ケイパビリティ関係'!$E$4:$E$494,"支援")&gt;0,"○",""))</f>
        <v/>
      </c>
      <c r="N24" s="22" t="str">
        <f>IF(COUNTIFS('VS×ケイパビリティ関係'!$F$4:$F$494,$B24,'VS×ケイパビリティ関係'!$G$4:$G$494,N$5,'VS×ケイパビリティ関係'!$E$4:$E$494,"主")&gt;0,"●",IF(COUNTIFS('VS×ケイパビリティ関係'!$F$4:$F$494,$B24,'VS×ケイパビリティ関係'!$G$4:$G$494,N$5,'VS×ケイパビリティ関係'!$E$4:$E$494,"支援")&gt;0,"○",""))</f>
        <v/>
      </c>
      <c r="O24" s="22" t="str">
        <f>IF(COUNTIFS('VS×ケイパビリティ関係'!$F$4:$F$494,$B24,'VS×ケイパビリティ関係'!$G$4:$G$494,O$5,'VS×ケイパビリティ関係'!$E$4:$E$494,"主")&gt;0,"●",IF(COUNTIFS('VS×ケイパビリティ関係'!$F$4:$F$494,$B24,'VS×ケイパビリティ関係'!$G$4:$G$494,O$5,'VS×ケイパビリティ関係'!$E$4:$E$494,"支援")&gt;0,"○",""))</f>
        <v/>
      </c>
      <c r="P24" s="22" t="str">
        <f>IF(COUNTIFS('VS×ケイパビリティ関係'!$F$4:$F$494,$B24,'VS×ケイパビリティ関係'!$G$4:$G$494,P$5,'VS×ケイパビリティ関係'!$E$4:$E$494,"主")&gt;0,"●",IF(COUNTIFS('VS×ケイパビリティ関係'!$F$4:$F$494,$B24,'VS×ケイパビリティ関係'!$G$4:$G$494,P$5,'VS×ケイパビリティ関係'!$E$4:$E$494,"支援")&gt;0,"○",""))</f>
        <v/>
      </c>
      <c r="Q24" s="22" t="str">
        <f>IF(COUNTIFS('VS×ケイパビリティ関係'!$F$4:$F$494,$B24,'VS×ケイパビリティ関係'!$G$4:$G$494,Q$5,'VS×ケイパビリティ関係'!$E$4:$E$494,"主")&gt;0,"●",IF(COUNTIFS('VS×ケイパビリティ関係'!$F$4:$F$494,$B24,'VS×ケイパビリティ関係'!$G$4:$G$494,Q$5,'VS×ケイパビリティ関係'!$E$4:$E$494,"支援")&gt;0,"○",""))</f>
        <v/>
      </c>
      <c r="R24" s="22" t="str">
        <f>IF(COUNTIFS('VS×ケイパビリティ関係'!$F$4:$F$494,$B24,'VS×ケイパビリティ関係'!$G$4:$G$494,R$5,'VS×ケイパビリティ関係'!$E$4:$E$494,"主")&gt;0,"●",IF(COUNTIFS('VS×ケイパビリティ関係'!$F$4:$F$494,$B24,'VS×ケイパビリティ関係'!$G$4:$G$494,R$5,'VS×ケイパビリティ関係'!$E$4:$E$494,"支援")&gt;0,"○",""))</f>
        <v/>
      </c>
      <c r="S24" s="22" t="str">
        <f>IF(COUNTIFS('VS×ケイパビリティ関係'!$F$4:$F$494,$B24,'VS×ケイパビリティ関係'!$G$4:$G$494,S$5,'VS×ケイパビリティ関係'!$E$4:$E$494,"主")&gt;0,"●",IF(COUNTIFS('VS×ケイパビリティ関係'!$F$4:$F$494,$B24,'VS×ケイパビリティ関係'!$G$4:$G$494,S$5,'VS×ケイパビリティ関係'!$E$4:$E$494,"支援")&gt;0,"○",""))</f>
        <v/>
      </c>
      <c r="T24" s="22" t="str">
        <f>IF(COUNTIFS('VS×ケイパビリティ関係'!$F$4:$F$494,$B24,'VS×ケイパビリティ関係'!$G$4:$G$494,T$5,'VS×ケイパビリティ関係'!$E$4:$E$494,"主")&gt;0,"●",IF(COUNTIFS('VS×ケイパビリティ関係'!$F$4:$F$494,$B24,'VS×ケイパビリティ関係'!$G$4:$G$494,T$5,'VS×ケイパビリティ関係'!$E$4:$E$494,"支援")&gt;0,"○",""))</f>
        <v/>
      </c>
      <c r="U24" s="22" t="str">
        <f>IF(COUNTIFS('VS×ケイパビリティ関係'!$F$4:$F$494,$B24,'VS×ケイパビリティ関係'!$G$4:$G$494,U$5,'VS×ケイパビリティ関係'!$E$4:$E$494,"主")&gt;0,"●",IF(COUNTIFS('VS×ケイパビリティ関係'!$F$4:$F$494,$B24,'VS×ケイパビリティ関係'!$G$4:$G$494,U$5,'VS×ケイパビリティ関係'!$E$4:$E$494,"支援")&gt;0,"○",""))</f>
        <v>●</v>
      </c>
      <c r="V24" s="22" t="str">
        <f>IF(COUNTIFS('VS×ケイパビリティ関係'!$F$4:$F$494,$B24,'VS×ケイパビリティ関係'!$G$4:$G$494,V$5,'VS×ケイパビリティ関係'!$E$4:$E$494,"主")&gt;0,"●",IF(COUNTIFS('VS×ケイパビリティ関係'!$F$4:$F$494,$B24,'VS×ケイパビリティ関係'!$G$4:$G$494,V$5,'VS×ケイパビリティ関係'!$E$4:$E$494,"支援")&gt;0,"○",""))</f>
        <v>○</v>
      </c>
      <c r="W24" s="22" t="str">
        <f>IF(COUNTIFS('VS×ケイパビリティ関係'!$F$4:$F$494,$B24,'VS×ケイパビリティ関係'!$G$4:$G$494,W$5,'VS×ケイパビリティ関係'!$E$4:$E$494,"主")&gt;0,"●",IF(COUNTIFS('VS×ケイパビリティ関係'!$F$4:$F$494,$B24,'VS×ケイパビリティ関係'!$G$4:$G$494,W$5,'VS×ケイパビリティ関係'!$E$4:$E$494,"支援")&gt;0,"○",""))</f>
        <v>○</v>
      </c>
      <c r="X24" s="22" t="str">
        <f>IF(COUNTIFS('VS×ケイパビリティ関係'!$F$4:$F$494,$B24,'VS×ケイパビリティ関係'!$G$4:$G$494,X$5,'VS×ケイパビリティ関係'!$E$4:$E$494,"主")&gt;0,"●",IF(COUNTIFS('VS×ケイパビリティ関係'!$F$4:$F$494,$B24,'VS×ケイパビリティ関係'!$G$4:$G$494,X$5,'VS×ケイパビリティ関係'!$E$4:$E$494,"支援")&gt;0,"○",""))</f>
        <v>●</v>
      </c>
      <c r="Y24" s="22" t="str">
        <f>IF(COUNTIFS('VS×ケイパビリティ関係'!$F$4:$F$494,$B24,'VS×ケイパビリティ関係'!$G$4:$G$494,Y$5,'VS×ケイパビリティ関係'!$E$4:$E$494,"主")&gt;0,"●",IF(COUNTIFS('VS×ケイパビリティ関係'!$F$4:$F$494,$B24,'VS×ケイパビリティ関係'!$G$4:$G$494,Y$5,'VS×ケイパビリティ関係'!$E$4:$E$494,"支援")&gt;0,"○",""))</f>
        <v>●</v>
      </c>
      <c r="Z24" s="22" t="str">
        <f>IF(COUNTIFS('VS×ケイパビリティ関係'!$F$4:$F$494,$B24,'VS×ケイパビリティ関係'!$G$4:$G$494,Z$5,'VS×ケイパビリティ関係'!$E$4:$E$494,"主")&gt;0,"●",IF(COUNTIFS('VS×ケイパビリティ関係'!$F$4:$F$494,$B24,'VS×ケイパビリティ関係'!$G$4:$G$494,Z$5,'VS×ケイパビリティ関係'!$E$4:$E$494,"支援")&gt;0,"○",""))</f>
        <v>○</v>
      </c>
      <c r="AA24" s="22" t="str">
        <f>IF(COUNTIFS('VS×ケイパビリティ関係'!$F$4:$F$494,$B24,'VS×ケイパビリティ関係'!$G$4:$G$494,AA$5,'VS×ケイパビリティ関係'!$E$4:$E$494,"主")&gt;0,"●",IF(COUNTIFS('VS×ケイパビリティ関係'!$F$4:$F$494,$B24,'VS×ケイパビリティ関係'!$G$4:$G$494,AA$5,'VS×ケイパビリティ関係'!$E$4:$E$494,"支援")&gt;0,"○",""))</f>
        <v>○</v>
      </c>
      <c r="AB24" s="22" t="str">
        <f>IF(COUNTIFS('VS×ケイパビリティ関係'!$F$4:$F$494,$B24,'VS×ケイパビリティ関係'!$G$4:$G$494,AB$5,'VS×ケイパビリティ関係'!$E$4:$E$494,"主")&gt;0,"●",IF(COUNTIFS('VS×ケイパビリティ関係'!$F$4:$F$494,$B24,'VS×ケイパビリティ関係'!$G$4:$G$494,AB$5,'VS×ケイパビリティ関係'!$E$4:$E$494,"支援")&gt;0,"○",""))</f>
        <v/>
      </c>
      <c r="AC24" s="22" t="str">
        <f>IF(COUNTIFS('VS×ケイパビリティ関係'!$F$4:$F$494,$B24,'VS×ケイパビリティ関係'!$G$4:$G$494,AC$5,'VS×ケイパビリティ関係'!$E$4:$E$494,"主")&gt;0,"●",IF(COUNTIFS('VS×ケイパビリティ関係'!$F$4:$F$494,$B24,'VS×ケイパビリティ関係'!$G$4:$G$494,AC$5,'VS×ケイパビリティ関係'!$E$4:$E$494,"支援")&gt;0,"○",""))</f>
        <v/>
      </c>
      <c r="AD24" s="22" t="str">
        <f>IF(COUNTIFS('VS×ケイパビリティ関係'!$F$4:$F$494,$B24,'VS×ケイパビリティ関係'!$G$4:$G$494,AD$5,'VS×ケイパビリティ関係'!$E$4:$E$494,"主")&gt;0,"●",IF(COUNTIFS('VS×ケイパビリティ関係'!$F$4:$F$494,$B24,'VS×ケイパビリティ関係'!$G$4:$G$494,AD$5,'VS×ケイパビリティ関係'!$E$4:$E$494,"支援")&gt;0,"○",""))</f>
        <v/>
      </c>
      <c r="AE24" s="22" t="str">
        <f>IF(COUNTIFS('VS×ケイパビリティ関係'!$F$4:$F$494,$B24,'VS×ケイパビリティ関係'!$G$4:$G$494,AE$5,'VS×ケイパビリティ関係'!$E$4:$E$494,"主")&gt;0,"●",IF(COUNTIFS('VS×ケイパビリティ関係'!$F$4:$F$494,$B24,'VS×ケイパビリティ関係'!$G$4:$G$494,AE$5,'VS×ケイパビリティ関係'!$E$4:$E$494,"支援")&gt;0,"○",""))</f>
        <v/>
      </c>
      <c r="AF24" s="22" t="str">
        <f>IF(COUNTIFS('VS×ケイパビリティ関係'!$F$4:$F$494,$B24,'VS×ケイパビリティ関係'!$G$4:$G$494,AF$5,'VS×ケイパビリティ関係'!$E$4:$E$494,"主")&gt;0,"●",IF(COUNTIFS('VS×ケイパビリティ関係'!$F$4:$F$494,$B24,'VS×ケイパビリティ関係'!$G$4:$G$494,AF$5,'VS×ケイパビリティ関係'!$E$4:$E$494,"支援")&gt;0,"○",""))</f>
        <v/>
      </c>
      <c r="AG24" s="22" t="str">
        <f>IF(COUNTIFS('VS×ケイパビリティ関係'!$F$4:$F$494,$B24,'VS×ケイパビリティ関係'!$G$4:$G$494,AG$5,'VS×ケイパビリティ関係'!$E$4:$E$494,"主")&gt;0,"●",IF(COUNTIFS('VS×ケイパビリティ関係'!$F$4:$F$494,$B24,'VS×ケイパビリティ関係'!$G$4:$G$494,AG$5,'VS×ケイパビリティ関係'!$E$4:$E$494,"支援")&gt;0,"○",""))</f>
        <v/>
      </c>
      <c r="AH24" s="22" t="str">
        <f>IF(COUNTIFS('VS×ケイパビリティ関係'!$F$4:$F$494,$B24,'VS×ケイパビリティ関係'!$G$4:$G$494,AH$5,'VS×ケイパビリティ関係'!$E$4:$E$494,"主")&gt;0,"●",IF(COUNTIFS('VS×ケイパビリティ関係'!$F$4:$F$494,$B24,'VS×ケイパビリティ関係'!$G$4:$G$494,AH$5,'VS×ケイパビリティ関係'!$E$4:$E$494,"支援")&gt;0,"○",""))</f>
        <v/>
      </c>
      <c r="AI24" s="22" t="str">
        <f>IF(COUNTIFS('VS×ケイパビリティ関係'!$F$4:$F$494,$B24,'VS×ケイパビリティ関係'!$G$4:$G$494,AI$5,'VS×ケイパビリティ関係'!$E$4:$E$494,"主")&gt;0,"●",IF(COUNTIFS('VS×ケイパビリティ関係'!$F$4:$F$494,$B24,'VS×ケイパビリティ関係'!$G$4:$G$494,AI$5,'VS×ケイパビリティ関係'!$E$4:$E$494,"支援")&gt;0,"○",""))</f>
        <v/>
      </c>
      <c r="AJ24" s="22" t="str">
        <f>IF(COUNTIFS('VS×ケイパビリティ関係'!$F$4:$F$494,$B24,'VS×ケイパビリティ関係'!$G$4:$G$494,AJ$5,'VS×ケイパビリティ関係'!$E$4:$E$494,"主")&gt;0,"●",IF(COUNTIFS('VS×ケイパビリティ関係'!$F$4:$F$494,$B24,'VS×ケイパビリティ関係'!$G$4:$G$494,AJ$5,'VS×ケイパビリティ関係'!$E$4:$E$494,"支援")&gt;0,"○",""))</f>
        <v/>
      </c>
      <c r="AK24" s="22" t="str">
        <f>IF(COUNTIFS('VS×ケイパビリティ関係'!$F$4:$F$494,$B24,'VS×ケイパビリティ関係'!$G$4:$G$494,AK$5,'VS×ケイパビリティ関係'!$E$4:$E$494,"主")&gt;0,"●",IF(COUNTIFS('VS×ケイパビリティ関係'!$F$4:$F$494,$B24,'VS×ケイパビリティ関係'!$G$4:$G$494,AK$5,'VS×ケイパビリティ関係'!$E$4:$E$494,"支援")&gt;0,"○",""))</f>
        <v/>
      </c>
      <c r="AL24" s="22" t="str">
        <f>IF(COUNTIFS('VS×ケイパビリティ関係'!$F$4:$F$494,$B24,'VS×ケイパビリティ関係'!$G$4:$G$494,AL$5,'VS×ケイパビリティ関係'!$E$4:$E$494,"主")&gt;0,"●",IF(COUNTIFS('VS×ケイパビリティ関係'!$F$4:$F$494,$B24,'VS×ケイパビリティ関係'!$G$4:$G$494,AL$5,'VS×ケイパビリティ関係'!$E$4:$E$494,"支援")&gt;0,"○",""))</f>
        <v/>
      </c>
      <c r="AM24" s="22" t="str">
        <f>IF(COUNTIFS('VS×ケイパビリティ関係'!$F$4:$F$494,$B24,'VS×ケイパビリティ関係'!$G$4:$G$494,AM$5,'VS×ケイパビリティ関係'!$E$4:$E$494,"主")&gt;0,"●",IF(COUNTIFS('VS×ケイパビリティ関係'!$F$4:$F$494,$B24,'VS×ケイパビリティ関係'!$G$4:$G$494,AM$5,'VS×ケイパビリティ関係'!$E$4:$E$494,"支援")&gt;0,"○",""))</f>
        <v>○</v>
      </c>
      <c r="AN24" s="22" t="str">
        <f>IF(COUNTIFS('VS×ケイパビリティ関係'!$F$4:$F$494,$B24,'VS×ケイパビリティ関係'!$G$4:$G$494,AN$5,'VS×ケイパビリティ関係'!$E$4:$E$494,"主")&gt;0,"●",IF(COUNTIFS('VS×ケイパビリティ関係'!$F$4:$F$494,$B24,'VS×ケイパビリティ関係'!$G$4:$G$494,AN$5,'VS×ケイパビリティ関係'!$E$4:$E$494,"支援")&gt;0,"○",""))</f>
        <v/>
      </c>
      <c r="AO24" s="22" t="str">
        <f>IF(COUNTIFS('VS×ケイパビリティ関係'!$F$4:$F$494,$B24,'VS×ケイパビリティ関係'!$G$4:$G$494,AO$5,'VS×ケイパビリティ関係'!$E$4:$E$494,"主")&gt;0,"●",IF(COUNTIFS('VS×ケイパビリティ関係'!$F$4:$F$494,$B24,'VS×ケイパビリティ関係'!$G$4:$G$494,AO$5,'VS×ケイパビリティ関係'!$E$4:$E$494,"支援")&gt;0,"○",""))</f>
        <v/>
      </c>
      <c r="AP24" s="22" t="str">
        <f>IF(COUNTIFS('VS×ケイパビリティ関係'!$F$4:$F$494,$B24,'VS×ケイパビリティ関係'!$G$4:$G$494,AP$5,'VS×ケイパビリティ関係'!$E$4:$E$494,"主")&gt;0,"●",IF(COUNTIFS('VS×ケイパビリティ関係'!$F$4:$F$494,$B24,'VS×ケイパビリティ関係'!$G$4:$G$494,AP$5,'VS×ケイパビリティ関係'!$E$4:$E$494,"支援")&gt;0,"○",""))</f>
        <v/>
      </c>
      <c r="AQ24" s="22" t="str">
        <f>IF(COUNTIFS('VS×ケイパビリティ関係'!$F$4:$F$494,$B24,'VS×ケイパビリティ関係'!$G$4:$G$494,AQ$5,'VS×ケイパビリティ関係'!$E$4:$E$494,"主")&gt;0,"●",IF(COUNTIFS('VS×ケイパビリティ関係'!$F$4:$F$494,$B24,'VS×ケイパビリティ関係'!$G$4:$G$494,AQ$5,'VS×ケイパビリティ関係'!$E$4:$E$494,"支援")&gt;0,"○",""))</f>
        <v/>
      </c>
      <c r="AR24" s="22" t="str">
        <f>IF(COUNTIFS('VS×ケイパビリティ関係'!$F$4:$F$494,$B24,'VS×ケイパビリティ関係'!$G$4:$G$494,AR$5,'VS×ケイパビリティ関係'!$E$4:$E$494,"主")&gt;0,"●",IF(COUNTIFS('VS×ケイパビリティ関係'!$F$4:$F$494,$B24,'VS×ケイパビリティ関係'!$G$4:$G$494,AR$5,'VS×ケイパビリティ関係'!$E$4:$E$494,"支援")&gt;0,"○",""))</f>
        <v/>
      </c>
      <c r="AS24" s="22" t="str">
        <f>IF(COUNTIFS('VS×ケイパビリティ関係'!$F$4:$F$494,$B24,'VS×ケイパビリティ関係'!$G$4:$G$494,AS$5,'VS×ケイパビリティ関係'!$E$4:$E$494,"主")&gt;0,"●",IF(COUNTIFS('VS×ケイパビリティ関係'!$F$4:$F$494,$B24,'VS×ケイパビリティ関係'!$G$4:$G$494,AS$5,'VS×ケイパビリティ関係'!$E$4:$E$494,"支援")&gt;0,"○",""))</f>
        <v/>
      </c>
      <c r="AT24" s="22" t="str">
        <f>IF(COUNTIFS('VS×ケイパビリティ関係'!$F$4:$F$494,$B24,'VS×ケイパビリティ関係'!$G$4:$G$494,AT$5,'VS×ケイパビリティ関係'!$E$4:$E$494,"主")&gt;0,"●",IF(COUNTIFS('VS×ケイパビリティ関係'!$F$4:$F$494,$B24,'VS×ケイパビリティ関係'!$G$4:$G$494,AT$5,'VS×ケイパビリティ関係'!$E$4:$E$494,"支援")&gt;0,"○",""))</f>
        <v/>
      </c>
      <c r="AU24" s="22" t="str">
        <f>IF(COUNTIFS('VS×ケイパビリティ関係'!$F$4:$F$494,$B24,'VS×ケイパビリティ関係'!$G$4:$G$494,AU$5,'VS×ケイパビリティ関係'!$E$4:$E$494,"主")&gt;0,"●",IF(COUNTIFS('VS×ケイパビリティ関係'!$F$4:$F$494,$B24,'VS×ケイパビリティ関係'!$G$4:$G$494,AU$5,'VS×ケイパビリティ関係'!$E$4:$E$494,"支援")&gt;0,"○",""))</f>
        <v/>
      </c>
      <c r="AV24" s="22" t="str">
        <f>IF(COUNTIFS('VS×ケイパビリティ関係'!$F$4:$F$494,$B24,'VS×ケイパビリティ関係'!$G$4:$G$494,AV$5,'VS×ケイパビリティ関係'!$E$4:$E$494,"主")&gt;0,"●",IF(COUNTIFS('VS×ケイパビリティ関係'!$F$4:$F$494,$B24,'VS×ケイパビリティ関係'!$G$4:$G$494,AV$5,'VS×ケイパビリティ関係'!$E$4:$E$494,"支援")&gt;0,"○",""))</f>
        <v/>
      </c>
      <c r="AW24" s="22" t="str">
        <f>IF(COUNTIFS('VS×ケイパビリティ関係'!$F$4:$F$494,$B24,'VS×ケイパビリティ関係'!$G$4:$G$494,AW$5,'VS×ケイパビリティ関係'!$E$4:$E$494,"主")&gt;0,"●",IF(COUNTIFS('VS×ケイパビリティ関係'!$F$4:$F$494,$B24,'VS×ケイパビリティ関係'!$G$4:$G$494,AW$5,'VS×ケイパビリティ関係'!$E$4:$E$494,"支援")&gt;0,"○",""))</f>
        <v/>
      </c>
      <c r="AX24" s="22" t="str">
        <f>IF(COUNTIFS('VS×ケイパビリティ関係'!$F$4:$F$494,$B24,'VS×ケイパビリティ関係'!$G$4:$G$494,AX$5,'VS×ケイパビリティ関係'!$E$4:$E$494,"主")&gt;0,"●",IF(COUNTIFS('VS×ケイパビリティ関係'!$F$4:$F$494,$B24,'VS×ケイパビリティ関係'!$G$4:$G$494,AX$5,'VS×ケイパビリティ関係'!$E$4:$E$494,"支援")&gt;0,"○",""))</f>
        <v/>
      </c>
      <c r="AY24" s="22" t="str">
        <f>IF(COUNTIFS('VS×ケイパビリティ関係'!$F$4:$F$494,$B24,'VS×ケイパビリティ関係'!$G$4:$G$494,AY$5,'VS×ケイパビリティ関係'!$E$4:$E$494,"主")&gt;0,"●",IF(COUNTIFS('VS×ケイパビリティ関係'!$F$4:$F$494,$B24,'VS×ケイパビリティ関係'!$G$4:$G$494,AY$5,'VS×ケイパビリティ関係'!$E$4:$E$494,"支援")&gt;0,"○",""))</f>
        <v/>
      </c>
      <c r="AZ24" s="22" t="str">
        <f>IF(COUNTIFS('VS×ケイパビリティ関係'!$F$4:$F$494,$B24,'VS×ケイパビリティ関係'!$G$4:$G$494,AZ$5,'VS×ケイパビリティ関係'!$E$4:$E$494,"主")&gt;0,"●",IF(COUNTIFS('VS×ケイパビリティ関係'!$F$4:$F$494,$B24,'VS×ケイパビリティ関係'!$G$4:$G$494,AZ$5,'VS×ケイパビリティ関係'!$E$4:$E$494,"支援")&gt;0,"○",""))</f>
        <v/>
      </c>
      <c r="BA24" s="22" t="str">
        <f>IF(COUNTIFS('VS×ケイパビリティ関係'!$F$4:$F$494,$B24,'VS×ケイパビリティ関係'!$G$4:$G$494,BA$5,'VS×ケイパビリティ関係'!$E$4:$E$494,"主")&gt;0,"●",IF(COUNTIFS('VS×ケイパビリティ関係'!$F$4:$F$494,$B24,'VS×ケイパビリティ関係'!$G$4:$G$494,BA$5,'VS×ケイパビリティ関係'!$E$4:$E$494,"支援")&gt;0,"○",""))</f>
        <v/>
      </c>
      <c r="BB24" s="22" t="str">
        <f>IF(COUNTIFS('VS×ケイパビリティ関係'!$F$4:$F$494,$B24,'VS×ケイパビリティ関係'!$G$4:$G$494,BB$5,'VS×ケイパビリティ関係'!$E$4:$E$494,"主")&gt;0,"●",IF(COUNTIFS('VS×ケイパビリティ関係'!$F$4:$F$494,$B24,'VS×ケイパビリティ関係'!$G$4:$G$494,BB$5,'VS×ケイパビリティ関係'!$E$4:$E$494,"支援")&gt;0,"○",""))</f>
        <v/>
      </c>
      <c r="BC24" s="22" t="str">
        <f>IF(COUNTIFS('VS×ケイパビリティ関係'!$F$4:$F$494,$B24,'VS×ケイパビリティ関係'!$G$4:$G$494,BC$5,'VS×ケイパビリティ関係'!$E$4:$E$494,"主")&gt;0,"●",IF(COUNTIFS('VS×ケイパビリティ関係'!$F$4:$F$494,$B24,'VS×ケイパビリティ関係'!$G$4:$G$494,BC$5,'VS×ケイパビリティ関係'!$E$4:$E$494,"支援")&gt;0,"○",""))</f>
        <v/>
      </c>
      <c r="BD24" s="22" t="str">
        <f>IF(COUNTIFS('VS×ケイパビリティ関係'!$F$4:$F$494,$B24,'VS×ケイパビリティ関係'!$G$4:$G$494,BD$5,'VS×ケイパビリティ関係'!$E$4:$E$494,"主")&gt;0,"●",IF(COUNTIFS('VS×ケイパビリティ関係'!$F$4:$F$494,$B24,'VS×ケイパビリティ関係'!$G$4:$G$494,BD$5,'VS×ケイパビリティ関係'!$E$4:$E$494,"支援")&gt;0,"○",""))</f>
        <v/>
      </c>
      <c r="BE24" s="22">
        <f t="shared" si="1"/>
        <v>3</v>
      </c>
      <c r="BF24" s="22">
        <f t="shared" si="2"/>
        <v>5</v>
      </c>
    </row>
    <row r="25" ht="15.0" customHeight="1">
      <c r="A25" s="42"/>
      <c r="B25" s="22" t="s">
        <v>1493</v>
      </c>
      <c r="C25" s="25" t="s">
        <v>1495</v>
      </c>
      <c r="D25" s="22" t="str">
        <f>IF(COUNTIFS('VS×ケイパビリティ関係'!$F$4:$F$494,$B25,'VS×ケイパビリティ関係'!$G$4:$G$494,D$5,'VS×ケイパビリティ関係'!$E$4:$E$494,"主")&gt;0,"●",IF(COUNTIFS('VS×ケイパビリティ関係'!$F$4:$F$494,$B25,'VS×ケイパビリティ関係'!$G$4:$G$494,D$5,'VS×ケイパビリティ関係'!$E$4:$E$494,"支援")&gt;0,"○",""))</f>
        <v/>
      </c>
      <c r="E25" s="22" t="str">
        <f>IF(COUNTIFS('VS×ケイパビリティ関係'!$F$4:$F$494,$B25,'VS×ケイパビリティ関係'!$G$4:$G$494,E$5,'VS×ケイパビリティ関係'!$E$4:$E$494,"主")&gt;0,"●",IF(COUNTIFS('VS×ケイパビリティ関係'!$F$4:$F$494,$B25,'VS×ケイパビリティ関係'!$G$4:$G$494,E$5,'VS×ケイパビリティ関係'!$E$4:$E$494,"支援")&gt;0,"○",""))</f>
        <v/>
      </c>
      <c r="F25" s="22" t="str">
        <f>IF(COUNTIFS('VS×ケイパビリティ関係'!$F$4:$F$494,$B25,'VS×ケイパビリティ関係'!$G$4:$G$494,F$5,'VS×ケイパビリティ関係'!$E$4:$E$494,"主")&gt;0,"●",IF(COUNTIFS('VS×ケイパビリティ関係'!$F$4:$F$494,$B25,'VS×ケイパビリティ関係'!$G$4:$G$494,F$5,'VS×ケイパビリティ関係'!$E$4:$E$494,"支援")&gt;0,"○",""))</f>
        <v/>
      </c>
      <c r="G25" s="22" t="str">
        <f>IF(COUNTIFS('VS×ケイパビリティ関係'!$F$4:$F$494,$B25,'VS×ケイパビリティ関係'!$G$4:$G$494,G$5,'VS×ケイパビリティ関係'!$E$4:$E$494,"主")&gt;0,"●",IF(COUNTIFS('VS×ケイパビリティ関係'!$F$4:$F$494,$B25,'VS×ケイパビリティ関係'!$G$4:$G$494,G$5,'VS×ケイパビリティ関係'!$E$4:$E$494,"支援")&gt;0,"○",""))</f>
        <v/>
      </c>
      <c r="H25" s="22" t="str">
        <f>IF(COUNTIFS('VS×ケイパビリティ関係'!$F$4:$F$494,$B25,'VS×ケイパビリティ関係'!$G$4:$G$494,H$5,'VS×ケイパビリティ関係'!$E$4:$E$494,"主")&gt;0,"●",IF(COUNTIFS('VS×ケイパビリティ関係'!$F$4:$F$494,$B25,'VS×ケイパビリティ関係'!$G$4:$G$494,H$5,'VS×ケイパビリティ関係'!$E$4:$E$494,"支援")&gt;0,"○",""))</f>
        <v/>
      </c>
      <c r="I25" s="22" t="str">
        <f>IF(COUNTIFS('VS×ケイパビリティ関係'!$F$4:$F$494,$B25,'VS×ケイパビリティ関係'!$G$4:$G$494,I$5,'VS×ケイパビリティ関係'!$E$4:$E$494,"主")&gt;0,"●",IF(COUNTIFS('VS×ケイパビリティ関係'!$F$4:$F$494,$B25,'VS×ケイパビリティ関係'!$G$4:$G$494,I$5,'VS×ケイパビリティ関係'!$E$4:$E$494,"支援")&gt;0,"○",""))</f>
        <v/>
      </c>
      <c r="J25" s="22" t="str">
        <f>IF(COUNTIFS('VS×ケイパビリティ関係'!$F$4:$F$494,$B25,'VS×ケイパビリティ関係'!$G$4:$G$494,J$5,'VS×ケイパビリティ関係'!$E$4:$E$494,"主")&gt;0,"●",IF(COUNTIFS('VS×ケイパビリティ関係'!$F$4:$F$494,$B25,'VS×ケイパビリティ関係'!$G$4:$G$494,J$5,'VS×ケイパビリティ関係'!$E$4:$E$494,"支援")&gt;0,"○",""))</f>
        <v/>
      </c>
      <c r="K25" s="22" t="str">
        <f>IF(COUNTIFS('VS×ケイパビリティ関係'!$F$4:$F$494,$B25,'VS×ケイパビリティ関係'!$G$4:$G$494,K$5,'VS×ケイパビリティ関係'!$E$4:$E$494,"主")&gt;0,"●",IF(COUNTIFS('VS×ケイパビリティ関係'!$F$4:$F$494,$B25,'VS×ケイパビリティ関係'!$G$4:$G$494,K$5,'VS×ケイパビリティ関係'!$E$4:$E$494,"支援")&gt;0,"○",""))</f>
        <v/>
      </c>
      <c r="L25" s="22" t="str">
        <f>IF(COUNTIFS('VS×ケイパビリティ関係'!$F$4:$F$494,$B25,'VS×ケイパビリティ関係'!$G$4:$G$494,L$5,'VS×ケイパビリティ関係'!$E$4:$E$494,"主")&gt;0,"●",IF(COUNTIFS('VS×ケイパビリティ関係'!$F$4:$F$494,$B25,'VS×ケイパビリティ関係'!$G$4:$G$494,L$5,'VS×ケイパビリティ関係'!$E$4:$E$494,"支援")&gt;0,"○",""))</f>
        <v/>
      </c>
      <c r="M25" s="22" t="str">
        <f>IF(COUNTIFS('VS×ケイパビリティ関係'!$F$4:$F$494,$B25,'VS×ケイパビリティ関係'!$G$4:$G$494,M$5,'VS×ケイパビリティ関係'!$E$4:$E$494,"主")&gt;0,"●",IF(COUNTIFS('VS×ケイパビリティ関係'!$F$4:$F$494,$B25,'VS×ケイパビリティ関係'!$G$4:$G$494,M$5,'VS×ケイパビリティ関係'!$E$4:$E$494,"支援")&gt;0,"○",""))</f>
        <v/>
      </c>
      <c r="N25" s="22" t="str">
        <f>IF(COUNTIFS('VS×ケイパビリティ関係'!$F$4:$F$494,$B25,'VS×ケイパビリティ関係'!$G$4:$G$494,N$5,'VS×ケイパビリティ関係'!$E$4:$E$494,"主")&gt;0,"●",IF(COUNTIFS('VS×ケイパビリティ関係'!$F$4:$F$494,$B25,'VS×ケイパビリティ関係'!$G$4:$G$494,N$5,'VS×ケイパビリティ関係'!$E$4:$E$494,"支援")&gt;0,"○",""))</f>
        <v>○</v>
      </c>
      <c r="O25" s="22" t="str">
        <f>IF(COUNTIFS('VS×ケイパビリティ関係'!$F$4:$F$494,$B25,'VS×ケイパビリティ関係'!$G$4:$G$494,O$5,'VS×ケイパビリティ関係'!$E$4:$E$494,"主")&gt;0,"●",IF(COUNTIFS('VS×ケイパビリティ関係'!$F$4:$F$494,$B25,'VS×ケイパビリティ関係'!$G$4:$G$494,O$5,'VS×ケイパビリティ関係'!$E$4:$E$494,"支援")&gt;0,"○",""))</f>
        <v>●</v>
      </c>
      <c r="P25" s="22" t="str">
        <f>IF(COUNTIFS('VS×ケイパビリティ関係'!$F$4:$F$494,$B25,'VS×ケイパビリティ関係'!$G$4:$G$494,P$5,'VS×ケイパビリティ関係'!$E$4:$E$494,"主")&gt;0,"●",IF(COUNTIFS('VS×ケイパビリティ関係'!$F$4:$F$494,$B25,'VS×ケイパビリティ関係'!$G$4:$G$494,P$5,'VS×ケイパビリティ関係'!$E$4:$E$494,"支援")&gt;0,"○",""))</f>
        <v/>
      </c>
      <c r="Q25" s="22" t="str">
        <f>IF(COUNTIFS('VS×ケイパビリティ関係'!$F$4:$F$494,$B25,'VS×ケイパビリティ関係'!$G$4:$G$494,Q$5,'VS×ケイパビリティ関係'!$E$4:$E$494,"主")&gt;0,"●",IF(COUNTIFS('VS×ケイパビリティ関係'!$F$4:$F$494,$B25,'VS×ケイパビリティ関係'!$G$4:$G$494,Q$5,'VS×ケイパビリティ関係'!$E$4:$E$494,"支援")&gt;0,"○",""))</f>
        <v/>
      </c>
      <c r="R25" s="22" t="str">
        <f>IF(COUNTIFS('VS×ケイパビリティ関係'!$F$4:$F$494,$B25,'VS×ケイパビリティ関係'!$G$4:$G$494,R$5,'VS×ケイパビリティ関係'!$E$4:$E$494,"主")&gt;0,"●",IF(COUNTIFS('VS×ケイパビリティ関係'!$F$4:$F$494,$B25,'VS×ケイパビリティ関係'!$G$4:$G$494,R$5,'VS×ケイパビリティ関係'!$E$4:$E$494,"支援")&gt;0,"○",""))</f>
        <v/>
      </c>
      <c r="S25" s="22" t="str">
        <f>IF(COUNTIFS('VS×ケイパビリティ関係'!$F$4:$F$494,$B25,'VS×ケイパビリティ関係'!$G$4:$G$494,S$5,'VS×ケイパビリティ関係'!$E$4:$E$494,"主")&gt;0,"●",IF(COUNTIFS('VS×ケイパビリティ関係'!$F$4:$F$494,$B25,'VS×ケイパビリティ関係'!$G$4:$G$494,S$5,'VS×ケイパビリティ関係'!$E$4:$E$494,"支援")&gt;0,"○",""))</f>
        <v/>
      </c>
      <c r="T25" s="22" t="str">
        <f>IF(COUNTIFS('VS×ケイパビリティ関係'!$F$4:$F$494,$B25,'VS×ケイパビリティ関係'!$G$4:$G$494,T$5,'VS×ケイパビリティ関係'!$E$4:$E$494,"主")&gt;0,"●",IF(COUNTIFS('VS×ケイパビリティ関係'!$F$4:$F$494,$B25,'VS×ケイパビリティ関係'!$G$4:$G$494,T$5,'VS×ケイパビリティ関係'!$E$4:$E$494,"支援")&gt;0,"○",""))</f>
        <v/>
      </c>
      <c r="U25" s="22" t="str">
        <f>IF(COUNTIFS('VS×ケイパビリティ関係'!$F$4:$F$494,$B25,'VS×ケイパビリティ関係'!$G$4:$G$494,U$5,'VS×ケイパビリティ関係'!$E$4:$E$494,"主")&gt;0,"●",IF(COUNTIFS('VS×ケイパビリティ関係'!$F$4:$F$494,$B25,'VS×ケイパビリティ関係'!$G$4:$G$494,U$5,'VS×ケイパビリティ関係'!$E$4:$E$494,"支援")&gt;0,"○",""))</f>
        <v/>
      </c>
      <c r="V25" s="22" t="str">
        <f>IF(COUNTIFS('VS×ケイパビリティ関係'!$F$4:$F$494,$B25,'VS×ケイパビリティ関係'!$G$4:$G$494,V$5,'VS×ケイパビリティ関係'!$E$4:$E$494,"主")&gt;0,"●",IF(COUNTIFS('VS×ケイパビリティ関係'!$F$4:$F$494,$B25,'VS×ケイパビリティ関係'!$G$4:$G$494,V$5,'VS×ケイパビリティ関係'!$E$4:$E$494,"支援")&gt;0,"○",""))</f>
        <v>○</v>
      </c>
      <c r="W25" s="22" t="str">
        <f>IF(COUNTIFS('VS×ケイパビリティ関係'!$F$4:$F$494,$B25,'VS×ケイパビリティ関係'!$G$4:$G$494,W$5,'VS×ケイパビリティ関係'!$E$4:$E$494,"主")&gt;0,"●",IF(COUNTIFS('VS×ケイパビリティ関係'!$F$4:$F$494,$B25,'VS×ケイパビリティ関係'!$G$4:$G$494,W$5,'VS×ケイパビリティ関係'!$E$4:$E$494,"支援")&gt;0,"○",""))</f>
        <v/>
      </c>
      <c r="X25" s="22" t="str">
        <f>IF(COUNTIFS('VS×ケイパビリティ関係'!$F$4:$F$494,$B25,'VS×ケイパビリティ関係'!$G$4:$G$494,X$5,'VS×ケイパビリティ関係'!$E$4:$E$494,"主")&gt;0,"●",IF(COUNTIFS('VS×ケイパビリティ関係'!$F$4:$F$494,$B25,'VS×ケイパビリティ関係'!$G$4:$G$494,X$5,'VS×ケイパビリティ関係'!$E$4:$E$494,"支援")&gt;0,"○",""))</f>
        <v>●</v>
      </c>
      <c r="Y25" s="22" t="str">
        <f>IF(COUNTIFS('VS×ケイパビリティ関係'!$F$4:$F$494,$B25,'VS×ケイパビリティ関係'!$G$4:$G$494,Y$5,'VS×ケイパビリティ関係'!$E$4:$E$494,"主")&gt;0,"●",IF(COUNTIFS('VS×ケイパビリティ関係'!$F$4:$F$494,$B25,'VS×ケイパビリティ関係'!$G$4:$G$494,Y$5,'VS×ケイパビリティ関係'!$E$4:$E$494,"支援")&gt;0,"○",""))</f>
        <v>●</v>
      </c>
      <c r="Z25" s="22" t="str">
        <f>IF(COUNTIFS('VS×ケイパビリティ関係'!$F$4:$F$494,$B25,'VS×ケイパビリティ関係'!$G$4:$G$494,Z$5,'VS×ケイパビリティ関係'!$E$4:$E$494,"主")&gt;0,"●",IF(COUNTIFS('VS×ケイパビリティ関係'!$F$4:$F$494,$B25,'VS×ケイパビリティ関係'!$G$4:$G$494,Z$5,'VS×ケイパビリティ関係'!$E$4:$E$494,"支援")&gt;0,"○",""))</f>
        <v/>
      </c>
      <c r="AA25" s="22" t="str">
        <f>IF(COUNTIFS('VS×ケイパビリティ関係'!$F$4:$F$494,$B25,'VS×ケイパビリティ関係'!$G$4:$G$494,AA$5,'VS×ケイパビリティ関係'!$E$4:$E$494,"主")&gt;0,"●",IF(COUNTIFS('VS×ケイパビリティ関係'!$F$4:$F$494,$B25,'VS×ケイパビリティ関係'!$G$4:$G$494,AA$5,'VS×ケイパビリティ関係'!$E$4:$E$494,"支援")&gt;0,"○",""))</f>
        <v/>
      </c>
      <c r="AB25" s="22" t="str">
        <f>IF(COUNTIFS('VS×ケイパビリティ関係'!$F$4:$F$494,$B25,'VS×ケイパビリティ関係'!$G$4:$G$494,AB$5,'VS×ケイパビリティ関係'!$E$4:$E$494,"主")&gt;0,"●",IF(COUNTIFS('VS×ケイパビリティ関係'!$F$4:$F$494,$B25,'VS×ケイパビリティ関係'!$G$4:$G$494,AB$5,'VS×ケイパビリティ関係'!$E$4:$E$494,"支援")&gt;0,"○",""))</f>
        <v/>
      </c>
      <c r="AC25" s="22" t="str">
        <f>IF(COUNTIFS('VS×ケイパビリティ関係'!$F$4:$F$494,$B25,'VS×ケイパビリティ関係'!$G$4:$G$494,AC$5,'VS×ケイパビリティ関係'!$E$4:$E$494,"主")&gt;0,"●",IF(COUNTIFS('VS×ケイパビリティ関係'!$F$4:$F$494,$B25,'VS×ケイパビリティ関係'!$G$4:$G$494,AC$5,'VS×ケイパビリティ関係'!$E$4:$E$494,"支援")&gt;0,"○",""))</f>
        <v/>
      </c>
      <c r="AD25" s="22" t="str">
        <f>IF(COUNTIFS('VS×ケイパビリティ関係'!$F$4:$F$494,$B25,'VS×ケイパビリティ関係'!$G$4:$G$494,AD$5,'VS×ケイパビリティ関係'!$E$4:$E$494,"主")&gt;0,"●",IF(COUNTIFS('VS×ケイパビリティ関係'!$F$4:$F$494,$B25,'VS×ケイパビリティ関係'!$G$4:$G$494,AD$5,'VS×ケイパビリティ関係'!$E$4:$E$494,"支援")&gt;0,"○",""))</f>
        <v/>
      </c>
      <c r="AE25" s="22" t="str">
        <f>IF(COUNTIFS('VS×ケイパビリティ関係'!$F$4:$F$494,$B25,'VS×ケイパビリティ関係'!$G$4:$G$494,AE$5,'VS×ケイパビリティ関係'!$E$4:$E$494,"主")&gt;0,"●",IF(COUNTIFS('VS×ケイパビリティ関係'!$F$4:$F$494,$B25,'VS×ケイパビリティ関係'!$G$4:$G$494,AE$5,'VS×ケイパビリティ関係'!$E$4:$E$494,"支援")&gt;0,"○",""))</f>
        <v/>
      </c>
      <c r="AF25" s="22" t="str">
        <f>IF(COUNTIFS('VS×ケイパビリティ関係'!$F$4:$F$494,$B25,'VS×ケイパビリティ関係'!$G$4:$G$494,AF$5,'VS×ケイパビリティ関係'!$E$4:$E$494,"主")&gt;0,"●",IF(COUNTIFS('VS×ケイパビリティ関係'!$F$4:$F$494,$B25,'VS×ケイパビリティ関係'!$G$4:$G$494,AF$5,'VS×ケイパビリティ関係'!$E$4:$E$494,"支援")&gt;0,"○",""))</f>
        <v/>
      </c>
      <c r="AG25" s="22" t="str">
        <f>IF(COUNTIFS('VS×ケイパビリティ関係'!$F$4:$F$494,$B25,'VS×ケイパビリティ関係'!$G$4:$G$494,AG$5,'VS×ケイパビリティ関係'!$E$4:$E$494,"主")&gt;0,"●",IF(COUNTIFS('VS×ケイパビリティ関係'!$F$4:$F$494,$B25,'VS×ケイパビリティ関係'!$G$4:$G$494,AG$5,'VS×ケイパビリティ関係'!$E$4:$E$494,"支援")&gt;0,"○",""))</f>
        <v/>
      </c>
      <c r="AH25" s="22" t="str">
        <f>IF(COUNTIFS('VS×ケイパビリティ関係'!$F$4:$F$494,$B25,'VS×ケイパビリティ関係'!$G$4:$G$494,AH$5,'VS×ケイパビリティ関係'!$E$4:$E$494,"主")&gt;0,"●",IF(COUNTIFS('VS×ケイパビリティ関係'!$F$4:$F$494,$B25,'VS×ケイパビリティ関係'!$G$4:$G$494,AH$5,'VS×ケイパビリティ関係'!$E$4:$E$494,"支援")&gt;0,"○",""))</f>
        <v/>
      </c>
      <c r="AI25" s="22" t="str">
        <f>IF(COUNTIFS('VS×ケイパビリティ関係'!$F$4:$F$494,$B25,'VS×ケイパビリティ関係'!$G$4:$G$494,AI$5,'VS×ケイパビリティ関係'!$E$4:$E$494,"主")&gt;0,"●",IF(COUNTIFS('VS×ケイパビリティ関係'!$F$4:$F$494,$B25,'VS×ケイパビリティ関係'!$G$4:$G$494,AI$5,'VS×ケイパビリティ関係'!$E$4:$E$494,"支援")&gt;0,"○",""))</f>
        <v/>
      </c>
      <c r="AJ25" s="22" t="str">
        <f>IF(COUNTIFS('VS×ケイパビリティ関係'!$F$4:$F$494,$B25,'VS×ケイパビリティ関係'!$G$4:$G$494,AJ$5,'VS×ケイパビリティ関係'!$E$4:$E$494,"主")&gt;0,"●",IF(COUNTIFS('VS×ケイパビリティ関係'!$F$4:$F$494,$B25,'VS×ケイパビリティ関係'!$G$4:$G$494,AJ$5,'VS×ケイパビリティ関係'!$E$4:$E$494,"支援")&gt;0,"○",""))</f>
        <v/>
      </c>
      <c r="AK25" s="22" t="str">
        <f>IF(COUNTIFS('VS×ケイパビリティ関係'!$F$4:$F$494,$B25,'VS×ケイパビリティ関係'!$G$4:$G$494,AK$5,'VS×ケイパビリティ関係'!$E$4:$E$494,"主")&gt;0,"●",IF(COUNTIFS('VS×ケイパビリティ関係'!$F$4:$F$494,$B25,'VS×ケイパビリティ関係'!$G$4:$G$494,AK$5,'VS×ケイパビリティ関係'!$E$4:$E$494,"支援")&gt;0,"○",""))</f>
        <v/>
      </c>
      <c r="AL25" s="22" t="str">
        <f>IF(COUNTIFS('VS×ケイパビリティ関係'!$F$4:$F$494,$B25,'VS×ケイパビリティ関係'!$G$4:$G$494,AL$5,'VS×ケイパビリティ関係'!$E$4:$E$494,"主")&gt;0,"●",IF(COUNTIFS('VS×ケイパビリティ関係'!$F$4:$F$494,$B25,'VS×ケイパビリティ関係'!$G$4:$G$494,AL$5,'VS×ケイパビリティ関係'!$E$4:$E$494,"支援")&gt;0,"○",""))</f>
        <v/>
      </c>
      <c r="AM25" s="22" t="str">
        <f>IF(COUNTIFS('VS×ケイパビリティ関係'!$F$4:$F$494,$B25,'VS×ケイパビリティ関係'!$G$4:$G$494,AM$5,'VS×ケイパビリティ関係'!$E$4:$E$494,"主")&gt;0,"●",IF(COUNTIFS('VS×ケイパビリティ関係'!$F$4:$F$494,$B25,'VS×ケイパビリティ関係'!$G$4:$G$494,AM$5,'VS×ケイパビリティ関係'!$E$4:$E$494,"支援")&gt;0,"○",""))</f>
        <v>○</v>
      </c>
      <c r="AN25" s="22" t="str">
        <f>IF(COUNTIFS('VS×ケイパビリティ関係'!$F$4:$F$494,$B25,'VS×ケイパビリティ関係'!$G$4:$G$494,AN$5,'VS×ケイパビリティ関係'!$E$4:$E$494,"主")&gt;0,"●",IF(COUNTIFS('VS×ケイパビリティ関係'!$F$4:$F$494,$B25,'VS×ケイパビリティ関係'!$G$4:$G$494,AN$5,'VS×ケイパビリティ関係'!$E$4:$E$494,"支援")&gt;0,"○",""))</f>
        <v>●</v>
      </c>
      <c r="AO25" s="22" t="str">
        <f>IF(COUNTIFS('VS×ケイパビリティ関係'!$F$4:$F$494,$B25,'VS×ケイパビリティ関係'!$G$4:$G$494,AO$5,'VS×ケイパビリティ関係'!$E$4:$E$494,"主")&gt;0,"●",IF(COUNTIFS('VS×ケイパビリティ関係'!$F$4:$F$494,$B25,'VS×ケイパビリティ関係'!$G$4:$G$494,AO$5,'VS×ケイパビリティ関係'!$E$4:$E$494,"支援")&gt;0,"○",""))</f>
        <v/>
      </c>
      <c r="AP25" s="22" t="str">
        <f>IF(COUNTIFS('VS×ケイパビリティ関係'!$F$4:$F$494,$B25,'VS×ケイパビリティ関係'!$G$4:$G$494,AP$5,'VS×ケイパビリティ関係'!$E$4:$E$494,"主")&gt;0,"●",IF(COUNTIFS('VS×ケイパビリティ関係'!$F$4:$F$494,$B25,'VS×ケイパビリティ関係'!$G$4:$G$494,AP$5,'VS×ケイパビリティ関係'!$E$4:$E$494,"支援")&gt;0,"○",""))</f>
        <v/>
      </c>
      <c r="AQ25" s="22" t="str">
        <f>IF(COUNTIFS('VS×ケイパビリティ関係'!$F$4:$F$494,$B25,'VS×ケイパビリティ関係'!$G$4:$G$494,AQ$5,'VS×ケイパビリティ関係'!$E$4:$E$494,"主")&gt;0,"●",IF(COUNTIFS('VS×ケイパビリティ関係'!$F$4:$F$494,$B25,'VS×ケイパビリティ関係'!$G$4:$G$494,AQ$5,'VS×ケイパビリティ関係'!$E$4:$E$494,"支援")&gt;0,"○",""))</f>
        <v/>
      </c>
      <c r="AR25" s="22" t="str">
        <f>IF(COUNTIFS('VS×ケイパビリティ関係'!$F$4:$F$494,$B25,'VS×ケイパビリティ関係'!$G$4:$G$494,AR$5,'VS×ケイパビリティ関係'!$E$4:$E$494,"主")&gt;0,"●",IF(COUNTIFS('VS×ケイパビリティ関係'!$F$4:$F$494,$B25,'VS×ケイパビリティ関係'!$G$4:$G$494,AR$5,'VS×ケイパビリティ関係'!$E$4:$E$494,"支援")&gt;0,"○",""))</f>
        <v/>
      </c>
      <c r="AS25" s="22" t="str">
        <f>IF(COUNTIFS('VS×ケイパビリティ関係'!$F$4:$F$494,$B25,'VS×ケイパビリティ関係'!$G$4:$G$494,AS$5,'VS×ケイパビリティ関係'!$E$4:$E$494,"主")&gt;0,"●",IF(COUNTIFS('VS×ケイパビリティ関係'!$F$4:$F$494,$B25,'VS×ケイパビリティ関係'!$G$4:$G$494,AS$5,'VS×ケイパビリティ関係'!$E$4:$E$494,"支援")&gt;0,"○",""))</f>
        <v/>
      </c>
      <c r="AT25" s="22" t="str">
        <f>IF(COUNTIFS('VS×ケイパビリティ関係'!$F$4:$F$494,$B25,'VS×ケイパビリティ関係'!$G$4:$G$494,AT$5,'VS×ケイパビリティ関係'!$E$4:$E$494,"主")&gt;0,"●",IF(COUNTIFS('VS×ケイパビリティ関係'!$F$4:$F$494,$B25,'VS×ケイパビリティ関係'!$G$4:$G$494,AT$5,'VS×ケイパビリティ関係'!$E$4:$E$494,"支援")&gt;0,"○",""))</f>
        <v/>
      </c>
      <c r="AU25" s="22" t="str">
        <f>IF(COUNTIFS('VS×ケイパビリティ関係'!$F$4:$F$494,$B25,'VS×ケイパビリティ関係'!$G$4:$G$494,AU$5,'VS×ケイパビリティ関係'!$E$4:$E$494,"主")&gt;0,"●",IF(COUNTIFS('VS×ケイパビリティ関係'!$F$4:$F$494,$B25,'VS×ケイパビリティ関係'!$G$4:$G$494,AU$5,'VS×ケイパビリティ関係'!$E$4:$E$494,"支援")&gt;0,"○",""))</f>
        <v/>
      </c>
      <c r="AV25" s="22" t="str">
        <f>IF(COUNTIFS('VS×ケイパビリティ関係'!$F$4:$F$494,$B25,'VS×ケイパビリティ関係'!$G$4:$G$494,AV$5,'VS×ケイパビリティ関係'!$E$4:$E$494,"主")&gt;0,"●",IF(COUNTIFS('VS×ケイパビリティ関係'!$F$4:$F$494,$B25,'VS×ケイパビリティ関係'!$G$4:$G$494,AV$5,'VS×ケイパビリティ関係'!$E$4:$E$494,"支援")&gt;0,"○",""))</f>
        <v/>
      </c>
      <c r="AW25" s="22" t="str">
        <f>IF(COUNTIFS('VS×ケイパビリティ関係'!$F$4:$F$494,$B25,'VS×ケイパビリティ関係'!$G$4:$G$494,AW$5,'VS×ケイパビリティ関係'!$E$4:$E$494,"主")&gt;0,"●",IF(COUNTIFS('VS×ケイパビリティ関係'!$F$4:$F$494,$B25,'VS×ケイパビリティ関係'!$G$4:$G$494,AW$5,'VS×ケイパビリティ関係'!$E$4:$E$494,"支援")&gt;0,"○",""))</f>
        <v/>
      </c>
      <c r="AX25" s="22" t="str">
        <f>IF(COUNTIFS('VS×ケイパビリティ関係'!$F$4:$F$494,$B25,'VS×ケイパビリティ関係'!$G$4:$G$494,AX$5,'VS×ケイパビリティ関係'!$E$4:$E$494,"主")&gt;0,"●",IF(COUNTIFS('VS×ケイパビリティ関係'!$F$4:$F$494,$B25,'VS×ケイパビリティ関係'!$G$4:$G$494,AX$5,'VS×ケイパビリティ関係'!$E$4:$E$494,"支援")&gt;0,"○",""))</f>
        <v/>
      </c>
      <c r="AY25" s="22" t="str">
        <f>IF(COUNTIFS('VS×ケイパビリティ関係'!$F$4:$F$494,$B25,'VS×ケイパビリティ関係'!$G$4:$G$494,AY$5,'VS×ケイパビリティ関係'!$E$4:$E$494,"主")&gt;0,"●",IF(COUNTIFS('VS×ケイパビリティ関係'!$F$4:$F$494,$B25,'VS×ケイパビリティ関係'!$G$4:$G$494,AY$5,'VS×ケイパビリティ関係'!$E$4:$E$494,"支援")&gt;0,"○",""))</f>
        <v/>
      </c>
      <c r="AZ25" s="22" t="str">
        <f>IF(COUNTIFS('VS×ケイパビリティ関係'!$F$4:$F$494,$B25,'VS×ケイパビリティ関係'!$G$4:$G$494,AZ$5,'VS×ケイパビリティ関係'!$E$4:$E$494,"主")&gt;0,"●",IF(COUNTIFS('VS×ケイパビリティ関係'!$F$4:$F$494,$B25,'VS×ケイパビリティ関係'!$G$4:$G$494,AZ$5,'VS×ケイパビリティ関係'!$E$4:$E$494,"支援")&gt;0,"○",""))</f>
        <v/>
      </c>
      <c r="BA25" s="22" t="str">
        <f>IF(COUNTIFS('VS×ケイパビリティ関係'!$F$4:$F$494,$B25,'VS×ケイパビリティ関係'!$G$4:$G$494,BA$5,'VS×ケイパビリティ関係'!$E$4:$E$494,"主")&gt;0,"●",IF(COUNTIFS('VS×ケイパビリティ関係'!$F$4:$F$494,$B25,'VS×ケイパビリティ関係'!$G$4:$G$494,BA$5,'VS×ケイパビリティ関係'!$E$4:$E$494,"支援")&gt;0,"○",""))</f>
        <v/>
      </c>
      <c r="BB25" s="22" t="str">
        <f>IF(COUNTIFS('VS×ケイパビリティ関係'!$F$4:$F$494,$B25,'VS×ケイパビリティ関係'!$G$4:$G$494,BB$5,'VS×ケイパビリティ関係'!$E$4:$E$494,"主")&gt;0,"●",IF(COUNTIFS('VS×ケイパビリティ関係'!$F$4:$F$494,$B25,'VS×ケイパビリティ関係'!$G$4:$G$494,BB$5,'VS×ケイパビリティ関係'!$E$4:$E$494,"支援")&gt;0,"○",""))</f>
        <v/>
      </c>
      <c r="BC25" s="22" t="str">
        <f>IF(COUNTIFS('VS×ケイパビリティ関係'!$F$4:$F$494,$B25,'VS×ケイパビリティ関係'!$G$4:$G$494,BC$5,'VS×ケイパビリティ関係'!$E$4:$E$494,"主")&gt;0,"●",IF(COUNTIFS('VS×ケイパビリティ関係'!$F$4:$F$494,$B25,'VS×ケイパビリティ関係'!$G$4:$G$494,BC$5,'VS×ケイパビリティ関係'!$E$4:$E$494,"支援")&gt;0,"○",""))</f>
        <v/>
      </c>
      <c r="BD25" s="22" t="str">
        <f>IF(COUNTIFS('VS×ケイパビリティ関係'!$F$4:$F$494,$B25,'VS×ケイパビリティ関係'!$G$4:$G$494,BD$5,'VS×ケイパビリティ関係'!$E$4:$E$494,"主")&gt;0,"●",IF(COUNTIFS('VS×ケイパビリティ関係'!$F$4:$F$494,$B25,'VS×ケイパビリティ関係'!$G$4:$G$494,BD$5,'VS×ケイパビリティ関係'!$E$4:$E$494,"支援")&gt;0,"○",""))</f>
        <v/>
      </c>
      <c r="BE25" s="22">
        <f t="shared" si="1"/>
        <v>4</v>
      </c>
      <c r="BF25" s="22">
        <f t="shared" si="2"/>
        <v>3</v>
      </c>
    </row>
    <row r="26" ht="15.0" customHeight="1">
      <c r="A26" s="42" t="s">
        <v>3035</v>
      </c>
      <c r="B26" s="22" t="s">
        <v>1568</v>
      </c>
      <c r="C26" s="25" t="s">
        <v>1570</v>
      </c>
      <c r="D26" s="22" t="str">
        <f>IF(COUNTIFS('VS×ケイパビリティ関係'!$F$4:$F$494,$B26,'VS×ケイパビリティ関係'!$G$4:$G$494,D$5,'VS×ケイパビリティ関係'!$E$4:$E$494,"主")&gt;0,"●",IF(COUNTIFS('VS×ケイパビリティ関係'!$F$4:$F$494,$B26,'VS×ケイパビリティ関係'!$G$4:$G$494,D$5,'VS×ケイパビリティ関係'!$E$4:$E$494,"支援")&gt;0,"○",""))</f>
        <v/>
      </c>
      <c r="E26" s="22" t="str">
        <f>IF(COUNTIFS('VS×ケイパビリティ関係'!$F$4:$F$494,$B26,'VS×ケイパビリティ関係'!$G$4:$G$494,E$5,'VS×ケイパビリティ関係'!$E$4:$E$494,"主")&gt;0,"●",IF(COUNTIFS('VS×ケイパビリティ関係'!$F$4:$F$494,$B26,'VS×ケイパビリティ関係'!$G$4:$G$494,E$5,'VS×ケイパビリティ関係'!$E$4:$E$494,"支援")&gt;0,"○",""))</f>
        <v/>
      </c>
      <c r="F26" s="22" t="str">
        <f>IF(COUNTIFS('VS×ケイパビリティ関係'!$F$4:$F$494,$B26,'VS×ケイパビリティ関係'!$G$4:$G$494,F$5,'VS×ケイパビリティ関係'!$E$4:$E$494,"主")&gt;0,"●",IF(COUNTIFS('VS×ケイパビリティ関係'!$F$4:$F$494,$B26,'VS×ケイパビリティ関係'!$G$4:$G$494,F$5,'VS×ケイパビリティ関係'!$E$4:$E$494,"支援")&gt;0,"○",""))</f>
        <v/>
      </c>
      <c r="G26" s="22" t="str">
        <f>IF(COUNTIFS('VS×ケイパビリティ関係'!$F$4:$F$494,$B26,'VS×ケイパビリティ関係'!$G$4:$G$494,G$5,'VS×ケイパビリティ関係'!$E$4:$E$494,"主")&gt;0,"●",IF(COUNTIFS('VS×ケイパビリティ関係'!$F$4:$F$494,$B26,'VS×ケイパビリティ関係'!$G$4:$G$494,G$5,'VS×ケイパビリティ関係'!$E$4:$E$494,"支援")&gt;0,"○",""))</f>
        <v/>
      </c>
      <c r="H26" s="22" t="str">
        <f>IF(COUNTIFS('VS×ケイパビリティ関係'!$F$4:$F$494,$B26,'VS×ケイパビリティ関係'!$G$4:$G$494,H$5,'VS×ケイパビリティ関係'!$E$4:$E$494,"主")&gt;0,"●",IF(COUNTIFS('VS×ケイパビリティ関係'!$F$4:$F$494,$B26,'VS×ケイパビリティ関係'!$G$4:$G$494,H$5,'VS×ケイパビリティ関係'!$E$4:$E$494,"支援")&gt;0,"○",""))</f>
        <v/>
      </c>
      <c r="I26" s="22" t="str">
        <f>IF(COUNTIFS('VS×ケイパビリティ関係'!$F$4:$F$494,$B26,'VS×ケイパビリティ関係'!$G$4:$G$494,I$5,'VS×ケイパビリティ関係'!$E$4:$E$494,"主")&gt;0,"●",IF(COUNTIFS('VS×ケイパビリティ関係'!$F$4:$F$494,$B26,'VS×ケイパビリティ関係'!$G$4:$G$494,I$5,'VS×ケイパビリティ関係'!$E$4:$E$494,"支援")&gt;0,"○",""))</f>
        <v/>
      </c>
      <c r="J26" s="22" t="str">
        <f>IF(COUNTIFS('VS×ケイパビリティ関係'!$F$4:$F$494,$B26,'VS×ケイパビリティ関係'!$G$4:$G$494,J$5,'VS×ケイパビリティ関係'!$E$4:$E$494,"主")&gt;0,"●",IF(COUNTIFS('VS×ケイパビリティ関係'!$F$4:$F$494,$B26,'VS×ケイパビリティ関係'!$G$4:$G$494,J$5,'VS×ケイパビリティ関係'!$E$4:$E$494,"支援")&gt;0,"○",""))</f>
        <v/>
      </c>
      <c r="K26" s="22" t="str">
        <f>IF(COUNTIFS('VS×ケイパビリティ関係'!$F$4:$F$494,$B26,'VS×ケイパビリティ関係'!$G$4:$G$494,K$5,'VS×ケイパビリティ関係'!$E$4:$E$494,"主")&gt;0,"●",IF(COUNTIFS('VS×ケイパビリティ関係'!$F$4:$F$494,$B26,'VS×ケイパビリティ関係'!$G$4:$G$494,K$5,'VS×ケイパビリティ関係'!$E$4:$E$494,"支援")&gt;0,"○",""))</f>
        <v/>
      </c>
      <c r="L26" s="22" t="str">
        <f>IF(COUNTIFS('VS×ケイパビリティ関係'!$F$4:$F$494,$B26,'VS×ケイパビリティ関係'!$G$4:$G$494,L$5,'VS×ケイパビリティ関係'!$E$4:$E$494,"主")&gt;0,"●",IF(COUNTIFS('VS×ケイパビリティ関係'!$F$4:$F$494,$B26,'VS×ケイパビリティ関係'!$G$4:$G$494,L$5,'VS×ケイパビリティ関係'!$E$4:$E$494,"支援")&gt;0,"○",""))</f>
        <v/>
      </c>
      <c r="M26" s="22" t="str">
        <f>IF(COUNTIFS('VS×ケイパビリティ関係'!$F$4:$F$494,$B26,'VS×ケイパビリティ関係'!$G$4:$G$494,M$5,'VS×ケイパビリティ関係'!$E$4:$E$494,"主")&gt;0,"●",IF(COUNTIFS('VS×ケイパビリティ関係'!$F$4:$F$494,$B26,'VS×ケイパビリティ関係'!$G$4:$G$494,M$5,'VS×ケイパビリティ関係'!$E$4:$E$494,"支援")&gt;0,"○",""))</f>
        <v/>
      </c>
      <c r="N26" s="22" t="str">
        <f>IF(COUNTIFS('VS×ケイパビリティ関係'!$F$4:$F$494,$B26,'VS×ケイパビリティ関係'!$G$4:$G$494,N$5,'VS×ケイパビリティ関係'!$E$4:$E$494,"主")&gt;0,"●",IF(COUNTIFS('VS×ケイパビリティ関係'!$F$4:$F$494,$B26,'VS×ケイパビリティ関係'!$G$4:$G$494,N$5,'VS×ケイパビリティ関係'!$E$4:$E$494,"支援")&gt;0,"○",""))</f>
        <v/>
      </c>
      <c r="O26" s="22" t="str">
        <f>IF(COUNTIFS('VS×ケイパビリティ関係'!$F$4:$F$494,$B26,'VS×ケイパビリティ関係'!$G$4:$G$494,O$5,'VS×ケイパビリティ関係'!$E$4:$E$494,"主")&gt;0,"●",IF(COUNTIFS('VS×ケイパビリティ関係'!$F$4:$F$494,$B26,'VS×ケイパビリティ関係'!$G$4:$G$494,O$5,'VS×ケイパビリティ関係'!$E$4:$E$494,"支援")&gt;0,"○",""))</f>
        <v/>
      </c>
      <c r="P26" s="22" t="str">
        <f>IF(COUNTIFS('VS×ケイパビリティ関係'!$F$4:$F$494,$B26,'VS×ケイパビリティ関係'!$G$4:$G$494,P$5,'VS×ケイパビリティ関係'!$E$4:$E$494,"主")&gt;0,"●",IF(COUNTIFS('VS×ケイパビリティ関係'!$F$4:$F$494,$B26,'VS×ケイパビリティ関係'!$G$4:$G$494,P$5,'VS×ケイパビリティ関係'!$E$4:$E$494,"支援")&gt;0,"○",""))</f>
        <v/>
      </c>
      <c r="Q26" s="22" t="str">
        <f>IF(COUNTIFS('VS×ケイパビリティ関係'!$F$4:$F$494,$B26,'VS×ケイパビリティ関係'!$G$4:$G$494,Q$5,'VS×ケイパビリティ関係'!$E$4:$E$494,"主")&gt;0,"●",IF(COUNTIFS('VS×ケイパビリティ関係'!$F$4:$F$494,$B26,'VS×ケイパビリティ関係'!$G$4:$G$494,Q$5,'VS×ケイパビリティ関係'!$E$4:$E$494,"支援")&gt;0,"○",""))</f>
        <v>○</v>
      </c>
      <c r="R26" s="22" t="str">
        <f>IF(COUNTIFS('VS×ケイパビリティ関係'!$F$4:$F$494,$B26,'VS×ケイパビリティ関係'!$G$4:$G$494,R$5,'VS×ケイパビリティ関係'!$E$4:$E$494,"主")&gt;0,"●",IF(COUNTIFS('VS×ケイパビリティ関係'!$F$4:$F$494,$B26,'VS×ケイパビリティ関係'!$G$4:$G$494,R$5,'VS×ケイパビリティ関係'!$E$4:$E$494,"支援")&gt;0,"○",""))</f>
        <v/>
      </c>
      <c r="S26" s="22" t="str">
        <f>IF(COUNTIFS('VS×ケイパビリティ関係'!$F$4:$F$494,$B26,'VS×ケイパビリティ関係'!$G$4:$G$494,S$5,'VS×ケイパビリティ関係'!$E$4:$E$494,"主")&gt;0,"●",IF(COUNTIFS('VS×ケイパビリティ関係'!$F$4:$F$494,$B26,'VS×ケイパビリティ関係'!$G$4:$G$494,S$5,'VS×ケイパビリティ関係'!$E$4:$E$494,"支援")&gt;0,"○",""))</f>
        <v/>
      </c>
      <c r="T26" s="22" t="str">
        <f>IF(COUNTIFS('VS×ケイパビリティ関係'!$F$4:$F$494,$B26,'VS×ケイパビリティ関係'!$G$4:$G$494,T$5,'VS×ケイパビリティ関係'!$E$4:$E$494,"主")&gt;0,"●",IF(COUNTIFS('VS×ケイパビリティ関係'!$F$4:$F$494,$B26,'VS×ケイパビリティ関係'!$G$4:$G$494,T$5,'VS×ケイパビリティ関係'!$E$4:$E$494,"支援")&gt;0,"○",""))</f>
        <v/>
      </c>
      <c r="U26" s="22" t="str">
        <f>IF(COUNTIFS('VS×ケイパビリティ関係'!$F$4:$F$494,$B26,'VS×ケイパビリティ関係'!$G$4:$G$494,U$5,'VS×ケイパビリティ関係'!$E$4:$E$494,"主")&gt;0,"●",IF(COUNTIFS('VS×ケイパビリティ関係'!$F$4:$F$494,$B26,'VS×ケイパビリティ関係'!$G$4:$G$494,U$5,'VS×ケイパビリティ関係'!$E$4:$E$494,"支援")&gt;0,"○",""))</f>
        <v/>
      </c>
      <c r="V26" s="22" t="str">
        <f>IF(COUNTIFS('VS×ケイパビリティ関係'!$F$4:$F$494,$B26,'VS×ケイパビリティ関係'!$G$4:$G$494,V$5,'VS×ケイパビリティ関係'!$E$4:$E$494,"主")&gt;0,"●",IF(COUNTIFS('VS×ケイパビリティ関係'!$F$4:$F$494,$B26,'VS×ケイパビリティ関係'!$G$4:$G$494,V$5,'VS×ケイパビリティ関係'!$E$4:$E$494,"支援")&gt;0,"○",""))</f>
        <v/>
      </c>
      <c r="W26" s="22" t="str">
        <f>IF(COUNTIFS('VS×ケイパビリティ関係'!$F$4:$F$494,$B26,'VS×ケイパビリティ関係'!$G$4:$G$494,W$5,'VS×ケイパビリティ関係'!$E$4:$E$494,"主")&gt;0,"●",IF(COUNTIFS('VS×ケイパビリティ関係'!$F$4:$F$494,$B26,'VS×ケイパビリティ関係'!$G$4:$G$494,W$5,'VS×ケイパビリティ関係'!$E$4:$E$494,"支援")&gt;0,"○",""))</f>
        <v/>
      </c>
      <c r="X26" s="22" t="str">
        <f>IF(COUNTIFS('VS×ケイパビリティ関係'!$F$4:$F$494,$B26,'VS×ケイパビリティ関係'!$G$4:$G$494,X$5,'VS×ケイパビリティ関係'!$E$4:$E$494,"主")&gt;0,"●",IF(COUNTIFS('VS×ケイパビリティ関係'!$F$4:$F$494,$B26,'VS×ケイパビリティ関係'!$G$4:$G$494,X$5,'VS×ケイパビリティ関係'!$E$4:$E$494,"支援")&gt;0,"○",""))</f>
        <v/>
      </c>
      <c r="Y26" s="22" t="str">
        <f>IF(COUNTIFS('VS×ケイパビリティ関係'!$F$4:$F$494,$B26,'VS×ケイパビリティ関係'!$G$4:$G$494,Y$5,'VS×ケイパビリティ関係'!$E$4:$E$494,"主")&gt;0,"●",IF(COUNTIFS('VS×ケイパビリティ関係'!$F$4:$F$494,$B26,'VS×ケイパビリティ関係'!$G$4:$G$494,Y$5,'VS×ケイパビリティ関係'!$E$4:$E$494,"支援")&gt;0,"○",""))</f>
        <v>○</v>
      </c>
      <c r="Z26" s="22" t="str">
        <f>IF(COUNTIFS('VS×ケイパビリティ関係'!$F$4:$F$494,$B26,'VS×ケイパビリティ関係'!$G$4:$G$494,Z$5,'VS×ケイパビリティ関係'!$E$4:$E$494,"主")&gt;0,"●",IF(COUNTIFS('VS×ケイパビリティ関係'!$F$4:$F$494,$B26,'VS×ケイパビリティ関係'!$G$4:$G$494,Z$5,'VS×ケイパビリティ関係'!$E$4:$E$494,"支援")&gt;0,"○",""))</f>
        <v/>
      </c>
      <c r="AA26" s="22" t="str">
        <f>IF(COUNTIFS('VS×ケイパビリティ関係'!$F$4:$F$494,$B26,'VS×ケイパビリティ関係'!$G$4:$G$494,AA$5,'VS×ケイパビリティ関係'!$E$4:$E$494,"主")&gt;0,"●",IF(COUNTIFS('VS×ケイパビリティ関係'!$F$4:$F$494,$B26,'VS×ケイパビリティ関係'!$G$4:$G$494,AA$5,'VS×ケイパビリティ関係'!$E$4:$E$494,"支援")&gt;0,"○",""))</f>
        <v>●</v>
      </c>
      <c r="AB26" s="22" t="str">
        <f>IF(COUNTIFS('VS×ケイパビリティ関係'!$F$4:$F$494,$B26,'VS×ケイパビリティ関係'!$G$4:$G$494,AB$5,'VS×ケイパビリティ関係'!$E$4:$E$494,"主")&gt;0,"●",IF(COUNTIFS('VS×ケイパビリティ関係'!$F$4:$F$494,$B26,'VS×ケイパビリティ関係'!$G$4:$G$494,AB$5,'VS×ケイパビリティ関係'!$E$4:$E$494,"支援")&gt;0,"○",""))</f>
        <v>●</v>
      </c>
      <c r="AC26" s="22" t="str">
        <f>IF(COUNTIFS('VS×ケイパビリティ関係'!$F$4:$F$494,$B26,'VS×ケイパビリティ関係'!$G$4:$G$494,AC$5,'VS×ケイパビリティ関係'!$E$4:$E$494,"主")&gt;0,"●",IF(COUNTIFS('VS×ケイパビリティ関係'!$F$4:$F$494,$B26,'VS×ケイパビリティ関係'!$G$4:$G$494,AC$5,'VS×ケイパビリティ関係'!$E$4:$E$494,"支援")&gt;0,"○",""))</f>
        <v>○</v>
      </c>
      <c r="AD26" s="22" t="str">
        <f>IF(COUNTIFS('VS×ケイパビリティ関係'!$F$4:$F$494,$B26,'VS×ケイパビリティ関係'!$G$4:$G$494,AD$5,'VS×ケイパビリティ関係'!$E$4:$E$494,"主")&gt;0,"●",IF(COUNTIFS('VS×ケイパビリティ関係'!$F$4:$F$494,$B26,'VS×ケイパビリティ関係'!$G$4:$G$494,AD$5,'VS×ケイパビリティ関係'!$E$4:$E$494,"支援")&gt;0,"○",""))</f>
        <v/>
      </c>
      <c r="AE26" s="22" t="str">
        <f>IF(COUNTIFS('VS×ケイパビリティ関係'!$F$4:$F$494,$B26,'VS×ケイパビリティ関係'!$G$4:$G$494,AE$5,'VS×ケイパビリティ関係'!$E$4:$E$494,"主")&gt;0,"●",IF(COUNTIFS('VS×ケイパビリティ関係'!$F$4:$F$494,$B26,'VS×ケイパビリティ関係'!$G$4:$G$494,AE$5,'VS×ケイパビリティ関係'!$E$4:$E$494,"支援")&gt;0,"○",""))</f>
        <v/>
      </c>
      <c r="AF26" s="22" t="str">
        <f>IF(COUNTIFS('VS×ケイパビリティ関係'!$F$4:$F$494,$B26,'VS×ケイパビリティ関係'!$G$4:$G$494,AF$5,'VS×ケイパビリティ関係'!$E$4:$E$494,"主")&gt;0,"●",IF(COUNTIFS('VS×ケイパビリティ関係'!$F$4:$F$494,$B26,'VS×ケイパビリティ関係'!$G$4:$G$494,AF$5,'VS×ケイパビリティ関係'!$E$4:$E$494,"支援")&gt;0,"○",""))</f>
        <v/>
      </c>
      <c r="AG26" s="22" t="str">
        <f>IF(COUNTIFS('VS×ケイパビリティ関係'!$F$4:$F$494,$B26,'VS×ケイパビリティ関係'!$G$4:$G$494,AG$5,'VS×ケイパビリティ関係'!$E$4:$E$494,"主")&gt;0,"●",IF(COUNTIFS('VS×ケイパビリティ関係'!$F$4:$F$494,$B26,'VS×ケイパビリティ関係'!$G$4:$G$494,AG$5,'VS×ケイパビリティ関係'!$E$4:$E$494,"支援")&gt;0,"○",""))</f>
        <v/>
      </c>
      <c r="AH26" s="22" t="str">
        <f>IF(COUNTIFS('VS×ケイパビリティ関係'!$F$4:$F$494,$B26,'VS×ケイパビリティ関係'!$G$4:$G$494,AH$5,'VS×ケイパビリティ関係'!$E$4:$E$494,"主")&gt;0,"●",IF(COUNTIFS('VS×ケイパビリティ関係'!$F$4:$F$494,$B26,'VS×ケイパビリティ関係'!$G$4:$G$494,AH$5,'VS×ケイパビリティ関係'!$E$4:$E$494,"支援")&gt;0,"○",""))</f>
        <v/>
      </c>
      <c r="AI26" s="22" t="str">
        <f>IF(COUNTIFS('VS×ケイパビリティ関係'!$F$4:$F$494,$B26,'VS×ケイパビリティ関係'!$G$4:$G$494,AI$5,'VS×ケイパビリティ関係'!$E$4:$E$494,"主")&gt;0,"●",IF(COUNTIFS('VS×ケイパビリティ関係'!$F$4:$F$494,$B26,'VS×ケイパビリティ関係'!$G$4:$G$494,AI$5,'VS×ケイパビリティ関係'!$E$4:$E$494,"支援")&gt;0,"○",""))</f>
        <v/>
      </c>
      <c r="AJ26" s="22" t="str">
        <f>IF(COUNTIFS('VS×ケイパビリティ関係'!$F$4:$F$494,$B26,'VS×ケイパビリティ関係'!$G$4:$G$494,AJ$5,'VS×ケイパビリティ関係'!$E$4:$E$494,"主")&gt;0,"●",IF(COUNTIFS('VS×ケイパビリティ関係'!$F$4:$F$494,$B26,'VS×ケイパビリティ関係'!$G$4:$G$494,AJ$5,'VS×ケイパビリティ関係'!$E$4:$E$494,"支援")&gt;0,"○",""))</f>
        <v/>
      </c>
      <c r="AK26" s="22" t="str">
        <f>IF(COUNTIFS('VS×ケイパビリティ関係'!$F$4:$F$494,$B26,'VS×ケイパビリティ関係'!$G$4:$G$494,AK$5,'VS×ケイパビリティ関係'!$E$4:$E$494,"主")&gt;0,"●",IF(COUNTIFS('VS×ケイパビリティ関係'!$F$4:$F$494,$B26,'VS×ケイパビリティ関係'!$G$4:$G$494,AK$5,'VS×ケイパビリティ関係'!$E$4:$E$494,"支援")&gt;0,"○",""))</f>
        <v/>
      </c>
      <c r="AL26" s="22" t="str">
        <f>IF(COUNTIFS('VS×ケイパビリティ関係'!$F$4:$F$494,$B26,'VS×ケイパビリティ関係'!$G$4:$G$494,AL$5,'VS×ケイパビリティ関係'!$E$4:$E$494,"主")&gt;0,"●",IF(COUNTIFS('VS×ケイパビリティ関係'!$F$4:$F$494,$B26,'VS×ケイパビリティ関係'!$G$4:$G$494,AL$5,'VS×ケイパビリティ関係'!$E$4:$E$494,"支援")&gt;0,"○",""))</f>
        <v/>
      </c>
      <c r="AM26" s="22" t="str">
        <f>IF(COUNTIFS('VS×ケイパビリティ関係'!$F$4:$F$494,$B26,'VS×ケイパビリティ関係'!$G$4:$G$494,AM$5,'VS×ケイパビリティ関係'!$E$4:$E$494,"主")&gt;0,"●",IF(COUNTIFS('VS×ケイパビリティ関係'!$F$4:$F$494,$B26,'VS×ケイパビリティ関係'!$G$4:$G$494,AM$5,'VS×ケイパビリティ関係'!$E$4:$E$494,"支援")&gt;0,"○",""))</f>
        <v/>
      </c>
      <c r="AN26" s="22" t="str">
        <f>IF(COUNTIFS('VS×ケイパビリティ関係'!$F$4:$F$494,$B26,'VS×ケイパビリティ関係'!$G$4:$G$494,AN$5,'VS×ケイパビリティ関係'!$E$4:$E$494,"主")&gt;0,"●",IF(COUNTIFS('VS×ケイパビリティ関係'!$F$4:$F$494,$B26,'VS×ケイパビリティ関係'!$G$4:$G$494,AN$5,'VS×ケイパビリティ関係'!$E$4:$E$494,"支援")&gt;0,"○",""))</f>
        <v/>
      </c>
      <c r="AO26" s="22" t="str">
        <f>IF(COUNTIFS('VS×ケイパビリティ関係'!$F$4:$F$494,$B26,'VS×ケイパビリティ関係'!$G$4:$G$494,AO$5,'VS×ケイパビリティ関係'!$E$4:$E$494,"主")&gt;0,"●",IF(COUNTIFS('VS×ケイパビリティ関係'!$F$4:$F$494,$B26,'VS×ケイパビリティ関係'!$G$4:$G$494,AO$5,'VS×ケイパビリティ関係'!$E$4:$E$494,"支援")&gt;0,"○",""))</f>
        <v/>
      </c>
      <c r="AP26" s="22" t="str">
        <f>IF(COUNTIFS('VS×ケイパビリティ関係'!$F$4:$F$494,$B26,'VS×ケイパビリティ関係'!$G$4:$G$494,AP$5,'VS×ケイパビリティ関係'!$E$4:$E$494,"主")&gt;0,"●",IF(COUNTIFS('VS×ケイパビリティ関係'!$F$4:$F$494,$B26,'VS×ケイパビリティ関係'!$G$4:$G$494,AP$5,'VS×ケイパビリティ関係'!$E$4:$E$494,"支援")&gt;0,"○",""))</f>
        <v/>
      </c>
      <c r="AQ26" s="22" t="str">
        <f>IF(COUNTIFS('VS×ケイパビリティ関係'!$F$4:$F$494,$B26,'VS×ケイパビリティ関係'!$G$4:$G$494,AQ$5,'VS×ケイパビリティ関係'!$E$4:$E$494,"主")&gt;0,"●",IF(COUNTIFS('VS×ケイパビリティ関係'!$F$4:$F$494,$B26,'VS×ケイパビリティ関係'!$G$4:$G$494,AQ$5,'VS×ケイパビリティ関係'!$E$4:$E$494,"支援")&gt;0,"○",""))</f>
        <v/>
      </c>
      <c r="AR26" s="22" t="str">
        <f>IF(COUNTIFS('VS×ケイパビリティ関係'!$F$4:$F$494,$B26,'VS×ケイパビリティ関係'!$G$4:$G$494,AR$5,'VS×ケイパビリティ関係'!$E$4:$E$494,"主")&gt;0,"●",IF(COUNTIFS('VS×ケイパビリティ関係'!$F$4:$F$494,$B26,'VS×ケイパビリティ関係'!$G$4:$G$494,AR$5,'VS×ケイパビリティ関係'!$E$4:$E$494,"支援")&gt;0,"○",""))</f>
        <v/>
      </c>
      <c r="AS26" s="22" t="str">
        <f>IF(COUNTIFS('VS×ケイパビリティ関係'!$F$4:$F$494,$B26,'VS×ケイパビリティ関係'!$G$4:$G$494,AS$5,'VS×ケイパビリティ関係'!$E$4:$E$494,"主")&gt;0,"●",IF(COUNTIFS('VS×ケイパビリティ関係'!$F$4:$F$494,$B26,'VS×ケイパビリティ関係'!$G$4:$G$494,AS$5,'VS×ケイパビリティ関係'!$E$4:$E$494,"支援")&gt;0,"○",""))</f>
        <v/>
      </c>
      <c r="AT26" s="22" t="str">
        <f>IF(COUNTIFS('VS×ケイパビリティ関係'!$F$4:$F$494,$B26,'VS×ケイパビリティ関係'!$G$4:$G$494,AT$5,'VS×ケイパビリティ関係'!$E$4:$E$494,"主")&gt;0,"●",IF(COUNTIFS('VS×ケイパビリティ関係'!$F$4:$F$494,$B26,'VS×ケイパビリティ関係'!$G$4:$G$494,AT$5,'VS×ケイパビリティ関係'!$E$4:$E$494,"支援")&gt;0,"○",""))</f>
        <v/>
      </c>
      <c r="AU26" s="22" t="str">
        <f>IF(COUNTIFS('VS×ケイパビリティ関係'!$F$4:$F$494,$B26,'VS×ケイパビリティ関係'!$G$4:$G$494,AU$5,'VS×ケイパビリティ関係'!$E$4:$E$494,"主")&gt;0,"●",IF(COUNTIFS('VS×ケイパビリティ関係'!$F$4:$F$494,$B26,'VS×ケイパビリティ関係'!$G$4:$G$494,AU$5,'VS×ケイパビリティ関係'!$E$4:$E$494,"支援")&gt;0,"○",""))</f>
        <v/>
      </c>
      <c r="AV26" s="22" t="str">
        <f>IF(COUNTIFS('VS×ケイパビリティ関係'!$F$4:$F$494,$B26,'VS×ケイパビリティ関係'!$G$4:$G$494,AV$5,'VS×ケイパビリティ関係'!$E$4:$E$494,"主")&gt;0,"●",IF(COUNTIFS('VS×ケイパビリティ関係'!$F$4:$F$494,$B26,'VS×ケイパビリティ関係'!$G$4:$G$494,AV$5,'VS×ケイパビリティ関係'!$E$4:$E$494,"支援")&gt;0,"○",""))</f>
        <v/>
      </c>
      <c r="AW26" s="22" t="str">
        <f>IF(COUNTIFS('VS×ケイパビリティ関係'!$F$4:$F$494,$B26,'VS×ケイパビリティ関係'!$G$4:$G$494,AW$5,'VS×ケイパビリティ関係'!$E$4:$E$494,"主")&gt;0,"●",IF(COUNTIFS('VS×ケイパビリティ関係'!$F$4:$F$494,$B26,'VS×ケイパビリティ関係'!$G$4:$G$494,AW$5,'VS×ケイパビリティ関係'!$E$4:$E$494,"支援")&gt;0,"○",""))</f>
        <v/>
      </c>
      <c r="AX26" s="22" t="str">
        <f>IF(COUNTIFS('VS×ケイパビリティ関係'!$F$4:$F$494,$B26,'VS×ケイパビリティ関係'!$G$4:$G$494,AX$5,'VS×ケイパビリティ関係'!$E$4:$E$494,"主")&gt;0,"●",IF(COUNTIFS('VS×ケイパビリティ関係'!$F$4:$F$494,$B26,'VS×ケイパビリティ関係'!$G$4:$G$494,AX$5,'VS×ケイパビリティ関係'!$E$4:$E$494,"支援")&gt;0,"○",""))</f>
        <v/>
      </c>
      <c r="AY26" s="22" t="str">
        <f>IF(COUNTIFS('VS×ケイパビリティ関係'!$F$4:$F$494,$B26,'VS×ケイパビリティ関係'!$G$4:$G$494,AY$5,'VS×ケイパビリティ関係'!$E$4:$E$494,"主")&gt;0,"●",IF(COUNTIFS('VS×ケイパビリティ関係'!$F$4:$F$494,$B26,'VS×ケイパビリティ関係'!$G$4:$G$494,AY$5,'VS×ケイパビリティ関係'!$E$4:$E$494,"支援")&gt;0,"○",""))</f>
        <v/>
      </c>
      <c r="AZ26" s="22" t="str">
        <f>IF(COUNTIFS('VS×ケイパビリティ関係'!$F$4:$F$494,$B26,'VS×ケイパビリティ関係'!$G$4:$G$494,AZ$5,'VS×ケイパビリティ関係'!$E$4:$E$494,"主")&gt;0,"●",IF(COUNTIFS('VS×ケイパビリティ関係'!$F$4:$F$494,$B26,'VS×ケイパビリティ関係'!$G$4:$G$494,AZ$5,'VS×ケイパビリティ関係'!$E$4:$E$494,"支援")&gt;0,"○",""))</f>
        <v/>
      </c>
      <c r="BA26" s="22" t="str">
        <f>IF(COUNTIFS('VS×ケイパビリティ関係'!$F$4:$F$494,$B26,'VS×ケイパビリティ関係'!$G$4:$G$494,BA$5,'VS×ケイパビリティ関係'!$E$4:$E$494,"主")&gt;0,"●",IF(COUNTIFS('VS×ケイパビリティ関係'!$F$4:$F$494,$B26,'VS×ケイパビリティ関係'!$G$4:$G$494,BA$5,'VS×ケイパビリティ関係'!$E$4:$E$494,"支援")&gt;0,"○",""))</f>
        <v/>
      </c>
      <c r="BB26" s="22" t="str">
        <f>IF(COUNTIFS('VS×ケイパビリティ関係'!$F$4:$F$494,$B26,'VS×ケイパビリティ関係'!$G$4:$G$494,BB$5,'VS×ケイパビリティ関係'!$E$4:$E$494,"主")&gt;0,"●",IF(COUNTIFS('VS×ケイパビリティ関係'!$F$4:$F$494,$B26,'VS×ケイパビリティ関係'!$G$4:$G$494,BB$5,'VS×ケイパビリティ関係'!$E$4:$E$494,"支援")&gt;0,"○",""))</f>
        <v/>
      </c>
      <c r="BC26" s="22" t="str">
        <f>IF(COUNTIFS('VS×ケイパビリティ関係'!$F$4:$F$494,$B26,'VS×ケイパビリティ関係'!$G$4:$G$494,BC$5,'VS×ケイパビリティ関係'!$E$4:$E$494,"主")&gt;0,"●",IF(COUNTIFS('VS×ケイパビリティ関係'!$F$4:$F$494,$B26,'VS×ケイパビリティ関係'!$G$4:$G$494,BC$5,'VS×ケイパビリティ関係'!$E$4:$E$494,"支援")&gt;0,"○",""))</f>
        <v/>
      </c>
      <c r="BD26" s="22" t="str">
        <f>IF(COUNTIFS('VS×ケイパビリティ関係'!$F$4:$F$494,$B26,'VS×ケイパビリティ関係'!$G$4:$G$494,BD$5,'VS×ケイパビリティ関係'!$E$4:$E$494,"主")&gt;0,"●",IF(COUNTIFS('VS×ケイパビリティ関係'!$F$4:$F$494,$B26,'VS×ケイパビリティ関係'!$G$4:$G$494,BD$5,'VS×ケイパビリティ関係'!$E$4:$E$494,"支援")&gt;0,"○",""))</f>
        <v/>
      </c>
      <c r="BE26" s="22">
        <f t="shared" si="1"/>
        <v>2</v>
      </c>
      <c r="BF26" s="22">
        <f t="shared" si="2"/>
        <v>3</v>
      </c>
    </row>
    <row r="27" ht="15.0" customHeight="1">
      <c r="A27" s="42"/>
      <c r="B27" s="22" t="s">
        <v>1626</v>
      </c>
      <c r="C27" s="25" t="s">
        <v>1629</v>
      </c>
      <c r="D27" s="22" t="str">
        <f>IF(COUNTIFS('VS×ケイパビリティ関係'!$F$4:$F$494,$B27,'VS×ケイパビリティ関係'!$G$4:$G$494,D$5,'VS×ケイパビリティ関係'!$E$4:$E$494,"主")&gt;0,"●",IF(COUNTIFS('VS×ケイパビリティ関係'!$F$4:$F$494,$B27,'VS×ケイパビリティ関係'!$G$4:$G$494,D$5,'VS×ケイパビリティ関係'!$E$4:$E$494,"支援")&gt;0,"○",""))</f>
        <v/>
      </c>
      <c r="E27" s="22" t="str">
        <f>IF(COUNTIFS('VS×ケイパビリティ関係'!$F$4:$F$494,$B27,'VS×ケイパビリティ関係'!$G$4:$G$494,E$5,'VS×ケイパビリティ関係'!$E$4:$E$494,"主")&gt;0,"●",IF(COUNTIFS('VS×ケイパビリティ関係'!$F$4:$F$494,$B27,'VS×ケイパビリティ関係'!$G$4:$G$494,E$5,'VS×ケイパビリティ関係'!$E$4:$E$494,"支援")&gt;0,"○",""))</f>
        <v/>
      </c>
      <c r="F27" s="22" t="str">
        <f>IF(COUNTIFS('VS×ケイパビリティ関係'!$F$4:$F$494,$B27,'VS×ケイパビリティ関係'!$G$4:$G$494,F$5,'VS×ケイパビリティ関係'!$E$4:$E$494,"主")&gt;0,"●",IF(COUNTIFS('VS×ケイパビリティ関係'!$F$4:$F$494,$B27,'VS×ケイパビリティ関係'!$G$4:$G$494,F$5,'VS×ケイパビリティ関係'!$E$4:$E$494,"支援")&gt;0,"○",""))</f>
        <v>○</v>
      </c>
      <c r="G27" s="22" t="str">
        <f>IF(COUNTIFS('VS×ケイパビリティ関係'!$F$4:$F$494,$B27,'VS×ケイパビリティ関係'!$G$4:$G$494,G$5,'VS×ケイパビリティ関係'!$E$4:$E$494,"主")&gt;0,"●",IF(COUNTIFS('VS×ケイパビリティ関係'!$F$4:$F$494,$B27,'VS×ケイパビリティ関係'!$G$4:$G$494,G$5,'VS×ケイパビリティ関係'!$E$4:$E$494,"支援")&gt;0,"○",""))</f>
        <v/>
      </c>
      <c r="H27" s="22" t="str">
        <f>IF(COUNTIFS('VS×ケイパビリティ関係'!$F$4:$F$494,$B27,'VS×ケイパビリティ関係'!$G$4:$G$494,H$5,'VS×ケイパビリティ関係'!$E$4:$E$494,"主")&gt;0,"●",IF(COUNTIFS('VS×ケイパビリティ関係'!$F$4:$F$494,$B27,'VS×ケイパビリティ関係'!$G$4:$G$494,H$5,'VS×ケイパビリティ関係'!$E$4:$E$494,"支援")&gt;0,"○",""))</f>
        <v/>
      </c>
      <c r="I27" s="22" t="str">
        <f>IF(COUNTIFS('VS×ケイパビリティ関係'!$F$4:$F$494,$B27,'VS×ケイパビリティ関係'!$G$4:$G$494,I$5,'VS×ケイパビリティ関係'!$E$4:$E$494,"主")&gt;0,"●",IF(COUNTIFS('VS×ケイパビリティ関係'!$F$4:$F$494,$B27,'VS×ケイパビリティ関係'!$G$4:$G$494,I$5,'VS×ケイパビリティ関係'!$E$4:$E$494,"支援")&gt;0,"○",""))</f>
        <v/>
      </c>
      <c r="J27" s="22" t="str">
        <f>IF(COUNTIFS('VS×ケイパビリティ関係'!$F$4:$F$494,$B27,'VS×ケイパビリティ関係'!$G$4:$G$494,J$5,'VS×ケイパビリティ関係'!$E$4:$E$494,"主")&gt;0,"●",IF(COUNTIFS('VS×ケイパビリティ関係'!$F$4:$F$494,$B27,'VS×ケイパビリティ関係'!$G$4:$G$494,J$5,'VS×ケイパビリティ関係'!$E$4:$E$494,"支援")&gt;0,"○",""))</f>
        <v/>
      </c>
      <c r="K27" s="22" t="str">
        <f>IF(COUNTIFS('VS×ケイパビリティ関係'!$F$4:$F$494,$B27,'VS×ケイパビリティ関係'!$G$4:$G$494,K$5,'VS×ケイパビリティ関係'!$E$4:$E$494,"主")&gt;0,"●",IF(COUNTIFS('VS×ケイパビリティ関係'!$F$4:$F$494,$B27,'VS×ケイパビリティ関係'!$G$4:$G$494,K$5,'VS×ケイパビリティ関係'!$E$4:$E$494,"支援")&gt;0,"○",""))</f>
        <v/>
      </c>
      <c r="L27" s="22" t="str">
        <f>IF(COUNTIFS('VS×ケイパビリティ関係'!$F$4:$F$494,$B27,'VS×ケイパビリティ関係'!$G$4:$G$494,L$5,'VS×ケイパビリティ関係'!$E$4:$E$494,"主")&gt;0,"●",IF(COUNTIFS('VS×ケイパビリティ関係'!$F$4:$F$494,$B27,'VS×ケイパビリティ関係'!$G$4:$G$494,L$5,'VS×ケイパビリティ関係'!$E$4:$E$494,"支援")&gt;0,"○",""))</f>
        <v/>
      </c>
      <c r="M27" s="22" t="str">
        <f>IF(COUNTIFS('VS×ケイパビリティ関係'!$F$4:$F$494,$B27,'VS×ケイパビリティ関係'!$G$4:$G$494,M$5,'VS×ケイパビリティ関係'!$E$4:$E$494,"主")&gt;0,"●",IF(COUNTIFS('VS×ケイパビリティ関係'!$F$4:$F$494,$B27,'VS×ケイパビリティ関係'!$G$4:$G$494,M$5,'VS×ケイパビリティ関係'!$E$4:$E$494,"支援")&gt;0,"○",""))</f>
        <v/>
      </c>
      <c r="N27" s="22" t="str">
        <f>IF(COUNTIFS('VS×ケイパビリティ関係'!$F$4:$F$494,$B27,'VS×ケイパビリティ関係'!$G$4:$G$494,N$5,'VS×ケイパビリティ関係'!$E$4:$E$494,"主")&gt;0,"●",IF(COUNTIFS('VS×ケイパビリティ関係'!$F$4:$F$494,$B27,'VS×ケイパビリティ関係'!$G$4:$G$494,N$5,'VS×ケイパビリティ関係'!$E$4:$E$494,"支援")&gt;0,"○",""))</f>
        <v/>
      </c>
      <c r="O27" s="22" t="str">
        <f>IF(COUNTIFS('VS×ケイパビリティ関係'!$F$4:$F$494,$B27,'VS×ケイパビリティ関係'!$G$4:$G$494,O$5,'VS×ケイパビリティ関係'!$E$4:$E$494,"主")&gt;0,"●",IF(COUNTIFS('VS×ケイパビリティ関係'!$F$4:$F$494,$B27,'VS×ケイパビリティ関係'!$G$4:$G$494,O$5,'VS×ケイパビリティ関係'!$E$4:$E$494,"支援")&gt;0,"○",""))</f>
        <v/>
      </c>
      <c r="P27" s="22" t="str">
        <f>IF(COUNTIFS('VS×ケイパビリティ関係'!$F$4:$F$494,$B27,'VS×ケイパビリティ関係'!$G$4:$G$494,P$5,'VS×ケイパビリティ関係'!$E$4:$E$494,"主")&gt;0,"●",IF(COUNTIFS('VS×ケイパビリティ関係'!$F$4:$F$494,$B27,'VS×ケイパビリティ関係'!$G$4:$G$494,P$5,'VS×ケイパビリティ関係'!$E$4:$E$494,"支援")&gt;0,"○",""))</f>
        <v/>
      </c>
      <c r="Q27" s="22" t="str">
        <f>IF(COUNTIFS('VS×ケイパビリティ関係'!$F$4:$F$494,$B27,'VS×ケイパビリティ関係'!$G$4:$G$494,Q$5,'VS×ケイパビリティ関係'!$E$4:$E$494,"主")&gt;0,"●",IF(COUNTIFS('VS×ケイパビリティ関係'!$F$4:$F$494,$B27,'VS×ケイパビリティ関係'!$G$4:$G$494,Q$5,'VS×ケイパビリティ関係'!$E$4:$E$494,"支援")&gt;0,"○",""))</f>
        <v/>
      </c>
      <c r="R27" s="22" t="str">
        <f>IF(COUNTIFS('VS×ケイパビリティ関係'!$F$4:$F$494,$B27,'VS×ケイパビリティ関係'!$G$4:$G$494,R$5,'VS×ケイパビリティ関係'!$E$4:$E$494,"主")&gt;0,"●",IF(COUNTIFS('VS×ケイパビリティ関係'!$F$4:$F$494,$B27,'VS×ケイパビリティ関係'!$G$4:$G$494,R$5,'VS×ケイパビリティ関係'!$E$4:$E$494,"支援")&gt;0,"○",""))</f>
        <v/>
      </c>
      <c r="S27" s="22" t="str">
        <f>IF(COUNTIFS('VS×ケイパビリティ関係'!$F$4:$F$494,$B27,'VS×ケイパビリティ関係'!$G$4:$G$494,S$5,'VS×ケイパビリティ関係'!$E$4:$E$494,"主")&gt;0,"●",IF(COUNTIFS('VS×ケイパビリティ関係'!$F$4:$F$494,$B27,'VS×ケイパビリティ関係'!$G$4:$G$494,S$5,'VS×ケイパビリティ関係'!$E$4:$E$494,"支援")&gt;0,"○",""))</f>
        <v/>
      </c>
      <c r="T27" s="22" t="str">
        <f>IF(COUNTIFS('VS×ケイパビリティ関係'!$F$4:$F$494,$B27,'VS×ケイパビリティ関係'!$G$4:$G$494,T$5,'VS×ケイパビリティ関係'!$E$4:$E$494,"主")&gt;0,"●",IF(COUNTIFS('VS×ケイパビリティ関係'!$F$4:$F$494,$B27,'VS×ケイパビリティ関係'!$G$4:$G$494,T$5,'VS×ケイパビリティ関係'!$E$4:$E$494,"支援")&gt;0,"○",""))</f>
        <v/>
      </c>
      <c r="U27" s="22" t="str">
        <f>IF(COUNTIFS('VS×ケイパビリティ関係'!$F$4:$F$494,$B27,'VS×ケイパビリティ関係'!$G$4:$G$494,U$5,'VS×ケイパビリティ関係'!$E$4:$E$494,"主")&gt;0,"●",IF(COUNTIFS('VS×ケイパビリティ関係'!$F$4:$F$494,$B27,'VS×ケイパビリティ関係'!$G$4:$G$494,U$5,'VS×ケイパビリティ関係'!$E$4:$E$494,"支援")&gt;0,"○",""))</f>
        <v/>
      </c>
      <c r="V27" s="22" t="str">
        <f>IF(COUNTIFS('VS×ケイパビリティ関係'!$F$4:$F$494,$B27,'VS×ケイパビリティ関係'!$G$4:$G$494,V$5,'VS×ケイパビリティ関係'!$E$4:$E$494,"主")&gt;0,"●",IF(COUNTIFS('VS×ケイパビリティ関係'!$F$4:$F$494,$B27,'VS×ケイパビリティ関係'!$G$4:$G$494,V$5,'VS×ケイパビリティ関係'!$E$4:$E$494,"支援")&gt;0,"○",""))</f>
        <v/>
      </c>
      <c r="W27" s="22" t="str">
        <f>IF(COUNTIFS('VS×ケイパビリティ関係'!$F$4:$F$494,$B27,'VS×ケイパビリティ関係'!$G$4:$G$494,W$5,'VS×ケイパビリティ関係'!$E$4:$E$494,"主")&gt;0,"●",IF(COUNTIFS('VS×ケイパビリティ関係'!$F$4:$F$494,$B27,'VS×ケイパビリティ関係'!$G$4:$G$494,W$5,'VS×ケイパビリティ関係'!$E$4:$E$494,"支援")&gt;0,"○",""))</f>
        <v/>
      </c>
      <c r="X27" s="22" t="str">
        <f>IF(COUNTIFS('VS×ケイパビリティ関係'!$F$4:$F$494,$B27,'VS×ケイパビリティ関係'!$G$4:$G$494,X$5,'VS×ケイパビリティ関係'!$E$4:$E$494,"主")&gt;0,"●",IF(COUNTIFS('VS×ケイパビリティ関係'!$F$4:$F$494,$B27,'VS×ケイパビリティ関係'!$G$4:$G$494,X$5,'VS×ケイパビリティ関係'!$E$4:$E$494,"支援")&gt;0,"○",""))</f>
        <v>○</v>
      </c>
      <c r="Y27" s="22" t="str">
        <f>IF(COUNTIFS('VS×ケイパビリティ関係'!$F$4:$F$494,$B27,'VS×ケイパビリティ関係'!$G$4:$G$494,Y$5,'VS×ケイパビリティ関係'!$E$4:$E$494,"主")&gt;0,"●",IF(COUNTIFS('VS×ケイパビリティ関係'!$F$4:$F$494,$B27,'VS×ケイパビリティ関係'!$G$4:$G$494,Y$5,'VS×ケイパビリティ関係'!$E$4:$E$494,"支援")&gt;0,"○",""))</f>
        <v/>
      </c>
      <c r="Z27" s="22" t="str">
        <f>IF(COUNTIFS('VS×ケイパビリティ関係'!$F$4:$F$494,$B27,'VS×ケイパビリティ関係'!$G$4:$G$494,Z$5,'VS×ケイパビリティ関係'!$E$4:$E$494,"主")&gt;0,"●",IF(COUNTIFS('VS×ケイパビリティ関係'!$F$4:$F$494,$B27,'VS×ケイパビリティ関係'!$G$4:$G$494,Z$5,'VS×ケイパビリティ関係'!$E$4:$E$494,"支援")&gt;0,"○",""))</f>
        <v/>
      </c>
      <c r="AA27" s="22" t="str">
        <f>IF(COUNTIFS('VS×ケイパビリティ関係'!$F$4:$F$494,$B27,'VS×ケイパビリティ関係'!$G$4:$G$494,AA$5,'VS×ケイパビリティ関係'!$E$4:$E$494,"主")&gt;0,"●",IF(COUNTIFS('VS×ケイパビリティ関係'!$F$4:$F$494,$B27,'VS×ケイパビリティ関係'!$G$4:$G$494,AA$5,'VS×ケイパビリティ関係'!$E$4:$E$494,"支援")&gt;0,"○",""))</f>
        <v>●</v>
      </c>
      <c r="AB27" s="22" t="str">
        <f>IF(COUNTIFS('VS×ケイパビリティ関係'!$F$4:$F$494,$B27,'VS×ケイパビリティ関係'!$G$4:$G$494,AB$5,'VS×ケイパビリティ関係'!$E$4:$E$494,"主")&gt;0,"●",IF(COUNTIFS('VS×ケイパビリティ関係'!$F$4:$F$494,$B27,'VS×ケイパビリティ関係'!$G$4:$G$494,AB$5,'VS×ケイパビリティ関係'!$E$4:$E$494,"支援")&gt;0,"○",""))</f>
        <v>○</v>
      </c>
      <c r="AC27" s="22" t="str">
        <f>IF(COUNTIFS('VS×ケイパビリティ関係'!$F$4:$F$494,$B27,'VS×ケイパビリティ関係'!$G$4:$G$494,AC$5,'VS×ケイパビリティ関係'!$E$4:$E$494,"主")&gt;0,"●",IF(COUNTIFS('VS×ケイパビリティ関係'!$F$4:$F$494,$B27,'VS×ケイパビリティ関係'!$G$4:$G$494,AC$5,'VS×ケイパビリティ関係'!$E$4:$E$494,"支援")&gt;0,"○",""))</f>
        <v/>
      </c>
      <c r="AD27" s="22" t="str">
        <f>IF(COUNTIFS('VS×ケイパビリティ関係'!$F$4:$F$494,$B27,'VS×ケイパビリティ関係'!$G$4:$G$494,AD$5,'VS×ケイパビリティ関係'!$E$4:$E$494,"主")&gt;0,"●",IF(COUNTIFS('VS×ケイパビリティ関係'!$F$4:$F$494,$B27,'VS×ケイパビリティ関係'!$G$4:$G$494,AD$5,'VS×ケイパビリティ関係'!$E$4:$E$494,"支援")&gt;0,"○",""))</f>
        <v/>
      </c>
      <c r="AE27" s="22" t="str">
        <f>IF(COUNTIFS('VS×ケイパビリティ関係'!$F$4:$F$494,$B27,'VS×ケイパビリティ関係'!$G$4:$G$494,AE$5,'VS×ケイパビリティ関係'!$E$4:$E$494,"主")&gt;0,"●",IF(COUNTIFS('VS×ケイパビリティ関係'!$F$4:$F$494,$B27,'VS×ケイパビリティ関係'!$G$4:$G$494,AE$5,'VS×ケイパビリティ関係'!$E$4:$E$494,"支援")&gt;0,"○",""))</f>
        <v/>
      </c>
      <c r="AF27" s="22" t="str">
        <f>IF(COUNTIFS('VS×ケイパビリティ関係'!$F$4:$F$494,$B27,'VS×ケイパビリティ関係'!$G$4:$G$494,AF$5,'VS×ケイパビリティ関係'!$E$4:$E$494,"主")&gt;0,"●",IF(COUNTIFS('VS×ケイパビリティ関係'!$F$4:$F$494,$B27,'VS×ケイパビリティ関係'!$G$4:$G$494,AF$5,'VS×ケイパビリティ関係'!$E$4:$E$494,"支援")&gt;0,"○",""))</f>
        <v/>
      </c>
      <c r="AG27" s="22" t="str">
        <f>IF(COUNTIFS('VS×ケイパビリティ関係'!$F$4:$F$494,$B27,'VS×ケイパビリティ関係'!$G$4:$G$494,AG$5,'VS×ケイパビリティ関係'!$E$4:$E$494,"主")&gt;0,"●",IF(COUNTIFS('VS×ケイパビリティ関係'!$F$4:$F$494,$B27,'VS×ケイパビリティ関係'!$G$4:$G$494,AG$5,'VS×ケイパビリティ関係'!$E$4:$E$494,"支援")&gt;0,"○",""))</f>
        <v/>
      </c>
      <c r="AH27" s="22" t="str">
        <f>IF(COUNTIFS('VS×ケイパビリティ関係'!$F$4:$F$494,$B27,'VS×ケイパビリティ関係'!$G$4:$G$494,AH$5,'VS×ケイパビリティ関係'!$E$4:$E$494,"主")&gt;0,"●",IF(COUNTIFS('VS×ケイパビリティ関係'!$F$4:$F$494,$B27,'VS×ケイパビリティ関係'!$G$4:$G$494,AH$5,'VS×ケイパビリティ関係'!$E$4:$E$494,"支援")&gt;0,"○",""))</f>
        <v/>
      </c>
      <c r="AI27" s="22" t="str">
        <f>IF(COUNTIFS('VS×ケイパビリティ関係'!$F$4:$F$494,$B27,'VS×ケイパビリティ関係'!$G$4:$G$494,AI$5,'VS×ケイパビリティ関係'!$E$4:$E$494,"主")&gt;0,"●",IF(COUNTIFS('VS×ケイパビリティ関係'!$F$4:$F$494,$B27,'VS×ケイパビリティ関係'!$G$4:$G$494,AI$5,'VS×ケイパビリティ関係'!$E$4:$E$494,"支援")&gt;0,"○",""))</f>
        <v/>
      </c>
      <c r="AJ27" s="22" t="str">
        <f>IF(COUNTIFS('VS×ケイパビリティ関係'!$F$4:$F$494,$B27,'VS×ケイパビリティ関係'!$G$4:$G$494,AJ$5,'VS×ケイパビリティ関係'!$E$4:$E$494,"主")&gt;0,"●",IF(COUNTIFS('VS×ケイパビリティ関係'!$F$4:$F$494,$B27,'VS×ケイパビリティ関係'!$G$4:$G$494,AJ$5,'VS×ケイパビリティ関係'!$E$4:$E$494,"支援")&gt;0,"○",""))</f>
        <v/>
      </c>
      <c r="AK27" s="22" t="str">
        <f>IF(COUNTIFS('VS×ケイパビリティ関係'!$F$4:$F$494,$B27,'VS×ケイパビリティ関係'!$G$4:$G$494,AK$5,'VS×ケイパビリティ関係'!$E$4:$E$494,"主")&gt;0,"●",IF(COUNTIFS('VS×ケイパビリティ関係'!$F$4:$F$494,$B27,'VS×ケイパビリティ関係'!$G$4:$G$494,AK$5,'VS×ケイパビリティ関係'!$E$4:$E$494,"支援")&gt;0,"○",""))</f>
        <v/>
      </c>
      <c r="AL27" s="22" t="str">
        <f>IF(COUNTIFS('VS×ケイパビリティ関係'!$F$4:$F$494,$B27,'VS×ケイパビリティ関係'!$G$4:$G$494,AL$5,'VS×ケイパビリティ関係'!$E$4:$E$494,"主")&gt;0,"●",IF(COUNTIFS('VS×ケイパビリティ関係'!$F$4:$F$494,$B27,'VS×ケイパビリティ関係'!$G$4:$G$494,AL$5,'VS×ケイパビリティ関係'!$E$4:$E$494,"支援")&gt;0,"○",""))</f>
        <v>●</v>
      </c>
      <c r="AM27" s="22" t="str">
        <f>IF(COUNTIFS('VS×ケイパビリティ関係'!$F$4:$F$494,$B27,'VS×ケイパビリティ関係'!$G$4:$G$494,AM$5,'VS×ケイパビリティ関係'!$E$4:$E$494,"主")&gt;0,"●",IF(COUNTIFS('VS×ケイパビリティ関係'!$F$4:$F$494,$B27,'VS×ケイパビリティ関係'!$G$4:$G$494,AM$5,'VS×ケイパビリティ関係'!$E$4:$E$494,"支援")&gt;0,"○",""))</f>
        <v/>
      </c>
      <c r="AN27" s="22" t="str">
        <f>IF(COUNTIFS('VS×ケイパビリティ関係'!$F$4:$F$494,$B27,'VS×ケイパビリティ関係'!$G$4:$G$494,AN$5,'VS×ケイパビリティ関係'!$E$4:$E$494,"主")&gt;0,"●",IF(COUNTIFS('VS×ケイパビリティ関係'!$F$4:$F$494,$B27,'VS×ケイパビリティ関係'!$G$4:$G$494,AN$5,'VS×ケイパビリティ関係'!$E$4:$E$494,"支援")&gt;0,"○",""))</f>
        <v>○</v>
      </c>
      <c r="AO27" s="22" t="str">
        <f>IF(COUNTIFS('VS×ケイパビリティ関係'!$F$4:$F$494,$B27,'VS×ケイパビリティ関係'!$G$4:$G$494,AO$5,'VS×ケイパビリティ関係'!$E$4:$E$494,"主")&gt;0,"●",IF(COUNTIFS('VS×ケイパビリティ関係'!$F$4:$F$494,$B27,'VS×ケイパビリティ関係'!$G$4:$G$494,AO$5,'VS×ケイパビリティ関係'!$E$4:$E$494,"支援")&gt;0,"○",""))</f>
        <v/>
      </c>
      <c r="AP27" s="22" t="str">
        <f>IF(COUNTIFS('VS×ケイパビリティ関係'!$F$4:$F$494,$B27,'VS×ケイパビリティ関係'!$G$4:$G$494,AP$5,'VS×ケイパビリティ関係'!$E$4:$E$494,"主")&gt;0,"●",IF(COUNTIFS('VS×ケイパビリティ関係'!$F$4:$F$494,$B27,'VS×ケイパビリティ関係'!$G$4:$G$494,AP$5,'VS×ケイパビリティ関係'!$E$4:$E$494,"支援")&gt;0,"○",""))</f>
        <v/>
      </c>
      <c r="AQ27" s="22" t="str">
        <f>IF(COUNTIFS('VS×ケイパビリティ関係'!$F$4:$F$494,$B27,'VS×ケイパビリティ関係'!$G$4:$G$494,AQ$5,'VS×ケイパビリティ関係'!$E$4:$E$494,"主")&gt;0,"●",IF(COUNTIFS('VS×ケイパビリティ関係'!$F$4:$F$494,$B27,'VS×ケイパビリティ関係'!$G$4:$G$494,AQ$5,'VS×ケイパビリティ関係'!$E$4:$E$494,"支援")&gt;0,"○",""))</f>
        <v/>
      </c>
      <c r="AR27" s="22" t="str">
        <f>IF(COUNTIFS('VS×ケイパビリティ関係'!$F$4:$F$494,$B27,'VS×ケイパビリティ関係'!$G$4:$G$494,AR$5,'VS×ケイパビリティ関係'!$E$4:$E$494,"主")&gt;0,"●",IF(COUNTIFS('VS×ケイパビリティ関係'!$F$4:$F$494,$B27,'VS×ケイパビリティ関係'!$G$4:$G$494,AR$5,'VS×ケイパビリティ関係'!$E$4:$E$494,"支援")&gt;0,"○",""))</f>
        <v/>
      </c>
      <c r="AS27" s="22" t="str">
        <f>IF(COUNTIFS('VS×ケイパビリティ関係'!$F$4:$F$494,$B27,'VS×ケイパビリティ関係'!$G$4:$G$494,AS$5,'VS×ケイパビリティ関係'!$E$4:$E$494,"主")&gt;0,"●",IF(COUNTIFS('VS×ケイパビリティ関係'!$F$4:$F$494,$B27,'VS×ケイパビリティ関係'!$G$4:$G$494,AS$5,'VS×ケイパビリティ関係'!$E$4:$E$494,"支援")&gt;0,"○",""))</f>
        <v/>
      </c>
      <c r="AT27" s="22" t="str">
        <f>IF(COUNTIFS('VS×ケイパビリティ関係'!$F$4:$F$494,$B27,'VS×ケイパビリティ関係'!$G$4:$G$494,AT$5,'VS×ケイパビリティ関係'!$E$4:$E$494,"主")&gt;0,"●",IF(COUNTIFS('VS×ケイパビリティ関係'!$F$4:$F$494,$B27,'VS×ケイパビリティ関係'!$G$4:$G$494,AT$5,'VS×ケイパビリティ関係'!$E$4:$E$494,"支援")&gt;0,"○",""))</f>
        <v/>
      </c>
      <c r="AU27" s="22" t="str">
        <f>IF(COUNTIFS('VS×ケイパビリティ関係'!$F$4:$F$494,$B27,'VS×ケイパビリティ関係'!$G$4:$G$494,AU$5,'VS×ケイパビリティ関係'!$E$4:$E$494,"主")&gt;0,"●",IF(COUNTIFS('VS×ケイパビリティ関係'!$F$4:$F$494,$B27,'VS×ケイパビリティ関係'!$G$4:$G$494,AU$5,'VS×ケイパビリティ関係'!$E$4:$E$494,"支援")&gt;0,"○",""))</f>
        <v/>
      </c>
      <c r="AV27" s="22" t="str">
        <f>IF(COUNTIFS('VS×ケイパビリティ関係'!$F$4:$F$494,$B27,'VS×ケイパビリティ関係'!$G$4:$G$494,AV$5,'VS×ケイパビリティ関係'!$E$4:$E$494,"主")&gt;0,"●",IF(COUNTIFS('VS×ケイパビリティ関係'!$F$4:$F$494,$B27,'VS×ケイパビリティ関係'!$G$4:$G$494,AV$5,'VS×ケイパビリティ関係'!$E$4:$E$494,"支援")&gt;0,"○",""))</f>
        <v/>
      </c>
      <c r="AW27" s="22" t="str">
        <f>IF(COUNTIFS('VS×ケイパビリティ関係'!$F$4:$F$494,$B27,'VS×ケイパビリティ関係'!$G$4:$G$494,AW$5,'VS×ケイパビリティ関係'!$E$4:$E$494,"主")&gt;0,"●",IF(COUNTIFS('VS×ケイパビリティ関係'!$F$4:$F$494,$B27,'VS×ケイパビリティ関係'!$G$4:$G$494,AW$5,'VS×ケイパビリティ関係'!$E$4:$E$494,"支援")&gt;0,"○",""))</f>
        <v/>
      </c>
      <c r="AX27" s="22" t="str">
        <f>IF(COUNTIFS('VS×ケイパビリティ関係'!$F$4:$F$494,$B27,'VS×ケイパビリティ関係'!$G$4:$G$494,AX$5,'VS×ケイパビリティ関係'!$E$4:$E$494,"主")&gt;0,"●",IF(COUNTIFS('VS×ケイパビリティ関係'!$F$4:$F$494,$B27,'VS×ケイパビリティ関係'!$G$4:$G$494,AX$5,'VS×ケイパビリティ関係'!$E$4:$E$494,"支援")&gt;0,"○",""))</f>
        <v/>
      </c>
      <c r="AY27" s="22" t="str">
        <f>IF(COUNTIFS('VS×ケイパビリティ関係'!$F$4:$F$494,$B27,'VS×ケイパビリティ関係'!$G$4:$G$494,AY$5,'VS×ケイパビリティ関係'!$E$4:$E$494,"主")&gt;0,"●",IF(COUNTIFS('VS×ケイパビリティ関係'!$F$4:$F$494,$B27,'VS×ケイパビリティ関係'!$G$4:$G$494,AY$5,'VS×ケイパビリティ関係'!$E$4:$E$494,"支援")&gt;0,"○",""))</f>
        <v/>
      </c>
      <c r="AZ27" s="22" t="str">
        <f>IF(COUNTIFS('VS×ケイパビリティ関係'!$F$4:$F$494,$B27,'VS×ケイパビリティ関係'!$G$4:$G$494,AZ$5,'VS×ケイパビリティ関係'!$E$4:$E$494,"主")&gt;0,"●",IF(COUNTIFS('VS×ケイパビリティ関係'!$F$4:$F$494,$B27,'VS×ケイパビリティ関係'!$G$4:$G$494,AZ$5,'VS×ケイパビリティ関係'!$E$4:$E$494,"支援")&gt;0,"○",""))</f>
        <v/>
      </c>
      <c r="BA27" s="22" t="str">
        <f>IF(COUNTIFS('VS×ケイパビリティ関係'!$F$4:$F$494,$B27,'VS×ケイパビリティ関係'!$G$4:$G$494,BA$5,'VS×ケイパビリティ関係'!$E$4:$E$494,"主")&gt;0,"●",IF(COUNTIFS('VS×ケイパビリティ関係'!$F$4:$F$494,$B27,'VS×ケイパビリティ関係'!$G$4:$G$494,BA$5,'VS×ケイパビリティ関係'!$E$4:$E$494,"支援")&gt;0,"○",""))</f>
        <v/>
      </c>
      <c r="BB27" s="22" t="str">
        <f>IF(COUNTIFS('VS×ケイパビリティ関係'!$F$4:$F$494,$B27,'VS×ケイパビリティ関係'!$G$4:$G$494,BB$5,'VS×ケイパビリティ関係'!$E$4:$E$494,"主")&gt;0,"●",IF(COUNTIFS('VS×ケイパビリティ関係'!$F$4:$F$494,$B27,'VS×ケイパビリティ関係'!$G$4:$G$494,BB$5,'VS×ケイパビリティ関係'!$E$4:$E$494,"支援")&gt;0,"○",""))</f>
        <v/>
      </c>
      <c r="BC27" s="22" t="str">
        <f>IF(COUNTIFS('VS×ケイパビリティ関係'!$F$4:$F$494,$B27,'VS×ケイパビリティ関係'!$G$4:$G$494,BC$5,'VS×ケイパビリティ関係'!$E$4:$E$494,"主")&gt;0,"●",IF(COUNTIFS('VS×ケイパビリティ関係'!$F$4:$F$494,$B27,'VS×ケイパビリティ関係'!$G$4:$G$494,BC$5,'VS×ケイパビリティ関係'!$E$4:$E$494,"支援")&gt;0,"○",""))</f>
        <v/>
      </c>
      <c r="BD27" s="22" t="str">
        <f>IF(COUNTIFS('VS×ケイパビリティ関係'!$F$4:$F$494,$B27,'VS×ケイパビリティ関係'!$G$4:$G$494,BD$5,'VS×ケイパビリティ関係'!$E$4:$E$494,"主")&gt;0,"●",IF(COUNTIFS('VS×ケイパビリティ関係'!$F$4:$F$494,$B27,'VS×ケイパビリティ関係'!$G$4:$G$494,BD$5,'VS×ケイパビリティ関係'!$E$4:$E$494,"支援")&gt;0,"○",""))</f>
        <v/>
      </c>
      <c r="BE27" s="22">
        <f t="shared" si="1"/>
        <v>2</v>
      </c>
      <c r="BF27" s="22">
        <f t="shared" si="2"/>
        <v>4</v>
      </c>
    </row>
    <row r="28" ht="15.0" customHeight="1">
      <c r="A28" s="42"/>
      <c r="B28" s="22" t="s">
        <v>1682</v>
      </c>
      <c r="C28" s="25" t="s">
        <v>1685</v>
      </c>
      <c r="D28" s="22" t="str">
        <f>IF(COUNTIFS('VS×ケイパビリティ関係'!$F$4:$F$494,$B28,'VS×ケイパビリティ関係'!$G$4:$G$494,D$5,'VS×ケイパビリティ関係'!$E$4:$E$494,"主")&gt;0,"●",IF(COUNTIFS('VS×ケイパビリティ関係'!$F$4:$F$494,$B28,'VS×ケイパビリティ関係'!$G$4:$G$494,D$5,'VS×ケイパビリティ関係'!$E$4:$E$494,"支援")&gt;0,"○",""))</f>
        <v/>
      </c>
      <c r="E28" s="22" t="str">
        <f>IF(COUNTIFS('VS×ケイパビリティ関係'!$F$4:$F$494,$B28,'VS×ケイパビリティ関係'!$G$4:$G$494,E$5,'VS×ケイパビリティ関係'!$E$4:$E$494,"主")&gt;0,"●",IF(COUNTIFS('VS×ケイパビリティ関係'!$F$4:$F$494,$B28,'VS×ケイパビリティ関係'!$G$4:$G$494,E$5,'VS×ケイパビリティ関係'!$E$4:$E$494,"支援")&gt;0,"○",""))</f>
        <v/>
      </c>
      <c r="F28" s="22" t="str">
        <f>IF(COUNTIFS('VS×ケイパビリティ関係'!$F$4:$F$494,$B28,'VS×ケイパビリティ関係'!$G$4:$G$494,F$5,'VS×ケイパビリティ関係'!$E$4:$E$494,"主")&gt;0,"●",IF(COUNTIFS('VS×ケイパビリティ関係'!$F$4:$F$494,$B28,'VS×ケイパビリティ関係'!$G$4:$G$494,F$5,'VS×ケイパビリティ関係'!$E$4:$E$494,"支援")&gt;0,"○",""))</f>
        <v/>
      </c>
      <c r="G28" s="22" t="str">
        <f>IF(COUNTIFS('VS×ケイパビリティ関係'!$F$4:$F$494,$B28,'VS×ケイパビリティ関係'!$G$4:$G$494,G$5,'VS×ケイパビリティ関係'!$E$4:$E$494,"主")&gt;0,"●",IF(COUNTIFS('VS×ケイパビリティ関係'!$F$4:$F$494,$B28,'VS×ケイパビリティ関係'!$G$4:$G$494,G$5,'VS×ケイパビリティ関係'!$E$4:$E$494,"支援")&gt;0,"○",""))</f>
        <v/>
      </c>
      <c r="H28" s="22" t="str">
        <f>IF(COUNTIFS('VS×ケイパビリティ関係'!$F$4:$F$494,$B28,'VS×ケイパビリティ関係'!$G$4:$G$494,H$5,'VS×ケイパビリティ関係'!$E$4:$E$494,"主")&gt;0,"●",IF(COUNTIFS('VS×ケイパビリティ関係'!$F$4:$F$494,$B28,'VS×ケイパビリティ関係'!$G$4:$G$494,H$5,'VS×ケイパビリティ関係'!$E$4:$E$494,"支援")&gt;0,"○",""))</f>
        <v/>
      </c>
      <c r="I28" s="22" t="str">
        <f>IF(COUNTIFS('VS×ケイパビリティ関係'!$F$4:$F$494,$B28,'VS×ケイパビリティ関係'!$G$4:$G$494,I$5,'VS×ケイパビリティ関係'!$E$4:$E$494,"主")&gt;0,"●",IF(COUNTIFS('VS×ケイパビリティ関係'!$F$4:$F$494,$B28,'VS×ケイパビリティ関係'!$G$4:$G$494,I$5,'VS×ケイパビリティ関係'!$E$4:$E$494,"支援")&gt;0,"○",""))</f>
        <v/>
      </c>
      <c r="J28" s="22" t="str">
        <f>IF(COUNTIFS('VS×ケイパビリティ関係'!$F$4:$F$494,$B28,'VS×ケイパビリティ関係'!$G$4:$G$494,J$5,'VS×ケイパビリティ関係'!$E$4:$E$494,"主")&gt;0,"●",IF(COUNTIFS('VS×ケイパビリティ関係'!$F$4:$F$494,$B28,'VS×ケイパビリティ関係'!$G$4:$G$494,J$5,'VS×ケイパビリティ関係'!$E$4:$E$494,"支援")&gt;0,"○",""))</f>
        <v/>
      </c>
      <c r="K28" s="22" t="str">
        <f>IF(COUNTIFS('VS×ケイパビリティ関係'!$F$4:$F$494,$B28,'VS×ケイパビリティ関係'!$G$4:$G$494,K$5,'VS×ケイパビリティ関係'!$E$4:$E$494,"主")&gt;0,"●",IF(COUNTIFS('VS×ケイパビリティ関係'!$F$4:$F$494,$B28,'VS×ケイパビリティ関係'!$G$4:$G$494,K$5,'VS×ケイパビリティ関係'!$E$4:$E$494,"支援")&gt;0,"○",""))</f>
        <v/>
      </c>
      <c r="L28" s="22" t="str">
        <f>IF(COUNTIFS('VS×ケイパビリティ関係'!$F$4:$F$494,$B28,'VS×ケイパビリティ関係'!$G$4:$G$494,L$5,'VS×ケイパビリティ関係'!$E$4:$E$494,"主")&gt;0,"●",IF(COUNTIFS('VS×ケイパビリティ関係'!$F$4:$F$494,$B28,'VS×ケイパビリティ関係'!$G$4:$G$494,L$5,'VS×ケイパビリティ関係'!$E$4:$E$494,"支援")&gt;0,"○",""))</f>
        <v/>
      </c>
      <c r="M28" s="22" t="str">
        <f>IF(COUNTIFS('VS×ケイパビリティ関係'!$F$4:$F$494,$B28,'VS×ケイパビリティ関係'!$G$4:$G$494,M$5,'VS×ケイパビリティ関係'!$E$4:$E$494,"主")&gt;0,"●",IF(COUNTIFS('VS×ケイパビリティ関係'!$F$4:$F$494,$B28,'VS×ケイパビリティ関係'!$G$4:$G$494,M$5,'VS×ケイパビリティ関係'!$E$4:$E$494,"支援")&gt;0,"○",""))</f>
        <v/>
      </c>
      <c r="N28" s="22" t="str">
        <f>IF(COUNTIFS('VS×ケイパビリティ関係'!$F$4:$F$494,$B28,'VS×ケイパビリティ関係'!$G$4:$G$494,N$5,'VS×ケイパビリティ関係'!$E$4:$E$494,"主")&gt;0,"●",IF(COUNTIFS('VS×ケイパビリティ関係'!$F$4:$F$494,$B28,'VS×ケイパビリティ関係'!$G$4:$G$494,N$5,'VS×ケイパビリティ関係'!$E$4:$E$494,"支援")&gt;0,"○",""))</f>
        <v/>
      </c>
      <c r="O28" s="22" t="str">
        <f>IF(COUNTIFS('VS×ケイパビリティ関係'!$F$4:$F$494,$B28,'VS×ケイパビリティ関係'!$G$4:$G$494,O$5,'VS×ケイパビリティ関係'!$E$4:$E$494,"主")&gt;0,"●",IF(COUNTIFS('VS×ケイパビリティ関係'!$F$4:$F$494,$B28,'VS×ケイパビリティ関係'!$G$4:$G$494,O$5,'VS×ケイパビリティ関係'!$E$4:$E$494,"支援")&gt;0,"○",""))</f>
        <v/>
      </c>
      <c r="P28" s="22" t="str">
        <f>IF(COUNTIFS('VS×ケイパビリティ関係'!$F$4:$F$494,$B28,'VS×ケイパビリティ関係'!$G$4:$G$494,P$5,'VS×ケイパビリティ関係'!$E$4:$E$494,"主")&gt;0,"●",IF(COUNTIFS('VS×ケイパビリティ関係'!$F$4:$F$494,$B28,'VS×ケイパビリティ関係'!$G$4:$G$494,P$5,'VS×ケイパビリティ関係'!$E$4:$E$494,"支援")&gt;0,"○",""))</f>
        <v/>
      </c>
      <c r="Q28" s="22" t="str">
        <f>IF(COUNTIFS('VS×ケイパビリティ関係'!$F$4:$F$494,$B28,'VS×ケイパビリティ関係'!$G$4:$G$494,Q$5,'VS×ケイパビリティ関係'!$E$4:$E$494,"主")&gt;0,"●",IF(COUNTIFS('VS×ケイパビリティ関係'!$F$4:$F$494,$B28,'VS×ケイパビリティ関係'!$G$4:$G$494,Q$5,'VS×ケイパビリティ関係'!$E$4:$E$494,"支援")&gt;0,"○",""))</f>
        <v/>
      </c>
      <c r="R28" s="22" t="str">
        <f>IF(COUNTIFS('VS×ケイパビリティ関係'!$F$4:$F$494,$B28,'VS×ケイパビリティ関係'!$G$4:$G$494,R$5,'VS×ケイパビリティ関係'!$E$4:$E$494,"主")&gt;0,"●",IF(COUNTIFS('VS×ケイパビリティ関係'!$F$4:$F$494,$B28,'VS×ケイパビリティ関係'!$G$4:$G$494,R$5,'VS×ケイパビリティ関係'!$E$4:$E$494,"支援")&gt;0,"○",""))</f>
        <v/>
      </c>
      <c r="S28" s="22" t="str">
        <f>IF(COUNTIFS('VS×ケイパビリティ関係'!$F$4:$F$494,$B28,'VS×ケイパビリティ関係'!$G$4:$G$494,S$5,'VS×ケイパビリティ関係'!$E$4:$E$494,"主")&gt;0,"●",IF(COUNTIFS('VS×ケイパビリティ関係'!$F$4:$F$494,$B28,'VS×ケイパビリティ関係'!$G$4:$G$494,S$5,'VS×ケイパビリティ関係'!$E$4:$E$494,"支援")&gt;0,"○",""))</f>
        <v/>
      </c>
      <c r="T28" s="22" t="str">
        <f>IF(COUNTIFS('VS×ケイパビリティ関係'!$F$4:$F$494,$B28,'VS×ケイパビリティ関係'!$G$4:$G$494,T$5,'VS×ケイパビリティ関係'!$E$4:$E$494,"主")&gt;0,"●",IF(COUNTIFS('VS×ケイパビリティ関係'!$F$4:$F$494,$B28,'VS×ケイパビリティ関係'!$G$4:$G$494,T$5,'VS×ケイパビリティ関係'!$E$4:$E$494,"支援")&gt;0,"○",""))</f>
        <v/>
      </c>
      <c r="U28" s="22" t="str">
        <f>IF(COUNTIFS('VS×ケイパビリティ関係'!$F$4:$F$494,$B28,'VS×ケイパビリティ関係'!$G$4:$G$494,U$5,'VS×ケイパビリティ関係'!$E$4:$E$494,"主")&gt;0,"●",IF(COUNTIFS('VS×ケイパビリティ関係'!$F$4:$F$494,$B28,'VS×ケイパビリティ関係'!$G$4:$G$494,U$5,'VS×ケイパビリティ関係'!$E$4:$E$494,"支援")&gt;0,"○",""))</f>
        <v/>
      </c>
      <c r="V28" s="22" t="str">
        <f>IF(COUNTIFS('VS×ケイパビリティ関係'!$F$4:$F$494,$B28,'VS×ケイパビリティ関係'!$G$4:$G$494,V$5,'VS×ケイパビリティ関係'!$E$4:$E$494,"主")&gt;0,"●",IF(COUNTIFS('VS×ケイパビリティ関係'!$F$4:$F$494,$B28,'VS×ケイパビリティ関係'!$G$4:$G$494,V$5,'VS×ケイパビリティ関係'!$E$4:$E$494,"支援")&gt;0,"○",""))</f>
        <v/>
      </c>
      <c r="W28" s="22" t="str">
        <f>IF(COUNTIFS('VS×ケイパビリティ関係'!$F$4:$F$494,$B28,'VS×ケイパビリティ関係'!$G$4:$G$494,W$5,'VS×ケイパビリティ関係'!$E$4:$E$494,"主")&gt;0,"●",IF(COUNTIFS('VS×ケイパビリティ関係'!$F$4:$F$494,$B28,'VS×ケイパビリティ関係'!$G$4:$G$494,W$5,'VS×ケイパビリティ関係'!$E$4:$E$494,"支援")&gt;0,"○",""))</f>
        <v/>
      </c>
      <c r="X28" s="22" t="str">
        <f>IF(COUNTIFS('VS×ケイパビリティ関係'!$F$4:$F$494,$B28,'VS×ケイパビリティ関係'!$G$4:$G$494,X$5,'VS×ケイパビリティ関係'!$E$4:$E$494,"主")&gt;0,"●",IF(COUNTIFS('VS×ケイパビリティ関係'!$F$4:$F$494,$B28,'VS×ケイパビリティ関係'!$G$4:$G$494,X$5,'VS×ケイパビリティ関係'!$E$4:$E$494,"支援")&gt;0,"○",""))</f>
        <v/>
      </c>
      <c r="Y28" s="22" t="str">
        <f>IF(COUNTIFS('VS×ケイパビリティ関係'!$F$4:$F$494,$B28,'VS×ケイパビリティ関係'!$G$4:$G$494,Y$5,'VS×ケイパビリティ関係'!$E$4:$E$494,"主")&gt;0,"●",IF(COUNTIFS('VS×ケイパビリティ関係'!$F$4:$F$494,$B28,'VS×ケイパビリティ関係'!$G$4:$G$494,Y$5,'VS×ケイパビリティ関係'!$E$4:$E$494,"支援")&gt;0,"○",""))</f>
        <v/>
      </c>
      <c r="Z28" s="22" t="str">
        <f>IF(COUNTIFS('VS×ケイパビリティ関係'!$F$4:$F$494,$B28,'VS×ケイパビリティ関係'!$G$4:$G$494,Z$5,'VS×ケイパビリティ関係'!$E$4:$E$494,"主")&gt;0,"●",IF(COUNTIFS('VS×ケイパビリティ関係'!$F$4:$F$494,$B28,'VS×ケイパビリティ関係'!$G$4:$G$494,Z$5,'VS×ケイパビリティ関係'!$E$4:$E$494,"支援")&gt;0,"○",""))</f>
        <v/>
      </c>
      <c r="AA28" s="22" t="str">
        <f>IF(COUNTIFS('VS×ケイパビリティ関係'!$F$4:$F$494,$B28,'VS×ケイパビリティ関係'!$G$4:$G$494,AA$5,'VS×ケイパビリティ関係'!$E$4:$E$494,"主")&gt;0,"●",IF(COUNTIFS('VS×ケイパビリティ関係'!$F$4:$F$494,$B28,'VS×ケイパビリティ関係'!$G$4:$G$494,AA$5,'VS×ケイパビリティ関係'!$E$4:$E$494,"支援")&gt;0,"○",""))</f>
        <v>●</v>
      </c>
      <c r="AB28" s="22" t="str">
        <f>IF(COUNTIFS('VS×ケイパビリティ関係'!$F$4:$F$494,$B28,'VS×ケイパビリティ関係'!$G$4:$G$494,AB$5,'VS×ケイパビリティ関係'!$E$4:$E$494,"主")&gt;0,"●",IF(COUNTIFS('VS×ケイパビリティ関係'!$F$4:$F$494,$B28,'VS×ケイパビリティ関係'!$G$4:$G$494,AB$5,'VS×ケイパビリティ関係'!$E$4:$E$494,"支援")&gt;0,"○",""))</f>
        <v>○</v>
      </c>
      <c r="AC28" s="22" t="str">
        <f>IF(COUNTIFS('VS×ケイパビリティ関係'!$F$4:$F$494,$B28,'VS×ケイパビリティ関係'!$G$4:$G$494,AC$5,'VS×ケイパビリティ関係'!$E$4:$E$494,"主")&gt;0,"●",IF(COUNTIFS('VS×ケイパビリティ関係'!$F$4:$F$494,$B28,'VS×ケイパビリティ関係'!$G$4:$G$494,AC$5,'VS×ケイパビリティ関係'!$E$4:$E$494,"支援")&gt;0,"○",""))</f>
        <v>●</v>
      </c>
      <c r="AD28" s="22" t="str">
        <f>IF(COUNTIFS('VS×ケイパビリティ関係'!$F$4:$F$494,$B28,'VS×ケイパビリティ関係'!$G$4:$G$494,AD$5,'VS×ケイパビリティ関係'!$E$4:$E$494,"主")&gt;0,"●",IF(COUNTIFS('VS×ケイパビリティ関係'!$F$4:$F$494,$B28,'VS×ケイパビリティ関係'!$G$4:$G$494,AD$5,'VS×ケイパビリティ関係'!$E$4:$E$494,"支援")&gt;0,"○",""))</f>
        <v>●</v>
      </c>
      <c r="AE28" s="22" t="str">
        <f>IF(COUNTIFS('VS×ケイパビリティ関係'!$F$4:$F$494,$B28,'VS×ケイパビリティ関係'!$G$4:$G$494,AE$5,'VS×ケイパビリティ関係'!$E$4:$E$494,"主")&gt;0,"●",IF(COUNTIFS('VS×ケイパビリティ関係'!$F$4:$F$494,$B28,'VS×ケイパビリティ関係'!$G$4:$G$494,AE$5,'VS×ケイパビリティ関係'!$E$4:$E$494,"支援")&gt;0,"○",""))</f>
        <v/>
      </c>
      <c r="AF28" s="22" t="str">
        <f>IF(COUNTIFS('VS×ケイパビリティ関係'!$F$4:$F$494,$B28,'VS×ケイパビリティ関係'!$G$4:$G$494,AF$5,'VS×ケイパビリティ関係'!$E$4:$E$494,"主")&gt;0,"●",IF(COUNTIFS('VS×ケイパビリティ関係'!$F$4:$F$494,$B28,'VS×ケイパビリティ関係'!$G$4:$G$494,AF$5,'VS×ケイパビリティ関係'!$E$4:$E$494,"支援")&gt;0,"○",""))</f>
        <v/>
      </c>
      <c r="AG28" s="22" t="str">
        <f>IF(COUNTIFS('VS×ケイパビリティ関係'!$F$4:$F$494,$B28,'VS×ケイパビリティ関係'!$G$4:$G$494,AG$5,'VS×ケイパビリティ関係'!$E$4:$E$494,"主")&gt;0,"●",IF(COUNTIFS('VS×ケイパビリティ関係'!$F$4:$F$494,$B28,'VS×ケイパビリティ関係'!$G$4:$G$494,AG$5,'VS×ケイパビリティ関係'!$E$4:$E$494,"支援")&gt;0,"○",""))</f>
        <v/>
      </c>
      <c r="AH28" s="22" t="str">
        <f>IF(COUNTIFS('VS×ケイパビリティ関係'!$F$4:$F$494,$B28,'VS×ケイパビリティ関係'!$G$4:$G$494,AH$5,'VS×ケイパビリティ関係'!$E$4:$E$494,"主")&gt;0,"●",IF(COUNTIFS('VS×ケイパビリティ関係'!$F$4:$F$494,$B28,'VS×ケイパビリティ関係'!$G$4:$G$494,AH$5,'VS×ケイパビリティ関係'!$E$4:$E$494,"支援")&gt;0,"○",""))</f>
        <v/>
      </c>
      <c r="AI28" s="22" t="str">
        <f>IF(COUNTIFS('VS×ケイパビリティ関係'!$F$4:$F$494,$B28,'VS×ケイパビリティ関係'!$G$4:$G$494,AI$5,'VS×ケイパビリティ関係'!$E$4:$E$494,"主")&gt;0,"●",IF(COUNTIFS('VS×ケイパビリティ関係'!$F$4:$F$494,$B28,'VS×ケイパビリティ関係'!$G$4:$G$494,AI$5,'VS×ケイパビリティ関係'!$E$4:$E$494,"支援")&gt;0,"○",""))</f>
        <v/>
      </c>
      <c r="AJ28" s="22" t="str">
        <f>IF(COUNTIFS('VS×ケイパビリティ関係'!$F$4:$F$494,$B28,'VS×ケイパビリティ関係'!$G$4:$G$494,AJ$5,'VS×ケイパビリティ関係'!$E$4:$E$494,"主")&gt;0,"●",IF(COUNTIFS('VS×ケイパビリティ関係'!$F$4:$F$494,$B28,'VS×ケイパビリティ関係'!$G$4:$G$494,AJ$5,'VS×ケイパビリティ関係'!$E$4:$E$494,"支援")&gt;0,"○",""))</f>
        <v/>
      </c>
      <c r="AK28" s="22" t="str">
        <f>IF(COUNTIFS('VS×ケイパビリティ関係'!$F$4:$F$494,$B28,'VS×ケイパビリティ関係'!$G$4:$G$494,AK$5,'VS×ケイパビリティ関係'!$E$4:$E$494,"主")&gt;0,"●",IF(COUNTIFS('VS×ケイパビリティ関係'!$F$4:$F$494,$B28,'VS×ケイパビリティ関係'!$G$4:$G$494,AK$5,'VS×ケイパビリティ関係'!$E$4:$E$494,"支援")&gt;0,"○",""))</f>
        <v/>
      </c>
      <c r="AL28" s="22" t="str">
        <f>IF(COUNTIFS('VS×ケイパビリティ関係'!$F$4:$F$494,$B28,'VS×ケイパビリティ関係'!$G$4:$G$494,AL$5,'VS×ケイパビリティ関係'!$E$4:$E$494,"主")&gt;0,"●",IF(COUNTIFS('VS×ケイパビリティ関係'!$F$4:$F$494,$B28,'VS×ケイパビリティ関係'!$G$4:$G$494,AL$5,'VS×ケイパビリティ関係'!$E$4:$E$494,"支援")&gt;0,"○",""))</f>
        <v/>
      </c>
      <c r="AM28" s="22" t="str">
        <f>IF(COUNTIFS('VS×ケイパビリティ関係'!$F$4:$F$494,$B28,'VS×ケイパビリティ関係'!$G$4:$G$494,AM$5,'VS×ケイパビリティ関係'!$E$4:$E$494,"主")&gt;0,"●",IF(COUNTIFS('VS×ケイパビリティ関係'!$F$4:$F$494,$B28,'VS×ケイパビリティ関係'!$G$4:$G$494,AM$5,'VS×ケイパビリティ関係'!$E$4:$E$494,"支援")&gt;0,"○",""))</f>
        <v/>
      </c>
      <c r="AN28" s="22" t="str">
        <f>IF(COUNTIFS('VS×ケイパビリティ関係'!$F$4:$F$494,$B28,'VS×ケイパビリティ関係'!$G$4:$G$494,AN$5,'VS×ケイパビリティ関係'!$E$4:$E$494,"主")&gt;0,"●",IF(COUNTIFS('VS×ケイパビリティ関係'!$F$4:$F$494,$B28,'VS×ケイパビリティ関係'!$G$4:$G$494,AN$5,'VS×ケイパビリティ関係'!$E$4:$E$494,"支援")&gt;0,"○",""))</f>
        <v>●</v>
      </c>
      <c r="AO28" s="22" t="str">
        <f>IF(COUNTIFS('VS×ケイパビリティ関係'!$F$4:$F$494,$B28,'VS×ケイパビリティ関係'!$G$4:$G$494,AO$5,'VS×ケイパビリティ関係'!$E$4:$E$494,"主")&gt;0,"●",IF(COUNTIFS('VS×ケイパビリティ関係'!$F$4:$F$494,$B28,'VS×ケイパビリティ関係'!$G$4:$G$494,AO$5,'VS×ケイパビリティ関係'!$E$4:$E$494,"支援")&gt;0,"○",""))</f>
        <v/>
      </c>
      <c r="AP28" s="22" t="str">
        <f>IF(COUNTIFS('VS×ケイパビリティ関係'!$F$4:$F$494,$B28,'VS×ケイパビリティ関係'!$G$4:$G$494,AP$5,'VS×ケイパビリティ関係'!$E$4:$E$494,"主")&gt;0,"●",IF(COUNTIFS('VS×ケイパビリティ関係'!$F$4:$F$494,$B28,'VS×ケイパビリティ関係'!$G$4:$G$494,AP$5,'VS×ケイパビリティ関係'!$E$4:$E$494,"支援")&gt;0,"○",""))</f>
        <v/>
      </c>
      <c r="AQ28" s="22" t="str">
        <f>IF(COUNTIFS('VS×ケイパビリティ関係'!$F$4:$F$494,$B28,'VS×ケイパビリティ関係'!$G$4:$G$494,AQ$5,'VS×ケイパビリティ関係'!$E$4:$E$494,"主")&gt;0,"●",IF(COUNTIFS('VS×ケイパビリティ関係'!$F$4:$F$494,$B28,'VS×ケイパビリティ関係'!$G$4:$G$494,AQ$5,'VS×ケイパビリティ関係'!$E$4:$E$494,"支援")&gt;0,"○",""))</f>
        <v/>
      </c>
      <c r="AR28" s="22" t="str">
        <f>IF(COUNTIFS('VS×ケイパビリティ関係'!$F$4:$F$494,$B28,'VS×ケイパビリティ関係'!$G$4:$G$494,AR$5,'VS×ケイパビリティ関係'!$E$4:$E$494,"主")&gt;0,"●",IF(COUNTIFS('VS×ケイパビリティ関係'!$F$4:$F$494,$B28,'VS×ケイパビリティ関係'!$G$4:$G$494,AR$5,'VS×ケイパビリティ関係'!$E$4:$E$494,"支援")&gt;0,"○",""))</f>
        <v/>
      </c>
      <c r="AS28" s="22" t="str">
        <f>IF(COUNTIFS('VS×ケイパビリティ関係'!$F$4:$F$494,$B28,'VS×ケイパビリティ関係'!$G$4:$G$494,AS$5,'VS×ケイパビリティ関係'!$E$4:$E$494,"主")&gt;0,"●",IF(COUNTIFS('VS×ケイパビリティ関係'!$F$4:$F$494,$B28,'VS×ケイパビリティ関係'!$G$4:$G$494,AS$5,'VS×ケイパビリティ関係'!$E$4:$E$494,"支援")&gt;0,"○",""))</f>
        <v/>
      </c>
      <c r="AT28" s="22" t="str">
        <f>IF(COUNTIFS('VS×ケイパビリティ関係'!$F$4:$F$494,$B28,'VS×ケイパビリティ関係'!$G$4:$G$494,AT$5,'VS×ケイパビリティ関係'!$E$4:$E$494,"主")&gt;0,"●",IF(COUNTIFS('VS×ケイパビリティ関係'!$F$4:$F$494,$B28,'VS×ケイパビリティ関係'!$G$4:$G$494,AT$5,'VS×ケイパビリティ関係'!$E$4:$E$494,"支援")&gt;0,"○",""))</f>
        <v/>
      </c>
      <c r="AU28" s="22" t="str">
        <f>IF(COUNTIFS('VS×ケイパビリティ関係'!$F$4:$F$494,$B28,'VS×ケイパビリティ関係'!$G$4:$G$494,AU$5,'VS×ケイパビリティ関係'!$E$4:$E$494,"主")&gt;0,"●",IF(COUNTIFS('VS×ケイパビリティ関係'!$F$4:$F$494,$B28,'VS×ケイパビリティ関係'!$G$4:$G$494,AU$5,'VS×ケイパビリティ関係'!$E$4:$E$494,"支援")&gt;0,"○",""))</f>
        <v/>
      </c>
      <c r="AV28" s="22" t="str">
        <f>IF(COUNTIFS('VS×ケイパビリティ関係'!$F$4:$F$494,$B28,'VS×ケイパビリティ関係'!$G$4:$G$494,AV$5,'VS×ケイパビリティ関係'!$E$4:$E$494,"主")&gt;0,"●",IF(COUNTIFS('VS×ケイパビリティ関係'!$F$4:$F$494,$B28,'VS×ケイパビリティ関係'!$G$4:$G$494,AV$5,'VS×ケイパビリティ関係'!$E$4:$E$494,"支援")&gt;0,"○",""))</f>
        <v/>
      </c>
      <c r="AW28" s="22" t="str">
        <f>IF(COUNTIFS('VS×ケイパビリティ関係'!$F$4:$F$494,$B28,'VS×ケイパビリティ関係'!$G$4:$G$494,AW$5,'VS×ケイパビリティ関係'!$E$4:$E$494,"主")&gt;0,"●",IF(COUNTIFS('VS×ケイパビリティ関係'!$F$4:$F$494,$B28,'VS×ケイパビリティ関係'!$G$4:$G$494,AW$5,'VS×ケイパビリティ関係'!$E$4:$E$494,"支援")&gt;0,"○",""))</f>
        <v/>
      </c>
      <c r="AX28" s="22" t="str">
        <f>IF(COUNTIFS('VS×ケイパビリティ関係'!$F$4:$F$494,$B28,'VS×ケイパビリティ関係'!$G$4:$G$494,AX$5,'VS×ケイパビリティ関係'!$E$4:$E$494,"主")&gt;0,"●",IF(COUNTIFS('VS×ケイパビリティ関係'!$F$4:$F$494,$B28,'VS×ケイパビリティ関係'!$G$4:$G$494,AX$5,'VS×ケイパビリティ関係'!$E$4:$E$494,"支援")&gt;0,"○",""))</f>
        <v/>
      </c>
      <c r="AY28" s="22" t="str">
        <f>IF(COUNTIFS('VS×ケイパビリティ関係'!$F$4:$F$494,$B28,'VS×ケイパビリティ関係'!$G$4:$G$494,AY$5,'VS×ケイパビリティ関係'!$E$4:$E$494,"主")&gt;0,"●",IF(COUNTIFS('VS×ケイパビリティ関係'!$F$4:$F$494,$B28,'VS×ケイパビリティ関係'!$G$4:$G$494,AY$5,'VS×ケイパビリティ関係'!$E$4:$E$494,"支援")&gt;0,"○",""))</f>
        <v/>
      </c>
      <c r="AZ28" s="22" t="str">
        <f>IF(COUNTIFS('VS×ケイパビリティ関係'!$F$4:$F$494,$B28,'VS×ケイパビリティ関係'!$G$4:$G$494,AZ$5,'VS×ケイパビリティ関係'!$E$4:$E$494,"主")&gt;0,"●",IF(COUNTIFS('VS×ケイパビリティ関係'!$F$4:$F$494,$B28,'VS×ケイパビリティ関係'!$G$4:$G$494,AZ$5,'VS×ケイパビリティ関係'!$E$4:$E$494,"支援")&gt;0,"○",""))</f>
        <v/>
      </c>
      <c r="BA28" s="22" t="str">
        <f>IF(COUNTIFS('VS×ケイパビリティ関係'!$F$4:$F$494,$B28,'VS×ケイパビリティ関係'!$G$4:$G$494,BA$5,'VS×ケイパビリティ関係'!$E$4:$E$494,"主")&gt;0,"●",IF(COUNTIFS('VS×ケイパビリティ関係'!$F$4:$F$494,$B28,'VS×ケイパビリティ関係'!$G$4:$G$494,BA$5,'VS×ケイパビリティ関係'!$E$4:$E$494,"支援")&gt;0,"○",""))</f>
        <v/>
      </c>
      <c r="BB28" s="22" t="str">
        <f>IF(COUNTIFS('VS×ケイパビリティ関係'!$F$4:$F$494,$B28,'VS×ケイパビリティ関係'!$G$4:$G$494,BB$5,'VS×ケイパビリティ関係'!$E$4:$E$494,"主")&gt;0,"●",IF(COUNTIFS('VS×ケイパビリティ関係'!$F$4:$F$494,$B28,'VS×ケイパビリティ関係'!$G$4:$G$494,BB$5,'VS×ケイパビリティ関係'!$E$4:$E$494,"支援")&gt;0,"○",""))</f>
        <v/>
      </c>
      <c r="BC28" s="22" t="str">
        <f>IF(COUNTIFS('VS×ケイパビリティ関係'!$F$4:$F$494,$B28,'VS×ケイパビリティ関係'!$G$4:$G$494,BC$5,'VS×ケイパビリティ関係'!$E$4:$E$494,"主")&gt;0,"●",IF(COUNTIFS('VS×ケイパビリティ関係'!$F$4:$F$494,$B28,'VS×ケイパビリティ関係'!$G$4:$G$494,BC$5,'VS×ケイパビリティ関係'!$E$4:$E$494,"支援")&gt;0,"○",""))</f>
        <v/>
      </c>
      <c r="BD28" s="22" t="str">
        <f>IF(COUNTIFS('VS×ケイパビリティ関係'!$F$4:$F$494,$B28,'VS×ケイパビリティ関係'!$G$4:$G$494,BD$5,'VS×ケイパビリティ関係'!$E$4:$E$494,"主")&gt;0,"●",IF(COUNTIFS('VS×ケイパビリティ関係'!$F$4:$F$494,$B28,'VS×ケイパビリティ関係'!$G$4:$G$494,BD$5,'VS×ケイパビリティ関係'!$E$4:$E$494,"支援")&gt;0,"○",""))</f>
        <v/>
      </c>
      <c r="BE28" s="22">
        <f t="shared" si="1"/>
        <v>4</v>
      </c>
      <c r="BF28" s="22">
        <f t="shared" si="2"/>
        <v>1</v>
      </c>
    </row>
    <row r="29" ht="26.25" customHeight="1">
      <c r="A29" s="42" t="s">
        <v>3036</v>
      </c>
      <c r="B29" s="22" t="s">
        <v>1731</v>
      </c>
      <c r="C29" s="25" t="s">
        <v>1733</v>
      </c>
      <c r="D29" s="22" t="str">
        <f>IF(COUNTIFS('VS×ケイパビリティ関係'!$F$4:$F$494,$B29,'VS×ケイパビリティ関係'!$G$4:$G$494,D$5,'VS×ケイパビリティ関係'!$E$4:$E$494,"主")&gt;0,"●",IF(COUNTIFS('VS×ケイパビリティ関係'!$F$4:$F$494,$B29,'VS×ケイパビリティ関係'!$G$4:$G$494,D$5,'VS×ケイパビリティ関係'!$E$4:$E$494,"支援")&gt;0,"○",""))</f>
        <v/>
      </c>
      <c r="E29" s="22" t="str">
        <f>IF(COUNTIFS('VS×ケイパビリティ関係'!$F$4:$F$494,$B29,'VS×ケイパビリティ関係'!$G$4:$G$494,E$5,'VS×ケイパビリティ関係'!$E$4:$E$494,"主")&gt;0,"●",IF(COUNTIFS('VS×ケイパビリティ関係'!$F$4:$F$494,$B29,'VS×ケイパビリティ関係'!$G$4:$G$494,E$5,'VS×ケイパビリティ関係'!$E$4:$E$494,"支援")&gt;0,"○",""))</f>
        <v/>
      </c>
      <c r="F29" s="22" t="str">
        <f>IF(COUNTIFS('VS×ケイパビリティ関係'!$F$4:$F$494,$B29,'VS×ケイパビリティ関係'!$G$4:$G$494,F$5,'VS×ケイパビリティ関係'!$E$4:$E$494,"主")&gt;0,"●",IF(COUNTIFS('VS×ケイパビリティ関係'!$F$4:$F$494,$B29,'VS×ケイパビリティ関係'!$G$4:$G$494,F$5,'VS×ケイパビリティ関係'!$E$4:$E$494,"支援")&gt;0,"○",""))</f>
        <v/>
      </c>
      <c r="G29" s="22" t="str">
        <f>IF(COUNTIFS('VS×ケイパビリティ関係'!$F$4:$F$494,$B29,'VS×ケイパビリティ関係'!$G$4:$G$494,G$5,'VS×ケイパビリティ関係'!$E$4:$E$494,"主")&gt;0,"●",IF(COUNTIFS('VS×ケイパビリティ関係'!$F$4:$F$494,$B29,'VS×ケイパビリティ関係'!$G$4:$G$494,G$5,'VS×ケイパビリティ関係'!$E$4:$E$494,"支援")&gt;0,"○",""))</f>
        <v/>
      </c>
      <c r="H29" s="22" t="str">
        <f>IF(COUNTIFS('VS×ケイパビリティ関係'!$F$4:$F$494,$B29,'VS×ケイパビリティ関係'!$G$4:$G$494,H$5,'VS×ケイパビリティ関係'!$E$4:$E$494,"主")&gt;0,"●",IF(COUNTIFS('VS×ケイパビリティ関係'!$F$4:$F$494,$B29,'VS×ケイパビリティ関係'!$G$4:$G$494,H$5,'VS×ケイパビリティ関係'!$E$4:$E$494,"支援")&gt;0,"○",""))</f>
        <v/>
      </c>
      <c r="I29" s="22" t="str">
        <f>IF(COUNTIFS('VS×ケイパビリティ関係'!$F$4:$F$494,$B29,'VS×ケイパビリティ関係'!$G$4:$G$494,I$5,'VS×ケイパビリティ関係'!$E$4:$E$494,"主")&gt;0,"●",IF(COUNTIFS('VS×ケイパビリティ関係'!$F$4:$F$494,$B29,'VS×ケイパビリティ関係'!$G$4:$G$494,I$5,'VS×ケイパビリティ関係'!$E$4:$E$494,"支援")&gt;0,"○",""))</f>
        <v/>
      </c>
      <c r="J29" s="22" t="str">
        <f>IF(COUNTIFS('VS×ケイパビリティ関係'!$F$4:$F$494,$B29,'VS×ケイパビリティ関係'!$G$4:$G$494,J$5,'VS×ケイパビリティ関係'!$E$4:$E$494,"主")&gt;0,"●",IF(COUNTIFS('VS×ケイパビリティ関係'!$F$4:$F$494,$B29,'VS×ケイパビリティ関係'!$G$4:$G$494,J$5,'VS×ケイパビリティ関係'!$E$4:$E$494,"支援")&gt;0,"○",""))</f>
        <v/>
      </c>
      <c r="K29" s="22" t="str">
        <f>IF(COUNTIFS('VS×ケイパビリティ関係'!$F$4:$F$494,$B29,'VS×ケイパビリティ関係'!$G$4:$G$494,K$5,'VS×ケイパビリティ関係'!$E$4:$E$494,"主")&gt;0,"●",IF(COUNTIFS('VS×ケイパビリティ関係'!$F$4:$F$494,$B29,'VS×ケイパビリティ関係'!$G$4:$G$494,K$5,'VS×ケイパビリティ関係'!$E$4:$E$494,"支援")&gt;0,"○",""))</f>
        <v/>
      </c>
      <c r="L29" s="22" t="str">
        <f>IF(COUNTIFS('VS×ケイパビリティ関係'!$F$4:$F$494,$B29,'VS×ケイパビリティ関係'!$G$4:$G$494,L$5,'VS×ケイパビリティ関係'!$E$4:$E$494,"主")&gt;0,"●",IF(COUNTIFS('VS×ケイパビリティ関係'!$F$4:$F$494,$B29,'VS×ケイパビリティ関係'!$G$4:$G$494,L$5,'VS×ケイパビリティ関係'!$E$4:$E$494,"支援")&gt;0,"○",""))</f>
        <v/>
      </c>
      <c r="M29" s="22" t="str">
        <f>IF(COUNTIFS('VS×ケイパビリティ関係'!$F$4:$F$494,$B29,'VS×ケイパビリティ関係'!$G$4:$G$494,M$5,'VS×ケイパビリティ関係'!$E$4:$E$494,"主")&gt;0,"●",IF(COUNTIFS('VS×ケイパビリティ関係'!$F$4:$F$494,$B29,'VS×ケイパビリティ関係'!$G$4:$G$494,M$5,'VS×ケイパビリティ関係'!$E$4:$E$494,"支援")&gt;0,"○",""))</f>
        <v/>
      </c>
      <c r="N29" s="22" t="str">
        <f>IF(COUNTIFS('VS×ケイパビリティ関係'!$F$4:$F$494,$B29,'VS×ケイパビリティ関係'!$G$4:$G$494,N$5,'VS×ケイパビリティ関係'!$E$4:$E$494,"主")&gt;0,"●",IF(COUNTIFS('VS×ケイパビリティ関係'!$F$4:$F$494,$B29,'VS×ケイパビリティ関係'!$G$4:$G$494,N$5,'VS×ケイパビリティ関係'!$E$4:$E$494,"支援")&gt;0,"○",""))</f>
        <v/>
      </c>
      <c r="O29" s="22" t="str">
        <f>IF(COUNTIFS('VS×ケイパビリティ関係'!$F$4:$F$494,$B29,'VS×ケイパビリティ関係'!$G$4:$G$494,O$5,'VS×ケイパビリティ関係'!$E$4:$E$494,"主")&gt;0,"●",IF(COUNTIFS('VS×ケイパビリティ関係'!$F$4:$F$494,$B29,'VS×ケイパビリティ関係'!$G$4:$G$494,O$5,'VS×ケイパビリティ関係'!$E$4:$E$494,"支援")&gt;0,"○",""))</f>
        <v/>
      </c>
      <c r="P29" s="22" t="str">
        <f>IF(COUNTIFS('VS×ケイパビリティ関係'!$F$4:$F$494,$B29,'VS×ケイパビリティ関係'!$G$4:$G$494,P$5,'VS×ケイパビリティ関係'!$E$4:$E$494,"主")&gt;0,"●",IF(COUNTIFS('VS×ケイパビリティ関係'!$F$4:$F$494,$B29,'VS×ケイパビリティ関係'!$G$4:$G$494,P$5,'VS×ケイパビリティ関係'!$E$4:$E$494,"支援")&gt;0,"○",""))</f>
        <v>○</v>
      </c>
      <c r="Q29" s="22" t="str">
        <f>IF(COUNTIFS('VS×ケイパビリティ関係'!$F$4:$F$494,$B29,'VS×ケイパビリティ関係'!$G$4:$G$494,Q$5,'VS×ケイパビリティ関係'!$E$4:$E$494,"主")&gt;0,"●",IF(COUNTIFS('VS×ケイパビリティ関係'!$F$4:$F$494,$B29,'VS×ケイパビリティ関係'!$G$4:$G$494,Q$5,'VS×ケイパビリティ関係'!$E$4:$E$494,"支援")&gt;0,"○",""))</f>
        <v/>
      </c>
      <c r="R29" s="22" t="str">
        <f>IF(COUNTIFS('VS×ケイパビリティ関係'!$F$4:$F$494,$B29,'VS×ケイパビリティ関係'!$G$4:$G$494,R$5,'VS×ケイパビリティ関係'!$E$4:$E$494,"主")&gt;0,"●",IF(COUNTIFS('VS×ケイパビリティ関係'!$F$4:$F$494,$B29,'VS×ケイパビリティ関係'!$G$4:$G$494,R$5,'VS×ケイパビリティ関係'!$E$4:$E$494,"支援")&gt;0,"○",""))</f>
        <v/>
      </c>
      <c r="S29" s="22" t="str">
        <f>IF(COUNTIFS('VS×ケイパビリティ関係'!$F$4:$F$494,$B29,'VS×ケイパビリティ関係'!$G$4:$G$494,S$5,'VS×ケイパビリティ関係'!$E$4:$E$494,"主")&gt;0,"●",IF(COUNTIFS('VS×ケイパビリティ関係'!$F$4:$F$494,$B29,'VS×ケイパビリティ関係'!$G$4:$G$494,S$5,'VS×ケイパビリティ関係'!$E$4:$E$494,"支援")&gt;0,"○",""))</f>
        <v/>
      </c>
      <c r="T29" s="22" t="str">
        <f>IF(COUNTIFS('VS×ケイパビリティ関係'!$F$4:$F$494,$B29,'VS×ケイパビリティ関係'!$G$4:$G$494,T$5,'VS×ケイパビリティ関係'!$E$4:$E$494,"主")&gt;0,"●",IF(COUNTIFS('VS×ケイパビリティ関係'!$F$4:$F$494,$B29,'VS×ケイパビリティ関係'!$G$4:$G$494,T$5,'VS×ケイパビリティ関係'!$E$4:$E$494,"支援")&gt;0,"○",""))</f>
        <v/>
      </c>
      <c r="U29" s="22" t="str">
        <f>IF(COUNTIFS('VS×ケイパビリティ関係'!$F$4:$F$494,$B29,'VS×ケイパビリティ関係'!$G$4:$G$494,U$5,'VS×ケイパビリティ関係'!$E$4:$E$494,"主")&gt;0,"●",IF(COUNTIFS('VS×ケイパビリティ関係'!$F$4:$F$494,$B29,'VS×ケイパビリティ関係'!$G$4:$G$494,U$5,'VS×ケイパビリティ関係'!$E$4:$E$494,"支援")&gt;0,"○",""))</f>
        <v/>
      </c>
      <c r="V29" s="22" t="str">
        <f>IF(COUNTIFS('VS×ケイパビリティ関係'!$F$4:$F$494,$B29,'VS×ケイパビリティ関係'!$G$4:$G$494,V$5,'VS×ケイパビリティ関係'!$E$4:$E$494,"主")&gt;0,"●",IF(COUNTIFS('VS×ケイパビリティ関係'!$F$4:$F$494,$B29,'VS×ケイパビリティ関係'!$G$4:$G$494,V$5,'VS×ケイパビリティ関係'!$E$4:$E$494,"支援")&gt;0,"○",""))</f>
        <v/>
      </c>
      <c r="W29" s="22" t="str">
        <f>IF(COUNTIFS('VS×ケイパビリティ関係'!$F$4:$F$494,$B29,'VS×ケイパビリティ関係'!$G$4:$G$494,W$5,'VS×ケイパビリティ関係'!$E$4:$E$494,"主")&gt;0,"●",IF(COUNTIFS('VS×ケイパビリティ関係'!$F$4:$F$494,$B29,'VS×ケイパビリティ関係'!$G$4:$G$494,W$5,'VS×ケイパビリティ関係'!$E$4:$E$494,"支援")&gt;0,"○",""))</f>
        <v/>
      </c>
      <c r="X29" s="22" t="str">
        <f>IF(COUNTIFS('VS×ケイパビリティ関係'!$F$4:$F$494,$B29,'VS×ケイパビリティ関係'!$G$4:$G$494,X$5,'VS×ケイパビリティ関係'!$E$4:$E$494,"主")&gt;0,"●",IF(COUNTIFS('VS×ケイパビリティ関係'!$F$4:$F$494,$B29,'VS×ケイパビリティ関係'!$G$4:$G$494,X$5,'VS×ケイパビリティ関係'!$E$4:$E$494,"支援")&gt;0,"○",""))</f>
        <v/>
      </c>
      <c r="Y29" s="22" t="str">
        <f>IF(COUNTIFS('VS×ケイパビリティ関係'!$F$4:$F$494,$B29,'VS×ケイパビリティ関係'!$G$4:$G$494,Y$5,'VS×ケイパビリティ関係'!$E$4:$E$494,"主")&gt;0,"●",IF(COUNTIFS('VS×ケイパビリティ関係'!$F$4:$F$494,$B29,'VS×ケイパビリティ関係'!$G$4:$G$494,Y$5,'VS×ケイパビリティ関係'!$E$4:$E$494,"支援")&gt;0,"○",""))</f>
        <v/>
      </c>
      <c r="Z29" s="22" t="str">
        <f>IF(COUNTIFS('VS×ケイパビリティ関係'!$F$4:$F$494,$B29,'VS×ケイパビリティ関係'!$G$4:$G$494,Z$5,'VS×ケイパビリティ関係'!$E$4:$E$494,"主")&gt;0,"●",IF(COUNTIFS('VS×ケイパビリティ関係'!$F$4:$F$494,$B29,'VS×ケイパビリティ関係'!$G$4:$G$494,Z$5,'VS×ケイパビリティ関係'!$E$4:$E$494,"支援")&gt;0,"○",""))</f>
        <v/>
      </c>
      <c r="AA29" s="22" t="str">
        <f>IF(COUNTIFS('VS×ケイパビリティ関係'!$F$4:$F$494,$B29,'VS×ケイパビリティ関係'!$G$4:$G$494,AA$5,'VS×ケイパビリティ関係'!$E$4:$E$494,"主")&gt;0,"●",IF(COUNTIFS('VS×ケイパビリティ関係'!$F$4:$F$494,$B29,'VS×ケイパビリティ関係'!$G$4:$G$494,AA$5,'VS×ケイパビリティ関係'!$E$4:$E$494,"支援")&gt;0,"○",""))</f>
        <v/>
      </c>
      <c r="AB29" s="22" t="str">
        <f>IF(COUNTIFS('VS×ケイパビリティ関係'!$F$4:$F$494,$B29,'VS×ケイパビリティ関係'!$G$4:$G$494,AB$5,'VS×ケイパビリティ関係'!$E$4:$E$494,"主")&gt;0,"●",IF(COUNTIFS('VS×ケイパビリティ関係'!$F$4:$F$494,$B29,'VS×ケイパビリティ関係'!$G$4:$G$494,AB$5,'VS×ケイパビリティ関係'!$E$4:$E$494,"支援")&gt;0,"○",""))</f>
        <v/>
      </c>
      <c r="AC29" s="22" t="str">
        <f>IF(COUNTIFS('VS×ケイパビリティ関係'!$F$4:$F$494,$B29,'VS×ケイパビリティ関係'!$G$4:$G$494,AC$5,'VS×ケイパビリティ関係'!$E$4:$E$494,"主")&gt;0,"●",IF(COUNTIFS('VS×ケイパビリティ関係'!$F$4:$F$494,$B29,'VS×ケイパビリティ関係'!$G$4:$G$494,AC$5,'VS×ケイパビリティ関係'!$E$4:$E$494,"支援")&gt;0,"○",""))</f>
        <v/>
      </c>
      <c r="AD29" s="22" t="str">
        <f>IF(COUNTIFS('VS×ケイパビリティ関係'!$F$4:$F$494,$B29,'VS×ケイパビリティ関係'!$G$4:$G$494,AD$5,'VS×ケイパビリティ関係'!$E$4:$E$494,"主")&gt;0,"●",IF(COUNTIFS('VS×ケイパビリティ関係'!$F$4:$F$494,$B29,'VS×ケイパビリティ関係'!$G$4:$G$494,AD$5,'VS×ケイパビリティ関係'!$E$4:$E$494,"支援")&gt;0,"○",""))</f>
        <v/>
      </c>
      <c r="AE29" s="22" t="str">
        <f>IF(COUNTIFS('VS×ケイパビリティ関係'!$F$4:$F$494,$B29,'VS×ケイパビリティ関係'!$G$4:$G$494,AE$5,'VS×ケイパビリティ関係'!$E$4:$E$494,"主")&gt;0,"●",IF(COUNTIFS('VS×ケイパビリティ関係'!$F$4:$F$494,$B29,'VS×ケイパビリティ関係'!$G$4:$G$494,AE$5,'VS×ケイパビリティ関係'!$E$4:$E$494,"支援")&gt;0,"○",""))</f>
        <v>●</v>
      </c>
      <c r="AF29" s="22" t="str">
        <f>IF(COUNTIFS('VS×ケイパビリティ関係'!$F$4:$F$494,$B29,'VS×ケイパビリティ関係'!$G$4:$G$494,AF$5,'VS×ケイパビリティ関係'!$E$4:$E$494,"主")&gt;0,"●",IF(COUNTIFS('VS×ケイパビリティ関係'!$F$4:$F$494,$B29,'VS×ケイパビリティ関係'!$G$4:$G$494,AF$5,'VS×ケイパビリティ関係'!$E$4:$E$494,"支援")&gt;0,"○",""))</f>
        <v>●</v>
      </c>
      <c r="AG29" s="22" t="str">
        <f>IF(COUNTIFS('VS×ケイパビリティ関係'!$F$4:$F$494,$B29,'VS×ケイパビリティ関係'!$G$4:$G$494,AG$5,'VS×ケイパビリティ関係'!$E$4:$E$494,"主")&gt;0,"●",IF(COUNTIFS('VS×ケイパビリティ関係'!$F$4:$F$494,$B29,'VS×ケイパビリティ関係'!$G$4:$G$494,AG$5,'VS×ケイパビリティ関係'!$E$4:$E$494,"支援")&gt;0,"○",""))</f>
        <v/>
      </c>
      <c r="AH29" s="22" t="str">
        <f>IF(COUNTIFS('VS×ケイパビリティ関係'!$F$4:$F$494,$B29,'VS×ケイパビリティ関係'!$G$4:$G$494,AH$5,'VS×ケイパビリティ関係'!$E$4:$E$494,"主")&gt;0,"●",IF(COUNTIFS('VS×ケイパビリティ関係'!$F$4:$F$494,$B29,'VS×ケイパビリティ関係'!$G$4:$G$494,AH$5,'VS×ケイパビリティ関係'!$E$4:$E$494,"支援")&gt;0,"○",""))</f>
        <v>○</v>
      </c>
      <c r="AI29" s="22" t="str">
        <f>IF(COUNTIFS('VS×ケイパビリティ関係'!$F$4:$F$494,$B29,'VS×ケイパビリティ関係'!$G$4:$G$494,AI$5,'VS×ケイパビリティ関係'!$E$4:$E$494,"主")&gt;0,"●",IF(COUNTIFS('VS×ケイパビリティ関係'!$F$4:$F$494,$B29,'VS×ケイパビリティ関係'!$G$4:$G$494,AI$5,'VS×ケイパビリティ関係'!$E$4:$E$494,"支援")&gt;0,"○",""))</f>
        <v/>
      </c>
      <c r="AJ29" s="22" t="str">
        <f>IF(COUNTIFS('VS×ケイパビリティ関係'!$F$4:$F$494,$B29,'VS×ケイパビリティ関係'!$G$4:$G$494,AJ$5,'VS×ケイパビリティ関係'!$E$4:$E$494,"主")&gt;0,"●",IF(COUNTIFS('VS×ケイパビリティ関係'!$F$4:$F$494,$B29,'VS×ケイパビリティ関係'!$G$4:$G$494,AJ$5,'VS×ケイパビリティ関係'!$E$4:$E$494,"支援")&gt;0,"○",""))</f>
        <v/>
      </c>
      <c r="AK29" s="22" t="str">
        <f>IF(COUNTIFS('VS×ケイパビリティ関係'!$F$4:$F$494,$B29,'VS×ケイパビリティ関係'!$G$4:$G$494,AK$5,'VS×ケイパビリティ関係'!$E$4:$E$494,"主")&gt;0,"●",IF(COUNTIFS('VS×ケイパビリティ関係'!$F$4:$F$494,$B29,'VS×ケイパビリティ関係'!$G$4:$G$494,AK$5,'VS×ケイパビリティ関係'!$E$4:$E$494,"支援")&gt;0,"○",""))</f>
        <v/>
      </c>
      <c r="AL29" s="22" t="str">
        <f>IF(COUNTIFS('VS×ケイパビリティ関係'!$F$4:$F$494,$B29,'VS×ケイパビリティ関係'!$G$4:$G$494,AL$5,'VS×ケイパビリティ関係'!$E$4:$E$494,"主")&gt;0,"●",IF(COUNTIFS('VS×ケイパビリティ関係'!$F$4:$F$494,$B29,'VS×ケイパビリティ関係'!$G$4:$G$494,AL$5,'VS×ケイパビリティ関係'!$E$4:$E$494,"支援")&gt;0,"○",""))</f>
        <v/>
      </c>
      <c r="AM29" s="22" t="str">
        <f>IF(COUNTIFS('VS×ケイパビリティ関係'!$F$4:$F$494,$B29,'VS×ケイパビリティ関係'!$G$4:$G$494,AM$5,'VS×ケイパビリティ関係'!$E$4:$E$494,"主")&gt;0,"●",IF(COUNTIFS('VS×ケイパビリティ関係'!$F$4:$F$494,$B29,'VS×ケイパビリティ関係'!$G$4:$G$494,AM$5,'VS×ケイパビリティ関係'!$E$4:$E$494,"支援")&gt;0,"○",""))</f>
        <v/>
      </c>
      <c r="AN29" s="22" t="str">
        <f>IF(COUNTIFS('VS×ケイパビリティ関係'!$F$4:$F$494,$B29,'VS×ケイパビリティ関係'!$G$4:$G$494,AN$5,'VS×ケイパビリティ関係'!$E$4:$E$494,"主")&gt;0,"●",IF(COUNTIFS('VS×ケイパビリティ関係'!$F$4:$F$494,$B29,'VS×ケイパビリティ関係'!$G$4:$G$494,AN$5,'VS×ケイパビリティ関係'!$E$4:$E$494,"支援")&gt;0,"○",""))</f>
        <v/>
      </c>
      <c r="AO29" s="22" t="str">
        <f>IF(COUNTIFS('VS×ケイパビリティ関係'!$F$4:$F$494,$B29,'VS×ケイパビリティ関係'!$G$4:$G$494,AO$5,'VS×ケイパビリティ関係'!$E$4:$E$494,"主")&gt;0,"●",IF(COUNTIFS('VS×ケイパビリティ関係'!$F$4:$F$494,$B29,'VS×ケイパビリティ関係'!$G$4:$G$494,AO$5,'VS×ケイパビリティ関係'!$E$4:$E$494,"支援")&gt;0,"○",""))</f>
        <v/>
      </c>
      <c r="AP29" s="22" t="str">
        <f>IF(COUNTIFS('VS×ケイパビリティ関係'!$F$4:$F$494,$B29,'VS×ケイパビリティ関係'!$G$4:$G$494,AP$5,'VS×ケイパビリティ関係'!$E$4:$E$494,"主")&gt;0,"●",IF(COUNTIFS('VS×ケイパビリティ関係'!$F$4:$F$494,$B29,'VS×ケイパビリティ関係'!$G$4:$G$494,AP$5,'VS×ケイパビリティ関係'!$E$4:$E$494,"支援")&gt;0,"○",""))</f>
        <v/>
      </c>
      <c r="AQ29" s="22" t="str">
        <f>IF(COUNTIFS('VS×ケイパビリティ関係'!$F$4:$F$494,$B29,'VS×ケイパビリティ関係'!$G$4:$G$494,AQ$5,'VS×ケイパビリティ関係'!$E$4:$E$494,"主")&gt;0,"●",IF(COUNTIFS('VS×ケイパビリティ関係'!$F$4:$F$494,$B29,'VS×ケイパビリティ関係'!$G$4:$G$494,AQ$5,'VS×ケイパビリティ関係'!$E$4:$E$494,"支援")&gt;0,"○",""))</f>
        <v/>
      </c>
      <c r="AR29" s="22" t="str">
        <f>IF(COUNTIFS('VS×ケイパビリティ関係'!$F$4:$F$494,$B29,'VS×ケイパビリティ関係'!$G$4:$G$494,AR$5,'VS×ケイパビリティ関係'!$E$4:$E$494,"主")&gt;0,"●",IF(COUNTIFS('VS×ケイパビリティ関係'!$F$4:$F$494,$B29,'VS×ケイパビリティ関係'!$G$4:$G$494,AR$5,'VS×ケイパビリティ関係'!$E$4:$E$494,"支援")&gt;0,"○",""))</f>
        <v/>
      </c>
      <c r="AS29" s="22" t="str">
        <f>IF(COUNTIFS('VS×ケイパビリティ関係'!$F$4:$F$494,$B29,'VS×ケイパビリティ関係'!$G$4:$G$494,AS$5,'VS×ケイパビリティ関係'!$E$4:$E$494,"主")&gt;0,"●",IF(COUNTIFS('VS×ケイパビリティ関係'!$F$4:$F$494,$B29,'VS×ケイパビリティ関係'!$G$4:$G$494,AS$5,'VS×ケイパビリティ関係'!$E$4:$E$494,"支援")&gt;0,"○",""))</f>
        <v/>
      </c>
      <c r="AT29" s="22" t="str">
        <f>IF(COUNTIFS('VS×ケイパビリティ関係'!$F$4:$F$494,$B29,'VS×ケイパビリティ関係'!$G$4:$G$494,AT$5,'VS×ケイパビリティ関係'!$E$4:$E$494,"主")&gt;0,"●",IF(COUNTIFS('VS×ケイパビリティ関係'!$F$4:$F$494,$B29,'VS×ケイパビリティ関係'!$G$4:$G$494,AT$5,'VS×ケイパビリティ関係'!$E$4:$E$494,"支援")&gt;0,"○",""))</f>
        <v/>
      </c>
      <c r="AU29" s="22" t="str">
        <f>IF(COUNTIFS('VS×ケイパビリティ関係'!$F$4:$F$494,$B29,'VS×ケイパビリティ関係'!$G$4:$G$494,AU$5,'VS×ケイパビリティ関係'!$E$4:$E$494,"主")&gt;0,"●",IF(COUNTIFS('VS×ケイパビリティ関係'!$F$4:$F$494,$B29,'VS×ケイパビリティ関係'!$G$4:$G$494,AU$5,'VS×ケイパビリティ関係'!$E$4:$E$494,"支援")&gt;0,"○",""))</f>
        <v/>
      </c>
      <c r="AV29" s="22" t="str">
        <f>IF(COUNTIFS('VS×ケイパビリティ関係'!$F$4:$F$494,$B29,'VS×ケイパビリティ関係'!$G$4:$G$494,AV$5,'VS×ケイパビリティ関係'!$E$4:$E$494,"主")&gt;0,"●",IF(COUNTIFS('VS×ケイパビリティ関係'!$F$4:$F$494,$B29,'VS×ケイパビリティ関係'!$G$4:$G$494,AV$5,'VS×ケイパビリティ関係'!$E$4:$E$494,"支援")&gt;0,"○",""))</f>
        <v/>
      </c>
      <c r="AW29" s="22" t="str">
        <f>IF(COUNTIFS('VS×ケイパビリティ関係'!$F$4:$F$494,$B29,'VS×ケイパビリティ関係'!$G$4:$G$494,AW$5,'VS×ケイパビリティ関係'!$E$4:$E$494,"主")&gt;0,"●",IF(COUNTIFS('VS×ケイパビリティ関係'!$F$4:$F$494,$B29,'VS×ケイパビリティ関係'!$G$4:$G$494,AW$5,'VS×ケイパビリティ関係'!$E$4:$E$494,"支援")&gt;0,"○",""))</f>
        <v/>
      </c>
      <c r="AX29" s="22" t="str">
        <f>IF(COUNTIFS('VS×ケイパビリティ関係'!$F$4:$F$494,$B29,'VS×ケイパビリティ関係'!$G$4:$G$494,AX$5,'VS×ケイパビリティ関係'!$E$4:$E$494,"主")&gt;0,"●",IF(COUNTIFS('VS×ケイパビリティ関係'!$F$4:$F$494,$B29,'VS×ケイパビリティ関係'!$G$4:$G$494,AX$5,'VS×ケイパビリティ関係'!$E$4:$E$494,"支援")&gt;0,"○",""))</f>
        <v/>
      </c>
      <c r="AY29" s="22" t="str">
        <f>IF(COUNTIFS('VS×ケイパビリティ関係'!$F$4:$F$494,$B29,'VS×ケイパビリティ関係'!$G$4:$G$494,AY$5,'VS×ケイパビリティ関係'!$E$4:$E$494,"主")&gt;0,"●",IF(COUNTIFS('VS×ケイパビリティ関係'!$F$4:$F$494,$B29,'VS×ケイパビリティ関係'!$G$4:$G$494,AY$5,'VS×ケイパビリティ関係'!$E$4:$E$494,"支援")&gt;0,"○",""))</f>
        <v/>
      </c>
      <c r="AZ29" s="22" t="str">
        <f>IF(COUNTIFS('VS×ケイパビリティ関係'!$F$4:$F$494,$B29,'VS×ケイパビリティ関係'!$G$4:$G$494,AZ$5,'VS×ケイパビリティ関係'!$E$4:$E$494,"主")&gt;0,"●",IF(COUNTIFS('VS×ケイパビリティ関係'!$F$4:$F$494,$B29,'VS×ケイパビリティ関係'!$G$4:$G$494,AZ$5,'VS×ケイパビリティ関係'!$E$4:$E$494,"支援")&gt;0,"○",""))</f>
        <v/>
      </c>
      <c r="BA29" s="22" t="str">
        <f>IF(COUNTIFS('VS×ケイパビリティ関係'!$F$4:$F$494,$B29,'VS×ケイパビリティ関係'!$G$4:$G$494,BA$5,'VS×ケイパビリティ関係'!$E$4:$E$494,"主")&gt;0,"●",IF(COUNTIFS('VS×ケイパビリティ関係'!$F$4:$F$494,$B29,'VS×ケイパビリティ関係'!$G$4:$G$494,BA$5,'VS×ケイパビリティ関係'!$E$4:$E$494,"支援")&gt;0,"○",""))</f>
        <v/>
      </c>
      <c r="BB29" s="22" t="str">
        <f>IF(COUNTIFS('VS×ケイパビリティ関係'!$F$4:$F$494,$B29,'VS×ケイパビリティ関係'!$G$4:$G$494,BB$5,'VS×ケイパビリティ関係'!$E$4:$E$494,"主")&gt;0,"●",IF(COUNTIFS('VS×ケイパビリティ関係'!$F$4:$F$494,$B29,'VS×ケイパビリティ関係'!$G$4:$G$494,BB$5,'VS×ケイパビリティ関係'!$E$4:$E$494,"支援")&gt;0,"○",""))</f>
        <v/>
      </c>
      <c r="BC29" s="22" t="str">
        <f>IF(COUNTIFS('VS×ケイパビリティ関係'!$F$4:$F$494,$B29,'VS×ケイパビリティ関係'!$G$4:$G$494,BC$5,'VS×ケイパビリティ関係'!$E$4:$E$494,"主")&gt;0,"●",IF(COUNTIFS('VS×ケイパビリティ関係'!$F$4:$F$494,$B29,'VS×ケイパビリティ関係'!$G$4:$G$494,BC$5,'VS×ケイパビリティ関係'!$E$4:$E$494,"支援")&gt;0,"○",""))</f>
        <v/>
      </c>
      <c r="BD29" s="22" t="str">
        <f>IF(COUNTIFS('VS×ケイパビリティ関係'!$F$4:$F$494,$B29,'VS×ケイパビリティ関係'!$G$4:$G$494,BD$5,'VS×ケイパビリティ関係'!$E$4:$E$494,"主")&gt;0,"●",IF(COUNTIFS('VS×ケイパビリティ関係'!$F$4:$F$494,$B29,'VS×ケイパビリティ関係'!$G$4:$G$494,BD$5,'VS×ケイパビリティ関係'!$E$4:$E$494,"支援")&gt;0,"○",""))</f>
        <v/>
      </c>
      <c r="BE29" s="22">
        <f t="shared" si="1"/>
        <v>2</v>
      </c>
      <c r="BF29" s="22">
        <f t="shared" si="2"/>
        <v>2</v>
      </c>
    </row>
    <row r="30" ht="15.0" customHeight="1">
      <c r="A30" s="42"/>
      <c r="B30" s="22" t="s">
        <v>1778</v>
      </c>
      <c r="C30" s="25" t="s">
        <v>1781</v>
      </c>
      <c r="D30" s="22" t="str">
        <f>IF(COUNTIFS('VS×ケイパビリティ関係'!$F$4:$F$494,$B30,'VS×ケイパビリティ関係'!$G$4:$G$494,D$5,'VS×ケイパビリティ関係'!$E$4:$E$494,"主")&gt;0,"●",IF(COUNTIFS('VS×ケイパビリティ関係'!$F$4:$F$494,$B30,'VS×ケイパビリティ関係'!$G$4:$G$494,D$5,'VS×ケイパビリティ関係'!$E$4:$E$494,"支援")&gt;0,"○",""))</f>
        <v/>
      </c>
      <c r="E30" s="22" t="str">
        <f>IF(COUNTIFS('VS×ケイパビリティ関係'!$F$4:$F$494,$B30,'VS×ケイパビリティ関係'!$G$4:$G$494,E$5,'VS×ケイパビリティ関係'!$E$4:$E$494,"主")&gt;0,"●",IF(COUNTIFS('VS×ケイパビリティ関係'!$F$4:$F$494,$B30,'VS×ケイパビリティ関係'!$G$4:$G$494,E$5,'VS×ケイパビリティ関係'!$E$4:$E$494,"支援")&gt;0,"○",""))</f>
        <v/>
      </c>
      <c r="F30" s="22" t="str">
        <f>IF(COUNTIFS('VS×ケイパビリティ関係'!$F$4:$F$494,$B30,'VS×ケイパビリティ関係'!$G$4:$G$494,F$5,'VS×ケイパビリティ関係'!$E$4:$E$494,"主")&gt;0,"●",IF(COUNTIFS('VS×ケイパビリティ関係'!$F$4:$F$494,$B30,'VS×ケイパビリティ関係'!$G$4:$G$494,F$5,'VS×ケイパビリティ関係'!$E$4:$E$494,"支援")&gt;0,"○",""))</f>
        <v/>
      </c>
      <c r="G30" s="22" t="str">
        <f>IF(COUNTIFS('VS×ケイパビリティ関係'!$F$4:$F$494,$B30,'VS×ケイパビリティ関係'!$G$4:$G$494,G$5,'VS×ケイパビリティ関係'!$E$4:$E$494,"主")&gt;0,"●",IF(COUNTIFS('VS×ケイパビリティ関係'!$F$4:$F$494,$B30,'VS×ケイパビリティ関係'!$G$4:$G$494,G$5,'VS×ケイパビリティ関係'!$E$4:$E$494,"支援")&gt;0,"○",""))</f>
        <v/>
      </c>
      <c r="H30" s="22" t="str">
        <f>IF(COUNTIFS('VS×ケイパビリティ関係'!$F$4:$F$494,$B30,'VS×ケイパビリティ関係'!$G$4:$G$494,H$5,'VS×ケイパビリティ関係'!$E$4:$E$494,"主")&gt;0,"●",IF(COUNTIFS('VS×ケイパビリティ関係'!$F$4:$F$494,$B30,'VS×ケイパビリティ関係'!$G$4:$G$494,H$5,'VS×ケイパビリティ関係'!$E$4:$E$494,"支援")&gt;0,"○",""))</f>
        <v/>
      </c>
      <c r="I30" s="22" t="str">
        <f>IF(COUNTIFS('VS×ケイパビリティ関係'!$F$4:$F$494,$B30,'VS×ケイパビリティ関係'!$G$4:$G$494,I$5,'VS×ケイパビリティ関係'!$E$4:$E$494,"主")&gt;0,"●",IF(COUNTIFS('VS×ケイパビリティ関係'!$F$4:$F$494,$B30,'VS×ケイパビリティ関係'!$G$4:$G$494,I$5,'VS×ケイパビリティ関係'!$E$4:$E$494,"支援")&gt;0,"○",""))</f>
        <v/>
      </c>
      <c r="J30" s="22" t="str">
        <f>IF(COUNTIFS('VS×ケイパビリティ関係'!$F$4:$F$494,$B30,'VS×ケイパビリティ関係'!$G$4:$G$494,J$5,'VS×ケイパビリティ関係'!$E$4:$E$494,"主")&gt;0,"●",IF(COUNTIFS('VS×ケイパビリティ関係'!$F$4:$F$494,$B30,'VS×ケイパビリティ関係'!$G$4:$G$494,J$5,'VS×ケイパビリティ関係'!$E$4:$E$494,"支援")&gt;0,"○",""))</f>
        <v/>
      </c>
      <c r="K30" s="22" t="str">
        <f>IF(COUNTIFS('VS×ケイパビリティ関係'!$F$4:$F$494,$B30,'VS×ケイパビリティ関係'!$G$4:$G$494,K$5,'VS×ケイパビリティ関係'!$E$4:$E$494,"主")&gt;0,"●",IF(COUNTIFS('VS×ケイパビリティ関係'!$F$4:$F$494,$B30,'VS×ケイパビリティ関係'!$G$4:$G$494,K$5,'VS×ケイパビリティ関係'!$E$4:$E$494,"支援")&gt;0,"○",""))</f>
        <v/>
      </c>
      <c r="L30" s="22" t="str">
        <f>IF(COUNTIFS('VS×ケイパビリティ関係'!$F$4:$F$494,$B30,'VS×ケイパビリティ関係'!$G$4:$G$494,L$5,'VS×ケイパビリティ関係'!$E$4:$E$494,"主")&gt;0,"●",IF(COUNTIFS('VS×ケイパビリティ関係'!$F$4:$F$494,$B30,'VS×ケイパビリティ関係'!$G$4:$G$494,L$5,'VS×ケイパビリティ関係'!$E$4:$E$494,"支援")&gt;0,"○",""))</f>
        <v/>
      </c>
      <c r="M30" s="22" t="str">
        <f>IF(COUNTIFS('VS×ケイパビリティ関係'!$F$4:$F$494,$B30,'VS×ケイパビリティ関係'!$G$4:$G$494,M$5,'VS×ケイパビリティ関係'!$E$4:$E$494,"主")&gt;0,"●",IF(COUNTIFS('VS×ケイパビリティ関係'!$F$4:$F$494,$B30,'VS×ケイパビリティ関係'!$G$4:$G$494,M$5,'VS×ケイパビリティ関係'!$E$4:$E$494,"支援")&gt;0,"○",""))</f>
        <v/>
      </c>
      <c r="N30" s="22" t="str">
        <f>IF(COUNTIFS('VS×ケイパビリティ関係'!$F$4:$F$494,$B30,'VS×ケイパビリティ関係'!$G$4:$G$494,N$5,'VS×ケイパビリティ関係'!$E$4:$E$494,"主")&gt;0,"●",IF(COUNTIFS('VS×ケイパビリティ関係'!$F$4:$F$494,$B30,'VS×ケイパビリティ関係'!$G$4:$G$494,N$5,'VS×ケイパビリティ関係'!$E$4:$E$494,"支援")&gt;0,"○",""))</f>
        <v/>
      </c>
      <c r="O30" s="22" t="str">
        <f>IF(COUNTIFS('VS×ケイパビリティ関係'!$F$4:$F$494,$B30,'VS×ケイパビリティ関係'!$G$4:$G$494,O$5,'VS×ケイパビリティ関係'!$E$4:$E$494,"主")&gt;0,"●",IF(COUNTIFS('VS×ケイパビリティ関係'!$F$4:$F$494,$B30,'VS×ケイパビリティ関係'!$G$4:$G$494,O$5,'VS×ケイパビリティ関係'!$E$4:$E$494,"支援")&gt;0,"○",""))</f>
        <v/>
      </c>
      <c r="P30" s="22" t="str">
        <f>IF(COUNTIFS('VS×ケイパビリティ関係'!$F$4:$F$494,$B30,'VS×ケイパビリティ関係'!$G$4:$G$494,P$5,'VS×ケイパビリティ関係'!$E$4:$E$494,"主")&gt;0,"●",IF(COUNTIFS('VS×ケイパビリティ関係'!$F$4:$F$494,$B30,'VS×ケイパビリティ関係'!$G$4:$G$494,P$5,'VS×ケイパビリティ関係'!$E$4:$E$494,"支援")&gt;0,"○",""))</f>
        <v/>
      </c>
      <c r="Q30" s="22" t="str">
        <f>IF(COUNTIFS('VS×ケイパビリティ関係'!$F$4:$F$494,$B30,'VS×ケイパビリティ関係'!$G$4:$G$494,Q$5,'VS×ケイパビリティ関係'!$E$4:$E$494,"主")&gt;0,"●",IF(COUNTIFS('VS×ケイパビリティ関係'!$F$4:$F$494,$B30,'VS×ケイパビリティ関係'!$G$4:$G$494,Q$5,'VS×ケイパビリティ関係'!$E$4:$E$494,"支援")&gt;0,"○",""))</f>
        <v/>
      </c>
      <c r="R30" s="22" t="str">
        <f>IF(COUNTIFS('VS×ケイパビリティ関係'!$F$4:$F$494,$B30,'VS×ケイパビリティ関係'!$G$4:$G$494,R$5,'VS×ケイパビリティ関係'!$E$4:$E$494,"主")&gt;0,"●",IF(COUNTIFS('VS×ケイパビリティ関係'!$F$4:$F$494,$B30,'VS×ケイパビリティ関係'!$G$4:$G$494,R$5,'VS×ケイパビリティ関係'!$E$4:$E$494,"支援")&gt;0,"○",""))</f>
        <v/>
      </c>
      <c r="S30" s="22" t="str">
        <f>IF(COUNTIFS('VS×ケイパビリティ関係'!$F$4:$F$494,$B30,'VS×ケイパビリティ関係'!$G$4:$G$494,S$5,'VS×ケイパビリティ関係'!$E$4:$E$494,"主")&gt;0,"●",IF(COUNTIFS('VS×ケイパビリティ関係'!$F$4:$F$494,$B30,'VS×ケイパビリティ関係'!$G$4:$G$494,S$5,'VS×ケイパビリティ関係'!$E$4:$E$494,"支援")&gt;0,"○",""))</f>
        <v/>
      </c>
      <c r="T30" s="22" t="str">
        <f>IF(COUNTIFS('VS×ケイパビリティ関係'!$F$4:$F$494,$B30,'VS×ケイパビリティ関係'!$G$4:$G$494,T$5,'VS×ケイパビリティ関係'!$E$4:$E$494,"主")&gt;0,"●",IF(COUNTIFS('VS×ケイパビリティ関係'!$F$4:$F$494,$B30,'VS×ケイパビリティ関係'!$G$4:$G$494,T$5,'VS×ケイパビリティ関係'!$E$4:$E$494,"支援")&gt;0,"○",""))</f>
        <v/>
      </c>
      <c r="U30" s="22" t="str">
        <f>IF(COUNTIFS('VS×ケイパビリティ関係'!$F$4:$F$494,$B30,'VS×ケイパビリティ関係'!$G$4:$G$494,U$5,'VS×ケイパビリティ関係'!$E$4:$E$494,"主")&gt;0,"●",IF(COUNTIFS('VS×ケイパビリティ関係'!$F$4:$F$494,$B30,'VS×ケイパビリティ関係'!$G$4:$G$494,U$5,'VS×ケイパビリティ関係'!$E$4:$E$494,"支援")&gt;0,"○",""))</f>
        <v/>
      </c>
      <c r="V30" s="22" t="str">
        <f>IF(COUNTIFS('VS×ケイパビリティ関係'!$F$4:$F$494,$B30,'VS×ケイパビリティ関係'!$G$4:$G$494,V$5,'VS×ケイパビリティ関係'!$E$4:$E$494,"主")&gt;0,"●",IF(COUNTIFS('VS×ケイパビリティ関係'!$F$4:$F$494,$B30,'VS×ケイパビリティ関係'!$G$4:$G$494,V$5,'VS×ケイパビリティ関係'!$E$4:$E$494,"支援")&gt;0,"○",""))</f>
        <v/>
      </c>
      <c r="W30" s="22" t="str">
        <f>IF(COUNTIFS('VS×ケイパビリティ関係'!$F$4:$F$494,$B30,'VS×ケイパビリティ関係'!$G$4:$G$494,W$5,'VS×ケイパビリティ関係'!$E$4:$E$494,"主")&gt;0,"●",IF(COUNTIFS('VS×ケイパビリティ関係'!$F$4:$F$494,$B30,'VS×ケイパビリティ関係'!$G$4:$G$494,W$5,'VS×ケイパビリティ関係'!$E$4:$E$494,"支援")&gt;0,"○",""))</f>
        <v/>
      </c>
      <c r="X30" s="22" t="str">
        <f>IF(COUNTIFS('VS×ケイパビリティ関係'!$F$4:$F$494,$B30,'VS×ケイパビリティ関係'!$G$4:$G$494,X$5,'VS×ケイパビリティ関係'!$E$4:$E$494,"主")&gt;0,"●",IF(COUNTIFS('VS×ケイパビリティ関係'!$F$4:$F$494,$B30,'VS×ケイパビリティ関係'!$G$4:$G$494,X$5,'VS×ケイパビリティ関係'!$E$4:$E$494,"支援")&gt;0,"○",""))</f>
        <v/>
      </c>
      <c r="Y30" s="22" t="str">
        <f>IF(COUNTIFS('VS×ケイパビリティ関係'!$F$4:$F$494,$B30,'VS×ケイパビリティ関係'!$G$4:$G$494,Y$5,'VS×ケイパビリティ関係'!$E$4:$E$494,"主")&gt;0,"●",IF(COUNTIFS('VS×ケイパビリティ関係'!$F$4:$F$494,$B30,'VS×ケイパビリティ関係'!$G$4:$G$494,Y$5,'VS×ケイパビリティ関係'!$E$4:$E$494,"支援")&gt;0,"○",""))</f>
        <v/>
      </c>
      <c r="Z30" s="22" t="str">
        <f>IF(COUNTIFS('VS×ケイパビリティ関係'!$F$4:$F$494,$B30,'VS×ケイパビリティ関係'!$G$4:$G$494,Z$5,'VS×ケイパビリティ関係'!$E$4:$E$494,"主")&gt;0,"●",IF(COUNTIFS('VS×ケイパビリティ関係'!$F$4:$F$494,$B30,'VS×ケイパビリティ関係'!$G$4:$G$494,Z$5,'VS×ケイパビリティ関係'!$E$4:$E$494,"支援")&gt;0,"○",""))</f>
        <v/>
      </c>
      <c r="AA30" s="22" t="str">
        <f>IF(COUNTIFS('VS×ケイパビリティ関係'!$F$4:$F$494,$B30,'VS×ケイパビリティ関係'!$G$4:$G$494,AA$5,'VS×ケイパビリティ関係'!$E$4:$E$494,"主")&gt;0,"●",IF(COUNTIFS('VS×ケイパビリティ関係'!$F$4:$F$494,$B30,'VS×ケイパビリティ関係'!$G$4:$G$494,AA$5,'VS×ケイパビリティ関係'!$E$4:$E$494,"支援")&gt;0,"○",""))</f>
        <v/>
      </c>
      <c r="AB30" s="22" t="str">
        <f>IF(COUNTIFS('VS×ケイパビリティ関係'!$F$4:$F$494,$B30,'VS×ケイパビリティ関係'!$G$4:$G$494,AB$5,'VS×ケイパビリティ関係'!$E$4:$E$494,"主")&gt;0,"●",IF(COUNTIFS('VS×ケイパビリティ関係'!$F$4:$F$494,$B30,'VS×ケイパビリティ関係'!$G$4:$G$494,AB$5,'VS×ケイパビリティ関係'!$E$4:$E$494,"支援")&gt;0,"○",""))</f>
        <v/>
      </c>
      <c r="AC30" s="22" t="str">
        <f>IF(COUNTIFS('VS×ケイパビリティ関係'!$F$4:$F$494,$B30,'VS×ケイパビリティ関係'!$G$4:$G$494,AC$5,'VS×ケイパビリティ関係'!$E$4:$E$494,"主")&gt;0,"●",IF(COUNTIFS('VS×ケイパビリティ関係'!$F$4:$F$494,$B30,'VS×ケイパビリティ関係'!$G$4:$G$494,AC$5,'VS×ケイパビリティ関係'!$E$4:$E$494,"支援")&gt;0,"○",""))</f>
        <v/>
      </c>
      <c r="AD30" s="22" t="str">
        <f>IF(COUNTIFS('VS×ケイパビリティ関係'!$F$4:$F$494,$B30,'VS×ケイパビリティ関係'!$G$4:$G$494,AD$5,'VS×ケイパビリティ関係'!$E$4:$E$494,"主")&gt;0,"●",IF(COUNTIFS('VS×ケイパビリティ関係'!$F$4:$F$494,$B30,'VS×ケイパビリティ関係'!$G$4:$G$494,AD$5,'VS×ケイパビリティ関係'!$E$4:$E$494,"支援")&gt;0,"○",""))</f>
        <v/>
      </c>
      <c r="AE30" s="22" t="str">
        <f>IF(COUNTIFS('VS×ケイパビリティ関係'!$F$4:$F$494,$B30,'VS×ケイパビリティ関係'!$G$4:$G$494,AE$5,'VS×ケイパビリティ関係'!$E$4:$E$494,"主")&gt;0,"●",IF(COUNTIFS('VS×ケイパビリティ関係'!$F$4:$F$494,$B30,'VS×ケイパビリティ関係'!$G$4:$G$494,AE$5,'VS×ケイパビリティ関係'!$E$4:$E$494,"支援")&gt;0,"○",""))</f>
        <v/>
      </c>
      <c r="AF30" s="22" t="str">
        <f>IF(COUNTIFS('VS×ケイパビリティ関係'!$F$4:$F$494,$B30,'VS×ケイパビリティ関係'!$G$4:$G$494,AF$5,'VS×ケイパビリティ関係'!$E$4:$E$494,"主")&gt;0,"●",IF(COUNTIFS('VS×ケイパビリティ関係'!$F$4:$F$494,$B30,'VS×ケイパビリティ関係'!$G$4:$G$494,AF$5,'VS×ケイパビリティ関係'!$E$4:$E$494,"支援")&gt;0,"○",""))</f>
        <v/>
      </c>
      <c r="AG30" s="22" t="str">
        <f>IF(COUNTIFS('VS×ケイパビリティ関係'!$F$4:$F$494,$B30,'VS×ケイパビリティ関係'!$G$4:$G$494,AG$5,'VS×ケイパビリティ関係'!$E$4:$E$494,"主")&gt;0,"●",IF(COUNTIFS('VS×ケイパビリティ関係'!$F$4:$F$494,$B30,'VS×ケイパビリティ関係'!$G$4:$G$494,AG$5,'VS×ケイパビリティ関係'!$E$4:$E$494,"支援")&gt;0,"○",""))</f>
        <v>●</v>
      </c>
      <c r="AH30" s="22" t="str">
        <f>IF(COUNTIFS('VS×ケイパビリティ関係'!$F$4:$F$494,$B30,'VS×ケイパビリティ関係'!$G$4:$G$494,AH$5,'VS×ケイパビリティ関係'!$E$4:$E$494,"主")&gt;0,"●",IF(COUNTIFS('VS×ケイパビリティ関係'!$F$4:$F$494,$B30,'VS×ケイパビリティ関係'!$G$4:$G$494,AH$5,'VS×ケイパビリティ関係'!$E$4:$E$494,"支援")&gt;0,"○",""))</f>
        <v>○</v>
      </c>
      <c r="AI30" s="22" t="str">
        <f>IF(COUNTIFS('VS×ケイパビリティ関係'!$F$4:$F$494,$B30,'VS×ケイパビリティ関係'!$G$4:$G$494,AI$5,'VS×ケイパビリティ関係'!$E$4:$E$494,"主")&gt;0,"●",IF(COUNTIFS('VS×ケイパビリティ関係'!$F$4:$F$494,$B30,'VS×ケイパビリティ関係'!$G$4:$G$494,AI$5,'VS×ケイパビリティ関係'!$E$4:$E$494,"支援")&gt;0,"○",""))</f>
        <v/>
      </c>
      <c r="AJ30" s="22" t="str">
        <f>IF(COUNTIFS('VS×ケイパビリティ関係'!$F$4:$F$494,$B30,'VS×ケイパビリティ関係'!$G$4:$G$494,AJ$5,'VS×ケイパビリティ関係'!$E$4:$E$494,"主")&gt;0,"●",IF(COUNTIFS('VS×ケイパビリティ関係'!$F$4:$F$494,$B30,'VS×ケイパビリティ関係'!$G$4:$G$494,AJ$5,'VS×ケイパビリティ関係'!$E$4:$E$494,"支援")&gt;0,"○",""))</f>
        <v/>
      </c>
      <c r="AK30" s="22" t="str">
        <f>IF(COUNTIFS('VS×ケイパビリティ関係'!$F$4:$F$494,$B30,'VS×ケイパビリティ関係'!$G$4:$G$494,AK$5,'VS×ケイパビリティ関係'!$E$4:$E$494,"主")&gt;0,"●",IF(COUNTIFS('VS×ケイパビリティ関係'!$F$4:$F$494,$B30,'VS×ケイパビリティ関係'!$G$4:$G$494,AK$5,'VS×ケイパビリティ関係'!$E$4:$E$494,"支援")&gt;0,"○",""))</f>
        <v/>
      </c>
      <c r="AL30" s="22" t="str">
        <f>IF(COUNTIFS('VS×ケイパビリティ関係'!$F$4:$F$494,$B30,'VS×ケイパビリティ関係'!$G$4:$G$494,AL$5,'VS×ケイパビリティ関係'!$E$4:$E$494,"主")&gt;0,"●",IF(COUNTIFS('VS×ケイパビリティ関係'!$F$4:$F$494,$B30,'VS×ケイパビリティ関係'!$G$4:$G$494,AL$5,'VS×ケイパビリティ関係'!$E$4:$E$494,"支援")&gt;0,"○",""))</f>
        <v/>
      </c>
      <c r="AM30" s="22" t="str">
        <f>IF(COUNTIFS('VS×ケイパビリティ関係'!$F$4:$F$494,$B30,'VS×ケイパビリティ関係'!$G$4:$G$494,AM$5,'VS×ケイパビリティ関係'!$E$4:$E$494,"主")&gt;0,"●",IF(COUNTIFS('VS×ケイパビリティ関係'!$F$4:$F$494,$B30,'VS×ケイパビリティ関係'!$G$4:$G$494,AM$5,'VS×ケイパビリティ関係'!$E$4:$E$494,"支援")&gt;0,"○",""))</f>
        <v/>
      </c>
      <c r="AN30" s="22" t="str">
        <f>IF(COUNTIFS('VS×ケイパビリティ関係'!$F$4:$F$494,$B30,'VS×ケイパビリティ関係'!$G$4:$G$494,AN$5,'VS×ケイパビリティ関係'!$E$4:$E$494,"主")&gt;0,"●",IF(COUNTIFS('VS×ケイパビリティ関係'!$F$4:$F$494,$B30,'VS×ケイパビリティ関係'!$G$4:$G$494,AN$5,'VS×ケイパビリティ関係'!$E$4:$E$494,"支援")&gt;0,"○",""))</f>
        <v/>
      </c>
      <c r="AO30" s="22" t="str">
        <f>IF(COUNTIFS('VS×ケイパビリティ関係'!$F$4:$F$494,$B30,'VS×ケイパビリティ関係'!$G$4:$G$494,AO$5,'VS×ケイパビリティ関係'!$E$4:$E$494,"主")&gt;0,"●",IF(COUNTIFS('VS×ケイパビリティ関係'!$F$4:$F$494,$B30,'VS×ケイパビリティ関係'!$G$4:$G$494,AO$5,'VS×ケイパビリティ関係'!$E$4:$E$494,"支援")&gt;0,"○",""))</f>
        <v/>
      </c>
      <c r="AP30" s="22" t="str">
        <f>IF(COUNTIFS('VS×ケイパビリティ関係'!$F$4:$F$494,$B30,'VS×ケイパビリティ関係'!$G$4:$G$494,AP$5,'VS×ケイパビリティ関係'!$E$4:$E$494,"主")&gt;0,"●",IF(COUNTIFS('VS×ケイパビリティ関係'!$F$4:$F$494,$B30,'VS×ケイパビリティ関係'!$G$4:$G$494,AP$5,'VS×ケイパビリティ関係'!$E$4:$E$494,"支援")&gt;0,"○",""))</f>
        <v/>
      </c>
      <c r="AQ30" s="22" t="str">
        <f>IF(COUNTIFS('VS×ケイパビリティ関係'!$F$4:$F$494,$B30,'VS×ケイパビリティ関係'!$G$4:$G$494,AQ$5,'VS×ケイパビリティ関係'!$E$4:$E$494,"主")&gt;0,"●",IF(COUNTIFS('VS×ケイパビリティ関係'!$F$4:$F$494,$B30,'VS×ケイパビリティ関係'!$G$4:$G$494,AQ$5,'VS×ケイパビリティ関係'!$E$4:$E$494,"支援")&gt;0,"○",""))</f>
        <v/>
      </c>
      <c r="AR30" s="22" t="str">
        <f>IF(COUNTIFS('VS×ケイパビリティ関係'!$F$4:$F$494,$B30,'VS×ケイパビリティ関係'!$G$4:$G$494,AR$5,'VS×ケイパビリティ関係'!$E$4:$E$494,"主")&gt;0,"●",IF(COUNTIFS('VS×ケイパビリティ関係'!$F$4:$F$494,$B30,'VS×ケイパビリティ関係'!$G$4:$G$494,AR$5,'VS×ケイパビリティ関係'!$E$4:$E$494,"支援")&gt;0,"○",""))</f>
        <v/>
      </c>
      <c r="AS30" s="22" t="str">
        <f>IF(COUNTIFS('VS×ケイパビリティ関係'!$F$4:$F$494,$B30,'VS×ケイパビリティ関係'!$G$4:$G$494,AS$5,'VS×ケイパビリティ関係'!$E$4:$E$494,"主")&gt;0,"●",IF(COUNTIFS('VS×ケイパビリティ関係'!$F$4:$F$494,$B30,'VS×ケイパビリティ関係'!$G$4:$G$494,AS$5,'VS×ケイパビリティ関係'!$E$4:$E$494,"支援")&gt;0,"○",""))</f>
        <v/>
      </c>
      <c r="AT30" s="22" t="str">
        <f>IF(COUNTIFS('VS×ケイパビリティ関係'!$F$4:$F$494,$B30,'VS×ケイパビリティ関係'!$G$4:$G$494,AT$5,'VS×ケイパビリティ関係'!$E$4:$E$494,"主")&gt;0,"●",IF(COUNTIFS('VS×ケイパビリティ関係'!$F$4:$F$494,$B30,'VS×ケイパビリティ関係'!$G$4:$G$494,AT$5,'VS×ケイパビリティ関係'!$E$4:$E$494,"支援")&gt;0,"○",""))</f>
        <v/>
      </c>
      <c r="AU30" s="22" t="str">
        <f>IF(COUNTIFS('VS×ケイパビリティ関係'!$F$4:$F$494,$B30,'VS×ケイパビリティ関係'!$G$4:$G$494,AU$5,'VS×ケイパビリティ関係'!$E$4:$E$494,"主")&gt;0,"●",IF(COUNTIFS('VS×ケイパビリティ関係'!$F$4:$F$494,$B30,'VS×ケイパビリティ関係'!$G$4:$G$494,AU$5,'VS×ケイパビリティ関係'!$E$4:$E$494,"支援")&gt;0,"○",""))</f>
        <v/>
      </c>
      <c r="AV30" s="22" t="str">
        <f>IF(COUNTIFS('VS×ケイパビリティ関係'!$F$4:$F$494,$B30,'VS×ケイパビリティ関係'!$G$4:$G$494,AV$5,'VS×ケイパビリティ関係'!$E$4:$E$494,"主")&gt;0,"●",IF(COUNTIFS('VS×ケイパビリティ関係'!$F$4:$F$494,$B30,'VS×ケイパビリティ関係'!$G$4:$G$494,AV$5,'VS×ケイパビリティ関係'!$E$4:$E$494,"支援")&gt;0,"○",""))</f>
        <v/>
      </c>
      <c r="AW30" s="22" t="str">
        <f>IF(COUNTIFS('VS×ケイパビリティ関係'!$F$4:$F$494,$B30,'VS×ケイパビリティ関係'!$G$4:$G$494,AW$5,'VS×ケイパビリティ関係'!$E$4:$E$494,"主")&gt;0,"●",IF(COUNTIFS('VS×ケイパビリティ関係'!$F$4:$F$494,$B30,'VS×ケイパビリティ関係'!$G$4:$G$494,AW$5,'VS×ケイパビリティ関係'!$E$4:$E$494,"支援")&gt;0,"○",""))</f>
        <v/>
      </c>
      <c r="AX30" s="22" t="str">
        <f>IF(COUNTIFS('VS×ケイパビリティ関係'!$F$4:$F$494,$B30,'VS×ケイパビリティ関係'!$G$4:$G$494,AX$5,'VS×ケイパビリティ関係'!$E$4:$E$494,"主")&gt;0,"●",IF(COUNTIFS('VS×ケイパビリティ関係'!$F$4:$F$494,$B30,'VS×ケイパビリティ関係'!$G$4:$G$494,AX$5,'VS×ケイパビリティ関係'!$E$4:$E$494,"支援")&gt;0,"○",""))</f>
        <v/>
      </c>
      <c r="AY30" s="22" t="str">
        <f>IF(COUNTIFS('VS×ケイパビリティ関係'!$F$4:$F$494,$B30,'VS×ケイパビリティ関係'!$G$4:$G$494,AY$5,'VS×ケイパビリティ関係'!$E$4:$E$494,"主")&gt;0,"●",IF(COUNTIFS('VS×ケイパビリティ関係'!$F$4:$F$494,$B30,'VS×ケイパビリティ関係'!$G$4:$G$494,AY$5,'VS×ケイパビリティ関係'!$E$4:$E$494,"支援")&gt;0,"○",""))</f>
        <v/>
      </c>
      <c r="AZ30" s="22" t="str">
        <f>IF(COUNTIFS('VS×ケイパビリティ関係'!$F$4:$F$494,$B30,'VS×ケイパビリティ関係'!$G$4:$G$494,AZ$5,'VS×ケイパビリティ関係'!$E$4:$E$494,"主")&gt;0,"●",IF(COUNTIFS('VS×ケイパビリティ関係'!$F$4:$F$494,$B30,'VS×ケイパビリティ関係'!$G$4:$G$494,AZ$5,'VS×ケイパビリティ関係'!$E$4:$E$494,"支援")&gt;0,"○",""))</f>
        <v>○</v>
      </c>
      <c r="BA30" s="22" t="str">
        <f>IF(COUNTIFS('VS×ケイパビリティ関係'!$F$4:$F$494,$B30,'VS×ケイパビリティ関係'!$G$4:$G$494,BA$5,'VS×ケイパビリティ関係'!$E$4:$E$494,"主")&gt;0,"●",IF(COUNTIFS('VS×ケイパビリティ関係'!$F$4:$F$494,$B30,'VS×ケイパビリティ関係'!$G$4:$G$494,BA$5,'VS×ケイパビリティ関係'!$E$4:$E$494,"支援")&gt;0,"○",""))</f>
        <v/>
      </c>
      <c r="BB30" s="22" t="str">
        <f>IF(COUNTIFS('VS×ケイパビリティ関係'!$F$4:$F$494,$B30,'VS×ケイパビリティ関係'!$G$4:$G$494,BB$5,'VS×ケイパビリティ関係'!$E$4:$E$494,"主")&gt;0,"●",IF(COUNTIFS('VS×ケイパビリティ関係'!$F$4:$F$494,$B30,'VS×ケイパビリティ関係'!$G$4:$G$494,BB$5,'VS×ケイパビリティ関係'!$E$4:$E$494,"支援")&gt;0,"○",""))</f>
        <v/>
      </c>
      <c r="BC30" s="22" t="str">
        <f>IF(COUNTIFS('VS×ケイパビリティ関係'!$F$4:$F$494,$B30,'VS×ケイパビリティ関係'!$G$4:$G$494,BC$5,'VS×ケイパビリティ関係'!$E$4:$E$494,"主")&gt;0,"●",IF(COUNTIFS('VS×ケイパビリティ関係'!$F$4:$F$494,$B30,'VS×ケイパビリティ関係'!$G$4:$G$494,BC$5,'VS×ケイパビリティ関係'!$E$4:$E$494,"支援")&gt;0,"○",""))</f>
        <v/>
      </c>
      <c r="BD30" s="22" t="str">
        <f>IF(COUNTIFS('VS×ケイパビリティ関係'!$F$4:$F$494,$B30,'VS×ケイパビリティ関係'!$G$4:$G$494,BD$5,'VS×ケイパビリティ関係'!$E$4:$E$494,"主")&gt;0,"●",IF(COUNTIFS('VS×ケイパビリティ関係'!$F$4:$F$494,$B30,'VS×ケイパビリティ関係'!$G$4:$G$494,BD$5,'VS×ケイパビリティ関係'!$E$4:$E$494,"支援")&gt;0,"○",""))</f>
        <v/>
      </c>
      <c r="BE30" s="22">
        <f t="shared" si="1"/>
        <v>1</v>
      </c>
      <c r="BF30" s="22">
        <f t="shared" si="2"/>
        <v>2</v>
      </c>
    </row>
    <row r="31" ht="15.0" customHeight="1">
      <c r="A31" s="42"/>
      <c r="B31" s="22" t="s">
        <v>1816</v>
      </c>
      <c r="C31" s="25" t="s">
        <v>1179</v>
      </c>
      <c r="D31" s="22" t="str">
        <f>IF(COUNTIFS('VS×ケイパビリティ関係'!$F$4:$F$494,$B31,'VS×ケイパビリティ関係'!$G$4:$G$494,D$5,'VS×ケイパビリティ関係'!$E$4:$E$494,"主")&gt;0,"●",IF(COUNTIFS('VS×ケイパビリティ関係'!$F$4:$F$494,$B31,'VS×ケイパビリティ関係'!$G$4:$G$494,D$5,'VS×ケイパビリティ関係'!$E$4:$E$494,"支援")&gt;0,"○",""))</f>
        <v/>
      </c>
      <c r="E31" s="22" t="str">
        <f>IF(COUNTIFS('VS×ケイパビリティ関係'!$F$4:$F$494,$B31,'VS×ケイパビリティ関係'!$G$4:$G$494,E$5,'VS×ケイパビリティ関係'!$E$4:$E$494,"主")&gt;0,"●",IF(COUNTIFS('VS×ケイパビリティ関係'!$F$4:$F$494,$B31,'VS×ケイパビリティ関係'!$G$4:$G$494,E$5,'VS×ケイパビリティ関係'!$E$4:$E$494,"支援")&gt;0,"○",""))</f>
        <v/>
      </c>
      <c r="F31" s="22" t="str">
        <f>IF(COUNTIFS('VS×ケイパビリティ関係'!$F$4:$F$494,$B31,'VS×ケイパビリティ関係'!$G$4:$G$494,F$5,'VS×ケイパビリティ関係'!$E$4:$E$494,"主")&gt;0,"●",IF(COUNTIFS('VS×ケイパビリティ関係'!$F$4:$F$494,$B31,'VS×ケイパビリティ関係'!$G$4:$G$494,F$5,'VS×ケイパビリティ関係'!$E$4:$E$494,"支援")&gt;0,"○",""))</f>
        <v/>
      </c>
      <c r="G31" s="22" t="str">
        <f>IF(COUNTIFS('VS×ケイパビリティ関係'!$F$4:$F$494,$B31,'VS×ケイパビリティ関係'!$G$4:$G$494,G$5,'VS×ケイパビリティ関係'!$E$4:$E$494,"主")&gt;0,"●",IF(COUNTIFS('VS×ケイパビリティ関係'!$F$4:$F$494,$B31,'VS×ケイパビリティ関係'!$G$4:$G$494,G$5,'VS×ケイパビリティ関係'!$E$4:$E$494,"支援")&gt;0,"○",""))</f>
        <v/>
      </c>
      <c r="H31" s="22" t="str">
        <f>IF(COUNTIFS('VS×ケイパビリティ関係'!$F$4:$F$494,$B31,'VS×ケイパビリティ関係'!$G$4:$G$494,H$5,'VS×ケイパビリティ関係'!$E$4:$E$494,"主")&gt;0,"●",IF(COUNTIFS('VS×ケイパビリティ関係'!$F$4:$F$494,$B31,'VS×ケイパビリティ関係'!$G$4:$G$494,H$5,'VS×ケイパビリティ関係'!$E$4:$E$494,"支援")&gt;0,"○",""))</f>
        <v/>
      </c>
      <c r="I31" s="22" t="str">
        <f>IF(COUNTIFS('VS×ケイパビリティ関係'!$F$4:$F$494,$B31,'VS×ケイパビリティ関係'!$G$4:$G$494,I$5,'VS×ケイパビリティ関係'!$E$4:$E$494,"主")&gt;0,"●",IF(COUNTIFS('VS×ケイパビリティ関係'!$F$4:$F$494,$B31,'VS×ケイパビリティ関係'!$G$4:$G$494,I$5,'VS×ケイパビリティ関係'!$E$4:$E$494,"支援")&gt;0,"○",""))</f>
        <v/>
      </c>
      <c r="J31" s="22" t="str">
        <f>IF(COUNTIFS('VS×ケイパビリティ関係'!$F$4:$F$494,$B31,'VS×ケイパビリティ関係'!$G$4:$G$494,J$5,'VS×ケイパビリティ関係'!$E$4:$E$494,"主")&gt;0,"●",IF(COUNTIFS('VS×ケイパビリティ関係'!$F$4:$F$494,$B31,'VS×ケイパビリティ関係'!$G$4:$G$494,J$5,'VS×ケイパビリティ関係'!$E$4:$E$494,"支援")&gt;0,"○",""))</f>
        <v/>
      </c>
      <c r="K31" s="22" t="str">
        <f>IF(COUNTIFS('VS×ケイパビリティ関係'!$F$4:$F$494,$B31,'VS×ケイパビリティ関係'!$G$4:$G$494,K$5,'VS×ケイパビリティ関係'!$E$4:$E$494,"主")&gt;0,"●",IF(COUNTIFS('VS×ケイパビリティ関係'!$F$4:$F$494,$B31,'VS×ケイパビリティ関係'!$G$4:$G$494,K$5,'VS×ケイパビリティ関係'!$E$4:$E$494,"支援")&gt;0,"○",""))</f>
        <v/>
      </c>
      <c r="L31" s="22" t="str">
        <f>IF(COUNTIFS('VS×ケイパビリティ関係'!$F$4:$F$494,$B31,'VS×ケイパビリティ関係'!$G$4:$G$494,L$5,'VS×ケイパビリティ関係'!$E$4:$E$494,"主")&gt;0,"●",IF(COUNTIFS('VS×ケイパビリティ関係'!$F$4:$F$494,$B31,'VS×ケイパビリティ関係'!$G$4:$G$494,L$5,'VS×ケイパビリティ関係'!$E$4:$E$494,"支援")&gt;0,"○",""))</f>
        <v/>
      </c>
      <c r="M31" s="22" t="str">
        <f>IF(COUNTIFS('VS×ケイパビリティ関係'!$F$4:$F$494,$B31,'VS×ケイパビリティ関係'!$G$4:$G$494,M$5,'VS×ケイパビリティ関係'!$E$4:$E$494,"主")&gt;0,"●",IF(COUNTIFS('VS×ケイパビリティ関係'!$F$4:$F$494,$B31,'VS×ケイパビリティ関係'!$G$4:$G$494,M$5,'VS×ケイパビリティ関係'!$E$4:$E$494,"支援")&gt;0,"○",""))</f>
        <v/>
      </c>
      <c r="N31" s="22" t="str">
        <f>IF(COUNTIFS('VS×ケイパビリティ関係'!$F$4:$F$494,$B31,'VS×ケイパビリティ関係'!$G$4:$G$494,N$5,'VS×ケイパビリティ関係'!$E$4:$E$494,"主")&gt;0,"●",IF(COUNTIFS('VS×ケイパビリティ関係'!$F$4:$F$494,$B31,'VS×ケイパビリティ関係'!$G$4:$G$494,N$5,'VS×ケイパビリティ関係'!$E$4:$E$494,"支援")&gt;0,"○",""))</f>
        <v/>
      </c>
      <c r="O31" s="22" t="str">
        <f>IF(COUNTIFS('VS×ケイパビリティ関係'!$F$4:$F$494,$B31,'VS×ケイパビリティ関係'!$G$4:$G$494,O$5,'VS×ケイパビリティ関係'!$E$4:$E$494,"主")&gt;0,"●",IF(COUNTIFS('VS×ケイパビリティ関係'!$F$4:$F$494,$B31,'VS×ケイパビリティ関係'!$G$4:$G$494,O$5,'VS×ケイパビリティ関係'!$E$4:$E$494,"支援")&gt;0,"○",""))</f>
        <v/>
      </c>
      <c r="P31" s="22" t="str">
        <f>IF(COUNTIFS('VS×ケイパビリティ関係'!$F$4:$F$494,$B31,'VS×ケイパビリティ関係'!$G$4:$G$494,P$5,'VS×ケイパビリティ関係'!$E$4:$E$494,"主")&gt;0,"●",IF(COUNTIFS('VS×ケイパビリティ関係'!$F$4:$F$494,$B31,'VS×ケイパビリティ関係'!$G$4:$G$494,P$5,'VS×ケイパビリティ関係'!$E$4:$E$494,"支援")&gt;0,"○",""))</f>
        <v/>
      </c>
      <c r="Q31" s="22" t="str">
        <f>IF(COUNTIFS('VS×ケイパビリティ関係'!$F$4:$F$494,$B31,'VS×ケイパビリティ関係'!$G$4:$G$494,Q$5,'VS×ケイパビリティ関係'!$E$4:$E$494,"主")&gt;0,"●",IF(COUNTIFS('VS×ケイパビリティ関係'!$F$4:$F$494,$B31,'VS×ケイパビリティ関係'!$G$4:$G$494,Q$5,'VS×ケイパビリティ関係'!$E$4:$E$494,"支援")&gt;0,"○",""))</f>
        <v/>
      </c>
      <c r="R31" s="22" t="str">
        <f>IF(COUNTIFS('VS×ケイパビリティ関係'!$F$4:$F$494,$B31,'VS×ケイパビリティ関係'!$G$4:$G$494,R$5,'VS×ケイパビリティ関係'!$E$4:$E$494,"主")&gt;0,"●",IF(COUNTIFS('VS×ケイパビリティ関係'!$F$4:$F$494,$B31,'VS×ケイパビリティ関係'!$G$4:$G$494,R$5,'VS×ケイパビリティ関係'!$E$4:$E$494,"支援")&gt;0,"○",""))</f>
        <v/>
      </c>
      <c r="S31" s="22" t="str">
        <f>IF(COUNTIFS('VS×ケイパビリティ関係'!$F$4:$F$494,$B31,'VS×ケイパビリティ関係'!$G$4:$G$494,S$5,'VS×ケイパビリティ関係'!$E$4:$E$494,"主")&gt;0,"●",IF(COUNTIFS('VS×ケイパビリティ関係'!$F$4:$F$494,$B31,'VS×ケイパビリティ関係'!$G$4:$G$494,S$5,'VS×ケイパビリティ関係'!$E$4:$E$494,"支援")&gt;0,"○",""))</f>
        <v/>
      </c>
      <c r="T31" s="22" t="str">
        <f>IF(COUNTIFS('VS×ケイパビリティ関係'!$F$4:$F$494,$B31,'VS×ケイパビリティ関係'!$G$4:$G$494,T$5,'VS×ケイパビリティ関係'!$E$4:$E$494,"主")&gt;0,"●",IF(COUNTIFS('VS×ケイパビリティ関係'!$F$4:$F$494,$B31,'VS×ケイパビリティ関係'!$G$4:$G$494,T$5,'VS×ケイパビリティ関係'!$E$4:$E$494,"支援")&gt;0,"○",""))</f>
        <v/>
      </c>
      <c r="U31" s="22" t="str">
        <f>IF(COUNTIFS('VS×ケイパビリティ関係'!$F$4:$F$494,$B31,'VS×ケイパビリティ関係'!$G$4:$G$494,U$5,'VS×ケイパビリティ関係'!$E$4:$E$494,"主")&gt;0,"●",IF(COUNTIFS('VS×ケイパビリティ関係'!$F$4:$F$494,$B31,'VS×ケイパビリティ関係'!$G$4:$G$494,U$5,'VS×ケイパビリティ関係'!$E$4:$E$494,"支援")&gt;0,"○",""))</f>
        <v/>
      </c>
      <c r="V31" s="22" t="str">
        <f>IF(COUNTIFS('VS×ケイパビリティ関係'!$F$4:$F$494,$B31,'VS×ケイパビリティ関係'!$G$4:$G$494,V$5,'VS×ケイパビリティ関係'!$E$4:$E$494,"主")&gt;0,"●",IF(COUNTIFS('VS×ケイパビリティ関係'!$F$4:$F$494,$B31,'VS×ケイパビリティ関係'!$G$4:$G$494,V$5,'VS×ケイパビリティ関係'!$E$4:$E$494,"支援")&gt;0,"○",""))</f>
        <v/>
      </c>
      <c r="W31" s="22" t="str">
        <f>IF(COUNTIFS('VS×ケイパビリティ関係'!$F$4:$F$494,$B31,'VS×ケイパビリティ関係'!$G$4:$G$494,W$5,'VS×ケイパビリティ関係'!$E$4:$E$494,"主")&gt;0,"●",IF(COUNTIFS('VS×ケイパビリティ関係'!$F$4:$F$494,$B31,'VS×ケイパビリティ関係'!$G$4:$G$494,W$5,'VS×ケイパビリティ関係'!$E$4:$E$494,"支援")&gt;0,"○",""))</f>
        <v/>
      </c>
      <c r="X31" s="22" t="str">
        <f>IF(COUNTIFS('VS×ケイパビリティ関係'!$F$4:$F$494,$B31,'VS×ケイパビリティ関係'!$G$4:$G$494,X$5,'VS×ケイパビリティ関係'!$E$4:$E$494,"主")&gt;0,"●",IF(COUNTIFS('VS×ケイパビリティ関係'!$F$4:$F$494,$B31,'VS×ケイパビリティ関係'!$G$4:$G$494,X$5,'VS×ケイパビリティ関係'!$E$4:$E$494,"支援")&gt;0,"○",""))</f>
        <v/>
      </c>
      <c r="Y31" s="22" t="str">
        <f>IF(COUNTIFS('VS×ケイパビリティ関係'!$F$4:$F$494,$B31,'VS×ケイパビリティ関係'!$G$4:$G$494,Y$5,'VS×ケイパビリティ関係'!$E$4:$E$494,"主")&gt;0,"●",IF(COUNTIFS('VS×ケイパビリティ関係'!$F$4:$F$494,$B31,'VS×ケイパビリティ関係'!$G$4:$G$494,Y$5,'VS×ケイパビリティ関係'!$E$4:$E$494,"支援")&gt;0,"○",""))</f>
        <v/>
      </c>
      <c r="Z31" s="22" t="str">
        <f>IF(COUNTIFS('VS×ケイパビリティ関係'!$F$4:$F$494,$B31,'VS×ケイパビリティ関係'!$G$4:$G$494,Z$5,'VS×ケイパビリティ関係'!$E$4:$E$494,"主")&gt;0,"●",IF(COUNTIFS('VS×ケイパビリティ関係'!$F$4:$F$494,$B31,'VS×ケイパビリティ関係'!$G$4:$G$494,Z$5,'VS×ケイパビリティ関係'!$E$4:$E$494,"支援")&gt;0,"○",""))</f>
        <v/>
      </c>
      <c r="AA31" s="22" t="str">
        <f>IF(COUNTIFS('VS×ケイパビリティ関係'!$F$4:$F$494,$B31,'VS×ケイパビリティ関係'!$G$4:$G$494,AA$5,'VS×ケイパビリティ関係'!$E$4:$E$494,"主")&gt;0,"●",IF(COUNTIFS('VS×ケイパビリティ関係'!$F$4:$F$494,$B31,'VS×ケイパビリティ関係'!$G$4:$G$494,AA$5,'VS×ケイパビリティ関係'!$E$4:$E$494,"支援")&gt;0,"○",""))</f>
        <v/>
      </c>
      <c r="AB31" s="22" t="str">
        <f>IF(COUNTIFS('VS×ケイパビリティ関係'!$F$4:$F$494,$B31,'VS×ケイパビリティ関係'!$G$4:$G$494,AB$5,'VS×ケイパビリティ関係'!$E$4:$E$494,"主")&gt;0,"●",IF(COUNTIFS('VS×ケイパビリティ関係'!$F$4:$F$494,$B31,'VS×ケイパビリティ関係'!$G$4:$G$494,AB$5,'VS×ケイパビリティ関係'!$E$4:$E$494,"支援")&gt;0,"○",""))</f>
        <v/>
      </c>
      <c r="AC31" s="22" t="str">
        <f>IF(COUNTIFS('VS×ケイパビリティ関係'!$F$4:$F$494,$B31,'VS×ケイパビリティ関係'!$G$4:$G$494,AC$5,'VS×ケイパビリティ関係'!$E$4:$E$494,"主")&gt;0,"●",IF(COUNTIFS('VS×ケイパビリティ関係'!$F$4:$F$494,$B31,'VS×ケイパビリティ関係'!$G$4:$G$494,AC$5,'VS×ケイパビリティ関係'!$E$4:$E$494,"支援")&gt;0,"○",""))</f>
        <v/>
      </c>
      <c r="AD31" s="22" t="str">
        <f>IF(COUNTIFS('VS×ケイパビリティ関係'!$F$4:$F$494,$B31,'VS×ケイパビリティ関係'!$G$4:$G$494,AD$5,'VS×ケイパビリティ関係'!$E$4:$E$494,"主")&gt;0,"●",IF(COUNTIFS('VS×ケイパビリティ関係'!$F$4:$F$494,$B31,'VS×ケイパビリティ関係'!$G$4:$G$494,AD$5,'VS×ケイパビリティ関係'!$E$4:$E$494,"支援")&gt;0,"○",""))</f>
        <v>○</v>
      </c>
      <c r="AE31" s="22" t="str">
        <f>IF(COUNTIFS('VS×ケイパビリティ関係'!$F$4:$F$494,$B31,'VS×ケイパビリティ関係'!$G$4:$G$494,AE$5,'VS×ケイパビリティ関係'!$E$4:$E$494,"主")&gt;0,"●",IF(COUNTIFS('VS×ケイパビリティ関係'!$F$4:$F$494,$B31,'VS×ケイパビリティ関係'!$G$4:$G$494,AE$5,'VS×ケイパビリティ関係'!$E$4:$E$494,"支援")&gt;0,"○",""))</f>
        <v>○</v>
      </c>
      <c r="AF31" s="22" t="str">
        <f>IF(COUNTIFS('VS×ケイパビリティ関係'!$F$4:$F$494,$B31,'VS×ケイパビリティ関係'!$G$4:$G$494,AF$5,'VS×ケイパビリティ関係'!$E$4:$E$494,"主")&gt;0,"●",IF(COUNTIFS('VS×ケイパビリティ関係'!$F$4:$F$494,$B31,'VS×ケイパビリティ関係'!$G$4:$G$494,AF$5,'VS×ケイパビリティ関係'!$E$4:$E$494,"支援")&gt;0,"○",""))</f>
        <v/>
      </c>
      <c r="AG31" s="22" t="str">
        <f>IF(COUNTIFS('VS×ケイパビリティ関係'!$F$4:$F$494,$B31,'VS×ケイパビリティ関係'!$G$4:$G$494,AG$5,'VS×ケイパビリティ関係'!$E$4:$E$494,"主")&gt;0,"●",IF(COUNTIFS('VS×ケイパビリティ関係'!$F$4:$F$494,$B31,'VS×ケイパビリティ関係'!$G$4:$G$494,AG$5,'VS×ケイパビリティ関係'!$E$4:$E$494,"支援")&gt;0,"○",""))</f>
        <v/>
      </c>
      <c r="AH31" s="22" t="str">
        <f>IF(COUNTIFS('VS×ケイパビリティ関係'!$F$4:$F$494,$B31,'VS×ケイパビリティ関係'!$G$4:$G$494,AH$5,'VS×ケイパビリティ関係'!$E$4:$E$494,"主")&gt;0,"●",IF(COUNTIFS('VS×ケイパビリティ関係'!$F$4:$F$494,$B31,'VS×ケイパビリティ関係'!$G$4:$G$494,AH$5,'VS×ケイパビリティ関係'!$E$4:$E$494,"支援")&gt;0,"○",""))</f>
        <v/>
      </c>
      <c r="AI31" s="22" t="str">
        <f>IF(COUNTIFS('VS×ケイパビリティ関係'!$F$4:$F$494,$B31,'VS×ケイパビリティ関係'!$G$4:$G$494,AI$5,'VS×ケイパビリティ関係'!$E$4:$E$494,"主")&gt;0,"●",IF(COUNTIFS('VS×ケイパビリティ関係'!$F$4:$F$494,$B31,'VS×ケイパビリティ関係'!$G$4:$G$494,AI$5,'VS×ケイパビリティ関係'!$E$4:$E$494,"支援")&gt;0,"○",""))</f>
        <v>●</v>
      </c>
      <c r="AJ31" s="22" t="str">
        <f>IF(COUNTIFS('VS×ケイパビリティ関係'!$F$4:$F$494,$B31,'VS×ケイパビリティ関係'!$G$4:$G$494,AJ$5,'VS×ケイパビリティ関係'!$E$4:$E$494,"主")&gt;0,"●",IF(COUNTIFS('VS×ケイパビリティ関係'!$F$4:$F$494,$B31,'VS×ケイパビリティ関係'!$G$4:$G$494,AJ$5,'VS×ケイパビリティ関係'!$E$4:$E$494,"支援")&gt;0,"○",""))</f>
        <v>●</v>
      </c>
      <c r="AK31" s="22" t="str">
        <f>IF(COUNTIFS('VS×ケイパビリティ関係'!$F$4:$F$494,$B31,'VS×ケイパビリティ関係'!$G$4:$G$494,AK$5,'VS×ケイパビリティ関係'!$E$4:$E$494,"主")&gt;0,"●",IF(COUNTIFS('VS×ケイパビリティ関係'!$F$4:$F$494,$B31,'VS×ケイパビリティ関係'!$G$4:$G$494,AK$5,'VS×ケイパビリティ関係'!$E$4:$E$494,"支援")&gt;0,"○",""))</f>
        <v/>
      </c>
      <c r="AL31" s="22" t="str">
        <f>IF(COUNTIFS('VS×ケイパビリティ関係'!$F$4:$F$494,$B31,'VS×ケイパビリティ関係'!$G$4:$G$494,AL$5,'VS×ケイパビリティ関係'!$E$4:$E$494,"主")&gt;0,"●",IF(COUNTIFS('VS×ケイパビリティ関係'!$F$4:$F$494,$B31,'VS×ケイパビリティ関係'!$G$4:$G$494,AL$5,'VS×ケイパビリティ関係'!$E$4:$E$494,"支援")&gt;0,"○",""))</f>
        <v/>
      </c>
      <c r="AM31" s="22" t="str">
        <f>IF(COUNTIFS('VS×ケイパビリティ関係'!$F$4:$F$494,$B31,'VS×ケイパビリティ関係'!$G$4:$G$494,AM$5,'VS×ケイパビリティ関係'!$E$4:$E$494,"主")&gt;0,"●",IF(COUNTIFS('VS×ケイパビリティ関係'!$F$4:$F$494,$B31,'VS×ケイパビリティ関係'!$G$4:$G$494,AM$5,'VS×ケイパビリティ関係'!$E$4:$E$494,"支援")&gt;0,"○",""))</f>
        <v/>
      </c>
      <c r="AN31" s="22" t="str">
        <f>IF(COUNTIFS('VS×ケイパビリティ関係'!$F$4:$F$494,$B31,'VS×ケイパビリティ関係'!$G$4:$G$494,AN$5,'VS×ケイパビリティ関係'!$E$4:$E$494,"主")&gt;0,"●",IF(COUNTIFS('VS×ケイパビリティ関係'!$F$4:$F$494,$B31,'VS×ケイパビリティ関係'!$G$4:$G$494,AN$5,'VS×ケイパビリティ関係'!$E$4:$E$494,"支援")&gt;0,"○",""))</f>
        <v/>
      </c>
      <c r="AO31" s="22" t="str">
        <f>IF(COUNTIFS('VS×ケイパビリティ関係'!$F$4:$F$494,$B31,'VS×ケイパビリティ関係'!$G$4:$G$494,AO$5,'VS×ケイパビリティ関係'!$E$4:$E$494,"主")&gt;0,"●",IF(COUNTIFS('VS×ケイパビリティ関係'!$F$4:$F$494,$B31,'VS×ケイパビリティ関係'!$G$4:$G$494,AO$5,'VS×ケイパビリティ関係'!$E$4:$E$494,"支援")&gt;0,"○",""))</f>
        <v/>
      </c>
      <c r="AP31" s="22" t="str">
        <f>IF(COUNTIFS('VS×ケイパビリティ関係'!$F$4:$F$494,$B31,'VS×ケイパビリティ関係'!$G$4:$G$494,AP$5,'VS×ケイパビリティ関係'!$E$4:$E$494,"主")&gt;0,"●",IF(COUNTIFS('VS×ケイパビリティ関係'!$F$4:$F$494,$B31,'VS×ケイパビリティ関係'!$G$4:$G$494,AP$5,'VS×ケイパビリティ関係'!$E$4:$E$494,"支援")&gt;0,"○",""))</f>
        <v/>
      </c>
      <c r="AQ31" s="22" t="str">
        <f>IF(COUNTIFS('VS×ケイパビリティ関係'!$F$4:$F$494,$B31,'VS×ケイパビリティ関係'!$G$4:$G$494,AQ$5,'VS×ケイパビリティ関係'!$E$4:$E$494,"主")&gt;0,"●",IF(COUNTIFS('VS×ケイパビリティ関係'!$F$4:$F$494,$B31,'VS×ケイパビリティ関係'!$G$4:$G$494,AQ$5,'VS×ケイパビリティ関係'!$E$4:$E$494,"支援")&gt;0,"○",""))</f>
        <v/>
      </c>
      <c r="AR31" s="22" t="str">
        <f>IF(COUNTIFS('VS×ケイパビリティ関係'!$F$4:$F$494,$B31,'VS×ケイパビリティ関係'!$G$4:$G$494,AR$5,'VS×ケイパビリティ関係'!$E$4:$E$494,"主")&gt;0,"●",IF(COUNTIFS('VS×ケイパビリティ関係'!$F$4:$F$494,$B31,'VS×ケイパビリティ関係'!$G$4:$G$494,AR$5,'VS×ケイパビリティ関係'!$E$4:$E$494,"支援")&gt;0,"○",""))</f>
        <v/>
      </c>
      <c r="AS31" s="22" t="str">
        <f>IF(COUNTIFS('VS×ケイパビリティ関係'!$F$4:$F$494,$B31,'VS×ケイパビリティ関係'!$G$4:$G$494,AS$5,'VS×ケイパビリティ関係'!$E$4:$E$494,"主")&gt;0,"●",IF(COUNTIFS('VS×ケイパビリティ関係'!$F$4:$F$494,$B31,'VS×ケイパビリティ関係'!$G$4:$G$494,AS$5,'VS×ケイパビリティ関係'!$E$4:$E$494,"支援")&gt;0,"○",""))</f>
        <v/>
      </c>
      <c r="AT31" s="22" t="str">
        <f>IF(COUNTIFS('VS×ケイパビリティ関係'!$F$4:$F$494,$B31,'VS×ケイパビリティ関係'!$G$4:$G$494,AT$5,'VS×ケイパビリティ関係'!$E$4:$E$494,"主")&gt;0,"●",IF(COUNTIFS('VS×ケイパビリティ関係'!$F$4:$F$494,$B31,'VS×ケイパビリティ関係'!$G$4:$G$494,AT$5,'VS×ケイパビリティ関係'!$E$4:$E$494,"支援")&gt;0,"○",""))</f>
        <v/>
      </c>
      <c r="AU31" s="22" t="str">
        <f>IF(COUNTIFS('VS×ケイパビリティ関係'!$F$4:$F$494,$B31,'VS×ケイパビリティ関係'!$G$4:$G$494,AU$5,'VS×ケイパビリティ関係'!$E$4:$E$494,"主")&gt;0,"●",IF(COUNTIFS('VS×ケイパビリティ関係'!$F$4:$F$494,$B31,'VS×ケイパビリティ関係'!$G$4:$G$494,AU$5,'VS×ケイパビリティ関係'!$E$4:$E$494,"支援")&gt;0,"○",""))</f>
        <v/>
      </c>
      <c r="AV31" s="22" t="str">
        <f>IF(COUNTIFS('VS×ケイパビリティ関係'!$F$4:$F$494,$B31,'VS×ケイパビリティ関係'!$G$4:$G$494,AV$5,'VS×ケイパビリティ関係'!$E$4:$E$494,"主")&gt;0,"●",IF(COUNTIFS('VS×ケイパビリティ関係'!$F$4:$F$494,$B31,'VS×ケイパビリティ関係'!$G$4:$G$494,AV$5,'VS×ケイパビリティ関係'!$E$4:$E$494,"支援")&gt;0,"○",""))</f>
        <v/>
      </c>
      <c r="AW31" s="22" t="str">
        <f>IF(COUNTIFS('VS×ケイパビリティ関係'!$F$4:$F$494,$B31,'VS×ケイパビリティ関係'!$G$4:$G$494,AW$5,'VS×ケイパビリティ関係'!$E$4:$E$494,"主")&gt;0,"●",IF(COUNTIFS('VS×ケイパビリティ関係'!$F$4:$F$494,$B31,'VS×ケイパビリティ関係'!$G$4:$G$494,AW$5,'VS×ケイパビリティ関係'!$E$4:$E$494,"支援")&gt;0,"○",""))</f>
        <v/>
      </c>
      <c r="AX31" s="22" t="str">
        <f>IF(COUNTIFS('VS×ケイパビリティ関係'!$F$4:$F$494,$B31,'VS×ケイパビリティ関係'!$G$4:$G$494,AX$5,'VS×ケイパビリティ関係'!$E$4:$E$494,"主")&gt;0,"●",IF(COUNTIFS('VS×ケイパビリティ関係'!$F$4:$F$494,$B31,'VS×ケイパビリティ関係'!$G$4:$G$494,AX$5,'VS×ケイパビリティ関係'!$E$4:$E$494,"支援")&gt;0,"○",""))</f>
        <v/>
      </c>
      <c r="AY31" s="22" t="str">
        <f>IF(COUNTIFS('VS×ケイパビリティ関係'!$F$4:$F$494,$B31,'VS×ケイパビリティ関係'!$G$4:$G$494,AY$5,'VS×ケイパビリティ関係'!$E$4:$E$494,"主")&gt;0,"●",IF(COUNTIFS('VS×ケイパビリティ関係'!$F$4:$F$494,$B31,'VS×ケイパビリティ関係'!$G$4:$G$494,AY$5,'VS×ケイパビリティ関係'!$E$4:$E$494,"支援")&gt;0,"○",""))</f>
        <v/>
      </c>
      <c r="AZ31" s="22" t="str">
        <f>IF(COUNTIFS('VS×ケイパビリティ関係'!$F$4:$F$494,$B31,'VS×ケイパビリティ関係'!$G$4:$G$494,AZ$5,'VS×ケイパビリティ関係'!$E$4:$E$494,"主")&gt;0,"●",IF(COUNTIFS('VS×ケイパビリティ関係'!$F$4:$F$494,$B31,'VS×ケイパビリティ関係'!$G$4:$G$494,AZ$5,'VS×ケイパビリティ関係'!$E$4:$E$494,"支援")&gt;0,"○",""))</f>
        <v/>
      </c>
      <c r="BA31" s="22" t="str">
        <f>IF(COUNTIFS('VS×ケイパビリティ関係'!$F$4:$F$494,$B31,'VS×ケイパビリティ関係'!$G$4:$G$494,BA$5,'VS×ケイパビリティ関係'!$E$4:$E$494,"主")&gt;0,"●",IF(COUNTIFS('VS×ケイパビリティ関係'!$F$4:$F$494,$B31,'VS×ケイパビリティ関係'!$G$4:$G$494,BA$5,'VS×ケイパビリティ関係'!$E$4:$E$494,"支援")&gt;0,"○",""))</f>
        <v/>
      </c>
      <c r="BB31" s="22" t="str">
        <f>IF(COUNTIFS('VS×ケイパビリティ関係'!$F$4:$F$494,$B31,'VS×ケイパビリティ関係'!$G$4:$G$494,BB$5,'VS×ケイパビリティ関係'!$E$4:$E$494,"主")&gt;0,"●",IF(COUNTIFS('VS×ケイパビリティ関係'!$F$4:$F$494,$B31,'VS×ケイパビリティ関係'!$G$4:$G$494,BB$5,'VS×ケイパビリティ関係'!$E$4:$E$494,"支援")&gt;0,"○",""))</f>
        <v/>
      </c>
      <c r="BC31" s="22" t="str">
        <f>IF(COUNTIFS('VS×ケイパビリティ関係'!$F$4:$F$494,$B31,'VS×ケイパビリティ関係'!$G$4:$G$494,BC$5,'VS×ケイパビリティ関係'!$E$4:$E$494,"主")&gt;0,"●",IF(COUNTIFS('VS×ケイパビリティ関係'!$F$4:$F$494,$B31,'VS×ケイパビリティ関係'!$G$4:$G$494,BC$5,'VS×ケイパビリティ関係'!$E$4:$E$494,"支援")&gt;0,"○",""))</f>
        <v/>
      </c>
      <c r="BD31" s="22" t="str">
        <f>IF(COUNTIFS('VS×ケイパビリティ関係'!$F$4:$F$494,$B31,'VS×ケイパビリティ関係'!$G$4:$G$494,BD$5,'VS×ケイパビリティ関係'!$E$4:$E$494,"主")&gt;0,"●",IF(COUNTIFS('VS×ケイパビリティ関係'!$F$4:$F$494,$B31,'VS×ケイパビリティ関係'!$G$4:$G$494,BD$5,'VS×ケイパビリティ関係'!$E$4:$E$494,"支援")&gt;0,"○",""))</f>
        <v/>
      </c>
      <c r="BE31" s="22">
        <f t="shared" si="1"/>
        <v>2</v>
      </c>
      <c r="BF31" s="22">
        <f t="shared" si="2"/>
        <v>2</v>
      </c>
    </row>
    <row r="32" ht="15.0" customHeight="1">
      <c r="A32" s="42" t="s">
        <v>3037</v>
      </c>
      <c r="B32" s="22" t="s">
        <v>1873</v>
      </c>
      <c r="C32" s="25" t="s">
        <v>1876</v>
      </c>
      <c r="D32" s="22" t="str">
        <f>IF(COUNTIFS('VS×ケイパビリティ関係'!$F$4:$F$494,$B32,'VS×ケイパビリティ関係'!$G$4:$G$494,D$5,'VS×ケイパビリティ関係'!$E$4:$E$494,"主")&gt;0,"●",IF(COUNTIFS('VS×ケイパビリティ関係'!$F$4:$F$494,$B32,'VS×ケイパビリティ関係'!$G$4:$G$494,D$5,'VS×ケイパビリティ関係'!$E$4:$E$494,"支援")&gt;0,"○",""))</f>
        <v/>
      </c>
      <c r="E32" s="22" t="str">
        <f>IF(COUNTIFS('VS×ケイパビリティ関係'!$F$4:$F$494,$B32,'VS×ケイパビリティ関係'!$G$4:$G$494,E$5,'VS×ケイパビリティ関係'!$E$4:$E$494,"主")&gt;0,"●",IF(COUNTIFS('VS×ケイパビリティ関係'!$F$4:$F$494,$B32,'VS×ケイパビリティ関係'!$G$4:$G$494,E$5,'VS×ケイパビリティ関係'!$E$4:$E$494,"支援")&gt;0,"○",""))</f>
        <v/>
      </c>
      <c r="F32" s="22" t="str">
        <f>IF(COUNTIFS('VS×ケイパビリティ関係'!$F$4:$F$494,$B32,'VS×ケイパビリティ関係'!$G$4:$G$494,F$5,'VS×ケイパビリティ関係'!$E$4:$E$494,"主")&gt;0,"●",IF(COUNTIFS('VS×ケイパビリティ関係'!$F$4:$F$494,$B32,'VS×ケイパビリティ関係'!$G$4:$G$494,F$5,'VS×ケイパビリティ関係'!$E$4:$E$494,"支援")&gt;0,"○",""))</f>
        <v/>
      </c>
      <c r="G32" s="22" t="str">
        <f>IF(COUNTIFS('VS×ケイパビリティ関係'!$F$4:$F$494,$B32,'VS×ケイパビリティ関係'!$G$4:$G$494,G$5,'VS×ケイパビリティ関係'!$E$4:$E$494,"主")&gt;0,"●",IF(COUNTIFS('VS×ケイパビリティ関係'!$F$4:$F$494,$B32,'VS×ケイパビリティ関係'!$G$4:$G$494,G$5,'VS×ケイパビリティ関係'!$E$4:$E$494,"支援")&gt;0,"○",""))</f>
        <v/>
      </c>
      <c r="H32" s="22" t="str">
        <f>IF(COUNTIFS('VS×ケイパビリティ関係'!$F$4:$F$494,$B32,'VS×ケイパビリティ関係'!$G$4:$G$494,H$5,'VS×ケイパビリティ関係'!$E$4:$E$494,"主")&gt;0,"●",IF(COUNTIFS('VS×ケイパビリティ関係'!$F$4:$F$494,$B32,'VS×ケイパビリティ関係'!$G$4:$G$494,H$5,'VS×ケイパビリティ関係'!$E$4:$E$494,"支援")&gt;0,"○",""))</f>
        <v/>
      </c>
      <c r="I32" s="22" t="str">
        <f>IF(COUNTIFS('VS×ケイパビリティ関係'!$F$4:$F$494,$B32,'VS×ケイパビリティ関係'!$G$4:$G$494,I$5,'VS×ケイパビリティ関係'!$E$4:$E$494,"主")&gt;0,"●",IF(COUNTIFS('VS×ケイパビリティ関係'!$F$4:$F$494,$B32,'VS×ケイパビリティ関係'!$G$4:$G$494,I$5,'VS×ケイパビリティ関係'!$E$4:$E$494,"支援")&gt;0,"○",""))</f>
        <v/>
      </c>
      <c r="J32" s="22" t="str">
        <f>IF(COUNTIFS('VS×ケイパビリティ関係'!$F$4:$F$494,$B32,'VS×ケイパビリティ関係'!$G$4:$G$494,J$5,'VS×ケイパビリティ関係'!$E$4:$E$494,"主")&gt;0,"●",IF(COUNTIFS('VS×ケイパビリティ関係'!$F$4:$F$494,$B32,'VS×ケイパビリティ関係'!$G$4:$G$494,J$5,'VS×ケイパビリティ関係'!$E$4:$E$494,"支援")&gt;0,"○",""))</f>
        <v/>
      </c>
      <c r="K32" s="22" t="str">
        <f>IF(COUNTIFS('VS×ケイパビリティ関係'!$F$4:$F$494,$B32,'VS×ケイパビリティ関係'!$G$4:$G$494,K$5,'VS×ケイパビリティ関係'!$E$4:$E$494,"主")&gt;0,"●",IF(COUNTIFS('VS×ケイパビリティ関係'!$F$4:$F$494,$B32,'VS×ケイパビリティ関係'!$G$4:$G$494,K$5,'VS×ケイパビリティ関係'!$E$4:$E$494,"支援")&gt;0,"○",""))</f>
        <v/>
      </c>
      <c r="L32" s="22" t="str">
        <f>IF(COUNTIFS('VS×ケイパビリティ関係'!$F$4:$F$494,$B32,'VS×ケイパビリティ関係'!$G$4:$G$494,L$5,'VS×ケイパビリティ関係'!$E$4:$E$494,"主")&gt;0,"●",IF(COUNTIFS('VS×ケイパビリティ関係'!$F$4:$F$494,$B32,'VS×ケイパビリティ関係'!$G$4:$G$494,L$5,'VS×ケイパビリティ関係'!$E$4:$E$494,"支援")&gt;0,"○",""))</f>
        <v/>
      </c>
      <c r="M32" s="22" t="str">
        <f>IF(COUNTIFS('VS×ケイパビリティ関係'!$F$4:$F$494,$B32,'VS×ケイパビリティ関係'!$G$4:$G$494,M$5,'VS×ケイパビリティ関係'!$E$4:$E$494,"主")&gt;0,"●",IF(COUNTIFS('VS×ケイパビリティ関係'!$F$4:$F$494,$B32,'VS×ケイパビリティ関係'!$G$4:$G$494,M$5,'VS×ケイパビリティ関係'!$E$4:$E$494,"支援")&gt;0,"○",""))</f>
        <v/>
      </c>
      <c r="N32" s="22" t="str">
        <f>IF(COUNTIFS('VS×ケイパビリティ関係'!$F$4:$F$494,$B32,'VS×ケイパビリティ関係'!$G$4:$G$494,N$5,'VS×ケイパビリティ関係'!$E$4:$E$494,"主")&gt;0,"●",IF(COUNTIFS('VS×ケイパビリティ関係'!$F$4:$F$494,$B32,'VS×ケイパビリティ関係'!$G$4:$G$494,N$5,'VS×ケイパビリティ関係'!$E$4:$E$494,"支援")&gt;0,"○",""))</f>
        <v/>
      </c>
      <c r="O32" s="22" t="str">
        <f>IF(COUNTIFS('VS×ケイパビリティ関係'!$F$4:$F$494,$B32,'VS×ケイパビリティ関係'!$G$4:$G$494,O$5,'VS×ケイパビリティ関係'!$E$4:$E$494,"主")&gt;0,"●",IF(COUNTIFS('VS×ケイパビリティ関係'!$F$4:$F$494,$B32,'VS×ケイパビリティ関係'!$G$4:$G$494,O$5,'VS×ケイパビリティ関係'!$E$4:$E$494,"支援")&gt;0,"○",""))</f>
        <v/>
      </c>
      <c r="P32" s="22" t="str">
        <f>IF(COUNTIFS('VS×ケイパビリティ関係'!$F$4:$F$494,$B32,'VS×ケイパビリティ関係'!$G$4:$G$494,P$5,'VS×ケイパビリティ関係'!$E$4:$E$494,"主")&gt;0,"●",IF(COUNTIFS('VS×ケイパビリティ関係'!$F$4:$F$494,$B32,'VS×ケイパビリティ関係'!$G$4:$G$494,P$5,'VS×ケイパビリティ関係'!$E$4:$E$494,"支援")&gt;0,"○",""))</f>
        <v/>
      </c>
      <c r="Q32" s="22" t="str">
        <f>IF(COUNTIFS('VS×ケイパビリティ関係'!$F$4:$F$494,$B32,'VS×ケイパビリティ関係'!$G$4:$G$494,Q$5,'VS×ケイパビリティ関係'!$E$4:$E$494,"主")&gt;0,"●",IF(COUNTIFS('VS×ケイパビリティ関係'!$F$4:$F$494,$B32,'VS×ケイパビリティ関係'!$G$4:$G$494,Q$5,'VS×ケイパビリティ関係'!$E$4:$E$494,"支援")&gt;0,"○",""))</f>
        <v/>
      </c>
      <c r="R32" s="22" t="str">
        <f>IF(COUNTIFS('VS×ケイパビリティ関係'!$F$4:$F$494,$B32,'VS×ケイパビリティ関係'!$G$4:$G$494,R$5,'VS×ケイパビリティ関係'!$E$4:$E$494,"主")&gt;0,"●",IF(COUNTIFS('VS×ケイパビリティ関係'!$F$4:$F$494,$B32,'VS×ケイパビリティ関係'!$G$4:$G$494,R$5,'VS×ケイパビリティ関係'!$E$4:$E$494,"支援")&gt;0,"○",""))</f>
        <v/>
      </c>
      <c r="S32" s="22" t="str">
        <f>IF(COUNTIFS('VS×ケイパビリティ関係'!$F$4:$F$494,$B32,'VS×ケイパビリティ関係'!$G$4:$G$494,S$5,'VS×ケイパビリティ関係'!$E$4:$E$494,"主")&gt;0,"●",IF(COUNTIFS('VS×ケイパビリティ関係'!$F$4:$F$494,$B32,'VS×ケイパビリティ関係'!$G$4:$G$494,S$5,'VS×ケイパビリティ関係'!$E$4:$E$494,"支援")&gt;0,"○",""))</f>
        <v/>
      </c>
      <c r="T32" s="22" t="str">
        <f>IF(COUNTIFS('VS×ケイパビリティ関係'!$F$4:$F$494,$B32,'VS×ケイパビリティ関係'!$G$4:$G$494,T$5,'VS×ケイパビリティ関係'!$E$4:$E$494,"主")&gt;0,"●",IF(COUNTIFS('VS×ケイパビリティ関係'!$F$4:$F$494,$B32,'VS×ケイパビリティ関係'!$G$4:$G$494,T$5,'VS×ケイパビリティ関係'!$E$4:$E$494,"支援")&gt;0,"○",""))</f>
        <v/>
      </c>
      <c r="U32" s="22" t="str">
        <f>IF(COUNTIFS('VS×ケイパビリティ関係'!$F$4:$F$494,$B32,'VS×ケイパビリティ関係'!$G$4:$G$494,U$5,'VS×ケイパビリティ関係'!$E$4:$E$494,"主")&gt;0,"●",IF(COUNTIFS('VS×ケイパビリティ関係'!$F$4:$F$494,$B32,'VS×ケイパビリティ関係'!$G$4:$G$494,U$5,'VS×ケイパビリティ関係'!$E$4:$E$494,"支援")&gt;0,"○",""))</f>
        <v/>
      </c>
      <c r="V32" s="22" t="str">
        <f>IF(COUNTIFS('VS×ケイパビリティ関係'!$F$4:$F$494,$B32,'VS×ケイパビリティ関係'!$G$4:$G$494,V$5,'VS×ケイパビリティ関係'!$E$4:$E$494,"主")&gt;0,"●",IF(COUNTIFS('VS×ケイパビリティ関係'!$F$4:$F$494,$B32,'VS×ケイパビリティ関係'!$G$4:$G$494,V$5,'VS×ケイパビリティ関係'!$E$4:$E$494,"支援")&gt;0,"○",""))</f>
        <v>○</v>
      </c>
      <c r="W32" s="22" t="str">
        <f>IF(COUNTIFS('VS×ケイパビリティ関係'!$F$4:$F$494,$B32,'VS×ケイパビリティ関係'!$G$4:$G$494,W$5,'VS×ケイパビリティ関係'!$E$4:$E$494,"主")&gt;0,"●",IF(COUNTIFS('VS×ケイパビリティ関係'!$F$4:$F$494,$B32,'VS×ケイパビリティ関係'!$G$4:$G$494,W$5,'VS×ケイパビリティ関係'!$E$4:$E$494,"支援")&gt;0,"○",""))</f>
        <v/>
      </c>
      <c r="X32" s="22" t="str">
        <f>IF(COUNTIFS('VS×ケイパビリティ関係'!$F$4:$F$494,$B32,'VS×ケイパビリティ関係'!$G$4:$G$494,X$5,'VS×ケイパビリティ関係'!$E$4:$E$494,"主")&gt;0,"●",IF(COUNTIFS('VS×ケイパビリティ関係'!$F$4:$F$494,$B32,'VS×ケイパビリティ関係'!$G$4:$G$494,X$5,'VS×ケイパビリティ関係'!$E$4:$E$494,"支援")&gt;0,"○",""))</f>
        <v/>
      </c>
      <c r="Y32" s="22" t="str">
        <f>IF(COUNTIFS('VS×ケイパビリティ関係'!$F$4:$F$494,$B32,'VS×ケイパビリティ関係'!$G$4:$G$494,Y$5,'VS×ケイパビリティ関係'!$E$4:$E$494,"主")&gt;0,"●",IF(COUNTIFS('VS×ケイパビリティ関係'!$F$4:$F$494,$B32,'VS×ケイパビリティ関係'!$G$4:$G$494,Y$5,'VS×ケイパビリティ関係'!$E$4:$E$494,"支援")&gt;0,"○",""))</f>
        <v/>
      </c>
      <c r="Z32" s="22" t="str">
        <f>IF(COUNTIFS('VS×ケイパビリティ関係'!$F$4:$F$494,$B32,'VS×ケイパビリティ関係'!$G$4:$G$494,Z$5,'VS×ケイパビリティ関係'!$E$4:$E$494,"主")&gt;0,"●",IF(COUNTIFS('VS×ケイパビリティ関係'!$F$4:$F$494,$B32,'VS×ケイパビリティ関係'!$G$4:$G$494,Z$5,'VS×ケイパビリティ関係'!$E$4:$E$494,"支援")&gt;0,"○",""))</f>
        <v/>
      </c>
      <c r="AA32" s="22" t="str">
        <f>IF(COUNTIFS('VS×ケイパビリティ関係'!$F$4:$F$494,$B32,'VS×ケイパビリティ関係'!$G$4:$G$494,AA$5,'VS×ケイパビリティ関係'!$E$4:$E$494,"主")&gt;0,"●",IF(COUNTIFS('VS×ケイパビリティ関係'!$F$4:$F$494,$B32,'VS×ケイパビリティ関係'!$G$4:$G$494,AA$5,'VS×ケイパビリティ関係'!$E$4:$E$494,"支援")&gt;0,"○",""))</f>
        <v/>
      </c>
      <c r="AB32" s="22" t="str">
        <f>IF(COUNTIFS('VS×ケイパビリティ関係'!$F$4:$F$494,$B32,'VS×ケイパビリティ関係'!$G$4:$G$494,AB$5,'VS×ケイパビリティ関係'!$E$4:$E$494,"主")&gt;0,"●",IF(COUNTIFS('VS×ケイパビリティ関係'!$F$4:$F$494,$B32,'VS×ケイパビリティ関係'!$G$4:$G$494,AB$5,'VS×ケイパビリティ関係'!$E$4:$E$494,"支援")&gt;0,"○",""))</f>
        <v/>
      </c>
      <c r="AC32" s="22" t="str">
        <f>IF(COUNTIFS('VS×ケイパビリティ関係'!$F$4:$F$494,$B32,'VS×ケイパビリティ関係'!$G$4:$G$494,AC$5,'VS×ケイパビリティ関係'!$E$4:$E$494,"主")&gt;0,"●",IF(COUNTIFS('VS×ケイパビリティ関係'!$F$4:$F$494,$B32,'VS×ケイパビリティ関係'!$G$4:$G$494,AC$5,'VS×ケイパビリティ関係'!$E$4:$E$494,"支援")&gt;0,"○",""))</f>
        <v/>
      </c>
      <c r="AD32" s="22" t="str">
        <f>IF(COUNTIFS('VS×ケイパビリティ関係'!$F$4:$F$494,$B32,'VS×ケイパビリティ関係'!$G$4:$G$494,AD$5,'VS×ケイパビリティ関係'!$E$4:$E$494,"主")&gt;0,"●",IF(COUNTIFS('VS×ケイパビリティ関係'!$F$4:$F$494,$B32,'VS×ケイパビリティ関係'!$G$4:$G$494,AD$5,'VS×ケイパビリティ関係'!$E$4:$E$494,"支援")&gt;0,"○",""))</f>
        <v/>
      </c>
      <c r="AE32" s="22" t="str">
        <f>IF(COUNTIFS('VS×ケイパビリティ関係'!$F$4:$F$494,$B32,'VS×ケイパビリティ関係'!$G$4:$G$494,AE$5,'VS×ケイパビリティ関係'!$E$4:$E$494,"主")&gt;0,"●",IF(COUNTIFS('VS×ケイパビリティ関係'!$F$4:$F$494,$B32,'VS×ケイパビリティ関係'!$G$4:$G$494,AE$5,'VS×ケイパビリティ関係'!$E$4:$E$494,"支援")&gt;0,"○",""))</f>
        <v/>
      </c>
      <c r="AF32" s="22" t="str">
        <f>IF(COUNTIFS('VS×ケイパビリティ関係'!$F$4:$F$494,$B32,'VS×ケイパビリティ関係'!$G$4:$G$494,AF$5,'VS×ケイパビリティ関係'!$E$4:$E$494,"主")&gt;0,"●",IF(COUNTIFS('VS×ケイパビリティ関係'!$F$4:$F$494,$B32,'VS×ケイパビリティ関係'!$G$4:$G$494,AF$5,'VS×ケイパビリティ関係'!$E$4:$E$494,"支援")&gt;0,"○",""))</f>
        <v/>
      </c>
      <c r="AG32" s="22" t="str">
        <f>IF(COUNTIFS('VS×ケイパビリティ関係'!$F$4:$F$494,$B32,'VS×ケイパビリティ関係'!$G$4:$G$494,AG$5,'VS×ケイパビリティ関係'!$E$4:$E$494,"主")&gt;0,"●",IF(COUNTIFS('VS×ケイパビリティ関係'!$F$4:$F$494,$B32,'VS×ケイパビリティ関係'!$G$4:$G$494,AG$5,'VS×ケイパビリティ関係'!$E$4:$E$494,"支援")&gt;0,"○",""))</f>
        <v/>
      </c>
      <c r="AH32" s="22" t="str">
        <f>IF(COUNTIFS('VS×ケイパビリティ関係'!$F$4:$F$494,$B32,'VS×ケイパビリティ関係'!$G$4:$G$494,AH$5,'VS×ケイパビリティ関係'!$E$4:$E$494,"主")&gt;0,"●",IF(COUNTIFS('VS×ケイパビリティ関係'!$F$4:$F$494,$B32,'VS×ケイパビリティ関係'!$G$4:$G$494,AH$5,'VS×ケイパビリティ関係'!$E$4:$E$494,"支援")&gt;0,"○",""))</f>
        <v/>
      </c>
      <c r="AI32" s="22" t="str">
        <f>IF(COUNTIFS('VS×ケイパビリティ関係'!$F$4:$F$494,$B32,'VS×ケイパビリティ関係'!$G$4:$G$494,AI$5,'VS×ケイパビリティ関係'!$E$4:$E$494,"主")&gt;0,"●",IF(COUNTIFS('VS×ケイパビリティ関係'!$F$4:$F$494,$B32,'VS×ケイパビリティ関係'!$G$4:$G$494,AI$5,'VS×ケイパビリティ関係'!$E$4:$E$494,"支援")&gt;0,"○",""))</f>
        <v/>
      </c>
      <c r="AJ32" s="22" t="str">
        <f>IF(COUNTIFS('VS×ケイパビリティ関係'!$F$4:$F$494,$B32,'VS×ケイパビリティ関係'!$G$4:$G$494,AJ$5,'VS×ケイパビリティ関係'!$E$4:$E$494,"主")&gt;0,"●",IF(COUNTIFS('VS×ケイパビリティ関係'!$F$4:$F$494,$B32,'VS×ケイパビリティ関係'!$G$4:$G$494,AJ$5,'VS×ケイパビリティ関係'!$E$4:$E$494,"支援")&gt;0,"○",""))</f>
        <v/>
      </c>
      <c r="AK32" s="22" t="str">
        <f>IF(COUNTIFS('VS×ケイパビリティ関係'!$F$4:$F$494,$B32,'VS×ケイパビリティ関係'!$G$4:$G$494,AK$5,'VS×ケイパビリティ関係'!$E$4:$E$494,"主")&gt;0,"●",IF(COUNTIFS('VS×ケイパビリティ関係'!$F$4:$F$494,$B32,'VS×ケイパビリティ関係'!$G$4:$G$494,AK$5,'VS×ケイパビリティ関係'!$E$4:$E$494,"支援")&gt;0,"○",""))</f>
        <v/>
      </c>
      <c r="AL32" s="22" t="str">
        <f>IF(COUNTIFS('VS×ケイパビリティ関係'!$F$4:$F$494,$B32,'VS×ケイパビリティ関係'!$G$4:$G$494,AL$5,'VS×ケイパビリティ関係'!$E$4:$E$494,"主")&gt;0,"●",IF(COUNTIFS('VS×ケイパビリティ関係'!$F$4:$F$494,$B32,'VS×ケイパビリティ関係'!$G$4:$G$494,AL$5,'VS×ケイパビリティ関係'!$E$4:$E$494,"支援")&gt;0,"○",""))</f>
        <v/>
      </c>
      <c r="AM32" s="22" t="str">
        <f>IF(COUNTIFS('VS×ケイパビリティ関係'!$F$4:$F$494,$B32,'VS×ケイパビリティ関係'!$G$4:$G$494,AM$5,'VS×ケイパビリティ関係'!$E$4:$E$494,"主")&gt;0,"●",IF(COUNTIFS('VS×ケイパビリティ関係'!$F$4:$F$494,$B32,'VS×ケイパビリティ関係'!$G$4:$G$494,AM$5,'VS×ケイパビリティ関係'!$E$4:$E$494,"支援")&gt;0,"○",""))</f>
        <v/>
      </c>
      <c r="AN32" s="22" t="str">
        <f>IF(COUNTIFS('VS×ケイパビリティ関係'!$F$4:$F$494,$B32,'VS×ケイパビリティ関係'!$G$4:$G$494,AN$5,'VS×ケイパビリティ関係'!$E$4:$E$494,"主")&gt;0,"●",IF(COUNTIFS('VS×ケイパビリティ関係'!$F$4:$F$494,$B32,'VS×ケイパビリティ関係'!$G$4:$G$494,AN$5,'VS×ケイパビリティ関係'!$E$4:$E$494,"支援")&gt;0,"○",""))</f>
        <v/>
      </c>
      <c r="AO32" s="22" t="str">
        <f>IF(COUNTIFS('VS×ケイパビリティ関係'!$F$4:$F$494,$B32,'VS×ケイパビリティ関係'!$G$4:$G$494,AO$5,'VS×ケイパビリティ関係'!$E$4:$E$494,"主")&gt;0,"●",IF(COUNTIFS('VS×ケイパビリティ関係'!$F$4:$F$494,$B32,'VS×ケイパビリティ関係'!$G$4:$G$494,AO$5,'VS×ケイパビリティ関係'!$E$4:$E$494,"支援")&gt;0,"○",""))</f>
        <v/>
      </c>
      <c r="AP32" s="22" t="str">
        <f>IF(COUNTIFS('VS×ケイパビリティ関係'!$F$4:$F$494,$B32,'VS×ケイパビリティ関係'!$G$4:$G$494,AP$5,'VS×ケイパビリティ関係'!$E$4:$E$494,"主")&gt;0,"●",IF(COUNTIFS('VS×ケイパビリティ関係'!$F$4:$F$494,$B32,'VS×ケイパビリティ関係'!$G$4:$G$494,AP$5,'VS×ケイパビリティ関係'!$E$4:$E$494,"支援")&gt;0,"○",""))</f>
        <v/>
      </c>
      <c r="AQ32" s="22" t="str">
        <f>IF(COUNTIFS('VS×ケイパビリティ関係'!$F$4:$F$494,$B32,'VS×ケイパビリティ関係'!$G$4:$G$494,AQ$5,'VS×ケイパビリティ関係'!$E$4:$E$494,"主")&gt;0,"●",IF(COUNTIFS('VS×ケイパビリティ関係'!$F$4:$F$494,$B32,'VS×ケイパビリティ関係'!$G$4:$G$494,AQ$5,'VS×ケイパビリティ関係'!$E$4:$E$494,"支援")&gt;0,"○",""))</f>
        <v/>
      </c>
      <c r="AR32" s="22" t="str">
        <f>IF(COUNTIFS('VS×ケイパビリティ関係'!$F$4:$F$494,$B32,'VS×ケイパビリティ関係'!$G$4:$G$494,AR$5,'VS×ケイパビリティ関係'!$E$4:$E$494,"主")&gt;0,"●",IF(COUNTIFS('VS×ケイパビリティ関係'!$F$4:$F$494,$B32,'VS×ケイパビリティ関係'!$G$4:$G$494,AR$5,'VS×ケイパビリティ関係'!$E$4:$E$494,"支援")&gt;0,"○",""))</f>
        <v>●</v>
      </c>
      <c r="AS32" s="22" t="str">
        <f>IF(COUNTIFS('VS×ケイパビリティ関係'!$F$4:$F$494,$B32,'VS×ケイパビリティ関係'!$G$4:$G$494,AS$5,'VS×ケイパビリティ関係'!$E$4:$E$494,"主")&gt;0,"●",IF(COUNTIFS('VS×ケイパビリティ関係'!$F$4:$F$494,$B32,'VS×ケイパビリティ関係'!$G$4:$G$494,AS$5,'VS×ケイパビリティ関係'!$E$4:$E$494,"支援")&gt;0,"○",""))</f>
        <v>●</v>
      </c>
      <c r="AT32" s="22" t="str">
        <f>IF(COUNTIFS('VS×ケイパビリティ関係'!$F$4:$F$494,$B32,'VS×ケイパビリティ関係'!$G$4:$G$494,AT$5,'VS×ケイパビリティ関係'!$E$4:$E$494,"主")&gt;0,"●",IF(COUNTIFS('VS×ケイパビリティ関係'!$F$4:$F$494,$B32,'VS×ケイパビリティ関係'!$G$4:$G$494,AT$5,'VS×ケイパビリティ関係'!$E$4:$E$494,"支援")&gt;0,"○",""))</f>
        <v>●</v>
      </c>
      <c r="AU32" s="22" t="str">
        <f>IF(COUNTIFS('VS×ケイパビリティ関係'!$F$4:$F$494,$B32,'VS×ケイパビリティ関係'!$G$4:$G$494,AU$5,'VS×ケイパビリティ関係'!$E$4:$E$494,"主")&gt;0,"●",IF(COUNTIFS('VS×ケイパビリティ関係'!$F$4:$F$494,$B32,'VS×ケイパビリティ関係'!$G$4:$G$494,AU$5,'VS×ケイパビリティ関係'!$E$4:$E$494,"支援")&gt;0,"○",""))</f>
        <v/>
      </c>
      <c r="AV32" s="22" t="str">
        <f>IF(COUNTIFS('VS×ケイパビリティ関係'!$F$4:$F$494,$B32,'VS×ケイパビリティ関係'!$G$4:$G$494,AV$5,'VS×ケイパビリティ関係'!$E$4:$E$494,"主")&gt;0,"●",IF(COUNTIFS('VS×ケイパビリティ関係'!$F$4:$F$494,$B32,'VS×ケイパビリティ関係'!$G$4:$G$494,AV$5,'VS×ケイパビリティ関係'!$E$4:$E$494,"支援")&gt;0,"○",""))</f>
        <v/>
      </c>
      <c r="AW32" s="22" t="str">
        <f>IF(COUNTIFS('VS×ケイパビリティ関係'!$F$4:$F$494,$B32,'VS×ケイパビリティ関係'!$G$4:$G$494,AW$5,'VS×ケイパビリティ関係'!$E$4:$E$494,"主")&gt;0,"●",IF(COUNTIFS('VS×ケイパビリティ関係'!$F$4:$F$494,$B32,'VS×ケイパビリティ関係'!$G$4:$G$494,AW$5,'VS×ケイパビリティ関係'!$E$4:$E$494,"支援")&gt;0,"○",""))</f>
        <v/>
      </c>
      <c r="AX32" s="22" t="str">
        <f>IF(COUNTIFS('VS×ケイパビリティ関係'!$F$4:$F$494,$B32,'VS×ケイパビリティ関係'!$G$4:$G$494,AX$5,'VS×ケイパビリティ関係'!$E$4:$E$494,"主")&gt;0,"●",IF(COUNTIFS('VS×ケイパビリティ関係'!$F$4:$F$494,$B32,'VS×ケイパビリティ関係'!$G$4:$G$494,AX$5,'VS×ケイパビリティ関係'!$E$4:$E$494,"支援")&gt;0,"○",""))</f>
        <v/>
      </c>
      <c r="AY32" s="22" t="str">
        <f>IF(COUNTIFS('VS×ケイパビリティ関係'!$F$4:$F$494,$B32,'VS×ケイパビリティ関係'!$G$4:$G$494,AY$5,'VS×ケイパビリティ関係'!$E$4:$E$494,"主")&gt;0,"●",IF(COUNTIFS('VS×ケイパビリティ関係'!$F$4:$F$494,$B32,'VS×ケイパビリティ関係'!$G$4:$G$494,AY$5,'VS×ケイパビリティ関係'!$E$4:$E$494,"支援")&gt;0,"○",""))</f>
        <v/>
      </c>
      <c r="AZ32" s="22" t="str">
        <f>IF(COUNTIFS('VS×ケイパビリティ関係'!$F$4:$F$494,$B32,'VS×ケイパビリティ関係'!$G$4:$G$494,AZ$5,'VS×ケイパビリティ関係'!$E$4:$E$494,"主")&gt;0,"●",IF(COUNTIFS('VS×ケイパビリティ関係'!$F$4:$F$494,$B32,'VS×ケイパビリティ関係'!$G$4:$G$494,AZ$5,'VS×ケイパビリティ関係'!$E$4:$E$494,"支援")&gt;0,"○",""))</f>
        <v/>
      </c>
      <c r="BA32" s="22" t="str">
        <f>IF(COUNTIFS('VS×ケイパビリティ関係'!$F$4:$F$494,$B32,'VS×ケイパビリティ関係'!$G$4:$G$494,BA$5,'VS×ケイパビリティ関係'!$E$4:$E$494,"主")&gt;0,"●",IF(COUNTIFS('VS×ケイパビリティ関係'!$F$4:$F$494,$B32,'VS×ケイパビリティ関係'!$G$4:$G$494,BA$5,'VS×ケイパビリティ関係'!$E$4:$E$494,"支援")&gt;0,"○",""))</f>
        <v/>
      </c>
      <c r="BB32" s="22" t="str">
        <f>IF(COUNTIFS('VS×ケイパビリティ関係'!$F$4:$F$494,$B32,'VS×ケイパビリティ関係'!$G$4:$G$494,BB$5,'VS×ケイパビリティ関係'!$E$4:$E$494,"主")&gt;0,"●",IF(COUNTIFS('VS×ケイパビリティ関係'!$F$4:$F$494,$B32,'VS×ケイパビリティ関係'!$G$4:$G$494,BB$5,'VS×ケイパビリティ関係'!$E$4:$E$494,"支援")&gt;0,"○",""))</f>
        <v>○</v>
      </c>
      <c r="BC32" s="22" t="str">
        <f>IF(COUNTIFS('VS×ケイパビリティ関係'!$F$4:$F$494,$B32,'VS×ケイパビリティ関係'!$G$4:$G$494,BC$5,'VS×ケイパビリティ関係'!$E$4:$E$494,"主")&gt;0,"●",IF(COUNTIFS('VS×ケイパビリティ関係'!$F$4:$F$494,$B32,'VS×ケイパビリティ関係'!$G$4:$G$494,BC$5,'VS×ケイパビリティ関係'!$E$4:$E$494,"支援")&gt;0,"○",""))</f>
        <v/>
      </c>
      <c r="BD32" s="22" t="str">
        <f>IF(COUNTIFS('VS×ケイパビリティ関係'!$F$4:$F$494,$B32,'VS×ケイパビリティ関係'!$G$4:$G$494,BD$5,'VS×ケイパビリティ関係'!$E$4:$E$494,"主")&gt;0,"●",IF(COUNTIFS('VS×ケイパビリティ関係'!$F$4:$F$494,$B32,'VS×ケイパビリティ関係'!$G$4:$G$494,BD$5,'VS×ケイパビリティ関係'!$E$4:$E$494,"支援")&gt;0,"○",""))</f>
        <v/>
      </c>
      <c r="BE32" s="22">
        <f t="shared" si="1"/>
        <v>3</v>
      </c>
      <c r="BF32" s="22">
        <f t="shared" si="2"/>
        <v>2</v>
      </c>
    </row>
    <row r="33" ht="15.0" customHeight="1">
      <c r="A33" s="42"/>
      <c r="B33" s="22" t="s">
        <v>1926</v>
      </c>
      <c r="C33" s="25" t="s">
        <v>1929</v>
      </c>
      <c r="D33" s="22" t="str">
        <f>IF(COUNTIFS('VS×ケイパビリティ関係'!$F$4:$F$494,$B33,'VS×ケイパビリティ関係'!$G$4:$G$494,D$5,'VS×ケイパビリティ関係'!$E$4:$E$494,"主")&gt;0,"●",IF(COUNTIFS('VS×ケイパビリティ関係'!$F$4:$F$494,$B33,'VS×ケイパビリティ関係'!$G$4:$G$494,D$5,'VS×ケイパビリティ関係'!$E$4:$E$494,"支援")&gt;0,"○",""))</f>
        <v/>
      </c>
      <c r="E33" s="22" t="str">
        <f>IF(COUNTIFS('VS×ケイパビリティ関係'!$F$4:$F$494,$B33,'VS×ケイパビリティ関係'!$G$4:$G$494,E$5,'VS×ケイパビリティ関係'!$E$4:$E$494,"主")&gt;0,"●",IF(COUNTIFS('VS×ケイパビリティ関係'!$F$4:$F$494,$B33,'VS×ケイパビリティ関係'!$G$4:$G$494,E$5,'VS×ケイパビリティ関係'!$E$4:$E$494,"支援")&gt;0,"○",""))</f>
        <v/>
      </c>
      <c r="F33" s="22" t="str">
        <f>IF(COUNTIFS('VS×ケイパビリティ関係'!$F$4:$F$494,$B33,'VS×ケイパビリティ関係'!$G$4:$G$494,F$5,'VS×ケイパビリティ関係'!$E$4:$E$494,"主")&gt;0,"●",IF(COUNTIFS('VS×ケイパビリティ関係'!$F$4:$F$494,$B33,'VS×ケイパビリティ関係'!$G$4:$G$494,F$5,'VS×ケイパビリティ関係'!$E$4:$E$494,"支援")&gt;0,"○",""))</f>
        <v/>
      </c>
      <c r="G33" s="22" t="str">
        <f>IF(COUNTIFS('VS×ケイパビリティ関係'!$F$4:$F$494,$B33,'VS×ケイパビリティ関係'!$G$4:$G$494,G$5,'VS×ケイパビリティ関係'!$E$4:$E$494,"主")&gt;0,"●",IF(COUNTIFS('VS×ケイパビリティ関係'!$F$4:$F$494,$B33,'VS×ケイパビリティ関係'!$G$4:$G$494,G$5,'VS×ケイパビリティ関係'!$E$4:$E$494,"支援")&gt;0,"○",""))</f>
        <v/>
      </c>
      <c r="H33" s="22" t="str">
        <f>IF(COUNTIFS('VS×ケイパビリティ関係'!$F$4:$F$494,$B33,'VS×ケイパビリティ関係'!$G$4:$G$494,H$5,'VS×ケイパビリティ関係'!$E$4:$E$494,"主")&gt;0,"●",IF(COUNTIFS('VS×ケイパビリティ関係'!$F$4:$F$494,$B33,'VS×ケイパビリティ関係'!$G$4:$G$494,H$5,'VS×ケイパビリティ関係'!$E$4:$E$494,"支援")&gt;0,"○",""))</f>
        <v/>
      </c>
      <c r="I33" s="22" t="str">
        <f>IF(COUNTIFS('VS×ケイパビリティ関係'!$F$4:$F$494,$B33,'VS×ケイパビリティ関係'!$G$4:$G$494,I$5,'VS×ケイパビリティ関係'!$E$4:$E$494,"主")&gt;0,"●",IF(COUNTIFS('VS×ケイパビリティ関係'!$F$4:$F$494,$B33,'VS×ケイパビリティ関係'!$G$4:$G$494,I$5,'VS×ケイパビリティ関係'!$E$4:$E$494,"支援")&gt;0,"○",""))</f>
        <v/>
      </c>
      <c r="J33" s="22" t="str">
        <f>IF(COUNTIFS('VS×ケイパビリティ関係'!$F$4:$F$494,$B33,'VS×ケイパビリティ関係'!$G$4:$G$494,J$5,'VS×ケイパビリティ関係'!$E$4:$E$494,"主")&gt;0,"●",IF(COUNTIFS('VS×ケイパビリティ関係'!$F$4:$F$494,$B33,'VS×ケイパビリティ関係'!$G$4:$G$494,J$5,'VS×ケイパビリティ関係'!$E$4:$E$494,"支援")&gt;0,"○",""))</f>
        <v/>
      </c>
      <c r="K33" s="22" t="str">
        <f>IF(COUNTIFS('VS×ケイパビリティ関係'!$F$4:$F$494,$B33,'VS×ケイパビリティ関係'!$G$4:$G$494,K$5,'VS×ケイパビリティ関係'!$E$4:$E$494,"主")&gt;0,"●",IF(COUNTIFS('VS×ケイパビリティ関係'!$F$4:$F$494,$B33,'VS×ケイパビリティ関係'!$G$4:$G$494,K$5,'VS×ケイパビリティ関係'!$E$4:$E$494,"支援")&gt;0,"○",""))</f>
        <v/>
      </c>
      <c r="L33" s="22" t="str">
        <f>IF(COUNTIFS('VS×ケイパビリティ関係'!$F$4:$F$494,$B33,'VS×ケイパビリティ関係'!$G$4:$G$494,L$5,'VS×ケイパビリティ関係'!$E$4:$E$494,"主")&gt;0,"●",IF(COUNTIFS('VS×ケイパビリティ関係'!$F$4:$F$494,$B33,'VS×ケイパビリティ関係'!$G$4:$G$494,L$5,'VS×ケイパビリティ関係'!$E$4:$E$494,"支援")&gt;0,"○",""))</f>
        <v/>
      </c>
      <c r="M33" s="22" t="str">
        <f>IF(COUNTIFS('VS×ケイパビリティ関係'!$F$4:$F$494,$B33,'VS×ケイパビリティ関係'!$G$4:$G$494,M$5,'VS×ケイパビリティ関係'!$E$4:$E$494,"主")&gt;0,"●",IF(COUNTIFS('VS×ケイパビリティ関係'!$F$4:$F$494,$B33,'VS×ケイパビリティ関係'!$G$4:$G$494,M$5,'VS×ケイパビリティ関係'!$E$4:$E$494,"支援")&gt;0,"○",""))</f>
        <v/>
      </c>
      <c r="N33" s="22" t="str">
        <f>IF(COUNTIFS('VS×ケイパビリティ関係'!$F$4:$F$494,$B33,'VS×ケイパビリティ関係'!$G$4:$G$494,N$5,'VS×ケイパビリティ関係'!$E$4:$E$494,"主")&gt;0,"●",IF(COUNTIFS('VS×ケイパビリティ関係'!$F$4:$F$494,$B33,'VS×ケイパビリティ関係'!$G$4:$G$494,N$5,'VS×ケイパビリティ関係'!$E$4:$E$494,"支援")&gt;0,"○",""))</f>
        <v/>
      </c>
      <c r="O33" s="22" t="str">
        <f>IF(COUNTIFS('VS×ケイパビリティ関係'!$F$4:$F$494,$B33,'VS×ケイパビリティ関係'!$G$4:$G$494,O$5,'VS×ケイパビリティ関係'!$E$4:$E$494,"主")&gt;0,"●",IF(COUNTIFS('VS×ケイパビリティ関係'!$F$4:$F$494,$B33,'VS×ケイパビリティ関係'!$G$4:$G$494,O$5,'VS×ケイパビリティ関係'!$E$4:$E$494,"支援")&gt;0,"○",""))</f>
        <v/>
      </c>
      <c r="P33" s="22" t="str">
        <f>IF(COUNTIFS('VS×ケイパビリティ関係'!$F$4:$F$494,$B33,'VS×ケイパビリティ関係'!$G$4:$G$494,P$5,'VS×ケイパビリティ関係'!$E$4:$E$494,"主")&gt;0,"●",IF(COUNTIFS('VS×ケイパビリティ関係'!$F$4:$F$494,$B33,'VS×ケイパビリティ関係'!$G$4:$G$494,P$5,'VS×ケイパビリティ関係'!$E$4:$E$494,"支援")&gt;0,"○",""))</f>
        <v/>
      </c>
      <c r="Q33" s="22" t="str">
        <f>IF(COUNTIFS('VS×ケイパビリティ関係'!$F$4:$F$494,$B33,'VS×ケイパビリティ関係'!$G$4:$G$494,Q$5,'VS×ケイパビリティ関係'!$E$4:$E$494,"主")&gt;0,"●",IF(COUNTIFS('VS×ケイパビリティ関係'!$F$4:$F$494,$B33,'VS×ケイパビリティ関係'!$G$4:$G$494,Q$5,'VS×ケイパビリティ関係'!$E$4:$E$494,"支援")&gt;0,"○",""))</f>
        <v/>
      </c>
      <c r="R33" s="22" t="str">
        <f>IF(COUNTIFS('VS×ケイパビリティ関係'!$F$4:$F$494,$B33,'VS×ケイパビリティ関係'!$G$4:$G$494,R$5,'VS×ケイパビリティ関係'!$E$4:$E$494,"主")&gt;0,"●",IF(COUNTIFS('VS×ケイパビリティ関係'!$F$4:$F$494,$B33,'VS×ケイパビリティ関係'!$G$4:$G$494,R$5,'VS×ケイパビリティ関係'!$E$4:$E$494,"支援")&gt;0,"○",""))</f>
        <v/>
      </c>
      <c r="S33" s="22" t="str">
        <f>IF(COUNTIFS('VS×ケイパビリティ関係'!$F$4:$F$494,$B33,'VS×ケイパビリティ関係'!$G$4:$G$494,S$5,'VS×ケイパビリティ関係'!$E$4:$E$494,"主")&gt;0,"●",IF(COUNTIFS('VS×ケイパビリティ関係'!$F$4:$F$494,$B33,'VS×ケイパビリティ関係'!$G$4:$G$494,S$5,'VS×ケイパビリティ関係'!$E$4:$E$494,"支援")&gt;0,"○",""))</f>
        <v/>
      </c>
      <c r="T33" s="22" t="str">
        <f>IF(COUNTIFS('VS×ケイパビリティ関係'!$F$4:$F$494,$B33,'VS×ケイパビリティ関係'!$G$4:$G$494,T$5,'VS×ケイパビリティ関係'!$E$4:$E$494,"主")&gt;0,"●",IF(COUNTIFS('VS×ケイパビリティ関係'!$F$4:$F$494,$B33,'VS×ケイパビリティ関係'!$G$4:$G$494,T$5,'VS×ケイパビリティ関係'!$E$4:$E$494,"支援")&gt;0,"○",""))</f>
        <v/>
      </c>
      <c r="U33" s="22" t="str">
        <f>IF(COUNTIFS('VS×ケイパビリティ関係'!$F$4:$F$494,$B33,'VS×ケイパビリティ関係'!$G$4:$G$494,U$5,'VS×ケイパビリティ関係'!$E$4:$E$494,"主")&gt;0,"●",IF(COUNTIFS('VS×ケイパビリティ関係'!$F$4:$F$494,$B33,'VS×ケイパビリティ関係'!$G$4:$G$494,U$5,'VS×ケイパビリティ関係'!$E$4:$E$494,"支援")&gt;0,"○",""))</f>
        <v/>
      </c>
      <c r="V33" s="22" t="str">
        <f>IF(COUNTIFS('VS×ケイパビリティ関係'!$F$4:$F$494,$B33,'VS×ケイパビリティ関係'!$G$4:$G$494,V$5,'VS×ケイパビリティ関係'!$E$4:$E$494,"主")&gt;0,"●",IF(COUNTIFS('VS×ケイパビリティ関係'!$F$4:$F$494,$B33,'VS×ケイパビリティ関係'!$G$4:$G$494,V$5,'VS×ケイパビリティ関係'!$E$4:$E$494,"支援")&gt;0,"○",""))</f>
        <v/>
      </c>
      <c r="W33" s="22" t="str">
        <f>IF(COUNTIFS('VS×ケイパビリティ関係'!$F$4:$F$494,$B33,'VS×ケイパビリティ関係'!$G$4:$G$494,W$5,'VS×ケイパビリティ関係'!$E$4:$E$494,"主")&gt;0,"●",IF(COUNTIFS('VS×ケイパビリティ関係'!$F$4:$F$494,$B33,'VS×ケイパビリティ関係'!$G$4:$G$494,W$5,'VS×ケイパビリティ関係'!$E$4:$E$494,"支援")&gt;0,"○",""))</f>
        <v/>
      </c>
      <c r="X33" s="22" t="str">
        <f>IF(COUNTIFS('VS×ケイパビリティ関係'!$F$4:$F$494,$B33,'VS×ケイパビリティ関係'!$G$4:$G$494,X$5,'VS×ケイパビリティ関係'!$E$4:$E$494,"主")&gt;0,"●",IF(COUNTIFS('VS×ケイパビリティ関係'!$F$4:$F$494,$B33,'VS×ケイパビリティ関係'!$G$4:$G$494,X$5,'VS×ケイパビリティ関係'!$E$4:$E$494,"支援")&gt;0,"○",""))</f>
        <v/>
      </c>
      <c r="Y33" s="22" t="str">
        <f>IF(COUNTIFS('VS×ケイパビリティ関係'!$F$4:$F$494,$B33,'VS×ケイパビリティ関係'!$G$4:$G$494,Y$5,'VS×ケイパビリティ関係'!$E$4:$E$494,"主")&gt;0,"●",IF(COUNTIFS('VS×ケイパビリティ関係'!$F$4:$F$494,$B33,'VS×ケイパビリティ関係'!$G$4:$G$494,Y$5,'VS×ケイパビリティ関係'!$E$4:$E$494,"支援")&gt;0,"○",""))</f>
        <v/>
      </c>
      <c r="Z33" s="22" t="str">
        <f>IF(COUNTIFS('VS×ケイパビリティ関係'!$F$4:$F$494,$B33,'VS×ケイパビリティ関係'!$G$4:$G$494,Z$5,'VS×ケイパビリティ関係'!$E$4:$E$494,"主")&gt;0,"●",IF(COUNTIFS('VS×ケイパビリティ関係'!$F$4:$F$494,$B33,'VS×ケイパビリティ関係'!$G$4:$G$494,Z$5,'VS×ケイパビリティ関係'!$E$4:$E$494,"支援")&gt;0,"○",""))</f>
        <v/>
      </c>
      <c r="AA33" s="22" t="str">
        <f>IF(COUNTIFS('VS×ケイパビリティ関係'!$F$4:$F$494,$B33,'VS×ケイパビリティ関係'!$G$4:$G$494,AA$5,'VS×ケイパビリティ関係'!$E$4:$E$494,"主")&gt;0,"●",IF(COUNTIFS('VS×ケイパビリティ関係'!$F$4:$F$494,$B33,'VS×ケイパビリティ関係'!$G$4:$G$494,AA$5,'VS×ケイパビリティ関係'!$E$4:$E$494,"支援")&gt;0,"○",""))</f>
        <v/>
      </c>
      <c r="AB33" s="22" t="str">
        <f>IF(COUNTIFS('VS×ケイパビリティ関係'!$F$4:$F$494,$B33,'VS×ケイパビリティ関係'!$G$4:$G$494,AB$5,'VS×ケイパビリティ関係'!$E$4:$E$494,"主")&gt;0,"●",IF(COUNTIFS('VS×ケイパビリティ関係'!$F$4:$F$494,$B33,'VS×ケイパビリティ関係'!$G$4:$G$494,AB$5,'VS×ケイパビリティ関係'!$E$4:$E$494,"支援")&gt;0,"○",""))</f>
        <v/>
      </c>
      <c r="AC33" s="22" t="str">
        <f>IF(COUNTIFS('VS×ケイパビリティ関係'!$F$4:$F$494,$B33,'VS×ケイパビリティ関係'!$G$4:$G$494,AC$5,'VS×ケイパビリティ関係'!$E$4:$E$494,"主")&gt;0,"●",IF(COUNTIFS('VS×ケイパビリティ関係'!$F$4:$F$494,$B33,'VS×ケイパビリティ関係'!$G$4:$G$494,AC$5,'VS×ケイパビリティ関係'!$E$4:$E$494,"支援")&gt;0,"○",""))</f>
        <v/>
      </c>
      <c r="AD33" s="22" t="str">
        <f>IF(COUNTIFS('VS×ケイパビリティ関係'!$F$4:$F$494,$B33,'VS×ケイパビリティ関係'!$G$4:$G$494,AD$5,'VS×ケイパビリティ関係'!$E$4:$E$494,"主")&gt;0,"●",IF(COUNTIFS('VS×ケイパビリティ関係'!$F$4:$F$494,$B33,'VS×ケイパビリティ関係'!$G$4:$G$494,AD$5,'VS×ケイパビリティ関係'!$E$4:$E$494,"支援")&gt;0,"○",""))</f>
        <v/>
      </c>
      <c r="AE33" s="22" t="str">
        <f>IF(COUNTIFS('VS×ケイパビリティ関係'!$F$4:$F$494,$B33,'VS×ケイパビリティ関係'!$G$4:$G$494,AE$5,'VS×ケイパビリティ関係'!$E$4:$E$494,"主")&gt;0,"●",IF(COUNTIFS('VS×ケイパビリティ関係'!$F$4:$F$494,$B33,'VS×ケイパビリティ関係'!$G$4:$G$494,AE$5,'VS×ケイパビリティ関係'!$E$4:$E$494,"支援")&gt;0,"○",""))</f>
        <v/>
      </c>
      <c r="AF33" s="22" t="str">
        <f>IF(COUNTIFS('VS×ケイパビリティ関係'!$F$4:$F$494,$B33,'VS×ケイパビリティ関係'!$G$4:$G$494,AF$5,'VS×ケイパビリティ関係'!$E$4:$E$494,"主")&gt;0,"●",IF(COUNTIFS('VS×ケイパビリティ関係'!$F$4:$F$494,$B33,'VS×ケイパビリティ関係'!$G$4:$G$494,AF$5,'VS×ケイパビリティ関係'!$E$4:$E$494,"支援")&gt;0,"○",""))</f>
        <v/>
      </c>
      <c r="AG33" s="22" t="str">
        <f>IF(COUNTIFS('VS×ケイパビリティ関係'!$F$4:$F$494,$B33,'VS×ケイパビリティ関係'!$G$4:$G$494,AG$5,'VS×ケイパビリティ関係'!$E$4:$E$494,"主")&gt;0,"●",IF(COUNTIFS('VS×ケイパビリティ関係'!$F$4:$F$494,$B33,'VS×ケイパビリティ関係'!$G$4:$G$494,AG$5,'VS×ケイパビリティ関係'!$E$4:$E$494,"支援")&gt;0,"○",""))</f>
        <v/>
      </c>
      <c r="AH33" s="22" t="str">
        <f>IF(COUNTIFS('VS×ケイパビリティ関係'!$F$4:$F$494,$B33,'VS×ケイパビリティ関係'!$G$4:$G$494,AH$5,'VS×ケイパビリティ関係'!$E$4:$E$494,"主")&gt;0,"●",IF(COUNTIFS('VS×ケイパビリティ関係'!$F$4:$F$494,$B33,'VS×ケイパビリティ関係'!$G$4:$G$494,AH$5,'VS×ケイパビリティ関係'!$E$4:$E$494,"支援")&gt;0,"○",""))</f>
        <v/>
      </c>
      <c r="AI33" s="22" t="str">
        <f>IF(COUNTIFS('VS×ケイパビリティ関係'!$F$4:$F$494,$B33,'VS×ケイパビリティ関係'!$G$4:$G$494,AI$5,'VS×ケイパビリティ関係'!$E$4:$E$494,"主")&gt;0,"●",IF(COUNTIFS('VS×ケイパビリティ関係'!$F$4:$F$494,$B33,'VS×ケイパビリティ関係'!$G$4:$G$494,AI$5,'VS×ケイパビリティ関係'!$E$4:$E$494,"支援")&gt;0,"○",""))</f>
        <v/>
      </c>
      <c r="AJ33" s="22" t="str">
        <f>IF(COUNTIFS('VS×ケイパビリティ関係'!$F$4:$F$494,$B33,'VS×ケイパビリティ関係'!$G$4:$G$494,AJ$5,'VS×ケイパビリティ関係'!$E$4:$E$494,"主")&gt;0,"●",IF(COUNTIFS('VS×ケイパビリティ関係'!$F$4:$F$494,$B33,'VS×ケイパビリティ関係'!$G$4:$G$494,AJ$5,'VS×ケイパビリティ関係'!$E$4:$E$494,"支援")&gt;0,"○",""))</f>
        <v>○</v>
      </c>
      <c r="AK33" s="22" t="str">
        <f>IF(COUNTIFS('VS×ケイパビリティ関係'!$F$4:$F$494,$B33,'VS×ケイパビリティ関係'!$G$4:$G$494,AK$5,'VS×ケイパビリティ関係'!$E$4:$E$494,"主")&gt;0,"●",IF(COUNTIFS('VS×ケイパビリティ関係'!$F$4:$F$494,$B33,'VS×ケイパビリティ関係'!$G$4:$G$494,AK$5,'VS×ケイパビリティ関係'!$E$4:$E$494,"支援")&gt;0,"○",""))</f>
        <v/>
      </c>
      <c r="AL33" s="22" t="str">
        <f>IF(COUNTIFS('VS×ケイパビリティ関係'!$F$4:$F$494,$B33,'VS×ケイパビリティ関係'!$G$4:$G$494,AL$5,'VS×ケイパビリティ関係'!$E$4:$E$494,"主")&gt;0,"●",IF(COUNTIFS('VS×ケイパビリティ関係'!$F$4:$F$494,$B33,'VS×ケイパビリティ関係'!$G$4:$G$494,AL$5,'VS×ケイパビリティ関係'!$E$4:$E$494,"支援")&gt;0,"○",""))</f>
        <v/>
      </c>
      <c r="AM33" s="22" t="str">
        <f>IF(COUNTIFS('VS×ケイパビリティ関係'!$F$4:$F$494,$B33,'VS×ケイパビリティ関係'!$G$4:$G$494,AM$5,'VS×ケイパビリティ関係'!$E$4:$E$494,"主")&gt;0,"●",IF(COUNTIFS('VS×ケイパビリティ関係'!$F$4:$F$494,$B33,'VS×ケイパビリティ関係'!$G$4:$G$494,AM$5,'VS×ケイパビリティ関係'!$E$4:$E$494,"支援")&gt;0,"○",""))</f>
        <v/>
      </c>
      <c r="AN33" s="22" t="str">
        <f>IF(COUNTIFS('VS×ケイパビリティ関係'!$F$4:$F$494,$B33,'VS×ケイパビリティ関係'!$G$4:$G$494,AN$5,'VS×ケイパビリティ関係'!$E$4:$E$494,"主")&gt;0,"●",IF(COUNTIFS('VS×ケイパビリティ関係'!$F$4:$F$494,$B33,'VS×ケイパビリティ関係'!$G$4:$G$494,AN$5,'VS×ケイパビリティ関係'!$E$4:$E$494,"支援")&gt;0,"○",""))</f>
        <v/>
      </c>
      <c r="AO33" s="22" t="str">
        <f>IF(COUNTIFS('VS×ケイパビリティ関係'!$F$4:$F$494,$B33,'VS×ケイパビリティ関係'!$G$4:$G$494,AO$5,'VS×ケイパビリティ関係'!$E$4:$E$494,"主")&gt;0,"●",IF(COUNTIFS('VS×ケイパビリティ関係'!$F$4:$F$494,$B33,'VS×ケイパビリティ関係'!$G$4:$G$494,AO$5,'VS×ケイパビリティ関係'!$E$4:$E$494,"支援")&gt;0,"○",""))</f>
        <v/>
      </c>
      <c r="AP33" s="22" t="str">
        <f>IF(COUNTIFS('VS×ケイパビリティ関係'!$F$4:$F$494,$B33,'VS×ケイパビリティ関係'!$G$4:$G$494,AP$5,'VS×ケイパビリティ関係'!$E$4:$E$494,"主")&gt;0,"●",IF(COUNTIFS('VS×ケイパビリティ関係'!$F$4:$F$494,$B33,'VS×ケイパビリティ関係'!$G$4:$G$494,AP$5,'VS×ケイパビリティ関係'!$E$4:$E$494,"支援")&gt;0,"○",""))</f>
        <v>○</v>
      </c>
      <c r="AQ33" s="22" t="str">
        <f>IF(COUNTIFS('VS×ケイパビリティ関係'!$F$4:$F$494,$B33,'VS×ケイパビリティ関係'!$G$4:$G$494,AQ$5,'VS×ケイパビリティ関係'!$E$4:$E$494,"主")&gt;0,"●",IF(COUNTIFS('VS×ケイパビリティ関係'!$F$4:$F$494,$B33,'VS×ケイパビリティ関係'!$G$4:$G$494,AQ$5,'VS×ケイパビリティ関係'!$E$4:$E$494,"支援")&gt;0,"○",""))</f>
        <v>●</v>
      </c>
      <c r="AR33" s="22" t="str">
        <f>IF(COUNTIFS('VS×ケイパビリティ関係'!$F$4:$F$494,$B33,'VS×ケイパビリティ関係'!$G$4:$G$494,AR$5,'VS×ケイパビリティ関係'!$E$4:$E$494,"主")&gt;0,"●",IF(COUNTIFS('VS×ケイパビリティ関係'!$F$4:$F$494,$B33,'VS×ケイパビリティ関係'!$G$4:$G$494,AR$5,'VS×ケイパビリティ関係'!$E$4:$E$494,"支援")&gt;0,"○",""))</f>
        <v/>
      </c>
      <c r="AS33" s="22" t="str">
        <f>IF(COUNTIFS('VS×ケイパビリティ関係'!$F$4:$F$494,$B33,'VS×ケイパビリティ関係'!$G$4:$G$494,AS$5,'VS×ケイパビリティ関係'!$E$4:$E$494,"主")&gt;0,"●",IF(COUNTIFS('VS×ケイパビリティ関係'!$F$4:$F$494,$B33,'VS×ケイパビリティ関係'!$G$4:$G$494,AS$5,'VS×ケイパビリティ関係'!$E$4:$E$494,"支援")&gt;0,"○",""))</f>
        <v/>
      </c>
      <c r="AT33" s="22" t="str">
        <f>IF(COUNTIFS('VS×ケイパビリティ関係'!$F$4:$F$494,$B33,'VS×ケイパビリティ関係'!$G$4:$G$494,AT$5,'VS×ケイパビリティ関係'!$E$4:$E$494,"主")&gt;0,"●",IF(COUNTIFS('VS×ケイパビリティ関係'!$F$4:$F$494,$B33,'VS×ケイパビリティ関係'!$G$4:$G$494,AT$5,'VS×ケイパビリティ関係'!$E$4:$E$494,"支援")&gt;0,"○",""))</f>
        <v/>
      </c>
      <c r="AU33" s="22" t="str">
        <f>IF(COUNTIFS('VS×ケイパビリティ関係'!$F$4:$F$494,$B33,'VS×ケイパビリティ関係'!$G$4:$G$494,AU$5,'VS×ケイパビリティ関係'!$E$4:$E$494,"主")&gt;0,"●",IF(COUNTIFS('VS×ケイパビリティ関係'!$F$4:$F$494,$B33,'VS×ケイパビリティ関係'!$G$4:$G$494,AU$5,'VS×ケイパビリティ関係'!$E$4:$E$494,"支援")&gt;0,"○",""))</f>
        <v>●</v>
      </c>
      <c r="AV33" s="22" t="str">
        <f>IF(COUNTIFS('VS×ケイパビリティ関係'!$F$4:$F$494,$B33,'VS×ケイパビリティ関係'!$G$4:$G$494,AV$5,'VS×ケイパビリティ関係'!$E$4:$E$494,"主")&gt;0,"●",IF(COUNTIFS('VS×ケイパビリティ関係'!$F$4:$F$494,$B33,'VS×ケイパビリティ関係'!$G$4:$G$494,AV$5,'VS×ケイパビリティ関係'!$E$4:$E$494,"支援")&gt;0,"○",""))</f>
        <v>●</v>
      </c>
      <c r="AW33" s="22" t="str">
        <f>IF(COUNTIFS('VS×ケイパビリティ関係'!$F$4:$F$494,$B33,'VS×ケイパビリティ関係'!$G$4:$G$494,AW$5,'VS×ケイパビリティ関係'!$E$4:$E$494,"主")&gt;0,"●",IF(COUNTIFS('VS×ケイパビリティ関係'!$F$4:$F$494,$B33,'VS×ケイパビリティ関係'!$G$4:$G$494,AW$5,'VS×ケイパビリティ関係'!$E$4:$E$494,"支援")&gt;0,"○",""))</f>
        <v>●</v>
      </c>
      <c r="AX33" s="22" t="str">
        <f>IF(COUNTIFS('VS×ケイパビリティ関係'!$F$4:$F$494,$B33,'VS×ケイパビリティ関係'!$G$4:$G$494,AX$5,'VS×ケイパビリティ関係'!$E$4:$E$494,"主")&gt;0,"●",IF(COUNTIFS('VS×ケイパビリティ関係'!$F$4:$F$494,$B33,'VS×ケイパビリティ関係'!$G$4:$G$494,AX$5,'VS×ケイパビリティ関係'!$E$4:$E$494,"支援")&gt;0,"○",""))</f>
        <v>●</v>
      </c>
      <c r="AY33" s="22" t="str">
        <f>IF(COUNTIFS('VS×ケイパビリティ関係'!$F$4:$F$494,$B33,'VS×ケイパビリティ関係'!$G$4:$G$494,AY$5,'VS×ケイパビリティ関係'!$E$4:$E$494,"主")&gt;0,"●",IF(COUNTIFS('VS×ケイパビリティ関係'!$F$4:$F$494,$B33,'VS×ケイパビリティ関係'!$G$4:$G$494,AY$5,'VS×ケイパビリティ関係'!$E$4:$E$494,"支援")&gt;0,"○",""))</f>
        <v/>
      </c>
      <c r="AZ33" s="22" t="str">
        <f>IF(COUNTIFS('VS×ケイパビリティ関係'!$F$4:$F$494,$B33,'VS×ケイパビリティ関係'!$G$4:$G$494,AZ$5,'VS×ケイパビリティ関係'!$E$4:$E$494,"主")&gt;0,"●",IF(COUNTIFS('VS×ケイパビリティ関係'!$F$4:$F$494,$B33,'VS×ケイパビリティ関係'!$G$4:$G$494,AZ$5,'VS×ケイパビリティ関係'!$E$4:$E$494,"支援")&gt;0,"○",""))</f>
        <v/>
      </c>
      <c r="BA33" s="22" t="str">
        <f>IF(COUNTIFS('VS×ケイパビリティ関係'!$F$4:$F$494,$B33,'VS×ケイパビリティ関係'!$G$4:$G$494,BA$5,'VS×ケイパビリティ関係'!$E$4:$E$494,"主")&gt;0,"●",IF(COUNTIFS('VS×ケイパビリティ関係'!$F$4:$F$494,$B33,'VS×ケイパビリティ関係'!$G$4:$G$494,BA$5,'VS×ケイパビリティ関係'!$E$4:$E$494,"支援")&gt;0,"○",""))</f>
        <v/>
      </c>
      <c r="BB33" s="22" t="str">
        <f>IF(COUNTIFS('VS×ケイパビリティ関係'!$F$4:$F$494,$B33,'VS×ケイパビリティ関係'!$G$4:$G$494,BB$5,'VS×ケイパビリティ関係'!$E$4:$E$494,"主")&gt;0,"●",IF(COUNTIFS('VS×ケイパビリティ関係'!$F$4:$F$494,$B33,'VS×ケイパビリティ関係'!$G$4:$G$494,BB$5,'VS×ケイパビリティ関係'!$E$4:$E$494,"支援")&gt;0,"○",""))</f>
        <v/>
      </c>
      <c r="BC33" s="22" t="str">
        <f>IF(COUNTIFS('VS×ケイパビリティ関係'!$F$4:$F$494,$B33,'VS×ケイパビリティ関係'!$G$4:$G$494,BC$5,'VS×ケイパビリティ関係'!$E$4:$E$494,"主")&gt;0,"●",IF(COUNTIFS('VS×ケイパビリティ関係'!$F$4:$F$494,$B33,'VS×ケイパビリティ関係'!$G$4:$G$494,BC$5,'VS×ケイパビリティ関係'!$E$4:$E$494,"支援")&gt;0,"○",""))</f>
        <v/>
      </c>
      <c r="BD33" s="22" t="str">
        <f>IF(COUNTIFS('VS×ケイパビリティ関係'!$F$4:$F$494,$B33,'VS×ケイパビリティ関係'!$G$4:$G$494,BD$5,'VS×ケイパビリティ関係'!$E$4:$E$494,"主")&gt;0,"●",IF(COUNTIFS('VS×ケイパビリティ関係'!$F$4:$F$494,$B33,'VS×ケイパビリティ関係'!$G$4:$G$494,BD$5,'VS×ケイパビリティ関係'!$E$4:$E$494,"支援")&gt;0,"○",""))</f>
        <v/>
      </c>
      <c r="BE33" s="22">
        <f t="shared" si="1"/>
        <v>5</v>
      </c>
      <c r="BF33" s="22">
        <f t="shared" si="2"/>
        <v>2</v>
      </c>
    </row>
    <row r="34" ht="26.25" customHeight="1">
      <c r="A34" s="42" t="s">
        <v>3038</v>
      </c>
      <c r="B34" s="22" t="s">
        <v>1986</v>
      </c>
      <c r="C34" s="25" t="s">
        <v>1987</v>
      </c>
      <c r="D34" s="22" t="str">
        <f>IF(COUNTIFS('VS×ケイパビリティ関係'!$F$4:$F$494,$B34,'VS×ケイパビリティ関係'!$G$4:$G$494,D$5,'VS×ケイパビリティ関係'!$E$4:$E$494,"主")&gt;0,"●",IF(COUNTIFS('VS×ケイパビリティ関係'!$F$4:$F$494,$B34,'VS×ケイパビリティ関係'!$G$4:$G$494,D$5,'VS×ケイパビリティ関係'!$E$4:$E$494,"支援")&gt;0,"○",""))</f>
        <v/>
      </c>
      <c r="E34" s="22" t="str">
        <f>IF(COUNTIFS('VS×ケイパビリティ関係'!$F$4:$F$494,$B34,'VS×ケイパビリティ関係'!$G$4:$G$494,E$5,'VS×ケイパビリティ関係'!$E$4:$E$494,"主")&gt;0,"●",IF(COUNTIFS('VS×ケイパビリティ関係'!$F$4:$F$494,$B34,'VS×ケイパビリティ関係'!$G$4:$G$494,E$5,'VS×ケイパビリティ関係'!$E$4:$E$494,"支援")&gt;0,"○",""))</f>
        <v/>
      </c>
      <c r="F34" s="22" t="str">
        <f>IF(COUNTIFS('VS×ケイパビリティ関係'!$F$4:$F$494,$B34,'VS×ケイパビリティ関係'!$G$4:$G$494,F$5,'VS×ケイパビリティ関係'!$E$4:$E$494,"主")&gt;0,"●",IF(COUNTIFS('VS×ケイパビリティ関係'!$F$4:$F$494,$B34,'VS×ケイパビリティ関係'!$G$4:$G$494,F$5,'VS×ケイパビリティ関係'!$E$4:$E$494,"支援")&gt;0,"○",""))</f>
        <v/>
      </c>
      <c r="G34" s="22" t="str">
        <f>IF(COUNTIFS('VS×ケイパビリティ関係'!$F$4:$F$494,$B34,'VS×ケイパビリティ関係'!$G$4:$G$494,G$5,'VS×ケイパビリティ関係'!$E$4:$E$494,"主")&gt;0,"●",IF(COUNTIFS('VS×ケイパビリティ関係'!$F$4:$F$494,$B34,'VS×ケイパビリティ関係'!$G$4:$G$494,G$5,'VS×ケイパビリティ関係'!$E$4:$E$494,"支援")&gt;0,"○",""))</f>
        <v/>
      </c>
      <c r="H34" s="22" t="str">
        <f>IF(COUNTIFS('VS×ケイパビリティ関係'!$F$4:$F$494,$B34,'VS×ケイパビリティ関係'!$G$4:$G$494,H$5,'VS×ケイパビリティ関係'!$E$4:$E$494,"主")&gt;0,"●",IF(COUNTIFS('VS×ケイパビリティ関係'!$F$4:$F$494,$B34,'VS×ケイパビリティ関係'!$G$4:$G$494,H$5,'VS×ケイパビリティ関係'!$E$4:$E$494,"支援")&gt;0,"○",""))</f>
        <v/>
      </c>
      <c r="I34" s="22" t="str">
        <f>IF(COUNTIFS('VS×ケイパビリティ関係'!$F$4:$F$494,$B34,'VS×ケイパビリティ関係'!$G$4:$G$494,I$5,'VS×ケイパビリティ関係'!$E$4:$E$494,"主")&gt;0,"●",IF(COUNTIFS('VS×ケイパビリティ関係'!$F$4:$F$494,$B34,'VS×ケイパビリティ関係'!$G$4:$G$494,I$5,'VS×ケイパビリティ関係'!$E$4:$E$494,"支援")&gt;0,"○",""))</f>
        <v/>
      </c>
      <c r="J34" s="22" t="str">
        <f>IF(COUNTIFS('VS×ケイパビリティ関係'!$F$4:$F$494,$B34,'VS×ケイパビリティ関係'!$G$4:$G$494,J$5,'VS×ケイパビリティ関係'!$E$4:$E$494,"主")&gt;0,"●",IF(COUNTIFS('VS×ケイパビリティ関係'!$F$4:$F$494,$B34,'VS×ケイパビリティ関係'!$G$4:$G$494,J$5,'VS×ケイパビリティ関係'!$E$4:$E$494,"支援")&gt;0,"○",""))</f>
        <v/>
      </c>
      <c r="K34" s="22" t="str">
        <f>IF(COUNTIFS('VS×ケイパビリティ関係'!$F$4:$F$494,$B34,'VS×ケイパビリティ関係'!$G$4:$G$494,K$5,'VS×ケイパビリティ関係'!$E$4:$E$494,"主")&gt;0,"●",IF(COUNTIFS('VS×ケイパビリティ関係'!$F$4:$F$494,$B34,'VS×ケイパビリティ関係'!$G$4:$G$494,K$5,'VS×ケイパビリティ関係'!$E$4:$E$494,"支援")&gt;0,"○",""))</f>
        <v/>
      </c>
      <c r="L34" s="22" t="str">
        <f>IF(COUNTIFS('VS×ケイパビリティ関係'!$F$4:$F$494,$B34,'VS×ケイパビリティ関係'!$G$4:$G$494,L$5,'VS×ケイパビリティ関係'!$E$4:$E$494,"主")&gt;0,"●",IF(COUNTIFS('VS×ケイパビリティ関係'!$F$4:$F$494,$B34,'VS×ケイパビリティ関係'!$G$4:$G$494,L$5,'VS×ケイパビリティ関係'!$E$4:$E$494,"支援")&gt;0,"○",""))</f>
        <v/>
      </c>
      <c r="M34" s="22" t="str">
        <f>IF(COUNTIFS('VS×ケイパビリティ関係'!$F$4:$F$494,$B34,'VS×ケイパビリティ関係'!$G$4:$G$494,M$5,'VS×ケイパビリティ関係'!$E$4:$E$494,"主")&gt;0,"●",IF(COUNTIFS('VS×ケイパビリティ関係'!$F$4:$F$494,$B34,'VS×ケイパビリティ関係'!$G$4:$G$494,M$5,'VS×ケイパビリティ関係'!$E$4:$E$494,"支援")&gt;0,"○",""))</f>
        <v/>
      </c>
      <c r="N34" s="22" t="str">
        <f>IF(COUNTIFS('VS×ケイパビリティ関係'!$F$4:$F$494,$B34,'VS×ケイパビリティ関係'!$G$4:$G$494,N$5,'VS×ケイパビリティ関係'!$E$4:$E$494,"主")&gt;0,"●",IF(COUNTIFS('VS×ケイパビリティ関係'!$F$4:$F$494,$B34,'VS×ケイパビリティ関係'!$G$4:$G$494,N$5,'VS×ケイパビリティ関係'!$E$4:$E$494,"支援")&gt;0,"○",""))</f>
        <v/>
      </c>
      <c r="O34" s="22" t="str">
        <f>IF(COUNTIFS('VS×ケイパビリティ関係'!$F$4:$F$494,$B34,'VS×ケイパビリティ関係'!$G$4:$G$494,O$5,'VS×ケイパビリティ関係'!$E$4:$E$494,"主")&gt;0,"●",IF(COUNTIFS('VS×ケイパビリティ関係'!$F$4:$F$494,$B34,'VS×ケイパビリティ関係'!$G$4:$G$494,O$5,'VS×ケイパビリティ関係'!$E$4:$E$494,"支援")&gt;0,"○",""))</f>
        <v/>
      </c>
      <c r="P34" s="22" t="str">
        <f>IF(COUNTIFS('VS×ケイパビリティ関係'!$F$4:$F$494,$B34,'VS×ケイパビリティ関係'!$G$4:$G$494,P$5,'VS×ケイパビリティ関係'!$E$4:$E$494,"主")&gt;0,"●",IF(COUNTIFS('VS×ケイパビリティ関係'!$F$4:$F$494,$B34,'VS×ケイパビリティ関係'!$G$4:$G$494,P$5,'VS×ケイパビリティ関係'!$E$4:$E$494,"支援")&gt;0,"○",""))</f>
        <v/>
      </c>
      <c r="Q34" s="22" t="str">
        <f>IF(COUNTIFS('VS×ケイパビリティ関係'!$F$4:$F$494,$B34,'VS×ケイパビリティ関係'!$G$4:$G$494,Q$5,'VS×ケイパビリティ関係'!$E$4:$E$494,"主")&gt;0,"●",IF(COUNTIFS('VS×ケイパビリティ関係'!$F$4:$F$494,$B34,'VS×ケイパビリティ関係'!$G$4:$G$494,Q$5,'VS×ケイパビリティ関係'!$E$4:$E$494,"支援")&gt;0,"○",""))</f>
        <v/>
      </c>
      <c r="R34" s="22" t="str">
        <f>IF(COUNTIFS('VS×ケイパビリティ関係'!$F$4:$F$494,$B34,'VS×ケイパビリティ関係'!$G$4:$G$494,R$5,'VS×ケイパビリティ関係'!$E$4:$E$494,"主")&gt;0,"●",IF(COUNTIFS('VS×ケイパビリティ関係'!$F$4:$F$494,$B34,'VS×ケイパビリティ関係'!$G$4:$G$494,R$5,'VS×ケイパビリティ関係'!$E$4:$E$494,"支援")&gt;0,"○",""))</f>
        <v/>
      </c>
      <c r="S34" s="22" t="str">
        <f>IF(COUNTIFS('VS×ケイパビリティ関係'!$F$4:$F$494,$B34,'VS×ケイパビリティ関係'!$G$4:$G$494,S$5,'VS×ケイパビリティ関係'!$E$4:$E$494,"主")&gt;0,"●",IF(COUNTIFS('VS×ケイパビリティ関係'!$F$4:$F$494,$B34,'VS×ケイパビリティ関係'!$G$4:$G$494,S$5,'VS×ケイパビリティ関係'!$E$4:$E$494,"支援")&gt;0,"○",""))</f>
        <v/>
      </c>
      <c r="T34" s="22" t="str">
        <f>IF(COUNTIFS('VS×ケイパビリティ関係'!$F$4:$F$494,$B34,'VS×ケイパビリティ関係'!$G$4:$G$494,T$5,'VS×ケイパビリティ関係'!$E$4:$E$494,"主")&gt;0,"●",IF(COUNTIFS('VS×ケイパビリティ関係'!$F$4:$F$494,$B34,'VS×ケイパビリティ関係'!$G$4:$G$494,T$5,'VS×ケイパビリティ関係'!$E$4:$E$494,"支援")&gt;0,"○",""))</f>
        <v/>
      </c>
      <c r="U34" s="22" t="str">
        <f>IF(COUNTIFS('VS×ケイパビリティ関係'!$F$4:$F$494,$B34,'VS×ケイパビリティ関係'!$G$4:$G$494,U$5,'VS×ケイパビリティ関係'!$E$4:$E$494,"主")&gt;0,"●",IF(COUNTIFS('VS×ケイパビリティ関係'!$F$4:$F$494,$B34,'VS×ケイパビリティ関係'!$G$4:$G$494,U$5,'VS×ケイパビリティ関係'!$E$4:$E$494,"支援")&gt;0,"○",""))</f>
        <v/>
      </c>
      <c r="V34" s="22" t="str">
        <f>IF(COUNTIFS('VS×ケイパビリティ関係'!$F$4:$F$494,$B34,'VS×ケイパビリティ関係'!$G$4:$G$494,V$5,'VS×ケイパビリティ関係'!$E$4:$E$494,"主")&gt;0,"●",IF(COUNTIFS('VS×ケイパビリティ関係'!$F$4:$F$494,$B34,'VS×ケイパビリティ関係'!$G$4:$G$494,V$5,'VS×ケイパビリティ関係'!$E$4:$E$494,"支援")&gt;0,"○",""))</f>
        <v/>
      </c>
      <c r="W34" s="22" t="str">
        <f>IF(COUNTIFS('VS×ケイパビリティ関係'!$F$4:$F$494,$B34,'VS×ケイパビリティ関係'!$G$4:$G$494,W$5,'VS×ケイパビリティ関係'!$E$4:$E$494,"主")&gt;0,"●",IF(COUNTIFS('VS×ケイパビリティ関係'!$F$4:$F$494,$B34,'VS×ケイパビリティ関係'!$G$4:$G$494,W$5,'VS×ケイパビリティ関係'!$E$4:$E$494,"支援")&gt;0,"○",""))</f>
        <v/>
      </c>
      <c r="X34" s="22" t="str">
        <f>IF(COUNTIFS('VS×ケイパビリティ関係'!$F$4:$F$494,$B34,'VS×ケイパビリティ関係'!$G$4:$G$494,X$5,'VS×ケイパビリティ関係'!$E$4:$E$494,"主")&gt;0,"●",IF(COUNTIFS('VS×ケイパビリティ関係'!$F$4:$F$494,$B34,'VS×ケイパビリティ関係'!$G$4:$G$494,X$5,'VS×ケイパビリティ関係'!$E$4:$E$494,"支援")&gt;0,"○",""))</f>
        <v/>
      </c>
      <c r="Y34" s="22" t="str">
        <f>IF(COUNTIFS('VS×ケイパビリティ関係'!$F$4:$F$494,$B34,'VS×ケイパビリティ関係'!$G$4:$G$494,Y$5,'VS×ケイパビリティ関係'!$E$4:$E$494,"主")&gt;0,"●",IF(COUNTIFS('VS×ケイパビリティ関係'!$F$4:$F$494,$B34,'VS×ケイパビリティ関係'!$G$4:$G$494,Y$5,'VS×ケイパビリティ関係'!$E$4:$E$494,"支援")&gt;0,"○",""))</f>
        <v/>
      </c>
      <c r="Z34" s="22" t="str">
        <f>IF(COUNTIFS('VS×ケイパビリティ関係'!$F$4:$F$494,$B34,'VS×ケイパビリティ関係'!$G$4:$G$494,Z$5,'VS×ケイパビリティ関係'!$E$4:$E$494,"主")&gt;0,"●",IF(COUNTIFS('VS×ケイパビリティ関係'!$F$4:$F$494,$B34,'VS×ケイパビリティ関係'!$G$4:$G$494,Z$5,'VS×ケイパビリティ関係'!$E$4:$E$494,"支援")&gt;0,"○",""))</f>
        <v/>
      </c>
      <c r="AA34" s="22" t="str">
        <f>IF(COUNTIFS('VS×ケイパビリティ関係'!$F$4:$F$494,$B34,'VS×ケイパビリティ関係'!$G$4:$G$494,AA$5,'VS×ケイパビリティ関係'!$E$4:$E$494,"主")&gt;0,"●",IF(COUNTIFS('VS×ケイパビリティ関係'!$F$4:$F$494,$B34,'VS×ケイパビリティ関係'!$G$4:$G$494,AA$5,'VS×ケイパビリティ関係'!$E$4:$E$494,"支援")&gt;0,"○",""))</f>
        <v/>
      </c>
      <c r="AB34" s="22" t="str">
        <f>IF(COUNTIFS('VS×ケイパビリティ関係'!$F$4:$F$494,$B34,'VS×ケイパビリティ関係'!$G$4:$G$494,AB$5,'VS×ケイパビリティ関係'!$E$4:$E$494,"主")&gt;0,"●",IF(COUNTIFS('VS×ケイパビリティ関係'!$F$4:$F$494,$B34,'VS×ケイパビリティ関係'!$G$4:$G$494,AB$5,'VS×ケイパビリティ関係'!$E$4:$E$494,"支援")&gt;0,"○",""))</f>
        <v/>
      </c>
      <c r="AC34" s="22" t="str">
        <f>IF(COUNTIFS('VS×ケイパビリティ関係'!$F$4:$F$494,$B34,'VS×ケイパビリティ関係'!$G$4:$G$494,AC$5,'VS×ケイパビリティ関係'!$E$4:$E$494,"主")&gt;0,"●",IF(COUNTIFS('VS×ケイパビリティ関係'!$F$4:$F$494,$B34,'VS×ケイパビリティ関係'!$G$4:$G$494,AC$5,'VS×ケイパビリティ関係'!$E$4:$E$494,"支援")&gt;0,"○",""))</f>
        <v/>
      </c>
      <c r="AD34" s="22" t="str">
        <f>IF(COUNTIFS('VS×ケイパビリティ関係'!$F$4:$F$494,$B34,'VS×ケイパビリティ関係'!$G$4:$G$494,AD$5,'VS×ケイパビリティ関係'!$E$4:$E$494,"主")&gt;0,"●",IF(COUNTIFS('VS×ケイパビリティ関係'!$F$4:$F$494,$B34,'VS×ケイパビリティ関係'!$G$4:$G$494,AD$5,'VS×ケイパビリティ関係'!$E$4:$E$494,"支援")&gt;0,"○",""))</f>
        <v/>
      </c>
      <c r="AE34" s="22" t="str">
        <f>IF(COUNTIFS('VS×ケイパビリティ関係'!$F$4:$F$494,$B34,'VS×ケイパビリティ関係'!$G$4:$G$494,AE$5,'VS×ケイパビリティ関係'!$E$4:$E$494,"主")&gt;0,"●",IF(COUNTIFS('VS×ケイパビリティ関係'!$F$4:$F$494,$B34,'VS×ケイパビリティ関係'!$G$4:$G$494,AE$5,'VS×ケイパビリティ関係'!$E$4:$E$494,"支援")&gt;0,"○",""))</f>
        <v/>
      </c>
      <c r="AF34" s="22" t="str">
        <f>IF(COUNTIFS('VS×ケイパビリティ関係'!$F$4:$F$494,$B34,'VS×ケイパビリティ関係'!$G$4:$G$494,AF$5,'VS×ケイパビリティ関係'!$E$4:$E$494,"主")&gt;0,"●",IF(COUNTIFS('VS×ケイパビリティ関係'!$F$4:$F$494,$B34,'VS×ケイパビリティ関係'!$G$4:$G$494,AF$5,'VS×ケイパビリティ関係'!$E$4:$E$494,"支援")&gt;0,"○",""))</f>
        <v/>
      </c>
      <c r="AG34" s="22" t="str">
        <f>IF(COUNTIFS('VS×ケイパビリティ関係'!$F$4:$F$494,$B34,'VS×ケイパビリティ関係'!$G$4:$G$494,AG$5,'VS×ケイパビリティ関係'!$E$4:$E$494,"主")&gt;0,"●",IF(COUNTIFS('VS×ケイパビリティ関係'!$F$4:$F$494,$B34,'VS×ケイパビリティ関係'!$G$4:$G$494,AG$5,'VS×ケイパビリティ関係'!$E$4:$E$494,"支援")&gt;0,"○",""))</f>
        <v/>
      </c>
      <c r="AH34" s="22" t="str">
        <f>IF(COUNTIFS('VS×ケイパビリティ関係'!$F$4:$F$494,$B34,'VS×ケイパビリティ関係'!$G$4:$G$494,AH$5,'VS×ケイパビリティ関係'!$E$4:$E$494,"主")&gt;0,"●",IF(COUNTIFS('VS×ケイパビリティ関係'!$F$4:$F$494,$B34,'VS×ケイパビリティ関係'!$G$4:$G$494,AH$5,'VS×ケイパビリティ関係'!$E$4:$E$494,"支援")&gt;0,"○",""))</f>
        <v/>
      </c>
      <c r="AI34" s="22" t="str">
        <f>IF(COUNTIFS('VS×ケイパビリティ関係'!$F$4:$F$494,$B34,'VS×ケイパビリティ関係'!$G$4:$G$494,AI$5,'VS×ケイパビリティ関係'!$E$4:$E$494,"主")&gt;0,"●",IF(COUNTIFS('VS×ケイパビリティ関係'!$F$4:$F$494,$B34,'VS×ケイパビリティ関係'!$G$4:$G$494,AI$5,'VS×ケイパビリティ関係'!$E$4:$E$494,"支援")&gt;0,"○",""))</f>
        <v/>
      </c>
      <c r="AJ34" s="22" t="str">
        <f>IF(COUNTIFS('VS×ケイパビリティ関係'!$F$4:$F$494,$B34,'VS×ケイパビリティ関係'!$G$4:$G$494,AJ$5,'VS×ケイパビリティ関係'!$E$4:$E$494,"主")&gt;0,"●",IF(COUNTIFS('VS×ケイパビリティ関係'!$F$4:$F$494,$B34,'VS×ケイパビリティ関係'!$G$4:$G$494,AJ$5,'VS×ケイパビリティ関係'!$E$4:$E$494,"支援")&gt;0,"○",""))</f>
        <v/>
      </c>
      <c r="AK34" s="22" t="str">
        <f>IF(COUNTIFS('VS×ケイパビリティ関係'!$F$4:$F$494,$B34,'VS×ケイパビリティ関係'!$G$4:$G$494,AK$5,'VS×ケイパビリティ関係'!$E$4:$E$494,"主")&gt;0,"●",IF(COUNTIFS('VS×ケイパビリティ関係'!$F$4:$F$494,$B34,'VS×ケイパビリティ関係'!$G$4:$G$494,AK$5,'VS×ケイパビリティ関係'!$E$4:$E$494,"支援")&gt;0,"○",""))</f>
        <v/>
      </c>
      <c r="AL34" s="22" t="str">
        <f>IF(COUNTIFS('VS×ケイパビリティ関係'!$F$4:$F$494,$B34,'VS×ケイパビリティ関係'!$G$4:$G$494,AL$5,'VS×ケイパビリティ関係'!$E$4:$E$494,"主")&gt;0,"●",IF(COUNTIFS('VS×ケイパビリティ関係'!$F$4:$F$494,$B34,'VS×ケイパビリティ関係'!$G$4:$G$494,AL$5,'VS×ケイパビリティ関係'!$E$4:$E$494,"支援")&gt;0,"○",""))</f>
        <v/>
      </c>
      <c r="AM34" s="22" t="str">
        <f>IF(COUNTIFS('VS×ケイパビリティ関係'!$F$4:$F$494,$B34,'VS×ケイパビリティ関係'!$G$4:$G$494,AM$5,'VS×ケイパビリティ関係'!$E$4:$E$494,"主")&gt;0,"●",IF(COUNTIFS('VS×ケイパビリティ関係'!$F$4:$F$494,$B34,'VS×ケイパビリティ関係'!$G$4:$G$494,AM$5,'VS×ケイパビリティ関係'!$E$4:$E$494,"支援")&gt;0,"○",""))</f>
        <v/>
      </c>
      <c r="AN34" s="22" t="str">
        <f>IF(COUNTIFS('VS×ケイパビリティ関係'!$F$4:$F$494,$B34,'VS×ケイパビリティ関係'!$G$4:$G$494,AN$5,'VS×ケイパビリティ関係'!$E$4:$E$494,"主")&gt;0,"●",IF(COUNTIFS('VS×ケイパビリティ関係'!$F$4:$F$494,$B34,'VS×ケイパビリティ関係'!$G$4:$G$494,AN$5,'VS×ケイパビリティ関係'!$E$4:$E$494,"支援")&gt;0,"○",""))</f>
        <v/>
      </c>
      <c r="AO34" s="22" t="str">
        <f>IF(COUNTIFS('VS×ケイパビリティ関係'!$F$4:$F$494,$B34,'VS×ケイパビリティ関係'!$G$4:$G$494,AO$5,'VS×ケイパビリティ関係'!$E$4:$E$494,"主")&gt;0,"●",IF(COUNTIFS('VS×ケイパビリティ関係'!$F$4:$F$494,$B34,'VS×ケイパビリティ関係'!$G$4:$G$494,AO$5,'VS×ケイパビリティ関係'!$E$4:$E$494,"支援")&gt;0,"○",""))</f>
        <v/>
      </c>
      <c r="AP34" s="22" t="str">
        <f>IF(COUNTIFS('VS×ケイパビリティ関係'!$F$4:$F$494,$B34,'VS×ケイパビリティ関係'!$G$4:$G$494,AP$5,'VS×ケイパビリティ関係'!$E$4:$E$494,"主")&gt;0,"●",IF(COUNTIFS('VS×ケイパビリティ関係'!$F$4:$F$494,$B34,'VS×ケイパビリティ関係'!$G$4:$G$494,AP$5,'VS×ケイパビリティ関係'!$E$4:$E$494,"支援")&gt;0,"○",""))</f>
        <v/>
      </c>
      <c r="AQ34" s="22" t="str">
        <f>IF(COUNTIFS('VS×ケイパビリティ関係'!$F$4:$F$494,$B34,'VS×ケイパビリティ関係'!$G$4:$G$494,AQ$5,'VS×ケイパビリティ関係'!$E$4:$E$494,"主")&gt;0,"●",IF(COUNTIFS('VS×ケイパビリティ関係'!$F$4:$F$494,$B34,'VS×ケイパビリティ関係'!$G$4:$G$494,AQ$5,'VS×ケイパビリティ関係'!$E$4:$E$494,"支援")&gt;0,"○",""))</f>
        <v/>
      </c>
      <c r="AR34" s="22" t="str">
        <f>IF(COUNTIFS('VS×ケイパビリティ関係'!$F$4:$F$494,$B34,'VS×ケイパビリティ関係'!$G$4:$G$494,AR$5,'VS×ケイパビリティ関係'!$E$4:$E$494,"主")&gt;0,"●",IF(COUNTIFS('VS×ケイパビリティ関係'!$F$4:$F$494,$B34,'VS×ケイパビリティ関係'!$G$4:$G$494,AR$5,'VS×ケイパビリティ関係'!$E$4:$E$494,"支援")&gt;0,"○",""))</f>
        <v>○</v>
      </c>
      <c r="AS34" s="22" t="str">
        <f>IF(COUNTIFS('VS×ケイパビリティ関係'!$F$4:$F$494,$B34,'VS×ケイパビリティ関係'!$G$4:$G$494,AS$5,'VS×ケイパビリティ関係'!$E$4:$E$494,"主")&gt;0,"●",IF(COUNTIFS('VS×ケイパビリティ関係'!$F$4:$F$494,$B34,'VS×ケイパビリティ関係'!$G$4:$G$494,AS$5,'VS×ケイパビリティ関係'!$E$4:$E$494,"支援")&gt;0,"○",""))</f>
        <v/>
      </c>
      <c r="AT34" s="22" t="str">
        <f>IF(COUNTIFS('VS×ケイパビリティ関係'!$F$4:$F$494,$B34,'VS×ケイパビリティ関係'!$G$4:$G$494,AT$5,'VS×ケイパビリティ関係'!$E$4:$E$494,"主")&gt;0,"●",IF(COUNTIFS('VS×ケイパビリティ関係'!$F$4:$F$494,$B34,'VS×ケイパビリティ関係'!$G$4:$G$494,AT$5,'VS×ケイパビリティ関係'!$E$4:$E$494,"支援")&gt;0,"○",""))</f>
        <v/>
      </c>
      <c r="AU34" s="22" t="str">
        <f>IF(COUNTIFS('VS×ケイパビリティ関係'!$F$4:$F$494,$B34,'VS×ケイパビリティ関係'!$G$4:$G$494,AU$5,'VS×ケイパビリティ関係'!$E$4:$E$494,"主")&gt;0,"●",IF(COUNTIFS('VS×ケイパビリティ関係'!$F$4:$F$494,$B34,'VS×ケイパビリティ関係'!$G$4:$G$494,AU$5,'VS×ケイパビリティ関係'!$E$4:$E$494,"支援")&gt;0,"○",""))</f>
        <v/>
      </c>
      <c r="AV34" s="22" t="str">
        <f>IF(COUNTIFS('VS×ケイパビリティ関係'!$F$4:$F$494,$B34,'VS×ケイパビリティ関係'!$G$4:$G$494,AV$5,'VS×ケイパビリティ関係'!$E$4:$E$494,"主")&gt;0,"●",IF(COUNTIFS('VS×ケイパビリティ関係'!$F$4:$F$494,$B34,'VS×ケイパビリティ関係'!$G$4:$G$494,AV$5,'VS×ケイパビリティ関係'!$E$4:$E$494,"支援")&gt;0,"○",""))</f>
        <v/>
      </c>
      <c r="AW34" s="22" t="str">
        <f>IF(COUNTIFS('VS×ケイパビリティ関係'!$F$4:$F$494,$B34,'VS×ケイパビリティ関係'!$G$4:$G$494,AW$5,'VS×ケイパビリティ関係'!$E$4:$E$494,"主")&gt;0,"●",IF(COUNTIFS('VS×ケイパビリティ関係'!$F$4:$F$494,$B34,'VS×ケイパビリティ関係'!$G$4:$G$494,AW$5,'VS×ケイパビリティ関係'!$E$4:$E$494,"支援")&gt;0,"○",""))</f>
        <v>●</v>
      </c>
      <c r="AX34" s="22" t="str">
        <f>IF(COUNTIFS('VS×ケイパビリティ関係'!$F$4:$F$494,$B34,'VS×ケイパビリティ関係'!$G$4:$G$494,AX$5,'VS×ケイパビリティ関係'!$E$4:$E$494,"主")&gt;0,"●",IF(COUNTIFS('VS×ケイパビリティ関係'!$F$4:$F$494,$B34,'VS×ケイパビリティ関係'!$G$4:$G$494,AX$5,'VS×ケイパビリティ関係'!$E$4:$E$494,"支援")&gt;0,"○",""))</f>
        <v>○</v>
      </c>
      <c r="AY34" s="22" t="str">
        <f>IF(COUNTIFS('VS×ケイパビリティ関係'!$F$4:$F$494,$B34,'VS×ケイパビリティ関係'!$G$4:$G$494,AY$5,'VS×ケイパビリティ関係'!$E$4:$E$494,"主")&gt;0,"●",IF(COUNTIFS('VS×ケイパビリティ関係'!$F$4:$F$494,$B34,'VS×ケイパビリティ関係'!$G$4:$G$494,AY$5,'VS×ケイパビリティ関係'!$E$4:$E$494,"支援")&gt;0,"○",""))</f>
        <v/>
      </c>
      <c r="AZ34" s="22" t="str">
        <f>IF(COUNTIFS('VS×ケイパビリティ関係'!$F$4:$F$494,$B34,'VS×ケイパビリティ関係'!$G$4:$G$494,AZ$5,'VS×ケイパビリティ関係'!$E$4:$E$494,"主")&gt;0,"●",IF(COUNTIFS('VS×ケイパビリティ関係'!$F$4:$F$494,$B34,'VS×ケイパビリティ関係'!$G$4:$G$494,AZ$5,'VS×ケイパビリティ関係'!$E$4:$E$494,"支援")&gt;0,"○",""))</f>
        <v/>
      </c>
      <c r="BA34" s="22" t="str">
        <f>IF(COUNTIFS('VS×ケイパビリティ関係'!$F$4:$F$494,$B34,'VS×ケイパビリティ関係'!$G$4:$G$494,BA$5,'VS×ケイパビリティ関係'!$E$4:$E$494,"主")&gt;0,"●",IF(COUNTIFS('VS×ケイパビリティ関係'!$F$4:$F$494,$B34,'VS×ケイパビリティ関係'!$G$4:$G$494,BA$5,'VS×ケイパビリティ関係'!$E$4:$E$494,"支援")&gt;0,"○",""))</f>
        <v>●</v>
      </c>
      <c r="BB34" s="22" t="str">
        <f>IF(COUNTIFS('VS×ケイパビリティ関係'!$F$4:$F$494,$B34,'VS×ケイパビリティ関係'!$G$4:$G$494,BB$5,'VS×ケイパビリティ関係'!$E$4:$E$494,"主")&gt;0,"●",IF(COUNTIFS('VS×ケイパビリティ関係'!$F$4:$F$494,$B34,'VS×ケイパビリティ関係'!$G$4:$G$494,BB$5,'VS×ケイパビリティ関係'!$E$4:$E$494,"支援")&gt;0,"○",""))</f>
        <v/>
      </c>
      <c r="BC34" s="22" t="str">
        <f>IF(COUNTIFS('VS×ケイパビリティ関係'!$F$4:$F$494,$B34,'VS×ケイパビリティ関係'!$G$4:$G$494,BC$5,'VS×ケイパビリティ関係'!$E$4:$E$494,"主")&gt;0,"●",IF(COUNTIFS('VS×ケイパビリティ関係'!$F$4:$F$494,$B34,'VS×ケイパビリティ関係'!$G$4:$G$494,BC$5,'VS×ケイパビリティ関係'!$E$4:$E$494,"支援")&gt;0,"○",""))</f>
        <v/>
      </c>
      <c r="BD34" s="22" t="str">
        <f>IF(COUNTIFS('VS×ケイパビリティ関係'!$F$4:$F$494,$B34,'VS×ケイパビリティ関係'!$G$4:$G$494,BD$5,'VS×ケイパビリティ関係'!$E$4:$E$494,"主")&gt;0,"●",IF(COUNTIFS('VS×ケイパビリティ関係'!$F$4:$F$494,$B34,'VS×ケイパビリティ関係'!$G$4:$G$494,BD$5,'VS×ケイパビリティ関係'!$E$4:$E$494,"支援")&gt;0,"○",""))</f>
        <v/>
      </c>
      <c r="BE34" s="22">
        <f t="shared" si="1"/>
        <v>2</v>
      </c>
      <c r="BF34" s="22">
        <f t="shared" si="2"/>
        <v>2</v>
      </c>
    </row>
    <row r="35" ht="15.0" customHeight="1">
      <c r="A35" s="42"/>
      <c r="B35" s="22" t="s">
        <v>2023</v>
      </c>
      <c r="C35" s="25" t="s">
        <v>2025</v>
      </c>
      <c r="D35" s="22" t="str">
        <f>IF(COUNTIFS('VS×ケイパビリティ関係'!$F$4:$F$494,$B35,'VS×ケイパビリティ関係'!$G$4:$G$494,D$5,'VS×ケイパビリティ関係'!$E$4:$E$494,"主")&gt;0,"●",IF(COUNTIFS('VS×ケイパビリティ関係'!$F$4:$F$494,$B35,'VS×ケイパビリティ関係'!$G$4:$G$494,D$5,'VS×ケイパビリティ関係'!$E$4:$E$494,"支援")&gt;0,"○",""))</f>
        <v/>
      </c>
      <c r="E35" s="22" t="str">
        <f>IF(COUNTIFS('VS×ケイパビリティ関係'!$F$4:$F$494,$B35,'VS×ケイパビリティ関係'!$G$4:$G$494,E$5,'VS×ケイパビリティ関係'!$E$4:$E$494,"主")&gt;0,"●",IF(COUNTIFS('VS×ケイパビリティ関係'!$F$4:$F$494,$B35,'VS×ケイパビリティ関係'!$G$4:$G$494,E$5,'VS×ケイパビリティ関係'!$E$4:$E$494,"支援")&gt;0,"○",""))</f>
        <v/>
      </c>
      <c r="F35" s="22" t="str">
        <f>IF(COUNTIFS('VS×ケイパビリティ関係'!$F$4:$F$494,$B35,'VS×ケイパビリティ関係'!$G$4:$G$494,F$5,'VS×ケイパビリティ関係'!$E$4:$E$494,"主")&gt;0,"●",IF(COUNTIFS('VS×ケイパビリティ関係'!$F$4:$F$494,$B35,'VS×ケイパビリティ関係'!$G$4:$G$494,F$5,'VS×ケイパビリティ関係'!$E$4:$E$494,"支援")&gt;0,"○",""))</f>
        <v/>
      </c>
      <c r="G35" s="22" t="str">
        <f>IF(COUNTIFS('VS×ケイパビリティ関係'!$F$4:$F$494,$B35,'VS×ケイパビリティ関係'!$G$4:$G$494,G$5,'VS×ケイパビリティ関係'!$E$4:$E$494,"主")&gt;0,"●",IF(COUNTIFS('VS×ケイパビリティ関係'!$F$4:$F$494,$B35,'VS×ケイパビリティ関係'!$G$4:$G$494,G$5,'VS×ケイパビリティ関係'!$E$4:$E$494,"支援")&gt;0,"○",""))</f>
        <v/>
      </c>
      <c r="H35" s="22" t="str">
        <f>IF(COUNTIFS('VS×ケイパビリティ関係'!$F$4:$F$494,$B35,'VS×ケイパビリティ関係'!$G$4:$G$494,H$5,'VS×ケイパビリティ関係'!$E$4:$E$494,"主")&gt;0,"●",IF(COUNTIFS('VS×ケイパビリティ関係'!$F$4:$F$494,$B35,'VS×ケイパビリティ関係'!$G$4:$G$494,H$5,'VS×ケイパビリティ関係'!$E$4:$E$494,"支援")&gt;0,"○",""))</f>
        <v/>
      </c>
      <c r="I35" s="22" t="str">
        <f>IF(COUNTIFS('VS×ケイパビリティ関係'!$F$4:$F$494,$B35,'VS×ケイパビリティ関係'!$G$4:$G$494,I$5,'VS×ケイパビリティ関係'!$E$4:$E$494,"主")&gt;0,"●",IF(COUNTIFS('VS×ケイパビリティ関係'!$F$4:$F$494,$B35,'VS×ケイパビリティ関係'!$G$4:$G$494,I$5,'VS×ケイパビリティ関係'!$E$4:$E$494,"支援")&gt;0,"○",""))</f>
        <v/>
      </c>
      <c r="J35" s="22" t="str">
        <f>IF(COUNTIFS('VS×ケイパビリティ関係'!$F$4:$F$494,$B35,'VS×ケイパビリティ関係'!$G$4:$G$494,J$5,'VS×ケイパビリティ関係'!$E$4:$E$494,"主")&gt;0,"●",IF(COUNTIFS('VS×ケイパビリティ関係'!$F$4:$F$494,$B35,'VS×ケイパビリティ関係'!$G$4:$G$494,J$5,'VS×ケイパビリティ関係'!$E$4:$E$494,"支援")&gt;0,"○",""))</f>
        <v/>
      </c>
      <c r="K35" s="22" t="str">
        <f>IF(COUNTIFS('VS×ケイパビリティ関係'!$F$4:$F$494,$B35,'VS×ケイパビリティ関係'!$G$4:$G$494,K$5,'VS×ケイパビリティ関係'!$E$4:$E$494,"主")&gt;0,"●",IF(COUNTIFS('VS×ケイパビリティ関係'!$F$4:$F$494,$B35,'VS×ケイパビリティ関係'!$G$4:$G$494,K$5,'VS×ケイパビリティ関係'!$E$4:$E$494,"支援")&gt;0,"○",""))</f>
        <v/>
      </c>
      <c r="L35" s="22" t="str">
        <f>IF(COUNTIFS('VS×ケイパビリティ関係'!$F$4:$F$494,$B35,'VS×ケイパビリティ関係'!$G$4:$G$494,L$5,'VS×ケイパビリティ関係'!$E$4:$E$494,"主")&gt;0,"●",IF(COUNTIFS('VS×ケイパビリティ関係'!$F$4:$F$494,$B35,'VS×ケイパビリティ関係'!$G$4:$G$494,L$5,'VS×ケイパビリティ関係'!$E$4:$E$494,"支援")&gt;0,"○",""))</f>
        <v/>
      </c>
      <c r="M35" s="22" t="str">
        <f>IF(COUNTIFS('VS×ケイパビリティ関係'!$F$4:$F$494,$B35,'VS×ケイパビリティ関係'!$G$4:$G$494,M$5,'VS×ケイパビリティ関係'!$E$4:$E$494,"主")&gt;0,"●",IF(COUNTIFS('VS×ケイパビリティ関係'!$F$4:$F$494,$B35,'VS×ケイパビリティ関係'!$G$4:$G$494,M$5,'VS×ケイパビリティ関係'!$E$4:$E$494,"支援")&gt;0,"○",""))</f>
        <v/>
      </c>
      <c r="N35" s="22" t="str">
        <f>IF(COUNTIFS('VS×ケイパビリティ関係'!$F$4:$F$494,$B35,'VS×ケイパビリティ関係'!$G$4:$G$494,N$5,'VS×ケイパビリティ関係'!$E$4:$E$494,"主")&gt;0,"●",IF(COUNTIFS('VS×ケイパビリティ関係'!$F$4:$F$494,$B35,'VS×ケイパビリティ関係'!$G$4:$G$494,N$5,'VS×ケイパビリティ関係'!$E$4:$E$494,"支援")&gt;0,"○",""))</f>
        <v/>
      </c>
      <c r="O35" s="22" t="str">
        <f>IF(COUNTIFS('VS×ケイパビリティ関係'!$F$4:$F$494,$B35,'VS×ケイパビリティ関係'!$G$4:$G$494,O$5,'VS×ケイパビリティ関係'!$E$4:$E$494,"主")&gt;0,"●",IF(COUNTIFS('VS×ケイパビリティ関係'!$F$4:$F$494,$B35,'VS×ケイパビリティ関係'!$G$4:$G$494,O$5,'VS×ケイパビリティ関係'!$E$4:$E$494,"支援")&gt;0,"○",""))</f>
        <v/>
      </c>
      <c r="P35" s="22" t="str">
        <f>IF(COUNTIFS('VS×ケイパビリティ関係'!$F$4:$F$494,$B35,'VS×ケイパビリティ関係'!$G$4:$G$494,P$5,'VS×ケイパビリティ関係'!$E$4:$E$494,"主")&gt;0,"●",IF(COUNTIFS('VS×ケイパビリティ関係'!$F$4:$F$494,$B35,'VS×ケイパビリティ関係'!$G$4:$G$494,P$5,'VS×ケイパビリティ関係'!$E$4:$E$494,"支援")&gt;0,"○",""))</f>
        <v/>
      </c>
      <c r="Q35" s="22" t="str">
        <f>IF(COUNTIFS('VS×ケイパビリティ関係'!$F$4:$F$494,$B35,'VS×ケイパビリティ関係'!$G$4:$G$494,Q$5,'VS×ケイパビリティ関係'!$E$4:$E$494,"主")&gt;0,"●",IF(COUNTIFS('VS×ケイパビリティ関係'!$F$4:$F$494,$B35,'VS×ケイパビリティ関係'!$G$4:$G$494,Q$5,'VS×ケイパビリティ関係'!$E$4:$E$494,"支援")&gt;0,"○",""))</f>
        <v/>
      </c>
      <c r="R35" s="22" t="str">
        <f>IF(COUNTIFS('VS×ケイパビリティ関係'!$F$4:$F$494,$B35,'VS×ケイパビリティ関係'!$G$4:$G$494,R$5,'VS×ケイパビリティ関係'!$E$4:$E$494,"主")&gt;0,"●",IF(COUNTIFS('VS×ケイパビリティ関係'!$F$4:$F$494,$B35,'VS×ケイパビリティ関係'!$G$4:$G$494,R$5,'VS×ケイパビリティ関係'!$E$4:$E$494,"支援")&gt;0,"○",""))</f>
        <v/>
      </c>
      <c r="S35" s="22" t="str">
        <f>IF(COUNTIFS('VS×ケイパビリティ関係'!$F$4:$F$494,$B35,'VS×ケイパビリティ関係'!$G$4:$G$494,S$5,'VS×ケイパビリティ関係'!$E$4:$E$494,"主")&gt;0,"●",IF(COUNTIFS('VS×ケイパビリティ関係'!$F$4:$F$494,$B35,'VS×ケイパビリティ関係'!$G$4:$G$494,S$5,'VS×ケイパビリティ関係'!$E$4:$E$494,"支援")&gt;0,"○",""))</f>
        <v/>
      </c>
      <c r="T35" s="22" t="str">
        <f>IF(COUNTIFS('VS×ケイパビリティ関係'!$F$4:$F$494,$B35,'VS×ケイパビリティ関係'!$G$4:$G$494,T$5,'VS×ケイパビリティ関係'!$E$4:$E$494,"主")&gt;0,"●",IF(COUNTIFS('VS×ケイパビリティ関係'!$F$4:$F$494,$B35,'VS×ケイパビリティ関係'!$G$4:$G$494,T$5,'VS×ケイパビリティ関係'!$E$4:$E$494,"支援")&gt;0,"○",""))</f>
        <v/>
      </c>
      <c r="U35" s="22" t="str">
        <f>IF(COUNTIFS('VS×ケイパビリティ関係'!$F$4:$F$494,$B35,'VS×ケイパビリティ関係'!$G$4:$G$494,U$5,'VS×ケイパビリティ関係'!$E$4:$E$494,"主")&gt;0,"●",IF(COUNTIFS('VS×ケイパビリティ関係'!$F$4:$F$494,$B35,'VS×ケイパビリティ関係'!$G$4:$G$494,U$5,'VS×ケイパビリティ関係'!$E$4:$E$494,"支援")&gt;0,"○",""))</f>
        <v/>
      </c>
      <c r="V35" s="22" t="str">
        <f>IF(COUNTIFS('VS×ケイパビリティ関係'!$F$4:$F$494,$B35,'VS×ケイパビリティ関係'!$G$4:$G$494,V$5,'VS×ケイパビリティ関係'!$E$4:$E$494,"主")&gt;0,"●",IF(COUNTIFS('VS×ケイパビリティ関係'!$F$4:$F$494,$B35,'VS×ケイパビリティ関係'!$G$4:$G$494,V$5,'VS×ケイパビリティ関係'!$E$4:$E$494,"支援")&gt;0,"○",""))</f>
        <v/>
      </c>
      <c r="W35" s="22" t="str">
        <f>IF(COUNTIFS('VS×ケイパビリティ関係'!$F$4:$F$494,$B35,'VS×ケイパビリティ関係'!$G$4:$G$494,W$5,'VS×ケイパビリティ関係'!$E$4:$E$494,"主")&gt;0,"●",IF(COUNTIFS('VS×ケイパビリティ関係'!$F$4:$F$494,$B35,'VS×ケイパビリティ関係'!$G$4:$G$494,W$5,'VS×ケイパビリティ関係'!$E$4:$E$494,"支援")&gt;0,"○",""))</f>
        <v/>
      </c>
      <c r="X35" s="22" t="str">
        <f>IF(COUNTIFS('VS×ケイパビリティ関係'!$F$4:$F$494,$B35,'VS×ケイパビリティ関係'!$G$4:$G$494,X$5,'VS×ケイパビリティ関係'!$E$4:$E$494,"主")&gt;0,"●",IF(COUNTIFS('VS×ケイパビリティ関係'!$F$4:$F$494,$B35,'VS×ケイパビリティ関係'!$G$4:$G$494,X$5,'VS×ケイパビリティ関係'!$E$4:$E$494,"支援")&gt;0,"○",""))</f>
        <v/>
      </c>
      <c r="Y35" s="22" t="str">
        <f>IF(COUNTIFS('VS×ケイパビリティ関係'!$F$4:$F$494,$B35,'VS×ケイパビリティ関係'!$G$4:$G$494,Y$5,'VS×ケイパビリティ関係'!$E$4:$E$494,"主")&gt;0,"●",IF(COUNTIFS('VS×ケイパビリティ関係'!$F$4:$F$494,$B35,'VS×ケイパビリティ関係'!$G$4:$G$494,Y$5,'VS×ケイパビリティ関係'!$E$4:$E$494,"支援")&gt;0,"○",""))</f>
        <v/>
      </c>
      <c r="Z35" s="22" t="str">
        <f>IF(COUNTIFS('VS×ケイパビリティ関係'!$F$4:$F$494,$B35,'VS×ケイパビリティ関係'!$G$4:$G$494,Z$5,'VS×ケイパビリティ関係'!$E$4:$E$494,"主")&gt;0,"●",IF(COUNTIFS('VS×ケイパビリティ関係'!$F$4:$F$494,$B35,'VS×ケイパビリティ関係'!$G$4:$G$494,Z$5,'VS×ケイパビリティ関係'!$E$4:$E$494,"支援")&gt;0,"○",""))</f>
        <v/>
      </c>
      <c r="AA35" s="22" t="str">
        <f>IF(COUNTIFS('VS×ケイパビリティ関係'!$F$4:$F$494,$B35,'VS×ケイパビリティ関係'!$G$4:$G$494,AA$5,'VS×ケイパビリティ関係'!$E$4:$E$494,"主")&gt;0,"●",IF(COUNTIFS('VS×ケイパビリティ関係'!$F$4:$F$494,$B35,'VS×ケイパビリティ関係'!$G$4:$G$494,AA$5,'VS×ケイパビリティ関係'!$E$4:$E$494,"支援")&gt;0,"○",""))</f>
        <v/>
      </c>
      <c r="AB35" s="22" t="str">
        <f>IF(COUNTIFS('VS×ケイパビリティ関係'!$F$4:$F$494,$B35,'VS×ケイパビリティ関係'!$G$4:$G$494,AB$5,'VS×ケイパビリティ関係'!$E$4:$E$494,"主")&gt;0,"●",IF(COUNTIFS('VS×ケイパビリティ関係'!$F$4:$F$494,$B35,'VS×ケイパビリティ関係'!$G$4:$G$494,AB$5,'VS×ケイパビリティ関係'!$E$4:$E$494,"支援")&gt;0,"○",""))</f>
        <v/>
      </c>
      <c r="AC35" s="22" t="str">
        <f>IF(COUNTIFS('VS×ケイパビリティ関係'!$F$4:$F$494,$B35,'VS×ケイパビリティ関係'!$G$4:$G$494,AC$5,'VS×ケイパビリティ関係'!$E$4:$E$494,"主")&gt;0,"●",IF(COUNTIFS('VS×ケイパビリティ関係'!$F$4:$F$494,$B35,'VS×ケイパビリティ関係'!$G$4:$G$494,AC$5,'VS×ケイパビリティ関係'!$E$4:$E$494,"支援")&gt;0,"○",""))</f>
        <v/>
      </c>
      <c r="AD35" s="22" t="str">
        <f>IF(COUNTIFS('VS×ケイパビリティ関係'!$F$4:$F$494,$B35,'VS×ケイパビリティ関係'!$G$4:$G$494,AD$5,'VS×ケイパビリティ関係'!$E$4:$E$494,"主")&gt;0,"●",IF(COUNTIFS('VS×ケイパビリティ関係'!$F$4:$F$494,$B35,'VS×ケイパビリティ関係'!$G$4:$G$494,AD$5,'VS×ケイパビリティ関係'!$E$4:$E$494,"支援")&gt;0,"○",""))</f>
        <v/>
      </c>
      <c r="AE35" s="22" t="str">
        <f>IF(COUNTIFS('VS×ケイパビリティ関係'!$F$4:$F$494,$B35,'VS×ケイパビリティ関係'!$G$4:$G$494,AE$5,'VS×ケイパビリティ関係'!$E$4:$E$494,"主")&gt;0,"●",IF(COUNTIFS('VS×ケイパビリティ関係'!$F$4:$F$494,$B35,'VS×ケイパビリティ関係'!$G$4:$G$494,AE$5,'VS×ケイパビリティ関係'!$E$4:$E$494,"支援")&gt;0,"○",""))</f>
        <v/>
      </c>
      <c r="AF35" s="22" t="str">
        <f>IF(COUNTIFS('VS×ケイパビリティ関係'!$F$4:$F$494,$B35,'VS×ケイパビリティ関係'!$G$4:$G$494,AF$5,'VS×ケイパビリティ関係'!$E$4:$E$494,"主")&gt;0,"●",IF(COUNTIFS('VS×ケイパビリティ関係'!$F$4:$F$494,$B35,'VS×ケイパビリティ関係'!$G$4:$G$494,AF$5,'VS×ケイパビリティ関係'!$E$4:$E$494,"支援")&gt;0,"○",""))</f>
        <v/>
      </c>
      <c r="AG35" s="22" t="str">
        <f>IF(COUNTIFS('VS×ケイパビリティ関係'!$F$4:$F$494,$B35,'VS×ケイパビリティ関係'!$G$4:$G$494,AG$5,'VS×ケイパビリティ関係'!$E$4:$E$494,"主")&gt;0,"●",IF(COUNTIFS('VS×ケイパビリティ関係'!$F$4:$F$494,$B35,'VS×ケイパビリティ関係'!$G$4:$G$494,AG$5,'VS×ケイパビリティ関係'!$E$4:$E$494,"支援")&gt;0,"○",""))</f>
        <v/>
      </c>
      <c r="AH35" s="22" t="str">
        <f>IF(COUNTIFS('VS×ケイパビリティ関係'!$F$4:$F$494,$B35,'VS×ケイパビリティ関係'!$G$4:$G$494,AH$5,'VS×ケイパビリティ関係'!$E$4:$E$494,"主")&gt;0,"●",IF(COUNTIFS('VS×ケイパビリティ関係'!$F$4:$F$494,$B35,'VS×ケイパビリティ関係'!$G$4:$G$494,AH$5,'VS×ケイパビリティ関係'!$E$4:$E$494,"支援")&gt;0,"○",""))</f>
        <v/>
      </c>
      <c r="AI35" s="22" t="str">
        <f>IF(COUNTIFS('VS×ケイパビリティ関係'!$F$4:$F$494,$B35,'VS×ケイパビリティ関係'!$G$4:$G$494,AI$5,'VS×ケイパビリティ関係'!$E$4:$E$494,"主")&gt;0,"●",IF(COUNTIFS('VS×ケイパビリティ関係'!$F$4:$F$494,$B35,'VS×ケイパビリティ関係'!$G$4:$G$494,AI$5,'VS×ケイパビリティ関係'!$E$4:$E$494,"支援")&gt;0,"○",""))</f>
        <v/>
      </c>
      <c r="AJ35" s="22" t="str">
        <f>IF(COUNTIFS('VS×ケイパビリティ関係'!$F$4:$F$494,$B35,'VS×ケイパビリティ関係'!$G$4:$G$494,AJ$5,'VS×ケイパビリティ関係'!$E$4:$E$494,"主")&gt;0,"●",IF(COUNTIFS('VS×ケイパビリティ関係'!$F$4:$F$494,$B35,'VS×ケイパビリティ関係'!$G$4:$G$494,AJ$5,'VS×ケイパビリティ関係'!$E$4:$E$494,"支援")&gt;0,"○",""))</f>
        <v>○</v>
      </c>
      <c r="AK35" s="22" t="str">
        <f>IF(COUNTIFS('VS×ケイパビリティ関係'!$F$4:$F$494,$B35,'VS×ケイパビリティ関係'!$G$4:$G$494,AK$5,'VS×ケイパビリティ関係'!$E$4:$E$494,"主")&gt;0,"●",IF(COUNTIFS('VS×ケイパビリティ関係'!$F$4:$F$494,$B35,'VS×ケイパビリティ関係'!$G$4:$G$494,AK$5,'VS×ケイパビリティ関係'!$E$4:$E$494,"支援")&gt;0,"○",""))</f>
        <v/>
      </c>
      <c r="AL35" s="22" t="str">
        <f>IF(COUNTIFS('VS×ケイパビリティ関係'!$F$4:$F$494,$B35,'VS×ケイパビリティ関係'!$G$4:$G$494,AL$5,'VS×ケイパビリティ関係'!$E$4:$E$494,"主")&gt;0,"●",IF(COUNTIFS('VS×ケイパビリティ関係'!$F$4:$F$494,$B35,'VS×ケイパビリティ関係'!$G$4:$G$494,AL$5,'VS×ケイパビリティ関係'!$E$4:$E$494,"支援")&gt;0,"○",""))</f>
        <v/>
      </c>
      <c r="AM35" s="22" t="str">
        <f>IF(COUNTIFS('VS×ケイパビリティ関係'!$F$4:$F$494,$B35,'VS×ケイパビリティ関係'!$G$4:$G$494,AM$5,'VS×ケイパビリティ関係'!$E$4:$E$494,"主")&gt;0,"●",IF(COUNTIFS('VS×ケイパビリティ関係'!$F$4:$F$494,$B35,'VS×ケイパビリティ関係'!$G$4:$G$494,AM$5,'VS×ケイパビリティ関係'!$E$4:$E$494,"支援")&gt;0,"○",""))</f>
        <v/>
      </c>
      <c r="AN35" s="22" t="str">
        <f>IF(COUNTIFS('VS×ケイパビリティ関係'!$F$4:$F$494,$B35,'VS×ケイパビリティ関係'!$G$4:$G$494,AN$5,'VS×ケイパビリティ関係'!$E$4:$E$494,"主")&gt;0,"●",IF(COUNTIFS('VS×ケイパビリティ関係'!$F$4:$F$494,$B35,'VS×ケイパビリティ関係'!$G$4:$G$494,AN$5,'VS×ケイパビリティ関係'!$E$4:$E$494,"支援")&gt;0,"○",""))</f>
        <v/>
      </c>
      <c r="AO35" s="22" t="str">
        <f>IF(COUNTIFS('VS×ケイパビリティ関係'!$F$4:$F$494,$B35,'VS×ケイパビリティ関係'!$G$4:$G$494,AO$5,'VS×ケイパビリティ関係'!$E$4:$E$494,"主")&gt;0,"●",IF(COUNTIFS('VS×ケイパビリティ関係'!$F$4:$F$494,$B35,'VS×ケイパビリティ関係'!$G$4:$G$494,AO$5,'VS×ケイパビリティ関係'!$E$4:$E$494,"支援")&gt;0,"○",""))</f>
        <v/>
      </c>
      <c r="AP35" s="22" t="str">
        <f>IF(COUNTIFS('VS×ケイパビリティ関係'!$F$4:$F$494,$B35,'VS×ケイパビリティ関係'!$G$4:$G$494,AP$5,'VS×ケイパビリティ関係'!$E$4:$E$494,"主")&gt;0,"●",IF(COUNTIFS('VS×ケイパビリティ関係'!$F$4:$F$494,$B35,'VS×ケイパビリティ関係'!$G$4:$G$494,AP$5,'VS×ケイパビリティ関係'!$E$4:$E$494,"支援")&gt;0,"○",""))</f>
        <v/>
      </c>
      <c r="AQ35" s="22" t="str">
        <f>IF(COUNTIFS('VS×ケイパビリティ関係'!$F$4:$F$494,$B35,'VS×ケイパビリティ関係'!$G$4:$G$494,AQ$5,'VS×ケイパビリティ関係'!$E$4:$E$494,"主")&gt;0,"●",IF(COUNTIFS('VS×ケイパビリティ関係'!$F$4:$F$494,$B35,'VS×ケイパビリティ関係'!$G$4:$G$494,AQ$5,'VS×ケイパビリティ関係'!$E$4:$E$494,"支援")&gt;0,"○",""))</f>
        <v/>
      </c>
      <c r="AR35" s="22" t="str">
        <f>IF(COUNTIFS('VS×ケイパビリティ関係'!$F$4:$F$494,$B35,'VS×ケイパビリティ関係'!$G$4:$G$494,AR$5,'VS×ケイパビリティ関係'!$E$4:$E$494,"主")&gt;0,"●",IF(COUNTIFS('VS×ケイパビリティ関係'!$F$4:$F$494,$B35,'VS×ケイパビリティ関係'!$G$4:$G$494,AR$5,'VS×ケイパビリティ関係'!$E$4:$E$494,"支援")&gt;0,"○",""))</f>
        <v/>
      </c>
      <c r="AS35" s="22" t="str">
        <f>IF(COUNTIFS('VS×ケイパビリティ関係'!$F$4:$F$494,$B35,'VS×ケイパビリティ関係'!$G$4:$G$494,AS$5,'VS×ケイパビリティ関係'!$E$4:$E$494,"主")&gt;0,"●",IF(COUNTIFS('VS×ケイパビリティ関係'!$F$4:$F$494,$B35,'VS×ケイパビリティ関係'!$G$4:$G$494,AS$5,'VS×ケイパビリティ関係'!$E$4:$E$494,"支援")&gt;0,"○",""))</f>
        <v/>
      </c>
      <c r="AT35" s="22" t="str">
        <f>IF(COUNTIFS('VS×ケイパビリティ関係'!$F$4:$F$494,$B35,'VS×ケイパビリティ関係'!$G$4:$G$494,AT$5,'VS×ケイパビリティ関係'!$E$4:$E$494,"主")&gt;0,"●",IF(COUNTIFS('VS×ケイパビリティ関係'!$F$4:$F$494,$B35,'VS×ケイパビリティ関係'!$G$4:$G$494,AT$5,'VS×ケイパビリティ関係'!$E$4:$E$494,"支援")&gt;0,"○",""))</f>
        <v/>
      </c>
      <c r="AU35" s="22" t="str">
        <f>IF(COUNTIFS('VS×ケイパビリティ関係'!$F$4:$F$494,$B35,'VS×ケイパビリティ関係'!$G$4:$G$494,AU$5,'VS×ケイパビリティ関係'!$E$4:$E$494,"主")&gt;0,"●",IF(COUNTIFS('VS×ケイパビリティ関係'!$F$4:$F$494,$B35,'VS×ケイパビリティ関係'!$G$4:$G$494,AU$5,'VS×ケイパビリティ関係'!$E$4:$E$494,"支援")&gt;0,"○",""))</f>
        <v/>
      </c>
      <c r="AV35" s="22" t="str">
        <f>IF(COUNTIFS('VS×ケイパビリティ関係'!$F$4:$F$494,$B35,'VS×ケイパビリティ関係'!$G$4:$G$494,AV$5,'VS×ケイパビリティ関係'!$E$4:$E$494,"主")&gt;0,"●",IF(COUNTIFS('VS×ケイパビリティ関係'!$F$4:$F$494,$B35,'VS×ケイパビリティ関係'!$G$4:$G$494,AV$5,'VS×ケイパビリティ関係'!$E$4:$E$494,"支援")&gt;0,"○",""))</f>
        <v/>
      </c>
      <c r="AW35" s="22" t="str">
        <f>IF(COUNTIFS('VS×ケイパビリティ関係'!$F$4:$F$494,$B35,'VS×ケイパビリティ関係'!$G$4:$G$494,AW$5,'VS×ケイパビリティ関係'!$E$4:$E$494,"主")&gt;0,"●",IF(COUNTIFS('VS×ケイパビリティ関係'!$F$4:$F$494,$B35,'VS×ケイパビリティ関係'!$G$4:$G$494,AW$5,'VS×ケイパビリティ関係'!$E$4:$E$494,"支援")&gt;0,"○",""))</f>
        <v/>
      </c>
      <c r="AX35" s="22" t="str">
        <f>IF(COUNTIFS('VS×ケイパビリティ関係'!$F$4:$F$494,$B35,'VS×ケイパビリティ関係'!$G$4:$G$494,AX$5,'VS×ケイパビリティ関係'!$E$4:$E$494,"主")&gt;0,"●",IF(COUNTIFS('VS×ケイパビリティ関係'!$F$4:$F$494,$B35,'VS×ケイパビリティ関係'!$G$4:$G$494,AX$5,'VS×ケイパビリティ関係'!$E$4:$E$494,"支援")&gt;0,"○",""))</f>
        <v>○</v>
      </c>
      <c r="AY35" s="22" t="str">
        <f>IF(COUNTIFS('VS×ケイパビリティ関係'!$F$4:$F$494,$B35,'VS×ケイパビリティ関係'!$G$4:$G$494,AY$5,'VS×ケイパビリティ関係'!$E$4:$E$494,"主")&gt;0,"●",IF(COUNTIFS('VS×ケイパビリティ関係'!$F$4:$F$494,$B35,'VS×ケイパビリティ関係'!$G$4:$G$494,AY$5,'VS×ケイパビリティ関係'!$E$4:$E$494,"支援")&gt;0,"○",""))</f>
        <v>●</v>
      </c>
      <c r="AZ35" s="22" t="str">
        <f>IF(COUNTIFS('VS×ケイパビリティ関係'!$F$4:$F$494,$B35,'VS×ケイパビリティ関係'!$G$4:$G$494,AZ$5,'VS×ケイパビリティ関係'!$E$4:$E$494,"主")&gt;0,"●",IF(COUNTIFS('VS×ケイパビリティ関係'!$F$4:$F$494,$B35,'VS×ケイパビリティ関係'!$G$4:$G$494,AZ$5,'VS×ケイパビリティ関係'!$E$4:$E$494,"支援")&gt;0,"○",""))</f>
        <v/>
      </c>
      <c r="BA35" s="22" t="str">
        <f>IF(COUNTIFS('VS×ケイパビリティ関係'!$F$4:$F$494,$B35,'VS×ケイパビリティ関係'!$G$4:$G$494,BA$5,'VS×ケイパビリティ関係'!$E$4:$E$494,"主")&gt;0,"●",IF(COUNTIFS('VS×ケイパビリティ関係'!$F$4:$F$494,$B35,'VS×ケイパビリティ関係'!$G$4:$G$494,BA$5,'VS×ケイパビリティ関係'!$E$4:$E$494,"支援")&gt;0,"○",""))</f>
        <v/>
      </c>
      <c r="BB35" s="22" t="str">
        <f>IF(COUNTIFS('VS×ケイパビリティ関係'!$F$4:$F$494,$B35,'VS×ケイパビリティ関係'!$G$4:$G$494,BB$5,'VS×ケイパビリティ関係'!$E$4:$E$494,"主")&gt;0,"●",IF(COUNTIFS('VS×ケイパビリティ関係'!$F$4:$F$494,$B35,'VS×ケイパビリティ関係'!$G$4:$G$494,BB$5,'VS×ケイパビリティ関係'!$E$4:$E$494,"支援")&gt;0,"○",""))</f>
        <v/>
      </c>
      <c r="BC35" s="22" t="str">
        <f>IF(COUNTIFS('VS×ケイパビリティ関係'!$F$4:$F$494,$B35,'VS×ケイパビリティ関係'!$G$4:$G$494,BC$5,'VS×ケイパビリティ関係'!$E$4:$E$494,"主")&gt;0,"●",IF(COUNTIFS('VS×ケイパビリティ関係'!$F$4:$F$494,$B35,'VS×ケイパビリティ関係'!$G$4:$G$494,BC$5,'VS×ケイパビリティ関係'!$E$4:$E$494,"支援")&gt;0,"○",""))</f>
        <v/>
      </c>
      <c r="BD35" s="22" t="str">
        <f>IF(COUNTIFS('VS×ケイパビリティ関係'!$F$4:$F$494,$B35,'VS×ケイパビリティ関係'!$G$4:$G$494,BD$5,'VS×ケイパビリティ関係'!$E$4:$E$494,"主")&gt;0,"●",IF(COUNTIFS('VS×ケイパビリティ関係'!$F$4:$F$494,$B35,'VS×ケイパビリティ関係'!$G$4:$G$494,BD$5,'VS×ケイパビリティ関係'!$E$4:$E$494,"支援")&gt;0,"○",""))</f>
        <v/>
      </c>
      <c r="BE35" s="22">
        <f t="shared" si="1"/>
        <v>1</v>
      </c>
      <c r="BF35" s="22">
        <f t="shared" si="2"/>
        <v>2</v>
      </c>
    </row>
    <row r="36" ht="15.0" customHeight="1">
      <c r="A36" s="42"/>
      <c r="B36" s="22" t="s">
        <v>2054</v>
      </c>
      <c r="C36" s="25" t="s">
        <v>2055</v>
      </c>
      <c r="D36" s="22" t="str">
        <f>IF(COUNTIFS('VS×ケイパビリティ関係'!$F$4:$F$494,$B36,'VS×ケイパビリティ関係'!$G$4:$G$494,D$5,'VS×ケイパビリティ関係'!$E$4:$E$494,"主")&gt;0,"●",IF(COUNTIFS('VS×ケイパビリティ関係'!$F$4:$F$494,$B36,'VS×ケイパビリティ関係'!$G$4:$G$494,D$5,'VS×ケイパビリティ関係'!$E$4:$E$494,"支援")&gt;0,"○",""))</f>
        <v/>
      </c>
      <c r="E36" s="22" t="str">
        <f>IF(COUNTIFS('VS×ケイパビリティ関係'!$F$4:$F$494,$B36,'VS×ケイパビリティ関係'!$G$4:$G$494,E$5,'VS×ケイパビリティ関係'!$E$4:$E$494,"主")&gt;0,"●",IF(COUNTIFS('VS×ケイパビリティ関係'!$F$4:$F$494,$B36,'VS×ケイパビリティ関係'!$G$4:$G$494,E$5,'VS×ケイパビリティ関係'!$E$4:$E$494,"支援")&gt;0,"○",""))</f>
        <v/>
      </c>
      <c r="F36" s="22" t="str">
        <f>IF(COUNTIFS('VS×ケイパビリティ関係'!$F$4:$F$494,$B36,'VS×ケイパビリティ関係'!$G$4:$G$494,F$5,'VS×ケイパビリティ関係'!$E$4:$E$494,"主")&gt;0,"●",IF(COUNTIFS('VS×ケイパビリティ関係'!$F$4:$F$494,$B36,'VS×ケイパビリティ関係'!$G$4:$G$494,F$5,'VS×ケイパビリティ関係'!$E$4:$E$494,"支援")&gt;0,"○",""))</f>
        <v/>
      </c>
      <c r="G36" s="22" t="str">
        <f>IF(COUNTIFS('VS×ケイパビリティ関係'!$F$4:$F$494,$B36,'VS×ケイパビリティ関係'!$G$4:$G$494,G$5,'VS×ケイパビリティ関係'!$E$4:$E$494,"主")&gt;0,"●",IF(COUNTIFS('VS×ケイパビリティ関係'!$F$4:$F$494,$B36,'VS×ケイパビリティ関係'!$G$4:$G$494,G$5,'VS×ケイパビリティ関係'!$E$4:$E$494,"支援")&gt;0,"○",""))</f>
        <v/>
      </c>
      <c r="H36" s="22" t="str">
        <f>IF(COUNTIFS('VS×ケイパビリティ関係'!$F$4:$F$494,$B36,'VS×ケイパビリティ関係'!$G$4:$G$494,H$5,'VS×ケイパビリティ関係'!$E$4:$E$494,"主")&gt;0,"●",IF(COUNTIFS('VS×ケイパビリティ関係'!$F$4:$F$494,$B36,'VS×ケイパビリティ関係'!$G$4:$G$494,H$5,'VS×ケイパビリティ関係'!$E$4:$E$494,"支援")&gt;0,"○",""))</f>
        <v/>
      </c>
      <c r="I36" s="22" t="str">
        <f>IF(COUNTIFS('VS×ケイパビリティ関係'!$F$4:$F$494,$B36,'VS×ケイパビリティ関係'!$G$4:$G$494,I$5,'VS×ケイパビリティ関係'!$E$4:$E$494,"主")&gt;0,"●",IF(COUNTIFS('VS×ケイパビリティ関係'!$F$4:$F$494,$B36,'VS×ケイパビリティ関係'!$G$4:$G$494,I$5,'VS×ケイパビリティ関係'!$E$4:$E$494,"支援")&gt;0,"○",""))</f>
        <v/>
      </c>
      <c r="J36" s="22" t="str">
        <f>IF(COUNTIFS('VS×ケイパビリティ関係'!$F$4:$F$494,$B36,'VS×ケイパビリティ関係'!$G$4:$G$494,J$5,'VS×ケイパビリティ関係'!$E$4:$E$494,"主")&gt;0,"●",IF(COUNTIFS('VS×ケイパビリティ関係'!$F$4:$F$494,$B36,'VS×ケイパビリティ関係'!$G$4:$G$494,J$5,'VS×ケイパビリティ関係'!$E$4:$E$494,"支援")&gt;0,"○",""))</f>
        <v/>
      </c>
      <c r="K36" s="22" t="str">
        <f>IF(COUNTIFS('VS×ケイパビリティ関係'!$F$4:$F$494,$B36,'VS×ケイパビリティ関係'!$G$4:$G$494,K$5,'VS×ケイパビリティ関係'!$E$4:$E$494,"主")&gt;0,"●",IF(COUNTIFS('VS×ケイパビリティ関係'!$F$4:$F$494,$B36,'VS×ケイパビリティ関係'!$G$4:$G$494,K$5,'VS×ケイパビリティ関係'!$E$4:$E$494,"支援")&gt;0,"○",""))</f>
        <v/>
      </c>
      <c r="L36" s="22" t="str">
        <f>IF(COUNTIFS('VS×ケイパビリティ関係'!$F$4:$F$494,$B36,'VS×ケイパビリティ関係'!$G$4:$G$494,L$5,'VS×ケイパビリティ関係'!$E$4:$E$494,"主")&gt;0,"●",IF(COUNTIFS('VS×ケイパビリティ関係'!$F$4:$F$494,$B36,'VS×ケイパビリティ関係'!$G$4:$G$494,L$5,'VS×ケイパビリティ関係'!$E$4:$E$494,"支援")&gt;0,"○",""))</f>
        <v/>
      </c>
      <c r="M36" s="22" t="str">
        <f>IF(COUNTIFS('VS×ケイパビリティ関係'!$F$4:$F$494,$B36,'VS×ケイパビリティ関係'!$G$4:$G$494,M$5,'VS×ケイパビリティ関係'!$E$4:$E$494,"主")&gt;0,"●",IF(COUNTIFS('VS×ケイパビリティ関係'!$F$4:$F$494,$B36,'VS×ケイパビリティ関係'!$G$4:$G$494,M$5,'VS×ケイパビリティ関係'!$E$4:$E$494,"支援")&gt;0,"○",""))</f>
        <v/>
      </c>
      <c r="N36" s="22" t="str">
        <f>IF(COUNTIFS('VS×ケイパビリティ関係'!$F$4:$F$494,$B36,'VS×ケイパビリティ関係'!$G$4:$G$494,N$5,'VS×ケイパビリティ関係'!$E$4:$E$494,"主")&gt;0,"●",IF(COUNTIFS('VS×ケイパビリティ関係'!$F$4:$F$494,$B36,'VS×ケイパビリティ関係'!$G$4:$G$494,N$5,'VS×ケイパビリティ関係'!$E$4:$E$494,"支援")&gt;0,"○",""))</f>
        <v/>
      </c>
      <c r="O36" s="22" t="str">
        <f>IF(COUNTIFS('VS×ケイパビリティ関係'!$F$4:$F$494,$B36,'VS×ケイパビリティ関係'!$G$4:$G$494,O$5,'VS×ケイパビリティ関係'!$E$4:$E$494,"主")&gt;0,"●",IF(COUNTIFS('VS×ケイパビリティ関係'!$F$4:$F$494,$B36,'VS×ケイパビリティ関係'!$G$4:$G$494,O$5,'VS×ケイパビリティ関係'!$E$4:$E$494,"支援")&gt;0,"○",""))</f>
        <v/>
      </c>
      <c r="P36" s="22" t="str">
        <f>IF(COUNTIFS('VS×ケイパビリティ関係'!$F$4:$F$494,$B36,'VS×ケイパビリティ関係'!$G$4:$G$494,P$5,'VS×ケイパビリティ関係'!$E$4:$E$494,"主")&gt;0,"●",IF(COUNTIFS('VS×ケイパビリティ関係'!$F$4:$F$494,$B36,'VS×ケイパビリティ関係'!$G$4:$G$494,P$5,'VS×ケイパビリティ関係'!$E$4:$E$494,"支援")&gt;0,"○",""))</f>
        <v/>
      </c>
      <c r="Q36" s="22" t="str">
        <f>IF(COUNTIFS('VS×ケイパビリティ関係'!$F$4:$F$494,$B36,'VS×ケイパビリティ関係'!$G$4:$G$494,Q$5,'VS×ケイパビリティ関係'!$E$4:$E$494,"主")&gt;0,"●",IF(COUNTIFS('VS×ケイパビリティ関係'!$F$4:$F$494,$B36,'VS×ケイパビリティ関係'!$G$4:$G$494,Q$5,'VS×ケイパビリティ関係'!$E$4:$E$494,"支援")&gt;0,"○",""))</f>
        <v/>
      </c>
      <c r="R36" s="22" t="str">
        <f>IF(COUNTIFS('VS×ケイパビリティ関係'!$F$4:$F$494,$B36,'VS×ケイパビリティ関係'!$G$4:$G$494,R$5,'VS×ケイパビリティ関係'!$E$4:$E$494,"主")&gt;0,"●",IF(COUNTIFS('VS×ケイパビリティ関係'!$F$4:$F$494,$B36,'VS×ケイパビリティ関係'!$G$4:$G$494,R$5,'VS×ケイパビリティ関係'!$E$4:$E$494,"支援")&gt;0,"○",""))</f>
        <v/>
      </c>
      <c r="S36" s="22" t="str">
        <f>IF(COUNTIFS('VS×ケイパビリティ関係'!$F$4:$F$494,$B36,'VS×ケイパビリティ関係'!$G$4:$G$494,S$5,'VS×ケイパビリティ関係'!$E$4:$E$494,"主")&gt;0,"●",IF(COUNTIFS('VS×ケイパビリティ関係'!$F$4:$F$494,$B36,'VS×ケイパビリティ関係'!$G$4:$G$494,S$5,'VS×ケイパビリティ関係'!$E$4:$E$494,"支援")&gt;0,"○",""))</f>
        <v/>
      </c>
      <c r="T36" s="22" t="str">
        <f>IF(COUNTIFS('VS×ケイパビリティ関係'!$F$4:$F$494,$B36,'VS×ケイパビリティ関係'!$G$4:$G$494,T$5,'VS×ケイパビリティ関係'!$E$4:$E$494,"主")&gt;0,"●",IF(COUNTIFS('VS×ケイパビリティ関係'!$F$4:$F$494,$B36,'VS×ケイパビリティ関係'!$G$4:$G$494,T$5,'VS×ケイパビリティ関係'!$E$4:$E$494,"支援")&gt;0,"○",""))</f>
        <v/>
      </c>
      <c r="U36" s="22" t="str">
        <f>IF(COUNTIFS('VS×ケイパビリティ関係'!$F$4:$F$494,$B36,'VS×ケイパビリティ関係'!$G$4:$G$494,U$5,'VS×ケイパビリティ関係'!$E$4:$E$494,"主")&gt;0,"●",IF(COUNTIFS('VS×ケイパビリティ関係'!$F$4:$F$494,$B36,'VS×ケイパビリティ関係'!$G$4:$G$494,U$5,'VS×ケイパビリティ関係'!$E$4:$E$494,"支援")&gt;0,"○",""))</f>
        <v/>
      </c>
      <c r="V36" s="22" t="str">
        <f>IF(COUNTIFS('VS×ケイパビリティ関係'!$F$4:$F$494,$B36,'VS×ケイパビリティ関係'!$G$4:$G$494,V$5,'VS×ケイパビリティ関係'!$E$4:$E$494,"主")&gt;0,"●",IF(COUNTIFS('VS×ケイパビリティ関係'!$F$4:$F$494,$B36,'VS×ケイパビリティ関係'!$G$4:$G$494,V$5,'VS×ケイパビリティ関係'!$E$4:$E$494,"支援")&gt;0,"○",""))</f>
        <v/>
      </c>
      <c r="W36" s="22" t="str">
        <f>IF(COUNTIFS('VS×ケイパビリティ関係'!$F$4:$F$494,$B36,'VS×ケイパビリティ関係'!$G$4:$G$494,W$5,'VS×ケイパビリティ関係'!$E$4:$E$494,"主")&gt;0,"●",IF(COUNTIFS('VS×ケイパビリティ関係'!$F$4:$F$494,$B36,'VS×ケイパビリティ関係'!$G$4:$G$494,W$5,'VS×ケイパビリティ関係'!$E$4:$E$494,"支援")&gt;0,"○",""))</f>
        <v/>
      </c>
      <c r="X36" s="22" t="str">
        <f>IF(COUNTIFS('VS×ケイパビリティ関係'!$F$4:$F$494,$B36,'VS×ケイパビリティ関係'!$G$4:$G$494,X$5,'VS×ケイパビリティ関係'!$E$4:$E$494,"主")&gt;0,"●",IF(COUNTIFS('VS×ケイパビリティ関係'!$F$4:$F$494,$B36,'VS×ケイパビリティ関係'!$G$4:$G$494,X$5,'VS×ケイパビリティ関係'!$E$4:$E$494,"支援")&gt;0,"○",""))</f>
        <v/>
      </c>
      <c r="Y36" s="22" t="str">
        <f>IF(COUNTIFS('VS×ケイパビリティ関係'!$F$4:$F$494,$B36,'VS×ケイパビリティ関係'!$G$4:$G$494,Y$5,'VS×ケイパビリティ関係'!$E$4:$E$494,"主")&gt;0,"●",IF(COUNTIFS('VS×ケイパビリティ関係'!$F$4:$F$494,$B36,'VS×ケイパビリティ関係'!$G$4:$G$494,Y$5,'VS×ケイパビリティ関係'!$E$4:$E$494,"支援")&gt;0,"○",""))</f>
        <v/>
      </c>
      <c r="Z36" s="22" t="str">
        <f>IF(COUNTIFS('VS×ケイパビリティ関係'!$F$4:$F$494,$B36,'VS×ケイパビリティ関係'!$G$4:$G$494,Z$5,'VS×ケイパビリティ関係'!$E$4:$E$494,"主")&gt;0,"●",IF(COUNTIFS('VS×ケイパビリティ関係'!$F$4:$F$494,$B36,'VS×ケイパビリティ関係'!$G$4:$G$494,Z$5,'VS×ケイパビリティ関係'!$E$4:$E$494,"支援")&gt;0,"○",""))</f>
        <v/>
      </c>
      <c r="AA36" s="22" t="str">
        <f>IF(COUNTIFS('VS×ケイパビリティ関係'!$F$4:$F$494,$B36,'VS×ケイパビリティ関係'!$G$4:$G$494,AA$5,'VS×ケイパビリティ関係'!$E$4:$E$494,"主")&gt;0,"●",IF(COUNTIFS('VS×ケイパビリティ関係'!$F$4:$F$494,$B36,'VS×ケイパビリティ関係'!$G$4:$G$494,AA$5,'VS×ケイパビリティ関係'!$E$4:$E$494,"支援")&gt;0,"○",""))</f>
        <v/>
      </c>
      <c r="AB36" s="22" t="str">
        <f>IF(COUNTIFS('VS×ケイパビリティ関係'!$F$4:$F$494,$B36,'VS×ケイパビリティ関係'!$G$4:$G$494,AB$5,'VS×ケイパビリティ関係'!$E$4:$E$494,"主")&gt;0,"●",IF(COUNTIFS('VS×ケイパビリティ関係'!$F$4:$F$494,$B36,'VS×ケイパビリティ関係'!$G$4:$G$494,AB$5,'VS×ケイパビリティ関係'!$E$4:$E$494,"支援")&gt;0,"○",""))</f>
        <v/>
      </c>
      <c r="AC36" s="22" t="str">
        <f>IF(COUNTIFS('VS×ケイパビリティ関係'!$F$4:$F$494,$B36,'VS×ケイパビリティ関係'!$G$4:$G$494,AC$5,'VS×ケイパビリティ関係'!$E$4:$E$494,"主")&gt;0,"●",IF(COUNTIFS('VS×ケイパビリティ関係'!$F$4:$F$494,$B36,'VS×ケイパビリティ関係'!$G$4:$G$494,AC$5,'VS×ケイパビリティ関係'!$E$4:$E$494,"支援")&gt;0,"○",""))</f>
        <v/>
      </c>
      <c r="AD36" s="22" t="str">
        <f>IF(COUNTIFS('VS×ケイパビリティ関係'!$F$4:$F$494,$B36,'VS×ケイパビリティ関係'!$G$4:$G$494,AD$5,'VS×ケイパビリティ関係'!$E$4:$E$494,"主")&gt;0,"●",IF(COUNTIFS('VS×ケイパビリティ関係'!$F$4:$F$494,$B36,'VS×ケイパビリティ関係'!$G$4:$G$494,AD$5,'VS×ケイパビリティ関係'!$E$4:$E$494,"支援")&gt;0,"○",""))</f>
        <v/>
      </c>
      <c r="AE36" s="22" t="str">
        <f>IF(COUNTIFS('VS×ケイパビリティ関係'!$F$4:$F$494,$B36,'VS×ケイパビリティ関係'!$G$4:$G$494,AE$5,'VS×ケイパビリティ関係'!$E$4:$E$494,"主")&gt;0,"●",IF(COUNTIFS('VS×ケイパビリティ関係'!$F$4:$F$494,$B36,'VS×ケイパビリティ関係'!$G$4:$G$494,AE$5,'VS×ケイパビリティ関係'!$E$4:$E$494,"支援")&gt;0,"○",""))</f>
        <v/>
      </c>
      <c r="AF36" s="22" t="str">
        <f>IF(COUNTIFS('VS×ケイパビリティ関係'!$F$4:$F$494,$B36,'VS×ケイパビリティ関係'!$G$4:$G$494,AF$5,'VS×ケイパビリティ関係'!$E$4:$E$494,"主")&gt;0,"●",IF(COUNTIFS('VS×ケイパビリティ関係'!$F$4:$F$494,$B36,'VS×ケイパビリティ関係'!$G$4:$G$494,AF$5,'VS×ケイパビリティ関係'!$E$4:$E$494,"支援")&gt;0,"○",""))</f>
        <v/>
      </c>
      <c r="AG36" s="22" t="str">
        <f>IF(COUNTIFS('VS×ケイパビリティ関係'!$F$4:$F$494,$B36,'VS×ケイパビリティ関係'!$G$4:$G$494,AG$5,'VS×ケイパビリティ関係'!$E$4:$E$494,"主")&gt;0,"●",IF(COUNTIFS('VS×ケイパビリティ関係'!$F$4:$F$494,$B36,'VS×ケイパビリティ関係'!$G$4:$G$494,AG$5,'VS×ケイパビリティ関係'!$E$4:$E$494,"支援")&gt;0,"○",""))</f>
        <v/>
      </c>
      <c r="AH36" s="22" t="str">
        <f>IF(COUNTIFS('VS×ケイパビリティ関係'!$F$4:$F$494,$B36,'VS×ケイパビリティ関係'!$G$4:$G$494,AH$5,'VS×ケイパビリティ関係'!$E$4:$E$494,"主")&gt;0,"●",IF(COUNTIFS('VS×ケイパビリティ関係'!$F$4:$F$494,$B36,'VS×ケイパビリティ関係'!$G$4:$G$494,AH$5,'VS×ケイパビリティ関係'!$E$4:$E$494,"支援")&gt;0,"○",""))</f>
        <v/>
      </c>
      <c r="AI36" s="22" t="str">
        <f>IF(COUNTIFS('VS×ケイパビリティ関係'!$F$4:$F$494,$B36,'VS×ケイパビリティ関係'!$G$4:$G$494,AI$5,'VS×ケイパビリティ関係'!$E$4:$E$494,"主")&gt;0,"●",IF(COUNTIFS('VS×ケイパビリティ関係'!$F$4:$F$494,$B36,'VS×ケイパビリティ関係'!$G$4:$G$494,AI$5,'VS×ケイパビリティ関係'!$E$4:$E$494,"支援")&gt;0,"○",""))</f>
        <v/>
      </c>
      <c r="AJ36" s="22" t="str">
        <f>IF(COUNTIFS('VS×ケイパビリティ関係'!$F$4:$F$494,$B36,'VS×ケイパビリティ関係'!$G$4:$G$494,AJ$5,'VS×ケイパビリティ関係'!$E$4:$E$494,"主")&gt;0,"●",IF(COUNTIFS('VS×ケイパビリティ関係'!$F$4:$F$494,$B36,'VS×ケイパビリティ関係'!$G$4:$G$494,AJ$5,'VS×ケイパビリティ関係'!$E$4:$E$494,"支援")&gt;0,"○",""))</f>
        <v>○</v>
      </c>
      <c r="AK36" s="22" t="str">
        <f>IF(COUNTIFS('VS×ケイパビリティ関係'!$F$4:$F$494,$B36,'VS×ケイパビリティ関係'!$G$4:$G$494,AK$5,'VS×ケイパビリティ関係'!$E$4:$E$494,"主")&gt;0,"●",IF(COUNTIFS('VS×ケイパビリティ関係'!$F$4:$F$494,$B36,'VS×ケイパビリティ関係'!$G$4:$G$494,AK$5,'VS×ケイパビリティ関係'!$E$4:$E$494,"支援")&gt;0,"○",""))</f>
        <v/>
      </c>
      <c r="AL36" s="22" t="str">
        <f>IF(COUNTIFS('VS×ケイパビリティ関係'!$F$4:$F$494,$B36,'VS×ケイパビリティ関係'!$G$4:$G$494,AL$5,'VS×ケイパビリティ関係'!$E$4:$E$494,"主")&gt;0,"●",IF(COUNTIFS('VS×ケイパビリティ関係'!$F$4:$F$494,$B36,'VS×ケイパビリティ関係'!$G$4:$G$494,AL$5,'VS×ケイパビリティ関係'!$E$4:$E$494,"支援")&gt;0,"○",""))</f>
        <v/>
      </c>
      <c r="AM36" s="22" t="str">
        <f>IF(COUNTIFS('VS×ケイパビリティ関係'!$F$4:$F$494,$B36,'VS×ケイパビリティ関係'!$G$4:$G$494,AM$5,'VS×ケイパビリティ関係'!$E$4:$E$494,"主")&gt;0,"●",IF(COUNTIFS('VS×ケイパビリティ関係'!$F$4:$F$494,$B36,'VS×ケイパビリティ関係'!$G$4:$G$494,AM$5,'VS×ケイパビリティ関係'!$E$4:$E$494,"支援")&gt;0,"○",""))</f>
        <v/>
      </c>
      <c r="AN36" s="22" t="str">
        <f>IF(COUNTIFS('VS×ケイパビリティ関係'!$F$4:$F$494,$B36,'VS×ケイパビリティ関係'!$G$4:$G$494,AN$5,'VS×ケイパビリティ関係'!$E$4:$E$494,"主")&gt;0,"●",IF(COUNTIFS('VS×ケイパビリティ関係'!$F$4:$F$494,$B36,'VS×ケイパビリティ関係'!$G$4:$G$494,AN$5,'VS×ケイパビリティ関係'!$E$4:$E$494,"支援")&gt;0,"○",""))</f>
        <v/>
      </c>
      <c r="AO36" s="22" t="str">
        <f>IF(COUNTIFS('VS×ケイパビリティ関係'!$F$4:$F$494,$B36,'VS×ケイパビリティ関係'!$G$4:$G$494,AO$5,'VS×ケイパビリティ関係'!$E$4:$E$494,"主")&gt;0,"●",IF(COUNTIFS('VS×ケイパビリティ関係'!$F$4:$F$494,$B36,'VS×ケイパビリティ関係'!$G$4:$G$494,AO$5,'VS×ケイパビリティ関係'!$E$4:$E$494,"支援")&gt;0,"○",""))</f>
        <v/>
      </c>
      <c r="AP36" s="22" t="str">
        <f>IF(COUNTIFS('VS×ケイパビリティ関係'!$F$4:$F$494,$B36,'VS×ケイパビリティ関係'!$G$4:$G$494,AP$5,'VS×ケイパビリティ関係'!$E$4:$E$494,"主")&gt;0,"●",IF(COUNTIFS('VS×ケイパビリティ関係'!$F$4:$F$494,$B36,'VS×ケイパビリティ関係'!$G$4:$G$494,AP$5,'VS×ケイパビリティ関係'!$E$4:$E$494,"支援")&gt;0,"○",""))</f>
        <v/>
      </c>
      <c r="AQ36" s="22" t="str">
        <f>IF(COUNTIFS('VS×ケイパビリティ関係'!$F$4:$F$494,$B36,'VS×ケイパビリティ関係'!$G$4:$G$494,AQ$5,'VS×ケイパビリティ関係'!$E$4:$E$494,"主")&gt;0,"●",IF(COUNTIFS('VS×ケイパビリティ関係'!$F$4:$F$494,$B36,'VS×ケイパビリティ関係'!$G$4:$G$494,AQ$5,'VS×ケイパビリティ関係'!$E$4:$E$494,"支援")&gt;0,"○",""))</f>
        <v/>
      </c>
      <c r="AR36" s="22" t="str">
        <f>IF(COUNTIFS('VS×ケイパビリティ関係'!$F$4:$F$494,$B36,'VS×ケイパビリティ関係'!$G$4:$G$494,AR$5,'VS×ケイパビリティ関係'!$E$4:$E$494,"主")&gt;0,"●",IF(COUNTIFS('VS×ケイパビリティ関係'!$F$4:$F$494,$B36,'VS×ケイパビリティ関係'!$G$4:$G$494,AR$5,'VS×ケイパビリティ関係'!$E$4:$E$494,"支援")&gt;0,"○",""))</f>
        <v/>
      </c>
      <c r="AS36" s="22" t="str">
        <f>IF(COUNTIFS('VS×ケイパビリティ関係'!$F$4:$F$494,$B36,'VS×ケイパビリティ関係'!$G$4:$G$494,AS$5,'VS×ケイパビリティ関係'!$E$4:$E$494,"主")&gt;0,"●",IF(COUNTIFS('VS×ケイパビリティ関係'!$F$4:$F$494,$B36,'VS×ケイパビリティ関係'!$G$4:$G$494,AS$5,'VS×ケイパビリティ関係'!$E$4:$E$494,"支援")&gt;0,"○",""))</f>
        <v/>
      </c>
      <c r="AT36" s="22" t="str">
        <f>IF(COUNTIFS('VS×ケイパビリティ関係'!$F$4:$F$494,$B36,'VS×ケイパビリティ関係'!$G$4:$G$494,AT$5,'VS×ケイパビリティ関係'!$E$4:$E$494,"主")&gt;0,"●",IF(COUNTIFS('VS×ケイパビリティ関係'!$F$4:$F$494,$B36,'VS×ケイパビリティ関係'!$G$4:$G$494,AT$5,'VS×ケイパビリティ関係'!$E$4:$E$494,"支援")&gt;0,"○",""))</f>
        <v/>
      </c>
      <c r="AU36" s="22" t="str">
        <f>IF(COUNTIFS('VS×ケイパビリティ関係'!$F$4:$F$494,$B36,'VS×ケイパビリティ関係'!$G$4:$G$494,AU$5,'VS×ケイパビリティ関係'!$E$4:$E$494,"主")&gt;0,"●",IF(COUNTIFS('VS×ケイパビリティ関係'!$F$4:$F$494,$B36,'VS×ケイパビリティ関係'!$G$4:$G$494,AU$5,'VS×ケイパビリティ関係'!$E$4:$E$494,"支援")&gt;0,"○",""))</f>
        <v/>
      </c>
      <c r="AV36" s="22" t="str">
        <f>IF(COUNTIFS('VS×ケイパビリティ関係'!$F$4:$F$494,$B36,'VS×ケイパビリティ関係'!$G$4:$G$494,AV$5,'VS×ケイパビリティ関係'!$E$4:$E$494,"主")&gt;0,"●",IF(COUNTIFS('VS×ケイパビリティ関係'!$F$4:$F$494,$B36,'VS×ケイパビリティ関係'!$G$4:$G$494,AV$5,'VS×ケイパビリティ関係'!$E$4:$E$494,"支援")&gt;0,"○",""))</f>
        <v/>
      </c>
      <c r="AW36" s="22" t="str">
        <f>IF(COUNTIFS('VS×ケイパビリティ関係'!$F$4:$F$494,$B36,'VS×ケイパビリティ関係'!$G$4:$G$494,AW$5,'VS×ケイパビリティ関係'!$E$4:$E$494,"主")&gt;0,"●",IF(COUNTIFS('VS×ケイパビリティ関係'!$F$4:$F$494,$B36,'VS×ケイパビリティ関係'!$G$4:$G$494,AW$5,'VS×ケイパビリティ関係'!$E$4:$E$494,"支援")&gt;0,"○",""))</f>
        <v/>
      </c>
      <c r="AX36" s="22" t="str">
        <f>IF(COUNTIFS('VS×ケイパビリティ関係'!$F$4:$F$494,$B36,'VS×ケイパビリティ関係'!$G$4:$G$494,AX$5,'VS×ケイパビリティ関係'!$E$4:$E$494,"主")&gt;0,"●",IF(COUNTIFS('VS×ケイパビリティ関係'!$F$4:$F$494,$B36,'VS×ケイパビリティ関係'!$G$4:$G$494,AX$5,'VS×ケイパビリティ関係'!$E$4:$E$494,"支援")&gt;0,"○",""))</f>
        <v>●</v>
      </c>
      <c r="AY36" s="22" t="str">
        <f>IF(COUNTIFS('VS×ケイパビリティ関係'!$F$4:$F$494,$B36,'VS×ケイパビリティ関係'!$G$4:$G$494,AY$5,'VS×ケイパビリティ関係'!$E$4:$E$494,"主")&gt;0,"●",IF(COUNTIFS('VS×ケイパビリティ関係'!$F$4:$F$494,$B36,'VS×ケイパビリティ関係'!$G$4:$G$494,AY$5,'VS×ケイパビリティ関係'!$E$4:$E$494,"支援")&gt;0,"○",""))</f>
        <v/>
      </c>
      <c r="AZ36" s="22" t="str">
        <f>IF(COUNTIFS('VS×ケイパビリティ関係'!$F$4:$F$494,$B36,'VS×ケイパビリティ関係'!$G$4:$G$494,AZ$5,'VS×ケイパビリティ関係'!$E$4:$E$494,"主")&gt;0,"●",IF(COUNTIFS('VS×ケイパビリティ関係'!$F$4:$F$494,$B36,'VS×ケイパビリティ関係'!$G$4:$G$494,AZ$5,'VS×ケイパビリティ関係'!$E$4:$E$494,"支援")&gt;0,"○",""))</f>
        <v>●</v>
      </c>
      <c r="BA36" s="22" t="str">
        <f>IF(COUNTIFS('VS×ケイパビリティ関係'!$F$4:$F$494,$B36,'VS×ケイパビリティ関係'!$G$4:$G$494,BA$5,'VS×ケイパビリティ関係'!$E$4:$E$494,"主")&gt;0,"●",IF(COUNTIFS('VS×ケイパビリティ関係'!$F$4:$F$494,$B36,'VS×ケイパビリティ関係'!$G$4:$G$494,BA$5,'VS×ケイパビリティ関係'!$E$4:$E$494,"支援")&gt;0,"○",""))</f>
        <v>●</v>
      </c>
      <c r="BB36" s="22" t="str">
        <f>IF(COUNTIFS('VS×ケイパビリティ関係'!$F$4:$F$494,$B36,'VS×ケイパビリティ関係'!$G$4:$G$494,BB$5,'VS×ケイパビリティ関係'!$E$4:$E$494,"主")&gt;0,"●",IF(COUNTIFS('VS×ケイパビリティ関係'!$F$4:$F$494,$B36,'VS×ケイパビリティ関係'!$G$4:$G$494,BB$5,'VS×ケイパビリティ関係'!$E$4:$E$494,"支援")&gt;0,"○",""))</f>
        <v/>
      </c>
      <c r="BC36" s="22" t="str">
        <f>IF(COUNTIFS('VS×ケイパビリティ関係'!$F$4:$F$494,$B36,'VS×ケイパビリティ関係'!$G$4:$G$494,BC$5,'VS×ケイパビリティ関係'!$E$4:$E$494,"主")&gt;0,"●",IF(COUNTIFS('VS×ケイパビリティ関係'!$F$4:$F$494,$B36,'VS×ケイパビリティ関係'!$G$4:$G$494,BC$5,'VS×ケイパビリティ関係'!$E$4:$E$494,"支援")&gt;0,"○",""))</f>
        <v/>
      </c>
      <c r="BD36" s="22" t="str">
        <f>IF(COUNTIFS('VS×ケイパビリティ関係'!$F$4:$F$494,$B36,'VS×ケイパビリティ関係'!$G$4:$G$494,BD$5,'VS×ケイパビリティ関係'!$E$4:$E$494,"主")&gt;0,"●",IF(COUNTIFS('VS×ケイパビリティ関係'!$F$4:$F$494,$B36,'VS×ケイパビリティ関係'!$G$4:$G$494,BD$5,'VS×ケイパビリティ関係'!$E$4:$E$494,"支援")&gt;0,"○",""))</f>
        <v/>
      </c>
      <c r="BE36" s="22">
        <f t="shared" si="1"/>
        <v>3</v>
      </c>
      <c r="BF36" s="22">
        <f t="shared" si="2"/>
        <v>1</v>
      </c>
    </row>
    <row r="37" ht="15.0" customHeight="1">
      <c r="A37" s="42" t="s">
        <v>3039</v>
      </c>
      <c r="B37" s="22" t="s">
        <v>2075</v>
      </c>
      <c r="C37" s="25" t="s">
        <v>2076</v>
      </c>
      <c r="D37" s="22" t="str">
        <f>IF(COUNTIFS('VS×ケイパビリティ関係'!$F$4:$F$494,$B37,'VS×ケイパビリティ関係'!$G$4:$G$494,D$5,'VS×ケイパビリティ関係'!$E$4:$E$494,"主")&gt;0,"●",IF(COUNTIFS('VS×ケイパビリティ関係'!$F$4:$F$494,$B37,'VS×ケイパビリティ関係'!$G$4:$G$494,D$5,'VS×ケイパビリティ関係'!$E$4:$E$494,"支援")&gt;0,"○",""))</f>
        <v/>
      </c>
      <c r="E37" s="22" t="str">
        <f>IF(COUNTIFS('VS×ケイパビリティ関係'!$F$4:$F$494,$B37,'VS×ケイパビリティ関係'!$G$4:$G$494,E$5,'VS×ケイパビリティ関係'!$E$4:$E$494,"主")&gt;0,"●",IF(COUNTIFS('VS×ケイパビリティ関係'!$F$4:$F$494,$B37,'VS×ケイパビリティ関係'!$G$4:$G$494,E$5,'VS×ケイパビリティ関係'!$E$4:$E$494,"支援")&gt;0,"○",""))</f>
        <v/>
      </c>
      <c r="F37" s="22" t="str">
        <f>IF(COUNTIFS('VS×ケイパビリティ関係'!$F$4:$F$494,$B37,'VS×ケイパビリティ関係'!$G$4:$G$494,F$5,'VS×ケイパビリティ関係'!$E$4:$E$494,"主")&gt;0,"●",IF(COUNTIFS('VS×ケイパビリティ関係'!$F$4:$F$494,$B37,'VS×ケイパビリティ関係'!$G$4:$G$494,F$5,'VS×ケイパビリティ関係'!$E$4:$E$494,"支援")&gt;0,"○",""))</f>
        <v/>
      </c>
      <c r="G37" s="22" t="str">
        <f>IF(COUNTIFS('VS×ケイパビリティ関係'!$F$4:$F$494,$B37,'VS×ケイパビリティ関係'!$G$4:$G$494,G$5,'VS×ケイパビリティ関係'!$E$4:$E$494,"主")&gt;0,"●",IF(COUNTIFS('VS×ケイパビリティ関係'!$F$4:$F$494,$B37,'VS×ケイパビリティ関係'!$G$4:$G$494,G$5,'VS×ケイパビリティ関係'!$E$4:$E$494,"支援")&gt;0,"○",""))</f>
        <v/>
      </c>
      <c r="H37" s="22" t="str">
        <f>IF(COUNTIFS('VS×ケイパビリティ関係'!$F$4:$F$494,$B37,'VS×ケイパビリティ関係'!$G$4:$G$494,H$5,'VS×ケイパビリティ関係'!$E$4:$E$494,"主")&gt;0,"●",IF(COUNTIFS('VS×ケイパビリティ関係'!$F$4:$F$494,$B37,'VS×ケイパビリティ関係'!$G$4:$G$494,H$5,'VS×ケイパビリティ関係'!$E$4:$E$494,"支援")&gt;0,"○",""))</f>
        <v/>
      </c>
      <c r="I37" s="22" t="str">
        <f>IF(COUNTIFS('VS×ケイパビリティ関係'!$F$4:$F$494,$B37,'VS×ケイパビリティ関係'!$G$4:$G$494,I$5,'VS×ケイパビリティ関係'!$E$4:$E$494,"主")&gt;0,"●",IF(COUNTIFS('VS×ケイパビリティ関係'!$F$4:$F$494,$B37,'VS×ケイパビリティ関係'!$G$4:$G$494,I$5,'VS×ケイパビリティ関係'!$E$4:$E$494,"支援")&gt;0,"○",""))</f>
        <v/>
      </c>
      <c r="J37" s="22" t="str">
        <f>IF(COUNTIFS('VS×ケイパビリティ関係'!$F$4:$F$494,$B37,'VS×ケイパビリティ関係'!$G$4:$G$494,J$5,'VS×ケイパビリティ関係'!$E$4:$E$494,"主")&gt;0,"●",IF(COUNTIFS('VS×ケイパビリティ関係'!$F$4:$F$494,$B37,'VS×ケイパビリティ関係'!$G$4:$G$494,J$5,'VS×ケイパビリティ関係'!$E$4:$E$494,"支援")&gt;0,"○",""))</f>
        <v/>
      </c>
      <c r="K37" s="22" t="str">
        <f>IF(COUNTIFS('VS×ケイパビリティ関係'!$F$4:$F$494,$B37,'VS×ケイパビリティ関係'!$G$4:$G$494,K$5,'VS×ケイパビリティ関係'!$E$4:$E$494,"主")&gt;0,"●",IF(COUNTIFS('VS×ケイパビリティ関係'!$F$4:$F$494,$B37,'VS×ケイパビリティ関係'!$G$4:$G$494,K$5,'VS×ケイパビリティ関係'!$E$4:$E$494,"支援")&gt;0,"○",""))</f>
        <v/>
      </c>
      <c r="L37" s="22" t="str">
        <f>IF(COUNTIFS('VS×ケイパビリティ関係'!$F$4:$F$494,$B37,'VS×ケイパビリティ関係'!$G$4:$G$494,L$5,'VS×ケイパビリティ関係'!$E$4:$E$494,"主")&gt;0,"●",IF(COUNTIFS('VS×ケイパビリティ関係'!$F$4:$F$494,$B37,'VS×ケイパビリティ関係'!$G$4:$G$494,L$5,'VS×ケイパビリティ関係'!$E$4:$E$494,"支援")&gt;0,"○",""))</f>
        <v/>
      </c>
      <c r="M37" s="22" t="str">
        <f>IF(COUNTIFS('VS×ケイパビリティ関係'!$F$4:$F$494,$B37,'VS×ケイパビリティ関係'!$G$4:$G$494,M$5,'VS×ケイパビリティ関係'!$E$4:$E$494,"主")&gt;0,"●",IF(COUNTIFS('VS×ケイパビリティ関係'!$F$4:$F$494,$B37,'VS×ケイパビリティ関係'!$G$4:$G$494,M$5,'VS×ケイパビリティ関係'!$E$4:$E$494,"支援")&gt;0,"○",""))</f>
        <v/>
      </c>
      <c r="N37" s="22" t="str">
        <f>IF(COUNTIFS('VS×ケイパビリティ関係'!$F$4:$F$494,$B37,'VS×ケイパビリティ関係'!$G$4:$G$494,N$5,'VS×ケイパビリティ関係'!$E$4:$E$494,"主")&gt;0,"●",IF(COUNTIFS('VS×ケイパビリティ関係'!$F$4:$F$494,$B37,'VS×ケイパビリティ関係'!$G$4:$G$494,N$5,'VS×ケイパビリティ関係'!$E$4:$E$494,"支援")&gt;0,"○",""))</f>
        <v/>
      </c>
      <c r="O37" s="22" t="str">
        <f>IF(COUNTIFS('VS×ケイパビリティ関係'!$F$4:$F$494,$B37,'VS×ケイパビリティ関係'!$G$4:$G$494,O$5,'VS×ケイパビリティ関係'!$E$4:$E$494,"主")&gt;0,"●",IF(COUNTIFS('VS×ケイパビリティ関係'!$F$4:$F$494,$B37,'VS×ケイパビリティ関係'!$G$4:$G$494,O$5,'VS×ケイパビリティ関係'!$E$4:$E$494,"支援")&gt;0,"○",""))</f>
        <v/>
      </c>
      <c r="P37" s="22" t="str">
        <f>IF(COUNTIFS('VS×ケイパビリティ関係'!$F$4:$F$494,$B37,'VS×ケイパビリティ関係'!$G$4:$G$494,P$5,'VS×ケイパビリティ関係'!$E$4:$E$494,"主")&gt;0,"●",IF(COUNTIFS('VS×ケイパビリティ関係'!$F$4:$F$494,$B37,'VS×ケイパビリティ関係'!$G$4:$G$494,P$5,'VS×ケイパビリティ関係'!$E$4:$E$494,"支援")&gt;0,"○",""))</f>
        <v/>
      </c>
      <c r="Q37" s="22" t="str">
        <f>IF(COUNTIFS('VS×ケイパビリティ関係'!$F$4:$F$494,$B37,'VS×ケイパビリティ関係'!$G$4:$G$494,Q$5,'VS×ケイパビリティ関係'!$E$4:$E$494,"主")&gt;0,"●",IF(COUNTIFS('VS×ケイパビリティ関係'!$F$4:$F$494,$B37,'VS×ケイパビリティ関係'!$G$4:$G$494,Q$5,'VS×ケイパビリティ関係'!$E$4:$E$494,"支援")&gt;0,"○",""))</f>
        <v/>
      </c>
      <c r="R37" s="22" t="str">
        <f>IF(COUNTIFS('VS×ケイパビリティ関係'!$F$4:$F$494,$B37,'VS×ケイパビリティ関係'!$G$4:$G$494,R$5,'VS×ケイパビリティ関係'!$E$4:$E$494,"主")&gt;0,"●",IF(COUNTIFS('VS×ケイパビリティ関係'!$F$4:$F$494,$B37,'VS×ケイパビリティ関係'!$G$4:$G$494,R$5,'VS×ケイパビリティ関係'!$E$4:$E$494,"支援")&gt;0,"○",""))</f>
        <v/>
      </c>
      <c r="S37" s="22" t="str">
        <f>IF(COUNTIFS('VS×ケイパビリティ関係'!$F$4:$F$494,$B37,'VS×ケイパビリティ関係'!$G$4:$G$494,S$5,'VS×ケイパビリティ関係'!$E$4:$E$494,"主")&gt;0,"●",IF(COUNTIFS('VS×ケイパビリティ関係'!$F$4:$F$494,$B37,'VS×ケイパビリティ関係'!$G$4:$G$494,S$5,'VS×ケイパビリティ関係'!$E$4:$E$494,"支援")&gt;0,"○",""))</f>
        <v/>
      </c>
      <c r="T37" s="22" t="str">
        <f>IF(COUNTIFS('VS×ケイパビリティ関係'!$F$4:$F$494,$B37,'VS×ケイパビリティ関係'!$G$4:$G$494,T$5,'VS×ケイパビリティ関係'!$E$4:$E$494,"主")&gt;0,"●",IF(COUNTIFS('VS×ケイパビリティ関係'!$F$4:$F$494,$B37,'VS×ケイパビリティ関係'!$G$4:$G$494,T$5,'VS×ケイパビリティ関係'!$E$4:$E$494,"支援")&gt;0,"○",""))</f>
        <v/>
      </c>
      <c r="U37" s="22" t="str">
        <f>IF(COUNTIFS('VS×ケイパビリティ関係'!$F$4:$F$494,$B37,'VS×ケイパビリティ関係'!$G$4:$G$494,U$5,'VS×ケイパビリティ関係'!$E$4:$E$494,"主")&gt;0,"●",IF(COUNTIFS('VS×ケイパビリティ関係'!$F$4:$F$494,$B37,'VS×ケイパビリティ関係'!$G$4:$G$494,U$5,'VS×ケイパビリティ関係'!$E$4:$E$494,"支援")&gt;0,"○",""))</f>
        <v/>
      </c>
      <c r="V37" s="22" t="str">
        <f>IF(COUNTIFS('VS×ケイパビリティ関係'!$F$4:$F$494,$B37,'VS×ケイパビリティ関係'!$G$4:$G$494,V$5,'VS×ケイパビリティ関係'!$E$4:$E$494,"主")&gt;0,"●",IF(COUNTIFS('VS×ケイパビリティ関係'!$F$4:$F$494,$B37,'VS×ケイパビリティ関係'!$G$4:$G$494,V$5,'VS×ケイパビリティ関係'!$E$4:$E$494,"支援")&gt;0,"○",""))</f>
        <v>○</v>
      </c>
      <c r="W37" s="22" t="str">
        <f>IF(COUNTIFS('VS×ケイパビリティ関係'!$F$4:$F$494,$B37,'VS×ケイパビリティ関係'!$G$4:$G$494,W$5,'VS×ケイパビリティ関係'!$E$4:$E$494,"主")&gt;0,"●",IF(COUNTIFS('VS×ケイパビリティ関係'!$F$4:$F$494,$B37,'VS×ケイパビリティ関係'!$G$4:$G$494,W$5,'VS×ケイパビリティ関係'!$E$4:$E$494,"支援")&gt;0,"○",""))</f>
        <v/>
      </c>
      <c r="X37" s="22" t="str">
        <f>IF(COUNTIFS('VS×ケイパビリティ関係'!$F$4:$F$494,$B37,'VS×ケイパビリティ関係'!$G$4:$G$494,X$5,'VS×ケイパビリティ関係'!$E$4:$E$494,"主")&gt;0,"●",IF(COUNTIFS('VS×ケイパビリティ関係'!$F$4:$F$494,$B37,'VS×ケイパビリティ関係'!$G$4:$G$494,X$5,'VS×ケイパビリティ関係'!$E$4:$E$494,"支援")&gt;0,"○",""))</f>
        <v/>
      </c>
      <c r="Y37" s="22" t="str">
        <f>IF(COUNTIFS('VS×ケイパビリティ関係'!$F$4:$F$494,$B37,'VS×ケイパビリティ関係'!$G$4:$G$494,Y$5,'VS×ケイパビリティ関係'!$E$4:$E$494,"主")&gt;0,"●",IF(COUNTIFS('VS×ケイパビリティ関係'!$F$4:$F$494,$B37,'VS×ケイパビリティ関係'!$G$4:$G$494,Y$5,'VS×ケイパビリティ関係'!$E$4:$E$494,"支援")&gt;0,"○",""))</f>
        <v/>
      </c>
      <c r="Z37" s="22" t="str">
        <f>IF(COUNTIFS('VS×ケイパビリティ関係'!$F$4:$F$494,$B37,'VS×ケイパビリティ関係'!$G$4:$G$494,Z$5,'VS×ケイパビリティ関係'!$E$4:$E$494,"主")&gt;0,"●",IF(COUNTIFS('VS×ケイパビリティ関係'!$F$4:$F$494,$B37,'VS×ケイパビリティ関係'!$G$4:$G$494,Z$5,'VS×ケイパビリティ関係'!$E$4:$E$494,"支援")&gt;0,"○",""))</f>
        <v/>
      </c>
      <c r="AA37" s="22" t="str">
        <f>IF(COUNTIFS('VS×ケイパビリティ関係'!$F$4:$F$494,$B37,'VS×ケイパビリティ関係'!$G$4:$G$494,AA$5,'VS×ケイパビリティ関係'!$E$4:$E$494,"主")&gt;0,"●",IF(COUNTIFS('VS×ケイパビリティ関係'!$F$4:$F$494,$B37,'VS×ケイパビリティ関係'!$G$4:$G$494,AA$5,'VS×ケイパビリティ関係'!$E$4:$E$494,"支援")&gt;0,"○",""))</f>
        <v/>
      </c>
      <c r="AB37" s="22" t="str">
        <f>IF(COUNTIFS('VS×ケイパビリティ関係'!$F$4:$F$494,$B37,'VS×ケイパビリティ関係'!$G$4:$G$494,AB$5,'VS×ケイパビリティ関係'!$E$4:$E$494,"主")&gt;0,"●",IF(COUNTIFS('VS×ケイパビリティ関係'!$F$4:$F$494,$B37,'VS×ケイパビリティ関係'!$G$4:$G$494,AB$5,'VS×ケイパビリティ関係'!$E$4:$E$494,"支援")&gt;0,"○",""))</f>
        <v/>
      </c>
      <c r="AC37" s="22" t="str">
        <f>IF(COUNTIFS('VS×ケイパビリティ関係'!$F$4:$F$494,$B37,'VS×ケイパビリティ関係'!$G$4:$G$494,AC$5,'VS×ケイパビリティ関係'!$E$4:$E$494,"主")&gt;0,"●",IF(COUNTIFS('VS×ケイパビリティ関係'!$F$4:$F$494,$B37,'VS×ケイパビリティ関係'!$G$4:$G$494,AC$5,'VS×ケイパビリティ関係'!$E$4:$E$494,"支援")&gt;0,"○",""))</f>
        <v/>
      </c>
      <c r="AD37" s="22" t="str">
        <f>IF(COUNTIFS('VS×ケイパビリティ関係'!$F$4:$F$494,$B37,'VS×ケイパビリティ関係'!$G$4:$G$494,AD$5,'VS×ケイパビリティ関係'!$E$4:$E$494,"主")&gt;0,"●",IF(COUNTIFS('VS×ケイパビリティ関係'!$F$4:$F$494,$B37,'VS×ケイパビリティ関係'!$G$4:$G$494,AD$5,'VS×ケイパビリティ関係'!$E$4:$E$494,"支援")&gt;0,"○",""))</f>
        <v/>
      </c>
      <c r="AE37" s="22" t="str">
        <f>IF(COUNTIFS('VS×ケイパビリティ関係'!$F$4:$F$494,$B37,'VS×ケイパビリティ関係'!$G$4:$G$494,AE$5,'VS×ケイパビリティ関係'!$E$4:$E$494,"主")&gt;0,"●",IF(COUNTIFS('VS×ケイパビリティ関係'!$F$4:$F$494,$B37,'VS×ケイパビリティ関係'!$G$4:$G$494,AE$5,'VS×ケイパビリティ関係'!$E$4:$E$494,"支援")&gt;0,"○",""))</f>
        <v/>
      </c>
      <c r="AF37" s="22" t="str">
        <f>IF(COUNTIFS('VS×ケイパビリティ関係'!$F$4:$F$494,$B37,'VS×ケイパビリティ関係'!$G$4:$G$494,AF$5,'VS×ケイパビリティ関係'!$E$4:$E$494,"主")&gt;0,"●",IF(COUNTIFS('VS×ケイパビリティ関係'!$F$4:$F$494,$B37,'VS×ケイパビリティ関係'!$G$4:$G$494,AF$5,'VS×ケイパビリティ関係'!$E$4:$E$494,"支援")&gt;0,"○",""))</f>
        <v/>
      </c>
      <c r="AG37" s="22" t="str">
        <f>IF(COUNTIFS('VS×ケイパビリティ関係'!$F$4:$F$494,$B37,'VS×ケイパビリティ関係'!$G$4:$G$494,AG$5,'VS×ケイパビリティ関係'!$E$4:$E$494,"主")&gt;0,"●",IF(COUNTIFS('VS×ケイパビリティ関係'!$F$4:$F$494,$B37,'VS×ケイパビリティ関係'!$G$4:$G$494,AG$5,'VS×ケイパビリティ関係'!$E$4:$E$494,"支援")&gt;0,"○",""))</f>
        <v/>
      </c>
      <c r="AH37" s="22" t="str">
        <f>IF(COUNTIFS('VS×ケイパビリティ関係'!$F$4:$F$494,$B37,'VS×ケイパビリティ関係'!$G$4:$G$494,AH$5,'VS×ケイパビリティ関係'!$E$4:$E$494,"主")&gt;0,"●",IF(COUNTIFS('VS×ケイパビリティ関係'!$F$4:$F$494,$B37,'VS×ケイパビリティ関係'!$G$4:$G$494,AH$5,'VS×ケイパビリティ関係'!$E$4:$E$494,"支援")&gt;0,"○",""))</f>
        <v/>
      </c>
      <c r="AI37" s="22" t="str">
        <f>IF(COUNTIFS('VS×ケイパビリティ関係'!$F$4:$F$494,$B37,'VS×ケイパビリティ関係'!$G$4:$G$494,AI$5,'VS×ケイパビリティ関係'!$E$4:$E$494,"主")&gt;0,"●",IF(COUNTIFS('VS×ケイパビリティ関係'!$F$4:$F$494,$B37,'VS×ケイパビリティ関係'!$G$4:$G$494,AI$5,'VS×ケイパビリティ関係'!$E$4:$E$494,"支援")&gt;0,"○",""))</f>
        <v/>
      </c>
      <c r="AJ37" s="22" t="str">
        <f>IF(COUNTIFS('VS×ケイパビリティ関係'!$F$4:$F$494,$B37,'VS×ケイパビリティ関係'!$G$4:$G$494,AJ$5,'VS×ケイパビリティ関係'!$E$4:$E$494,"主")&gt;0,"●",IF(COUNTIFS('VS×ケイパビリティ関係'!$F$4:$F$494,$B37,'VS×ケイパビリティ関係'!$G$4:$G$494,AJ$5,'VS×ケイパビリティ関係'!$E$4:$E$494,"支援")&gt;0,"○",""))</f>
        <v>○</v>
      </c>
      <c r="AK37" s="22" t="str">
        <f>IF(COUNTIFS('VS×ケイパビリティ関係'!$F$4:$F$494,$B37,'VS×ケイパビリティ関係'!$G$4:$G$494,AK$5,'VS×ケイパビリティ関係'!$E$4:$E$494,"主")&gt;0,"●",IF(COUNTIFS('VS×ケイパビリティ関係'!$F$4:$F$494,$B37,'VS×ケイパビリティ関係'!$G$4:$G$494,AK$5,'VS×ケイパビリティ関係'!$E$4:$E$494,"支援")&gt;0,"○",""))</f>
        <v/>
      </c>
      <c r="AL37" s="22" t="str">
        <f>IF(COUNTIFS('VS×ケイパビリティ関係'!$F$4:$F$494,$B37,'VS×ケイパビリティ関係'!$G$4:$G$494,AL$5,'VS×ケイパビリティ関係'!$E$4:$E$494,"主")&gt;0,"●",IF(COUNTIFS('VS×ケイパビリティ関係'!$F$4:$F$494,$B37,'VS×ケイパビリティ関係'!$G$4:$G$494,AL$5,'VS×ケイパビリティ関係'!$E$4:$E$494,"支援")&gt;0,"○",""))</f>
        <v/>
      </c>
      <c r="AM37" s="22" t="str">
        <f>IF(COUNTIFS('VS×ケイパビリティ関係'!$F$4:$F$494,$B37,'VS×ケイパビリティ関係'!$G$4:$G$494,AM$5,'VS×ケイパビリティ関係'!$E$4:$E$494,"主")&gt;0,"●",IF(COUNTIFS('VS×ケイパビリティ関係'!$F$4:$F$494,$B37,'VS×ケイパビリティ関係'!$G$4:$G$494,AM$5,'VS×ケイパビリティ関係'!$E$4:$E$494,"支援")&gt;0,"○",""))</f>
        <v>●</v>
      </c>
      <c r="AN37" s="22" t="str">
        <f>IF(COUNTIFS('VS×ケイパビリティ関係'!$F$4:$F$494,$B37,'VS×ケイパビリティ関係'!$G$4:$G$494,AN$5,'VS×ケイパビリティ関係'!$E$4:$E$494,"主")&gt;0,"●",IF(COUNTIFS('VS×ケイパビリティ関係'!$F$4:$F$494,$B37,'VS×ケイパビリティ関係'!$G$4:$G$494,AN$5,'VS×ケイパビリティ関係'!$E$4:$E$494,"支援")&gt;0,"○",""))</f>
        <v>●</v>
      </c>
      <c r="AO37" s="22" t="str">
        <f>IF(COUNTIFS('VS×ケイパビリティ関係'!$F$4:$F$494,$B37,'VS×ケイパビリティ関係'!$G$4:$G$494,AO$5,'VS×ケイパビリティ関係'!$E$4:$E$494,"主")&gt;0,"●",IF(COUNTIFS('VS×ケイパビリティ関係'!$F$4:$F$494,$B37,'VS×ケイパビリティ関係'!$G$4:$G$494,AO$5,'VS×ケイパビリティ関係'!$E$4:$E$494,"支援")&gt;0,"○",""))</f>
        <v/>
      </c>
      <c r="AP37" s="22" t="str">
        <f>IF(COUNTIFS('VS×ケイパビリティ関係'!$F$4:$F$494,$B37,'VS×ケイパビリティ関係'!$G$4:$G$494,AP$5,'VS×ケイパビリティ関係'!$E$4:$E$494,"主")&gt;0,"●",IF(COUNTIFS('VS×ケイパビリティ関係'!$F$4:$F$494,$B37,'VS×ケイパビリティ関係'!$G$4:$G$494,AP$5,'VS×ケイパビリティ関係'!$E$4:$E$494,"支援")&gt;0,"○",""))</f>
        <v>○</v>
      </c>
      <c r="AQ37" s="22" t="str">
        <f>IF(COUNTIFS('VS×ケイパビリティ関係'!$F$4:$F$494,$B37,'VS×ケイパビリティ関係'!$G$4:$G$494,AQ$5,'VS×ケイパビリティ関係'!$E$4:$E$494,"主")&gt;0,"●",IF(COUNTIFS('VS×ケイパビリティ関係'!$F$4:$F$494,$B37,'VS×ケイパビリティ関係'!$G$4:$G$494,AQ$5,'VS×ケイパビリティ関係'!$E$4:$E$494,"支援")&gt;0,"○",""))</f>
        <v/>
      </c>
      <c r="AR37" s="22" t="str">
        <f>IF(COUNTIFS('VS×ケイパビリティ関係'!$F$4:$F$494,$B37,'VS×ケイパビリティ関係'!$G$4:$G$494,AR$5,'VS×ケイパビリティ関係'!$E$4:$E$494,"主")&gt;0,"●",IF(COUNTIFS('VS×ケイパビリティ関係'!$F$4:$F$494,$B37,'VS×ケイパビリティ関係'!$G$4:$G$494,AR$5,'VS×ケイパビリティ関係'!$E$4:$E$494,"支援")&gt;0,"○",""))</f>
        <v>○</v>
      </c>
      <c r="AS37" s="22" t="str">
        <f>IF(COUNTIFS('VS×ケイパビリティ関係'!$F$4:$F$494,$B37,'VS×ケイパビリティ関係'!$G$4:$G$494,AS$5,'VS×ケイパビリティ関係'!$E$4:$E$494,"主")&gt;0,"●",IF(COUNTIFS('VS×ケイパビリティ関係'!$F$4:$F$494,$B37,'VS×ケイパビリティ関係'!$G$4:$G$494,AS$5,'VS×ケイパビリティ関係'!$E$4:$E$494,"支援")&gt;0,"○",""))</f>
        <v/>
      </c>
      <c r="AT37" s="22" t="str">
        <f>IF(COUNTIFS('VS×ケイパビリティ関係'!$F$4:$F$494,$B37,'VS×ケイパビリティ関係'!$G$4:$G$494,AT$5,'VS×ケイパビリティ関係'!$E$4:$E$494,"主")&gt;0,"●",IF(COUNTIFS('VS×ケイパビリティ関係'!$F$4:$F$494,$B37,'VS×ケイパビリティ関係'!$G$4:$G$494,AT$5,'VS×ケイパビリティ関係'!$E$4:$E$494,"支援")&gt;0,"○",""))</f>
        <v/>
      </c>
      <c r="AU37" s="22" t="str">
        <f>IF(COUNTIFS('VS×ケイパビリティ関係'!$F$4:$F$494,$B37,'VS×ケイパビリティ関係'!$G$4:$G$494,AU$5,'VS×ケイパビリティ関係'!$E$4:$E$494,"主")&gt;0,"●",IF(COUNTIFS('VS×ケイパビリティ関係'!$F$4:$F$494,$B37,'VS×ケイパビリティ関係'!$G$4:$G$494,AU$5,'VS×ケイパビリティ関係'!$E$4:$E$494,"支援")&gt;0,"○",""))</f>
        <v/>
      </c>
      <c r="AV37" s="22" t="str">
        <f>IF(COUNTIFS('VS×ケイパビリティ関係'!$F$4:$F$494,$B37,'VS×ケイパビリティ関係'!$G$4:$G$494,AV$5,'VS×ケイパビリティ関係'!$E$4:$E$494,"主")&gt;0,"●",IF(COUNTIFS('VS×ケイパビリティ関係'!$F$4:$F$494,$B37,'VS×ケイパビリティ関係'!$G$4:$G$494,AV$5,'VS×ケイパビリティ関係'!$E$4:$E$494,"支援")&gt;0,"○",""))</f>
        <v/>
      </c>
      <c r="AW37" s="22" t="str">
        <f>IF(COUNTIFS('VS×ケイパビリティ関係'!$F$4:$F$494,$B37,'VS×ケイパビリティ関係'!$G$4:$G$494,AW$5,'VS×ケイパビリティ関係'!$E$4:$E$494,"主")&gt;0,"●",IF(COUNTIFS('VS×ケイパビリティ関係'!$F$4:$F$494,$B37,'VS×ケイパビリティ関係'!$G$4:$G$494,AW$5,'VS×ケイパビリティ関係'!$E$4:$E$494,"支援")&gt;0,"○",""))</f>
        <v/>
      </c>
      <c r="AX37" s="22" t="str">
        <f>IF(COUNTIFS('VS×ケイパビリティ関係'!$F$4:$F$494,$B37,'VS×ケイパビリティ関係'!$G$4:$G$494,AX$5,'VS×ケイパビリティ関係'!$E$4:$E$494,"主")&gt;0,"●",IF(COUNTIFS('VS×ケイパビリティ関係'!$F$4:$F$494,$B37,'VS×ケイパビリティ関係'!$G$4:$G$494,AX$5,'VS×ケイパビリティ関係'!$E$4:$E$494,"支援")&gt;0,"○",""))</f>
        <v/>
      </c>
      <c r="AY37" s="22" t="str">
        <f>IF(COUNTIFS('VS×ケイパビリティ関係'!$F$4:$F$494,$B37,'VS×ケイパビリティ関係'!$G$4:$G$494,AY$5,'VS×ケイパビリティ関係'!$E$4:$E$494,"主")&gt;0,"●",IF(COUNTIFS('VS×ケイパビリティ関係'!$F$4:$F$494,$B37,'VS×ケイパビリティ関係'!$G$4:$G$494,AY$5,'VS×ケイパビリティ関係'!$E$4:$E$494,"支援")&gt;0,"○",""))</f>
        <v/>
      </c>
      <c r="AZ37" s="22" t="str">
        <f>IF(COUNTIFS('VS×ケイパビリティ関係'!$F$4:$F$494,$B37,'VS×ケイパビリティ関係'!$G$4:$G$494,AZ$5,'VS×ケイパビリティ関係'!$E$4:$E$494,"主")&gt;0,"●",IF(COUNTIFS('VS×ケイパビリティ関係'!$F$4:$F$494,$B37,'VS×ケイパビリティ関係'!$G$4:$G$494,AZ$5,'VS×ケイパビリティ関係'!$E$4:$E$494,"支援")&gt;0,"○",""))</f>
        <v/>
      </c>
      <c r="BA37" s="22" t="str">
        <f>IF(COUNTIFS('VS×ケイパビリティ関係'!$F$4:$F$494,$B37,'VS×ケイパビリティ関係'!$G$4:$G$494,BA$5,'VS×ケイパビリティ関係'!$E$4:$E$494,"主")&gt;0,"●",IF(COUNTIFS('VS×ケイパビリティ関係'!$F$4:$F$494,$B37,'VS×ケイパビリティ関係'!$G$4:$G$494,BA$5,'VS×ケイパビリティ関係'!$E$4:$E$494,"支援")&gt;0,"○",""))</f>
        <v/>
      </c>
      <c r="BB37" s="22" t="str">
        <f>IF(COUNTIFS('VS×ケイパビリティ関係'!$F$4:$F$494,$B37,'VS×ケイパビリティ関係'!$G$4:$G$494,BB$5,'VS×ケイパビリティ関係'!$E$4:$E$494,"主")&gt;0,"●",IF(COUNTIFS('VS×ケイパビリティ関係'!$F$4:$F$494,$B37,'VS×ケイパビリティ関係'!$G$4:$G$494,BB$5,'VS×ケイパビリティ関係'!$E$4:$E$494,"支援")&gt;0,"○",""))</f>
        <v/>
      </c>
      <c r="BC37" s="22" t="str">
        <f>IF(COUNTIFS('VS×ケイパビリティ関係'!$F$4:$F$494,$B37,'VS×ケイパビリティ関係'!$G$4:$G$494,BC$5,'VS×ケイパビリティ関係'!$E$4:$E$494,"主")&gt;0,"●",IF(COUNTIFS('VS×ケイパビリティ関係'!$F$4:$F$494,$B37,'VS×ケイパビリティ関係'!$G$4:$G$494,BC$5,'VS×ケイパビリティ関係'!$E$4:$E$494,"支援")&gt;0,"○",""))</f>
        <v/>
      </c>
      <c r="BD37" s="22" t="str">
        <f>IF(COUNTIFS('VS×ケイパビリティ関係'!$F$4:$F$494,$B37,'VS×ケイパビリティ関係'!$G$4:$G$494,BD$5,'VS×ケイパビリティ関係'!$E$4:$E$494,"主")&gt;0,"●",IF(COUNTIFS('VS×ケイパビリティ関係'!$F$4:$F$494,$B37,'VS×ケイパビリティ関係'!$G$4:$G$494,BD$5,'VS×ケイパビリティ関係'!$E$4:$E$494,"支援")&gt;0,"○",""))</f>
        <v/>
      </c>
      <c r="BE37" s="22">
        <f t="shared" si="1"/>
        <v>2</v>
      </c>
      <c r="BF37" s="22">
        <f t="shared" si="2"/>
        <v>4</v>
      </c>
    </row>
    <row r="38" ht="26.25" customHeight="1">
      <c r="A38" s="42"/>
      <c r="B38" s="22" t="s">
        <v>2101</v>
      </c>
      <c r="C38" s="25" t="s">
        <v>2102</v>
      </c>
      <c r="D38" s="22" t="str">
        <f>IF(COUNTIFS('VS×ケイパビリティ関係'!$F$4:$F$494,$B38,'VS×ケイパビリティ関係'!$G$4:$G$494,D$5,'VS×ケイパビリティ関係'!$E$4:$E$494,"主")&gt;0,"●",IF(COUNTIFS('VS×ケイパビリティ関係'!$F$4:$F$494,$B38,'VS×ケイパビリティ関係'!$G$4:$G$494,D$5,'VS×ケイパビリティ関係'!$E$4:$E$494,"支援")&gt;0,"○",""))</f>
        <v/>
      </c>
      <c r="E38" s="22" t="str">
        <f>IF(COUNTIFS('VS×ケイパビリティ関係'!$F$4:$F$494,$B38,'VS×ケイパビリティ関係'!$G$4:$G$494,E$5,'VS×ケイパビリティ関係'!$E$4:$E$494,"主")&gt;0,"●",IF(COUNTIFS('VS×ケイパビリティ関係'!$F$4:$F$494,$B38,'VS×ケイパビリティ関係'!$G$4:$G$494,E$5,'VS×ケイパビリティ関係'!$E$4:$E$494,"支援")&gt;0,"○",""))</f>
        <v/>
      </c>
      <c r="F38" s="22" t="str">
        <f>IF(COUNTIFS('VS×ケイパビリティ関係'!$F$4:$F$494,$B38,'VS×ケイパビリティ関係'!$G$4:$G$494,F$5,'VS×ケイパビリティ関係'!$E$4:$E$494,"主")&gt;0,"●",IF(COUNTIFS('VS×ケイパビリティ関係'!$F$4:$F$494,$B38,'VS×ケイパビリティ関係'!$G$4:$G$494,F$5,'VS×ケイパビリティ関係'!$E$4:$E$494,"支援")&gt;0,"○",""))</f>
        <v/>
      </c>
      <c r="G38" s="22" t="str">
        <f>IF(COUNTIFS('VS×ケイパビリティ関係'!$F$4:$F$494,$B38,'VS×ケイパビリティ関係'!$G$4:$G$494,G$5,'VS×ケイパビリティ関係'!$E$4:$E$494,"主")&gt;0,"●",IF(COUNTIFS('VS×ケイパビリティ関係'!$F$4:$F$494,$B38,'VS×ケイパビリティ関係'!$G$4:$G$494,G$5,'VS×ケイパビリティ関係'!$E$4:$E$494,"支援")&gt;0,"○",""))</f>
        <v/>
      </c>
      <c r="H38" s="22" t="str">
        <f>IF(COUNTIFS('VS×ケイパビリティ関係'!$F$4:$F$494,$B38,'VS×ケイパビリティ関係'!$G$4:$G$494,H$5,'VS×ケイパビリティ関係'!$E$4:$E$494,"主")&gt;0,"●",IF(COUNTIFS('VS×ケイパビリティ関係'!$F$4:$F$494,$B38,'VS×ケイパビリティ関係'!$G$4:$G$494,H$5,'VS×ケイパビリティ関係'!$E$4:$E$494,"支援")&gt;0,"○",""))</f>
        <v/>
      </c>
      <c r="I38" s="22" t="str">
        <f>IF(COUNTIFS('VS×ケイパビリティ関係'!$F$4:$F$494,$B38,'VS×ケイパビリティ関係'!$G$4:$G$494,I$5,'VS×ケイパビリティ関係'!$E$4:$E$494,"主")&gt;0,"●",IF(COUNTIFS('VS×ケイパビリティ関係'!$F$4:$F$494,$B38,'VS×ケイパビリティ関係'!$G$4:$G$494,I$5,'VS×ケイパビリティ関係'!$E$4:$E$494,"支援")&gt;0,"○",""))</f>
        <v/>
      </c>
      <c r="J38" s="22" t="str">
        <f>IF(COUNTIFS('VS×ケイパビリティ関係'!$F$4:$F$494,$B38,'VS×ケイパビリティ関係'!$G$4:$G$494,J$5,'VS×ケイパビリティ関係'!$E$4:$E$494,"主")&gt;0,"●",IF(COUNTIFS('VS×ケイパビリティ関係'!$F$4:$F$494,$B38,'VS×ケイパビリティ関係'!$G$4:$G$494,J$5,'VS×ケイパビリティ関係'!$E$4:$E$494,"支援")&gt;0,"○",""))</f>
        <v/>
      </c>
      <c r="K38" s="22" t="str">
        <f>IF(COUNTIFS('VS×ケイパビリティ関係'!$F$4:$F$494,$B38,'VS×ケイパビリティ関係'!$G$4:$G$494,K$5,'VS×ケイパビリティ関係'!$E$4:$E$494,"主")&gt;0,"●",IF(COUNTIFS('VS×ケイパビリティ関係'!$F$4:$F$494,$B38,'VS×ケイパビリティ関係'!$G$4:$G$494,K$5,'VS×ケイパビリティ関係'!$E$4:$E$494,"支援")&gt;0,"○",""))</f>
        <v/>
      </c>
      <c r="L38" s="22" t="str">
        <f>IF(COUNTIFS('VS×ケイパビリティ関係'!$F$4:$F$494,$B38,'VS×ケイパビリティ関係'!$G$4:$G$494,L$5,'VS×ケイパビリティ関係'!$E$4:$E$494,"主")&gt;0,"●",IF(COUNTIFS('VS×ケイパビリティ関係'!$F$4:$F$494,$B38,'VS×ケイパビリティ関係'!$G$4:$G$494,L$5,'VS×ケイパビリティ関係'!$E$4:$E$494,"支援")&gt;0,"○",""))</f>
        <v/>
      </c>
      <c r="M38" s="22" t="str">
        <f>IF(COUNTIFS('VS×ケイパビリティ関係'!$F$4:$F$494,$B38,'VS×ケイパビリティ関係'!$G$4:$G$494,M$5,'VS×ケイパビリティ関係'!$E$4:$E$494,"主")&gt;0,"●",IF(COUNTIFS('VS×ケイパビリティ関係'!$F$4:$F$494,$B38,'VS×ケイパビリティ関係'!$G$4:$G$494,M$5,'VS×ケイパビリティ関係'!$E$4:$E$494,"支援")&gt;0,"○",""))</f>
        <v/>
      </c>
      <c r="N38" s="22" t="str">
        <f>IF(COUNTIFS('VS×ケイパビリティ関係'!$F$4:$F$494,$B38,'VS×ケイパビリティ関係'!$G$4:$G$494,N$5,'VS×ケイパビリティ関係'!$E$4:$E$494,"主")&gt;0,"●",IF(COUNTIFS('VS×ケイパビリティ関係'!$F$4:$F$494,$B38,'VS×ケイパビリティ関係'!$G$4:$G$494,N$5,'VS×ケイパビリティ関係'!$E$4:$E$494,"支援")&gt;0,"○",""))</f>
        <v/>
      </c>
      <c r="O38" s="22" t="str">
        <f>IF(COUNTIFS('VS×ケイパビリティ関係'!$F$4:$F$494,$B38,'VS×ケイパビリティ関係'!$G$4:$G$494,O$5,'VS×ケイパビリティ関係'!$E$4:$E$494,"主")&gt;0,"●",IF(COUNTIFS('VS×ケイパビリティ関係'!$F$4:$F$494,$B38,'VS×ケイパビリティ関係'!$G$4:$G$494,O$5,'VS×ケイパビリティ関係'!$E$4:$E$494,"支援")&gt;0,"○",""))</f>
        <v/>
      </c>
      <c r="P38" s="22" t="str">
        <f>IF(COUNTIFS('VS×ケイパビリティ関係'!$F$4:$F$494,$B38,'VS×ケイパビリティ関係'!$G$4:$G$494,P$5,'VS×ケイパビリティ関係'!$E$4:$E$494,"主")&gt;0,"●",IF(COUNTIFS('VS×ケイパビリティ関係'!$F$4:$F$494,$B38,'VS×ケイパビリティ関係'!$G$4:$G$494,P$5,'VS×ケイパビリティ関係'!$E$4:$E$494,"支援")&gt;0,"○",""))</f>
        <v/>
      </c>
      <c r="Q38" s="22" t="str">
        <f>IF(COUNTIFS('VS×ケイパビリティ関係'!$F$4:$F$494,$B38,'VS×ケイパビリティ関係'!$G$4:$G$494,Q$5,'VS×ケイパビリティ関係'!$E$4:$E$494,"主")&gt;0,"●",IF(COUNTIFS('VS×ケイパビリティ関係'!$F$4:$F$494,$B38,'VS×ケイパビリティ関係'!$G$4:$G$494,Q$5,'VS×ケイパビリティ関係'!$E$4:$E$494,"支援")&gt;0,"○",""))</f>
        <v/>
      </c>
      <c r="R38" s="22" t="str">
        <f>IF(COUNTIFS('VS×ケイパビリティ関係'!$F$4:$F$494,$B38,'VS×ケイパビリティ関係'!$G$4:$G$494,R$5,'VS×ケイパビリティ関係'!$E$4:$E$494,"主")&gt;0,"●",IF(COUNTIFS('VS×ケイパビリティ関係'!$F$4:$F$494,$B38,'VS×ケイパビリティ関係'!$G$4:$G$494,R$5,'VS×ケイパビリティ関係'!$E$4:$E$494,"支援")&gt;0,"○",""))</f>
        <v/>
      </c>
      <c r="S38" s="22" t="str">
        <f>IF(COUNTIFS('VS×ケイパビリティ関係'!$F$4:$F$494,$B38,'VS×ケイパビリティ関係'!$G$4:$G$494,S$5,'VS×ケイパビリティ関係'!$E$4:$E$494,"主")&gt;0,"●",IF(COUNTIFS('VS×ケイパビリティ関係'!$F$4:$F$494,$B38,'VS×ケイパビリティ関係'!$G$4:$G$494,S$5,'VS×ケイパビリティ関係'!$E$4:$E$494,"支援")&gt;0,"○",""))</f>
        <v/>
      </c>
      <c r="T38" s="22" t="str">
        <f>IF(COUNTIFS('VS×ケイパビリティ関係'!$F$4:$F$494,$B38,'VS×ケイパビリティ関係'!$G$4:$G$494,T$5,'VS×ケイパビリティ関係'!$E$4:$E$494,"主")&gt;0,"●",IF(COUNTIFS('VS×ケイパビリティ関係'!$F$4:$F$494,$B38,'VS×ケイパビリティ関係'!$G$4:$G$494,T$5,'VS×ケイパビリティ関係'!$E$4:$E$494,"支援")&gt;0,"○",""))</f>
        <v/>
      </c>
      <c r="U38" s="22" t="str">
        <f>IF(COUNTIFS('VS×ケイパビリティ関係'!$F$4:$F$494,$B38,'VS×ケイパビリティ関係'!$G$4:$G$494,U$5,'VS×ケイパビリティ関係'!$E$4:$E$494,"主")&gt;0,"●",IF(COUNTIFS('VS×ケイパビリティ関係'!$F$4:$F$494,$B38,'VS×ケイパビリティ関係'!$G$4:$G$494,U$5,'VS×ケイパビリティ関係'!$E$4:$E$494,"支援")&gt;0,"○",""))</f>
        <v>○</v>
      </c>
      <c r="V38" s="22" t="str">
        <f>IF(COUNTIFS('VS×ケイパビリティ関係'!$F$4:$F$494,$B38,'VS×ケイパビリティ関係'!$G$4:$G$494,V$5,'VS×ケイパビリティ関係'!$E$4:$E$494,"主")&gt;0,"●",IF(COUNTIFS('VS×ケイパビリティ関係'!$F$4:$F$494,$B38,'VS×ケイパビリティ関係'!$G$4:$G$494,V$5,'VS×ケイパビリティ関係'!$E$4:$E$494,"支援")&gt;0,"○",""))</f>
        <v>●</v>
      </c>
      <c r="W38" s="22" t="str">
        <f>IF(COUNTIFS('VS×ケイパビリティ関係'!$F$4:$F$494,$B38,'VS×ケイパビリティ関係'!$G$4:$G$494,W$5,'VS×ケイパビリティ関係'!$E$4:$E$494,"主")&gt;0,"●",IF(COUNTIFS('VS×ケイパビリティ関係'!$F$4:$F$494,$B38,'VS×ケイパビリティ関係'!$G$4:$G$494,W$5,'VS×ケイパビリティ関係'!$E$4:$E$494,"支援")&gt;0,"○",""))</f>
        <v/>
      </c>
      <c r="X38" s="22" t="str">
        <f>IF(COUNTIFS('VS×ケイパビリティ関係'!$F$4:$F$494,$B38,'VS×ケイパビリティ関係'!$G$4:$G$494,X$5,'VS×ケイパビリティ関係'!$E$4:$E$494,"主")&gt;0,"●",IF(COUNTIFS('VS×ケイパビリティ関係'!$F$4:$F$494,$B38,'VS×ケイパビリティ関係'!$G$4:$G$494,X$5,'VS×ケイパビリティ関係'!$E$4:$E$494,"支援")&gt;0,"○",""))</f>
        <v>●</v>
      </c>
      <c r="Y38" s="22" t="str">
        <f>IF(COUNTIFS('VS×ケイパビリティ関係'!$F$4:$F$494,$B38,'VS×ケイパビリティ関係'!$G$4:$G$494,Y$5,'VS×ケイパビリティ関係'!$E$4:$E$494,"主")&gt;0,"●",IF(COUNTIFS('VS×ケイパビリティ関係'!$F$4:$F$494,$B38,'VS×ケイパビリティ関係'!$G$4:$G$494,Y$5,'VS×ケイパビリティ関係'!$E$4:$E$494,"支援")&gt;0,"○",""))</f>
        <v/>
      </c>
      <c r="Z38" s="22" t="str">
        <f>IF(COUNTIFS('VS×ケイパビリティ関係'!$F$4:$F$494,$B38,'VS×ケイパビリティ関係'!$G$4:$G$494,Z$5,'VS×ケイパビリティ関係'!$E$4:$E$494,"主")&gt;0,"●",IF(COUNTIFS('VS×ケイパビリティ関係'!$F$4:$F$494,$B38,'VS×ケイパビリティ関係'!$G$4:$G$494,Z$5,'VS×ケイパビリティ関係'!$E$4:$E$494,"支援")&gt;0,"○",""))</f>
        <v/>
      </c>
      <c r="AA38" s="22" t="str">
        <f>IF(COUNTIFS('VS×ケイパビリティ関係'!$F$4:$F$494,$B38,'VS×ケイパビリティ関係'!$G$4:$G$494,AA$5,'VS×ケイパビリティ関係'!$E$4:$E$494,"主")&gt;0,"●",IF(COUNTIFS('VS×ケイパビリティ関係'!$F$4:$F$494,$B38,'VS×ケイパビリティ関係'!$G$4:$G$494,AA$5,'VS×ケイパビリティ関係'!$E$4:$E$494,"支援")&gt;0,"○",""))</f>
        <v/>
      </c>
      <c r="AB38" s="22" t="str">
        <f>IF(COUNTIFS('VS×ケイパビリティ関係'!$F$4:$F$494,$B38,'VS×ケイパビリティ関係'!$G$4:$G$494,AB$5,'VS×ケイパビリティ関係'!$E$4:$E$494,"主")&gt;0,"●",IF(COUNTIFS('VS×ケイパビリティ関係'!$F$4:$F$494,$B38,'VS×ケイパビリティ関係'!$G$4:$G$494,AB$5,'VS×ケイパビリティ関係'!$E$4:$E$494,"支援")&gt;0,"○",""))</f>
        <v>○</v>
      </c>
      <c r="AC38" s="22" t="str">
        <f>IF(COUNTIFS('VS×ケイパビリティ関係'!$F$4:$F$494,$B38,'VS×ケイパビリティ関係'!$G$4:$G$494,AC$5,'VS×ケイパビリティ関係'!$E$4:$E$494,"主")&gt;0,"●",IF(COUNTIFS('VS×ケイパビリティ関係'!$F$4:$F$494,$B38,'VS×ケイパビリティ関係'!$G$4:$G$494,AC$5,'VS×ケイパビリティ関係'!$E$4:$E$494,"支援")&gt;0,"○",""))</f>
        <v/>
      </c>
      <c r="AD38" s="22" t="str">
        <f>IF(COUNTIFS('VS×ケイパビリティ関係'!$F$4:$F$494,$B38,'VS×ケイパビリティ関係'!$G$4:$G$494,AD$5,'VS×ケイパビリティ関係'!$E$4:$E$494,"主")&gt;0,"●",IF(COUNTIFS('VS×ケイパビリティ関係'!$F$4:$F$494,$B38,'VS×ケイパビリティ関係'!$G$4:$G$494,AD$5,'VS×ケイパビリティ関係'!$E$4:$E$494,"支援")&gt;0,"○",""))</f>
        <v>●</v>
      </c>
      <c r="AE38" s="22" t="str">
        <f>IF(COUNTIFS('VS×ケイパビリティ関係'!$F$4:$F$494,$B38,'VS×ケイパビリティ関係'!$G$4:$G$494,AE$5,'VS×ケイパビリティ関係'!$E$4:$E$494,"主")&gt;0,"●",IF(COUNTIFS('VS×ケイパビリティ関係'!$F$4:$F$494,$B38,'VS×ケイパビリティ関係'!$G$4:$G$494,AE$5,'VS×ケイパビリティ関係'!$E$4:$E$494,"支援")&gt;0,"○",""))</f>
        <v/>
      </c>
      <c r="AF38" s="22" t="str">
        <f>IF(COUNTIFS('VS×ケイパビリティ関係'!$F$4:$F$494,$B38,'VS×ケイパビリティ関係'!$G$4:$G$494,AF$5,'VS×ケイパビリティ関係'!$E$4:$E$494,"主")&gt;0,"●",IF(COUNTIFS('VS×ケイパビリティ関係'!$F$4:$F$494,$B38,'VS×ケイパビリティ関係'!$G$4:$G$494,AF$5,'VS×ケイパビリティ関係'!$E$4:$E$494,"支援")&gt;0,"○",""))</f>
        <v/>
      </c>
      <c r="AG38" s="22" t="str">
        <f>IF(COUNTIFS('VS×ケイパビリティ関係'!$F$4:$F$494,$B38,'VS×ケイパビリティ関係'!$G$4:$G$494,AG$5,'VS×ケイパビリティ関係'!$E$4:$E$494,"主")&gt;0,"●",IF(COUNTIFS('VS×ケイパビリティ関係'!$F$4:$F$494,$B38,'VS×ケイパビリティ関係'!$G$4:$G$494,AG$5,'VS×ケイパビリティ関係'!$E$4:$E$494,"支援")&gt;0,"○",""))</f>
        <v/>
      </c>
      <c r="AH38" s="22" t="str">
        <f>IF(COUNTIFS('VS×ケイパビリティ関係'!$F$4:$F$494,$B38,'VS×ケイパビリティ関係'!$G$4:$G$494,AH$5,'VS×ケイパビリティ関係'!$E$4:$E$494,"主")&gt;0,"●",IF(COUNTIFS('VS×ケイパビリティ関係'!$F$4:$F$494,$B38,'VS×ケイパビリティ関係'!$G$4:$G$494,AH$5,'VS×ケイパビリティ関係'!$E$4:$E$494,"支援")&gt;0,"○",""))</f>
        <v/>
      </c>
      <c r="AI38" s="22" t="str">
        <f>IF(COUNTIFS('VS×ケイパビリティ関係'!$F$4:$F$494,$B38,'VS×ケイパビリティ関係'!$G$4:$G$494,AI$5,'VS×ケイパビリティ関係'!$E$4:$E$494,"主")&gt;0,"●",IF(COUNTIFS('VS×ケイパビリティ関係'!$F$4:$F$494,$B38,'VS×ケイパビリティ関係'!$G$4:$G$494,AI$5,'VS×ケイパビリティ関係'!$E$4:$E$494,"支援")&gt;0,"○",""))</f>
        <v/>
      </c>
      <c r="AJ38" s="22" t="str">
        <f>IF(COUNTIFS('VS×ケイパビリティ関係'!$F$4:$F$494,$B38,'VS×ケイパビリティ関係'!$G$4:$G$494,AJ$5,'VS×ケイパビリティ関係'!$E$4:$E$494,"主")&gt;0,"●",IF(COUNTIFS('VS×ケイパビリティ関係'!$F$4:$F$494,$B38,'VS×ケイパビリティ関係'!$G$4:$G$494,AJ$5,'VS×ケイパビリティ関係'!$E$4:$E$494,"支援")&gt;0,"○",""))</f>
        <v/>
      </c>
      <c r="AK38" s="22" t="str">
        <f>IF(COUNTIFS('VS×ケイパビリティ関係'!$F$4:$F$494,$B38,'VS×ケイパビリティ関係'!$G$4:$G$494,AK$5,'VS×ケイパビリティ関係'!$E$4:$E$494,"主")&gt;0,"●",IF(COUNTIFS('VS×ケイパビリティ関係'!$F$4:$F$494,$B38,'VS×ケイパビリティ関係'!$G$4:$G$494,AK$5,'VS×ケイパビリティ関係'!$E$4:$E$494,"支援")&gt;0,"○",""))</f>
        <v/>
      </c>
      <c r="AL38" s="22" t="str">
        <f>IF(COUNTIFS('VS×ケイパビリティ関係'!$F$4:$F$494,$B38,'VS×ケイパビリティ関係'!$G$4:$G$494,AL$5,'VS×ケイパビリティ関係'!$E$4:$E$494,"主")&gt;0,"●",IF(COUNTIFS('VS×ケイパビリティ関係'!$F$4:$F$494,$B38,'VS×ケイパビリティ関係'!$G$4:$G$494,AL$5,'VS×ケイパビリティ関係'!$E$4:$E$494,"支援")&gt;0,"○",""))</f>
        <v/>
      </c>
      <c r="AM38" s="22" t="str">
        <f>IF(COUNTIFS('VS×ケイパビリティ関係'!$F$4:$F$494,$B38,'VS×ケイパビリティ関係'!$G$4:$G$494,AM$5,'VS×ケイパビリティ関係'!$E$4:$E$494,"主")&gt;0,"●",IF(COUNTIFS('VS×ケイパビリティ関係'!$F$4:$F$494,$B38,'VS×ケイパビリティ関係'!$G$4:$G$494,AM$5,'VS×ケイパビリティ関係'!$E$4:$E$494,"支援")&gt;0,"○",""))</f>
        <v/>
      </c>
      <c r="AN38" s="22" t="str">
        <f>IF(COUNTIFS('VS×ケイパビリティ関係'!$F$4:$F$494,$B38,'VS×ケイパビリティ関係'!$G$4:$G$494,AN$5,'VS×ケイパビリティ関係'!$E$4:$E$494,"主")&gt;0,"●",IF(COUNTIFS('VS×ケイパビリティ関係'!$F$4:$F$494,$B38,'VS×ケイパビリティ関係'!$G$4:$G$494,AN$5,'VS×ケイパビリティ関係'!$E$4:$E$494,"支援")&gt;0,"○",""))</f>
        <v>○</v>
      </c>
      <c r="AO38" s="22" t="str">
        <f>IF(COUNTIFS('VS×ケイパビリティ関係'!$F$4:$F$494,$B38,'VS×ケイパビリティ関係'!$G$4:$G$494,AO$5,'VS×ケイパビリティ関係'!$E$4:$E$494,"主")&gt;0,"●",IF(COUNTIFS('VS×ケイパビリティ関係'!$F$4:$F$494,$B38,'VS×ケイパビリティ関係'!$G$4:$G$494,AO$5,'VS×ケイパビリティ関係'!$E$4:$E$494,"支援")&gt;0,"○",""))</f>
        <v/>
      </c>
      <c r="AP38" s="22" t="str">
        <f>IF(COUNTIFS('VS×ケイパビリティ関係'!$F$4:$F$494,$B38,'VS×ケイパビリティ関係'!$G$4:$G$494,AP$5,'VS×ケイパビリティ関係'!$E$4:$E$494,"主")&gt;0,"●",IF(COUNTIFS('VS×ケイパビリティ関係'!$F$4:$F$494,$B38,'VS×ケイパビリティ関係'!$G$4:$G$494,AP$5,'VS×ケイパビリティ関係'!$E$4:$E$494,"支援")&gt;0,"○",""))</f>
        <v/>
      </c>
      <c r="AQ38" s="22" t="str">
        <f>IF(COUNTIFS('VS×ケイパビリティ関係'!$F$4:$F$494,$B38,'VS×ケイパビリティ関係'!$G$4:$G$494,AQ$5,'VS×ケイパビリティ関係'!$E$4:$E$494,"主")&gt;0,"●",IF(COUNTIFS('VS×ケイパビリティ関係'!$F$4:$F$494,$B38,'VS×ケイパビリティ関係'!$G$4:$G$494,AQ$5,'VS×ケイパビリティ関係'!$E$4:$E$494,"支援")&gt;0,"○",""))</f>
        <v/>
      </c>
      <c r="AR38" s="22" t="str">
        <f>IF(COUNTIFS('VS×ケイパビリティ関係'!$F$4:$F$494,$B38,'VS×ケイパビリティ関係'!$G$4:$G$494,AR$5,'VS×ケイパビリティ関係'!$E$4:$E$494,"主")&gt;0,"●",IF(COUNTIFS('VS×ケイパビリティ関係'!$F$4:$F$494,$B38,'VS×ケイパビリティ関係'!$G$4:$G$494,AR$5,'VS×ケイパビリティ関係'!$E$4:$E$494,"支援")&gt;0,"○",""))</f>
        <v/>
      </c>
      <c r="AS38" s="22" t="str">
        <f>IF(COUNTIFS('VS×ケイパビリティ関係'!$F$4:$F$494,$B38,'VS×ケイパビリティ関係'!$G$4:$G$494,AS$5,'VS×ケイパビリティ関係'!$E$4:$E$494,"主")&gt;0,"●",IF(COUNTIFS('VS×ケイパビリティ関係'!$F$4:$F$494,$B38,'VS×ケイパビリティ関係'!$G$4:$G$494,AS$5,'VS×ケイパビリティ関係'!$E$4:$E$494,"支援")&gt;0,"○",""))</f>
        <v/>
      </c>
      <c r="AT38" s="22" t="str">
        <f>IF(COUNTIFS('VS×ケイパビリティ関係'!$F$4:$F$494,$B38,'VS×ケイパビリティ関係'!$G$4:$G$494,AT$5,'VS×ケイパビリティ関係'!$E$4:$E$494,"主")&gt;0,"●",IF(COUNTIFS('VS×ケイパビリティ関係'!$F$4:$F$494,$B38,'VS×ケイパビリティ関係'!$G$4:$G$494,AT$5,'VS×ケイパビリティ関係'!$E$4:$E$494,"支援")&gt;0,"○",""))</f>
        <v/>
      </c>
      <c r="AU38" s="22" t="str">
        <f>IF(COUNTIFS('VS×ケイパビリティ関係'!$F$4:$F$494,$B38,'VS×ケイパビリティ関係'!$G$4:$G$494,AU$5,'VS×ケイパビリティ関係'!$E$4:$E$494,"主")&gt;0,"●",IF(COUNTIFS('VS×ケイパビリティ関係'!$F$4:$F$494,$B38,'VS×ケイパビリティ関係'!$G$4:$G$494,AU$5,'VS×ケイパビリティ関係'!$E$4:$E$494,"支援")&gt;0,"○",""))</f>
        <v/>
      </c>
      <c r="AV38" s="22" t="str">
        <f>IF(COUNTIFS('VS×ケイパビリティ関係'!$F$4:$F$494,$B38,'VS×ケイパビリティ関係'!$G$4:$G$494,AV$5,'VS×ケイパビリティ関係'!$E$4:$E$494,"主")&gt;0,"●",IF(COUNTIFS('VS×ケイパビリティ関係'!$F$4:$F$494,$B38,'VS×ケイパビリティ関係'!$G$4:$G$494,AV$5,'VS×ケイパビリティ関係'!$E$4:$E$494,"支援")&gt;0,"○",""))</f>
        <v/>
      </c>
      <c r="AW38" s="22" t="str">
        <f>IF(COUNTIFS('VS×ケイパビリティ関係'!$F$4:$F$494,$B38,'VS×ケイパビリティ関係'!$G$4:$G$494,AW$5,'VS×ケイパビリティ関係'!$E$4:$E$494,"主")&gt;0,"●",IF(COUNTIFS('VS×ケイパビリティ関係'!$F$4:$F$494,$B38,'VS×ケイパビリティ関係'!$G$4:$G$494,AW$5,'VS×ケイパビリティ関係'!$E$4:$E$494,"支援")&gt;0,"○",""))</f>
        <v/>
      </c>
      <c r="AX38" s="22" t="str">
        <f>IF(COUNTIFS('VS×ケイパビリティ関係'!$F$4:$F$494,$B38,'VS×ケイパビリティ関係'!$G$4:$G$494,AX$5,'VS×ケイパビリティ関係'!$E$4:$E$494,"主")&gt;0,"●",IF(COUNTIFS('VS×ケイパビリティ関係'!$F$4:$F$494,$B38,'VS×ケイパビリティ関係'!$G$4:$G$494,AX$5,'VS×ケイパビリティ関係'!$E$4:$E$494,"支援")&gt;0,"○",""))</f>
        <v/>
      </c>
      <c r="AY38" s="22" t="str">
        <f>IF(COUNTIFS('VS×ケイパビリティ関係'!$F$4:$F$494,$B38,'VS×ケイパビリティ関係'!$G$4:$G$494,AY$5,'VS×ケイパビリティ関係'!$E$4:$E$494,"主")&gt;0,"●",IF(COUNTIFS('VS×ケイパビリティ関係'!$F$4:$F$494,$B38,'VS×ケイパビリティ関係'!$G$4:$G$494,AY$5,'VS×ケイパビリティ関係'!$E$4:$E$494,"支援")&gt;0,"○",""))</f>
        <v/>
      </c>
      <c r="AZ38" s="22" t="str">
        <f>IF(COUNTIFS('VS×ケイパビリティ関係'!$F$4:$F$494,$B38,'VS×ケイパビリティ関係'!$G$4:$G$494,AZ$5,'VS×ケイパビリティ関係'!$E$4:$E$494,"主")&gt;0,"●",IF(COUNTIFS('VS×ケイパビリティ関係'!$F$4:$F$494,$B38,'VS×ケイパビリティ関係'!$G$4:$G$494,AZ$5,'VS×ケイパビリティ関係'!$E$4:$E$494,"支援")&gt;0,"○",""))</f>
        <v/>
      </c>
      <c r="BA38" s="22" t="str">
        <f>IF(COUNTIFS('VS×ケイパビリティ関係'!$F$4:$F$494,$B38,'VS×ケイパビリティ関係'!$G$4:$G$494,BA$5,'VS×ケイパビリティ関係'!$E$4:$E$494,"主")&gt;0,"●",IF(COUNTIFS('VS×ケイパビリティ関係'!$F$4:$F$494,$B38,'VS×ケイパビリティ関係'!$G$4:$G$494,BA$5,'VS×ケイパビリティ関係'!$E$4:$E$494,"支援")&gt;0,"○",""))</f>
        <v/>
      </c>
      <c r="BB38" s="22" t="str">
        <f>IF(COUNTIFS('VS×ケイパビリティ関係'!$F$4:$F$494,$B38,'VS×ケイパビリティ関係'!$G$4:$G$494,BB$5,'VS×ケイパビリティ関係'!$E$4:$E$494,"主")&gt;0,"●",IF(COUNTIFS('VS×ケイパビリティ関係'!$F$4:$F$494,$B38,'VS×ケイパビリティ関係'!$G$4:$G$494,BB$5,'VS×ケイパビリティ関係'!$E$4:$E$494,"支援")&gt;0,"○",""))</f>
        <v/>
      </c>
      <c r="BC38" s="22" t="str">
        <f>IF(COUNTIFS('VS×ケイパビリティ関係'!$F$4:$F$494,$B38,'VS×ケイパビリティ関係'!$G$4:$G$494,BC$5,'VS×ケイパビリティ関係'!$E$4:$E$494,"主")&gt;0,"●",IF(COUNTIFS('VS×ケイパビリティ関係'!$F$4:$F$494,$B38,'VS×ケイパビリティ関係'!$G$4:$G$494,BC$5,'VS×ケイパビリティ関係'!$E$4:$E$494,"支援")&gt;0,"○",""))</f>
        <v/>
      </c>
      <c r="BD38" s="22" t="str">
        <f>IF(COUNTIFS('VS×ケイパビリティ関係'!$F$4:$F$494,$B38,'VS×ケイパビリティ関係'!$G$4:$G$494,BD$5,'VS×ケイパビリティ関係'!$E$4:$E$494,"主")&gt;0,"●",IF(COUNTIFS('VS×ケイパビリティ関係'!$F$4:$F$494,$B38,'VS×ケイパビリティ関係'!$G$4:$G$494,BD$5,'VS×ケイパビリティ関係'!$E$4:$E$494,"支援")&gt;0,"○",""))</f>
        <v/>
      </c>
      <c r="BE38" s="22">
        <f t="shared" si="1"/>
        <v>3</v>
      </c>
      <c r="BF38" s="22">
        <f t="shared" si="2"/>
        <v>3</v>
      </c>
    </row>
    <row r="39" ht="15.0" customHeight="1">
      <c r="A39" s="42"/>
      <c r="B39" s="22" t="s">
        <v>2121</v>
      </c>
      <c r="C39" s="25" t="s">
        <v>2122</v>
      </c>
      <c r="D39" s="22" t="str">
        <f>IF(COUNTIFS('VS×ケイパビリティ関係'!$F$4:$F$494,$B39,'VS×ケイパビリティ関係'!$G$4:$G$494,D$5,'VS×ケイパビリティ関係'!$E$4:$E$494,"主")&gt;0,"●",IF(COUNTIFS('VS×ケイパビリティ関係'!$F$4:$F$494,$B39,'VS×ケイパビリティ関係'!$G$4:$G$494,D$5,'VS×ケイパビリティ関係'!$E$4:$E$494,"支援")&gt;0,"○",""))</f>
        <v/>
      </c>
      <c r="E39" s="22" t="str">
        <f>IF(COUNTIFS('VS×ケイパビリティ関係'!$F$4:$F$494,$B39,'VS×ケイパビリティ関係'!$G$4:$G$494,E$5,'VS×ケイパビリティ関係'!$E$4:$E$494,"主")&gt;0,"●",IF(COUNTIFS('VS×ケイパビリティ関係'!$F$4:$F$494,$B39,'VS×ケイパビリティ関係'!$G$4:$G$494,E$5,'VS×ケイパビリティ関係'!$E$4:$E$494,"支援")&gt;0,"○",""))</f>
        <v>●</v>
      </c>
      <c r="F39" s="22" t="str">
        <f>IF(COUNTIFS('VS×ケイパビリティ関係'!$F$4:$F$494,$B39,'VS×ケイパビリティ関係'!$G$4:$G$494,F$5,'VS×ケイパビリティ関係'!$E$4:$E$494,"主")&gt;0,"●",IF(COUNTIFS('VS×ケイパビリティ関係'!$F$4:$F$494,$B39,'VS×ケイパビリティ関係'!$G$4:$G$494,F$5,'VS×ケイパビリティ関係'!$E$4:$E$494,"支援")&gt;0,"○",""))</f>
        <v/>
      </c>
      <c r="G39" s="22" t="str">
        <f>IF(COUNTIFS('VS×ケイパビリティ関係'!$F$4:$F$494,$B39,'VS×ケイパビリティ関係'!$G$4:$G$494,G$5,'VS×ケイパビリティ関係'!$E$4:$E$494,"主")&gt;0,"●",IF(COUNTIFS('VS×ケイパビリティ関係'!$F$4:$F$494,$B39,'VS×ケイパビリティ関係'!$G$4:$G$494,G$5,'VS×ケイパビリティ関係'!$E$4:$E$494,"支援")&gt;0,"○",""))</f>
        <v/>
      </c>
      <c r="H39" s="22" t="str">
        <f>IF(COUNTIFS('VS×ケイパビリティ関係'!$F$4:$F$494,$B39,'VS×ケイパビリティ関係'!$G$4:$G$494,H$5,'VS×ケイパビリティ関係'!$E$4:$E$494,"主")&gt;0,"●",IF(COUNTIFS('VS×ケイパビリティ関係'!$F$4:$F$494,$B39,'VS×ケイパビリティ関係'!$G$4:$G$494,H$5,'VS×ケイパビリティ関係'!$E$4:$E$494,"支援")&gt;0,"○",""))</f>
        <v/>
      </c>
      <c r="I39" s="22" t="str">
        <f>IF(COUNTIFS('VS×ケイパビリティ関係'!$F$4:$F$494,$B39,'VS×ケイパビリティ関係'!$G$4:$G$494,I$5,'VS×ケイパビリティ関係'!$E$4:$E$494,"主")&gt;0,"●",IF(COUNTIFS('VS×ケイパビリティ関係'!$F$4:$F$494,$B39,'VS×ケイパビリティ関係'!$G$4:$G$494,I$5,'VS×ケイパビリティ関係'!$E$4:$E$494,"支援")&gt;0,"○",""))</f>
        <v/>
      </c>
      <c r="J39" s="22" t="str">
        <f>IF(COUNTIFS('VS×ケイパビリティ関係'!$F$4:$F$494,$B39,'VS×ケイパビリティ関係'!$G$4:$G$494,J$5,'VS×ケイパビリティ関係'!$E$4:$E$494,"主")&gt;0,"●",IF(COUNTIFS('VS×ケイパビリティ関係'!$F$4:$F$494,$B39,'VS×ケイパビリティ関係'!$G$4:$G$494,J$5,'VS×ケイパビリティ関係'!$E$4:$E$494,"支援")&gt;0,"○",""))</f>
        <v/>
      </c>
      <c r="K39" s="22" t="str">
        <f>IF(COUNTIFS('VS×ケイパビリティ関係'!$F$4:$F$494,$B39,'VS×ケイパビリティ関係'!$G$4:$G$494,K$5,'VS×ケイパビリティ関係'!$E$4:$E$494,"主")&gt;0,"●",IF(COUNTIFS('VS×ケイパビリティ関係'!$F$4:$F$494,$B39,'VS×ケイパビリティ関係'!$G$4:$G$494,K$5,'VS×ケイパビリティ関係'!$E$4:$E$494,"支援")&gt;0,"○",""))</f>
        <v/>
      </c>
      <c r="L39" s="22" t="str">
        <f>IF(COUNTIFS('VS×ケイパビリティ関係'!$F$4:$F$494,$B39,'VS×ケイパビリティ関係'!$G$4:$G$494,L$5,'VS×ケイパビリティ関係'!$E$4:$E$494,"主")&gt;0,"●",IF(COUNTIFS('VS×ケイパビリティ関係'!$F$4:$F$494,$B39,'VS×ケイパビリティ関係'!$G$4:$G$494,L$5,'VS×ケイパビリティ関係'!$E$4:$E$494,"支援")&gt;0,"○",""))</f>
        <v/>
      </c>
      <c r="M39" s="22" t="str">
        <f>IF(COUNTIFS('VS×ケイパビリティ関係'!$F$4:$F$494,$B39,'VS×ケイパビリティ関係'!$G$4:$G$494,M$5,'VS×ケイパビリティ関係'!$E$4:$E$494,"主")&gt;0,"●",IF(COUNTIFS('VS×ケイパビリティ関係'!$F$4:$F$494,$B39,'VS×ケイパビリティ関係'!$G$4:$G$494,M$5,'VS×ケイパビリティ関係'!$E$4:$E$494,"支援")&gt;0,"○",""))</f>
        <v/>
      </c>
      <c r="N39" s="22" t="str">
        <f>IF(COUNTIFS('VS×ケイパビリティ関係'!$F$4:$F$494,$B39,'VS×ケイパビリティ関係'!$G$4:$G$494,N$5,'VS×ケイパビリティ関係'!$E$4:$E$494,"主")&gt;0,"●",IF(COUNTIFS('VS×ケイパビリティ関係'!$F$4:$F$494,$B39,'VS×ケイパビリティ関係'!$G$4:$G$494,N$5,'VS×ケイパビリティ関係'!$E$4:$E$494,"支援")&gt;0,"○",""))</f>
        <v/>
      </c>
      <c r="O39" s="22" t="str">
        <f>IF(COUNTIFS('VS×ケイパビリティ関係'!$F$4:$F$494,$B39,'VS×ケイパビリティ関係'!$G$4:$G$494,O$5,'VS×ケイパビリティ関係'!$E$4:$E$494,"主")&gt;0,"●",IF(COUNTIFS('VS×ケイパビリティ関係'!$F$4:$F$494,$B39,'VS×ケイパビリティ関係'!$G$4:$G$494,O$5,'VS×ケイパビリティ関係'!$E$4:$E$494,"支援")&gt;0,"○",""))</f>
        <v/>
      </c>
      <c r="P39" s="22" t="str">
        <f>IF(COUNTIFS('VS×ケイパビリティ関係'!$F$4:$F$494,$B39,'VS×ケイパビリティ関係'!$G$4:$G$494,P$5,'VS×ケイパビリティ関係'!$E$4:$E$494,"主")&gt;0,"●",IF(COUNTIFS('VS×ケイパビリティ関係'!$F$4:$F$494,$B39,'VS×ケイパビリティ関係'!$G$4:$G$494,P$5,'VS×ケイパビリティ関係'!$E$4:$E$494,"支援")&gt;0,"○",""))</f>
        <v/>
      </c>
      <c r="Q39" s="22" t="str">
        <f>IF(COUNTIFS('VS×ケイパビリティ関係'!$F$4:$F$494,$B39,'VS×ケイパビリティ関係'!$G$4:$G$494,Q$5,'VS×ケイパビリティ関係'!$E$4:$E$494,"主")&gt;0,"●",IF(COUNTIFS('VS×ケイパビリティ関係'!$F$4:$F$494,$B39,'VS×ケイパビリティ関係'!$G$4:$G$494,Q$5,'VS×ケイパビリティ関係'!$E$4:$E$494,"支援")&gt;0,"○",""))</f>
        <v/>
      </c>
      <c r="R39" s="22" t="str">
        <f>IF(COUNTIFS('VS×ケイパビリティ関係'!$F$4:$F$494,$B39,'VS×ケイパビリティ関係'!$G$4:$G$494,R$5,'VS×ケイパビリティ関係'!$E$4:$E$494,"主")&gt;0,"●",IF(COUNTIFS('VS×ケイパビリティ関係'!$F$4:$F$494,$B39,'VS×ケイパビリティ関係'!$G$4:$G$494,R$5,'VS×ケイパビリティ関係'!$E$4:$E$494,"支援")&gt;0,"○",""))</f>
        <v>○</v>
      </c>
      <c r="S39" s="22" t="str">
        <f>IF(COUNTIFS('VS×ケイパビリティ関係'!$F$4:$F$494,$B39,'VS×ケイパビリティ関係'!$G$4:$G$494,S$5,'VS×ケイパビリティ関係'!$E$4:$E$494,"主")&gt;0,"●",IF(COUNTIFS('VS×ケイパビリティ関係'!$F$4:$F$494,$B39,'VS×ケイパビリティ関係'!$G$4:$G$494,S$5,'VS×ケイパビリティ関係'!$E$4:$E$494,"支援")&gt;0,"○",""))</f>
        <v>○</v>
      </c>
      <c r="T39" s="22" t="str">
        <f>IF(COUNTIFS('VS×ケイパビリティ関係'!$F$4:$F$494,$B39,'VS×ケイパビリティ関係'!$G$4:$G$494,T$5,'VS×ケイパビリティ関係'!$E$4:$E$494,"主")&gt;0,"●",IF(COUNTIFS('VS×ケイパビリティ関係'!$F$4:$F$494,$B39,'VS×ケイパビリティ関係'!$G$4:$G$494,T$5,'VS×ケイパビリティ関係'!$E$4:$E$494,"支援")&gt;0,"○",""))</f>
        <v/>
      </c>
      <c r="U39" s="22" t="str">
        <f>IF(COUNTIFS('VS×ケイパビリティ関係'!$F$4:$F$494,$B39,'VS×ケイパビリティ関係'!$G$4:$G$494,U$5,'VS×ケイパビリティ関係'!$E$4:$E$494,"主")&gt;0,"●",IF(COUNTIFS('VS×ケイパビリティ関係'!$F$4:$F$494,$B39,'VS×ケイパビリティ関係'!$G$4:$G$494,U$5,'VS×ケイパビリティ関係'!$E$4:$E$494,"支援")&gt;0,"○",""))</f>
        <v>○</v>
      </c>
      <c r="V39" s="22" t="str">
        <f>IF(COUNTIFS('VS×ケイパビリティ関係'!$F$4:$F$494,$B39,'VS×ケイパビリティ関係'!$G$4:$G$494,V$5,'VS×ケイパビリティ関係'!$E$4:$E$494,"主")&gt;0,"●",IF(COUNTIFS('VS×ケイパビリティ関係'!$F$4:$F$494,$B39,'VS×ケイパビリティ関係'!$G$4:$G$494,V$5,'VS×ケイパビリティ関係'!$E$4:$E$494,"支援")&gt;0,"○",""))</f>
        <v/>
      </c>
      <c r="W39" s="22" t="str">
        <f>IF(COUNTIFS('VS×ケイパビリティ関係'!$F$4:$F$494,$B39,'VS×ケイパビリティ関係'!$G$4:$G$494,W$5,'VS×ケイパビリティ関係'!$E$4:$E$494,"主")&gt;0,"●",IF(COUNTIFS('VS×ケイパビリティ関係'!$F$4:$F$494,$B39,'VS×ケイパビリティ関係'!$G$4:$G$494,W$5,'VS×ケイパビリティ関係'!$E$4:$E$494,"支援")&gt;0,"○",""))</f>
        <v/>
      </c>
      <c r="X39" s="22" t="str">
        <f>IF(COUNTIFS('VS×ケイパビリティ関係'!$F$4:$F$494,$B39,'VS×ケイパビリティ関係'!$G$4:$G$494,X$5,'VS×ケイパビリティ関係'!$E$4:$E$494,"主")&gt;0,"●",IF(COUNTIFS('VS×ケイパビリティ関係'!$F$4:$F$494,$B39,'VS×ケイパビリティ関係'!$G$4:$G$494,X$5,'VS×ケイパビリティ関係'!$E$4:$E$494,"支援")&gt;0,"○",""))</f>
        <v/>
      </c>
      <c r="Y39" s="22" t="str">
        <f>IF(COUNTIFS('VS×ケイパビリティ関係'!$F$4:$F$494,$B39,'VS×ケイパビリティ関係'!$G$4:$G$494,Y$5,'VS×ケイパビリティ関係'!$E$4:$E$494,"主")&gt;0,"●",IF(COUNTIFS('VS×ケイパビリティ関係'!$F$4:$F$494,$B39,'VS×ケイパビリティ関係'!$G$4:$G$494,Y$5,'VS×ケイパビリティ関係'!$E$4:$E$494,"支援")&gt;0,"○",""))</f>
        <v/>
      </c>
      <c r="Z39" s="22" t="str">
        <f>IF(COUNTIFS('VS×ケイパビリティ関係'!$F$4:$F$494,$B39,'VS×ケイパビリティ関係'!$G$4:$G$494,Z$5,'VS×ケイパビリティ関係'!$E$4:$E$494,"主")&gt;0,"●",IF(COUNTIFS('VS×ケイパビリティ関係'!$F$4:$F$494,$B39,'VS×ケイパビリティ関係'!$G$4:$G$494,Z$5,'VS×ケイパビリティ関係'!$E$4:$E$494,"支援")&gt;0,"○",""))</f>
        <v/>
      </c>
      <c r="AA39" s="22" t="str">
        <f>IF(COUNTIFS('VS×ケイパビリティ関係'!$F$4:$F$494,$B39,'VS×ケイパビリティ関係'!$G$4:$G$494,AA$5,'VS×ケイパビリティ関係'!$E$4:$E$494,"主")&gt;0,"●",IF(COUNTIFS('VS×ケイパビリティ関係'!$F$4:$F$494,$B39,'VS×ケイパビリティ関係'!$G$4:$G$494,AA$5,'VS×ケイパビリティ関係'!$E$4:$E$494,"支援")&gt;0,"○",""))</f>
        <v/>
      </c>
      <c r="AB39" s="22" t="str">
        <f>IF(COUNTIFS('VS×ケイパビリティ関係'!$F$4:$F$494,$B39,'VS×ケイパビリティ関係'!$G$4:$G$494,AB$5,'VS×ケイパビリティ関係'!$E$4:$E$494,"主")&gt;0,"●",IF(COUNTIFS('VS×ケイパビリティ関係'!$F$4:$F$494,$B39,'VS×ケイパビリティ関係'!$G$4:$G$494,AB$5,'VS×ケイパビリティ関係'!$E$4:$E$494,"支援")&gt;0,"○",""))</f>
        <v>●</v>
      </c>
      <c r="AC39" s="22" t="str">
        <f>IF(COUNTIFS('VS×ケイパビリティ関係'!$F$4:$F$494,$B39,'VS×ケイパビリティ関係'!$G$4:$G$494,AC$5,'VS×ケイパビリティ関係'!$E$4:$E$494,"主")&gt;0,"●",IF(COUNTIFS('VS×ケイパビリティ関係'!$F$4:$F$494,$B39,'VS×ケイパビリティ関係'!$G$4:$G$494,AC$5,'VS×ケイパビリティ関係'!$E$4:$E$494,"支援")&gt;0,"○",""))</f>
        <v>○</v>
      </c>
      <c r="AD39" s="22" t="str">
        <f>IF(COUNTIFS('VS×ケイパビリティ関係'!$F$4:$F$494,$B39,'VS×ケイパビリティ関係'!$G$4:$G$494,AD$5,'VS×ケイパビリティ関係'!$E$4:$E$494,"主")&gt;0,"●",IF(COUNTIFS('VS×ケイパビリティ関係'!$F$4:$F$494,$B39,'VS×ケイパビリティ関係'!$G$4:$G$494,AD$5,'VS×ケイパビリティ関係'!$E$4:$E$494,"支援")&gt;0,"○",""))</f>
        <v>●</v>
      </c>
      <c r="AE39" s="22" t="str">
        <f>IF(COUNTIFS('VS×ケイパビリティ関係'!$F$4:$F$494,$B39,'VS×ケイパビリティ関係'!$G$4:$G$494,AE$5,'VS×ケイパビリティ関係'!$E$4:$E$494,"主")&gt;0,"●",IF(COUNTIFS('VS×ケイパビリティ関係'!$F$4:$F$494,$B39,'VS×ケイパビリティ関係'!$G$4:$G$494,AE$5,'VS×ケイパビリティ関係'!$E$4:$E$494,"支援")&gt;0,"○",""))</f>
        <v/>
      </c>
      <c r="AF39" s="22" t="str">
        <f>IF(COUNTIFS('VS×ケイパビリティ関係'!$F$4:$F$494,$B39,'VS×ケイパビリティ関係'!$G$4:$G$494,AF$5,'VS×ケイパビリティ関係'!$E$4:$E$494,"主")&gt;0,"●",IF(COUNTIFS('VS×ケイパビリティ関係'!$F$4:$F$494,$B39,'VS×ケイパビリティ関係'!$G$4:$G$494,AF$5,'VS×ケイパビリティ関係'!$E$4:$E$494,"支援")&gt;0,"○",""))</f>
        <v/>
      </c>
      <c r="AG39" s="22" t="str">
        <f>IF(COUNTIFS('VS×ケイパビリティ関係'!$F$4:$F$494,$B39,'VS×ケイパビリティ関係'!$G$4:$G$494,AG$5,'VS×ケイパビリティ関係'!$E$4:$E$494,"主")&gt;0,"●",IF(COUNTIFS('VS×ケイパビリティ関係'!$F$4:$F$494,$B39,'VS×ケイパビリティ関係'!$G$4:$G$494,AG$5,'VS×ケイパビリティ関係'!$E$4:$E$494,"支援")&gt;0,"○",""))</f>
        <v/>
      </c>
      <c r="AH39" s="22" t="str">
        <f>IF(COUNTIFS('VS×ケイパビリティ関係'!$F$4:$F$494,$B39,'VS×ケイパビリティ関係'!$G$4:$G$494,AH$5,'VS×ケイパビリティ関係'!$E$4:$E$494,"主")&gt;0,"●",IF(COUNTIFS('VS×ケイパビリティ関係'!$F$4:$F$494,$B39,'VS×ケイパビリティ関係'!$G$4:$G$494,AH$5,'VS×ケイパビリティ関係'!$E$4:$E$494,"支援")&gt;0,"○",""))</f>
        <v/>
      </c>
      <c r="AI39" s="22" t="str">
        <f>IF(COUNTIFS('VS×ケイパビリティ関係'!$F$4:$F$494,$B39,'VS×ケイパビリティ関係'!$G$4:$G$494,AI$5,'VS×ケイパビリティ関係'!$E$4:$E$494,"主")&gt;0,"●",IF(COUNTIFS('VS×ケイパビリティ関係'!$F$4:$F$494,$B39,'VS×ケイパビリティ関係'!$G$4:$G$494,AI$5,'VS×ケイパビリティ関係'!$E$4:$E$494,"支援")&gt;0,"○",""))</f>
        <v/>
      </c>
      <c r="AJ39" s="22" t="str">
        <f>IF(COUNTIFS('VS×ケイパビリティ関係'!$F$4:$F$494,$B39,'VS×ケイパビリティ関係'!$G$4:$G$494,AJ$5,'VS×ケイパビリティ関係'!$E$4:$E$494,"主")&gt;0,"●",IF(COUNTIFS('VS×ケイパビリティ関係'!$F$4:$F$494,$B39,'VS×ケイパビリティ関係'!$G$4:$G$494,AJ$5,'VS×ケイパビリティ関係'!$E$4:$E$494,"支援")&gt;0,"○",""))</f>
        <v>○</v>
      </c>
      <c r="AK39" s="22" t="str">
        <f>IF(COUNTIFS('VS×ケイパビリティ関係'!$F$4:$F$494,$B39,'VS×ケイパビリティ関係'!$G$4:$G$494,AK$5,'VS×ケイパビリティ関係'!$E$4:$E$494,"主")&gt;0,"●",IF(COUNTIFS('VS×ケイパビリティ関係'!$F$4:$F$494,$B39,'VS×ケイパビリティ関係'!$G$4:$G$494,AK$5,'VS×ケイパビリティ関係'!$E$4:$E$494,"支援")&gt;0,"○",""))</f>
        <v/>
      </c>
      <c r="AL39" s="22" t="str">
        <f>IF(COUNTIFS('VS×ケイパビリティ関係'!$F$4:$F$494,$B39,'VS×ケイパビリティ関係'!$G$4:$G$494,AL$5,'VS×ケイパビリティ関係'!$E$4:$E$494,"主")&gt;0,"●",IF(COUNTIFS('VS×ケイパビリティ関係'!$F$4:$F$494,$B39,'VS×ケイパビリティ関係'!$G$4:$G$494,AL$5,'VS×ケイパビリティ関係'!$E$4:$E$494,"支援")&gt;0,"○",""))</f>
        <v/>
      </c>
      <c r="AM39" s="22" t="str">
        <f>IF(COUNTIFS('VS×ケイパビリティ関係'!$F$4:$F$494,$B39,'VS×ケイパビリティ関係'!$G$4:$G$494,AM$5,'VS×ケイパビリティ関係'!$E$4:$E$494,"主")&gt;0,"●",IF(COUNTIFS('VS×ケイパビリティ関係'!$F$4:$F$494,$B39,'VS×ケイパビリティ関係'!$G$4:$G$494,AM$5,'VS×ケイパビリティ関係'!$E$4:$E$494,"支援")&gt;0,"○",""))</f>
        <v/>
      </c>
      <c r="AN39" s="22" t="str">
        <f>IF(COUNTIFS('VS×ケイパビリティ関係'!$F$4:$F$494,$B39,'VS×ケイパビリティ関係'!$G$4:$G$494,AN$5,'VS×ケイパビリティ関係'!$E$4:$E$494,"主")&gt;0,"●",IF(COUNTIFS('VS×ケイパビリティ関係'!$F$4:$F$494,$B39,'VS×ケイパビリティ関係'!$G$4:$G$494,AN$5,'VS×ケイパビリティ関係'!$E$4:$E$494,"支援")&gt;0,"○",""))</f>
        <v/>
      </c>
      <c r="AO39" s="22" t="str">
        <f>IF(COUNTIFS('VS×ケイパビリティ関係'!$F$4:$F$494,$B39,'VS×ケイパビリティ関係'!$G$4:$G$494,AO$5,'VS×ケイパビリティ関係'!$E$4:$E$494,"主")&gt;0,"●",IF(COUNTIFS('VS×ケイパビリティ関係'!$F$4:$F$494,$B39,'VS×ケイパビリティ関係'!$G$4:$G$494,AO$5,'VS×ケイパビリティ関係'!$E$4:$E$494,"支援")&gt;0,"○",""))</f>
        <v/>
      </c>
      <c r="AP39" s="22" t="str">
        <f>IF(COUNTIFS('VS×ケイパビリティ関係'!$F$4:$F$494,$B39,'VS×ケイパビリティ関係'!$G$4:$G$494,AP$5,'VS×ケイパビリティ関係'!$E$4:$E$494,"主")&gt;0,"●",IF(COUNTIFS('VS×ケイパビリティ関係'!$F$4:$F$494,$B39,'VS×ケイパビリティ関係'!$G$4:$G$494,AP$5,'VS×ケイパビリティ関係'!$E$4:$E$494,"支援")&gt;0,"○",""))</f>
        <v/>
      </c>
      <c r="AQ39" s="22" t="str">
        <f>IF(COUNTIFS('VS×ケイパビリティ関係'!$F$4:$F$494,$B39,'VS×ケイパビリティ関係'!$G$4:$G$494,AQ$5,'VS×ケイパビリティ関係'!$E$4:$E$494,"主")&gt;0,"●",IF(COUNTIFS('VS×ケイパビリティ関係'!$F$4:$F$494,$B39,'VS×ケイパビリティ関係'!$G$4:$G$494,AQ$5,'VS×ケイパビリティ関係'!$E$4:$E$494,"支援")&gt;0,"○",""))</f>
        <v/>
      </c>
      <c r="AR39" s="22" t="str">
        <f>IF(COUNTIFS('VS×ケイパビリティ関係'!$F$4:$F$494,$B39,'VS×ケイパビリティ関係'!$G$4:$G$494,AR$5,'VS×ケイパビリティ関係'!$E$4:$E$494,"主")&gt;0,"●",IF(COUNTIFS('VS×ケイパビリティ関係'!$F$4:$F$494,$B39,'VS×ケイパビリティ関係'!$G$4:$G$494,AR$5,'VS×ケイパビリティ関係'!$E$4:$E$494,"支援")&gt;0,"○",""))</f>
        <v/>
      </c>
      <c r="AS39" s="22" t="str">
        <f>IF(COUNTIFS('VS×ケイパビリティ関係'!$F$4:$F$494,$B39,'VS×ケイパビリティ関係'!$G$4:$G$494,AS$5,'VS×ケイパビリティ関係'!$E$4:$E$494,"主")&gt;0,"●",IF(COUNTIFS('VS×ケイパビリティ関係'!$F$4:$F$494,$B39,'VS×ケイパビリティ関係'!$G$4:$G$494,AS$5,'VS×ケイパビリティ関係'!$E$4:$E$494,"支援")&gt;0,"○",""))</f>
        <v/>
      </c>
      <c r="AT39" s="22" t="str">
        <f>IF(COUNTIFS('VS×ケイパビリティ関係'!$F$4:$F$494,$B39,'VS×ケイパビリティ関係'!$G$4:$G$494,AT$5,'VS×ケイパビリティ関係'!$E$4:$E$494,"主")&gt;0,"●",IF(COUNTIFS('VS×ケイパビリティ関係'!$F$4:$F$494,$B39,'VS×ケイパビリティ関係'!$G$4:$G$494,AT$5,'VS×ケイパビリティ関係'!$E$4:$E$494,"支援")&gt;0,"○",""))</f>
        <v>●</v>
      </c>
      <c r="AU39" s="22" t="str">
        <f>IF(COUNTIFS('VS×ケイパビリティ関係'!$F$4:$F$494,$B39,'VS×ケイパビリティ関係'!$G$4:$G$494,AU$5,'VS×ケイパビリティ関係'!$E$4:$E$494,"主")&gt;0,"●",IF(COUNTIFS('VS×ケイパビリティ関係'!$F$4:$F$494,$B39,'VS×ケイパビリティ関係'!$G$4:$G$494,AU$5,'VS×ケイパビリティ関係'!$E$4:$E$494,"支援")&gt;0,"○",""))</f>
        <v/>
      </c>
      <c r="AV39" s="22" t="str">
        <f>IF(COUNTIFS('VS×ケイパビリティ関係'!$F$4:$F$494,$B39,'VS×ケイパビリティ関係'!$G$4:$G$494,AV$5,'VS×ケイパビリティ関係'!$E$4:$E$494,"主")&gt;0,"●",IF(COUNTIFS('VS×ケイパビリティ関係'!$F$4:$F$494,$B39,'VS×ケイパビリティ関係'!$G$4:$G$494,AV$5,'VS×ケイパビリティ関係'!$E$4:$E$494,"支援")&gt;0,"○",""))</f>
        <v/>
      </c>
      <c r="AW39" s="22" t="str">
        <f>IF(COUNTIFS('VS×ケイパビリティ関係'!$F$4:$F$494,$B39,'VS×ケイパビリティ関係'!$G$4:$G$494,AW$5,'VS×ケイパビリティ関係'!$E$4:$E$494,"主")&gt;0,"●",IF(COUNTIFS('VS×ケイパビリティ関係'!$F$4:$F$494,$B39,'VS×ケイパビリティ関係'!$G$4:$G$494,AW$5,'VS×ケイパビリティ関係'!$E$4:$E$494,"支援")&gt;0,"○",""))</f>
        <v/>
      </c>
      <c r="AX39" s="22" t="str">
        <f>IF(COUNTIFS('VS×ケイパビリティ関係'!$F$4:$F$494,$B39,'VS×ケイパビリティ関係'!$G$4:$G$494,AX$5,'VS×ケイパビリティ関係'!$E$4:$E$494,"主")&gt;0,"●",IF(COUNTIFS('VS×ケイパビリティ関係'!$F$4:$F$494,$B39,'VS×ケイパビリティ関係'!$G$4:$G$494,AX$5,'VS×ケイパビリティ関係'!$E$4:$E$494,"支援")&gt;0,"○",""))</f>
        <v/>
      </c>
      <c r="AY39" s="22" t="str">
        <f>IF(COUNTIFS('VS×ケイパビリティ関係'!$F$4:$F$494,$B39,'VS×ケイパビリティ関係'!$G$4:$G$494,AY$5,'VS×ケイパビリティ関係'!$E$4:$E$494,"主")&gt;0,"●",IF(COUNTIFS('VS×ケイパビリティ関係'!$F$4:$F$494,$B39,'VS×ケイパビリティ関係'!$G$4:$G$494,AY$5,'VS×ケイパビリティ関係'!$E$4:$E$494,"支援")&gt;0,"○",""))</f>
        <v/>
      </c>
      <c r="AZ39" s="22" t="str">
        <f>IF(COUNTIFS('VS×ケイパビリティ関係'!$F$4:$F$494,$B39,'VS×ケイパビリティ関係'!$G$4:$G$494,AZ$5,'VS×ケイパビリティ関係'!$E$4:$E$494,"主")&gt;0,"●",IF(COUNTIFS('VS×ケイパビリティ関係'!$F$4:$F$494,$B39,'VS×ケイパビリティ関係'!$G$4:$G$494,AZ$5,'VS×ケイパビリティ関係'!$E$4:$E$494,"支援")&gt;0,"○",""))</f>
        <v/>
      </c>
      <c r="BA39" s="22" t="str">
        <f>IF(COUNTIFS('VS×ケイパビリティ関係'!$F$4:$F$494,$B39,'VS×ケイパビリティ関係'!$G$4:$G$494,BA$5,'VS×ケイパビリティ関係'!$E$4:$E$494,"主")&gt;0,"●",IF(COUNTIFS('VS×ケイパビリティ関係'!$F$4:$F$494,$B39,'VS×ケイパビリティ関係'!$G$4:$G$494,BA$5,'VS×ケイパビリティ関係'!$E$4:$E$494,"支援")&gt;0,"○",""))</f>
        <v/>
      </c>
      <c r="BB39" s="22" t="str">
        <f>IF(COUNTIFS('VS×ケイパビリティ関係'!$F$4:$F$494,$B39,'VS×ケイパビリティ関係'!$G$4:$G$494,BB$5,'VS×ケイパビリティ関係'!$E$4:$E$494,"主")&gt;0,"●",IF(COUNTIFS('VS×ケイパビリティ関係'!$F$4:$F$494,$B39,'VS×ケイパビリティ関係'!$G$4:$G$494,BB$5,'VS×ケイパビリティ関係'!$E$4:$E$494,"支援")&gt;0,"○",""))</f>
        <v/>
      </c>
      <c r="BC39" s="22" t="str">
        <f>IF(COUNTIFS('VS×ケイパビリティ関係'!$F$4:$F$494,$B39,'VS×ケイパビリティ関係'!$G$4:$G$494,BC$5,'VS×ケイパビリティ関係'!$E$4:$E$494,"主")&gt;0,"●",IF(COUNTIFS('VS×ケイパビリティ関係'!$F$4:$F$494,$B39,'VS×ケイパビリティ関係'!$G$4:$G$494,BC$5,'VS×ケイパビリティ関係'!$E$4:$E$494,"支援")&gt;0,"○",""))</f>
        <v/>
      </c>
      <c r="BD39" s="22" t="str">
        <f>IF(COUNTIFS('VS×ケイパビリティ関係'!$F$4:$F$494,$B39,'VS×ケイパビリティ関係'!$G$4:$G$494,BD$5,'VS×ケイパビリティ関係'!$E$4:$E$494,"主")&gt;0,"●",IF(COUNTIFS('VS×ケイパビリティ関係'!$F$4:$F$494,$B39,'VS×ケイパビリティ関係'!$G$4:$G$494,BD$5,'VS×ケイパビリティ関係'!$E$4:$E$494,"支援")&gt;0,"○",""))</f>
        <v/>
      </c>
      <c r="BE39" s="22">
        <f t="shared" si="1"/>
        <v>4</v>
      </c>
      <c r="BF39" s="22">
        <f t="shared" si="2"/>
        <v>5</v>
      </c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</sheetData>
  <mergeCells count="18">
    <mergeCell ref="A4:A6"/>
    <mergeCell ref="B4:B6"/>
    <mergeCell ref="C4:C6"/>
    <mergeCell ref="D4:F4"/>
    <mergeCell ref="G4:K4"/>
    <mergeCell ref="L4:O4"/>
    <mergeCell ref="P4:T4"/>
    <mergeCell ref="AW4:BA4"/>
    <mergeCell ref="BB4:BD4"/>
    <mergeCell ref="BE4:BE6"/>
    <mergeCell ref="BF4:BF6"/>
    <mergeCell ref="U4:Z4"/>
    <mergeCell ref="AA4:AD4"/>
    <mergeCell ref="AE4:AH4"/>
    <mergeCell ref="AI4:AL4"/>
    <mergeCell ref="AM4:AN4"/>
    <mergeCell ref="AO4:AR4"/>
    <mergeCell ref="AS4:AV4"/>
  </mergeCells>
  <conditionalFormatting sqref="D7:BD39">
    <cfRule type="cellIs" dxfId="1" priority="1" operator="equal">
      <formula>"●"</formula>
    </cfRule>
  </conditionalFormatting>
  <conditionalFormatting sqref="D7:BD39">
    <cfRule type="cellIs" dxfId="2" priority="2" operator="equal">
      <formula>"○"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4" width="24.0"/>
    <col customWidth="1" min="5" max="5" width="48.0"/>
    <col customWidth="1" min="6" max="6" width="12.0"/>
    <col customWidth="1" min="7" max="8" width="11.0"/>
    <col customWidth="1" min="9" max="10" width="12.0"/>
    <col customWidth="1" min="11" max="11" width="22.0"/>
    <col customWidth="1" min="12" max="13" width="9.0"/>
    <col customWidth="1" min="14" max="26" width="8.71"/>
  </cols>
  <sheetData>
    <row r="1" ht="17.25" customHeight="1">
      <c r="A1" s="1" t="s">
        <v>2181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.0" customHeight="1">
      <c r="A2" s="4" t="s">
        <v>2182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30.0" customHeight="1">
      <c r="A3" s="52" t="s">
        <v>8</v>
      </c>
      <c r="B3" s="52" t="s">
        <v>2183</v>
      </c>
      <c r="C3" s="52" t="s">
        <v>2184</v>
      </c>
      <c r="D3" s="52" t="s">
        <v>2185</v>
      </c>
      <c r="E3" s="52" t="s">
        <v>2186</v>
      </c>
      <c r="F3" s="52" t="s">
        <v>2187</v>
      </c>
      <c r="G3" s="52" t="s">
        <v>2188</v>
      </c>
      <c r="H3" s="53" t="s">
        <v>2189</v>
      </c>
      <c r="I3" s="52" t="s">
        <v>2190</v>
      </c>
      <c r="J3" s="52" t="s">
        <v>2191</v>
      </c>
      <c r="K3" s="53" t="s">
        <v>2192</v>
      </c>
      <c r="L3" s="53" t="s">
        <v>2193</v>
      </c>
      <c r="M3" s="53" t="s">
        <v>2194</v>
      </c>
    </row>
    <row r="4" ht="26.25" customHeight="1">
      <c r="A4" s="54" t="s">
        <v>2195</v>
      </c>
      <c r="B4" s="55" t="s">
        <v>2196</v>
      </c>
      <c r="C4" s="56" t="s">
        <v>2197</v>
      </c>
      <c r="D4" s="57" t="s">
        <v>2198</v>
      </c>
      <c r="E4" s="58" t="s">
        <v>2199</v>
      </c>
      <c r="F4" s="55" t="s">
        <v>2200</v>
      </c>
      <c r="G4" s="55" t="s">
        <v>552</v>
      </c>
      <c r="H4" s="59" t="str">
        <f t="shared" ref="H4:H99" si="1">IF(G4="非GxP","—","対象候補")</f>
        <v>対象候補</v>
      </c>
      <c r="I4" s="55" t="s">
        <v>2202</v>
      </c>
      <c r="J4" s="54" t="s">
        <v>955</v>
      </c>
      <c r="K4" s="60" t="str">
        <f t="array" ref="K4">IFERROR(INDEX('ケイパビリティマップ'!$E:$E,MATCH(J4,'ケイパビリティマップ'!$A:$A,0)),"（IDなし）")</f>
        <v>情報・データ管理</v>
      </c>
      <c r="L4" s="61">
        <f>COUNTIF('ケイパビリティ×情報オブジェクト'!D$6:D$58,"C")</f>
        <v>3</v>
      </c>
      <c r="M4" s="61">
        <f>COUNTIF('ケイパビリティ×情報オブジェクト'!D$6:D$58,"R")</f>
        <v>1</v>
      </c>
    </row>
    <row r="5" ht="26.25" customHeight="1">
      <c r="A5" s="54" t="s">
        <v>2204</v>
      </c>
      <c r="B5" s="55" t="s">
        <v>2196</v>
      </c>
      <c r="C5" s="56" t="s">
        <v>2205</v>
      </c>
      <c r="D5" s="57" t="s">
        <v>2206</v>
      </c>
      <c r="E5" s="58" t="s">
        <v>2207</v>
      </c>
      <c r="F5" s="55" t="s">
        <v>2208</v>
      </c>
      <c r="G5" s="55" t="s">
        <v>95</v>
      </c>
      <c r="H5" s="59" t="str">
        <f t="shared" si="1"/>
        <v>—</v>
      </c>
      <c r="I5" s="55" t="s">
        <v>2202</v>
      </c>
      <c r="J5" s="54" t="s">
        <v>42</v>
      </c>
      <c r="K5" s="60" t="str">
        <f t="array" ref="K5">IFERROR(INDEX('ケイパビリティマップ'!$E:$E,MATCH(J5,'ケイパビリティマップ'!$A:$A,0)),"（IDなし）")</f>
        <v>研究開発ポートフォリオ管理</v>
      </c>
      <c r="L5" s="61">
        <f>COUNTIF('ケイパビリティ×情報オブジェクト'!E$6:E$58,"C")</f>
        <v>4</v>
      </c>
      <c r="M5" s="61">
        <f>COUNTIF('ケイパビリティ×情報オブジェクト'!E$6:E$58,"R")</f>
        <v>0</v>
      </c>
    </row>
    <row r="6" ht="15.0" customHeight="1">
      <c r="A6" s="54" t="s">
        <v>2211</v>
      </c>
      <c r="B6" s="55" t="s">
        <v>2196</v>
      </c>
      <c r="C6" s="56" t="s">
        <v>391</v>
      </c>
      <c r="D6" s="57" t="s">
        <v>2212</v>
      </c>
      <c r="E6" s="58" t="s">
        <v>2213</v>
      </c>
      <c r="F6" s="55" t="s">
        <v>2200</v>
      </c>
      <c r="G6" s="55" t="s">
        <v>95</v>
      </c>
      <c r="H6" s="59" t="str">
        <f t="shared" si="1"/>
        <v>—</v>
      </c>
      <c r="I6" s="55" t="s">
        <v>2202</v>
      </c>
      <c r="J6" s="54" t="s">
        <v>92</v>
      </c>
      <c r="K6" s="60" t="str">
        <f t="array" ref="K6">IFERROR(INDEX('ケイパビリティマップ'!$E:$E,MATCH(J6,'ケイパビリティマップ'!$A:$A,0)),"（IDなし）")</f>
        <v>知財・独占期間管理</v>
      </c>
      <c r="L6" s="61">
        <f>COUNTIF('ケイパビリティ×情報オブジェクト'!F$6:F$58,"C")</f>
        <v>1</v>
      </c>
      <c r="M6" s="61">
        <f>COUNTIF('ケイパビリティ×情報オブジェクト'!F$6:F$58,"R")</f>
        <v>2</v>
      </c>
    </row>
    <row r="7" ht="26.25" customHeight="1">
      <c r="A7" s="54" t="s">
        <v>2215</v>
      </c>
      <c r="B7" s="55" t="s">
        <v>2196</v>
      </c>
      <c r="C7" s="56" t="s">
        <v>1962</v>
      </c>
      <c r="D7" s="57" t="s">
        <v>2216</v>
      </c>
      <c r="E7" s="58" t="s">
        <v>2217</v>
      </c>
      <c r="F7" s="55" t="s">
        <v>2200</v>
      </c>
      <c r="G7" s="55" t="s">
        <v>95</v>
      </c>
      <c r="H7" s="59" t="str">
        <f t="shared" si="1"/>
        <v>—</v>
      </c>
      <c r="I7" s="55" t="s">
        <v>2202</v>
      </c>
      <c r="J7" s="54" t="s">
        <v>133</v>
      </c>
      <c r="K7" s="60" t="str">
        <f t="array" ref="K7">IFERROR(INDEX('ケイパビリティマップ'!$E:$E,MATCH(J7,'ケイパビリティマップ'!$A:$A,0)),"（IDなし）")</f>
        <v>外部パートナー管理</v>
      </c>
      <c r="L7" s="61">
        <f>COUNTIF('ケイパビリティ×情報オブジェクト'!G$6:G$58,"C")</f>
        <v>2</v>
      </c>
      <c r="M7" s="61">
        <f>COUNTIF('ケイパビリティ×情報オブジェクト'!G$6:G$58,"R")</f>
        <v>1</v>
      </c>
    </row>
    <row r="8" ht="26.25" customHeight="1">
      <c r="A8" s="54" t="s">
        <v>2222</v>
      </c>
      <c r="B8" s="55" t="s">
        <v>2196</v>
      </c>
      <c r="C8" s="56" t="s">
        <v>2223</v>
      </c>
      <c r="D8" s="57" t="s">
        <v>2224</v>
      </c>
      <c r="E8" s="58" t="s">
        <v>2225</v>
      </c>
      <c r="F8" s="55" t="s">
        <v>2208</v>
      </c>
      <c r="G8" s="55" t="s">
        <v>2226</v>
      </c>
      <c r="H8" s="59" t="str">
        <f t="shared" si="1"/>
        <v>対象候補</v>
      </c>
      <c r="I8" s="55" t="s">
        <v>2202</v>
      </c>
      <c r="J8" s="54" t="s">
        <v>133</v>
      </c>
      <c r="K8" s="60" t="str">
        <f t="array" ref="K8">IFERROR(INDEX('ケイパビリティマップ'!$E:$E,MATCH(J8,'ケイパビリティマップ'!$A:$A,0)),"（IDなし）")</f>
        <v>外部パートナー管理</v>
      </c>
      <c r="L8" s="61">
        <f>COUNTIF('ケイパビリティ×情報オブジェクト'!H$6:H$58,"C")</f>
        <v>4</v>
      </c>
      <c r="M8" s="61">
        <f>COUNTIF('ケイパビリティ×情報オブジェクト'!H$6:H$58,"R")</f>
        <v>1</v>
      </c>
    </row>
    <row r="9" ht="26.25" customHeight="1">
      <c r="A9" s="54" t="s">
        <v>2228</v>
      </c>
      <c r="B9" s="55" t="s">
        <v>2196</v>
      </c>
      <c r="C9" s="56" t="s">
        <v>2229</v>
      </c>
      <c r="D9" s="57" t="s">
        <v>2230</v>
      </c>
      <c r="E9" s="58" t="s">
        <v>2231</v>
      </c>
      <c r="F9" s="55" t="s">
        <v>2200</v>
      </c>
      <c r="G9" s="55" t="s">
        <v>552</v>
      </c>
      <c r="H9" s="59" t="str">
        <f t="shared" si="1"/>
        <v>対象候補</v>
      </c>
      <c r="I9" s="55" t="s">
        <v>2202</v>
      </c>
      <c r="J9" s="54" t="s">
        <v>42</v>
      </c>
      <c r="K9" s="60" t="str">
        <f t="array" ref="K9">IFERROR(INDEX('ケイパビリティマップ'!$E:$E,MATCH(J9,'ケイパビリティマップ'!$A:$A,0)),"（IDなし）")</f>
        <v>研究開発ポートフォリオ管理</v>
      </c>
      <c r="L9" s="61">
        <f>COUNTIF('ケイパビリティ×情報オブジェクト'!I$6:I$58,"C")</f>
        <v>3</v>
      </c>
      <c r="M9" s="61">
        <f>COUNTIF('ケイパビリティ×情報オブジェクト'!I$6:I$58,"R")</f>
        <v>4</v>
      </c>
    </row>
    <row r="10" ht="26.25" customHeight="1">
      <c r="A10" s="54" t="s">
        <v>2235</v>
      </c>
      <c r="B10" s="55" t="s">
        <v>2214</v>
      </c>
      <c r="C10" s="56" t="s">
        <v>88</v>
      </c>
      <c r="D10" s="57" t="s">
        <v>2236</v>
      </c>
      <c r="E10" s="58" t="s">
        <v>2237</v>
      </c>
      <c r="F10" s="55" t="s">
        <v>2238</v>
      </c>
      <c r="G10" s="55" t="s">
        <v>95</v>
      </c>
      <c r="H10" s="59" t="str">
        <f t="shared" si="1"/>
        <v>—</v>
      </c>
      <c r="I10" s="55" t="s">
        <v>2202</v>
      </c>
      <c r="J10" s="54" t="s">
        <v>758</v>
      </c>
      <c r="K10" s="60" t="str">
        <f t="array" ref="K10">IFERROR(INDEX('ケイパビリティマップ'!$E:$E,MATCH(J10,'ケイパビリティマップ'!$A:$A,0)),"（IDなし）")</f>
        <v>患者団体・専門医連携★</v>
      </c>
      <c r="L10" s="61">
        <f>COUNTIF('ケイパビリティ×情報オブジェクト'!J$6:J$58,"C")</f>
        <v>1</v>
      </c>
      <c r="M10" s="61">
        <f>COUNTIF('ケイパビリティ×情報オブジェクト'!J$6:J$58,"R")</f>
        <v>3</v>
      </c>
    </row>
    <row r="11" ht="26.25" customHeight="1">
      <c r="A11" s="54" t="s">
        <v>2239</v>
      </c>
      <c r="B11" s="55" t="s">
        <v>2214</v>
      </c>
      <c r="C11" s="56" t="s">
        <v>2240</v>
      </c>
      <c r="D11" s="57" t="s">
        <v>2241</v>
      </c>
      <c r="E11" s="58" t="s">
        <v>2242</v>
      </c>
      <c r="F11" s="55" t="s">
        <v>2243</v>
      </c>
      <c r="G11" s="55" t="s">
        <v>95</v>
      </c>
      <c r="H11" s="59" t="str">
        <f t="shared" si="1"/>
        <v>—</v>
      </c>
      <c r="I11" s="55" t="s">
        <v>2244</v>
      </c>
      <c r="J11" s="54" t="s">
        <v>188</v>
      </c>
      <c r="K11" s="60" t="str">
        <f t="array" ref="K11">IFERROR(INDEX('ケイパビリティマップ'!$E:$E,MATCH(J11,'ケイパビリティマップ'!$A:$A,0)),"（IDなし）")</f>
        <v>疾患・標的研究★</v>
      </c>
      <c r="L11" s="61">
        <f>COUNTIF('ケイパビリティ×情報オブジェクト'!K$6:K$58,"C")</f>
        <v>1</v>
      </c>
      <c r="M11" s="61">
        <f>COUNTIF('ケイパビリティ×情報オブジェクト'!K$6:K$58,"R")</f>
        <v>2</v>
      </c>
    </row>
    <row r="12" ht="26.25" customHeight="1">
      <c r="A12" s="54" t="s">
        <v>2245</v>
      </c>
      <c r="B12" s="55" t="s">
        <v>2214</v>
      </c>
      <c r="C12" s="56" t="s">
        <v>120</v>
      </c>
      <c r="D12" s="57" t="s">
        <v>2246</v>
      </c>
      <c r="E12" s="58" t="s">
        <v>2247</v>
      </c>
      <c r="F12" s="55" t="s">
        <v>2200</v>
      </c>
      <c r="G12" s="55" t="s">
        <v>95</v>
      </c>
      <c r="H12" s="59" t="str">
        <f t="shared" si="1"/>
        <v>—</v>
      </c>
      <c r="I12" s="55" t="s">
        <v>2202</v>
      </c>
      <c r="J12" s="54" t="s">
        <v>188</v>
      </c>
      <c r="K12" s="60" t="str">
        <f t="array" ref="K12">IFERROR(INDEX('ケイパビリティマップ'!$E:$E,MATCH(J12,'ケイパビリティマップ'!$A:$A,0)),"（IDなし）")</f>
        <v>疾患・標的研究★</v>
      </c>
      <c r="L12" s="61">
        <f>COUNTIF('ケイパビリティ×情報オブジェクト'!L$6:L$58,"C")</f>
        <v>1</v>
      </c>
      <c r="M12" s="61">
        <f>COUNTIF('ケイパビリティ×情報オブジェクト'!L$6:L$58,"R")</f>
        <v>1</v>
      </c>
    </row>
    <row r="13" ht="15.0" customHeight="1">
      <c r="A13" s="54" t="s">
        <v>2248</v>
      </c>
      <c r="B13" s="55" t="s">
        <v>2214</v>
      </c>
      <c r="C13" s="56" t="s">
        <v>213</v>
      </c>
      <c r="D13" s="57" t="s">
        <v>2249</v>
      </c>
      <c r="E13" s="58" t="s">
        <v>2250</v>
      </c>
      <c r="F13" s="55" t="s">
        <v>2200</v>
      </c>
      <c r="G13" s="55" t="s">
        <v>95</v>
      </c>
      <c r="H13" s="59" t="str">
        <f t="shared" si="1"/>
        <v>—</v>
      </c>
      <c r="I13" s="55" t="s">
        <v>2202</v>
      </c>
      <c r="J13" s="54" t="s">
        <v>212</v>
      </c>
      <c r="K13" s="60" t="str">
        <f t="array" ref="K13">IFERROR(INDEX('ケイパビリティマップ'!$E:$E,MATCH(J13,'ケイパビリティマップ'!$A:$A,0)),"（IDなし）")</f>
        <v>抗体創出</v>
      </c>
      <c r="L13" s="61">
        <f>COUNTIF('ケイパビリティ×情報オブジェクト'!M$6:M$58,"C")</f>
        <v>1</v>
      </c>
      <c r="M13" s="61">
        <f>COUNTIF('ケイパビリティ×情報オブジェクト'!M$6:M$58,"R")</f>
        <v>0</v>
      </c>
    </row>
    <row r="14" ht="15.0" customHeight="1">
      <c r="A14" s="54" t="s">
        <v>2251</v>
      </c>
      <c r="B14" s="55" t="s">
        <v>2214</v>
      </c>
      <c r="C14" s="56" t="s">
        <v>2252</v>
      </c>
      <c r="D14" s="57" t="s">
        <v>2253</v>
      </c>
      <c r="E14" s="58" t="s">
        <v>2254</v>
      </c>
      <c r="F14" s="55" t="s">
        <v>2255</v>
      </c>
      <c r="G14" s="55" t="s">
        <v>95</v>
      </c>
      <c r="H14" s="59" t="str">
        <f t="shared" si="1"/>
        <v>—</v>
      </c>
      <c r="I14" s="55" t="s">
        <v>2202</v>
      </c>
      <c r="J14" s="54" t="s">
        <v>212</v>
      </c>
      <c r="K14" s="60" t="str">
        <f t="array" ref="K14">IFERROR(INDEX('ケイパビリティマップ'!$E:$E,MATCH(J14,'ケイパビリティマップ'!$A:$A,0)),"（IDなし）")</f>
        <v>抗体創出</v>
      </c>
      <c r="L14" s="61">
        <f>COUNTIF('ケイパビリティ×情報オブジェクト'!N$6:N$58,"C")</f>
        <v>1</v>
      </c>
      <c r="M14" s="61">
        <f>COUNTIF('ケイパビリティ×情報オブジェクト'!N$6:N$58,"R")</f>
        <v>0</v>
      </c>
    </row>
    <row r="15" ht="26.25" customHeight="1">
      <c r="A15" s="54" t="s">
        <v>2256</v>
      </c>
      <c r="B15" s="55" t="s">
        <v>2214</v>
      </c>
      <c r="C15" s="56" t="s">
        <v>214</v>
      </c>
      <c r="D15" s="57" t="s">
        <v>2257</v>
      </c>
      <c r="E15" s="58" t="s">
        <v>2258</v>
      </c>
      <c r="F15" s="55" t="s">
        <v>2200</v>
      </c>
      <c r="G15" s="55" t="s">
        <v>95</v>
      </c>
      <c r="H15" s="59" t="str">
        <f t="shared" si="1"/>
        <v>—</v>
      </c>
      <c r="I15" s="55" t="s">
        <v>2202</v>
      </c>
      <c r="J15" s="54" t="s">
        <v>212</v>
      </c>
      <c r="K15" s="60" t="str">
        <f t="array" ref="K15">IFERROR(INDEX('ケイパビリティマップ'!$E:$E,MATCH(J15,'ケイパビリティマップ'!$A:$A,0)),"（IDなし）")</f>
        <v>抗体創出</v>
      </c>
      <c r="L15" s="61">
        <f>COUNTIF('ケイパビリティ×情報オブジェクト'!O$6:O$58,"C")</f>
        <v>2</v>
      </c>
      <c r="M15" s="61">
        <f>COUNTIF('ケイパビリティ×情報オブジェクト'!O$6:O$58,"R")</f>
        <v>8</v>
      </c>
    </row>
    <row r="16" ht="15.0" customHeight="1">
      <c r="A16" s="54" t="s">
        <v>2259</v>
      </c>
      <c r="B16" s="55" t="s">
        <v>2214</v>
      </c>
      <c r="C16" s="56" t="s">
        <v>140</v>
      </c>
      <c r="D16" s="57" t="s">
        <v>2260</v>
      </c>
      <c r="E16" s="58" t="s">
        <v>2261</v>
      </c>
      <c r="F16" s="55" t="s">
        <v>2243</v>
      </c>
      <c r="G16" s="55" t="s">
        <v>95</v>
      </c>
      <c r="H16" s="59" t="str">
        <f t="shared" si="1"/>
        <v>—</v>
      </c>
      <c r="I16" s="55" t="s">
        <v>2202</v>
      </c>
      <c r="J16" s="54" t="s">
        <v>212</v>
      </c>
      <c r="K16" s="60" t="str">
        <f t="array" ref="K16">IFERROR(INDEX('ケイパビリティマップ'!$E:$E,MATCH(J16,'ケイパビリティマップ'!$A:$A,0)),"（IDなし）")</f>
        <v>抗体創出</v>
      </c>
      <c r="L16" s="61">
        <f>COUNTIF('ケイパビリティ×情報オブジェクト'!P$6:P$58,"C")</f>
        <v>3</v>
      </c>
      <c r="M16" s="61">
        <f>COUNTIF('ケイパビリティ×情報オブジェクト'!P$6:P$58,"R")</f>
        <v>4</v>
      </c>
    </row>
    <row r="17" ht="15.0" customHeight="1">
      <c r="A17" s="54" t="s">
        <v>2262</v>
      </c>
      <c r="B17" s="55" t="s">
        <v>2214</v>
      </c>
      <c r="C17" s="56" t="s">
        <v>516</v>
      </c>
      <c r="D17" s="57" t="s">
        <v>2263</v>
      </c>
      <c r="E17" s="58" t="s">
        <v>2264</v>
      </c>
      <c r="F17" s="55" t="s">
        <v>2200</v>
      </c>
      <c r="G17" s="55" t="s">
        <v>95</v>
      </c>
      <c r="H17" s="59" t="str">
        <f t="shared" si="1"/>
        <v>—</v>
      </c>
      <c r="I17" s="55" t="s">
        <v>2202</v>
      </c>
      <c r="J17" s="54" t="s">
        <v>247</v>
      </c>
      <c r="K17" s="60" t="str">
        <f t="array" ref="K17">IFERROR(INDEX('ケイパビリティマップ'!$E:$E,MATCH(J17,'ケイパビリティマップ'!$A:$A,0)),"（IDなし）")</f>
        <v>疾患モデル・薬効評価</v>
      </c>
      <c r="L17" s="61">
        <f>COUNTIF('ケイパビリティ×情報オブジェクト'!Q$6:Q$58,"C")</f>
        <v>1</v>
      </c>
      <c r="M17" s="61">
        <f>COUNTIF('ケイパビリティ×情報オブジェクト'!Q$6:Q$58,"R")</f>
        <v>1</v>
      </c>
    </row>
    <row r="18" ht="15.0" customHeight="1">
      <c r="A18" s="54" t="s">
        <v>2265</v>
      </c>
      <c r="B18" s="55" t="s">
        <v>2214</v>
      </c>
      <c r="C18" s="56" t="s">
        <v>2266</v>
      </c>
      <c r="D18" s="57" t="s">
        <v>2267</v>
      </c>
      <c r="E18" s="58" t="s">
        <v>2268</v>
      </c>
      <c r="F18" s="55" t="s">
        <v>2243</v>
      </c>
      <c r="G18" s="55" t="s">
        <v>95</v>
      </c>
      <c r="H18" s="59" t="str">
        <f t="shared" si="1"/>
        <v>—</v>
      </c>
      <c r="I18" s="55" t="s">
        <v>2202</v>
      </c>
      <c r="J18" s="54" t="s">
        <v>247</v>
      </c>
      <c r="K18" s="60" t="str">
        <f t="array" ref="K18">IFERROR(INDEX('ケイパビリティマップ'!$E:$E,MATCH(J18,'ケイパビリティマップ'!$A:$A,0)),"（IDなし）")</f>
        <v>疾患モデル・薬効評価</v>
      </c>
      <c r="L18" s="61">
        <f>COUNTIF('ケイパビリティ×情報オブジェクト'!R$6:R$58,"C")</f>
        <v>1</v>
      </c>
      <c r="M18" s="61">
        <f>COUNTIF('ケイパビリティ×情報オブジェクト'!R$6:R$58,"R")</f>
        <v>1</v>
      </c>
    </row>
    <row r="19" ht="26.25" customHeight="1">
      <c r="A19" s="54" t="s">
        <v>2270</v>
      </c>
      <c r="B19" s="55" t="s">
        <v>2214</v>
      </c>
      <c r="C19" s="56" t="s">
        <v>320</v>
      </c>
      <c r="D19" s="57" t="s">
        <v>2271</v>
      </c>
      <c r="E19" s="58" t="s">
        <v>2272</v>
      </c>
      <c r="F19" s="55" t="s">
        <v>2238</v>
      </c>
      <c r="G19" s="55" t="s">
        <v>95</v>
      </c>
      <c r="H19" s="59" t="str">
        <f t="shared" si="1"/>
        <v>—</v>
      </c>
      <c r="I19" s="55" t="s">
        <v>2202</v>
      </c>
      <c r="J19" s="54" t="s">
        <v>267</v>
      </c>
      <c r="K19" s="60" t="str">
        <f t="array" ref="K19">IFERROR(INDEX('ケイパビリティマップ'!$E:$E,MATCH(J19,'ケイパビリティマップ'!$A:$A,0)),"（IDなし）")</f>
        <v>開発適性・免疫原性リスク評価</v>
      </c>
      <c r="L19" s="61">
        <f>COUNTIF('ケイパビリティ×情報オブジェクト'!S$6:S$58,"C")</f>
        <v>1</v>
      </c>
      <c r="M19" s="61">
        <f>COUNTIF('ケイパビリティ×情報オブジェクト'!S$6:S$58,"R")</f>
        <v>1</v>
      </c>
    </row>
    <row r="20" ht="26.25" customHeight="1">
      <c r="A20" s="54" t="s">
        <v>2273</v>
      </c>
      <c r="B20" s="55" t="s">
        <v>2214</v>
      </c>
      <c r="C20" s="56" t="s">
        <v>2274</v>
      </c>
      <c r="D20" s="57" t="s">
        <v>2275</v>
      </c>
      <c r="E20" s="58" t="s">
        <v>2276</v>
      </c>
      <c r="F20" s="55" t="s">
        <v>2255</v>
      </c>
      <c r="G20" s="55" t="s">
        <v>95</v>
      </c>
      <c r="H20" s="59" t="str">
        <f t="shared" si="1"/>
        <v>—</v>
      </c>
      <c r="I20" s="55" t="s">
        <v>2202</v>
      </c>
      <c r="J20" s="54" t="s">
        <v>42</v>
      </c>
      <c r="K20" s="60" t="str">
        <f t="array" ref="K20">IFERROR(INDEX('ケイパビリティマップ'!$E:$E,MATCH(J20,'ケイパビリティマップ'!$A:$A,0)),"（IDなし）")</f>
        <v>研究開発ポートフォリオ管理</v>
      </c>
      <c r="L20" s="61">
        <f>COUNTIF('ケイパビリティ×情報オブジェクト'!T$6:T$58,"C")</f>
        <v>2</v>
      </c>
      <c r="M20" s="61">
        <f>COUNTIF('ケイパビリティ×情報オブジェクト'!T$6:T$58,"R")</f>
        <v>0</v>
      </c>
    </row>
    <row r="21" ht="15.0" customHeight="1">
      <c r="A21" s="54" t="s">
        <v>2277</v>
      </c>
      <c r="B21" s="55" t="s">
        <v>2214</v>
      </c>
      <c r="C21" s="56" t="s">
        <v>376</v>
      </c>
      <c r="D21" s="57" t="s">
        <v>2278</v>
      </c>
      <c r="E21" s="58" t="s">
        <v>2279</v>
      </c>
      <c r="F21" s="55" t="s">
        <v>2238</v>
      </c>
      <c r="G21" s="55" t="s">
        <v>95</v>
      </c>
      <c r="H21" s="59" t="str">
        <f t="shared" si="1"/>
        <v>—</v>
      </c>
      <c r="I21" s="55" t="s">
        <v>2202</v>
      </c>
      <c r="J21" s="54" t="s">
        <v>472</v>
      </c>
      <c r="K21" s="60" t="str">
        <f t="array" ref="K21">IFERROR(INDEX('ケイパビリティマップ'!$E:$E,MATCH(J21,'ケイパビリティマップ'!$A:$A,0)),"（IDなし）")</f>
        <v>患者エビデンス管理★</v>
      </c>
      <c r="L21" s="61">
        <f>COUNTIF('ケイパビリティ×情報オブジェクト'!U$6:U$58,"C")</f>
        <v>1</v>
      </c>
      <c r="M21" s="61">
        <f>COUNTIF('ケイパビリティ×情報オブジェクト'!U$6:U$58,"R")</f>
        <v>4</v>
      </c>
    </row>
    <row r="22" ht="15.0" customHeight="1">
      <c r="A22" s="54" t="s">
        <v>2280</v>
      </c>
      <c r="B22" s="55" t="s">
        <v>2218</v>
      </c>
      <c r="C22" s="56" t="s">
        <v>530</v>
      </c>
      <c r="D22" s="57" t="s">
        <v>2281</v>
      </c>
      <c r="E22" s="58" t="s">
        <v>2282</v>
      </c>
      <c r="F22" s="55" t="s">
        <v>2283</v>
      </c>
      <c r="G22" s="55" t="s">
        <v>535</v>
      </c>
      <c r="H22" s="59" t="str">
        <f t="shared" si="1"/>
        <v>対象候補</v>
      </c>
      <c r="I22" s="55" t="s">
        <v>2202</v>
      </c>
      <c r="J22" s="54" t="s">
        <v>298</v>
      </c>
      <c r="K22" s="60" t="str">
        <f t="array" ref="K22">IFERROR(INDEX('ケイパビリティマップ'!$E:$E,MATCH(J22,'ケイパビリティマップ'!$A:$A,0)),"（IDなし）")</f>
        <v>非臨床安全性評価</v>
      </c>
      <c r="L22" s="61">
        <f>COUNTIF('ケイパビリティ×情報オブジェクト'!V$6:V$58,"C")</f>
        <v>1</v>
      </c>
      <c r="M22" s="61">
        <f>COUNTIF('ケイパビリティ×情報オブジェクト'!V$6:V$58,"R")</f>
        <v>2</v>
      </c>
    </row>
    <row r="23" ht="15.0" customHeight="1">
      <c r="A23" s="54" t="s">
        <v>2285</v>
      </c>
      <c r="B23" s="55" t="s">
        <v>2218</v>
      </c>
      <c r="C23" s="56" t="s">
        <v>533</v>
      </c>
      <c r="D23" s="57" t="s">
        <v>2286</v>
      </c>
      <c r="E23" s="58" t="s">
        <v>2287</v>
      </c>
      <c r="F23" s="55" t="s">
        <v>2243</v>
      </c>
      <c r="G23" s="55" t="s">
        <v>535</v>
      </c>
      <c r="H23" s="59" t="str">
        <f t="shared" si="1"/>
        <v>対象候補</v>
      </c>
      <c r="I23" s="55" t="s">
        <v>2202</v>
      </c>
      <c r="J23" s="54" t="s">
        <v>298</v>
      </c>
      <c r="K23" s="60" t="str">
        <f t="array" ref="K23">IFERROR(INDEX('ケイパビリティマップ'!$E:$E,MATCH(J23,'ケイパビリティマップ'!$A:$A,0)),"（IDなし）")</f>
        <v>非臨床安全性評価</v>
      </c>
      <c r="L23" s="61">
        <f>COUNTIF('ケイパビリティ×情報オブジェクト'!W$6:W$58,"C")</f>
        <v>3</v>
      </c>
      <c r="M23" s="61">
        <f>COUNTIF('ケイパビリティ×情報オブジェクト'!W$6:W$58,"R")</f>
        <v>1</v>
      </c>
    </row>
    <row r="24" ht="15.0" customHeight="1">
      <c r="A24" s="54" t="s">
        <v>2290</v>
      </c>
      <c r="B24" s="55" t="s">
        <v>2218</v>
      </c>
      <c r="C24" s="56" t="s">
        <v>498</v>
      </c>
      <c r="D24" s="57" t="s">
        <v>2291</v>
      </c>
      <c r="E24" s="58" t="s">
        <v>2292</v>
      </c>
      <c r="F24" s="55" t="s">
        <v>2283</v>
      </c>
      <c r="G24" s="55" t="s">
        <v>535</v>
      </c>
      <c r="H24" s="59" t="str">
        <f t="shared" si="1"/>
        <v>対象候補</v>
      </c>
      <c r="I24" s="55" t="s">
        <v>2202</v>
      </c>
      <c r="J24" s="54" t="s">
        <v>298</v>
      </c>
      <c r="K24" s="60" t="str">
        <f t="array" ref="K24">IFERROR(INDEX('ケイパビリティマップ'!$E:$E,MATCH(J24,'ケイパビリティマップ'!$A:$A,0)),"（IDなし）")</f>
        <v>非臨床安全性評価</v>
      </c>
      <c r="L24" s="61">
        <f>COUNTIF('ケイパビリティ×情報オブジェクト'!X$6:X$58,"C")</f>
        <v>2</v>
      </c>
      <c r="M24" s="61">
        <f>COUNTIF('ケイパビリティ×情報オブジェクト'!X$6:X$58,"R")</f>
        <v>4</v>
      </c>
    </row>
    <row r="25" ht="15.0" customHeight="1">
      <c r="A25" s="54" t="s">
        <v>2293</v>
      </c>
      <c r="B25" s="55" t="s">
        <v>2218</v>
      </c>
      <c r="C25" s="56" t="s">
        <v>577</v>
      </c>
      <c r="D25" s="57" t="s">
        <v>2294</v>
      </c>
      <c r="E25" s="58" t="s">
        <v>2295</v>
      </c>
      <c r="F25" s="55" t="s">
        <v>2255</v>
      </c>
      <c r="G25" s="55" t="s">
        <v>2296</v>
      </c>
      <c r="H25" s="59" t="str">
        <f t="shared" si="1"/>
        <v>対象候補</v>
      </c>
      <c r="I25" s="55" t="s">
        <v>2202</v>
      </c>
      <c r="J25" s="54" t="s">
        <v>318</v>
      </c>
      <c r="K25" s="60" t="str">
        <f t="array" ref="K25">IFERROR(INDEX('ケイパビリティマップ'!$E:$E,MATCH(J25,'ケイパビリティマップ'!$A:$A,0)),"（IDなし）")</f>
        <v>バイオアナリシス</v>
      </c>
      <c r="L25" s="61">
        <f>COUNTIF('ケイパビリティ×情報オブジェクト'!Y$6:Y$58,"C")</f>
        <v>1</v>
      </c>
      <c r="M25" s="61">
        <f>COUNTIF('ケイパビリティ×情報オブジェクト'!Y$6:Y$58,"R")</f>
        <v>0</v>
      </c>
    </row>
    <row r="26" ht="26.25" customHeight="1">
      <c r="A26" s="54" t="s">
        <v>2297</v>
      </c>
      <c r="B26" s="55" t="s">
        <v>2219</v>
      </c>
      <c r="C26" s="56" t="s">
        <v>962</v>
      </c>
      <c r="D26" s="57" t="s">
        <v>2298</v>
      </c>
      <c r="E26" s="58" t="s">
        <v>2299</v>
      </c>
      <c r="F26" s="55" t="s">
        <v>2200</v>
      </c>
      <c r="G26" s="55" t="s">
        <v>95</v>
      </c>
      <c r="H26" s="59" t="str">
        <f t="shared" si="1"/>
        <v>—</v>
      </c>
      <c r="I26" s="55" t="s">
        <v>2202</v>
      </c>
      <c r="J26" s="54" t="s">
        <v>352</v>
      </c>
      <c r="K26" s="60" t="str">
        <f t="array" ref="K26">IFERROR(INDEX('ケイパビリティマップ'!$E:$E,MATCH(J26,'ケイパビリティマップ'!$A:$A,0)),"（IDなし）")</f>
        <v>細胞株開発・セルバンク管理</v>
      </c>
      <c r="L26" s="61">
        <f>COUNTIF('ケイパビリティ×情報オブジェクト'!Z$6:Z$58,"C")</f>
        <v>1</v>
      </c>
      <c r="M26" s="61">
        <f>COUNTIF('ケイパビリティ×情報オブジェクト'!Z$6:Z$58,"R")</f>
        <v>1</v>
      </c>
    </row>
    <row r="27" ht="26.25" customHeight="1">
      <c r="A27" s="54" t="s">
        <v>2300</v>
      </c>
      <c r="B27" s="55" t="s">
        <v>2219</v>
      </c>
      <c r="C27" s="56" t="s">
        <v>1021</v>
      </c>
      <c r="D27" s="57" t="s">
        <v>2301</v>
      </c>
      <c r="E27" s="58" t="s">
        <v>2302</v>
      </c>
      <c r="F27" s="55" t="s">
        <v>2200</v>
      </c>
      <c r="G27" s="55" t="s">
        <v>1012</v>
      </c>
      <c r="H27" s="59" t="str">
        <f t="shared" si="1"/>
        <v>対象候補</v>
      </c>
      <c r="I27" s="55" t="s">
        <v>2202</v>
      </c>
      <c r="J27" s="54" t="s">
        <v>352</v>
      </c>
      <c r="K27" s="60" t="str">
        <f t="array" ref="K27">IFERROR(INDEX('ケイパビリティマップ'!$E:$E,MATCH(J27,'ケイパビリティマップ'!$A:$A,0)),"（IDなし）")</f>
        <v>細胞株開発・セルバンク管理</v>
      </c>
      <c r="L27" s="61">
        <f>COUNTIF('ケイパビリティ×情報オブジェクト'!AA$6:AA$58,"C")</f>
        <v>1</v>
      </c>
      <c r="M27" s="61">
        <f>COUNTIF('ケイパビリティ×情報オブジェクト'!AA$6:AA$58,"R")</f>
        <v>4</v>
      </c>
    </row>
    <row r="28" ht="15.0" customHeight="1">
      <c r="A28" s="54" t="s">
        <v>2303</v>
      </c>
      <c r="B28" s="55" t="s">
        <v>2219</v>
      </c>
      <c r="C28" s="56" t="s">
        <v>1049</v>
      </c>
      <c r="D28" s="57" t="s">
        <v>2304</v>
      </c>
      <c r="E28" s="58" t="s">
        <v>2305</v>
      </c>
      <c r="F28" s="55" t="s">
        <v>2255</v>
      </c>
      <c r="G28" s="55" t="s">
        <v>1012</v>
      </c>
      <c r="H28" s="59" t="str">
        <f t="shared" si="1"/>
        <v>対象候補</v>
      </c>
      <c r="I28" s="55" t="s">
        <v>2202</v>
      </c>
      <c r="J28" s="54" t="s">
        <v>397</v>
      </c>
      <c r="K28" s="60" t="str">
        <f t="array" ref="K28">IFERROR(INDEX('ケイパビリティマップ'!$E:$E,MATCH(J28,'ケイパビリティマップ'!$A:$A,0)),"（IDなし）")</f>
        <v>原薬プロセス開発</v>
      </c>
      <c r="L28" s="61">
        <f>COUNTIF('ケイパビリティ×情報オブジェクト'!AB$6:AB$58,"C")</f>
        <v>2</v>
      </c>
      <c r="M28" s="61">
        <f>COUNTIF('ケイパビリティ×情報オブジェクト'!AB$6:AB$58,"R")</f>
        <v>2</v>
      </c>
    </row>
    <row r="29" ht="15.0" customHeight="1">
      <c r="A29" s="54" t="s">
        <v>2306</v>
      </c>
      <c r="B29" s="55" t="s">
        <v>2219</v>
      </c>
      <c r="C29" s="56" t="s">
        <v>2307</v>
      </c>
      <c r="D29" s="57" t="s">
        <v>2308</v>
      </c>
      <c r="E29" s="58" t="s">
        <v>2309</v>
      </c>
      <c r="F29" s="55" t="s">
        <v>2243</v>
      </c>
      <c r="G29" s="55" t="s">
        <v>95</v>
      </c>
      <c r="H29" s="59" t="str">
        <f t="shared" si="1"/>
        <v>—</v>
      </c>
      <c r="I29" s="55" t="s">
        <v>2202</v>
      </c>
      <c r="J29" s="54" t="s">
        <v>397</v>
      </c>
      <c r="K29" s="60" t="str">
        <f t="array" ref="K29">IFERROR(INDEX('ケイパビリティマップ'!$E:$E,MATCH(J29,'ケイパビリティマップ'!$A:$A,0)),"（IDなし）")</f>
        <v>原薬プロセス開発</v>
      </c>
      <c r="L29" s="61">
        <f>COUNTIF('ケイパビリティ×情報オブジェクト'!AC$6:AC$58,"C")</f>
        <v>2</v>
      </c>
      <c r="M29" s="61">
        <f>COUNTIF('ケイパビリティ×情報オブジェクト'!AC$6:AC$58,"R")</f>
        <v>1</v>
      </c>
    </row>
    <row r="30" ht="15.0" customHeight="1">
      <c r="A30" s="54" t="s">
        <v>2310</v>
      </c>
      <c r="B30" s="55" t="s">
        <v>2219</v>
      </c>
      <c r="C30" s="56" t="s">
        <v>1083</v>
      </c>
      <c r="D30" s="57" t="s">
        <v>2311</v>
      </c>
      <c r="E30" s="58" t="s">
        <v>2312</v>
      </c>
      <c r="F30" s="55" t="s">
        <v>2255</v>
      </c>
      <c r="G30" s="55" t="s">
        <v>2313</v>
      </c>
      <c r="H30" s="59" t="str">
        <f t="shared" si="1"/>
        <v>対象候補</v>
      </c>
      <c r="I30" s="55" t="s">
        <v>2202</v>
      </c>
      <c r="J30" s="54" t="s">
        <v>413</v>
      </c>
      <c r="K30" s="60" t="str">
        <f t="array" ref="K30">IFERROR(INDEX('ケイパビリティマップ'!$E:$E,MATCH(J30,'ケイパビリティマップ'!$A:$A,0)),"（IDなし）")</f>
        <v>製剤・デバイス開発</v>
      </c>
      <c r="L30" s="61">
        <f>COUNTIF('ケイパビリティ×情報オブジェクト'!AD$6:AD$58,"C")</f>
        <v>1</v>
      </c>
      <c r="M30" s="61">
        <f>COUNTIF('ケイパビリティ×情報オブジェクト'!AD$6:AD$58,"R")</f>
        <v>2</v>
      </c>
    </row>
    <row r="31" ht="15.0" customHeight="1">
      <c r="A31" s="54" t="s">
        <v>2315</v>
      </c>
      <c r="B31" s="55" t="s">
        <v>2219</v>
      </c>
      <c r="C31" s="56" t="s">
        <v>1120</v>
      </c>
      <c r="D31" s="57" t="s">
        <v>2316</v>
      </c>
      <c r="E31" s="58" t="s">
        <v>2317</v>
      </c>
      <c r="F31" s="55" t="s">
        <v>2255</v>
      </c>
      <c r="G31" s="55" t="s">
        <v>1012</v>
      </c>
      <c r="H31" s="59" t="str">
        <f t="shared" si="1"/>
        <v>対象候補</v>
      </c>
      <c r="I31" s="55" t="s">
        <v>2202</v>
      </c>
      <c r="J31" s="54" t="s">
        <v>431</v>
      </c>
      <c r="K31" s="60" t="str">
        <f t="array" ref="K31">IFERROR(INDEX('ケイパビリティマップ'!$E:$E,MATCH(J31,'ケイパビリティマップ'!$A:$A,0)),"（IDなし）")</f>
        <v>分析法開発・品質特性評価</v>
      </c>
      <c r="L31" s="61">
        <f>COUNTIF('ケイパビリティ×情報オブジェクト'!AE$6:AE$58,"C")</f>
        <v>1</v>
      </c>
      <c r="M31" s="61">
        <f>COUNTIF('ケイパビリティ×情報オブジェクト'!AE$6:AE$58,"R")</f>
        <v>1</v>
      </c>
    </row>
    <row r="32" ht="26.25" customHeight="1">
      <c r="A32" s="54" t="s">
        <v>2318</v>
      </c>
      <c r="B32" s="55" t="s">
        <v>2219</v>
      </c>
      <c r="C32" s="56" t="s">
        <v>1129</v>
      </c>
      <c r="D32" s="57" t="s">
        <v>2319</v>
      </c>
      <c r="E32" s="58" t="s">
        <v>2320</v>
      </c>
      <c r="F32" s="55" t="s">
        <v>2255</v>
      </c>
      <c r="G32" s="55" t="s">
        <v>1012</v>
      </c>
      <c r="H32" s="59" t="str">
        <f t="shared" si="1"/>
        <v>対象候補</v>
      </c>
      <c r="I32" s="55" t="s">
        <v>2202</v>
      </c>
      <c r="J32" s="54" t="s">
        <v>431</v>
      </c>
      <c r="K32" s="60" t="str">
        <f t="array" ref="K32">IFERROR(INDEX('ケイパビリティマップ'!$E:$E,MATCH(J32,'ケイパビリティマップ'!$A:$A,0)),"（IDなし）")</f>
        <v>分析法開発・品質特性評価</v>
      </c>
      <c r="L32" s="61">
        <f>COUNTIF('ケイパビリティ×情報オブジェクト'!AF$6:AF$58,"C")</f>
        <v>1</v>
      </c>
      <c r="M32" s="61">
        <f>COUNTIF('ケイパビリティ×情報オブジェクト'!AF$6:AF$58,"R")</f>
        <v>4</v>
      </c>
    </row>
    <row r="33" ht="15.0" customHeight="1">
      <c r="A33" s="54" t="s">
        <v>2323</v>
      </c>
      <c r="B33" s="55" t="s">
        <v>2219</v>
      </c>
      <c r="C33" s="56" t="s">
        <v>1143</v>
      </c>
      <c r="D33" s="57" t="s">
        <v>2325</v>
      </c>
      <c r="E33" s="58" t="s">
        <v>2326</v>
      </c>
      <c r="F33" s="55" t="s">
        <v>2200</v>
      </c>
      <c r="G33" s="55" t="s">
        <v>1012</v>
      </c>
      <c r="H33" s="59" t="str">
        <f t="shared" si="1"/>
        <v>対象候補</v>
      </c>
      <c r="I33" s="55" t="s">
        <v>2202</v>
      </c>
      <c r="J33" s="54" t="s">
        <v>431</v>
      </c>
      <c r="K33" s="60" t="str">
        <f t="array" ref="K33">IFERROR(INDEX('ケイパビリティマップ'!$E:$E,MATCH(J33,'ケイパビリティマップ'!$A:$A,0)),"（IDなし）")</f>
        <v>分析法開発・品質特性評価</v>
      </c>
      <c r="L33" s="61">
        <f>COUNTIF('ケイパビリティ×情報オブジェクト'!AG$6:AG$58,"C")</f>
        <v>1</v>
      </c>
      <c r="M33" s="61">
        <f>COUNTIF('ケイパビリティ×情報オブジェクト'!AG$6:AG$58,"R")</f>
        <v>2</v>
      </c>
    </row>
    <row r="34" ht="15.0" customHeight="1">
      <c r="A34" s="54" t="s">
        <v>2328</v>
      </c>
      <c r="B34" s="55" t="s">
        <v>2219</v>
      </c>
      <c r="C34" s="56" t="s">
        <v>1154</v>
      </c>
      <c r="D34" s="57" t="s">
        <v>2329</v>
      </c>
      <c r="E34" s="58" t="s">
        <v>2330</v>
      </c>
      <c r="F34" s="55" t="s">
        <v>2255</v>
      </c>
      <c r="G34" s="55" t="s">
        <v>1012</v>
      </c>
      <c r="H34" s="59" t="str">
        <f t="shared" si="1"/>
        <v>対象候補</v>
      </c>
      <c r="I34" s="55" t="s">
        <v>2202</v>
      </c>
      <c r="J34" s="54" t="s">
        <v>431</v>
      </c>
      <c r="K34" s="60" t="str">
        <f t="array" ref="K34">IFERROR(INDEX('ケイパビリティマップ'!$E:$E,MATCH(J34,'ケイパビリティマップ'!$A:$A,0)),"（IDなし）")</f>
        <v>分析法開発・品質特性評価</v>
      </c>
      <c r="L34" s="61">
        <f>COUNTIF('ケイパビリティ×情報オブジェクト'!AH$6:AH$58,"C")</f>
        <v>1</v>
      </c>
      <c r="M34" s="61">
        <f>COUNTIF('ケイパビリティ×情報オブジェクト'!AH$6:AH$58,"R")</f>
        <v>5</v>
      </c>
    </row>
    <row r="35" ht="15.0" customHeight="1">
      <c r="A35" s="54" t="s">
        <v>2333</v>
      </c>
      <c r="B35" s="55" t="s">
        <v>2219</v>
      </c>
      <c r="C35" s="56" t="s">
        <v>1238</v>
      </c>
      <c r="D35" s="57" t="s">
        <v>2334</v>
      </c>
      <c r="E35" s="58" t="s">
        <v>2335</v>
      </c>
      <c r="F35" s="55" t="s">
        <v>2255</v>
      </c>
      <c r="G35" s="55" t="s">
        <v>1012</v>
      </c>
      <c r="H35" s="59" t="str">
        <f t="shared" si="1"/>
        <v>対象候補</v>
      </c>
      <c r="I35" s="55" t="s">
        <v>2202</v>
      </c>
      <c r="J35" s="54" t="s">
        <v>397</v>
      </c>
      <c r="K35" s="60" t="str">
        <f t="array" ref="K35">IFERROR(INDEX('ケイパビリティマップ'!$E:$E,MATCH(J35,'ケイパビリティマップ'!$A:$A,0)),"（IDなし）")</f>
        <v>原薬プロセス開発</v>
      </c>
      <c r="L35" s="61">
        <f>COUNTIF('ケイパビリティ×情報オブジェクト'!AI$6:AI$58,"C")</f>
        <v>1</v>
      </c>
      <c r="M35" s="61">
        <f>COUNTIF('ケイパビリティ×情報オブジェクト'!AI$6:AI$58,"R")</f>
        <v>3</v>
      </c>
    </row>
    <row r="36" ht="15.0" customHeight="1">
      <c r="A36" s="54" t="s">
        <v>2336</v>
      </c>
      <c r="B36" s="55" t="s">
        <v>2219</v>
      </c>
      <c r="C36" s="56" t="s">
        <v>1103</v>
      </c>
      <c r="D36" s="57" t="s">
        <v>2337</v>
      </c>
      <c r="E36" s="58" t="s">
        <v>2338</v>
      </c>
      <c r="F36" s="55" t="s">
        <v>2243</v>
      </c>
      <c r="G36" s="55" t="s">
        <v>1012</v>
      </c>
      <c r="H36" s="59" t="str">
        <f t="shared" si="1"/>
        <v>対象候補</v>
      </c>
      <c r="I36" s="55" t="s">
        <v>2202</v>
      </c>
      <c r="J36" s="54" t="s">
        <v>665</v>
      </c>
      <c r="K36" s="60" t="str">
        <f t="array" ref="K36">IFERROR(INDEX('ケイパビリティマップ'!$E:$E,MATCH(J36,'ケイパビリティマップ'!$A:$A,0)),"（IDなし）")</f>
        <v>品質管理（試験・安定性）</v>
      </c>
      <c r="L36" s="61">
        <f>COUNTIF('ケイパビリティ×情報オブジェクト'!AJ$6:AJ$58,"C")</f>
        <v>3</v>
      </c>
      <c r="M36" s="61">
        <f>COUNTIF('ケイパビリティ×情報オブジェクト'!AJ$6:AJ$58,"R")</f>
        <v>2</v>
      </c>
    </row>
    <row r="37" ht="26.25" customHeight="1">
      <c r="A37" s="54" t="s">
        <v>2339</v>
      </c>
      <c r="B37" s="55" t="s">
        <v>2219</v>
      </c>
      <c r="C37" s="56" t="s">
        <v>2340</v>
      </c>
      <c r="D37" s="57" t="s">
        <v>2341</v>
      </c>
      <c r="E37" s="58" t="s">
        <v>2342</v>
      </c>
      <c r="F37" s="55" t="s">
        <v>2283</v>
      </c>
      <c r="G37" s="55" t="s">
        <v>1012</v>
      </c>
      <c r="H37" s="59" t="str">
        <f t="shared" si="1"/>
        <v>対象候補</v>
      </c>
      <c r="I37" s="55" t="s">
        <v>2202</v>
      </c>
      <c r="J37" s="54" t="s">
        <v>431</v>
      </c>
      <c r="K37" s="60" t="str">
        <f t="array" ref="K37">IFERROR(INDEX('ケイパビリティマップ'!$E:$E,MATCH(J37,'ケイパビリティマップ'!$A:$A,0)),"（IDなし）")</f>
        <v>分析法開発・品質特性評価</v>
      </c>
      <c r="L37" s="61">
        <f>COUNTIF('ケイパビリティ×情報オブジェクト'!AK$6:AK$58,"C")</f>
        <v>4</v>
      </c>
      <c r="M37" s="61">
        <f>COUNTIF('ケイパビリティ×情報オブジェクト'!AK$6:AK$58,"R")</f>
        <v>4</v>
      </c>
    </row>
    <row r="38" ht="15.0" customHeight="1">
      <c r="A38" s="54" t="s">
        <v>2343</v>
      </c>
      <c r="B38" s="55" t="s">
        <v>2219</v>
      </c>
      <c r="C38" s="56" t="s">
        <v>2344</v>
      </c>
      <c r="D38" s="57" t="s">
        <v>2345</v>
      </c>
      <c r="E38" s="58" t="s">
        <v>2346</v>
      </c>
      <c r="F38" s="55" t="s">
        <v>2255</v>
      </c>
      <c r="G38" s="55" t="s">
        <v>1012</v>
      </c>
      <c r="H38" s="59" t="str">
        <f t="shared" si="1"/>
        <v>対象候補</v>
      </c>
      <c r="I38" s="55" t="s">
        <v>2202</v>
      </c>
      <c r="J38" s="54" t="s">
        <v>445</v>
      </c>
      <c r="K38" s="60" t="str">
        <f t="array" ref="K38">IFERROR(INDEX('ケイパビリティマップ'!$E:$E,MATCH(J38,'ケイパビリティマップ'!$A:$A,0)),"（IDなし）")</f>
        <v>技術移転・製造規模管理</v>
      </c>
      <c r="L38" s="61">
        <f>COUNTIF('ケイパビリティ×情報オブジェクト'!AL$6:AL$58,"C")</f>
        <v>1</v>
      </c>
      <c r="M38" s="61">
        <f>COUNTIF('ケイパビリティ×情報オブジェクト'!AL$6:AL$58,"R")</f>
        <v>3</v>
      </c>
    </row>
    <row r="39" ht="26.25" customHeight="1">
      <c r="A39" s="54" t="s">
        <v>2349</v>
      </c>
      <c r="B39" s="55" t="s">
        <v>2220</v>
      </c>
      <c r="C39" s="56" t="s">
        <v>1263</v>
      </c>
      <c r="D39" s="57" t="s">
        <v>2350</v>
      </c>
      <c r="E39" s="58" t="s">
        <v>2351</v>
      </c>
      <c r="F39" s="55" t="s">
        <v>2208</v>
      </c>
      <c r="G39" s="55" t="s">
        <v>95</v>
      </c>
      <c r="H39" s="59" t="str">
        <f t="shared" si="1"/>
        <v>—</v>
      </c>
      <c r="I39" s="55" t="s">
        <v>2202</v>
      </c>
      <c r="J39" s="54" t="s">
        <v>601</v>
      </c>
      <c r="K39" s="60" t="str">
        <f t="array" ref="K39">IFERROR(INDEX('ケイパビリティマップ'!$E:$E,MATCH(J39,'ケイパビリティマップ'!$A:$A,0)),"（IDなし）")</f>
        <v>生産計画・製造実行管理</v>
      </c>
      <c r="L39" s="61">
        <f>COUNTIF('ケイパビリティ×情報オブジェクト'!AM$6:AM$58,"C")</f>
        <v>1</v>
      </c>
      <c r="M39" s="61">
        <f>COUNTIF('ケイパビリティ×情報オブジェクト'!AM$6:AM$58,"R")</f>
        <v>2</v>
      </c>
    </row>
    <row r="40" ht="15.0" customHeight="1">
      <c r="A40" s="54" t="s">
        <v>2352</v>
      </c>
      <c r="B40" s="55" t="s">
        <v>2220</v>
      </c>
      <c r="C40" s="56" t="s">
        <v>2353</v>
      </c>
      <c r="D40" s="57" t="s">
        <v>2354</v>
      </c>
      <c r="E40" s="58" t="s">
        <v>2355</v>
      </c>
      <c r="F40" s="55" t="s">
        <v>2200</v>
      </c>
      <c r="G40" s="55" t="s">
        <v>1012</v>
      </c>
      <c r="H40" s="59" t="str">
        <f t="shared" si="1"/>
        <v>対象候補</v>
      </c>
      <c r="I40" s="55" t="s">
        <v>2202</v>
      </c>
      <c r="J40" s="54" t="s">
        <v>601</v>
      </c>
      <c r="K40" s="60" t="str">
        <f t="array" ref="K40">IFERROR(INDEX('ケイパビリティマップ'!$E:$E,MATCH(J40,'ケイパビリティマップ'!$A:$A,0)),"（IDなし）")</f>
        <v>生産計画・製造実行管理</v>
      </c>
      <c r="L40" s="61">
        <f>COUNTIF('ケイパビリティ×情報オブジェクト'!AN$6:AN$58,"C")</f>
        <v>1</v>
      </c>
      <c r="M40" s="61">
        <f>COUNTIF('ケイパビリティ×情報オブジェクト'!AN$6:AN$58,"R")</f>
        <v>3</v>
      </c>
    </row>
    <row r="41" ht="26.25" customHeight="1">
      <c r="A41" s="54" t="s">
        <v>2357</v>
      </c>
      <c r="B41" s="55" t="s">
        <v>2220</v>
      </c>
      <c r="C41" s="56" t="s">
        <v>1765</v>
      </c>
      <c r="D41" s="57" t="s">
        <v>2358</v>
      </c>
      <c r="E41" s="58" t="s">
        <v>2359</v>
      </c>
      <c r="F41" s="55" t="s">
        <v>2208</v>
      </c>
      <c r="G41" s="55" t="s">
        <v>1012</v>
      </c>
      <c r="H41" s="59" t="str">
        <f t="shared" si="1"/>
        <v>対象候補</v>
      </c>
      <c r="I41" s="55" t="s">
        <v>2202</v>
      </c>
      <c r="J41" s="54" t="s">
        <v>601</v>
      </c>
      <c r="K41" s="60" t="str">
        <f t="array" ref="K41">IFERROR(INDEX('ケイパビリティマップ'!$E:$E,MATCH(J41,'ケイパビリティマップ'!$A:$A,0)),"（IDなし）")</f>
        <v>生産計画・製造実行管理</v>
      </c>
      <c r="L41" s="61">
        <f>COUNTIF('ケイパビリティ×情報オブジェクト'!AO$6:AO$58,"C")</f>
        <v>5</v>
      </c>
      <c r="M41" s="61">
        <f>COUNTIF('ケイパビリティ×情報オブジェクト'!AO$6:AO$58,"R")</f>
        <v>2</v>
      </c>
    </row>
    <row r="42" ht="26.25" customHeight="1">
      <c r="A42" s="54" t="s">
        <v>2362</v>
      </c>
      <c r="B42" s="55" t="s">
        <v>2220</v>
      </c>
      <c r="C42" s="56" t="s">
        <v>1142</v>
      </c>
      <c r="D42" s="57" t="s">
        <v>2363</v>
      </c>
      <c r="E42" s="58" t="s">
        <v>2364</v>
      </c>
      <c r="F42" s="55" t="s">
        <v>2208</v>
      </c>
      <c r="G42" s="55" t="s">
        <v>1012</v>
      </c>
      <c r="H42" s="59" t="str">
        <f t="shared" si="1"/>
        <v>対象候補</v>
      </c>
      <c r="I42" s="55" t="s">
        <v>2202</v>
      </c>
      <c r="J42" s="54" t="s">
        <v>601</v>
      </c>
      <c r="K42" s="60" t="str">
        <f t="array" ref="K42">IFERROR(INDEX('ケイパビリティマップ'!$E:$E,MATCH(J42,'ケイパビリティマップ'!$A:$A,0)),"（IDなし）")</f>
        <v>生産計画・製造実行管理</v>
      </c>
      <c r="L42" s="61">
        <f>COUNTIF('ケイパビリティ×情報オブジェクト'!AP$6:AP$58,"C")</f>
        <v>4</v>
      </c>
      <c r="M42" s="61">
        <f>COUNTIF('ケイパビリティ×情報オブジェクト'!AP$6:AP$58,"R")</f>
        <v>5</v>
      </c>
    </row>
    <row r="43" ht="15.0" customHeight="1">
      <c r="A43" s="54" t="s">
        <v>2366</v>
      </c>
      <c r="B43" s="55" t="s">
        <v>2220</v>
      </c>
      <c r="C43" s="56" t="s">
        <v>2367</v>
      </c>
      <c r="D43" s="57" t="s">
        <v>2368</v>
      </c>
      <c r="E43" s="58" t="s">
        <v>2369</v>
      </c>
      <c r="F43" s="55" t="s">
        <v>2243</v>
      </c>
      <c r="G43" s="55" t="s">
        <v>1012</v>
      </c>
      <c r="H43" s="59" t="str">
        <f t="shared" si="1"/>
        <v>対象候補</v>
      </c>
      <c r="I43" s="55" t="s">
        <v>2202</v>
      </c>
      <c r="J43" s="54" t="s">
        <v>617</v>
      </c>
      <c r="K43" s="60" t="str">
        <f t="array" ref="K43">IFERROR(INDEX('ケイパビリティマップ'!$E:$E,MATCH(J43,'ケイパビリティマップ'!$A:$A,0)),"（IDなし）")</f>
        <v>原薬製造</v>
      </c>
      <c r="L43" s="61">
        <f>COUNTIF('ケイパビリティ×情報オブジェクト'!AQ$6:AQ$58,"C")</f>
        <v>2</v>
      </c>
      <c r="M43" s="61">
        <f>COUNTIF('ケイパビリティ×情報オブジェクト'!AQ$6:AQ$58,"R")</f>
        <v>0</v>
      </c>
    </row>
    <row r="44" ht="15.0" customHeight="1">
      <c r="A44" s="54" t="s">
        <v>2370</v>
      </c>
      <c r="B44" s="55" t="s">
        <v>2220</v>
      </c>
      <c r="C44" s="56" t="s">
        <v>1827</v>
      </c>
      <c r="D44" s="57" t="s">
        <v>2371</v>
      </c>
      <c r="E44" s="58" t="s">
        <v>2372</v>
      </c>
      <c r="F44" s="55" t="s">
        <v>2243</v>
      </c>
      <c r="G44" s="55" t="s">
        <v>1012</v>
      </c>
      <c r="H44" s="59" t="str">
        <f t="shared" si="1"/>
        <v>対象候補</v>
      </c>
      <c r="I44" s="55" t="s">
        <v>2202</v>
      </c>
      <c r="J44" s="54" t="s">
        <v>665</v>
      </c>
      <c r="K44" s="60" t="str">
        <f t="array" ref="K44">IFERROR(INDEX('ケイパビリティマップ'!$E:$E,MATCH(J44,'ケイパビリティマップ'!$A:$A,0)),"（IDなし）")</f>
        <v>品質管理（試験・安定性）</v>
      </c>
      <c r="L44" s="61">
        <f>COUNTIF('ケイパビリティ×情報オブジェクト'!AR$6:AR$58,"C")</f>
        <v>3</v>
      </c>
      <c r="M44" s="61">
        <f>COUNTIF('ケイパビリティ×情報オブジェクト'!AR$6:AR$58,"R")</f>
        <v>1</v>
      </c>
    </row>
    <row r="45" ht="26.25" customHeight="1">
      <c r="A45" s="54" t="s">
        <v>2373</v>
      </c>
      <c r="B45" s="55" t="s">
        <v>2220</v>
      </c>
      <c r="C45" s="56" t="s">
        <v>2374</v>
      </c>
      <c r="D45" s="57" t="s">
        <v>2375</v>
      </c>
      <c r="E45" s="58" t="s">
        <v>2376</v>
      </c>
      <c r="F45" s="55" t="s">
        <v>2208</v>
      </c>
      <c r="G45" s="55" t="s">
        <v>1012</v>
      </c>
      <c r="H45" s="59" t="str">
        <f t="shared" si="1"/>
        <v>対象候補</v>
      </c>
      <c r="I45" s="55" t="s">
        <v>2202</v>
      </c>
      <c r="J45" s="54" t="s">
        <v>681</v>
      </c>
      <c r="K45" s="60" t="str">
        <f t="array" ref="K45">IFERROR(INDEX('ケイパビリティマップ'!$E:$E,MATCH(J45,'ケイパビリティマップ'!$A:$A,0)),"（IDなし）")</f>
        <v>品質保証（出荷判定・逸脱・変更）</v>
      </c>
      <c r="L45" s="61">
        <f>COUNTIF('ケイパビリティ×情報オブジェクト'!AS$6:AS$58,"C")</f>
        <v>2</v>
      </c>
      <c r="M45" s="61">
        <f>COUNTIF('ケイパビリティ×情報オブジェクト'!AS$6:AS$58,"R")</f>
        <v>2</v>
      </c>
    </row>
    <row r="46" ht="26.25" customHeight="1">
      <c r="A46" s="54" t="s">
        <v>2377</v>
      </c>
      <c r="B46" s="55" t="s">
        <v>2220</v>
      </c>
      <c r="C46" s="56" t="s">
        <v>2378</v>
      </c>
      <c r="D46" s="57" t="s">
        <v>2379</v>
      </c>
      <c r="E46" s="58" t="s">
        <v>2380</v>
      </c>
      <c r="F46" s="55" t="s">
        <v>2208</v>
      </c>
      <c r="G46" s="55" t="s">
        <v>1012</v>
      </c>
      <c r="H46" s="59" t="str">
        <f t="shared" si="1"/>
        <v>対象候補</v>
      </c>
      <c r="I46" s="55" t="s">
        <v>2202</v>
      </c>
      <c r="J46" s="54" t="s">
        <v>681</v>
      </c>
      <c r="K46" s="60" t="str">
        <f t="array" ref="K46">IFERROR(INDEX('ケイパビリティマップ'!$E:$E,MATCH(J46,'ケイパビリティマップ'!$A:$A,0)),"（IDなし）")</f>
        <v>品質保証（出荷判定・逸脱・変更）</v>
      </c>
      <c r="L46" s="61">
        <f>COUNTIF('ケイパビリティ×情報オブジェクト'!AT$6:AT$58,"C")</f>
        <v>1</v>
      </c>
      <c r="M46" s="61">
        <f>COUNTIF('ケイパビリティ×情報オブジェクト'!AT$6:AT$58,"R")</f>
        <v>2</v>
      </c>
    </row>
    <row r="47" ht="26.25" customHeight="1">
      <c r="A47" s="54" t="s">
        <v>2381</v>
      </c>
      <c r="B47" s="55" t="s">
        <v>2220</v>
      </c>
      <c r="C47" s="56" t="s">
        <v>1847</v>
      </c>
      <c r="D47" s="57" t="s">
        <v>2382</v>
      </c>
      <c r="E47" s="58" t="s">
        <v>2383</v>
      </c>
      <c r="F47" s="55" t="s">
        <v>2208</v>
      </c>
      <c r="G47" s="55" t="s">
        <v>1012</v>
      </c>
      <c r="H47" s="59" t="str">
        <f t="shared" si="1"/>
        <v>対象候補</v>
      </c>
      <c r="I47" s="55" t="s">
        <v>2202</v>
      </c>
      <c r="J47" s="54" t="s">
        <v>681</v>
      </c>
      <c r="K47" s="60" t="str">
        <f t="array" ref="K47">IFERROR(INDEX('ケイパビリティマップ'!$E:$E,MATCH(J47,'ケイパビリティマップ'!$A:$A,0)),"（IDなし）")</f>
        <v>品質保証（出荷判定・逸脱・変更）</v>
      </c>
      <c r="L47" s="61">
        <f>COUNTIF('ケイパビリティ×情報オブジェクト'!AU$6:AU$58,"C")</f>
        <v>2</v>
      </c>
      <c r="M47" s="61">
        <f>COUNTIF('ケイパビリティ×情報オブジェクト'!AU$6:AU$58,"R")</f>
        <v>2</v>
      </c>
    </row>
    <row r="48" ht="15.0" customHeight="1">
      <c r="A48" s="54" t="s">
        <v>2385</v>
      </c>
      <c r="B48" s="55" t="s">
        <v>2220</v>
      </c>
      <c r="C48" s="56" t="s">
        <v>1278</v>
      </c>
      <c r="D48" s="57" t="s">
        <v>2386</v>
      </c>
      <c r="E48" s="58" t="s">
        <v>2387</v>
      </c>
      <c r="F48" s="55" t="s">
        <v>2283</v>
      </c>
      <c r="G48" s="55" t="s">
        <v>1012</v>
      </c>
      <c r="H48" s="59" t="str">
        <f t="shared" si="1"/>
        <v>対象候補</v>
      </c>
      <c r="I48" s="55" t="s">
        <v>2202</v>
      </c>
      <c r="J48" s="54" t="s">
        <v>694</v>
      </c>
      <c r="K48" s="60" t="str">
        <f t="array" ref="K48">IFERROR(INDEX('ケイパビリティマップ'!$E:$E,MATCH(J48,'ケイパビリティマップ'!$A:$A,0)),"（IDなし）")</f>
        <v>バリデーション管理</v>
      </c>
      <c r="L48" s="61">
        <f>COUNTIF('ケイパビリティ×情報オブジェクト'!AV$6:AV$58,"C")</f>
        <v>1</v>
      </c>
      <c r="M48" s="61">
        <f>COUNTIF('ケイパビリティ×情報オブジェクト'!AV$6:AV$58,"R")</f>
        <v>2</v>
      </c>
    </row>
    <row r="49" ht="21.75" customHeight="1">
      <c r="A49" s="54" t="s">
        <v>2388</v>
      </c>
      <c r="B49" s="55" t="s">
        <v>2220</v>
      </c>
      <c r="C49" s="56" t="s">
        <v>2389</v>
      </c>
      <c r="D49" s="57" t="s">
        <v>2390</v>
      </c>
      <c r="E49" s="58" t="s">
        <v>2391</v>
      </c>
      <c r="F49" s="55" t="s">
        <v>2243</v>
      </c>
      <c r="G49" s="55" t="s">
        <v>1012</v>
      </c>
      <c r="H49" s="59" t="str">
        <f t="shared" si="1"/>
        <v>対象候補</v>
      </c>
      <c r="I49" s="55" t="s">
        <v>2202</v>
      </c>
      <c r="J49" s="54" t="s">
        <v>656</v>
      </c>
      <c r="K49" s="60" t="str">
        <f t="array" ref="K49">IFERROR(INDEX('ケイパビリティマップ'!$E:$E,MATCH(J49,'ケイパビリティマップ'!$A:$A,0)),"（IDなし）")</f>
        <v>設備・環境管理</v>
      </c>
      <c r="L49" s="61">
        <f>COUNTIF('ケイパビリティ×情報オブジェクト'!AW$6:AW$58,"C")</f>
        <v>2</v>
      </c>
      <c r="M49" s="61">
        <f>COUNTIF('ケイパビリティ×情報オブジェクト'!AW$6:AW$58,"R")</f>
        <v>0</v>
      </c>
    </row>
    <row r="50" ht="26.25" customHeight="1">
      <c r="A50" s="54" t="s">
        <v>2392</v>
      </c>
      <c r="B50" s="55" t="s">
        <v>2220</v>
      </c>
      <c r="C50" s="56" t="s">
        <v>2393</v>
      </c>
      <c r="D50" s="57" t="s">
        <v>2394</v>
      </c>
      <c r="E50" s="58" t="s">
        <v>2395</v>
      </c>
      <c r="F50" s="55" t="s">
        <v>2283</v>
      </c>
      <c r="G50" s="55" t="s">
        <v>1012</v>
      </c>
      <c r="H50" s="59" t="str">
        <f t="shared" si="1"/>
        <v>対象候補</v>
      </c>
      <c r="I50" s="55" t="s">
        <v>2202</v>
      </c>
      <c r="J50" s="54" t="s">
        <v>681</v>
      </c>
      <c r="K50" s="60" t="str">
        <f t="array" ref="K50">IFERROR(INDEX('ケイパビリティマップ'!$E:$E,MATCH(J50,'ケイパビリティマップ'!$A:$A,0)),"（IDなし）")</f>
        <v>品質保証（出荷判定・逸脱・変更）</v>
      </c>
      <c r="L50" s="61">
        <f>COUNTIF('ケイパビリティ×情報オブジェクト'!AX$6:AX$58,"C")</f>
        <v>2</v>
      </c>
      <c r="M50" s="61">
        <f>COUNTIF('ケイパビリティ×情報オブジェクト'!AX$6:AX$58,"R")</f>
        <v>1</v>
      </c>
    </row>
    <row r="51" ht="15.0" customHeight="1">
      <c r="A51" s="54" t="s">
        <v>2397</v>
      </c>
      <c r="B51" s="55" t="s">
        <v>2220</v>
      </c>
      <c r="C51" s="56" t="s">
        <v>2398</v>
      </c>
      <c r="D51" s="57" t="s">
        <v>2399</v>
      </c>
      <c r="E51" s="58" t="s">
        <v>2400</v>
      </c>
      <c r="F51" s="55" t="s">
        <v>2255</v>
      </c>
      <c r="G51" s="55" t="s">
        <v>2401</v>
      </c>
      <c r="H51" s="59" t="str">
        <f t="shared" si="1"/>
        <v>対象候補</v>
      </c>
      <c r="I51" s="55" t="s">
        <v>2202</v>
      </c>
      <c r="J51" s="54" t="s">
        <v>574</v>
      </c>
      <c r="K51" s="60" t="str">
        <f t="array" ref="K51">IFERROR(INDEX('ケイパビリティマップ'!$E:$E,MATCH(J51,'ケイパビリティマップ'!$A:$A,0)),"（IDなし）")</f>
        <v>ラベリング管理</v>
      </c>
      <c r="L51" s="61">
        <f>COUNTIF('ケイパビリティ×情報オブジェクト'!AY$6:AY$58,"C")</f>
        <v>2</v>
      </c>
      <c r="M51" s="61">
        <f>COUNTIF('ケイパビリティ×情報オブジェクト'!AY$6:AY$58,"R")</f>
        <v>1</v>
      </c>
    </row>
    <row r="52" ht="26.25" customHeight="1">
      <c r="A52" s="54" t="s">
        <v>2402</v>
      </c>
      <c r="B52" s="55" t="s">
        <v>2221</v>
      </c>
      <c r="C52" s="56" t="s">
        <v>2403</v>
      </c>
      <c r="D52" s="57" t="s">
        <v>2404</v>
      </c>
      <c r="E52" s="58" t="s">
        <v>2405</v>
      </c>
      <c r="F52" s="55" t="s">
        <v>2243</v>
      </c>
      <c r="G52" s="55" t="s">
        <v>95</v>
      </c>
      <c r="H52" s="59" t="str">
        <f t="shared" si="1"/>
        <v>—</v>
      </c>
      <c r="I52" s="55" t="s">
        <v>2244</v>
      </c>
      <c r="J52" s="54" t="s">
        <v>472</v>
      </c>
      <c r="K52" s="60" t="str">
        <f t="array" ref="K52">IFERROR(INDEX('ケイパビリティマップ'!$E:$E,MATCH(J52,'ケイパビリティマップ'!$A:$A,0)),"（IDなし）")</f>
        <v>患者エビデンス管理★</v>
      </c>
      <c r="L52" s="61">
        <f>COUNTIF('ケイパビリティ×情報オブジェクト'!AZ$6:AZ$58,"C")</f>
        <v>1</v>
      </c>
      <c r="M52" s="61">
        <f>COUNTIF('ケイパビリティ×情報オブジェクト'!AZ$6:AZ$58,"R")</f>
        <v>3</v>
      </c>
    </row>
    <row r="53" ht="26.25" customHeight="1">
      <c r="A53" s="54" t="s">
        <v>2406</v>
      </c>
      <c r="B53" s="55" t="s">
        <v>2221</v>
      </c>
      <c r="C53" s="56" t="s">
        <v>2116</v>
      </c>
      <c r="D53" s="57" t="s">
        <v>2407</v>
      </c>
      <c r="E53" s="58" t="s">
        <v>2408</v>
      </c>
      <c r="F53" s="55" t="s">
        <v>2243</v>
      </c>
      <c r="G53" s="55" t="s">
        <v>2082</v>
      </c>
      <c r="H53" s="59" t="str">
        <f t="shared" si="1"/>
        <v>対象候補</v>
      </c>
      <c r="I53" s="55" t="s">
        <v>2409</v>
      </c>
      <c r="J53" s="54" t="s">
        <v>472</v>
      </c>
      <c r="K53" s="60" t="str">
        <f t="array" ref="K53">IFERROR(INDEX('ケイパビリティマップ'!$E:$E,MATCH(J53,'ケイパビリティマップ'!$A:$A,0)),"（IDなし）")</f>
        <v>患者エビデンス管理★</v>
      </c>
      <c r="L53" s="61">
        <f>COUNTIF('ケイパビリティ×情報オブジェクト'!BA$6:BA$58,"C")</f>
        <v>1</v>
      </c>
      <c r="M53" s="61">
        <f>COUNTIF('ケイパビリティ×情報オブジェクト'!BA$6:BA$58,"R")</f>
        <v>2</v>
      </c>
    </row>
    <row r="54" ht="26.25" customHeight="1">
      <c r="A54" s="54" t="s">
        <v>2410</v>
      </c>
      <c r="B54" s="55" t="s">
        <v>2221</v>
      </c>
      <c r="C54" s="56" t="s">
        <v>2411</v>
      </c>
      <c r="D54" s="57" t="s">
        <v>2412</v>
      </c>
      <c r="E54" s="58" t="s">
        <v>2413</v>
      </c>
      <c r="F54" s="55" t="s">
        <v>2208</v>
      </c>
      <c r="G54" s="55" t="s">
        <v>95</v>
      </c>
      <c r="H54" s="59" t="str">
        <f t="shared" si="1"/>
        <v>—</v>
      </c>
      <c r="I54" s="55" t="s">
        <v>2409</v>
      </c>
      <c r="J54" s="54" t="s">
        <v>485</v>
      </c>
      <c r="K54" s="60" t="str">
        <f t="array" ref="K54">IFERROR(INDEX('ケイパビリティマップ'!$E:$E,MATCH(J54,'ケイパビリティマップ'!$A:$A,0)),"（IDなし）")</f>
        <v>患者特定・組入れ★</v>
      </c>
      <c r="L54" s="61">
        <f>COUNTIF('ケイパビリティ×情報オブジェクト'!BB$6:BB$58,"C")</f>
        <v>1</v>
      </c>
      <c r="M54" s="61">
        <f>COUNTIF('ケイパビリティ×情報オブジェクト'!BB$6:BB$58,"R")</f>
        <v>2</v>
      </c>
    </row>
    <row r="55" ht="26.25" customHeight="1">
      <c r="A55" s="54" t="s">
        <v>2414</v>
      </c>
      <c r="B55" s="55" t="s">
        <v>2221</v>
      </c>
      <c r="C55" s="56" t="s">
        <v>1363</v>
      </c>
      <c r="D55" s="57" t="s">
        <v>2415</v>
      </c>
      <c r="E55" s="58" t="s">
        <v>2416</v>
      </c>
      <c r="F55" s="55" t="s">
        <v>2255</v>
      </c>
      <c r="G55" s="55" t="s">
        <v>95</v>
      </c>
      <c r="H55" s="59" t="str">
        <f t="shared" si="1"/>
        <v>—</v>
      </c>
      <c r="I55" s="55" t="s">
        <v>2202</v>
      </c>
      <c r="J55" s="54" t="s">
        <v>456</v>
      </c>
      <c r="K55" s="60" t="str">
        <f t="array" ref="K55">IFERROR(INDEX('ケイパビリティマップ'!$E:$E,MATCH(J55,'ケイパビリティマップ'!$A:$A,0)),"（IDなし）")</f>
        <v>臨床開発戦略・試験デザイン</v>
      </c>
      <c r="L55" s="61">
        <f>COUNTIF('ケイパビリティ×情報オブジェクト'!BC$6:BC$58,"C")</f>
        <v>1</v>
      </c>
      <c r="M55" s="61">
        <f>COUNTIF('ケイパビリティ×情報オブジェクト'!BC$6:BC$58,"R")</f>
        <v>1</v>
      </c>
    </row>
    <row r="56" ht="26.25" customHeight="1">
      <c r="A56" s="54" t="s">
        <v>2417</v>
      </c>
      <c r="B56" s="55" t="s">
        <v>2221</v>
      </c>
      <c r="C56" s="56" t="s">
        <v>2418</v>
      </c>
      <c r="D56" s="57" t="s">
        <v>2419</v>
      </c>
      <c r="E56" s="58" t="s">
        <v>2420</v>
      </c>
      <c r="F56" s="55" t="s">
        <v>2283</v>
      </c>
      <c r="G56" s="55" t="s">
        <v>803</v>
      </c>
      <c r="H56" s="59" t="str">
        <f t="shared" si="1"/>
        <v>対象候補</v>
      </c>
      <c r="I56" s="55" t="s">
        <v>2202</v>
      </c>
      <c r="J56" s="54" t="s">
        <v>456</v>
      </c>
      <c r="K56" s="60" t="str">
        <f t="array" ref="K56">IFERROR(INDEX('ケイパビリティマップ'!$E:$E,MATCH(J56,'ケイパビリティマップ'!$A:$A,0)),"（IDなし）")</f>
        <v>臨床開発戦略・試験デザイン</v>
      </c>
      <c r="L56" s="61">
        <f>COUNTIF('ケイパビリティ×情報オブジェクト'!BD$6:BD$58,"C")</f>
        <v>2</v>
      </c>
      <c r="M56" s="61">
        <f>COUNTIF('ケイパビリティ×情報オブジェクト'!BD$6:BD$58,"R")</f>
        <v>2</v>
      </c>
    </row>
    <row r="57" ht="26.25" customHeight="1">
      <c r="A57" s="54" t="s">
        <v>2421</v>
      </c>
      <c r="B57" s="55" t="s">
        <v>2221</v>
      </c>
      <c r="C57" s="56" t="s">
        <v>799</v>
      </c>
      <c r="D57" s="57" t="s">
        <v>2422</v>
      </c>
      <c r="E57" s="58" t="s">
        <v>2423</v>
      </c>
      <c r="F57" s="55" t="s">
        <v>2283</v>
      </c>
      <c r="G57" s="55" t="s">
        <v>803</v>
      </c>
      <c r="H57" s="59" t="str">
        <f t="shared" si="1"/>
        <v>対象候補</v>
      </c>
      <c r="I57" s="55" t="s">
        <v>2202</v>
      </c>
      <c r="J57" s="54" t="s">
        <v>456</v>
      </c>
      <c r="K57" s="60" t="str">
        <f t="array" ref="K57">IFERROR(INDEX('ケイパビリティマップ'!$E:$E,MATCH(J57,'ケイパビリティマップ'!$A:$A,0)),"（IDなし）")</f>
        <v>臨床開発戦略・試験デザイン</v>
      </c>
      <c r="L57" s="61">
        <f>COUNTIF('ケイパビリティ×情報オブジェクト'!BE$6:BE$58,"C")</f>
        <v>2</v>
      </c>
      <c r="M57" s="61">
        <f>COUNTIF('ケイパビリティ×情報オブジェクト'!BE$6:BE$58,"R")</f>
        <v>2</v>
      </c>
    </row>
    <row r="58" ht="26.25" customHeight="1">
      <c r="A58" s="54" t="s">
        <v>2424</v>
      </c>
      <c r="B58" s="55" t="s">
        <v>2221</v>
      </c>
      <c r="C58" s="56" t="s">
        <v>2425</v>
      </c>
      <c r="D58" s="57" t="s">
        <v>2426</v>
      </c>
      <c r="E58" s="58" t="s">
        <v>2427</v>
      </c>
      <c r="F58" s="55" t="s">
        <v>2208</v>
      </c>
      <c r="G58" s="55" t="s">
        <v>803</v>
      </c>
      <c r="H58" s="59" t="str">
        <f t="shared" si="1"/>
        <v>対象候補</v>
      </c>
      <c r="I58" s="55" t="s">
        <v>2428</v>
      </c>
      <c r="J58" s="54" t="s">
        <v>494</v>
      </c>
      <c r="K58" s="60" t="str">
        <f t="array" ref="K58">IFERROR(INDEX('ケイパビリティマップ'!$E:$E,MATCH(J58,'ケイパビリティマップ'!$A:$A,0)),"（IDなし）")</f>
        <v>臨床試験運営</v>
      </c>
      <c r="L58" s="61">
        <f>COUNTIF('ケイパビリティ×情報オブジェクト'!BF$6:BF$58,"C")</f>
        <v>1</v>
      </c>
      <c r="M58" s="61">
        <f>COUNTIF('ケイパビリティ×情報オブジェクト'!BF$6:BF$58,"R")</f>
        <v>1</v>
      </c>
    </row>
    <row r="59" ht="26.25" customHeight="1">
      <c r="A59" s="54" t="s">
        <v>2429</v>
      </c>
      <c r="B59" s="55" t="s">
        <v>2221</v>
      </c>
      <c r="C59" s="56" t="s">
        <v>1399</v>
      </c>
      <c r="D59" s="57" t="s">
        <v>2430</v>
      </c>
      <c r="E59" s="58" t="s">
        <v>2431</v>
      </c>
      <c r="F59" s="55" t="s">
        <v>2208</v>
      </c>
      <c r="G59" s="55" t="s">
        <v>2432</v>
      </c>
      <c r="H59" s="59" t="str">
        <f t="shared" si="1"/>
        <v>対象候補</v>
      </c>
      <c r="I59" s="55" t="s">
        <v>2202</v>
      </c>
      <c r="J59" s="54" t="s">
        <v>494</v>
      </c>
      <c r="K59" s="60" t="str">
        <f t="array" ref="K59">IFERROR(INDEX('ケイパビリティマップ'!$E:$E,MATCH(J59,'ケイパビリティマップ'!$A:$A,0)),"（IDなし）")</f>
        <v>臨床試験運営</v>
      </c>
      <c r="L59" s="61">
        <f>COUNTIF('ケイパビリティ×情報オブジェクト'!BG$6:BG$58,"C")</f>
        <v>1</v>
      </c>
      <c r="M59" s="61">
        <f>COUNTIF('ケイパビリティ×情報オブジェクト'!BG$6:BG$58,"R")</f>
        <v>0</v>
      </c>
    </row>
    <row r="60" ht="26.25" customHeight="1">
      <c r="A60" s="54" t="s">
        <v>2433</v>
      </c>
      <c r="B60" s="55" t="s">
        <v>2221</v>
      </c>
      <c r="C60" s="56" t="s">
        <v>2434</v>
      </c>
      <c r="D60" s="57" t="s">
        <v>2435</v>
      </c>
      <c r="E60" s="58" t="s">
        <v>2436</v>
      </c>
      <c r="F60" s="55" t="s">
        <v>2243</v>
      </c>
      <c r="G60" s="55" t="s">
        <v>803</v>
      </c>
      <c r="H60" s="59" t="str">
        <f t="shared" si="1"/>
        <v>対象候補</v>
      </c>
      <c r="I60" s="55" t="s">
        <v>2244</v>
      </c>
      <c r="J60" s="54" t="s">
        <v>510</v>
      </c>
      <c r="K60" s="60" t="str">
        <f t="array" ref="K60">IFERROR(INDEX('ケイパビリティマップ'!$E:$E,MATCH(J60,'ケイパビリティマップ'!$A:$A,0)),"（IDなし）")</f>
        <v>臨床データマネジメント・統計解析</v>
      </c>
      <c r="L60" s="61">
        <f>COUNTIF('ケイパビリティ×情報オブジェクト'!BH$6:BH$58,"C")</f>
        <v>2</v>
      </c>
      <c r="M60" s="61">
        <f>COUNTIF('ケイパビリティ×情報オブジェクト'!BH$6:BH$58,"R")</f>
        <v>3</v>
      </c>
    </row>
    <row r="61" ht="26.25" customHeight="1">
      <c r="A61" s="54" t="s">
        <v>2437</v>
      </c>
      <c r="B61" s="55" t="s">
        <v>2221</v>
      </c>
      <c r="C61" s="56" t="s">
        <v>1418</v>
      </c>
      <c r="D61" s="57" t="s">
        <v>2438</v>
      </c>
      <c r="E61" s="58" t="s">
        <v>2439</v>
      </c>
      <c r="F61" s="55" t="s">
        <v>2243</v>
      </c>
      <c r="G61" s="55" t="s">
        <v>803</v>
      </c>
      <c r="H61" s="59" t="str">
        <f t="shared" si="1"/>
        <v>対象候補</v>
      </c>
      <c r="I61" s="55" t="s">
        <v>2244</v>
      </c>
      <c r="J61" s="54" t="s">
        <v>318</v>
      </c>
      <c r="K61" s="60" t="str">
        <f t="array" ref="K61">IFERROR(INDEX('ケイパビリティマップ'!$E:$E,MATCH(J61,'ケイパビリティマップ'!$A:$A,0)),"（IDなし）")</f>
        <v>バイオアナリシス</v>
      </c>
      <c r="L61" s="61">
        <f>COUNTIF('ケイパビリティ×情報オブジェクト'!BI$6:BI$58,"C")</f>
        <v>2</v>
      </c>
      <c r="M61" s="61">
        <f>COUNTIF('ケイパビリティ×情報オブジェクト'!BI$6:BI$58,"R")</f>
        <v>3</v>
      </c>
    </row>
    <row r="62" ht="26.25" customHeight="1">
      <c r="A62" s="54" t="s">
        <v>2440</v>
      </c>
      <c r="B62" s="55" t="s">
        <v>2221</v>
      </c>
      <c r="C62" s="56" t="s">
        <v>1482</v>
      </c>
      <c r="D62" s="57" t="s">
        <v>2441</v>
      </c>
      <c r="E62" s="58" t="s">
        <v>2442</v>
      </c>
      <c r="F62" s="55" t="s">
        <v>2243</v>
      </c>
      <c r="G62" s="55" t="s">
        <v>803</v>
      </c>
      <c r="H62" s="59" t="str">
        <f t="shared" si="1"/>
        <v>対象候補</v>
      </c>
      <c r="I62" s="55" t="s">
        <v>2244</v>
      </c>
      <c r="J62" s="54" t="s">
        <v>510</v>
      </c>
      <c r="K62" s="60" t="str">
        <f t="array" ref="K62">IFERROR(INDEX('ケイパビリティマップ'!$E:$E,MATCH(J62,'ケイパビリティマップ'!$A:$A,0)),"（IDなし）")</f>
        <v>臨床データマネジメント・統計解析</v>
      </c>
      <c r="L62" s="61">
        <f>COUNTIF('ケイパビリティ×情報オブジェクト'!BJ$6:BJ$58,"C")</f>
        <v>1</v>
      </c>
      <c r="M62" s="61">
        <f>COUNTIF('ケイパビリティ×情報オブジェクト'!BJ$6:BJ$58,"R")</f>
        <v>1</v>
      </c>
    </row>
    <row r="63" ht="26.25" customHeight="1">
      <c r="A63" s="54" t="s">
        <v>2444</v>
      </c>
      <c r="B63" s="55" t="s">
        <v>2221</v>
      </c>
      <c r="C63" s="56" t="s">
        <v>2445</v>
      </c>
      <c r="D63" s="57" t="s">
        <v>2446</v>
      </c>
      <c r="E63" s="58" t="s">
        <v>2447</v>
      </c>
      <c r="F63" s="55" t="s">
        <v>2238</v>
      </c>
      <c r="G63" s="55" t="s">
        <v>803</v>
      </c>
      <c r="H63" s="59" t="str">
        <f t="shared" si="1"/>
        <v>対象候補</v>
      </c>
      <c r="I63" s="55" t="s">
        <v>2202</v>
      </c>
      <c r="J63" s="54" t="s">
        <v>510</v>
      </c>
      <c r="K63" s="60" t="str">
        <f t="array" ref="K63">IFERROR(INDEX('ケイパビリティマップ'!$E:$E,MATCH(J63,'ケイパビリティマップ'!$A:$A,0)),"（IDなし）")</f>
        <v>臨床データマネジメント・統計解析</v>
      </c>
      <c r="L63" s="61">
        <f>COUNTIF('ケイパビリティ×情報オブジェクト'!BK$6:BK$58,"C")</f>
        <v>1</v>
      </c>
      <c r="M63" s="61">
        <f>COUNTIF('ケイパビリティ×情報オブジェクト'!BK$6:BK$58,"R")</f>
        <v>0</v>
      </c>
    </row>
    <row r="64" ht="26.25" customHeight="1">
      <c r="A64" s="54" t="s">
        <v>2448</v>
      </c>
      <c r="B64" s="55" t="s">
        <v>2221</v>
      </c>
      <c r="C64" s="56" t="s">
        <v>2449</v>
      </c>
      <c r="D64" s="57" t="s">
        <v>2450</v>
      </c>
      <c r="E64" s="58" t="s">
        <v>2451</v>
      </c>
      <c r="F64" s="55" t="s">
        <v>2283</v>
      </c>
      <c r="G64" s="55" t="s">
        <v>803</v>
      </c>
      <c r="H64" s="59" t="str">
        <f t="shared" si="1"/>
        <v>対象候補</v>
      </c>
      <c r="I64" s="55" t="s">
        <v>2202</v>
      </c>
      <c r="J64" s="54" t="s">
        <v>510</v>
      </c>
      <c r="K64" s="60" t="str">
        <f t="array" ref="K64">IFERROR(INDEX('ケイパビリティマップ'!$E:$E,MATCH(J64,'ケイパビリティマップ'!$A:$A,0)),"（IDなし）")</f>
        <v>臨床データマネジメント・統計解析</v>
      </c>
      <c r="L64" s="61">
        <f>COUNTIF('ケイパビリティ×情報オブジェクト'!BL$6:BL$58,"C")</f>
        <v>2</v>
      </c>
      <c r="M64" s="61">
        <f>COUNTIF('ケイパビリティ×情報オブジェクト'!BL$6:BL$58,"R")</f>
        <v>3</v>
      </c>
    </row>
    <row r="65" ht="26.25" customHeight="1">
      <c r="A65" s="54" t="s">
        <v>2452</v>
      </c>
      <c r="B65" s="55" t="s">
        <v>2221</v>
      </c>
      <c r="C65" s="56" t="s">
        <v>1507</v>
      </c>
      <c r="D65" s="57" t="s">
        <v>2453</v>
      </c>
      <c r="E65" s="58" t="s">
        <v>2454</v>
      </c>
      <c r="F65" s="55" t="s">
        <v>2238</v>
      </c>
      <c r="G65" s="55" t="s">
        <v>803</v>
      </c>
      <c r="H65" s="59" t="str">
        <f t="shared" si="1"/>
        <v>対象候補</v>
      </c>
      <c r="I65" s="55" t="s">
        <v>2202</v>
      </c>
      <c r="J65" s="54" t="s">
        <v>510</v>
      </c>
      <c r="K65" s="60" t="str">
        <f t="array" ref="K65">IFERROR(INDEX('ケイパビリティマップ'!$E:$E,MATCH(J65,'ケイパビリティマップ'!$A:$A,0)),"（IDなし）")</f>
        <v>臨床データマネジメント・統計解析</v>
      </c>
      <c r="L65" s="61">
        <f>COUNTIF('ケイパビリティ×情報オブジェクト'!BM$6:BM$58,"C")</f>
        <v>2</v>
      </c>
      <c r="M65" s="61">
        <f>COUNTIF('ケイパビリティ×情報オブジェクト'!BM$6:BM$58,"R")</f>
        <v>4</v>
      </c>
    </row>
    <row r="66" ht="26.25" customHeight="1">
      <c r="A66" s="54" t="s">
        <v>2455</v>
      </c>
      <c r="B66" s="55" t="s">
        <v>2221</v>
      </c>
      <c r="C66" s="56" t="s">
        <v>1551</v>
      </c>
      <c r="D66" s="57" t="s">
        <v>2456</v>
      </c>
      <c r="E66" s="58" t="s">
        <v>2457</v>
      </c>
      <c r="F66" s="55" t="s">
        <v>2238</v>
      </c>
      <c r="G66" s="55" t="s">
        <v>552</v>
      </c>
      <c r="H66" s="59" t="str">
        <f t="shared" si="1"/>
        <v>対象候補</v>
      </c>
      <c r="I66" s="55" t="s">
        <v>2202</v>
      </c>
      <c r="J66" s="54" t="s">
        <v>740</v>
      </c>
      <c r="K66" s="60" t="str">
        <f t="array" ref="K66">IFERROR(INDEX('ケイパビリティマップ'!$E:$E,MATCH(J66,'ケイパビリティマップ'!$A:$A,0)),"（IDなし）")</f>
        <v>安全性シグナル・リスク管理</v>
      </c>
      <c r="L66" s="61">
        <f>COUNTIF('ケイパビリティ×情報オブジェクト'!BN$6:BN$58,"C")</f>
        <v>1</v>
      </c>
      <c r="M66" s="61">
        <f>COUNTIF('ケイパビリティ×情報オブジェクト'!BN$6:BN$58,"R")</f>
        <v>4</v>
      </c>
    </row>
    <row r="67" ht="26.25" customHeight="1">
      <c r="A67" s="54" t="s">
        <v>2458</v>
      </c>
      <c r="B67" s="55" t="s">
        <v>2221</v>
      </c>
      <c r="C67" s="56" t="s">
        <v>2459</v>
      </c>
      <c r="D67" s="57" t="s">
        <v>2460</v>
      </c>
      <c r="E67" s="58" t="s">
        <v>2461</v>
      </c>
      <c r="F67" s="55" t="s">
        <v>2208</v>
      </c>
      <c r="G67" s="55" t="s">
        <v>2401</v>
      </c>
      <c r="H67" s="59" t="str">
        <f t="shared" si="1"/>
        <v>対象候補</v>
      </c>
      <c r="I67" s="55" t="s">
        <v>2202</v>
      </c>
      <c r="J67" s="54" t="s">
        <v>532</v>
      </c>
      <c r="K67" s="60" t="str">
        <f t="array" ref="K67">IFERROR(INDEX('ケイパビリティマップ'!$E:$E,MATCH(J67,'ケイパビリティマップ'!$A:$A,0)),"（IDなし）")</f>
        <v>治験薬供給管理</v>
      </c>
      <c r="L67" s="61">
        <f>COUNTIF('ケイパビリティ×情報オブジェクト'!BO$6:BO$58,"C")</f>
        <v>1</v>
      </c>
      <c r="M67" s="61">
        <f>COUNTIF('ケイパビリティ×情報オブジェクト'!BO$6:BO$58,"R")</f>
        <v>1</v>
      </c>
    </row>
    <row r="68" ht="26.25" customHeight="1">
      <c r="A68" s="54" t="s">
        <v>2462</v>
      </c>
      <c r="B68" s="55" t="s">
        <v>2221</v>
      </c>
      <c r="C68" s="56" t="s">
        <v>2463</v>
      </c>
      <c r="D68" s="57" t="s">
        <v>2464</v>
      </c>
      <c r="E68" s="58" t="s">
        <v>2465</v>
      </c>
      <c r="F68" s="55" t="s">
        <v>2238</v>
      </c>
      <c r="G68" s="55" t="s">
        <v>803</v>
      </c>
      <c r="H68" s="59" t="str">
        <f t="shared" si="1"/>
        <v>対象候補</v>
      </c>
      <c r="I68" s="55" t="s">
        <v>2202</v>
      </c>
      <c r="J68" s="54" t="s">
        <v>338</v>
      </c>
      <c r="K68" s="60" t="str">
        <f t="array" ref="K68">IFERROR(INDEX('ケイパビリティマップ'!$E:$E,MATCH(J68,'ケイパビリティマップ'!$A:$A,0)),"（IDなし）")</f>
        <v>臨床薬理・ファーマコメトリクス</v>
      </c>
      <c r="L68" s="61">
        <f>COUNTIF('ケイパビリティ×情報オブジェクト'!BP$6:BP$58,"C")</f>
        <v>1</v>
      </c>
      <c r="M68" s="61">
        <f>COUNTIF('ケイパビリティ×情報オブジェクト'!BP$6:BP$58,"R")</f>
        <v>1</v>
      </c>
    </row>
    <row r="69" ht="39.0" customHeight="1">
      <c r="A69" s="54" t="s">
        <v>2466</v>
      </c>
      <c r="B69" s="55" t="s">
        <v>2221</v>
      </c>
      <c r="C69" s="56" t="s">
        <v>2467</v>
      </c>
      <c r="D69" s="57" t="s">
        <v>2468</v>
      </c>
      <c r="E69" s="58" t="s">
        <v>2469</v>
      </c>
      <c r="F69" s="55" t="s">
        <v>2200</v>
      </c>
      <c r="G69" s="55" t="s">
        <v>803</v>
      </c>
      <c r="H69" s="59" t="str">
        <f t="shared" si="1"/>
        <v>対象候補</v>
      </c>
      <c r="I69" s="55" t="s">
        <v>2202</v>
      </c>
      <c r="J69" s="54" t="s">
        <v>494</v>
      </c>
      <c r="K69" s="60" t="str">
        <f t="array" ref="K69">IFERROR(INDEX('ケイパビリティマップ'!$E:$E,MATCH(J69,'ケイパビリティマップ'!$A:$A,0)),"（IDなし）")</f>
        <v>臨床試験運営</v>
      </c>
      <c r="L69" s="61">
        <f>COUNTIF('ケイパビリティ×情報オブジェクト'!BQ$6:BQ$58,"C")</f>
        <v>3</v>
      </c>
      <c r="M69" s="61">
        <f>COUNTIF('ケイパビリティ×情報オブジェクト'!BQ$6:BQ$58,"R")</f>
        <v>2</v>
      </c>
    </row>
    <row r="70" ht="39.0" customHeight="1">
      <c r="A70" s="54" t="s">
        <v>2470</v>
      </c>
      <c r="B70" s="55" t="s">
        <v>2221</v>
      </c>
      <c r="C70" s="56" t="s">
        <v>2471</v>
      </c>
      <c r="D70" s="57" t="s">
        <v>2472</v>
      </c>
      <c r="E70" s="58" t="s">
        <v>2473</v>
      </c>
      <c r="F70" s="55" t="s">
        <v>2200</v>
      </c>
      <c r="G70" s="55" t="s">
        <v>2474</v>
      </c>
      <c r="H70" s="59" t="str">
        <f t="shared" si="1"/>
        <v>対象候補</v>
      </c>
      <c r="I70" s="55" t="s">
        <v>2409</v>
      </c>
      <c r="J70" s="54" t="s">
        <v>955</v>
      </c>
      <c r="K70" s="60" t="str">
        <f t="array" ref="K70">IFERROR(INDEX('ケイパビリティマップ'!$E:$E,MATCH(J70,'ケイパビリティマップ'!$A:$A,0)),"（IDなし）")</f>
        <v>情報・データ管理</v>
      </c>
      <c r="L70" s="61">
        <f>COUNTIF('ケイパビリティ×情報オブジェクト'!BR$6:BR$58,"C")</f>
        <v>4</v>
      </c>
      <c r="M70" s="61">
        <f>COUNTIF('ケイパビリティ×情報オブジェクト'!BR$6:BR$58,"R")</f>
        <v>2</v>
      </c>
    </row>
    <row r="71" ht="26.25" customHeight="1">
      <c r="A71" s="54" t="s">
        <v>2475</v>
      </c>
      <c r="B71" s="55" t="s">
        <v>552</v>
      </c>
      <c r="C71" s="56" t="s">
        <v>830</v>
      </c>
      <c r="D71" s="57" t="s">
        <v>2476</v>
      </c>
      <c r="E71" s="58" t="s">
        <v>2477</v>
      </c>
      <c r="F71" s="55" t="s">
        <v>2208</v>
      </c>
      <c r="G71" s="55" t="s">
        <v>552</v>
      </c>
      <c r="H71" s="59" t="str">
        <f t="shared" si="1"/>
        <v>対象候補</v>
      </c>
      <c r="I71" s="55" t="s">
        <v>2202</v>
      </c>
      <c r="J71" s="54" t="s">
        <v>551</v>
      </c>
      <c r="K71" s="60" t="str">
        <f t="array" ref="K71">IFERROR(INDEX('ケイパビリティマップ'!$E:$E,MATCH(J71,'ケイパビリティマップ'!$A:$A,0)),"（IDなし）")</f>
        <v>薬事戦略・当局対応</v>
      </c>
      <c r="L71" s="61">
        <f>COUNTIF('ケイパビリティ×情報オブジェクト'!BS$6:BS$58,"C")</f>
        <v>2</v>
      </c>
      <c r="M71" s="61">
        <f>COUNTIF('ケイパビリティ×情報オブジェクト'!BS$6:BS$58,"R")</f>
        <v>1</v>
      </c>
    </row>
    <row r="72" ht="26.25" customHeight="1">
      <c r="A72" s="54" t="s">
        <v>2478</v>
      </c>
      <c r="B72" s="55" t="s">
        <v>552</v>
      </c>
      <c r="C72" s="56" t="s">
        <v>853</v>
      </c>
      <c r="D72" s="57" t="s">
        <v>2479</v>
      </c>
      <c r="E72" s="58" t="s">
        <v>2480</v>
      </c>
      <c r="F72" s="55" t="s">
        <v>2208</v>
      </c>
      <c r="G72" s="55" t="s">
        <v>552</v>
      </c>
      <c r="H72" s="59" t="str">
        <f t="shared" si="1"/>
        <v>対象候補</v>
      </c>
      <c r="I72" s="55" t="s">
        <v>2202</v>
      </c>
      <c r="J72" s="54" t="s">
        <v>551</v>
      </c>
      <c r="K72" s="60" t="str">
        <f t="array" ref="K72">IFERROR(INDEX('ケイパビリティマップ'!$E:$E,MATCH(J72,'ケイパビリティマップ'!$A:$A,0)),"（IDなし）")</f>
        <v>薬事戦略・当局対応</v>
      </c>
      <c r="L72" s="61">
        <f>COUNTIF('ケイパビリティ×情報オブジェクト'!BT$6:BT$58,"C")</f>
        <v>1</v>
      </c>
      <c r="M72" s="61">
        <f>COUNTIF('ケイパビリティ×情報オブジェクト'!BT$6:BT$58,"R")</f>
        <v>3</v>
      </c>
    </row>
    <row r="73" ht="15.0" customHeight="1">
      <c r="A73" s="54" t="s">
        <v>2481</v>
      </c>
      <c r="B73" s="55" t="s">
        <v>552</v>
      </c>
      <c r="C73" s="56" t="s">
        <v>881</v>
      </c>
      <c r="D73" s="57" t="s">
        <v>881</v>
      </c>
      <c r="E73" s="58" t="s">
        <v>2482</v>
      </c>
      <c r="F73" s="55" t="s">
        <v>2283</v>
      </c>
      <c r="G73" s="55" t="s">
        <v>552</v>
      </c>
      <c r="H73" s="59" t="str">
        <f t="shared" si="1"/>
        <v>対象候補</v>
      </c>
      <c r="I73" s="55" t="s">
        <v>2202</v>
      </c>
      <c r="J73" s="54" t="s">
        <v>563</v>
      </c>
      <c r="K73" s="60" t="str">
        <f t="array" ref="K73">IFERROR(INDEX('ケイパビリティマップ'!$E:$E,MATCH(J73,'ケイパビリティマップ'!$A:$A,0)),"（IDなし）")</f>
        <v>申請資料作成・管理</v>
      </c>
      <c r="L73" s="61">
        <f>COUNTIF('ケイパビリティ×情報オブジェクト'!BU$6:BU$58,"C")</f>
        <v>1</v>
      </c>
      <c r="M73" s="61">
        <f>COUNTIF('ケイパビリティ×情報オブジェクト'!BU$6:BU$58,"R")</f>
        <v>1</v>
      </c>
    </row>
    <row r="74" ht="15.0" customHeight="1">
      <c r="A74" s="54" t="s">
        <v>2483</v>
      </c>
      <c r="B74" s="55" t="s">
        <v>552</v>
      </c>
      <c r="C74" s="56" t="s">
        <v>1587</v>
      </c>
      <c r="D74" s="57" t="s">
        <v>2484</v>
      </c>
      <c r="E74" s="58" t="s">
        <v>2485</v>
      </c>
      <c r="F74" s="55" t="s">
        <v>2283</v>
      </c>
      <c r="G74" s="55" t="s">
        <v>552</v>
      </c>
      <c r="H74" s="59" t="str">
        <f t="shared" si="1"/>
        <v>対象候補</v>
      </c>
      <c r="I74" s="55" t="s">
        <v>2202</v>
      </c>
      <c r="J74" s="54" t="s">
        <v>563</v>
      </c>
      <c r="K74" s="60" t="str">
        <f t="array" ref="K74">IFERROR(INDEX('ケイパビリティマップ'!$E:$E,MATCH(J74,'ケイパビリティマップ'!$A:$A,0)),"（IDなし）")</f>
        <v>申請資料作成・管理</v>
      </c>
      <c r="L74" s="61">
        <f>COUNTIF('ケイパビリティ×情報オブジェクト'!BV$6:BV$58,"C")</f>
        <v>5</v>
      </c>
      <c r="M74" s="61">
        <f>COUNTIF('ケイパビリティ×情報オブジェクト'!BV$6:BV$58,"R")</f>
        <v>0</v>
      </c>
    </row>
    <row r="75" ht="26.25" customHeight="1">
      <c r="A75" s="54" t="s">
        <v>2487</v>
      </c>
      <c r="B75" s="55" t="s">
        <v>552</v>
      </c>
      <c r="C75" s="56" t="s">
        <v>2488</v>
      </c>
      <c r="D75" s="57" t="s">
        <v>2489</v>
      </c>
      <c r="E75" s="58" t="s">
        <v>2490</v>
      </c>
      <c r="F75" s="55" t="s">
        <v>2208</v>
      </c>
      <c r="G75" s="55" t="s">
        <v>552</v>
      </c>
      <c r="H75" s="59" t="str">
        <f t="shared" si="1"/>
        <v>対象候補</v>
      </c>
      <c r="I75" s="55" t="s">
        <v>2202</v>
      </c>
      <c r="J75" s="54" t="s">
        <v>563</v>
      </c>
      <c r="K75" s="60" t="str">
        <f t="array" ref="K75">IFERROR(INDEX('ケイパビリティマップ'!$E:$E,MATCH(J75,'ケイパビリティマップ'!$A:$A,0)),"（IDなし）")</f>
        <v>申請資料作成・管理</v>
      </c>
      <c r="L75" s="61">
        <f>COUNTIF('ケイパビリティ×情報オブジェクト'!BW$6:BW$58,"C")</f>
        <v>3</v>
      </c>
      <c r="M75" s="61">
        <f>COUNTIF('ケイパビリティ×情報オブジェクト'!BW$6:BW$58,"R")</f>
        <v>3</v>
      </c>
    </row>
    <row r="76" ht="15.0" customHeight="1">
      <c r="A76" s="54" t="s">
        <v>2491</v>
      </c>
      <c r="B76" s="55" t="s">
        <v>552</v>
      </c>
      <c r="C76" s="56" t="s">
        <v>1695</v>
      </c>
      <c r="D76" s="57" t="s">
        <v>2492</v>
      </c>
      <c r="E76" s="58" t="s">
        <v>2493</v>
      </c>
      <c r="F76" s="55" t="s">
        <v>2255</v>
      </c>
      <c r="G76" s="55" t="s">
        <v>552</v>
      </c>
      <c r="H76" s="59" t="str">
        <f t="shared" si="1"/>
        <v>対象候補</v>
      </c>
      <c r="I76" s="55" t="s">
        <v>2202</v>
      </c>
      <c r="J76" s="54" t="s">
        <v>574</v>
      </c>
      <c r="K76" s="60" t="str">
        <f t="array" ref="K76">IFERROR(INDEX('ケイパビリティマップ'!$E:$E,MATCH(J76,'ケイパビリティマップ'!$A:$A,0)),"（IDなし）")</f>
        <v>ラベリング管理</v>
      </c>
      <c r="L76" s="61">
        <f>COUNTIF('ケイパビリティ×情報オブジェクト'!BX$6:BX$58,"C")</f>
        <v>2</v>
      </c>
      <c r="M76" s="61">
        <f>COUNTIF('ケイパビリティ×情報オブジェクト'!BX$6:BX$58,"R")</f>
        <v>4</v>
      </c>
    </row>
    <row r="77" ht="26.25" customHeight="1">
      <c r="A77" s="54" t="s">
        <v>2494</v>
      </c>
      <c r="B77" s="55" t="s">
        <v>552</v>
      </c>
      <c r="C77" s="56" t="s">
        <v>2102</v>
      </c>
      <c r="D77" s="57" t="s">
        <v>2495</v>
      </c>
      <c r="E77" s="58" t="s">
        <v>2496</v>
      </c>
      <c r="F77" s="55" t="s">
        <v>2208</v>
      </c>
      <c r="G77" s="55" t="s">
        <v>552</v>
      </c>
      <c r="H77" s="59" t="str">
        <f t="shared" si="1"/>
        <v>対象候補</v>
      </c>
      <c r="I77" s="55" t="s">
        <v>2202</v>
      </c>
      <c r="J77" s="54" t="s">
        <v>587</v>
      </c>
      <c r="K77" s="60" t="str">
        <f t="array" ref="K77">IFERROR(INDEX('ケイパビリティマップ'!$E:$E,MATCH(J77,'ケイパビリティマップ'!$A:$A,0)),"（IDなし）")</f>
        <v>市販後薬事コンプライアンス</v>
      </c>
      <c r="L77" s="61">
        <f>COUNTIF('ケイパビリティ×情報オブジェクト'!BY$6:BY$58,"C")</f>
        <v>2</v>
      </c>
      <c r="M77" s="61">
        <f>COUNTIF('ケイパビリティ×情報オブジェクト'!BY$6:BY$58,"R")</f>
        <v>1</v>
      </c>
    </row>
    <row r="78" ht="26.25" customHeight="1">
      <c r="A78" s="54" t="s">
        <v>2497</v>
      </c>
      <c r="B78" s="55" t="s">
        <v>552</v>
      </c>
      <c r="C78" s="56" t="s">
        <v>2099</v>
      </c>
      <c r="D78" s="57" t="s">
        <v>2099</v>
      </c>
      <c r="E78" s="58" t="s">
        <v>2498</v>
      </c>
      <c r="F78" s="55" t="s">
        <v>2283</v>
      </c>
      <c r="G78" s="55" t="s">
        <v>2499</v>
      </c>
      <c r="H78" s="59" t="str">
        <f t="shared" si="1"/>
        <v>対象候補</v>
      </c>
      <c r="I78" s="55" t="s">
        <v>2202</v>
      </c>
      <c r="J78" s="54" t="s">
        <v>740</v>
      </c>
      <c r="K78" s="60" t="str">
        <f t="array" ref="K78">IFERROR(INDEX('ケイパビリティマップ'!$E:$E,MATCH(J78,'ケイパビリティマップ'!$A:$A,0)),"（IDなし）")</f>
        <v>安全性シグナル・リスク管理</v>
      </c>
      <c r="L78" s="61">
        <f>COUNTIF('ケイパビリティ×情報オブジェクト'!BZ$6:BZ$58,"C")</f>
        <v>2</v>
      </c>
      <c r="M78" s="61">
        <f>COUNTIF('ケイパビリティ×情報オブジェクト'!BZ$6:BZ$58,"R")</f>
        <v>0</v>
      </c>
    </row>
    <row r="79" ht="26.25" customHeight="1">
      <c r="A79" s="54" t="s">
        <v>2500</v>
      </c>
      <c r="B79" s="55" t="s">
        <v>552</v>
      </c>
      <c r="C79" s="56" t="s">
        <v>1656</v>
      </c>
      <c r="D79" s="57" t="s">
        <v>2501</v>
      </c>
      <c r="E79" s="58" t="s">
        <v>2502</v>
      </c>
      <c r="F79" s="55" t="s">
        <v>2208</v>
      </c>
      <c r="G79" s="55" t="s">
        <v>2401</v>
      </c>
      <c r="H79" s="59" t="str">
        <f t="shared" si="1"/>
        <v>対象候補</v>
      </c>
      <c r="I79" s="55" t="s">
        <v>2202</v>
      </c>
      <c r="J79" s="54" t="s">
        <v>707</v>
      </c>
      <c r="K79" s="60" t="str">
        <f t="array" ref="K79">IFERROR(INDEX('ケイパビリティマップ'!$E:$E,MATCH(J79,'ケイパビリティマップ'!$A:$A,0)),"（IDなし）")</f>
        <v>品質システム・監査管理</v>
      </c>
      <c r="L79" s="61">
        <f>COUNTIF('ケイパビリティ×情報オブジェクト'!CA$6:CA$58,"C")</f>
        <v>1</v>
      </c>
      <c r="M79" s="61">
        <f>COUNTIF('ケイパビリティ×情報オブジェクト'!CA$6:CA$58,"R")</f>
        <v>0</v>
      </c>
    </row>
    <row r="80" ht="26.25" customHeight="1">
      <c r="A80" s="54" t="s">
        <v>2503</v>
      </c>
      <c r="B80" s="55" t="s">
        <v>552</v>
      </c>
      <c r="C80" s="56" t="s">
        <v>2120</v>
      </c>
      <c r="D80" s="57" t="s">
        <v>2504</v>
      </c>
      <c r="E80" s="58" t="s">
        <v>2505</v>
      </c>
      <c r="F80" s="55" t="s">
        <v>2283</v>
      </c>
      <c r="G80" s="55" t="s">
        <v>552</v>
      </c>
      <c r="H80" s="59" t="str">
        <f t="shared" si="1"/>
        <v>対象候補</v>
      </c>
      <c r="I80" s="55" t="s">
        <v>2202</v>
      </c>
      <c r="J80" s="54" t="s">
        <v>587</v>
      </c>
      <c r="K80" s="60" t="str">
        <f t="array" ref="K80">IFERROR(INDEX('ケイパビリティマップ'!$E:$E,MATCH(J80,'ケイパビリティマップ'!$A:$A,0)),"（IDなし）")</f>
        <v>市販後薬事コンプライアンス</v>
      </c>
      <c r="L80" s="61">
        <f>COUNTIF('ケイパビリティ×情報オブジェクト'!CB$6:CB$58,"C")</f>
        <v>1</v>
      </c>
      <c r="M80" s="61">
        <f>COUNTIF('ケイパビリティ×情報オブジェクト'!CB$6:CB$58,"R")</f>
        <v>0</v>
      </c>
    </row>
    <row r="81" ht="26.25" customHeight="1">
      <c r="A81" s="54" t="s">
        <v>2506</v>
      </c>
      <c r="B81" s="55" t="s">
        <v>2227</v>
      </c>
      <c r="C81" s="56" t="s">
        <v>2081</v>
      </c>
      <c r="D81" s="57" t="s">
        <v>2507</v>
      </c>
      <c r="E81" s="58" t="s">
        <v>2508</v>
      </c>
      <c r="F81" s="55" t="s">
        <v>2208</v>
      </c>
      <c r="G81" s="55" t="s">
        <v>2474</v>
      </c>
      <c r="H81" s="59" t="str">
        <f t="shared" si="1"/>
        <v>対象候補</v>
      </c>
      <c r="I81" s="55" t="s">
        <v>2409</v>
      </c>
      <c r="J81" s="54" t="s">
        <v>723</v>
      </c>
      <c r="K81" s="60" t="str">
        <f t="array" ref="K81">IFERROR(INDEX('ケイパビリティマップ'!$E:$E,MATCH(J81,'ケイパビリティマップ'!$A:$A,0)),"（IDなし）")</f>
        <v>有害事象管理</v>
      </c>
      <c r="L81" s="61">
        <f>COUNTIF('ケイパビリティ×情報オブジェクト'!CC$6:CC$58,"C")</f>
        <v>2</v>
      </c>
      <c r="M81" s="61">
        <f>COUNTIF('ケイパビリティ×情報オブジェクト'!CC$6:CC$58,"R")</f>
        <v>2</v>
      </c>
    </row>
    <row r="82" ht="26.25" customHeight="1">
      <c r="A82" s="54" t="s">
        <v>2509</v>
      </c>
      <c r="B82" s="55" t="s">
        <v>2227</v>
      </c>
      <c r="C82" s="56" t="s">
        <v>2094</v>
      </c>
      <c r="D82" s="57" t="s">
        <v>2510</v>
      </c>
      <c r="E82" s="58" t="s">
        <v>2511</v>
      </c>
      <c r="F82" s="55" t="s">
        <v>2238</v>
      </c>
      <c r="G82" s="55" t="s">
        <v>2082</v>
      </c>
      <c r="H82" s="59" t="str">
        <f t="shared" si="1"/>
        <v>対象候補</v>
      </c>
      <c r="I82" s="55" t="s">
        <v>2202</v>
      </c>
      <c r="J82" s="54" t="s">
        <v>740</v>
      </c>
      <c r="K82" s="60" t="str">
        <f t="array" ref="K82">IFERROR(INDEX('ケイパビリティマップ'!$E:$E,MATCH(J82,'ケイパビリティマップ'!$A:$A,0)),"（IDなし）")</f>
        <v>安全性シグナル・リスク管理</v>
      </c>
      <c r="L82" s="61">
        <f>COUNTIF('ケイパビリティ×情報オブジェクト'!CD$6:CD$58,"C")</f>
        <v>1</v>
      </c>
      <c r="M82" s="61">
        <f>COUNTIF('ケイパビリティ×情報オブジェクト'!CD$6:CD$58,"R")</f>
        <v>3</v>
      </c>
    </row>
    <row r="83" ht="15.0" customHeight="1">
      <c r="A83" s="54" t="s">
        <v>2512</v>
      </c>
      <c r="B83" s="55" t="s">
        <v>2227</v>
      </c>
      <c r="C83" s="56" t="s">
        <v>2086</v>
      </c>
      <c r="D83" s="57" t="s">
        <v>2513</v>
      </c>
      <c r="E83" s="58" t="s">
        <v>2514</v>
      </c>
      <c r="F83" s="55" t="s">
        <v>2283</v>
      </c>
      <c r="G83" s="55" t="s">
        <v>2082</v>
      </c>
      <c r="H83" s="59" t="str">
        <f t="shared" si="1"/>
        <v>対象候補</v>
      </c>
      <c r="I83" s="55" t="s">
        <v>2202</v>
      </c>
      <c r="J83" s="54" t="s">
        <v>723</v>
      </c>
      <c r="K83" s="60" t="str">
        <f t="array" ref="K83">IFERROR(INDEX('ケイパビリティマップ'!$E:$E,MATCH(J83,'ケイパビリティマップ'!$A:$A,0)),"（IDなし）")</f>
        <v>有害事象管理</v>
      </c>
      <c r="L83" s="61">
        <f>COUNTIF('ケイパビリティ×情報オブジェクト'!CE$6:CE$58,"C")</f>
        <v>1</v>
      </c>
      <c r="M83" s="61">
        <f>COUNTIF('ケイパビリティ×情報オブジェクト'!CE$6:CE$58,"R")</f>
        <v>0</v>
      </c>
    </row>
    <row r="84" ht="26.25" customHeight="1">
      <c r="A84" s="54" t="s">
        <v>2515</v>
      </c>
      <c r="B84" s="55" t="s">
        <v>818</v>
      </c>
      <c r="C84" s="56" t="s">
        <v>1885</v>
      </c>
      <c r="D84" s="57" t="s">
        <v>2516</v>
      </c>
      <c r="E84" s="58" t="s">
        <v>2517</v>
      </c>
      <c r="F84" s="55" t="s">
        <v>2200</v>
      </c>
      <c r="G84" s="55" t="s">
        <v>95</v>
      </c>
      <c r="H84" s="59" t="str">
        <f t="shared" si="1"/>
        <v>—</v>
      </c>
      <c r="I84" s="55" t="s">
        <v>2202</v>
      </c>
      <c r="J84" s="54" t="s">
        <v>816</v>
      </c>
      <c r="K84" s="60" t="str">
        <f t="array" ref="K84">IFERROR(INDEX('ケイパビリティマップ'!$E:$E,MATCH(J84,'ケイパビリティマップ'!$A:$A,0)),"（IDなし）")</f>
        <v>価格・保険者契約管理</v>
      </c>
      <c r="L84" s="61">
        <f>COUNTIF('ケイパビリティ×情報オブジェクト'!CF$6:CF$58,"C")</f>
        <v>1</v>
      </c>
      <c r="M84" s="61">
        <f>COUNTIF('ケイパビリティ×情報オブジェクト'!CF$6:CF$58,"R")</f>
        <v>1</v>
      </c>
    </row>
    <row r="85" ht="26.25" customHeight="1">
      <c r="A85" s="54" t="s">
        <v>2518</v>
      </c>
      <c r="B85" s="55" t="s">
        <v>818</v>
      </c>
      <c r="C85" s="56" t="s">
        <v>1913</v>
      </c>
      <c r="D85" s="57" t="s">
        <v>2519</v>
      </c>
      <c r="E85" s="58" t="s">
        <v>2520</v>
      </c>
      <c r="F85" s="55" t="s">
        <v>2208</v>
      </c>
      <c r="G85" s="55" t="s">
        <v>95</v>
      </c>
      <c r="H85" s="59" t="str">
        <f t="shared" si="1"/>
        <v>—</v>
      </c>
      <c r="I85" s="55" t="s">
        <v>2202</v>
      </c>
      <c r="J85" s="54" t="s">
        <v>816</v>
      </c>
      <c r="K85" s="60" t="str">
        <f t="array" ref="K85">IFERROR(INDEX('ケイパビリティマップ'!$E:$E,MATCH(J85,'ケイパビリティマップ'!$A:$A,0)),"（IDなし）")</f>
        <v>価格・保険者契約管理</v>
      </c>
      <c r="L85" s="61">
        <f>COUNTIF('ケイパビリティ×情報オブジェクト'!CG$6:CG$58,"C")</f>
        <v>2</v>
      </c>
      <c r="M85" s="61">
        <f>COUNTIF('ケイパビリティ×情報オブジェクト'!CG$6:CG$58,"R")</f>
        <v>1</v>
      </c>
    </row>
    <row r="86" ht="26.25" customHeight="1">
      <c r="A86" s="54" t="s">
        <v>2521</v>
      </c>
      <c r="B86" s="55" t="s">
        <v>818</v>
      </c>
      <c r="C86" s="56" t="s">
        <v>1905</v>
      </c>
      <c r="D86" s="57" t="s">
        <v>2522</v>
      </c>
      <c r="E86" s="58" t="s">
        <v>2523</v>
      </c>
      <c r="F86" s="55" t="s">
        <v>2200</v>
      </c>
      <c r="G86" s="55" t="s">
        <v>95</v>
      </c>
      <c r="H86" s="59" t="str">
        <f t="shared" si="1"/>
        <v>—</v>
      </c>
      <c r="I86" s="55" t="s">
        <v>2202</v>
      </c>
      <c r="J86" s="54" t="s">
        <v>834</v>
      </c>
      <c r="K86" s="60" t="str">
        <f t="array" ref="K86">IFERROR(INDEX('ケイパビリティマップ'!$E:$E,MATCH(J86,'ケイパビリティマップ'!$A:$A,0)),"（IDなし）")</f>
        <v>政府価格報告・政策対応</v>
      </c>
      <c r="L86" s="61">
        <f>COUNTIF('ケイパビリティ×情報オブジェクト'!CH$6:CH$58,"C")</f>
        <v>1</v>
      </c>
      <c r="M86" s="61">
        <f>COUNTIF('ケイパビリティ×情報オブジェクト'!CH$6:CH$58,"R")</f>
        <v>1</v>
      </c>
    </row>
    <row r="87" ht="26.25" customHeight="1">
      <c r="A87" s="54" t="s">
        <v>2524</v>
      </c>
      <c r="B87" s="55" t="s">
        <v>818</v>
      </c>
      <c r="C87" s="56" t="s">
        <v>2525</v>
      </c>
      <c r="D87" s="57" t="s">
        <v>2526</v>
      </c>
      <c r="E87" s="58" t="s">
        <v>2527</v>
      </c>
      <c r="F87" s="55" t="s">
        <v>2208</v>
      </c>
      <c r="G87" s="55" t="s">
        <v>95</v>
      </c>
      <c r="H87" s="59" t="str">
        <f t="shared" si="1"/>
        <v>—</v>
      </c>
      <c r="I87" s="55" t="s">
        <v>2409</v>
      </c>
      <c r="J87" s="54" t="s">
        <v>802</v>
      </c>
      <c r="K87" s="60" t="str">
        <f t="array" ref="K87">IFERROR(INDEX('ケイパビリティマップ'!$E:$E,MATCH(J87,'ケイパビリティマップ'!$A:$A,0)),"（IDなし）")</f>
        <v>患者支援サービス★</v>
      </c>
      <c r="L87" s="61">
        <f>COUNTIF('ケイパビリティ×情報オブジェクト'!CI$6:CI$58,"C")</f>
        <v>1</v>
      </c>
      <c r="M87" s="61">
        <f>COUNTIF('ケイパビリティ×情報オブジェクト'!CI$6:CI$58,"R")</f>
        <v>2</v>
      </c>
    </row>
    <row r="88" ht="26.25" customHeight="1">
      <c r="A88" s="54" t="s">
        <v>2528</v>
      </c>
      <c r="B88" s="55" t="s">
        <v>818</v>
      </c>
      <c r="C88" s="56" t="s">
        <v>1936</v>
      </c>
      <c r="D88" s="57" t="s">
        <v>2529</v>
      </c>
      <c r="E88" s="58" t="s">
        <v>2530</v>
      </c>
      <c r="F88" s="55" t="s">
        <v>2283</v>
      </c>
      <c r="G88" s="55" t="s">
        <v>552</v>
      </c>
      <c r="H88" s="59" t="str">
        <f t="shared" si="1"/>
        <v>対象候補</v>
      </c>
      <c r="I88" s="55" t="s">
        <v>2202</v>
      </c>
      <c r="J88" s="54" t="s">
        <v>848</v>
      </c>
      <c r="K88" s="60" t="str">
        <f t="array" ref="K88">IFERROR(INDEX('ケイパビリティマップ'!$E:$E,MATCH(J88,'ケイパビリティマップ'!$A:$A,0)),"（IDなし）")</f>
        <v>販促・商業コンプライアンス</v>
      </c>
      <c r="L88" s="61">
        <f>COUNTIF('ケイパビリティ×情報オブジェクト'!CJ$6:CJ$58,"C")</f>
        <v>2</v>
      </c>
      <c r="M88" s="61">
        <f>COUNTIF('ケイパビリティ×情報オブジェクト'!CJ$6:CJ$58,"R")</f>
        <v>1</v>
      </c>
    </row>
    <row r="89" ht="26.25" customHeight="1">
      <c r="A89" s="54" t="s">
        <v>2532</v>
      </c>
      <c r="B89" s="55" t="s">
        <v>818</v>
      </c>
      <c r="C89" s="56" t="s">
        <v>2533</v>
      </c>
      <c r="D89" s="57" t="s">
        <v>2534</v>
      </c>
      <c r="E89" s="58" t="s">
        <v>2535</v>
      </c>
      <c r="F89" s="55" t="s">
        <v>2200</v>
      </c>
      <c r="G89" s="55" t="s">
        <v>95</v>
      </c>
      <c r="H89" s="59" t="str">
        <f t="shared" si="1"/>
        <v>—</v>
      </c>
      <c r="I89" s="55" t="s">
        <v>2428</v>
      </c>
      <c r="J89" s="54" t="s">
        <v>785</v>
      </c>
      <c r="K89" s="60" t="str">
        <f t="array" ref="K89">IFERROR(INDEX('ケイパビリティマップ'!$E:$E,MATCH(J89,'ケイパビリティマップ'!$A:$A,0)),"（IDなし）")</f>
        <v>疾患啓発・診断支援★</v>
      </c>
      <c r="L89" s="61">
        <f>COUNTIF('ケイパビリティ×情報オブジェクト'!CK$6:CK$58,"C")</f>
        <v>1</v>
      </c>
      <c r="M89" s="61">
        <f>COUNTIF('ケイパビリティ×情報オブジェクト'!CK$6:CK$58,"R")</f>
        <v>0</v>
      </c>
    </row>
    <row r="90" ht="26.25" customHeight="1">
      <c r="A90" s="54" t="s">
        <v>2536</v>
      </c>
      <c r="B90" s="55" t="s">
        <v>818</v>
      </c>
      <c r="C90" s="56" t="s">
        <v>1947</v>
      </c>
      <c r="D90" s="57" t="s">
        <v>2537</v>
      </c>
      <c r="E90" s="58" t="s">
        <v>2538</v>
      </c>
      <c r="F90" s="55" t="s">
        <v>2208</v>
      </c>
      <c r="G90" s="55" t="s">
        <v>95</v>
      </c>
      <c r="H90" s="59" t="str">
        <f t="shared" si="1"/>
        <v>—</v>
      </c>
      <c r="I90" s="55" t="s">
        <v>2539</v>
      </c>
      <c r="J90" s="54" t="s">
        <v>866</v>
      </c>
      <c r="K90" s="60" t="str">
        <f t="array" ref="K90">IFERROR(INDEX('ケイパビリティマップ'!$E:$E,MATCH(J90,'ケイパビリティマップ'!$A:$A,0)),"（IDなし）")</f>
        <v>営業・顧客管理</v>
      </c>
      <c r="L90" s="61">
        <f>COUNTIF('ケイパビリティ×情報オブジェクト'!CL$6:CL$58,"C")</f>
        <v>1</v>
      </c>
      <c r="M90" s="61">
        <f>COUNTIF('ケイパビリティ×情報オブジェクト'!CL$6:CL$58,"R")</f>
        <v>0</v>
      </c>
    </row>
    <row r="91" ht="26.25" customHeight="1">
      <c r="A91" s="54" t="s">
        <v>2540</v>
      </c>
      <c r="B91" s="55" t="s">
        <v>818</v>
      </c>
      <c r="C91" s="56" t="s">
        <v>1736</v>
      </c>
      <c r="D91" s="57" t="s">
        <v>2541</v>
      </c>
      <c r="E91" s="58" t="s">
        <v>2542</v>
      </c>
      <c r="F91" s="55" t="s">
        <v>2208</v>
      </c>
      <c r="G91" s="55" t="s">
        <v>95</v>
      </c>
      <c r="H91" s="59" t="str">
        <f t="shared" si="1"/>
        <v>—</v>
      </c>
      <c r="I91" s="55" t="s">
        <v>2202</v>
      </c>
      <c r="J91" s="54" t="s">
        <v>834</v>
      </c>
      <c r="K91" s="60" t="str">
        <f t="array" ref="K91">IFERROR(INDEX('ケイパビリティマップ'!$E:$E,MATCH(J91,'ケイパビリティマップ'!$A:$A,0)),"（IDなし）")</f>
        <v>政府価格報告・政策対応</v>
      </c>
      <c r="L91" s="61">
        <f>COUNTIF('ケイパビリティ×情報オブジェクト'!CM$6:CM$58,"C")</f>
        <v>1</v>
      </c>
      <c r="M91" s="61">
        <f>COUNTIF('ケイパビリティ×情報オブジェクト'!CM$6:CM$58,"R")</f>
        <v>0</v>
      </c>
    </row>
    <row r="92" ht="26.25" customHeight="1">
      <c r="A92" s="54" t="s">
        <v>2543</v>
      </c>
      <c r="B92" s="55" t="s">
        <v>818</v>
      </c>
      <c r="C92" s="56" t="s">
        <v>2544</v>
      </c>
      <c r="D92" s="57" t="s">
        <v>2545</v>
      </c>
      <c r="E92" s="58" t="s">
        <v>2546</v>
      </c>
      <c r="F92" s="55" t="s">
        <v>2238</v>
      </c>
      <c r="G92" s="55" t="s">
        <v>95</v>
      </c>
      <c r="H92" s="59" t="str">
        <f t="shared" si="1"/>
        <v>—</v>
      </c>
      <c r="I92" s="55" t="s">
        <v>2202</v>
      </c>
      <c r="J92" s="54" t="s">
        <v>834</v>
      </c>
      <c r="K92" s="60" t="str">
        <f t="array" ref="K92">IFERROR(INDEX('ケイパビリティマップ'!$E:$E,MATCH(J92,'ケイパビリティマップ'!$A:$A,0)),"（IDなし）")</f>
        <v>政府価格報告・政策対応</v>
      </c>
      <c r="L92" s="61">
        <f>COUNTIF('ケイパビリティ×情報オブジェクト'!CN$6:CN$58,"C")</f>
        <v>1</v>
      </c>
      <c r="M92" s="61">
        <f>COUNTIF('ケイパビリティ×情報オブジェクト'!CN$6:CN$58,"R")</f>
        <v>0</v>
      </c>
    </row>
    <row r="93" ht="26.25" customHeight="1">
      <c r="A93" s="54" t="s">
        <v>2547</v>
      </c>
      <c r="B93" s="55" t="s">
        <v>2232</v>
      </c>
      <c r="C93" s="56" t="s">
        <v>886</v>
      </c>
      <c r="D93" s="57" t="s">
        <v>2548</v>
      </c>
      <c r="E93" s="58" t="s">
        <v>2549</v>
      </c>
      <c r="F93" s="55" t="s">
        <v>2208</v>
      </c>
      <c r="G93" s="55" t="s">
        <v>95</v>
      </c>
      <c r="H93" s="59" t="str">
        <f t="shared" si="1"/>
        <v>—</v>
      </c>
      <c r="I93" s="55" t="s">
        <v>2202</v>
      </c>
      <c r="J93" s="54" t="s">
        <v>882</v>
      </c>
      <c r="K93" s="60" t="str">
        <f t="array" ref="K93">IFERROR(INDEX('ケイパビリティマップ'!$E:$E,MATCH(J93,'ケイパビリティマップ'!$A:$A,0)),"（IDなし）")</f>
        <v>需給計画</v>
      </c>
      <c r="L93" s="61">
        <f>COUNTIF('ケイパビリティ×情報オブジェクト'!CO$6:CO$58,"C")</f>
        <v>1</v>
      </c>
      <c r="M93" s="61">
        <f>COUNTIF('ケイパビリティ×情報オブジェクト'!CO$6:CO$58,"R")</f>
        <v>2</v>
      </c>
    </row>
    <row r="94" ht="26.25" customHeight="1">
      <c r="A94" s="54" t="s">
        <v>2550</v>
      </c>
      <c r="B94" s="55" t="s">
        <v>2232</v>
      </c>
      <c r="C94" s="56" t="s">
        <v>2050</v>
      </c>
      <c r="D94" s="57" t="s">
        <v>2551</v>
      </c>
      <c r="E94" s="58" t="s">
        <v>2552</v>
      </c>
      <c r="F94" s="55" t="s">
        <v>2208</v>
      </c>
      <c r="G94" s="55" t="s">
        <v>2553</v>
      </c>
      <c r="H94" s="59" t="str">
        <f t="shared" si="1"/>
        <v>対象候補</v>
      </c>
      <c r="I94" s="55" t="s">
        <v>2202</v>
      </c>
      <c r="J94" s="54" t="s">
        <v>882</v>
      </c>
      <c r="K94" s="60" t="str">
        <f t="array" ref="K94">IFERROR(INDEX('ケイパビリティマップ'!$E:$E,MATCH(J94,'ケイパビリティマップ'!$A:$A,0)),"（IDなし）")</f>
        <v>需給計画</v>
      </c>
      <c r="L94" s="61">
        <f>COUNTIF('ケイパビリティ×情報オブジェクト'!CP$6:CP$58,"C")</f>
        <v>3</v>
      </c>
      <c r="M94" s="61">
        <f>COUNTIF('ケイパビリティ×情報オブジェクト'!CP$6:CP$58,"R")</f>
        <v>2</v>
      </c>
    </row>
    <row r="95" ht="26.25" customHeight="1">
      <c r="A95" s="54" t="s">
        <v>2554</v>
      </c>
      <c r="B95" s="55" t="s">
        <v>2232</v>
      </c>
      <c r="C95" s="56" t="s">
        <v>1972</v>
      </c>
      <c r="D95" s="57" t="s">
        <v>2555</v>
      </c>
      <c r="E95" s="58" t="s">
        <v>2556</v>
      </c>
      <c r="F95" s="55" t="s">
        <v>2208</v>
      </c>
      <c r="G95" s="55" t="s">
        <v>2553</v>
      </c>
      <c r="H95" s="59" t="str">
        <f t="shared" si="1"/>
        <v>対象候補</v>
      </c>
      <c r="I95" s="55" t="s">
        <v>2202</v>
      </c>
      <c r="J95" s="54" t="s">
        <v>882</v>
      </c>
      <c r="K95" s="60" t="str">
        <f t="array" ref="K95">IFERROR(INDEX('ケイパビリティマップ'!$E:$E,MATCH(J95,'ケイパビリティマップ'!$A:$A,0)),"（IDなし）")</f>
        <v>需給計画</v>
      </c>
      <c r="L95" s="61">
        <f>COUNTIF('ケイパビリティ×情報オブジェクト'!CQ$6:CQ$58,"C")</f>
        <v>3</v>
      </c>
      <c r="M95" s="61">
        <f>COUNTIF('ケイパビリティ×情報オブジェクト'!CQ$6:CQ$58,"R")</f>
        <v>1</v>
      </c>
    </row>
    <row r="96" ht="15.0" customHeight="1">
      <c r="A96" s="54" t="s">
        <v>2557</v>
      </c>
      <c r="B96" s="55" t="s">
        <v>2232</v>
      </c>
      <c r="C96" s="56" t="s">
        <v>2045</v>
      </c>
      <c r="D96" s="57" t="s">
        <v>2558</v>
      </c>
      <c r="E96" s="58" t="s">
        <v>2559</v>
      </c>
      <c r="F96" s="55" t="s">
        <v>2243</v>
      </c>
      <c r="G96" s="55" t="s">
        <v>2553</v>
      </c>
      <c r="H96" s="59" t="str">
        <f t="shared" si="1"/>
        <v>対象候補</v>
      </c>
      <c r="I96" s="55" t="s">
        <v>2202</v>
      </c>
      <c r="J96" s="54" t="s">
        <v>911</v>
      </c>
      <c r="K96" s="60" t="str">
        <f t="array" ref="K96">IFERROR(INDEX('ケイパビリティマップ'!$E:$E,MATCH(J96,'ケイパビリティマップ'!$A:$A,0)),"（IDなし）")</f>
        <v>コールドチェーン物流</v>
      </c>
      <c r="L96" s="61">
        <f>COUNTIF('ケイパビリティ×情報オブジェクト'!CR$6:CR$58,"C")</f>
        <v>1</v>
      </c>
      <c r="M96" s="61">
        <f>COUNTIF('ケイパビリティ×情報オブジェクト'!CR$6:CR$58,"R")</f>
        <v>0</v>
      </c>
    </row>
    <row r="97" ht="26.25" customHeight="1">
      <c r="A97" s="54" t="s">
        <v>2560</v>
      </c>
      <c r="B97" s="55" t="s">
        <v>2232</v>
      </c>
      <c r="C97" s="56" t="s">
        <v>2063</v>
      </c>
      <c r="D97" s="57" t="s">
        <v>2561</v>
      </c>
      <c r="E97" s="58" t="s">
        <v>2562</v>
      </c>
      <c r="F97" s="55" t="s">
        <v>2208</v>
      </c>
      <c r="G97" s="55" t="s">
        <v>1974</v>
      </c>
      <c r="H97" s="59" t="str">
        <f t="shared" si="1"/>
        <v>対象候補</v>
      </c>
      <c r="I97" s="55" t="s">
        <v>2202</v>
      </c>
      <c r="J97" s="54" t="s">
        <v>922</v>
      </c>
      <c r="K97" s="60" t="str">
        <f t="array" ref="K97">IFERROR(INDEX('ケイパビリティマップ'!$E:$E,MATCH(J97,'ケイパビリティマップ'!$A:$A,0)),"（IDなし）")</f>
        <v>トレーサビリティ</v>
      </c>
      <c r="L97" s="61">
        <f>COUNTIF('ケイパビリティ×情報オブジェクト'!CS$6:CS$58,"C")</f>
        <v>2</v>
      </c>
      <c r="M97" s="61">
        <f>COUNTIF('ケイパビリティ×情報オブジェクト'!CS$6:CS$58,"R")</f>
        <v>1</v>
      </c>
    </row>
    <row r="98" ht="26.25" customHeight="1">
      <c r="A98" s="54" t="s">
        <v>2563</v>
      </c>
      <c r="B98" s="55" t="s">
        <v>2232</v>
      </c>
      <c r="C98" s="56" t="s">
        <v>2564</v>
      </c>
      <c r="D98" s="57" t="s">
        <v>2565</v>
      </c>
      <c r="E98" s="58" t="s">
        <v>2566</v>
      </c>
      <c r="F98" s="55" t="s">
        <v>2208</v>
      </c>
      <c r="G98" s="55" t="s">
        <v>2567</v>
      </c>
      <c r="H98" s="59" t="str">
        <f t="shared" si="1"/>
        <v>対象候補</v>
      </c>
      <c r="I98" s="55" t="s">
        <v>2202</v>
      </c>
      <c r="J98" s="54" t="s">
        <v>940</v>
      </c>
      <c r="K98" s="60" t="str">
        <f t="array" ref="K98">IFERROR(INDEX('ケイパビリティマップ'!$E:$E,MATCH(J98,'ケイパビリティマップ'!$A:$A,0)),"（IDなし）")</f>
        <v>供給継続・回収管理</v>
      </c>
      <c r="L98" s="61">
        <f>COUNTIF('ケイパビリティ×情報オブジェクト'!CT$6:CT$58,"C")</f>
        <v>1</v>
      </c>
      <c r="M98" s="61">
        <f>COUNTIF('ケイパビリティ×情報オブジェクト'!CT$6:CT$58,"R")</f>
        <v>0</v>
      </c>
    </row>
    <row r="99" ht="15.0" customHeight="1">
      <c r="A99" s="54" t="s">
        <v>2568</v>
      </c>
      <c r="B99" s="55" t="s">
        <v>2232</v>
      </c>
      <c r="C99" s="56" t="s">
        <v>2569</v>
      </c>
      <c r="D99" s="57" t="s">
        <v>2570</v>
      </c>
      <c r="E99" s="58" t="s">
        <v>2571</v>
      </c>
      <c r="F99" s="55" t="s">
        <v>2283</v>
      </c>
      <c r="G99" s="55" t="s">
        <v>552</v>
      </c>
      <c r="H99" s="59" t="str">
        <f t="shared" si="1"/>
        <v>対象候補</v>
      </c>
      <c r="I99" s="55" t="s">
        <v>2202</v>
      </c>
      <c r="J99" s="54" t="s">
        <v>940</v>
      </c>
      <c r="K99" s="60" t="str">
        <f t="array" ref="K99">IFERROR(INDEX('ケイパビリティマップ'!$E:$E,MATCH(J99,'ケイパビリティマップ'!$A:$A,0)),"（IDなし）")</f>
        <v>供給継続・回収管理</v>
      </c>
      <c r="L99" s="61">
        <f>COUNTIF('ケイパビリティ×情報オブジェクト'!CU$6:CU$58,"C")</f>
        <v>1</v>
      </c>
      <c r="M99" s="61">
        <f>COUNTIF('ケイパビリティ×情報オブジェクト'!CU$6:CU$58,"R")</f>
        <v>0</v>
      </c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autoFilter ref="$A$3:$M$99"/>
  <dataValidations>
    <dataValidation type="list" allowBlank="1" sqref="F4:F99">
      <formula1>"マスタ,定義・仕様,トランザクション,測定データ,分析・評価,文書"</formula1>
    </dataValidation>
    <dataValidation type="list" allowBlank="1" sqref="I4:I99">
      <formula1>"患者,患者（仮名化）,医療従事者,従業員,なし"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28.0"/>
    <col customWidth="1" min="4" max="99" width="4.57"/>
    <col customWidth="1" min="100" max="101" width="7.43"/>
  </cols>
  <sheetData>
    <row r="1" ht="21.0" customHeight="1">
      <c r="A1" s="1" t="s">
        <v>2209</v>
      </c>
    </row>
    <row r="2" ht="15.0" customHeight="1">
      <c r="A2" s="4" t="s">
        <v>2210</v>
      </c>
    </row>
    <row r="4" ht="29.25" customHeight="1">
      <c r="A4" s="62" t="s">
        <v>99</v>
      </c>
      <c r="B4" s="62" t="s">
        <v>96</v>
      </c>
      <c r="C4" s="62" t="s">
        <v>102</v>
      </c>
      <c r="D4" s="63" t="s">
        <v>2196</v>
      </c>
      <c r="E4" s="64"/>
      <c r="F4" s="64"/>
      <c r="G4" s="64"/>
      <c r="H4" s="64"/>
      <c r="I4" s="65"/>
      <c r="J4" s="63" t="s">
        <v>2214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5"/>
      <c r="V4" s="63" t="s">
        <v>2218</v>
      </c>
      <c r="W4" s="64"/>
      <c r="X4" s="64"/>
      <c r="Y4" s="65"/>
      <c r="Z4" s="63" t="s">
        <v>2219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/>
      <c r="AM4" s="63" t="s">
        <v>2220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5"/>
      <c r="AZ4" s="63" t="s">
        <v>2221</v>
      </c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5"/>
      <c r="BS4" s="63" t="s">
        <v>552</v>
      </c>
      <c r="BT4" s="64"/>
      <c r="BU4" s="64"/>
      <c r="BV4" s="64"/>
      <c r="BW4" s="64"/>
      <c r="BX4" s="64"/>
      <c r="BY4" s="64"/>
      <c r="BZ4" s="64"/>
      <c r="CA4" s="64"/>
      <c r="CB4" s="65"/>
      <c r="CC4" s="63" t="s">
        <v>2227</v>
      </c>
      <c r="CD4" s="64"/>
      <c r="CE4" s="65"/>
      <c r="CF4" s="63" t="s">
        <v>818</v>
      </c>
      <c r="CG4" s="64"/>
      <c r="CH4" s="64"/>
      <c r="CI4" s="64"/>
      <c r="CJ4" s="64"/>
      <c r="CK4" s="64"/>
      <c r="CL4" s="64"/>
      <c r="CM4" s="64"/>
      <c r="CN4" s="65"/>
      <c r="CO4" s="63" t="s">
        <v>2232</v>
      </c>
      <c r="CP4" s="64"/>
      <c r="CQ4" s="64"/>
      <c r="CR4" s="64"/>
      <c r="CS4" s="64"/>
      <c r="CT4" s="64"/>
      <c r="CU4" s="65"/>
      <c r="CV4" s="66" t="s">
        <v>2233</v>
      </c>
      <c r="CW4" s="66" t="s">
        <v>2234</v>
      </c>
    </row>
    <row r="5" ht="214.5" customHeight="1">
      <c r="A5" s="67"/>
      <c r="B5" s="67"/>
      <c r="C5" s="67"/>
      <c r="D5" s="68" t="str">
        <f>'情報オブジェクト'!C4</f>
        <v>製品マスタ</v>
      </c>
      <c r="E5" s="68" t="str">
        <f>'情報オブジェクト'!C5</f>
        <v>開発判定記録</v>
      </c>
      <c r="F5" s="68" t="str">
        <f>'情報オブジェクト'!C6</f>
        <v>特許・独占期間</v>
      </c>
      <c r="G5" s="68" t="str">
        <f>'情報オブジェクト'!C7</f>
        <v>取引先・施設マスタ</v>
      </c>
      <c r="H5" s="68" t="str">
        <f>'情報オブジェクト'!C8</f>
        <v>契約</v>
      </c>
      <c r="I5" s="68" t="str">
        <f>'情報オブジェクト'!C9</f>
        <v>適応症</v>
      </c>
      <c r="J5" s="68" t="str">
        <f>'情報オブジェクト'!C10</f>
        <v>疾患知見</v>
      </c>
      <c r="K5" s="68" t="str">
        <f>'情報オブジェクト'!C11</f>
        <v>遺伝子・オミクスデータ</v>
      </c>
      <c r="L5" s="68" t="str">
        <f>'情報オブジェクト'!C12</f>
        <v>標的</v>
      </c>
      <c r="M5" s="68" t="str">
        <f>'情報オブジェクト'!C13</f>
        <v>抗原・試薬</v>
      </c>
      <c r="N5" s="68" t="str">
        <f>'情報オブジェクト'!C14</f>
        <v>アッセイ（評価系）</v>
      </c>
      <c r="O5" s="68" t="str">
        <f>'情報オブジェクト'!C15</f>
        <v>抗体分子</v>
      </c>
      <c r="P5" s="68" t="str">
        <f>'情報オブジェクト'!C16</f>
        <v>研究実験データ</v>
      </c>
      <c r="Q5" s="68" t="str">
        <f>'情報オブジェクト'!C17</f>
        <v>疾患モデル</v>
      </c>
      <c r="R5" s="68" t="str">
        <f>'情報オブジェクト'!C18</f>
        <v>in vivo薬効データ</v>
      </c>
      <c r="S5" s="68" t="str">
        <f>'情報オブジェクト'!C19</f>
        <v>免疫原性リスク評価</v>
      </c>
      <c r="T5" s="68" t="str">
        <f>'情報オブジェクト'!C20</f>
        <v>目標製品プロファイル（TPP）</v>
      </c>
      <c r="U5" s="68" t="str">
        <f>'情報オブジェクト'!C21</f>
        <v>疫学データ</v>
      </c>
      <c r="V5" s="68" t="str">
        <f>'情報オブジェクト'!C22</f>
        <v>非臨床試験計画</v>
      </c>
      <c r="W5" s="68" t="str">
        <f>'情報オブジェクト'!C23</f>
        <v>非臨床試験データ</v>
      </c>
      <c r="X5" s="68" t="str">
        <f>'情報オブジェクト'!C24</f>
        <v>非臨床試験報告書</v>
      </c>
      <c r="Y5" s="68" t="str">
        <f>'情報オブジェクト'!C25</f>
        <v>生体試料分析法</v>
      </c>
      <c r="Z5" s="68" t="str">
        <f>'情報オブジェクト'!C26</f>
        <v>発現ベクター・細胞株</v>
      </c>
      <c r="AA5" s="68" t="str">
        <f>'情報オブジェクト'!C27</f>
        <v>セルバンク</v>
      </c>
      <c r="AB5" s="68" t="str">
        <f>'情報オブジェクト'!C28</f>
        <v>プロセス定義</v>
      </c>
      <c r="AC5" s="68" t="str">
        <f>'情報オブジェクト'!C29</f>
        <v>プロセス開発データ</v>
      </c>
      <c r="AD5" s="68" t="str">
        <f>'情報オブジェクト'!C30</f>
        <v>処方・製剤仕様</v>
      </c>
      <c r="AE5" s="68" t="str">
        <f>'情報オブジェクト'!C31</f>
        <v>重要品質特性（CQA）</v>
      </c>
      <c r="AF5" s="68" t="str">
        <f>'情報オブジェクト'!C32</f>
        <v>分析法</v>
      </c>
      <c r="AG5" s="68" t="str">
        <f>'情報オブジェクト'!C33</f>
        <v>標準物質</v>
      </c>
      <c r="AH5" s="68" t="str">
        <f>'情報オブジェクト'!C34</f>
        <v>規格</v>
      </c>
      <c r="AI5" s="68" t="str">
        <f>'情報オブジェクト'!C35</f>
        <v>管理戦略</v>
      </c>
      <c r="AJ5" s="68" t="str">
        <f>'情報オブジェクト'!C36</f>
        <v>安定性データ</v>
      </c>
      <c r="AK5" s="68" t="str">
        <f>'情報オブジェクト'!C37</f>
        <v>CMC技術報告書</v>
      </c>
      <c r="AL5" s="68" t="str">
        <f>'情報オブジェクト'!C38</f>
        <v>マスターバッチレコード</v>
      </c>
      <c r="AM5" s="68" t="str">
        <f>'情報オブジェクト'!C39</f>
        <v>生産計画</v>
      </c>
      <c r="AN5" s="68" t="str">
        <f>'情報オブジェクト'!C40</f>
        <v>原材料・資材</v>
      </c>
      <c r="AO5" s="68" t="str">
        <f>'情報オブジェクト'!C41</f>
        <v>バッチ記録</v>
      </c>
      <c r="AP5" s="68" t="str">
        <f>'情報オブジェクト'!C42</f>
        <v>ロット</v>
      </c>
      <c r="AQ5" s="68" t="str">
        <f>'情報オブジェクト'!C43</f>
        <v>工程データ</v>
      </c>
      <c r="AR5" s="68" t="str">
        <f>'情報オブジェクト'!C44</f>
        <v>試験成績</v>
      </c>
      <c r="AS5" s="68" t="str">
        <f>'情報オブジェクト'!C45</f>
        <v>逸脱・CAPA</v>
      </c>
      <c r="AT5" s="68" t="str">
        <f>'情報オブジェクト'!C46</f>
        <v>変更管理記録</v>
      </c>
      <c r="AU5" s="68" t="str">
        <f>'情報オブジェクト'!C47</f>
        <v>出荷判定記録</v>
      </c>
      <c r="AV5" s="68" t="str">
        <f>'情報オブジェクト'!C48</f>
        <v>バリデーション計画・報告</v>
      </c>
      <c r="AW5" s="68" t="str">
        <f>'情報オブジェクト'!C49</f>
        <v>設備・環境モニタリングデータ</v>
      </c>
      <c r="AX5" s="68" t="str">
        <f>'情報オブジェクト'!C50</f>
        <v>年次製品照査（APR）</v>
      </c>
      <c r="AY5" s="68" t="str">
        <f>'情報オブジェクト'!C51</f>
        <v>包装表示（アートワーク）</v>
      </c>
      <c r="AZ5" s="68" t="str">
        <f>'情報オブジェクト'!C52</f>
        <v>自然歴データ</v>
      </c>
      <c r="BA5" s="68" t="str">
        <f>'情報オブジェクト'!C53</f>
        <v>患者レジストリデータ</v>
      </c>
      <c r="BB5" s="68" t="str">
        <f>'情報オブジェクト'!C54</f>
        <v>候補患者情報</v>
      </c>
      <c r="BC5" s="68" t="str">
        <f>'情報オブジェクト'!C55</f>
        <v>臨床評価指標・バイオマーカー定義</v>
      </c>
      <c r="BD5" s="68" t="str">
        <f>'情報オブジェクト'!C56</f>
        <v>治験実施計画書</v>
      </c>
      <c r="BE5" s="68" t="str">
        <f>'情報オブジェクト'!C57</f>
        <v>治験薬概要書（IB）</v>
      </c>
      <c r="BF5" s="68" t="str">
        <f>'情報オブジェクト'!C58</f>
        <v>試験実施体制</v>
      </c>
      <c r="BG5" s="68" t="str">
        <f>'情報オブジェクト'!C59</f>
        <v>試験登録情報</v>
      </c>
      <c r="BH5" s="68" t="str">
        <f>'情報オブジェクト'!C60</f>
        <v>症例データ</v>
      </c>
      <c r="BI5" s="68" t="str">
        <f>'情報オブジェクト'!C61</f>
        <v>臨床検体分析データ</v>
      </c>
      <c r="BJ5" s="68" t="str">
        <f>'情報オブジェクト'!C62</f>
        <v>臨床データセット</v>
      </c>
      <c r="BK5" s="68" t="str">
        <f>'情報オブジェクト'!C63</f>
        <v>統計解析結果</v>
      </c>
      <c r="BL5" s="68" t="str">
        <f>'情報オブジェクト'!C64</f>
        <v>総括報告書（CSR）</v>
      </c>
      <c r="BM5" s="68" t="str">
        <f>'情報オブジェクト'!C65</f>
        <v>統合解析</v>
      </c>
      <c r="BN5" s="68" t="str">
        <f>'情報オブジェクト'!C66</f>
        <v>ベネフィット・リスク評価</v>
      </c>
      <c r="BO5" s="68" t="str">
        <f>'情報オブジェクト'!C67</f>
        <v>治験薬供給記録</v>
      </c>
      <c r="BP5" s="68" t="str">
        <f>'情報オブジェクト'!C68</f>
        <v>PK/PDモデル・解析結果</v>
      </c>
      <c r="BQ5" s="68" t="str">
        <f>'情報オブジェクト'!C69</f>
        <v>臨床試験</v>
      </c>
      <c r="BR5" s="68" t="str">
        <f>'情報オブジェクト'!C70</f>
        <v>患者・被験者</v>
      </c>
      <c r="BS5" s="68" t="str">
        <f>'情報オブジェクト'!C71</f>
        <v>当局コミュニケーション記録</v>
      </c>
      <c r="BT5" s="68" t="str">
        <f>'情報オブジェクト'!C72</f>
        <v>指定・インセンティブ</v>
      </c>
      <c r="BU5" s="68" t="str">
        <f>'情報オブジェクト'!C73</f>
        <v>IND</v>
      </c>
      <c r="BV5" s="68" t="str">
        <f>'情報オブジェクト'!C74</f>
        <v>申請資料</v>
      </c>
      <c r="BW5" s="68" t="str">
        <f>'情報オブジェクト'!C75</f>
        <v>承認・許可</v>
      </c>
      <c r="BX5" s="68" t="str">
        <f>'情報オブジェクト'!C76</f>
        <v>表示（USPI）</v>
      </c>
      <c r="BY5" s="68" t="str">
        <f>'情報オブジェクト'!C77</f>
        <v>市販後要求・コミットメント（PMR／PMC）</v>
      </c>
      <c r="BZ5" s="68" t="str">
        <f>'情報オブジェクト'!C78</f>
        <v>REMS</v>
      </c>
      <c r="CA5" s="68" t="str">
        <f>'情報オブジェクト'!C79</f>
        <v>査察記録</v>
      </c>
      <c r="CB5" s="68" t="str">
        <f>'情報オブジェクト'!C80</f>
        <v>当局年次報告</v>
      </c>
      <c r="CC5" s="68" t="str">
        <f>'情報オブジェクト'!C81</f>
        <v>有害事象症例</v>
      </c>
      <c r="CD5" s="68" t="str">
        <f>'情報オブジェクト'!C82</f>
        <v>安全性シグナル評価</v>
      </c>
      <c r="CE5" s="68" t="str">
        <f>'情報オブジェクト'!C83</f>
        <v>安全性報告</v>
      </c>
      <c r="CF5" s="68" t="str">
        <f>'情報オブジェクト'!C84</f>
        <v>価格</v>
      </c>
      <c r="CG5" s="68" t="str">
        <f>'情報オブジェクト'!C85</f>
        <v>保険者契約</v>
      </c>
      <c r="CH5" s="68" t="str">
        <f>'情報オブジェクト'!C86</f>
        <v>償還コード</v>
      </c>
      <c r="CI5" s="68" t="str">
        <f>'情報オブジェクト'!C87</f>
        <v>患者支援ケース</v>
      </c>
      <c r="CJ5" s="68" t="str">
        <f>'情報オブジェクト'!C88</f>
        <v>販促・医療情報資材</v>
      </c>
      <c r="CK5" s="68" t="str">
        <f>'情報オブジェクト'!C89</f>
        <v>医療機関・医療従事者マスタ</v>
      </c>
      <c r="CL5" s="68" t="str">
        <f>'情報オブジェクト'!C90</f>
        <v>教育記録</v>
      </c>
      <c r="CM5" s="68" t="str">
        <f>'情報オブジェクト'!C91</f>
        <v>政府価格報告</v>
      </c>
      <c r="CN5" s="68" t="str">
        <f>'情報オブジェクト'!C92</f>
        <v>Medicare価格交渉対象判定</v>
      </c>
      <c r="CO5" s="68" t="str">
        <f>'情報オブジェクト'!C93</f>
        <v>需給計画</v>
      </c>
      <c r="CP5" s="68" t="str">
        <f>'情報オブジェクト'!C94</f>
        <v>在庫</v>
      </c>
      <c r="CQ5" s="68" t="str">
        <f>'情報オブジェクト'!C95</f>
        <v>受注・出荷</v>
      </c>
      <c r="CR5" s="68" t="str">
        <f>'情報オブジェクト'!C96</f>
        <v>温度記録</v>
      </c>
      <c r="CS5" s="68" t="str">
        <f>'情報オブジェクト'!C97</f>
        <v>製品識別子・取引情報（DSCSA）</v>
      </c>
      <c r="CT5" s="68" t="str">
        <f>'情報オブジェクト'!C98</f>
        <v>回収記録</v>
      </c>
      <c r="CU5" s="68" t="str">
        <f>'情報オブジェクト'!C99</f>
        <v>供給継続計画</v>
      </c>
      <c r="CV5" s="67"/>
      <c r="CW5" s="67"/>
    </row>
    <row r="6">
      <c r="A6" s="69" t="s">
        <v>2314</v>
      </c>
      <c r="B6" s="54" t="s">
        <v>42</v>
      </c>
      <c r="C6" s="70" t="str">
        <f t="array" ref="C6">IFERROR(INDEX('ケイパビリティマップ'!$E:$E,MATCH(B6,'ケイパビリティマップ'!$A:$A,0)),"（IDなし）")</f>
        <v>研究開発ポートフォリオ管理</v>
      </c>
      <c r="D6" s="71" t="s">
        <v>2321</v>
      </c>
      <c r="E6" s="71" t="s">
        <v>2321</v>
      </c>
      <c r="F6" s="71" t="s">
        <v>2322</v>
      </c>
      <c r="G6" s="71"/>
      <c r="H6" s="71"/>
      <c r="I6" s="71" t="s">
        <v>2321</v>
      </c>
      <c r="J6" s="71"/>
      <c r="K6" s="71"/>
      <c r="L6" s="71"/>
      <c r="M6" s="71"/>
      <c r="N6" s="71"/>
      <c r="O6" s="71"/>
      <c r="P6" s="71" t="s">
        <v>2322</v>
      </c>
      <c r="Q6" s="71"/>
      <c r="R6" s="71" t="s">
        <v>2322</v>
      </c>
      <c r="S6" s="71" t="s">
        <v>2322</v>
      </c>
      <c r="T6" s="71" t="s">
        <v>2321</v>
      </c>
      <c r="U6" s="71" t="s">
        <v>2322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61">
        <f t="shared" ref="CV6:CV58" si="1">COUNTIF(D6:CU6,"C")</f>
        <v>4</v>
      </c>
      <c r="CW6" s="61">
        <f t="shared" ref="CW6:CW58" si="2">COUNTIF(D6:CU6,"R")</f>
        <v>5</v>
      </c>
    </row>
    <row r="7">
      <c r="A7" s="69"/>
      <c r="B7" s="54" t="s">
        <v>92</v>
      </c>
      <c r="C7" s="70" t="str">
        <f t="array" ref="C7">IFERROR(INDEX('ケイパビリティマップ'!$E:$E,MATCH(B7,'ケイパビリティマップ'!$A:$A,0)),"（IDなし）")</f>
        <v>知財・独占期間管理</v>
      </c>
      <c r="D7" s="71"/>
      <c r="E7" s="71"/>
      <c r="F7" s="71" t="s">
        <v>2321</v>
      </c>
      <c r="G7" s="71"/>
      <c r="H7" s="71"/>
      <c r="I7" s="71"/>
      <c r="J7" s="71"/>
      <c r="K7" s="71"/>
      <c r="L7" s="71"/>
      <c r="M7" s="71"/>
      <c r="N7" s="71"/>
      <c r="O7" s="71" t="s">
        <v>2322</v>
      </c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 t="s">
        <v>2322</v>
      </c>
      <c r="BU7" s="71"/>
      <c r="BV7" s="71"/>
      <c r="BW7" s="71" t="s">
        <v>2322</v>
      </c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61">
        <f t="shared" si="1"/>
        <v>1</v>
      </c>
      <c r="CW7" s="61">
        <f t="shared" si="2"/>
        <v>3</v>
      </c>
    </row>
    <row r="8">
      <c r="A8" s="69"/>
      <c r="B8" s="54" t="s">
        <v>133</v>
      </c>
      <c r="C8" s="70" t="str">
        <f t="array" ref="C8">IFERROR(INDEX('ケイパビリティマップ'!$E:$E,MATCH(B8,'ケイパビリティマップ'!$A:$A,0)),"（IDなし）")</f>
        <v>外部パートナー管理</v>
      </c>
      <c r="D8" s="71"/>
      <c r="E8" s="71"/>
      <c r="F8" s="71"/>
      <c r="G8" s="71" t="s">
        <v>2321</v>
      </c>
      <c r="H8" s="71" t="s">
        <v>2321</v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61">
        <f t="shared" si="1"/>
        <v>2</v>
      </c>
      <c r="CW8" s="61">
        <f t="shared" si="2"/>
        <v>0</v>
      </c>
    </row>
    <row r="9">
      <c r="A9" s="69" t="s">
        <v>2384</v>
      </c>
      <c r="B9" s="54" t="s">
        <v>188</v>
      </c>
      <c r="C9" s="70" t="str">
        <f t="array" ref="C9">IFERROR(INDEX('ケイパビリティマップ'!$E:$E,MATCH(B9,'ケイパビリティマップ'!$A:$A,0)),"（IDなし）")</f>
        <v>疾患・標的研究★</v>
      </c>
      <c r="D9" s="71"/>
      <c r="E9" s="71" t="s">
        <v>2321</v>
      </c>
      <c r="F9" s="71" t="s">
        <v>2322</v>
      </c>
      <c r="G9" s="71"/>
      <c r="H9" s="71"/>
      <c r="I9" s="71" t="s">
        <v>2321</v>
      </c>
      <c r="J9" s="71" t="s">
        <v>2322</v>
      </c>
      <c r="K9" s="71" t="s">
        <v>2321</v>
      </c>
      <c r="L9" s="71" t="s">
        <v>2321</v>
      </c>
      <c r="M9" s="71"/>
      <c r="N9" s="71"/>
      <c r="O9" s="71"/>
      <c r="P9" s="71" t="s">
        <v>2321</v>
      </c>
      <c r="Q9" s="71"/>
      <c r="R9" s="71"/>
      <c r="S9" s="71"/>
      <c r="T9" s="71" t="s">
        <v>2321</v>
      </c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61">
        <f t="shared" si="1"/>
        <v>6</v>
      </c>
      <c r="CW9" s="61">
        <f t="shared" si="2"/>
        <v>2</v>
      </c>
    </row>
    <row r="10">
      <c r="A10" s="69"/>
      <c r="B10" s="54" t="s">
        <v>212</v>
      </c>
      <c r="C10" s="70" t="str">
        <f t="array" ref="C10">IFERROR(INDEX('ケイパビリティマップ'!$E:$E,MATCH(B10,'ケイパビリティマップ'!$A:$A,0)),"（IDなし）")</f>
        <v>抗体創出</v>
      </c>
      <c r="D10" s="71"/>
      <c r="E10" s="71" t="s">
        <v>2321</v>
      </c>
      <c r="F10" s="71"/>
      <c r="G10" s="71"/>
      <c r="H10" s="71"/>
      <c r="I10" s="71"/>
      <c r="J10" s="71"/>
      <c r="K10" s="71"/>
      <c r="L10" s="71" t="s">
        <v>2322</v>
      </c>
      <c r="M10" s="71" t="s">
        <v>2321</v>
      </c>
      <c r="N10" s="71" t="s">
        <v>2321</v>
      </c>
      <c r="O10" s="71" t="s">
        <v>2321</v>
      </c>
      <c r="P10" s="71" t="s">
        <v>2321</v>
      </c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61">
        <f t="shared" si="1"/>
        <v>5</v>
      </c>
      <c r="CW10" s="61">
        <f t="shared" si="2"/>
        <v>1</v>
      </c>
    </row>
    <row r="11">
      <c r="A11" s="69"/>
      <c r="B11" s="54" t="s">
        <v>233</v>
      </c>
      <c r="C11" s="70" t="str">
        <f t="array" ref="C11">IFERROR(INDEX('ケイパビリティマップ'!$E:$E,MATCH(B11,'ケイパビリティマップ'!$A:$A,0)),"（IDなし）")</f>
        <v>抗体エンジニアリング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 t="s">
        <v>2321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61">
        <f t="shared" si="1"/>
        <v>1</v>
      </c>
      <c r="CW11" s="61">
        <f t="shared" si="2"/>
        <v>0</v>
      </c>
    </row>
    <row r="12">
      <c r="A12" s="69"/>
      <c r="B12" s="54" t="s">
        <v>247</v>
      </c>
      <c r="C12" s="70" t="str">
        <f t="array" ref="C12">IFERROR(INDEX('ケイパビリティマップ'!$E:$E,MATCH(B12,'ケイパビリティマップ'!$A:$A,0)),"（IDなし）")</f>
        <v>疾患モデル・薬効評価</v>
      </c>
      <c r="D12" s="71"/>
      <c r="E12" s="71"/>
      <c r="F12" s="71"/>
      <c r="G12" s="71"/>
      <c r="H12" s="71"/>
      <c r="I12" s="71"/>
      <c r="J12" s="71"/>
      <c r="K12" s="71" t="s">
        <v>2322</v>
      </c>
      <c r="L12" s="71"/>
      <c r="M12" s="71"/>
      <c r="N12" s="71"/>
      <c r="O12" s="71" t="s">
        <v>2322</v>
      </c>
      <c r="P12" s="71"/>
      <c r="Q12" s="71" t="s">
        <v>2321</v>
      </c>
      <c r="R12" s="71" t="s">
        <v>2321</v>
      </c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61">
        <f t="shared" si="1"/>
        <v>2</v>
      </c>
      <c r="CW12" s="61">
        <f t="shared" si="2"/>
        <v>2</v>
      </c>
    </row>
    <row r="13">
      <c r="A13" s="69"/>
      <c r="B13" s="54" t="s">
        <v>267</v>
      </c>
      <c r="C13" s="70" t="str">
        <f t="array" ref="C13">IFERROR(INDEX('ケイパビリティマップ'!$E:$E,MATCH(B13,'ケイパビリティマップ'!$A:$A,0)),"（IDなし）")</f>
        <v>開発適性・免疫原性リスク評価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 t="s">
        <v>2322</v>
      </c>
      <c r="P13" s="71" t="s">
        <v>2321</v>
      </c>
      <c r="Q13" s="71"/>
      <c r="R13" s="71"/>
      <c r="S13" s="71" t="s">
        <v>2321</v>
      </c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61">
        <f t="shared" si="1"/>
        <v>2</v>
      </c>
      <c r="CW13" s="61">
        <f t="shared" si="2"/>
        <v>1</v>
      </c>
    </row>
    <row r="14">
      <c r="A14" s="69" t="s">
        <v>2443</v>
      </c>
      <c r="B14" s="54" t="s">
        <v>284</v>
      </c>
      <c r="C14" s="70" t="str">
        <f t="array" ref="C14">IFERROR(INDEX('ケイパビリティマップ'!$E:$E,MATCH(B14,'ケイパビリティマップ'!$A:$A,0)),"（IDなし）")</f>
        <v>非臨床薬理評価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 t="s">
        <v>2322</v>
      </c>
      <c r="P14" s="71" t="s">
        <v>2322</v>
      </c>
      <c r="Q14" s="71" t="s">
        <v>2322</v>
      </c>
      <c r="R14" s="71"/>
      <c r="S14" s="71"/>
      <c r="T14" s="71"/>
      <c r="U14" s="71"/>
      <c r="V14" s="71" t="s">
        <v>2322</v>
      </c>
      <c r="W14" s="71" t="s">
        <v>2321</v>
      </c>
      <c r="X14" s="71" t="s">
        <v>2321</v>
      </c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61">
        <f t="shared" si="1"/>
        <v>2</v>
      </c>
      <c r="CW14" s="61">
        <f t="shared" si="2"/>
        <v>4</v>
      </c>
    </row>
    <row r="15">
      <c r="A15" s="69"/>
      <c r="B15" s="54" t="s">
        <v>298</v>
      </c>
      <c r="C15" s="70" t="str">
        <f t="array" ref="C15">IFERROR(INDEX('ケイパビリティマップ'!$E:$E,MATCH(B15,'ケイパビリティマップ'!$A:$A,0)),"（IDなし）")</f>
        <v>非臨床安全性評価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 t="s">
        <v>2322</v>
      </c>
      <c r="P15" s="71" t="s">
        <v>2322</v>
      </c>
      <c r="Q15" s="71"/>
      <c r="R15" s="71"/>
      <c r="S15" s="71"/>
      <c r="T15" s="71"/>
      <c r="U15" s="71"/>
      <c r="V15" s="71" t="s">
        <v>2321</v>
      </c>
      <c r="W15" s="71" t="s">
        <v>2321</v>
      </c>
      <c r="X15" s="71" t="s">
        <v>2321</v>
      </c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 t="s">
        <v>2322</v>
      </c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61">
        <f t="shared" si="1"/>
        <v>3</v>
      </c>
      <c r="CW15" s="61">
        <f t="shared" si="2"/>
        <v>3</v>
      </c>
    </row>
    <row r="16">
      <c r="A16" s="69"/>
      <c r="B16" s="54" t="s">
        <v>318</v>
      </c>
      <c r="C16" s="70" t="str">
        <f t="array" ref="C16">IFERROR(INDEX('ケイパビリティマップ'!$E:$E,MATCH(B16,'ケイパビリティマップ'!$A:$A,0)),"（IDなし）")</f>
        <v>バイオアナリシス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 t="s">
        <v>2322</v>
      </c>
      <c r="P16" s="71"/>
      <c r="Q16" s="71"/>
      <c r="R16" s="71"/>
      <c r="S16" s="71"/>
      <c r="T16" s="71"/>
      <c r="U16" s="71"/>
      <c r="V16" s="71" t="s">
        <v>2322</v>
      </c>
      <c r="W16" s="71" t="s">
        <v>2321</v>
      </c>
      <c r="X16" s="71"/>
      <c r="Y16" s="71" t="s">
        <v>2321</v>
      </c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 t="s">
        <v>2322</v>
      </c>
      <c r="BI16" s="71" t="s">
        <v>2321</v>
      </c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61">
        <f t="shared" si="1"/>
        <v>3</v>
      </c>
      <c r="CW16" s="61">
        <f t="shared" si="2"/>
        <v>3</v>
      </c>
    </row>
    <row r="17">
      <c r="A17" s="69"/>
      <c r="B17" s="54" t="s">
        <v>338</v>
      </c>
      <c r="C17" s="70" t="str">
        <f t="array" ref="C17">IFERROR(INDEX('ケイパビリティマップ'!$E:$E,MATCH(B17,'ケイパビリティマップ'!$A:$A,0)),"（IDなし）")</f>
        <v>臨床薬理・ファーマコメトリクス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 t="s">
        <v>2322</v>
      </c>
      <c r="X17" s="71" t="s">
        <v>2322</v>
      </c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 t="s">
        <v>2322</v>
      </c>
      <c r="BJ17" s="71" t="s">
        <v>2322</v>
      </c>
      <c r="BK17" s="71"/>
      <c r="BL17" s="71"/>
      <c r="BM17" s="71" t="s">
        <v>2321</v>
      </c>
      <c r="BN17" s="71"/>
      <c r="BO17" s="71"/>
      <c r="BP17" s="71" t="s">
        <v>2321</v>
      </c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61">
        <f t="shared" si="1"/>
        <v>2</v>
      </c>
      <c r="CW17" s="61">
        <f t="shared" si="2"/>
        <v>4</v>
      </c>
    </row>
    <row r="18">
      <c r="A18" s="69" t="s">
        <v>2486</v>
      </c>
      <c r="B18" s="54" t="s">
        <v>352</v>
      </c>
      <c r="C18" s="70" t="str">
        <f t="array" ref="C18">IFERROR(INDEX('ケイパビリティマップ'!$E:$E,MATCH(B18,'ケイパビリティマップ'!$A:$A,0)),"（IDなし）")</f>
        <v>細胞株開発・セルバンク管理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 t="s">
        <v>2322</v>
      </c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 t="s">
        <v>2321</v>
      </c>
      <c r="AA18" s="71" t="s">
        <v>2321</v>
      </c>
      <c r="AB18" s="71"/>
      <c r="AC18" s="71" t="s">
        <v>2321</v>
      </c>
      <c r="AD18" s="71"/>
      <c r="AE18" s="71"/>
      <c r="AF18" s="71"/>
      <c r="AG18" s="71"/>
      <c r="AH18" s="71"/>
      <c r="AI18" s="71"/>
      <c r="AJ18" s="71"/>
      <c r="AK18" s="71" t="s">
        <v>2321</v>
      </c>
      <c r="AL18" s="71"/>
      <c r="AM18" s="71"/>
      <c r="AN18" s="71"/>
      <c r="AO18" s="71" t="s">
        <v>2321</v>
      </c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61">
        <f t="shared" si="1"/>
        <v>5</v>
      </c>
      <c r="CW18" s="61">
        <f t="shared" si="2"/>
        <v>1</v>
      </c>
    </row>
    <row r="19">
      <c r="A19" s="69"/>
      <c r="B19" s="54" t="s">
        <v>397</v>
      </c>
      <c r="C19" s="70" t="str">
        <f t="array" ref="C19">IFERROR(INDEX('ケイパビリティマップ'!$E:$E,MATCH(B19,'ケイパビリティマップ'!$A:$A,0)),"（IDなし）")</f>
        <v>原薬プロセス開発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 t="s">
        <v>2322</v>
      </c>
      <c r="AA19" s="71"/>
      <c r="AB19" s="71" t="s">
        <v>2321</v>
      </c>
      <c r="AC19" s="71" t="s">
        <v>2321</v>
      </c>
      <c r="AD19" s="71"/>
      <c r="AE19" s="71" t="s">
        <v>2322</v>
      </c>
      <c r="AF19" s="71"/>
      <c r="AG19" s="71"/>
      <c r="AH19" s="71" t="s">
        <v>2322</v>
      </c>
      <c r="AI19" s="71" t="s">
        <v>2321</v>
      </c>
      <c r="AJ19" s="71"/>
      <c r="AK19" s="71" t="s">
        <v>2321</v>
      </c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61">
        <f t="shared" si="1"/>
        <v>4</v>
      </c>
      <c r="CW19" s="61">
        <f t="shared" si="2"/>
        <v>3</v>
      </c>
    </row>
    <row r="20">
      <c r="A20" s="69"/>
      <c r="B20" s="54" t="s">
        <v>413</v>
      </c>
      <c r="C20" s="70" t="str">
        <f t="array" ref="C20">IFERROR(INDEX('ケイパビリティマップ'!$E:$E,MATCH(B20,'ケイパビリティマップ'!$A:$A,0)),"（IDなし）")</f>
        <v>製剤・デバイス開発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 t="s">
        <v>2322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 t="s">
        <v>2321</v>
      </c>
      <c r="AE20" s="71"/>
      <c r="AF20" s="71" t="s">
        <v>2322</v>
      </c>
      <c r="AG20" s="71"/>
      <c r="AH20" s="71"/>
      <c r="AI20" s="71"/>
      <c r="AJ20" s="71" t="s">
        <v>2321</v>
      </c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61">
        <f t="shared" si="1"/>
        <v>2</v>
      </c>
      <c r="CW20" s="61">
        <f t="shared" si="2"/>
        <v>2</v>
      </c>
    </row>
    <row r="21" ht="15.75" customHeight="1">
      <c r="A21" s="69"/>
      <c r="B21" s="54" t="s">
        <v>431</v>
      </c>
      <c r="C21" s="70" t="str">
        <f t="array" ref="C21">IFERROR(INDEX('ケイパビリティマップ'!$E:$E,MATCH(B21,'ケイパビリティマップ'!$A:$A,0)),"（IDなし）")</f>
        <v>分析法開発・品質特性評価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 t="s">
        <v>2322</v>
      </c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 t="s">
        <v>2322</v>
      </c>
      <c r="AC21" s="71" t="s">
        <v>2322</v>
      </c>
      <c r="AD21" s="71"/>
      <c r="AE21" s="71" t="s">
        <v>2321</v>
      </c>
      <c r="AF21" s="71" t="s">
        <v>2321</v>
      </c>
      <c r="AG21" s="71" t="s">
        <v>2321</v>
      </c>
      <c r="AH21" s="71" t="s">
        <v>2321</v>
      </c>
      <c r="AI21" s="71"/>
      <c r="AJ21" s="71" t="s">
        <v>2322</v>
      </c>
      <c r="AK21" s="71" t="s">
        <v>2321</v>
      </c>
      <c r="AL21" s="71"/>
      <c r="AM21" s="71"/>
      <c r="AN21" s="71"/>
      <c r="AO21" s="71"/>
      <c r="AP21" s="71" t="s">
        <v>2322</v>
      </c>
      <c r="AQ21" s="71"/>
      <c r="AR21" s="71" t="s">
        <v>2322</v>
      </c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61">
        <f t="shared" si="1"/>
        <v>5</v>
      </c>
      <c r="CW21" s="61">
        <f t="shared" si="2"/>
        <v>6</v>
      </c>
    </row>
    <row r="22" ht="15.75" customHeight="1">
      <c r="A22" s="69"/>
      <c r="B22" s="54" t="s">
        <v>445</v>
      </c>
      <c r="C22" s="70" t="str">
        <f t="array" ref="C22">IFERROR(INDEX('ケイパビリティマップ'!$E:$E,MATCH(B22,'ケイパビリティマップ'!$A:$A,0)),"（IDなし）")</f>
        <v>技術移転・製造規模管理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 t="s">
        <v>2322</v>
      </c>
      <c r="V22" s="71"/>
      <c r="W22" s="71"/>
      <c r="X22" s="71"/>
      <c r="Y22" s="71"/>
      <c r="Z22" s="71"/>
      <c r="AA22" s="71" t="s">
        <v>2322</v>
      </c>
      <c r="AB22" s="71" t="s">
        <v>2321</v>
      </c>
      <c r="AC22" s="71"/>
      <c r="AD22" s="71"/>
      <c r="AE22" s="71"/>
      <c r="AF22" s="71" t="s">
        <v>2322</v>
      </c>
      <c r="AG22" s="71"/>
      <c r="AH22" s="71"/>
      <c r="AI22" s="71" t="s">
        <v>2322</v>
      </c>
      <c r="AJ22" s="71"/>
      <c r="AK22" s="71" t="s">
        <v>2321</v>
      </c>
      <c r="AL22" s="71" t="s">
        <v>2321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61">
        <f t="shared" si="1"/>
        <v>3</v>
      </c>
      <c r="CW22" s="61">
        <f t="shared" si="2"/>
        <v>4</v>
      </c>
    </row>
    <row r="23" ht="15.75" customHeight="1">
      <c r="A23" s="69" t="s">
        <v>2531</v>
      </c>
      <c r="B23" s="54" t="s">
        <v>456</v>
      </c>
      <c r="C23" s="70" t="str">
        <f t="array" ref="C23">IFERROR(INDEX('ケイパビリティマップ'!$E:$E,MATCH(B23,'ケイパビリティマップ'!$A:$A,0)),"（IDなし）")</f>
        <v>臨床開発戦略・試験デザイン</v>
      </c>
      <c r="D23" s="71"/>
      <c r="E23" s="71"/>
      <c r="F23" s="71"/>
      <c r="G23" s="71"/>
      <c r="H23" s="71"/>
      <c r="I23" s="71" t="s">
        <v>2322</v>
      </c>
      <c r="J23" s="71" t="s">
        <v>2322</v>
      </c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 t="s">
        <v>2322</v>
      </c>
      <c r="BA23" s="71"/>
      <c r="BB23" s="71"/>
      <c r="BC23" s="71" t="s">
        <v>2321</v>
      </c>
      <c r="BD23" s="71" t="s">
        <v>2321</v>
      </c>
      <c r="BE23" s="71" t="s">
        <v>2321</v>
      </c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 t="s">
        <v>2322</v>
      </c>
      <c r="BQ23" s="71" t="s">
        <v>2321</v>
      </c>
      <c r="BR23" s="71"/>
      <c r="BS23" s="71" t="s">
        <v>2322</v>
      </c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61">
        <f t="shared" si="1"/>
        <v>4</v>
      </c>
      <c r="CW23" s="61">
        <f t="shared" si="2"/>
        <v>5</v>
      </c>
    </row>
    <row r="24" ht="15.75" customHeight="1">
      <c r="A24" s="69"/>
      <c r="B24" s="54" t="s">
        <v>472</v>
      </c>
      <c r="C24" s="70" t="str">
        <f t="array" ref="C24">IFERROR(INDEX('ケイパビリティマップ'!$E:$E,MATCH(B24,'ケイパビリティマップ'!$A:$A,0)),"（IDなし）")</f>
        <v>患者エビデンス管理★</v>
      </c>
      <c r="D24" s="71"/>
      <c r="E24" s="71"/>
      <c r="F24" s="71"/>
      <c r="G24" s="71"/>
      <c r="H24" s="71"/>
      <c r="I24" s="71" t="s">
        <v>2322</v>
      </c>
      <c r="J24" s="71" t="s">
        <v>2322</v>
      </c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 t="s">
        <v>2321</v>
      </c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 t="s">
        <v>2321</v>
      </c>
      <c r="BA24" s="71" t="s">
        <v>2321</v>
      </c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 t="s">
        <v>2321</v>
      </c>
      <c r="BR24" s="71" t="s">
        <v>2321</v>
      </c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61">
        <f t="shared" si="1"/>
        <v>5</v>
      </c>
      <c r="CW24" s="61">
        <f t="shared" si="2"/>
        <v>2</v>
      </c>
    </row>
    <row r="25" ht="15.75" customHeight="1">
      <c r="A25" s="69"/>
      <c r="B25" s="54" t="s">
        <v>485</v>
      </c>
      <c r="C25" s="70" t="str">
        <f t="array" ref="C25">IFERROR(INDEX('ケイパビリティマップ'!$E:$E,MATCH(B25,'ケイパビリティマップ'!$A:$A,0)),"（IDなし）")</f>
        <v>患者特定・組入れ★</v>
      </c>
      <c r="D25" s="71"/>
      <c r="E25" s="71"/>
      <c r="F25" s="71"/>
      <c r="G25" s="71"/>
      <c r="H25" s="71"/>
      <c r="I25" s="71"/>
      <c r="J25" s="71"/>
      <c r="K25" s="71" t="s">
        <v>2322</v>
      </c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 t="s">
        <v>2322</v>
      </c>
      <c r="BB25" s="71" t="s">
        <v>2321</v>
      </c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 t="s">
        <v>2321</v>
      </c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61">
        <f t="shared" si="1"/>
        <v>2</v>
      </c>
      <c r="CW25" s="61">
        <f t="shared" si="2"/>
        <v>2</v>
      </c>
    </row>
    <row r="26" ht="15.75" customHeight="1">
      <c r="A26" s="69"/>
      <c r="B26" s="54" t="s">
        <v>494</v>
      </c>
      <c r="C26" s="70" t="str">
        <f t="array" ref="C26">IFERROR(INDEX('ケイパビリティマップ'!$E:$E,MATCH(B26,'ケイパビリティマップ'!$A:$A,0)),"（IDなし）")</f>
        <v>臨床試験運営</v>
      </c>
      <c r="D26" s="71"/>
      <c r="E26" s="71"/>
      <c r="F26" s="71"/>
      <c r="G26" s="71" t="s">
        <v>2322</v>
      </c>
      <c r="H26" s="71" t="s">
        <v>2321</v>
      </c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 t="s">
        <v>2322</v>
      </c>
      <c r="BC26" s="71"/>
      <c r="BD26" s="71" t="s">
        <v>2321</v>
      </c>
      <c r="BE26" s="71"/>
      <c r="BF26" s="71" t="s">
        <v>2321</v>
      </c>
      <c r="BG26" s="71" t="s">
        <v>2321</v>
      </c>
      <c r="BH26" s="71" t="s">
        <v>2321</v>
      </c>
      <c r="BI26" s="71" t="s">
        <v>2321</v>
      </c>
      <c r="BJ26" s="71"/>
      <c r="BK26" s="71"/>
      <c r="BL26" s="71" t="s">
        <v>2321</v>
      </c>
      <c r="BM26" s="71"/>
      <c r="BN26" s="71"/>
      <c r="BO26" s="71" t="s">
        <v>2322</v>
      </c>
      <c r="BP26" s="71"/>
      <c r="BQ26" s="71" t="s">
        <v>2321</v>
      </c>
      <c r="BR26" s="71" t="s">
        <v>2321</v>
      </c>
      <c r="BS26" s="71"/>
      <c r="BT26" s="71"/>
      <c r="BU26" s="71"/>
      <c r="BV26" s="71" t="s">
        <v>2321</v>
      </c>
      <c r="BW26" s="71"/>
      <c r="BX26" s="71"/>
      <c r="BY26" s="71" t="s">
        <v>2322</v>
      </c>
      <c r="BZ26" s="71"/>
      <c r="CA26" s="71"/>
      <c r="CB26" s="71"/>
      <c r="CC26" s="71" t="s">
        <v>2321</v>
      </c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61">
        <f t="shared" si="1"/>
        <v>11</v>
      </c>
      <c r="CW26" s="61">
        <f t="shared" si="2"/>
        <v>4</v>
      </c>
    </row>
    <row r="27" ht="15.75" customHeight="1">
      <c r="A27" s="69"/>
      <c r="B27" s="54" t="s">
        <v>510</v>
      </c>
      <c r="C27" s="70" t="str">
        <f t="array" ref="C27">IFERROR(INDEX('ケイパビリティマップ'!$E:$E,MATCH(B27,'ケイパビリティマップ'!$A:$A,0)),"（IDなし）")</f>
        <v>臨床データマネジメント・統計解析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 t="s">
        <v>2322</v>
      </c>
      <c r="Y27" s="71"/>
      <c r="Z27" s="71"/>
      <c r="AA27" s="71"/>
      <c r="AB27" s="71"/>
      <c r="AC27" s="71"/>
      <c r="AD27" s="71"/>
      <c r="AE27" s="71"/>
      <c r="AF27" s="71"/>
      <c r="AG27" s="71"/>
      <c r="AH27" s="71" t="s">
        <v>2322</v>
      </c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 t="s">
        <v>2322</v>
      </c>
      <c r="BA27" s="71"/>
      <c r="BB27" s="71"/>
      <c r="BC27" s="71"/>
      <c r="BD27" s="71"/>
      <c r="BE27" s="71" t="s">
        <v>2321</v>
      </c>
      <c r="BF27" s="71"/>
      <c r="BG27" s="71"/>
      <c r="BH27" s="71" t="s">
        <v>2321</v>
      </c>
      <c r="BI27" s="71" t="s">
        <v>2322</v>
      </c>
      <c r="BJ27" s="71" t="s">
        <v>2321</v>
      </c>
      <c r="BK27" s="71" t="s">
        <v>2321</v>
      </c>
      <c r="BL27" s="71" t="s">
        <v>2321</v>
      </c>
      <c r="BM27" s="71" t="s">
        <v>2321</v>
      </c>
      <c r="BN27" s="71"/>
      <c r="BO27" s="71"/>
      <c r="BP27" s="71"/>
      <c r="BQ27" s="71" t="s">
        <v>2322</v>
      </c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 t="s">
        <v>2322</v>
      </c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61">
        <f t="shared" si="1"/>
        <v>6</v>
      </c>
      <c r="CW27" s="61">
        <f t="shared" si="2"/>
        <v>6</v>
      </c>
    </row>
    <row r="28" ht="15.75" customHeight="1">
      <c r="A28" s="69"/>
      <c r="B28" s="54" t="s">
        <v>532</v>
      </c>
      <c r="C28" s="70" t="str">
        <f t="array" ref="C28">IFERROR(INDEX('ケイパビリティマップ'!$E:$E,MATCH(B28,'ケイパビリティマップ'!$A:$A,0)),"（IDなし）")</f>
        <v>治験薬供給管理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 t="s">
        <v>2322</v>
      </c>
      <c r="AQ28" s="71"/>
      <c r="AR28" s="71"/>
      <c r="AS28" s="71"/>
      <c r="AT28" s="71"/>
      <c r="AU28" s="71"/>
      <c r="AV28" s="71"/>
      <c r="AW28" s="71"/>
      <c r="AX28" s="71"/>
      <c r="AY28" s="71" t="s">
        <v>2321</v>
      </c>
      <c r="AZ28" s="71"/>
      <c r="BA28" s="71"/>
      <c r="BB28" s="71"/>
      <c r="BC28" s="71"/>
      <c r="BD28" s="71" t="s">
        <v>2322</v>
      </c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 t="s">
        <v>2321</v>
      </c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61">
        <f t="shared" si="1"/>
        <v>2</v>
      </c>
      <c r="CW28" s="61">
        <f t="shared" si="2"/>
        <v>2</v>
      </c>
    </row>
    <row r="29" ht="15.75" customHeight="1">
      <c r="A29" s="69" t="s">
        <v>2572</v>
      </c>
      <c r="B29" s="54" t="s">
        <v>551</v>
      </c>
      <c r="C29" s="70" t="str">
        <f t="array" ref="C29">IFERROR(INDEX('ケイパビリティマップ'!$E:$E,MATCH(B29,'ケイパビリティマップ'!$A:$A,0)),"（IDなし）")</f>
        <v>薬事戦略・当局対応</v>
      </c>
      <c r="D29" s="71" t="s">
        <v>2321</v>
      </c>
      <c r="E29" s="71" t="s">
        <v>2321</v>
      </c>
      <c r="F29" s="71"/>
      <c r="G29" s="71"/>
      <c r="H29" s="71"/>
      <c r="I29" s="71" t="s">
        <v>2322</v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 t="s">
        <v>2322</v>
      </c>
      <c r="V29" s="71"/>
      <c r="W29" s="71"/>
      <c r="X29" s="71" t="s">
        <v>2322</v>
      </c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 t="s">
        <v>2322</v>
      </c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 t="s">
        <v>2322</v>
      </c>
      <c r="BA29" s="71"/>
      <c r="BB29" s="71"/>
      <c r="BC29" s="71" t="s">
        <v>2322</v>
      </c>
      <c r="BD29" s="71"/>
      <c r="BE29" s="71" t="s">
        <v>2322</v>
      </c>
      <c r="BF29" s="71"/>
      <c r="BG29" s="71"/>
      <c r="BH29" s="71" t="s">
        <v>2322</v>
      </c>
      <c r="BI29" s="71" t="s">
        <v>2322</v>
      </c>
      <c r="BJ29" s="71"/>
      <c r="BK29" s="71"/>
      <c r="BL29" s="71" t="s">
        <v>2322</v>
      </c>
      <c r="BM29" s="71" t="s">
        <v>2322</v>
      </c>
      <c r="BN29" s="71" t="s">
        <v>2322</v>
      </c>
      <c r="BO29" s="71"/>
      <c r="BP29" s="71"/>
      <c r="BQ29" s="71"/>
      <c r="BR29" s="71"/>
      <c r="BS29" s="71" t="s">
        <v>2321</v>
      </c>
      <c r="BT29" s="71" t="s">
        <v>2321</v>
      </c>
      <c r="BU29" s="71" t="s">
        <v>2322</v>
      </c>
      <c r="BV29" s="71" t="s">
        <v>2321</v>
      </c>
      <c r="BW29" s="71" t="s">
        <v>2321</v>
      </c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61">
        <f t="shared" si="1"/>
        <v>6</v>
      </c>
      <c r="CW29" s="61">
        <f t="shared" si="2"/>
        <v>13</v>
      </c>
    </row>
    <row r="30" ht="15.75" customHeight="1">
      <c r="A30" s="69"/>
      <c r="B30" s="54" t="s">
        <v>563</v>
      </c>
      <c r="C30" s="70" t="str">
        <f t="array" ref="C30">IFERROR(INDEX('ケイパビリティマップ'!$E:$E,MATCH(B30,'ケイパビリティマップ'!$A:$A,0)),"（IDなし）")</f>
        <v>申請資料作成・管理</v>
      </c>
      <c r="D30" s="71"/>
      <c r="E30" s="71"/>
      <c r="F30" s="71"/>
      <c r="G30" s="71"/>
      <c r="H30" s="71"/>
      <c r="I30" s="71" t="s">
        <v>2321</v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 t="s">
        <v>2322</v>
      </c>
      <c r="Y30" s="71"/>
      <c r="Z30" s="71"/>
      <c r="AA30" s="71"/>
      <c r="AB30" s="71" t="s">
        <v>2322</v>
      </c>
      <c r="AC30" s="71"/>
      <c r="AD30" s="71" t="s">
        <v>2322</v>
      </c>
      <c r="AE30" s="71"/>
      <c r="AF30" s="71"/>
      <c r="AG30" s="71"/>
      <c r="AH30" s="71" t="s">
        <v>2322</v>
      </c>
      <c r="AI30" s="71" t="s">
        <v>2322</v>
      </c>
      <c r="AJ30" s="71" t="s">
        <v>2322</v>
      </c>
      <c r="AK30" s="71" t="s">
        <v>2322</v>
      </c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 t="s">
        <v>2322</v>
      </c>
      <c r="AW30" s="71"/>
      <c r="AX30" s="71"/>
      <c r="AY30" s="71"/>
      <c r="AZ30" s="71"/>
      <c r="BA30" s="71"/>
      <c r="BB30" s="71"/>
      <c r="BC30" s="71"/>
      <c r="BD30" s="71" t="s">
        <v>2322</v>
      </c>
      <c r="BE30" s="71" t="s">
        <v>2322</v>
      </c>
      <c r="BF30" s="71"/>
      <c r="BG30" s="71"/>
      <c r="BH30" s="71"/>
      <c r="BI30" s="71"/>
      <c r="BJ30" s="71"/>
      <c r="BK30" s="71"/>
      <c r="BL30" s="71" t="s">
        <v>2322</v>
      </c>
      <c r="BM30" s="71" t="s">
        <v>2322</v>
      </c>
      <c r="BN30" s="71" t="s">
        <v>2322</v>
      </c>
      <c r="BO30" s="71"/>
      <c r="BP30" s="71"/>
      <c r="BQ30" s="71"/>
      <c r="BR30" s="71"/>
      <c r="BS30" s="71"/>
      <c r="BT30" s="71" t="s">
        <v>2322</v>
      </c>
      <c r="BU30" s="71" t="s">
        <v>2321</v>
      </c>
      <c r="BV30" s="71" t="s">
        <v>2321</v>
      </c>
      <c r="BW30" s="71" t="s">
        <v>2321</v>
      </c>
      <c r="BX30" s="71" t="s">
        <v>2321</v>
      </c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61">
        <f t="shared" si="1"/>
        <v>5</v>
      </c>
      <c r="CW30" s="61">
        <f t="shared" si="2"/>
        <v>14</v>
      </c>
    </row>
    <row r="31" ht="15.75" customHeight="1">
      <c r="A31" s="69"/>
      <c r="B31" s="54" t="s">
        <v>574</v>
      </c>
      <c r="C31" s="70" t="str">
        <f t="array" ref="C31">IFERROR(INDEX('ケイパビリティマップ'!$E:$E,MATCH(B31,'ケイパビリティマップ'!$A:$A,0)),"（IDなし）")</f>
        <v>ラベリング管理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 t="s">
        <v>2321</v>
      </c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 t="s">
        <v>2322</v>
      </c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 t="s">
        <v>2321</v>
      </c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61">
        <f t="shared" si="1"/>
        <v>2</v>
      </c>
      <c r="CW31" s="61">
        <f t="shared" si="2"/>
        <v>1</v>
      </c>
    </row>
    <row r="32" ht="15.75" customHeight="1">
      <c r="A32" s="69"/>
      <c r="B32" s="54" t="s">
        <v>587</v>
      </c>
      <c r="C32" s="70" t="str">
        <f t="array" ref="C32">IFERROR(INDEX('ケイパビリティマップ'!$E:$E,MATCH(B32,'ケイパビリティマップ'!$A:$A,0)),"（IDなし）")</f>
        <v>市販後薬事コンプライアンス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 t="s">
        <v>2322</v>
      </c>
      <c r="AL32" s="71"/>
      <c r="AM32" s="71"/>
      <c r="AN32" s="71"/>
      <c r="AO32" s="71"/>
      <c r="AP32" s="71"/>
      <c r="AQ32" s="71"/>
      <c r="AR32" s="71"/>
      <c r="AS32" s="71"/>
      <c r="AT32" s="71" t="s">
        <v>2322</v>
      </c>
      <c r="AU32" s="71"/>
      <c r="AV32" s="71"/>
      <c r="AW32" s="71"/>
      <c r="AX32" s="71" t="s">
        <v>2322</v>
      </c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 t="s">
        <v>2322</v>
      </c>
      <c r="BO32" s="71"/>
      <c r="BP32" s="71"/>
      <c r="BQ32" s="71"/>
      <c r="BR32" s="71"/>
      <c r="BS32" s="71"/>
      <c r="BT32" s="71"/>
      <c r="BU32" s="71"/>
      <c r="BV32" s="71" t="s">
        <v>2321</v>
      </c>
      <c r="BW32" s="71" t="s">
        <v>2321</v>
      </c>
      <c r="BX32" s="71"/>
      <c r="BY32" s="71" t="s">
        <v>2321</v>
      </c>
      <c r="BZ32" s="71" t="s">
        <v>2321</v>
      </c>
      <c r="CA32" s="71"/>
      <c r="CB32" s="71" t="s">
        <v>2321</v>
      </c>
      <c r="CC32" s="71"/>
      <c r="CD32" s="71" t="s">
        <v>2322</v>
      </c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61">
        <f t="shared" si="1"/>
        <v>5</v>
      </c>
      <c r="CW32" s="61">
        <f t="shared" si="2"/>
        <v>5</v>
      </c>
    </row>
    <row r="33" ht="15.75" customHeight="1">
      <c r="A33" s="69" t="s">
        <v>2573</v>
      </c>
      <c r="B33" s="54" t="s">
        <v>601</v>
      </c>
      <c r="C33" s="70" t="str">
        <f t="array" ref="C33">IFERROR(INDEX('ケイパビリティマップ'!$E:$E,MATCH(B33,'ケイパビリティマップ'!$A:$A,0)),"（IDなし）")</f>
        <v>生産計画・製造実行管理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 t="s">
        <v>2321</v>
      </c>
      <c r="AN33" s="71" t="s">
        <v>2321</v>
      </c>
      <c r="AO33" s="71" t="s">
        <v>2321</v>
      </c>
      <c r="AP33" s="71" t="s">
        <v>2321</v>
      </c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 t="s">
        <v>2322</v>
      </c>
      <c r="CP33" s="71" t="s">
        <v>2322</v>
      </c>
      <c r="CQ33" s="71"/>
      <c r="CR33" s="71"/>
      <c r="CS33" s="71"/>
      <c r="CT33" s="71"/>
      <c r="CU33" s="71"/>
      <c r="CV33" s="61">
        <f t="shared" si="1"/>
        <v>4</v>
      </c>
      <c r="CW33" s="61">
        <f t="shared" si="2"/>
        <v>2</v>
      </c>
    </row>
    <row r="34" ht="15.75" customHeight="1">
      <c r="A34" s="69"/>
      <c r="B34" s="54" t="s">
        <v>617</v>
      </c>
      <c r="C34" s="70" t="str">
        <f t="array" ref="C34">IFERROR(INDEX('ケイパビリティマップ'!$E:$E,MATCH(B34,'ケイパビリティマップ'!$A:$A,0)),"（IDなし）")</f>
        <v>原薬製造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 t="s">
        <v>2322</v>
      </c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 t="s">
        <v>2322</v>
      </c>
      <c r="AM34" s="71" t="s">
        <v>2322</v>
      </c>
      <c r="AN34" s="71" t="s">
        <v>2322</v>
      </c>
      <c r="AO34" s="71" t="s">
        <v>2321</v>
      </c>
      <c r="AP34" s="71" t="s">
        <v>2321</v>
      </c>
      <c r="AQ34" s="71" t="s">
        <v>2321</v>
      </c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 t="s">
        <v>2321</v>
      </c>
      <c r="CQ34" s="71"/>
      <c r="CR34" s="71"/>
      <c r="CS34" s="71"/>
      <c r="CT34" s="71"/>
      <c r="CU34" s="71"/>
      <c r="CV34" s="61">
        <f t="shared" si="1"/>
        <v>4</v>
      </c>
      <c r="CW34" s="61">
        <f t="shared" si="2"/>
        <v>4</v>
      </c>
    </row>
    <row r="35" ht="15.75" customHeight="1">
      <c r="A35" s="69"/>
      <c r="B35" s="54" t="s">
        <v>628</v>
      </c>
      <c r="C35" s="70" t="str">
        <f t="array" ref="C35">IFERROR(INDEX('ケイパビリティマップ'!$E:$E,MATCH(B35,'ケイパビリティマップ'!$A:$A,0)),"（IDなし）")</f>
        <v>製剤化・無菌充填・包装</v>
      </c>
      <c r="D35" s="71" t="s">
        <v>2322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 t="s">
        <v>2322</v>
      </c>
      <c r="AB35" s="71"/>
      <c r="AC35" s="71"/>
      <c r="AD35" s="71" t="s">
        <v>2322</v>
      </c>
      <c r="AE35" s="71"/>
      <c r="AF35" s="71"/>
      <c r="AG35" s="71"/>
      <c r="AH35" s="71"/>
      <c r="AI35" s="71"/>
      <c r="AJ35" s="71"/>
      <c r="AK35" s="71"/>
      <c r="AL35" s="71" t="s">
        <v>2322</v>
      </c>
      <c r="AM35" s="71"/>
      <c r="AN35" s="71" t="s">
        <v>2322</v>
      </c>
      <c r="AO35" s="71" t="s">
        <v>2321</v>
      </c>
      <c r="AP35" s="71" t="s">
        <v>2321</v>
      </c>
      <c r="AQ35" s="71"/>
      <c r="AR35" s="71"/>
      <c r="AS35" s="71"/>
      <c r="AT35" s="71"/>
      <c r="AU35" s="71"/>
      <c r="AV35" s="71"/>
      <c r="AW35" s="71" t="s">
        <v>2321</v>
      </c>
      <c r="AX35" s="71"/>
      <c r="AY35" s="71" t="s">
        <v>2322</v>
      </c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 t="s">
        <v>2321</v>
      </c>
      <c r="CT35" s="71"/>
      <c r="CU35" s="71"/>
      <c r="CV35" s="61">
        <f t="shared" si="1"/>
        <v>4</v>
      </c>
      <c r="CW35" s="61">
        <f t="shared" si="2"/>
        <v>6</v>
      </c>
    </row>
    <row r="36" ht="15.75" customHeight="1">
      <c r="A36" s="69"/>
      <c r="B36" s="54" t="s">
        <v>656</v>
      </c>
      <c r="C36" s="70" t="str">
        <f t="array" ref="C36">IFERROR(INDEX('ケイパビリティマップ'!$E:$E,MATCH(B36,'ケイパビリティマップ'!$A:$A,0)),"（IDなし）")</f>
        <v>設備・環境管理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 t="s">
        <v>2321</v>
      </c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61">
        <f t="shared" si="1"/>
        <v>1</v>
      </c>
      <c r="CW36" s="61">
        <f t="shared" si="2"/>
        <v>0</v>
      </c>
    </row>
    <row r="37" ht="15.75" customHeight="1">
      <c r="A37" s="69" t="s">
        <v>2574</v>
      </c>
      <c r="B37" s="54" t="s">
        <v>665</v>
      </c>
      <c r="C37" s="70" t="str">
        <f t="array" ref="C37">IFERROR(INDEX('ケイパビリティマップ'!$E:$E,MATCH(B37,'ケイパビリティマップ'!$A:$A,0)),"（IDなし）")</f>
        <v>品質管理（試験・安定性）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 t="s">
        <v>2322</v>
      </c>
      <c r="AG37" s="71" t="s">
        <v>2322</v>
      </c>
      <c r="AH37" s="71" t="s">
        <v>2322</v>
      </c>
      <c r="AI37" s="71"/>
      <c r="AJ37" s="71" t="s">
        <v>2321</v>
      </c>
      <c r="AK37" s="71"/>
      <c r="AL37" s="71"/>
      <c r="AM37" s="71"/>
      <c r="AN37" s="71"/>
      <c r="AO37" s="71"/>
      <c r="AP37" s="71" t="s">
        <v>2322</v>
      </c>
      <c r="AQ37" s="71"/>
      <c r="AR37" s="71" t="s">
        <v>2321</v>
      </c>
      <c r="AS37" s="71" t="s">
        <v>2322</v>
      </c>
      <c r="AT37" s="71" t="s">
        <v>2322</v>
      </c>
      <c r="AU37" s="71" t="s">
        <v>2321</v>
      </c>
      <c r="AV37" s="71"/>
      <c r="AW37" s="71"/>
      <c r="AX37" s="71" t="s">
        <v>2321</v>
      </c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61">
        <f t="shared" si="1"/>
        <v>4</v>
      </c>
      <c r="CW37" s="61">
        <f t="shared" si="2"/>
        <v>6</v>
      </c>
    </row>
    <row r="38" ht="15.75" customHeight="1">
      <c r="A38" s="69"/>
      <c r="B38" s="54" t="s">
        <v>681</v>
      </c>
      <c r="C38" s="70" t="str">
        <f t="array" ref="C38">IFERROR(INDEX('ケイパビリティマップ'!$E:$E,MATCH(B38,'ケイパビリティマップ'!$A:$A,0)),"（IDなし）")</f>
        <v>品質保証（出荷判定・逸脱・変更）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 t="s">
        <v>2322</v>
      </c>
      <c r="AG38" s="71" t="s">
        <v>2322</v>
      </c>
      <c r="AH38" s="71" t="s">
        <v>2322</v>
      </c>
      <c r="AI38" s="71"/>
      <c r="AJ38" s="71" t="s">
        <v>2321</v>
      </c>
      <c r="AK38" s="71"/>
      <c r="AL38" s="71"/>
      <c r="AM38" s="71"/>
      <c r="AN38" s="71"/>
      <c r="AO38" s="71" t="s">
        <v>2322</v>
      </c>
      <c r="AP38" s="71" t="s">
        <v>2322</v>
      </c>
      <c r="AQ38" s="71"/>
      <c r="AR38" s="71" t="s">
        <v>2321</v>
      </c>
      <c r="AS38" s="71" t="s">
        <v>2321</v>
      </c>
      <c r="AT38" s="71" t="s">
        <v>2321</v>
      </c>
      <c r="AU38" s="71" t="s">
        <v>2321</v>
      </c>
      <c r="AV38" s="71"/>
      <c r="AW38" s="71"/>
      <c r="AX38" s="71" t="s">
        <v>2321</v>
      </c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 t="s">
        <v>2321</v>
      </c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61">
        <f t="shared" si="1"/>
        <v>7</v>
      </c>
      <c r="CW38" s="61">
        <f t="shared" si="2"/>
        <v>5</v>
      </c>
    </row>
    <row r="39" ht="15.75" customHeight="1">
      <c r="A39" s="69"/>
      <c r="B39" s="54" t="s">
        <v>694</v>
      </c>
      <c r="C39" s="70" t="str">
        <f t="array" ref="C39">IFERROR(INDEX('ケイパビリティマップ'!$E:$E,MATCH(B39,'ケイパビリティマップ'!$A:$A,0)),"（IDなし）")</f>
        <v>バリデーション管理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 t="s">
        <v>2322</v>
      </c>
      <c r="AB39" s="71"/>
      <c r="AC39" s="71"/>
      <c r="AD39" s="71"/>
      <c r="AE39" s="71"/>
      <c r="AF39" s="71"/>
      <c r="AG39" s="71"/>
      <c r="AH39" s="71"/>
      <c r="AI39" s="71" t="s">
        <v>2322</v>
      </c>
      <c r="AJ39" s="71"/>
      <c r="AK39" s="71"/>
      <c r="AL39" s="71" t="s">
        <v>2322</v>
      </c>
      <c r="AM39" s="71"/>
      <c r="AN39" s="71" t="s">
        <v>2322</v>
      </c>
      <c r="AO39" s="71" t="s">
        <v>2321</v>
      </c>
      <c r="AP39" s="71" t="s">
        <v>2321</v>
      </c>
      <c r="AQ39" s="71" t="s">
        <v>2321</v>
      </c>
      <c r="AR39" s="71" t="s">
        <v>2321</v>
      </c>
      <c r="AS39" s="71"/>
      <c r="AT39" s="71"/>
      <c r="AU39" s="71"/>
      <c r="AV39" s="71" t="s">
        <v>2321</v>
      </c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61">
        <f t="shared" si="1"/>
        <v>5</v>
      </c>
      <c r="CW39" s="61">
        <f t="shared" si="2"/>
        <v>4</v>
      </c>
    </row>
    <row r="40" ht="15.75" customHeight="1">
      <c r="A40" s="69"/>
      <c r="B40" s="54" t="s">
        <v>707</v>
      </c>
      <c r="C40" s="70" t="str">
        <f t="array" ref="C40">IFERROR(INDEX('ケイパビリティマップ'!$E:$E,MATCH(B40,'ケイパビリティマップ'!$A:$A,0)),"（IDなし）")</f>
        <v>品質システム・監査管理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 t="s">
        <v>2322</v>
      </c>
      <c r="AL40" s="71"/>
      <c r="AM40" s="71"/>
      <c r="AN40" s="71"/>
      <c r="AO40" s="71" t="s">
        <v>2322</v>
      </c>
      <c r="AP40" s="71"/>
      <c r="AQ40" s="71"/>
      <c r="AR40" s="71"/>
      <c r="AS40" s="71"/>
      <c r="AT40" s="71"/>
      <c r="AU40" s="71"/>
      <c r="AV40" s="71" t="s">
        <v>2322</v>
      </c>
      <c r="AW40" s="71"/>
      <c r="AX40" s="71"/>
      <c r="AY40" s="71"/>
      <c r="AZ40" s="71"/>
      <c r="BA40" s="71"/>
      <c r="BB40" s="71"/>
      <c r="BC40" s="71"/>
      <c r="BD40" s="71"/>
      <c r="BE40" s="71"/>
      <c r="BF40" s="71" t="s">
        <v>2322</v>
      </c>
      <c r="BG40" s="71"/>
      <c r="BH40" s="71" t="s">
        <v>2322</v>
      </c>
      <c r="BI40" s="71"/>
      <c r="BJ40" s="71"/>
      <c r="BK40" s="71"/>
      <c r="BL40" s="71"/>
      <c r="BM40" s="71"/>
      <c r="BN40" s="71"/>
      <c r="BO40" s="71"/>
      <c r="BP40" s="71"/>
      <c r="BQ40" s="71" t="s">
        <v>2322</v>
      </c>
      <c r="BR40" s="71"/>
      <c r="BS40" s="71"/>
      <c r="BT40" s="71"/>
      <c r="BU40" s="71"/>
      <c r="BV40" s="71"/>
      <c r="BW40" s="71"/>
      <c r="BX40" s="71"/>
      <c r="BY40" s="71"/>
      <c r="BZ40" s="71"/>
      <c r="CA40" s="71" t="s">
        <v>2321</v>
      </c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61">
        <f t="shared" si="1"/>
        <v>1</v>
      </c>
      <c r="CW40" s="61">
        <f t="shared" si="2"/>
        <v>6</v>
      </c>
    </row>
    <row r="41" ht="15.75" customHeight="1">
      <c r="A41" s="69" t="s">
        <v>2575</v>
      </c>
      <c r="B41" s="54" t="s">
        <v>723</v>
      </c>
      <c r="C41" s="70" t="str">
        <f t="array" ref="C41">IFERROR(INDEX('ケイパビリティマップ'!$E:$E,MATCH(B41,'ケイパビリティマップ'!$A:$A,0)),"（IDなし）")</f>
        <v>有害事象管理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 t="s">
        <v>2322</v>
      </c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 t="s">
        <v>2321</v>
      </c>
      <c r="CD41" s="71" t="s">
        <v>2322</v>
      </c>
      <c r="CE41" s="71" t="s">
        <v>2321</v>
      </c>
      <c r="CF41" s="71"/>
      <c r="CG41" s="71"/>
      <c r="CH41" s="71"/>
      <c r="CI41" s="71" t="s">
        <v>2322</v>
      </c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61">
        <f t="shared" si="1"/>
        <v>2</v>
      </c>
      <c r="CW41" s="61">
        <f t="shared" si="2"/>
        <v>3</v>
      </c>
    </row>
    <row r="42" ht="15.75" customHeight="1">
      <c r="A42" s="69"/>
      <c r="B42" s="54" t="s">
        <v>740</v>
      </c>
      <c r="C42" s="70" t="str">
        <f t="array" ref="C42">IFERROR(INDEX('ケイパビリティマップ'!$E:$E,MATCH(B42,'ケイパビリティマップ'!$A:$A,0)),"（IDなし）")</f>
        <v>安全性シグナル・リスク管理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 t="s">
        <v>2322</v>
      </c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 t="s">
        <v>2322</v>
      </c>
      <c r="BM42" s="71" t="s">
        <v>2322</v>
      </c>
      <c r="BN42" s="71" t="s">
        <v>2321</v>
      </c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 t="s">
        <v>2321</v>
      </c>
      <c r="BZ42" s="71" t="s">
        <v>2321</v>
      </c>
      <c r="CA42" s="71"/>
      <c r="CB42" s="71"/>
      <c r="CC42" s="71" t="s">
        <v>2322</v>
      </c>
      <c r="CD42" s="71" t="s">
        <v>2321</v>
      </c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61">
        <f t="shared" si="1"/>
        <v>4</v>
      </c>
      <c r="CW42" s="61">
        <f t="shared" si="2"/>
        <v>4</v>
      </c>
    </row>
    <row r="43" ht="15.75" customHeight="1">
      <c r="A43" s="69" t="s">
        <v>2576</v>
      </c>
      <c r="B43" s="54" t="s">
        <v>758</v>
      </c>
      <c r="C43" s="70" t="str">
        <f t="array" ref="C43">IFERROR(INDEX('ケイパビリティマップ'!$E:$E,MATCH(B43,'ケイパビリティマップ'!$A:$A,0)),"（IDなし）")</f>
        <v>患者団体・専門医連携★</v>
      </c>
      <c r="D43" s="71"/>
      <c r="E43" s="71"/>
      <c r="F43" s="71"/>
      <c r="G43" s="71"/>
      <c r="H43" s="71"/>
      <c r="I43" s="71"/>
      <c r="J43" s="71" t="s">
        <v>2321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61">
        <f t="shared" si="1"/>
        <v>1</v>
      </c>
      <c r="CW43" s="61">
        <f t="shared" si="2"/>
        <v>0</v>
      </c>
    </row>
    <row r="44" ht="15.75" customHeight="1">
      <c r="A44" s="69"/>
      <c r="B44" s="54" t="s">
        <v>772</v>
      </c>
      <c r="C44" s="70" t="str">
        <f t="array" ref="C44">IFERROR(INDEX('ケイパビリティマップ'!$E:$E,MATCH(B44,'ケイパビリティマップ'!$A:$A,0)),"（IDなし）")</f>
        <v>メディカルアフェアーズ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61">
        <f t="shared" si="1"/>
        <v>0</v>
      </c>
      <c r="CW44" s="61">
        <f t="shared" si="2"/>
        <v>0</v>
      </c>
    </row>
    <row r="45" ht="15.75" customHeight="1">
      <c r="A45" s="69"/>
      <c r="B45" s="54" t="s">
        <v>785</v>
      </c>
      <c r="C45" s="70" t="str">
        <f t="array" ref="C45">IFERROR(INDEX('ケイパビリティマップ'!$E:$E,MATCH(B45,'ケイパビリティマップ'!$A:$A,0)),"（IDなし）")</f>
        <v>疾患啓発・診断支援★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 t="s">
        <v>2322</v>
      </c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 t="s">
        <v>2321</v>
      </c>
      <c r="CK45" s="71" t="s">
        <v>2321</v>
      </c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61">
        <f t="shared" si="1"/>
        <v>2</v>
      </c>
      <c r="CW45" s="61">
        <f t="shared" si="2"/>
        <v>1</v>
      </c>
    </row>
    <row r="46" ht="15.75" customHeight="1">
      <c r="A46" s="69"/>
      <c r="B46" s="54" t="s">
        <v>802</v>
      </c>
      <c r="C46" s="70" t="str">
        <f t="array" ref="C46">IFERROR(INDEX('ケイパビリティマップ'!$E:$E,MATCH(B46,'ケイパビリティマップ'!$A:$A,0)),"（IDなし）")</f>
        <v>患者支援サービス★</v>
      </c>
      <c r="D46" s="71"/>
      <c r="E46" s="71"/>
      <c r="F46" s="71"/>
      <c r="G46" s="71"/>
      <c r="H46" s="71" t="s">
        <v>2321</v>
      </c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 t="s">
        <v>2322</v>
      </c>
      <c r="CH46" s="71" t="s">
        <v>2322</v>
      </c>
      <c r="CI46" s="71" t="s">
        <v>2321</v>
      </c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61">
        <f t="shared" si="1"/>
        <v>2</v>
      </c>
      <c r="CW46" s="61">
        <f t="shared" si="2"/>
        <v>2</v>
      </c>
    </row>
    <row r="47" ht="15.75" customHeight="1">
      <c r="A47" s="69" t="s">
        <v>2577</v>
      </c>
      <c r="B47" s="54" t="s">
        <v>816</v>
      </c>
      <c r="C47" s="70" t="str">
        <f t="array" ref="C47">IFERROR(INDEX('ケイパビリティマップ'!$E:$E,MATCH(B47,'ケイパビリティマップ'!$A:$A,0)),"（IDなし）")</f>
        <v>価格・保険者契約管理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 t="s">
        <v>2322</v>
      </c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 t="s">
        <v>2322</v>
      </c>
      <c r="BO47" s="71"/>
      <c r="BP47" s="71"/>
      <c r="BQ47" s="71"/>
      <c r="BR47" s="71"/>
      <c r="BS47" s="71"/>
      <c r="BT47" s="71"/>
      <c r="BU47" s="71"/>
      <c r="BV47" s="71"/>
      <c r="BW47" s="71"/>
      <c r="BX47" s="71" t="s">
        <v>2322</v>
      </c>
      <c r="BY47" s="71"/>
      <c r="BZ47" s="71"/>
      <c r="CA47" s="71"/>
      <c r="CB47" s="71"/>
      <c r="CC47" s="71"/>
      <c r="CD47" s="71"/>
      <c r="CE47" s="71"/>
      <c r="CF47" s="71" t="s">
        <v>2321</v>
      </c>
      <c r="CG47" s="71" t="s">
        <v>2321</v>
      </c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61">
        <f t="shared" si="1"/>
        <v>2</v>
      </c>
      <c r="CW47" s="61">
        <f t="shared" si="2"/>
        <v>3</v>
      </c>
    </row>
    <row r="48" ht="15.75" customHeight="1">
      <c r="A48" s="69"/>
      <c r="B48" s="54" t="s">
        <v>834</v>
      </c>
      <c r="C48" s="70" t="str">
        <f t="array" ref="C48">IFERROR(INDEX('ケイパビリティマップ'!$E:$E,MATCH(B48,'ケイパビリティマップ'!$A:$A,0)),"（IDなし）")</f>
        <v>政府価格報告・政策対応</v>
      </c>
      <c r="D48" s="71"/>
      <c r="E48" s="71"/>
      <c r="F48" s="71"/>
      <c r="G48" s="71"/>
      <c r="H48" s="71"/>
      <c r="I48" s="71" t="s">
        <v>2322</v>
      </c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 t="s">
        <v>2322</v>
      </c>
      <c r="BU48" s="71"/>
      <c r="BV48" s="71"/>
      <c r="BW48" s="71" t="s">
        <v>2322</v>
      </c>
      <c r="BX48" s="71" t="s">
        <v>2322</v>
      </c>
      <c r="BY48" s="71"/>
      <c r="BZ48" s="71"/>
      <c r="CA48" s="71"/>
      <c r="CB48" s="71"/>
      <c r="CC48" s="71"/>
      <c r="CD48" s="71"/>
      <c r="CE48" s="71"/>
      <c r="CF48" s="71" t="s">
        <v>2322</v>
      </c>
      <c r="CG48" s="71" t="s">
        <v>2321</v>
      </c>
      <c r="CH48" s="71" t="s">
        <v>2321</v>
      </c>
      <c r="CI48" s="71"/>
      <c r="CJ48" s="71"/>
      <c r="CK48" s="71"/>
      <c r="CL48" s="71"/>
      <c r="CM48" s="71" t="s">
        <v>2321</v>
      </c>
      <c r="CN48" s="71" t="s">
        <v>2321</v>
      </c>
      <c r="CO48" s="71"/>
      <c r="CP48" s="71"/>
      <c r="CQ48" s="71"/>
      <c r="CR48" s="71"/>
      <c r="CS48" s="71"/>
      <c r="CT48" s="71"/>
      <c r="CU48" s="71"/>
      <c r="CV48" s="61">
        <f t="shared" si="1"/>
        <v>4</v>
      </c>
      <c r="CW48" s="61">
        <f t="shared" si="2"/>
        <v>5</v>
      </c>
    </row>
    <row r="49" ht="15.75" customHeight="1">
      <c r="A49" s="69"/>
      <c r="B49" s="54" t="s">
        <v>848</v>
      </c>
      <c r="C49" s="70" t="str">
        <f t="array" ref="C49">IFERROR(INDEX('ケイパビリティマップ'!$E:$E,MATCH(B49,'ケイパビリティマップ'!$A:$A,0)),"（IDなし）")</f>
        <v>販促・商業コンプライアンス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 t="s">
        <v>2322</v>
      </c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 t="s">
        <v>2321</v>
      </c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61">
        <f t="shared" si="1"/>
        <v>1</v>
      </c>
      <c r="CW49" s="61">
        <f t="shared" si="2"/>
        <v>1</v>
      </c>
    </row>
    <row r="50" ht="15.75" customHeight="1">
      <c r="A50" s="69"/>
      <c r="B50" s="54" t="s">
        <v>866</v>
      </c>
      <c r="C50" s="70" t="str">
        <f t="array" ref="C50">IFERROR(INDEX('ケイパビリティマップ'!$E:$E,MATCH(B50,'ケイパビリティマップ'!$A:$A,0)),"（IDなし）")</f>
        <v>営業・顧客管理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 t="s">
        <v>2322</v>
      </c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 t="s">
        <v>2322</v>
      </c>
      <c r="CK50" s="71"/>
      <c r="CL50" s="71" t="s">
        <v>2321</v>
      </c>
      <c r="CM50" s="71"/>
      <c r="CN50" s="71"/>
      <c r="CO50" s="71"/>
      <c r="CP50" s="71"/>
      <c r="CQ50" s="71"/>
      <c r="CR50" s="71"/>
      <c r="CS50" s="71"/>
      <c r="CT50" s="71"/>
      <c r="CU50" s="71"/>
      <c r="CV50" s="61">
        <f t="shared" si="1"/>
        <v>1</v>
      </c>
      <c r="CW50" s="61">
        <f t="shared" si="2"/>
        <v>2</v>
      </c>
    </row>
    <row r="51" ht="15.75" customHeight="1">
      <c r="A51" s="69" t="s">
        <v>2579</v>
      </c>
      <c r="B51" s="54" t="s">
        <v>882</v>
      </c>
      <c r="C51" s="70" t="str">
        <f t="array" ref="C51">IFERROR(INDEX('ケイパビリティマップ'!$E:$E,MATCH(B51,'ケイパビリティマップ'!$A:$A,0)),"（IDなし）")</f>
        <v>需給計画</v>
      </c>
      <c r="D51" s="71"/>
      <c r="E51" s="71"/>
      <c r="F51" s="71"/>
      <c r="G51" s="71"/>
      <c r="H51" s="71" t="s">
        <v>2322</v>
      </c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 t="s">
        <v>2322</v>
      </c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 t="s">
        <v>2322</v>
      </c>
      <c r="BS51" s="71"/>
      <c r="BT51" s="71"/>
      <c r="BU51" s="71"/>
      <c r="BV51" s="71"/>
      <c r="BW51" s="71" t="s">
        <v>2322</v>
      </c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 t="s">
        <v>2322</v>
      </c>
      <c r="CJ51" s="71"/>
      <c r="CK51" s="71"/>
      <c r="CL51" s="71"/>
      <c r="CM51" s="71"/>
      <c r="CN51" s="71"/>
      <c r="CO51" s="71" t="s">
        <v>2321</v>
      </c>
      <c r="CP51" s="71" t="s">
        <v>2321</v>
      </c>
      <c r="CQ51" s="71" t="s">
        <v>2321</v>
      </c>
      <c r="CR51" s="71"/>
      <c r="CS51" s="71"/>
      <c r="CT51" s="71"/>
      <c r="CU51" s="71"/>
      <c r="CV51" s="61">
        <f t="shared" si="1"/>
        <v>3</v>
      </c>
      <c r="CW51" s="61">
        <f t="shared" si="2"/>
        <v>5</v>
      </c>
    </row>
    <row r="52" ht="15.75" customHeight="1">
      <c r="A52" s="69"/>
      <c r="B52" s="54" t="s">
        <v>899</v>
      </c>
      <c r="C52" s="70" t="str">
        <f t="array" ref="C52">IFERROR(INDEX('ケイパビリティマップ'!$E:$E,MATCH(B52,'ケイパビリティマップ'!$A:$A,0)),"（IDなし）")</f>
        <v>流通ネットワーク管理★</v>
      </c>
      <c r="D52" s="71"/>
      <c r="E52" s="71"/>
      <c r="F52" s="71"/>
      <c r="G52" s="71" t="s">
        <v>2321</v>
      </c>
      <c r="H52" s="71" t="s">
        <v>2321</v>
      </c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 t="s">
        <v>2321</v>
      </c>
      <c r="CR52" s="71"/>
      <c r="CS52" s="71"/>
      <c r="CT52" s="71"/>
      <c r="CU52" s="71"/>
      <c r="CV52" s="61">
        <f t="shared" si="1"/>
        <v>3</v>
      </c>
      <c r="CW52" s="61">
        <f t="shared" si="2"/>
        <v>0</v>
      </c>
    </row>
    <row r="53" ht="15.75" customHeight="1">
      <c r="A53" s="69"/>
      <c r="B53" s="54" t="s">
        <v>911</v>
      </c>
      <c r="C53" s="70" t="str">
        <f t="array" ref="C53">IFERROR(INDEX('ケイパビリティマップ'!$E:$E,MATCH(B53,'ケイパビリティマップ'!$A:$A,0)),"（IDなし）")</f>
        <v>コールドチェーン物流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 t="s">
        <v>2321</v>
      </c>
      <c r="AT53" s="71"/>
      <c r="AU53" s="71" t="s">
        <v>2322</v>
      </c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 t="s">
        <v>2321</v>
      </c>
      <c r="CQ53" s="71" t="s">
        <v>2321</v>
      </c>
      <c r="CR53" s="71" t="s">
        <v>2321</v>
      </c>
      <c r="CS53" s="71"/>
      <c r="CT53" s="71"/>
      <c r="CU53" s="71"/>
      <c r="CV53" s="61">
        <f t="shared" si="1"/>
        <v>4</v>
      </c>
      <c r="CW53" s="61">
        <f t="shared" si="2"/>
        <v>1</v>
      </c>
    </row>
    <row r="54" ht="15.75" customHeight="1">
      <c r="A54" s="69"/>
      <c r="B54" s="54" t="s">
        <v>922</v>
      </c>
      <c r="C54" s="70" t="str">
        <f t="array" ref="C54">IFERROR(INDEX('ケイパビリティマップ'!$E:$E,MATCH(B54,'ケイパビリティマップ'!$A:$A,0)),"（IDなし）")</f>
        <v>トレーサビリティ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 t="s">
        <v>2322</v>
      </c>
      <c r="CR54" s="71"/>
      <c r="CS54" s="71" t="s">
        <v>2321</v>
      </c>
      <c r="CT54" s="71"/>
      <c r="CU54" s="71"/>
      <c r="CV54" s="61">
        <f t="shared" si="1"/>
        <v>1</v>
      </c>
      <c r="CW54" s="61">
        <f t="shared" si="2"/>
        <v>1</v>
      </c>
    </row>
    <row r="55" ht="15.75" customHeight="1">
      <c r="A55" s="69"/>
      <c r="B55" s="54" t="s">
        <v>940</v>
      </c>
      <c r="C55" s="70" t="str">
        <f t="array" ref="C55">IFERROR(INDEX('ケイパビリティマップ'!$E:$E,MATCH(B55,'ケイパビリティマップ'!$A:$A,0)),"（IDなし）")</f>
        <v>供給継続・回収管理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 t="s">
        <v>2322</v>
      </c>
      <c r="AN55" s="71"/>
      <c r="AO55" s="71"/>
      <c r="AP55" s="71"/>
      <c r="AQ55" s="71"/>
      <c r="AR55" s="71"/>
      <c r="AS55" s="71" t="s">
        <v>2322</v>
      </c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 t="s">
        <v>2321</v>
      </c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 t="s">
        <v>2322</v>
      </c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 t="s">
        <v>2322</v>
      </c>
      <c r="CP55" s="71" t="s">
        <v>2322</v>
      </c>
      <c r="CQ55" s="71"/>
      <c r="CR55" s="71"/>
      <c r="CS55" s="71" t="s">
        <v>2322</v>
      </c>
      <c r="CT55" s="71" t="s">
        <v>2321</v>
      </c>
      <c r="CU55" s="71" t="s">
        <v>2321</v>
      </c>
      <c r="CV55" s="61">
        <f t="shared" si="1"/>
        <v>3</v>
      </c>
      <c r="CW55" s="61">
        <f t="shared" si="2"/>
        <v>6</v>
      </c>
    </row>
    <row r="56" ht="15.75" customHeight="1">
      <c r="A56" s="69" t="s">
        <v>2716</v>
      </c>
      <c r="B56" s="54" t="s">
        <v>955</v>
      </c>
      <c r="C56" s="70" t="str">
        <f t="array" ref="C56">IFERROR(INDEX('ケイパビリティマップ'!$E:$E,MATCH(B56,'ケイパビリティマップ'!$A:$A,0)),"（IDなし）")</f>
        <v>情報・データ管理</v>
      </c>
      <c r="D56" s="71" t="s">
        <v>2321</v>
      </c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 t="s">
        <v>2321</v>
      </c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61">
        <f t="shared" si="1"/>
        <v>2</v>
      </c>
      <c r="CW56" s="61">
        <f t="shared" si="2"/>
        <v>0</v>
      </c>
    </row>
    <row r="57" ht="15.75" customHeight="1">
      <c r="A57" s="69"/>
      <c r="B57" s="54" t="s">
        <v>972</v>
      </c>
      <c r="C57" s="70" t="str">
        <f t="array" ref="C57">IFERROR(INDEX('ケイパビリティマップ'!$E:$E,MATCH(B57,'ケイパビリティマップ'!$A:$A,0)),"（IDなし）")</f>
        <v>GxP文書・記録管理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61">
        <f t="shared" si="1"/>
        <v>0</v>
      </c>
      <c r="CW57" s="61">
        <f t="shared" si="2"/>
        <v>0</v>
      </c>
    </row>
    <row r="58" ht="15.75" customHeight="1">
      <c r="A58" s="69"/>
      <c r="B58" s="54" t="s">
        <v>991</v>
      </c>
      <c r="C58" s="70" t="str">
        <f t="array" ref="C58">IFERROR(INDEX('ケイパビリティマップ'!$E:$E,MATCH(B58,'ケイパビリティマップ'!$A:$A,0)),"（IDなし）")</f>
        <v>GxP教育・資格管理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61">
        <f t="shared" si="1"/>
        <v>0</v>
      </c>
      <c r="CW58" s="61">
        <f t="shared" si="2"/>
        <v>0</v>
      </c>
    </row>
    <row r="59" ht="15.75" customHeight="1">
      <c r="C59" s="69" t="s">
        <v>2233</v>
      </c>
      <c r="D59" s="61">
        <f t="shared" ref="D59:CU59" si="3">COUNTIF(D$6:D$58,"C")</f>
        <v>3</v>
      </c>
      <c r="E59" s="61">
        <f t="shared" si="3"/>
        <v>4</v>
      </c>
      <c r="F59" s="61">
        <f t="shared" si="3"/>
        <v>1</v>
      </c>
      <c r="G59" s="61">
        <f t="shared" si="3"/>
        <v>2</v>
      </c>
      <c r="H59" s="61">
        <f t="shared" si="3"/>
        <v>4</v>
      </c>
      <c r="I59" s="61">
        <f t="shared" si="3"/>
        <v>3</v>
      </c>
      <c r="J59" s="61">
        <f t="shared" si="3"/>
        <v>1</v>
      </c>
      <c r="K59" s="61">
        <f t="shared" si="3"/>
        <v>1</v>
      </c>
      <c r="L59" s="61">
        <f t="shared" si="3"/>
        <v>1</v>
      </c>
      <c r="M59" s="61">
        <f t="shared" si="3"/>
        <v>1</v>
      </c>
      <c r="N59" s="61">
        <f t="shared" si="3"/>
        <v>1</v>
      </c>
      <c r="O59" s="61">
        <f t="shared" si="3"/>
        <v>2</v>
      </c>
      <c r="P59" s="61">
        <f t="shared" si="3"/>
        <v>3</v>
      </c>
      <c r="Q59" s="61">
        <f t="shared" si="3"/>
        <v>1</v>
      </c>
      <c r="R59" s="61">
        <f t="shared" si="3"/>
        <v>1</v>
      </c>
      <c r="S59" s="61">
        <f t="shared" si="3"/>
        <v>1</v>
      </c>
      <c r="T59" s="61">
        <f t="shared" si="3"/>
        <v>2</v>
      </c>
      <c r="U59" s="61">
        <f t="shared" si="3"/>
        <v>1</v>
      </c>
      <c r="V59" s="61">
        <f t="shared" si="3"/>
        <v>1</v>
      </c>
      <c r="W59" s="61">
        <f t="shared" si="3"/>
        <v>3</v>
      </c>
      <c r="X59" s="61">
        <f t="shared" si="3"/>
        <v>2</v>
      </c>
      <c r="Y59" s="61">
        <f t="shared" si="3"/>
        <v>1</v>
      </c>
      <c r="Z59" s="61">
        <f t="shared" si="3"/>
        <v>1</v>
      </c>
      <c r="AA59" s="61">
        <f t="shared" si="3"/>
        <v>1</v>
      </c>
      <c r="AB59" s="61">
        <f t="shared" si="3"/>
        <v>2</v>
      </c>
      <c r="AC59" s="61">
        <f t="shared" si="3"/>
        <v>2</v>
      </c>
      <c r="AD59" s="61">
        <f t="shared" si="3"/>
        <v>1</v>
      </c>
      <c r="AE59" s="61">
        <f t="shared" si="3"/>
        <v>1</v>
      </c>
      <c r="AF59" s="61">
        <f t="shared" si="3"/>
        <v>1</v>
      </c>
      <c r="AG59" s="61">
        <f t="shared" si="3"/>
        <v>1</v>
      </c>
      <c r="AH59" s="61">
        <f t="shared" si="3"/>
        <v>1</v>
      </c>
      <c r="AI59" s="61">
        <f t="shared" si="3"/>
        <v>1</v>
      </c>
      <c r="AJ59" s="61">
        <f t="shared" si="3"/>
        <v>3</v>
      </c>
      <c r="AK59" s="61">
        <f t="shared" si="3"/>
        <v>4</v>
      </c>
      <c r="AL59" s="61">
        <f t="shared" si="3"/>
        <v>1</v>
      </c>
      <c r="AM59" s="61">
        <f t="shared" si="3"/>
        <v>1</v>
      </c>
      <c r="AN59" s="61">
        <f t="shared" si="3"/>
        <v>1</v>
      </c>
      <c r="AO59" s="61">
        <f t="shared" si="3"/>
        <v>5</v>
      </c>
      <c r="AP59" s="61">
        <f t="shared" si="3"/>
        <v>4</v>
      </c>
      <c r="AQ59" s="61">
        <f t="shared" si="3"/>
        <v>2</v>
      </c>
      <c r="AR59" s="61">
        <f t="shared" si="3"/>
        <v>3</v>
      </c>
      <c r="AS59" s="61">
        <f t="shared" si="3"/>
        <v>2</v>
      </c>
      <c r="AT59" s="61">
        <f t="shared" si="3"/>
        <v>1</v>
      </c>
      <c r="AU59" s="61">
        <f t="shared" si="3"/>
        <v>2</v>
      </c>
      <c r="AV59" s="61">
        <f t="shared" si="3"/>
        <v>1</v>
      </c>
      <c r="AW59" s="61">
        <f t="shared" si="3"/>
        <v>2</v>
      </c>
      <c r="AX59" s="61">
        <f t="shared" si="3"/>
        <v>2</v>
      </c>
      <c r="AY59" s="61">
        <f t="shared" si="3"/>
        <v>2</v>
      </c>
      <c r="AZ59" s="61">
        <f t="shared" si="3"/>
        <v>1</v>
      </c>
      <c r="BA59" s="61">
        <f t="shared" si="3"/>
        <v>1</v>
      </c>
      <c r="BB59" s="61">
        <f t="shared" si="3"/>
        <v>1</v>
      </c>
      <c r="BC59" s="61">
        <f t="shared" si="3"/>
        <v>1</v>
      </c>
      <c r="BD59" s="61">
        <f t="shared" si="3"/>
        <v>2</v>
      </c>
      <c r="BE59" s="61">
        <f t="shared" si="3"/>
        <v>2</v>
      </c>
      <c r="BF59" s="61">
        <f t="shared" si="3"/>
        <v>1</v>
      </c>
      <c r="BG59" s="61">
        <f t="shared" si="3"/>
        <v>1</v>
      </c>
      <c r="BH59" s="61">
        <f t="shared" si="3"/>
        <v>2</v>
      </c>
      <c r="BI59" s="61">
        <f t="shared" si="3"/>
        <v>2</v>
      </c>
      <c r="BJ59" s="61">
        <f t="shared" si="3"/>
        <v>1</v>
      </c>
      <c r="BK59" s="61">
        <f t="shared" si="3"/>
        <v>1</v>
      </c>
      <c r="BL59" s="61">
        <f t="shared" si="3"/>
        <v>2</v>
      </c>
      <c r="BM59" s="61">
        <f t="shared" si="3"/>
        <v>2</v>
      </c>
      <c r="BN59" s="61">
        <f t="shared" si="3"/>
        <v>1</v>
      </c>
      <c r="BO59" s="61">
        <f t="shared" si="3"/>
        <v>1</v>
      </c>
      <c r="BP59" s="61">
        <f t="shared" si="3"/>
        <v>1</v>
      </c>
      <c r="BQ59" s="61">
        <f t="shared" si="3"/>
        <v>3</v>
      </c>
      <c r="BR59" s="61">
        <f t="shared" si="3"/>
        <v>4</v>
      </c>
      <c r="BS59" s="61">
        <f t="shared" si="3"/>
        <v>2</v>
      </c>
      <c r="BT59" s="61">
        <f t="shared" si="3"/>
        <v>1</v>
      </c>
      <c r="BU59" s="61">
        <f t="shared" si="3"/>
        <v>1</v>
      </c>
      <c r="BV59" s="61">
        <f t="shared" si="3"/>
        <v>5</v>
      </c>
      <c r="BW59" s="61">
        <f t="shared" si="3"/>
        <v>3</v>
      </c>
      <c r="BX59" s="61">
        <f t="shared" si="3"/>
        <v>2</v>
      </c>
      <c r="BY59" s="61">
        <f t="shared" si="3"/>
        <v>2</v>
      </c>
      <c r="BZ59" s="61">
        <f t="shared" si="3"/>
        <v>2</v>
      </c>
      <c r="CA59" s="61">
        <f t="shared" si="3"/>
        <v>1</v>
      </c>
      <c r="CB59" s="61">
        <f t="shared" si="3"/>
        <v>1</v>
      </c>
      <c r="CC59" s="61">
        <f t="shared" si="3"/>
        <v>2</v>
      </c>
      <c r="CD59" s="61">
        <f t="shared" si="3"/>
        <v>1</v>
      </c>
      <c r="CE59" s="61">
        <f t="shared" si="3"/>
        <v>1</v>
      </c>
      <c r="CF59" s="61">
        <f t="shared" si="3"/>
        <v>1</v>
      </c>
      <c r="CG59" s="61">
        <f t="shared" si="3"/>
        <v>2</v>
      </c>
      <c r="CH59" s="61">
        <f t="shared" si="3"/>
        <v>1</v>
      </c>
      <c r="CI59" s="61">
        <f t="shared" si="3"/>
        <v>1</v>
      </c>
      <c r="CJ59" s="61">
        <f t="shared" si="3"/>
        <v>2</v>
      </c>
      <c r="CK59" s="61">
        <f t="shared" si="3"/>
        <v>1</v>
      </c>
      <c r="CL59" s="61">
        <f t="shared" si="3"/>
        <v>1</v>
      </c>
      <c r="CM59" s="61">
        <f t="shared" si="3"/>
        <v>1</v>
      </c>
      <c r="CN59" s="61">
        <f t="shared" si="3"/>
        <v>1</v>
      </c>
      <c r="CO59" s="61">
        <f t="shared" si="3"/>
        <v>1</v>
      </c>
      <c r="CP59" s="61">
        <f t="shared" si="3"/>
        <v>3</v>
      </c>
      <c r="CQ59" s="61">
        <f t="shared" si="3"/>
        <v>3</v>
      </c>
      <c r="CR59" s="61">
        <f t="shared" si="3"/>
        <v>1</v>
      </c>
      <c r="CS59" s="61">
        <f t="shared" si="3"/>
        <v>2</v>
      </c>
      <c r="CT59" s="61">
        <f t="shared" si="3"/>
        <v>1</v>
      </c>
      <c r="CU59" s="61">
        <f t="shared" si="3"/>
        <v>1</v>
      </c>
    </row>
    <row r="60" ht="15.75" customHeight="1">
      <c r="C60" s="69" t="s">
        <v>2234</v>
      </c>
      <c r="D60" s="61">
        <f t="shared" ref="D60:CU60" si="4">COUNTIF(D$6:D$58,"R")</f>
        <v>1</v>
      </c>
      <c r="E60" s="61">
        <f t="shared" si="4"/>
        <v>0</v>
      </c>
      <c r="F60" s="61">
        <f t="shared" si="4"/>
        <v>2</v>
      </c>
      <c r="G60" s="61">
        <f t="shared" si="4"/>
        <v>1</v>
      </c>
      <c r="H60" s="61">
        <f t="shared" si="4"/>
        <v>1</v>
      </c>
      <c r="I60" s="61">
        <f t="shared" si="4"/>
        <v>4</v>
      </c>
      <c r="J60" s="61">
        <f t="shared" si="4"/>
        <v>3</v>
      </c>
      <c r="K60" s="61">
        <f t="shared" si="4"/>
        <v>2</v>
      </c>
      <c r="L60" s="61">
        <f t="shared" si="4"/>
        <v>1</v>
      </c>
      <c r="M60" s="61">
        <f t="shared" si="4"/>
        <v>0</v>
      </c>
      <c r="N60" s="61">
        <f t="shared" si="4"/>
        <v>0</v>
      </c>
      <c r="O60" s="61">
        <f t="shared" si="4"/>
        <v>8</v>
      </c>
      <c r="P60" s="61">
        <f t="shared" si="4"/>
        <v>4</v>
      </c>
      <c r="Q60" s="61">
        <f t="shared" si="4"/>
        <v>1</v>
      </c>
      <c r="R60" s="61">
        <f t="shared" si="4"/>
        <v>1</v>
      </c>
      <c r="S60" s="61">
        <f t="shared" si="4"/>
        <v>1</v>
      </c>
      <c r="T60" s="61">
        <f t="shared" si="4"/>
        <v>0</v>
      </c>
      <c r="U60" s="61">
        <f t="shared" si="4"/>
        <v>4</v>
      </c>
      <c r="V60" s="61">
        <f t="shared" si="4"/>
        <v>2</v>
      </c>
      <c r="W60" s="61">
        <f t="shared" si="4"/>
        <v>1</v>
      </c>
      <c r="X60" s="61">
        <f t="shared" si="4"/>
        <v>4</v>
      </c>
      <c r="Y60" s="61">
        <f t="shared" si="4"/>
        <v>0</v>
      </c>
      <c r="Z60" s="61">
        <f t="shared" si="4"/>
        <v>1</v>
      </c>
      <c r="AA60" s="61">
        <f t="shared" si="4"/>
        <v>4</v>
      </c>
      <c r="AB60" s="61">
        <f t="shared" si="4"/>
        <v>2</v>
      </c>
      <c r="AC60" s="61">
        <f t="shared" si="4"/>
        <v>1</v>
      </c>
      <c r="AD60" s="61">
        <f t="shared" si="4"/>
        <v>2</v>
      </c>
      <c r="AE60" s="61">
        <f t="shared" si="4"/>
        <v>1</v>
      </c>
      <c r="AF60" s="61">
        <f t="shared" si="4"/>
        <v>4</v>
      </c>
      <c r="AG60" s="61">
        <f t="shared" si="4"/>
        <v>2</v>
      </c>
      <c r="AH60" s="61">
        <f t="shared" si="4"/>
        <v>5</v>
      </c>
      <c r="AI60" s="61">
        <f t="shared" si="4"/>
        <v>3</v>
      </c>
      <c r="AJ60" s="61">
        <f t="shared" si="4"/>
        <v>2</v>
      </c>
      <c r="AK60" s="61">
        <f t="shared" si="4"/>
        <v>4</v>
      </c>
      <c r="AL60" s="61">
        <f t="shared" si="4"/>
        <v>3</v>
      </c>
      <c r="AM60" s="61">
        <f t="shared" si="4"/>
        <v>2</v>
      </c>
      <c r="AN60" s="61">
        <f t="shared" si="4"/>
        <v>3</v>
      </c>
      <c r="AO60" s="61">
        <f t="shared" si="4"/>
        <v>2</v>
      </c>
      <c r="AP60" s="61">
        <f t="shared" si="4"/>
        <v>5</v>
      </c>
      <c r="AQ60" s="61">
        <f t="shared" si="4"/>
        <v>0</v>
      </c>
      <c r="AR60" s="61">
        <f t="shared" si="4"/>
        <v>1</v>
      </c>
      <c r="AS60" s="61">
        <f t="shared" si="4"/>
        <v>2</v>
      </c>
      <c r="AT60" s="61">
        <f t="shared" si="4"/>
        <v>2</v>
      </c>
      <c r="AU60" s="61">
        <f t="shared" si="4"/>
        <v>2</v>
      </c>
      <c r="AV60" s="61">
        <f t="shared" si="4"/>
        <v>2</v>
      </c>
      <c r="AW60" s="61">
        <f t="shared" si="4"/>
        <v>0</v>
      </c>
      <c r="AX60" s="61">
        <f t="shared" si="4"/>
        <v>1</v>
      </c>
      <c r="AY60" s="61">
        <f t="shared" si="4"/>
        <v>1</v>
      </c>
      <c r="AZ60" s="61">
        <f t="shared" si="4"/>
        <v>3</v>
      </c>
      <c r="BA60" s="61">
        <f t="shared" si="4"/>
        <v>2</v>
      </c>
      <c r="BB60" s="61">
        <f t="shared" si="4"/>
        <v>2</v>
      </c>
      <c r="BC60" s="61">
        <f t="shared" si="4"/>
        <v>1</v>
      </c>
      <c r="BD60" s="61">
        <f t="shared" si="4"/>
        <v>2</v>
      </c>
      <c r="BE60" s="61">
        <f t="shared" si="4"/>
        <v>2</v>
      </c>
      <c r="BF60" s="61">
        <f t="shared" si="4"/>
        <v>1</v>
      </c>
      <c r="BG60" s="61">
        <f t="shared" si="4"/>
        <v>0</v>
      </c>
      <c r="BH60" s="61">
        <f t="shared" si="4"/>
        <v>3</v>
      </c>
      <c r="BI60" s="61">
        <f t="shared" si="4"/>
        <v>3</v>
      </c>
      <c r="BJ60" s="61">
        <f t="shared" si="4"/>
        <v>1</v>
      </c>
      <c r="BK60" s="61">
        <f t="shared" si="4"/>
        <v>0</v>
      </c>
      <c r="BL60" s="61">
        <f t="shared" si="4"/>
        <v>3</v>
      </c>
      <c r="BM60" s="61">
        <f t="shared" si="4"/>
        <v>4</v>
      </c>
      <c r="BN60" s="61">
        <f t="shared" si="4"/>
        <v>4</v>
      </c>
      <c r="BO60" s="61">
        <f t="shared" si="4"/>
        <v>1</v>
      </c>
      <c r="BP60" s="61">
        <f t="shared" si="4"/>
        <v>1</v>
      </c>
      <c r="BQ60" s="61">
        <f t="shared" si="4"/>
        <v>2</v>
      </c>
      <c r="BR60" s="61">
        <f t="shared" si="4"/>
        <v>2</v>
      </c>
      <c r="BS60" s="61">
        <f t="shared" si="4"/>
        <v>1</v>
      </c>
      <c r="BT60" s="61">
        <f t="shared" si="4"/>
        <v>3</v>
      </c>
      <c r="BU60" s="61">
        <f t="shared" si="4"/>
        <v>1</v>
      </c>
      <c r="BV60" s="61">
        <f t="shared" si="4"/>
        <v>0</v>
      </c>
      <c r="BW60" s="61">
        <f t="shared" si="4"/>
        <v>3</v>
      </c>
      <c r="BX60" s="61">
        <f t="shared" si="4"/>
        <v>4</v>
      </c>
      <c r="BY60" s="61">
        <f t="shared" si="4"/>
        <v>1</v>
      </c>
      <c r="BZ60" s="61">
        <f t="shared" si="4"/>
        <v>0</v>
      </c>
      <c r="CA60" s="61">
        <f t="shared" si="4"/>
        <v>0</v>
      </c>
      <c r="CB60" s="61">
        <f t="shared" si="4"/>
        <v>0</v>
      </c>
      <c r="CC60" s="61">
        <f t="shared" si="4"/>
        <v>2</v>
      </c>
      <c r="CD60" s="61">
        <f t="shared" si="4"/>
        <v>3</v>
      </c>
      <c r="CE60" s="61">
        <f t="shared" si="4"/>
        <v>0</v>
      </c>
      <c r="CF60" s="61">
        <f t="shared" si="4"/>
        <v>1</v>
      </c>
      <c r="CG60" s="61">
        <f t="shared" si="4"/>
        <v>1</v>
      </c>
      <c r="CH60" s="61">
        <f t="shared" si="4"/>
        <v>1</v>
      </c>
      <c r="CI60" s="61">
        <f t="shared" si="4"/>
        <v>2</v>
      </c>
      <c r="CJ60" s="61">
        <f t="shared" si="4"/>
        <v>1</v>
      </c>
      <c r="CK60" s="61">
        <f t="shared" si="4"/>
        <v>0</v>
      </c>
      <c r="CL60" s="61">
        <f t="shared" si="4"/>
        <v>0</v>
      </c>
      <c r="CM60" s="61">
        <f t="shared" si="4"/>
        <v>0</v>
      </c>
      <c r="CN60" s="61">
        <f t="shared" si="4"/>
        <v>0</v>
      </c>
      <c r="CO60" s="61">
        <f t="shared" si="4"/>
        <v>2</v>
      </c>
      <c r="CP60" s="61">
        <f t="shared" si="4"/>
        <v>2</v>
      </c>
      <c r="CQ60" s="61">
        <f t="shared" si="4"/>
        <v>1</v>
      </c>
      <c r="CR60" s="61">
        <f t="shared" si="4"/>
        <v>0</v>
      </c>
      <c r="CS60" s="61">
        <f t="shared" si="4"/>
        <v>1</v>
      </c>
      <c r="CT60" s="61">
        <f t="shared" si="4"/>
        <v>0</v>
      </c>
      <c r="CU60" s="61">
        <f t="shared" si="4"/>
        <v>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M4:AY4"/>
    <mergeCell ref="AZ4:BR4"/>
    <mergeCell ref="BS4:CB4"/>
    <mergeCell ref="CC4:CE4"/>
    <mergeCell ref="CF4:CN4"/>
    <mergeCell ref="CO4:CU4"/>
    <mergeCell ref="CV4:CV5"/>
    <mergeCell ref="CW4:CW5"/>
    <mergeCell ref="A4:A5"/>
    <mergeCell ref="B4:B5"/>
    <mergeCell ref="C4:C5"/>
    <mergeCell ref="D4:I4"/>
    <mergeCell ref="J4:U4"/>
    <mergeCell ref="V4:Y4"/>
    <mergeCell ref="Z4:AL4"/>
  </mergeCells>
  <conditionalFormatting sqref="D6:CU58">
    <cfRule type="cellIs" dxfId="0" priority="1" operator="equal">
      <formula>"C"</formula>
    </cfRule>
  </conditionalFormatting>
  <dataValidations>
    <dataValidation type="list" allowBlank="1" sqref="D6:CU58">
      <formula1>"C,R"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2" width="9.0"/>
    <col customWidth="1" min="3" max="3" width="24.0"/>
    <col customWidth="1" min="4" max="4" width="26.0"/>
    <col customWidth="1" min="5" max="5" width="56.0"/>
    <col customWidth="1" min="6" max="6" width="14.0"/>
    <col customWidth="1" min="7" max="8" width="11.0"/>
    <col customWidth="1" min="9" max="26" width="8.71"/>
  </cols>
  <sheetData>
    <row r="1" ht="17.25" customHeight="1">
      <c r="A1" s="1" t="s">
        <v>2580</v>
      </c>
      <c r="B1" s="3"/>
      <c r="C1" s="3"/>
      <c r="D1" s="3"/>
      <c r="E1" s="3"/>
      <c r="F1" s="3"/>
      <c r="G1" s="3"/>
      <c r="H1" s="3"/>
    </row>
    <row r="2" ht="15.0" customHeight="1">
      <c r="A2" s="4" t="s">
        <v>2581</v>
      </c>
      <c r="B2" s="3"/>
      <c r="C2" s="3"/>
      <c r="D2" s="3"/>
      <c r="E2" s="3"/>
      <c r="F2" s="3"/>
      <c r="G2" s="3"/>
      <c r="H2" s="3"/>
    </row>
    <row r="3" ht="30.0" customHeight="1">
      <c r="A3" s="52" t="s">
        <v>8</v>
      </c>
      <c r="B3" s="52" t="s">
        <v>2183</v>
      </c>
      <c r="C3" s="52" t="s">
        <v>2582</v>
      </c>
      <c r="D3" s="52" t="s">
        <v>2583</v>
      </c>
      <c r="E3" s="52" t="s">
        <v>2584</v>
      </c>
      <c r="F3" s="52" t="s">
        <v>2188</v>
      </c>
      <c r="G3" s="53" t="s">
        <v>2585</v>
      </c>
      <c r="H3" s="53" t="s">
        <v>2586</v>
      </c>
    </row>
    <row r="4" ht="15.0" customHeight="1">
      <c r="A4" s="54" t="s">
        <v>2587</v>
      </c>
      <c r="B4" s="55" t="s">
        <v>2214</v>
      </c>
      <c r="C4" s="56" t="s">
        <v>2588</v>
      </c>
      <c r="D4" s="58" t="s">
        <v>2589</v>
      </c>
      <c r="E4" s="58" t="s">
        <v>2591</v>
      </c>
      <c r="F4" s="55" t="s">
        <v>95</v>
      </c>
      <c r="G4" s="61">
        <f>COUNTIF('ケイパビリティ×アプリケーション'!D$6:D$58,"●")</f>
        <v>9</v>
      </c>
      <c r="H4" s="61">
        <f>COUNTIF('ケイパビリティ×アプリケーション'!D$6:D$58,"○")</f>
        <v>1</v>
      </c>
    </row>
    <row r="5" ht="26.25" customHeight="1">
      <c r="A5" s="54" t="s">
        <v>2606</v>
      </c>
      <c r="B5" s="55" t="s">
        <v>2214</v>
      </c>
      <c r="C5" s="56" t="s">
        <v>2607</v>
      </c>
      <c r="D5" s="58" t="s">
        <v>2608</v>
      </c>
      <c r="E5" s="58" t="s">
        <v>2609</v>
      </c>
      <c r="F5" s="55" t="s">
        <v>95</v>
      </c>
      <c r="G5" s="61">
        <f>COUNTIF('ケイパビリティ×アプリケーション'!E$6:E$58,"●")</f>
        <v>2</v>
      </c>
      <c r="H5" s="61">
        <f>COUNTIF('ケイパビリティ×アプリケーション'!E$6:E$58,"○")</f>
        <v>1</v>
      </c>
    </row>
    <row r="6" ht="15.0" customHeight="1">
      <c r="A6" s="54" t="s">
        <v>2610</v>
      </c>
      <c r="B6" s="55" t="s">
        <v>2214</v>
      </c>
      <c r="C6" s="56" t="s">
        <v>2611</v>
      </c>
      <c r="D6" s="58" t="s">
        <v>2612</v>
      </c>
      <c r="E6" s="58" t="s">
        <v>2613</v>
      </c>
      <c r="F6" s="55" t="s">
        <v>95</v>
      </c>
      <c r="G6" s="61">
        <f>COUNTIF('ケイパビリティ×アプリケーション'!F$6:F$58,"●")</f>
        <v>2</v>
      </c>
      <c r="H6" s="61">
        <f>COUNTIF('ケイパビリティ×アプリケーション'!F$6:F$58,"○")</f>
        <v>3</v>
      </c>
    </row>
    <row r="7" ht="15.0" customHeight="1">
      <c r="A7" s="54" t="s">
        <v>2618</v>
      </c>
      <c r="B7" s="55" t="s">
        <v>2218</v>
      </c>
      <c r="C7" s="56" t="s">
        <v>2619</v>
      </c>
      <c r="D7" s="58" t="s">
        <v>2620</v>
      </c>
      <c r="E7" s="58" t="s">
        <v>2621</v>
      </c>
      <c r="F7" s="55" t="s">
        <v>535</v>
      </c>
      <c r="G7" s="61">
        <f>COUNTIF('ケイパビリティ×アプリケーション'!G$6:G$58,"●")</f>
        <v>2</v>
      </c>
      <c r="H7" s="61">
        <f>COUNTIF('ケイパビリティ×アプリケーション'!G$6:G$58,"○")</f>
        <v>0</v>
      </c>
    </row>
    <row r="8" ht="15.0" customHeight="1">
      <c r="A8" s="54" t="s">
        <v>2626</v>
      </c>
      <c r="B8" s="55" t="s">
        <v>2221</v>
      </c>
      <c r="C8" s="56" t="s">
        <v>2627</v>
      </c>
      <c r="D8" s="58" t="s">
        <v>2628</v>
      </c>
      <c r="E8" s="58" t="s">
        <v>2629</v>
      </c>
      <c r="F8" s="55" t="s">
        <v>803</v>
      </c>
      <c r="G8" s="61">
        <f>COUNTIF('ケイパビリティ×アプリケーション'!H$6:H$58,"●")</f>
        <v>1</v>
      </c>
      <c r="H8" s="61">
        <f>COUNTIF('ケイパビリティ×アプリケーション'!H$6:H$58,"○")</f>
        <v>0</v>
      </c>
    </row>
    <row r="9" ht="15.0" customHeight="1">
      <c r="A9" s="54" t="s">
        <v>2633</v>
      </c>
      <c r="B9" s="55" t="s">
        <v>2221</v>
      </c>
      <c r="C9" s="56" t="s">
        <v>2634</v>
      </c>
      <c r="D9" s="58" t="s">
        <v>2635</v>
      </c>
      <c r="E9" s="58" t="s">
        <v>2636</v>
      </c>
      <c r="F9" s="55" t="s">
        <v>803</v>
      </c>
      <c r="G9" s="61">
        <f>COUNTIF('ケイパビリティ×アプリケーション'!I$6:I$58,"●")</f>
        <v>1</v>
      </c>
      <c r="H9" s="61">
        <f>COUNTIF('ケイパビリティ×アプリケーション'!I$6:I$58,"○")</f>
        <v>1</v>
      </c>
    </row>
    <row r="10" ht="15.0" customHeight="1">
      <c r="A10" s="54" t="s">
        <v>2640</v>
      </c>
      <c r="B10" s="55" t="s">
        <v>2221</v>
      </c>
      <c r="C10" s="56" t="s">
        <v>2641</v>
      </c>
      <c r="D10" s="58" t="s">
        <v>2642</v>
      </c>
      <c r="E10" s="58" t="s">
        <v>2643</v>
      </c>
      <c r="F10" s="55" t="s">
        <v>803</v>
      </c>
      <c r="G10" s="61">
        <f>COUNTIF('ケイパビリティ×アプリケーション'!J$6:J$58,"●")</f>
        <v>1</v>
      </c>
      <c r="H10" s="61">
        <f>COUNTIF('ケイパビリティ×アプリケーション'!J$6:J$58,"○")</f>
        <v>1</v>
      </c>
    </row>
    <row r="11" ht="15.0" customHeight="1">
      <c r="A11" s="54" t="s">
        <v>2647</v>
      </c>
      <c r="B11" s="55" t="s">
        <v>2221</v>
      </c>
      <c r="C11" s="56" t="s">
        <v>2648</v>
      </c>
      <c r="D11" s="58" t="s">
        <v>2649</v>
      </c>
      <c r="E11" s="58" t="s">
        <v>2650</v>
      </c>
      <c r="F11" s="55" t="s">
        <v>2226</v>
      </c>
      <c r="G11" s="61">
        <f>COUNTIF('ケイパビリティ×アプリケーション'!K$6:K$58,"●")</f>
        <v>1</v>
      </c>
      <c r="H11" s="61">
        <f>COUNTIF('ケイパビリティ×アプリケーション'!K$6:K$58,"○")</f>
        <v>0</v>
      </c>
    </row>
    <row r="12" ht="15.0" customHeight="1">
      <c r="A12" s="54" t="s">
        <v>2654</v>
      </c>
      <c r="B12" s="55" t="s">
        <v>2221</v>
      </c>
      <c r="C12" s="56" t="s">
        <v>2655</v>
      </c>
      <c r="D12" s="58" t="s">
        <v>2656</v>
      </c>
      <c r="E12" s="58" t="s">
        <v>2657</v>
      </c>
      <c r="F12" s="55" t="s">
        <v>803</v>
      </c>
      <c r="G12" s="61">
        <f>COUNTIF('ケイパビリティ×アプリケーション'!L$6:L$58,"●")</f>
        <v>1</v>
      </c>
      <c r="H12" s="61">
        <f>COUNTIF('ケイパビリティ×アプリケーション'!L$6:L$58,"○")</f>
        <v>1</v>
      </c>
    </row>
    <row r="13" ht="15.0" customHeight="1">
      <c r="A13" s="54" t="s">
        <v>2662</v>
      </c>
      <c r="B13" s="55" t="s">
        <v>2221</v>
      </c>
      <c r="C13" s="56" t="s">
        <v>2663</v>
      </c>
      <c r="D13" s="58" t="s">
        <v>2664</v>
      </c>
      <c r="E13" s="58" t="s">
        <v>2665</v>
      </c>
      <c r="F13" s="55" t="s">
        <v>803</v>
      </c>
      <c r="G13" s="61">
        <f>COUNTIF('ケイパビリティ×アプリケーション'!M$6:M$58,"●")</f>
        <v>1</v>
      </c>
      <c r="H13" s="61">
        <f>COUNTIF('ケイパビリティ×アプリケーション'!M$6:M$58,"○")</f>
        <v>2</v>
      </c>
    </row>
    <row r="14" ht="26.25" customHeight="1">
      <c r="A14" s="54" t="s">
        <v>2670</v>
      </c>
      <c r="B14" s="55" t="s">
        <v>2221</v>
      </c>
      <c r="C14" s="56" t="s">
        <v>2671</v>
      </c>
      <c r="D14" s="58" t="s">
        <v>2672</v>
      </c>
      <c r="E14" s="58" t="s">
        <v>2673</v>
      </c>
      <c r="F14" s="55" t="s">
        <v>2674</v>
      </c>
      <c r="G14" s="61">
        <f>COUNTIF('ケイパビリティ×アプリケーション'!N$6:N$58,"●")</f>
        <v>2</v>
      </c>
      <c r="H14" s="61">
        <f>COUNTIF('ケイパビリティ×アプリケーション'!N$6:N$58,"○")</f>
        <v>2</v>
      </c>
    </row>
    <row r="15" ht="15.0" customHeight="1">
      <c r="A15" s="54" t="s">
        <v>2678</v>
      </c>
      <c r="B15" s="55" t="s">
        <v>552</v>
      </c>
      <c r="C15" s="56" t="s">
        <v>2679</v>
      </c>
      <c r="D15" s="58" t="s">
        <v>2680</v>
      </c>
      <c r="E15" s="58" t="s">
        <v>2681</v>
      </c>
      <c r="F15" s="55" t="s">
        <v>552</v>
      </c>
      <c r="G15" s="61">
        <f>COUNTIF('ケイパビリティ×アプリケーション'!O$6:O$58,"●")</f>
        <v>3</v>
      </c>
      <c r="H15" s="61">
        <f>COUNTIF('ケイパビリティ×アプリケーション'!O$6:O$58,"○")</f>
        <v>2</v>
      </c>
    </row>
    <row r="16" ht="15.0" customHeight="1">
      <c r="A16" s="54" t="s">
        <v>2685</v>
      </c>
      <c r="B16" s="55" t="s">
        <v>552</v>
      </c>
      <c r="C16" s="56" t="s">
        <v>2686</v>
      </c>
      <c r="D16" s="58" t="s">
        <v>2687</v>
      </c>
      <c r="E16" s="58" t="s">
        <v>2688</v>
      </c>
      <c r="F16" s="55" t="s">
        <v>552</v>
      </c>
      <c r="G16" s="61">
        <f>COUNTIF('ケイパビリティ×アプリケーション'!P$6:P$58,"●")</f>
        <v>1</v>
      </c>
      <c r="H16" s="61">
        <f>COUNTIF('ケイパビリティ×アプリケーション'!P$6:P$58,"○")</f>
        <v>0</v>
      </c>
    </row>
    <row r="17" ht="15.0" customHeight="1">
      <c r="A17" s="54" t="s">
        <v>2692</v>
      </c>
      <c r="B17" s="55" t="s">
        <v>2227</v>
      </c>
      <c r="C17" s="56" t="s">
        <v>2693</v>
      </c>
      <c r="D17" s="58" t="s">
        <v>2694</v>
      </c>
      <c r="E17" s="58" t="s">
        <v>2695</v>
      </c>
      <c r="F17" s="55" t="s">
        <v>2082</v>
      </c>
      <c r="G17" s="61">
        <f>COUNTIF('ケイパビリティ×アプリケーション'!Q$6:Q$58,"●")</f>
        <v>1</v>
      </c>
      <c r="H17" s="61">
        <f>COUNTIF('ケイパビリティ×アプリケーション'!Q$6:Q$58,"○")</f>
        <v>3</v>
      </c>
    </row>
    <row r="18" ht="15.0" customHeight="1">
      <c r="A18" s="54" t="s">
        <v>2700</v>
      </c>
      <c r="B18" s="55" t="s">
        <v>2227</v>
      </c>
      <c r="C18" s="56" t="s">
        <v>2701</v>
      </c>
      <c r="D18" s="58" t="s">
        <v>2702</v>
      </c>
      <c r="E18" s="58" t="s">
        <v>2703</v>
      </c>
      <c r="F18" s="55" t="s">
        <v>2082</v>
      </c>
      <c r="G18" s="61">
        <f>COUNTIF('ケイパビリティ×アプリケーション'!R$6:R$58,"●")</f>
        <v>1</v>
      </c>
      <c r="H18" s="61">
        <f>COUNTIF('ケイパビリティ×アプリケーション'!R$6:R$58,"○")</f>
        <v>0</v>
      </c>
    </row>
    <row r="19" ht="15.0" customHeight="1">
      <c r="A19" s="54" t="s">
        <v>2708</v>
      </c>
      <c r="B19" s="55" t="s">
        <v>603</v>
      </c>
      <c r="C19" s="56" t="s">
        <v>2709</v>
      </c>
      <c r="D19" s="58" t="s">
        <v>2710</v>
      </c>
      <c r="E19" s="58" t="s">
        <v>2711</v>
      </c>
      <c r="F19" s="55" t="s">
        <v>1012</v>
      </c>
      <c r="G19" s="61">
        <f>COUNTIF('ケイパビリティ×アプリケーション'!S$6:S$58,"●")</f>
        <v>4</v>
      </c>
      <c r="H19" s="61">
        <f>COUNTIF('ケイパビリティ×アプリケーション'!S$6:S$58,"○")</f>
        <v>1</v>
      </c>
    </row>
    <row r="20" ht="15.0" customHeight="1">
      <c r="A20" s="54" t="s">
        <v>2717</v>
      </c>
      <c r="B20" s="55" t="s">
        <v>603</v>
      </c>
      <c r="C20" s="56" t="s">
        <v>2718</v>
      </c>
      <c r="D20" s="58" t="s">
        <v>2719</v>
      </c>
      <c r="E20" s="58" t="s">
        <v>2720</v>
      </c>
      <c r="F20" s="55" t="s">
        <v>1012</v>
      </c>
      <c r="G20" s="61">
        <f>COUNTIF('ケイパビリティ×アプリケーション'!T$6:T$58,"●")</f>
        <v>1</v>
      </c>
      <c r="H20" s="61">
        <f>COUNTIF('ケイパビリティ×アプリケーション'!T$6:T$58,"○")</f>
        <v>2</v>
      </c>
    </row>
    <row r="21" ht="15.0" customHeight="1">
      <c r="A21" s="54" t="s">
        <v>2725</v>
      </c>
      <c r="B21" s="55" t="s">
        <v>603</v>
      </c>
      <c r="C21" s="56" t="s">
        <v>657</v>
      </c>
      <c r="D21" s="58" t="s">
        <v>2726</v>
      </c>
      <c r="E21" s="58" t="s">
        <v>2727</v>
      </c>
      <c r="F21" s="55" t="s">
        <v>1012</v>
      </c>
      <c r="G21" s="61">
        <f>COUNTIF('ケイパビリティ×アプリケーション'!U$6:U$58,"●")</f>
        <v>1</v>
      </c>
      <c r="H21" s="61">
        <f>COUNTIF('ケイパビリティ×アプリケーション'!U$6:U$58,"○")</f>
        <v>1</v>
      </c>
    </row>
    <row r="22" ht="15.0" customHeight="1">
      <c r="A22" s="54" t="s">
        <v>2732</v>
      </c>
      <c r="B22" s="55" t="s">
        <v>603</v>
      </c>
      <c r="C22" s="56" t="s">
        <v>2733</v>
      </c>
      <c r="D22" s="58" t="s">
        <v>2734</v>
      </c>
      <c r="E22" s="58" t="s">
        <v>2735</v>
      </c>
      <c r="F22" s="55" t="s">
        <v>2401</v>
      </c>
      <c r="G22" s="61">
        <f>COUNTIF('ケイパビリティ×アプリケーション'!V$6:V$58,"●")</f>
        <v>1</v>
      </c>
      <c r="H22" s="61">
        <f>COUNTIF('ケイパビリティ×アプリケーション'!V$6:V$58,"○")</f>
        <v>1</v>
      </c>
    </row>
    <row r="23" ht="15.0" customHeight="1">
      <c r="A23" s="54" t="s">
        <v>2740</v>
      </c>
      <c r="B23" s="55" t="s">
        <v>666</v>
      </c>
      <c r="C23" s="56" t="s">
        <v>2741</v>
      </c>
      <c r="D23" s="58" t="s">
        <v>2742</v>
      </c>
      <c r="E23" s="58" t="s">
        <v>2743</v>
      </c>
      <c r="F23" s="55" t="s">
        <v>2744</v>
      </c>
      <c r="G23" s="61">
        <f>COUNTIF('ケイパビリティ×アプリケーション'!W$6:W$58,"●")</f>
        <v>3</v>
      </c>
      <c r="H23" s="61">
        <f>COUNTIF('ケイパビリティ×アプリケーション'!W$6:W$58,"○")</f>
        <v>2</v>
      </c>
    </row>
    <row r="24" ht="26.25" customHeight="1">
      <c r="A24" s="54" t="s">
        <v>2748</v>
      </c>
      <c r="B24" s="55" t="s">
        <v>666</v>
      </c>
      <c r="C24" s="56" t="s">
        <v>696</v>
      </c>
      <c r="D24" s="58" t="s">
        <v>2749</v>
      </c>
      <c r="E24" s="58" t="s">
        <v>2750</v>
      </c>
      <c r="F24" s="55" t="s">
        <v>1012</v>
      </c>
      <c r="G24" s="61">
        <f>COUNTIF('ケイパビリティ×アプリケーション'!X$6:X$58,"●")</f>
        <v>1</v>
      </c>
      <c r="H24" s="61">
        <f>COUNTIF('ケイパビリティ×アプリケーション'!X$6:X$58,"○")</f>
        <v>0</v>
      </c>
    </row>
    <row r="25" ht="26.25" customHeight="1">
      <c r="A25" s="54" t="s">
        <v>2754</v>
      </c>
      <c r="B25" s="55" t="s">
        <v>666</v>
      </c>
      <c r="C25" s="56" t="s">
        <v>2755</v>
      </c>
      <c r="D25" s="58" t="s">
        <v>2756</v>
      </c>
      <c r="E25" s="58" t="s">
        <v>2757</v>
      </c>
      <c r="F25" s="55" t="s">
        <v>2758</v>
      </c>
      <c r="G25" s="61">
        <f>COUNTIF('ケイパビリティ×アプリケーション'!Y$6:Y$58,"●")</f>
        <v>3</v>
      </c>
      <c r="H25" s="61">
        <f>COUNTIF('ケイパビリティ×アプリケーション'!Y$6:Y$58,"○")</f>
        <v>2</v>
      </c>
    </row>
    <row r="26" ht="15.0" customHeight="1">
      <c r="A26" s="54" t="s">
        <v>2763</v>
      </c>
      <c r="B26" s="55" t="s">
        <v>2764</v>
      </c>
      <c r="C26" s="56" t="s">
        <v>886</v>
      </c>
      <c r="D26" s="58" t="s">
        <v>2765</v>
      </c>
      <c r="E26" s="58" t="s">
        <v>2766</v>
      </c>
      <c r="F26" s="55" t="s">
        <v>95</v>
      </c>
      <c r="G26" s="61">
        <f>COUNTIF('ケイパビリティ×アプリケーション'!Z$6:Z$58,"●")</f>
        <v>1</v>
      </c>
      <c r="H26" s="61">
        <f>COUNTIF('ケイパビリティ×アプリケーション'!Z$6:Z$58,"○")</f>
        <v>2</v>
      </c>
    </row>
    <row r="27" ht="15.0" customHeight="1">
      <c r="A27" s="54" t="s">
        <v>2771</v>
      </c>
      <c r="B27" s="55" t="s">
        <v>2764</v>
      </c>
      <c r="C27" s="56" t="s">
        <v>2772</v>
      </c>
      <c r="D27" s="58" t="s">
        <v>2773</v>
      </c>
      <c r="E27" s="58" t="s">
        <v>2774</v>
      </c>
      <c r="F27" s="55" t="s">
        <v>2553</v>
      </c>
      <c r="G27" s="61">
        <f>COUNTIF('ケイパビリティ×アプリケーション'!AA$6:AA$58,"●")</f>
        <v>1</v>
      </c>
      <c r="H27" s="61">
        <f>COUNTIF('ケイパビリティ×アプリケーション'!AA$6:AA$58,"○")</f>
        <v>0</v>
      </c>
    </row>
    <row r="28" ht="15.0" customHeight="1">
      <c r="A28" s="54" t="s">
        <v>2779</v>
      </c>
      <c r="B28" s="55" t="s">
        <v>2764</v>
      </c>
      <c r="C28" s="56" t="s">
        <v>2780</v>
      </c>
      <c r="D28" s="58" t="s">
        <v>2781</v>
      </c>
      <c r="E28" s="58" t="s">
        <v>2782</v>
      </c>
      <c r="F28" s="55" t="s">
        <v>1974</v>
      </c>
      <c r="G28" s="61">
        <f>COUNTIF('ケイパビリティ×アプリケーション'!AB$6:AB$58,"●")</f>
        <v>1</v>
      </c>
      <c r="H28" s="61">
        <f>COUNTIF('ケイパビリティ×アプリケーション'!AB$6:AB$58,"○")</f>
        <v>2</v>
      </c>
    </row>
    <row r="29" ht="26.25" customHeight="1">
      <c r="A29" s="54" t="s">
        <v>2787</v>
      </c>
      <c r="B29" s="55" t="s">
        <v>2788</v>
      </c>
      <c r="C29" s="56" t="s">
        <v>2789</v>
      </c>
      <c r="D29" s="58" t="s">
        <v>2790</v>
      </c>
      <c r="E29" s="58" t="s">
        <v>2791</v>
      </c>
      <c r="F29" s="55" t="s">
        <v>95</v>
      </c>
      <c r="G29" s="61">
        <f>COUNTIF('ケイパビリティ×アプリケーション'!AC$6:AC$58,"●")</f>
        <v>4</v>
      </c>
      <c r="H29" s="61">
        <f>COUNTIF('ケイパビリティ×アプリケーション'!AC$6:AC$58,"○")</f>
        <v>2</v>
      </c>
    </row>
    <row r="30" ht="15.0" customHeight="1">
      <c r="A30" s="54" t="s">
        <v>2795</v>
      </c>
      <c r="B30" s="55" t="s">
        <v>2788</v>
      </c>
      <c r="C30" s="56" t="s">
        <v>2796</v>
      </c>
      <c r="D30" s="58" t="s">
        <v>2797</v>
      </c>
      <c r="E30" s="58" t="s">
        <v>2798</v>
      </c>
      <c r="F30" s="55" t="s">
        <v>95</v>
      </c>
      <c r="G30" s="61">
        <f>COUNTIF('ケイパビリティ×アプリケーション'!AD$6:AD$58,"●")</f>
        <v>1</v>
      </c>
      <c r="H30" s="61">
        <f>COUNTIF('ケイパビリティ×アプリケーション'!AD$6:AD$58,"○")</f>
        <v>0</v>
      </c>
    </row>
    <row r="31" ht="26.25" customHeight="1">
      <c r="A31" s="54" t="s">
        <v>2803</v>
      </c>
      <c r="B31" s="55" t="s">
        <v>2788</v>
      </c>
      <c r="C31" s="56" t="s">
        <v>2804</v>
      </c>
      <c r="D31" s="58" t="s">
        <v>2805</v>
      </c>
      <c r="E31" s="58" t="s">
        <v>2806</v>
      </c>
      <c r="F31" s="55" t="s">
        <v>95</v>
      </c>
      <c r="G31" s="61">
        <f>COUNTIF('ケイパビリティ×アプリケーション'!AE$6:AE$58,"●")</f>
        <v>2</v>
      </c>
      <c r="H31" s="61">
        <f>COUNTIF('ケイパビリティ×アプリケーション'!AE$6:AE$58,"○")</f>
        <v>1</v>
      </c>
    </row>
    <row r="32" ht="26.25" customHeight="1">
      <c r="A32" s="54" t="s">
        <v>2810</v>
      </c>
      <c r="B32" s="55" t="s">
        <v>2788</v>
      </c>
      <c r="C32" s="56" t="s">
        <v>1771</v>
      </c>
      <c r="D32" s="58" t="s">
        <v>2811</v>
      </c>
      <c r="E32" s="58" t="s">
        <v>2812</v>
      </c>
      <c r="F32" s="55" t="s">
        <v>552</v>
      </c>
      <c r="G32" s="61">
        <f>COUNTIF('ケイパビリティ×アプリケーション'!AF$6:AF$58,"●")</f>
        <v>1</v>
      </c>
      <c r="H32" s="61">
        <f>COUNTIF('ケイパビリティ×アプリケーション'!AF$6:AF$58,"○")</f>
        <v>2</v>
      </c>
    </row>
    <row r="33" ht="15.0" customHeight="1">
      <c r="A33" s="54" t="s">
        <v>2816</v>
      </c>
      <c r="B33" s="55" t="s">
        <v>2817</v>
      </c>
      <c r="C33" s="56" t="s">
        <v>2818</v>
      </c>
      <c r="D33" s="58" t="s">
        <v>2818</v>
      </c>
      <c r="E33" s="58" t="s">
        <v>2819</v>
      </c>
      <c r="F33" s="55" t="s">
        <v>2553</v>
      </c>
      <c r="G33" s="61">
        <f>COUNTIF('ケイパビリティ×アプリケーション'!AG$6:AG$58,"●")</f>
        <v>3</v>
      </c>
      <c r="H33" s="61">
        <f>COUNTIF('ケイパビリティ×アプリケーション'!AG$6:AG$58,"○")</f>
        <v>4</v>
      </c>
    </row>
    <row r="34" ht="26.25" customHeight="1">
      <c r="A34" s="54" t="s">
        <v>2823</v>
      </c>
      <c r="B34" s="55" t="s">
        <v>2817</v>
      </c>
      <c r="C34" s="56" t="s">
        <v>1969</v>
      </c>
      <c r="D34" s="58" t="s">
        <v>2824</v>
      </c>
      <c r="E34" s="58" t="s">
        <v>2825</v>
      </c>
      <c r="F34" s="55" t="s">
        <v>95</v>
      </c>
      <c r="G34" s="61">
        <f>COUNTIF('ケイパビリティ×アプリケーション'!AH$6:AH$58,"●")</f>
        <v>1</v>
      </c>
      <c r="H34" s="61">
        <f>COUNTIF('ケイパビリティ×アプリケーション'!AH$6:AH$58,"○")</f>
        <v>3</v>
      </c>
    </row>
    <row r="35" ht="15.0" customHeight="1">
      <c r="A35" s="54" t="s">
        <v>2831</v>
      </c>
      <c r="B35" s="55" t="s">
        <v>2817</v>
      </c>
      <c r="C35" s="56" t="s">
        <v>2832</v>
      </c>
      <c r="D35" s="58" t="s">
        <v>2833</v>
      </c>
      <c r="E35" s="58" t="s">
        <v>2834</v>
      </c>
      <c r="F35" s="55" t="s">
        <v>2835</v>
      </c>
      <c r="G35" s="61">
        <f>COUNTIF('ケイパビリティ×アプリケーション'!AI$6:AI$58,"●")</f>
        <v>3</v>
      </c>
      <c r="H35" s="61">
        <f>COUNTIF('ケイパビリティ×アプリケーション'!AI$6:AI$58,"○")</f>
        <v>5</v>
      </c>
    </row>
    <row r="36" ht="15.0" customHeight="1">
      <c r="A36" s="54" t="s">
        <v>2836</v>
      </c>
      <c r="B36" s="55" t="s">
        <v>2817</v>
      </c>
      <c r="C36" s="56" t="s">
        <v>2028</v>
      </c>
      <c r="D36" s="58" t="s">
        <v>2837</v>
      </c>
      <c r="E36" s="58" t="s">
        <v>2839</v>
      </c>
      <c r="F36" s="55" t="s">
        <v>2835</v>
      </c>
      <c r="G36" s="61">
        <f>COUNTIF('ケイパビリティ×アプリケーション'!AJ$6:AJ$58,"●")</f>
        <v>1</v>
      </c>
      <c r="H36" s="61">
        <f>COUNTIF('ケイパビリティ×アプリケーション'!AJ$6:AJ$58,"○")</f>
        <v>1</v>
      </c>
    </row>
    <row r="37" ht="15.0" customHeight="1">
      <c r="A37" s="54" t="s">
        <v>2842</v>
      </c>
      <c r="B37" s="55" t="s">
        <v>2817</v>
      </c>
      <c r="C37" s="56" t="s">
        <v>2843</v>
      </c>
      <c r="D37" s="58" t="s">
        <v>2844</v>
      </c>
      <c r="E37" s="58" t="s">
        <v>2846</v>
      </c>
      <c r="F37" s="55" t="s">
        <v>95</v>
      </c>
      <c r="G37" s="61">
        <f>COUNTIF('ケイパビリティ×アプリケーション'!AK$6:AK$58,"●")</f>
        <v>1</v>
      </c>
      <c r="H37" s="61">
        <f>COUNTIF('ケイパビリティ×アプリケーション'!AK$6:AK$58,"○")</f>
        <v>3</v>
      </c>
    </row>
    <row r="38" ht="26.25" customHeight="1">
      <c r="A38" s="54" t="s">
        <v>2851</v>
      </c>
      <c r="B38" s="55" t="s">
        <v>2817</v>
      </c>
      <c r="C38" s="56" t="s">
        <v>2852</v>
      </c>
      <c r="D38" s="58" t="s">
        <v>2853</v>
      </c>
      <c r="E38" s="58" t="s">
        <v>2854</v>
      </c>
      <c r="F38" s="55" t="s">
        <v>95</v>
      </c>
      <c r="G38" s="61">
        <f>COUNTIF('ケイパビリティ×アプリケーション'!AL$6:AL$58,"●")</f>
        <v>1</v>
      </c>
      <c r="H38" s="61">
        <f>COUNTIF('ケイパビリティ×アプリケーション'!AL$6:AL$58,"○")</f>
        <v>0</v>
      </c>
    </row>
    <row r="39" ht="26.25" customHeight="1">
      <c r="A39" s="54" t="s">
        <v>2859</v>
      </c>
      <c r="B39" s="55" t="s">
        <v>2817</v>
      </c>
      <c r="C39" s="56" t="s">
        <v>2860</v>
      </c>
      <c r="D39" s="58" t="s">
        <v>2861</v>
      </c>
      <c r="E39" s="58" t="s">
        <v>2862</v>
      </c>
      <c r="F39" s="55" t="s">
        <v>95</v>
      </c>
      <c r="G39" s="61">
        <f>COUNTIF('ケイパビリティ×アプリケーション'!AM$6:AM$58,"●")</f>
        <v>1</v>
      </c>
      <c r="H39" s="61">
        <f>COUNTIF('ケイパビリティ×アプリケーション'!AM$6:AM$58,"○")</f>
        <v>1</v>
      </c>
    </row>
    <row r="40" ht="15.0" customHeight="1">
      <c r="A40" s="54" t="s">
        <v>2867</v>
      </c>
      <c r="B40" s="55" t="s">
        <v>2817</v>
      </c>
      <c r="C40" s="56" t="s">
        <v>2868</v>
      </c>
      <c r="D40" s="58" t="s">
        <v>2869</v>
      </c>
      <c r="E40" s="58" t="s">
        <v>2870</v>
      </c>
      <c r="F40" s="55" t="s">
        <v>95</v>
      </c>
      <c r="G40" s="61">
        <f>COUNTIF('ケイパビリティ×アプリケーション'!AN$6:AN$58,"●")</f>
        <v>1</v>
      </c>
      <c r="H40" s="61">
        <f>COUNTIF('ケイパビリティ×アプリケーション'!AN$6:AN$58,"○")</f>
        <v>0</v>
      </c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autoFilter ref="$A$3:$H$40"/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16.0"/>
    <col customWidth="1" min="4" max="4" width="30.0"/>
    <col customWidth="1" min="5" max="5" width="28.0"/>
    <col customWidth="1" min="6" max="6" width="56.0"/>
    <col customWidth="1" min="7" max="7" width="16.0"/>
    <col customWidth="1" min="8" max="8" width="9.0"/>
    <col customWidth="1" min="9" max="10" width="12.0"/>
    <col customWidth="1" min="11" max="26" width="8.71"/>
  </cols>
  <sheetData>
    <row r="1">
      <c r="A1" s="1" t="s">
        <v>2590</v>
      </c>
    </row>
    <row r="2">
      <c r="A2" s="4" t="s">
        <v>2592</v>
      </c>
    </row>
    <row r="3" ht="30.0" customHeight="1">
      <c r="A3" s="52" t="s">
        <v>8</v>
      </c>
      <c r="B3" s="52" t="s">
        <v>2593</v>
      </c>
      <c r="C3" s="52" t="s">
        <v>2594</v>
      </c>
      <c r="D3" s="52" t="s">
        <v>2595</v>
      </c>
      <c r="E3" s="52" t="s">
        <v>2596</v>
      </c>
      <c r="F3" s="52" t="s">
        <v>2584</v>
      </c>
      <c r="G3" s="52" t="s">
        <v>2597</v>
      </c>
      <c r="H3" s="52" t="s">
        <v>2598</v>
      </c>
      <c r="I3" s="53" t="s">
        <v>2599</v>
      </c>
      <c r="J3" s="53" t="s">
        <v>2600</v>
      </c>
    </row>
    <row r="4">
      <c r="A4" s="54" t="s">
        <v>2601</v>
      </c>
      <c r="B4" s="55" t="s">
        <v>2602</v>
      </c>
      <c r="C4" s="55" t="s">
        <v>2221</v>
      </c>
      <c r="D4" s="56" t="s">
        <v>2603</v>
      </c>
      <c r="E4" s="58" t="s">
        <v>2604</v>
      </c>
      <c r="F4" s="58" t="s">
        <v>2605</v>
      </c>
      <c r="G4" s="55" t="s">
        <v>82</v>
      </c>
      <c r="H4" s="55" t="s">
        <v>407</v>
      </c>
      <c r="I4" s="61">
        <f>COUNTIF('アプリケーション×製品'!D$6:D$42,"●")</f>
        <v>1</v>
      </c>
      <c r="J4" s="61">
        <f>COUNTIF('アプリケーション×製品'!D$6:D$42,"○")</f>
        <v>0</v>
      </c>
    </row>
    <row r="5">
      <c r="A5" s="54" t="s">
        <v>2614</v>
      </c>
      <c r="B5" s="55" t="s">
        <v>2602</v>
      </c>
      <c r="C5" s="55" t="s">
        <v>2221</v>
      </c>
      <c r="D5" s="56" t="s">
        <v>2615</v>
      </c>
      <c r="E5" s="58" t="s">
        <v>2616</v>
      </c>
      <c r="F5" s="58" t="s">
        <v>2617</v>
      </c>
      <c r="G5" s="55" t="s">
        <v>82</v>
      </c>
      <c r="H5" s="55" t="s">
        <v>407</v>
      </c>
      <c r="I5" s="61">
        <f>COUNTIF('アプリケーション×製品'!E$6:E$42,"●")</f>
        <v>1</v>
      </c>
      <c r="J5" s="61">
        <f>COUNTIF('アプリケーション×製品'!E$6:E$42,"○")</f>
        <v>0</v>
      </c>
    </row>
    <row r="6">
      <c r="A6" s="54" t="s">
        <v>2622</v>
      </c>
      <c r="B6" s="55" t="s">
        <v>2602</v>
      </c>
      <c r="C6" s="55" t="s">
        <v>2221</v>
      </c>
      <c r="D6" s="56" t="s">
        <v>2623</v>
      </c>
      <c r="E6" s="58" t="s">
        <v>2624</v>
      </c>
      <c r="F6" s="58" t="s">
        <v>2625</v>
      </c>
      <c r="G6" s="55" t="s">
        <v>82</v>
      </c>
      <c r="H6" s="55" t="s">
        <v>407</v>
      </c>
      <c r="I6" s="61">
        <f>COUNTIF('アプリケーション×製品'!F$6:F$42,"●")</f>
        <v>0</v>
      </c>
      <c r="J6" s="61">
        <f>COUNTIF('アプリケーション×製品'!F$6:F$42,"○")</f>
        <v>3</v>
      </c>
    </row>
    <row r="7">
      <c r="A7" s="54" t="s">
        <v>2630</v>
      </c>
      <c r="B7" s="55" t="s">
        <v>2602</v>
      </c>
      <c r="C7" s="55" t="s">
        <v>2221</v>
      </c>
      <c r="D7" s="56" t="s">
        <v>2631</v>
      </c>
      <c r="E7" s="58"/>
      <c r="F7" s="58" t="s">
        <v>2632</v>
      </c>
      <c r="G7" s="55" t="s">
        <v>82</v>
      </c>
      <c r="H7" s="55" t="s">
        <v>407</v>
      </c>
      <c r="I7" s="61">
        <f>COUNTIF('アプリケーション×製品'!G$6:G$42,"●")</f>
        <v>0</v>
      </c>
      <c r="J7" s="61">
        <f>COUNTIF('アプリケーション×製品'!G$6:G$42,"○")</f>
        <v>1</v>
      </c>
    </row>
    <row r="8">
      <c r="A8" s="54" t="s">
        <v>2637</v>
      </c>
      <c r="B8" s="55" t="s">
        <v>2602</v>
      </c>
      <c r="C8" s="55" t="s">
        <v>2221</v>
      </c>
      <c r="D8" s="56" t="s">
        <v>2638</v>
      </c>
      <c r="E8" s="58"/>
      <c r="F8" s="58" t="s">
        <v>2639</v>
      </c>
      <c r="G8" s="55" t="s">
        <v>82</v>
      </c>
      <c r="H8" s="55" t="s">
        <v>407</v>
      </c>
      <c r="I8" s="61">
        <f>COUNTIF('アプリケーション×製品'!H$6:H$42,"●")</f>
        <v>0</v>
      </c>
      <c r="J8" s="61">
        <f>COUNTIF('アプリケーション×製品'!H$6:H$42,"○")</f>
        <v>2</v>
      </c>
    </row>
    <row r="9">
      <c r="A9" s="54" t="s">
        <v>2644</v>
      </c>
      <c r="B9" s="55" t="s">
        <v>2602</v>
      </c>
      <c r="C9" s="55" t="s">
        <v>2221</v>
      </c>
      <c r="D9" s="56" t="s">
        <v>2645</v>
      </c>
      <c r="E9" s="58"/>
      <c r="F9" s="58" t="s">
        <v>2646</v>
      </c>
      <c r="G9" s="55" t="s">
        <v>82</v>
      </c>
      <c r="H9" s="55" t="s">
        <v>407</v>
      </c>
      <c r="I9" s="61">
        <f>COUNTIF('アプリケーション×製品'!I$6:I$42,"●")</f>
        <v>0</v>
      </c>
      <c r="J9" s="61">
        <f>COUNTIF('アプリケーション×製品'!I$6:I$42,"○")</f>
        <v>1</v>
      </c>
    </row>
    <row r="10">
      <c r="A10" s="54" t="s">
        <v>2651</v>
      </c>
      <c r="B10" s="55" t="s">
        <v>2602</v>
      </c>
      <c r="C10" s="55" t="s">
        <v>2221</v>
      </c>
      <c r="D10" s="56" t="s">
        <v>2652</v>
      </c>
      <c r="E10" s="58"/>
      <c r="F10" s="58" t="s">
        <v>2653</v>
      </c>
      <c r="G10" s="55" t="s">
        <v>82</v>
      </c>
      <c r="H10" s="55" t="s">
        <v>407</v>
      </c>
      <c r="I10" s="61">
        <f>COUNTIF('アプリケーション×製品'!J$6:J$42,"●")</f>
        <v>0</v>
      </c>
      <c r="J10" s="61">
        <f>COUNTIF('アプリケーション×製品'!J$6:J$42,"○")</f>
        <v>1</v>
      </c>
    </row>
    <row r="11">
      <c r="A11" s="54" t="s">
        <v>2658</v>
      </c>
      <c r="B11" s="55" t="s">
        <v>2602</v>
      </c>
      <c r="C11" s="55" t="s">
        <v>2221</v>
      </c>
      <c r="D11" s="56" t="s">
        <v>2659</v>
      </c>
      <c r="E11" s="58"/>
      <c r="F11" s="58" t="s">
        <v>2660</v>
      </c>
      <c r="G11" s="55" t="s">
        <v>82</v>
      </c>
      <c r="H11" s="55" t="s">
        <v>2661</v>
      </c>
      <c r="I11" s="61">
        <f>COUNTIF('アプリケーション×製品'!K$6:K$42,"●")</f>
        <v>0</v>
      </c>
      <c r="J11" s="61">
        <f>COUNTIF('アプリケーション×製品'!K$6:K$42,"○")</f>
        <v>1</v>
      </c>
    </row>
    <row r="12">
      <c r="A12" s="54" t="s">
        <v>2666</v>
      </c>
      <c r="B12" s="55" t="s">
        <v>2602</v>
      </c>
      <c r="C12" s="55" t="s">
        <v>2221</v>
      </c>
      <c r="D12" s="56" t="s">
        <v>2667</v>
      </c>
      <c r="E12" s="58" t="s">
        <v>2668</v>
      </c>
      <c r="F12" s="58" t="s">
        <v>2669</v>
      </c>
      <c r="G12" s="55" t="s">
        <v>82</v>
      </c>
      <c r="H12" s="55" t="s">
        <v>407</v>
      </c>
      <c r="I12" s="61">
        <f>COUNTIF('アプリケーション×製品'!L$6:L$42,"●")</f>
        <v>1</v>
      </c>
      <c r="J12" s="61">
        <f>COUNTIF('アプリケーション×製品'!L$6:L$42,"○")</f>
        <v>0</v>
      </c>
    </row>
    <row r="13">
      <c r="A13" s="54" t="s">
        <v>2675</v>
      </c>
      <c r="B13" s="55" t="s">
        <v>2602</v>
      </c>
      <c r="C13" s="55" t="s">
        <v>2221</v>
      </c>
      <c r="D13" s="56" t="s">
        <v>2676</v>
      </c>
      <c r="E13" s="58"/>
      <c r="F13" s="58" t="s">
        <v>2677</v>
      </c>
      <c r="G13" s="55" t="s">
        <v>82</v>
      </c>
      <c r="H13" s="55" t="s">
        <v>407</v>
      </c>
      <c r="I13" s="61">
        <f>COUNTIF('アプリケーション×製品'!M$6:M$42,"●")</f>
        <v>0</v>
      </c>
      <c r="J13" s="61">
        <f>COUNTIF('アプリケーション×製品'!M$6:M$42,"○")</f>
        <v>2</v>
      </c>
    </row>
    <row r="14">
      <c r="A14" s="54" t="s">
        <v>2682</v>
      </c>
      <c r="B14" s="55" t="s">
        <v>2602</v>
      </c>
      <c r="C14" s="55" t="s">
        <v>2221</v>
      </c>
      <c r="D14" s="56" t="s">
        <v>2683</v>
      </c>
      <c r="E14" s="58"/>
      <c r="F14" s="58" t="s">
        <v>2684</v>
      </c>
      <c r="G14" s="55" t="s">
        <v>82</v>
      </c>
      <c r="H14" s="55" t="s">
        <v>407</v>
      </c>
      <c r="I14" s="61">
        <f>COUNTIF('アプリケーション×製品'!N$6:N$42,"●")</f>
        <v>1</v>
      </c>
      <c r="J14" s="61">
        <f>COUNTIF('アプリケーション×製品'!N$6:N$42,"○")</f>
        <v>0</v>
      </c>
    </row>
    <row r="15">
      <c r="A15" s="54" t="s">
        <v>2689</v>
      </c>
      <c r="B15" s="55" t="s">
        <v>2602</v>
      </c>
      <c r="C15" s="55" t="s">
        <v>2221</v>
      </c>
      <c r="D15" s="56" t="s">
        <v>2690</v>
      </c>
      <c r="E15" s="58"/>
      <c r="F15" s="58" t="s">
        <v>2691</v>
      </c>
      <c r="G15" s="55" t="s">
        <v>82</v>
      </c>
      <c r="H15" s="55" t="s">
        <v>407</v>
      </c>
      <c r="I15" s="61">
        <f>COUNTIF('アプリケーション×製品'!O$6:O$42,"●")</f>
        <v>1</v>
      </c>
      <c r="J15" s="61">
        <f>COUNTIF('アプリケーション×製品'!O$6:O$42,"○")</f>
        <v>0</v>
      </c>
    </row>
    <row r="16">
      <c r="A16" s="54" t="s">
        <v>2696</v>
      </c>
      <c r="B16" s="55" t="s">
        <v>2602</v>
      </c>
      <c r="C16" s="55" t="s">
        <v>552</v>
      </c>
      <c r="D16" s="56" t="s">
        <v>2697</v>
      </c>
      <c r="E16" s="58" t="s">
        <v>2698</v>
      </c>
      <c r="F16" s="58" t="s">
        <v>2699</v>
      </c>
      <c r="G16" s="55" t="s">
        <v>82</v>
      </c>
      <c r="H16" s="55" t="s">
        <v>407</v>
      </c>
      <c r="I16" s="61">
        <f>COUNTIF('アプリケーション×製品'!P$6:P$42,"●")</f>
        <v>1</v>
      </c>
      <c r="J16" s="61">
        <f>COUNTIF('アプリケーション×製品'!P$6:P$42,"○")</f>
        <v>0</v>
      </c>
    </row>
    <row r="17">
      <c r="A17" s="54" t="s">
        <v>2704</v>
      </c>
      <c r="B17" s="55" t="s">
        <v>2602</v>
      </c>
      <c r="C17" s="55" t="s">
        <v>552</v>
      </c>
      <c r="D17" s="56" t="s">
        <v>2705</v>
      </c>
      <c r="E17" s="58" t="s">
        <v>2706</v>
      </c>
      <c r="F17" s="58" t="s">
        <v>2707</v>
      </c>
      <c r="G17" s="55" t="s">
        <v>82</v>
      </c>
      <c r="H17" s="55" t="s">
        <v>407</v>
      </c>
      <c r="I17" s="61">
        <f>COUNTIF('アプリケーション×製品'!Q$6:Q$42,"●")</f>
        <v>0</v>
      </c>
      <c r="J17" s="61">
        <f>COUNTIF('アプリケーション×製品'!Q$6:Q$42,"○")</f>
        <v>3</v>
      </c>
    </row>
    <row r="18">
      <c r="A18" s="54" t="s">
        <v>2712</v>
      </c>
      <c r="B18" s="55" t="s">
        <v>2602</v>
      </c>
      <c r="C18" s="55" t="s">
        <v>552</v>
      </c>
      <c r="D18" s="56" t="s">
        <v>2713</v>
      </c>
      <c r="E18" s="58" t="s">
        <v>2714</v>
      </c>
      <c r="F18" s="58" t="s">
        <v>2715</v>
      </c>
      <c r="G18" s="55" t="s">
        <v>82</v>
      </c>
      <c r="H18" s="55" t="s">
        <v>407</v>
      </c>
      <c r="I18" s="61">
        <f>COUNTIF('アプリケーション×製品'!R$6:R$42,"●")</f>
        <v>1</v>
      </c>
      <c r="J18" s="61">
        <f>COUNTIF('アプリケーション×製品'!R$6:R$42,"○")</f>
        <v>0</v>
      </c>
    </row>
    <row r="19">
      <c r="A19" s="54" t="s">
        <v>2721</v>
      </c>
      <c r="B19" s="55" t="s">
        <v>2602</v>
      </c>
      <c r="C19" s="55" t="s">
        <v>552</v>
      </c>
      <c r="D19" s="56" t="s">
        <v>2722</v>
      </c>
      <c r="E19" s="58" t="s">
        <v>2723</v>
      </c>
      <c r="F19" s="58" t="s">
        <v>2724</v>
      </c>
      <c r="G19" s="55" t="s">
        <v>82</v>
      </c>
      <c r="H19" s="55" t="s">
        <v>407</v>
      </c>
      <c r="I19" s="61">
        <f>COUNTIF('アプリケーション×製品'!S$6:S$42,"●")</f>
        <v>0</v>
      </c>
      <c r="J19" s="61">
        <f>COUNTIF('アプリケーション×製品'!S$6:S$42,"○")</f>
        <v>2</v>
      </c>
    </row>
    <row r="20">
      <c r="A20" s="54" t="s">
        <v>2728</v>
      </c>
      <c r="B20" s="55" t="s">
        <v>2602</v>
      </c>
      <c r="C20" s="55" t="s">
        <v>2227</v>
      </c>
      <c r="D20" s="56" t="s">
        <v>2729</v>
      </c>
      <c r="E20" s="58" t="s">
        <v>2730</v>
      </c>
      <c r="F20" s="58" t="s">
        <v>2731</v>
      </c>
      <c r="G20" s="55" t="s">
        <v>82</v>
      </c>
      <c r="H20" s="55" t="s">
        <v>407</v>
      </c>
      <c r="I20" s="61">
        <f>COUNTIF('アプリケーション×製品'!T$6:T$42,"●")</f>
        <v>1</v>
      </c>
      <c r="J20" s="61">
        <f>COUNTIF('アプリケーション×製品'!T$6:T$42,"○")</f>
        <v>0</v>
      </c>
    </row>
    <row r="21" ht="15.75" customHeight="1">
      <c r="A21" s="54" t="s">
        <v>2736</v>
      </c>
      <c r="B21" s="55" t="s">
        <v>2602</v>
      </c>
      <c r="C21" s="55" t="s">
        <v>2227</v>
      </c>
      <c r="D21" s="56" t="s">
        <v>2737</v>
      </c>
      <c r="E21" s="58" t="s">
        <v>2738</v>
      </c>
      <c r="F21" s="58" t="s">
        <v>2739</v>
      </c>
      <c r="G21" s="55" t="s">
        <v>82</v>
      </c>
      <c r="H21" s="55" t="s">
        <v>407</v>
      </c>
      <c r="I21" s="61">
        <f>COUNTIF('アプリケーション×製品'!U$6:U$42,"●")</f>
        <v>0</v>
      </c>
      <c r="J21" s="61">
        <f>COUNTIF('アプリケーション×製品'!U$6:U$42,"○")</f>
        <v>2</v>
      </c>
    </row>
    <row r="22" ht="15.75" customHeight="1">
      <c r="A22" s="54" t="s">
        <v>2745</v>
      </c>
      <c r="B22" s="55" t="s">
        <v>2602</v>
      </c>
      <c r="C22" s="55" t="s">
        <v>2227</v>
      </c>
      <c r="D22" s="56" t="s">
        <v>2746</v>
      </c>
      <c r="E22" s="58"/>
      <c r="F22" s="58" t="s">
        <v>2747</v>
      </c>
      <c r="G22" s="55" t="s">
        <v>82</v>
      </c>
      <c r="H22" s="55" t="s">
        <v>407</v>
      </c>
      <c r="I22" s="61">
        <f>COUNTIF('アプリケーション×製品'!V$6:V$42,"●")</f>
        <v>0</v>
      </c>
      <c r="J22" s="61">
        <f>COUNTIF('アプリケーション×製品'!V$6:V$42,"○")</f>
        <v>2</v>
      </c>
    </row>
    <row r="23" ht="15.75" customHeight="1">
      <c r="A23" s="54" t="s">
        <v>2751</v>
      </c>
      <c r="B23" s="55" t="s">
        <v>2602</v>
      </c>
      <c r="C23" s="55" t="s">
        <v>2227</v>
      </c>
      <c r="D23" s="56" t="s">
        <v>2752</v>
      </c>
      <c r="E23" s="58"/>
      <c r="F23" s="58" t="s">
        <v>2753</v>
      </c>
      <c r="G23" s="55" t="s">
        <v>82</v>
      </c>
      <c r="H23" s="55" t="s">
        <v>407</v>
      </c>
      <c r="I23" s="61">
        <f>COUNTIF('アプリケーション×製品'!W$6:W$42,"●")</f>
        <v>1</v>
      </c>
      <c r="J23" s="61">
        <f>COUNTIF('アプリケーション×製品'!W$6:W$42,"○")</f>
        <v>0</v>
      </c>
    </row>
    <row r="24" ht="15.75" customHeight="1">
      <c r="A24" s="54" t="s">
        <v>2759</v>
      </c>
      <c r="B24" s="55" t="s">
        <v>2602</v>
      </c>
      <c r="C24" s="55" t="s">
        <v>666</v>
      </c>
      <c r="D24" s="56" t="s">
        <v>2760</v>
      </c>
      <c r="E24" s="58" t="s">
        <v>2761</v>
      </c>
      <c r="F24" s="58" t="s">
        <v>2762</v>
      </c>
      <c r="G24" s="55" t="s">
        <v>82</v>
      </c>
      <c r="H24" s="55" t="s">
        <v>407</v>
      </c>
      <c r="I24" s="61">
        <f>COUNTIF('アプリケーション×製品'!X$6:X$42,"●")</f>
        <v>1</v>
      </c>
      <c r="J24" s="61">
        <f>COUNTIF('アプリケーション×製品'!X$6:X$42,"○")</f>
        <v>0</v>
      </c>
    </row>
    <row r="25" ht="15.75" customHeight="1">
      <c r="A25" s="54" t="s">
        <v>2767</v>
      </c>
      <c r="B25" s="55" t="s">
        <v>2602</v>
      </c>
      <c r="C25" s="55" t="s">
        <v>666</v>
      </c>
      <c r="D25" s="56" t="s">
        <v>2768</v>
      </c>
      <c r="E25" s="58" t="s">
        <v>2769</v>
      </c>
      <c r="F25" s="58" t="s">
        <v>2770</v>
      </c>
      <c r="G25" s="55" t="s">
        <v>82</v>
      </c>
      <c r="H25" s="55" t="s">
        <v>407</v>
      </c>
      <c r="I25" s="61">
        <f>COUNTIF('アプリケーション×製品'!Y$6:Y$42,"●")</f>
        <v>1</v>
      </c>
      <c r="J25" s="61">
        <f>COUNTIF('アプリケーション×製品'!Y$6:Y$42,"○")</f>
        <v>0</v>
      </c>
    </row>
    <row r="26" ht="15.75" customHeight="1">
      <c r="A26" s="54" t="s">
        <v>2775</v>
      </c>
      <c r="B26" s="55" t="s">
        <v>2602</v>
      </c>
      <c r="C26" s="55" t="s">
        <v>666</v>
      </c>
      <c r="D26" s="56" t="s">
        <v>2776</v>
      </c>
      <c r="E26" s="58" t="s">
        <v>2777</v>
      </c>
      <c r="F26" s="58" t="s">
        <v>2778</v>
      </c>
      <c r="G26" s="55" t="s">
        <v>82</v>
      </c>
      <c r="H26" s="55" t="s">
        <v>407</v>
      </c>
      <c r="I26" s="61">
        <f>COUNTIF('アプリケーション×製品'!Z$6:Z$42,"●")</f>
        <v>1</v>
      </c>
      <c r="J26" s="61">
        <f>COUNTIF('アプリケーション×製品'!Z$6:Z$42,"○")</f>
        <v>0</v>
      </c>
    </row>
    <row r="27" ht="15.75" customHeight="1">
      <c r="A27" s="54" t="s">
        <v>2783</v>
      </c>
      <c r="B27" s="55" t="s">
        <v>2602</v>
      </c>
      <c r="C27" s="55" t="s">
        <v>666</v>
      </c>
      <c r="D27" s="56" t="s">
        <v>2784</v>
      </c>
      <c r="E27" s="58" t="s">
        <v>2785</v>
      </c>
      <c r="F27" s="58" t="s">
        <v>2786</v>
      </c>
      <c r="G27" s="55" t="s">
        <v>82</v>
      </c>
      <c r="H27" s="55" t="s">
        <v>407</v>
      </c>
      <c r="I27" s="61">
        <f>COUNTIF('アプリケーション×製品'!AA$6:AA$42,"●")</f>
        <v>1</v>
      </c>
      <c r="J27" s="61">
        <f>COUNTIF('アプリケーション×製品'!AA$6:AA$42,"○")</f>
        <v>0</v>
      </c>
    </row>
    <row r="28" ht="15.75" customHeight="1">
      <c r="A28" s="54" t="s">
        <v>2792</v>
      </c>
      <c r="B28" s="55" t="s">
        <v>2602</v>
      </c>
      <c r="C28" s="55" t="s">
        <v>666</v>
      </c>
      <c r="D28" s="56" t="s">
        <v>2793</v>
      </c>
      <c r="E28" s="58"/>
      <c r="F28" s="58" t="s">
        <v>2794</v>
      </c>
      <c r="G28" s="55" t="s">
        <v>82</v>
      </c>
      <c r="H28" s="55" t="s">
        <v>407</v>
      </c>
      <c r="I28" s="61">
        <f>COUNTIF('アプリケーション×製品'!AB$6:AB$42,"●")</f>
        <v>0</v>
      </c>
      <c r="J28" s="61">
        <f>COUNTIF('アプリケーション×製品'!AB$6:AB$42,"○")</f>
        <v>2</v>
      </c>
    </row>
    <row r="29" ht="15.75" customHeight="1">
      <c r="A29" s="54" t="s">
        <v>2799</v>
      </c>
      <c r="B29" s="55" t="s">
        <v>2602</v>
      </c>
      <c r="C29" s="55" t="s">
        <v>666</v>
      </c>
      <c r="D29" s="56" t="s">
        <v>2800</v>
      </c>
      <c r="E29" s="58" t="s">
        <v>2801</v>
      </c>
      <c r="F29" s="58" t="s">
        <v>2802</v>
      </c>
      <c r="G29" s="55" t="s">
        <v>82</v>
      </c>
      <c r="H29" s="55" t="s">
        <v>407</v>
      </c>
      <c r="I29" s="61">
        <f>COUNTIF('アプリケーション×製品'!AC$6:AC$42,"●")</f>
        <v>1</v>
      </c>
      <c r="J29" s="61">
        <f>COUNTIF('アプリケーション×製品'!AC$6:AC$42,"○")</f>
        <v>0</v>
      </c>
    </row>
    <row r="30" ht="15.75" customHeight="1">
      <c r="A30" s="54" t="s">
        <v>2807</v>
      </c>
      <c r="B30" s="55" t="s">
        <v>2602</v>
      </c>
      <c r="C30" s="55" t="s">
        <v>666</v>
      </c>
      <c r="D30" s="56" t="s">
        <v>2808</v>
      </c>
      <c r="E30" s="58"/>
      <c r="F30" s="58" t="s">
        <v>2809</v>
      </c>
      <c r="G30" s="55" t="s">
        <v>82</v>
      </c>
      <c r="H30" s="55" t="s">
        <v>407</v>
      </c>
      <c r="I30" s="61">
        <f>COUNTIF('アプリケーション×製品'!AD$6:AD$42,"●")</f>
        <v>0</v>
      </c>
      <c r="J30" s="61">
        <f>COUNTIF('アプリケーション×製品'!AD$6:AD$42,"○")</f>
        <v>2</v>
      </c>
    </row>
    <row r="31" ht="15.75" customHeight="1">
      <c r="A31" s="54" t="s">
        <v>2813</v>
      </c>
      <c r="B31" s="55" t="s">
        <v>2602</v>
      </c>
      <c r="C31" s="55" t="s">
        <v>666</v>
      </c>
      <c r="D31" s="56" t="s">
        <v>2814</v>
      </c>
      <c r="E31" s="58"/>
      <c r="F31" s="58" t="s">
        <v>2815</v>
      </c>
      <c r="G31" s="55" t="s">
        <v>82</v>
      </c>
      <c r="H31" s="55" t="s">
        <v>407</v>
      </c>
      <c r="I31" s="61">
        <f>COUNTIF('アプリケーション×製品'!AE$6:AE$42,"●")</f>
        <v>0</v>
      </c>
      <c r="J31" s="61">
        <f>COUNTIF('アプリケーション×製品'!AE$6:AE$42,"○")</f>
        <v>1</v>
      </c>
    </row>
    <row r="32" ht="15.75" customHeight="1">
      <c r="A32" s="54" t="s">
        <v>2820</v>
      </c>
      <c r="B32" s="55" t="s">
        <v>2602</v>
      </c>
      <c r="C32" s="55" t="s">
        <v>666</v>
      </c>
      <c r="D32" s="56" t="s">
        <v>2821</v>
      </c>
      <c r="E32" s="58"/>
      <c r="F32" s="58" t="s">
        <v>2822</v>
      </c>
      <c r="G32" s="55" t="s">
        <v>82</v>
      </c>
      <c r="H32" s="55" t="s">
        <v>407</v>
      </c>
      <c r="I32" s="61">
        <f>COUNTIF('アプリケーション×製品'!AF$6:AF$42,"●")</f>
        <v>0</v>
      </c>
      <c r="J32" s="61">
        <f>COUNTIF('アプリケーション×製品'!AF$6:AF$42,"○")</f>
        <v>0</v>
      </c>
    </row>
    <row r="33" ht="15.75" customHeight="1">
      <c r="A33" s="54" t="s">
        <v>2826</v>
      </c>
      <c r="B33" s="55" t="s">
        <v>2602</v>
      </c>
      <c r="C33" s="55" t="s">
        <v>2827</v>
      </c>
      <c r="D33" s="56" t="s">
        <v>2828</v>
      </c>
      <c r="E33" s="58" t="s">
        <v>2829</v>
      </c>
      <c r="F33" s="58" t="s">
        <v>2830</v>
      </c>
      <c r="G33" s="55" t="s">
        <v>82</v>
      </c>
      <c r="H33" s="55" t="s">
        <v>407</v>
      </c>
      <c r="I33" s="61">
        <f>COUNTIF('アプリケーション×製品'!AG$6:AG$42,"●")</f>
        <v>0</v>
      </c>
      <c r="J33" s="61">
        <f>COUNTIF('アプリケーション×製品'!AG$6:AG$42,"○")</f>
        <v>2</v>
      </c>
    </row>
    <row r="34" ht="15.75" customHeight="1">
      <c r="A34" s="54" t="s">
        <v>2838</v>
      </c>
      <c r="B34" s="55" t="s">
        <v>2602</v>
      </c>
      <c r="C34" s="55" t="s">
        <v>2827</v>
      </c>
      <c r="D34" s="56" t="s">
        <v>2840</v>
      </c>
      <c r="E34" s="58"/>
      <c r="F34" s="58" t="s">
        <v>2841</v>
      </c>
      <c r="G34" s="55" t="s">
        <v>82</v>
      </c>
      <c r="H34" s="55" t="s">
        <v>407</v>
      </c>
      <c r="I34" s="61">
        <f>COUNTIF('アプリケーション×製品'!AH$6:AH$42,"●")</f>
        <v>0</v>
      </c>
      <c r="J34" s="61">
        <f>COUNTIF('アプリケーション×製品'!AH$6:AH$42,"○")</f>
        <v>1</v>
      </c>
    </row>
    <row r="35" ht="15.75" customHeight="1">
      <c r="A35" s="54" t="s">
        <v>2845</v>
      </c>
      <c r="B35" s="55" t="s">
        <v>2602</v>
      </c>
      <c r="C35" s="55" t="s">
        <v>2847</v>
      </c>
      <c r="D35" s="56" t="s">
        <v>2848</v>
      </c>
      <c r="E35" s="58" t="s">
        <v>2849</v>
      </c>
      <c r="F35" s="58" t="s">
        <v>2850</v>
      </c>
      <c r="G35" s="55" t="s">
        <v>82</v>
      </c>
      <c r="H35" s="55" t="s">
        <v>904</v>
      </c>
      <c r="I35" s="61">
        <f>COUNTIF('アプリケーション×製品'!AI$6:AI$42,"●")</f>
        <v>1</v>
      </c>
      <c r="J35" s="61">
        <f>COUNTIF('アプリケーション×製品'!AI$6:AI$42,"○")</f>
        <v>0</v>
      </c>
    </row>
    <row r="36" ht="15.75" customHeight="1">
      <c r="A36" s="54" t="s">
        <v>2855</v>
      </c>
      <c r="B36" s="55" t="s">
        <v>2602</v>
      </c>
      <c r="C36" s="55" t="s">
        <v>2847</v>
      </c>
      <c r="D36" s="56" t="s">
        <v>2856</v>
      </c>
      <c r="E36" s="58" t="s">
        <v>2857</v>
      </c>
      <c r="F36" s="58" t="s">
        <v>2858</v>
      </c>
      <c r="G36" s="55" t="s">
        <v>82</v>
      </c>
      <c r="H36" s="55" t="s">
        <v>904</v>
      </c>
      <c r="I36" s="61">
        <f>COUNTIF('アプリケーション×製品'!AJ$6:AJ$42,"●")</f>
        <v>0</v>
      </c>
      <c r="J36" s="61">
        <f>COUNTIF('アプリケーション×製品'!AJ$6:AJ$42,"○")</f>
        <v>1</v>
      </c>
    </row>
    <row r="37" ht="15.75" customHeight="1">
      <c r="A37" s="54" t="s">
        <v>2863</v>
      </c>
      <c r="B37" s="55" t="s">
        <v>2602</v>
      </c>
      <c r="C37" s="55" t="s">
        <v>2847</v>
      </c>
      <c r="D37" s="56" t="s">
        <v>2864</v>
      </c>
      <c r="E37" s="58" t="s">
        <v>2865</v>
      </c>
      <c r="F37" s="58" t="s">
        <v>2866</v>
      </c>
      <c r="G37" s="55" t="s">
        <v>82</v>
      </c>
      <c r="H37" s="55" t="s">
        <v>904</v>
      </c>
      <c r="I37" s="61">
        <f>COUNTIF('アプリケーション×製品'!AK$6:AK$42,"●")</f>
        <v>1</v>
      </c>
      <c r="J37" s="61">
        <f>COUNTIF('アプリケーション×製品'!AK$6:AK$42,"○")</f>
        <v>0</v>
      </c>
    </row>
    <row r="38" ht="15.75" customHeight="1">
      <c r="A38" s="54" t="s">
        <v>2871</v>
      </c>
      <c r="B38" s="55" t="s">
        <v>2602</v>
      </c>
      <c r="C38" s="55" t="s">
        <v>2847</v>
      </c>
      <c r="D38" s="56" t="s">
        <v>2872</v>
      </c>
      <c r="E38" s="58"/>
      <c r="F38" s="58" t="s">
        <v>2873</v>
      </c>
      <c r="G38" s="55" t="s">
        <v>82</v>
      </c>
      <c r="H38" s="55" t="s">
        <v>904</v>
      </c>
      <c r="I38" s="61">
        <f>COUNTIF('アプリケーション×製品'!AL$6:AL$42,"●")</f>
        <v>0</v>
      </c>
      <c r="J38" s="61">
        <f>COUNTIF('アプリケーション×製品'!AL$6:AL$42,"○")</f>
        <v>0</v>
      </c>
    </row>
    <row r="39" ht="15.75" customHeight="1">
      <c r="A39" s="54" t="s">
        <v>2874</v>
      </c>
      <c r="B39" s="55" t="s">
        <v>2602</v>
      </c>
      <c r="C39" s="55" t="s">
        <v>2847</v>
      </c>
      <c r="D39" s="56" t="s">
        <v>2875</v>
      </c>
      <c r="E39" s="58"/>
      <c r="F39" s="58" t="s">
        <v>2876</v>
      </c>
      <c r="G39" s="55" t="s">
        <v>82</v>
      </c>
      <c r="H39" s="55" t="s">
        <v>904</v>
      </c>
      <c r="I39" s="61">
        <f>COUNTIF('アプリケーション×製品'!AM$6:AM$42,"●")</f>
        <v>0</v>
      </c>
      <c r="J39" s="61">
        <f>COUNTIF('アプリケーション×製品'!AM$6:AM$42,"○")</f>
        <v>2</v>
      </c>
    </row>
    <row r="40" ht="15.75" customHeight="1">
      <c r="A40" s="54" t="s">
        <v>2877</v>
      </c>
      <c r="B40" s="55" t="s">
        <v>2602</v>
      </c>
      <c r="C40" s="55" t="s">
        <v>2847</v>
      </c>
      <c r="D40" s="56" t="s">
        <v>2878</v>
      </c>
      <c r="E40" s="58"/>
      <c r="F40" s="58" t="s">
        <v>2879</v>
      </c>
      <c r="G40" s="55" t="s">
        <v>82</v>
      </c>
      <c r="H40" s="55" t="s">
        <v>904</v>
      </c>
      <c r="I40" s="61">
        <f>COUNTIF('アプリケーション×製品'!AN$6:AN$42,"●")</f>
        <v>0</v>
      </c>
      <c r="J40" s="61">
        <f>COUNTIF('アプリケーション×製品'!AN$6:AN$42,"○")</f>
        <v>1</v>
      </c>
    </row>
    <row r="41" ht="15.75" customHeight="1">
      <c r="A41" s="54" t="s">
        <v>2880</v>
      </c>
      <c r="B41" s="55" t="s">
        <v>2602</v>
      </c>
      <c r="C41" s="55" t="s">
        <v>2847</v>
      </c>
      <c r="D41" s="56" t="s">
        <v>2881</v>
      </c>
      <c r="E41" s="58" t="s">
        <v>2882</v>
      </c>
      <c r="F41" s="58" t="s">
        <v>2883</v>
      </c>
      <c r="G41" s="55" t="s">
        <v>82</v>
      </c>
      <c r="H41" s="55" t="s">
        <v>904</v>
      </c>
      <c r="I41" s="61">
        <f>COUNTIF('アプリケーション×製品'!AO$6:AO$42,"●")</f>
        <v>0</v>
      </c>
      <c r="J41" s="61">
        <f>COUNTIF('アプリケーション×製品'!AO$6:AO$42,"○")</f>
        <v>2</v>
      </c>
    </row>
    <row r="42" ht="15.75" customHeight="1">
      <c r="A42" s="54" t="s">
        <v>2884</v>
      </c>
      <c r="B42" s="55" t="s">
        <v>2602</v>
      </c>
      <c r="C42" s="55" t="s">
        <v>2885</v>
      </c>
      <c r="D42" s="56" t="s">
        <v>2886</v>
      </c>
      <c r="E42" s="58" t="s">
        <v>2887</v>
      </c>
      <c r="F42" s="58" t="s">
        <v>2888</v>
      </c>
      <c r="G42" s="55" t="s">
        <v>2889</v>
      </c>
      <c r="H42" s="55" t="s">
        <v>1310</v>
      </c>
      <c r="I42" s="61">
        <f>COUNTIF('アプリケーション×製品'!AP$6:AP$42,"●")</f>
        <v>1</v>
      </c>
      <c r="J42" s="61">
        <f>COUNTIF('アプリケーション×製品'!AP$6:AP$42,"○")</f>
        <v>0</v>
      </c>
    </row>
    <row r="43" ht="15.75" customHeight="1">
      <c r="A43" s="54" t="s">
        <v>2890</v>
      </c>
      <c r="B43" s="55" t="s">
        <v>2602</v>
      </c>
      <c r="C43" s="55" t="s">
        <v>2885</v>
      </c>
      <c r="D43" s="56" t="s">
        <v>2891</v>
      </c>
      <c r="E43" s="58"/>
      <c r="F43" s="58" t="s">
        <v>2892</v>
      </c>
      <c r="G43" s="55" t="s">
        <v>2889</v>
      </c>
      <c r="H43" s="55" t="s">
        <v>1310</v>
      </c>
      <c r="I43" s="61">
        <f>COUNTIF('アプリケーション×製品'!AQ$6:AQ$42,"●")</f>
        <v>0</v>
      </c>
      <c r="J43" s="61">
        <f>COUNTIF('アプリケーション×製品'!AQ$6:AQ$42,"○")</f>
        <v>1</v>
      </c>
    </row>
    <row r="44" ht="15.75" customHeight="1">
      <c r="A44" s="54" t="s">
        <v>2893</v>
      </c>
      <c r="B44" s="55" t="s">
        <v>2602</v>
      </c>
      <c r="C44" s="55" t="s">
        <v>2885</v>
      </c>
      <c r="D44" s="56" t="s">
        <v>2894</v>
      </c>
      <c r="E44" s="58"/>
      <c r="F44" s="58" t="s">
        <v>2895</v>
      </c>
      <c r="G44" s="55" t="s">
        <v>2889</v>
      </c>
      <c r="H44" s="55" t="s">
        <v>1310</v>
      </c>
      <c r="I44" s="61">
        <f>COUNTIF('アプリケーション×製品'!AR$6:AR$42,"●")</f>
        <v>0</v>
      </c>
      <c r="J44" s="61">
        <f>COUNTIF('アプリケーション×製品'!AR$6:AR$42,"○")</f>
        <v>1</v>
      </c>
    </row>
    <row r="45" ht="15.75" customHeight="1">
      <c r="A45" s="54" t="s">
        <v>2896</v>
      </c>
      <c r="B45" s="55" t="s">
        <v>2602</v>
      </c>
      <c r="C45" s="55" t="s">
        <v>2885</v>
      </c>
      <c r="D45" s="56" t="s">
        <v>2897</v>
      </c>
      <c r="E45" s="58"/>
      <c r="F45" s="58" t="s">
        <v>2898</v>
      </c>
      <c r="G45" s="55" t="s">
        <v>2889</v>
      </c>
      <c r="H45" s="55" t="s">
        <v>1310</v>
      </c>
      <c r="I45" s="61">
        <f>COUNTIF('アプリケーション×製品'!AS$6:AS$42,"●")</f>
        <v>0</v>
      </c>
      <c r="J45" s="61">
        <f>COUNTIF('アプリケーション×製品'!AS$6:AS$42,"○")</f>
        <v>1</v>
      </c>
    </row>
    <row r="46" ht="15.75" customHeight="1">
      <c r="A46" s="54" t="s">
        <v>2899</v>
      </c>
      <c r="B46" s="55" t="s">
        <v>2602</v>
      </c>
      <c r="C46" s="55" t="s">
        <v>2885</v>
      </c>
      <c r="D46" s="56" t="s">
        <v>2900</v>
      </c>
      <c r="E46" s="58"/>
      <c r="F46" s="58" t="s">
        <v>2901</v>
      </c>
      <c r="G46" s="55" t="s">
        <v>2889</v>
      </c>
      <c r="H46" s="55" t="s">
        <v>1310</v>
      </c>
      <c r="I46" s="61">
        <f>COUNTIF('アプリケーション×製品'!AT$6:AT$42,"●")</f>
        <v>0</v>
      </c>
      <c r="J46" s="61">
        <f>COUNTIF('アプリケーション×製品'!AT$6:AT$42,"○")</f>
        <v>1</v>
      </c>
    </row>
    <row r="47" ht="15.75" customHeight="1">
      <c r="A47" s="54" t="s">
        <v>2902</v>
      </c>
      <c r="B47" s="55" t="s">
        <v>2602</v>
      </c>
      <c r="C47" s="55" t="s">
        <v>2885</v>
      </c>
      <c r="D47" s="56" t="s">
        <v>2903</v>
      </c>
      <c r="E47" s="58"/>
      <c r="F47" s="58" t="s">
        <v>2904</v>
      </c>
      <c r="G47" s="55" t="s">
        <v>82</v>
      </c>
      <c r="H47" s="55" t="s">
        <v>1310</v>
      </c>
      <c r="I47" s="61">
        <f>COUNTIF('アプリケーション×製品'!AU$6:AU$42,"●")</f>
        <v>1</v>
      </c>
      <c r="J47" s="61">
        <f>COUNTIF('アプリケーション×製品'!AU$6:AU$42,"○")</f>
        <v>0</v>
      </c>
    </row>
    <row r="48" ht="15.75" customHeight="1">
      <c r="A48" s="54" t="s">
        <v>2905</v>
      </c>
      <c r="B48" s="55" t="s">
        <v>2602</v>
      </c>
      <c r="C48" s="55" t="s">
        <v>2885</v>
      </c>
      <c r="D48" s="56" t="s">
        <v>2906</v>
      </c>
      <c r="E48" s="58"/>
      <c r="F48" s="58" t="s">
        <v>2907</v>
      </c>
      <c r="G48" s="55" t="s">
        <v>82</v>
      </c>
      <c r="H48" s="55" t="s">
        <v>1310</v>
      </c>
      <c r="I48" s="61">
        <f>COUNTIF('アプリケーション×製品'!AV$6:AV$42,"●")</f>
        <v>0</v>
      </c>
      <c r="J48" s="61">
        <f>COUNTIF('アプリケーション×製品'!AV$6:AV$42,"○")</f>
        <v>1</v>
      </c>
    </row>
    <row r="49" ht="15.75" customHeight="1">
      <c r="A49" s="54" t="s">
        <v>2908</v>
      </c>
      <c r="B49" s="55" t="s">
        <v>2602</v>
      </c>
      <c r="C49" s="55" t="s">
        <v>2885</v>
      </c>
      <c r="D49" s="56" t="s">
        <v>2909</v>
      </c>
      <c r="E49" s="58" t="s">
        <v>2910</v>
      </c>
      <c r="F49" s="58" t="s">
        <v>2911</v>
      </c>
      <c r="G49" s="55" t="s">
        <v>82</v>
      </c>
      <c r="H49" s="55" t="s">
        <v>1310</v>
      </c>
      <c r="I49" s="61">
        <f>COUNTIF('アプリケーション×製品'!AW$6:AW$42,"●")</f>
        <v>1</v>
      </c>
      <c r="J49" s="61">
        <f>COUNTIF('アプリケーション×製品'!AW$6:AW$42,"○")</f>
        <v>0</v>
      </c>
    </row>
    <row r="50" ht="15.75" customHeight="1">
      <c r="A50" s="54" t="s">
        <v>2912</v>
      </c>
      <c r="B50" s="55" t="s">
        <v>2602</v>
      </c>
      <c r="C50" s="55" t="s">
        <v>2885</v>
      </c>
      <c r="D50" s="56" t="s">
        <v>2913</v>
      </c>
      <c r="E50" s="58"/>
      <c r="F50" s="58" t="s">
        <v>2914</v>
      </c>
      <c r="G50" s="55" t="s">
        <v>2915</v>
      </c>
      <c r="H50" s="55" t="s">
        <v>1556</v>
      </c>
      <c r="I50" s="61">
        <f>COUNTIF('アプリケーション×製品'!AX$6:AX$42,"●")</f>
        <v>1</v>
      </c>
      <c r="J50" s="61">
        <f>COUNTIF('アプリケーション×製品'!AX$6:AX$42,"○")</f>
        <v>0</v>
      </c>
    </row>
    <row r="51" ht="15.75" customHeight="1">
      <c r="A51" s="54" t="s">
        <v>2916</v>
      </c>
      <c r="B51" s="55" t="s">
        <v>2602</v>
      </c>
      <c r="C51" s="55" t="s">
        <v>2885</v>
      </c>
      <c r="D51" s="56" t="s">
        <v>2917</v>
      </c>
      <c r="E51" s="58"/>
      <c r="F51" s="58" t="s">
        <v>2918</v>
      </c>
      <c r="G51" s="55" t="s">
        <v>82</v>
      </c>
      <c r="H51" s="55" t="s">
        <v>1556</v>
      </c>
      <c r="I51" s="61">
        <f>COUNTIF('アプリケーション×製品'!AY$6:AY$42,"●")</f>
        <v>0</v>
      </c>
      <c r="J51" s="61">
        <f>COUNTIF('アプリケーション×製品'!AY$6:AY$42,"○")</f>
        <v>1</v>
      </c>
    </row>
    <row r="52" ht="15.75" customHeight="1">
      <c r="A52" s="54" t="s">
        <v>2919</v>
      </c>
      <c r="B52" s="55" t="s">
        <v>2602</v>
      </c>
      <c r="C52" s="55" t="s">
        <v>2920</v>
      </c>
      <c r="D52" s="56" t="s">
        <v>2921</v>
      </c>
      <c r="E52" s="58" t="s">
        <v>2922</v>
      </c>
      <c r="F52" s="58" t="s">
        <v>2923</v>
      </c>
      <c r="G52" s="55" t="s">
        <v>2889</v>
      </c>
      <c r="H52" s="55" t="s">
        <v>1556</v>
      </c>
      <c r="I52" s="61">
        <f>COUNTIF('アプリケーション×製品'!AZ$6:AZ$42,"●")</f>
        <v>1</v>
      </c>
      <c r="J52" s="61">
        <f>COUNTIF('アプリケーション×製品'!AZ$6:AZ$42,"○")</f>
        <v>0</v>
      </c>
    </row>
    <row r="53" ht="15.75" customHeight="1">
      <c r="A53" s="54" t="s">
        <v>2924</v>
      </c>
      <c r="B53" s="55" t="s">
        <v>2602</v>
      </c>
      <c r="C53" s="55" t="s">
        <v>2920</v>
      </c>
      <c r="D53" s="56" t="s">
        <v>2925</v>
      </c>
      <c r="E53" s="58" t="s">
        <v>2926</v>
      </c>
      <c r="F53" s="58" t="s">
        <v>2927</v>
      </c>
      <c r="G53" s="55" t="s">
        <v>2928</v>
      </c>
      <c r="H53" s="55" t="s">
        <v>1556</v>
      </c>
      <c r="I53" s="61">
        <f>COUNTIF('アプリケーション×製品'!BA$6:BA$42,"●")</f>
        <v>0</v>
      </c>
      <c r="J53" s="61">
        <f>COUNTIF('アプリケーション×製品'!BA$6:BA$42,"○")</f>
        <v>1</v>
      </c>
    </row>
    <row r="54" ht="15.75" customHeight="1">
      <c r="A54" s="54" t="s">
        <v>2929</v>
      </c>
      <c r="B54" s="55" t="s">
        <v>2602</v>
      </c>
      <c r="C54" s="55" t="s">
        <v>2920</v>
      </c>
      <c r="D54" s="56" t="s">
        <v>2930</v>
      </c>
      <c r="E54" s="58"/>
      <c r="F54" s="58" t="s">
        <v>2931</v>
      </c>
      <c r="G54" s="55" t="s">
        <v>2889</v>
      </c>
      <c r="H54" s="55" t="s">
        <v>1556</v>
      </c>
      <c r="I54" s="61">
        <f>COUNTIF('アプリケーション×製品'!BB$6:BB$42,"●")</f>
        <v>0</v>
      </c>
      <c r="J54" s="61">
        <f>COUNTIF('アプリケーション×製品'!BB$6:BB$42,"○")</f>
        <v>1</v>
      </c>
    </row>
    <row r="55" ht="15.75" customHeight="1">
      <c r="A55" s="54" t="s">
        <v>2932</v>
      </c>
      <c r="B55" s="55" t="s">
        <v>2602</v>
      </c>
      <c r="C55" s="55" t="s">
        <v>2920</v>
      </c>
      <c r="D55" s="56" t="s">
        <v>2933</v>
      </c>
      <c r="E55" s="58"/>
      <c r="F55" s="58" t="s">
        <v>2934</v>
      </c>
      <c r="G55" s="55" t="s">
        <v>2935</v>
      </c>
      <c r="H55" s="55" t="s">
        <v>1556</v>
      </c>
      <c r="I55" s="61">
        <f>COUNTIF('アプリケーション×製品'!BC$6:BC$42,"●")</f>
        <v>0</v>
      </c>
      <c r="J55" s="61">
        <f>COUNTIF('アプリケーション×製品'!BC$6:BC$42,"○")</f>
        <v>2</v>
      </c>
    </row>
    <row r="56" ht="15.75" customHeight="1">
      <c r="A56" s="54" t="s">
        <v>2936</v>
      </c>
      <c r="B56" s="55" t="s">
        <v>2602</v>
      </c>
      <c r="C56" s="55" t="s">
        <v>2920</v>
      </c>
      <c r="D56" s="56" t="s">
        <v>2937</v>
      </c>
      <c r="E56" s="58" t="s">
        <v>2938</v>
      </c>
      <c r="F56" s="58" t="s">
        <v>2939</v>
      </c>
      <c r="G56" s="55" t="s">
        <v>2940</v>
      </c>
      <c r="H56" s="55" t="s">
        <v>1556</v>
      </c>
      <c r="I56" s="61">
        <f>COUNTIF('アプリケーション×製品'!BD$6:BD$42,"●")</f>
        <v>0</v>
      </c>
      <c r="J56" s="61">
        <f>COUNTIF('アプリケーション×製品'!BD$6:BD$42,"○")</f>
        <v>2</v>
      </c>
    </row>
    <row r="57" ht="15.75" customHeight="1">
      <c r="A57" s="54" t="s">
        <v>2941</v>
      </c>
      <c r="B57" s="55" t="s">
        <v>2602</v>
      </c>
      <c r="C57" s="55" t="s">
        <v>2942</v>
      </c>
      <c r="D57" s="56" t="s">
        <v>2943</v>
      </c>
      <c r="E57" s="58"/>
      <c r="F57" s="58" t="s">
        <v>2944</v>
      </c>
      <c r="G57" s="55" t="s">
        <v>82</v>
      </c>
      <c r="H57" s="55" t="s">
        <v>2945</v>
      </c>
      <c r="I57" s="61">
        <f>COUNTIF('アプリケーション×製品'!BE$6:BE$42,"●")</f>
        <v>0</v>
      </c>
      <c r="J57" s="61">
        <f>COUNTIF('アプリケーション×製品'!BE$6:BE$42,"○")</f>
        <v>0</v>
      </c>
    </row>
    <row r="58" ht="15.75" customHeight="1">
      <c r="A58" s="54" t="s">
        <v>2946</v>
      </c>
      <c r="B58" s="55" t="s">
        <v>2602</v>
      </c>
      <c r="C58" s="55" t="s">
        <v>2942</v>
      </c>
      <c r="D58" s="56" t="s">
        <v>2947</v>
      </c>
      <c r="E58" s="58" t="s">
        <v>2948</v>
      </c>
      <c r="F58" s="58" t="s">
        <v>2949</v>
      </c>
      <c r="G58" s="55" t="s">
        <v>82</v>
      </c>
      <c r="H58" s="55" t="s">
        <v>1721</v>
      </c>
      <c r="I58" s="61">
        <f>COUNTIF('アプリケーション×製品'!BF$6:BF$42,"●")</f>
        <v>0</v>
      </c>
      <c r="J58" s="61">
        <f>COUNTIF('アプリケーション×製品'!BF$6:BF$42,"○")</f>
        <v>0</v>
      </c>
    </row>
    <row r="59" ht="15.75" customHeight="1">
      <c r="A59" s="54" t="s">
        <v>2950</v>
      </c>
      <c r="B59" s="55" t="s">
        <v>2602</v>
      </c>
      <c r="C59" s="55" t="s">
        <v>2942</v>
      </c>
      <c r="D59" s="56" t="s">
        <v>2951</v>
      </c>
      <c r="E59" s="58" t="s">
        <v>2952</v>
      </c>
      <c r="F59" s="58" t="s">
        <v>2953</v>
      </c>
      <c r="G59" s="55" t="s">
        <v>82</v>
      </c>
      <c r="H59" s="55" t="s">
        <v>1721</v>
      </c>
      <c r="I59" s="61">
        <f>COUNTIF('アプリケーション×製品'!BG$6:BG$42,"●")</f>
        <v>0</v>
      </c>
      <c r="J59" s="61">
        <f>COUNTIF('アプリケーション×製品'!BG$6:BG$42,"○")</f>
        <v>0</v>
      </c>
    </row>
    <row r="60" ht="15.75" customHeight="1">
      <c r="A60" s="54" t="s">
        <v>2954</v>
      </c>
      <c r="B60" s="55" t="s">
        <v>2602</v>
      </c>
      <c r="C60" s="55" t="s">
        <v>2942</v>
      </c>
      <c r="D60" s="56" t="s">
        <v>2955</v>
      </c>
      <c r="E60" s="58" t="s">
        <v>2956</v>
      </c>
      <c r="F60" s="58" t="s">
        <v>2957</v>
      </c>
      <c r="G60" s="55" t="s">
        <v>82</v>
      </c>
      <c r="H60" s="55" t="s">
        <v>1721</v>
      </c>
      <c r="I60" s="61">
        <f>COUNTIF('アプリケーション×製品'!BH$6:BH$42,"●")</f>
        <v>0</v>
      </c>
      <c r="J60" s="61">
        <f>COUNTIF('アプリケーション×製品'!BH$6:BH$42,"○")</f>
        <v>1</v>
      </c>
    </row>
    <row r="61" ht="15.75" customHeight="1">
      <c r="A61" s="54" t="s">
        <v>2958</v>
      </c>
      <c r="B61" s="55" t="s">
        <v>2602</v>
      </c>
      <c r="C61" s="55" t="s">
        <v>2942</v>
      </c>
      <c r="D61" s="56" t="s">
        <v>2959</v>
      </c>
      <c r="E61" s="58" t="s">
        <v>2956</v>
      </c>
      <c r="F61" s="58" t="s">
        <v>2960</v>
      </c>
      <c r="G61" s="55" t="s">
        <v>82</v>
      </c>
      <c r="H61" s="55" t="s">
        <v>1721</v>
      </c>
      <c r="I61" s="61">
        <f>COUNTIF('アプリケーション×製品'!BI$6:BI$42,"●")</f>
        <v>0</v>
      </c>
      <c r="J61" s="61">
        <f>COUNTIF('アプリケーション×製品'!BI$6:BI$42,"○")</f>
        <v>2</v>
      </c>
    </row>
    <row r="62" ht="15.75" customHeight="1">
      <c r="A62" s="54" t="s">
        <v>2961</v>
      </c>
      <c r="B62" s="55" t="s">
        <v>2602</v>
      </c>
      <c r="C62" s="55" t="s">
        <v>2942</v>
      </c>
      <c r="D62" s="56" t="s">
        <v>2962</v>
      </c>
      <c r="E62" s="58" t="s">
        <v>2956</v>
      </c>
      <c r="F62" s="58" t="s">
        <v>2963</v>
      </c>
      <c r="G62" s="55" t="s">
        <v>82</v>
      </c>
      <c r="H62" s="55" t="s">
        <v>1721</v>
      </c>
      <c r="I62" s="61">
        <f>COUNTIF('アプリケーション×製品'!BJ$6:BJ$42,"●")</f>
        <v>0</v>
      </c>
      <c r="J62" s="61">
        <f>COUNTIF('アプリケーション×製品'!BJ$6:BJ$42,"○")</f>
        <v>1</v>
      </c>
    </row>
    <row r="63" ht="15.75" customHeight="1">
      <c r="A63" s="54" t="s">
        <v>2964</v>
      </c>
      <c r="B63" s="55" t="s">
        <v>2602</v>
      </c>
      <c r="C63" s="55" t="s">
        <v>2942</v>
      </c>
      <c r="D63" s="56" t="s">
        <v>2965</v>
      </c>
      <c r="E63" s="58" t="s">
        <v>2956</v>
      </c>
      <c r="F63" s="58" t="s">
        <v>2966</v>
      </c>
      <c r="G63" s="55" t="s">
        <v>82</v>
      </c>
      <c r="H63" s="55" t="s">
        <v>2967</v>
      </c>
      <c r="I63" s="61">
        <f>COUNTIF('アプリケーション×製品'!BK$6:BK$42,"●")</f>
        <v>0</v>
      </c>
      <c r="J63" s="61">
        <f>COUNTIF('アプリケーション×製品'!BK$6:BK$42,"○")</f>
        <v>1</v>
      </c>
    </row>
    <row r="64" ht="15.75" customHeight="1">
      <c r="A64" s="54" t="s">
        <v>2968</v>
      </c>
      <c r="B64" s="55" t="s">
        <v>2602</v>
      </c>
      <c r="C64" s="55" t="s">
        <v>2942</v>
      </c>
      <c r="D64" s="56" t="s">
        <v>2969</v>
      </c>
      <c r="E64" s="58"/>
      <c r="F64" s="58" t="s">
        <v>2970</v>
      </c>
      <c r="G64" s="55" t="s">
        <v>82</v>
      </c>
      <c r="H64" s="55" t="s">
        <v>2971</v>
      </c>
      <c r="I64" s="61">
        <f>COUNTIF('アプリケーション×製品'!BL$6:BL$42,"●")</f>
        <v>0</v>
      </c>
      <c r="J64" s="61">
        <f>COUNTIF('アプリケーション×製品'!BL$6:BL$42,"○")</f>
        <v>0</v>
      </c>
    </row>
    <row r="65" ht="15.75" customHeight="1">
      <c r="A65" s="54" t="s">
        <v>2972</v>
      </c>
      <c r="B65" s="55" t="s">
        <v>2602</v>
      </c>
      <c r="C65" s="55" t="s">
        <v>2973</v>
      </c>
      <c r="D65" s="56" t="s">
        <v>2974</v>
      </c>
      <c r="E65" s="58"/>
      <c r="F65" s="58" t="s">
        <v>2975</v>
      </c>
      <c r="G65" s="55" t="s">
        <v>2976</v>
      </c>
      <c r="H65" s="55" t="s">
        <v>2977</v>
      </c>
      <c r="I65" s="61">
        <f>COUNTIF('アプリケーション×製品'!BM$6:BM$42,"●")</f>
        <v>1</v>
      </c>
      <c r="J65" s="61">
        <f>COUNTIF('アプリケーション×製品'!BM$6:BM$42,"○")</f>
        <v>0</v>
      </c>
    </row>
    <row r="66" ht="15.75" customHeight="1">
      <c r="A66" s="54" t="s">
        <v>2978</v>
      </c>
      <c r="B66" s="55" t="s">
        <v>2979</v>
      </c>
      <c r="C66" s="55" t="s">
        <v>2920</v>
      </c>
      <c r="D66" s="56" t="s">
        <v>2980</v>
      </c>
      <c r="E66" s="58" t="s">
        <v>2981</v>
      </c>
      <c r="F66" s="58" t="s">
        <v>2982</v>
      </c>
      <c r="G66" s="55" t="s">
        <v>2983</v>
      </c>
      <c r="H66" s="55" t="s">
        <v>2984</v>
      </c>
      <c r="I66" s="61">
        <f>COUNTIF('アプリケーション×製品'!BN$6:BN$42,"●")</f>
        <v>0</v>
      </c>
      <c r="J66" s="61">
        <f>COUNTIF('アプリケーション×製品'!BN$6:BN$42,"○")</f>
        <v>1</v>
      </c>
    </row>
    <row r="67" ht="15.75" customHeight="1">
      <c r="A67" s="54" t="s">
        <v>2985</v>
      </c>
      <c r="B67" s="55" t="s">
        <v>2986</v>
      </c>
      <c r="C67" s="55" t="s">
        <v>2987</v>
      </c>
      <c r="D67" s="56" t="s">
        <v>2988</v>
      </c>
      <c r="E67" s="58"/>
      <c r="F67" s="58" t="s">
        <v>2989</v>
      </c>
      <c r="G67" s="55" t="s">
        <v>82</v>
      </c>
      <c r="H67" s="55" t="s">
        <v>2321</v>
      </c>
      <c r="I67" s="61">
        <f>COUNTIF('アプリケーション×製品'!BO$6:BO$42,"●")</f>
        <v>1</v>
      </c>
      <c r="J67" s="61">
        <f>COUNTIF('アプリケーション×製品'!BO$6:BO$42,"○")</f>
        <v>1</v>
      </c>
    </row>
    <row r="68" ht="15.75" customHeight="1">
      <c r="A68" s="54" t="s">
        <v>2990</v>
      </c>
      <c r="B68" s="55" t="s">
        <v>2986</v>
      </c>
      <c r="C68" s="55" t="s">
        <v>2987</v>
      </c>
      <c r="D68" s="56" t="s">
        <v>2991</v>
      </c>
      <c r="E68" s="58"/>
      <c r="F68" s="58" t="s">
        <v>2992</v>
      </c>
      <c r="G68" s="55" t="s">
        <v>82</v>
      </c>
      <c r="H68" s="55" t="s">
        <v>2321</v>
      </c>
      <c r="I68" s="61">
        <f>COUNTIF('アプリケーション×製品'!BP$6:BP$42,"●")</f>
        <v>0</v>
      </c>
      <c r="J68" s="61">
        <f>COUNTIF('アプリケーション×製品'!BP$6:BP$42,"○")</f>
        <v>1</v>
      </c>
    </row>
    <row r="69" ht="15.75" customHeight="1">
      <c r="A69" s="54" t="s">
        <v>2993</v>
      </c>
      <c r="B69" s="55" t="s">
        <v>2986</v>
      </c>
      <c r="C69" s="55" t="s">
        <v>2987</v>
      </c>
      <c r="D69" s="56" t="s">
        <v>2994</v>
      </c>
      <c r="E69" s="58"/>
      <c r="F69" s="58" t="s">
        <v>2995</v>
      </c>
      <c r="G69" s="55" t="s">
        <v>82</v>
      </c>
      <c r="H69" s="55" t="s">
        <v>2321</v>
      </c>
      <c r="I69" s="61">
        <f>COUNTIF('アプリケーション×製品'!BQ$6:BQ$42,"●")</f>
        <v>0</v>
      </c>
      <c r="J69" s="61">
        <f>COUNTIF('アプリケーション×製品'!BQ$6:BQ$42,"○")</f>
        <v>2</v>
      </c>
    </row>
    <row r="70" ht="15.75" customHeight="1">
      <c r="A70" s="54" t="s">
        <v>2996</v>
      </c>
      <c r="B70" s="55" t="s">
        <v>2997</v>
      </c>
      <c r="C70" s="55" t="s">
        <v>2998</v>
      </c>
      <c r="D70" s="56" t="s">
        <v>2997</v>
      </c>
      <c r="E70" s="58"/>
      <c r="F70" s="58" t="s">
        <v>2999</v>
      </c>
      <c r="G70" s="55" t="s">
        <v>82</v>
      </c>
      <c r="H70" s="55" t="s">
        <v>3000</v>
      </c>
      <c r="I70" s="61">
        <f>COUNTIF('アプリケーション×製品'!BR$6:BR$42,"●")</f>
        <v>2</v>
      </c>
      <c r="J70" s="61">
        <f>COUNTIF('アプリケーション×製品'!BR$6:BR$42,"○")</f>
        <v>0</v>
      </c>
    </row>
    <row r="71" ht="15.75" customHeight="1">
      <c r="A71" s="54" t="s">
        <v>3001</v>
      </c>
      <c r="B71" s="55" t="s">
        <v>3002</v>
      </c>
      <c r="C71" s="55" t="s">
        <v>2998</v>
      </c>
      <c r="D71" s="56" t="s">
        <v>3003</v>
      </c>
      <c r="E71" s="58"/>
      <c r="F71" s="58" t="s">
        <v>2002</v>
      </c>
      <c r="G71" s="55" t="s">
        <v>82</v>
      </c>
      <c r="H71" s="55" t="s">
        <v>3000</v>
      </c>
      <c r="I71" s="61">
        <f>COUNTIF('アプリケーション×製品'!BS$6:BS$42,"●")</f>
        <v>1</v>
      </c>
      <c r="J71" s="61">
        <f>COUNTIF('アプリケーション×製品'!BS$6:BS$42,"○")</f>
        <v>0</v>
      </c>
    </row>
    <row r="72" ht="15.75" customHeight="1">
      <c r="A72" s="54" t="s">
        <v>3004</v>
      </c>
      <c r="B72" s="55" t="s">
        <v>3005</v>
      </c>
      <c r="C72" s="55" t="s">
        <v>2998</v>
      </c>
      <c r="D72" s="56" t="s">
        <v>3005</v>
      </c>
      <c r="E72" s="58"/>
      <c r="F72" s="58" t="s">
        <v>3006</v>
      </c>
      <c r="G72" s="55" t="s">
        <v>82</v>
      </c>
      <c r="H72" s="55" t="s">
        <v>3000</v>
      </c>
      <c r="I72" s="61">
        <f>COUNTIF('アプリケーション×製品'!BT$6:BT$42,"●")</f>
        <v>1</v>
      </c>
      <c r="J72" s="61">
        <f>COUNTIF('アプリケーション×製品'!BT$6:BT$42,"○")</f>
        <v>1</v>
      </c>
    </row>
    <row r="73" ht="15.75" customHeight="1">
      <c r="A73" s="54" t="s">
        <v>3007</v>
      </c>
      <c r="B73" s="55" t="s">
        <v>3008</v>
      </c>
      <c r="C73" s="55" t="s">
        <v>2998</v>
      </c>
      <c r="D73" s="56" t="s">
        <v>3009</v>
      </c>
      <c r="E73" s="58"/>
      <c r="F73" s="58" t="s">
        <v>2693</v>
      </c>
      <c r="G73" s="55" t="s">
        <v>82</v>
      </c>
      <c r="H73" s="55" t="s">
        <v>3000</v>
      </c>
      <c r="I73" s="61">
        <f>COUNTIF('アプリケーション×製品'!BU$6:BU$42,"●")</f>
        <v>1</v>
      </c>
      <c r="J73" s="61">
        <f>COUNTIF('アプリケーション×製品'!BU$6:BU$42,"○")</f>
        <v>0</v>
      </c>
    </row>
    <row r="74" ht="15.75" customHeight="1">
      <c r="A74" s="54" t="s">
        <v>3010</v>
      </c>
      <c r="B74" s="55" t="s">
        <v>3011</v>
      </c>
      <c r="C74" s="55" t="s">
        <v>2998</v>
      </c>
      <c r="D74" s="56" t="s">
        <v>3012</v>
      </c>
      <c r="E74" s="58"/>
      <c r="F74" s="58" t="s">
        <v>2693</v>
      </c>
      <c r="G74" s="55" t="s">
        <v>82</v>
      </c>
      <c r="H74" s="55" t="s">
        <v>3000</v>
      </c>
      <c r="I74" s="61">
        <f>COUNTIF('アプリケーション×製品'!BV$6:BV$42,"●")</f>
        <v>1</v>
      </c>
      <c r="J74" s="61">
        <f>COUNTIF('アプリケーション×製品'!BV$6:BV$42,"○")</f>
        <v>0</v>
      </c>
    </row>
    <row r="75" ht="15.75" customHeight="1">
      <c r="A75" s="54" t="s">
        <v>3013</v>
      </c>
      <c r="B75" s="55" t="s">
        <v>3014</v>
      </c>
      <c r="C75" s="55" t="s">
        <v>2998</v>
      </c>
      <c r="D75" s="56" t="s">
        <v>3014</v>
      </c>
      <c r="E75" s="58"/>
      <c r="F75" s="58" t="s">
        <v>3015</v>
      </c>
      <c r="G75" s="55" t="s">
        <v>82</v>
      </c>
      <c r="H75" s="55" t="s">
        <v>3000</v>
      </c>
      <c r="I75" s="61">
        <f>COUNTIF('アプリケーション×製品'!BW$6:BW$42,"●")</f>
        <v>1</v>
      </c>
      <c r="J75" s="61">
        <f>COUNTIF('アプリケーション×製品'!BW$6:BW$42,"○")</f>
        <v>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5"/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28.0"/>
    <col customWidth="1" min="4" max="40" width="4.57"/>
    <col customWidth="1" min="41" max="42" width="7.43"/>
  </cols>
  <sheetData>
    <row r="1" ht="21.0" customHeight="1">
      <c r="A1" s="1" t="s">
        <v>3016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5.0" customHeight="1">
      <c r="A2" s="4" t="s">
        <v>3017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ht="29.25" customHeight="1">
      <c r="A4" s="62" t="s">
        <v>99</v>
      </c>
      <c r="B4" s="62" t="s">
        <v>96</v>
      </c>
      <c r="C4" s="62" t="s">
        <v>102</v>
      </c>
      <c r="D4" s="63" t="s">
        <v>2214</v>
      </c>
      <c r="E4" s="64"/>
      <c r="F4" s="65"/>
      <c r="G4" s="73" t="s">
        <v>2218</v>
      </c>
      <c r="H4" s="63" t="s">
        <v>2221</v>
      </c>
      <c r="I4" s="64"/>
      <c r="J4" s="64"/>
      <c r="K4" s="64"/>
      <c r="L4" s="64"/>
      <c r="M4" s="64"/>
      <c r="N4" s="65"/>
      <c r="O4" s="63" t="s">
        <v>552</v>
      </c>
      <c r="P4" s="65"/>
      <c r="Q4" s="63" t="s">
        <v>2227</v>
      </c>
      <c r="R4" s="65"/>
      <c r="S4" s="63" t="s">
        <v>603</v>
      </c>
      <c r="T4" s="64"/>
      <c r="U4" s="64"/>
      <c r="V4" s="65"/>
      <c r="W4" s="63" t="s">
        <v>666</v>
      </c>
      <c r="X4" s="64"/>
      <c r="Y4" s="65"/>
      <c r="Z4" s="63" t="s">
        <v>2764</v>
      </c>
      <c r="AA4" s="64"/>
      <c r="AB4" s="65"/>
      <c r="AC4" s="63" t="s">
        <v>2788</v>
      </c>
      <c r="AD4" s="64"/>
      <c r="AE4" s="64"/>
      <c r="AF4" s="65"/>
      <c r="AG4" s="63" t="s">
        <v>2817</v>
      </c>
      <c r="AH4" s="64"/>
      <c r="AI4" s="64"/>
      <c r="AJ4" s="64"/>
      <c r="AK4" s="64"/>
      <c r="AL4" s="64"/>
      <c r="AM4" s="64"/>
      <c r="AN4" s="65"/>
      <c r="AO4" s="66" t="s">
        <v>2175</v>
      </c>
      <c r="AP4" s="66" t="s">
        <v>2176</v>
      </c>
    </row>
    <row r="5" ht="214.5" customHeight="1">
      <c r="A5" s="67"/>
      <c r="B5" s="67"/>
      <c r="C5" s="67"/>
      <c r="D5" s="68" t="str">
        <f>'アプリケーション'!C4</f>
        <v>電子実験ノート</v>
      </c>
      <c r="E5" s="68" t="str">
        <f>'アプリケーション'!C5</f>
        <v>生物学的物質登録</v>
      </c>
      <c r="F5" s="68" t="str">
        <f>'アプリケーション'!C6</f>
        <v>科学データ解析基盤</v>
      </c>
      <c r="G5" s="68" t="str">
        <f>'アプリケーション'!C7</f>
        <v>非臨床試験管理</v>
      </c>
      <c r="H5" s="68" t="str">
        <f>'アプリケーション'!C8</f>
        <v>PK/PD解析・モデリング</v>
      </c>
      <c r="I5" s="68" t="str">
        <f>'アプリケーション'!C9</f>
        <v>臨床試験管理</v>
      </c>
      <c r="J5" s="68" t="str">
        <f>'アプリケーション'!C10</f>
        <v>臨床データ収集</v>
      </c>
      <c r="K5" s="68" t="str">
        <f>'アプリケーション'!C11</f>
        <v>無作為化・治験薬供給</v>
      </c>
      <c r="L5" s="68" t="str">
        <f>'アプリケーション'!C12</f>
        <v>電子治験マスターファイル</v>
      </c>
      <c r="M5" s="68" t="str">
        <f>'アプリケーション'!C13</f>
        <v>統計解析環境</v>
      </c>
      <c r="N5" s="68" t="str">
        <f>'アプリケーション'!C14</f>
        <v>患者レジストリ・RWD基盤</v>
      </c>
      <c r="O5" s="68" t="str">
        <f>'アプリケーション'!C15</f>
        <v>薬事情報管理</v>
      </c>
      <c r="P5" s="68" t="str">
        <f>'アプリケーション'!C16</f>
        <v>申請出版</v>
      </c>
      <c r="Q5" s="68" t="str">
        <f>'アプリケーション'!C17</f>
        <v>安全性データベース</v>
      </c>
      <c r="R5" s="68" t="str">
        <f>'アプリケーション'!C18</f>
        <v>シグナル検出</v>
      </c>
      <c r="S5" s="68" t="str">
        <f>'アプリケーション'!C19</f>
        <v>製造実行システム</v>
      </c>
      <c r="T5" s="68" t="str">
        <f>'アプリケーション'!C20</f>
        <v>工程データ管理</v>
      </c>
      <c r="U5" s="68" t="str">
        <f>'アプリケーション'!C21</f>
        <v>設備・環境管理</v>
      </c>
      <c r="V5" s="68" t="str">
        <f>'アプリケーション'!C22</f>
        <v>ラベル・アートワーク管理</v>
      </c>
      <c r="W5" s="68" t="str">
        <f>'アプリケーション'!C23</f>
        <v>品質マネジメントシステム</v>
      </c>
      <c r="X5" s="68" t="str">
        <f>'アプリケーション'!C24</f>
        <v>バリデーション管理</v>
      </c>
      <c r="Y5" s="68" t="str">
        <f>'アプリケーション'!C25</f>
        <v>試験室情報管理</v>
      </c>
      <c r="Z5" s="68" t="str">
        <f>'アプリケーション'!C26</f>
        <v>需給計画</v>
      </c>
      <c r="AA5" s="68" t="str">
        <f>'アプリケーション'!C27</f>
        <v>倉庫・物流管理</v>
      </c>
      <c r="AB5" s="68" t="str">
        <f>'アプリケーション'!C28</f>
        <v>シリアライゼーション</v>
      </c>
      <c r="AC5" s="68" t="str">
        <f>'アプリケーション'!C29</f>
        <v>顧客関係管理</v>
      </c>
      <c r="AD5" s="68" t="str">
        <f>'アプリケーション'!C30</f>
        <v>患者支援（ハブ）</v>
      </c>
      <c r="AE5" s="68" t="str">
        <f>'アプリケーション'!C31</f>
        <v>価格・契約・政府価格報告</v>
      </c>
      <c r="AF5" s="68" t="str">
        <f>'アプリケーション'!C32</f>
        <v>販促資材審査</v>
      </c>
      <c r="AG5" s="68" t="str">
        <f>'アプリケーション'!C33</f>
        <v>ERP</v>
      </c>
      <c r="AH5" s="68" t="str">
        <f>'アプリケーション'!C34</f>
        <v>マスタデータ管理</v>
      </c>
      <c r="AI5" s="68" t="str">
        <f>'アプリケーション'!C35</f>
        <v>GxP文書管理</v>
      </c>
      <c r="AJ5" s="68" t="str">
        <f>'アプリケーション'!C36</f>
        <v>教育管理</v>
      </c>
      <c r="AK5" s="68" t="str">
        <f>'アプリケーション'!C37</f>
        <v>データ・分析基盤</v>
      </c>
      <c r="AL5" s="68" t="str">
        <f>'アプリケーション'!C38</f>
        <v>ポートフォリオ・プロジェクト管理</v>
      </c>
      <c r="AM5" s="68" t="str">
        <f>'アプリケーション'!C39</f>
        <v>契約管理</v>
      </c>
      <c r="AN5" s="68" t="str">
        <f>'アプリケーション'!C40</f>
        <v>知財管理</v>
      </c>
      <c r="AO5" s="67"/>
      <c r="AP5" s="67"/>
    </row>
    <row r="6" ht="15.0" customHeight="1">
      <c r="A6" s="69" t="s">
        <v>2314</v>
      </c>
      <c r="B6" s="54" t="s">
        <v>42</v>
      </c>
      <c r="C6" s="70" t="str">
        <f t="array" ref="C6">IFERROR(INDEX('ケイパビリティマップ'!$E:$E,MATCH(B6,'ケイパビリティマップ'!$A:$A,0)),"（IDなし）")</f>
        <v>研究開発ポートフォリオ管理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 t="s">
        <v>3018</v>
      </c>
      <c r="AL6" s="71" t="s">
        <v>28</v>
      </c>
      <c r="AM6" s="71"/>
      <c r="AN6" s="71"/>
      <c r="AO6" s="61">
        <f t="shared" ref="AO6:AO58" si="1">COUNTIF(D6:AN6,"●")</f>
        <v>1</v>
      </c>
      <c r="AP6" s="61">
        <f t="shared" ref="AP6:AP58" si="2">COUNTIF(D6:AN6,"○")</f>
        <v>1</v>
      </c>
    </row>
    <row r="7" ht="15.0" customHeight="1">
      <c r="A7" s="69"/>
      <c r="B7" s="54" t="s">
        <v>92</v>
      </c>
      <c r="C7" s="70" t="str">
        <f t="array" ref="C7">IFERROR(INDEX('ケイパビリティマップ'!$E:$E,MATCH(B7,'ケイパビリティマップ'!$A:$A,0)),"（IDなし）")</f>
        <v>知財・独占期間管理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 t="s">
        <v>3018</v>
      </c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 t="s">
        <v>28</v>
      </c>
      <c r="AO7" s="61">
        <f t="shared" si="1"/>
        <v>1</v>
      </c>
      <c r="AP7" s="61">
        <f t="shared" si="2"/>
        <v>1</v>
      </c>
    </row>
    <row r="8" ht="15.0" customHeight="1">
      <c r="A8" s="69"/>
      <c r="B8" s="54" t="s">
        <v>133</v>
      </c>
      <c r="C8" s="70" t="str">
        <f t="array" ref="C8">IFERROR(INDEX('ケイパビリティマップ'!$E:$E,MATCH(B8,'ケイパビリティマップ'!$A:$A,0)),"（IDなし）")</f>
        <v>外部パートナー管理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 t="s">
        <v>3018</v>
      </c>
      <c r="X8" s="71"/>
      <c r="Y8" s="71"/>
      <c r="Z8" s="71"/>
      <c r="AA8" s="71"/>
      <c r="AB8" s="71"/>
      <c r="AC8" s="71"/>
      <c r="AD8" s="71"/>
      <c r="AE8" s="71"/>
      <c r="AF8" s="71"/>
      <c r="AG8" s="71" t="s">
        <v>3018</v>
      </c>
      <c r="AH8" s="71"/>
      <c r="AI8" s="71"/>
      <c r="AJ8" s="71"/>
      <c r="AK8" s="71"/>
      <c r="AL8" s="71"/>
      <c r="AM8" s="71" t="s">
        <v>28</v>
      </c>
      <c r="AN8" s="71"/>
      <c r="AO8" s="61">
        <f t="shared" si="1"/>
        <v>1</v>
      </c>
      <c r="AP8" s="61">
        <f t="shared" si="2"/>
        <v>2</v>
      </c>
    </row>
    <row r="9" ht="15.0" customHeight="1">
      <c r="A9" s="69" t="s">
        <v>2384</v>
      </c>
      <c r="B9" s="54" t="s">
        <v>188</v>
      </c>
      <c r="C9" s="70" t="str">
        <f t="array" ref="C9">IFERROR(INDEX('ケイパビリティマップ'!$E:$E,MATCH(B9,'ケイパビリティマップ'!$A:$A,0)),"（IDなし）")</f>
        <v>疾患・標的研究★</v>
      </c>
      <c r="D9" s="71" t="s">
        <v>28</v>
      </c>
      <c r="E9" s="71"/>
      <c r="F9" s="71" t="s">
        <v>28</v>
      </c>
      <c r="G9" s="71"/>
      <c r="H9" s="71"/>
      <c r="I9" s="71"/>
      <c r="J9" s="71"/>
      <c r="K9" s="71"/>
      <c r="L9" s="71"/>
      <c r="M9" s="71"/>
      <c r="N9" s="71" t="s">
        <v>3018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61">
        <f t="shared" si="1"/>
        <v>2</v>
      </c>
      <c r="AP9" s="61">
        <f t="shared" si="2"/>
        <v>1</v>
      </c>
    </row>
    <row r="10" ht="15.0" customHeight="1">
      <c r="A10" s="69"/>
      <c r="B10" s="54" t="s">
        <v>212</v>
      </c>
      <c r="C10" s="70" t="str">
        <f t="array" ref="C10">IFERROR(INDEX('ケイパビリティマップ'!$E:$E,MATCH(B10,'ケイパビリティマップ'!$A:$A,0)),"（IDなし）")</f>
        <v>抗体創出</v>
      </c>
      <c r="D10" s="71" t="s">
        <v>28</v>
      </c>
      <c r="E10" s="71" t="s">
        <v>28</v>
      </c>
      <c r="F10" s="71" t="s">
        <v>3018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61">
        <f t="shared" si="1"/>
        <v>2</v>
      </c>
      <c r="AP10" s="61">
        <f t="shared" si="2"/>
        <v>1</v>
      </c>
    </row>
    <row r="11" ht="15.0" customHeight="1">
      <c r="A11" s="69"/>
      <c r="B11" s="54" t="s">
        <v>233</v>
      </c>
      <c r="C11" s="70" t="str">
        <f t="array" ref="C11">IFERROR(INDEX('ケイパビリティマップ'!$E:$E,MATCH(B11,'ケイパビリティマップ'!$A:$A,0)),"（IDなし）")</f>
        <v>抗体エンジニアリング</v>
      </c>
      <c r="D11" s="71" t="s">
        <v>28</v>
      </c>
      <c r="E11" s="71" t="s">
        <v>28</v>
      </c>
      <c r="F11" s="71" t="s">
        <v>3018</v>
      </c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61">
        <f t="shared" si="1"/>
        <v>2</v>
      </c>
      <c r="AP11" s="61">
        <f t="shared" si="2"/>
        <v>1</v>
      </c>
    </row>
    <row r="12" ht="15.0" customHeight="1">
      <c r="A12" s="69"/>
      <c r="B12" s="54" t="s">
        <v>247</v>
      </c>
      <c r="C12" s="70" t="str">
        <f t="array" ref="C12">IFERROR(INDEX('ケイパビリティマップ'!$E:$E,MATCH(B12,'ケイパビリティマップ'!$A:$A,0)),"（IDなし）")</f>
        <v>疾患モデル・薬効評価</v>
      </c>
      <c r="D12" s="71" t="s">
        <v>28</v>
      </c>
      <c r="E12" s="71"/>
      <c r="F12" s="71" t="s">
        <v>3018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61">
        <f t="shared" si="1"/>
        <v>1</v>
      </c>
      <c r="AP12" s="61">
        <f t="shared" si="2"/>
        <v>1</v>
      </c>
    </row>
    <row r="13" ht="15.0" customHeight="1">
      <c r="A13" s="69"/>
      <c r="B13" s="54" t="s">
        <v>267</v>
      </c>
      <c r="C13" s="70" t="str">
        <f t="array" ref="C13">IFERROR(INDEX('ケイパビリティマップ'!$E:$E,MATCH(B13,'ケイパビリティマップ'!$A:$A,0)),"（IDなし）")</f>
        <v>開発適性・免疫原性リスク評価</v>
      </c>
      <c r="D13" s="71" t="s">
        <v>28</v>
      </c>
      <c r="E13" s="71"/>
      <c r="F13" s="71" t="s">
        <v>28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61">
        <f t="shared" si="1"/>
        <v>2</v>
      </c>
      <c r="AP13" s="61">
        <f t="shared" si="2"/>
        <v>0</v>
      </c>
    </row>
    <row r="14" ht="15.0" customHeight="1">
      <c r="A14" s="69" t="s">
        <v>2443</v>
      </c>
      <c r="B14" s="54" t="s">
        <v>284</v>
      </c>
      <c r="C14" s="70" t="str">
        <f t="array" ref="C14">IFERROR(INDEX('ケイパビリティマップ'!$E:$E,MATCH(B14,'ケイパビリティマップ'!$A:$A,0)),"（IDなし）")</f>
        <v>非臨床薬理評価</v>
      </c>
      <c r="D14" s="71" t="s">
        <v>3018</v>
      </c>
      <c r="E14" s="71"/>
      <c r="F14" s="71"/>
      <c r="G14" s="71" t="s">
        <v>28</v>
      </c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61">
        <f t="shared" si="1"/>
        <v>1</v>
      </c>
      <c r="AP14" s="61">
        <f t="shared" si="2"/>
        <v>1</v>
      </c>
    </row>
    <row r="15" ht="15.0" customHeight="1">
      <c r="A15" s="69"/>
      <c r="B15" s="54" t="s">
        <v>298</v>
      </c>
      <c r="C15" s="70" t="str">
        <f t="array" ref="C15">IFERROR(INDEX('ケイパビリティマップ'!$E:$E,MATCH(B15,'ケイパビリティマップ'!$A:$A,0)),"（IDなし）")</f>
        <v>非臨床安全性評価</v>
      </c>
      <c r="D15" s="71"/>
      <c r="E15" s="71"/>
      <c r="F15" s="71"/>
      <c r="G15" s="71" t="s">
        <v>28</v>
      </c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 t="s">
        <v>3018</v>
      </c>
      <c r="AJ15" s="71"/>
      <c r="AK15" s="71"/>
      <c r="AL15" s="71"/>
      <c r="AM15" s="71"/>
      <c r="AN15" s="71"/>
      <c r="AO15" s="61">
        <f t="shared" si="1"/>
        <v>1</v>
      </c>
      <c r="AP15" s="61">
        <f t="shared" si="2"/>
        <v>1</v>
      </c>
    </row>
    <row r="16" ht="15.0" customHeight="1">
      <c r="A16" s="69"/>
      <c r="B16" s="54" t="s">
        <v>318</v>
      </c>
      <c r="C16" s="70" t="str">
        <f t="array" ref="C16">IFERROR(INDEX('ケイパビリティマップ'!$E:$E,MATCH(B16,'ケイパビリティマップ'!$A:$A,0)),"（IDなし）")</f>
        <v>バイオアナリシス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 t="s">
        <v>28</v>
      </c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61">
        <f t="shared" si="1"/>
        <v>1</v>
      </c>
      <c r="AP16" s="61">
        <f t="shared" si="2"/>
        <v>0</v>
      </c>
    </row>
    <row r="17" ht="15.0" customHeight="1">
      <c r="A17" s="69"/>
      <c r="B17" s="54" t="s">
        <v>338</v>
      </c>
      <c r="C17" s="70" t="str">
        <f t="array" ref="C17">IFERROR(INDEX('ケイパビリティマップ'!$E:$E,MATCH(B17,'ケイパビリティマップ'!$A:$A,0)),"（IDなし）")</f>
        <v>臨床薬理・ファーマコメトリクス</v>
      </c>
      <c r="D17" s="71"/>
      <c r="E17" s="71"/>
      <c r="F17" s="71"/>
      <c r="G17" s="71"/>
      <c r="H17" s="71" t="s">
        <v>28</v>
      </c>
      <c r="I17" s="71"/>
      <c r="J17" s="71"/>
      <c r="K17" s="71"/>
      <c r="L17" s="71"/>
      <c r="M17" s="71" t="s">
        <v>3018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61">
        <f t="shared" si="1"/>
        <v>1</v>
      </c>
      <c r="AP17" s="61">
        <f t="shared" si="2"/>
        <v>1</v>
      </c>
    </row>
    <row r="18" ht="15.0" customHeight="1">
      <c r="A18" s="69" t="s">
        <v>2486</v>
      </c>
      <c r="B18" s="54" t="s">
        <v>352</v>
      </c>
      <c r="C18" s="70" t="str">
        <f t="array" ref="C18">IFERROR(INDEX('ケイパビリティマップ'!$E:$E,MATCH(B18,'ケイパビリティマップ'!$A:$A,0)),"（IDなし）")</f>
        <v>細胞株開発・セルバンク管理</v>
      </c>
      <c r="D18" s="71" t="s">
        <v>28</v>
      </c>
      <c r="E18" s="71" t="s">
        <v>3018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 t="s">
        <v>3018</v>
      </c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61">
        <f t="shared" si="1"/>
        <v>1</v>
      </c>
      <c r="AP18" s="61">
        <f t="shared" si="2"/>
        <v>2</v>
      </c>
    </row>
    <row r="19" ht="15.0" customHeight="1">
      <c r="A19" s="69"/>
      <c r="B19" s="54" t="s">
        <v>397</v>
      </c>
      <c r="C19" s="70" t="str">
        <f t="array" ref="C19">IFERROR(INDEX('ケイパビリティマップ'!$E:$E,MATCH(B19,'ケイパビリティマップ'!$A:$A,0)),"（IDなし）")</f>
        <v>原薬プロセス開発</v>
      </c>
      <c r="D19" s="71" t="s">
        <v>28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 t="s">
        <v>3018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 t="s">
        <v>3018</v>
      </c>
      <c r="AL19" s="71"/>
      <c r="AM19" s="71"/>
      <c r="AN19" s="71"/>
      <c r="AO19" s="61">
        <f t="shared" si="1"/>
        <v>1</v>
      </c>
      <c r="AP19" s="61">
        <f t="shared" si="2"/>
        <v>2</v>
      </c>
    </row>
    <row r="20" ht="15.0" customHeight="1">
      <c r="A20" s="69"/>
      <c r="B20" s="54" t="s">
        <v>413</v>
      </c>
      <c r="C20" s="70" t="str">
        <f t="array" ref="C20">IFERROR(INDEX('ケイパビリティマップ'!$E:$E,MATCH(B20,'ケイパビリティマップ'!$A:$A,0)),"（IDなし）")</f>
        <v>製剤・デバイス開発</v>
      </c>
      <c r="D20" s="71" t="s">
        <v>28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 t="s">
        <v>3018</v>
      </c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61">
        <f t="shared" si="1"/>
        <v>1</v>
      </c>
      <c r="AP20" s="61">
        <f t="shared" si="2"/>
        <v>1</v>
      </c>
    </row>
    <row r="21" ht="15.0" customHeight="1">
      <c r="A21" s="69"/>
      <c r="B21" s="54" t="s">
        <v>431</v>
      </c>
      <c r="C21" s="70" t="str">
        <f t="array" ref="C21">IFERROR(INDEX('ケイパビリティマップ'!$E:$E,MATCH(B21,'ケイパビリティマップ'!$A:$A,0)),"（IDなし）")</f>
        <v>分析法開発・品質特性評価</v>
      </c>
      <c r="D21" s="71" t="s">
        <v>28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 t="s">
        <v>28</v>
      </c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61">
        <f t="shared" si="1"/>
        <v>2</v>
      </c>
      <c r="AP21" s="61">
        <f t="shared" si="2"/>
        <v>0</v>
      </c>
    </row>
    <row r="22" ht="15.0" customHeight="1">
      <c r="A22" s="69"/>
      <c r="B22" s="54" t="s">
        <v>445</v>
      </c>
      <c r="C22" s="70" t="str">
        <f t="array" ref="C22">IFERROR(INDEX('ケイパビリティマップ'!$E:$E,MATCH(B22,'ケイパビリティマップ'!$A:$A,0)),"（IDなし）")</f>
        <v>技術移転・製造規模管理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 t="s">
        <v>28</v>
      </c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 t="s">
        <v>3018</v>
      </c>
      <c r="AJ22" s="71"/>
      <c r="AK22" s="71"/>
      <c r="AL22" s="71"/>
      <c r="AM22" s="71"/>
      <c r="AN22" s="71"/>
      <c r="AO22" s="61">
        <f t="shared" si="1"/>
        <v>1</v>
      </c>
      <c r="AP22" s="61">
        <f t="shared" si="2"/>
        <v>1</v>
      </c>
    </row>
    <row r="23" ht="15.0" customHeight="1">
      <c r="A23" s="69" t="s">
        <v>2531</v>
      </c>
      <c r="B23" s="54" t="s">
        <v>456</v>
      </c>
      <c r="C23" s="70" t="str">
        <f t="array" ref="C23">IFERROR(INDEX('ケイパビリティマップ'!$E:$E,MATCH(B23,'ケイパビリティマップ'!$A:$A,0)),"（IDなし）")</f>
        <v>臨床開発戦略・試験デザイン</v>
      </c>
      <c r="D23" s="71"/>
      <c r="E23" s="71"/>
      <c r="F23" s="71"/>
      <c r="G23" s="71"/>
      <c r="H23" s="71"/>
      <c r="I23" s="71" t="s">
        <v>3018</v>
      </c>
      <c r="J23" s="71"/>
      <c r="K23" s="71"/>
      <c r="L23" s="71"/>
      <c r="M23" s="71" t="s">
        <v>3018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 t="s">
        <v>28</v>
      </c>
      <c r="AJ23" s="71"/>
      <c r="AK23" s="71"/>
      <c r="AL23" s="71"/>
      <c r="AM23" s="71"/>
      <c r="AN23" s="71"/>
      <c r="AO23" s="61">
        <f t="shared" si="1"/>
        <v>1</v>
      </c>
      <c r="AP23" s="61">
        <f t="shared" si="2"/>
        <v>2</v>
      </c>
    </row>
    <row r="24" ht="15.0" customHeight="1">
      <c r="A24" s="69"/>
      <c r="B24" s="54" t="s">
        <v>472</v>
      </c>
      <c r="C24" s="70" t="str">
        <f t="array" ref="C24">IFERROR(INDEX('ケイパビリティマップ'!$E:$E,MATCH(B24,'ケイパビリティマップ'!$A:$A,0)),"（IDなし）")</f>
        <v>患者エビデンス管理★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 t="s">
        <v>28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 t="s">
        <v>3018</v>
      </c>
      <c r="AL24" s="71"/>
      <c r="AM24" s="71"/>
      <c r="AN24" s="71"/>
      <c r="AO24" s="61">
        <f t="shared" si="1"/>
        <v>1</v>
      </c>
      <c r="AP24" s="61">
        <f t="shared" si="2"/>
        <v>1</v>
      </c>
    </row>
    <row r="25" ht="15.0" customHeight="1">
      <c r="A25" s="69"/>
      <c r="B25" s="54" t="s">
        <v>485</v>
      </c>
      <c r="C25" s="70" t="str">
        <f t="array" ref="C25">IFERROR(INDEX('ケイパビリティマップ'!$E:$E,MATCH(B25,'ケイパビリティマップ'!$A:$A,0)),"（IDなし）")</f>
        <v>患者特定・組入れ★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 t="s">
        <v>28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 t="s">
        <v>3018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61">
        <f t="shared" si="1"/>
        <v>1</v>
      </c>
      <c r="AP25" s="61">
        <f t="shared" si="2"/>
        <v>1</v>
      </c>
    </row>
    <row r="26" ht="15.0" customHeight="1">
      <c r="A26" s="69"/>
      <c r="B26" s="54" t="s">
        <v>494</v>
      </c>
      <c r="C26" s="70" t="str">
        <f t="array" ref="C26">IFERROR(INDEX('ケイパビリティマップ'!$E:$E,MATCH(B26,'ケイパビリティマップ'!$A:$A,0)),"（IDなし）")</f>
        <v>臨床試験運営</v>
      </c>
      <c r="D26" s="71"/>
      <c r="E26" s="71"/>
      <c r="F26" s="71"/>
      <c r="G26" s="71"/>
      <c r="H26" s="71"/>
      <c r="I26" s="71" t="s">
        <v>28</v>
      </c>
      <c r="J26" s="71" t="s">
        <v>3018</v>
      </c>
      <c r="K26" s="71"/>
      <c r="L26" s="71" t="s">
        <v>28</v>
      </c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61">
        <f t="shared" si="1"/>
        <v>2</v>
      </c>
      <c r="AP26" s="61">
        <f t="shared" si="2"/>
        <v>1</v>
      </c>
    </row>
    <row r="27" ht="15.0" customHeight="1">
      <c r="A27" s="69"/>
      <c r="B27" s="54" t="s">
        <v>510</v>
      </c>
      <c r="C27" s="70" t="str">
        <f t="array" ref="C27">IFERROR(INDEX('ケイパビリティマップ'!$E:$E,MATCH(B27,'ケイパビリティマップ'!$A:$A,0)),"（IDなし）")</f>
        <v>臨床データマネジメント・統計解析</v>
      </c>
      <c r="D27" s="71"/>
      <c r="E27" s="71"/>
      <c r="F27" s="71"/>
      <c r="G27" s="71"/>
      <c r="H27" s="71"/>
      <c r="I27" s="71"/>
      <c r="J27" s="71" t="s">
        <v>28</v>
      </c>
      <c r="K27" s="71"/>
      <c r="L27" s="71"/>
      <c r="M27" s="71" t="s">
        <v>28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61">
        <f t="shared" si="1"/>
        <v>2</v>
      </c>
      <c r="AP27" s="61">
        <f t="shared" si="2"/>
        <v>0</v>
      </c>
    </row>
    <row r="28" ht="15.0" customHeight="1">
      <c r="A28" s="69"/>
      <c r="B28" s="54" t="s">
        <v>532</v>
      </c>
      <c r="C28" s="70" t="str">
        <f t="array" ref="C28">IFERROR(INDEX('ケイパビリティマップ'!$E:$E,MATCH(B28,'ケイパビリティマップ'!$A:$A,0)),"（IDなし）")</f>
        <v>治験薬供給管理</v>
      </c>
      <c r="D28" s="71"/>
      <c r="E28" s="71"/>
      <c r="F28" s="71"/>
      <c r="G28" s="71"/>
      <c r="H28" s="71"/>
      <c r="I28" s="71"/>
      <c r="J28" s="71"/>
      <c r="K28" s="71" t="s">
        <v>28</v>
      </c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 t="s">
        <v>3018</v>
      </c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 t="s">
        <v>3018</v>
      </c>
      <c r="AH28" s="71"/>
      <c r="AI28" s="71"/>
      <c r="AJ28" s="71"/>
      <c r="AK28" s="71"/>
      <c r="AL28" s="71"/>
      <c r="AM28" s="71"/>
      <c r="AN28" s="71"/>
      <c r="AO28" s="61">
        <f t="shared" si="1"/>
        <v>1</v>
      </c>
      <c r="AP28" s="61">
        <f t="shared" si="2"/>
        <v>2</v>
      </c>
    </row>
    <row r="29" ht="15.0" customHeight="1">
      <c r="A29" s="69" t="s">
        <v>2572</v>
      </c>
      <c r="B29" s="54" t="s">
        <v>551</v>
      </c>
      <c r="C29" s="70" t="str">
        <f t="array" ref="C29">IFERROR(INDEX('ケイパビリティマップ'!$E:$E,MATCH(B29,'ケイパビリティマップ'!$A:$A,0)),"（IDなし）")</f>
        <v>薬事戦略・当局対応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 t="s">
        <v>28</v>
      </c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61">
        <f t="shared" si="1"/>
        <v>1</v>
      </c>
      <c r="AP29" s="61">
        <f t="shared" si="2"/>
        <v>0</v>
      </c>
    </row>
    <row r="30" ht="15.0" customHeight="1">
      <c r="A30" s="69"/>
      <c r="B30" s="54" t="s">
        <v>563</v>
      </c>
      <c r="C30" s="70" t="str">
        <f t="array" ref="C30">IFERROR(INDEX('ケイパビリティマップ'!$E:$E,MATCH(B30,'ケイパビリティマップ'!$A:$A,0)),"（IDなし）")</f>
        <v>申請資料作成・管理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 t="s">
        <v>3018</v>
      </c>
      <c r="P30" s="71" t="s">
        <v>28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 t="s">
        <v>28</v>
      </c>
      <c r="AJ30" s="71"/>
      <c r="AK30" s="71"/>
      <c r="AL30" s="71"/>
      <c r="AM30" s="71"/>
      <c r="AN30" s="71"/>
      <c r="AO30" s="61">
        <f t="shared" si="1"/>
        <v>2</v>
      </c>
      <c r="AP30" s="61">
        <f t="shared" si="2"/>
        <v>1</v>
      </c>
    </row>
    <row r="31" ht="15.0" customHeight="1">
      <c r="A31" s="69"/>
      <c r="B31" s="54" t="s">
        <v>574</v>
      </c>
      <c r="C31" s="70" t="str">
        <f t="array" ref="C31">IFERROR(INDEX('ケイパビリティマップ'!$E:$E,MATCH(B31,'ケイパビリティマップ'!$A:$A,0)),"（IDなし）")</f>
        <v>ラベリング管理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 t="s">
        <v>28</v>
      </c>
      <c r="P31" s="71"/>
      <c r="Q31" s="71"/>
      <c r="R31" s="71"/>
      <c r="S31" s="71"/>
      <c r="T31" s="71"/>
      <c r="U31" s="71"/>
      <c r="V31" s="71" t="s">
        <v>28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 t="s">
        <v>3018</v>
      </c>
      <c r="AJ31" s="71"/>
      <c r="AK31" s="71"/>
      <c r="AL31" s="71"/>
      <c r="AM31" s="71"/>
      <c r="AN31" s="71"/>
      <c r="AO31" s="61">
        <f t="shared" si="1"/>
        <v>2</v>
      </c>
      <c r="AP31" s="61">
        <f t="shared" si="2"/>
        <v>1</v>
      </c>
    </row>
    <row r="32" ht="15.0" customHeight="1">
      <c r="A32" s="69"/>
      <c r="B32" s="54" t="s">
        <v>587</v>
      </c>
      <c r="C32" s="70" t="str">
        <f t="array" ref="C32">IFERROR(INDEX('ケイパビリティマップ'!$E:$E,MATCH(B32,'ケイパビリティマップ'!$A:$A,0)),"（IDなし）")</f>
        <v>市販後薬事コンプライアンス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 t="s">
        <v>28</v>
      </c>
      <c r="P32" s="71"/>
      <c r="Q32" s="71" t="s">
        <v>3018</v>
      </c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61">
        <f t="shared" si="1"/>
        <v>1</v>
      </c>
      <c r="AP32" s="61">
        <f t="shared" si="2"/>
        <v>1</v>
      </c>
    </row>
    <row r="33" ht="15.0" customHeight="1">
      <c r="A33" s="69" t="s">
        <v>2573</v>
      </c>
      <c r="B33" s="54" t="s">
        <v>601</v>
      </c>
      <c r="C33" s="70" t="str">
        <f t="array" ref="C33">IFERROR(INDEX('ケイパビリティマップ'!$E:$E,MATCH(B33,'ケイパビリティマップ'!$A:$A,0)),"（IDなし）")</f>
        <v>生産計画・製造実行管理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28</v>
      </c>
      <c r="T33" s="71"/>
      <c r="U33" s="71"/>
      <c r="V33" s="71"/>
      <c r="W33" s="71"/>
      <c r="X33" s="71"/>
      <c r="Y33" s="71"/>
      <c r="Z33" s="71" t="s">
        <v>3018</v>
      </c>
      <c r="AA33" s="71"/>
      <c r="AB33" s="71"/>
      <c r="AC33" s="71"/>
      <c r="AD33" s="71"/>
      <c r="AE33" s="71"/>
      <c r="AF33" s="71"/>
      <c r="AG33" s="71" t="s">
        <v>28</v>
      </c>
      <c r="AH33" s="71"/>
      <c r="AI33" s="71"/>
      <c r="AJ33" s="71"/>
      <c r="AK33" s="71"/>
      <c r="AL33" s="71"/>
      <c r="AM33" s="71"/>
      <c r="AN33" s="71"/>
      <c r="AO33" s="61">
        <f t="shared" si="1"/>
        <v>2</v>
      </c>
      <c r="AP33" s="61">
        <f t="shared" si="2"/>
        <v>1</v>
      </c>
    </row>
    <row r="34" ht="15.0" customHeight="1">
      <c r="A34" s="69"/>
      <c r="B34" s="54" t="s">
        <v>617</v>
      </c>
      <c r="C34" s="70" t="str">
        <f t="array" ref="C34">IFERROR(INDEX('ケイパビリティマップ'!$E:$E,MATCH(B34,'ケイパビリティマップ'!$A:$A,0)),"（IDなし）")</f>
        <v>原薬製造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 t="s">
        <v>28</v>
      </c>
      <c r="T34" s="71" t="s">
        <v>28</v>
      </c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61">
        <f t="shared" si="1"/>
        <v>2</v>
      </c>
      <c r="AP34" s="61">
        <f t="shared" si="2"/>
        <v>0</v>
      </c>
    </row>
    <row r="35" ht="15.0" customHeight="1">
      <c r="A35" s="69"/>
      <c r="B35" s="54" t="s">
        <v>628</v>
      </c>
      <c r="C35" s="70" t="str">
        <f t="array" ref="C35">IFERROR(INDEX('ケイパビリティマップ'!$E:$E,MATCH(B35,'ケイパビリティマップ'!$A:$A,0)),"（IDなし）")</f>
        <v>製剤化・無菌充填・包装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 t="s">
        <v>28</v>
      </c>
      <c r="T35" s="71" t="s">
        <v>3018</v>
      </c>
      <c r="U35" s="71" t="s">
        <v>3018</v>
      </c>
      <c r="V35" s="71"/>
      <c r="W35" s="71"/>
      <c r="X35" s="71"/>
      <c r="Y35" s="71"/>
      <c r="Z35" s="71"/>
      <c r="AA35" s="71"/>
      <c r="AB35" s="71" t="s">
        <v>3018</v>
      </c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61">
        <f t="shared" si="1"/>
        <v>1</v>
      </c>
      <c r="AP35" s="61">
        <f t="shared" si="2"/>
        <v>3</v>
      </c>
    </row>
    <row r="36" ht="15.0" customHeight="1">
      <c r="A36" s="69"/>
      <c r="B36" s="54" t="s">
        <v>656</v>
      </c>
      <c r="C36" s="70" t="str">
        <f t="array" ref="C36">IFERROR(INDEX('ケイパビリティマップ'!$E:$E,MATCH(B36,'ケイパビリティマップ'!$A:$A,0)),"（IDなし）")</f>
        <v>設備・環境管理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 t="s">
        <v>28</v>
      </c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61">
        <f t="shared" si="1"/>
        <v>1</v>
      </c>
      <c r="AP36" s="61">
        <f t="shared" si="2"/>
        <v>0</v>
      </c>
    </row>
    <row r="37" ht="15.0" customHeight="1">
      <c r="A37" s="69" t="s">
        <v>2574</v>
      </c>
      <c r="B37" s="54" t="s">
        <v>665</v>
      </c>
      <c r="C37" s="70" t="str">
        <f t="array" ref="C37">IFERROR(INDEX('ケイパビリティマップ'!$E:$E,MATCH(B37,'ケイパビリティマップ'!$A:$A,0)),"（IDなし）")</f>
        <v>品質管理（試験・安定性）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 t="s">
        <v>28</v>
      </c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61">
        <f t="shared" si="1"/>
        <v>1</v>
      </c>
      <c r="AP37" s="61">
        <f t="shared" si="2"/>
        <v>0</v>
      </c>
    </row>
    <row r="38" ht="15.0" customHeight="1">
      <c r="A38" s="69"/>
      <c r="B38" s="54" t="s">
        <v>681</v>
      </c>
      <c r="C38" s="70" t="str">
        <f t="array" ref="C38">IFERROR(INDEX('ケイパビリティマップ'!$E:$E,MATCH(B38,'ケイパビリティマップ'!$A:$A,0)),"（IDなし）")</f>
        <v>品質保証（出荷判定・逸脱・変更）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 t="s">
        <v>3018</v>
      </c>
      <c r="T38" s="71"/>
      <c r="U38" s="71"/>
      <c r="V38" s="71"/>
      <c r="W38" s="71" t="s">
        <v>28</v>
      </c>
      <c r="X38" s="71"/>
      <c r="Y38" s="71" t="s">
        <v>3018</v>
      </c>
      <c r="Z38" s="71"/>
      <c r="AA38" s="71"/>
      <c r="AB38" s="71"/>
      <c r="AC38" s="71"/>
      <c r="AD38" s="71"/>
      <c r="AE38" s="71"/>
      <c r="AF38" s="71"/>
      <c r="AG38" s="71" t="s">
        <v>3018</v>
      </c>
      <c r="AH38" s="71"/>
      <c r="AI38" s="71"/>
      <c r="AJ38" s="71"/>
      <c r="AK38" s="71"/>
      <c r="AL38" s="71"/>
      <c r="AM38" s="71"/>
      <c r="AN38" s="71"/>
      <c r="AO38" s="61">
        <f t="shared" si="1"/>
        <v>1</v>
      </c>
      <c r="AP38" s="61">
        <f t="shared" si="2"/>
        <v>3</v>
      </c>
    </row>
    <row r="39" ht="15.0" customHeight="1">
      <c r="A39" s="69"/>
      <c r="B39" s="54" t="s">
        <v>694</v>
      </c>
      <c r="C39" s="70" t="str">
        <f t="array" ref="C39">IFERROR(INDEX('ケイパビリティマップ'!$E:$E,MATCH(B39,'ケイパビリティマップ'!$A:$A,0)),"（IDなし）")</f>
        <v>バリデーション管理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 t="s">
        <v>28</v>
      </c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 t="s">
        <v>3018</v>
      </c>
      <c r="AJ39" s="71"/>
      <c r="AK39" s="71"/>
      <c r="AL39" s="71"/>
      <c r="AM39" s="71"/>
      <c r="AN39" s="71"/>
      <c r="AO39" s="61">
        <f t="shared" si="1"/>
        <v>1</v>
      </c>
      <c r="AP39" s="61">
        <f t="shared" si="2"/>
        <v>1</v>
      </c>
    </row>
    <row r="40" ht="15.0" customHeight="1">
      <c r="A40" s="69"/>
      <c r="B40" s="54" t="s">
        <v>707</v>
      </c>
      <c r="C40" s="70" t="str">
        <f t="array" ref="C40">IFERROR(INDEX('ケイパビリティマップ'!$E:$E,MATCH(B40,'ケイパビリティマップ'!$A:$A,0)),"（IDなし）")</f>
        <v>品質システム・監査管理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 t="s">
        <v>28</v>
      </c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 t="s">
        <v>3018</v>
      </c>
      <c r="AJ40" s="71" t="s">
        <v>3018</v>
      </c>
      <c r="AK40" s="71"/>
      <c r="AL40" s="71"/>
      <c r="AM40" s="71"/>
      <c r="AN40" s="71"/>
      <c r="AO40" s="61">
        <f t="shared" si="1"/>
        <v>1</v>
      </c>
      <c r="AP40" s="61">
        <f t="shared" si="2"/>
        <v>2</v>
      </c>
    </row>
    <row r="41" ht="15.0" customHeight="1">
      <c r="A41" s="69" t="s">
        <v>2575</v>
      </c>
      <c r="B41" s="54" t="s">
        <v>723</v>
      </c>
      <c r="C41" s="70" t="str">
        <f t="array" ref="C41">IFERROR(INDEX('ケイパビリティマップ'!$E:$E,MATCH(B41,'ケイパビリティマップ'!$A:$A,0)),"（IDなし）")</f>
        <v>有害事象管理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 t="s">
        <v>28</v>
      </c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61">
        <f t="shared" si="1"/>
        <v>1</v>
      </c>
      <c r="AP41" s="61">
        <f t="shared" si="2"/>
        <v>0</v>
      </c>
    </row>
    <row r="42" ht="15.0" customHeight="1">
      <c r="A42" s="69"/>
      <c r="B42" s="54" t="s">
        <v>740</v>
      </c>
      <c r="C42" s="70" t="str">
        <f t="array" ref="C42">IFERROR(INDEX('ケイパビリティマップ'!$E:$E,MATCH(B42,'ケイパビリティマップ'!$A:$A,0)),"（IDなし）")</f>
        <v>安全性シグナル・リスク管理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 t="s">
        <v>3018</v>
      </c>
      <c r="O42" s="71"/>
      <c r="P42" s="71"/>
      <c r="Q42" s="71" t="s">
        <v>3018</v>
      </c>
      <c r="R42" s="71" t="s">
        <v>28</v>
      </c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61">
        <f t="shared" si="1"/>
        <v>1</v>
      </c>
      <c r="AP42" s="61">
        <f t="shared" si="2"/>
        <v>2</v>
      </c>
    </row>
    <row r="43" ht="15.0" customHeight="1">
      <c r="A43" s="69" t="s">
        <v>2576</v>
      </c>
      <c r="B43" s="54" t="s">
        <v>758</v>
      </c>
      <c r="C43" s="70" t="str">
        <f t="array" ref="C43">IFERROR(INDEX('ケイパビリティマップ'!$E:$E,MATCH(B43,'ケイパビリティマップ'!$A:$A,0)),"（IDなし）")</f>
        <v>患者団体・専門医連携★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 t="s">
        <v>28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61">
        <f t="shared" si="1"/>
        <v>1</v>
      </c>
      <c r="AP43" s="61">
        <f t="shared" si="2"/>
        <v>0</v>
      </c>
    </row>
    <row r="44" ht="15.0" customHeight="1">
      <c r="A44" s="69"/>
      <c r="B44" s="54" t="s">
        <v>772</v>
      </c>
      <c r="C44" s="70" t="str">
        <f t="array" ref="C44">IFERROR(INDEX('ケイパビリティマップ'!$E:$E,MATCH(B44,'ケイパビリティマップ'!$A:$A,0)),"（IDなし）")</f>
        <v>メディカルアフェアーズ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 t="s">
        <v>28</v>
      </c>
      <c r="AD44" s="71"/>
      <c r="AE44" s="71"/>
      <c r="AF44" s="71" t="s">
        <v>3018</v>
      </c>
      <c r="AG44" s="71"/>
      <c r="AH44" s="71"/>
      <c r="AI44" s="71"/>
      <c r="AJ44" s="71"/>
      <c r="AK44" s="71"/>
      <c r="AL44" s="71"/>
      <c r="AM44" s="71"/>
      <c r="AN44" s="71"/>
      <c r="AO44" s="61">
        <f t="shared" si="1"/>
        <v>1</v>
      </c>
      <c r="AP44" s="61">
        <f t="shared" si="2"/>
        <v>1</v>
      </c>
    </row>
    <row r="45" ht="15.0" customHeight="1">
      <c r="A45" s="69"/>
      <c r="B45" s="54" t="s">
        <v>785</v>
      </c>
      <c r="C45" s="70" t="str">
        <f t="array" ref="C45">IFERROR(INDEX('ケイパビリティマップ'!$E:$E,MATCH(B45,'ケイパビリティマップ'!$A:$A,0)),"（IDなし）")</f>
        <v>疾患啓発・診断支援★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 t="s">
        <v>28</v>
      </c>
      <c r="AD45" s="71"/>
      <c r="AE45" s="71"/>
      <c r="AF45" s="71" t="s">
        <v>3018</v>
      </c>
      <c r="AG45" s="71"/>
      <c r="AH45" s="71" t="s">
        <v>3018</v>
      </c>
      <c r="AI45" s="71"/>
      <c r="AJ45" s="71"/>
      <c r="AK45" s="71"/>
      <c r="AL45" s="71"/>
      <c r="AM45" s="71"/>
      <c r="AN45" s="71"/>
      <c r="AO45" s="61">
        <f t="shared" si="1"/>
        <v>1</v>
      </c>
      <c r="AP45" s="61">
        <f t="shared" si="2"/>
        <v>2</v>
      </c>
    </row>
    <row r="46" ht="15.0" customHeight="1">
      <c r="A46" s="69"/>
      <c r="B46" s="54" t="s">
        <v>802</v>
      </c>
      <c r="C46" s="70" t="str">
        <f t="array" ref="C46">IFERROR(INDEX('ケイパビリティマップ'!$E:$E,MATCH(B46,'ケイパビリティマップ'!$A:$A,0)),"（IDなし）")</f>
        <v>患者支援サービス★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 t="s">
        <v>3018</v>
      </c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 t="s">
        <v>28</v>
      </c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61">
        <f t="shared" si="1"/>
        <v>1</v>
      </c>
      <c r="AP46" s="61">
        <f t="shared" si="2"/>
        <v>1</v>
      </c>
    </row>
    <row r="47" ht="15.0" customHeight="1">
      <c r="A47" s="69" t="s">
        <v>2577</v>
      </c>
      <c r="B47" s="54" t="s">
        <v>816</v>
      </c>
      <c r="C47" s="70" t="str">
        <f t="array" ref="C47">IFERROR(INDEX('ケイパビリティマップ'!$E:$E,MATCH(B47,'ケイパビリティマップ'!$A:$A,0)),"（IDなし）")</f>
        <v>価格・保険者契約管理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 t="s">
        <v>28</v>
      </c>
      <c r="AF47" s="71"/>
      <c r="AG47" s="71"/>
      <c r="AH47" s="71"/>
      <c r="AI47" s="71"/>
      <c r="AJ47" s="71"/>
      <c r="AK47" s="71"/>
      <c r="AL47" s="71"/>
      <c r="AM47" s="71" t="s">
        <v>3018</v>
      </c>
      <c r="AN47" s="71"/>
      <c r="AO47" s="61">
        <f t="shared" si="1"/>
        <v>1</v>
      </c>
      <c r="AP47" s="61">
        <f t="shared" si="2"/>
        <v>1</v>
      </c>
    </row>
    <row r="48" ht="15.0" customHeight="1">
      <c r="A48" s="69"/>
      <c r="B48" s="54" t="s">
        <v>834</v>
      </c>
      <c r="C48" s="70" t="str">
        <f t="array" ref="C48">IFERROR(INDEX('ケイパビリティマップ'!$E:$E,MATCH(B48,'ケイパビリティマップ'!$A:$A,0)),"（IDなし）")</f>
        <v>政府価格報告・政策対応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 t="s">
        <v>28</v>
      </c>
      <c r="AF48" s="71"/>
      <c r="AG48" s="71"/>
      <c r="AH48" s="71"/>
      <c r="AI48" s="71"/>
      <c r="AJ48" s="71"/>
      <c r="AK48" s="71"/>
      <c r="AL48" s="71"/>
      <c r="AM48" s="71"/>
      <c r="AN48" s="71"/>
      <c r="AO48" s="61">
        <f t="shared" si="1"/>
        <v>1</v>
      </c>
      <c r="AP48" s="61">
        <f t="shared" si="2"/>
        <v>0</v>
      </c>
    </row>
    <row r="49" ht="15.0" customHeight="1">
      <c r="A49" s="69"/>
      <c r="B49" s="54" t="s">
        <v>848</v>
      </c>
      <c r="C49" s="70" t="str">
        <f t="array" ref="C49">IFERROR(INDEX('ケイパビリティマップ'!$E:$E,MATCH(B49,'ケイパビリティマップ'!$A:$A,0)),"（IDなし）")</f>
        <v>販促・商業コンプライアンス</v>
      </c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 t="s">
        <v>3018</v>
      </c>
      <c r="AD49" s="71"/>
      <c r="AE49" s="71"/>
      <c r="AF49" s="71" t="s">
        <v>28</v>
      </c>
      <c r="AG49" s="71"/>
      <c r="AH49" s="71"/>
      <c r="AI49" s="71"/>
      <c r="AJ49" s="71"/>
      <c r="AK49" s="71"/>
      <c r="AL49" s="71"/>
      <c r="AM49" s="71"/>
      <c r="AN49" s="71"/>
      <c r="AO49" s="61">
        <f t="shared" si="1"/>
        <v>1</v>
      </c>
      <c r="AP49" s="61">
        <f t="shared" si="2"/>
        <v>1</v>
      </c>
    </row>
    <row r="50" ht="15.0" customHeight="1">
      <c r="A50" s="69"/>
      <c r="B50" s="54" t="s">
        <v>866</v>
      </c>
      <c r="C50" s="70" t="str">
        <f t="array" ref="C50">IFERROR(INDEX('ケイパビリティマップ'!$E:$E,MATCH(B50,'ケイパビリティマップ'!$A:$A,0)),"（IDなし）")</f>
        <v>営業・顧客管理</v>
      </c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 t="s">
        <v>28</v>
      </c>
      <c r="AD50" s="71"/>
      <c r="AE50" s="71"/>
      <c r="AF50" s="71"/>
      <c r="AG50" s="71"/>
      <c r="AH50" s="71" t="s">
        <v>3018</v>
      </c>
      <c r="AI50" s="71"/>
      <c r="AJ50" s="71"/>
      <c r="AK50" s="71"/>
      <c r="AL50" s="71"/>
      <c r="AM50" s="71"/>
      <c r="AN50" s="71"/>
      <c r="AO50" s="61">
        <f t="shared" si="1"/>
        <v>1</v>
      </c>
      <c r="AP50" s="61">
        <f t="shared" si="2"/>
        <v>1</v>
      </c>
    </row>
    <row r="51" ht="15.0" customHeight="1">
      <c r="A51" s="69" t="s">
        <v>2579</v>
      </c>
      <c r="B51" s="54" t="s">
        <v>882</v>
      </c>
      <c r="C51" s="70" t="str">
        <f t="array" ref="C51">IFERROR(INDEX('ケイパビリティマップ'!$E:$E,MATCH(B51,'ケイパビリティマップ'!$A:$A,0)),"（IDなし）")</f>
        <v>需給計画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 t="s">
        <v>28</v>
      </c>
      <c r="AA51" s="71"/>
      <c r="AB51" s="71"/>
      <c r="AC51" s="71"/>
      <c r="AD51" s="71"/>
      <c r="AE51" s="71"/>
      <c r="AF51" s="71"/>
      <c r="AG51" s="71" t="s">
        <v>28</v>
      </c>
      <c r="AH51" s="71"/>
      <c r="AI51" s="71"/>
      <c r="AJ51" s="71"/>
      <c r="AK51" s="71"/>
      <c r="AL51" s="71"/>
      <c r="AM51" s="71"/>
      <c r="AN51" s="71"/>
      <c r="AO51" s="61">
        <f t="shared" si="1"/>
        <v>2</v>
      </c>
      <c r="AP51" s="61">
        <f t="shared" si="2"/>
        <v>0</v>
      </c>
    </row>
    <row r="52" ht="15.0" customHeight="1">
      <c r="A52" s="69"/>
      <c r="B52" s="54" t="s">
        <v>899</v>
      </c>
      <c r="C52" s="70" t="str">
        <f t="array" ref="C52">IFERROR(INDEX('ケイパビリティマップ'!$E:$E,MATCH(B52,'ケイパビリティマップ'!$A:$A,0)),"（IDなし）")</f>
        <v>流通ネットワーク管理★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 t="s">
        <v>3018</v>
      </c>
      <c r="AF52" s="71"/>
      <c r="AG52" s="71" t="s">
        <v>28</v>
      </c>
      <c r="AH52" s="71" t="s">
        <v>3018</v>
      </c>
      <c r="AI52" s="71"/>
      <c r="AJ52" s="71"/>
      <c r="AK52" s="71"/>
      <c r="AL52" s="71"/>
      <c r="AM52" s="71"/>
      <c r="AN52" s="71"/>
      <c r="AO52" s="61">
        <f t="shared" si="1"/>
        <v>1</v>
      </c>
      <c r="AP52" s="61">
        <f t="shared" si="2"/>
        <v>2</v>
      </c>
    </row>
    <row r="53" ht="15.0" customHeight="1">
      <c r="A53" s="69"/>
      <c r="B53" s="54" t="s">
        <v>911</v>
      </c>
      <c r="C53" s="70" t="str">
        <f t="array" ref="C53">IFERROR(INDEX('ケイパビリティマップ'!$E:$E,MATCH(B53,'ケイパビリティマップ'!$A:$A,0)),"（IDなし）")</f>
        <v>コールドチェーン物流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 t="s">
        <v>28</v>
      </c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61">
        <f t="shared" si="1"/>
        <v>1</v>
      </c>
      <c r="AP53" s="61">
        <f t="shared" si="2"/>
        <v>0</v>
      </c>
    </row>
    <row r="54" ht="15.0" customHeight="1">
      <c r="A54" s="69"/>
      <c r="B54" s="54" t="s">
        <v>922</v>
      </c>
      <c r="C54" s="70" t="str">
        <f t="array" ref="C54">IFERROR(INDEX('ケイパビリティマップ'!$E:$E,MATCH(B54,'ケイパビリティマップ'!$A:$A,0)),"（IDなし）")</f>
        <v>トレーサビリティ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 t="s">
        <v>28</v>
      </c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61">
        <f t="shared" si="1"/>
        <v>1</v>
      </c>
      <c r="AP54" s="61">
        <f t="shared" si="2"/>
        <v>0</v>
      </c>
    </row>
    <row r="55" ht="15.0" customHeight="1">
      <c r="A55" s="69"/>
      <c r="B55" s="54" t="s">
        <v>940</v>
      </c>
      <c r="C55" s="70" t="str">
        <f t="array" ref="C55">IFERROR(INDEX('ケイパビリティマップ'!$E:$E,MATCH(B55,'ケイパビリティマップ'!$A:$A,0)),"（IDなし）")</f>
        <v>供給継続・回収管理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 t="s">
        <v>28</v>
      </c>
      <c r="X55" s="71"/>
      <c r="Y55" s="71"/>
      <c r="Z55" s="71" t="s">
        <v>3018</v>
      </c>
      <c r="AA55" s="71"/>
      <c r="AB55" s="71" t="s">
        <v>3018</v>
      </c>
      <c r="AC55" s="71"/>
      <c r="AD55" s="71"/>
      <c r="AE55" s="71"/>
      <c r="AF55" s="71"/>
      <c r="AG55" s="71" t="s">
        <v>3018</v>
      </c>
      <c r="AH55" s="71"/>
      <c r="AI55" s="71"/>
      <c r="AJ55" s="71"/>
      <c r="AK55" s="71"/>
      <c r="AL55" s="71"/>
      <c r="AM55" s="71"/>
      <c r="AN55" s="71"/>
      <c r="AO55" s="61">
        <f t="shared" si="1"/>
        <v>1</v>
      </c>
      <c r="AP55" s="61">
        <f t="shared" si="2"/>
        <v>3</v>
      </c>
    </row>
    <row r="56" ht="15.0" customHeight="1">
      <c r="A56" s="69" t="s">
        <v>2716</v>
      </c>
      <c r="B56" s="54" t="s">
        <v>955</v>
      </c>
      <c r="C56" s="70" t="str">
        <f t="array" ref="C56">IFERROR(INDEX('ケイパビリティマップ'!$E:$E,MATCH(B56,'ケイパビリティマップ'!$A:$A,0)),"（IDなし）")</f>
        <v>情報・データ管理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 t="s">
        <v>28</v>
      </c>
      <c r="AI56" s="71"/>
      <c r="AJ56" s="71"/>
      <c r="AK56" s="71" t="s">
        <v>28</v>
      </c>
      <c r="AL56" s="71"/>
      <c r="AM56" s="71"/>
      <c r="AN56" s="71"/>
      <c r="AO56" s="61">
        <f t="shared" si="1"/>
        <v>2</v>
      </c>
      <c r="AP56" s="61">
        <f t="shared" si="2"/>
        <v>0</v>
      </c>
    </row>
    <row r="57" ht="15.0" customHeight="1">
      <c r="A57" s="69"/>
      <c r="B57" s="54" t="s">
        <v>972</v>
      </c>
      <c r="C57" s="70" t="str">
        <f t="array" ref="C57">IFERROR(INDEX('ケイパビリティマップ'!$E:$E,MATCH(B57,'ケイパビリティマップ'!$A:$A,0)),"（IDなし）")</f>
        <v>GxP文書・記録管理</v>
      </c>
      <c r="D57" s="71"/>
      <c r="E57" s="71"/>
      <c r="F57" s="71"/>
      <c r="G57" s="71"/>
      <c r="H57" s="71"/>
      <c r="I57" s="71"/>
      <c r="J57" s="71"/>
      <c r="K57" s="71"/>
      <c r="L57" s="71" t="s">
        <v>3018</v>
      </c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 t="s">
        <v>28</v>
      </c>
      <c r="AJ57" s="71"/>
      <c r="AK57" s="71"/>
      <c r="AL57" s="71"/>
      <c r="AM57" s="71"/>
      <c r="AN57" s="71"/>
      <c r="AO57" s="61">
        <f t="shared" si="1"/>
        <v>1</v>
      </c>
      <c r="AP57" s="61">
        <f t="shared" si="2"/>
        <v>1</v>
      </c>
    </row>
    <row r="58" ht="15.0" customHeight="1">
      <c r="A58" s="69"/>
      <c r="B58" s="54" t="s">
        <v>991</v>
      </c>
      <c r="C58" s="70" t="str">
        <f t="array" ref="C58">IFERROR(INDEX('ケイパビリティマップ'!$E:$E,MATCH(B58,'ケイパビリティマップ'!$A:$A,0)),"（IDなし）")</f>
        <v>GxP教育・資格管理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 t="s">
        <v>28</v>
      </c>
      <c r="AK58" s="71"/>
      <c r="AL58" s="71"/>
      <c r="AM58" s="71"/>
      <c r="AN58" s="71"/>
      <c r="AO58" s="61">
        <f t="shared" si="1"/>
        <v>1</v>
      </c>
      <c r="AP58" s="61">
        <f t="shared" si="2"/>
        <v>0</v>
      </c>
    </row>
    <row r="59" ht="15.0" customHeight="1">
      <c r="A59" s="3"/>
      <c r="B59" s="3"/>
      <c r="C59" s="69" t="s">
        <v>2175</v>
      </c>
      <c r="D59" s="61">
        <f t="shared" ref="D59:AN59" si="3">COUNTIF(D6:D58,"●")</f>
        <v>9</v>
      </c>
      <c r="E59" s="61">
        <f t="shared" si="3"/>
        <v>2</v>
      </c>
      <c r="F59" s="61">
        <f t="shared" si="3"/>
        <v>2</v>
      </c>
      <c r="G59" s="61">
        <f t="shared" si="3"/>
        <v>2</v>
      </c>
      <c r="H59" s="61">
        <f t="shared" si="3"/>
        <v>1</v>
      </c>
      <c r="I59" s="61">
        <f t="shared" si="3"/>
        <v>1</v>
      </c>
      <c r="J59" s="61">
        <f t="shared" si="3"/>
        <v>1</v>
      </c>
      <c r="K59" s="61">
        <f t="shared" si="3"/>
        <v>1</v>
      </c>
      <c r="L59" s="61">
        <f t="shared" si="3"/>
        <v>1</v>
      </c>
      <c r="M59" s="61">
        <f t="shared" si="3"/>
        <v>1</v>
      </c>
      <c r="N59" s="61">
        <f t="shared" si="3"/>
        <v>2</v>
      </c>
      <c r="O59" s="61">
        <f t="shared" si="3"/>
        <v>3</v>
      </c>
      <c r="P59" s="61">
        <f t="shared" si="3"/>
        <v>1</v>
      </c>
      <c r="Q59" s="61">
        <f t="shared" si="3"/>
        <v>1</v>
      </c>
      <c r="R59" s="61">
        <f t="shared" si="3"/>
        <v>1</v>
      </c>
      <c r="S59" s="61">
        <f t="shared" si="3"/>
        <v>4</v>
      </c>
      <c r="T59" s="61">
        <f t="shared" si="3"/>
        <v>1</v>
      </c>
      <c r="U59" s="61">
        <f t="shared" si="3"/>
        <v>1</v>
      </c>
      <c r="V59" s="61">
        <f t="shared" si="3"/>
        <v>1</v>
      </c>
      <c r="W59" s="61">
        <f t="shared" si="3"/>
        <v>3</v>
      </c>
      <c r="X59" s="61">
        <f t="shared" si="3"/>
        <v>1</v>
      </c>
      <c r="Y59" s="61">
        <f t="shared" si="3"/>
        <v>3</v>
      </c>
      <c r="Z59" s="61">
        <f t="shared" si="3"/>
        <v>1</v>
      </c>
      <c r="AA59" s="61">
        <f t="shared" si="3"/>
        <v>1</v>
      </c>
      <c r="AB59" s="61">
        <f t="shared" si="3"/>
        <v>1</v>
      </c>
      <c r="AC59" s="61">
        <f t="shared" si="3"/>
        <v>4</v>
      </c>
      <c r="AD59" s="61">
        <f t="shared" si="3"/>
        <v>1</v>
      </c>
      <c r="AE59" s="61">
        <f t="shared" si="3"/>
        <v>2</v>
      </c>
      <c r="AF59" s="61">
        <f t="shared" si="3"/>
        <v>1</v>
      </c>
      <c r="AG59" s="61">
        <f t="shared" si="3"/>
        <v>3</v>
      </c>
      <c r="AH59" s="61">
        <f t="shared" si="3"/>
        <v>1</v>
      </c>
      <c r="AI59" s="61">
        <f t="shared" si="3"/>
        <v>3</v>
      </c>
      <c r="AJ59" s="61">
        <f t="shared" si="3"/>
        <v>1</v>
      </c>
      <c r="AK59" s="61">
        <f t="shared" si="3"/>
        <v>1</v>
      </c>
      <c r="AL59" s="61">
        <f t="shared" si="3"/>
        <v>1</v>
      </c>
      <c r="AM59" s="61">
        <f t="shared" si="3"/>
        <v>1</v>
      </c>
      <c r="AN59" s="61">
        <f t="shared" si="3"/>
        <v>1</v>
      </c>
      <c r="AO59" s="3"/>
      <c r="AP59" s="3"/>
    </row>
    <row r="60" ht="15.0" customHeight="1">
      <c r="A60" s="3"/>
      <c r="B60" s="3"/>
      <c r="C60" s="69" t="s">
        <v>2176</v>
      </c>
      <c r="D60" s="61">
        <f t="shared" ref="D60:AN60" si="4">COUNTIF(D6:D58,"○")</f>
        <v>1</v>
      </c>
      <c r="E60" s="61">
        <f t="shared" si="4"/>
        <v>1</v>
      </c>
      <c r="F60" s="61">
        <f t="shared" si="4"/>
        <v>3</v>
      </c>
      <c r="G60" s="61">
        <f t="shared" si="4"/>
        <v>0</v>
      </c>
      <c r="H60" s="61">
        <f t="shared" si="4"/>
        <v>0</v>
      </c>
      <c r="I60" s="61">
        <f t="shared" si="4"/>
        <v>1</v>
      </c>
      <c r="J60" s="61">
        <f t="shared" si="4"/>
        <v>1</v>
      </c>
      <c r="K60" s="61">
        <f t="shared" si="4"/>
        <v>0</v>
      </c>
      <c r="L60" s="61">
        <f t="shared" si="4"/>
        <v>1</v>
      </c>
      <c r="M60" s="61">
        <f t="shared" si="4"/>
        <v>2</v>
      </c>
      <c r="N60" s="61">
        <f t="shared" si="4"/>
        <v>2</v>
      </c>
      <c r="O60" s="61">
        <f t="shared" si="4"/>
        <v>2</v>
      </c>
      <c r="P60" s="61">
        <f t="shared" si="4"/>
        <v>0</v>
      </c>
      <c r="Q60" s="61">
        <f t="shared" si="4"/>
        <v>3</v>
      </c>
      <c r="R60" s="61">
        <f t="shared" si="4"/>
        <v>0</v>
      </c>
      <c r="S60" s="61">
        <f t="shared" si="4"/>
        <v>1</v>
      </c>
      <c r="T60" s="61">
        <f t="shared" si="4"/>
        <v>2</v>
      </c>
      <c r="U60" s="61">
        <f t="shared" si="4"/>
        <v>1</v>
      </c>
      <c r="V60" s="61">
        <f t="shared" si="4"/>
        <v>1</v>
      </c>
      <c r="W60" s="61">
        <f t="shared" si="4"/>
        <v>2</v>
      </c>
      <c r="X60" s="61">
        <f t="shared" si="4"/>
        <v>0</v>
      </c>
      <c r="Y60" s="61">
        <f t="shared" si="4"/>
        <v>2</v>
      </c>
      <c r="Z60" s="61">
        <f t="shared" si="4"/>
        <v>2</v>
      </c>
      <c r="AA60" s="61">
        <f t="shared" si="4"/>
        <v>0</v>
      </c>
      <c r="AB60" s="61">
        <f t="shared" si="4"/>
        <v>2</v>
      </c>
      <c r="AC60" s="61">
        <f t="shared" si="4"/>
        <v>2</v>
      </c>
      <c r="AD60" s="61">
        <f t="shared" si="4"/>
        <v>0</v>
      </c>
      <c r="AE60" s="61">
        <f t="shared" si="4"/>
        <v>1</v>
      </c>
      <c r="AF60" s="61">
        <f t="shared" si="4"/>
        <v>2</v>
      </c>
      <c r="AG60" s="61">
        <f t="shared" si="4"/>
        <v>4</v>
      </c>
      <c r="AH60" s="61">
        <f t="shared" si="4"/>
        <v>3</v>
      </c>
      <c r="AI60" s="61">
        <f t="shared" si="4"/>
        <v>5</v>
      </c>
      <c r="AJ60" s="61">
        <f t="shared" si="4"/>
        <v>1</v>
      </c>
      <c r="AK60" s="61">
        <f t="shared" si="4"/>
        <v>3</v>
      </c>
      <c r="AL60" s="61">
        <f t="shared" si="4"/>
        <v>0</v>
      </c>
      <c r="AM60" s="61">
        <f t="shared" si="4"/>
        <v>1</v>
      </c>
      <c r="AN60" s="61">
        <f t="shared" si="4"/>
        <v>0</v>
      </c>
      <c r="AO60" s="3"/>
      <c r="A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mergeCells count="14">
    <mergeCell ref="S4:V4"/>
    <mergeCell ref="W4:Y4"/>
    <mergeCell ref="Z4:AB4"/>
    <mergeCell ref="AC4:AF4"/>
    <mergeCell ref="AG4:AN4"/>
    <mergeCell ref="AO4:AO5"/>
    <mergeCell ref="AP4:AP5"/>
    <mergeCell ref="A4:A5"/>
    <mergeCell ref="B4:B5"/>
    <mergeCell ref="C4:C5"/>
    <mergeCell ref="D4:F4"/>
    <mergeCell ref="H4:N4"/>
    <mergeCell ref="O4:P4"/>
    <mergeCell ref="Q4:R4"/>
  </mergeCells>
  <conditionalFormatting sqref="D6:AN58">
    <cfRule type="cellIs" dxfId="0" priority="1" operator="equal">
      <formula>"●"</formula>
    </cfRule>
  </conditionalFormatting>
  <dataValidations>
    <dataValidation type="list" allowBlank="1" sqref="D6:AN58">
      <formula1>"●,○"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28.0"/>
    <col customWidth="1" min="4" max="99" width="4.57"/>
    <col customWidth="1" min="100" max="101" width="7.43"/>
  </cols>
  <sheetData>
    <row r="1" ht="21.0" customHeight="1">
      <c r="A1" s="1" t="s">
        <v>3019</v>
      </c>
    </row>
    <row r="2" ht="15.0" customHeight="1">
      <c r="A2" s="4" t="s">
        <v>3020</v>
      </c>
    </row>
    <row r="4" ht="29.25" customHeight="1">
      <c r="A4" s="62" t="s">
        <v>2183</v>
      </c>
      <c r="B4" s="62" t="s">
        <v>8</v>
      </c>
      <c r="C4" s="62" t="s">
        <v>2582</v>
      </c>
      <c r="D4" s="63" t="s">
        <v>2196</v>
      </c>
      <c r="E4" s="64"/>
      <c r="F4" s="64"/>
      <c r="G4" s="64"/>
      <c r="H4" s="64"/>
      <c r="I4" s="65"/>
      <c r="J4" s="63" t="s">
        <v>2214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5"/>
      <c r="V4" s="63" t="s">
        <v>2218</v>
      </c>
      <c r="W4" s="64"/>
      <c r="X4" s="64"/>
      <c r="Y4" s="65"/>
      <c r="Z4" s="63" t="s">
        <v>2219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/>
      <c r="AM4" s="63" t="s">
        <v>2220</v>
      </c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5"/>
      <c r="AZ4" s="63" t="s">
        <v>2221</v>
      </c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5"/>
      <c r="BS4" s="63" t="s">
        <v>552</v>
      </c>
      <c r="BT4" s="64"/>
      <c r="BU4" s="64"/>
      <c r="BV4" s="64"/>
      <c r="BW4" s="64"/>
      <c r="BX4" s="64"/>
      <c r="BY4" s="64"/>
      <c r="BZ4" s="64"/>
      <c r="CA4" s="64"/>
      <c r="CB4" s="65"/>
      <c r="CC4" s="63" t="s">
        <v>2227</v>
      </c>
      <c r="CD4" s="64"/>
      <c r="CE4" s="65"/>
      <c r="CF4" s="63" t="s">
        <v>818</v>
      </c>
      <c r="CG4" s="64"/>
      <c r="CH4" s="64"/>
      <c r="CI4" s="64"/>
      <c r="CJ4" s="64"/>
      <c r="CK4" s="64"/>
      <c r="CL4" s="64"/>
      <c r="CM4" s="64"/>
      <c r="CN4" s="65"/>
      <c r="CO4" s="63" t="s">
        <v>2232</v>
      </c>
      <c r="CP4" s="64"/>
      <c r="CQ4" s="64"/>
      <c r="CR4" s="64"/>
      <c r="CS4" s="64"/>
      <c r="CT4" s="64"/>
      <c r="CU4" s="65"/>
      <c r="CV4" s="66" t="s">
        <v>2233</v>
      </c>
      <c r="CW4" s="66" t="s">
        <v>2234</v>
      </c>
    </row>
    <row r="5" ht="214.5" customHeight="1">
      <c r="A5" s="67"/>
      <c r="B5" s="67"/>
      <c r="C5" s="67"/>
      <c r="D5" s="68" t="str">
        <f>'情報オブジェクト'!C4</f>
        <v>製品マスタ</v>
      </c>
      <c r="E5" s="68" t="str">
        <f>'情報オブジェクト'!C5</f>
        <v>開発判定記録</v>
      </c>
      <c r="F5" s="68" t="str">
        <f>'情報オブジェクト'!C6</f>
        <v>特許・独占期間</v>
      </c>
      <c r="G5" s="68" t="str">
        <f>'情報オブジェクト'!C7</f>
        <v>取引先・施設マスタ</v>
      </c>
      <c r="H5" s="68" t="str">
        <f>'情報オブジェクト'!C8</f>
        <v>契約</v>
      </c>
      <c r="I5" s="68" t="str">
        <f>'情報オブジェクト'!C9</f>
        <v>適応症</v>
      </c>
      <c r="J5" s="68" t="str">
        <f>'情報オブジェクト'!C10</f>
        <v>疾患知見</v>
      </c>
      <c r="K5" s="68" t="str">
        <f>'情報オブジェクト'!C11</f>
        <v>遺伝子・オミクスデータ</v>
      </c>
      <c r="L5" s="68" t="str">
        <f>'情報オブジェクト'!C12</f>
        <v>標的</v>
      </c>
      <c r="M5" s="68" t="str">
        <f>'情報オブジェクト'!C13</f>
        <v>抗原・試薬</v>
      </c>
      <c r="N5" s="68" t="str">
        <f>'情報オブジェクト'!C14</f>
        <v>アッセイ（評価系）</v>
      </c>
      <c r="O5" s="68" t="str">
        <f>'情報オブジェクト'!C15</f>
        <v>抗体分子</v>
      </c>
      <c r="P5" s="68" t="str">
        <f>'情報オブジェクト'!C16</f>
        <v>研究実験データ</v>
      </c>
      <c r="Q5" s="68" t="str">
        <f>'情報オブジェクト'!C17</f>
        <v>疾患モデル</v>
      </c>
      <c r="R5" s="68" t="str">
        <f>'情報オブジェクト'!C18</f>
        <v>in vivo薬効データ</v>
      </c>
      <c r="S5" s="68" t="str">
        <f>'情報オブジェクト'!C19</f>
        <v>免疫原性リスク評価</v>
      </c>
      <c r="T5" s="68" t="str">
        <f>'情報オブジェクト'!C20</f>
        <v>目標製品プロファイル（TPP）</v>
      </c>
      <c r="U5" s="68" t="str">
        <f>'情報オブジェクト'!C21</f>
        <v>疫学データ</v>
      </c>
      <c r="V5" s="68" t="str">
        <f>'情報オブジェクト'!C22</f>
        <v>非臨床試験計画</v>
      </c>
      <c r="W5" s="68" t="str">
        <f>'情報オブジェクト'!C23</f>
        <v>非臨床試験データ</v>
      </c>
      <c r="X5" s="68" t="str">
        <f>'情報オブジェクト'!C24</f>
        <v>非臨床試験報告書</v>
      </c>
      <c r="Y5" s="68" t="str">
        <f>'情報オブジェクト'!C25</f>
        <v>生体試料分析法</v>
      </c>
      <c r="Z5" s="68" t="str">
        <f>'情報オブジェクト'!C26</f>
        <v>発現ベクター・細胞株</v>
      </c>
      <c r="AA5" s="68" t="str">
        <f>'情報オブジェクト'!C27</f>
        <v>セルバンク</v>
      </c>
      <c r="AB5" s="68" t="str">
        <f>'情報オブジェクト'!C28</f>
        <v>プロセス定義</v>
      </c>
      <c r="AC5" s="68" t="str">
        <f>'情報オブジェクト'!C29</f>
        <v>プロセス開発データ</v>
      </c>
      <c r="AD5" s="68" t="str">
        <f>'情報オブジェクト'!C30</f>
        <v>処方・製剤仕様</v>
      </c>
      <c r="AE5" s="68" t="str">
        <f>'情報オブジェクト'!C31</f>
        <v>重要品質特性（CQA）</v>
      </c>
      <c r="AF5" s="68" t="str">
        <f>'情報オブジェクト'!C32</f>
        <v>分析法</v>
      </c>
      <c r="AG5" s="68" t="str">
        <f>'情報オブジェクト'!C33</f>
        <v>標準物質</v>
      </c>
      <c r="AH5" s="68" t="str">
        <f>'情報オブジェクト'!C34</f>
        <v>規格</v>
      </c>
      <c r="AI5" s="68" t="str">
        <f>'情報オブジェクト'!C35</f>
        <v>管理戦略</v>
      </c>
      <c r="AJ5" s="68" t="str">
        <f>'情報オブジェクト'!C36</f>
        <v>安定性データ</v>
      </c>
      <c r="AK5" s="68" t="str">
        <f>'情報オブジェクト'!C37</f>
        <v>CMC技術報告書</v>
      </c>
      <c r="AL5" s="68" t="str">
        <f>'情報オブジェクト'!C38</f>
        <v>マスターバッチレコード</v>
      </c>
      <c r="AM5" s="68" t="str">
        <f>'情報オブジェクト'!C39</f>
        <v>生産計画</v>
      </c>
      <c r="AN5" s="68" t="str">
        <f>'情報オブジェクト'!C40</f>
        <v>原材料・資材</v>
      </c>
      <c r="AO5" s="68" t="str">
        <f>'情報オブジェクト'!C41</f>
        <v>バッチ記録</v>
      </c>
      <c r="AP5" s="68" t="str">
        <f>'情報オブジェクト'!C42</f>
        <v>ロット</v>
      </c>
      <c r="AQ5" s="68" t="str">
        <f>'情報オブジェクト'!C43</f>
        <v>工程データ</v>
      </c>
      <c r="AR5" s="68" t="str">
        <f>'情報オブジェクト'!C44</f>
        <v>試験成績</v>
      </c>
      <c r="AS5" s="68" t="str">
        <f>'情報オブジェクト'!C45</f>
        <v>逸脱・CAPA</v>
      </c>
      <c r="AT5" s="68" t="str">
        <f>'情報オブジェクト'!C46</f>
        <v>変更管理記録</v>
      </c>
      <c r="AU5" s="68" t="str">
        <f>'情報オブジェクト'!C47</f>
        <v>出荷判定記録</v>
      </c>
      <c r="AV5" s="68" t="str">
        <f>'情報オブジェクト'!C48</f>
        <v>バリデーション計画・報告</v>
      </c>
      <c r="AW5" s="68" t="str">
        <f>'情報オブジェクト'!C49</f>
        <v>設備・環境モニタリングデータ</v>
      </c>
      <c r="AX5" s="68" t="str">
        <f>'情報オブジェクト'!C50</f>
        <v>年次製品照査（APR）</v>
      </c>
      <c r="AY5" s="68" t="str">
        <f>'情報オブジェクト'!C51</f>
        <v>包装表示（アートワーク）</v>
      </c>
      <c r="AZ5" s="68" t="str">
        <f>'情報オブジェクト'!C52</f>
        <v>自然歴データ</v>
      </c>
      <c r="BA5" s="68" t="str">
        <f>'情報オブジェクト'!C53</f>
        <v>患者レジストリデータ</v>
      </c>
      <c r="BB5" s="68" t="str">
        <f>'情報オブジェクト'!C54</f>
        <v>候補患者情報</v>
      </c>
      <c r="BC5" s="68" t="str">
        <f>'情報オブジェクト'!C55</f>
        <v>臨床評価指標・バイオマーカー定義</v>
      </c>
      <c r="BD5" s="68" t="str">
        <f>'情報オブジェクト'!C56</f>
        <v>治験実施計画書</v>
      </c>
      <c r="BE5" s="68" t="str">
        <f>'情報オブジェクト'!C57</f>
        <v>治験薬概要書（IB）</v>
      </c>
      <c r="BF5" s="68" t="str">
        <f>'情報オブジェクト'!C58</f>
        <v>試験実施体制</v>
      </c>
      <c r="BG5" s="68" t="str">
        <f>'情報オブジェクト'!C59</f>
        <v>試験登録情報</v>
      </c>
      <c r="BH5" s="68" t="str">
        <f>'情報オブジェクト'!C60</f>
        <v>症例データ</v>
      </c>
      <c r="BI5" s="68" t="str">
        <f>'情報オブジェクト'!C61</f>
        <v>臨床検体分析データ</v>
      </c>
      <c r="BJ5" s="68" t="str">
        <f>'情報オブジェクト'!C62</f>
        <v>臨床データセット</v>
      </c>
      <c r="BK5" s="68" t="str">
        <f>'情報オブジェクト'!C63</f>
        <v>統計解析結果</v>
      </c>
      <c r="BL5" s="68" t="str">
        <f>'情報オブジェクト'!C64</f>
        <v>総括報告書（CSR）</v>
      </c>
      <c r="BM5" s="68" t="str">
        <f>'情報オブジェクト'!C65</f>
        <v>統合解析</v>
      </c>
      <c r="BN5" s="68" t="str">
        <f>'情報オブジェクト'!C66</f>
        <v>ベネフィット・リスク評価</v>
      </c>
      <c r="BO5" s="68" t="str">
        <f>'情報オブジェクト'!C67</f>
        <v>治験薬供給記録</v>
      </c>
      <c r="BP5" s="68" t="str">
        <f>'情報オブジェクト'!C68</f>
        <v>PK/PDモデル・解析結果</v>
      </c>
      <c r="BQ5" s="68" t="str">
        <f>'情報オブジェクト'!C69</f>
        <v>臨床試験</v>
      </c>
      <c r="BR5" s="68" t="str">
        <f>'情報オブジェクト'!C70</f>
        <v>患者・被験者</v>
      </c>
      <c r="BS5" s="68" t="str">
        <f>'情報オブジェクト'!C71</f>
        <v>当局コミュニケーション記録</v>
      </c>
      <c r="BT5" s="68" t="str">
        <f>'情報オブジェクト'!C72</f>
        <v>指定・インセンティブ</v>
      </c>
      <c r="BU5" s="68" t="str">
        <f>'情報オブジェクト'!C73</f>
        <v>IND</v>
      </c>
      <c r="BV5" s="68" t="str">
        <f>'情報オブジェクト'!C74</f>
        <v>申請資料</v>
      </c>
      <c r="BW5" s="68" t="str">
        <f>'情報オブジェクト'!C75</f>
        <v>承認・許可</v>
      </c>
      <c r="BX5" s="68" t="str">
        <f>'情報オブジェクト'!C76</f>
        <v>表示（USPI）</v>
      </c>
      <c r="BY5" s="68" t="str">
        <f>'情報オブジェクト'!C77</f>
        <v>市販後要求・コミットメント（PMR／PMC）</v>
      </c>
      <c r="BZ5" s="68" t="str">
        <f>'情報オブジェクト'!C78</f>
        <v>REMS</v>
      </c>
      <c r="CA5" s="68" t="str">
        <f>'情報オブジェクト'!C79</f>
        <v>査察記録</v>
      </c>
      <c r="CB5" s="68" t="str">
        <f>'情報オブジェクト'!C80</f>
        <v>当局年次報告</v>
      </c>
      <c r="CC5" s="68" t="str">
        <f>'情報オブジェクト'!C81</f>
        <v>有害事象症例</v>
      </c>
      <c r="CD5" s="68" t="str">
        <f>'情報オブジェクト'!C82</f>
        <v>安全性シグナル評価</v>
      </c>
      <c r="CE5" s="68" t="str">
        <f>'情報オブジェクト'!C83</f>
        <v>安全性報告</v>
      </c>
      <c r="CF5" s="68" t="str">
        <f>'情報オブジェクト'!C84</f>
        <v>価格</v>
      </c>
      <c r="CG5" s="68" t="str">
        <f>'情報オブジェクト'!C85</f>
        <v>保険者契約</v>
      </c>
      <c r="CH5" s="68" t="str">
        <f>'情報オブジェクト'!C86</f>
        <v>償還コード</v>
      </c>
      <c r="CI5" s="68" t="str">
        <f>'情報オブジェクト'!C87</f>
        <v>患者支援ケース</v>
      </c>
      <c r="CJ5" s="68" t="str">
        <f>'情報オブジェクト'!C88</f>
        <v>販促・医療情報資材</v>
      </c>
      <c r="CK5" s="68" t="str">
        <f>'情報オブジェクト'!C89</f>
        <v>医療機関・医療従事者マスタ</v>
      </c>
      <c r="CL5" s="68" t="str">
        <f>'情報オブジェクト'!C90</f>
        <v>教育記録</v>
      </c>
      <c r="CM5" s="68" t="str">
        <f>'情報オブジェクト'!C91</f>
        <v>政府価格報告</v>
      </c>
      <c r="CN5" s="68" t="str">
        <f>'情報オブジェクト'!C92</f>
        <v>Medicare価格交渉対象判定</v>
      </c>
      <c r="CO5" s="68" t="str">
        <f>'情報オブジェクト'!C93</f>
        <v>需給計画</v>
      </c>
      <c r="CP5" s="68" t="str">
        <f>'情報オブジェクト'!C94</f>
        <v>在庫</v>
      </c>
      <c r="CQ5" s="68" t="str">
        <f>'情報オブジェクト'!C95</f>
        <v>受注・出荷</v>
      </c>
      <c r="CR5" s="68" t="str">
        <f>'情報オブジェクト'!C96</f>
        <v>温度記録</v>
      </c>
      <c r="CS5" s="68" t="str">
        <f>'情報オブジェクト'!C97</f>
        <v>製品識別子・取引情報（DSCSA）</v>
      </c>
      <c r="CT5" s="68" t="str">
        <f>'情報オブジェクト'!C98</f>
        <v>回収記録</v>
      </c>
      <c r="CU5" s="68" t="str">
        <f>'情報オブジェクト'!C99</f>
        <v>供給継続計画</v>
      </c>
      <c r="CV5" s="67"/>
      <c r="CW5" s="67"/>
    </row>
    <row r="6">
      <c r="A6" s="69" t="s">
        <v>2214</v>
      </c>
      <c r="B6" s="54" t="s">
        <v>2587</v>
      </c>
      <c r="C6" s="70" t="str">
        <f t="array" ref="C6">IFERROR(INDEX('アプリケーション'!$C:$C,MATCH(B6,'アプリケーション'!$A:$A,0)),"（IDなし）")</f>
        <v>電子実験ノート</v>
      </c>
      <c r="D6" s="71"/>
      <c r="E6" s="71" t="s">
        <v>2321</v>
      </c>
      <c r="F6" s="71" t="s">
        <v>2322</v>
      </c>
      <c r="G6" s="71"/>
      <c r="H6" s="71"/>
      <c r="I6" s="71" t="s">
        <v>2321</v>
      </c>
      <c r="J6" s="71" t="s">
        <v>2322</v>
      </c>
      <c r="K6" s="71" t="s">
        <v>2321</v>
      </c>
      <c r="L6" s="71" t="s">
        <v>2321</v>
      </c>
      <c r="M6" s="71" t="s">
        <v>2321</v>
      </c>
      <c r="N6" s="71" t="s">
        <v>2321</v>
      </c>
      <c r="O6" s="71" t="s">
        <v>2321</v>
      </c>
      <c r="P6" s="71" t="s">
        <v>2321</v>
      </c>
      <c r="Q6" s="71" t="s">
        <v>2321</v>
      </c>
      <c r="R6" s="71" t="s">
        <v>2321</v>
      </c>
      <c r="S6" s="71" t="s">
        <v>2321</v>
      </c>
      <c r="T6" s="71" t="s">
        <v>2321</v>
      </c>
      <c r="U6" s="71"/>
      <c r="V6" s="71"/>
      <c r="W6" s="71"/>
      <c r="X6" s="71"/>
      <c r="Y6" s="71"/>
      <c r="Z6" s="71" t="s">
        <v>2321</v>
      </c>
      <c r="AA6" s="71" t="s">
        <v>2321</v>
      </c>
      <c r="AB6" s="71" t="s">
        <v>2321</v>
      </c>
      <c r="AC6" s="71" t="s">
        <v>2321</v>
      </c>
      <c r="AD6" s="71" t="s">
        <v>2321</v>
      </c>
      <c r="AE6" s="71" t="s">
        <v>2321</v>
      </c>
      <c r="AF6" s="71" t="s">
        <v>2321</v>
      </c>
      <c r="AG6" s="71" t="s">
        <v>2321</v>
      </c>
      <c r="AH6" s="71" t="s">
        <v>2321</v>
      </c>
      <c r="AI6" s="71" t="s">
        <v>2321</v>
      </c>
      <c r="AJ6" s="71" t="s">
        <v>2321</v>
      </c>
      <c r="AK6" s="71" t="s">
        <v>2321</v>
      </c>
      <c r="AL6" s="71"/>
      <c r="AM6" s="71"/>
      <c r="AN6" s="71"/>
      <c r="AO6" s="71" t="s">
        <v>2321</v>
      </c>
      <c r="AP6" s="71" t="s">
        <v>2322</v>
      </c>
      <c r="AQ6" s="71"/>
      <c r="AR6" s="71" t="s">
        <v>2322</v>
      </c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61">
        <f t="shared" ref="CV6:CV42" si="1">COUNTIF(D6:CU6,"C")</f>
        <v>25</v>
      </c>
      <c r="CW6" s="61">
        <f t="shared" ref="CW6:CW42" si="2">COUNTIF(D6:CU6,"R")</f>
        <v>4</v>
      </c>
    </row>
    <row r="7">
      <c r="A7" s="69"/>
      <c r="B7" s="54" t="s">
        <v>2606</v>
      </c>
      <c r="C7" s="70" t="str">
        <f t="array" ref="C7">IFERROR(INDEX('アプリケーション'!$C:$C,MATCH(B7,'アプリケーション'!$A:$A,0)),"（IDなし）")</f>
        <v>生物学的物質登録</v>
      </c>
      <c r="D7" s="71"/>
      <c r="E7" s="71" t="s">
        <v>2321</v>
      </c>
      <c r="F7" s="71"/>
      <c r="G7" s="71"/>
      <c r="H7" s="71"/>
      <c r="I7" s="71"/>
      <c r="J7" s="71"/>
      <c r="K7" s="71"/>
      <c r="L7" s="71" t="s">
        <v>2322</v>
      </c>
      <c r="M7" s="71" t="s">
        <v>2321</v>
      </c>
      <c r="N7" s="71" t="s">
        <v>2321</v>
      </c>
      <c r="O7" s="71" t="s">
        <v>2321</v>
      </c>
      <c r="P7" s="71" t="s">
        <v>2321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61">
        <f t="shared" si="1"/>
        <v>5</v>
      </c>
      <c r="CW7" s="61">
        <f t="shared" si="2"/>
        <v>1</v>
      </c>
    </row>
    <row r="8">
      <c r="A8" s="69"/>
      <c r="B8" s="54" t="s">
        <v>2610</v>
      </c>
      <c r="C8" s="70" t="str">
        <f t="array" ref="C8">IFERROR(INDEX('アプリケーション'!$C:$C,MATCH(B8,'アプリケーション'!$A:$A,0)),"（IDなし）")</f>
        <v>科学データ解析基盤</v>
      </c>
      <c r="D8" s="71"/>
      <c r="E8" s="71" t="s">
        <v>2321</v>
      </c>
      <c r="F8" s="71" t="s">
        <v>2322</v>
      </c>
      <c r="G8" s="71"/>
      <c r="H8" s="71"/>
      <c r="I8" s="71" t="s">
        <v>2321</v>
      </c>
      <c r="J8" s="71" t="s">
        <v>2322</v>
      </c>
      <c r="K8" s="71" t="s">
        <v>2321</v>
      </c>
      <c r="L8" s="71" t="s">
        <v>2321</v>
      </c>
      <c r="M8" s="71"/>
      <c r="N8" s="71"/>
      <c r="O8" s="71" t="s">
        <v>2322</v>
      </c>
      <c r="P8" s="71" t="s">
        <v>2321</v>
      </c>
      <c r="Q8" s="71"/>
      <c r="R8" s="71"/>
      <c r="S8" s="71" t="s">
        <v>2321</v>
      </c>
      <c r="T8" s="71" t="s">
        <v>2321</v>
      </c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61">
        <f t="shared" si="1"/>
        <v>7</v>
      </c>
      <c r="CW8" s="61">
        <f t="shared" si="2"/>
        <v>3</v>
      </c>
    </row>
    <row r="9">
      <c r="A9" s="69" t="s">
        <v>2218</v>
      </c>
      <c r="B9" s="54" t="s">
        <v>2618</v>
      </c>
      <c r="C9" s="70" t="str">
        <f t="array" ref="C9">IFERROR(INDEX('アプリケーション'!$C:$C,MATCH(B9,'アプリケーション'!$A:$A,0)),"（IDなし）")</f>
        <v>非臨床試験管理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 t="s">
        <v>2322</v>
      </c>
      <c r="P9" s="71" t="s">
        <v>2322</v>
      </c>
      <c r="Q9" s="71" t="s">
        <v>2322</v>
      </c>
      <c r="R9" s="71"/>
      <c r="S9" s="71"/>
      <c r="T9" s="71"/>
      <c r="U9" s="71"/>
      <c r="V9" s="71" t="s">
        <v>2321</v>
      </c>
      <c r="W9" s="71" t="s">
        <v>2321</v>
      </c>
      <c r="X9" s="71" t="s">
        <v>2321</v>
      </c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 t="s">
        <v>2322</v>
      </c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61">
        <f t="shared" si="1"/>
        <v>3</v>
      </c>
      <c r="CW9" s="61">
        <f t="shared" si="2"/>
        <v>4</v>
      </c>
    </row>
    <row r="10">
      <c r="A10" s="69" t="s">
        <v>2221</v>
      </c>
      <c r="B10" s="54" t="s">
        <v>2626</v>
      </c>
      <c r="C10" s="70" t="str">
        <f t="array" ref="C10">IFERROR(INDEX('アプリケーション'!$C:$C,MATCH(B10,'アプリケーション'!$A:$A,0)),"（IDなし）")</f>
        <v>PK/PD解析・モデリング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 t="s">
        <v>2322</v>
      </c>
      <c r="X10" s="71" t="s">
        <v>2322</v>
      </c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 t="s">
        <v>2322</v>
      </c>
      <c r="BJ10" s="71" t="s">
        <v>2322</v>
      </c>
      <c r="BK10" s="71"/>
      <c r="BL10" s="71"/>
      <c r="BM10" s="71" t="s">
        <v>2321</v>
      </c>
      <c r="BN10" s="71"/>
      <c r="BO10" s="71"/>
      <c r="BP10" s="71" t="s">
        <v>2321</v>
      </c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61">
        <f t="shared" si="1"/>
        <v>2</v>
      </c>
      <c r="CW10" s="61">
        <f t="shared" si="2"/>
        <v>4</v>
      </c>
    </row>
    <row r="11">
      <c r="A11" s="69"/>
      <c r="B11" s="54" t="s">
        <v>2633</v>
      </c>
      <c r="C11" s="70" t="str">
        <f t="array" ref="C11">IFERROR(INDEX('アプリケーション'!$C:$C,MATCH(B11,'アプリケーション'!$A:$A,0)),"（IDなし）")</f>
        <v>臨床試験管理</v>
      </c>
      <c r="D11" s="71"/>
      <c r="E11" s="71"/>
      <c r="F11" s="71"/>
      <c r="G11" s="71" t="s">
        <v>2322</v>
      </c>
      <c r="H11" s="71" t="s">
        <v>2321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 t="s">
        <v>2322</v>
      </c>
      <c r="BC11" s="71"/>
      <c r="BD11" s="71" t="s">
        <v>2321</v>
      </c>
      <c r="BE11" s="71"/>
      <c r="BF11" s="71" t="s">
        <v>2321</v>
      </c>
      <c r="BG11" s="71" t="s">
        <v>2321</v>
      </c>
      <c r="BH11" s="71" t="s">
        <v>2321</v>
      </c>
      <c r="BI11" s="71" t="s">
        <v>2321</v>
      </c>
      <c r="BJ11" s="71"/>
      <c r="BK11" s="71"/>
      <c r="BL11" s="71" t="s">
        <v>2321</v>
      </c>
      <c r="BM11" s="71"/>
      <c r="BN11" s="71"/>
      <c r="BO11" s="71" t="s">
        <v>2322</v>
      </c>
      <c r="BP11" s="71"/>
      <c r="BQ11" s="71" t="s">
        <v>2321</v>
      </c>
      <c r="BR11" s="71" t="s">
        <v>2321</v>
      </c>
      <c r="BS11" s="71"/>
      <c r="BT11" s="71"/>
      <c r="BU11" s="71"/>
      <c r="BV11" s="71" t="s">
        <v>2321</v>
      </c>
      <c r="BW11" s="71"/>
      <c r="BX11" s="71"/>
      <c r="BY11" s="71" t="s">
        <v>2322</v>
      </c>
      <c r="BZ11" s="71"/>
      <c r="CA11" s="71"/>
      <c r="CB11" s="71"/>
      <c r="CC11" s="71" t="s">
        <v>2321</v>
      </c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61">
        <f t="shared" si="1"/>
        <v>11</v>
      </c>
      <c r="CW11" s="61">
        <f t="shared" si="2"/>
        <v>4</v>
      </c>
    </row>
    <row r="12">
      <c r="A12" s="69"/>
      <c r="B12" s="54" t="s">
        <v>2640</v>
      </c>
      <c r="C12" s="70" t="str">
        <f t="array" ref="C12">IFERROR(INDEX('アプリケーション'!$C:$C,MATCH(B12,'アプリケーション'!$A:$A,0)),"（IDなし）")</f>
        <v>臨床データ収集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 t="s">
        <v>2322</v>
      </c>
      <c r="Y12" s="71"/>
      <c r="Z12" s="71"/>
      <c r="AA12" s="71"/>
      <c r="AB12" s="71"/>
      <c r="AC12" s="71"/>
      <c r="AD12" s="71"/>
      <c r="AE12" s="71"/>
      <c r="AF12" s="71"/>
      <c r="AG12" s="71"/>
      <c r="AH12" s="71" t="s">
        <v>2322</v>
      </c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 t="s">
        <v>2322</v>
      </c>
      <c r="BA12" s="71"/>
      <c r="BB12" s="71"/>
      <c r="BC12" s="71"/>
      <c r="BD12" s="71"/>
      <c r="BE12" s="71" t="s">
        <v>2321</v>
      </c>
      <c r="BF12" s="71"/>
      <c r="BG12" s="71"/>
      <c r="BH12" s="71" t="s">
        <v>2321</v>
      </c>
      <c r="BI12" s="71" t="s">
        <v>2322</v>
      </c>
      <c r="BJ12" s="71" t="s">
        <v>2321</v>
      </c>
      <c r="BK12" s="71" t="s">
        <v>2321</v>
      </c>
      <c r="BL12" s="71" t="s">
        <v>2321</v>
      </c>
      <c r="BM12" s="71" t="s">
        <v>2321</v>
      </c>
      <c r="BN12" s="71"/>
      <c r="BO12" s="71"/>
      <c r="BP12" s="71"/>
      <c r="BQ12" s="71" t="s">
        <v>2322</v>
      </c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 t="s">
        <v>2322</v>
      </c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61">
        <f t="shared" si="1"/>
        <v>6</v>
      </c>
      <c r="CW12" s="61">
        <f t="shared" si="2"/>
        <v>6</v>
      </c>
    </row>
    <row r="13">
      <c r="A13" s="69"/>
      <c r="B13" s="54" t="s">
        <v>2647</v>
      </c>
      <c r="C13" s="70" t="str">
        <f t="array" ref="C13">IFERROR(INDEX('アプリケーション'!$C:$C,MATCH(B13,'アプリケーション'!$A:$A,0)),"（IDなし）")</f>
        <v>無作為化・治験薬供給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 t="s">
        <v>2322</v>
      </c>
      <c r="AQ13" s="71"/>
      <c r="AR13" s="71"/>
      <c r="AS13" s="71"/>
      <c r="AT13" s="71"/>
      <c r="AU13" s="71"/>
      <c r="AV13" s="71"/>
      <c r="AW13" s="71"/>
      <c r="AX13" s="71"/>
      <c r="AY13" s="71" t="s">
        <v>2321</v>
      </c>
      <c r="AZ13" s="71"/>
      <c r="BA13" s="71"/>
      <c r="BB13" s="71"/>
      <c r="BC13" s="71"/>
      <c r="BD13" s="71" t="s">
        <v>2322</v>
      </c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 t="s">
        <v>2321</v>
      </c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61">
        <f t="shared" si="1"/>
        <v>2</v>
      </c>
      <c r="CW13" s="61">
        <f t="shared" si="2"/>
        <v>2</v>
      </c>
    </row>
    <row r="14">
      <c r="A14" s="69"/>
      <c r="B14" s="54" t="s">
        <v>2654</v>
      </c>
      <c r="C14" s="70" t="str">
        <f t="array" ref="C14">IFERROR(INDEX('アプリケーション'!$C:$C,MATCH(B14,'アプリケーション'!$A:$A,0)),"（IDなし）")</f>
        <v>電子治験マスターファイル</v>
      </c>
      <c r="D14" s="71"/>
      <c r="E14" s="71"/>
      <c r="F14" s="71"/>
      <c r="G14" s="71" t="s">
        <v>2322</v>
      </c>
      <c r="H14" s="71" t="s">
        <v>2321</v>
      </c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 t="s">
        <v>2322</v>
      </c>
      <c r="BC14" s="71"/>
      <c r="BD14" s="71" t="s">
        <v>2321</v>
      </c>
      <c r="BE14" s="71"/>
      <c r="BF14" s="71" t="s">
        <v>2321</v>
      </c>
      <c r="BG14" s="71" t="s">
        <v>2321</v>
      </c>
      <c r="BH14" s="71" t="s">
        <v>2321</v>
      </c>
      <c r="BI14" s="71" t="s">
        <v>2321</v>
      </c>
      <c r="BJ14" s="71"/>
      <c r="BK14" s="71"/>
      <c r="BL14" s="71" t="s">
        <v>2321</v>
      </c>
      <c r="BM14" s="71"/>
      <c r="BN14" s="71"/>
      <c r="BO14" s="71" t="s">
        <v>2322</v>
      </c>
      <c r="BP14" s="71"/>
      <c r="BQ14" s="71" t="s">
        <v>2321</v>
      </c>
      <c r="BR14" s="71" t="s">
        <v>2321</v>
      </c>
      <c r="BS14" s="71"/>
      <c r="BT14" s="71"/>
      <c r="BU14" s="71"/>
      <c r="BV14" s="71" t="s">
        <v>2321</v>
      </c>
      <c r="BW14" s="71"/>
      <c r="BX14" s="71"/>
      <c r="BY14" s="71" t="s">
        <v>2322</v>
      </c>
      <c r="BZ14" s="71"/>
      <c r="CA14" s="71"/>
      <c r="CB14" s="71"/>
      <c r="CC14" s="71" t="s">
        <v>2321</v>
      </c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61">
        <f t="shared" si="1"/>
        <v>11</v>
      </c>
      <c r="CW14" s="61">
        <f t="shared" si="2"/>
        <v>4</v>
      </c>
    </row>
    <row r="15">
      <c r="A15" s="69"/>
      <c r="B15" s="54" t="s">
        <v>2662</v>
      </c>
      <c r="C15" s="70" t="str">
        <f t="array" ref="C15">IFERROR(INDEX('アプリケーション'!$C:$C,MATCH(B15,'アプリケーション'!$A:$A,0)),"（IDなし）")</f>
        <v>統計解析環境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 t="s">
        <v>2322</v>
      </c>
      <c r="Y15" s="71"/>
      <c r="Z15" s="71"/>
      <c r="AA15" s="71"/>
      <c r="AB15" s="71"/>
      <c r="AC15" s="71"/>
      <c r="AD15" s="71"/>
      <c r="AE15" s="71"/>
      <c r="AF15" s="71"/>
      <c r="AG15" s="71"/>
      <c r="AH15" s="71" t="s">
        <v>2322</v>
      </c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 t="s">
        <v>2322</v>
      </c>
      <c r="BA15" s="71"/>
      <c r="BB15" s="71"/>
      <c r="BC15" s="71"/>
      <c r="BD15" s="71"/>
      <c r="BE15" s="71" t="s">
        <v>2321</v>
      </c>
      <c r="BF15" s="71"/>
      <c r="BG15" s="71"/>
      <c r="BH15" s="71" t="s">
        <v>2321</v>
      </c>
      <c r="BI15" s="71" t="s">
        <v>2322</v>
      </c>
      <c r="BJ15" s="71" t="s">
        <v>2321</v>
      </c>
      <c r="BK15" s="71" t="s">
        <v>2321</v>
      </c>
      <c r="BL15" s="71" t="s">
        <v>2321</v>
      </c>
      <c r="BM15" s="71" t="s">
        <v>2321</v>
      </c>
      <c r="BN15" s="71"/>
      <c r="BO15" s="71"/>
      <c r="BP15" s="71"/>
      <c r="BQ15" s="71" t="s">
        <v>2322</v>
      </c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 t="s">
        <v>2322</v>
      </c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61">
        <f t="shared" si="1"/>
        <v>6</v>
      </c>
      <c r="CW15" s="61">
        <f t="shared" si="2"/>
        <v>6</v>
      </c>
    </row>
    <row r="16">
      <c r="A16" s="69"/>
      <c r="B16" s="54" t="s">
        <v>2670</v>
      </c>
      <c r="C16" s="70" t="str">
        <f t="array" ref="C16">IFERROR(INDEX('アプリケーション'!$C:$C,MATCH(B16,'アプリケーション'!$A:$A,0)),"（IDなし）")</f>
        <v>患者レジストリ・RWD基盤</v>
      </c>
      <c r="D16" s="71"/>
      <c r="E16" s="71"/>
      <c r="F16" s="71"/>
      <c r="G16" s="71"/>
      <c r="H16" s="71"/>
      <c r="I16" s="71" t="s">
        <v>2322</v>
      </c>
      <c r="J16" s="71" t="s">
        <v>2322</v>
      </c>
      <c r="K16" s="71" t="s">
        <v>2322</v>
      </c>
      <c r="L16" s="71"/>
      <c r="M16" s="71"/>
      <c r="N16" s="71"/>
      <c r="O16" s="71"/>
      <c r="P16" s="71"/>
      <c r="Q16" s="71"/>
      <c r="R16" s="71"/>
      <c r="S16" s="71"/>
      <c r="T16" s="71"/>
      <c r="U16" s="71" t="s">
        <v>2321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 t="s">
        <v>2321</v>
      </c>
      <c r="BA16" s="71" t="s">
        <v>2321</v>
      </c>
      <c r="BB16" s="71" t="s">
        <v>2321</v>
      </c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 t="s">
        <v>2321</v>
      </c>
      <c r="BR16" s="71" t="s">
        <v>2321</v>
      </c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61">
        <f t="shared" si="1"/>
        <v>6</v>
      </c>
      <c r="CW16" s="61">
        <f t="shared" si="2"/>
        <v>3</v>
      </c>
    </row>
    <row r="17">
      <c r="A17" s="69" t="s">
        <v>552</v>
      </c>
      <c r="B17" s="54" t="s">
        <v>2678</v>
      </c>
      <c r="C17" s="70" t="str">
        <f t="array" ref="C17">IFERROR(INDEX('アプリケーション'!$C:$C,MATCH(B17,'アプリケーション'!$A:$A,0)),"（IDなし）")</f>
        <v>薬事情報管理</v>
      </c>
      <c r="D17" s="71" t="s">
        <v>2321</v>
      </c>
      <c r="E17" s="71" t="s">
        <v>2321</v>
      </c>
      <c r="F17" s="71"/>
      <c r="G17" s="71"/>
      <c r="H17" s="71"/>
      <c r="I17" s="71" t="s">
        <v>2322</v>
      </c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 t="s">
        <v>2322</v>
      </c>
      <c r="V17" s="71"/>
      <c r="W17" s="71"/>
      <c r="X17" s="71" t="s">
        <v>2322</v>
      </c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 t="s">
        <v>2322</v>
      </c>
      <c r="AL17" s="71"/>
      <c r="AM17" s="71"/>
      <c r="AN17" s="71"/>
      <c r="AO17" s="71"/>
      <c r="AP17" s="71"/>
      <c r="AQ17" s="71"/>
      <c r="AR17" s="71"/>
      <c r="AS17" s="71"/>
      <c r="AT17" s="71" t="s">
        <v>2322</v>
      </c>
      <c r="AU17" s="71"/>
      <c r="AV17" s="71"/>
      <c r="AW17" s="71"/>
      <c r="AX17" s="71" t="s">
        <v>2322</v>
      </c>
      <c r="AY17" s="71" t="s">
        <v>2321</v>
      </c>
      <c r="AZ17" s="71" t="s">
        <v>2322</v>
      </c>
      <c r="BA17" s="71"/>
      <c r="BB17" s="71"/>
      <c r="BC17" s="71" t="s">
        <v>2322</v>
      </c>
      <c r="BD17" s="71"/>
      <c r="BE17" s="71" t="s">
        <v>2322</v>
      </c>
      <c r="BF17" s="71"/>
      <c r="BG17" s="71"/>
      <c r="BH17" s="71" t="s">
        <v>2322</v>
      </c>
      <c r="BI17" s="71" t="s">
        <v>2322</v>
      </c>
      <c r="BJ17" s="71"/>
      <c r="BK17" s="71"/>
      <c r="BL17" s="71" t="s">
        <v>2322</v>
      </c>
      <c r="BM17" s="71" t="s">
        <v>2322</v>
      </c>
      <c r="BN17" s="71" t="s">
        <v>2322</v>
      </c>
      <c r="BO17" s="71"/>
      <c r="BP17" s="71"/>
      <c r="BQ17" s="71"/>
      <c r="BR17" s="71"/>
      <c r="BS17" s="71" t="s">
        <v>2321</v>
      </c>
      <c r="BT17" s="71" t="s">
        <v>2321</v>
      </c>
      <c r="BU17" s="71" t="s">
        <v>2322</v>
      </c>
      <c r="BV17" s="71" t="s">
        <v>2321</v>
      </c>
      <c r="BW17" s="71" t="s">
        <v>2321</v>
      </c>
      <c r="BX17" s="71" t="s">
        <v>2321</v>
      </c>
      <c r="BY17" s="71" t="s">
        <v>2321</v>
      </c>
      <c r="BZ17" s="71" t="s">
        <v>2321</v>
      </c>
      <c r="CA17" s="71"/>
      <c r="CB17" s="71" t="s">
        <v>2321</v>
      </c>
      <c r="CC17" s="71"/>
      <c r="CD17" s="71" t="s">
        <v>2322</v>
      </c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61">
        <f t="shared" si="1"/>
        <v>11</v>
      </c>
      <c r="CW17" s="61">
        <f t="shared" si="2"/>
        <v>16</v>
      </c>
    </row>
    <row r="18">
      <c r="A18" s="69"/>
      <c r="B18" s="54" t="s">
        <v>2685</v>
      </c>
      <c r="C18" s="70" t="str">
        <f t="array" ref="C18">IFERROR(INDEX('アプリケーション'!$C:$C,MATCH(B18,'アプリケーション'!$A:$A,0)),"（IDなし）")</f>
        <v>申請出版</v>
      </c>
      <c r="D18" s="71"/>
      <c r="E18" s="71"/>
      <c r="F18" s="71"/>
      <c r="G18" s="71"/>
      <c r="H18" s="71"/>
      <c r="I18" s="71" t="s">
        <v>2321</v>
      </c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 t="s">
        <v>2322</v>
      </c>
      <c r="Y18" s="71"/>
      <c r="Z18" s="71"/>
      <c r="AA18" s="71"/>
      <c r="AB18" s="71" t="s">
        <v>2322</v>
      </c>
      <c r="AC18" s="71"/>
      <c r="AD18" s="71" t="s">
        <v>2322</v>
      </c>
      <c r="AE18" s="71"/>
      <c r="AF18" s="71"/>
      <c r="AG18" s="71"/>
      <c r="AH18" s="71" t="s">
        <v>2322</v>
      </c>
      <c r="AI18" s="71" t="s">
        <v>2322</v>
      </c>
      <c r="AJ18" s="71" t="s">
        <v>2322</v>
      </c>
      <c r="AK18" s="71" t="s">
        <v>2322</v>
      </c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 t="s">
        <v>2322</v>
      </c>
      <c r="AW18" s="71"/>
      <c r="AX18" s="71"/>
      <c r="AY18" s="71"/>
      <c r="AZ18" s="71"/>
      <c r="BA18" s="71"/>
      <c r="BB18" s="71"/>
      <c r="BC18" s="71"/>
      <c r="BD18" s="71" t="s">
        <v>2322</v>
      </c>
      <c r="BE18" s="71" t="s">
        <v>2322</v>
      </c>
      <c r="BF18" s="71"/>
      <c r="BG18" s="71"/>
      <c r="BH18" s="71"/>
      <c r="BI18" s="71"/>
      <c r="BJ18" s="71"/>
      <c r="BK18" s="71"/>
      <c r="BL18" s="71" t="s">
        <v>2322</v>
      </c>
      <c r="BM18" s="71" t="s">
        <v>2322</v>
      </c>
      <c r="BN18" s="71" t="s">
        <v>2322</v>
      </c>
      <c r="BO18" s="71"/>
      <c r="BP18" s="71"/>
      <c r="BQ18" s="71"/>
      <c r="BR18" s="71"/>
      <c r="BS18" s="71"/>
      <c r="BT18" s="71" t="s">
        <v>2322</v>
      </c>
      <c r="BU18" s="71" t="s">
        <v>2321</v>
      </c>
      <c r="BV18" s="71" t="s">
        <v>2321</v>
      </c>
      <c r="BW18" s="71" t="s">
        <v>2321</v>
      </c>
      <c r="BX18" s="71" t="s">
        <v>2321</v>
      </c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61">
        <f t="shared" si="1"/>
        <v>5</v>
      </c>
      <c r="CW18" s="61">
        <f t="shared" si="2"/>
        <v>14</v>
      </c>
    </row>
    <row r="19">
      <c r="A19" s="69" t="s">
        <v>2227</v>
      </c>
      <c r="B19" s="54" t="s">
        <v>2692</v>
      </c>
      <c r="C19" s="70" t="str">
        <f t="array" ref="C19">IFERROR(INDEX('アプリケーション'!$C:$C,MATCH(B19,'アプリケーション'!$A:$A,0)),"（IDなし）")</f>
        <v>安全性データベース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 t="s">
        <v>2322</v>
      </c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 t="s">
        <v>2321</v>
      </c>
      <c r="CD19" s="71" t="s">
        <v>2322</v>
      </c>
      <c r="CE19" s="71" t="s">
        <v>2321</v>
      </c>
      <c r="CF19" s="71"/>
      <c r="CG19" s="71"/>
      <c r="CH19" s="71"/>
      <c r="CI19" s="71" t="s">
        <v>2322</v>
      </c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61">
        <f t="shared" si="1"/>
        <v>2</v>
      </c>
      <c r="CW19" s="61">
        <f t="shared" si="2"/>
        <v>3</v>
      </c>
    </row>
    <row r="20">
      <c r="A20" s="69"/>
      <c r="B20" s="54" t="s">
        <v>2700</v>
      </c>
      <c r="C20" s="70" t="str">
        <f t="array" ref="C20">IFERROR(INDEX('アプリケーション'!$C:$C,MATCH(B20,'アプリケーション'!$A:$A,0)),"（IDなし）")</f>
        <v>シグナル検出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 t="s">
        <v>2322</v>
      </c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 t="s">
        <v>2322</v>
      </c>
      <c r="BM20" s="71" t="s">
        <v>2322</v>
      </c>
      <c r="BN20" s="71" t="s">
        <v>2321</v>
      </c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 t="s">
        <v>2321</v>
      </c>
      <c r="BZ20" s="71" t="s">
        <v>2321</v>
      </c>
      <c r="CA20" s="71"/>
      <c r="CB20" s="71"/>
      <c r="CC20" s="71" t="s">
        <v>2322</v>
      </c>
      <c r="CD20" s="71" t="s">
        <v>2321</v>
      </c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61">
        <f t="shared" si="1"/>
        <v>4</v>
      </c>
      <c r="CW20" s="61">
        <f t="shared" si="2"/>
        <v>4</v>
      </c>
    </row>
    <row r="21" ht="15.75" customHeight="1">
      <c r="A21" s="69" t="s">
        <v>603</v>
      </c>
      <c r="B21" s="54" t="s">
        <v>2708</v>
      </c>
      <c r="C21" s="70" t="str">
        <f t="array" ref="C21">IFERROR(INDEX('アプリケーション'!$C:$C,MATCH(B21,'アプリケーション'!$A:$A,0)),"（IDなし）")</f>
        <v>製造実行システム</v>
      </c>
      <c r="D21" s="71" t="s">
        <v>2322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 t="s">
        <v>2322</v>
      </c>
      <c r="V21" s="71"/>
      <c r="W21" s="71"/>
      <c r="X21" s="71"/>
      <c r="Y21" s="71"/>
      <c r="Z21" s="71"/>
      <c r="AA21" s="71" t="s">
        <v>2322</v>
      </c>
      <c r="AB21" s="71" t="s">
        <v>2321</v>
      </c>
      <c r="AC21" s="71"/>
      <c r="AD21" s="71" t="s">
        <v>2322</v>
      </c>
      <c r="AE21" s="71"/>
      <c r="AF21" s="71" t="s">
        <v>2322</v>
      </c>
      <c r="AG21" s="71"/>
      <c r="AH21" s="71"/>
      <c r="AI21" s="71" t="s">
        <v>2322</v>
      </c>
      <c r="AJ21" s="71"/>
      <c r="AK21" s="71" t="s">
        <v>2321</v>
      </c>
      <c r="AL21" s="71" t="s">
        <v>2321</v>
      </c>
      <c r="AM21" s="71" t="s">
        <v>2321</v>
      </c>
      <c r="AN21" s="71" t="s">
        <v>2321</v>
      </c>
      <c r="AO21" s="71" t="s">
        <v>2321</v>
      </c>
      <c r="AP21" s="71" t="s">
        <v>2321</v>
      </c>
      <c r="AQ21" s="71" t="s">
        <v>2321</v>
      </c>
      <c r="AR21" s="71"/>
      <c r="AS21" s="71"/>
      <c r="AT21" s="71"/>
      <c r="AU21" s="71"/>
      <c r="AV21" s="71"/>
      <c r="AW21" s="71" t="s">
        <v>2321</v>
      </c>
      <c r="AX21" s="71"/>
      <c r="AY21" s="71" t="s">
        <v>2322</v>
      </c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 t="s">
        <v>2322</v>
      </c>
      <c r="CP21" s="71" t="s">
        <v>2321</v>
      </c>
      <c r="CQ21" s="71"/>
      <c r="CR21" s="71"/>
      <c r="CS21" s="71" t="s">
        <v>2321</v>
      </c>
      <c r="CT21" s="71"/>
      <c r="CU21" s="71"/>
      <c r="CV21" s="61">
        <f t="shared" si="1"/>
        <v>11</v>
      </c>
      <c r="CW21" s="61">
        <f t="shared" si="2"/>
        <v>8</v>
      </c>
    </row>
    <row r="22" ht="15.75" customHeight="1">
      <c r="A22" s="69"/>
      <c r="B22" s="54" t="s">
        <v>2717</v>
      </c>
      <c r="C22" s="70" t="str">
        <f t="array" ref="C22">IFERROR(INDEX('アプリケーション'!$C:$C,MATCH(B22,'アプリケーション'!$A:$A,0)),"（IDなし）")</f>
        <v>工程データ管理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 t="s">
        <v>2322</v>
      </c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 t="s">
        <v>2322</v>
      </c>
      <c r="AM22" s="71" t="s">
        <v>2322</v>
      </c>
      <c r="AN22" s="71" t="s">
        <v>2322</v>
      </c>
      <c r="AO22" s="71" t="s">
        <v>2321</v>
      </c>
      <c r="AP22" s="71" t="s">
        <v>2321</v>
      </c>
      <c r="AQ22" s="71" t="s">
        <v>2321</v>
      </c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 t="s">
        <v>2321</v>
      </c>
      <c r="CQ22" s="71"/>
      <c r="CR22" s="71"/>
      <c r="CS22" s="71"/>
      <c r="CT22" s="71"/>
      <c r="CU22" s="71"/>
      <c r="CV22" s="61">
        <f t="shared" si="1"/>
        <v>4</v>
      </c>
      <c r="CW22" s="61">
        <f t="shared" si="2"/>
        <v>4</v>
      </c>
    </row>
    <row r="23" ht="15.75" customHeight="1">
      <c r="A23" s="69"/>
      <c r="B23" s="54" t="s">
        <v>2725</v>
      </c>
      <c r="C23" s="70" t="str">
        <f t="array" ref="C23">IFERROR(INDEX('アプリケーション'!$C:$C,MATCH(B23,'アプリケーション'!$A:$A,0)),"（IDなし）")</f>
        <v>設備・環境管理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 t="s">
        <v>2321</v>
      </c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61">
        <f t="shared" si="1"/>
        <v>1</v>
      </c>
      <c r="CW23" s="61">
        <f t="shared" si="2"/>
        <v>0</v>
      </c>
    </row>
    <row r="24" ht="15.75" customHeight="1">
      <c r="A24" s="69"/>
      <c r="B24" s="54" t="s">
        <v>2732</v>
      </c>
      <c r="C24" s="70" t="str">
        <f t="array" ref="C24">IFERROR(INDEX('アプリケーション'!$C:$C,MATCH(B24,'アプリケーション'!$A:$A,0)),"（IDなし）")</f>
        <v>ラベル・アートワーク管理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 t="s">
        <v>2321</v>
      </c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 t="s">
        <v>2322</v>
      </c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 t="s">
        <v>2321</v>
      </c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61">
        <f t="shared" si="1"/>
        <v>2</v>
      </c>
      <c r="CW24" s="61">
        <f t="shared" si="2"/>
        <v>1</v>
      </c>
    </row>
    <row r="25" ht="15.75" customHeight="1">
      <c r="A25" s="69" t="s">
        <v>666</v>
      </c>
      <c r="B25" s="54" t="s">
        <v>2740</v>
      </c>
      <c r="C25" s="70" t="str">
        <f t="array" ref="C25">IFERROR(INDEX('アプリケーション'!$C:$C,MATCH(B25,'アプリケーション'!$A:$A,0)),"（IDなし）")</f>
        <v>品質マネジメントシステム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 t="s">
        <v>2322</v>
      </c>
      <c r="AG25" s="71" t="s">
        <v>2322</v>
      </c>
      <c r="AH25" s="71" t="s">
        <v>2322</v>
      </c>
      <c r="AI25" s="71"/>
      <c r="AJ25" s="71" t="s">
        <v>2321</v>
      </c>
      <c r="AK25" s="71" t="s">
        <v>2322</v>
      </c>
      <c r="AL25" s="71"/>
      <c r="AM25" s="71" t="s">
        <v>2322</v>
      </c>
      <c r="AN25" s="71"/>
      <c r="AO25" s="71" t="s">
        <v>2322</v>
      </c>
      <c r="AP25" s="71" t="s">
        <v>2322</v>
      </c>
      <c r="AQ25" s="71"/>
      <c r="AR25" s="71" t="s">
        <v>2321</v>
      </c>
      <c r="AS25" s="71" t="s">
        <v>2321</v>
      </c>
      <c r="AT25" s="71" t="s">
        <v>2321</v>
      </c>
      <c r="AU25" s="71" t="s">
        <v>2321</v>
      </c>
      <c r="AV25" s="71" t="s">
        <v>2322</v>
      </c>
      <c r="AW25" s="71"/>
      <c r="AX25" s="71" t="s">
        <v>2321</v>
      </c>
      <c r="AY25" s="71"/>
      <c r="AZ25" s="71"/>
      <c r="BA25" s="71"/>
      <c r="BB25" s="71"/>
      <c r="BC25" s="71"/>
      <c r="BD25" s="71"/>
      <c r="BE25" s="71"/>
      <c r="BF25" s="71" t="s">
        <v>2322</v>
      </c>
      <c r="BG25" s="71"/>
      <c r="BH25" s="71" t="s">
        <v>2322</v>
      </c>
      <c r="BI25" s="71"/>
      <c r="BJ25" s="71"/>
      <c r="BK25" s="71"/>
      <c r="BL25" s="71"/>
      <c r="BM25" s="71"/>
      <c r="BN25" s="71"/>
      <c r="BO25" s="71"/>
      <c r="BP25" s="71"/>
      <c r="BQ25" s="71" t="s">
        <v>2322</v>
      </c>
      <c r="BR25" s="71"/>
      <c r="BS25" s="71" t="s">
        <v>2321</v>
      </c>
      <c r="BT25" s="71"/>
      <c r="BU25" s="71"/>
      <c r="BV25" s="71" t="s">
        <v>2321</v>
      </c>
      <c r="BW25" s="71"/>
      <c r="BX25" s="71"/>
      <c r="BY25" s="71"/>
      <c r="BZ25" s="71"/>
      <c r="CA25" s="71" t="s">
        <v>2321</v>
      </c>
      <c r="CB25" s="71"/>
      <c r="CC25" s="71"/>
      <c r="CD25" s="71" t="s">
        <v>2322</v>
      </c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 t="s">
        <v>2322</v>
      </c>
      <c r="CP25" s="71" t="s">
        <v>2322</v>
      </c>
      <c r="CQ25" s="71"/>
      <c r="CR25" s="71"/>
      <c r="CS25" s="71" t="s">
        <v>2322</v>
      </c>
      <c r="CT25" s="71" t="s">
        <v>2321</v>
      </c>
      <c r="CU25" s="71" t="s">
        <v>2321</v>
      </c>
      <c r="CV25" s="61">
        <f t="shared" si="1"/>
        <v>11</v>
      </c>
      <c r="CW25" s="61">
        <f t="shared" si="2"/>
        <v>15</v>
      </c>
    </row>
    <row r="26" ht="15.75" customHeight="1">
      <c r="A26" s="69"/>
      <c r="B26" s="54" t="s">
        <v>2748</v>
      </c>
      <c r="C26" s="70" t="str">
        <f t="array" ref="C26">IFERROR(INDEX('アプリケーション'!$C:$C,MATCH(B26,'アプリケーション'!$A:$A,0)),"（IDなし）")</f>
        <v>バリデーション管理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 t="s">
        <v>2322</v>
      </c>
      <c r="AB26" s="71"/>
      <c r="AC26" s="71"/>
      <c r="AD26" s="71"/>
      <c r="AE26" s="71"/>
      <c r="AF26" s="71"/>
      <c r="AG26" s="71"/>
      <c r="AH26" s="71"/>
      <c r="AI26" s="71" t="s">
        <v>2322</v>
      </c>
      <c r="AJ26" s="71"/>
      <c r="AK26" s="71"/>
      <c r="AL26" s="71" t="s">
        <v>2322</v>
      </c>
      <c r="AM26" s="71"/>
      <c r="AN26" s="71" t="s">
        <v>2322</v>
      </c>
      <c r="AO26" s="71" t="s">
        <v>2321</v>
      </c>
      <c r="AP26" s="71" t="s">
        <v>2321</v>
      </c>
      <c r="AQ26" s="71" t="s">
        <v>2321</v>
      </c>
      <c r="AR26" s="71" t="s">
        <v>2321</v>
      </c>
      <c r="AS26" s="71"/>
      <c r="AT26" s="71"/>
      <c r="AU26" s="71"/>
      <c r="AV26" s="71" t="s">
        <v>2321</v>
      </c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61">
        <f t="shared" si="1"/>
        <v>5</v>
      </c>
      <c r="CW26" s="61">
        <f t="shared" si="2"/>
        <v>4</v>
      </c>
    </row>
    <row r="27" ht="15.75" customHeight="1">
      <c r="A27" s="69"/>
      <c r="B27" s="54" t="s">
        <v>2754</v>
      </c>
      <c r="C27" s="70" t="str">
        <f t="array" ref="C27">IFERROR(INDEX('アプリケーション'!$C:$C,MATCH(B27,'アプリケーション'!$A:$A,0)),"（IDなし）")</f>
        <v>試験室情報管理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 t="s">
        <v>2322</v>
      </c>
      <c r="P27" s="71"/>
      <c r="Q27" s="71"/>
      <c r="R27" s="71"/>
      <c r="S27" s="71"/>
      <c r="T27" s="71"/>
      <c r="U27" s="71"/>
      <c r="V27" s="71" t="s">
        <v>2322</v>
      </c>
      <c r="W27" s="71" t="s">
        <v>2321</v>
      </c>
      <c r="X27" s="71"/>
      <c r="Y27" s="71" t="s">
        <v>2321</v>
      </c>
      <c r="Z27" s="71"/>
      <c r="AA27" s="71"/>
      <c r="AB27" s="71" t="s">
        <v>2322</v>
      </c>
      <c r="AC27" s="71" t="s">
        <v>2322</v>
      </c>
      <c r="AD27" s="71"/>
      <c r="AE27" s="71" t="s">
        <v>2321</v>
      </c>
      <c r="AF27" s="71" t="s">
        <v>2321</v>
      </c>
      <c r="AG27" s="71" t="s">
        <v>2321</v>
      </c>
      <c r="AH27" s="71" t="s">
        <v>2321</v>
      </c>
      <c r="AI27" s="71"/>
      <c r="AJ27" s="71" t="s">
        <v>2321</v>
      </c>
      <c r="AK27" s="71" t="s">
        <v>2321</v>
      </c>
      <c r="AL27" s="71"/>
      <c r="AM27" s="71"/>
      <c r="AN27" s="71"/>
      <c r="AO27" s="71"/>
      <c r="AP27" s="71" t="s">
        <v>2322</v>
      </c>
      <c r="AQ27" s="71"/>
      <c r="AR27" s="71" t="s">
        <v>2321</v>
      </c>
      <c r="AS27" s="71" t="s">
        <v>2322</v>
      </c>
      <c r="AT27" s="71" t="s">
        <v>2322</v>
      </c>
      <c r="AU27" s="71" t="s">
        <v>2321</v>
      </c>
      <c r="AV27" s="71"/>
      <c r="AW27" s="71"/>
      <c r="AX27" s="71" t="s">
        <v>2321</v>
      </c>
      <c r="AY27" s="71"/>
      <c r="AZ27" s="71"/>
      <c r="BA27" s="71"/>
      <c r="BB27" s="71"/>
      <c r="BC27" s="71"/>
      <c r="BD27" s="71"/>
      <c r="BE27" s="71"/>
      <c r="BF27" s="71"/>
      <c r="BG27" s="71"/>
      <c r="BH27" s="71" t="s">
        <v>2322</v>
      </c>
      <c r="BI27" s="71" t="s">
        <v>2321</v>
      </c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61">
        <f t="shared" si="1"/>
        <v>12</v>
      </c>
      <c r="CW27" s="61">
        <f t="shared" si="2"/>
        <v>8</v>
      </c>
    </row>
    <row r="28" ht="15.75" customHeight="1">
      <c r="A28" s="69" t="s">
        <v>2764</v>
      </c>
      <c r="B28" s="54" t="s">
        <v>2763</v>
      </c>
      <c r="C28" s="70" t="str">
        <f t="array" ref="C28">IFERROR(INDEX('アプリケーション'!$C:$C,MATCH(B28,'アプリケーション'!$A:$A,0)),"（IDなし）")</f>
        <v>需給計画</v>
      </c>
      <c r="D28" s="71"/>
      <c r="E28" s="71"/>
      <c r="F28" s="71"/>
      <c r="G28" s="71"/>
      <c r="H28" s="71" t="s">
        <v>2322</v>
      </c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 t="s">
        <v>2322</v>
      </c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 t="s">
        <v>2322</v>
      </c>
      <c r="BS28" s="71"/>
      <c r="BT28" s="71"/>
      <c r="BU28" s="71"/>
      <c r="BV28" s="71"/>
      <c r="BW28" s="71" t="s">
        <v>2322</v>
      </c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 t="s">
        <v>2322</v>
      </c>
      <c r="CJ28" s="71"/>
      <c r="CK28" s="71"/>
      <c r="CL28" s="71"/>
      <c r="CM28" s="71"/>
      <c r="CN28" s="71"/>
      <c r="CO28" s="71" t="s">
        <v>2321</v>
      </c>
      <c r="CP28" s="71" t="s">
        <v>2321</v>
      </c>
      <c r="CQ28" s="71" t="s">
        <v>2321</v>
      </c>
      <c r="CR28" s="71"/>
      <c r="CS28" s="71"/>
      <c r="CT28" s="71"/>
      <c r="CU28" s="71"/>
      <c r="CV28" s="61">
        <f t="shared" si="1"/>
        <v>3</v>
      </c>
      <c r="CW28" s="61">
        <f t="shared" si="2"/>
        <v>5</v>
      </c>
    </row>
    <row r="29" ht="15.75" customHeight="1">
      <c r="A29" s="69"/>
      <c r="B29" s="54" t="s">
        <v>2771</v>
      </c>
      <c r="C29" s="70" t="str">
        <f t="array" ref="C29">IFERROR(INDEX('アプリケーション'!$C:$C,MATCH(B29,'アプリケーション'!$A:$A,0)),"（IDなし）")</f>
        <v>倉庫・物流管理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 t="s">
        <v>2321</v>
      </c>
      <c r="AT29" s="71"/>
      <c r="AU29" s="71" t="s">
        <v>2322</v>
      </c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 t="s">
        <v>2321</v>
      </c>
      <c r="CQ29" s="71" t="s">
        <v>2321</v>
      </c>
      <c r="CR29" s="71" t="s">
        <v>2321</v>
      </c>
      <c r="CS29" s="71"/>
      <c r="CT29" s="71"/>
      <c r="CU29" s="71"/>
      <c r="CV29" s="61">
        <f t="shared" si="1"/>
        <v>4</v>
      </c>
      <c r="CW29" s="61">
        <f t="shared" si="2"/>
        <v>1</v>
      </c>
    </row>
    <row r="30" ht="15.75" customHeight="1">
      <c r="A30" s="69"/>
      <c r="B30" s="54" t="s">
        <v>2779</v>
      </c>
      <c r="C30" s="70" t="str">
        <f t="array" ref="C30">IFERROR(INDEX('アプリケーション'!$C:$C,MATCH(B30,'アプリケーション'!$A:$A,0)),"（IDなし）")</f>
        <v>シリアライゼーション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 t="s">
        <v>2322</v>
      </c>
      <c r="CR30" s="71"/>
      <c r="CS30" s="71" t="s">
        <v>2321</v>
      </c>
      <c r="CT30" s="71"/>
      <c r="CU30" s="71"/>
      <c r="CV30" s="61">
        <f t="shared" si="1"/>
        <v>1</v>
      </c>
      <c r="CW30" s="61">
        <f t="shared" si="2"/>
        <v>1</v>
      </c>
    </row>
    <row r="31" ht="15.75" customHeight="1">
      <c r="A31" s="69" t="s">
        <v>2788</v>
      </c>
      <c r="B31" s="54" t="s">
        <v>2787</v>
      </c>
      <c r="C31" s="70" t="str">
        <f t="array" ref="C31">IFERROR(INDEX('アプリケーション'!$C:$C,MATCH(B31,'アプリケーション'!$A:$A,0)),"（IDなし）")</f>
        <v>顧客関係管理</v>
      </c>
      <c r="D31" s="71"/>
      <c r="E31" s="71"/>
      <c r="F31" s="71"/>
      <c r="G31" s="71"/>
      <c r="H31" s="71"/>
      <c r="I31" s="71"/>
      <c r="J31" s="71" t="s">
        <v>2321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 t="s">
        <v>2322</v>
      </c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 t="s">
        <v>2322</v>
      </c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 t="s">
        <v>2321</v>
      </c>
      <c r="CK31" s="71" t="s">
        <v>2321</v>
      </c>
      <c r="CL31" s="71" t="s">
        <v>2321</v>
      </c>
      <c r="CM31" s="71"/>
      <c r="CN31" s="71"/>
      <c r="CO31" s="71"/>
      <c r="CP31" s="71"/>
      <c r="CQ31" s="71"/>
      <c r="CR31" s="71"/>
      <c r="CS31" s="71"/>
      <c r="CT31" s="71"/>
      <c r="CU31" s="71"/>
      <c r="CV31" s="61">
        <f t="shared" si="1"/>
        <v>4</v>
      </c>
      <c r="CW31" s="61">
        <f t="shared" si="2"/>
        <v>2</v>
      </c>
    </row>
    <row r="32" ht="15.75" customHeight="1">
      <c r="A32" s="69"/>
      <c r="B32" s="54" t="s">
        <v>2795</v>
      </c>
      <c r="C32" s="70" t="str">
        <f t="array" ref="C32">IFERROR(INDEX('アプリケーション'!$C:$C,MATCH(B32,'アプリケーション'!$A:$A,0)),"（IDなし）")</f>
        <v>患者支援（ハブ）</v>
      </c>
      <c r="D32" s="71"/>
      <c r="E32" s="71"/>
      <c r="F32" s="71"/>
      <c r="G32" s="71"/>
      <c r="H32" s="71" t="s">
        <v>2321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 t="s">
        <v>2322</v>
      </c>
      <c r="CH32" s="71" t="s">
        <v>2322</v>
      </c>
      <c r="CI32" s="71" t="s">
        <v>2321</v>
      </c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61">
        <f t="shared" si="1"/>
        <v>2</v>
      </c>
      <c r="CW32" s="61">
        <f t="shared" si="2"/>
        <v>2</v>
      </c>
    </row>
    <row r="33" ht="15.75" customHeight="1">
      <c r="A33" s="69"/>
      <c r="B33" s="54" t="s">
        <v>2803</v>
      </c>
      <c r="C33" s="70" t="str">
        <f t="array" ref="C33">IFERROR(INDEX('アプリケーション'!$C:$C,MATCH(B33,'アプリケーション'!$A:$A,0)),"（IDなし）")</f>
        <v>価格・契約・政府価格報告</v>
      </c>
      <c r="D33" s="71"/>
      <c r="E33" s="71"/>
      <c r="F33" s="71"/>
      <c r="G33" s="71"/>
      <c r="H33" s="71"/>
      <c r="I33" s="71" t="s">
        <v>2322</v>
      </c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 t="s">
        <v>2322</v>
      </c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 t="s">
        <v>2322</v>
      </c>
      <c r="BO33" s="71"/>
      <c r="BP33" s="71"/>
      <c r="BQ33" s="71"/>
      <c r="BR33" s="71"/>
      <c r="BS33" s="71"/>
      <c r="BT33" s="71" t="s">
        <v>2322</v>
      </c>
      <c r="BU33" s="71"/>
      <c r="BV33" s="71"/>
      <c r="BW33" s="71" t="s">
        <v>2322</v>
      </c>
      <c r="BX33" s="71" t="s">
        <v>2322</v>
      </c>
      <c r="BY33" s="71"/>
      <c r="BZ33" s="71"/>
      <c r="CA33" s="71"/>
      <c r="CB33" s="71"/>
      <c r="CC33" s="71"/>
      <c r="CD33" s="71"/>
      <c r="CE33" s="71"/>
      <c r="CF33" s="71" t="s">
        <v>2321</v>
      </c>
      <c r="CG33" s="71" t="s">
        <v>2321</v>
      </c>
      <c r="CH33" s="71" t="s">
        <v>2321</v>
      </c>
      <c r="CI33" s="71"/>
      <c r="CJ33" s="71"/>
      <c r="CK33" s="71"/>
      <c r="CL33" s="71"/>
      <c r="CM33" s="71" t="s">
        <v>2321</v>
      </c>
      <c r="CN33" s="71" t="s">
        <v>2321</v>
      </c>
      <c r="CO33" s="71"/>
      <c r="CP33" s="71"/>
      <c r="CQ33" s="71"/>
      <c r="CR33" s="71"/>
      <c r="CS33" s="71"/>
      <c r="CT33" s="71"/>
      <c r="CU33" s="71"/>
      <c r="CV33" s="61">
        <f t="shared" si="1"/>
        <v>5</v>
      </c>
      <c r="CW33" s="61">
        <f t="shared" si="2"/>
        <v>6</v>
      </c>
    </row>
    <row r="34" ht="15.75" customHeight="1">
      <c r="A34" s="69"/>
      <c r="B34" s="54" t="s">
        <v>2810</v>
      </c>
      <c r="C34" s="70" t="str">
        <f t="array" ref="C34">IFERROR(INDEX('アプリケーション'!$C:$C,MATCH(B34,'アプリケーション'!$A:$A,0)),"（IDなし）")</f>
        <v>販促資材審査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 t="s">
        <v>2322</v>
      </c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 t="s">
        <v>2321</v>
      </c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61">
        <f t="shared" si="1"/>
        <v>1</v>
      </c>
      <c r="CW34" s="61">
        <f t="shared" si="2"/>
        <v>1</v>
      </c>
    </row>
    <row r="35" ht="15.75" customHeight="1">
      <c r="A35" s="69" t="s">
        <v>2817</v>
      </c>
      <c r="B35" s="54" t="s">
        <v>2816</v>
      </c>
      <c r="C35" s="70" t="str">
        <f t="array" ref="C35">IFERROR(INDEX('アプリケーション'!$C:$C,MATCH(B35,'アプリケーション'!$A:$A,0)),"（IDなし）")</f>
        <v>ERP</v>
      </c>
      <c r="D35" s="71"/>
      <c r="E35" s="71"/>
      <c r="F35" s="71"/>
      <c r="G35" s="71" t="s">
        <v>2321</v>
      </c>
      <c r="H35" s="71" t="s">
        <v>2321</v>
      </c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 t="s">
        <v>2321</v>
      </c>
      <c r="AN35" s="71" t="s">
        <v>2321</v>
      </c>
      <c r="AO35" s="71" t="s">
        <v>2321</v>
      </c>
      <c r="AP35" s="71" t="s">
        <v>2321</v>
      </c>
      <c r="AQ35" s="71"/>
      <c r="AR35" s="71"/>
      <c r="AS35" s="71"/>
      <c r="AT35" s="71"/>
      <c r="AU35" s="71" t="s">
        <v>2322</v>
      </c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 t="s">
        <v>2322</v>
      </c>
      <c r="BS35" s="71"/>
      <c r="BT35" s="71"/>
      <c r="BU35" s="71"/>
      <c r="BV35" s="71"/>
      <c r="BW35" s="71" t="s">
        <v>2322</v>
      </c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 t="s">
        <v>2322</v>
      </c>
      <c r="CJ35" s="71"/>
      <c r="CK35" s="71"/>
      <c r="CL35" s="71"/>
      <c r="CM35" s="71"/>
      <c r="CN35" s="71"/>
      <c r="CO35" s="71" t="s">
        <v>2321</v>
      </c>
      <c r="CP35" s="71" t="s">
        <v>2321</v>
      </c>
      <c r="CQ35" s="71" t="s">
        <v>2321</v>
      </c>
      <c r="CR35" s="71"/>
      <c r="CS35" s="71"/>
      <c r="CT35" s="71"/>
      <c r="CU35" s="71"/>
      <c r="CV35" s="61">
        <f t="shared" si="1"/>
        <v>9</v>
      </c>
      <c r="CW35" s="61">
        <f t="shared" si="2"/>
        <v>4</v>
      </c>
    </row>
    <row r="36" ht="15.75" customHeight="1">
      <c r="A36" s="69"/>
      <c r="B36" s="54" t="s">
        <v>2823</v>
      </c>
      <c r="C36" s="70" t="str">
        <f t="array" ref="C36">IFERROR(INDEX('アプリケーション'!$C:$C,MATCH(B36,'アプリケーション'!$A:$A,0)),"（IDなし）")</f>
        <v>マスタデータ管理</v>
      </c>
      <c r="D36" s="71" t="s">
        <v>2321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 t="s">
        <v>2321</v>
      </c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61">
        <f t="shared" si="1"/>
        <v>2</v>
      </c>
      <c r="CW36" s="61">
        <f t="shared" si="2"/>
        <v>0</v>
      </c>
    </row>
    <row r="37" ht="15.75" customHeight="1">
      <c r="A37" s="69"/>
      <c r="B37" s="54" t="s">
        <v>2831</v>
      </c>
      <c r="C37" s="70" t="str">
        <f t="array" ref="C37">IFERROR(INDEX('アプリケーション'!$C:$C,MATCH(B37,'アプリケーション'!$A:$A,0)),"（IDなし）")</f>
        <v>GxP文書管理</v>
      </c>
      <c r="D37" s="71"/>
      <c r="E37" s="71"/>
      <c r="F37" s="71"/>
      <c r="G37" s="71"/>
      <c r="H37" s="71"/>
      <c r="I37" s="71" t="s">
        <v>2321</v>
      </c>
      <c r="J37" s="71" t="s">
        <v>2322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 t="s">
        <v>2322</v>
      </c>
      <c r="Y37" s="71"/>
      <c r="Z37" s="71"/>
      <c r="AA37" s="71"/>
      <c r="AB37" s="71" t="s">
        <v>2322</v>
      </c>
      <c r="AC37" s="71"/>
      <c r="AD37" s="71" t="s">
        <v>2322</v>
      </c>
      <c r="AE37" s="71"/>
      <c r="AF37" s="71"/>
      <c r="AG37" s="71"/>
      <c r="AH37" s="71" t="s">
        <v>2322</v>
      </c>
      <c r="AI37" s="71" t="s">
        <v>2322</v>
      </c>
      <c r="AJ37" s="71" t="s">
        <v>2322</v>
      </c>
      <c r="AK37" s="71" t="s">
        <v>2322</v>
      </c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 t="s">
        <v>2322</v>
      </c>
      <c r="AW37" s="71"/>
      <c r="AX37" s="71"/>
      <c r="AY37" s="71"/>
      <c r="AZ37" s="71" t="s">
        <v>2322</v>
      </c>
      <c r="BA37" s="71"/>
      <c r="BB37" s="71"/>
      <c r="BC37" s="71" t="s">
        <v>2321</v>
      </c>
      <c r="BD37" s="71" t="s">
        <v>2321</v>
      </c>
      <c r="BE37" s="71" t="s">
        <v>2321</v>
      </c>
      <c r="BF37" s="71"/>
      <c r="BG37" s="71"/>
      <c r="BH37" s="71"/>
      <c r="BI37" s="71"/>
      <c r="BJ37" s="71"/>
      <c r="BK37" s="71"/>
      <c r="BL37" s="71" t="s">
        <v>2322</v>
      </c>
      <c r="BM37" s="71" t="s">
        <v>2322</v>
      </c>
      <c r="BN37" s="71" t="s">
        <v>2322</v>
      </c>
      <c r="BO37" s="71"/>
      <c r="BP37" s="71" t="s">
        <v>2322</v>
      </c>
      <c r="BQ37" s="71" t="s">
        <v>2321</v>
      </c>
      <c r="BR37" s="71"/>
      <c r="BS37" s="71" t="s">
        <v>2322</v>
      </c>
      <c r="BT37" s="71" t="s">
        <v>2322</v>
      </c>
      <c r="BU37" s="71" t="s">
        <v>2321</v>
      </c>
      <c r="BV37" s="71" t="s">
        <v>2321</v>
      </c>
      <c r="BW37" s="71" t="s">
        <v>2321</v>
      </c>
      <c r="BX37" s="71" t="s">
        <v>2321</v>
      </c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61">
        <f t="shared" si="1"/>
        <v>9</v>
      </c>
      <c r="CW37" s="61">
        <f t="shared" si="2"/>
        <v>16</v>
      </c>
    </row>
    <row r="38" ht="15.75" customHeight="1">
      <c r="A38" s="69"/>
      <c r="B38" s="54" t="s">
        <v>2836</v>
      </c>
      <c r="C38" s="70" t="str">
        <f t="array" ref="C38">IFERROR(INDEX('アプリケーション'!$C:$C,MATCH(B38,'アプリケーション'!$A:$A,0)),"（IDなし）")</f>
        <v>教育管理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61">
        <f t="shared" si="1"/>
        <v>0</v>
      </c>
      <c r="CW38" s="61">
        <f t="shared" si="2"/>
        <v>0</v>
      </c>
    </row>
    <row r="39" ht="15.75" customHeight="1">
      <c r="A39" s="69"/>
      <c r="B39" s="54" t="s">
        <v>2842</v>
      </c>
      <c r="C39" s="70" t="str">
        <f t="array" ref="C39">IFERROR(INDEX('アプリケーション'!$C:$C,MATCH(B39,'アプリケーション'!$A:$A,0)),"（IDなし）")</f>
        <v>データ・分析基盤</v>
      </c>
      <c r="D39" s="71" t="s">
        <v>2321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 t="s">
        <v>2321</v>
      </c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61">
        <f t="shared" si="1"/>
        <v>2</v>
      </c>
      <c r="CW39" s="61">
        <f t="shared" si="2"/>
        <v>0</v>
      </c>
    </row>
    <row r="40" ht="15.75" customHeight="1">
      <c r="A40" s="69"/>
      <c r="B40" s="54" t="s">
        <v>2851</v>
      </c>
      <c r="C40" s="70" t="str">
        <f t="array" ref="C40">IFERROR(INDEX('アプリケーション'!$C:$C,MATCH(B40,'アプリケーション'!$A:$A,0)),"（IDなし）")</f>
        <v>ポートフォリオ・プロジェクト管理</v>
      </c>
      <c r="D40" s="71" t="s">
        <v>2321</v>
      </c>
      <c r="E40" s="71" t="s">
        <v>2321</v>
      </c>
      <c r="F40" s="71" t="s">
        <v>2322</v>
      </c>
      <c r="G40" s="71"/>
      <c r="H40" s="71"/>
      <c r="I40" s="71" t="s">
        <v>2321</v>
      </c>
      <c r="J40" s="71"/>
      <c r="K40" s="71"/>
      <c r="L40" s="71"/>
      <c r="M40" s="71"/>
      <c r="N40" s="71"/>
      <c r="O40" s="71"/>
      <c r="P40" s="71" t="s">
        <v>2322</v>
      </c>
      <c r="Q40" s="71"/>
      <c r="R40" s="71" t="s">
        <v>2322</v>
      </c>
      <c r="S40" s="71" t="s">
        <v>2322</v>
      </c>
      <c r="T40" s="71" t="s">
        <v>2321</v>
      </c>
      <c r="U40" s="71" t="s">
        <v>2322</v>
      </c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61">
        <f t="shared" si="1"/>
        <v>4</v>
      </c>
      <c r="CW40" s="61">
        <f t="shared" si="2"/>
        <v>5</v>
      </c>
    </row>
    <row r="41" ht="15.75" customHeight="1">
      <c r="A41" s="69"/>
      <c r="B41" s="54" t="s">
        <v>2859</v>
      </c>
      <c r="C41" s="70" t="str">
        <f t="array" ref="C41">IFERROR(INDEX('アプリケーション'!$C:$C,MATCH(B41,'アプリケーション'!$A:$A,0)),"（IDなし）")</f>
        <v>契約管理</v>
      </c>
      <c r="D41" s="71"/>
      <c r="E41" s="71"/>
      <c r="F41" s="71"/>
      <c r="G41" s="71" t="s">
        <v>2321</v>
      </c>
      <c r="H41" s="71" t="s">
        <v>2321</v>
      </c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61">
        <f t="shared" si="1"/>
        <v>2</v>
      </c>
      <c r="CW41" s="61">
        <f t="shared" si="2"/>
        <v>0</v>
      </c>
    </row>
    <row r="42" ht="15.75" customHeight="1">
      <c r="A42" s="69"/>
      <c r="B42" s="54" t="s">
        <v>2867</v>
      </c>
      <c r="C42" s="70" t="str">
        <f t="array" ref="C42">IFERROR(INDEX('アプリケーション'!$C:$C,MATCH(B42,'アプリケーション'!$A:$A,0)),"（IDなし）")</f>
        <v>知財管理</v>
      </c>
      <c r="D42" s="71"/>
      <c r="E42" s="71"/>
      <c r="F42" s="71" t="s">
        <v>2321</v>
      </c>
      <c r="G42" s="71"/>
      <c r="H42" s="71"/>
      <c r="I42" s="71"/>
      <c r="J42" s="71"/>
      <c r="K42" s="71"/>
      <c r="L42" s="71"/>
      <c r="M42" s="71"/>
      <c r="N42" s="71"/>
      <c r="O42" s="71" t="s">
        <v>2322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 t="s">
        <v>2322</v>
      </c>
      <c r="BU42" s="71"/>
      <c r="BV42" s="71"/>
      <c r="BW42" s="71" t="s">
        <v>2322</v>
      </c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61">
        <f t="shared" si="1"/>
        <v>1</v>
      </c>
      <c r="CW42" s="61">
        <f t="shared" si="2"/>
        <v>3</v>
      </c>
    </row>
    <row r="43" ht="15.75" customHeight="1">
      <c r="C43" s="69" t="s">
        <v>2233</v>
      </c>
      <c r="D43" s="61">
        <f t="shared" ref="D43:CU43" si="3">COUNTIF(D$6:D$42,"C")</f>
        <v>4</v>
      </c>
      <c r="E43" s="61">
        <f t="shared" si="3"/>
        <v>5</v>
      </c>
      <c r="F43" s="61">
        <f t="shared" si="3"/>
        <v>1</v>
      </c>
      <c r="G43" s="61">
        <f t="shared" si="3"/>
        <v>2</v>
      </c>
      <c r="H43" s="61">
        <f t="shared" si="3"/>
        <v>5</v>
      </c>
      <c r="I43" s="61">
        <f t="shared" si="3"/>
        <v>5</v>
      </c>
      <c r="J43" s="61">
        <f t="shared" si="3"/>
        <v>1</v>
      </c>
      <c r="K43" s="61">
        <f t="shared" si="3"/>
        <v>2</v>
      </c>
      <c r="L43" s="61">
        <f t="shared" si="3"/>
        <v>2</v>
      </c>
      <c r="M43" s="61">
        <f t="shared" si="3"/>
        <v>2</v>
      </c>
      <c r="N43" s="61">
        <f t="shared" si="3"/>
        <v>2</v>
      </c>
      <c r="O43" s="61">
        <f t="shared" si="3"/>
        <v>2</v>
      </c>
      <c r="P43" s="61">
        <f t="shared" si="3"/>
        <v>3</v>
      </c>
      <c r="Q43" s="61">
        <f t="shared" si="3"/>
        <v>1</v>
      </c>
      <c r="R43" s="61">
        <f t="shared" si="3"/>
        <v>1</v>
      </c>
      <c r="S43" s="61">
        <f t="shared" si="3"/>
        <v>2</v>
      </c>
      <c r="T43" s="61">
        <f t="shared" si="3"/>
        <v>3</v>
      </c>
      <c r="U43" s="61">
        <f t="shared" si="3"/>
        <v>1</v>
      </c>
      <c r="V43" s="61">
        <f t="shared" si="3"/>
        <v>1</v>
      </c>
      <c r="W43" s="61">
        <f t="shared" si="3"/>
        <v>2</v>
      </c>
      <c r="X43" s="61">
        <f t="shared" si="3"/>
        <v>1</v>
      </c>
      <c r="Y43" s="61">
        <f t="shared" si="3"/>
        <v>1</v>
      </c>
      <c r="Z43" s="61">
        <f t="shared" si="3"/>
        <v>1</v>
      </c>
      <c r="AA43" s="61">
        <f t="shared" si="3"/>
        <v>1</v>
      </c>
      <c r="AB43" s="61">
        <f t="shared" si="3"/>
        <v>2</v>
      </c>
      <c r="AC43" s="61">
        <f t="shared" si="3"/>
        <v>1</v>
      </c>
      <c r="AD43" s="61">
        <f t="shared" si="3"/>
        <v>1</v>
      </c>
      <c r="AE43" s="61">
        <f t="shared" si="3"/>
        <v>2</v>
      </c>
      <c r="AF43" s="61">
        <f t="shared" si="3"/>
        <v>2</v>
      </c>
      <c r="AG43" s="61">
        <f t="shared" si="3"/>
        <v>2</v>
      </c>
      <c r="AH43" s="61">
        <f t="shared" si="3"/>
        <v>2</v>
      </c>
      <c r="AI43" s="61">
        <f t="shared" si="3"/>
        <v>1</v>
      </c>
      <c r="AJ43" s="61">
        <f t="shared" si="3"/>
        <v>3</v>
      </c>
      <c r="AK43" s="61">
        <f t="shared" si="3"/>
        <v>3</v>
      </c>
      <c r="AL43" s="61">
        <f t="shared" si="3"/>
        <v>1</v>
      </c>
      <c r="AM43" s="61">
        <f t="shared" si="3"/>
        <v>2</v>
      </c>
      <c r="AN43" s="61">
        <f t="shared" si="3"/>
        <v>2</v>
      </c>
      <c r="AO43" s="61">
        <f t="shared" si="3"/>
        <v>5</v>
      </c>
      <c r="AP43" s="61">
        <f t="shared" si="3"/>
        <v>4</v>
      </c>
      <c r="AQ43" s="61">
        <f t="shared" si="3"/>
        <v>3</v>
      </c>
      <c r="AR43" s="61">
        <f t="shared" si="3"/>
        <v>3</v>
      </c>
      <c r="AS43" s="61">
        <f t="shared" si="3"/>
        <v>2</v>
      </c>
      <c r="AT43" s="61">
        <f t="shared" si="3"/>
        <v>1</v>
      </c>
      <c r="AU43" s="61">
        <f t="shared" si="3"/>
        <v>2</v>
      </c>
      <c r="AV43" s="61">
        <f t="shared" si="3"/>
        <v>1</v>
      </c>
      <c r="AW43" s="61">
        <f t="shared" si="3"/>
        <v>2</v>
      </c>
      <c r="AX43" s="61">
        <f t="shared" si="3"/>
        <v>2</v>
      </c>
      <c r="AY43" s="61">
        <f t="shared" si="3"/>
        <v>3</v>
      </c>
      <c r="AZ43" s="61">
        <f t="shared" si="3"/>
        <v>1</v>
      </c>
      <c r="BA43" s="61">
        <f t="shared" si="3"/>
        <v>1</v>
      </c>
      <c r="BB43" s="61">
        <f t="shared" si="3"/>
        <v>1</v>
      </c>
      <c r="BC43" s="61">
        <f t="shared" si="3"/>
        <v>1</v>
      </c>
      <c r="BD43" s="61">
        <f t="shared" si="3"/>
        <v>3</v>
      </c>
      <c r="BE43" s="61">
        <f t="shared" si="3"/>
        <v>3</v>
      </c>
      <c r="BF43" s="61">
        <f t="shared" si="3"/>
        <v>2</v>
      </c>
      <c r="BG43" s="61">
        <f t="shared" si="3"/>
        <v>2</v>
      </c>
      <c r="BH43" s="61">
        <f t="shared" si="3"/>
        <v>4</v>
      </c>
      <c r="BI43" s="61">
        <f t="shared" si="3"/>
        <v>3</v>
      </c>
      <c r="BJ43" s="61">
        <f t="shared" si="3"/>
        <v>2</v>
      </c>
      <c r="BK43" s="61">
        <f t="shared" si="3"/>
        <v>2</v>
      </c>
      <c r="BL43" s="61">
        <f t="shared" si="3"/>
        <v>4</v>
      </c>
      <c r="BM43" s="61">
        <f t="shared" si="3"/>
        <v>3</v>
      </c>
      <c r="BN43" s="61">
        <f t="shared" si="3"/>
        <v>1</v>
      </c>
      <c r="BO43" s="61">
        <f t="shared" si="3"/>
        <v>1</v>
      </c>
      <c r="BP43" s="61">
        <f t="shared" si="3"/>
        <v>1</v>
      </c>
      <c r="BQ43" s="61">
        <f t="shared" si="3"/>
        <v>4</v>
      </c>
      <c r="BR43" s="61">
        <f t="shared" si="3"/>
        <v>5</v>
      </c>
      <c r="BS43" s="61">
        <f t="shared" si="3"/>
        <v>2</v>
      </c>
      <c r="BT43" s="61">
        <f t="shared" si="3"/>
        <v>1</v>
      </c>
      <c r="BU43" s="61">
        <f t="shared" si="3"/>
        <v>2</v>
      </c>
      <c r="BV43" s="61">
        <f t="shared" si="3"/>
        <v>6</v>
      </c>
      <c r="BW43" s="61">
        <f t="shared" si="3"/>
        <v>3</v>
      </c>
      <c r="BX43" s="61">
        <f t="shared" si="3"/>
        <v>4</v>
      </c>
      <c r="BY43" s="61">
        <f t="shared" si="3"/>
        <v>2</v>
      </c>
      <c r="BZ43" s="61">
        <f t="shared" si="3"/>
        <v>2</v>
      </c>
      <c r="CA43" s="61">
        <f t="shared" si="3"/>
        <v>1</v>
      </c>
      <c r="CB43" s="61">
        <f t="shared" si="3"/>
        <v>1</v>
      </c>
      <c r="CC43" s="61">
        <f t="shared" si="3"/>
        <v>3</v>
      </c>
      <c r="CD43" s="61">
        <f t="shared" si="3"/>
        <v>1</v>
      </c>
      <c r="CE43" s="61">
        <f t="shared" si="3"/>
        <v>1</v>
      </c>
      <c r="CF43" s="61">
        <f t="shared" si="3"/>
        <v>1</v>
      </c>
      <c r="CG43" s="61">
        <f t="shared" si="3"/>
        <v>1</v>
      </c>
      <c r="CH43" s="61">
        <f t="shared" si="3"/>
        <v>1</v>
      </c>
      <c r="CI43" s="61">
        <f t="shared" si="3"/>
        <v>1</v>
      </c>
      <c r="CJ43" s="61">
        <f t="shared" si="3"/>
        <v>2</v>
      </c>
      <c r="CK43" s="61">
        <f t="shared" si="3"/>
        <v>1</v>
      </c>
      <c r="CL43" s="61">
        <f t="shared" si="3"/>
        <v>1</v>
      </c>
      <c r="CM43" s="61">
        <f t="shared" si="3"/>
        <v>1</v>
      </c>
      <c r="CN43" s="61">
        <f t="shared" si="3"/>
        <v>1</v>
      </c>
      <c r="CO43" s="61">
        <f t="shared" si="3"/>
        <v>2</v>
      </c>
      <c r="CP43" s="61">
        <f t="shared" si="3"/>
        <v>5</v>
      </c>
      <c r="CQ43" s="61">
        <f t="shared" si="3"/>
        <v>3</v>
      </c>
      <c r="CR43" s="61">
        <f t="shared" si="3"/>
        <v>1</v>
      </c>
      <c r="CS43" s="61">
        <f t="shared" si="3"/>
        <v>2</v>
      </c>
      <c r="CT43" s="61">
        <f t="shared" si="3"/>
        <v>1</v>
      </c>
      <c r="CU43" s="61">
        <f t="shared" si="3"/>
        <v>1</v>
      </c>
    </row>
    <row r="44" ht="15.75" customHeight="1">
      <c r="C44" s="69" t="s">
        <v>2234</v>
      </c>
      <c r="D44" s="61">
        <f t="shared" ref="D44:CU44" si="4">COUNTIF(D$6:D$42,"R")</f>
        <v>1</v>
      </c>
      <c r="E44" s="61">
        <f t="shared" si="4"/>
        <v>0</v>
      </c>
      <c r="F44" s="61">
        <f t="shared" si="4"/>
        <v>3</v>
      </c>
      <c r="G44" s="61">
        <f t="shared" si="4"/>
        <v>2</v>
      </c>
      <c r="H44" s="61">
        <f t="shared" si="4"/>
        <v>1</v>
      </c>
      <c r="I44" s="61">
        <f t="shared" si="4"/>
        <v>3</v>
      </c>
      <c r="J44" s="61">
        <f t="shared" si="4"/>
        <v>4</v>
      </c>
      <c r="K44" s="61">
        <f t="shared" si="4"/>
        <v>1</v>
      </c>
      <c r="L44" s="61">
        <f t="shared" si="4"/>
        <v>1</v>
      </c>
      <c r="M44" s="61">
        <f t="shared" si="4"/>
        <v>0</v>
      </c>
      <c r="N44" s="61">
        <f t="shared" si="4"/>
        <v>0</v>
      </c>
      <c r="O44" s="61">
        <f t="shared" si="4"/>
        <v>4</v>
      </c>
      <c r="P44" s="61">
        <f t="shared" si="4"/>
        <v>2</v>
      </c>
      <c r="Q44" s="61">
        <f t="shared" si="4"/>
        <v>1</v>
      </c>
      <c r="R44" s="61">
        <f t="shared" si="4"/>
        <v>1</v>
      </c>
      <c r="S44" s="61">
        <f t="shared" si="4"/>
        <v>1</v>
      </c>
      <c r="T44" s="61">
        <f t="shared" si="4"/>
        <v>0</v>
      </c>
      <c r="U44" s="61">
        <f t="shared" si="4"/>
        <v>4</v>
      </c>
      <c r="V44" s="61">
        <f t="shared" si="4"/>
        <v>1</v>
      </c>
      <c r="W44" s="61">
        <f t="shared" si="4"/>
        <v>1</v>
      </c>
      <c r="X44" s="61">
        <f t="shared" si="4"/>
        <v>6</v>
      </c>
      <c r="Y44" s="61">
        <f t="shared" si="4"/>
        <v>0</v>
      </c>
      <c r="Z44" s="61">
        <f t="shared" si="4"/>
        <v>0</v>
      </c>
      <c r="AA44" s="61">
        <f t="shared" si="4"/>
        <v>3</v>
      </c>
      <c r="AB44" s="61">
        <f t="shared" si="4"/>
        <v>3</v>
      </c>
      <c r="AC44" s="61">
        <f t="shared" si="4"/>
        <v>1</v>
      </c>
      <c r="AD44" s="61">
        <f t="shared" si="4"/>
        <v>3</v>
      </c>
      <c r="AE44" s="61">
        <f t="shared" si="4"/>
        <v>0</v>
      </c>
      <c r="AF44" s="61">
        <f t="shared" si="4"/>
        <v>2</v>
      </c>
      <c r="AG44" s="61">
        <f t="shared" si="4"/>
        <v>1</v>
      </c>
      <c r="AH44" s="61">
        <f t="shared" si="4"/>
        <v>5</v>
      </c>
      <c r="AI44" s="61">
        <f t="shared" si="4"/>
        <v>4</v>
      </c>
      <c r="AJ44" s="61">
        <f t="shared" si="4"/>
        <v>2</v>
      </c>
      <c r="AK44" s="61">
        <f t="shared" si="4"/>
        <v>4</v>
      </c>
      <c r="AL44" s="61">
        <f t="shared" si="4"/>
        <v>2</v>
      </c>
      <c r="AM44" s="61">
        <f t="shared" si="4"/>
        <v>2</v>
      </c>
      <c r="AN44" s="61">
        <f t="shared" si="4"/>
        <v>2</v>
      </c>
      <c r="AO44" s="61">
        <f t="shared" si="4"/>
        <v>1</v>
      </c>
      <c r="AP44" s="61">
        <f t="shared" si="4"/>
        <v>5</v>
      </c>
      <c r="AQ44" s="61">
        <f t="shared" si="4"/>
        <v>0</v>
      </c>
      <c r="AR44" s="61">
        <f t="shared" si="4"/>
        <v>1</v>
      </c>
      <c r="AS44" s="61">
        <f t="shared" si="4"/>
        <v>1</v>
      </c>
      <c r="AT44" s="61">
        <f t="shared" si="4"/>
        <v>2</v>
      </c>
      <c r="AU44" s="61">
        <f t="shared" si="4"/>
        <v>3</v>
      </c>
      <c r="AV44" s="61">
        <f t="shared" si="4"/>
        <v>3</v>
      </c>
      <c r="AW44" s="61">
        <f t="shared" si="4"/>
        <v>0</v>
      </c>
      <c r="AX44" s="61">
        <f t="shared" si="4"/>
        <v>1</v>
      </c>
      <c r="AY44" s="61">
        <f t="shared" si="4"/>
        <v>1</v>
      </c>
      <c r="AZ44" s="61">
        <f t="shared" si="4"/>
        <v>4</v>
      </c>
      <c r="BA44" s="61">
        <f t="shared" si="4"/>
        <v>1</v>
      </c>
      <c r="BB44" s="61">
        <f t="shared" si="4"/>
        <v>3</v>
      </c>
      <c r="BC44" s="61">
        <f t="shared" si="4"/>
        <v>1</v>
      </c>
      <c r="BD44" s="61">
        <f t="shared" si="4"/>
        <v>2</v>
      </c>
      <c r="BE44" s="61">
        <f t="shared" si="4"/>
        <v>2</v>
      </c>
      <c r="BF44" s="61">
        <f t="shared" si="4"/>
        <v>1</v>
      </c>
      <c r="BG44" s="61">
        <f t="shared" si="4"/>
        <v>0</v>
      </c>
      <c r="BH44" s="61">
        <f t="shared" si="4"/>
        <v>3</v>
      </c>
      <c r="BI44" s="61">
        <f t="shared" si="4"/>
        <v>4</v>
      </c>
      <c r="BJ44" s="61">
        <f t="shared" si="4"/>
        <v>1</v>
      </c>
      <c r="BK44" s="61">
        <f t="shared" si="4"/>
        <v>0</v>
      </c>
      <c r="BL44" s="61">
        <f t="shared" si="4"/>
        <v>4</v>
      </c>
      <c r="BM44" s="61">
        <f t="shared" si="4"/>
        <v>5</v>
      </c>
      <c r="BN44" s="61">
        <f t="shared" si="4"/>
        <v>4</v>
      </c>
      <c r="BO44" s="61">
        <f t="shared" si="4"/>
        <v>2</v>
      </c>
      <c r="BP44" s="61">
        <f t="shared" si="4"/>
        <v>1</v>
      </c>
      <c r="BQ44" s="61">
        <f t="shared" si="4"/>
        <v>3</v>
      </c>
      <c r="BR44" s="61">
        <f t="shared" si="4"/>
        <v>3</v>
      </c>
      <c r="BS44" s="61">
        <f t="shared" si="4"/>
        <v>1</v>
      </c>
      <c r="BT44" s="61">
        <f t="shared" si="4"/>
        <v>4</v>
      </c>
      <c r="BU44" s="61">
        <f t="shared" si="4"/>
        <v>1</v>
      </c>
      <c r="BV44" s="61">
        <f t="shared" si="4"/>
        <v>0</v>
      </c>
      <c r="BW44" s="61">
        <f t="shared" si="4"/>
        <v>4</v>
      </c>
      <c r="BX44" s="61">
        <f t="shared" si="4"/>
        <v>3</v>
      </c>
      <c r="BY44" s="61">
        <f t="shared" si="4"/>
        <v>2</v>
      </c>
      <c r="BZ44" s="61">
        <f t="shared" si="4"/>
        <v>0</v>
      </c>
      <c r="CA44" s="61">
        <f t="shared" si="4"/>
        <v>0</v>
      </c>
      <c r="CB44" s="61">
        <f t="shared" si="4"/>
        <v>0</v>
      </c>
      <c r="CC44" s="61">
        <f t="shared" si="4"/>
        <v>3</v>
      </c>
      <c r="CD44" s="61">
        <f t="shared" si="4"/>
        <v>3</v>
      </c>
      <c r="CE44" s="61">
        <f t="shared" si="4"/>
        <v>0</v>
      </c>
      <c r="CF44" s="61">
        <f t="shared" si="4"/>
        <v>0</v>
      </c>
      <c r="CG44" s="61">
        <f t="shared" si="4"/>
        <v>1</v>
      </c>
      <c r="CH44" s="61">
        <f t="shared" si="4"/>
        <v>1</v>
      </c>
      <c r="CI44" s="61">
        <f t="shared" si="4"/>
        <v>3</v>
      </c>
      <c r="CJ44" s="61">
        <f t="shared" si="4"/>
        <v>0</v>
      </c>
      <c r="CK44" s="61">
        <f t="shared" si="4"/>
        <v>0</v>
      </c>
      <c r="CL44" s="61">
        <f t="shared" si="4"/>
        <v>0</v>
      </c>
      <c r="CM44" s="61">
        <f t="shared" si="4"/>
        <v>0</v>
      </c>
      <c r="CN44" s="61">
        <f t="shared" si="4"/>
        <v>0</v>
      </c>
      <c r="CO44" s="61">
        <f t="shared" si="4"/>
        <v>2</v>
      </c>
      <c r="CP44" s="61">
        <f t="shared" si="4"/>
        <v>1</v>
      </c>
      <c r="CQ44" s="61">
        <f t="shared" si="4"/>
        <v>1</v>
      </c>
      <c r="CR44" s="61">
        <f t="shared" si="4"/>
        <v>0</v>
      </c>
      <c r="CS44" s="61">
        <f t="shared" si="4"/>
        <v>1</v>
      </c>
      <c r="CT44" s="61">
        <f t="shared" si="4"/>
        <v>0</v>
      </c>
      <c r="CU44" s="61">
        <f t="shared" si="4"/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M4:AY4"/>
    <mergeCell ref="AZ4:BR4"/>
    <mergeCell ref="BS4:CB4"/>
    <mergeCell ref="CC4:CE4"/>
    <mergeCell ref="CF4:CN4"/>
    <mergeCell ref="CO4:CU4"/>
    <mergeCell ref="CV4:CV5"/>
    <mergeCell ref="CW4:CW5"/>
    <mergeCell ref="A4:A5"/>
    <mergeCell ref="B4:B5"/>
    <mergeCell ref="C4:C5"/>
    <mergeCell ref="D4:I4"/>
    <mergeCell ref="J4:U4"/>
    <mergeCell ref="V4:Y4"/>
    <mergeCell ref="Z4:AL4"/>
  </mergeCells>
  <conditionalFormatting sqref="D6:CU42">
    <cfRule type="cellIs" dxfId="0" priority="1" operator="equal">
      <formula>"C"</formula>
    </cfRule>
  </conditionalFormatting>
  <dataValidations>
    <dataValidation type="list" allowBlank="1" sqref="D6:CU42">
      <formula1>"C,R"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B57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28.0"/>
    <col customWidth="1" min="4" max="75" width="4.57"/>
    <col customWidth="1" min="76" max="77" width="7.43"/>
  </cols>
  <sheetData>
    <row r="1">
      <c r="A1" s="1" t="s">
        <v>3021</v>
      </c>
    </row>
    <row r="2">
      <c r="A2" s="4" t="s">
        <v>3022</v>
      </c>
    </row>
    <row r="4" ht="57.75" customHeight="1">
      <c r="A4" s="62" t="s">
        <v>2183</v>
      </c>
      <c r="B4" s="62" t="s">
        <v>8</v>
      </c>
      <c r="C4" s="62" t="s">
        <v>2582</v>
      </c>
      <c r="D4" s="63" t="s">
        <v>3023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5"/>
      <c r="P4" s="63" t="s">
        <v>3024</v>
      </c>
      <c r="Q4" s="64"/>
      <c r="R4" s="64"/>
      <c r="S4" s="65"/>
      <c r="T4" s="63" t="s">
        <v>3025</v>
      </c>
      <c r="U4" s="64"/>
      <c r="V4" s="64"/>
      <c r="W4" s="65"/>
      <c r="X4" s="63" t="s">
        <v>3026</v>
      </c>
      <c r="Y4" s="64"/>
      <c r="Z4" s="64"/>
      <c r="AA4" s="64"/>
      <c r="AB4" s="64"/>
      <c r="AC4" s="64"/>
      <c r="AD4" s="64"/>
      <c r="AE4" s="64"/>
      <c r="AF4" s="65"/>
      <c r="AG4" s="63" t="s">
        <v>3027</v>
      </c>
      <c r="AH4" s="65"/>
      <c r="AI4" s="63" t="s">
        <v>3028</v>
      </c>
      <c r="AJ4" s="64"/>
      <c r="AK4" s="64"/>
      <c r="AL4" s="64"/>
      <c r="AM4" s="64"/>
      <c r="AN4" s="64"/>
      <c r="AO4" s="65"/>
      <c r="AP4" s="63" t="s">
        <v>3029</v>
      </c>
      <c r="AQ4" s="64"/>
      <c r="AR4" s="64"/>
      <c r="AS4" s="64"/>
      <c r="AT4" s="64"/>
      <c r="AU4" s="64"/>
      <c r="AV4" s="64"/>
      <c r="AW4" s="64"/>
      <c r="AX4" s="64"/>
      <c r="AY4" s="65"/>
      <c r="AZ4" s="63" t="s">
        <v>3030</v>
      </c>
      <c r="BA4" s="64"/>
      <c r="BB4" s="64"/>
      <c r="BC4" s="64"/>
      <c r="BD4" s="65"/>
      <c r="BE4" s="63" t="s">
        <v>3031</v>
      </c>
      <c r="BF4" s="64"/>
      <c r="BG4" s="64"/>
      <c r="BH4" s="64"/>
      <c r="BI4" s="64"/>
      <c r="BJ4" s="64"/>
      <c r="BK4" s="64"/>
      <c r="BL4" s="65"/>
      <c r="BM4" s="73" t="s">
        <v>3032</v>
      </c>
      <c r="BN4" s="73" t="s">
        <v>2979</v>
      </c>
      <c r="BO4" s="63" t="s">
        <v>2986</v>
      </c>
      <c r="BP4" s="64"/>
      <c r="BQ4" s="65"/>
      <c r="BR4" s="63" t="s">
        <v>2998</v>
      </c>
      <c r="BS4" s="64"/>
      <c r="BT4" s="64"/>
      <c r="BU4" s="64"/>
      <c r="BV4" s="64"/>
      <c r="BW4" s="65"/>
      <c r="BX4" s="66" t="s">
        <v>2175</v>
      </c>
      <c r="BY4" s="66" t="s">
        <v>2176</v>
      </c>
    </row>
    <row r="5" ht="214.5" customHeight="1">
      <c r="A5" s="67"/>
      <c r="B5" s="67"/>
      <c r="C5" s="67"/>
      <c r="D5" s="68" t="str">
        <f>'製品一覧'!D4</f>
        <v>Veeva CTMS</v>
      </c>
      <c r="E5" s="68" t="str">
        <f>'製品一覧'!D5</f>
        <v>Veeva eTMF</v>
      </c>
      <c r="F5" s="68" t="str">
        <f>'製品一覧'!D6</f>
        <v>Veeva Study Startup</v>
      </c>
      <c r="G5" s="68" t="str">
        <f>'製品一覧'!D7</f>
        <v>Veeva Payments</v>
      </c>
      <c r="H5" s="68" t="str">
        <f>'製品一覧'!D8</f>
        <v>Veeva Site Connect</v>
      </c>
      <c r="I5" s="68" t="str">
        <f>'製品一覧'!D9</f>
        <v>Veeva Study Training</v>
      </c>
      <c r="J5" s="68" t="str">
        <f>'製品一覧'!D10</f>
        <v>Veeva Disclosures</v>
      </c>
      <c r="K5" s="68" t="str">
        <f>'製品一覧'!D11</f>
        <v>Veeva OpenData Clinical</v>
      </c>
      <c r="L5" s="68" t="str">
        <f>'製品一覧'!D12</f>
        <v>Veeva EDC</v>
      </c>
      <c r="M5" s="68" t="str">
        <f>'製品一覧'!D13</f>
        <v>Veeva DQS</v>
      </c>
      <c r="N5" s="68" t="str">
        <f>'製品一覧'!D14</f>
        <v>Veeva eCOA</v>
      </c>
      <c r="O5" s="68" t="str">
        <f>'製品一覧'!D15</f>
        <v>Veeva RTSM</v>
      </c>
      <c r="P5" s="68" t="str">
        <f>'製品一覧'!D16</f>
        <v>Veeva Registrations</v>
      </c>
      <c r="Q5" s="68" t="str">
        <f>'製品一覧'!D17</f>
        <v>Veeva Submissions</v>
      </c>
      <c r="R5" s="68" t="str">
        <f>'製品一覧'!D18</f>
        <v>Veeva Submissions Publishing</v>
      </c>
      <c r="S5" s="68" t="str">
        <f>'製品一覧'!D19</f>
        <v>Veeva Submissions Archive</v>
      </c>
      <c r="T5" s="68" t="str">
        <f>'製品一覧'!D20</f>
        <v>Veeva Safety</v>
      </c>
      <c r="U5" s="68" t="str">
        <f>'製品一覧'!D21</f>
        <v>Veeva SafetyDocs</v>
      </c>
      <c r="V5" s="68" t="str">
        <f>'製品一覧'!D22</f>
        <v>Veeva Safety Workbench</v>
      </c>
      <c r="W5" s="68" t="str">
        <f>'製品一覧'!D23</f>
        <v>Veeva Safety Signal</v>
      </c>
      <c r="X5" s="68" t="str">
        <f>'製品一覧'!D24</f>
        <v>Veeva QMS</v>
      </c>
      <c r="Y5" s="68" t="str">
        <f>'製品一覧'!D25</f>
        <v>Veeva QualityDocs</v>
      </c>
      <c r="Z5" s="68" t="str">
        <f>'製品一覧'!D26</f>
        <v>Veeva Training</v>
      </c>
      <c r="AA5" s="68" t="str">
        <f>'製品一覧'!D27</f>
        <v>Veeva Validation Management</v>
      </c>
      <c r="AB5" s="68" t="str">
        <f>'製品一覧'!D28</f>
        <v>Veeva Batch Release</v>
      </c>
      <c r="AC5" s="68" t="str">
        <f>'製品一覧'!D29</f>
        <v>Veeva LIMS</v>
      </c>
      <c r="AD5" s="68" t="str">
        <f>'製品一覧'!D30</f>
        <v>Veeva Station Manager</v>
      </c>
      <c r="AE5" s="68" t="str">
        <f>'製品一覧'!D31</f>
        <v>Veeva Product Surveillance</v>
      </c>
      <c r="AF5" s="68" t="str">
        <f>'製品一覧'!D32</f>
        <v>Veeva EHS</v>
      </c>
      <c r="AG5" s="68" t="str">
        <f>'製品一覧'!D33</f>
        <v>SiteVault</v>
      </c>
      <c r="AH5" s="68" t="str">
        <f>'製品一覧'!D34</f>
        <v>Veeva eSource</v>
      </c>
      <c r="AI5" s="68" t="str">
        <f>'製品一覧'!D35</f>
        <v>Medical CRM</v>
      </c>
      <c r="AJ5" s="68" t="str">
        <f>'製品一覧'!D36</f>
        <v>Veeva MedInquiry</v>
      </c>
      <c r="AK5" s="68" t="str">
        <f>'製品一覧'!D37</f>
        <v>Veeva MedComms</v>
      </c>
      <c r="AL5" s="68" t="str">
        <f>'製品一覧'!D38</f>
        <v>Veeva Publications</v>
      </c>
      <c r="AM5" s="68" t="str">
        <f>'製品一覧'!D39</f>
        <v>Veeva Link Key People</v>
      </c>
      <c r="AN5" s="68" t="str">
        <f>'製品一覧'!D40</f>
        <v>Veeva Link Workflow</v>
      </c>
      <c r="AO5" s="68" t="str">
        <f>'製品一覧'!D41</f>
        <v>Veeva Link Medical Insights</v>
      </c>
      <c r="AP5" s="68" t="str">
        <f>'製品一覧'!D42</f>
        <v>Vault CRM</v>
      </c>
      <c r="AQ5" s="68" t="str">
        <f>'製品一覧'!D43</f>
        <v>Campaign Manager</v>
      </c>
      <c r="AR5" s="68" t="str">
        <f>'製品一覧'!D44</f>
        <v>Events Management</v>
      </c>
      <c r="AS5" s="68" t="str">
        <f>'製品一覧'!D45</f>
        <v>Service Center</v>
      </c>
      <c r="AT5" s="68" t="str">
        <f>'製品一覧'!D46</f>
        <v>Align / Align+</v>
      </c>
      <c r="AU5" s="68" t="str">
        <f>'製品一覧'!D47</f>
        <v>Patient CRM</v>
      </c>
      <c r="AV5" s="68" t="str">
        <f>'製品一覧'!D48</f>
        <v>Ostro</v>
      </c>
      <c r="AW5" s="68" t="str">
        <f>'製品一覧'!D49</f>
        <v>Veeva PromoMats</v>
      </c>
      <c r="AX5" s="68" t="str">
        <f>'製品一覧'!D50</f>
        <v>Veeva Nitro</v>
      </c>
      <c r="AY5" s="68" t="str">
        <f>'製品一覧'!D51</f>
        <v>Marketing Analytics</v>
      </c>
      <c r="AZ5" s="68" t="str">
        <f>'製品一覧'!D52</f>
        <v>Veeva Network</v>
      </c>
      <c r="BA5" s="68" t="str">
        <f>'製品一覧'!D53</f>
        <v>Veeva OpenData Commercial</v>
      </c>
      <c r="BB5" s="68" t="str">
        <f>'製品一覧'!D54</f>
        <v>Veeva HCP Access</v>
      </c>
      <c r="BC5" s="68" t="str">
        <f>'製品一覧'!D55</f>
        <v>Veeva Link Key Accounts</v>
      </c>
      <c r="BD5" s="68" t="str">
        <f>'製品一覧'!D56</f>
        <v>Veeva Compass</v>
      </c>
      <c r="BE5" s="68" t="str">
        <f>'製品一覧'!D57</f>
        <v>Vault Platform</v>
      </c>
      <c r="BF5" s="68" t="str">
        <f>'製品一覧'!D58</f>
        <v>Veeva Connections</v>
      </c>
      <c r="BG5" s="68" t="str">
        <f>'製品一覧'!D59</f>
        <v>Vault AI</v>
      </c>
      <c r="BH5" s="68" t="str">
        <f>'製品一覧'!D60</f>
        <v>Falcon Clinical</v>
      </c>
      <c r="BI5" s="68" t="str">
        <f>'製品一覧'!D61</f>
        <v>Falcon Regulatory</v>
      </c>
      <c r="BJ5" s="68" t="str">
        <f>'製品一覧'!D62</f>
        <v>Falcon Safety</v>
      </c>
      <c r="BK5" s="68" t="str">
        <f>'製品一覧'!D63</f>
        <v>Falcon MLR</v>
      </c>
      <c r="BL5" s="68" t="str">
        <f>'製品一覧'!D64</f>
        <v>Veeva Basics</v>
      </c>
      <c r="BM5" s="68" t="str">
        <f>'製品一覧'!D65</f>
        <v>Veeva CRM（Salesforce基盤）</v>
      </c>
      <c r="BN5" s="68" t="str">
        <f>'製品一覧'!D66</f>
        <v>Ultmarc MDB</v>
      </c>
      <c r="BO5" s="68" t="str">
        <f>'製品一覧'!D67</f>
        <v>Salesforce Life Sciences Cloud</v>
      </c>
      <c r="BP5" s="68" t="str">
        <f>'製品一覧'!D68</f>
        <v>Agentforce Life Sciences</v>
      </c>
      <c r="BQ5" s="68" t="str">
        <f>'製品一覧'!D69</f>
        <v>Salesforce Data Cloud</v>
      </c>
      <c r="BR5" s="68" t="str">
        <f>'製品一覧'!D70</f>
        <v>MasterControl</v>
      </c>
      <c r="BS5" s="68" t="str">
        <f>'製品一覧'!D71</f>
        <v>Documentum</v>
      </c>
      <c r="BT5" s="68" t="str">
        <f>'製品一覧'!D72</f>
        <v>EXTEDO</v>
      </c>
      <c r="BU5" s="68" t="str">
        <f>'製品一覧'!D73</f>
        <v>Oracle Argus</v>
      </c>
      <c r="BV5" s="68" t="str">
        <f>'製品一覧'!D74</f>
        <v>ARISg</v>
      </c>
      <c r="BW5" s="68" t="str">
        <f>'製品一覧'!D75</f>
        <v>Medidata</v>
      </c>
      <c r="BX5" s="67"/>
      <c r="BY5" s="67"/>
    </row>
    <row r="6">
      <c r="A6" s="69" t="s">
        <v>2214</v>
      </c>
      <c r="B6" s="54" t="s">
        <v>2587</v>
      </c>
      <c r="C6" s="70" t="str">
        <f t="array" ref="C6">IFERROR(INDEX('アプリケーション'!$C:$C,MATCH(B6,'アプリケーション'!$A:$A,0)),"（IDなし）")</f>
        <v>電子実験ノート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61">
        <f t="shared" ref="BX6:BX42" si="1">COUNTIF(D6:BW6,"●")</f>
        <v>0</v>
      </c>
      <c r="BY6" s="61">
        <f t="shared" ref="BY6:BY42" si="2">COUNTIF(D6:BW6,"○")</f>
        <v>0</v>
      </c>
    </row>
    <row r="7">
      <c r="A7" s="69"/>
      <c r="B7" s="54" t="s">
        <v>2606</v>
      </c>
      <c r="C7" s="70" t="str">
        <f t="array" ref="C7">IFERROR(INDEX('アプリケーション'!$C:$C,MATCH(B7,'アプリケーション'!$A:$A,0)),"（IDなし）")</f>
        <v>生物学的物質登録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61">
        <f t="shared" si="1"/>
        <v>0</v>
      </c>
      <c r="BY7" s="61">
        <f t="shared" si="2"/>
        <v>0</v>
      </c>
    </row>
    <row r="8">
      <c r="A8" s="69"/>
      <c r="B8" s="54" t="s">
        <v>2610</v>
      </c>
      <c r="C8" s="70" t="str">
        <f t="array" ref="C8">IFERROR(INDEX('アプリケーション'!$C:$C,MATCH(B8,'アプリケーション'!$A:$A,0)),"（IDなし）")</f>
        <v>科学データ解析基盤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61">
        <f t="shared" si="1"/>
        <v>0</v>
      </c>
      <c r="BY8" s="61">
        <f t="shared" si="2"/>
        <v>0</v>
      </c>
    </row>
    <row r="9">
      <c r="A9" s="69" t="s">
        <v>2218</v>
      </c>
      <c r="B9" s="54" t="s">
        <v>2618</v>
      </c>
      <c r="C9" s="70" t="str">
        <f t="array" ref="C9">IFERROR(INDEX('アプリケーション'!$C:$C,MATCH(B9,'アプリケーション'!$A:$A,0)),"（IDなし）")</f>
        <v>非臨床試験管理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61">
        <f t="shared" si="1"/>
        <v>0</v>
      </c>
      <c r="BY9" s="61">
        <f t="shared" si="2"/>
        <v>0</v>
      </c>
    </row>
    <row r="10">
      <c r="A10" s="69" t="s">
        <v>2221</v>
      </c>
      <c r="B10" s="54" t="s">
        <v>2626</v>
      </c>
      <c r="C10" s="70" t="str">
        <f t="array" ref="C10">IFERROR(INDEX('アプリケーション'!$C:$C,MATCH(B10,'アプリケーション'!$A:$A,0)),"（IDなし）")</f>
        <v>PK/PD解析・モデリング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61">
        <f t="shared" si="1"/>
        <v>0</v>
      </c>
      <c r="BY10" s="61">
        <f t="shared" si="2"/>
        <v>0</v>
      </c>
    </row>
    <row r="11">
      <c r="A11" s="69"/>
      <c r="B11" s="54" t="s">
        <v>2633</v>
      </c>
      <c r="C11" s="70" t="str">
        <f t="array" ref="C11">IFERROR(INDEX('アプリケーション'!$C:$C,MATCH(B11,'アプリケーション'!$A:$A,0)),"（IDなし）")</f>
        <v>臨床試験管理</v>
      </c>
      <c r="D11" s="71" t="s">
        <v>28</v>
      </c>
      <c r="E11" s="71"/>
      <c r="F11" s="71" t="s">
        <v>3018</v>
      </c>
      <c r="G11" s="71" t="s">
        <v>3018</v>
      </c>
      <c r="H11" s="71" t="s">
        <v>3018</v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 t="s">
        <v>3018</v>
      </c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 t="s">
        <v>3018</v>
      </c>
      <c r="BX11" s="61">
        <f t="shared" si="1"/>
        <v>1</v>
      </c>
      <c r="BY11" s="61">
        <f t="shared" si="2"/>
        <v>5</v>
      </c>
    </row>
    <row r="12">
      <c r="A12" s="69"/>
      <c r="B12" s="54" t="s">
        <v>2640</v>
      </c>
      <c r="C12" s="70" t="str">
        <f t="array" ref="C12">IFERROR(INDEX('アプリケーション'!$C:$C,MATCH(B12,'アプリケーション'!$A:$A,0)),"（IDなし）")</f>
        <v>臨床データ収集</v>
      </c>
      <c r="D12" s="71"/>
      <c r="E12" s="71"/>
      <c r="F12" s="71"/>
      <c r="G12" s="71"/>
      <c r="H12" s="71"/>
      <c r="I12" s="71"/>
      <c r="J12" s="71"/>
      <c r="K12" s="71"/>
      <c r="L12" s="71" t="s">
        <v>28</v>
      </c>
      <c r="M12" s="71" t="s">
        <v>3018</v>
      </c>
      <c r="N12" s="71" t="s">
        <v>28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 t="s">
        <v>3018</v>
      </c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 t="s">
        <v>3018</v>
      </c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 t="s">
        <v>28</v>
      </c>
      <c r="BX12" s="61">
        <f t="shared" si="1"/>
        <v>3</v>
      </c>
      <c r="BY12" s="61">
        <f t="shared" si="2"/>
        <v>3</v>
      </c>
    </row>
    <row r="13">
      <c r="A13" s="69"/>
      <c r="B13" s="54" t="s">
        <v>2647</v>
      </c>
      <c r="C13" s="70" t="str">
        <f t="array" ref="C13">IFERROR(INDEX('アプリケーション'!$C:$C,MATCH(B13,'アプリケーション'!$A:$A,0)),"（IDなし）")</f>
        <v>無作為化・治験薬供給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 t="s">
        <v>28</v>
      </c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61">
        <f t="shared" si="1"/>
        <v>1</v>
      </c>
      <c r="BY13" s="61">
        <f t="shared" si="2"/>
        <v>0</v>
      </c>
    </row>
    <row r="14">
      <c r="A14" s="69"/>
      <c r="B14" s="54" t="s">
        <v>2654</v>
      </c>
      <c r="C14" s="70" t="str">
        <f t="array" ref="C14">IFERROR(INDEX('アプリケーション'!$C:$C,MATCH(B14,'アプリケーション'!$A:$A,0)),"（IDなし）")</f>
        <v>電子治験マスターファイル</v>
      </c>
      <c r="D14" s="71"/>
      <c r="E14" s="71" t="s">
        <v>28</v>
      </c>
      <c r="F14" s="71" t="s">
        <v>3018</v>
      </c>
      <c r="G14" s="71"/>
      <c r="H14" s="71" t="s">
        <v>3018</v>
      </c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 t="s">
        <v>3018</v>
      </c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61">
        <f t="shared" si="1"/>
        <v>1</v>
      </c>
      <c r="BY14" s="61">
        <f t="shared" si="2"/>
        <v>3</v>
      </c>
    </row>
    <row r="15">
      <c r="A15" s="69"/>
      <c r="B15" s="54" t="s">
        <v>2662</v>
      </c>
      <c r="C15" s="70" t="str">
        <f t="array" ref="C15">IFERROR(INDEX('アプリケーション'!$C:$C,MATCH(B15,'アプリケーション'!$A:$A,0)),"（IDなし）")</f>
        <v>統計解析環境</v>
      </c>
      <c r="D15" s="71"/>
      <c r="E15" s="71"/>
      <c r="F15" s="71"/>
      <c r="G15" s="71"/>
      <c r="H15" s="71"/>
      <c r="I15" s="71"/>
      <c r="J15" s="71"/>
      <c r="K15" s="71"/>
      <c r="L15" s="71"/>
      <c r="M15" s="71" t="s">
        <v>3018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61">
        <f t="shared" si="1"/>
        <v>0</v>
      </c>
      <c r="BY15" s="61">
        <f t="shared" si="2"/>
        <v>1</v>
      </c>
    </row>
    <row r="16">
      <c r="A16" s="69"/>
      <c r="B16" s="54" t="s">
        <v>2670</v>
      </c>
      <c r="C16" s="70" t="str">
        <f t="array" ref="C16">IFERROR(INDEX('アプリケーション'!$C:$C,MATCH(B16,'アプリケーション'!$A:$A,0)),"（IDなし）")</f>
        <v>患者レジストリ・RWD基盤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 t="s">
        <v>3018</v>
      </c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61">
        <f t="shared" si="1"/>
        <v>0</v>
      </c>
      <c r="BY16" s="61">
        <f t="shared" si="2"/>
        <v>1</v>
      </c>
    </row>
    <row r="17">
      <c r="A17" s="69" t="s">
        <v>552</v>
      </c>
      <c r="B17" s="54" t="s">
        <v>2678</v>
      </c>
      <c r="C17" s="70" t="str">
        <f t="array" ref="C17">IFERROR(INDEX('アプリケーション'!$C:$C,MATCH(B17,'アプリケーション'!$A:$A,0)),"（IDなし）")</f>
        <v>薬事情報管理</v>
      </c>
      <c r="D17" s="71"/>
      <c r="E17" s="71"/>
      <c r="F17" s="71"/>
      <c r="G17" s="71"/>
      <c r="H17" s="71"/>
      <c r="I17" s="71"/>
      <c r="J17" s="71" t="s">
        <v>3018</v>
      </c>
      <c r="K17" s="71"/>
      <c r="L17" s="71"/>
      <c r="M17" s="71"/>
      <c r="N17" s="71"/>
      <c r="O17" s="71"/>
      <c r="P17" s="71" t="s">
        <v>28</v>
      </c>
      <c r="Q17" s="71" t="s">
        <v>3018</v>
      </c>
      <c r="R17" s="71"/>
      <c r="S17" s="71" t="s">
        <v>3018</v>
      </c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 t="s">
        <v>3018</v>
      </c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 t="s">
        <v>3018</v>
      </c>
      <c r="BU17" s="71"/>
      <c r="BV17" s="71"/>
      <c r="BW17" s="71"/>
      <c r="BX17" s="61">
        <f t="shared" si="1"/>
        <v>1</v>
      </c>
      <c r="BY17" s="61">
        <f t="shared" si="2"/>
        <v>5</v>
      </c>
    </row>
    <row r="18">
      <c r="A18" s="69"/>
      <c r="B18" s="54" t="s">
        <v>2685</v>
      </c>
      <c r="C18" s="70" t="str">
        <f t="array" ref="C18">IFERROR(INDEX('アプリケーション'!$C:$C,MATCH(B18,'アプリケーション'!$A:$A,0)),"（IDなし）")</f>
        <v>申請出版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 t="s">
        <v>3018</v>
      </c>
      <c r="R18" s="71" t="s">
        <v>28</v>
      </c>
      <c r="S18" s="71" t="s">
        <v>3018</v>
      </c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 t="s">
        <v>3018</v>
      </c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 t="s">
        <v>28</v>
      </c>
      <c r="BU18" s="71"/>
      <c r="BV18" s="71"/>
      <c r="BW18" s="71"/>
      <c r="BX18" s="61">
        <f t="shared" si="1"/>
        <v>2</v>
      </c>
      <c r="BY18" s="61">
        <f t="shared" si="2"/>
        <v>3</v>
      </c>
    </row>
    <row r="19">
      <c r="A19" s="69" t="s">
        <v>2227</v>
      </c>
      <c r="B19" s="54" t="s">
        <v>2692</v>
      </c>
      <c r="C19" s="70" t="str">
        <f t="array" ref="C19">IFERROR(INDEX('アプリケーション'!$C:$C,MATCH(B19,'アプリケーション'!$A:$A,0)),"（IDなし）")</f>
        <v>安全性データベース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 t="s">
        <v>28</v>
      </c>
      <c r="U19" s="71" t="s">
        <v>3018</v>
      </c>
      <c r="V19" s="71" t="s">
        <v>3018</v>
      </c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 t="s">
        <v>3018</v>
      </c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 t="s">
        <v>28</v>
      </c>
      <c r="BV19" s="71" t="s">
        <v>28</v>
      </c>
      <c r="BW19" s="71"/>
      <c r="BX19" s="61">
        <f t="shared" si="1"/>
        <v>3</v>
      </c>
      <c r="BY19" s="61">
        <f t="shared" si="2"/>
        <v>3</v>
      </c>
    </row>
    <row r="20">
      <c r="A20" s="69"/>
      <c r="B20" s="54" t="s">
        <v>2700</v>
      </c>
      <c r="C20" s="70" t="str">
        <f t="array" ref="C20">IFERROR(INDEX('アプリケーション'!$C:$C,MATCH(B20,'アプリケーション'!$A:$A,0)),"（IDなし）")</f>
        <v>シグナル検出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 t="s">
        <v>3018</v>
      </c>
      <c r="W20" s="71" t="s">
        <v>28</v>
      </c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61">
        <f t="shared" si="1"/>
        <v>1</v>
      </c>
      <c r="BY20" s="61">
        <f t="shared" si="2"/>
        <v>1</v>
      </c>
    </row>
    <row r="21" ht="15.75" customHeight="1">
      <c r="A21" s="69" t="s">
        <v>603</v>
      </c>
      <c r="B21" s="54" t="s">
        <v>2708</v>
      </c>
      <c r="C21" s="70" t="str">
        <f t="array" ref="C21">IFERROR(INDEX('アプリケーション'!$C:$C,MATCH(B21,'アプリケーション'!$A:$A,0)),"（IDなし）")</f>
        <v>製造実行システム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 t="s">
        <v>3018</v>
      </c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61">
        <f t="shared" si="1"/>
        <v>0</v>
      </c>
      <c r="BY21" s="61">
        <f t="shared" si="2"/>
        <v>1</v>
      </c>
    </row>
    <row r="22" ht="15.75" customHeight="1">
      <c r="A22" s="69"/>
      <c r="B22" s="54" t="s">
        <v>2717</v>
      </c>
      <c r="C22" s="70" t="str">
        <f t="array" ref="C22">IFERROR(INDEX('アプリケーション'!$C:$C,MATCH(B22,'アプリケーション'!$A:$A,0)),"（IDなし）")</f>
        <v>工程データ管理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61">
        <f t="shared" si="1"/>
        <v>0</v>
      </c>
      <c r="BY22" s="61">
        <f t="shared" si="2"/>
        <v>0</v>
      </c>
    </row>
    <row r="23" ht="15.75" customHeight="1">
      <c r="A23" s="69"/>
      <c r="B23" s="54" t="s">
        <v>2725</v>
      </c>
      <c r="C23" s="70" t="str">
        <f t="array" ref="C23">IFERROR(INDEX('アプリケーション'!$C:$C,MATCH(B23,'アプリケーション'!$A:$A,0)),"（IDなし）")</f>
        <v>設備・環境管理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61">
        <f t="shared" si="1"/>
        <v>0</v>
      </c>
      <c r="BY23" s="61">
        <f t="shared" si="2"/>
        <v>0</v>
      </c>
    </row>
    <row r="24" ht="15.75" customHeight="1">
      <c r="A24" s="69"/>
      <c r="B24" s="54" t="s">
        <v>2732</v>
      </c>
      <c r="C24" s="70" t="str">
        <f t="array" ref="C24">IFERROR(INDEX('アプリケーション'!$C:$C,MATCH(B24,'アプリケーション'!$A:$A,0)),"（IDなし）")</f>
        <v>ラベル・アートワーク管理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61">
        <f t="shared" si="1"/>
        <v>0</v>
      </c>
      <c r="BY24" s="61">
        <f t="shared" si="2"/>
        <v>0</v>
      </c>
    </row>
    <row r="25" ht="15.75" customHeight="1">
      <c r="A25" s="69" t="s">
        <v>666</v>
      </c>
      <c r="B25" s="54" t="s">
        <v>2740</v>
      </c>
      <c r="C25" s="70" t="str">
        <f t="array" ref="C25">IFERROR(INDEX('アプリケーション'!$C:$C,MATCH(B25,'アプリケーション'!$A:$A,0)),"（IDなし）")</f>
        <v>品質マネジメントシステム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 t="s">
        <v>28</v>
      </c>
      <c r="Y25" s="71"/>
      <c r="Z25" s="71"/>
      <c r="AA25" s="71"/>
      <c r="AB25" s="71" t="s">
        <v>3018</v>
      </c>
      <c r="AC25" s="71"/>
      <c r="AD25" s="71"/>
      <c r="AE25" s="71" t="s">
        <v>3018</v>
      </c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 t="s">
        <v>28</v>
      </c>
      <c r="BS25" s="71"/>
      <c r="BT25" s="71"/>
      <c r="BU25" s="71"/>
      <c r="BV25" s="71"/>
      <c r="BW25" s="71"/>
      <c r="BX25" s="61">
        <f t="shared" si="1"/>
        <v>2</v>
      </c>
      <c r="BY25" s="61">
        <f t="shared" si="2"/>
        <v>2</v>
      </c>
    </row>
    <row r="26" ht="15.75" customHeight="1">
      <c r="A26" s="69"/>
      <c r="B26" s="54" t="s">
        <v>2748</v>
      </c>
      <c r="C26" s="70" t="str">
        <f t="array" ref="C26">IFERROR(INDEX('アプリケーション'!$C:$C,MATCH(B26,'アプリケーション'!$A:$A,0)),"（IDなし）")</f>
        <v>バリデーション管理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 t="s">
        <v>28</v>
      </c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61">
        <f t="shared" si="1"/>
        <v>1</v>
      </c>
      <c r="BY26" s="61">
        <f t="shared" si="2"/>
        <v>0</v>
      </c>
    </row>
    <row r="27" ht="15.75" customHeight="1">
      <c r="A27" s="69"/>
      <c r="B27" s="54" t="s">
        <v>2754</v>
      </c>
      <c r="C27" s="70" t="str">
        <f t="array" ref="C27">IFERROR(INDEX('アプリケーション'!$C:$C,MATCH(B27,'アプリケーション'!$A:$A,0)),"（IDなし）")</f>
        <v>試験室情報管理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 t="s">
        <v>3018</v>
      </c>
      <c r="AC27" s="71" t="s">
        <v>28</v>
      </c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61">
        <f t="shared" si="1"/>
        <v>1</v>
      </c>
      <c r="BY27" s="61">
        <f t="shared" si="2"/>
        <v>1</v>
      </c>
    </row>
    <row r="28" ht="15.75" customHeight="1">
      <c r="A28" s="69" t="s">
        <v>2764</v>
      </c>
      <c r="B28" s="54" t="s">
        <v>2763</v>
      </c>
      <c r="C28" s="70" t="str">
        <f t="array" ref="C28">IFERROR(INDEX('アプリケーション'!$C:$C,MATCH(B28,'アプリケーション'!$A:$A,0)),"（IDなし）")</f>
        <v>需給計画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61">
        <f t="shared" si="1"/>
        <v>0</v>
      </c>
      <c r="BY28" s="61">
        <f t="shared" si="2"/>
        <v>0</v>
      </c>
    </row>
    <row r="29" ht="15.75" customHeight="1">
      <c r="A29" s="69"/>
      <c r="B29" s="54" t="s">
        <v>2771</v>
      </c>
      <c r="C29" s="70" t="str">
        <f t="array" ref="C29">IFERROR(INDEX('アプリケーション'!$C:$C,MATCH(B29,'アプリケーション'!$A:$A,0)),"（IDなし）")</f>
        <v>倉庫・物流管理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61">
        <f t="shared" si="1"/>
        <v>0</v>
      </c>
      <c r="BY29" s="61">
        <f t="shared" si="2"/>
        <v>0</v>
      </c>
    </row>
    <row r="30" ht="15.75" customHeight="1">
      <c r="A30" s="69"/>
      <c r="B30" s="54" t="s">
        <v>2779</v>
      </c>
      <c r="C30" s="70" t="str">
        <f t="array" ref="C30">IFERROR(INDEX('アプリケーション'!$C:$C,MATCH(B30,'アプリケーション'!$A:$A,0)),"（IDなし）")</f>
        <v>シリアライゼーション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61">
        <f t="shared" si="1"/>
        <v>0</v>
      </c>
      <c r="BY30" s="61">
        <f t="shared" si="2"/>
        <v>0</v>
      </c>
    </row>
    <row r="31" ht="15.75" customHeight="1">
      <c r="A31" s="69" t="s">
        <v>2788</v>
      </c>
      <c r="B31" s="54" t="s">
        <v>2787</v>
      </c>
      <c r="C31" s="70" t="str">
        <f t="array" ref="C31">IFERROR(INDEX('アプリケーション'!$C:$C,MATCH(B31,'アプリケーション'!$A:$A,0)),"（IDなし）")</f>
        <v>顧客関係管理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 t="s">
        <v>28</v>
      </c>
      <c r="AJ31" s="71" t="s">
        <v>3018</v>
      </c>
      <c r="AK31" s="71"/>
      <c r="AL31" s="71"/>
      <c r="AM31" s="71" t="s">
        <v>3018</v>
      </c>
      <c r="AN31" s="71" t="s">
        <v>3018</v>
      </c>
      <c r="AO31" s="71" t="s">
        <v>3018</v>
      </c>
      <c r="AP31" s="71" t="s">
        <v>28</v>
      </c>
      <c r="AQ31" s="71" t="s">
        <v>3018</v>
      </c>
      <c r="AR31" s="71" t="s">
        <v>3018</v>
      </c>
      <c r="AS31" s="71" t="s">
        <v>3018</v>
      </c>
      <c r="AT31" s="71" t="s">
        <v>3018</v>
      </c>
      <c r="AU31" s="71"/>
      <c r="AV31" s="71"/>
      <c r="AW31" s="71"/>
      <c r="AX31" s="71"/>
      <c r="AY31" s="71"/>
      <c r="AZ31" s="71"/>
      <c r="BA31" s="71"/>
      <c r="BB31" s="71"/>
      <c r="BC31" s="71" t="s">
        <v>3018</v>
      </c>
      <c r="BD31" s="71"/>
      <c r="BE31" s="71"/>
      <c r="BF31" s="71"/>
      <c r="BG31" s="71"/>
      <c r="BH31" s="71"/>
      <c r="BI31" s="71"/>
      <c r="BJ31" s="71"/>
      <c r="BK31" s="71"/>
      <c r="BL31" s="71"/>
      <c r="BM31" s="71" t="s">
        <v>28</v>
      </c>
      <c r="BN31" s="71"/>
      <c r="BO31" s="71" t="s">
        <v>28</v>
      </c>
      <c r="BP31" s="71" t="s">
        <v>3018</v>
      </c>
      <c r="BQ31" s="71"/>
      <c r="BR31" s="71"/>
      <c r="BS31" s="71"/>
      <c r="BT31" s="71"/>
      <c r="BU31" s="71"/>
      <c r="BV31" s="71"/>
      <c r="BW31" s="71"/>
      <c r="BX31" s="61">
        <f t="shared" si="1"/>
        <v>4</v>
      </c>
      <c r="BY31" s="61">
        <f t="shared" si="2"/>
        <v>10</v>
      </c>
    </row>
    <row r="32" ht="15.75" customHeight="1">
      <c r="A32" s="69"/>
      <c r="B32" s="54" t="s">
        <v>2795</v>
      </c>
      <c r="C32" s="70" t="str">
        <f t="array" ref="C32">IFERROR(INDEX('アプリケーション'!$C:$C,MATCH(B32,'アプリケーション'!$A:$A,0)),"（IDなし）")</f>
        <v>患者支援（ハブ）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 t="s">
        <v>28</v>
      </c>
      <c r="AV32" s="71" t="s">
        <v>3018</v>
      </c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 t="s">
        <v>3018</v>
      </c>
      <c r="BP32" s="71"/>
      <c r="BQ32" s="71"/>
      <c r="BR32" s="71"/>
      <c r="BS32" s="71"/>
      <c r="BT32" s="71"/>
      <c r="BU32" s="71"/>
      <c r="BV32" s="71"/>
      <c r="BW32" s="71"/>
      <c r="BX32" s="61">
        <f t="shared" si="1"/>
        <v>1</v>
      </c>
      <c r="BY32" s="61">
        <f t="shared" si="2"/>
        <v>2</v>
      </c>
    </row>
    <row r="33" ht="15.75" customHeight="1">
      <c r="A33" s="69"/>
      <c r="B33" s="54" t="s">
        <v>2803</v>
      </c>
      <c r="C33" s="70" t="str">
        <f t="array" ref="C33">IFERROR(INDEX('アプリケーション'!$C:$C,MATCH(B33,'アプリケーション'!$A:$A,0)),"（IDなし）")</f>
        <v>価格・契約・政府価格報告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61">
        <f t="shared" si="1"/>
        <v>0</v>
      </c>
      <c r="BY33" s="61">
        <f t="shared" si="2"/>
        <v>0</v>
      </c>
    </row>
    <row r="34" ht="15.75" customHeight="1">
      <c r="A34" s="69"/>
      <c r="B34" s="54" t="s">
        <v>2810</v>
      </c>
      <c r="C34" s="70" t="str">
        <f t="array" ref="C34">IFERROR(INDEX('アプリケーション'!$C:$C,MATCH(B34,'アプリケーション'!$A:$A,0)),"（IDなし）")</f>
        <v>販促資材審査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 t="s">
        <v>28</v>
      </c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 t="s">
        <v>28</v>
      </c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 t="s">
        <v>3018</v>
      </c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61">
        <f t="shared" si="1"/>
        <v>2</v>
      </c>
      <c r="BY34" s="61">
        <f t="shared" si="2"/>
        <v>1</v>
      </c>
    </row>
    <row r="35" ht="15.75" customHeight="1">
      <c r="A35" s="69" t="s">
        <v>2817</v>
      </c>
      <c r="B35" s="54" t="s">
        <v>2816</v>
      </c>
      <c r="C35" s="70" t="str">
        <f t="array" ref="C35">IFERROR(INDEX('アプリケーション'!$C:$C,MATCH(B35,'アプリケーション'!$A:$A,0)),"（IDなし）")</f>
        <v>ERP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61">
        <f t="shared" si="1"/>
        <v>0</v>
      </c>
      <c r="BY35" s="61">
        <f t="shared" si="2"/>
        <v>0</v>
      </c>
    </row>
    <row r="36" ht="15.75" customHeight="1">
      <c r="A36" s="69"/>
      <c r="B36" s="54" t="s">
        <v>2823</v>
      </c>
      <c r="C36" s="70" t="str">
        <f t="array" ref="C36">IFERROR(INDEX('アプリケーション'!$C:$C,MATCH(B36,'アプリケーション'!$A:$A,0)),"（IDなし）")</f>
        <v>マスタデータ管理</v>
      </c>
      <c r="D36" s="71"/>
      <c r="E36" s="71"/>
      <c r="F36" s="71"/>
      <c r="G36" s="71"/>
      <c r="H36" s="71"/>
      <c r="I36" s="71"/>
      <c r="J36" s="71"/>
      <c r="K36" s="71" t="s">
        <v>3018</v>
      </c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 t="s">
        <v>3018</v>
      </c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 t="s">
        <v>28</v>
      </c>
      <c r="BA36" s="71" t="s">
        <v>3018</v>
      </c>
      <c r="BB36" s="71"/>
      <c r="BC36" s="71" t="s">
        <v>3018</v>
      </c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 t="s">
        <v>3018</v>
      </c>
      <c r="BO36" s="71"/>
      <c r="BP36" s="71"/>
      <c r="BQ36" s="71" t="s">
        <v>3018</v>
      </c>
      <c r="BR36" s="71"/>
      <c r="BS36" s="71"/>
      <c r="BT36" s="71"/>
      <c r="BU36" s="71"/>
      <c r="BV36" s="71"/>
      <c r="BW36" s="71"/>
      <c r="BX36" s="61">
        <f t="shared" si="1"/>
        <v>1</v>
      </c>
      <c r="BY36" s="61">
        <f t="shared" si="2"/>
        <v>6</v>
      </c>
    </row>
    <row r="37" ht="15.75" customHeight="1">
      <c r="A37" s="69"/>
      <c r="B37" s="54" t="s">
        <v>2831</v>
      </c>
      <c r="C37" s="70" t="str">
        <f t="array" ref="C37">IFERROR(INDEX('アプリケーション'!$C:$C,MATCH(B37,'アプリケーション'!$A:$A,0)),"（IDなし）")</f>
        <v>GxP文書管理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 t="s">
        <v>3018</v>
      </c>
      <c r="R37" s="71"/>
      <c r="S37" s="71"/>
      <c r="T37" s="71"/>
      <c r="U37" s="71" t="s">
        <v>3018</v>
      </c>
      <c r="V37" s="71"/>
      <c r="W37" s="71"/>
      <c r="X37" s="71"/>
      <c r="Y37" s="71" t="s">
        <v>28</v>
      </c>
      <c r="Z37" s="71"/>
      <c r="AA37" s="71"/>
      <c r="AB37" s="71"/>
      <c r="AC37" s="71"/>
      <c r="AD37" s="71" t="s">
        <v>3018</v>
      </c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 t="s">
        <v>28</v>
      </c>
      <c r="BS37" s="71" t="s">
        <v>28</v>
      </c>
      <c r="BT37" s="71"/>
      <c r="BU37" s="71"/>
      <c r="BV37" s="71"/>
      <c r="BW37" s="71"/>
      <c r="BX37" s="61">
        <f t="shared" si="1"/>
        <v>3</v>
      </c>
      <c r="BY37" s="61">
        <f t="shared" si="2"/>
        <v>3</v>
      </c>
    </row>
    <row r="38" ht="15.75" customHeight="1">
      <c r="A38" s="69"/>
      <c r="B38" s="54" t="s">
        <v>2836</v>
      </c>
      <c r="C38" s="70" t="str">
        <f t="array" ref="C38">IFERROR(INDEX('アプリケーション'!$C:$C,MATCH(B38,'アプリケーション'!$A:$A,0)),"（IDなし）")</f>
        <v>教育管理</v>
      </c>
      <c r="D38" s="71"/>
      <c r="E38" s="71"/>
      <c r="F38" s="71"/>
      <c r="G38" s="71"/>
      <c r="H38" s="71"/>
      <c r="I38" s="71" t="s">
        <v>3018</v>
      </c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 t="s">
        <v>28</v>
      </c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61">
        <f t="shared" si="1"/>
        <v>1</v>
      </c>
      <c r="BY38" s="61">
        <f t="shared" si="2"/>
        <v>1</v>
      </c>
    </row>
    <row r="39" ht="15.75" customHeight="1">
      <c r="A39" s="69"/>
      <c r="B39" s="54" t="s">
        <v>2842</v>
      </c>
      <c r="C39" s="70" t="str">
        <f t="array" ref="C39">IFERROR(INDEX('アプリケーション'!$C:$C,MATCH(B39,'アプリケーション'!$A:$A,0)),"（IDなし）")</f>
        <v>データ・分析基盤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 t="s">
        <v>3018</v>
      </c>
      <c r="AP39" s="71"/>
      <c r="AQ39" s="71"/>
      <c r="AR39" s="71"/>
      <c r="AS39" s="71"/>
      <c r="AT39" s="71"/>
      <c r="AU39" s="71"/>
      <c r="AV39" s="71"/>
      <c r="AW39" s="71"/>
      <c r="AX39" s="71" t="s">
        <v>28</v>
      </c>
      <c r="AY39" s="71" t="s">
        <v>3018</v>
      </c>
      <c r="AZ39" s="71"/>
      <c r="BA39" s="71"/>
      <c r="BB39" s="71" t="s">
        <v>3018</v>
      </c>
      <c r="BC39" s="71"/>
      <c r="BD39" s="71" t="s">
        <v>3018</v>
      </c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 t="s">
        <v>3018</v>
      </c>
      <c r="BR39" s="71"/>
      <c r="BS39" s="71"/>
      <c r="BT39" s="71"/>
      <c r="BU39" s="71"/>
      <c r="BV39" s="71"/>
      <c r="BW39" s="71"/>
      <c r="BX39" s="61">
        <f t="shared" si="1"/>
        <v>1</v>
      </c>
      <c r="BY39" s="61">
        <f t="shared" si="2"/>
        <v>5</v>
      </c>
    </row>
    <row r="40" ht="15.75" customHeight="1">
      <c r="A40" s="69"/>
      <c r="B40" s="54" t="s">
        <v>2851</v>
      </c>
      <c r="C40" s="70" t="str">
        <f t="array" ref="C40">IFERROR(INDEX('アプリケーション'!$C:$C,MATCH(B40,'アプリケーション'!$A:$A,0)),"（IDなし）")</f>
        <v>ポートフォリオ・プロジェクト管理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61">
        <f t="shared" si="1"/>
        <v>0</v>
      </c>
      <c r="BY40" s="61">
        <f t="shared" si="2"/>
        <v>0</v>
      </c>
    </row>
    <row r="41" ht="15.75" customHeight="1">
      <c r="A41" s="69"/>
      <c r="B41" s="54" t="s">
        <v>2859</v>
      </c>
      <c r="C41" s="70" t="str">
        <f t="array" ref="C41">IFERROR(INDEX('アプリケーション'!$C:$C,MATCH(B41,'アプリケーション'!$A:$A,0)),"（IDなし）")</f>
        <v>契約管理</v>
      </c>
      <c r="D41" s="71"/>
      <c r="E41" s="71"/>
      <c r="F41" s="71" t="s">
        <v>3018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61">
        <f t="shared" si="1"/>
        <v>0</v>
      </c>
      <c r="BY41" s="61">
        <f t="shared" si="2"/>
        <v>1</v>
      </c>
    </row>
    <row r="42" ht="15.75" customHeight="1">
      <c r="A42" s="69"/>
      <c r="B42" s="54" t="s">
        <v>2867</v>
      </c>
      <c r="C42" s="70" t="str">
        <f t="array" ref="C42">IFERROR(INDEX('アプリケーション'!$C:$C,MATCH(B42,'アプリケーション'!$A:$A,0)),"（IDなし）")</f>
        <v>知財管理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61">
        <f t="shared" si="1"/>
        <v>0</v>
      </c>
      <c r="BY42" s="61">
        <f t="shared" si="2"/>
        <v>0</v>
      </c>
    </row>
    <row r="43" ht="15.75" customHeight="1">
      <c r="C43" s="69" t="s">
        <v>2175</v>
      </c>
      <c r="D43" s="61">
        <f t="shared" ref="D43:BW43" si="3">COUNTIF(D6:D42,"●")</f>
        <v>1</v>
      </c>
      <c r="E43" s="61">
        <f t="shared" si="3"/>
        <v>1</v>
      </c>
      <c r="F43" s="61">
        <f t="shared" si="3"/>
        <v>0</v>
      </c>
      <c r="G43" s="61">
        <f t="shared" si="3"/>
        <v>0</v>
      </c>
      <c r="H43" s="61">
        <f t="shared" si="3"/>
        <v>0</v>
      </c>
      <c r="I43" s="61">
        <f t="shared" si="3"/>
        <v>0</v>
      </c>
      <c r="J43" s="61">
        <f t="shared" si="3"/>
        <v>0</v>
      </c>
      <c r="K43" s="61">
        <f t="shared" si="3"/>
        <v>0</v>
      </c>
      <c r="L43" s="61">
        <f t="shared" si="3"/>
        <v>1</v>
      </c>
      <c r="M43" s="61">
        <f t="shared" si="3"/>
        <v>0</v>
      </c>
      <c r="N43" s="61">
        <f t="shared" si="3"/>
        <v>1</v>
      </c>
      <c r="O43" s="61">
        <f t="shared" si="3"/>
        <v>1</v>
      </c>
      <c r="P43" s="61">
        <f t="shared" si="3"/>
        <v>1</v>
      </c>
      <c r="Q43" s="61">
        <f t="shared" si="3"/>
        <v>0</v>
      </c>
      <c r="R43" s="61">
        <f t="shared" si="3"/>
        <v>1</v>
      </c>
      <c r="S43" s="61">
        <f t="shared" si="3"/>
        <v>0</v>
      </c>
      <c r="T43" s="61">
        <f t="shared" si="3"/>
        <v>1</v>
      </c>
      <c r="U43" s="61">
        <f t="shared" si="3"/>
        <v>0</v>
      </c>
      <c r="V43" s="61">
        <f t="shared" si="3"/>
        <v>0</v>
      </c>
      <c r="W43" s="61">
        <f t="shared" si="3"/>
        <v>1</v>
      </c>
      <c r="X43" s="61">
        <f t="shared" si="3"/>
        <v>1</v>
      </c>
      <c r="Y43" s="61">
        <f t="shared" si="3"/>
        <v>1</v>
      </c>
      <c r="Z43" s="61">
        <f t="shared" si="3"/>
        <v>1</v>
      </c>
      <c r="AA43" s="61">
        <f t="shared" si="3"/>
        <v>1</v>
      </c>
      <c r="AB43" s="61">
        <f t="shared" si="3"/>
        <v>0</v>
      </c>
      <c r="AC43" s="61">
        <f t="shared" si="3"/>
        <v>1</v>
      </c>
      <c r="AD43" s="61">
        <f t="shared" si="3"/>
        <v>0</v>
      </c>
      <c r="AE43" s="61">
        <f t="shared" si="3"/>
        <v>0</v>
      </c>
      <c r="AF43" s="61">
        <f t="shared" si="3"/>
        <v>0</v>
      </c>
      <c r="AG43" s="61">
        <f t="shared" si="3"/>
        <v>0</v>
      </c>
      <c r="AH43" s="61">
        <f t="shared" si="3"/>
        <v>0</v>
      </c>
      <c r="AI43" s="61">
        <f t="shared" si="3"/>
        <v>1</v>
      </c>
      <c r="AJ43" s="61">
        <f t="shared" si="3"/>
        <v>0</v>
      </c>
      <c r="AK43" s="61">
        <f t="shared" si="3"/>
        <v>1</v>
      </c>
      <c r="AL43" s="61">
        <f t="shared" si="3"/>
        <v>0</v>
      </c>
      <c r="AM43" s="61">
        <f t="shared" si="3"/>
        <v>0</v>
      </c>
      <c r="AN43" s="61">
        <f t="shared" si="3"/>
        <v>0</v>
      </c>
      <c r="AO43" s="61">
        <f t="shared" si="3"/>
        <v>0</v>
      </c>
      <c r="AP43" s="61">
        <f t="shared" si="3"/>
        <v>1</v>
      </c>
      <c r="AQ43" s="61">
        <f t="shared" si="3"/>
        <v>0</v>
      </c>
      <c r="AR43" s="61">
        <f t="shared" si="3"/>
        <v>0</v>
      </c>
      <c r="AS43" s="61">
        <f t="shared" si="3"/>
        <v>0</v>
      </c>
      <c r="AT43" s="61">
        <f t="shared" si="3"/>
        <v>0</v>
      </c>
      <c r="AU43" s="61">
        <f t="shared" si="3"/>
        <v>1</v>
      </c>
      <c r="AV43" s="61">
        <f t="shared" si="3"/>
        <v>0</v>
      </c>
      <c r="AW43" s="61">
        <f t="shared" si="3"/>
        <v>1</v>
      </c>
      <c r="AX43" s="61">
        <f t="shared" si="3"/>
        <v>1</v>
      </c>
      <c r="AY43" s="61">
        <f t="shared" si="3"/>
        <v>0</v>
      </c>
      <c r="AZ43" s="61">
        <f t="shared" si="3"/>
        <v>1</v>
      </c>
      <c r="BA43" s="61">
        <f t="shared" si="3"/>
        <v>0</v>
      </c>
      <c r="BB43" s="61">
        <f t="shared" si="3"/>
        <v>0</v>
      </c>
      <c r="BC43" s="61">
        <f t="shared" si="3"/>
        <v>0</v>
      </c>
      <c r="BD43" s="61">
        <f t="shared" si="3"/>
        <v>0</v>
      </c>
      <c r="BE43" s="61">
        <f t="shared" si="3"/>
        <v>0</v>
      </c>
      <c r="BF43" s="61">
        <f t="shared" si="3"/>
        <v>0</v>
      </c>
      <c r="BG43" s="61">
        <f t="shared" si="3"/>
        <v>0</v>
      </c>
      <c r="BH43" s="61">
        <f t="shared" si="3"/>
        <v>0</v>
      </c>
      <c r="BI43" s="61">
        <f t="shared" si="3"/>
        <v>0</v>
      </c>
      <c r="BJ43" s="61">
        <f t="shared" si="3"/>
        <v>0</v>
      </c>
      <c r="BK43" s="61">
        <f t="shared" si="3"/>
        <v>0</v>
      </c>
      <c r="BL43" s="61">
        <f t="shared" si="3"/>
        <v>0</v>
      </c>
      <c r="BM43" s="61">
        <f t="shared" si="3"/>
        <v>1</v>
      </c>
      <c r="BN43" s="61">
        <f t="shared" si="3"/>
        <v>0</v>
      </c>
      <c r="BO43" s="61">
        <f t="shared" si="3"/>
        <v>1</v>
      </c>
      <c r="BP43" s="61">
        <f t="shared" si="3"/>
        <v>0</v>
      </c>
      <c r="BQ43" s="61">
        <f t="shared" si="3"/>
        <v>0</v>
      </c>
      <c r="BR43" s="61">
        <f t="shared" si="3"/>
        <v>2</v>
      </c>
      <c r="BS43" s="61">
        <f t="shared" si="3"/>
        <v>1</v>
      </c>
      <c r="BT43" s="61">
        <f t="shared" si="3"/>
        <v>1</v>
      </c>
      <c r="BU43" s="61">
        <f t="shared" si="3"/>
        <v>1</v>
      </c>
      <c r="BV43" s="61">
        <f t="shared" si="3"/>
        <v>1</v>
      </c>
      <c r="BW43" s="61">
        <f t="shared" si="3"/>
        <v>1</v>
      </c>
    </row>
    <row r="44" ht="15.75" customHeight="1">
      <c r="C44" s="69" t="s">
        <v>2176</v>
      </c>
      <c r="D44" s="61">
        <f t="shared" ref="D44:BW44" si="4">COUNTIF(D6:D42,"○")</f>
        <v>0</v>
      </c>
      <c r="E44" s="61">
        <f t="shared" si="4"/>
        <v>0</v>
      </c>
      <c r="F44" s="61">
        <f t="shared" si="4"/>
        <v>3</v>
      </c>
      <c r="G44" s="61">
        <f t="shared" si="4"/>
        <v>1</v>
      </c>
      <c r="H44" s="61">
        <f t="shared" si="4"/>
        <v>2</v>
      </c>
      <c r="I44" s="61">
        <f t="shared" si="4"/>
        <v>1</v>
      </c>
      <c r="J44" s="61">
        <f t="shared" si="4"/>
        <v>1</v>
      </c>
      <c r="K44" s="61">
        <f t="shared" si="4"/>
        <v>1</v>
      </c>
      <c r="L44" s="61">
        <f t="shared" si="4"/>
        <v>0</v>
      </c>
      <c r="M44" s="61">
        <f t="shared" si="4"/>
        <v>2</v>
      </c>
      <c r="N44" s="61">
        <f t="shared" si="4"/>
        <v>0</v>
      </c>
      <c r="O44" s="61">
        <f t="shared" si="4"/>
        <v>0</v>
      </c>
      <c r="P44" s="61">
        <f t="shared" si="4"/>
        <v>0</v>
      </c>
      <c r="Q44" s="61">
        <f t="shared" si="4"/>
        <v>3</v>
      </c>
      <c r="R44" s="61">
        <f t="shared" si="4"/>
        <v>0</v>
      </c>
      <c r="S44" s="61">
        <f t="shared" si="4"/>
        <v>2</v>
      </c>
      <c r="T44" s="61">
        <f t="shared" si="4"/>
        <v>0</v>
      </c>
      <c r="U44" s="61">
        <f t="shared" si="4"/>
        <v>2</v>
      </c>
      <c r="V44" s="61">
        <f t="shared" si="4"/>
        <v>2</v>
      </c>
      <c r="W44" s="61">
        <f t="shared" si="4"/>
        <v>0</v>
      </c>
      <c r="X44" s="61">
        <f t="shared" si="4"/>
        <v>0</v>
      </c>
      <c r="Y44" s="61">
        <f t="shared" si="4"/>
        <v>0</v>
      </c>
      <c r="Z44" s="61">
        <f t="shared" si="4"/>
        <v>0</v>
      </c>
      <c r="AA44" s="61">
        <f t="shared" si="4"/>
        <v>0</v>
      </c>
      <c r="AB44" s="61">
        <f t="shared" si="4"/>
        <v>2</v>
      </c>
      <c r="AC44" s="61">
        <f t="shared" si="4"/>
        <v>0</v>
      </c>
      <c r="AD44" s="61">
        <f t="shared" si="4"/>
        <v>2</v>
      </c>
      <c r="AE44" s="61">
        <f t="shared" si="4"/>
        <v>1</v>
      </c>
      <c r="AF44" s="61">
        <f t="shared" si="4"/>
        <v>0</v>
      </c>
      <c r="AG44" s="61">
        <f t="shared" si="4"/>
        <v>2</v>
      </c>
      <c r="AH44" s="61">
        <f t="shared" si="4"/>
        <v>1</v>
      </c>
      <c r="AI44" s="61">
        <f t="shared" si="4"/>
        <v>0</v>
      </c>
      <c r="AJ44" s="61">
        <f t="shared" si="4"/>
        <v>1</v>
      </c>
      <c r="AK44" s="61">
        <f t="shared" si="4"/>
        <v>0</v>
      </c>
      <c r="AL44" s="61">
        <f t="shared" si="4"/>
        <v>0</v>
      </c>
      <c r="AM44" s="61">
        <f t="shared" si="4"/>
        <v>2</v>
      </c>
      <c r="AN44" s="61">
        <f t="shared" si="4"/>
        <v>1</v>
      </c>
      <c r="AO44" s="61">
        <f t="shared" si="4"/>
        <v>2</v>
      </c>
      <c r="AP44" s="61">
        <f t="shared" si="4"/>
        <v>0</v>
      </c>
      <c r="AQ44" s="61">
        <f t="shared" si="4"/>
        <v>1</v>
      </c>
      <c r="AR44" s="61">
        <f t="shared" si="4"/>
        <v>1</v>
      </c>
      <c r="AS44" s="61">
        <f t="shared" si="4"/>
        <v>1</v>
      </c>
      <c r="AT44" s="61">
        <f t="shared" si="4"/>
        <v>1</v>
      </c>
      <c r="AU44" s="61">
        <f t="shared" si="4"/>
        <v>0</v>
      </c>
      <c r="AV44" s="61">
        <f t="shared" si="4"/>
        <v>1</v>
      </c>
      <c r="AW44" s="61">
        <f t="shared" si="4"/>
        <v>0</v>
      </c>
      <c r="AX44" s="61">
        <f t="shared" si="4"/>
        <v>0</v>
      </c>
      <c r="AY44" s="61">
        <f t="shared" si="4"/>
        <v>1</v>
      </c>
      <c r="AZ44" s="61">
        <f t="shared" si="4"/>
        <v>0</v>
      </c>
      <c r="BA44" s="61">
        <f t="shared" si="4"/>
        <v>1</v>
      </c>
      <c r="BB44" s="61">
        <f t="shared" si="4"/>
        <v>1</v>
      </c>
      <c r="BC44" s="61">
        <f t="shared" si="4"/>
        <v>2</v>
      </c>
      <c r="BD44" s="61">
        <f t="shared" si="4"/>
        <v>2</v>
      </c>
      <c r="BE44" s="61">
        <f t="shared" si="4"/>
        <v>0</v>
      </c>
      <c r="BF44" s="61">
        <f t="shared" si="4"/>
        <v>0</v>
      </c>
      <c r="BG44" s="61">
        <f t="shared" si="4"/>
        <v>0</v>
      </c>
      <c r="BH44" s="61">
        <f t="shared" si="4"/>
        <v>1</v>
      </c>
      <c r="BI44" s="61">
        <f t="shared" si="4"/>
        <v>2</v>
      </c>
      <c r="BJ44" s="61">
        <f t="shared" si="4"/>
        <v>1</v>
      </c>
      <c r="BK44" s="61">
        <f t="shared" si="4"/>
        <v>1</v>
      </c>
      <c r="BL44" s="61">
        <f t="shared" si="4"/>
        <v>0</v>
      </c>
      <c r="BM44" s="61">
        <f t="shared" si="4"/>
        <v>0</v>
      </c>
      <c r="BN44" s="61">
        <f t="shared" si="4"/>
        <v>1</v>
      </c>
      <c r="BO44" s="61">
        <f t="shared" si="4"/>
        <v>1</v>
      </c>
      <c r="BP44" s="61">
        <f t="shared" si="4"/>
        <v>1</v>
      </c>
      <c r="BQ44" s="61">
        <f t="shared" si="4"/>
        <v>2</v>
      </c>
      <c r="BR44" s="61">
        <f t="shared" si="4"/>
        <v>0</v>
      </c>
      <c r="BS44" s="61">
        <f t="shared" si="4"/>
        <v>0</v>
      </c>
      <c r="BT44" s="61">
        <f t="shared" si="4"/>
        <v>1</v>
      </c>
      <c r="BU44" s="61">
        <f t="shared" si="4"/>
        <v>0</v>
      </c>
      <c r="BV44" s="61">
        <f t="shared" si="4"/>
        <v>0</v>
      </c>
      <c r="BW44" s="61">
        <f t="shared" si="4"/>
        <v>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4:A5"/>
    <mergeCell ref="B4:B5"/>
    <mergeCell ref="C4:C5"/>
    <mergeCell ref="D4:O4"/>
    <mergeCell ref="P4:S4"/>
    <mergeCell ref="T4:W4"/>
    <mergeCell ref="X4:AF4"/>
    <mergeCell ref="BX4:BX5"/>
    <mergeCell ref="BY4:BY5"/>
    <mergeCell ref="AG4:AH4"/>
    <mergeCell ref="AI4:AO4"/>
    <mergeCell ref="AP4:AY4"/>
    <mergeCell ref="AZ4:BD4"/>
    <mergeCell ref="BE4:BL4"/>
    <mergeCell ref="BO4:BQ4"/>
    <mergeCell ref="BR4:BW4"/>
  </mergeCells>
  <conditionalFormatting sqref="D6:BW42">
    <cfRule type="cellIs" dxfId="0" priority="1" operator="equal">
      <formula>"●"</formula>
    </cfRule>
  </conditionalFormatting>
  <dataValidations>
    <dataValidation type="list" allowBlank="1" sqref="D6:BW42">
      <formula1>"●,○"</formula1>
    </dataValidation>
  </dataValidations>
  <printOptions/>
  <pageMargins bottom="1.0" footer="0.0" header="0.0" left="0.75" right="0.75" top="1.0"/>
  <pageSetup paperSize="9" orientation="portrait"/>
  <drawing r:id="rId1"/>
</worksheet>
</file>