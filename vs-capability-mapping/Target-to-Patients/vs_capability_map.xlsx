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バリューストリーム" sheetId="1" state="visible" r:id="rId1"/>
    <sheet xmlns:r="http://schemas.openxmlformats.org/officeDocument/2006/relationships" name="ケイパビリティマップ" sheetId="2" state="visible" r:id="rId2"/>
    <sheet xmlns:r="http://schemas.openxmlformats.org/officeDocument/2006/relationships" name="ケイパビリティレベル" sheetId="3" state="visible" r:id="rId3"/>
    <sheet xmlns:r="http://schemas.openxmlformats.org/officeDocument/2006/relationships" name="VS×ケイパビリティ関係" sheetId="4" state="visible" r:id="rId4"/>
    <sheet xmlns:r="http://schemas.openxmlformats.org/officeDocument/2006/relationships" name="VS×ケイパビリティ" sheetId="5" state="visible" r:id="rId5"/>
    <sheet xmlns:r="http://schemas.openxmlformats.org/officeDocument/2006/relationships" name="情報オブジェクト" sheetId="6" state="visible" r:id="rId6"/>
    <sheet xmlns:r="http://schemas.openxmlformats.org/officeDocument/2006/relationships" name="ケイパビリティ×情報オブジェクト" sheetId="7" state="visible" r:id="rId7"/>
    <sheet xmlns:r="http://schemas.openxmlformats.org/officeDocument/2006/relationships" name="アプリケーション" sheetId="8" state="visible" r:id="rId8"/>
    <sheet xmlns:r="http://schemas.openxmlformats.org/officeDocument/2006/relationships" name="ケイパビリティ×アプリケーション" sheetId="9" state="visible" r:id="rId9"/>
    <sheet xmlns:r="http://schemas.openxmlformats.org/officeDocument/2006/relationships" name="アプリケーション×情報オブジェクト" sheetId="10" state="visible" r:id="rId10"/>
  </sheets>
  <definedNames>
    <definedName name="_xlnm._FilterDatabase" localSheetId="0" hidden="1">'バリューストリーム'!$A$3:$L$202</definedName>
    <definedName name="_xlnm._FilterDatabase" localSheetId="1" hidden="1">'ケイパビリティマップ'!$A$3:$J$220</definedName>
    <definedName name="_xlnm._FilterDatabase" localSheetId="2" hidden="1">'ケイパビリティレベル'!$A$10:$I$63</definedName>
    <definedName name="_xlnm._FilterDatabase" localSheetId="3" hidden="1">'VS×ケイパビリティ関係'!$A$3:$G$294</definedName>
    <definedName name="_xlnm._FilterDatabase" localSheetId="5" hidden="1">'情報オブジェクト'!$A$3:$M$99</definedName>
    <definedName name="_xlnm._FilterDatabase" localSheetId="7" hidden="1">'アプリケーション'!$A$3:$H$40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3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color rgb="FF1F3A5F"/>
      <sz val="14"/>
    </font>
    <font>
      <name val="Noto Sans CJK SC"/>
      <charset val="1"/>
      <family val="2"/>
      <color rgb="FF555555"/>
      <sz val="9"/>
    </font>
    <font>
      <name val="Arial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Noto Sans CJK SC"/>
      <charset val="1"/>
      <family val="2"/>
      <b val="1"/>
      <color rgb="FFFFFFFF"/>
      <sz val="10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000000"/>
      <sz val="9"/>
    </font>
    <font>
      <name val="Noto Sans CJK SC"/>
      <charset val="1"/>
      <family val="2"/>
      <color rgb="FF000000"/>
      <sz val="9"/>
    </font>
    <font>
      <name val="Noto Sans CJK SC"/>
      <charset val="1"/>
      <family val="2"/>
      <b val="1"/>
      <color rgb="FF000000"/>
      <sz val="9"/>
    </font>
    <font>
      <name val="Noto Sans CJK SC"/>
      <family val="2"/>
      <color rgb="FF000000"/>
      <sz val="9"/>
    </font>
    <font>
      <name val="Noto Sans CJK SC"/>
      <family val="2"/>
      <b val="1"/>
      <color rgb="FF000000"/>
      <sz val="9"/>
    </font>
    <font>
      <name val="Arial"/>
      <charset val="1"/>
      <family val="0"/>
      <b val="1"/>
      <color rgb="FF1F3A5F"/>
      <sz val="14"/>
    </font>
    <font>
      <name val="Noto Sans CJK SC"/>
      <family val="2"/>
      <b val="1"/>
      <color rgb="FF1F3A5F"/>
      <sz val="14"/>
    </font>
    <font>
      <name val="Arial"/>
      <charset val="1"/>
      <family val="0"/>
      <color rgb="FF555555"/>
      <sz val="9"/>
    </font>
    <font>
      <name val="Noto Sans CJK SC"/>
      <family val="2"/>
      <color rgb="FF555555"/>
      <sz val="9"/>
    </font>
    <font>
      <name val="Arial"/>
      <charset val="1"/>
      <family val="0"/>
      <color rgb="FF6B7785"/>
      <sz val="9"/>
    </font>
    <font>
      <name val="Noto Sans CJK SC"/>
      <charset val="1"/>
      <family val="0"/>
      <b val="1"/>
      <color rgb="FF1F3A5F"/>
      <sz val="14"/>
    </font>
    <font>
      <name val="Noto Sans CJK SC"/>
      <charset val="1"/>
      <family val="0"/>
      <color rgb="FF555555"/>
      <sz val="9"/>
    </font>
    <font>
      <name val="Noto Sans CJK SC"/>
      <charset val="1"/>
      <family val="0"/>
      <b val="1"/>
      <color rgb="FFFFFFFF"/>
      <sz val="10"/>
    </font>
    <font>
      <name val="Noto Sans CJK SC"/>
      <charset val="1"/>
      <family val="0"/>
      <color rgb="FF000000"/>
      <sz val="9"/>
    </font>
    <font>
      <name val="Noto Sans CJK SC"/>
      <charset val="1"/>
      <family val="0"/>
      <b val="1"/>
      <color rgb="FF000000"/>
      <sz val="9"/>
    </font>
    <font>
      <name val="Noto Sans CJK SC"/>
      <charset val="1"/>
      <family val="0"/>
      <b val="1"/>
      <color rgb="FFFFFFFF"/>
      <sz val="8"/>
    </font>
    <font>
      <name val="Noto Sans CJK SC"/>
      <charset val="1"/>
      <family val="0"/>
      <b val="1"/>
      <color rgb="FFFFFFFF"/>
      <sz val="9"/>
    </font>
    <font>
      <name val="Arial"/>
      <charset val="1"/>
      <family val="0"/>
      <b val="1"/>
      <color rgb="FF1F3A5F"/>
      <sz val="8"/>
    </font>
    <font>
      <name val="Noto Sans CJK SC"/>
      <family val="2"/>
      <sz val="10"/>
    </font>
    <font>
      <name val="Arial"/>
      <family val="2"/>
      <sz val="10"/>
    </font>
    <font>
      <name val="Arial"/>
      <charset val="1"/>
      <family val="0"/>
      <b val="1"/>
      <color rgb="FF1D6F6A"/>
      <sz val="10"/>
    </font>
    <font>
      <name val="Arial"/>
      <charset val="1"/>
      <family val="0"/>
      <b val="1"/>
      <color rgb="FF1F3A5F"/>
      <sz val="9"/>
    </font>
    <font>
      <name val="Noto Sans CJK SC"/>
      <charset val="1"/>
      <family val="0"/>
      <color rgb="FF1F2E35"/>
      <sz val="7"/>
    </font>
  </fonts>
  <fills count="13">
    <fill>
      <patternFill/>
    </fill>
    <fill>
      <patternFill patternType="gray125"/>
    </fill>
    <fill>
      <patternFill patternType="solid">
        <fgColor rgb="FF1F3A5F"/>
        <bgColor rgb="FF1F2E35"/>
      </patternFill>
    </fill>
    <fill>
      <patternFill patternType="solid">
        <fgColor rgb="FF6B7785"/>
        <bgColor rgb="FF3E8A84"/>
      </patternFill>
    </fill>
    <fill>
      <patternFill patternType="solid">
        <fgColor rgb="FFC9D6E3"/>
        <bgColor rgb="FFD0D7DE"/>
      </patternFill>
    </fill>
    <fill>
      <patternFill patternType="solid">
        <fgColor rgb="FFDCE5EE"/>
        <bgColor rgb="FFDCE9F2"/>
      </patternFill>
    </fill>
    <fill>
      <patternFill patternType="solid">
        <fgColor rgb="FFEEF2F7"/>
        <bgColor rgb="FFEEEEEE"/>
      </patternFill>
    </fill>
    <fill>
      <patternFill patternType="solid">
        <fgColor rgb="FFEEEEEE"/>
        <bgColor rgb="FFEEF2F7"/>
      </patternFill>
    </fill>
    <fill>
      <patternFill patternType="solid">
        <fgColor rgb="FF3E8A84"/>
        <bgColor rgb="FF6B7785"/>
      </patternFill>
    </fill>
    <fill>
      <patternFill patternType="solid">
        <fgColor rgb="FF1D6F6A"/>
        <bgColor rgb="FF008080"/>
      </patternFill>
    </fill>
    <fill>
      <patternFill patternType="solid">
        <fgColor rgb="FF2F4F5A"/>
        <bgColor rgb="FF1F3A5F"/>
      </patternFill>
    </fill>
    <fill>
      <patternFill patternType="solid">
        <fgColor rgb="FFE4E8EC"/>
        <bgColor rgb="FFDCE9F2"/>
      </patternFill>
    </fill>
    <fill>
      <patternFill patternType="solid">
        <fgColor rgb="FFDCE9F2"/>
        <bgColor rgb="FFDCE5EE"/>
      </patternFill>
    </fill>
  </fills>
  <borders count="10">
    <border>
      <left/>
      <right/>
      <top/>
      <bottom/>
      <diagonal/>
    </border>
    <border>
      <left style="thin">
        <color rgb="FFC8CDD3"/>
      </left>
      <right style="thin">
        <color rgb="FFC8CDD3"/>
      </right>
      <top style="thin">
        <color rgb="FFC8CDD3"/>
      </top>
      <bottom style="thin">
        <color rgb="FFC8CDD3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C8CDD3"/>
      </top>
      <bottom/>
      <diagonal/>
    </border>
    <border>
      <left/>
      <right style="thin">
        <color rgb="FFC8CDD3"/>
      </right>
      <top style="thin">
        <color rgb="FFC8CDD3"/>
      </top>
      <bottom/>
      <diagonal/>
    </border>
    <border>
      <left/>
      <right/>
      <top style="thin">
        <color rgb="FFC8CDD3"/>
      </top>
      <bottom style="thin">
        <color rgb="FFC8CDD3"/>
      </bottom>
      <diagonal/>
    </border>
    <border>
      <left/>
      <right style="thin">
        <color rgb="FFC8CDD3"/>
      </right>
      <top style="thin">
        <color rgb="FFC8CDD3"/>
      </top>
      <bottom style="thin">
        <color rgb="FFC8CDD3"/>
      </bottom>
      <diagonal/>
    </border>
    <border>
      <left style="thin">
        <color rgb="FFC8CDD3"/>
      </left>
      <right/>
      <top/>
      <bottom/>
      <diagonal/>
    </border>
    <border>
      <left style="thin">
        <color rgb="FFC8CDD3"/>
      </left>
      <right style="thin">
        <color rgb="FFC8CDD3"/>
      </right>
      <top/>
      <bottom/>
      <diagonal/>
    </border>
    <border>
      <left style="thin">
        <color rgb="FFC8CDD3"/>
      </left>
      <right style="thin">
        <color rgb="FFC8CDD3"/>
      </right>
      <top/>
      <bottom style="thin">
        <color rgb="FFC8CDD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2" fillId="5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center" vertical="top" wrapText="1"/>
    </xf>
    <xf numFmtId="0" fontId="12" fillId="6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horizontal="general" vertical="bottom"/>
    </xf>
    <xf numFmtId="0" fontId="6" fillId="9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bottom" textRotation="90" wrapText="1"/>
    </xf>
    <xf numFmtId="0" fontId="6" fillId="8" borderId="1" applyAlignment="1" pivotButton="0" quotePrefix="0" xfId="0">
      <alignment horizontal="center" vertical="bottom" textRotation="90" wrapText="1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center" vertical="center" wrapText="1"/>
    </xf>
    <xf numFmtId="0" fontId="22" fillId="3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 wrapText="1"/>
    </xf>
    <xf numFmtId="0" fontId="23" fillId="7" borderId="0" applyAlignment="1" pivotButton="0" quotePrefix="0" xfId="0">
      <alignment horizontal="center" vertical="center" wrapText="1"/>
    </xf>
    <xf numFmtId="0" fontId="23" fillId="7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22" fillId="2" borderId="0" applyAlignment="1" pivotButton="0" quotePrefix="0" xfId="0">
      <alignment horizontal="center" vertical="center" wrapText="1"/>
    </xf>
    <xf numFmtId="0" fontId="22" fillId="10" borderId="0" applyAlignment="1" pivotButton="0" quotePrefix="0" xfId="0">
      <alignment horizontal="center" vertical="center" wrapText="1"/>
    </xf>
    <xf numFmtId="0" fontId="25" fillId="10" borderId="0" applyAlignment="1" pivotButton="0" quotePrefix="0" xfId="0">
      <alignment horizontal="center" vertical="top" wrapText="1"/>
    </xf>
    <xf numFmtId="0" fontId="9" fillId="0" borderId="2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 wrapText="1"/>
    </xf>
    <xf numFmtId="0" fontId="26" fillId="2" borderId="0" applyAlignment="1" pivotButton="0" quotePrefix="0" xfId="0">
      <alignment horizontal="center" vertical="bottom" textRotation="255" wrapText="1"/>
    </xf>
    <xf numFmtId="0" fontId="24" fillId="7" borderId="0" applyAlignment="1" pivotButton="0" quotePrefix="0" xfId="0">
      <alignment horizontal="left" vertical="center" wrapText="1"/>
    </xf>
    <xf numFmtId="0" fontId="27" fillId="11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27" fillId="12" borderId="2" applyAlignment="1" pivotButton="0" quotePrefix="0" xfId="0">
      <alignment horizontal="center" vertical="center" wrapText="1"/>
    </xf>
    <xf numFmtId="0" fontId="22" fillId="10" borderId="0" applyAlignment="1" pivotButton="0" quotePrefix="0" xfId="0">
      <alignment horizontal="center" vertical="center" wrapText="1"/>
    </xf>
    <xf numFmtId="0" fontId="22" fillId="3" borderId="0" applyAlignment="1" pivotButton="0" quotePrefix="0" xfId="0">
      <alignment horizontal="center" vertical="center" wrapText="1"/>
    </xf>
    <xf numFmtId="0" fontId="25" fillId="10" borderId="0" applyAlignment="1" pivotButton="0" quotePrefix="0" xfId="0">
      <alignment horizontal="center" vertical="bottom" textRotation="255" wrapText="1"/>
    </xf>
    <xf numFmtId="0" fontId="24" fillId="0" borderId="0" applyAlignment="1" pivotButton="0" quotePrefix="0" xfId="0">
      <alignment horizontal="general" vertical="bottom"/>
    </xf>
    <xf numFmtId="0" fontId="23" fillId="7" borderId="0" applyAlignment="1" pivotButton="0" quotePrefix="0" xfId="0">
      <alignment horizontal="general" vertical="bottom"/>
    </xf>
    <xf numFmtId="0" fontId="30" fillId="0" borderId="2" applyAlignment="1" pivotButton="0" quotePrefix="0" xfId="0">
      <alignment horizontal="center" vertical="center" wrapText="1"/>
    </xf>
    <xf numFmtId="0" fontId="24" fillId="7" borderId="0" applyAlignment="1" pivotButton="0" quotePrefix="0" xfId="0">
      <alignment horizontal="general" vertical="bottom"/>
    </xf>
    <xf numFmtId="0" fontId="31" fillId="0" borderId="2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general" vertical="bottom"/>
    </xf>
    <xf numFmtId="0" fontId="32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2" fillId="5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center" vertical="top" wrapText="1"/>
    </xf>
    <xf numFmtId="0" fontId="12" fillId="6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12" fillId="0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horizontal="general" vertical="bottom"/>
    </xf>
    <xf numFmtId="0" fontId="6" fillId="9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8" fillId="8" borderId="1" applyAlignment="1" pivotButton="0" quotePrefix="0" xfId="0">
      <alignment horizontal="center" vertical="bottom" textRotation="90" wrapText="1"/>
    </xf>
    <xf numFmtId="0" fontId="6" fillId="8" borderId="1" applyAlignment="1" pivotButton="0" quotePrefix="0" xfId="0">
      <alignment horizontal="center" vertical="bottom" textRotation="90" wrapText="1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center" vertical="center" wrapText="1"/>
    </xf>
    <xf numFmtId="0" fontId="22" fillId="3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 wrapText="1"/>
    </xf>
    <xf numFmtId="0" fontId="23" fillId="7" borderId="0" applyAlignment="1" pivotButton="0" quotePrefix="0" xfId="0">
      <alignment horizontal="center" vertical="center" wrapText="1"/>
    </xf>
    <xf numFmtId="0" fontId="23" fillId="7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center" vertical="center" wrapText="1"/>
    </xf>
    <xf numFmtId="0" fontId="22" fillId="10" borderId="0" applyAlignment="1" pivotButton="0" quotePrefix="0" xfId="0">
      <alignment horizontal="center" vertical="center" wrapText="1"/>
    </xf>
    <xf numFmtId="0" fontId="22" fillId="3" borderId="0" applyAlignment="1" pivotButton="0" quotePrefix="0" xfId="0">
      <alignment horizontal="center" vertical="center" wrapText="1"/>
    </xf>
    <xf numFmtId="0" fontId="25" fillId="10" borderId="0" applyAlignment="1" pivotButton="0" quotePrefix="0" xfId="0">
      <alignment horizontal="center" vertical="bottom" textRotation="255" wrapText="1"/>
    </xf>
    <xf numFmtId="0" fontId="24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 wrapText="1"/>
    </xf>
    <xf numFmtId="0" fontId="23" fillId="7" borderId="0" applyAlignment="1" pivotButton="0" quotePrefix="0" xfId="0">
      <alignment horizontal="general" vertical="bottom"/>
    </xf>
    <xf numFmtId="0" fontId="30" fillId="0" borderId="2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22" fillId="10" borderId="0" applyAlignment="1" pivotButton="0" quotePrefix="0" xfId="0">
      <alignment horizontal="center" vertical="center" wrapText="1"/>
    </xf>
    <xf numFmtId="0" fontId="25" fillId="10" borderId="0" applyAlignment="1" pivotButton="0" quotePrefix="0" xfId="0">
      <alignment horizontal="center" vertical="bottom" textRotation="255" wrapText="1"/>
    </xf>
    <xf numFmtId="0" fontId="24" fillId="0" borderId="0" applyAlignment="1" pivotButton="0" quotePrefix="0" xfId="0">
      <alignment horizontal="general" vertical="bottom"/>
    </xf>
    <xf numFmtId="0" fontId="23" fillId="7" borderId="0" applyAlignment="1" pivotButton="0" quotePrefix="0" xfId="0">
      <alignment horizontal="general" vertical="bottom"/>
    </xf>
    <xf numFmtId="0" fontId="30" fillId="0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7">
    <dxf>
      <fill>
        <patternFill patternType="solid">
          <fgColor rgb="FF1F3A5F"/>
          <bgColor rgb="FF000000"/>
        </patternFill>
      </fill>
    </dxf>
    <dxf>
      <fill>
        <patternFill patternType="solid">
          <fgColor rgb="FFC9D6E3"/>
          <bgColor rgb="FF000000"/>
        </patternFill>
      </fill>
    </dxf>
    <dxf>
      <fill>
        <patternFill patternType="solid">
          <fgColor rgb="FFDCE5EE"/>
          <bgColor rgb="FF000000"/>
        </patternFill>
      </fill>
    </dxf>
    <dxf>
      <fill>
        <patternFill patternType="solid">
          <fgColor rgb="FFEEF2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B7785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3E8A84"/>
          <bgColor rgb="FF000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1D6F6A"/>
        </patternFill>
      </fill>
    </dxf>
    <dxf>
      <font>
        <name val="Arial"/>
        <charset val="1"/>
        <family val="0"/>
        <color rgb="FF1D6F6A"/>
      </font>
      <fill>
        <patternFill>
          <bgColor rgb="FFCFE6E3"/>
        </patternFill>
      </fill>
    </dxf>
    <dxf>
      <font>
        <b val="1"/>
        <color rgb="FFFFFFFF"/>
      </font>
      <fill>
        <patternFill>
          <bgColor rgb="FF1D6F6A"/>
        </patternFill>
      </fill>
    </dxf>
    <dxf>
      <fill>
        <patternFill>
          <bgColor rgb="FFCFE3E0"/>
        </patternFill>
      </fill>
    </dxf>
    <dxf>
      <font>
        <b val="1"/>
        <color rgb="FFFFFFFF"/>
      </font>
      <fill>
        <patternFill>
          <bgColor rgb="FF1F3A5F"/>
        </patternFill>
      </fill>
    </dxf>
    <dxf>
      <fill>
        <patternFill>
          <bgColor rgb="FFDCE5EE"/>
        </patternFill>
      </fill>
    </dxf>
    <dxf>
      <fill>
        <patternFill>
          <bgColor rgb="FFF4C7C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F6A"/>
      <rgbColor rgb="FFC8CDD3"/>
      <rgbColor rgb="FF6B7785"/>
      <rgbColor rgb="FF9999FF"/>
      <rgbColor rgb="FF993366"/>
      <rgbColor rgb="FFEEEEEE"/>
      <rgbColor rgb="FFDCE9F2"/>
      <rgbColor rgb="FF660066"/>
      <rgbColor rgb="FFFF8080"/>
      <rgbColor rgb="FF0066CC"/>
      <rgbColor rgb="FFC9D6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CFE6E3"/>
      <rgbColor rgb="FFE4E8EC"/>
      <rgbColor rgb="FFD0D7DE"/>
      <rgbColor rgb="FFDCE5EE"/>
      <rgbColor rgb="FFCFE3E0"/>
      <rgbColor rgb="FFF4C7C3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E8A84"/>
      <rgbColor rgb="FF003300"/>
      <rgbColor rgb="FF333300"/>
      <rgbColor rgb="FF993300"/>
      <rgbColor rgb="FF993366"/>
      <rgbColor rgb="FF2F4F5A"/>
      <rgbColor rgb="FF1F2E3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001F3A5F"/>
    <outlinePr summaryBelow="1" summaryRight="1"/>
    <pageSetUpPr fitToPage="0"/>
  </sheetPr>
  <dimension ref="A1:L202"/>
  <sheetViews>
    <sheetView showFormulas="0" showGridLines="1" showRowColHeaders="1" showZeros="1" rightToLeft="0" tabSelected="1" showOutlineSymbols="1" defaultGridColor="1" view="normal" topLeftCell="A1" colorId="64" zoomScale="90" zoomScaleNormal="90" zoomScalePageLayoutView="100" workbookViewId="0">
      <pane xSplit="6" ySplit="3" topLeftCell="G4" activePane="bottomRight" state="frozen"/>
      <selection pane="topLeft" activeCell="A1" activeCellId="0" sqref="A1"/>
      <selection pane="topRight" activeCell="G1" activeCellId="0" sqref="G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79" min="1" max="1"/>
    <col width="4.5" customWidth="1" style="79" min="2" max="5"/>
    <col width="36" customWidth="1" style="79" min="6" max="6"/>
    <col width="44" customWidth="1" style="79" min="7" max="7"/>
    <col width="18" customWidth="1" style="79" min="8" max="8"/>
    <col width="26" customWidth="1" style="79" min="9" max="10"/>
    <col width="10" customWidth="1" style="79" min="11" max="11"/>
    <col width="28" customWidth="1" style="79" min="12" max="12"/>
  </cols>
  <sheetData>
    <row r="1" ht="21" customHeight="1" s="80">
      <c r="A1" s="81" t="inlineStr">
        <is>
          <t>バリューストリーム（L1〜L4）</t>
        </is>
      </c>
    </row>
    <row r="2" ht="15" customHeight="1" s="80">
      <c r="A2" s="82" t="inlineStr">
        <is>
          <t>対象：希少疾患向け新規バイオ医薬品（抗体医薬）／米国基準（FDA・BLA・21 CFR）。1行1項目。L1〜L4列の●がその行のレベル。出口はL2、入力・出力情報・GxP区分・主な関与者はL4の項目。 入力情報・出力情報はVS定義の過程で得られる正本（直接入力する）。情報オブジェクトはこれを取りまとめて一覧化したもの。</t>
        </is>
      </c>
    </row>
    <row r="3" ht="30" customHeight="1" s="80">
      <c r="A3" s="83" t="inlineStr">
        <is>
          <t>ID</t>
        </is>
      </c>
      <c r="B3" s="83" t="inlineStr">
        <is>
          <t>L1</t>
        </is>
      </c>
      <c r="C3" s="83" t="inlineStr">
        <is>
          <t>L2</t>
        </is>
      </c>
      <c r="D3" s="83" t="inlineStr">
        <is>
          <t>L3</t>
        </is>
      </c>
      <c r="E3" s="83" t="inlineStr">
        <is>
          <t>L4</t>
        </is>
      </c>
      <c r="F3" s="83" t="inlineStr">
        <is>
          <t>VS項目名</t>
        </is>
      </c>
      <c r="G3" s="83" t="inlineStr">
        <is>
          <t>VSの定義</t>
        </is>
      </c>
      <c r="H3" s="84" t="inlineStr">
        <is>
          <t>出口（ゲート）</t>
        </is>
      </c>
      <c r="I3" s="85" t="inlineStr">
        <is>
          <t>入力情報</t>
        </is>
      </c>
      <c r="J3" s="85" t="inlineStr">
        <is>
          <t>出力情報</t>
        </is>
      </c>
      <c r="K3" s="83" t="inlineStr">
        <is>
          <t>GxP区分</t>
        </is>
      </c>
      <c r="L3" s="84" t="inlineStr">
        <is>
          <t>主な関与者（社内／外部）</t>
        </is>
      </c>
    </row>
    <row r="4" ht="26.25" customHeight="1" s="80">
      <c r="A4" s="86" t="inlineStr">
        <is>
          <t>VS</t>
        </is>
      </c>
      <c r="B4" s="87" t="inlineStr">
        <is>
          <t>●</t>
        </is>
      </c>
      <c r="C4" s="87" t="n"/>
      <c r="D4" s="87" t="n"/>
      <c r="E4" s="87" t="n"/>
      <c r="F4" s="88" t="inlineStr">
        <is>
          <t>Target-to-Patient</t>
        </is>
      </c>
      <c r="G4" s="89" t="inlineStr">
        <is>
          <t>希少疾患の標的探索から、FDA承認・上市を経て、少数の患者へ確実に届け、市販後に価値を最大化するまで</t>
        </is>
      </c>
      <c r="H4" s="89" t="n"/>
      <c r="I4" s="89" t="n"/>
      <c r="J4" s="89" t="n"/>
      <c r="K4" s="86" t="n"/>
      <c r="L4" s="89" t="n"/>
    </row>
    <row r="5" ht="26.25" customHeight="1" s="80">
      <c r="A5" s="90" t="inlineStr">
        <is>
          <t>01</t>
        </is>
      </c>
      <c r="B5" s="91" t="n"/>
      <c r="C5" s="91" t="inlineStr">
        <is>
          <t>●</t>
        </is>
      </c>
      <c r="D5" s="91" t="n"/>
      <c r="E5" s="91" t="n"/>
      <c r="F5" s="92" t="inlineStr">
        <is>
          <t>創薬研究</t>
        </is>
      </c>
      <c r="G5" s="93" t="inlineStr">
        <is>
          <t>疾患の原因を理解して標的を定め、抗体を創出・最適化し、開発候補品を1つに絞り込む段階</t>
        </is>
      </c>
      <c r="H5" s="93" t="inlineStr">
        <is>
          <t>開発候補品（DC）決定</t>
        </is>
      </c>
      <c r="I5" s="93" t="n"/>
      <c r="J5" s="93" t="n"/>
      <c r="K5" s="90" t="n"/>
      <c r="L5" s="93" t="n"/>
    </row>
    <row r="6" ht="26.25" customHeight="1" s="80">
      <c r="A6" s="94" t="inlineStr">
        <is>
          <t>01-01</t>
        </is>
      </c>
      <c r="B6" s="95" t="n"/>
      <c r="C6" s="95" t="n"/>
      <c r="D6" s="95" t="inlineStr">
        <is>
          <t>●</t>
        </is>
      </c>
      <c r="E6" s="95" t="n"/>
      <c r="F6" s="96" t="inlineStr">
        <is>
          <t>標的探索・検証</t>
        </is>
      </c>
      <c r="G6" s="97" t="inlineStr">
        <is>
          <t>患者団体・専門医の知見と遺伝学的解析から病態を理解し、抗体で狙う標的を選んで検証する</t>
        </is>
      </c>
      <c r="H6" s="97" t="n"/>
      <c r="I6" s="97" t="n"/>
      <c r="J6" s="97" t="n"/>
      <c r="K6" s="94" t="n"/>
      <c r="L6" s="97" t="n"/>
    </row>
    <row r="7" ht="26.25" customHeight="1" s="80">
      <c r="A7" s="98" t="inlineStr">
        <is>
          <t>01-01-01</t>
        </is>
      </c>
      <c r="B7" s="99" t="n"/>
      <c r="C7" s="99" t="n"/>
      <c r="D7" s="99" t="n"/>
      <c r="E7" s="99" t="inlineStr">
        <is>
          <t>●</t>
        </is>
      </c>
      <c r="F7" s="100" t="inlineStr">
        <is>
          <t>★患者団体・専門医との連携による疾患理解</t>
        </is>
      </c>
      <c r="G7" s="100" t="n"/>
      <c r="H7" s="100" t="n"/>
      <c r="I7" s="101" t="inlineStr">
        <is>
          <t>—</t>
        </is>
      </c>
      <c r="J7" s="102" t="inlineStr">
        <is>
          <t>疾患知見</t>
        </is>
      </c>
      <c r="K7" s="103" t="inlineStr">
        <is>
          <t>非GxP</t>
        </is>
      </c>
      <c r="L7" s="100" t="inlineStr">
        <is>
          <t>研究・メディカル／患者団体、専門医</t>
        </is>
      </c>
    </row>
    <row r="8" ht="26.25" customHeight="1" s="80">
      <c r="A8" s="98" t="inlineStr">
        <is>
          <t>01-01-02</t>
        </is>
      </c>
      <c r="B8" s="99" t="n"/>
      <c r="C8" s="99" t="n"/>
      <c r="D8" s="99" t="n"/>
      <c r="E8" s="99" t="inlineStr">
        <is>
          <t>●</t>
        </is>
      </c>
      <c r="F8" s="100" t="inlineStr">
        <is>
          <t>疾患生物学の調査・標的仮説の立案</t>
        </is>
      </c>
      <c r="G8" s="104" t="n"/>
      <c r="H8" s="104" t="n"/>
      <c r="I8" s="102" t="inlineStr">
        <is>
          <t>疾患知見、遺伝子・オミクスデータ</t>
        </is>
      </c>
      <c r="J8" s="102" t="inlineStr">
        <is>
          <t>標的</t>
        </is>
      </c>
      <c r="K8" s="103" t="inlineStr">
        <is>
          <t>非GxP</t>
        </is>
      </c>
      <c r="L8" s="100" t="inlineStr">
        <is>
          <t>研究／アカデミア</t>
        </is>
      </c>
    </row>
    <row r="9" ht="26.25" customHeight="1" s="80">
      <c r="A9" s="98" t="inlineStr">
        <is>
          <t>01-01-03</t>
        </is>
      </c>
      <c r="B9" s="99" t="n"/>
      <c r="C9" s="99" t="n"/>
      <c r="D9" s="99" t="n"/>
      <c r="E9" s="99" t="inlineStr">
        <is>
          <t>●</t>
        </is>
      </c>
      <c r="F9" s="100" t="inlineStr">
        <is>
          <t>★遺伝学的原因の解析（単一遺伝子疾患等、患者ゲノム・検体データ）</t>
        </is>
      </c>
      <c r="G9" s="104" t="n"/>
      <c r="H9" s="104" t="n"/>
      <c r="I9" s="102" t="inlineStr">
        <is>
          <t>疾患知見</t>
        </is>
      </c>
      <c r="J9" s="102" t="inlineStr">
        <is>
          <t>遺伝子・オミクスデータ、標的</t>
        </is>
      </c>
      <c r="K9" s="103" t="inlineStr">
        <is>
          <t>非GxP</t>
        </is>
      </c>
      <c r="L9" s="100" t="inlineStr">
        <is>
          <t>研究（ゲノム解析）／アカデミア、専門医</t>
        </is>
      </c>
    </row>
    <row r="10" ht="26.25" customHeight="1" s="80">
      <c r="A10" s="98" t="inlineStr">
        <is>
          <t>01-01-04</t>
        </is>
      </c>
      <c r="B10" s="99" t="n"/>
      <c r="C10" s="99" t="n"/>
      <c r="D10" s="99" t="n"/>
      <c r="E10" s="99" t="inlineStr">
        <is>
          <t>●</t>
        </is>
      </c>
      <c r="F10" s="100" t="inlineStr">
        <is>
          <t>標的の機能検証（遺伝子ノックダウン、in vitro／in vivo）</t>
        </is>
      </c>
      <c r="G10" s="104" t="n"/>
      <c r="H10" s="104" t="n"/>
      <c r="I10" s="102" t="inlineStr">
        <is>
          <t>標的</t>
        </is>
      </c>
      <c r="J10" s="102" t="inlineStr">
        <is>
          <t>研究実験データ</t>
        </is>
      </c>
      <c r="K10" s="103" t="inlineStr">
        <is>
          <t>非GxP</t>
        </is>
      </c>
      <c r="L10" s="100" t="inlineStr">
        <is>
          <t>研究／—</t>
        </is>
      </c>
    </row>
    <row r="11" ht="26.25" customHeight="1" s="80">
      <c r="A11" s="98" t="inlineStr">
        <is>
          <t>01-01-05</t>
        </is>
      </c>
      <c r="B11" s="99" t="n"/>
      <c r="C11" s="99" t="n"/>
      <c r="D11" s="99" t="n"/>
      <c r="E11" s="99" t="inlineStr">
        <is>
          <t>●</t>
        </is>
      </c>
      <c r="F11" s="100" t="inlineStr">
        <is>
          <t>抗体モダリティ適合性評価（細胞外・膜タンパクか、組織発現分布）</t>
        </is>
      </c>
      <c r="G11" s="104" t="n"/>
      <c r="H11" s="104" t="n"/>
      <c r="I11" s="102" t="inlineStr">
        <is>
          <t>標的、研究実験データ</t>
        </is>
      </c>
      <c r="J11" s="102" t="inlineStr">
        <is>
          <t>標的</t>
        </is>
      </c>
      <c r="K11" s="103" t="inlineStr">
        <is>
          <t>非GxP</t>
        </is>
      </c>
      <c r="L11" s="100" t="inlineStr">
        <is>
          <t>研究／—</t>
        </is>
      </c>
    </row>
    <row r="12" ht="26.25" customHeight="1" s="80">
      <c r="A12" s="98" t="inlineStr">
        <is>
          <t>01-01-06</t>
        </is>
      </c>
      <c r="B12" s="99" t="n"/>
      <c r="C12" s="99" t="n"/>
      <c r="D12" s="99" t="n"/>
      <c r="E12" s="99" t="inlineStr">
        <is>
          <t>●</t>
        </is>
      </c>
      <c r="F12" s="100" t="inlineStr">
        <is>
          <t>標的選定（競合・知財〔FTO〕調査を含む）</t>
        </is>
      </c>
      <c r="G12" s="104" t="n"/>
      <c r="H12" s="104" t="n"/>
      <c r="I12" s="102" t="inlineStr">
        <is>
          <t>標的、特許・独占期間</t>
        </is>
      </c>
      <c r="J12" s="102" t="inlineStr">
        <is>
          <t>標的、目標製品プロファイル（TPP）、開発判定記録、適応症</t>
        </is>
      </c>
      <c r="K12" s="103" t="inlineStr">
        <is>
          <t>非GxP</t>
        </is>
      </c>
      <c r="L12" s="100" t="inlineStr">
        <is>
          <t>研究・知財／—</t>
        </is>
      </c>
    </row>
    <row r="13" ht="26.25" customHeight="1" s="80">
      <c r="A13" s="94" t="inlineStr">
        <is>
          <t>01-02</t>
        </is>
      </c>
      <c r="B13" s="95" t="n"/>
      <c r="C13" s="95" t="n"/>
      <c r="D13" s="95" t="inlineStr">
        <is>
          <t>●</t>
        </is>
      </c>
      <c r="E13" s="95" t="n"/>
      <c r="F13" s="96" t="inlineStr">
        <is>
          <t>ヒット・リード創出</t>
        </is>
      </c>
      <c r="G13" s="97" t="inlineStr">
        <is>
          <t>抗原・評価系を整え、抗体を取得・選別して、目的の機能を持つリード抗体を得る</t>
        </is>
      </c>
      <c r="H13" s="97" t="n"/>
      <c r="I13" s="97" t="n"/>
      <c r="J13" s="97" t="n"/>
      <c r="K13" s="94" t="n"/>
      <c r="L13" s="97" t="n"/>
    </row>
    <row r="14" ht="15" customHeight="1" s="80">
      <c r="A14" s="98" t="inlineStr">
        <is>
          <t>01-02-01</t>
        </is>
      </c>
      <c r="B14" s="99" t="n"/>
      <c r="C14" s="99" t="n"/>
      <c r="D14" s="99" t="n"/>
      <c r="E14" s="99" t="inlineStr">
        <is>
          <t>●</t>
        </is>
      </c>
      <c r="F14" s="100" t="inlineStr">
        <is>
          <t>抗原・評価系（アッセイ）の準備</t>
        </is>
      </c>
      <c r="G14" s="104" t="n"/>
      <c r="H14" s="104" t="n"/>
      <c r="I14" s="102" t="inlineStr">
        <is>
          <t>標的</t>
        </is>
      </c>
      <c r="J14" s="102" t="inlineStr">
        <is>
          <t>抗原・試薬、アッセイ（評価系）</t>
        </is>
      </c>
      <c r="K14" s="103" t="inlineStr">
        <is>
          <t>非GxP</t>
        </is>
      </c>
      <c r="L14" s="100" t="inlineStr">
        <is>
          <t>研究／試薬メーカー</t>
        </is>
      </c>
    </row>
    <row r="15" ht="26.25" customHeight="1" s="80">
      <c r="A15" s="98" t="inlineStr">
        <is>
          <t>01-02-02</t>
        </is>
      </c>
      <c r="B15" s="99" t="n"/>
      <c r="C15" s="99" t="n"/>
      <c r="D15" s="99" t="n"/>
      <c r="E15" s="99" t="inlineStr">
        <is>
          <t>●</t>
        </is>
      </c>
      <c r="F15" s="100" t="inlineStr">
        <is>
          <t>抗体取得（動物免疫／ヒト抗体産生動物／ディスプレイライブラリ）</t>
        </is>
      </c>
      <c r="G15" s="104" t="n"/>
      <c r="H15" s="104" t="n"/>
      <c r="I15" s="102" t="inlineStr">
        <is>
          <t>抗原・試薬</t>
        </is>
      </c>
      <c r="J15" s="102" t="inlineStr">
        <is>
          <t>抗体分子</t>
        </is>
      </c>
      <c r="K15" s="103" t="inlineStr">
        <is>
          <t>非GxP</t>
        </is>
      </c>
      <c r="L15" s="100" t="inlineStr">
        <is>
          <t>研究／受託研究機関（免疫・ライブラリ）</t>
        </is>
      </c>
    </row>
    <row r="16" ht="15" customHeight="1" s="80">
      <c r="A16" s="98" t="inlineStr">
        <is>
          <t>01-02-03</t>
        </is>
      </c>
      <c r="B16" s="99" t="n"/>
      <c r="C16" s="99" t="n"/>
      <c r="D16" s="99" t="n"/>
      <c r="E16" s="99" t="inlineStr">
        <is>
          <t>●</t>
        </is>
      </c>
      <c r="F16" s="100" t="inlineStr">
        <is>
          <t>一次スクリーニング（結合性）</t>
        </is>
      </c>
      <c r="G16" s="104" t="n"/>
      <c r="H16" s="104" t="n"/>
      <c r="I16" s="102" t="inlineStr">
        <is>
          <t>抗体分子、アッセイ（評価系）</t>
        </is>
      </c>
      <c r="J16" s="102" t="inlineStr">
        <is>
          <t>抗体分子、研究実験データ</t>
        </is>
      </c>
      <c r="K16" s="103" t="inlineStr">
        <is>
          <t>非GxP</t>
        </is>
      </c>
      <c r="L16" s="100" t="inlineStr">
        <is>
          <t>研究／—</t>
        </is>
      </c>
    </row>
    <row r="17" ht="26.25" customHeight="1" s="80">
      <c r="A17" s="98" t="inlineStr">
        <is>
          <t>01-02-04</t>
        </is>
      </c>
      <c r="B17" s="99" t="n"/>
      <c r="C17" s="99" t="n"/>
      <c r="D17" s="99" t="n"/>
      <c r="E17" s="99" t="inlineStr">
        <is>
          <t>●</t>
        </is>
      </c>
      <c r="F17" s="100" t="inlineStr">
        <is>
          <t>機能評価（中和活性、ADCC等のエフェクター機能）</t>
        </is>
      </c>
      <c r="G17" s="104" t="n"/>
      <c r="H17" s="104" t="n"/>
      <c r="I17" s="102" t="inlineStr">
        <is>
          <t>抗体分子、アッセイ（評価系）</t>
        </is>
      </c>
      <c r="J17" s="102" t="inlineStr">
        <is>
          <t>研究実験データ</t>
        </is>
      </c>
      <c r="K17" s="103" t="inlineStr">
        <is>
          <t>非GxP</t>
        </is>
      </c>
      <c r="L17" s="100" t="inlineStr">
        <is>
          <t>研究／—</t>
        </is>
      </c>
    </row>
    <row r="18" ht="15" customHeight="1" s="80">
      <c r="A18" s="98" t="inlineStr">
        <is>
          <t>01-02-05</t>
        </is>
      </c>
      <c r="B18" s="99" t="n"/>
      <c r="C18" s="99" t="n"/>
      <c r="D18" s="99" t="n"/>
      <c r="E18" s="99" t="inlineStr">
        <is>
          <t>●</t>
        </is>
      </c>
      <c r="F18" s="100" t="inlineStr">
        <is>
          <t>リード抗体の選定</t>
        </is>
      </c>
      <c r="G18" s="104" t="n"/>
      <c r="H18" s="104" t="n"/>
      <c r="I18" s="102" t="inlineStr">
        <is>
          <t>研究実験データ</t>
        </is>
      </c>
      <c r="J18" s="102" t="inlineStr">
        <is>
          <t>抗体分子、開発判定記録</t>
        </is>
      </c>
      <c r="K18" s="103" t="inlineStr">
        <is>
          <t>非GxP</t>
        </is>
      </c>
      <c r="L18" s="100" t="inlineStr">
        <is>
          <t>研究／—</t>
        </is>
      </c>
    </row>
    <row r="19" ht="26.25" customHeight="1" s="80">
      <c r="A19" s="94" t="inlineStr">
        <is>
          <t>01-03</t>
        </is>
      </c>
      <c r="B19" s="95" t="n"/>
      <c r="C19" s="95" t="n"/>
      <c r="D19" s="95" t="inlineStr">
        <is>
          <t>●</t>
        </is>
      </c>
      <c r="E19" s="95" t="n"/>
      <c r="F19" s="96" t="inlineStr">
        <is>
          <t>リード最適化</t>
        </is>
      </c>
      <c r="G19" s="97" t="inlineStr">
        <is>
          <t>ヒト化・親和性成熟・Fc設計でリード抗体を改良し、開発適性・免疫原性リスク・薬効を評価する</t>
        </is>
      </c>
      <c r="H19" s="97" t="n"/>
      <c r="I19" s="97" t="n"/>
      <c r="J19" s="97" t="n"/>
      <c r="K19" s="94" t="n"/>
      <c r="L19" s="97" t="n"/>
    </row>
    <row r="20" ht="15" customHeight="1" s="80">
      <c r="A20" s="98" t="inlineStr">
        <is>
          <t>01-03-01</t>
        </is>
      </c>
      <c r="B20" s="99" t="n"/>
      <c r="C20" s="99" t="n"/>
      <c r="D20" s="99" t="n"/>
      <c r="E20" s="99" t="inlineStr">
        <is>
          <t>●</t>
        </is>
      </c>
      <c r="F20" s="100" t="inlineStr">
        <is>
          <t>ヒト化（動物由来抗体の場合）</t>
        </is>
      </c>
      <c r="G20" s="104" t="n"/>
      <c r="H20" s="104" t="n"/>
      <c r="I20" s="102" t="inlineStr">
        <is>
          <t>抗体分子</t>
        </is>
      </c>
      <c r="J20" s="102" t="inlineStr">
        <is>
          <t>抗体分子</t>
        </is>
      </c>
      <c r="K20" s="103" t="inlineStr">
        <is>
          <t>非GxP</t>
        </is>
      </c>
      <c r="L20" s="100" t="inlineStr">
        <is>
          <t>研究（抗体工学）／—</t>
        </is>
      </c>
    </row>
    <row r="21" ht="15" customHeight="1" s="80">
      <c r="A21" s="98" t="inlineStr">
        <is>
          <t>01-03-02</t>
        </is>
      </c>
      <c r="B21" s="99" t="n"/>
      <c r="C21" s="99" t="n"/>
      <c r="D21" s="99" t="n"/>
      <c r="E21" s="99" t="inlineStr">
        <is>
          <t>●</t>
        </is>
      </c>
      <c r="F21" s="100" t="inlineStr">
        <is>
          <t>親和性成熟</t>
        </is>
      </c>
      <c r="G21" s="104" t="n"/>
      <c r="H21" s="104" t="n"/>
      <c r="I21" s="102" t="inlineStr">
        <is>
          <t>抗体分子</t>
        </is>
      </c>
      <c r="J21" s="102" t="inlineStr">
        <is>
          <t>抗体分子</t>
        </is>
      </c>
      <c r="K21" s="103" t="inlineStr">
        <is>
          <t>非GxP</t>
        </is>
      </c>
      <c r="L21" s="100" t="inlineStr">
        <is>
          <t>研究（抗体工学）／—</t>
        </is>
      </c>
    </row>
    <row r="22" ht="26.25" customHeight="1" s="80">
      <c r="A22" s="98" t="inlineStr">
        <is>
          <t>01-03-03</t>
        </is>
      </c>
      <c r="B22" s="99" t="n"/>
      <c r="C22" s="99" t="n"/>
      <c r="D22" s="99" t="n"/>
      <c r="E22" s="99" t="inlineStr">
        <is>
          <t>●</t>
        </is>
      </c>
      <c r="F22" s="104" t="inlineStr">
        <is>
          <t>Fc設計（エフェクター機能・血中半減期の調整）</t>
        </is>
      </c>
      <c r="G22" s="104" t="n"/>
      <c r="H22" s="104" t="n"/>
      <c r="I22" s="102" t="inlineStr">
        <is>
          <t>抗体分子</t>
        </is>
      </c>
      <c r="J22" s="102" t="inlineStr">
        <is>
          <t>抗体分子</t>
        </is>
      </c>
      <c r="K22" s="103" t="inlineStr">
        <is>
          <t>非GxP</t>
        </is>
      </c>
      <c r="L22" s="100" t="inlineStr">
        <is>
          <t>研究（抗体工学）／—</t>
        </is>
      </c>
    </row>
    <row r="23" ht="26.25" customHeight="1" s="80">
      <c r="A23" s="98" t="inlineStr">
        <is>
          <t>01-03-04</t>
        </is>
      </c>
      <c r="B23" s="99" t="n"/>
      <c r="C23" s="99" t="n"/>
      <c r="D23" s="99" t="n"/>
      <c r="E23" s="99" t="inlineStr">
        <is>
          <t>●</t>
        </is>
      </c>
      <c r="F23" s="100" t="inlineStr">
        <is>
          <t>開発適性評価（凝集性・安定性・発現性・粘度）</t>
        </is>
      </c>
      <c r="G23" s="104" t="n"/>
      <c r="H23" s="104" t="n"/>
      <c r="I23" s="102" t="inlineStr">
        <is>
          <t>抗体分子</t>
        </is>
      </c>
      <c r="J23" s="102" t="inlineStr">
        <is>
          <t>研究実験データ</t>
        </is>
      </c>
      <c r="K23" s="103" t="inlineStr">
        <is>
          <t>非GxP</t>
        </is>
      </c>
      <c r="L23" s="100" t="inlineStr">
        <is>
          <t>研究・CMC（分析）／—</t>
        </is>
      </c>
    </row>
    <row r="24" ht="15" customHeight="1" s="80">
      <c r="A24" s="98" t="inlineStr">
        <is>
          <t>01-03-05</t>
        </is>
      </c>
      <c r="B24" s="99" t="n"/>
      <c r="C24" s="99" t="n"/>
      <c r="D24" s="99" t="n"/>
      <c r="E24" s="99" t="inlineStr">
        <is>
          <t>●</t>
        </is>
      </c>
      <c r="F24" s="100" t="inlineStr">
        <is>
          <t>免疫原性リスクの予測（in silico／in vitro）</t>
        </is>
      </c>
      <c r="G24" s="104" t="n"/>
      <c r="H24" s="104" t="n"/>
      <c r="I24" s="102" t="inlineStr">
        <is>
          <t>抗体分子</t>
        </is>
      </c>
      <c r="J24" s="102" t="inlineStr">
        <is>
          <t>免疫原性リスク評価</t>
        </is>
      </c>
      <c r="K24" s="103" t="inlineStr">
        <is>
          <t>非GxP</t>
        </is>
      </c>
      <c r="L24" s="100" t="inlineStr">
        <is>
          <t>研究（トランスレーショナル）／—</t>
        </is>
      </c>
    </row>
    <row r="25" ht="26.25" customHeight="1" s="80">
      <c r="A25" s="98" t="inlineStr">
        <is>
          <t>01-03-06</t>
        </is>
      </c>
      <c r="B25" s="99" t="n"/>
      <c r="C25" s="99" t="n"/>
      <c r="D25" s="99" t="n"/>
      <c r="E25" s="99" t="inlineStr">
        <is>
          <t>●</t>
        </is>
      </c>
      <c r="F25" s="100" t="inlineStr">
        <is>
          <t>★疾患モデルの構築・薬効評価（遺伝子改変動物・患者由来細胞）</t>
        </is>
      </c>
      <c r="G25" s="104" t="n"/>
      <c r="H25" s="104" t="n"/>
      <c r="I25" s="102" t="inlineStr">
        <is>
          <t>抗体分子、遺伝子・オミクスデータ</t>
        </is>
      </c>
      <c r="J25" s="102" t="inlineStr">
        <is>
          <t>疾患モデル、in vivo薬効データ</t>
        </is>
      </c>
      <c r="K25" s="103" t="inlineStr">
        <is>
          <t>非GxP</t>
        </is>
      </c>
      <c r="L25" s="100" t="inlineStr">
        <is>
          <t>研究（薬理）／受託研究機関</t>
        </is>
      </c>
    </row>
    <row r="26" ht="26.25" customHeight="1" s="80">
      <c r="A26" s="94" t="inlineStr">
        <is>
          <t>01-04</t>
        </is>
      </c>
      <c r="B26" s="95" t="n"/>
      <c r="C26" s="95" t="n"/>
      <c r="D26" s="95" t="inlineStr">
        <is>
          <t>●</t>
        </is>
      </c>
      <c r="E26" s="95" t="n"/>
      <c r="F26" s="96" t="inlineStr">
        <is>
          <t>開発候補品選定</t>
        </is>
      </c>
      <c r="G26" s="105" t="inlineStr">
        <is>
          <t>TPPと照らして候補を比較し、患者数の確認と特許出願を経て、開発候補品を決定する</t>
        </is>
      </c>
      <c r="H26" s="105" t="n"/>
      <c r="I26" s="105" t="n"/>
      <c r="J26" s="105" t="n"/>
      <c r="K26" s="94" t="n"/>
      <c r="L26" s="105" t="n"/>
    </row>
    <row r="27" ht="39" customHeight="1" s="80">
      <c r="A27" s="98" t="inlineStr">
        <is>
          <t>01-04-01</t>
        </is>
      </c>
      <c r="B27" s="99" t="n"/>
      <c r="C27" s="99" t="n"/>
      <c r="D27" s="99" t="n"/>
      <c r="E27" s="99" t="inlineStr">
        <is>
          <t>●</t>
        </is>
      </c>
      <c r="F27" s="100" t="inlineStr">
        <is>
          <t>目標製品プロファイル（TPP）との照合・候補比較</t>
        </is>
      </c>
      <c r="G27" s="104" t="n"/>
      <c r="H27" s="104" t="n"/>
      <c r="I27" s="102" t="inlineStr">
        <is>
          <t>目標製品プロファイル（TPP）、研究実験データ、in vivo薬効データ、免疫原性リスク評価</t>
        </is>
      </c>
      <c r="J27" s="102" t="inlineStr">
        <is>
          <t>目標製品プロファイル（TPP）、開発判定記録</t>
        </is>
      </c>
      <c r="K27" s="103" t="inlineStr">
        <is>
          <t>非GxP</t>
        </is>
      </c>
      <c r="L27" s="100" t="inlineStr">
        <is>
          <t>研究・開発企画／—</t>
        </is>
      </c>
    </row>
    <row r="28" ht="26.25" customHeight="1" s="80">
      <c r="A28" s="98" t="inlineStr">
        <is>
          <t>01-04-02</t>
        </is>
      </c>
      <c r="B28" s="99" t="n"/>
      <c r="C28" s="99" t="n"/>
      <c r="D28" s="99" t="n"/>
      <c r="E28" s="99" t="inlineStr">
        <is>
          <t>●</t>
        </is>
      </c>
      <c r="F28" s="100" t="inlineStr">
        <is>
          <t>★患者数・疫学の確認（米国で20万人未満の根拠）</t>
        </is>
      </c>
      <c r="G28" s="104" t="n"/>
      <c r="H28" s="104" t="n"/>
      <c r="I28" s="102" t="inlineStr">
        <is>
          <t>疾患知見、適応症</t>
        </is>
      </c>
      <c r="J28" s="102" t="inlineStr">
        <is>
          <t>疫学データ</t>
        </is>
      </c>
      <c r="K28" s="103" t="inlineStr">
        <is>
          <t>非GxP</t>
        </is>
      </c>
      <c r="L28" s="100" t="inlineStr">
        <is>
          <t>メディカル（疫学）／データ提供事業者</t>
        </is>
      </c>
    </row>
    <row r="29" ht="15" customHeight="1" s="80">
      <c r="A29" s="98" t="inlineStr">
        <is>
          <t>01-04-03</t>
        </is>
      </c>
      <c r="B29" s="99" t="n"/>
      <c r="C29" s="99" t="n"/>
      <c r="D29" s="99" t="n"/>
      <c r="E29" s="99" t="inlineStr">
        <is>
          <t>●</t>
        </is>
      </c>
      <c r="F29" s="100" t="inlineStr">
        <is>
          <t>物質特許の出願</t>
        </is>
      </c>
      <c r="G29" s="104" t="n"/>
      <c r="H29" s="104" t="n"/>
      <c r="I29" s="102" t="inlineStr">
        <is>
          <t>抗体分子</t>
        </is>
      </c>
      <c r="J29" s="102" t="inlineStr">
        <is>
          <t>特許・独占期間</t>
        </is>
      </c>
      <c r="K29" s="103" t="inlineStr">
        <is>
          <t>非GxP</t>
        </is>
      </c>
      <c r="L29" s="100" t="inlineStr">
        <is>
          <t>知財／特許事務所、USPTO</t>
        </is>
      </c>
    </row>
    <row r="30" ht="39" customHeight="1" s="80">
      <c r="A30" s="98" t="inlineStr">
        <is>
          <t>01-04-04</t>
        </is>
      </c>
      <c r="B30" s="99" t="n"/>
      <c r="C30" s="99" t="n"/>
      <c r="D30" s="99" t="n"/>
      <c r="E30" s="99" t="inlineStr">
        <is>
          <t>●</t>
        </is>
      </c>
      <c r="F30" s="100" t="inlineStr">
        <is>
          <t>開発移行判定会議</t>
        </is>
      </c>
      <c r="G30" s="104" t="n"/>
      <c r="H30" s="104" t="n"/>
      <c r="I30" s="102" t="inlineStr">
        <is>
          <t>開発判定記録、目標製品プロファイル（TPP）、疫学データ、特許・独占期間</t>
        </is>
      </c>
      <c r="J30" s="102" t="inlineStr">
        <is>
          <t>開発判定記録、製品マスタ</t>
        </is>
      </c>
      <c r="K30" s="103" t="inlineStr">
        <is>
          <t>非GxP</t>
        </is>
      </c>
      <c r="L30" s="100" t="inlineStr">
        <is>
          <t>経営（ポートフォリオ委員会）／—</t>
        </is>
      </c>
    </row>
    <row r="31" ht="26.25" customHeight="1" s="80">
      <c r="A31" s="90" t="inlineStr">
        <is>
          <t>02</t>
        </is>
      </c>
      <c r="B31" s="91" t="n"/>
      <c r="C31" s="91" t="inlineStr">
        <is>
          <t>●</t>
        </is>
      </c>
      <c r="D31" s="91" t="n"/>
      <c r="E31" s="91" t="n"/>
      <c r="F31" s="92" t="inlineStr">
        <is>
          <t>非臨床開発</t>
        </is>
      </c>
      <c r="G31" s="93" t="inlineStr">
        <is>
          <t>開発候補品をヒトに初めて投与できるよう、薬理・体内動態・安全性を非臨床で評価し、INDを発効させる段階</t>
        </is>
      </c>
      <c r="H31" s="106" t="inlineStr">
        <is>
          <t>IND発効（臨床試験の開始が可能）</t>
        </is>
      </c>
      <c r="I31" s="106" t="n"/>
      <c r="J31" s="106" t="n"/>
      <c r="K31" s="90" t="n"/>
      <c r="L31" s="106" t="n"/>
    </row>
    <row r="32" ht="15" customHeight="1" s="80">
      <c r="A32" s="94" t="inlineStr">
        <is>
          <t>02-01</t>
        </is>
      </c>
      <c r="B32" s="95" t="n"/>
      <c r="C32" s="95" t="n"/>
      <c r="D32" s="95" t="inlineStr">
        <is>
          <t>●</t>
        </is>
      </c>
      <c r="E32" s="95" t="n"/>
      <c r="F32" s="96" t="inlineStr">
        <is>
          <t>非臨床薬理</t>
        </is>
      </c>
      <c r="G32" s="97" t="inlineStr">
        <is>
          <t>作用機序と用量反応を明らかにし、安全性薬理を評価する</t>
        </is>
      </c>
      <c r="H32" s="105" t="n"/>
      <c r="I32" s="105" t="n"/>
      <c r="J32" s="105" t="n"/>
      <c r="K32" s="94" t="n"/>
      <c r="L32" s="105" t="n"/>
    </row>
    <row r="33" ht="15" customHeight="1" s="80">
      <c r="A33" s="98" t="inlineStr">
        <is>
          <t>02-01-01</t>
        </is>
      </c>
      <c r="B33" s="99" t="n"/>
      <c r="C33" s="99" t="n"/>
      <c r="D33" s="99" t="n"/>
      <c r="E33" s="99" t="inlineStr">
        <is>
          <t>●</t>
        </is>
      </c>
      <c r="F33" s="100" t="inlineStr">
        <is>
          <t>作用機序（MoA）の解明</t>
        </is>
      </c>
      <c r="G33" s="104" t="n"/>
      <c r="H33" s="104" t="n"/>
      <c r="I33" s="102" t="inlineStr">
        <is>
          <t>抗体分子、研究実験データ</t>
        </is>
      </c>
      <c r="J33" s="102" t="inlineStr">
        <is>
          <t>非臨床試験報告書</t>
        </is>
      </c>
      <c r="K33" s="103" t="inlineStr">
        <is>
          <t>非GxP</t>
        </is>
      </c>
      <c r="L33" s="100" t="inlineStr">
        <is>
          <t>研究（トランスレーショナル）／—</t>
        </is>
      </c>
    </row>
    <row r="34" ht="26.25" customHeight="1" s="80">
      <c r="A34" s="98" t="inlineStr">
        <is>
          <t>02-01-02</t>
        </is>
      </c>
      <c r="B34" s="99" t="n"/>
      <c r="C34" s="99" t="n"/>
      <c r="D34" s="99" t="n"/>
      <c r="E34" s="99" t="inlineStr">
        <is>
          <t>●</t>
        </is>
      </c>
      <c r="F34" s="100" t="inlineStr">
        <is>
          <t>薬効薬理試験（用量反応）</t>
        </is>
      </c>
      <c r="G34" s="104" t="n"/>
      <c r="H34" s="104" t="n"/>
      <c r="I34" s="102" t="inlineStr">
        <is>
          <t>疾患モデル</t>
        </is>
      </c>
      <c r="J34" s="102" t="inlineStr">
        <is>
          <t>非臨床試験データ、非臨床試験報告書</t>
        </is>
      </c>
      <c r="K34" s="103" t="inlineStr">
        <is>
          <t>非GxP</t>
        </is>
      </c>
      <c r="L34" s="100" t="inlineStr">
        <is>
          <t>非臨床（薬理）／—</t>
        </is>
      </c>
    </row>
    <row r="35" ht="26.25" customHeight="1" s="80">
      <c r="A35" s="98" t="inlineStr">
        <is>
          <t>02-01-03</t>
        </is>
      </c>
      <c r="B35" s="99" t="n"/>
      <c r="C35" s="99" t="n"/>
      <c r="D35" s="99" t="n"/>
      <c r="E35" s="99" t="inlineStr">
        <is>
          <t>●</t>
        </is>
      </c>
      <c r="F35" s="100" t="inlineStr">
        <is>
          <t>安全性薬理評価（毒性試験への組込みが一般的）</t>
        </is>
      </c>
      <c r="G35" s="104" t="n"/>
      <c r="H35" s="104" t="n"/>
      <c r="I35" s="102" t="inlineStr">
        <is>
          <t>非臨床試験計画</t>
        </is>
      </c>
      <c r="J35" s="102" t="inlineStr">
        <is>
          <t>非臨床試験データ</t>
        </is>
      </c>
      <c r="K35" s="98" t="inlineStr">
        <is>
          <t>GLP</t>
        </is>
      </c>
      <c r="L35" s="100" t="inlineStr">
        <is>
          <t>非臨床（安全性）／受託試験機関</t>
        </is>
      </c>
    </row>
    <row r="36" ht="26.25" customHeight="1" s="80">
      <c r="A36" s="94" t="inlineStr">
        <is>
          <t>02-02</t>
        </is>
      </c>
      <c r="B36" s="95" t="n"/>
      <c r="C36" s="95" t="n"/>
      <c r="D36" s="95" t="inlineStr">
        <is>
          <t>●</t>
        </is>
      </c>
      <c r="E36" s="95" t="n"/>
      <c r="F36" s="96" t="inlineStr">
        <is>
          <t>薬物動態・免疫原性評価</t>
        </is>
      </c>
      <c r="G36" s="105" t="inlineStr">
        <is>
          <t>PK・ADAの測定法を確立し、動物での体内動態・免疫原性を評価して、ヒトPKを予測する</t>
        </is>
      </c>
      <c r="H36" s="105" t="n"/>
      <c r="I36" s="105" t="n"/>
      <c r="J36" s="105" t="n"/>
      <c r="K36" s="94" t="n"/>
      <c r="L36" s="105" t="n"/>
    </row>
    <row r="37" ht="26.25" customHeight="1" s="80">
      <c r="A37" s="98" t="inlineStr">
        <is>
          <t>02-02-01</t>
        </is>
      </c>
      <c r="B37" s="99" t="n"/>
      <c r="C37" s="99" t="n"/>
      <c r="D37" s="99" t="n"/>
      <c r="E37" s="99" t="inlineStr">
        <is>
          <t>●</t>
        </is>
      </c>
      <c r="F37" s="104" t="inlineStr">
        <is>
          <t>PK／TK測定法（リガンド結合法）の確立</t>
        </is>
      </c>
      <c r="G37" s="104" t="n"/>
      <c r="H37" s="104" t="n"/>
      <c r="I37" s="102" t="inlineStr">
        <is>
          <t>抗体分子</t>
        </is>
      </c>
      <c r="J37" s="102" t="inlineStr">
        <is>
          <t>生体試料分析法</t>
        </is>
      </c>
      <c r="K37" s="98" t="inlineStr">
        <is>
          <t>GLP</t>
        </is>
      </c>
      <c r="L37" s="100" t="inlineStr">
        <is>
          <t>非臨床（バイオアナリシス）／受託試験機関</t>
        </is>
      </c>
    </row>
    <row r="38" ht="15" customHeight="1" s="80">
      <c r="A38" s="98" t="inlineStr">
        <is>
          <t>02-02-02</t>
        </is>
      </c>
      <c r="B38" s="99" t="n"/>
      <c r="C38" s="99" t="n"/>
      <c r="D38" s="99" t="n"/>
      <c r="E38" s="99" t="inlineStr">
        <is>
          <t>●</t>
        </is>
      </c>
      <c r="F38" s="100" t="inlineStr">
        <is>
          <t>動物PK試験</t>
        </is>
      </c>
      <c r="G38" s="104" t="n"/>
      <c r="H38" s="104" t="n"/>
      <c r="I38" s="102" t="inlineStr">
        <is>
          <t>非臨床試験計画、生体試料分析法</t>
        </is>
      </c>
      <c r="J38" s="102" t="inlineStr">
        <is>
          <t>非臨床試験データ</t>
        </is>
      </c>
      <c r="K38" s="103" t="inlineStr">
        <is>
          <t>非GxP</t>
        </is>
      </c>
      <c r="L38" s="100" t="inlineStr">
        <is>
          <t>非臨床（薬物動態）／受託試験機関</t>
        </is>
      </c>
    </row>
    <row r="39" ht="26.25" customHeight="1" s="80">
      <c r="A39" s="98" t="inlineStr">
        <is>
          <t>02-02-03</t>
        </is>
      </c>
      <c r="B39" s="99" t="n"/>
      <c r="C39" s="99" t="n"/>
      <c r="D39" s="99" t="n"/>
      <c r="E39" s="99" t="inlineStr">
        <is>
          <t>●</t>
        </is>
      </c>
      <c r="F39" s="100" t="inlineStr">
        <is>
          <t>抗薬物抗体（ADA）測定法の確立・動物での評価</t>
        </is>
      </c>
      <c r="G39" s="104" t="n"/>
      <c r="H39" s="104" t="n"/>
      <c r="I39" s="102" t="inlineStr">
        <is>
          <t>生体試料分析法</t>
        </is>
      </c>
      <c r="J39" s="102" t="inlineStr">
        <is>
          <t>生体試料分析法、非臨床試験データ</t>
        </is>
      </c>
      <c r="K39" s="98" t="inlineStr">
        <is>
          <t>GLP</t>
        </is>
      </c>
      <c r="L39" s="100" t="inlineStr">
        <is>
          <t>非臨床（バイオアナリシス）／受託試験機関</t>
        </is>
      </c>
    </row>
    <row r="40" ht="26.25" customHeight="1" s="80">
      <c r="A40" s="98" t="inlineStr">
        <is>
          <t>02-02-04</t>
        </is>
      </c>
      <c r="B40" s="99" t="n"/>
      <c r="C40" s="99" t="n"/>
      <c r="D40" s="99" t="n"/>
      <c r="E40" s="99" t="inlineStr">
        <is>
          <t>●</t>
        </is>
      </c>
      <c r="F40" s="100" t="inlineStr">
        <is>
          <t>ヒトPKの予測</t>
        </is>
      </c>
      <c r="G40" s="104" t="n"/>
      <c r="H40" s="104" t="n"/>
      <c r="I40" s="102" t="inlineStr">
        <is>
          <t>非臨床試験データ</t>
        </is>
      </c>
      <c r="J40" s="101" t="inlineStr">
        <is>
          <t>PK/PDモデル・解析結果</t>
        </is>
      </c>
      <c r="K40" s="103" t="inlineStr">
        <is>
          <t>非GxP</t>
        </is>
      </c>
      <c r="L40" s="100" t="inlineStr">
        <is>
          <t>臨床薬理（ファーマコメトリクス）／—</t>
        </is>
      </c>
    </row>
    <row r="41" ht="26.25" customHeight="1" s="80">
      <c r="A41" s="94" t="inlineStr">
        <is>
          <t>02-03</t>
        </is>
      </c>
      <c r="B41" s="95" t="n"/>
      <c r="C41" s="95" t="n"/>
      <c r="D41" s="95" t="inlineStr">
        <is>
          <t>●</t>
        </is>
      </c>
      <c r="E41" s="95" t="n"/>
      <c r="F41" s="96" t="inlineStr">
        <is>
          <t>安全性評価</t>
        </is>
      </c>
      <c r="G41" s="97" t="inlineStr">
        <is>
          <t>関連動物種を選び、GLP毒性試験などでヒト投与の安全性を評価する</t>
        </is>
      </c>
      <c r="H41" s="105" t="n"/>
      <c r="I41" s="105" t="n"/>
      <c r="J41" s="105" t="n"/>
      <c r="K41" s="94" t="n"/>
      <c r="L41" s="105" t="n"/>
    </row>
    <row r="42" ht="26.25" customHeight="1" s="80">
      <c r="A42" s="98" t="inlineStr">
        <is>
          <t>02-03-01</t>
        </is>
      </c>
      <c r="B42" s="99" t="n"/>
      <c r="C42" s="99" t="n"/>
      <c r="D42" s="99" t="n"/>
      <c r="E42" s="99" t="inlineStr">
        <is>
          <t>●</t>
        </is>
      </c>
      <c r="F42" s="100" t="inlineStr">
        <is>
          <t>関連動物種の選定（交差反応性・薬理活性の確認）</t>
        </is>
      </c>
      <c r="G42" s="104" t="n"/>
      <c r="H42" s="104" t="n"/>
      <c r="I42" s="102" t="inlineStr">
        <is>
          <t>抗体分子、研究実験データ</t>
        </is>
      </c>
      <c r="J42" s="102" t="inlineStr">
        <is>
          <t>非臨床試験報告書</t>
        </is>
      </c>
      <c r="K42" s="103" t="inlineStr">
        <is>
          <t>非GxP</t>
        </is>
      </c>
      <c r="L42" s="100" t="inlineStr">
        <is>
          <t>非臨床（安全性）／—</t>
        </is>
      </c>
    </row>
    <row r="43" ht="26.25" customHeight="1" s="80">
      <c r="A43" s="98" t="inlineStr">
        <is>
          <t>02-03-02</t>
        </is>
      </c>
      <c r="B43" s="99" t="n"/>
      <c r="C43" s="99" t="n"/>
      <c r="D43" s="99" t="n"/>
      <c r="E43" s="99" t="inlineStr">
        <is>
          <t>●</t>
        </is>
      </c>
      <c r="F43" s="100" t="inlineStr">
        <is>
          <t>組織交差反応性試験（ヒト・動物組織）</t>
        </is>
      </c>
      <c r="G43" s="104" t="n"/>
      <c r="H43" s="104" t="n"/>
      <c r="I43" s="102" t="inlineStr">
        <is>
          <t>非臨床試験計画</t>
        </is>
      </c>
      <c r="J43" s="102" t="inlineStr">
        <is>
          <t>非臨床試験データ、非臨床試験報告書</t>
        </is>
      </c>
      <c r="K43" s="98" t="inlineStr">
        <is>
          <t>GLP</t>
        </is>
      </c>
      <c r="L43" s="100" t="inlineStr">
        <is>
          <t>非臨床（安全性）／受託試験機関</t>
        </is>
      </c>
    </row>
    <row r="44" ht="26.25" customHeight="1" s="80">
      <c r="A44" s="98" t="inlineStr">
        <is>
          <t>02-03-03</t>
        </is>
      </c>
      <c r="B44" s="99" t="n"/>
      <c r="C44" s="99" t="n"/>
      <c r="D44" s="99" t="n"/>
      <c r="E44" s="99" t="inlineStr">
        <is>
          <t>●</t>
        </is>
      </c>
      <c r="F44" s="104" t="inlineStr">
        <is>
          <t>GLP反復投与毒性試験</t>
        </is>
      </c>
      <c r="G44" s="104" t="n"/>
      <c r="H44" s="104" t="n"/>
      <c r="I44" s="102" t="inlineStr">
        <is>
          <t>非臨床試験計画、ロット</t>
        </is>
      </c>
      <c r="J44" s="102" t="inlineStr">
        <is>
          <t>非臨床試験データ、非臨床試験報告書</t>
        </is>
      </c>
      <c r="K44" s="98" t="inlineStr">
        <is>
          <t>GLP</t>
        </is>
      </c>
      <c r="L44" s="100" t="inlineStr">
        <is>
          <t>非臨床（安全性）／受託試験機関</t>
        </is>
      </c>
    </row>
    <row r="45" ht="26.25" customHeight="1" s="80">
      <c r="A45" s="98" t="inlineStr">
        <is>
          <t>02-03-04</t>
        </is>
      </c>
      <c r="B45" s="99" t="n"/>
      <c r="C45" s="99" t="n"/>
      <c r="D45" s="99" t="n"/>
      <c r="E45" s="99" t="inlineStr">
        <is>
          <t>●</t>
        </is>
      </c>
      <c r="F45" s="100" t="inlineStr">
        <is>
          <t>サイトカイン放出評価（免疫賦活作用がある場合）</t>
        </is>
      </c>
      <c r="G45" s="104" t="n"/>
      <c r="H45" s="104" t="n"/>
      <c r="I45" s="102" t="inlineStr">
        <is>
          <t>抗体分子</t>
        </is>
      </c>
      <c r="J45" s="102" t="inlineStr">
        <is>
          <t>非臨床試験データ</t>
        </is>
      </c>
      <c r="K45" s="103" t="inlineStr">
        <is>
          <t>非GxP</t>
        </is>
      </c>
      <c r="L45" s="100" t="inlineStr">
        <is>
          <t>非臨床（安全性）／—</t>
        </is>
      </c>
    </row>
    <row r="46" ht="26.25" customHeight="1" s="80">
      <c r="A46" s="98" t="inlineStr">
        <is>
          <t>02-03-05</t>
        </is>
      </c>
      <c r="B46" s="99" t="n"/>
      <c r="C46" s="99" t="n"/>
      <c r="D46" s="99" t="n"/>
      <c r="E46" s="99" t="inlineStr">
        <is>
          <t>●</t>
        </is>
      </c>
      <c r="F46" s="100" t="inlineStr">
        <is>
          <t>開発段階に応じた追加試験の計画（生殖発生毒性等）</t>
        </is>
      </c>
      <c r="G46" s="104" t="n"/>
      <c r="H46" s="104" t="n"/>
      <c r="I46" s="102" t="inlineStr">
        <is>
          <t>非臨床試験報告書</t>
        </is>
      </c>
      <c r="J46" s="102" t="inlineStr">
        <is>
          <t>非臨床試験計画</t>
        </is>
      </c>
      <c r="K46" s="103" t="inlineStr">
        <is>
          <t>非GxP</t>
        </is>
      </c>
      <c r="L46" s="100" t="inlineStr">
        <is>
          <t>非臨床（安全性）／—</t>
        </is>
      </c>
    </row>
    <row r="47" ht="26.25" customHeight="1" s="80">
      <c r="A47" s="94" t="inlineStr">
        <is>
          <t>02-04</t>
        </is>
      </c>
      <c r="B47" s="95" t="n"/>
      <c r="C47" s="95" t="n"/>
      <c r="D47" s="95" t="inlineStr">
        <is>
          <t>●</t>
        </is>
      </c>
      <c r="E47" s="95" t="n"/>
      <c r="F47" s="96" t="inlineStr">
        <is>
          <t>初回ヒト投与量の設定・IND申請</t>
        </is>
      </c>
      <c r="G47" s="97" t="inlineStr">
        <is>
          <t>初回投与量を設定し、IB・指定申請を含めてINDを提出し、30日の待機期間を経て治験を開始できる状態にする</t>
        </is>
      </c>
      <c r="H47" s="105" t="n"/>
      <c r="I47" s="105" t="n"/>
      <c r="J47" s="105" t="n"/>
      <c r="K47" s="94" t="n"/>
      <c r="L47" s="105" t="n"/>
    </row>
    <row r="48" ht="26.25" customHeight="1" s="80">
      <c r="A48" s="98" t="inlineStr">
        <is>
          <t>02-04-01</t>
        </is>
      </c>
      <c r="B48" s="99" t="n"/>
      <c r="C48" s="99" t="n"/>
      <c r="D48" s="99" t="n"/>
      <c r="E48" s="99" t="inlineStr">
        <is>
          <t>●</t>
        </is>
      </c>
      <c r="F48" s="100" t="inlineStr">
        <is>
          <t>初回投与量の設定（NOAEL／MABEL）</t>
        </is>
      </c>
      <c r="G48" s="104" t="n"/>
      <c r="H48" s="104" t="n"/>
      <c r="I48" s="102" t="inlineStr">
        <is>
          <t>非臨床試験報告書、PK/PDモデル・解析結果</t>
        </is>
      </c>
      <c r="J48" s="101" t="inlineStr">
        <is>
          <t>PK/PDモデル・解析結果</t>
        </is>
      </c>
      <c r="K48" s="103" t="inlineStr">
        <is>
          <t>非GxP</t>
        </is>
      </c>
      <c r="L48" s="100" t="inlineStr">
        <is>
          <t>臨床薬理・非臨床／—</t>
        </is>
      </c>
    </row>
    <row r="49" ht="15" customHeight="1" s="80">
      <c r="A49" s="98" t="inlineStr">
        <is>
          <t>02-04-02</t>
        </is>
      </c>
      <c r="B49" s="99" t="n"/>
      <c r="C49" s="99" t="n"/>
      <c r="D49" s="99" t="n"/>
      <c r="E49" s="99" t="inlineStr">
        <is>
          <t>●</t>
        </is>
      </c>
      <c r="F49" s="100" t="inlineStr">
        <is>
          <t>治験薬概要書（IB）の作成</t>
        </is>
      </c>
      <c r="G49" s="104" t="n"/>
      <c r="H49" s="104" t="n"/>
      <c r="I49" s="102" t="inlineStr">
        <is>
          <t>非臨床試験報告書、規格</t>
        </is>
      </c>
      <c r="J49" s="102" t="inlineStr">
        <is>
          <t>治験薬概要書（IB）</t>
        </is>
      </c>
      <c r="K49" s="98" t="inlineStr">
        <is>
          <t>GCP</t>
        </is>
      </c>
      <c r="L49" s="100" t="inlineStr">
        <is>
          <t>臨床開発・非臨床／—</t>
        </is>
      </c>
    </row>
    <row r="50" ht="26.25" customHeight="1" s="80">
      <c r="A50" s="98" t="inlineStr">
        <is>
          <t>02-04-03</t>
        </is>
      </c>
      <c r="B50" s="99" t="n"/>
      <c r="C50" s="99" t="n"/>
      <c r="D50" s="99" t="n"/>
      <c r="E50" s="99" t="inlineStr">
        <is>
          <t>●</t>
        </is>
      </c>
      <c r="F50" s="104" t="inlineStr">
        <is>
          <t>Pre-INDミーティング（FDA）</t>
        </is>
      </c>
      <c r="G50" s="104" t="n"/>
      <c r="H50" s="104" t="n"/>
      <c r="I50" s="102" t="inlineStr">
        <is>
          <t>非臨床試験報告書、治験薬概要書（IB）</t>
        </is>
      </c>
      <c r="J50" s="102" t="inlineStr">
        <is>
          <t>当局コミュニケーション記録</t>
        </is>
      </c>
      <c r="K50" s="103" t="inlineStr">
        <is>
          <t>薬事</t>
        </is>
      </c>
      <c r="L50" s="100" t="inlineStr">
        <is>
          <t>薬事／FDA</t>
        </is>
      </c>
    </row>
    <row r="51" ht="26.25" customHeight="1" s="80">
      <c r="A51" s="98" t="inlineStr">
        <is>
          <t>02-04-04</t>
        </is>
      </c>
      <c r="B51" s="99" t="n"/>
      <c r="C51" s="99" t="n"/>
      <c r="D51" s="99" t="n"/>
      <c r="E51" s="99" t="inlineStr">
        <is>
          <t>●</t>
        </is>
      </c>
      <c r="F51" s="104" t="inlineStr">
        <is>
          <t>★Orphan Drug指定の申請（FDA OOPD。税額控除・ユーザーフィー免除・7年独占の前提）</t>
        </is>
      </c>
      <c r="G51" s="104" t="n"/>
      <c r="H51" s="104" t="n"/>
      <c r="I51" s="102" t="inlineStr">
        <is>
          <t>疫学データ、非臨床試験報告書、適応症</t>
        </is>
      </c>
      <c r="J51" s="102" t="inlineStr">
        <is>
          <t>指定・インセンティブ</t>
        </is>
      </c>
      <c r="K51" s="103" t="inlineStr">
        <is>
          <t>薬事</t>
        </is>
      </c>
      <c r="L51" s="100" t="inlineStr">
        <is>
          <t>薬事／FDA（OOPD）</t>
        </is>
      </c>
    </row>
    <row r="52" ht="26.25" customHeight="1" s="80">
      <c r="A52" s="98" t="inlineStr">
        <is>
          <t>02-04-05</t>
        </is>
      </c>
      <c r="B52" s="99" t="n"/>
      <c r="C52" s="99" t="n"/>
      <c r="D52" s="99" t="n"/>
      <c r="E52" s="99" t="inlineStr">
        <is>
          <t>●</t>
        </is>
      </c>
      <c r="F52" s="100" t="inlineStr">
        <is>
          <t>★希少小児疾患指定の申請（該当する場合。承認時の優先審査バウチャーの前提）</t>
        </is>
      </c>
      <c r="G52" s="104" t="n"/>
      <c r="H52" s="104" t="n"/>
      <c r="I52" s="102" t="inlineStr">
        <is>
          <t>疫学データ、非臨床試験報告書、適応症</t>
        </is>
      </c>
      <c r="J52" s="102" t="inlineStr">
        <is>
          <t>指定・インセンティブ</t>
        </is>
      </c>
      <c r="K52" s="103" t="inlineStr">
        <is>
          <t>薬事</t>
        </is>
      </c>
      <c r="L52" s="100" t="inlineStr">
        <is>
          <t>薬事／FDA（OOPD）</t>
        </is>
      </c>
    </row>
    <row r="53" ht="39" customHeight="1" s="80">
      <c r="A53" s="98" t="inlineStr">
        <is>
          <t>02-04-06</t>
        </is>
      </c>
      <c r="B53" s="99" t="n"/>
      <c r="C53" s="99" t="n"/>
      <c r="D53" s="99" t="n"/>
      <c r="E53" s="99" t="inlineStr">
        <is>
          <t>●</t>
        </is>
      </c>
      <c r="F53" s="104" t="inlineStr">
        <is>
          <t>IND申請（Form FDA 1571、GLP試験報告書を含む）</t>
        </is>
      </c>
      <c r="G53" s="104" t="n"/>
      <c r="H53" s="104" t="n"/>
      <c r="I53" s="102" t="inlineStr">
        <is>
          <t>非臨床試験報告書、治験実施計画書、治験薬概要書（IB）、規格、CMC技術報告書</t>
        </is>
      </c>
      <c r="J53" s="101" t="inlineStr">
        <is>
          <t>IND</t>
        </is>
      </c>
      <c r="K53" s="103" t="inlineStr">
        <is>
          <t>薬事</t>
        </is>
      </c>
      <c r="L53" s="100" t="inlineStr">
        <is>
          <t>薬事・臨床開発・CMC／FDA</t>
        </is>
      </c>
    </row>
    <row r="54" ht="26.25" customHeight="1" s="80">
      <c r="A54" s="98" t="inlineStr">
        <is>
          <t>02-04-07</t>
        </is>
      </c>
      <c r="B54" s="99" t="n"/>
      <c r="C54" s="99" t="n"/>
      <c r="D54" s="99" t="n"/>
      <c r="E54" s="99" t="inlineStr">
        <is>
          <t>●</t>
        </is>
      </c>
      <c r="F54" s="104" t="inlineStr">
        <is>
          <t>30日待機期間（クリニカルホールドの有無の確認）</t>
        </is>
      </c>
      <c r="G54" s="104" t="n"/>
      <c r="H54" s="104" t="n"/>
      <c r="I54" s="101" t="inlineStr">
        <is>
          <t>IND</t>
        </is>
      </c>
      <c r="J54" s="102" t="inlineStr">
        <is>
          <t>当局コミュニケーション記録、開発判定記録</t>
        </is>
      </c>
      <c r="K54" s="103" t="inlineStr">
        <is>
          <t>薬事</t>
        </is>
      </c>
      <c r="L54" s="100" t="inlineStr">
        <is>
          <t>薬事／FDA</t>
        </is>
      </c>
    </row>
    <row r="55" ht="39" customHeight="1" s="80">
      <c r="A55" s="90" t="inlineStr">
        <is>
          <t>03</t>
        </is>
      </c>
      <c r="B55" s="91" t="n"/>
      <c r="C55" s="91" t="inlineStr">
        <is>
          <t>●</t>
        </is>
      </c>
      <c r="D55" s="91" t="n"/>
      <c r="E55" s="91" t="n"/>
      <c r="F55" s="107" t="inlineStr">
        <is>
          <t>CMC開発（臨床と並行）</t>
        </is>
      </c>
      <c r="G55" s="93" t="inlineStr">
        <is>
          <t>候補品を安定して生産し品質を保証できる細胞株・製造プロセス・製剤・分析法を確立し、治験薬を供給し、商用プロセスをバリデーションする段階</t>
        </is>
      </c>
      <c r="H55" s="93" t="inlineStr">
        <is>
          <t>プロセスバリデーション完了</t>
        </is>
      </c>
      <c r="I55" s="106" t="n"/>
      <c r="J55" s="106" t="n"/>
      <c r="K55" s="90" t="n"/>
      <c r="L55" s="106" t="n"/>
    </row>
    <row r="56" ht="26.25" customHeight="1" s="80">
      <c r="A56" s="94" t="inlineStr">
        <is>
          <t>03-01</t>
        </is>
      </c>
      <c r="B56" s="95" t="n"/>
      <c r="C56" s="95" t="n"/>
      <c r="D56" s="95" t="inlineStr">
        <is>
          <t>●</t>
        </is>
      </c>
      <c r="E56" s="95" t="n"/>
      <c r="F56" s="96" t="inlineStr">
        <is>
          <t>細胞株構築・セルバンク</t>
        </is>
      </c>
      <c r="G56" s="97" t="inlineStr">
        <is>
          <t>生産細胞株を構築し、MCB／WCBを作製して、その特性と安全性を確認する</t>
        </is>
      </c>
      <c r="H56" s="105" t="n"/>
      <c r="I56" s="105" t="n"/>
      <c r="J56" s="105" t="n"/>
      <c r="K56" s="94" t="n"/>
      <c r="L56" s="105" t="n"/>
    </row>
    <row r="57" ht="15" customHeight="1" s="80">
      <c r="A57" s="98" t="inlineStr">
        <is>
          <t>03-01-01</t>
        </is>
      </c>
      <c r="B57" s="99" t="n"/>
      <c r="C57" s="99" t="n"/>
      <c r="D57" s="99" t="n"/>
      <c r="E57" s="99" t="inlineStr">
        <is>
          <t>●</t>
        </is>
      </c>
      <c r="F57" s="100" t="inlineStr">
        <is>
          <t>発現ベクターの設計・構築</t>
        </is>
      </c>
      <c r="G57" s="104" t="n"/>
      <c r="H57" s="104" t="n"/>
      <c r="I57" s="102" t="inlineStr">
        <is>
          <t>抗体分子</t>
        </is>
      </c>
      <c r="J57" s="102" t="inlineStr">
        <is>
          <t>発現ベクター・細胞株</t>
        </is>
      </c>
      <c r="K57" s="103" t="inlineStr">
        <is>
          <t>非GxP</t>
        </is>
      </c>
      <c r="L57" s="104" t="inlineStr">
        <is>
          <t>CMC（細胞株開発）／—</t>
        </is>
      </c>
    </row>
    <row r="58" ht="15" customHeight="1" s="80">
      <c r="A58" s="98" t="inlineStr">
        <is>
          <t>03-01-02</t>
        </is>
      </c>
      <c r="B58" s="99" t="n"/>
      <c r="C58" s="99" t="n"/>
      <c r="D58" s="99" t="n"/>
      <c r="E58" s="99" t="inlineStr">
        <is>
          <t>●</t>
        </is>
      </c>
      <c r="F58" s="100" t="inlineStr">
        <is>
          <t>宿主細胞（CHO等）への導入・クローン選択</t>
        </is>
      </c>
      <c r="G58" s="104" t="n"/>
      <c r="H58" s="104" t="n"/>
      <c r="I58" s="102" t="inlineStr">
        <is>
          <t>発現ベクター・細胞株</t>
        </is>
      </c>
      <c r="J58" s="102" t="inlineStr">
        <is>
          <t>発現ベクター・細胞株</t>
        </is>
      </c>
      <c r="K58" s="103" t="inlineStr">
        <is>
          <t>非GxP</t>
        </is>
      </c>
      <c r="L58" s="104" t="inlineStr">
        <is>
          <t>CMC（細胞株開発）／CDMO</t>
        </is>
      </c>
    </row>
    <row r="59" ht="26.25" customHeight="1" s="80">
      <c r="A59" s="98" t="inlineStr">
        <is>
          <t>03-01-03</t>
        </is>
      </c>
      <c r="B59" s="99" t="n"/>
      <c r="C59" s="99" t="n"/>
      <c r="D59" s="99" t="n"/>
      <c r="E59" s="99" t="inlineStr">
        <is>
          <t>●</t>
        </is>
      </c>
      <c r="F59" s="100" t="inlineStr">
        <is>
          <t>クローン評価（生産性・品質・安定性、単一クローン由来の確認）</t>
        </is>
      </c>
      <c r="G59" s="104" t="n"/>
      <c r="H59" s="104" t="n"/>
      <c r="I59" s="102" t="inlineStr">
        <is>
          <t>発現ベクター・細胞株</t>
        </is>
      </c>
      <c r="J59" s="102" t="inlineStr">
        <is>
          <t>発現ベクター・細胞株、プロセス開発データ</t>
        </is>
      </c>
      <c r="K59" s="103" t="inlineStr">
        <is>
          <t>非GxP</t>
        </is>
      </c>
      <c r="L59" s="104" t="inlineStr">
        <is>
          <t>CMC（細胞株開発）／CDMO</t>
        </is>
      </c>
    </row>
    <row r="60" ht="26.25" customHeight="1" s="80">
      <c r="A60" s="98" t="inlineStr">
        <is>
          <t>03-01-04</t>
        </is>
      </c>
      <c r="B60" s="99" t="n"/>
      <c r="C60" s="99" t="n"/>
      <c r="D60" s="99" t="n"/>
      <c r="E60" s="99" t="inlineStr">
        <is>
          <t>●</t>
        </is>
      </c>
      <c r="F60" s="100" t="inlineStr">
        <is>
          <t>マスター／ワーキングセルバンク（MCB／WCB）の作製</t>
        </is>
      </c>
      <c r="G60" s="104" t="n"/>
      <c r="H60" s="104" t="n"/>
      <c r="I60" s="102" t="inlineStr">
        <is>
          <t>発現ベクター・細胞株</t>
        </is>
      </c>
      <c r="J60" s="102" t="inlineStr">
        <is>
          <t>セルバンク、バッチ記録</t>
        </is>
      </c>
      <c r="K60" s="98" t="inlineStr">
        <is>
          <t>GMP</t>
        </is>
      </c>
      <c r="L60" s="104" t="inlineStr">
        <is>
          <t>CMC・製造／CDMO</t>
        </is>
      </c>
    </row>
    <row r="61" ht="15" customHeight="1" s="80">
      <c r="A61" s="98" t="inlineStr">
        <is>
          <t>03-01-05</t>
        </is>
      </c>
      <c r="B61" s="99" t="n"/>
      <c r="C61" s="99" t="n"/>
      <c r="D61" s="99" t="n"/>
      <c r="E61" s="99" t="inlineStr">
        <is>
          <t>●</t>
        </is>
      </c>
      <c r="F61" s="100" t="inlineStr">
        <is>
          <t>セルバンクの特性解析・ウイルス等安全性試験</t>
        </is>
      </c>
      <c r="G61" s="104" t="n"/>
      <c r="H61" s="104" t="n"/>
      <c r="I61" s="102" t="inlineStr">
        <is>
          <t>セルバンク</t>
        </is>
      </c>
      <c r="J61" s="101" t="inlineStr">
        <is>
          <t>CMC技術報告書</t>
        </is>
      </c>
      <c r="K61" s="98" t="inlineStr">
        <is>
          <t>GMP</t>
        </is>
      </c>
      <c r="L61" s="104" t="inlineStr">
        <is>
          <t>QC／受託試験機関</t>
        </is>
      </c>
    </row>
    <row r="62" ht="26.25" customHeight="1" s="80">
      <c r="A62" s="94" t="inlineStr">
        <is>
          <t>03-02</t>
        </is>
      </c>
      <c r="B62" s="95" t="n"/>
      <c r="C62" s="95" t="n"/>
      <c r="D62" s="95" t="inlineStr">
        <is>
          <t>●</t>
        </is>
      </c>
      <c r="E62" s="95" t="n"/>
      <c r="F62" s="96" t="inlineStr">
        <is>
          <t>原薬プロセス開発</t>
        </is>
      </c>
      <c r="G62" s="97" t="inlineStr">
        <is>
          <t>培養・精製・ウイルス除去の工程を開発し、治験薬の製造スケールに拡大する</t>
        </is>
      </c>
      <c r="H62" s="105" t="n"/>
      <c r="I62" s="105" t="n"/>
      <c r="J62" s="105" t="n"/>
      <c r="K62" s="94" t="n"/>
      <c r="L62" s="105" t="n"/>
    </row>
    <row r="63" ht="26.25" customHeight="1" s="80">
      <c r="A63" s="98" t="inlineStr">
        <is>
          <t>03-02-01</t>
        </is>
      </c>
      <c r="B63" s="99" t="n"/>
      <c r="C63" s="99" t="n"/>
      <c r="D63" s="99" t="n"/>
      <c r="E63" s="99" t="inlineStr">
        <is>
          <t>●</t>
        </is>
      </c>
      <c r="F63" s="100" t="inlineStr">
        <is>
          <t>培養プロセス開発（培地・流加条件）</t>
        </is>
      </c>
      <c r="G63" s="104" t="n"/>
      <c r="H63" s="104" t="n"/>
      <c r="I63" s="102" t="inlineStr">
        <is>
          <t>発現ベクター・細胞株</t>
        </is>
      </c>
      <c r="J63" s="102" t="inlineStr">
        <is>
          <t>プロセス定義、プロセス開発データ</t>
        </is>
      </c>
      <c r="K63" s="103" t="inlineStr">
        <is>
          <t>非GxP</t>
        </is>
      </c>
      <c r="L63" s="104" t="inlineStr">
        <is>
          <t>CMC（プロセス開発）／CDMO</t>
        </is>
      </c>
    </row>
    <row r="64" ht="26.25" customHeight="1" s="80">
      <c r="A64" s="98" t="inlineStr">
        <is>
          <t>03-02-02</t>
        </is>
      </c>
      <c r="B64" s="99" t="n"/>
      <c r="C64" s="99" t="n"/>
      <c r="D64" s="99" t="n"/>
      <c r="E64" s="99" t="inlineStr">
        <is>
          <t>●</t>
        </is>
      </c>
      <c r="F64" s="100" t="inlineStr">
        <is>
          <t>ハーベスト・精製プロセス開発（プロテインA、イオン交換等）</t>
        </is>
      </c>
      <c r="G64" s="104" t="n"/>
      <c r="H64" s="104" t="n"/>
      <c r="I64" s="102" t="inlineStr">
        <is>
          <t>プロセス定義</t>
        </is>
      </c>
      <c r="J64" s="102" t="inlineStr">
        <is>
          <t>プロセス定義、プロセス開発データ</t>
        </is>
      </c>
      <c r="K64" s="103" t="inlineStr">
        <is>
          <t>非GxP</t>
        </is>
      </c>
      <c r="L64" s="104" t="inlineStr">
        <is>
          <t>CMC（プロセス開発）／CDMO</t>
        </is>
      </c>
    </row>
    <row r="65" ht="26.25" customHeight="1" s="80">
      <c r="A65" s="98" t="inlineStr">
        <is>
          <t>03-02-03</t>
        </is>
      </c>
      <c r="B65" s="99" t="n"/>
      <c r="C65" s="99" t="n"/>
      <c r="D65" s="99" t="n"/>
      <c r="E65" s="99" t="inlineStr">
        <is>
          <t>●</t>
        </is>
      </c>
      <c r="F65" s="100" t="inlineStr">
        <is>
          <t>ウイルスクリアランス評価（除去・不活化工程）</t>
        </is>
      </c>
      <c r="G65" s="104" t="n"/>
      <c r="H65" s="104" t="n"/>
      <c r="I65" s="102" t="inlineStr">
        <is>
          <t>プロセス定義</t>
        </is>
      </c>
      <c r="J65" s="101" t="inlineStr">
        <is>
          <t>CMC技術報告書</t>
        </is>
      </c>
      <c r="K65" s="103" t="inlineStr">
        <is>
          <t>非GxP</t>
        </is>
      </c>
      <c r="L65" s="104" t="inlineStr">
        <is>
          <t>CMC（プロセス開発）／受託試験機関</t>
        </is>
      </c>
    </row>
    <row r="66" ht="26.25" customHeight="1" s="80">
      <c r="A66" s="98" t="inlineStr">
        <is>
          <t>03-02-04</t>
        </is>
      </c>
      <c r="B66" s="99" t="n"/>
      <c r="C66" s="99" t="n"/>
      <c r="D66" s="99" t="n"/>
      <c r="E66" s="99" t="inlineStr">
        <is>
          <t>●</t>
        </is>
      </c>
      <c r="F66" s="100" t="inlineStr">
        <is>
          <t>治験薬スケールへのスケールアップ</t>
        </is>
      </c>
      <c r="G66" s="104" t="n"/>
      <c r="H66" s="104" t="n"/>
      <c r="I66" s="102" t="inlineStr">
        <is>
          <t>プロセス定義、セルバンク</t>
        </is>
      </c>
      <c r="J66" s="102" t="inlineStr">
        <is>
          <t>プロセス定義、マスターバッチレコード</t>
        </is>
      </c>
      <c r="K66" s="98" t="inlineStr">
        <is>
          <t>GMP</t>
        </is>
      </c>
      <c r="L66" s="104" t="inlineStr">
        <is>
          <t>CMC・製造／CDMO</t>
        </is>
      </c>
    </row>
    <row r="67" ht="26.25" customHeight="1" s="80">
      <c r="A67" s="94" t="inlineStr">
        <is>
          <t>03-03</t>
        </is>
      </c>
      <c r="B67" s="95" t="n"/>
      <c r="C67" s="95" t="n"/>
      <c r="D67" s="95" t="inlineStr">
        <is>
          <t>●</t>
        </is>
      </c>
      <c r="E67" s="95" t="n"/>
      <c r="F67" s="96" t="inlineStr">
        <is>
          <t>製剤開発</t>
        </is>
      </c>
      <c r="G67" s="97" t="inlineStr">
        <is>
          <t>処方・剤形・容器・投与デバイスを開発し、製剤の安定性を評価する</t>
        </is>
      </c>
      <c r="H67" s="105" t="n"/>
      <c r="I67" s="105" t="n"/>
      <c r="J67" s="105" t="n"/>
      <c r="K67" s="94" t="n"/>
      <c r="L67" s="105" t="n"/>
    </row>
    <row r="68" ht="15" customHeight="1" s="80">
      <c r="A68" s="98" t="inlineStr">
        <is>
          <t>03-03-01</t>
        </is>
      </c>
      <c r="B68" s="99" t="n"/>
      <c r="C68" s="99" t="n"/>
      <c r="D68" s="99" t="n"/>
      <c r="E68" s="99" t="inlineStr">
        <is>
          <t>●</t>
        </is>
      </c>
      <c r="F68" s="100" t="inlineStr">
        <is>
          <t>処方設計（緩衝液・安定化剤、高濃度化）</t>
        </is>
      </c>
      <c r="G68" s="104" t="n"/>
      <c r="H68" s="104" t="n"/>
      <c r="I68" s="102" t="inlineStr">
        <is>
          <t>研究実験データ</t>
        </is>
      </c>
      <c r="J68" s="102" t="inlineStr">
        <is>
          <t>処方・製剤仕様</t>
        </is>
      </c>
      <c r="K68" s="103" t="inlineStr">
        <is>
          <t>非GxP</t>
        </is>
      </c>
      <c r="L68" s="104" t="inlineStr">
        <is>
          <t>CMC（製剤開発）／—</t>
        </is>
      </c>
    </row>
    <row r="69" ht="26.25" customHeight="1" s="80">
      <c r="A69" s="98" t="inlineStr">
        <is>
          <t>03-03-02</t>
        </is>
      </c>
      <c r="B69" s="99" t="n"/>
      <c r="C69" s="99" t="n"/>
      <c r="D69" s="99" t="n"/>
      <c r="E69" s="99" t="inlineStr">
        <is>
          <t>●</t>
        </is>
      </c>
      <c r="F69" s="100" t="inlineStr">
        <is>
          <t>剤形・容器の選定（バイアル／プレフィルドシリンジ等）</t>
        </is>
      </c>
      <c r="G69" s="104" t="n"/>
      <c r="H69" s="104" t="n"/>
      <c r="I69" s="102" t="inlineStr">
        <is>
          <t>処方・製剤仕様</t>
        </is>
      </c>
      <c r="J69" s="102" t="inlineStr">
        <is>
          <t>処方・製剤仕様</t>
        </is>
      </c>
      <c r="K69" s="103" t="inlineStr">
        <is>
          <t>非GxP</t>
        </is>
      </c>
      <c r="L69" s="104" t="inlineStr">
        <is>
          <t>CMC（製剤開発）／容器メーカー</t>
        </is>
      </c>
    </row>
    <row r="70" ht="15" customHeight="1" s="80">
      <c r="A70" s="98" t="inlineStr">
        <is>
          <t>03-03-03</t>
        </is>
      </c>
      <c r="B70" s="99" t="n"/>
      <c r="C70" s="99" t="n"/>
      <c r="D70" s="99" t="n"/>
      <c r="E70" s="99" t="inlineStr">
        <is>
          <t>●</t>
        </is>
      </c>
      <c r="F70" s="100" t="inlineStr">
        <is>
          <t>製剤の安定性評価（加速・苛酷・長期）</t>
        </is>
      </c>
      <c r="G70" s="104" t="n"/>
      <c r="H70" s="104" t="n"/>
      <c r="I70" s="102" t="inlineStr">
        <is>
          <t>処方・製剤仕様、分析法</t>
        </is>
      </c>
      <c r="J70" s="102" t="inlineStr">
        <is>
          <t>安定性データ</t>
        </is>
      </c>
      <c r="K70" s="103" t="inlineStr">
        <is>
          <t>非GxP</t>
        </is>
      </c>
      <c r="L70" s="104" t="inlineStr">
        <is>
          <t>CMC（製剤開発）／—</t>
        </is>
      </c>
    </row>
    <row r="71" ht="26.25" customHeight="1" s="80">
      <c r="A71" s="98" t="inlineStr">
        <is>
          <t>03-03-04</t>
        </is>
      </c>
      <c r="B71" s="99" t="n"/>
      <c r="C71" s="99" t="n"/>
      <c r="D71" s="99" t="n"/>
      <c r="E71" s="99" t="inlineStr">
        <is>
          <t>●</t>
        </is>
      </c>
      <c r="F71" s="100" t="inlineStr">
        <is>
          <t>投与デバイスの開発（必要な場合）</t>
        </is>
      </c>
      <c r="G71" s="104" t="n"/>
      <c r="H71" s="104" t="n"/>
      <c r="I71" s="102" t="inlineStr">
        <is>
          <t>処方・製剤仕様</t>
        </is>
      </c>
      <c r="J71" s="102" t="inlineStr">
        <is>
          <t>処方・製剤仕様</t>
        </is>
      </c>
      <c r="K71" s="98" t="inlineStr">
        <is>
          <t>QMSR</t>
        </is>
      </c>
      <c r="L71" s="104" t="inlineStr">
        <is>
          <t>CMC（製剤開発）／デバイスメーカー</t>
        </is>
      </c>
    </row>
    <row r="72" ht="26.25" customHeight="1" s="80">
      <c r="A72" s="94" t="inlineStr">
        <is>
          <t>03-04</t>
        </is>
      </c>
      <c r="B72" s="95" t="n"/>
      <c r="C72" s="95" t="n"/>
      <c r="D72" s="95" t="inlineStr">
        <is>
          <t>●</t>
        </is>
      </c>
      <c r="E72" s="95" t="n"/>
      <c r="F72" s="96" t="inlineStr">
        <is>
          <t>分析法開発・特性解析</t>
        </is>
      </c>
      <c r="G72" s="97" t="inlineStr">
        <is>
          <t>重要品質特性（CQA）を特定し、分析法・標準物質・規格を確立する</t>
        </is>
      </c>
      <c r="H72" s="105" t="n"/>
      <c r="I72" s="105" t="n"/>
      <c r="J72" s="105" t="n"/>
      <c r="K72" s="94" t="n"/>
      <c r="L72" s="105" t="n"/>
    </row>
    <row r="73" ht="15" customHeight="1" s="80">
      <c r="A73" s="98" t="inlineStr">
        <is>
          <t>03-04-01</t>
        </is>
      </c>
      <c r="B73" s="99" t="n"/>
      <c r="C73" s="99" t="n"/>
      <c r="D73" s="99" t="n"/>
      <c r="E73" s="99" t="inlineStr">
        <is>
          <t>●</t>
        </is>
      </c>
      <c r="F73" s="100" t="inlineStr">
        <is>
          <t>重要品質特性（CQA）の特定</t>
        </is>
      </c>
      <c r="G73" s="104" t="n"/>
      <c r="H73" s="104" t="n"/>
      <c r="I73" s="102" t="inlineStr">
        <is>
          <t>抗体分子、プロセス開発データ</t>
        </is>
      </c>
      <c r="J73" s="102" t="inlineStr">
        <is>
          <t>重要品質特性（CQA）</t>
        </is>
      </c>
      <c r="K73" s="103" t="inlineStr">
        <is>
          <t>非GxP</t>
        </is>
      </c>
      <c r="L73" s="104" t="inlineStr">
        <is>
          <t>CMC（分析開発）／—</t>
        </is>
      </c>
    </row>
    <row r="74" ht="26.25" customHeight="1" s="80">
      <c r="A74" s="98" t="inlineStr">
        <is>
          <t>03-04-02</t>
        </is>
      </c>
      <c r="B74" s="99" t="n"/>
      <c r="C74" s="99" t="n"/>
      <c r="D74" s="99" t="n"/>
      <c r="E74" s="99" t="inlineStr">
        <is>
          <t>●</t>
        </is>
      </c>
      <c r="F74" s="100" t="inlineStr">
        <is>
          <t>分析法の開発（構造・純度・糖鎖・電荷・生物活性）</t>
        </is>
      </c>
      <c r="G74" s="104" t="n"/>
      <c r="H74" s="104" t="n"/>
      <c r="I74" s="102" t="inlineStr">
        <is>
          <t>重要品質特性（CQA）</t>
        </is>
      </c>
      <c r="J74" s="102" t="inlineStr">
        <is>
          <t>分析法</t>
        </is>
      </c>
      <c r="K74" s="103" t="inlineStr">
        <is>
          <t>非GxP</t>
        </is>
      </c>
      <c r="L74" s="104" t="inlineStr">
        <is>
          <t>CMC（分析開発）／—</t>
        </is>
      </c>
    </row>
    <row r="75" ht="15" customHeight="1" s="80">
      <c r="A75" s="98" t="inlineStr">
        <is>
          <t>03-04-03</t>
        </is>
      </c>
      <c r="B75" s="99" t="n"/>
      <c r="C75" s="99" t="n"/>
      <c r="D75" s="99" t="n"/>
      <c r="E75" s="99" t="inlineStr">
        <is>
          <t>●</t>
        </is>
      </c>
      <c r="F75" s="100" t="inlineStr">
        <is>
          <t>分析法バリデーション</t>
        </is>
      </c>
      <c r="G75" s="104" t="n"/>
      <c r="H75" s="104" t="n"/>
      <c r="I75" s="102" t="inlineStr">
        <is>
          <t>分析法</t>
        </is>
      </c>
      <c r="J75" s="102" t="inlineStr">
        <is>
          <t>分析法、CMC技術報告書</t>
        </is>
      </c>
      <c r="K75" s="98" t="inlineStr">
        <is>
          <t>GMP</t>
        </is>
      </c>
      <c r="L75" s="104" t="inlineStr">
        <is>
          <t>CMC（分析開発）・QC／—</t>
        </is>
      </c>
    </row>
    <row r="76" ht="15" customHeight="1" s="80">
      <c r="A76" s="98" t="inlineStr">
        <is>
          <t>03-04-04</t>
        </is>
      </c>
      <c r="B76" s="99" t="n"/>
      <c r="C76" s="99" t="n"/>
      <c r="D76" s="99" t="n"/>
      <c r="E76" s="99" t="inlineStr">
        <is>
          <t>●</t>
        </is>
      </c>
      <c r="F76" s="100" t="inlineStr">
        <is>
          <t>標準物質の確立</t>
        </is>
      </c>
      <c r="G76" s="104" t="n"/>
      <c r="H76" s="104" t="n"/>
      <c r="I76" s="102" t="inlineStr">
        <is>
          <t>ロット</t>
        </is>
      </c>
      <c r="J76" s="102" t="inlineStr">
        <is>
          <t>標準物質</t>
        </is>
      </c>
      <c r="K76" s="98" t="inlineStr">
        <is>
          <t>GMP</t>
        </is>
      </c>
      <c r="L76" s="104" t="inlineStr">
        <is>
          <t>CMC（分析開発）・QC／—</t>
        </is>
      </c>
    </row>
    <row r="77" ht="26.25" customHeight="1" s="80">
      <c r="A77" s="98" t="inlineStr">
        <is>
          <t>03-04-05</t>
        </is>
      </c>
      <c r="B77" s="99" t="n"/>
      <c r="C77" s="99" t="n"/>
      <c r="D77" s="99" t="n"/>
      <c r="E77" s="99" t="inlineStr">
        <is>
          <t>●</t>
        </is>
      </c>
      <c r="F77" s="100" t="inlineStr">
        <is>
          <t>規格の設定</t>
        </is>
      </c>
      <c r="G77" s="104" t="n"/>
      <c r="H77" s="104" t="n"/>
      <c r="I77" s="102" t="inlineStr">
        <is>
          <t>重要品質特性（CQA）、分析法、試験成績</t>
        </is>
      </c>
      <c r="J77" s="102" t="inlineStr">
        <is>
          <t>規格</t>
        </is>
      </c>
      <c r="K77" s="98" t="inlineStr">
        <is>
          <t>GMP</t>
        </is>
      </c>
      <c r="L77" s="104" t="inlineStr">
        <is>
          <t>CMC（分析開発）・QA／—</t>
        </is>
      </c>
    </row>
    <row r="78" ht="26.25" customHeight="1" s="80">
      <c r="A78" s="94" t="inlineStr">
        <is>
          <t>03-05</t>
        </is>
      </c>
      <c r="B78" s="95" t="n"/>
      <c r="C78" s="95" t="n"/>
      <c r="D78" s="95" t="inlineStr">
        <is>
          <t>●</t>
        </is>
      </c>
      <c r="E78" s="95" t="n"/>
      <c r="F78" s="96" t="inlineStr">
        <is>
          <t>治験薬GMP製造・供給</t>
        </is>
      </c>
      <c r="G78" s="97" t="inlineStr">
        <is>
          <t>治験薬をGMPで製造・試験して施設へ供給する。製法を変更したときは同等性を評価する</t>
        </is>
      </c>
      <c r="H78" s="105" t="n"/>
      <c r="I78" s="105" t="n"/>
      <c r="J78" s="105" t="n"/>
      <c r="K78" s="94" t="n"/>
      <c r="L78" s="105" t="n"/>
    </row>
    <row r="79" ht="26.25" customHeight="1" s="80">
      <c r="A79" s="98" t="inlineStr">
        <is>
          <t>03-05-01</t>
        </is>
      </c>
      <c r="B79" s="99" t="n"/>
      <c r="C79" s="99" t="n"/>
      <c r="D79" s="99" t="n"/>
      <c r="E79" s="99" t="inlineStr">
        <is>
          <t>●</t>
        </is>
      </c>
      <c r="F79" s="100" t="inlineStr">
        <is>
          <t>治験薬（原薬・製剤）の製造</t>
        </is>
      </c>
      <c r="G79" s="104" t="n"/>
      <c r="H79" s="104" t="n"/>
      <c r="I79" s="102" t="inlineStr">
        <is>
          <t>マスターバッチレコード、セルバンク、原材料・資材</t>
        </is>
      </c>
      <c r="J79" s="102" t="inlineStr">
        <is>
          <t>バッチ記録、ロット</t>
        </is>
      </c>
      <c r="K79" s="98" t="inlineStr">
        <is>
          <t>GMP</t>
        </is>
      </c>
      <c r="L79" s="104" t="inlineStr">
        <is>
          <t>CMC・製造／CDMO</t>
        </is>
      </c>
    </row>
    <row r="80" ht="15" customHeight="1" s="80">
      <c r="A80" s="98" t="inlineStr">
        <is>
          <t>03-05-02</t>
        </is>
      </c>
      <c r="B80" s="99" t="n"/>
      <c r="C80" s="99" t="n"/>
      <c r="D80" s="99" t="n"/>
      <c r="E80" s="99" t="inlineStr">
        <is>
          <t>●</t>
        </is>
      </c>
      <c r="F80" s="100" t="inlineStr">
        <is>
          <t>品質試験・出荷判定</t>
        </is>
      </c>
      <c r="G80" s="104" t="n"/>
      <c r="H80" s="104" t="n"/>
      <c r="I80" s="102" t="inlineStr">
        <is>
          <t>ロット、規格、分析法、標準物質</t>
        </is>
      </c>
      <c r="J80" s="102" t="inlineStr">
        <is>
          <t>試験成績、出荷判定記録</t>
        </is>
      </c>
      <c r="K80" s="98" t="inlineStr">
        <is>
          <t>GMP</t>
        </is>
      </c>
      <c r="L80" s="104" t="inlineStr">
        <is>
          <t>QC・QA／CDMO</t>
        </is>
      </c>
    </row>
    <row r="81" ht="15" customHeight="1" s="80">
      <c r="A81" s="98" t="inlineStr">
        <is>
          <t>03-05-03</t>
        </is>
      </c>
      <c r="B81" s="99" t="n"/>
      <c r="C81" s="99" t="n"/>
      <c r="D81" s="99" t="n"/>
      <c r="E81" s="99" t="inlineStr">
        <is>
          <t>●</t>
        </is>
      </c>
      <c r="F81" s="100" t="inlineStr">
        <is>
          <t>安定性モニタリング</t>
        </is>
      </c>
      <c r="G81" s="104" t="n"/>
      <c r="H81" s="104" t="n"/>
      <c r="I81" s="102" t="inlineStr">
        <is>
          <t>ロット</t>
        </is>
      </c>
      <c r="J81" s="102" t="inlineStr">
        <is>
          <t>安定性データ</t>
        </is>
      </c>
      <c r="K81" s="98" t="inlineStr">
        <is>
          <t>GMP</t>
        </is>
      </c>
      <c r="L81" s="104" t="inlineStr">
        <is>
          <t>QC／CDMO</t>
        </is>
      </c>
    </row>
    <row r="82" ht="26.25" customHeight="1" s="80">
      <c r="A82" s="98" t="inlineStr">
        <is>
          <t>03-05-04</t>
        </is>
      </c>
      <c r="B82" s="99" t="n"/>
      <c r="C82" s="99" t="n"/>
      <c r="D82" s="99" t="n"/>
      <c r="E82" s="99" t="inlineStr">
        <is>
          <t>●</t>
        </is>
      </c>
      <c r="F82" s="100" t="inlineStr">
        <is>
          <t>包装・表示・実施医療機関への供給</t>
        </is>
      </c>
      <c r="G82" s="104" t="n"/>
      <c r="H82" s="104" t="n"/>
      <c r="I82" s="102" t="inlineStr">
        <is>
          <t>ロット、治験実施計画書、包装表示（アートワーク）</t>
        </is>
      </c>
      <c r="J82" s="102" t="inlineStr">
        <is>
          <t>治験薬供給記録、包装表示（アートワーク）</t>
        </is>
      </c>
      <c r="K82" s="98" t="inlineStr">
        <is>
          <t>GMP・GCP</t>
        </is>
      </c>
      <c r="L82" s="104" t="inlineStr">
        <is>
          <t>CMC（臨床供給）／包装業者、実施医療機関</t>
        </is>
      </c>
    </row>
    <row r="83" ht="26.25" customHeight="1" s="80">
      <c r="A83" s="98" t="inlineStr">
        <is>
          <t>03-05-05</t>
        </is>
      </c>
      <c r="B83" s="99" t="n"/>
      <c r="C83" s="99" t="n"/>
      <c r="D83" s="99" t="n"/>
      <c r="E83" s="99" t="inlineStr">
        <is>
          <t>●</t>
        </is>
      </c>
      <c r="F83" s="100" t="inlineStr">
        <is>
          <t>製法変更時の同等性／同質性評価</t>
        </is>
      </c>
      <c r="G83" s="104" t="n"/>
      <c r="H83" s="104" t="n"/>
      <c r="I83" s="102" t="inlineStr">
        <is>
          <t>プロセス定義、試験成績、安定性データ</t>
        </is>
      </c>
      <c r="J83" s="101" t="inlineStr">
        <is>
          <t>CMC技術報告書</t>
        </is>
      </c>
      <c r="K83" s="98" t="inlineStr">
        <is>
          <t>GMP</t>
        </is>
      </c>
      <c r="L83" s="104" t="inlineStr">
        <is>
          <t>CMC（分析開発）・QA／—</t>
        </is>
      </c>
    </row>
    <row r="84" ht="26.25" customHeight="1" s="80">
      <c r="A84" s="94" t="inlineStr">
        <is>
          <t>03-06</t>
        </is>
      </c>
      <c r="B84" s="95" t="n"/>
      <c r="C84" s="95" t="n"/>
      <c r="D84" s="95" t="inlineStr">
        <is>
          <t>●</t>
        </is>
      </c>
      <c r="E84" s="95" t="n"/>
      <c r="F84" s="96" t="inlineStr">
        <is>
          <t>後期プロセス開発・スケールアップ・技術移転</t>
        </is>
      </c>
      <c r="G84" s="97" t="inlineStr">
        <is>
          <t>工程を特性解析して管理戦略を確立し、商用の製造規模を定めて製造所へ移転する</t>
        </is>
      </c>
      <c r="H84" s="105" t="n"/>
      <c r="I84" s="105" t="n"/>
      <c r="J84" s="105" t="n"/>
      <c r="K84" s="94" t="n"/>
      <c r="L84" s="105" t="n"/>
    </row>
    <row r="85" ht="26.25" customHeight="1" s="80">
      <c r="A85" s="98" t="inlineStr">
        <is>
          <t>03-06-01</t>
        </is>
      </c>
      <c r="B85" s="99" t="n"/>
      <c r="C85" s="99" t="n"/>
      <c r="D85" s="99" t="n"/>
      <c r="E85" s="99" t="inlineStr">
        <is>
          <t>●</t>
        </is>
      </c>
      <c r="F85" s="100" t="inlineStr">
        <is>
          <t>プロセス特性解析（リスク評価・実験計画法）</t>
        </is>
      </c>
      <c r="G85" s="104" t="n"/>
      <c r="H85" s="104" t="n"/>
      <c r="I85" s="102" t="inlineStr">
        <is>
          <t>プロセス定義、プロセス開発データ、重要品質特性（CQA）</t>
        </is>
      </c>
      <c r="J85" s="102" t="inlineStr">
        <is>
          <t>プロセス定義、プロセス開発データ</t>
        </is>
      </c>
      <c r="K85" s="103" t="inlineStr">
        <is>
          <t>非GxP</t>
        </is>
      </c>
      <c r="L85" s="104" t="inlineStr">
        <is>
          <t>CMC（プロセス開発）／CDMO</t>
        </is>
      </c>
    </row>
    <row r="86" ht="26.25" customHeight="1" s="80">
      <c r="A86" s="98" t="inlineStr">
        <is>
          <t>03-06-02</t>
        </is>
      </c>
      <c r="B86" s="99" t="n"/>
      <c r="C86" s="99" t="n"/>
      <c r="D86" s="99" t="n"/>
      <c r="E86" s="99" t="inlineStr">
        <is>
          <t>●</t>
        </is>
      </c>
      <c r="F86" s="100" t="inlineStr">
        <is>
          <t>管理戦略の確立</t>
        </is>
      </c>
      <c r="G86" s="104" t="n"/>
      <c r="H86" s="104" t="n"/>
      <c r="I86" s="102" t="inlineStr">
        <is>
          <t>重要品質特性（CQA）、プロセス定義、規格</t>
        </is>
      </c>
      <c r="J86" s="102" t="inlineStr">
        <is>
          <t>管理戦略</t>
        </is>
      </c>
      <c r="K86" s="98" t="inlineStr">
        <is>
          <t>GMP</t>
        </is>
      </c>
      <c r="L86" s="104" t="inlineStr">
        <is>
          <t>CMC・QA／—</t>
        </is>
      </c>
    </row>
    <row r="87" ht="26.25" customHeight="1" s="80">
      <c r="A87" s="98" t="inlineStr">
        <is>
          <t>03-06-03</t>
        </is>
      </c>
      <c r="B87" s="99" t="n"/>
      <c r="C87" s="99" t="n"/>
      <c r="D87" s="99" t="n"/>
      <c r="E87" s="99" t="inlineStr">
        <is>
          <t>●</t>
        </is>
      </c>
      <c r="F87" s="100" t="inlineStr">
        <is>
          <t>★需要に見合う製造規模の設定（小ロット、臨床と同規模のまま商用化する場合あり）</t>
        </is>
      </c>
      <c r="G87" s="104" t="n"/>
      <c r="H87" s="104" t="n"/>
      <c r="I87" s="102" t="inlineStr">
        <is>
          <t>疫学データ、プロセス定義</t>
        </is>
      </c>
      <c r="J87" s="102" t="inlineStr">
        <is>
          <t>プロセス定義</t>
        </is>
      </c>
      <c r="K87" s="103" t="inlineStr">
        <is>
          <t>非GxP</t>
        </is>
      </c>
      <c r="L87" s="104" t="inlineStr">
        <is>
          <t>CMC・SCM／CDMO</t>
        </is>
      </c>
    </row>
    <row r="88" ht="26.25" customHeight="1" s="80">
      <c r="A88" s="98" t="inlineStr">
        <is>
          <t>03-06-04</t>
        </is>
      </c>
      <c r="B88" s="99" t="n"/>
      <c r="C88" s="99" t="n"/>
      <c r="D88" s="99" t="n"/>
      <c r="E88" s="99" t="inlineStr">
        <is>
          <t>●</t>
        </is>
      </c>
      <c r="F88" s="100" t="inlineStr">
        <is>
          <t>商用製造所への技術移転</t>
        </is>
      </c>
      <c r="G88" s="104" t="n"/>
      <c r="H88" s="104" t="n"/>
      <c r="I88" s="102" t="inlineStr">
        <is>
          <t>プロセス定義、管理戦略、分析法</t>
        </is>
      </c>
      <c r="J88" s="102" t="inlineStr">
        <is>
          <t>マスターバッチレコード、CMC技術報告書</t>
        </is>
      </c>
      <c r="K88" s="98" t="inlineStr">
        <is>
          <t>GMP</t>
        </is>
      </c>
      <c r="L88" s="104" t="inlineStr">
        <is>
          <t>CMC・製造／CDMO（商用製造所）</t>
        </is>
      </c>
    </row>
    <row r="89" ht="26.25" customHeight="1" s="80">
      <c r="A89" s="94" t="inlineStr">
        <is>
          <t>03-07</t>
        </is>
      </c>
      <c r="B89" s="95" t="n"/>
      <c r="C89" s="95" t="n"/>
      <c r="D89" s="95" t="inlineStr">
        <is>
          <t>●</t>
        </is>
      </c>
      <c r="E89" s="95" t="n"/>
      <c r="F89" s="96" t="inlineStr">
        <is>
          <t>プロセスバリデーション（PPQ）</t>
        </is>
      </c>
      <c r="G89" s="97" t="inlineStr">
        <is>
          <t>設備・洗浄バリデーションとPPQにより、商用プロセスが一貫した品質で製造できることを示す</t>
        </is>
      </c>
      <c r="H89" s="105" t="n"/>
      <c r="I89" s="105" t="n"/>
      <c r="J89" s="105" t="n"/>
      <c r="K89" s="94" t="n"/>
      <c r="L89" s="105" t="n"/>
    </row>
    <row r="90" ht="24" customHeight="1" s="80">
      <c r="A90" s="98" t="inlineStr">
        <is>
          <t>03-07-01</t>
        </is>
      </c>
      <c r="B90" s="99" t="n"/>
      <c r="C90" s="99" t="n"/>
      <c r="D90" s="99" t="n"/>
      <c r="E90" s="99" t="inlineStr">
        <is>
          <t>●</t>
        </is>
      </c>
      <c r="F90" s="100" t="inlineStr">
        <is>
          <t>設備・洗浄バリデーション</t>
        </is>
      </c>
      <c r="G90" s="104" t="n"/>
      <c r="H90" s="104" t="n"/>
      <c r="I90" s="101" t="inlineStr">
        <is>
          <t>—</t>
        </is>
      </c>
      <c r="J90" s="102" t="inlineStr">
        <is>
          <t>バリデーション計画・報告</t>
        </is>
      </c>
      <c r="K90" s="98" t="inlineStr">
        <is>
          <t>GMP</t>
        </is>
      </c>
      <c r="L90" s="100" t="inlineStr">
        <is>
          <t>製造（エンジニアリング）・QA／CDMO</t>
        </is>
      </c>
    </row>
    <row r="91" ht="26.25" customHeight="1" s="80">
      <c r="A91" s="98" t="inlineStr">
        <is>
          <t>03-07-02</t>
        </is>
      </c>
      <c r="B91" s="99" t="n"/>
      <c r="C91" s="99" t="n"/>
      <c r="D91" s="99" t="n"/>
      <c r="E91" s="99" t="inlineStr">
        <is>
          <t>●</t>
        </is>
      </c>
      <c r="F91" s="100" t="inlineStr">
        <is>
          <t>プロセスバリデーション計画の策定</t>
        </is>
      </c>
      <c r="G91" s="104" t="n"/>
      <c r="H91" s="104" t="n"/>
      <c r="I91" s="102" t="inlineStr">
        <is>
          <t>管理戦略、マスターバッチレコード</t>
        </is>
      </c>
      <c r="J91" s="102" t="inlineStr">
        <is>
          <t>バリデーション計画・報告</t>
        </is>
      </c>
      <c r="K91" s="98" t="inlineStr">
        <is>
          <t>GMP</t>
        </is>
      </c>
      <c r="L91" s="100" t="inlineStr">
        <is>
          <t>製造・QA／CDMO</t>
        </is>
      </c>
    </row>
    <row r="92" ht="39" customHeight="1" s="80">
      <c r="A92" s="98" t="inlineStr">
        <is>
          <t>03-07-03</t>
        </is>
      </c>
      <c r="B92" s="99" t="n"/>
      <c r="C92" s="99" t="n"/>
      <c r="D92" s="99" t="n"/>
      <c r="E92" s="99" t="inlineStr">
        <is>
          <t>●</t>
        </is>
      </c>
      <c r="F92" s="104" t="inlineStr">
        <is>
          <t>PPQバッチの製造（複数ロット）</t>
        </is>
      </c>
      <c r="G92" s="104" t="n"/>
      <c r="H92" s="104" t="n"/>
      <c r="I92" s="102" t="inlineStr">
        <is>
          <t>バリデーション計画・報告、マスターバッチレコード、セルバンク、原材料・資材</t>
        </is>
      </c>
      <c r="J92" s="102" t="inlineStr">
        <is>
          <t>バッチ記録、ロット、工程データ、試験成績</t>
        </is>
      </c>
      <c r="K92" s="98" t="inlineStr">
        <is>
          <t>GMP</t>
        </is>
      </c>
      <c r="L92" s="100" t="inlineStr">
        <is>
          <t>製造・QC／CDMO</t>
        </is>
      </c>
    </row>
    <row r="93" ht="26.25" customHeight="1" s="80">
      <c r="A93" s="98" t="inlineStr">
        <is>
          <t>03-07-04</t>
        </is>
      </c>
      <c r="B93" s="99" t="n"/>
      <c r="C93" s="99" t="n"/>
      <c r="D93" s="99" t="n"/>
      <c r="E93" s="99" t="inlineStr">
        <is>
          <t>●</t>
        </is>
      </c>
      <c r="F93" s="100" t="inlineStr">
        <is>
          <t>工程性能の評価・報告</t>
        </is>
      </c>
      <c r="G93" s="104" t="n"/>
      <c r="H93" s="104" t="n"/>
      <c r="I93" s="102" t="inlineStr">
        <is>
          <t>バッチ記録、工程データ、試験成績</t>
        </is>
      </c>
      <c r="J93" s="102" t="inlineStr">
        <is>
          <t>バリデーション計画・報告</t>
        </is>
      </c>
      <c r="K93" s="98" t="inlineStr">
        <is>
          <t>GMP</t>
        </is>
      </c>
      <c r="L93" s="100" t="inlineStr">
        <is>
          <t>製造・QA／CDMO</t>
        </is>
      </c>
    </row>
    <row r="94" ht="26.25" customHeight="1" s="80">
      <c r="A94" s="90" t="inlineStr">
        <is>
          <t>04</t>
        </is>
      </c>
      <c r="B94" s="91" t="n"/>
      <c r="C94" s="91" t="inlineStr">
        <is>
          <t>●</t>
        </is>
      </c>
      <c r="D94" s="91" t="n"/>
      <c r="E94" s="91" t="n"/>
      <c r="F94" s="92" t="inlineStr">
        <is>
          <t>臨床開発</t>
        </is>
      </c>
      <c r="G94" s="93" t="inlineStr">
        <is>
          <t>自然歴研究で疾患を把握し、患者での臨床試験を通じて、安全性・有効性のエビデンスを確立する段階</t>
        </is>
      </c>
      <c r="H94" s="93" t="inlineStr">
        <is>
          <t>申請に足る臨床データ</t>
        </is>
      </c>
      <c r="I94" s="106" t="n"/>
      <c r="J94" s="106" t="n"/>
      <c r="K94" s="90" t="n"/>
      <c r="L94" s="106" t="n"/>
    </row>
    <row r="95" ht="26.25" customHeight="1" s="80">
      <c r="A95" s="94" t="inlineStr">
        <is>
          <t>04-01</t>
        </is>
      </c>
      <c r="B95" s="95" t="n"/>
      <c r="C95" s="95" t="n"/>
      <c r="D95" s="95" t="inlineStr">
        <is>
          <t>●</t>
        </is>
      </c>
      <c r="E95" s="95" t="n"/>
      <c r="F95" s="96" t="inlineStr">
        <is>
          <t>★自然歴研究・患者特定</t>
        </is>
      </c>
      <c r="G95" s="97" t="inlineStr">
        <is>
          <t>疾患の自然経過・患者レジストリ・評価指標を整え、候補患者を特定して、臨床試験の基盤をつくる</t>
        </is>
      </c>
      <c r="H95" s="105" t="n"/>
      <c r="I95" s="105" t="n"/>
      <c r="J95" s="105" t="n"/>
      <c r="K95" s="94" t="n"/>
      <c r="L95" s="105" t="n"/>
    </row>
    <row r="96" ht="26.25" customHeight="1" s="80">
      <c r="A96" s="98" t="inlineStr">
        <is>
          <t>04-01-01</t>
        </is>
      </c>
      <c r="B96" s="99" t="n"/>
      <c r="C96" s="99" t="n"/>
      <c r="D96" s="99" t="n"/>
      <c r="E96" s="99" t="inlineStr">
        <is>
          <t>●</t>
        </is>
      </c>
      <c r="F96" s="100" t="inlineStr">
        <is>
          <t>★自然歴研究の実施（外部対照・評価項目設定の基礎）</t>
        </is>
      </c>
      <c r="G96" s="104" t="n"/>
      <c r="H96" s="104" t="n"/>
      <c r="I96" s="102" t="inlineStr">
        <is>
          <t>疾患知見、患者レジストリデータ、患者・被験者</t>
        </is>
      </c>
      <c r="J96" s="102" t="inlineStr">
        <is>
          <t>自然歴データ、臨床試験</t>
        </is>
      </c>
      <c r="K96" s="103" t="inlineStr">
        <is>
          <t>非GxP</t>
        </is>
      </c>
      <c r="L96" s="100" t="inlineStr">
        <is>
          <t>メディカル（疫学）／専門医、アカデミア、患者団体</t>
        </is>
      </c>
    </row>
    <row r="97" ht="26.25" customHeight="1" s="80">
      <c r="A97" s="98" t="inlineStr">
        <is>
          <t>04-01-02</t>
        </is>
      </c>
      <c r="B97" s="99" t="n"/>
      <c r="C97" s="99" t="n"/>
      <c r="D97" s="99" t="n"/>
      <c r="E97" s="99" t="inlineStr">
        <is>
          <t>●</t>
        </is>
      </c>
      <c r="F97" s="100" t="inlineStr">
        <is>
          <t>★患者レジストリの構築（患者団体と連携）</t>
        </is>
      </c>
      <c r="G97" s="104" t="n"/>
      <c r="H97" s="104" t="n"/>
      <c r="I97" s="102" t="inlineStr">
        <is>
          <t>疾患知見</t>
        </is>
      </c>
      <c r="J97" s="102" t="inlineStr">
        <is>
          <t>患者レジストリデータ、患者・被験者</t>
        </is>
      </c>
      <c r="K97" s="103" t="inlineStr">
        <is>
          <t>非GxP</t>
        </is>
      </c>
      <c r="L97" s="100" t="inlineStr">
        <is>
          <t>メディカル／患者団体、レジストリ運営者</t>
        </is>
      </c>
    </row>
    <row r="98" ht="26.25" customHeight="1" s="80">
      <c r="A98" s="98" t="inlineStr">
        <is>
          <t>04-01-03</t>
        </is>
      </c>
      <c r="B98" s="99" t="n"/>
      <c r="C98" s="99" t="n"/>
      <c r="D98" s="99" t="n"/>
      <c r="E98" s="99" t="inlineStr">
        <is>
          <t>●</t>
        </is>
      </c>
      <c r="F98" s="100" t="inlineStr">
        <is>
          <t>★診断・患者特定の支援（遺伝子検査プログラム等）</t>
        </is>
      </c>
      <c r="G98" s="104" t="n"/>
      <c r="H98" s="104" t="n"/>
      <c r="I98" s="102" t="inlineStr">
        <is>
          <t>患者レジストリデータ、遺伝子・オミクスデータ</t>
        </is>
      </c>
      <c r="J98" s="102" t="inlineStr">
        <is>
          <t>候補患者情報、患者・被験者</t>
        </is>
      </c>
      <c r="K98" s="103" t="inlineStr">
        <is>
          <t>非GxP</t>
        </is>
      </c>
      <c r="L98" s="100" t="inlineStr">
        <is>
          <t>メディカル／遺伝子検査機関、専門医</t>
        </is>
      </c>
    </row>
    <row r="99" ht="26.25" customHeight="1" s="80">
      <c r="A99" s="98" t="inlineStr">
        <is>
          <t>04-01-04</t>
        </is>
      </c>
      <c r="B99" s="99" t="n"/>
      <c r="C99" s="99" t="n"/>
      <c r="D99" s="99" t="n"/>
      <c r="E99" s="99" t="inlineStr">
        <is>
          <t>●</t>
        </is>
      </c>
      <c r="F99" s="100" t="inlineStr">
        <is>
          <t>★臨床評価指標（COA）・バイオマーカーの開発・検証</t>
        </is>
      </c>
      <c r="G99" s="104" t="n"/>
      <c r="H99" s="104" t="n"/>
      <c r="I99" s="102" t="inlineStr">
        <is>
          <t>自然歴データ、疾患知見</t>
        </is>
      </c>
      <c r="J99" s="102" t="inlineStr">
        <is>
          <t>臨床評価指標・バイオマーカー定義</t>
        </is>
      </c>
      <c r="K99" s="103" t="inlineStr">
        <is>
          <t>非GxP</t>
        </is>
      </c>
      <c r="L99" s="100" t="inlineStr">
        <is>
          <t>臨床開発・研究（トランスレーショナル）／患者団体、FDA</t>
        </is>
      </c>
    </row>
    <row r="100" ht="26.25" customHeight="1" s="80">
      <c r="A100" s="94" t="inlineStr">
        <is>
          <t>04-02</t>
        </is>
      </c>
      <c r="B100" s="95" t="n"/>
      <c r="C100" s="95" t="n"/>
      <c r="D100" s="95" t="inlineStr">
        <is>
          <t>●</t>
        </is>
      </c>
      <c r="E100" s="95" t="n"/>
      <c r="F100" s="96" t="inlineStr">
        <is>
          <t>★第I/II相（患者での安全性・PK・PoC）</t>
        </is>
      </c>
      <c r="G100" s="97" t="inlineStr">
        <is>
          <t>患者を対象に安全性・PK・PoCを確認し、ピボタル試験のデザインについてFDAと合意する</t>
        </is>
      </c>
      <c r="H100" s="105" t="n"/>
      <c r="I100" s="105" t="n"/>
      <c r="J100" s="105" t="n"/>
      <c r="K100" s="94" t="n"/>
      <c r="L100" s="105" t="n"/>
    </row>
    <row r="101" ht="39" customHeight="1" s="80">
      <c r="A101" s="98" t="inlineStr">
        <is>
          <t>04-02-01</t>
        </is>
      </c>
      <c r="B101" s="99" t="n"/>
      <c r="C101" s="99" t="n"/>
      <c r="D101" s="99" t="n"/>
      <c r="E101" s="99" t="inlineStr">
        <is>
          <t>●</t>
        </is>
      </c>
      <c r="F101" s="100" t="inlineStr">
        <is>
          <t>★治験実施計画書の作成（患者対象の用量漸増＋拡大コホート）</t>
        </is>
      </c>
      <c r="G101" s="104" t="n"/>
      <c r="H101" s="104" t="n"/>
      <c r="I101" s="102" t="inlineStr">
        <is>
          <t>治験薬概要書（IB）、PK/PDモデル・解析結果、臨床評価指標・バイオマーカー定義、適応症</t>
        </is>
      </c>
      <c r="J101" s="102" t="inlineStr">
        <is>
          <t>治験実施計画書、臨床試験</t>
        </is>
      </c>
      <c r="K101" s="98" t="inlineStr">
        <is>
          <t>GCP</t>
        </is>
      </c>
      <c r="L101" s="100" t="inlineStr">
        <is>
          <t>臨床開発・統計／—</t>
        </is>
      </c>
    </row>
    <row r="102" ht="26.25" customHeight="1" s="80">
      <c r="A102" s="98" t="inlineStr">
        <is>
          <t>04-02-02</t>
        </is>
      </c>
      <c r="B102" s="99" t="n"/>
      <c r="C102" s="99" t="n"/>
      <c r="D102" s="99" t="n"/>
      <c r="E102" s="99" t="inlineStr">
        <is>
          <t>●</t>
        </is>
      </c>
      <c r="F102" s="100" t="inlineStr">
        <is>
          <t>★少数の専門施設・国際共同での立ち上げ・IRB審査</t>
        </is>
      </c>
      <c r="G102" s="104" t="n"/>
      <c r="H102" s="104" t="n"/>
      <c r="I102" s="102" t="inlineStr">
        <is>
          <t>治験実施計画書、取引先・施設マスタ、候補患者情報、臨床試験</t>
        </is>
      </c>
      <c r="J102" s="102" t="inlineStr">
        <is>
          <t>試験実施体制、契約</t>
        </is>
      </c>
      <c r="K102" s="98" t="inlineStr">
        <is>
          <t>GCP</t>
        </is>
      </c>
      <c r="L102" s="100" t="inlineStr">
        <is>
          <t>臨床運営／CRO、実施医療機関、IRB</t>
        </is>
      </c>
    </row>
    <row r="103" ht="15" customHeight="1" s="80">
      <c r="A103" s="98" t="inlineStr">
        <is>
          <t>04-02-03</t>
        </is>
      </c>
      <c r="B103" s="99" t="n"/>
      <c r="C103" s="99" t="n"/>
      <c r="D103" s="99" t="n"/>
      <c r="E103" s="99" t="inlineStr">
        <is>
          <t>●</t>
        </is>
      </c>
      <c r="F103" s="104" t="inlineStr">
        <is>
          <t>ClinicalTrials.govへの登録</t>
        </is>
      </c>
      <c r="G103" s="104" t="n"/>
      <c r="H103" s="104" t="n"/>
      <c r="I103" s="102" t="inlineStr">
        <is>
          <t>治験実施計画書、臨床試験</t>
        </is>
      </c>
      <c r="J103" s="102" t="inlineStr">
        <is>
          <t>試験登録情報</t>
        </is>
      </c>
      <c r="K103" s="103" t="inlineStr">
        <is>
          <t>薬事</t>
        </is>
      </c>
      <c r="L103" s="100" t="inlineStr">
        <is>
          <t>臨床運営／ClinicalTrials.gov（NIH）</t>
        </is>
      </c>
    </row>
    <row r="104" ht="26.25" customHeight="1" s="80">
      <c r="A104" s="98" t="inlineStr">
        <is>
          <t>04-02-04</t>
        </is>
      </c>
      <c r="B104" s="99" t="n"/>
      <c r="C104" s="99" t="n"/>
      <c r="D104" s="99" t="n"/>
      <c r="E104" s="99" t="inlineStr">
        <is>
          <t>●</t>
        </is>
      </c>
      <c r="F104" s="100" t="inlineStr">
        <is>
          <t>初回投与・用量漸増（安全性評価委員会による判断）</t>
        </is>
      </c>
      <c r="G104" s="104" t="n"/>
      <c r="H104" s="104" t="n"/>
      <c r="I104" s="102" t="inlineStr">
        <is>
          <t>治験実施計画書、治験薬供給記録、患者・被験者</t>
        </is>
      </c>
      <c r="J104" s="102" t="inlineStr">
        <is>
          <t>症例データ、有害事象症例</t>
        </is>
      </c>
      <c r="K104" s="98" t="inlineStr">
        <is>
          <t>GCP</t>
        </is>
      </c>
      <c r="L104" s="100" t="inlineStr">
        <is>
          <t>臨床運営・医学／実施医療機関、CRO、安全性評価委員会</t>
        </is>
      </c>
    </row>
    <row r="105" ht="26.25" customHeight="1" s="80">
      <c r="A105" s="98" t="inlineStr">
        <is>
          <t>04-02-05</t>
        </is>
      </c>
      <c r="B105" s="99" t="n"/>
      <c r="C105" s="99" t="n"/>
      <c r="D105" s="99" t="n"/>
      <c r="E105" s="99" t="inlineStr">
        <is>
          <t>●</t>
        </is>
      </c>
      <c r="F105" s="104" t="inlineStr">
        <is>
          <t>★PK・ADA・バイオマーカーの評価</t>
        </is>
      </c>
      <c r="G105" s="104" t="n"/>
      <c r="H105" s="104" t="n"/>
      <c r="I105" s="102" t="inlineStr">
        <is>
          <t>症例データ、生体試料分析法</t>
        </is>
      </c>
      <c r="J105" s="102" t="inlineStr">
        <is>
          <t>臨床検体分析データ</t>
        </is>
      </c>
      <c r="K105" s="98" t="inlineStr">
        <is>
          <t>GCP</t>
        </is>
      </c>
      <c r="L105" s="100" t="inlineStr">
        <is>
          <t>臨床薬理・バイオアナリシス／中央検査機関</t>
        </is>
      </c>
    </row>
    <row r="106" ht="26.25" customHeight="1" s="80">
      <c r="A106" s="98" t="inlineStr">
        <is>
          <t>04-02-06</t>
        </is>
      </c>
      <c r="B106" s="99" t="n"/>
      <c r="C106" s="99" t="n"/>
      <c r="D106" s="99" t="n"/>
      <c r="E106" s="99" t="inlineStr">
        <is>
          <t>●</t>
        </is>
      </c>
      <c r="F106" s="100" t="inlineStr">
        <is>
          <t>迅速化制度の指定申請（Fast Track／Breakthrough Therapy、該当する場合）</t>
        </is>
      </c>
      <c r="G106" s="104" t="n"/>
      <c r="H106" s="104" t="n"/>
      <c r="I106" s="102" t="inlineStr">
        <is>
          <t>症例データ、臨床検体分析データ</t>
        </is>
      </c>
      <c r="J106" s="102" t="inlineStr">
        <is>
          <t>指定・インセンティブ</t>
        </is>
      </c>
      <c r="K106" s="103" t="inlineStr">
        <is>
          <t>薬事</t>
        </is>
      </c>
      <c r="L106" s="100" t="inlineStr">
        <is>
          <t>薬事／FDA</t>
        </is>
      </c>
    </row>
    <row r="107" ht="39" customHeight="1" s="80">
      <c r="A107" s="98" t="inlineStr">
        <is>
          <t>04-02-07</t>
        </is>
      </c>
      <c r="B107" s="99" t="n"/>
      <c r="C107" s="99" t="n"/>
      <c r="D107" s="99" t="n"/>
      <c r="E107" s="99" t="inlineStr">
        <is>
          <t>●</t>
        </is>
      </c>
      <c r="F107" s="104" t="inlineStr">
        <is>
          <t>★End-of-Phase 2ミーティング（ピボタル試験デザイン・エビデンス要件の合意）</t>
        </is>
      </c>
      <c r="G107" s="104" t="n"/>
      <c r="H107" s="104" t="n"/>
      <c r="I107" s="102" t="inlineStr">
        <is>
          <t>症例データ、臨床検体分析データ、自然歴データ、臨床評価指標・バイオマーカー定義</t>
        </is>
      </c>
      <c r="J107" s="102" t="inlineStr">
        <is>
          <t>当局コミュニケーション記録、開発判定記録</t>
        </is>
      </c>
      <c r="K107" s="103" t="inlineStr">
        <is>
          <t>薬事</t>
        </is>
      </c>
      <c r="L107" s="100" t="inlineStr">
        <is>
          <t>臨床開発・統計・薬事／FDA</t>
        </is>
      </c>
    </row>
    <row r="108" ht="26.25" customHeight="1" s="80">
      <c r="A108" s="94" t="inlineStr">
        <is>
          <t>04-03</t>
        </is>
      </c>
      <c r="B108" s="95" t="n"/>
      <c r="C108" s="95" t="n"/>
      <c r="D108" s="95" t="inlineStr">
        <is>
          <t>●</t>
        </is>
      </c>
      <c r="E108" s="95" t="n"/>
      <c r="F108" s="96" t="inlineStr">
        <is>
          <t>★ピボタル試験（検証的試験）</t>
        </is>
      </c>
      <c r="G108" s="97" t="inlineStr">
        <is>
          <t>承認の根拠となる検証的試験を実施し、データを固定して総括報告にまとめる</t>
        </is>
      </c>
      <c r="H108" s="105" t="n"/>
      <c r="I108" s="105" t="n"/>
      <c r="J108" s="105" t="n"/>
      <c r="K108" s="94" t="n"/>
      <c r="L108" s="105" t="n"/>
    </row>
    <row r="109" ht="39" customHeight="1" s="80">
      <c r="A109" s="98" t="inlineStr">
        <is>
          <t>04-03-01</t>
        </is>
      </c>
      <c r="B109" s="99" t="n"/>
      <c r="C109" s="99" t="n"/>
      <c r="D109" s="99" t="n"/>
      <c r="E109" s="99" t="inlineStr">
        <is>
          <t>●</t>
        </is>
      </c>
      <c r="F109" s="100" t="inlineStr">
        <is>
          <t>★試験計画（単一の適切な比較試験＋確認的エビデンス、外部対照の活用、該当すればRDEP手続き）</t>
        </is>
      </c>
      <c r="G109" s="104" t="n"/>
      <c r="H109" s="104" t="n"/>
      <c r="I109" s="102" t="inlineStr">
        <is>
          <t>当局コミュニケーション記録、自然歴データ、臨床評価指標・バイオマーカー定義、適応症</t>
        </is>
      </c>
      <c r="J109" s="102" t="inlineStr">
        <is>
          <t>治験実施計画書、臨床試験</t>
        </is>
      </c>
      <c r="K109" s="98" t="inlineStr">
        <is>
          <t>GCP</t>
        </is>
      </c>
      <c r="L109" s="100" t="inlineStr">
        <is>
          <t>臨床開発・統計／FDA</t>
        </is>
      </c>
    </row>
    <row r="110" ht="26.25" customHeight="1" s="80">
      <c r="A110" s="98" t="inlineStr">
        <is>
          <t>04-03-02</t>
        </is>
      </c>
      <c r="B110" s="99" t="n"/>
      <c r="C110" s="99" t="n"/>
      <c r="D110" s="99" t="n"/>
      <c r="E110" s="99" t="inlineStr">
        <is>
          <t>●</t>
        </is>
      </c>
      <c r="F110" s="100" t="inlineStr">
        <is>
          <t>多国籍・多施設の立ち上げ・ClinicalTrials.govへの登録</t>
        </is>
      </c>
      <c r="G110" s="104" t="n"/>
      <c r="H110" s="104" t="n"/>
      <c r="I110" s="102" t="inlineStr">
        <is>
          <t>治験実施計画書、取引先・施設マスタ、臨床試験</t>
        </is>
      </c>
      <c r="J110" s="102" t="inlineStr">
        <is>
          <t>試験実施体制、試験登録情報、契約</t>
        </is>
      </c>
      <c r="K110" s="98" t="inlineStr">
        <is>
          <t>GCP</t>
        </is>
      </c>
      <c r="L110" s="100" t="inlineStr">
        <is>
          <t>臨床運営／CRO、実施医療機関、IRB</t>
        </is>
      </c>
    </row>
    <row r="111" ht="26.25" customHeight="1" s="80">
      <c r="A111" s="98" t="inlineStr">
        <is>
          <t>04-03-03</t>
        </is>
      </c>
      <c r="B111" s="99" t="n"/>
      <c r="C111" s="99" t="n"/>
      <c r="D111" s="99" t="n"/>
      <c r="E111" s="99" t="inlineStr">
        <is>
          <t>●</t>
        </is>
      </c>
      <c r="F111" s="100" t="inlineStr">
        <is>
          <t>★被験者登録・投与・モニタリング（患者・家族の負担軽減、分散型の要素）</t>
        </is>
      </c>
      <c r="G111" s="104" t="n"/>
      <c r="H111" s="104" t="n"/>
      <c r="I111" s="102" t="inlineStr">
        <is>
          <t>治験実施計画書、試験実施体制、治験薬供給記録、臨床試験</t>
        </is>
      </c>
      <c r="J111" s="102" t="inlineStr">
        <is>
          <t>症例データ、臨床検体分析データ、有害事象症例、患者・被験者</t>
        </is>
      </c>
      <c r="K111" s="98" t="inlineStr">
        <is>
          <t>GCP</t>
        </is>
      </c>
      <c r="L111" s="100" t="inlineStr">
        <is>
          <t>臨床運営／CRO、実施医療機関、在宅訪問サービス</t>
        </is>
      </c>
    </row>
    <row r="112" ht="15" customHeight="1" s="80">
      <c r="A112" s="98" t="inlineStr">
        <is>
          <t>04-03-04</t>
        </is>
      </c>
      <c r="B112" s="99" t="n"/>
      <c r="C112" s="99" t="n"/>
      <c r="D112" s="99" t="n"/>
      <c r="E112" s="99" t="inlineStr">
        <is>
          <t>●</t>
        </is>
      </c>
      <c r="F112" s="100" t="inlineStr">
        <is>
          <t>データマネジメント・データベース固定</t>
        </is>
      </c>
      <c r="G112" s="104" t="n"/>
      <c r="H112" s="104" t="n"/>
      <c r="I112" s="102" t="inlineStr">
        <is>
          <t>症例データ、臨床検体分析データ、臨床試験</t>
        </is>
      </c>
      <c r="J112" s="102" t="inlineStr">
        <is>
          <t>臨床データセット</t>
        </is>
      </c>
      <c r="K112" s="98" t="inlineStr">
        <is>
          <t>GCP</t>
        </is>
      </c>
      <c r="L112" s="100" t="inlineStr">
        <is>
          <t>データマネジメント／CRO</t>
        </is>
      </c>
    </row>
    <row r="113" ht="26.25" customHeight="1" s="80">
      <c r="A113" s="98" t="inlineStr">
        <is>
          <t>04-03-05</t>
        </is>
      </c>
      <c r="B113" s="99" t="n"/>
      <c r="C113" s="99" t="n"/>
      <c r="D113" s="99" t="n"/>
      <c r="E113" s="99" t="inlineStr">
        <is>
          <t>●</t>
        </is>
      </c>
      <c r="F113" s="100" t="inlineStr">
        <is>
          <t>統計解析・総括報告</t>
        </is>
      </c>
      <c r="G113" s="104" t="n"/>
      <c r="H113" s="104" t="n"/>
      <c r="I113" s="102" t="inlineStr">
        <is>
          <t>臨床データセット</t>
        </is>
      </c>
      <c r="J113" s="102" t="inlineStr">
        <is>
          <t>統計解析結果、総括報告書（CSR）</t>
        </is>
      </c>
      <c r="K113" s="98" t="inlineStr">
        <is>
          <t>GCP</t>
        </is>
      </c>
      <c r="L113" s="100" t="inlineStr">
        <is>
          <t>統計・メディカルライティング／CRO</t>
        </is>
      </c>
    </row>
    <row r="114" ht="26.25" customHeight="1" s="80">
      <c r="A114" s="94" t="inlineStr">
        <is>
          <t>04-04</t>
        </is>
      </c>
      <c r="B114" s="95" t="n"/>
      <c r="C114" s="95" t="n"/>
      <c r="D114" s="95" t="inlineStr">
        <is>
          <t>●</t>
        </is>
      </c>
      <c r="E114" s="95" t="n"/>
      <c r="F114" s="96" t="inlineStr">
        <is>
          <t>臨床データの統合・評価</t>
        </is>
      </c>
      <c r="G114" s="97" t="inlineStr">
        <is>
          <t>試験横断で安全性・有効性・PK・免疫原性を統合解析し、長期データを加えてベネフィット・リスクを評価する</t>
        </is>
      </c>
      <c r="H114" s="105" t="n"/>
      <c r="I114" s="105" t="n"/>
      <c r="J114" s="105" t="n"/>
      <c r="K114" s="94" t="n"/>
      <c r="L114" s="105" t="n"/>
    </row>
    <row r="115" ht="15" customHeight="1" s="80">
      <c r="A115" s="98" t="inlineStr">
        <is>
          <t>04-04-01</t>
        </is>
      </c>
      <c r="B115" s="99" t="n"/>
      <c r="C115" s="99" t="n"/>
      <c r="D115" s="99" t="n"/>
      <c r="E115" s="99" t="inlineStr">
        <is>
          <t>●</t>
        </is>
      </c>
      <c r="F115" s="100" t="inlineStr">
        <is>
          <t>統合安全性解析</t>
        </is>
      </c>
      <c r="G115" s="104" t="n"/>
      <c r="H115" s="104" t="n"/>
      <c r="I115" s="102" t="inlineStr">
        <is>
          <t>臨床データセット、有害事象症例</t>
        </is>
      </c>
      <c r="J115" s="102" t="inlineStr">
        <is>
          <t>統合解析</t>
        </is>
      </c>
      <c r="K115" s="98" t="inlineStr">
        <is>
          <t>GCP</t>
        </is>
      </c>
      <c r="L115" s="100" t="inlineStr">
        <is>
          <t>統計・安全性／—</t>
        </is>
      </c>
    </row>
    <row r="116" ht="26.25" customHeight="1" s="80">
      <c r="A116" s="98" t="inlineStr">
        <is>
          <t>04-04-02</t>
        </is>
      </c>
      <c r="B116" s="99" t="n"/>
      <c r="C116" s="99" t="n"/>
      <c r="D116" s="99" t="n"/>
      <c r="E116" s="99" t="inlineStr">
        <is>
          <t>●</t>
        </is>
      </c>
      <c r="F116" s="100" t="inlineStr">
        <is>
          <t>★統合有効性解析（自然歴データとの比較を含む）</t>
        </is>
      </c>
      <c r="G116" s="104" t="n"/>
      <c r="H116" s="104" t="n"/>
      <c r="I116" s="102" t="inlineStr">
        <is>
          <t>臨床データセット、自然歴データ</t>
        </is>
      </c>
      <c r="J116" s="102" t="inlineStr">
        <is>
          <t>統合解析</t>
        </is>
      </c>
      <c r="K116" s="98" t="inlineStr">
        <is>
          <t>GCP</t>
        </is>
      </c>
      <c r="L116" s="100" t="inlineStr">
        <is>
          <t>統計／—</t>
        </is>
      </c>
    </row>
    <row r="117" ht="26.25" customHeight="1" s="80">
      <c r="A117" s="98" t="inlineStr">
        <is>
          <t>04-04-03</t>
        </is>
      </c>
      <c r="B117" s="99" t="n"/>
      <c r="C117" s="99" t="n"/>
      <c r="D117" s="99" t="n"/>
      <c r="E117" s="99" t="inlineStr">
        <is>
          <t>●</t>
        </is>
      </c>
      <c r="F117" s="100" t="inlineStr">
        <is>
          <t>母集団PK・曝露反応解析</t>
        </is>
      </c>
      <c r="G117" s="104" t="n"/>
      <c r="H117" s="104" t="n"/>
      <c r="I117" s="102" t="inlineStr">
        <is>
          <t>臨床検体分析データ、臨床データセット、PK/PDモデル・解析結果</t>
        </is>
      </c>
      <c r="J117" s="101" t="inlineStr">
        <is>
          <t>PK/PDモデル・解析結果、統合解析</t>
        </is>
      </c>
      <c r="K117" s="98" t="inlineStr">
        <is>
          <t>GCP</t>
        </is>
      </c>
      <c r="L117" s="100" t="inlineStr">
        <is>
          <t>臨床薬理（ファーマコメトリクス）／—</t>
        </is>
      </c>
    </row>
    <row r="118" ht="26.25" customHeight="1" s="80">
      <c r="A118" s="98" t="inlineStr">
        <is>
          <t>04-04-04</t>
        </is>
      </c>
      <c r="B118" s="99" t="n"/>
      <c r="C118" s="99" t="n"/>
      <c r="D118" s="99" t="n"/>
      <c r="E118" s="99" t="inlineStr">
        <is>
          <t>●</t>
        </is>
      </c>
      <c r="F118" s="100" t="inlineStr">
        <is>
          <t>免疫原性の統合評価</t>
        </is>
      </c>
      <c r="G118" s="104" t="n"/>
      <c r="H118" s="104" t="n"/>
      <c r="I118" s="102" t="inlineStr">
        <is>
          <t>臨床検体分析データ、臨床データセット</t>
        </is>
      </c>
      <c r="J118" s="102" t="inlineStr">
        <is>
          <t>統合解析</t>
        </is>
      </c>
      <c r="K118" s="98" t="inlineStr">
        <is>
          <t>GCP</t>
        </is>
      </c>
      <c r="L118" s="100" t="inlineStr">
        <is>
          <t>臨床薬理・統計／—</t>
        </is>
      </c>
    </row>
    <row r="119" ht="15" customHeight="1" s="80">
      <c r="A119" s="98" t="inlineStr">
        <is>
          <t>04-04-05</t>
        </is>
      </c>
      <c r="B119" s="99" t="n"/>
      <c r="C119" s="99" t="n"/>
      <c r="D119" s="99" t="n"/>
      <c r="E119" s="99" t="inlineStr">
        <is>
          <t>●</t>
        </is>
      </c>
      <c r="F119" s="100" t="inlineStr">
        <is>
          <t>★長期継続投与試験（非盲検延長）</t>
        </is>
      </c>
      <c r="G119" s="104" t="n"/>
      <c r="H119" s="104" t="n"/>
      <c r="I119" s="102" t="inlineStr">
        <is>
          <t>治験実施計画書、治験薬供給記録、患者・被験者</t>
        </is>
      </c>
      <c r="J119" s="102" t="inlineStr">
        <is>
          <t>症例データ、有害事象症例</t>
        </is>
      </c>
      <c r="K119" s="98" t="inlineStr">
        <is>
          <t>GCP</t>
        </is>
      </c>
      <c r="L119" s="100" t="inlineStr">
        <is>
          <t>臨床運営／実施医療機関、CRO</t>
        </is>
      </c>
    </row>
    <row r="120" ht="15" customHeight="1" s="80">
      <c r="A120" s="98" t="inlineStr">
        <is>
          <t>04-04-06</t>
        </is>
      </c>
      <c r="B120" s="99" t="n"/>
      <c r="C120" s="99" t="n"/>
      <c r="D120" s="99" t="n"/>
      <c r="E120" s="99" t="inlineStr">
        <is>
          <t>●</t>
        </is>
      </c>
      <c r="F120" s="100" t="inlineStr">
        <is>
          <t>ベネフィット・リスク評価</t>
        </is>
      </c>
      <c r="G120" s="104" t="n"/>
      <c r="H120" s="104" t="n"/>
      <c r="I120" s="102" t="inlineStr">
        <is>
          <t>総括報告書（CSR）、統合解析</t>
        </is>
      </c>
      <c r="J120" s="102" t="inlineStr">
        <is>
          <t>ベネフィット・リスク評価</t>
        </is>
      </c>
      <c r="K120" s="103" t="inlineStr">
        <is>
          <t>薬事</t>
        </is>
      </c>
      <c r="L120" s="100" t="inlineStr">
        <is>
          <t>医学・統計・安全性・薬事／—</t>
        </is>
      </c>
    </row>
    <row r="121" ht="26.25" customHeight="1" s="80">
      <c r="A121" s="90" t="inlineStr">
        <is>
          <t>05</t>
        </is>
      </c>
      <c r="B121" s="91" t="n"/>
      <c r="C121" s="91" t="inlineStr">
        <is>
          <t>●</t>
        </is>
      </c>
      <c r="D121" s="91" t="n"/>
      <c r="E121" s="91" t="n"/>
      <c r="F121" s="107" t="inlineStr">
        <is>
          <t>BLA申請・審査</t>
        </is>
      </c>
      <c r="G121" s="93" t="inlineStr">
        <is>
          <t>開発で得たエビデンスをBLAにまとめてFDAに提出し、審査・査察に対応して承認を得る段階</t>
        </is>
      </c>
      <c r="H121" s="106" t="inlineStr">
        <is>
          <t>BLA承認（米国での販売許可）</t>
        </is>
      </c>
      <c r="I121" s="106" t="n"/>
      <c r="J121" s="106" t="n"/>
      <c r="K121" s="90" t="n"/>
      <c r="L121" s="106" t="n"/>
    </row>
    <row r="122" ht="26.25" customHeight="1" s="80">
      <c r="A122" s="94" t="inlineStr">
        <is>
          <t>05-01</t>
        </is>
      </c>
      <c r="B122" s="95" t="n"/>
      <c r="C122" s="95" t="n"/>
      <c r="D122" s="95" t="inlineStr">
        <is>
          <t>●</t>
        </is>
      </c>
      <c r="E122" s="95" t="n"/>
      <c r="F122" s="96" t="inlineStr">
        <is>
          <t>申請資料（CTD）の作成</t>
        </is>
      </c>
      <c r="G122" s="105" t="inlineStr">
        <is>
          <t>Pre-BLAミーティングを経て申請資料（Module 1〜5）を作成し、eCTDでBLAを提出する</t>
        </is>
      </c>
      <c r="H122" s="105" t="n"/>
      <c r="I122" s="105" t="n"/>
      <c r="J122" s="105" t="n"/>
      <c r="K122" s="94" t="n"/>
      <c r="L122" s="105" t="n"/>
    </row>
    <row r="123" ht="26.25" customHeight="1" s="80">
      <c r="A123" s="98" t="inlineStr">
        <is>
          <t>05-01-01</t>
        </is>
      </c>
      <c r="B123" s="99" t="n"/>
      <c r="C123" s="99" t="n"/>
      <c r="D123" s="99" t="n"/>
      <c r="E123" s="99" t="inlineStr">
        <is>
          <t>●</t>
        </is>
      </c>
      <c r="F123" s="104" t="inlineStr">
        <is>
          <t>Pre-BLAミーティング（FDA）</t>
        </is>
      </c>
      <c r="G123" s="104" t="n"/>
      <c r="H123" s="104" t="n"/>
      <c r="I123" s="102" t="inlineStr">
        <is>
          <t>総括報告書（CSR）、統合解析、CMC技術報告書</t>
        </is>
      </c>
      <c r="J123" s="102" t="inlineStr">
        <is>
          <t>当局コミュニケーション記録</t>
        </is>
      </c>
      <c r="K123" s="103" t="inlineStr">
        <is>
          <t>薬事</t>
        </is>
      </c>
      <c r="L123" s="100" t="inlineStr">
        <is>
          <t>薬事／FDA</t>
        </is>
      </c>
    </row>
    <row r="124" ht="39" customHeight="1" s="80">
      <c r="A124" s="98" t="inlineStr">
        <is>
          <t>05-01-02</t>
        </is>
      </c>
      <c r="B124" s="99" t="n"/>
      <c r="C124" s="99" t="n"/>
      <c r="D124" s="99" t="n"/>
      <c r="E124" s="99" t="inlineStr">
        <is>
          <t>●</t>
        </is>
      </c>
      <c r="F124" s="100" t="inlineStr">
        <is>
          <t>品質（Module 3）の作成</t>
        </is>
      </c>
      <c r="G124" s="104" t="n"/>
      <c r="H124" s="104" t="n"/>
      <c r="I124" s="102" t="inlineStr">
        <is>
          <t>プロセス定義、規格、管理戦略、安定性データ、CMC技術報告書、バリデーション計画・報告</t>
        </is>
      </c>
      <c r="J124" s="102" t="inlineStr">
        <is>
          <t>申請資料</t>
        </is>
      </c>
      <c r="K124" s="103" t="inlineStr">
        <is>
          <t>薬事</t>
        </is>
      </c>
      <c r="L124" s="104" t="inlineStr">
        <is>
          <t>CMC薬事／CDMO</t>
        </is>
      </c>
    </row>
    <row r="125" ht="26.25" customHeight="1" s="80">
      <c r="A125" s="98" t="inlineStr">
        <is>
          <t>05-01-03</t>
        </is>
      </c>
      <c r="B125" s="99" t="n"/>
      <c r="C125" s="99" t="n"/>
      <c r="D125" s="99" t="n"/>
      <c r="E125" s="99" t="inlineStr">
        <is>
          <t>●</t>
        </is>
      </c>
      <c r="F125" s="100" t="inlineStr">
        <is>
          <t>非臨床・臨床（Module 4・5）の作成</t>
        </is>
      </c>
      <c r="G125" s="104" t="n"/>
      <c r="H125" s="104" t="n"/>
      <c r="I125" s="102" t="inlineStr">
        <is>
          <t>非臨床試験報告書、総括報告書（CSR）、統合解析</t>
        </is>
      </c>
      <c r="J125" s="102" t="inlineStr">
        <is>
          <t>申請資料</t>
        </is>
      </c>
      <c r="K125" s="103" t="inlineStr">
        <is>
          <t>薬事</t>
        </is>
      </c>
      <c r="L125" s="100" t="inlineStr">
        <is>
          <t>メディカルライティング・薬事／—</t>
        </is>
      </c>
    </row>
    <row r="126" ht="26.25" customHeight="1" s="80">
      <c r="A126" s="98" t="inlineStr">
        <is>
          <t>05-01-04</t>
        </is>
      </c>
      <c r="B126" s="99" t="n"/>
      <c r="C126" s="99" t="n"/>
      <c r="D126" s="99" t="n"/>
      <c r="E126" s="99" t="inlineStr">
        <is>
          <t>●</t>
        </is>
      </c>
      <c r="F126" s="100" t="inlineStr">
        <is>
          <t>概要（Module 2）の作成</t>
        </is>
      </c>
      <c r="G126" s="104" t="n"/>
      <c r="H126" s="104" t="n"/>
      <c r="I126" s="102" t="inlineStr">
        <is>
          <t>申請資料、ベネフィット・リスク評価</t>
        </is>
      </c>
      <c r="J126" s="102" t="inlineStr">
        <is>
          <t>申請資料</t>
        </is>
      </c>
      <c r="K126" s="103" t="inlineStr">
        <is>
          <t>薬事</t>
        </is>
      </c>
      <c r="L126" s="100" t="inlineStr">
        <is>
          <t>メディカルライティング・薬事／—</t>
        </is>
      </c>
    </row>
    <row r="127" ht="26.25" customHeight="1" s="80">
      <c r="A127" s="98" t="inlineStr">
        <is>
          <t>05-01-05</t>
        </is>
      </c>
      <c r="B127" s="99" t="n"/>
      <c r="C127" s="99" t="n"/>
      <c r="D127" s="99" t="n"/>
      <c r="E127" s="99" t="inlineStr">
        <is>
          <t>●</t>
        </is>
      </c>
      <c r="F127" s="100" t="inlineStr">
        <is>
          <t>米国地域情報（Module 1：Form FDA 356h、表示案）の作成</t>
        </is>
      </c>
      <c r="G127" s="104" t="n"/>
      <c r="H127" s="104" t="n"/>
      <c r="I127" s="102" t="inlineStr">
        <is>
          <t>指定・インセンティブ、適応症</t>
        </is>
      </c>
      <c r="J127" s="102" t="inlineStr">
        <is>
          <t>申請資料、表示（USPI）</t>
        </is>
      </c>
      <c r="K127" s="103" t="inlineStr">
        <is>
          <t>薬事</t>
        </is>
      </c>
      <c r="L127" s="100" t="inlineStr">
        <is>
          <t>薬事（ラベリング）／—</t>
        </is>
      </c>
    </row>
    <row r="128" ht="26.25" customHeight="1" s="80">
      <c r="A128" s="98" t="inlineStr">
        <is>
          <t>05-01-06</t>
        </is>
      </c>
      <c r="B128" s="99" t="n"/>
      <c r="C128" s="99" t="n"/>
      <c r="D128" s="99" t="n"/>
      <c r="E128" s="99" t="inlineStr">
        <is>
          <t>●</t>
        </is>
      </c>
      <c r="F128" s="100" t="inlineStr">
        <is>
          <t>電子申請（eCTD）によるBLA提出（PHS法351条(a)）</t>
        </is>
      </c>
      <c r="G128" s="104" t="n"/>
      <c r="H128" s="104" t="n"/>
      <c r="I128" s="102" t="inlineStr">
        <is>
          <t>申請資料</t>
        </is>
      </c>
      <c r="J128" s="102" t="inlineStr">
        <is>
          <t>申請資料</t>
        </is>
      </c>
      <c r="K128" s="103" t="inlineStr">
        <is>
          <t>薬事</t>
        </is>
      </c>
      <c r="L128" s="100" t="inlineStr">
        <is>
          <t>薬事（パブリッシング）／FDA（電子申請ゲートウェイ）</t>
        </is>
      </c>
    </row>
    <row r="129" ht="26.25" customHeight="1" s="80">
      <c r="A129" s="94" t="inlineStr">
        <is>
          <t>05-02</t>
        </is>
      </c>
      <c r="B129" s="95" t="n"/>
      <c r="C129" s="95" t="n"/>
      <c r="D129" s="95" t="inlineStr">
        <is>
          <t>●</t>
        </is>
      </c>
      <c r="E129" s="95" t="n"/>
      <c r="F129" s="96" t="inlineStr">
        <is>
          <t>審査対応</t>
        </is>
      </c>
      <c r="G129" s="97" t="inlineStr">
        <is>
          <t>受理審査、照会への回答、承認前査察（PLI）・BIMO査察、レビュー会議、諮問委員会に対応する</t>
        </is>
      </c>
      <c r="H129" s="105" t="n"/>
      <c r="I129" s="105" t="n"/>
      <c r="J129" s="105" t="n"/>
      <c r="K129" s="94" t="n"/>
      <c r="L129" s="105" t="n"/>
    </row>
    <row r="130" ht="15" customHeight="1" s="80">
      <c r="A130" s="98" t="inlineStr">
        <is>
          <t>05-02-01</t>
        </is>
      </c>
      <c r="B130" s="99" t="n"/>
      <c r="C130" s="99" t="n"/>
      <c r="D130" s="99" t="n"/>
      <c r="E130" s="99" t="inlineStr">
        <is>
          <t>●</t>
        </is>
      </c>
      <c r="F130" s="100" t="inlineStr">
        <is>
          <t>受理審査（提出から60日）・優先審査の判定</t>
        </is>
      </c>
      <c r="G130" s="104" t="n"/>
      <c r="H130" s="104" t="n"/>
      <c r="I130" s="102" t="inlineStr">
        <is>
          <t>申請資料</t>
        </is>
      </c>
      <c r="J130" s="102" t="inlineStr">
        <is>
          <t>当局コミュニケーション記録</t>
        </is>
      </c>
      <c r="K130" s="103" t="inlineStr">
        <is>
          <t>薬事</t>
        </is>
      </c>
      <c r="L130" s="100" t="inlineStr">
        <is>
          <t>薬事／FDA</t>
        </is>
      </c>
    </row>
    <row r="131" ht="26.25" customHeight="1" s="80">
      <c r="A131" s="98" t="inlineStr">
        <is>
          <t>05-02-02</t>
        </is>
      </c>
      <c r="B131" s="99" t="n"/>
      <c r="C131" s="99" t="n"/>
      <c r="D131" s="99" t="n"/>
      <c r="E131" s="99" t="inlineStr">
        <is>
          <t>●</t>
        </is>
      </c>
      <c r="F131" s="100" t="inlineStr">
        <is>
          <t>情報提供依頼（IR）への回答</t>
        </is>
      </c>
      <c r="G131" s="104" t="n"/>
      <c r="H131" s="104" t="n"/>
      <c r="I131" s="102" t="inlineStr">
        <is>
          <t>当局コミュニケーション記録、申請資料</t>
        </is>
      </c>
      <c r="J131" s="102" t="inlineStr">
        <is>
          <t>当局コミュニケーション記録、申請資料</t>
        </is>
      </c>
      <c r="K131" s="103" t="inlineStr">
        <is>
          <t>薬事</t>
        </is>
      </c>
      <c r="L131" s="100" t="inlineStr">
        <is>
          <t>薬事・各機能／FDA</t>
        </is>
      </c>
    </row>
    <row r="132" ht="26.25" customHeight="1" s="80">
      <c r="A132" s="98" t="inlineStr">
        <is>
          <t>05-02-03</t>
        </is>
      </c>
      <c r="B132" s="99" t="n"/>
      <c r="C132" s="99" t="n"/>
      <c r="D132" s="99" t="n"/>
      <c r="E132" s="99" t="inlineStr">
        <is>
          <t>●</t>
        </is>
      </c>
      <c r="F132" s="100" t="inlineStr">
        <is>
          <t>承認前査察（PLI）への対応（製造所）</t>
        </is>
      </c>
      <c r="G132" s="104" t="n"/>
      <c r="H132" s="104" t="n"/>
      <c r="I132" s="102" t="inlineStr">
        <is>
          <t>バッチ記録、バリデーション計画・報告、CMC技術報告書</t>
        </is>
      </c>
      <c r="J132" s="102" t="inlineStr">
        <is>
          <t>査察記録</t>
        </is>
      </c>
      <c r="K132" s="98" t="inlineStr">
        <is>
          <t>GMP</t>
        </is>
      </c>
      <c r="L132" s="100" t="inlineStr">
        <is>
          <t>製造・QA／FDA、CDMO</t>
        </is>
      </c>
    </row>
    <row r="133" ht="26.25" customHeight="1" s="80">
      <c r="A133" s="98" t="inlineStr">
        <is>
          <t>05-02-04</t>
        </is>
      </c>
      <c r="B133" s="99" t="n"/>
      <c r="C133" s="99" t="n"/>
      <c r="D133" s="99" t="n"/>
      <c r="E133" s="99" t="inlineStr">
        <is>
          <t>●</t>
        </is>
      </c>
      <c r="F133" s="100" t="inlineStr">
        <is>
          <t>臨床試験実施施設の査察（BIMO）への対応</t>
        </is>
      </c>
      <c r="G133" s="104" t="n"/>
      <c r="H133" s="104" t="n"/>
      <c r="I133" s="102" t="inlineStr">
        <is>
          <t>試験実施体制、症例データ、臨床試験</t>
        </is>
      </c>
      <c r="J133" s="102" t="inlineStr">
        <is>
          <t>査察記録</t>
        </is>
      </c>
      <c r="K133" s="98" t="inlineStr">
        <is>
          <t>GCP</t>
        </is>
      </c>
      <c r="L133" s="100" t="inlineStr">
        <is>
          <t>臨床運営・QA／FDA、実施医療機関、CRO</t>
        </is>
      </c>
    </row>
    <row r="134" ht="15" customHeight="1" s="80">
      <c r="A134" s="98" t="inlineStr">
        <is>
          <t>05-02-05</t>
        </is>
      </c>
      <c r="B134" s="99" t="n"/>
      <c r="C134" s="99" t="n"/>
      <c r="D134" s="99" t="n"/>
      <c r="E134" s="99" t="inlineStr">
        <is>
          <t>●</t>
        </is>
      </c>
      <c r="F134" s="100" t="inlineStr">
        <is>
          <t>中間・後期レビュー会議</t>
        </is>
      </c>
      <c r="G134" s="104" t="n"/>
      <c r="H134" s="104" t="n"/>
      <c r="I134" s="102" t="inlineStr">
        <is>
          <t>当局コミュニケーション記録</t>
        </is>
      </c>
      <c r="J134" s="102" t="inlineStr">
        <is>
          <t>当局コミュニケーション記録</t>
        </is>
      </c>
      <c r="K134" s="103" t="inlineStr">
        <is>
          <t>薬事</t>
        </is>
      </c>
      <c r="L134" s="100" t="inlineStr">
        <is>
          <t>薬事／FDA</t>
        </is>
      </c>
    </row>
    <row r="135" ht="26.25" customHeight="1" s="80">
      <c r="A135" s="98" t="inlineStr">
        <is>
          <t>05-02-06</t>
        </is>
      </c>
      <c r="B135" s="99" t="n"/>
      <c r="C135" s="99" t="n"/>
      <c r="D135" s="99" t="n"/>
      <c r="E135" s="99" t="inlineStr">
        <is>
          <t>●</t>
        </is>
      </c>
      <c r="F135" s="100" t="inlineStr">
        <is>
          <t>諮問委員会への対応（開催される場合）</t>
        </is>
      </c>
      <c r="G135" s="104" t="n"/>
      <c r="H135" s="104" t="n"/>
      <c r="I135" s="102" t="inlineStr">
        <is>
          <t>ベネフィット・リスク評価、申請資料</t>
        </is>
      </c>
      <c r="J135" s="102" t="inlineStr">
        <is>
          <t>当局コミュニケーション記録</t>
        </is>
      </c>
      <c r="K135" s="103" t="inlineStr">
        <is>
          <t>薬事</t>
        </is>
      </c>
      <c r="L135" s="100" t="inlineStr">
        <is>
          <t>薬事・医学／FDA、諮問委員会</t>
        </is>
      </c>
    </row>
    <row r="136" ht="26.25" customHeight="1" s="80">
      <c r="A136" s="94" t="inlineStr">
        <is>
          <t>05-03</t>
        </is>
      </c>
      <c r="B136" s="95" t="n"/>
      <c r="C136" s="95" t="n"/>
      <c r="D136" s="95" t="inlineStr">
        <is>
          <t>●</t>
        </is>
      </c>
      <c r="E136" s="95" t="n"/>
      <c r="F136" s="96" t="inlineStr">
        <is>
          <t>承認取得</t>
        </is>
      </c>
      <c r="G136" s="97" t="inlineStr">
        <is>
          <t>表示・REMS・PMR／PMCを合意し、承認通知（該当すれば優先審査バウチャー）を受領する</t>
        </is>
      </c>
      <c r="H136" s="105" t="n"/>
      <c r="I136" s="105" t="n"/>
      <c r="J136" s="105" t="n"/>
      <c r="K136" s="94" t="n"/>
      <c r="L136" s="105" t="n"/>
    </row>
    <row r="137" ht="15" customHeight="1" s="80">
      <c r="A137" s="98" t="inlineStr">
        <is>
          <t>05-03-01</t>
        </is>
      </c>
      <c r="B137" s="99" t="n"/>
      <c r="C137" s="99" t="n"/>
      <c r="D137" s="99" t="n"/>
      <c r="E137" s="99" t="inlineStr">
        <is>
          <t>●</t>
        </is>
      </c>
      <c r="F137" s="100" t="inlineStr">
        <is>
          <t>表示（USPI・患者向け資料）の交渉・合意</t>
        </is>
      </c>
      <c r="G137" s="104" t="n"/>
      <c r="H137" s="104" t="n"/>
      <c r="I137" s="102" t="inlineStr">
        <is>
          <t>表示（USPI）、統合解析</t>
        </is>
      </c>
      <c r="J137" s="102" t="inlineStr">
        <is>
          <t>表示（USPI）</t>
        </is>
      </c>
      <c r="K137" s="103" t="inlineStr">
        <is>
          <t>薬事</t>
        </is>
      </c>
      <c r="L137" s="100" t="inlineStr">
        <is>
          <t>薬事（ラベリング）・医学／FDA</t>
        </is>
      </c>
    </row>
    <row r="138" ht="26.25" customHeight="1" s="80">
      <c r="A138" s="98" t="inlineStr">
        <is>
          <t>05-03-02</t>
        </is>
      </c>
      <c r="B138" s="99" t="n"/>
      <c r="C138" s="99" t="n"/>
      <c r="D138" s="99" t="n"/>
      <c r="E138" s="99" t="inlineStr">
        <is>
          <t>●</t>
        </is>
      </c>
      <c r="F138" s="104" t="inlineStr">
        <is>
          <t>REMS・市販後要求（PMR／PMC）の合意</t>
        </is>
      </c>
      <c r="G138" s="104" t="n"/>
      <c r="H138" s="104" t="n"/>
      <c r="I138" s="102" t="inlineStr">
        <is>
          <t>ベネフィット・リスク評価、安全性シグナル評価</t>
        </is>
      </c>
      <c r="J138" s="102" t="inlineStr">
        <is>
          <t>市販後要求・コミットメント（PMR／PMC）、REMS</t>
        </is>
      </c>
      <c r="K138" s="103" t="inlineStr">
        <is>
          <t>薬事</t>
        </is>
      </c>
      <c r="L138" s="100" t="inlineStr">
        <is>
          <t>薬事・安全性／FDA</t>
        </is>
      </c>
    </row>
    <row r="139" ht="26.25" customHeight="1" s="80">
      <c r="A139" s="98" t="inlineStr">
        <is>
          <t>05-03-03</t>
        </is>
      </c>
      <c r="B139" s="99" t="n"/>
      <c r="C139" s="99" t="n"/>
      <c r="D139" s="99" t="n"/>
      <c r="E139" s="99" t="inlineStr">
        <is>
          <t>●</t>
        </is>
      </c>
      <c r="F139" s="100" t="inlineStr">
        <is>
          <t>★優先審査バウチャーの受領（希少小児疾患指定の場合）</t>
        </is>
      </c>
      <c r="G139" s="104" t="n"/>
      <c r="H139" s="104" t="n"/>
      <c r="I139" s="102" t="inlineStr">
        <is>
          <t>指定・インセンティブ</t>
        </is>
      </c>
      <c r="J139" s="102" t="inlineStr">
        <is>
          <t>指定・インセンティブ</t>
        </is>
      </c>
      <c r="K139" s="103" t="inlineStr">
        <is>
          <t>薬事</t>
        </is>
      </c>
      <c r="L139" s="100" t="inlineStr">
        <is>
          <t>薬事・経営／FDA</t>
        </is>
      </c>
    </row>
    <row r="140" ht="26.25" customHeight="1" s="80">
      <c r="A140" s="98" t="inlineStr">
        <is>
          <t>05-03-04</t>
        </is>
      </c>
      <c r="B140" s="99" t="n"/>
      <c r="C140" s="99" t="n"/>
      <c r="D140" s="99" t="n"/>
      <c r="E140" s="99" t="inlineStr">
        <is>
          <t>●</t>
        </is>
      </c>
      <c r="F140" s="100" t="inlineStr">
        <is>
          <t>承認通知の受領（または審査完了通知〔CRL〕への対応）</t>
        </is>
      </c>
      <c r="G140" s="104" t="n"/>
      <c r="H140" s="104" t="n"/>
      <c r="I140" s="102" t="inlineStr">
        <is>
          <t>当局コミュニケーション記録</t>
        </is>
      </c>
      <c r="J140" s="102" t="inlineStr">
        <is>
          <t>承認・許可、製品マスタ</t>
        </is>
      </c>
      <c r="K140" s="103" t="inlineStr">
        <is>
          <t>薬事</t>
        </is>
      </c>
      <c r="L140" s="100" t="inlineStr">
        <is>
          <t>薬事／FDA</t>
        </is>
      </c>
    </row>
    <row r="141" ht="26.25" customHeight="1" s="80">
      <c r="A141" s="90" t="inlineStr">
        <is>
          <t>06</t>
        </is>
      </c>
      <c r="B141" s="91" t="n"/>
      <c r="C141" s="91" t="inlineStr">
        <is>
          <t>●</t>
        </is>
      </c>
      <c r="D141" s="91" t="n"/>
      <c r="E141" s="91" t="n"/>
      <c r="F141" s="92" t="inlineStr">
        <is>
          <t>商用製造（継続）</t>
        </is>
      </c>
      <c r="G141" s="93" t="inlineStr">
        <is>
          <t>承認されたプロセスで、原薬・製剤をGMPに従って製造し、品質を保証して出荷できる状態にする継続的な活動</t>
        </is>
      </c>
      <c r="H141" s="93" t="inlineStr">
        <is>
          <t>出荷判定の合格</t>
        </is>
      </c>
      <c r="I141" s="106" t="n"/>
      <c r="J141" s="106" t="n"/>
      <c r="K141" s="90" t="n"/>
      <c r="L141" s="106" t="n"/>
    </row>
    <row r="142" ht="26.25" customHeight="1" s="80">
      <c r="A142" s="94" t="inlineStr">
        <is>
          <t>06-01</t>
        </is>
      </c>
      <c r="B142" s="95" t="n"/>
      <c r="C142" s="95" t="n"/>
      <c r="D142" s="95" t="inlineStr">
        <is>
          <t>●</t>
        </is>
      </c>
      <c r="E142" s="95" t="n"/>
      <c r="F142" s="96" t="inlineStr">
        <is>
          <t>原薬製造（培養・精製）</t>
        </is>
      </c>
      <c r="G142" s="97" t="inlineStr">
        <is>
          <t>セルバンクから培養・精製を経て、原薬ロットを製造・保管する</t>
        </is>
      </c>
      <c r="H142" s="105" t="n"/>
      <c r="I142" s="105" t="n"/>
      <c r="J142" s="105" t="n"/>
      <c r="K142" s="94" t="n"/>
      <c r="L142" s="105" t="n"/>
    </row>
    <row r="143" ht="26.25" customHeight="1" s="80">
      <c r="A143" s="98" t="inlineStr">
        <is>
          <t>06-01-01</t>
        </is>
      </c>
      <c r="B143" s="99" t="n"/>
      <c r="C143" s="99" t="n"/>
      <c r="D143" s="99" t="n"/>
      <c r="E143" s="99" t="inlineStr">
        <is>
          <t>●</t>
        </is>
      </c>
      <c r="F143" s="100" t="inlineStr">
        <is>
          <t>生産計画・資材手配</t>
        </is>
      </c>
      <c r="G143" s="104" t="n"/>
      <c r="H143" s="104" t="n"/>
      <c r="I143" s="102" t="inlineStr">
        <is>
          <t>需給計画、在庫</t>
        </is>
      </c>
      <c r="J143" s="102" t="inlineStr">
        <is>
          <t>生産計画、原材料・資材</t>
        </is>
      </c>
      <c r="K143" s="103" t="inlineStr">
        <is>
          <t>非GxP</t>
        </is>
      </c>
      <c r="L143" s="100" t="inlineStr">
        <is>
          <t>製造計画・SCM／CDMO、資材サプライヤー</t>
        </is>
      </c>
    </row>
    <row r="144" ht="26.25" customHeight="1" s="80">
      <c r="A144" s="98" t="inlineStr">
        <is>
          <t>06-01-02</t>
        </is>
      </c>
      <c r="B144" s="99" t="n"/>
      <c r="C144" s="99" t="n"/>
      <c r="D144" s="99" t="n"/>
      <c r="E144" s="99" t="inlineStr">
        <is>
          <t>●</t>
        </is>
      </c>
      <c r="F144" s="100" t="inlineStr">
        <is>
          <t>セルバンクの融解・拡大培養</t>
        </is>
      </c>
      <c r="G144" s="104" t="n"/>
      <c r="H144" s="104" t="n"/>
      <c r="I144" s="102" t="inlineStr">
        <is>
          <t>生産計画、セルバンク、マスターバッチレコード</t>
        </is>
      </c>
      <c r="J144" s="102" t="inlineStr">
        <is>
          <t>バッチ記録、ロット</t>
        </is>
      </c>
      <c r="K144" s="98" t="inlineStr">
        <is>
          <t>GMP</t>
        </is>
      </c>
      <c r="L144" s="100" t="inlineStr">
        <is>
          <t>製造／CDMO</t>
        </is>
      </c>
    </row>
    <row r="145" ht="15" customHeight="1" s="80">
      <c r="A145" s="98" t="inlineStr">
        <is>
          <t>06-01-03</t>
        </is>
      </c>
      <c r="B145" s="99" t="n"/>
      <c r="C145" s="99" t="n"/>
      <c r="D145" s="99" t="n"/>
      <c r="E145" s="99" t="inlineStr">
        <is>
          <t>●</t>
        </is>
      </c>
      <c r="F145" s="100" t="inlineStr">
        <is>
          <t>本培養（バイオリアクター）</t>
        </is>
      </c>
      <c r="G145" s="104" t="n"/>
      <c r="H145" s="104" t="n"/>
      <c r="I145" s="102" t="inlineStr">
        <is>
          <t>バッチ記録、原材料・資材</t>
        </is>
      </c>
      <c r="J145" s="102" t="inlineStr">
        <is>
          <t>バッチ記録、工程データ</t>
        </is>
      </c>
      <c r="K145" s="98" t="inlineStr">
        <is>
          <t>GMP</t>
        </is>
      </c>
      <c r="L145" s="100" t="inlineStr">
        <is>
          <t>製造／CDMO</t>
        </is>
      </c>
    </row>
    <row r="146" ht="15" customHeight="1" s="80">
      <c r="A146" s="98" t="inlineStr">
        <is>
          <t>06-01-04</t>
        </is>
      </c>
      <c r="B146" s="99" t="n"/>
      <c r="C146" s="99" t="n"/>
      <c r="D146" s="99" t="n"/>
      <c r="E146" s="99" t="inlineStr">
        <is>
          <t>●</t>
        </is>
      </c>
      <c r="F146" s="100" t="inlineStr">
        <is>
          <t>ハーベスト・精製</t>
        </is>
      </c>
      <c r="G146" s="104" t="n"/>
      <c r="H146" s="104" t="n"/>
      <c r="I146" s="102" t="inlineStr">
        <is>
          <t>バッチ記録</t>
        </is>
      </c>
      <c r="J146" s="102" t="inlineStr">
        <is>
          <t>バッチ記録、ロット、工程データ</t>
        </is>
      </c>
      <c r="K146" s="98" t="inlineStr">
        <is>
          <t>GMP</t>
        </is>
      </c>
      <c r="L146" s="100" t="inlineStr">
        <is>
          <t>製造／CDMO</t>
        </is>
      </c>
    </row>
    <row r="147" ht="15" customHeight="1" s="80">
      <c r="A147" s="98" t="inlineStr">
        <is>
          <t>06-01-05</t>
        </is>
      </c>
      <c r="B147" s="99" t="n"/>
      <c r="C147" s="99" t="n"/>
      <c r="D147" s="99" t="n"/>
      <c r="E147" s="99" t="inlineStr">
        <is>
          <t>●</t>
        </is>
      </c>
      <c r="F147" s="100" t="inlineStr">
        <is>
          <t>原薬の充填・保管</t>
        </is>
      </c>
      <c r="G147" s="104" t="n"/>
      <c r="H147" s="104" t="n"/>
      <c r="I147" s="102" t="inlineStr">
        <is>
          <t>ロット</t>
        </is>
      </c>
      <c r="J147" s="102" t="inlineStr">
        <is>
          <t>ロット、在庫</t>
        </is>
      </c>
      <c r="K147" s="98" t="inlineStr">
        <is>
          <t>GMP</t>
        </is>
      </c>
      <c r="L147" s="100" t="inlineStr">
        <is>
          <t>製造／CDMO</t>
        </is>
      </c>
    </row>
    <row r="148" ht="26.25" customHeight="1" s="80">
      <c r="A148" s="94" t="inlineStr">
        <is>
          <t>06-02</t>
        </is>
      </c>
      <c r="B148" s="95" t="n"/>
      <c r="C148" s="95" t="n"/>
      <c r="D148" s="95" t="inlineStr">
        <is>
          <t>●</t>
        </is>
      </c>
      <c r="E148" s="95" t="n"/>
      <c r="F148" s="96" t="inlineStr">
        <is>
          <t>製剤化・充填・包装</t>
        </is>
      </c>
      <c r="G148" s="97" t="inlineStr">
        <is>
          <t>原薬を調製・無菌充填し、検査・表示・包装して製品にする</t>
        </is>
      </c>
      <c r="H148" s="105" t="n"/>
      <c r="I148" s="105" t="n"/>
      <c r="J148" s="105" t="n"/>
      <c r="K148" s="94" t="n"/>
      <c r="L148" s="105" t="n"/>
    </row>
    <row r="149" ht="26.25" customHeight="1" s="80">
      <c r="A149" s="98" t="inlineStr">
        <is>
          <t>06-02-01</t>
        </is>
      </c>
      <c r="B149" s="99" t="n"/>
      <c r="C149" s="99" t="n"/>
      <c r="D149" s="99" t="n"/>
      <c r="E149" s="99" t="inlineStr">
        <is>
          <t>●</t>
        </is>
      </c>
      <c r="F149" s="100" t="inlineStr">
        <is>
          <t>薬液調製・無菌ろ過</t>
        </is>
      </c>
      <c r="G149" s="104" t="n"/>
      <c r="H149" s="104" t="n"/>
      <c r="I149" s="102" t="inlineStr">
        <is>
          <t>ロット、処方・製剤仕様、マスターバッチレコード</t>
        </is>
      </c>
      <c r="J149" s="102" t="inlineStr">
        <is>
          <t>バッチ記録</t>
        </is>
      </c>
      <c r="K149" s="98" t="inlineStr">
        <is>
          <t>GMP</t>
        </is>
      </c>
      <c r="L149" s="100" t="inlineStr">
        <is>
          <t>製造（製剤）／CDMO（充填）</t>
        </is>
      </c>
    </row>
    <row r="150" ht="26.25" customHeight="1" s="80">
      <c r="A150" s="98" t="inlineStr">
        <is>
          <t>06-02-02</t>
        </is>
      </c>
      <c r="B150" s="99" t="n"/>
      <c r="C150" s="99" t="n"/>
      <c r="D150" s="99" t="n"/>
      <c r="E150" s="99" t="inlineStr">
        <is>
          <t>●</t>
        </is>
      </c>
      <c r="F150" s="100" t="inlineStr">
        <is>
          <t>無菌充填</t>
        </is>
      </c>
      <c r="G150" s="104" t="n"/>
      <c r="H150" s="104" t="n"/>
      <c r="I150" s="102" t="inlineStr">
        <is>
          <t>バッチ記録、設備・環境モニタリングデータ</t>
        </is>
      </c>
      <c r="J150" s="102" t="inlineStr">
        <is>
          <t>バッチ記録、ロット、設備・環境モニタリングデータ</t>
        </is>
      </c>
      <c r="K150" s="98" t="inlineStr">
        <is>
          <t>GMP</t>
        </is>
      </c>
      <c r="L150" s="100" t="inlineStr">
        <is>
          <t>製造（製剤）／CDMO（充填）</t>
        </is>
      </c>
    </row>
    <row r="151" ht="15" customHeight="1" s="80">
      <c r="A151" s="98" t="inlineStr">
        <is>
          <t>06-02-03</t>
        </is>
      </c>
      <c r="B151" s="99" t="n"/>
      <c r="C151" s="99" t="n"/>
      <c r="D151" s="99" t="n"/>
      <c r="E151" s="99" t="inlineStr">
        <is>
          <t>●</t>
        </is>
      </c>
      <c r="F151" s="100" t="inlineStr">
        <is>
          <t>外観検査</t>
        </is>
      </c>
      <c r="G151" s="104" t="n"/>
      <c r="H151" s="104" t="n"/>
      <c r="I151" s="102" t="inlineStr">
        <is>
          <t>ロット</t>
        </is>
      </c>
      <c r="J151" s="102" t="inlineStr">
        <is>
          <t>バッチ記録</t>
        </is>
      </c>
      <c r="K151" s="98" t="inlineStr">
        <is>
          <t>GMP</t>
        </is>
      </c>
      <c r="L151" s="100" t="inlineStr">
        <is>
          <t>製造（製剤）／CDMO（充填）</t>
        </is>
      </c>
    </row>
    <row r="152" ht="26.25" customHeight="1" s="80">
      <c r="A152" s="98" t="inlineStr">
        <is>
          <t>06-02-04</t>
        </is>
      </c>
      <c r="B152" s="99" t="n"/>
      <c r="C152" s="99" t="n"/>
      <c r="D152" s="99" t="n"/>
      <c r="E152" s="99" t="inlineStr">
        <is>
          <t>●</t>
        </is>
      </c>
      <c r="F152" s="100" t="inlineStr">
        <is>
          <t>表示・包装</t>
        </is>
      </c>
      <c r="G152" s="104" t="n"/>
      <c r="H152" s="104" t="n"/>
      <c r="I152" s="102" t="inlineStr">
        <is>
          <t>ロット、包装表示（アートワーク）、製品マスタ</t>
        </is>
      </c>
      <c r="J152" s="102" t="inlineStr">
        <is>
          <t>ロット、製品識別子・取引情報（DSCSA）</t>
        </is>
      </c>
      <c r="K152" s="98" t="inlineStr">
        <is>
          <t>GMP</t>
        </is>
      </c>
      <c r="L152" s="100" t="inlineStr">
        <is>
          <t>製造（包装）／CDMO（包装）</t>
        </is>
      </c>
    </row>
    <row r="153" ht="26.25" customHeight="1" s="80">
      <c r="A153" s="94" t="inlineStr">
        <is>
          <t>06-03</t>
        </is>
      </c>
      <c r="B153" s="95" t="n"/>
      <c r="C153" s="95" t="n"/>
      <c r="D153" s="95" t="inlineStr">
        <is>
          <t>●</t>
        </is>
      </c>
      <c r="E153" s="95" t="n"/>
      <c r="F153" s="96" t="inlineStr">
        <is>
          <t>品質試験・出荷判定</t>
        </is>
      </c>
      <c r="G153" s="97" t="inlineStr">
        <is>
          <t>試験・逸脱・変更を管理してロットの出荷を判定し、年次で品質を照査する</t>
        </is>
      </c>
      <c r="H153" s="105" t="n"/>
      <c r="I153" s="105" t="n"/>
      <c r="J153" s="105" t="n"/>
      <c r="K153" s="94" t="n"/>
      <c r="L153" s="105" t="n"/>
    </row>
    <row r="154" ht="15" customHeight="1" s="80">
      <c r="A154" s="98" t="inlineStr">
        <is>
          <t>06-03-01</t>
        </is>
      </c>
      <c r="B154" s="99" t="n"/>
      <c r="C154" s="99" t="n"/>
      <c r="D154" s="99" t="n"/>
      <c r="E154" s="99" t="inlineStr">
        <is>
          <t>●</t>
        </is>
      </c>
      <c r="F154" s="100" t="inlineStr">
        <is>
          <t>工程内試験・規格試験</t>
        </is>
      </c>
      <c r="G154" s="104" t="n"/>
      <c r="H154" s="104" t="n"/>
      <c r="I154" s="102" t="inlineStr">
        <is>
          <t>ロット、規格、分析法、標準物質</t>
        </is>
      </c>
      <c r="J154" s="102" t="inlineStr">
        <is>
          <t>試験成績</t>
        </is>
      </c>
      <c r="K154" s="98" t="inlineStr">
        <is>
          <t>GMP</t>
        </is>
      </c>
      <c r="L154" s="104" t="inlineStr">
        <is>
          <t>QC／受託試験機関</t>
        </is>
      </c>
    </row>
    <row r="155" ht="26.25" customHeight="1" s="80">
      <c r="A155" s="98" t="inlineStr">
        <is>
          <t>06-03-02</t>
        </is>
      </c>
      <c r="B155" s="99" t="n"/>
      <c r="C155" s="99" t="n"/>
      <c r="D155" s="99" t="n"/>
      <c r="E155" s="99" t="inlineStr">
        <is>
          <t>●</t>
        </is>
      </c>
      <c r="F155" s="100" t="inlineStr">
        <is>
          <t>逸脱・変更の管理（変更は21 CFR 601.12の報告区分を判定）</t>
        </is>
      </c>
      <c r="G155" s="104" t="n"/>
      <c r="H155" s="104" t="n"/>
      <c r="I155" s="102" t="inlineStr">
        <is>
          <t>バッチ記録、試験成績</t>
        </is>
      </c>
      <c r="J155" s="102" t="inlineStr">
        <is>
          <t>逸脱・CAPA、変更管理記録、申請資料</t>
        </is>
      </c>
      <c r="K155" s="98" t="inlineStr">
        <is>
          <t>GMP</t>
        </is>
      </c>
      <c r="L155" s="104" t="inlineStr">
        <is>
          <t>QA・CMC薬事／CDMO</t>
        </is>
      </c>
    </row>
    <row r="156" ht="26.25" customHeight="1" s="80">
      <c r="A156" s="98" t="inlineStr">
        <is>
          <t>06-03-03</t>
        </is>
      </c>
      <c r="B156" s="99" t="n"/>
      <c r="C156" s="99" t="n"/>
      <c r="D156" s="99" t="n"/>
      <c r="E156" s="99" t="inlineStr">
        <is>
          <t>●</t>
        </is>
      </c>
      <c r="F156" s="100" t="inlineStr">
        <is>
          <t>製造記録の照査・品質部門によるロット出荷判定</t>
        </is>
      </c>
      <c r="G156" s="104" t="n"/>
      <c r="H156" s="104" t="n"/>
      <c r="I156" s="102" t="inlineStr">
        <is>
          <t>バッチ記録、試験成績、逸脱・CAPA</t>
        </is>
      </c>
      <c r="J156" s="102" t="inlineStr">
        <is>
          <t>出荷判定記録</t>
        </is>
      </c>
      <c r="K156" s="98" t="inlineStr">
        <is>
          <t>GMP</t>
        </is>
      </c>
      <c r="L156" s="104" t="inlineStr">
        <is>
          <t>QA／CDMO</t>
        </is>
      </c>
    </row>
    <row r="157" ht="26.25" customHeight="1" s="80">
      <c r="A157" s="98" t="inlineStr">
        <is>
          <t>06-03-04</t>
        </is>
      </c>
      <c r="B157" s="99" t="n"/>
      <c r="C157" s="99" t="n"/>
      <c r="D157" s="99" t="n"/>
      <c r="E157" s="99" t="inlineStr">
        <is>
          <t>●</t>
        </is>
      </c>
      <c r="F157" s="100" t="inlineStr">
        <is>
          <t>安定性モニタリング・年次製品照査（APR）</t>
        </is>
      </c>
      <c r="G157" s="104" t="n"/>
      <c r="H157" s="104" t="n"/>
      <c r="I157" s="102" t="inlineStr">
        <is>
          <t>ロット、安定性データ、試験成績、逸脱・CAPA、変更管理記録</t>
        </is>
      </c>
      <c r="J157" s="102" t="inlineStr">
        <is>
          <t>安定性データ、年次製品照査（APR）</t>
        </is>
      </c>
      <c r="K157" s="98" t="inlineStr">
        <is>
          <t>GMP</t>
        </is>
      </c>
      <c r="L157" s="104" t="inlineStr">
        <is>
          <t>QC・QA／CDMO</t>
        </is>
      </c>
    </row>
    <row r="158" ht="26.25" customHeight="1" s="80">
      <c r="A158" s="90" t="inlineStr">
        <is>
          <t>07</t>
        </is>
      </c>
      <c r="B158" s="91" t="n"/>
      <c r="C158" s="91" t="inlineStr">
        <is>
          <t>●</t>
        </is>
      </c>
      <c r="D158" s="91" t="n"/>
      <c r="E158" s="91" t="n"/>
      <c r="F158" s="92" t="inlineStr">
        <is>
          <t>上市（1回きり）</t>
        </is>
      </c>
      <c r="G158" s="93" t="inlineStr">
        <is>
          <t>承認後、価格・償還と、診断支援・流通・情報提供の体制を整え、患者が治療を受けられる状態をつくる段階</t>
        </is>
      </c>
      <c r="H158" s="93" t="inlineStr">
        <is>
          <t>保険償還・患者アクセスの確立</t>
        </is>
      </c>
      <c r="I158" s="106" t="n"/>
      <c r="J158" s="106" t="n"/>
      <c r="K158" s="90" t="n"/>
      <c r="L158" s="106" t="n"/>
    </row>
    <row r="159" ht="26.25" customHeight="1" s="80">
      <c r="A159" s="94" t="inlineStr">
        <is>
          <t>07-01</t>
        </is>
      </c>
      <c r="B159" s="95" t="n"/>
      <c r="C159" s="95" t="n"/>
      <c r="D159" s="95" t="inlineStr">
        <is>
          <t>●</t>
        </is>
      </c>
      <c r="E159" s="95" t="n"/>
      <c r="F159" s="96" t="inlineStr">
        <is>
          <t>価格設定・市場アクセス</t>
        </is>
      </c>
      <c r="G159" s="97" t="inlineStr">
        <is>
          <t>価格を設定し、公的保険・民間保険・PBMでの償還と、患者支援の仕組みを整える</t>
        </is>
      </c>
      <c r="H159" s="105" t="n"/>
      <c r="I159" s="105" t="n"/>
      <c r="J159" s="105" t="n"/>
      <c r="K159" s="94" t="n"/>
      <c r="L159" s="105" t="n"/>
    </row>
    <row r="160" ht="26.25" customHeight="1" s="80">
      <c r="A160" s="98" t="inlineStr">
        <is>
          <t>07-01-01</t>
        </is>
      </c>
      <c r="B160" s="99" t="n"/>
      <c r="C160" s="99" t="n"/>
      <c r="D160" s="99" t="n"/>
      <c r="E160" s="99" t="inlineStr">
        <is>
          <t>●</t>
        </is>
      </c>
      <c r="F160" s="100" t="inlineStr">
        <is>
          <t>価格（WAC）の設定</t>
        </is>
      </c>
      <c r="G160" s="104" t="n"/>
      <c r="H160" s="104" t="n"/>
      <c r="I160" s="102" t="inlineStr">
        <is>
          <t>疫学データ、ベネフィット・リスク評価</t>
        </is>
      </c>
      <c r="J160" s="102" t="inlineStr">
        <is>
          <t>価格</t>
        </is>
      </c>
      <c r="K160" s="103" t="inlineStr">
        <is>
          <t>非GxP</t>
        </is>
      </c>
      <c r="L160" s="100" t="inlineStr">
        <is>
          <t>市場アクセス・経営／—</t>
        </is>
      </c>
    </row>
    <row r="161" ht="26.25" customHeight="1" s="80">
      <c r="A161" s="98" t="inlineStr">
        <is>
          <t>07-01-02</t>
        </is>
      </c>
      <c r="B161" s="99" t="n"/>
      <c r="C161" s="99" t="n"/>
      <c r="D161" s="99" t="n"/>
      <c r="E161" s="99" t="inlineStr">
        <is>
          <t>●</t>
        </is>
      </c>
      <c r="F161" s="100" t="inlineStr">
        <is>
          <t>公的保険への対応（Medicaid薬剤リベート契約、Medicare Part B／D）</t>
        </is>
      </c>
      <c r="G161" s="104" t="n"/>
      <c r="H161" s="104" t="n"/>
      <c r="I161" s="102" t="inlineStr">
        <is>
          <t>価格</t>
        </is>
      </c>
      <c r="J161" s="102" t="inlineStr">
        <is>
          <t>保険者契約、政府価格報告</t>
        </is>
      </c>
      <c r="K161" s="103" t="inlineStr">
        <is>
          <t>非GxP</t>
        </is>
      </c>
      <c r="L161" s="100" t="inlineStr">
        <is>
          <t>市場アクセス（政府価格）／CMS、州Medicaid</t>
        </is>
      </c>
    </row>
    <row r="162" ht="15" customHeight="1" s="80">
      <c r="A162" s="98" t="inlineStr">
        <is>
          <t>07-01-03</t>
        </is>
      </c>
      <c r="B162" s="99" t="n"/>
      <c r="C162" s="99" t="n"/>
      <c r="D162" s="99" t="n"/>
      <c r="E162" s="99" t="inlineStr">
        <is>
          <t>●</t>
        </is>
      </c>
      <c r="F162" s="104" t="inlineStr">
        <is>
          <t>HCPCSコードの申請（医師投与型の場合）</t>
        </is>
      </c>
      <c r="G162" s="104" t="n"/>
      <c r="H162" s="104" t="n"/>
      <c r="I162" s="102" t="inlineStr">
        <is>
          <t>承認・許可、表示（USPI）</t>
        </is>
      </c>
      <c r="J162" s="102" t="inlineStr">
        <is>
          <t>償還コード</t>
        </is>
      </c>
      <c r="K162" s="103" t="inlineStr">
        <is>
          <t>非GxP</t>
        </is>
      </c>
      <c r="L162" s="100" t="inlineStr">
        <is>
          <t>市場アクセス／CMS</t>
        </is>
      </c>
    </row>
    <row r="163" ht="26.25" customHeight="1" s="80">
      <c r="A163" s="98" t="inlineStr">
        <is>
          <t>07-01-04</t>
        </is>
      </c>
      <c r="B163" s="99" t="n"/>
      <c r="C163" s="99" t="n"/>
      <c r="D163" s="99" t="n"/>
      <c r="E163" s="99" t="inlineStr">
        <is>
          <t>●</t>
        </is>
      </c>
      <c r="F163" s="100" t="inlineStr">
        <is>
          <t>★民間保険・PBMとの交渉（事前承認基準、成果連動型契約を含む）</t>
        </is>
      </c>
      <c r="G163" s="104" t="n"/>
      <c r="H163" s="104" t="n"/>
      <c r="I163" s="102" t="inlineStr">
        <is>
          <t>価格、ベネフィット・リスク評価、表示（USPI）</t>
        </is>
      </c>
      <c r="J163" s="102" t="inlineStr">
        <is>
          <t>保険者契約</t>
        </is>
      </c>
      <c r="K163" s="103" t="inlineStr">
        <is>
          <t>非GxP</t>
        </is>
      </c>
      <c r="L163" s="100" t="inlineStr">
        <is>
          <t>市場アクセス／民間保険、PBM</t>
        </is>
      </c>
    </row>
    <row r="164" ht="26.25" customHeight="1" s="80">
      <c r="A164" s="98" t="inlineStr">
        <is>
          <t>07-01-05</t>
        </is>
      </c>
      <c r="B164" s="99" t="n"/>
      <c r="C164" s="99" t="n"/>
      <c r="D164" s="99" t="n"/>
      <c r="E164" s="99" t="inlineStr">
        <is>
          <t>●</t>
        </is>
      </c>
      <c r="F164" s="100" t="inlineStr">
        <is>
          <t>患者支援プログラムの構築（ハブサービス・自己負担支援）</t>
        </is>
      </c>
      <c r="G164" s="104" t="n"/>
      <c r="H164" s="104" t="n"/>
      <c r="I164" s="102" t="inlineStr">
        <is>
          <t>保険者契約、償還コード</t>
        </is>
      </c>
      <c r="J164" s="102" t="inlineStr">
        <is>
          <t>患者支援ケース、契約</t>
        </is>
      </c>
      <c r="K164" s="103" t="inlineStr">
        <is>
          <t>非GxP</t>
        </is>
      </c>
      <c r="L164" s="100" t="inlineStr">
        <is>
          <t>患者サービス／ハブ事業者</t>
        </is>
      </c>
    </row>
    <row r="165" ht="26.25" customHeight="1" s="80">
      <c r="A165" s="94" t="inlineStr">
        <is>
          <t>07-02</t>
        </is>
      </c>
      <c r="B165" s="95" t="n"/>
      <c r="C165" s="95" t="n"/>
      <c r="D165" s="95" t="inlineStr">
        <is>
          <t>●</t>
        </is>
      </c>
      <c r="E165" s="95" t="n"/>
      <c r="F165" s="96" t="inlineStr">
        <is>
          <t>上市準備</t>
        </is>
      </c>
      <c r="G165" s="97" t="inlineStr">
        <is>
          <t>販促・情報資材、教育、診断支援、限定流通網を整え、初回出荷する</t>
        </is>
      </c>
      <c r="H165" s="105" t="n"/>
      <c r="I165" s="105" t="n"/>
      <c r="J165" s="105" t="n"/>
      <c r="K165" s="94" t="n"/>
      <c r="L165" s="105" t="n"/>
    </row>
    <row r="166" ht="26.25" customHeight="1" s="80">
      <c r="A166" s="98" t="inlineStr">
        <is>
          <t>07-02-01</t>
        </is>
      </c>
      <c r="B166" s="99" t="n"/>
      <c r="C166" s="99" t="n"/>
      <c r="D166" s="99" t="n"/>
      <c r="E166" s="99" t="inlineStr">
        <is>
          <t>●</t>
        </is>
      </c>
      <c r="F166" s="100" t="inlineStr">
        <is>
          <t>販促資材の作成・FDA（OPDP）への提出（Form FDA 2253）</t>
        </is>
      </c>
      <c r="G166" s="104" t="n"/>
      <c r="H166" s="104" t="n"/>
      <c r="I166" s="102" t="inlineStr">
        <is>
          <t>表示（USPI）</t>
        </is>
      </c>
      <c r="J166" s="102" t="inlineStr">
        <is>
          <t>販促・医療情報資材</t>
        </is>
      </c>
      <c r="K166" s="103" t="inlineStr">
        <is>
          <t>薬事</t>
        </is>
      </c>
      <c r="L166" s="100" t="inlineStr">
        <is>
          <t>マーケティング・メディカル・薬事／FDA（OPDP）</t>
        </is>
      </c>
    </row>
    <row r="167" ht="26.25" customHeight="1" s="80">
      <c r="A167" s="98" t="inlineStr">
        <is>
          <t>07-02-02</t>
        </is>
      </c>
      <c r="B167" s="99" t="n"/>
      <c r="C167" s="99" t="n"/>
      <c r="D167" s="99" t="n"/>
      <c r="E167" s="99" t="inlineStr">
        <is>
          <t>●</t>
        </is>
      </c>
      <c r="F167" s="104" t="inlineStr">
        <is>
          <t>MSL・営業担当の教育</t>
        </is>
      </c>
      <c r="G167" s="104" t="n"/>
      <c r="H167" s="104" t="n"/>
      <c r="I167" s="102" t="inlineStr">
        <is>
          <t>販促・医療情報資材、表示（USPI）</t>
        </is>
      </c>
      <c r="J167" s="102" t="inlineStr">
        <is>
          <t>教育記録</t>
        </is>
      </c>
      <c r="K167" s="103" t="inlineStr">
        <is>
          <t>非GxP</t>
        </is>
      </c>
      <c r="L167" s="100" t="inlineStr">
        <is>
          <t>営業・メディカル／—</t>
        </is>
      </c>
    </row>
    <row r="168" ht="39" customHeight="1" s="80">
      <c r="A168" s="98" t="inlineStr">
        <is>
          <t>07-02-03</t>
        </is>
      </c>
      <c r="B168" s="99" t="n"/>
      <c r="C168" s="99" t="n"/>
      <c r="D168" s="99" t="n"/>
      <c r="E168" s="99" t="inlineStr">
        <is>
          <t>●</t>
        </is>
      </c>
      <c r="F168" s="100" t="inlineStr">
        <is>
          <t>★疾患啓発・診断支援（遺伝子検査プログラム、専門施設ネットワーク）</t>
        </is>
      </c>
      <c r="G168" s="104" t="n"/>
      <c r="H168" s="104" t="n"/>
      <c r="I168" s="102" t="inlineStr">
        <is>
          <t>候補患者情報、医療機関・医療従事者マスタ</t>
        </is>
      </c>
      <c r="J168" s="102" t="inlineStr">
        <is>
          <t>医療機関・医療従事者マスタ、販促・医療情報資材</t>
        </is>
      </c>
      <c r="K168" s="103" t="inlineStr">
        <is>
          <t>非GxP</t>
        </is>
      </c>
      <c r="L168" s="100" t="inlineStr">
        <is>
          <t>メディカル・マーケティング／遺伝子検査機関、専門医療機関、患者団体</t>
        </is>
      </c>
    </row>
    <row r="169" ht="26.25" customHeight="1" s="80">
      <c r="A169" s="98" t="inlineStr">
        <is>
          <t>07-02-04</t>
        </is>
      </c>
      <c r="B169" s="99" t="n"/>
      <c r="C169" s="99" t="n"/>
      <c r="D169" s="99" t="n"/>
      <c r="E169" s="99" t="inlineStr">
        <is>
          <t>●</t>
        </is>
      </c>
      <c r="F169" s="100" t="inlineStr">
        <is>
          <t>★限定流通ネットワークの構築（少数のスペシャリティ薬局・在宅投与）</t>
        </is>
      </c>
      <c r="G169" s="104" t="n"/>
      <c r="H169" s="104" t="n"/>
      <c r="I169" s="102" t="inlineStr">
        <is>
          <t>取引先・施設マスタ</t>
        </is>
      </c>
      <c r="J169" s="102" t="inlineStr">
        <is>
          <t>取引先・施設マスタ、契約</t>
        </is>
      </c>
      <c r="K169" s="103" t="inlineStr">
        <is>
          <t>非GxP</t>
        </is>
      </c>
      <c r="L169" s="104" t="inlineStr">
        <is>
          <t>SCM・市場アクセス／スペシャリティ薬局、3PL、在宅投与事業者</t>
        </is>
      </c>
    </row>
    <row r="170" ht="26.25" customHeight="1" s="80">
      <c r="A170" s="98" t="inlineStr">
        <is>
          <t>07-02-05</t>
        </is>
      </c>
      <c r="B170" s="99" t="n"/>
      <c r="C170" s="99" t="n"/>
      <c r="D170" s="99" t="n"/>
      <c r="E170" s="99" t="inlineStr">
        <is>
          <t>●</t>
        </is>
      </c>
      <c r="F170" s="100" t="inlineStr">
        <is>
          <t>販売開始・初回出荷</t>
        </is>
      </c>
      <c r="G170" s="104" t="n"/>
      <c r="H170" s="104" t="n"/>
      <c r="I170" s="102" t="inlineStr">
        <is>
          <t>承認・許可、出荷判定記録、在庫</t>
        </is>
      </c>
      <c r="J170" s="102" t="inlineStr">
        <is>
          <t>受注・出荷</t>
        </is>
      </c>
      <c r="K170" s="103" t="inlineStr">
        <is>
          <t>流通</t>
        </is>
      </c>
      <c r="L170" s="104" t="inlineStr">
        <is>
          <t>SCM・営業／流通業者、スペシャリティ薬局</t>
        </is>
      </c>
    </row>
    <row r="171" ht="26.25" customHeight="1" s="80">
      <c r="A171" s="90" t="inlineStr">
        <is>
          <t>08</t>
        </is>
      </c>
      <c r="B171" s="91" t="n"/>
      <c r="C171" s="91" t="inlineStr">
        <is>
          <t>●</t>
        </is>
      </c>
      <c r="D171" s="91" t="n"/>
      <c r="E171" s="91" t="n"/>
      <c r="F171" s="92" t="inlineStr">
        <is>
          <t>供給・流通（継続）</t>
        </is>
      </c>
      <c r="G171" s="93" t="inlineStr">
        <is>
          <t>需要に応じて、品質を保った製品を患者・医療機関へ継続的に届ける活動</t>
        </is>
      </c>
      <c r="H171" s="93" t="inlineStr">
        <is>
          <t>品質を保った製品の到達</t>
        </is>
      </c>
      <c r="I171" s="106" t="n"/>
      <c r="J171" s="106" t="n"/>
      <c r="K171" s="90" t="n"/>
      <c r="L171" s="106" t="n"/>
    </row>
    <row r="172" ht="26.25" customHeight="1" s="80">
      <c r="A172" s="94" t="inlineStr">
        <is>
          <t>08-01</t>
        </is>
      </c>
      <c r="B172" s="95" t="n"/>
      <c r="C172" s="95" t="n"/>
      <c r="D172" s="95" t="inlineStr">
        <is>
          <t>●</t>
        </is>
      </c>
      <c r="E172" s="95" t="n"/>
      <c r="F172" s="96" t="inlineStr">
        <is>
          <t>受注・需給調整</t>
        </is>
      </c>
      <c r="G172" s="97" t="inlineStr">
        <is>
          <t>患者単位の需要を把握して在庫を計画し、受注に応え、供給リスクに備える</t>
        </is>
      </c>
      <c r="H172" s="105" t="n"/>
      <c r="I172" s="105" t="n"/>
      <c r="J172" s="105" t="n"/>
      <c r="K172" s="94" t="n"/>
      <c r="L172" s="105" t="n"/>
    </row>
    <row r="173" ht="26.25" customHeight="1" s="80">
      <c r="A173" s="98" t="inlineStr">
        <is>
          <t>08-01-01</t>
        </is>
      </c>
      <c r="B173" s="99" t="n"/>
      <c r="C173" s="99" t="n"/>
      <c r="D173" s="99" t="n"/>
      <c r="E173" s="99" t="inlineStr">
        <is>
          <t>●</t>
        </is>
      </c>
      <c r="F173" s="100" t="inlineStr">
        <is>
          <t>★患者単位の需要把握（ハブ経由の処方・治療開始情報）</t>
        </is>
      </c>
      <c r="G173" s="104" t="n"/>
      <c r="H173" s="104" t="n"/>
      <c r="I173" s="102" t="inlineStr">
        <is>
          <t>患者支援ケース、受注・出荷、患者・被験者</t>
        </is>
      </c>
      <c r="J173" s="102" t="inlineStr">
        <is>
          <t>需給計画</t>
        </is>
      </c>
      <c r="K173" s="103" t="inlineStr">
        <is>
          <t>非GxP</t>
        </is>
      </c>
      <c r="L173" s="104" t="inlineStr">
        <is>
          <t>SCM・患者サービス／ハブ事業者、スペシャリティ薬局</t>
        </is>
      </c>
    </row>
    <row r="174" ht="15" customHeight="1" s="80">
      <c r="A174" s="98" t="inlineStr">
        <is>
          <t>08-01-02</t>
        </is>
      </c>
      <c r="B174" s="99" t="n"/>
      <c r="C174" s="99" t="n"/>
      <c r="D174" s="99" t="n"/>
      <c r="E174" s="99" t="inlineStr">
        <is>
          <t>●</t>
        </is>
      </c>
      <c r="F174" s="100" t="inlineStr">
        <is>
          <t>在庫計画（安全在庫）</t>
        </is>
      </c>
      <c r="G174" s="104" t="n"/>
      <c r="H174" s="104" t="n"/>
      <c r="I174" s="102" t="inlineStr">
        <is>
          <t>需給計画、在庫</t>
        </is>
      </c>
      <c r="J174" s="102" t="inlineStr">
        <is>
          <t>需給計画</t>
        </is>
      </c>
      <c r="K174" s="103" t="inlineStr">
        <is>
          <t>非GxP</t>
        </is>
      </c>
      <c r="L174" s="104" t="inlineStr">
        <is>
          <t>SCM／—</t>
        </is>
      </c>
    </row>
    <row r="175" ht="26.25" customHeight="1" s="80">
      <c r="A175" s="98" t="inlineStr">
        <is>
          <t>08-01-03</t>
        </is>
      </c>
      <c r="B175" s="99" t="n"/>
      <c r="C175" s="99" t="n"/>
      <c r="D175" s="99" t="n"/>
      <c r="E175" s="99" t="inlineStr">
        <is>
          <t>●</t>
        </is>
      </c>
      <c r="F175" s="100" t="inlineStr">
        <is>
          <t>流通業者からの受注処理</t>
        </is>
      </c>
      <c r="G175" s="104" t="n"/>
      <c r="H175" s="104" t="n"/>
      <c r="I175" s="102" t="inlineStr">
        <is>
          <t>在庫、契約</t>
        </is>
      </c>
      <c r="J175" s="102" t="inlineStr">
        <is>
          <t>受注・出荷</t>
        </is>
      </c>
      <c r="K175" s="103" t="inlineStr">
        <is>
          <t>非GxP</t>
        </is>
      </c>
      <c r="L175" s="104" t="inlineStr">
        <is>
          <t>SCM（受注）／流通業者、スペシャリティ薬局</t>
        </is>
      </c>
    </row>
    <row r="176" ht="26.25" customHeight="1" s="80">
      <c r="A176" s="98" t="inlineStr">
        <is>
          <t>08-01-04</t>
        </is>
      </c>
      <c r="B176" s="99" t="n"/>
      <c r="C176" s="99" t="n"/>
      <c r="D176" s="99" t="n"/>
      <c r="E176" s="99" t="inlineStr">
        <is>
          <t>●</t>
        </is>
      </c>
      <c r="F176" s="100" t="inlineStr">
        <is>
          <t>供給リスク管理（供給中断時のFDAへの事前通知を含む）</t>
        </is>
      </c>
      <c r="G176" s="104" t="n"/>
      <c r="H176" s="104" t="n"/>
      <c r="I176" s="102" t="inlineStr">
        <is>
          <t>需給計画、在庫、生産計画</t>
        </is>
      </c>
      <c r="J176" s="102" t="inlineStr">
        <is>
          <t>供給継続計画、当局コミュニケーション記録</t>
        </is>
      </c>
      <c r="K176" s="103" t="inlineStr">
        <is>
          <t>薬事</t>
        </is>
      </c>
      <c r="L176" s="104" t="inlineStr">
        <is>
          <t>SCM・薬事／FDA</t>
        </is>
      </c>
    </row>
    <row r="177" ht="15" customHeight="1" s="80">
      <c r="A177" s="94" t="inlineStr">
        <is>
          <t>08-02</t>
        </is>
      </c>
      <c r="B177" s="95" t="n"/>
      <c r="C177" s="95" t="n"/>
      <c r="D177" s="95" t="inlineStr">
        <is>
          <t>●</t>
        </is>
      </c>
      <c r="E177" s="95" t="n"/>
      <c r="F177" s="96" t="inlineStr">
        <is>
          <t>コールドチェーン流通</t>
        </is>
      </c>
      <c r="G177" s="97" t="inlineStr">
        <is>
          <t>温度を保ったまま、製品を梱包・輸送・保管する</t>
        </is>
      </c>
      <c r="H177" s="105" t="n"/>
      <c r="I177" s="105" t="n"/>
      <c r="J177" s="105" t="n"/>
      <c r="K177" s="94" t="n"/>
      <c r="L177" s="105" t="n"/>
    </row>
    <row r="178" ht="15" customHeight="1" s="80">
      <c r="A178" s="98" t="inlineStr">
        <is>
          <t>08-02-01</t>
        </is>
      </c>
      <c r="B178" s="99" t="n"/>
      <c r="C178" s="99" t="n"/>
      <c r="D178" s="99" t="n"/>
      <c r="E178" s="99" t="inlineStr">
        <is>
          <t>●</t>
        </is>
      </c>
      <c r="F178" s="100" t="inlineStr">
        <is>
          <t>保冷梱包・出荷</t>
        </is>
      </c>
      <c r="G178" s="104" t="n"/>
      <c r="H178" s="104" t="n"/>
      <c r="I178" s="102" t="inlineStr">
        <is>
          <t>受注・出荷、出荷判定記録</t>
        </is>
      </c>
      <c r="J178" s="102" t="inlineStr">
        <is>
          <t>受注・出荷、温度記録</t>
        </is>
      </c>
      <c r="K178" s="98" t="inlineStr">
        <is>
          <t>GMP・流通</t>
        </is>
      </c>
      <c r="L178" s="104" t="inlineStr">
        <is>
          <t>SCM／3PL</t>
        </is>
      </c>
    </row>
    <row r="179" ht="15" customHeight="1" s="80">
      <c r="A179" s="98" t="inlineStr">
        <is>
          <t>08-02-02</t>
        </is>
      </c>
      <c r="B179" s="99" t="n"/>
      <c r="C179" s="99" t="n"/>
      <c r="D179" s="99" t="n"/>
      <c r="E179" s="99" t="inlineStr">
        <is>
          <t>●</t>
        </is>
      </c>
      <c r="F179" s="100" t="inlineStr">
        <is>
          <t>輸送中の温度モニタリング・逸脱対応</t>
        </is>
      </c>
      <c r="G179" s="104" t="n"/>
      <c r="H179" s="104" t="n"/>
      <c r="I179" s="102" t="inlineStr">
        <is>
          <t>温度記録</t>
        </is>
      </c>
      <c r="J179" s="102" t="inlineStr">
        <is>
          <t>温度記録、逸脱・CAPA</t>
        </is>
      </c>
      <c r="K179" s="98" t="inlineStr">
        <is>
          <t>GMP</t>
        </is>
      </c>
      <c r="L179" s="104" t="inlineStr">
        <is>
          <t>SCM・QA／3PL、輸送業者</t>
        </is>
      </c>
    </row>
    <row r="180" ht="15" customHeight="1" s="80">
      <c r="A180" s="98" t="inlineStr">
        <is>
          <t>08-02-03</t>
        </is>
      </c>
      <c r="B180" s="99" t="n"/>
      <c r="C180" s="99" t="n"/>
      <c r="D180" s="99" t="n"/>
      <c r="E180" s="99" t="inlineStr">
        <is>
          <t>●</t>
        </is>
      </c>
      <c r="F180" s="104" t="inlineStr">
        <is>
          <t>3PL・流通業者での保管</t>
        </is>
      </c>
      <c r="G180" s="104" t="n"/>
      <c r="H180" s="104" t="n"/>
      <c r="I180" s="102" t="inlineStr">
        <is>
          <t>在庫</t>
        </is>
      </c>
      <c r="J180" s="102" t="inlineStr">
        <is>
          <t>在庫、温度記録</t>
        </is>
      </c>
      <c r="K180" s="98" t="inlineStr">
        <is>
          <t>GMP・流通</t>
        </is>
      </c>
      <c r="L180" s="104" t="inlineStr">
        <is>
          <t>SCM／3PL、流通業者</t>
        </is>
      </c>
    </row>
    <row r="181" ht="26.25" customHeight="1" s="80">
      <c r="A181" s="94" t="inlineStr">
        <is>
          <t>08-03</t>
        </is>
      </c>
      <c r="B181" s="95" t="n"/>
      <c r="C181" s="95" t="n"/>
      <c r="D181" s="95" t="inlineStr">
        <is>
          <t>●</t>
        </is>
      </c>
      <c r="E181" s="95" t="n"/>
      <c r="F181" s="96" t="inlineStr">
        <is>
          <t>医療機関・薬局への納入</t>
        </is>
      </c>
      <c r="G181" s="97" t="inlineStr">
        <is>
          <t>限定流通網を通じて製品を届け、追跡可能性を確保し、必要なときは回収する</t>
        </is>
      </c>
      <c r="H181" s="105" t="n"/>
      <c r="I181" s="105" t="n"/>
      <c r="J181" s="105" t="n"/>
      <c r="K181" s="94" t="n"/>
      <c r="L181" s="105" t="n"/>
    </row>
    <row r="182" ht="26.25" customHeight="1" s="80">
      <c r="A182" s="98" t="inlineStr">
        <is>
          <t>08-03-01</t>
        </is>
      </c>
      <c r="B182" s="99" t="n"/>
      <c r="C182" s="99" t="n"/>
      <c r="D182" s="99" t="n"/>
      <c r="E182" s="99" t="inlineStr">
        <is>
          <t>●</t>
        </is>
      </c>
      <c r="F182" s="100" t="inlineStr">
        <is>
          <t>★限定流通ネットワーク経由の配送（在宅投与を含む）</t>
        </is>
      </c>
      <c r="G182" s="104" t="n"/>
      <c r="H182" s="104" t="n"/>
      <c r="I182" s="102" t="inlineStr">
        <is>
          <t>受注・出荷</t>
        </is>
      </c>
      <c r="J182" s="102" t="inlineStr">
        <is>
          <t>受注・出荷</t>
        </is>
      </c>
      <c r="K182" s="103" t="inlineStr">
        <is>
          <t>流通</t>
        </is>
      </c>
      <c r="L182" s="104" t="inlineStr">
        <is>
          <t>SCM／流通業者、スペシャリティ薬局、在宅投与事業者</t>
        </is>
      </c>
    </row>
    <row r="183" ht="26.25" customHeight="1" s="80">
      <c r="A183" s="98" t="inlineStr">
        <is>
          <t>08-03-02</t>
        </is>
      </c>
      <c r="B183" s="99" t="n"/>
      <c r="C183" s="99" t="n"/>
      <c r="D183" s="99" t="n"/>
      <c r="E183" s="99" t="inlineStr">
        <is>
          <t>●</t>
        </is>
      </c>
      <c r="F183" s="104" t="inlineStr">
        <is>
          <t>DSCSA対応（製品識別子・取引情報の電子的な交換）</t>
        </is>
      </c>
      <c r="G183" s="104" t="n"/>
      <c r="H183" s="104" t="n"/>
      <c r="I183" s="102" t="inlineStr">
        <is>
          <t>製品識別子・取引情報（DSCSA）、受注・出荷</t>
        </is>
      </c>
      <c r="J183" s="102" t="inlineStr">
        <is>
          <t>製品識別子・取引情報（DSCSA）</t>
        </is>
      </c>
      <c r="K183" s="103" t="inlineStr">
        <is>
          <t>流通</t>
        </is>
      </c>
      <c r="L183" s="104" t="inlineStr">
        <is>
          <t>SCM・IT／流通業者、スペシャリティ薬局</t>
        </is>
      </c>
    </row>
    <row r="184" ht="39" customHeight="1" s="80">
      <c r="A184" s="98" t="inlineStr">
        <is>
          <t>08-03-03</t>
        </is>
      </c>
      <c r="B184" s="99" t="n"/>
      <c r="C184" s="99" t="n"/>
      <c r="D184" s="99" t="n"/>
      <c r="E184" s="99" t="inlineStr">
        <is>
          <t>●</t>
        </is>
      </c>
      <c r="F184" s="100" t="inlineStr">
        <is>
          <t>回収（リコール）への対応</t>
        </is>
      </c>
      <c r="G184" s="104" t="n"/>
      <c r="H184" s="104" t="n"/>
      <c r="I184" s="102" t="inlineStr">
        <is>
          <t>製品識別子・取引情報（DSCSA）、逸脱・CAPA、安全性シグナル評価</t>
        </is>
      </c>
      <c r="J184" s="102" t="inlineStr">
        <is>
          <t>回収記録、当局コミュニケーション記録</t>
        </is>
      </c>
      <c r="K184" s="98" t="inlineStr">
        <is>
          <t>GMP・薬事</t>
        </is>
      </c>
      <c r="L184" s="104" t="inlineStr">
        <is>
          <t>QA・SCM・薬事／FDA、流通業者、医療機関</t>
        </is>
      </c>
    </row>
    <row r="185" ht="39" customHeight="1" s="80">
      <c r="A185" s="90" t="inlineStr">
        <is>
          <t>09</t>
        </is>
      </c>
      <c r="B185" s="91" t="n"/>
      <c r="C185" s="91" t="inlineStr">
        <is>
          <t>●</t>
        </is>
      </c>
      <c r="D185" s="91" t="n"/>
      <c r="E185" s="91" t="n"/>
      <c r="F185" s="92" t="inlineStr">
        <is>
          <t>市販後</t>
        </is>
      </c>
      <c r="G185" s="93" t="inlineStr">
        <is>
          <t>市販後の安全性を監視し、FDAとの約束（PMR／PMC）を果たし、適応追加などで製品価値を最大化する継続的な活動</t>
        </is>
      </c>
      <c r="H185" s="93" t="inlineStr">
        <is>
          <t>市販後要求の履行・製品価値の最大化</t>
        </is>
      </c>
      <c r="I185" s="106" t="n"/>
      <c r="J185" s="106" t="n"/>
      <c r="K185" s="90" t="n"/>
      <c r="L185" s="106" t="n"/>
    </row>
    <row r="186" ht="26.25" customHeight="1" s="80">
      <c r="A186" s="94" t="inlineStr">
        <is>
          <t>09-01</t>
        </is>
      </c>
      <c r="B186" s="95" t="n"/>
      <c r="C186" s="95" t="n"/>
      <c r="D186" s="95" t="inlineStr">
        <is>
          <t>●</t>
        </is>
      </c>
      <c r="E186" s="95" t="n"/>
      <c r="F186" s="96" t="inlineStr">
        <is>
          <t>安全性監視（ファーマコビジランス）</t>
        </is>
      </c>
      <c r="G186" s="97" t="inlineStr">
        <is>
          <t>有害事象を収集・報告し、シグナルを評価し、REMSを運用する</t>
        </is>
      </c>
      <c r="H186" s="105" t="n"/>
      <c r="I186" s="105" t="n"/>
      <c r="J186" s="105" t="n"/>
      <c r="K186" s="94" t="n"/>
      <c r="L186" s="105" t="n"/>
    </row>
    <row r="187" ht="26.25" customHeight="1" s="80">
      <c r="A187" s="98" t="inlineStr">
        <is>
          <t>09-01-01</t>
        </is>
      </c>
      <c r="B187" s="99" t="n"/>
      <c r="C187" s="99" t="n"/>
      <c r="D187" s="99" t="n"/>
      <c r="E187" s="99" t="inlineStr">
        <is>
          <t>●</t>
        </is>
      </c>
      <c r="F187" s="100" t="inlineStr">
        <is>
          <t>有害事象情報の収集（自発報告・文献・患者支援プログラム経由）</t>
        </is>
      </c>
      <c r="G187" s="104" t="n"/>
      <c r="H187" s="104" t="n"/>
      <c r="I187" s="102" t="inlineStr">
        <is>
          <t>患者支援ケース、患者・被験者</t>
        </is>
      </c>
      <c r="J187" s="102" t="inlineStr">
        <is>
          <t>有害事象症例</t>
        </is>
      </c>
      <c r="K187" s="98" t="inlineStr">
        <is>
          <t>PV</t>
        </is>
      </c>
      <c r="L187" s="100" t="inlineStr">
        <is>
          <t>安全性・患者サービス／医療従事者、患者、ハブ事業者</t>
        </is>
      </c>
    </row>
    <row r="188" ht="15" customHeight="1" s="80">
      <c r="A188" s="98" t="inlineStr">
        <is>
          <t>09-01-02</t>
        </is>
      </c>
      <c r="B188" s="99" t="n"/>
      <c r="C188" s="99" t="n"/>
      <c r="D188" s="99" t="n"/>
      <c r="E188" s="99" t="inlineStr">
        <is>
          <t>●</t>
        </is>
      </c>
      <c r="F188" s="104" t="inlineStr">
        <is>
          <t>15日アラート報告（21 CFR 600.80）</t>
        </is>
      </c>
      <c r="G188" s="104" t="n"/>
      <c r="H188" s="104" t="n"/>
      <c r="I188" s="102" t="inlineStr">
        <is>
          <t>有害事象症例</t>
        </is>
      </c>
      <c r="J188" s="102" t="inlineStr">
        <is>
          <t>安全性報告</t>
        </is>
      </c>
      <c r="K188" s="98" t="inlineStr">
        <is>
          <t>PV</t>
        </is>
      </c>
      <c r="L188" s="100" t="inlineStr">
        <is>
          <t>安全性／FDA（FAERS）</t>
        </is>
      </c>
    </row>
    <row r="189" ht="26.25" customHeight="1" s="80">
      <c r="A189" s="98" t="inlineStr">
        <is>
          <t>09-01-03</t>
        </is>
      </c>
      <c r="B189" s="99" t="n"/>
      <c r="C189" s="99" t="n"/>
      <c r="D189" s="99" t="n"/>
      <c r="E189" s="99" t="inlineStr">
        <is>
          <t>●</t>
        </is>
      </c>
      <c r="F189" s="100" t="inlineStr">
        <is>
          <t>定期報告（承認後3年間は四半期、以後年次）</t>
        </is>
      </c>
      <c r="G189" s="104" t="n"/>
      <c r="H189" s="104" t="n"/>
      <c r="I189" s="102" t="inlineStr">
        <is>
          <t>有害事象症例、安全性シグナル評価</t>
        </is>
      </c>
      <c r="J189" s="102" t="inlineStr">
        <is>
          <t>安全性報告</t>
        </is>
      </c>
      <c r="K189" s="98" t="inlineStr">
        <is>
          <t>PV</t>
        </is>
      </c>
      <c r="L189" s="100" t="inlineStr">
        <is>
          <t>安全性／FDA</t>
        </is>
      </c>
    </row>
    <row r="190" ht="26.25" customHeight="1" s="80">
      <c r="A190" s="98" t="inlineStr">
        <is>
          <t>09-01-04</t>
        </is>
      </c>
      <c r="B190" s="99" t="n"/>
      <c r="C190" s="99" t="n"/>
      <c r="D190" s="99" t="n"/>
      <c r="E190" s="99" t="inlineStr">
        <is>
          <t>●</t>
        </is>
      </c>
      <c r="F190" s="100" t="inlineStr">
        <is>
          <t>シグナル検出・評価</t>
        </is>
      </c>
      <c r="G190" s="104" t="n"/>
      <c r="H190" s="104" t="n"/>
      <c r="I190" s="102" t="inlineStr">
        <is>
          <t>有害事象症例、患者レジストリデータ</t>
        </is>
      </c>
      <c r="J190" s="102" t="inlineStr">
        <is>
          <t>安全性シグナル評価</t>
        </is>
      </c>
      <c r="K190" s="98" t="inlineStr">
        <is>
          <t>PV</t>
        </is>
      </c>
      <c r="L190" s="100" t="inlineStr">
        <is>
          <t>安全性／—</t>
        </is>
      </c>
    </row>
    <row r="191" ht="15" customHeight="1" s="80">
      <c r="A191" s="98" t="inlineStr">
        <is>
          <t>09-01-05</t>
        </is>
      </c>
      <c r="B191" s="99" t="n"/>
      <c r="C191" s="99" t="n"/>
      <c r="D191" s="99" t="n"/>
      <c r="E191" s="99" t="inlineStr">
        <is>
          <t>●</t>
        </is>
      </c>
      <c r="F191" s="104" t="inlineStr">
        <is>
          <t>REMSの運用・評価（課されている場合）</t>
        </is>
      </c>
      <c r="G191" s="104" t="n"/>
      <c r="H191" s="104" t="n"/>
      <c r="I191" s="101" t="inlineStr">
        <is>
          <t>REMS、有害事象症例</t>
        </is>
      </c>
      <c r="J191" s="101" t="inlineStr">
        <is>
          <t>REMS</t>
        </is>
      </c>
      <c r="K191" s="98" t="inlineStr">
        <is>
          <t>PV</t>
        </is>
      </c>
      <c r="L191" s="100" t="inlineStr">
        <is>
          <t>安全性・薬事／FDA、医療機関</t>
        </is>
      </c>
    </row>
    <row r="192" ht="26.25" customHeight="1" s="80">
      <c r="A192" s="94" t="inlineStr">
        <is>
          <t>09-02</t>
        </is>
      </c>
      <c r="B192" s="95" t="n"/>
      <c r="C192" s="95" t="n"/>
      <c r="D192" s="95" t="inlineStr">
        <is>
          <t>●</t>
        </is>
      </c>
      <c r="E192" s="95" t="n"/>
      <c r="F192" s="96" t="inlineStr">
        <is>
          <t>市販後要求・コミットメント（PMR／PMC）</t>
        </is>
      </c>
      <c r="G192" s="105" t="inlineStr">
        <is>
          <t>PMR／PMCの試験とレジストリによる長期追跡を実施し、進捗を報告する</t>
        </is>
      </c>
      <c r="H192" s="105" t="n"/>
      <c r="I192" s="105" t="n"/>
      <c r="J192" s="105" t="n"/>
      <c r="K192" s="94" t="n"/>
      <c r="L192" s="105" t="n"/>
    </row>
    <row r="193" ht="26.25" customHeight="1" s="80">
      <c r="A193" s="98" t="inlineStr">
        <is>
          <t>09-02-01</t>
        </is>
      </c>
      <c r="B193" s="99" t="n"/>
      <c r="C193" s="99" t="n"/>
      <c r="D193" s="99" t="n"/>
      <c r="E193" s="99" t="inlineStr">
        <is>
          <t>●</t>
        </is>
      </c>
      <c r="F193" s="104" t="inlineStr">
        <is>
          <t>PMR／PMC試験の計画・実施</t>
        </is>
      </c>
      <c r="G193" s="104" t="n"/>
      <c r="H193" s="104" t="n"/>
      <c r="I193" s="102" t="inlineStr">
        <is>
          <t>市販後要求・コミットメント（PMR／PMC）</t>
        </is>
      </c>
      <c r="J193" s="102" t="inlineStr">
        <is>
          <t>治験実施計画書、症例データ、臨床試験</t>
        </is>
      </c>
      <c r="K193" s="98" t="inlineStr">
        <is>
          <t>GCP</t>
        </is>
      </c>
      <c r="L193" s="100" t="inlineStr">
        <is>
          <t>臨床開発／CRO、実施医療機関</t>
        </is>
      </c>
    </row>
    <row r="194" ht="39" customHeight="1" s="80">
      <c r="A194" s="98" t="inlineStr">
        <is>
          <t>09-02-02</t>
        </is>
      </c>
      <c r="B194" s="99" t="n"/>
      <c r="C194" s="99" t="n"/>
      <c r="D194" s="99" t="n"/>
      <c r="E194" s="99" t="inlineStr">
        <is>
          <t>●</t>
        </is>
      </c>
      <c r="F194" s="100" t="inlineStr">
        <is>
          <t>検証的試験の完了（迅速承認の場合）</t>
        </is>
      </c>
      <c r="G194" s="104" t="n"/>
      <c r="H194" s="104" t="n"/>
      <c r="I194" s="102" t="inlineStr">
        <is>
          <t>市販後要求・コミットメント（PMR／PMC）、治験実施計画書</t>
        </is>
      </c>
      <c r="J194" s="102" t="inlineStr">
        <is>
          <t>総括報告書（CSR）、申請資料</t>
        </is>
      </c>
      <c r="K194" s="98" t="inlineStr">
        <is>
          <t>GCP・薬事</t>
        </is>
      </c>
      <c r="L194" s="100" t="inlineStr">
        <is>
          <t>臨床開発・薬事／FDA、CRO</t>
        </is>
      </c>
    </row>
    <row r="195" ht="26.25" customHeight="1" s="80">
      <c r="A195" s="98" t="inlineStr">
        <is>
          <t>09-02-03</t>
        </is>
      </c>
      <c r="B195" s="99" t="n"/>
      <c r="C195" s="99" t="n"/>
      <c r="D195" s="99" t="n"/>
      <c r="E195" s="99" t="inlineStr">
        <is>
          <t>●</t>
        </is>
      </c>
      <c r="F195" s="100" t="inlineStr">
        <is>
          <t>★患者レジストリによる長期追跡</t>
        </is>
      </c>
      <c r="G195" s="104" t="n"/>
      <c r="H195" s="104" t="n"/>
      <c r="I195" s="102" t="inlineStr">
        <is>
          <t>患者レジストリデータ、患者・被験者</t>
        </is>
      </c>
      <c r="J195" s="102" t="inlineStr">
        <is>
          <t>患者レジストリデータ</t>
        </is>
      </c>
      <c r="K195" s="98" t="inlineStr">
        <is>
          <t>PV</t>
        </is>
      </c>
      <c r="L195" s="100" t="inlineStr">
        <is>
          <t>メディカル・安全性／患者団体、レジストリ運営者</t>
        </is>
      </c>
    </row>
    <row r="196" ht="26.25" customHeight="1" s="80">
      <c r="A196" s="98" t="inlineStr">
        <is>
          <t>09-02-04</t>
        </is>
      </c>
      <c r="B196" s="99" t="n"/>
      <c r="C196" s="99" t="n"/>
      <c r="D196" s="99" t="n"/>
      <c r="E196" s="99" t="inlineStr">
        <is>
          <t>●</t>
        </is>
      </c>
      <c r="F196" s="100" t="inlineStr">
        <is>
          <t>年次状況報告</t>
        </is>
      </c>
      <c r="G196" s="104" t="n"/>
      <c r="H196" s="104" t="n"/>
      <c r="I196" s="102" t="inlineStr">
        <is>
          <t>市販後要求・コミットメント（PMR／PMC）</t>
        </is>
      </c>
      <c r="J196" s="102" t="inlineStr">
        <is>
          <t>当局年次報告</t>
        </is>
      </c>
      <c r="K196" s="103" t="inlineStr">
        <is>
          <t>薬事</t>
        </is>
      </c>
      <c r="L196" s="100" t="inlineStr">
        <is>
          <t>薬事／FDA</t>
        </is>
      </c>
    </row>
    <row r="197" ht="26.25" customHeight="1" s="80">
      <c r="A197" s="94" t="inlineStr">
        <is>
          <t>09-03</t>
        </is>
      </c>
      <c r="B197" s="95" t="n"/>
      <c r="C197" s="95" t="n"/>
      <c r="D197" s="95" t="inlineStr">
        <is>
          <t>●</t>
        </is>
      </c>
      <c r="E197" s="95" t="n"/>
      <c r="F197" s="96" t="inlineStr">
        <is>
          <t>ライフサイクル管理</t>
        </is>
      </c>
      <c r="G197" s="97" t="inlineStr">
        <is>
          <t>適応・剤形の追加、製法変更、独占期間・価格政策への対応により、製品価値を最大化する</t>
        </is>
      </c>
      <c r="H197" s="105" t="n"/>
      <c r="I197" s="105" t="n"/>
      <c r="J197" s="105" t="n"/>
      <c r="K197" s="94" t="n"/>
      <c r="L197" s="105" t="n"/>
    </row>
    <row r="198" ht="26.25" customHeight="1" s="80">
      <c r="A198" s="98" t="inlineStr">
        <is>
          <t>09-03-01</t>
        </is>
      </c>
      <c r="B198" s="99" t="n"/>
      <c r="C198" s="99" t="n"/>
      <c r="D198" s="99" t="n"/>
      <c r="E198" s="99" t="inlineStr">
        <is>
          <t>●</t>
        </is>
      </c>
      <c r="F198" s="100" t="inlineStr">
        <is>
          <t>適応追加（sBLA）</t>
        </is>
      </c>
      <c r="G198" s="104" t="n"/>
      <c r="H198" s="104" t="n"/>
      <c r="I198" s="102" t="inlineStr">
        <is>
          <t>総括報告書（CSR）、統合解析</t>
        </is>
      </c>
      <c r="J198" s="102" t="inlineStr">
        <is>
          <t>申請資料、承認・許可、表示（USPI）、適応症</t>
        </is>
      </c>
      <c r="K198" s="103" t="inlineStr">
        <is>
          <t>薬事</t>
        </is>
      </c>
      <c r="L198" s="100" t="inlineStr">
        <is>
          <t>薬事・臨床開発／FDA</t>
        </is>
      </c>
    </row>
    <row r="199" ht="26.25" customHeight="1" s="80">
      <c r="A199" s="98" t="inlineStr">
        <is>
          <t>09-03-02</t>
        </is>
      </c>
      <c r="B199" s="99" t="n"/>
      <c r="C199" s="99" t="n"/>
      <c r="D199" s="99" t="n"/>
      <c r="E199" s="99" t="inlineStr">
        <is>
          <t>●</t>
        </is>
      </c>
      <c r="F199" s="100" t="inlineStr">
        <is>
          <t>剤形・投与経路の追加（皮下注化等）</t>
        </is>
      </c>
      <c r="G199" s="104" t="n"/>
      <c r="H199" s="104" t="n"/>
      <c r="I199" s="102" t="inlineStr">
        <is>
          <t>処方・製剤仕様、総括報告書（CSR）</t>
        </is>
      </c>
      <c r="J199" s="102" t="inlineStr">
        <is>
          <t>申請資料、承認・許可</t>
        </is>
      </c>
      <c r="K199" s="103" t="inlineStr">
        <is>
          <t>薬事</t>
        </is>
      </c>
      <c r="L199" s="100" t="inlineStr">
        <is>
          <t>薬事・CMC／FDA</t>
        </is>
      </c>
    </row>
    <row r="200" ht="26.25" customHeight="1" s="80">
      <c r="A200" s="98" t="inlineStr">
        <is>
          <t>09-03-03</t>
        </is>
      </c>
      <c r="B200" s="99" t="n"/>
      <c r="C200" s="99" t="n"/>
      <c r="D200" s="99" t="n"/>
      <c r="E200" s="99" t="inlineStr">
        <is>
          <t>●</t>
        </is>
      </c>
      <c r="F200" s="100" t="inlineStr">
        <is>
          <t>製法変更・製造所追加（601.12の報告区分・同等性評価）</t>
        </is>
      </c>
      <c r="G200" s="104" t="n"/>
      <c r="H200" s="104" t="n"/>
      <c r="I200" s="102" t="inlineStr">
        <is>
          <t>変更管理記録、年次製品照査（APR）、CMC技術報告書</t>
        </is>
      </c>
      <c r="J200" s="102" t="inlineStr">
        <is>
          <t>申請資料、承認・許可</t>
        </is>
      </c>
      <c r="K200" s="98" t="inlineStr">
        <is>
          <t>GMP・薬事</t>
        </is>
      </c>
      <c r="L200" s="104" t="inlineStr">
        <is>
          <t>CMC薬事・QA／FDA、CDMO</t>
        </is>
      </c>
    </row>
    <row r="201" ht="26.25" customHeight="1" s="80">
      <c r="A201" s="98" t="inlineStr">
        <is>
          <t>09-03-04</t>
        </is>
      </c>
      <c r="B201" s="99" t="n"/>
      <c r="C201" s="99" t="n"/>
      <c r="D201" s="99" t="n"/>
      <c r="E201" s="99" t="inlineStr">
        <is>
          <t>●</t>
        </is>
      </c>
      <c r="F201" s="100" t="inlineStr">
        <is>
          <t>★独占期間の管理（Orphan 7年・生物製剤12年）・特許とバイオシミラーへの対応</t>
        </is>
      </c>
      <c r="G201" s="104" t="n"/>
      <c r="H201" s="104" t="n"/>
      <c r="I201" s="102" t="inlineStr">
        <is>
          <t>特許・独占期間、指定・インセンティブ、承認・許可</t>
        </is>
      </c>
      <c r="J201" s="102" t="inlineStr">
        <is>
          <t>特許・独占期間</t>
        </is>
      </c>
      <c r="K201" s="103" t="inlineStr">
        <is>
          <t>非GxP</t>
        </is>
      </c>
      <c r="L201" s="100" t="inlineStr">
        <is>
          <t>知財・法務・薬事／USPTO、FDA（Purple Book）</t>
        </is>
      </c>
    </row>
    <row r="202" ht="26.25" customHeight="1" s="80">
      <c r="A202" s="98" t="inlineStr">
        <is>
          <t>09-03-05</t>
        </is>
      </c>
      <c r="B202" s="99" t="n"/>
      <c r="C202" s="99" t="n"/>
      <c r="D202" s="99" t="n"/>
      <c r="E202" s="99" t="inlineStr">
        <is>
          <t>●</t>
        </is>
      </c>
      <c r="F202" s="104" t="inlineStr">
        <is>
          <t>★Medicare価格交渉の除外要件の管理（希少疾病のみの適応の場合、IRA）</t>
        </is>
      </c>
      <c r="G202" s="104" t="n"/>
      <c r="H202" s="104" t="n"/>
      <c r="I202" s="102" t="inlineStr">
        <is>
          <t>指定・インセンティブ、承認・許可、政府価格報告、適応症</t>
        </is>
      </c>
      <c r="J202" s="101" t="inlineStr">
        <is>
          <t>Medicare価格交渉対象判定</t>
        </is>
      </c>
      <c r="K202" s="103" t="inlineStr">
        <is>
          <t>非GxP</t>
        </is>
      </c>
      <c r="L202" s="100" t="inlineStr">
        <is>
          <t>市場アクセス・薬事・法務／CMS</t>
        </is>
      </c>
    </row>
  </sheetData>
  <autoFilter ref="A3:L20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1F3A5F"/>
    <outlinePr summaryBelow="1" summaryRight="1"/>
    <pageSetUpPr fitToPage="0"/>
  </sheetPr>
  <dimension ref="A1:J220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79" min="1" max="1"/>
    <col width="4.5" customWidth="1" style="79" min="2" max="4"/>
    <col width="30" customWidth="1" style="79" min="5" max="5"/>
    <col width="46" customWidth="1" style="79" min="6" max="6"/>
    <col width="8" customWidth="1" style="79" min="7" max="7"/>
    <col width="30" customWidth="1" style="79" min="8" max="8"/>
    <col width="32" customWidth="1" style="79" min="9" max="9"/>
    <col width="26" customWidth="1" style="79" min="10" max="10"/>
  </cols>
  <sheetData>
    <row r="1" ht="21" customHeight="1" s="80">
      <c r="A1" s="81" t="inlineStr">
        <is>
          <t>ビジネス・ケイパビリティマップ（L1〜L3）</t>
        </is>
      </c>
    </row>
    <row r="2" ht="15" customHeight="1" s="80">
      <c r="A2" s="82" t="inlineStr">
        <is>
          <t>対象：希少疾患向け新規バイオ医薬品（抗体医薬）／米国基準（FDA・BLA・21 CFR）。1行1項目。L1〜L3列の●がその行のレベル。区分はL1、範囲・アウトカムはL3の項目。★＝希少疾患に限定したことで追加・強調した能力。</t>
        </is>
      </c>
    </row>
    <row r="3" ht="30" customHeight="1" s="80">
      <c r="A3" s="83" t="inlineStr">
        <is>
          <t>ID</t>
        </is>
      </c>
      <c r="B3" s="83" t="inlineStr">
        <is>
          <t>L1</t>
        </is>
      </c>
      <c r="C3" s="83" t="inlineStr">
        <is>
          <t>L2</t>
        </is>
      </c>
      <c r="D3" s="83" t="inlineStr">
        <is>
          <t>L3</t>
        </is>
      </c>
      <c r="E3" s="84" t="inlineStr">
        <is>
          <t>ケイパビリティ名</t>
        </is>
      </c>
      <c r="F3" s="84" t="inlineStr">
        <is>
          <t>ケイパビリティの定義</t>
        </is>
      </c>
      <c r="G3" s="84" t="inlineStr">
        <is>
          <t>区分</t>
        </is>
      </c>
      <c r="H3" s="84" t="inlineStr">
        <is>
          <t>範囲（含む）</t>
        </is>
      </c>
      <c r="I3" s="84" t="inlineStr">
        <is>
          <t>範囲（含まない）</t>
        </is>
      </c>
      <c r="J3" s="84" t="inlineStr">
        <is>
          <t>アウトカム</t>
        </is>
      </c>
    </row>
    <row r="4" ht="26.25" customHeight="1" s="80">
      <c r="A4" s="86" t="inlineStr">
        <is>
          <t>C01</t>
        </is>
      </c>
      <c r="B4" s="87" t="inlineStr">
        <is>
          <t>●</t>
        </is>
      </c>
      <c r="C4" s="87" t="n"/>
      <c r="D4" s="87" t="n"/>
      <c r="E4" s="108" t="inlineStr">
        <is>
          <t>戦略・ガバナンス</t>
        </is>
      </c>
      <c r="F4" s="89" t="inlineStr">
        <is>
          <t>研究開発の方向性・資源配分と、知財・外部パートナーを通じた事業基盤を統制する能力</t>
        </is>
      </c>
      <c r="G4" s="109" t="inlineStr">
        <is>
          <t>戦略</t>
        </is>
      </c>
      <c r="H4" s="89" t="n"/>
      <c r="I4" s="89" t="n"/>
      <c r="J4" s="89" t="n"/>
    </row>
    <row r="5" ht="26.25" customHeight="1" s="80">
      <c r="A5" s="90" t="inlineStr">
        <is>
          <t>C01-01</t>
        </is>
      </c>
      <c r="B5" s="91" t="n"/>
      <c r="C5" s="91" t="inlineStr">
        <is>
          <t>●</t>
        </is>
      </c>
      <c r="D5" s="91" t="n"/>
      <c r="E5" s="92" t="inlineStr">
        <is>
          <t>研究開発ポートフォリオ管理</t>
        </is>
      </c>
      <c r="F5" s="93" t="inlineStr">
        <is>
          <t>パイプラインの価値・リスクを評価し、資源配分と段階移行を判断する</t>
        </is>
      </c>
      <c r="G5" s="90" t="n"/>
      <c r="H5" s="106" t="n"/>
      <c r="I5" s="106" t="n"/>
      <c r="J5" s="106" t="n"/>
    </row>
    <row r="6" ht="26.25" customHeight="1" s="80">
      <c r="A6" s="94" t="inlineStr">
        <is>
          <t>C01-01-01</t>
        </is>
      </c>
      <c r="B6" s="95" t="n"/>
      <c r="C6" s="95" t="n"/>
      <c r="D6" s="95" t="inlineStr">
        <is>
          <t>●</t>
        </is>
      </c>
      <c r="E6" s="97" t="inlineStr">
        <is>
          <t>パイプライン評価・優先順位付け</t>
        </is>
      </c>
      <c r="F6" s="97" t="inlineStr">
        <is>
          <t>開発品の価値・成功確率・必要資源を評価し、優先順位と資源配分を決める</t>
        </is>
      </c>
      <c r="G6" s="94" t="n"/>
      <c r="H6" s="97" t="inlineStr">
        <is>
          <t>価値評価（rNPV等）、成功確率の推定、資源配分</t>
        </is>
      </c>
      <c r="I6" s="97" t="inlineStr">
        <is>
          <t>価格戦略・設定（C11-01-01）</t>
        </is>
      </c>
      <c r="J6" s="97" t="inlineStr">
        <is>
          <t>資源が優先度に沿って配分されたパイプライン</t>
        </is>
      </c>
    </row>
    <row r="7" ht="26.25" customHeight="1" s="80">
      <c r="A7" s="94" t="inlineStr">
        <is>
          <t>C01-01-02</t>
        </is>
      </c>
      <c r="B7" s="95" t="n"/>
      <c r="C7" s="95" t="n"/>
      <c r="D7" s="95" t="inlineStr">
        <is>
          <t>●</t>
        </is>
      </c>
      <c r="E7" s="97" t="inlineStr">
        <is>
          <t>段階移行判定</t>
        </is>
      </c>
      <c r="F7" s="97" t="inlineStr">
        <is>
          <t>開発候補品決定・Go／No-Goなど、段階移行の判断基準を定め、判断を下す</t>
        </is>
      </c>
      <c r="G7" s="94" t="n"/>
      <c r="H7" s="97" t="inlineStr">
        <is>
          <t>判断基準の設定、判定会議の運営、判断記録</t>
        </is>
      </c>
      <c r="I7" s="97" t="inlineStr">
        <is>
          <t>科学的評価そのもの（各ケイパビリティが担う）</t>
        </is>
      </c>
      <c r="J7" s="97" t="inlineStr">
        <is>
          <t>根拠が明確で一貫した移行判断</t>
        </is>
      </c>
    </row>
    <row r="8" ht="26.25" customHeight="1" s="80">
      <c r="A8" s="94" t="inlineStr">
        <is>
          <t>C01-01-03</t>
        </is>
      </c>
      <c r="B8" s="95" t="n"/>
      <c r="C8" s="95" t="n"/>
      <c r="D8" s="95" t="inlineStr">
        <is>
          <t>●</t>
        </is>
      </c>
      <c r="E8" s="97" t="inlineStr">
        <is>
          <t>目標製品プロファイル（TPP）管理</t>
        </is>
      </c>
      <c r="F8" s="97" t="inlineStr">
        <is>
          <t>開発品が目指す製品像（適応・用法・有効性・安全性・剤形）を設定し、更新する</t>
        </is>
      </c>
      <c r="G8" s="94" t="n"/>
      <c r="H8" s="105" t="inlineStr">
        <is>
          <t>TPPの設定・改訂、機能横断での共有</t>
        </is>
      </c>
      <c r="I8" s="97" t="inlineStr">
        <is>
          <t>試験デザイン★（C05-01-02）</t>
        </is>
      </c>
      <c r="J8" s="97" t="inlineStr">
        <is>
          <t>全機能で共有された、根拠のある製品像</t>
        </is>
      </c>
    </row>
    <row r="9" ht="26.25" customHeight="1" s="80">
      <c r="A9" s="94" t="inlineStr">
        <is>
          <t>C01-01-04</t>
        </is>
      </c>
      <c r="B9" s="95" t="n"/>
      <c r="C9" s="95" t="n"/>
      <c r="D9" s="95" t="inlineStr">
        <is>
          <t>●</t>
        </is>
      </c>
      <c r="E9" s="97" t="inlineStr">
        <is>
          <t>開発プロジェクト管理</t>
        </is>
      </c>
      <c r="F9" s="97" t="inlineStr">
        <is>
          <t>開発品ごとに、機能横断の統合計画・進捗・リスクを管理する</t>
        </is>
      </c>
      <c r="G9" s="94" t="n"/>
      <c r="H9" s="97" t="inlineStr">
        <is>
          <t>統合スケジュール、課題・リスク管理、部門間調整</t>
        </is>
      </c>
      <c r="I9" s="97" t="inlineStr">
        <is>
          <t>モニタリング・施設管理（C05-04-02）</t>
        </is>
      </c>
      <c r="J9" s="97" t="inlineStr">
        <is>
          <t>計画どおりに進む、見通しの立つ開発</t>
        </is>
      </c>
    </row>
    <row r="10" ht="26.25" customHeight="1" s="80">
      <c r="A10" s="90" t="inlineStr">
        <is>
          <t>C01-02</t>
        </is>
      </c>
      <c r="B10" s="91" t="n"/>
      <c r="C10" s="91" t="inlineStr">
        <is>
          <t>●</t>
        </is>
      </c>
      <c r="D10" s="91" t="n"/>
      <c r="E10" s="92" t="inlineStr">
        <is>
          <t>知財・独占期間管理</t>
        </is>
      </c>
      <c r="F10" s="93" t="inlineStr">
        <is>
          <t>特許と規制上の独占期間により、製品の排他性を確保・維持する</t>
        </is>
      </c>
      <c r="G10" s="90" t="n"/>
      <c r="H10" s="106" t="n"/>
      <c r="I10" s="106" t="n"/>
      <c r="J10" s="106" t="n"/>
    </row>
    <row r="11" ht="26.25" customHeight="1" s="80">
      <c r="A11" s="94" t="inlineStr">
        <is>
          <t>C01-02-01</t>
        </is>
      </c>
      <c r="B11" s="95" t="n"/>
      <c r="C11" s="95" t="n"/>
      <c r="D11" s="95" t="inlineStr">
        <is>
          <t>●</t>
        </is>
      </c>
      <c r="E11" s="97" t="inlineStr">
        <is>
          <t>特許戦略・調査</t>
        </is>
      </c>
      <c r="F11" s="97" t="inlineStr">
        <is>
          <t>物質・製法・用途の特許の出願・権利化と、他者特許の調査（FTO）を行う</t>
        </is>
      </c>
      <c r="G11" s="94" t="n"/>
      <c r="H11" s="97" t="inlineStr">
        <is>
          <t>特許出願・権利化、FTO調査、競合知財の監視</t>
        </is>
      </c>
      <c r="I11" s="97" t="inlineStr">
        <is>
          <t>規制上の独占期間管理（C01-02-02）</t>
        </is>
      </c>
      <c r="J11" s="97" t="inlineStr">
        <is>
          <t>事業化の自由度と排他権の確保</t>
        </is>
      </c>
    </row>
    <row r="12" ht="26.25" customHeight="1" s="80">
      <c r="A12" s="94" t="inlineStr">
        <is>
          <t>C01-02-02</t>
        </is>
      </c>
      <c r="B12" s="95" t="n"/>
      <c r="C12" s="95" t="n"/>
      <c r="D12" s="95" t="inlineStr">
        <is>
          <t>●</t>
        </is>
      </c>
      <c r="E12" s="97" t="inlineStr">
        <is>
          <t>規制上の独占期間管理</t>
        </is>
      </c>
      <c r="F12" s="105" t="inlineStr">
        <is>
          <t>Orphan 7年・生物製剤12年の独占期間の範囲を確認し、維持する</t>
        </is>
      </c>
      <c r="G12" s="94" t="n"/>
      <c r="H12" s="97" t="inlineStr">
        <is>
          <t>独占範囲の確認、Purple Bookの掲載情報の確認</t>
        </is>
      </c>
      <c r="I12" s="97" t="inlineStr">
        <is>
          <t>指定制度・インセンティブ管理★（C06-01-03）</t>
        </is>
      </c>
      <c r="J12" s="97" t="inlineStr">
        <is>
          <t>最大限に確保された独占期間</t>
        </is>
      </c>
    </row>
    <row r="13" ht="26.25" customHeight="1" s="80">
      <c r="A13" s="94" t="inlineStr">
        <is>
          <t>C01-02-03</t>
        </is>
      </c>
      <c r="B13" s="95" t="n"/>
      <c r="C13" s="95" t="n"/>
      <c r="D13" s="95" t="inlineStr">
        <is>
          <t>●</t>
        </is>
      </c>
      <c r="E13" s="97" t="inlineStr">
        <is>
          <t>バイオシミラー対応</t>
        </is>
      </c>
      <c r="F13" s="97" t="inlineStr">
        <is>
          <t>後続のバイオシミラー申請者との特許情報交換（BPCIA）と紛争に対応する</t>
        </is>
      </c>
      <c r="G13" s="94" t="n"/>
      <c r="H13" s="97" t="inlineStr">
        <is>
          <t>特許情報の交換手続き、訴訟対応</t>
        </is>
      </c>
      <c r="I13" s="97" t="inlineStr">
        <is>
          <t>特許戦略・調査（C01-02-01）</t>
        </is>
      </c>
      <c r="J13" s="97" t="inlineStr">
        <is>
          <t>後続品参入に対する権利の適切な行使</t>
        </is>
      </c>
    </row>
    <row r="14" ht="26.25" customHeight="1" s="80">
      <c r="A14" s="90" t="inlineStr">
        <is>
          <t>C01-03</t>
        </is>
      </c>
      <c r="B14" s="91" t="n"/>
      <c r="C14" s="91" t="inlineStr">
        <is>
          <t>●</t>
        </is>
      </c>
      <c r="D14" s="91" t="n"/>
      <c r="E14" s="92" t="inlineStr">
        <is>
          <t>外部パートナー管理</t>
        </is>
      </c>
      <c r="F14" s="106" t="inlineStr">
        <is>
          <t>CRO・CDMO・受託機関・提携先を選び、契約し、委託業務を監督する</t>
        </is>
      </c>
      <c r="G14" s="90" t="n"/>
      <c r="H14" s="106" t="n"/>
      <c r="I14" s="106" t="n"/>
      <c r="J14" s="106" t="n"/>
    </row>
    <row r="15" ht="15" customHeight="1" s="80">
      <c r="A15" s="94" t="inlineStr">
        <is>
          <t>C01-03-01</t>
        </is>
      </c>
      <c r="B15" s="95" t="n"/>
      <c r="C15" s="95" t="n"/>
      <c r="D15" s="95" t="inlineStr">
        <is>
          <t>●</t>
        </is>
      </c>
      <c r="E15" s="97" t="inlineStr">
        <is>
          <t>パートナー選定・評価</t>
        </is>
      </c>
      <c r="F15" s="97" t="inlineStr">
        <is>
          <t>委託先・提携先の能力・リスクを評価し、選定する</t>
        </is>
      </c>
      <c r="G15" s="94" t="n"/>
      <c r="H15" s="97" t="inlineStr">
        <is>
          <t>候補の調査・評価、選定判断</t>
        </is>
      </c>
      <c r="I15" s="97" t="inlineStr">
        <is>
          <t>内部監査・パートナー監査（C08-04-02）</t>
        </is>
      </c>
      <c r="J15" s="97" t="inlineStr">
        <is>
          <t>目的に合った委託先・提携先</t>
        </is>
      </c>
    </row>
    <row r="16" ht="39" customHeight="1" s="80">
      <c r="A16" s="94" t="inlineStr">
        <is>
          <t>C01-03-02</t>
        </is>
      </c>
      <c r="B16" s="95" t="n"/>
      <c r="C16" s="95" t="n"/>
      <c r="D16" s="95" t="inlineStr">
        <is>
          <t>●</t>
        </is>
      </c>
      <c r="E16" s="97" t="inlineStr">
        <is>
          <t>委託業務の契約・監督</t>
        </is>
      </c>
      <c r="F16" s="97" t="inlineStr">
        <is>
          <t>業務契約・品質取決めを結び、委託業務の実績・課題を管理する（責任はスポンサーに残る）</t>
        </is>
      </c>
      <c r="G16" s="94" t="n"/>
      <c r="H16" s="97" t="inlineStr">
        <is>
          <t>業務契約、品質取決め、実績・KPIの管理</t>
        </is>
      </c>
      <c r="I16" s="97" t="inlineStr">
        <is>
          <t>保険者・PBM契約（C11-01-03）、流通ネットワーク設計・パートナー管理（C12-02-01）</t>
        </is>
      </c>
      <c r="J16" s="97" t="inlineStr">
        <is>
          <t>委託しても品質・期限が守られる状態</t>
        </is>
      </c>
    </row>
    <row r="17" ht="15" customHeight="1" s="80">
      <c r="A17" s="94" t="inlineStr">
        <is>
          <t>C01-03-03</t>
        </is>
      </c>
      <c r="B17" s="95" t="n"/>
      <c r="C17" s="95" t="n"/>
      <c r="D17" s="95" t="inlineStr">
        <is>
          <t>●</t>
        </is>
      </c>
      <c r="E17" s="97" t="inlineStr">
        <is>
          <t>提携・ライセンス管理</t>
        </is>
      </c>
      <c r="F17" s="97" t="inlineStr">
        <is>
          <t>共同開発・導入・導出の契約と、提携関係を管理する</t>
        </is>
      </c>
      <c r="G17" s="94" t="n"/>
      <c r="H17" s="97" t="inlineStr">
        <is>
          <t>提携交渉・契約、提携先との共同運営</t>
        </is>
      </c>
      <c r="I17" s="105" t="inlineStr">
        <is>
          <t>—</t>
        </is>
      </c>
      <c r="J17" s="97" t="inlineStr">
        <is>
          <t>価値を生む提携関係</t>
        </is>
      </c>
    </row>
    <row r="18" ht="26.25" customHeight="1" s="80">
      <c r="A18" s="86" t="inlineStr">
        <is>
          <t>C02</t>
        </is>
      </c>
      <c r="B18" s="87" t="inlineStr">
        <is>
          <t>●</t>
        </is>
      </c>
      <c r="C18" s="87" t="n"/>
      <c r="D18" s="87" t="n"/>
      <c r="E18" s="108" t="inlineStr">
        <is>
          <t>研究（創薬）</t>
        </is>
      </c>
      <c r="F18" s="89" t="inlineStr">
        <is>
          <t>疾患を理解し、標的に対する抗体を創出・最適化して開発候補品を生み出す能力</t>
        </is>
      </c>
      <c r="G18" s="109" t="inlineStr">
        <is>
          <t>コア</t>
        </is>
      </c>
      <c r="H18" s="89" t="n"/>
      <c r="I18" s="89" t="n"/>
      <c r="J18" s="89" t="n"/>
    </row>
    <row r="19" ht="26.25" customHeight="1" s="80">
      <c r="A19" s="90" t="inlineStr">
        <is>
          <t>C02-01</t>
        </is>
      </c>
      <c r="B19" s="91" t="n"/>
      <c r="C19" s="91" t="inlineStr">
        <is>
          <t>●</t>
        </is>
      </c>
      <c r="D19" s="91" t="n"/>
      <c r="E19" s="92" t="inlineStr">
        <is>
          <t>疾患・標的研究★</t>
        </is>
      </c>
      <c r="F19" s="93" t="inlineStr">
        <is>
          <t>遺伝学的原因を起点に疾患を理解し、抗体で狙う標的を探索・検証する</t>
        </is>
      </c>
      <c r="G19" s="90" t="n"/>
      <c r="H19" s="106" t="n"/>
      <c r="I19" s="106" t="n"/>
      <c r="J19" s="106" t="n"/>
    </row>
    <row r="20" ht="26.25" customHeight="1" s="80">
      <c r="A20" s="94" t="inlineStr">
        <is>
          <t>C02-01-01</t>
        </is>
      </c>
      <c r="B20" s="95" t="n"/>
      <c r="C20" s="95" t="n"/>
      <c r="D20" s="95" t="inlineStr">
        <is>
          <t>●</t>
        </is>
      </c>
      <c r="E20" s="97" t="inlineStr">
        <is>
          <t>病態・遺伝学的原因の解析★</t>
        </is>
      </c>
      <c r="F20" s="97" t="inlineStr">
        <is>
          <t>患者ゲノム・検体データや疾患生物学から、病態と原因遺伝子・経路を明らかにする</t>
        </is>
      </c>
      <c r="G20" s="94" t="n"/>
      <c r="H20" s="97" t="inlineStr">
        <is>
          <t>遺伝学的解析、病態メカニズムの解明、標的仮説の立案</t>
        </is>
      </c>
      <c r="I20" s="97" t="inlineStr">
        <is>
          <t>患者団体との協働★（C10-01-01）</t>
        </is>
      </c>
      <c r="J20" s="97" t="inlineStr">
        <is>
          <t>根拠のある標的仮説</t>
        </is>
      </c>
    </row>
    <row r="21" ht="26.25" customHeight="1" s="80">
      <c r="A21" s="94" t="inlineStr">
        <is>
          <t>C02-01-02</t>
        </is>
      </c>
      <c r="B21" s="95" t="n"/>
      <c r="C21" s="95" t="n"/>
      <c r="D21" s="95" t="inlineStr">
        <is>
          <t>●</t>
        </is>
      </c>
      <c r="E21" s="97" t="inlineStr">
        <is>
          <t>標的検証</t>
        </is>
      </c>
      <c r="F21" s="97" t="inlineStr">
        <is>
          <t>標的の関与を実験的に検証する</t>
        </is>
      </c>
      <c r="G21" s="94" t="n"/>
      <c r="H21" s="97" t="inlineStr">
        <is>
          <t>遺伝子ノックダウン等の機能検証、in vitro／in vivoでの検証</t>
        </is>
      </c>
      <c r="I21" s="105" t="inlineStr">
        <is>
          <t>in vitro／in vivo薬効評価（C02-04-02）</t>
        </is>
      </c>
      <c r="J21" s="97" t="inlineStr">
        <is>
          <t>検証された標的</t>
        </is>
      </c>
    </row>
    <row r="22" ht="26.25" customHeight="1" s="80">
      <c r="A22" s="94" t="inlineStr">
        <is>
          <t>C02-01-03</t>
        </is>
      </c>
      <c r="B22" s="95" t="n"/>
      <c r="C22" s="95" t="n"/>
      <c r="D22" s="95" t="inlineStr">
        <is>
          <t>●</t>
        </is>
      </c>
      <c r="E22" s="97" t="inlineStr">
        <is>
          <t>モダリティ適合性評価</t>
        </is>
      </c>
      <c r="F22" s="97" t="inlineStr">
        <is>
          <t>標的が抗体で狙えるか（細胞外・膜タンパクか、発現分布など）を評価する</t>
        </is>
      </c>
      <c r="G22" s="94" t="n"/>
      <c r="H22" s="97" t="inlineStr">
        <is>
          <t>標的の局在・発現分布の評価、モダリティ選択</t>
        </is>
      </c>
      <c r="I22" s="105" t="inlineStr">
        <is>
          <t>—</t>
        </is>
      </c>
      <c r="J22" s="97" t="inlineStr">
        <is>
          <t>抗体で狙うことの妥当性</t>
        </is>
      </c>
    </row>
    <row r="23" ht="15" customHeight="1" s="80">
      <c r="A23" s="90" t="inlineStr">
        <is>
          <t>C02-02</t>
        </is>
      </c>
      <c r="B23" s="91" t="n"/>
      <c r="C23" s="91" t="inlineStr">
        <is>
          <t>●</t>
        </is>
      </c>
      <c r="D23" s="91" t="n"/>
      <c r="E23" s="92" t="inlineStr">
        <is>
          <t>抗体創出</t>
        </is>
      </c>
      <c r="F23" s="93" t="inlineStr">
        <is>
          <t>抗原・評価系を整え、抗体を取得して選別する</t>
        </is>
      </c>
      <c r="G23" s="90" t="n"/>
      <c r="H23" s="106" t="n"/>
      <c r="I23" s="106" t="n"/>
      <c r="J23" s="106" t="n"/>
    </row>
    <row r="24" ht="26.25" customHeight="1" s="80">
      <c r="A24" s="94" t="inlineStr">
        <is>
          <t>C02-02-01</t>
        </is>
      </c>
      <c r="B24" s="95" t="n"/>
      <c r="C24" s="95" t="n"/>
      <c r="D24" s="95" t="inlineStr">
        <is>
          <t>●</t>
        </is>
      </c>
      <c r="E24" s="97" t="inlineStr">
        <is>
          <t>抗原・アッセイ開発</t>
        </is>
      </c>
      <c r="F24" s="97" t="inlineStr">
        <is>
          <t>抗体取得・評価に使う抗原と評価系（アッセイ）をつくる</t>
        </is>
      </c>
      <c r="G24" s="94" t="n"/>
      <c r="H24" s="97" t="inlineStr">
        <is>
          <t>抗原タンパク・細胞の調製、結合・機能アッセイの構築</t>
        </is>
      </c>
      <c r="I24" s="97" t="inlineStr">
        <is>
          <t>分析法開発・バリデーション（C04-04-02）</t>
        </is>
      </c>
      <c r="J24" s="97" t="inlineStr">
        <is>
          <t>信頼できる抗原と評価系</t>
        </is>
      </c>
    </row>
    <row r="25" ht="26.25" customHeight="1" s="80">
      <c r="A25" s="94" t="inlineStr">
        <is>
          <t>C02-02-02</t>
        </is>
      </c>
      <c r="B25" s="95" t="n"/>
      <c r="C25" s="95" t="n"/>
      <c r="D25" s="95" t="inlineStr">
        <is>
          <t>●</t>
        </is>
      </c>
      <c r="E25" s="97" t="inlineStr">
        <is>
          <t>抗体取得</t>
        </is>
      </c>
      <c r="F25" s="97" t="inlineStr">
        <is>
          <t>動物免疫・ヒト抗体産生動物・ディスプレイライブラリから抗体を得る</t>
        </is>
      </c>
      <c r="G25" s="94" t="n"/>
      <c r="H25" s="97" t="inlineStr">
        <is>
          <t>免疫、ライブラリ構築・パニング、配列取得</t>
        </is>
      </c>
      <c r="I25" s="105" t="inlineStr">
        <is>
          <t>—</t>
        </is>
      </c>
      <c r="J25" s="97" t="inlineStr">
        <is>
          <t>多様な抗体クローン群</t>
        </is>
      </c>
    </row>
    <row r="26" ht="26.25" customHeight="1" s="80">
      <c r="A26" s="94" t="inlineStr">
        <is>
          <t>C02-02-03</t>
        </is>
      </c>
      <c r="B26" s="95" t="n"/>
      <c r="C26" s="95" t="n"/>
      <c r="D26" s="95" t="inlineStr">
        <is>
          <t>●</t>
        </is>
      </c>
      <c r="E26" s="97" t="inlineStr">
        <is>
          <t>スクリーニング・機能評価</t>
        </is>
      </c>
      <c r="F26" s="97" t="inlineStr">
        <is>
          <t>抗体を結合性・機能（中和・エフェクター機能）で選別する</t>
        </is>
      </c>
      <c r="G26" s="94" t="n"/>
      <c r="H26" s="97" t="inlineStr">
        <is>
          <t>一次スクリーニング、機能評価、ヒット・リードの選定</t>
        </is>
      </c>
      <c r="I26" s="105" t="inlineStr">
        <is>
          <t>—</t>
        </is>
      </c>
      <c r="J26" s="97" t="inlineStr">
        <is>
          <t>目的の機能を持つリード抗体</t>
        </is>
      </c>
    </row>
    <row r="27" ht="15" customHeight="1" s="80">
      <c r="A27" s="90" t="inlineStr">
        <is>
          <t>C02-03</t>
        </is>
      </c>
      <c r="B27" s="91" t="n"/>
      <c r="C27" s="91" t="inlineStr">
        <is>
          <t>●</t>
        </is>
      </c>
      <c r="D27" s="91" t="n"/>
      <c r="E27" s="92" t="inlineStr">
        <is>
          <t>抗体エンジニアリング</t>
        </is>
      </c>
      <c r="F27" s="93" t="inlineStr">
        <is>
          <t>抗体分子を改変し、医薬品として最適化する</t>
        </is>
      </c>
      <c r="G27" s="90" t="n"/>
      <c r="H27" s="106" t="n"/>
      <c r="I27" s="106" t="n"/>
      <c r="J27" s="106" t="n"/>
    </row>
    <row r="28" ht="15" customHeight="1" s="80">
      <c r="A28" s="94" t="inlineStr">
        <is>
          <t>C02-03-01</t>
        </is>
      </c>
      <c r="B28" s="95" t="n"/>
      <c r="C28" s="95" t="n"/>
      <c r="D28" s="95" t="inlineStr">
        <is>
          <t>●</t>
        </is>
      </c>
      <c r="E28" s="97" t="inlineStr">
        <is>
          <t>ヒト化</t>
        </is>
      </c>
      <c r="F28" s="97" t="inlineStr">
        <is>
          <t>動物由来抗体をヒト型に改変し、免疫原性を下げる</t>
        </is>
      </c>
      <c r="G28" s="94" t="n"/>
      <c r="H28" s="105" t="inlineStr">
        <is>
          <t>CDR移植、フレームワーク最適化</t>
        </is>
      </c>
      <c r="I28" s="105" t="inlineStr">
        <is>
          <t>—</t>
        </is>
      </c>
      <c r="J28" s="97" t="inlineStr">
        <is>
          <t>ヒトに投与できる抗体配列</t>
        </is>
      </c>
    </row>
    <row r="29" ht="15" customHeight="1" s="80">
      <c r="A29" s="94" t="inlineStr">
        <is>
          <t>C02-03-02</t>
        </is>
      </c>
      <c r="B29" s="95" t="n"/>
      <c r="C29" s="95" t="n"/>
      <c r="D29" s="95" t="inlineStr">
        <is>
          <t>●</t>
        </is>
      </c>
      <c r="E29" s="97" t="inlineStr">
        <is>
          <t>親和性成熟</t>
        </is>
      </c>
      <c r="F29" s="97" t="inlineStr">
        <is>
          <t>標的への結合力・特異性を高める</t>
        </is>
      </c>
      <c r="G29" s="94" t="n"/>
      <c r="H29" s="97" t="inlineStr">
        <is>
          <t>変異導入・選択</t>
        </is>
      </c>
      <c r="I29" s="105" t="inlineStr">
        <is>
          <t>—</t>
        </is>
      </c>
      <c r="J29" s="97" t="inlineStr">
        <is>
          <t>最適な結合特性</t>
        </is>
      </c>
    </row>
    <row r="30" ht="26.25" customHeight="1" s="80">
      <c r="A30" s="94" t="inlineStr">
        <is>
          <t>C02-03-03</t>
        </is>
      </c>
      <c r="B30" s="95" t="n"/>
      <c r="C30" s="95" t="n"/>
      <c r="D30" s="95" t="inlineStr">
        <is>
          <t>●</t>
        </is>
      </c>
      <c r="E30" s="105" t="inlineStr">
        <is>
          <t>Fcエンジニアリング</t>
        </is>
      </c>
      <c r="F30" s="105" t="inlineStr">
        <is>
          <t>Fc領域を設計し、エフェクター機能・血中半減期を調整する</t>
        </is>
      </c>
      <c r="G30" s="94" t="n"/>
      <c r="H30" s="97" t="inlineStr">
        <is>
          <t>エフェクター機能の増強・低減、半減期延長</t>
        </is>
      </c>
      <c r="I30" s="105" t="inlineStr">
        <is>
          <t>—</t>
        </is>
      </c>
      <c r="J30" s="97" t="inlineStr">
        <is>
          <t>目的に合った作用・体内動態</t>
        </is>
      </c>
    </row>
    <row r="31" ht="15" customHeight="1" s="80">
      <c r="A31" s="90" t="inlineStr">
        <is>
          <t>C02-04</t>
        </is>
      </c>
      <c r="B31" s="91" t="n"/>
      <c r="C31" s="91" t="inlineStr">
        <is>
          <t>●</t>
        </is>
      </c>
      <c r="D31" s="91" t="n"/>
      <c r="E31" s="92" t="inlineStr">
        <is>
          <t>疾患モデル・薬効評価</t>
        </is>
      </c>
      <c r="F31" s="93" t="inlineStr">
        <is>
          <t>疾患モデルを構築し、候補抗体の薬効を評価する</t>
        </is>
      </c>
      <c r="G31" s="90" t="n"/>
      <c r="H31" s="106" t="n"/>
      <c r="I31" s="106" t="n"/>
      <c r="J31" s="106" t="n"/>
    </row>
    <row r="32" ht="26.25" customHeight="1" s="80">
      <c r="A32" s="94" t="inlineStr">
        <is>
          <t>C02-04-01</t>
        </is>
      </c>
      <c r="B32" s="95" t="n"/>
      <c r="C32" s="95" t="n"/>
      <c r="D32" s="95" t="inlineStr">
        <is>
          <t>●</t>
        </is>
      </c>
      <c r="E32" s="97" t="inlineStr">
        <is>
          <t>疾患モデル構築★</t>
        </is>
      </c>
      <c r="F32" s="97" t="inlineStr">
        <is>
          <t>遺伝子改変動物・患者由来細胞などで疾患を再現するモデルをつくる</t>
        </is>
      </c>
      <c r="G32" s="94" t="n"/>
      <c r="H32" s="97" t="inlineStr">
        <is>
          <t>モデルの作製・特性評価・維持</t>
        </is>
      </c>
      <c r="I32" s="105" t="inlineStr">
        <is>
          <t>—</t>
        </is>
      </c>
      <c r="J32" s="97" t="inlineStr">
        <is>
          <t>疾患を反映した評価系</t>
        </is>
      </c>
    </row>
    <row r="33" ht="26.25" customHeight="1" s="80">
      <c r="A33" s="94" t="inlineStr">
        <is>
          <t>C02-04-02</t>
        </is>
      </c>
      <c r="B33" s="95" t="n"/>
      <c r="C33" s="95" t="n"/>
      <c r="D33" s="95" t="inlineStr">
        <is>
          <t>●</t>
        </is>
      </c>
      <c r="E33" s="105" t="inlineStr">
        <is>
          <t>in vitro／in vivo薬効評価</t>
        </is>
      </c>
      <c r="F33" s="97" t="inlineStr">
        <is>
          <t>候補選定のために、疾患モデルで候補抗体の薬効を比較評価する</t>
        </is>
      </c>
      <c r="G33" s="94" t="n"/>
      <c r="H33" s="97" t="inlineStr">
        <is>
          <t>候補間の薬効比較</t>
        </is>
      </c>
      <c r="I33" s="97" t="inlineStr">
        <is>
          <t>作用機序・薬効薬理評価（C03-01-01）</t>
        </is>
      </c>
      <c r="J33" s="97" t="inlineStr">
        <is>
          <t>候補選定の根拠となる薬効データ</t>
        </is>
      </c>
    </row>
    <row r="34" ht="26.25" customHeight="1" s="80">
      <c r="A34" s="90" t="inlineStr">
        <is>
          <t>C02-05</t>
        </is>
      </c>
      <c r="B34" s="91" t="n"/>
      <c r="C34" s="91" t="inlineStr">
        <is>
          <t>●</t>
        </is>
      </c>
      <c r="D34" s="91" t="n"/>
      <c r="E34" s="92" t="inlineStr">
        <is>
          <t>開発適性・免疫原性リスク評価</t>
        </is>
      </c>
      <c r="F34" s="93" t="inlineStr">
        <is>
          <t>医薬品として開発・製造できるか、免疫原性のリスクはどうかを早期に評価する</t>
        </is>
      </c>
      <c r="G34" s="90" t="n"/>
      <c r="H34" s="106" t="n"/>
      <c r="I34" s="106" t="n"/>
      <c r="J34" s="106" t="n"/>
    </row>
    <row r="35" ht="26.25" customHeight="1" s="80">
      <c r="A35" s="94" t="inlineStr">
        <is>
          <t>C02-05-01</t>
        </is>
      </c>
      <c r="B35" s="95" t="n"/>
      <c r="C35" s="95" t="n"/>
      <c r="D35" s="95" t="inlineStr">
        <is>
          <t>●</t>
        </is>
      </c>
      <c r="E35" s="97" t="inlineStr">
        <is>
          <t>開発適性評価</t>
        </is>
      </c>
      <c r="F35" s="97" t="inlineStr">
        <is>
          <t>凝集性・安定性・発現性・粘度など、開発・製造上の適性を評価する</t>
        </is>
      </c>
      <c r="G35" s="94" t="n"/>
      <c r="H35" s="97" t="inlineStr">
        <is>
          <t>開発適性の各種評価、配列上のリスク部位の特定</t>
        </is>
      </c>
      <c r="I35" s="97" t="inlineStr">
        <is>
          <t>処方開発（C04-03-01）</t>
        </is>
      </c>
      <c r="J35" s="97" t="inlineStr">
        <is>
          <t>開発・製造で問題が起きにくい候補</t>
        </is>
      </c>
    </row>
    <row r="36" ht="26.25" customHeight="1" s="80">
      <c r="A36" s="94" t="inlineStr">
        <is>
          <t>C02-05-02</t>
        </is>
      </c>
      <c r="B36" s="95" t="n"/>
      <c r="C36" s="95" t="n"/>
      <c r="D36" s="95" t="inlineStr">
        <is>
          <t>●</t>
        </is>
      </c>
      <c r="E36" s="97" t="inlineStr">
        <is>
          <t>免疫原性リスク予測</t>
        </is>
      </c>
      <c r="F36" s="105" t="inlineStr">
        <is>
          <t>in silico／in vitroで免疫原性（抗薬物抗体の発生）のリスクを予測する</t>
        </is>
      </c>
      <c r="G36" s="94" t="n"/>
      <c r="H36" s="105" t="inlineStr">
        <is>
          <t>T細胞エピトープ予測、in vitro評価</t>
        </is>
      </c>
      <c r="I36" s="97" t="inlineStr">
        <is>
          <t>測定法開発・バリデーション（C03-03-01）</t>
        </is>
      </c>
      <c r="J36" s="97" t="inlineStr">
        <is>
          <t>免疫原性リスクの低い候補</t>
        </is>
      </c>
    </row>
    <row r="37" ht="26.25" customHeight="1" s="80">
      <c r="A37" s="86" t="inlineStr">
        <is>
          <t>C03</t>
        </is>
      </c>
      <c r="B37" s="87" t="inlineStr">
        <is>
          <t>●</t>
        </is>
      </c>
      <c r="C37" s="87" t="n"/>
      <c r="D37" s="87" t="n"/>
      <c r="E37" s="108" t="inlineStr">
        <is>
          <t>非臨床・臨床薬理</t>
        </is>
      </c>
      <c r="F37" s="89" t="inlineStr">
        <is>
          <t>ヒトへの投与を可能にし、用法用量を裏づける薬理・安全性・体内動態の知見を生み出す能力</t>
        </is>
      </c>
      <c r="G37" s="109" t="inlineStr">
        <is>
          <t>コア</t>
        </is>
      </c>
      <c r="H37" s="89" t="n"/>
      <c r="I37" s="89" t="n"/>
      <c r="J37" s="89" t="n"/>
    </row>
    <row r="38" ht="15" customHeight="1" s="80">
      <c r="A38" s="90" t="inlineStr">
        <is>
          <t>C03-01</t>
        </is>
      </c>
      <c r="B38" s="91" t="n"/>
      <c r="C38" s="91" t="inlineStr">
        <is>
          <t>●</t>
        </is>
      </c>
      <c r="D38" s="91" t="n"/>
      <c r="E38" s="92" t="inlineStr">
        <is>
          <t>非臨床薬理評価</t>
        </is>
      </c>
      <c r="F38" s="93" t="inlineStr">
        <is>
          <t>作用機序と薬効・安全性薬理を明らかにする</t>
        </is>
      </c>
      <c r="G38" s="90" t="n"/>
      <c r="H38" s="106" t="n"/>
      <c r="I38" s="106" t="n"/>
      <c r="J38" s="106" t="n"/>
    </row>
    <row r="39" ht="26.25" customHeight="1" s="80">
      <c r="A39" s="94" t="inlineStr">
        <is>
          <t>C03-01-01</t>
        </is>
      </c>
      <c r="B39" s="95" t="n"/>
      <c r="C39" s="95" t="n"/>
      <c r="D39" s="95" t="inlineStr">
        <is>
          <t>●</t>
        </is>
      </c>
      <c r="E39" s="97" t="inlineStr">
        <is>
          <t>作用機序・薬効薬理評価</t>
        </is>
      </c>
      <c r="F39" s="97" t="inlineStr">
        <is>
          <t>作用機序を明らかにし、用量反応を含む薬効薬理を評価する</t>
        </is>
      </c>
      <c r="G39" s="94" t="n"/>
      <c r="H39" s="97" t="inlineStr">
        <is>
          <t>作用機序解析、用量反応試験</t>
        </is>
      </c>
      <c r="I39" s="105" t="inlineStr">
        <is>
          <t>in vitro／in vivo薬効評価（C02-04-02）</t>
        </is>
      </c>
      <c r="J39" s="97" t="inlineStr">
        <is>
          <t>臨床での作用・用量を裏づける薬理データ</t>
        </is>
      </c>
    </row>
    <row r="40" ht="26.25" customHeight="1" s="80">
      <c r="A40" s="94" t="inlineStr">
        <is>
          <t>C03-01-02</t>
        </is>
      </c>
      <c r="B40" s="95" t="n"/>
      <c r="C40" s="95" t="n"/>
      <c r="D40" s="95" t="inlineStr">
        <is>
          <t>●</t>
        </is>
      </c>
      <c r="E40" s="97" t="inlineStr">
        <is>
          <t>安全性薬理評価</t>
        </is>
      </c>
      <c r="F40" s="97" t="inlineStr">
        <is>
          <t>主要な生理機能への影響を評価する（毒性試験に組み込むことが多い）</t>
        </is>
      </c>
      <c r="G40" s="94" t="n"/>
      <c r="H40" s="97" t="inlineStr">
        <is>
          <t>心血管・呼吸・中枢神経系への影響評価</t>
        </is>
      </c>
      <c r="I40" s="105" t="inlineStr">
        <is>
          <t>—</t>
        </is>
      </c>
      <c r="J40" s="97" t="inlineStr">
        <is>
          <t>安全性薬理の知見</t>
        </is>
      </c>
    </row>
    <row r="41" ht="26.25" customHeight="1" s="80">
      <c r="A41" s="90" t="inlineStr">
        <is>
          <t>C03-02</t>
        </is>
      </c>
      <c r="B41" s="91" t="n"/>
      <c r="C41" s="91" t="inlineStr">
        <is>
          <t>●</t>
        </is>
      </c>
      <c r="D41" s="91" t="n"/>
      <c r="E41" s="92" t="inlineStr">
        <is>
          <t>非臨床安全性評価</t>
        </is>
      </c>
      <c r="F41" s="93" t="inlineStr">
        <is>
          <t>抗体医薬の特性に合わせて、ヒト投与の安全性を非臨床で評価する</t>
        </is>
      </c>
      <c r="G41" s="90" t="n"/>
      <c r="H41" s="106" t="n"/>
      <c r="I41" s="106" t="n"/>
      <c r="J41" s="106" t="n"/>
    </row>
    <row r="42" ht="26.25" customHeight="1" s="80">
      <c r="A42" s="94" t="inlineStr">
        <is>
          <t>C03-02-01</t>
        </is>
      </c>
      <c r="B42" s="95" t="n"/>
      <c r="C42" s="95" t="n"/>
      <c r="D42" s="95" t="inlineStr">
        <is>
          <t>●</t>
        </is>
      </c>
      <c r="E42" s="97" t="inlineStr">
        <is>
          <t>毒性試験戦略・動物種選定</t>
        </is>
      </c>
      <c r="F42" s="97" t="inlineStr">
        <is>
          <t>抗体医薬の指針に沿い、関連動物種と必要な試験を決める</t>
        </is>
      </c>
      <c r="G42" s="94" t="n"/>
      <c r="H42" s="97" t="inlineStr">
        <is>
          <t>関連動物種の選定、試験パッケージの設計（生殖発生毒性の要否を含む）</t>
        </is>
      </c>
      <c r="I42" s="105" t="inlineStr">
        <is>
          <t>—</t>
        </is>
      </c>
      <c r="J42" s="97" t="inlineStr">
        <is>
          <t>妥当で過不足のない非臨床安全性パッケージ</t>
        </is>
      </c>
    </row>
    <row r="43" ht="26.25" customHeight="1" s="80">
      <c r="A43" s="94" t="inlineStr">
        <is>
          <t>C03-02-02</t>
        </is>
      </c>
      <c r="B43" s="95" t="n"/>
      <c r="C43" s="95" t="n"/>
      <c r="D43" s="95" t="inlineStr">
        <is>
          <t>●</t>
        </is>
      </c>
      <c r="E43" s="105" t="inlineStr">
        <is>
          <t>GLP毒性試験</t>
        </is>
      </c>
      <c r="F43" s="105" t="inlineStr">
        <is>
          <t>GLPに従い、反復投与毒性などの試験を実施・監督する</t>
        </is>
      </c>
      <c r="G43" s="94" t="n"/>
      <c r="H43" s="97" t="inlineStr">
        <is>
          <t>試験計画、受託試験機関での実施の監督、報告書</t>
        </is>
      </c>
      <c r="I43" s="105" t="inlineStr">
        <is>
          <t>—</t>
        </is>
      </c>
      <c r="J43" s="97" t="inlineStr">
        <is>
          <t>信頼できる毒性評価</t>
        </is>
      </c>
    </row>
    <row r="44" ht="26.25" customHeight="1" s="80">
      <c r="A44" s="94" t="inlineStr">
        <is>
          <t>C03-02-03</t>
        </is>
      </c>
      <c r="B44" s="95" t="n"/>
      <c r="C44" s="95" t="n"/>
      <c r="D44" s="95" t="inlineStr">
        <is>
          <t>●</t>
        </is>
      </c>
      <c r="E44" s="105" t="inlineStr">
        <is>
          <t>in vitro安全性評価</t>
        </is>
      </c>
      <c r="F44" s="97" t="inlineStr">
        <is>
          <t>組織交差反応性・サイトカイン放出など、in vitroで安全性を評価する</t>
        </is>
      </c>
      <c r="G44" s="94" t="n"/>
      <c r="H44" s="97" t="inlineStr">
        <is>
          <t>組織交差反応性試験、サイトカイン放出評価</t>
        </is>
      </c>
      <c r="I44" s="105" t="inlineStr">
        <is>
          <t>—</t>
        </is>
      </c>
      <c r="J44" s="97" t="inlineStr">
        <is>
          <t>想定外の結合・免疫反応のリスク把握</t>
        </is>
      </c>
    </row>
    <row r="45" ht="26.25" customHeight="1" s="80">
      <c r="A45" s="90" t="inlineStr">
        <is>
          <t>C03-03</t>
        </is>
      </c>
      <c r="B45" s="91" t="n"/>
      <c r="C45" s="91" t="inlineStr">
        <is>
          <t>●</t>
        </is>
      </c>
      <c r="D45" s="91" t="n"/>
      <c r="E45" s="92" t="inlineStr">
        <is>
          <t>バイオアナリシス</t>
        </is>
      </c>
      <c r="F45" s="106" t="inlineStr">
        <is>
          <t>PK・抗薬物抗体（ADA）・バイオマーカーを測定する（非臨床から臨床まで）</t>
        </is>
      </c>
      <c r="G45" s="90" t="n"/>
      <c r="H45" s="106" t="n"/>
      <c r="I45" s="106" t="n"/>
      <c r="J45" s="106" t="n"/>
    </row>
    <row r="46" ht="26.25" customHeight="1" s="80">
      <c r="A46" s="94" t="inlineStr">
        <is>
          <t>C03-03-01</t>
        </is>
      </c>
      <c r="B46" s="95" t="n"/>
      <c r="C46" s="95" t="n"/>
      <c r="D46" s="95" t="inlineStr">
        <is>
          <t>●</t>
        </is>
      </c>
      <c r="E46" s="97" t="inlineStr">
        <is>
          <t>測定法開発・バリデーション</t>
        </is>
      </c>
      <c r="F46" s="105" t="inlineStr">
        <is>
          <t>PK・ADA・中和抗体・バイオマーカーの測定法をつくり、バリデーションする</t>
        </is>
      </c>
      <c r="G46" s="94" t="n"/>
      <c r="H46" s="97" t="inlineStr">
        <is>
          <t>リガンド結合法の開発、測定法バリデーション</t>
        </is>
      </c>
      <c r="I46" s="97" t="inlineStr">
        <is>
          <t>分析法開発・バリデーション（C04-04-02）</t>
        </is>
      </c>
      <c r="J46" s="97" t="inlineStr">
        <is>
          <t>規制要件を満たす測定法</t>
        </is>
      </c>
    </row>
    <row r="47" ht="26.25" customHeight="1" s="80">
      <c r="A47" s="94" t="inlineStr">
        <is>
          <t>C03-03-02</t>
        </is>
      </c>
      <c r="B47" s="95" t="n"/>
      <c r="C47" s="95" t="n"/>
      <c r="D47" s="95" t="inlineStr">
        <is>
          <t>●</t>
        </is>
      </c>
      <c r="E47" s="97" t="inlineStr">
        <is>
          <t>検体測定</t>
        </is>
      </c>
      <c r="F47" s="97" t="inlineStr">
        <is>
          <t>非臨床・臨床の検体を測定し、結果を報告する</t>
        </is>
      </c>
      <c r="G47" s="94" t="n"/>
      <c r="H47" s="97" t="inlineStr">
        <is>
          <t>検体受領・測定・結果報告、中央検査機関の管理</t>
        </is>
      </c>
      <c r="I47" s="105" t="inlineStr">
        <is>
          <t>—</t>
        </is>
      </c>
      <c r="J47" s="97" t="inlineStr">
        <is>
          <t>信頼できる測定データ</t>
        </is>
      </c>
    </row>
    <row r="48" ht="15" customHeight="1" s="80">
      <c r="A48" s="90" t="inlineStr">
        <is>
          <t>C03-04</t>
        </is>
      </c>
      <c r="B48" s="91" t="n"/>
      <c r="C48" s="91" t="inlineStr">
        <is>
          <t>●</t>
        </is>
      </c>
      <c r="D48" s="91" t="n"/>
      <c r="E48" s="92" t="inlineStr">
        <is>
          <t>臨床薬理・ファーマコメトリクス</t>
        </is>
      </c>
      <c r="F48" s="93" t="inlineStr">
        <is>
          <t>体内動態をモデル化し、投与量と用法用量の根拠を構築する</t>
        </is>
      </c>
      <c r="G48" s="90" t="n"/>
      <c r="H48" s="106" t="n"/>
      <c r="I48" s="106" t="n"/>
      <c r="J48" s="106" t="n"/>
    </row>
    <row r="49" ht="26.25" customHeight="1" s="80">
      <c r="A49" s="94" t="inlineStr">
        <is>
          <t>C03-04-01</t>
        </is>
      </c>
      <c r="B49" s="95" t="n"/>
      <c r="C49" s="95" t="n"/>
      <c r="D49" s="95" t="inlineStr">
        <is>
          <t>●</t>
        </is>
      </c>
      <c r="E49" s="97" t="inlineStr">
        <is>
          <t>ヒトPK予測・初回投与量設定</t>
        </is>
      </c>
      <c r="F49" s="97" t="inlineStr">
        <is>
          <t>非臨床データからヒトPKを予測し、初回投与量（NOAEL／MABEL）を設定する</t>
        </is>
      </c>
      <c r="G49" s="94" t="n"/>
      <c r="H49" s="105" t="inlineStr">
        <is>
          <t>PK予測、初回投与量の根拠</t>
        </is>
      </c>
      <c r="I49" s="105" t="inlineStr">
        <is>
          <t>—</t>
        </is>
      </c>
      <c r="J49" s="97" t="inlineStr">
        <is>
          <t>安全な初回投与量</t>
        </is>
      </c>
    </row>
    <row r="50" ht="26.25" customHeight="1" s="80">
      <c r="A50" s="94" t="inlineStr">
        <is>
          <t>C03-04-02</t>
        </is>
      </c>
      <c r="B50" s="95" t="n"/>
      <c r="C50" s="95" t="n"/>
      <c r="D50" s="95" t="inlineStr">
        <is>
          <t>●</t>
        </is>
      </c>
      <c r="E50" s="97" t="inlineStr">
        <is>
          <t>母集団PK・曝露反応解析</t>
        </is>
      </c>
      <c r="F50" s="97" t="inlineStr">
        <is>
          <t>臨床データで母集団PK・曝露反応を解析し、用法用量の根拠を構築する</t>
        </is>
      </c>
      <c r="G50" s="94" t="n"/>
      <c r="H50" s="97" t="inlineStr">
        <is>
          <t>モデル構築・シミュレーション、用法用量の根拠</t>
        </is>
      </c>
      <c r="I50" s="97" t="inlineStr">
        <is>
          <t>統計解析（C05-05-02）</t>
        </is>
      </c>
      <c r="J50" s="97" t="inlineStr">
        <is>
          <t>根拠ある用法用量</t>
        </is>
      </c>
    </row>
    <row r="51" ht="26.25" customHeight="1" s="80">
      <c r="A51" s="86" t="inlineStr">
        <is>
          <t>C04</t>
        </is>
      </c>
      <c r="B51" s="87" t="inlineStr">
        <is>
          <t>●</t>
        </is>
      </c>
      <c r="C51" s="87" t="n"/>
      <c r="D51" s="87" t="n"/>
      <c r="E51" s="88" t="inlineStr">
        <is>
          <t>CMC開発</t>
        </is>
      </c>
      <c r="F51" s="89" t="inlineStr">
        <is>
          <t>生細胞で抗体を安定して生産し、品質を保証できる製造プロセス・製剤・分析法を開発する能力</t>
        </is>
      </c>
      <c r="G51" s="109" t="inlineStr">
        <is>
          <t>コア</t>
        </is>
      </c>
      <c r="H51" s="89" t="n"/>
      <c r="I51" s="89" t="n"/>
      <c r="J51" s="89" t="n"/>
    </row>
    <row r="52" ht="26.25" customHeight="1" s="80">
      <c r="A52" s="90" t="inlineStr">
        <is>
          <t>C04-01</t>
        </is>
      </c>
      <c r="B52" s="91" t="n"/>
      <c r="C52" s="91" t="inlineStr">
        <is>
          <t>●</t>
        </is>
      </c>
      <c r="D52" s="91" t="n"/>
      <c r="E52" s="92" t="inlineStr">
        <is>
          <t>細胞株開発・セルバンク管理</t>
        </is>
      </c>
      <c r="F52" s="93" t="inlineStr">
        <is>
          <t>生産細胞株を構築し、マスター／ワーキングセルバンクを作製・維持する</t>
        </is>
      </c>
      <c r="G52" s="90" t="n"/>
      <c r="H52" s="106" t="n"/>
      <c r="I52" s="106" t="n"/>
      <c r="J52" s="106" t="n"/>
    </row>
    <row r="53" ht="26.25" customHeight="1" s="80">
      <c r="A53" s="94" t="inlineStr">
        <is>
          <t>C04-01-01</t>
        </is>
      </c>
      <c r="B53" s="95" t="n"/>
      <c r="C53" s="95" t="n"/>
      <c r="D53" s="95" t="inlineStr">
        <is>
          <t>●</t>
        </is>
      </c>
      <c r="E53" s="97" t="inlineStr">
        <is>
          <t>細胞株構築・クローン選択</t>
        </is>
      </c>
      <c r="F53" s="97" t="inlineStr">
        <is>
          <t>発現ベクターを構築し、生産性・品質の高い単一クローン由来の細胞株を選ぶ</t>
        </is>
      </c>
      <c r="G53" s="94" t="n"/>
      <c r="H53" s="97" t="inlineStr">
        <is>
          <t>ベクター設計、宿主細胞への導入、クローン評価、単一クローン性の証明</t>
        </is>
      </c>
      <c r="I53" s="105" t="inlineStr">
        <is>
          <t>—</t>
        </is>
      </c>
      <c r="J53" s="97" t="inlineStr">
        <is>
          <t>高生産で安定な生産細胞株</t>
        </is>
      </c>
    </row>
    <row r="54" ht="26.25" customHeight="1" s="80">
      <c r="A54" s="94" t="inlineStr">
        <is>
          <t>C04-01-02</t>
        </is>
      </c>
      <c r="B54" s="95" t="n"/>
      <c r="C54" s="95" t="n"/>
      <c r="D54" s="95" t="inlineStr">
        <is>
          <t>●</t>
        </is>
      </c>
      <c r="E54" s="97" t="inlineStr">
        <is>
          <t>セルバンク作製・管理</t>
        </is>
      </c>
      <c r="F54" s="105" t="inlineStr">
        <is>
          <t>MCB／WCBを作製し、特性解析・安全性試験を行い、保管・使用を管理する</t>
        </is>
      </c>
      <c r="G54" s="94" t="n"/>
      <c r="H54" s="97" t="inlineStr">
        <is>
          <t>セルバンク作製、特性解析・ウイルス等安全性試験、保管・払出し</t>
        </is>
      </c>
      <c r="I54" s="105" t="inlineStr">
        <is>
          <t>—</t>
        </is>
      </c>
      <c r="J54" s="97" t="inlineStr">
        <is>
          <t>長期に供給可能で安全なセルバンク</t>
        </is>
      </c>
    </row>
    <row r="55" ht="26.25" customHeight="1" s="80">
      <c r="A55" s="90" t="inlineStr">
        <is>
          <t>C04-02</t>
        </is>
      </c>
      <c r="B55" s="91" t="n"/>
      <c r="C55" s="91" t="inlineStr">
        <is>
          <t>●</t>
        </is>
      </c>
      <c r="D55" s="91" t="n"/>
      <c r="E55" s="92" t="inlineStr">
        <is>
          <t>原薬プロセス開発</t>
        </is>
      </c>
      <c r="F55" s="93" t="inlineStr">
        <is>
          <t>培養・精製の工程を設計し、ウイルス安全性と管理戦略を確立する</t>
        </is>
      </c>
      <c r="G55" s="90" t="n"/>
      <c r="H55" s="106" t="n"/>
      <c r="I55" s="106" t="n"/>
      <c r="J55" s="106" t="n"/>
    </row>
    <row r="56" ht="15" customHeight="1" s="80">
      <c r="A56" s="94" t="inlineStr">
        <is>
          <t>C04-02-01</t>
        </is>
      </c>
      <c r="B56" s="95" t="n"/>
      <c r="C56" s="95" t="n"/>
      <c r="D56" s="95" t="inlineStr">
        <is>
          <t>●</t>
        </is>
      </c>
      <c r="E56" s="97" t="inlineStr">
        <is>
          <t>培養プロセス開発</t>
        </is>
      </c>
      <c r="F56" s="97" t="inlineStr">
        <is>
          <t>培地・流加条件など培養工程を開発する</t>
        </is>
      </c>
      <c r="G56" s="94" t="n"/>
      <c r="H56" s="97" t="inlineStr">
        <is>
          <t>培養条件の最適化、小スケール評価</t>
        </is>
      </c>
      <c r="I56" s="105" t="inlineStr">
        <is>
          <t>—</t>
        </is>
      </c>
      <c r="J56" s="97" t="inlineStr">
        <is>
          <t>生産性・品質が安定した培養工程</t>
        </is>
      </c>
    </row>
    <row r="57" ht="26.25" customHeight="1" s="80">
      <c r="A57" s="94" t="inlineStr">
        <is>
          <t>C04-02-02</t>
        </is>
      </c>
      <c r="B57" s="95" t="n"/>
      <c r="C57" s="95" t="n"/>
      <c r="D57" s="95" t="inlineStr">
        <is>
          <t>●</t>
        </is>
      </c>
      <c r="E57" s="97" t="inlineStr">
        <is>
          <t>精製プロセス開発</t>
        </is>
      </c>
      <c r="F57" s="97" t="inlineStr">
        <is>
          <t>ハーベストから精製（プロテインA、イオン交換等）までの工程を開発する</t>
        </is>
      </c>
      <c r="G57" s="94" t="n"/>
      <c r="H57" s="97" t="inlineStr">
        <is>
          <t>精製工程の設計・最適化</t>
        </is>
      </c>
      <c r="I57" s="105" t="inlineStr">
        <is>
          <t>—</t>
        </is>
      </c>
      <c r="J57" s="97" t="inlineStr">
        <is>
          <t>不純物を除去できる精製工程</t>
        </is>
      </c>
    </row>
    <row r="58" ht="26.25" customHeight="1" s="80">
      <c r="A58" s="94" t="inlineStr">
        <is>
          <t>C04-02-03</t>
        </is>
      </c>
      <c r="B58" s="95" t="n"/>
      <c r="C58" s="95" t="n"/>
      <c r="D58" s="95" t="inlineStr">
        <is>
          <t>●</t>
        </is>
      </c>
      <c r="E58" s="97" t="inlineStr">
        <is>
          <t>ウイルス安全性評価</t>
        </is>
      </c>
      <c r="F58" s="97" t="inlineStr">
        <is>
          <t>ウイルスの除去・不活化工程を評価し、ウイルス安全性を保証する</t>
        </is>
      </c>
      <c r="G58" s="94" t="n"/>
      <c r="H58" s="97" t="inlineStr">
        <is>
          <t>ウイルスクリアランス試験</t>
        </is>
      </c>
      <c r="I58" s="97" t="inlineStr">
        <is>
          <t>セルバンク作製・管理（C04-01-02）</t>
        </is>
      </c>
      <c r="J58" s="97" t="inlineStr">
        <is>
          <t>ウイルス安全性の保証</t>
        </is>
      </c>
    </row>
    <row r="59" ht="26.25" customHeight="1" s="80">
      <c r="A59" s="94" t="inlineStr">
        <is>
          <t>C04-02-04</t>
        </is>
      </c>
      <c r="B59" s="95" t="n"/>
      <c r="C59" s="95" t="n"/>
      <c r="D59" s="95" t="inlineStr">
        <is>
          <t>●</t>
        </is>
      </c>
      <c r="E59" s="97" t="inlineStr">
        <is>
          <t>プロセス特性解析・管理戦略</t>
        </is>
      </c>
      <c r="F59" s="97" t="inlineStr">
        <is>
          <t>リスク評価・実験計画法で工程を特性解析し、管理戦略を確立する</t>
        </is>
      </c>
      <c r="G59" s="94" t="n"/>
      <c r="H59" s="97" t="inlineStr">
        <is>
          <t>パラメータの許容範囲、管理戦略</t>
        </is>
      </c>
      <c r="I59" s="105" t="inlineStr">
        <is>
          <t>—</t>
        </is>
      </c>
      <c r="J59" s="97" t="inlineStr">
        <is>
          <t>品質を一貫して保証できる工程</t>
        </is>
      </c>
    </row>
    <row r="60" ht="15" customHeight="1" s="80">
      <c r="A60" s="90" t="inlineStr">
        <is>
          <t>C04-03</t>
        </is>
      </c>
      <c r="B60" s="91" t="n"/>
      <c r="C60" s="91" t="inlineStr">
        <is>
          <t>●</t>
        </is>
      </c>
      <c r="D60" s="91" t="n"/>
      <c r="E60" s="92" t="inlineStr">
        <is>
          <t>製剤・デバイス開発</t>
        </is>
      </c>
      <c r="F60" s="93" t="inlineStr">
        <is>
          <t>処方・容器・投与デバイスを設計する</t>
        </is>
      </c>
      <c r="G60" s="90" t="n"/>
      <c r="H60" s="106" t="n"/>
      <c r="I60" s="106" t="n"/>
      <c r="J60" s="106" t="n"/>
    </row>
    <row r="61" ht="15" customHeight="1" s="80">
      <c r="A61" s="94" t="inlineStr">
        <is>
          <t>C04-03-01</t>
        </is>
      </c>
      <c r="B61" s="95" t="n"/>
      <c r="C61" s="95" t="n"/>
      <c r="D61" s="95" t="inlineStr">
        <is>
          <t>●</t>
        </is>
      </c>
      <c r="E61" s="97" t="inlineStr">
        <is>
          <t>処方開発</t>
        </is>
      </c>
      <c r="F61" s="97" t="inlineStr">
        <is>
          <t>緩衝液・安定化剤などの処方を設計する（高濃度化を含む）</t>
        </is>
      </c>
      <c r="G61" s="94" t="n"/>
      <c r="H61" s="97" t="inlineStr">
        <is>
          <t>処方設計、処方の安定性評価</t>
        </is>
      </c>
      <c r="I61" s="97" t="inlineStr">
        <is>
          <t>開発適性評価（C02-05-01）</t>
        </is>
      </c>
      <c r="J61" s="97" t="inlineStr">
        <is>
          <t>安定で投与しやすい製剤</t>
        </is>
      </c>
    </row>
    <row r="62" ht="26.25" customHeight="1" s="80">
      <c r="A62" s="94" t="inlineStr">
        <is>
          <t>C04-03-02</t>
        </is>
      </c>
      <c r="B62" s="95" t="n"/>
      <c r="C62" s="95" t="n"/>
      <c r="D62" s="95" t="inlineStr">
        <is>
          <t>●</t>
        </is>
      </c>
      <c r="E62" s="97" t="inlineStr">
        <is>
          <t>容器・包装設計</t>
        </is>
      </c>
      <c r="F62" s="97" t="inlineStr">
        <is>
          <t>バイアル・プレフィルドシリンジなどの一次容器と包装を設計する</t>
        </is>
      </c>
      <c r="G62" s="94" t="n"/>
      <c r="H62" s="97" t="inlineStr">
        <is>
          <t>容器選定、容器完全性の評価</t>
        </is>
      </c>
      <c r="I62" s="105" t="inlineStr">
        <is>
          <t>—</t>
        </is>
      </c>
      <c r="J62" s="97" t="inlineStr">
        <is>
          <t>品質を守る容器・包装</t>
        </is>
      </c>
    </row>
    <row r="63" ht="26.25" customHeight="1" s="80">
      <c r="A63" s="94" t="inlineStr">
        <is>
          <t>C04-03-03</t>
        </is>
      </c>
      <c r="B63" s="95" t="n"/>
      <c r="C63" s="95" t="n"/>
      <c r="D63" s="95" t="inlineStr">
        <is>
          <t>●</t>
        </is>
      </c>
      <c r="E63" s="97" t="inlineStr">
        <is>
          <t>投与デバイス開発</t>
        </is>
      </c>
      <c r="F63" s="97" t="inlineStr">
        <is>
          <t>コンビネーション製品として投与デバイスを設計する（設計管理）</t>
        </is>
      </c>
      <c r="G63" s="94" t="n"/>
      <c r="H63" s="97" t="inlineStr">
        <is>
          <t>デバイス設計、ヒューマンファクター評価</t>
        </is>
      </c>
      <c r="I63" s="105" t="inlineStr">
        <is>
          <t>—</t>
        </is>
      </c>
      <c r="J63" s="97" t="inlineStr">
        <is>
          <t>患者が安全に使えるデバイス</t>
        </is>
      </c>
    </row>
    <row r="64" ht="26.25" customHeight="1" s="80">
      <c r="A64" s="90" t="inlineStr">
        <is>
          <t>C04-04</t>
        </is>
      </c>
      <c r="B64" s="91" t="n"/>
      <c r="C64" s="91" t="inlineStr">
        <is>
          <t>●</t>
        </is>
      </c>
      <c r="D64" s="91" t="n"/>
      <c r="E64" s="92" t="inlineStr">
        <is>
          <t>分析法開発・品質特性評価</t>
        </is>
      </c>
      <c r="F64" s="93" t="inlineStr">
        <is>
          <t>品質特性を評価し、分析法・規格を定め、製法変更時の同等性を評価する</t>
        </is>
      </c>
      <c r="G64" s="90" t="n"/>
      <c r="H64" s="106" t="n"/>
      <c r="I64" s="106" t="n"/>
      <c r="J64" s="106" t="n"/>
    </row>
    <row r="65" ht="26.25" customHeight="1" s="80">
      <c r="A65" s="94" t="inlineStr">
        <is>
          <t>C04-04-01</t>
        </is>
      </c>
      <c r="B65" s="95" t="n"/>
      <c r="C65" s="95" t="n"/>
      <c r="D65" s="95" t="inlineStr">
        <is>
          <t>●</t>
        </is>
      </c>
      <c r="E65" s="97" t="inlineStr">
        <is>
          <t>品質特性評価</t>
        </is>
      </c>
      <c r="F65" s="97" t="inlineStr">
        <is>
          <t>構造・糖鎖・電荷・生物活性などの品質特性を解析し、CQAを特定する</t>
        </is>
      </c>
      <c r="G65" s="94" t="n"/>
      <c r="H65" s="97" t="inlineStr">
        <is>
          <t>特性解析、CQAのリスク評価</t>
        </is>
      </c>
      <c r="I65" s="105" t="inlineStr">
        <is>
          <t>—</t>
        </is>
      </c>
      <c r="J65" s="97" t="inlineStr">
        <is>
          <t>製品品質の科学的な理解</t>
        </is>
      </c>
    </row>
    <row r="66" ht="39" customHeight="1" s="80">
      <c r="A66" s="94" t="inlineStr">
        <is>
          <t>C04-04-02</t>
        </is>
      </c>
      <c r="B66" s="95" t="n"/>
      <c r="C66" s="95" t="n"/>
      <c r="D66" s="95" t="inlineStr">
        <is>
          <t>●</t>
        </is>
      </c>
      <c r="E66" s="97" t="inlineStr">
        <is>
          <t>分析法開発・バリデーション</t>
        </is>
      </c>
      <c r="F66" s="97" t="inlineStr">
        <is>
          <t>品質試験の分析法を開発し、バリデーションする</t>
        </is>
      </c>
      <c r="G66" s="94" t="n"/>
      <c r="H66" s="97" t="inlineStr">
        <is>
          <t>分析法の開発・バリデーション・移管</t>
        </is>
      </c>
      <c r="I66" s="97" t="inlineStr">
        <is>
          <t>試験実施（原材料・工程内・出荷）（C08-01-01）、測定法開発・バリデーション（C03-03-01）</t>
        </is>
      </c>
      <c r="J66" s="97" t="inlineStr">
        <is>
          <t>信頼できる品質試験法</t>
        </is>
      </c>
    </row>
    <row r="67" ht="26.25" customHeight="1" s="80">
      <c r="A67" s="94" t="inlineStr">
        <is>
          <t>C04-04-03</t>
        </is>
      </c>
      <c r="B67" s="95" t="n"/>
      <c r="C67" s="95" t="n"/>
      <c r="D67" s="95" t="inlineStr">
        <is>
          <t>●</t>
        </is>
      </c>
      <c r="E67" s="97" t="inlineStr">
        <is>
          <t>規格・有効期間設定</t>
        </is>
      </c>
      <c r="F67" s="97" t="inlineStr">
        <is>
          <t>規格・標準物質と、安定性試験の計画・有効期間を設定する</t>
        </is>
      </c>
      <c r="G67" s="94" t="n"/>
      <c r="H67" s="97" t="inlineStr">
        <is>
          <t>規格設定、標準物質の確立、安定性試験計画</t>
        </is>
      </c>
      <c r="I67" s="97" t="inlineStr">
        <is>
          <t>安定性試験の実施（C08-01-02）</t>
        </is>
      </c>
      <c r="J67" s="97" t="inlineStr">
        <is>
          <t>根拠ある規格と有効期間</t>
        </is>
      </c>
    </row>
    <row r="68" ht="26.25" customHeight="1" s="80">
      <c r="A68" s="94" t="inlineStr">
        <is>
          <t>C04-04-04</t>
        </is>
      </c>
      <c r="B68" s="95" t="n"/>
      <c r="C68" s="95" t="n"/>
      <c r="D68" s="95" t="inlineStr">
        <is>
          <t>●</t>
        </is>
      </c>
      <c r="E68" s="97" t="inlineStr">
        <is>
          <t>同等性／同質性評価</t>
        </is>
      </c>
      <c r="F68" s="97" t="inlineStr">
        <is>
          <t>製法変更の前後で、品質が同等であることを評価する</t>
        </is>
      </c>
      <c r="G68" s="94" t="n"/>
      <c r="H68" s="97" t="inlineStr">
        <is>
          <t>変更前後の比較評価</t>
        </is>
      </c>
      <c r="I68" s="97" t="inlineStr">
        <is>
          <t>変更の報告区分判定・申請（C06-04-02）</t>
        </is>
      </c>
      <c r="J68" s="97" t="inlineStr">
        <is>
          <t>製法変更後も品質が変わらないことの証明</t>
        </is>
      </c>
    </row>
    <row r="69" ht="15" customHeight="1" s="80">
      <c r="A69" s="90" t="inlineStr">
        <is>
          <t>C04-05</t>
        </is>
      </c>
      <c r="B69" s="91" t="n"/>
      <c r="C69" s="91" t="inlineStr">
        <is>
          <t>●</t>
        </is>
      </c>
      <c r="D69" s="91" t="n"/>
      <c r="E69" s="92" t="inlineStr">
        <is>
          <t>技術移転・製造規模管理</t>
        </is>
      </c>
      <c r="F69" s="93" t="inlineStr">
        <is>
          <t>製造規模と製造拠点を設計し、技術を移転する</t>
        </is>
      </c>
      <c r="G69" s="90" t="n"/>
      <c r="H69" s="106" t="n"/>
      <c r="I69" s="106" t="n"/>
      <c r="J69" s="106" t="n"/>
    </row>
    <row r="70" ht="26.25" customHeight="1" s="80">
      <c r="A70" s="94" t="inlineStr">
        <is>
          <t>C04-05-01</t>
        </is>
      </c>
      <c r="B70" s="95" t="n"/>
      <c r="C70" s="95" t="n"/>
      <c r="D70" s="95" t="inlineStr">
        <is>
          <t>●</t>
        </is>
      </c>
      <c r="E70" s="97" t="inlineStr">
        <is>
          <t>製造規模設定★</t>
        </is>
      </c>
      <c r="F70" s="97" t="inlineStr">
        <is>
          <t>需要に見合う製造規模を設定し、必要なスケールアップを行う（小規模のまま商用化する場合あり）</t>
        </is>
      </c>
      <c r="G70" s="94" t="n"/>
      <c r="H70" s="97" t="inlineStr">
        <is>
          <t>規模の設定、スケールアップ</t>
        </is>
      </c>
      <c r="I70" s="105" t="inlineStr">
        <is>
          <t>—</t>
        </is>
      </c>
      <c r="J70" s="97" t="inlineStr">
        <is>
          <t>需要に見合う、無駄のない製造規模</t>
        </is>
      </c>
    </row>
    <row r="71" ht="15" customHeight="1" s="80">
      <c r="A71" s="94" t="inlineStr">
        <is>
          <t>C04-05-02</t>
        </is>
      </c>
      <c r="B71" s="95" t="n"/>
      <c r="C71" s="95" t="n"/>
      <c r="D71" s="95" t="inlineStr">
        <is>
          <t>●</t>
        </is>
      </c>
      <c r="E71" s="97" t="inlineStr">
        <is>
          <t>製造ネットワーク設計</t>
        </is>
      </c>
      <c r="F71" s="97" t="inlineStr">
        <is>
          <t>原薬・充填・包装の拠点構成（自社／CDMO）を設計する</t>
        </is>
      </c>
      <c r="G71" s="94" t="n"/>
      <c r="H71" s="97" t="inlineStr">
        <is>
          <t>拠点構成・二重化の判断</t>
        </is>
      </c>
      <c r="I71" s="97" t="inlineStr">
        <is>
          <t>パートナー選定・評価（C01-03-01）</t>
        </is>
      </c>
      <c r="J71" s="97" t="inlineStr">
        <is>
          <t>供給を確保できる製造拠点構成</t>
        </is>
      </c>
    </row>
    <row r="72" ht="26.25" customHeight="1" s="80">
      <c r="A72" s="94" t="inlineStr">
        <is>
          <t>C04-05-03</t>
        </is>
      </c>
      <c r="B72" s="95" t="n"/>
      <c r="C72" s="95" t="n"/>
      <c r="D72" s="95" t="inlineStr">
        <is>
          <t>●</t>
        </is>
      </c>
      <c r="E72" s="97" t="inlineStr">
        <is>
          <t>技術移転</t>
        </is>
      </c>
      <c r="F72" s="97" t="inlineStr">
        <is>
          <t>開発から製造所へ、または製造所間でプロセスを移転する</t>
        </is>
      </c>
      <c r="G72" s="94" t="n"/>
      <c r="H72" s="97" t="inlineStr">
        <is>
          <t>移転計画、マスターバッチレコードの作成</t>
        </is>
      </c>
      <c r="I72" s="105" t="inlineStr">
        <is>
          <t>—</t>
        </is>
      </c>
      <c r="J72" s="97" t="inlineStr">
        <is>
          <t>移転先で同じ品質を再現できる状態</t>
        </is>
      </c>
    </row>
    <row r="73" ht="26.25" customHeight="1" s="80">
      <c r="A73" s="86" t="inlineStr">
        <is>
          <t>C05</t>
        </is>
      </c>
      <c r="B73" s="87" t="inlineStr">
        <is>
          <t>●</t>
        </is>
      </c>
      <c r="C73" s="87" t="n"/>
      <c r="D73" s="87" t="n"/>
      <c r="E73" s="108" t="inlineStr">
        <is>
          <t>臨床開発</t>
        </is>
      </c>
      <c r="F73" s="89" t="inlineStr">
        <is>
          <t>少ない患者で、ヒトでの安全性・有効性の確かなエビデンスを生み出す能力</t>
        </is>
      </c>
      <c r="G73" s="109" t="inlineStr">
        <is>
          <t>コア</t>
        </is>
      </c>
      <c r="H73" s="89" t="n"/>
      <c r="I73" s="89" t="n"/>
      <c r="J73" s="89" t="n"/>
    </row>
    <row r="74" ht="26.25" customHeight="1" s="80">
      <c r="A74" s="90" t="inlineStr">
        <is>
          <t>C05-01</t>
        </is>
      </c>
      <c r="B74" s="91" t="n"/>
      <c r="C74" s="91" t="inlineStr">
        <is>
          <t>●</t>
        </is>
      </c>
      <c r="D74" s="91" t="n"/>
      <c r="E74" s="92" t="inlineStr">
        <is>
          <t>臨床開発戦略・試験デザイン</t>
        </is>
      </c>
      <c r="F74" s="93" t="inlineStr">
        <is>
          <t>臨床開発計画を立て、エビデンス要件を満たす試験を設計する</t>
        </is>
      </c>
      <c r="G74" s="90" t="n"/>
      <c r="H74" s="106" t="n"/>
      <c r="I74" s="106" t="n"/>
      <c r="J74" s="106" t="n"/>
    </row>
    <row r="75" ht="15" customHeight="1" s="80">
      <c r="A75" s="94" t="inlineStr">
        <is>
          <t>C05-01-01</t>
        </is>
      </c>
      <c r="B75" s="95" t="n"/>
      <c r="C75" s="95" t="n"/>
      <c r="D75" s="95" t="inlineStr">
        <is>
          <t>●</t>
        </is>
      </c>
      <c r="E75" s="97" t="inlineStr">
        <is>
          <t>臨床開発計画</t>
        </is>
      </c>
      <c r="F75" s="97" t="inlineStr">
        <is>
          <t>承認までの臨床試験の全体計画を立てる</t>
        </is>
      </c>
      <c r="G75" s="94" t="n"/>
      <c r="H75" s="97" t="inlineStr">
        <is>
          <t>臨床開発計画の策定・改訂</t>
        </is>
      </c>
      <c r="I75" s="97" t="inlineStr">
        <is>
          <t>規制戦略立案（C06-01-01）</t>
        </is>
      </c>
      <c r="J75" s="97" t="inlineStr">
        <is>
          <t>承認に至る道筋が明確な開発計画</t>
        </is>
      </c>
    </row>
    <row r="76" ht="26.25" customHeight="1" s="80">
      <c r="A76" s="94" t="inlineStr">
        <is>
          <t>C05-01-02</t>
        </is>
      </c>
      <c r="B76" s="95" t="n"/>
      <c r="C76" s="95" t="n"/>
      <c r="D76" s="95" t="inlineStr">
        <is>
          <t>●</t>
        </is>
      </c>
      <c r="E76" s="97" t="inlineStr">
        <is>
          <t>試験デザイン★</t>
        </is>
      </c>
      <c r="F76" s="97" t="inlineStr">
        <is>
          <t>単一ピボタル試験＋確認的エビデンス、外部対照、適応的デザインを含め、試験を設計する（統計的設計を含む）</t>
        </is>
      </c>
      <c r="G76" s="94" t="n"/>
      <c r="H76" s="97" t="inlineStr">
        <is>
          <t>試験デザイン、症例数設計、統計解析計画</t>
        </is>
      </c>
      <c r="I76" s="97" t="inlineStr">
        <is>
          <t>統計解析（C05-05-02）</t>
        </is>
      </c>
      <c r="J76" s="97" t="inlineStr">
        <is>
          <t>少数例でも結論を出せる試験</t>
        </is>
      </c>
    </row>
    <row r="77" ht="26.25" customHeight="1" s="80">
      <c r="A77" s="94" t="inlineStr">
        <is>
          <t>C05-01-03</t>
        </is>
      </c>
      <c r="B77" s="95" t="n"/>
      <c r="C77" s="95" t="n"/>
      <c r="D77" s="95" t="inlineStr">
        <is>
          <t>●</t>
        </is>
      </c>
      <c r="E77" s="97" t="inlineStr">
        <is>
          <t>評価項目・COA開発★</t>
        </is>
      </c>
      <c r="F77" s="97" t="inlineStr">
        <is>
          <t>臨床アウトカム評価（COA）・バイオマーカーなどの評価項目を開発・検証する</t>
        </is>
      </c>
      <c r="G77" s="94" t="n"/>
      <c r="H77" s="97" t="inlineStr">
        <is>
          <t>評価項目の選定、COAの開発・検証</t>
        </is>
      </c>
      <c r="I77" s="97" t="inlineStr">
        <is>
          <t>患者団体との協働★（C10-01-01）</t>
        </is>
      </c>
      <c r="J77" s="97" t="inlineStr">
        <is>
          <t>患者にとって意味があり、当局が受け入れる評価項目</t>
        </is>
      </c>
    </row>
    <row r="78" ht="26.25" customHeight="1" s="80">
      <c r="A78" s="90" t="inlineStr">
        <is>
          <t>C05-02</t>
        </is>
      </c>
      <c r="B78" s="91" t="n"/>
      <c r="C78" s="91" t="inlineStr">
        <is>
          <t>●</t>
        </is>
      </c>
      <c r="D78" s="91" t="n"/>
      <c r="E78" s="92" t="inlineStr">
        <is>
          <t>患者エビデンス管理★</t>
        </is>
      </c>
      <c r="F78" s="93" t="inlineStr">
        <is>
          <t>自然歴研究・患者レジストリ・リアルワールドデータを構築・活用し、患者数を推計する</t>
        </is>
      </c>
      <c r="G78" s="90" t="n"/>
      <c r="H78" s="106" t="n"/>
      <c r="I78" s="106" t="n"/>
      <c r="J78" s="106" t="n"/>
    </row>
    <row r="79" ht="26.25" customHeight="1" s="80">
      <c r="A79" s="94" t="inlineStr">
        <is>
          <t>C05-02-01</t>
        </is>
      </c>
      <c r="B79" s="95" t="n"/>
      <c r="C79" s="95" t="n"/>
      <c r="D79" s="95" t="inlineStr">
        <is>
          <t>●</t>
        </is>
      </c>
      <c r="E79" s="97" t="inlineStr">
        <is>
          <t>自然歴研究</t>
        </is>
      </c>
      <c r="F79" s="97" t="inlineStr">
        <is>
          <t>疾患の自然経過を記録し、外部対照・評価項目設定の基礎を作る</t>
        </is>
      </c>
      <c r="G79" s="94" t="n"/>
      <c r="H79" s="97" t="inlineStr">
        <is>
          <t>研究計画、データ収集・解析</t>
        </is>
      </c>
      <c r="I79" s="105" t="inlineStr">
        <is>
          <t>—</t>
        </is>
      </c>
      <c r="J79" s="97" t="inlineStr">
        <is>
          <t>外部対照に使える自然歴データ</t>
        </is>
      </c>
    </row>
    <row r="80" ht="26.25" customHeight="1" s="80">
      <c r="A80" s="94" t="inlineStr">
        <is>
          <t>C05-02-02</t>
        </is>
      </c>
      <c r="B80" s="95" t="n"/>
      <c r="C80" s="95" t="n"/>
      <c r="D80" s="95" t="inlineStr">
        <is>
          <t>●</t>
        </is>
      </c>
      <c r="E80" s="97" t="inlineStr">
        <is>
          <t>患者レジストリ運営</t>
        </is>
      </c>
      <c r="F80" s="97" t="inlineStr">
        <is>
          <t>患者団体等と協力してレジストリを構築・運営する（市販後の長期追跡を含む）</t>
        </is>
      </c>
      <c r="G80" s="94" t="n"/>
      <c r="H80" s="97" t="inlineStr">
        <is>
          <t>レジストリの設計・運営、データ品質管理</t>
        </is>
      </c>
      <c r="I80" s="105" t="inlineStr">
        <is>
          <t>—</t>
        </is>
      </c>
      <c r="J80" s="97" t="inlineStr">
        <is>
          <t>長期に利用できる患者データ基盤</t>
        </is>
      </c>
    </row>
    <row r="81" ht="26.25" customHeight="1" s="80">
      <c r="A81" s="94" t="inlineStr">
        <is>
          <t>C05-02-03</t>
        </is>
      </c>
      <c r="B81" s="95" t="n"/>
      <c r="C81" s="95" t="n"/>
      <c r="D81" s="95" t="inlineStr">
        <is>
          <t>●</t>
        </is>
      </c>
      <c r="E81" s="97" t="inlineStr">
        <is>
          <t>外部データ活用</t>
        </is>
      </c>
      <c r="F81" s="97" t="inlineStr">
        <is>
          <t>リアルワールドデータ・外部対照データの品質を確保し、エビデンスとして活用する</t>
        </is>
      </c>
      <c r="G81" s="94" t="n"/>
      <c r="H81" s="97" t="inlineStr">
        <is>
          <t>データの適合性評価、外部対照の構築</t>
        </is>
      </c>
      <c r="I81" s="105" t="inlineStr">
        <is>
          <t>—</t>
        </is>
      </c>
      <c r="J81" s="97" t="inlineStr">
        <is>
          <t>当局に受け入れられる外部エビデンス</t>
        </is>
      </c>
    </row>
    <row r="82" ht="26.25" customHeight="1" s="80">
      <c r="A82" s="94" t="inlineStr">
        <is>
          <t>C05-02-04</t>
        </is>
      </c>
      <c r="B82" s="95" t="n"/>
      <c r="C82" s="95" t="n"/>
      <c r="D82" s="95" t="inlineStr">
        <is>
          <t>●</t>
        </is>
      </c>
      <c r="E82" s="97" t="inlineStr">
        <is>
          <t>疫学評価</t>
        </is>
      </c>
      <c r="F82" s="97" t="inlineStr">
        <is>
          <t>対象疾患の患者数・有病率・患者の分布を推計する（Orphan Drug指定の根拠、事業性・需要の評価の基礎）</t>
        </is>
      </c>
      <c r="G82" s="94" t="n"/>
      <c r="H82" s="97" t="inlineStr">
        <is>
          <t>有病率・患者数の推計、文献・データベースの調査</t>
        </is>
      </c>
      <c r="I82" s="97" t="inlineStr">
        <is>
          <t>外部データ活用（C05-02-03）、需要予測★（C12-01-01）</t>
        </is>
      </c>
      <c r="J82" s="97" t="inlineStr">
        <is>
          <t>根拠ある患者数の推計</t>
        </is>
      </c>
    </row>
    <row r="83" ht="15" customHeight="1" s="80">
      <c r="A83" s="90" t="inlineStr">
        <is>
          <t>C05-03</t>
        </is>
      </c>
      <c r="B83" s="91" t="n"/>
      <c r="C83" s="91" t="inlineStr">
        <is>
          <t>●</t>
        </is>
      </c>
      <c r="D83" s="91" t="n"/>
      <c r="E83" s="92" t="inlineStr">
        <is>
          <t>患者特定・組入れ★</t>
        </is>
      </c>
      <c r="F83" s="93" t="inlineStr">
        <is>
          <t>候補患者を見つけ、試験への参加を実現する</t>
        </is>
      </c>
      <c r="G83" s="90" t="n"/>
      <c r="H83" s="106" t="n"/>
      <c r="I83" s="106" t="n"/>
      <c r="J83" s="106" t="n"/>
    </row>
    <row r="84" ht="26.25" customHeight="1" s="80">
      <c r="A84" s="94" t="inlineStr">
        <is>
          <t>C05-03-01</t>
        </is>
      </c>
      <c r="B84" s="95" t="n"/>
      <c r="C84" s="95" t="n"/>
      <c r="D84" s="95" t="inlineStr">
        <is>
          <t>●</t>
        </is>
      </c>
      <c r="E84" s="97" t="inlineStr">
        <is>
          <t>候補患者特定</t>
        </is>
      </c>
      <c r="F84" s="97" t="inlineStr">
        <is>
          <t>診断・遺伝子検査の情報を通じて、試験の候補患者を特定する</t>
        </is>
      </c>
      <c r="G84" s="94" t="n"/>
      <c r="H84" s="97" t="inlineStr">
        <is>
          <t>遺伝子検査プログラムとの連携、紹介経路の活用</t>
        </is>
      </c>
      <c r="I84" s="97" t="inlineStr">
        <is>
          <t>遺伝子検査プログラム★（C10-03-02）</t>
        </is>
      </c>
      <c r="J84" s="97" t="inlineStr">
        <is>
          <t>試験に参加できる候補患者の把握</t>
        </is>
      </c>
    </row>
    <row r="85" ht="26.25" customHeight="1" s="80">
      <c r="A85" s="94" t="inlineStr">
        <is>
          <t>C05-03-02</t>
        </is>
      </c>
      <c r="B85" s="95" t="n"/>
      <c r="C85" s="95" t="n"/>
      <c r="D85" s="95" t="inlineStr">
        <is>
          <t>●</t>
        </is>
      </c>
      <c r="E85" s="97" t="inlineStr">
        <is>
          <t>施設・紹介ネットワーク</t>
        </is>
      </c>
      <c r="F85" s="97" t="inlineStr">
        <is>
          <t>少数の専門施設と、施設間の患者紹介のネットワークを構築する</t>
        </is>
      </c>
      <c r="G85" s="94" t="n"/>
      <c r="H85" s="97" t="inlineStr">
        <is>
          <t>専門施設の特定、国際共同の施設網</t>
        </is>
      </c>
      <c r="I85" s="97" t="inlineStr">
        <is>
          <t>専門施設ネットワーク構築★（C10-03-03）</t>
        </is>
      </c>
      <c r="J85" s="97" t="inlineStr">
        <is>
          <t>患者に届く試験実施体制</t>
        </is>
      </c>
    </row>
    <row r="86" ht="26.25" customHeight="1" s="80">
      <c r="A86" s="94" t="inlineStr">
        <is>
          <t>C05-03-03</t>
        </is>
      </c>
      <c r="B86" s="95" t="n"/>
      <c r="C86" s="95" t="n"/>
      <c r="D86" s="95" t="inlineStr">
        <is>
          <t>●</t>
        </is>
      </c>
      <c r="E86" s="97" t="inlineStr">
        <is>
          <t>参加負担の軽減</t>
        </is>
      </c>
      <c r="F86" s="97" t="inlineStr">
        <is>
          <t>患者・家族の参加負担を減らす（旅費支援、在宅・分散型の要素）</t>
        </is>
      </c>
      <c r="G86" s="94" t="n"/>
      <c r="H86" s="97" t="inlineStr">
        <is>
          <t>旅費・宿泊支援、在宅訪問、遠隔評価</t>
        </is>
      </c>
      <c r="I86" s="105" t="inlineStr">
        <is>
          <t>—</t>
        </is>
      </c>
      <c r="J86" s="97" t="inlineStr">
        <is>
          <t>参加・継続しやすい試験</t>
        </is>
      </c>
    </row>
    <row r="87" ht="15" customHeight="1" s="80">
      <c r="A87" s="90" t="inlineStr">
        <is>
          <t>C05-04</t>
        </is>
      </c>
      <c r="B87" s="91" t="n"/>
      <c r="C87" s="91" t="inlineStr">
        <is>
          <t>●</t>
        </is>
      </c>
      <c r="D87" s="91" t="n"/>
      <c r="E87" s="92" t="inlineStr">
        <is>
          <t>臨床試験運営</t>
        </is>
      </c>
      <c r="F87" s="93" t="inlineStr">
        <is>
          <t>施設を立ち上げ、試験をGCPに従って実施・管理する</t>
        </is>
      </c>
      <c r="G87" s="90" t="n"/>
      <c r="H87" s="106" t="n"/>
      <c r="I87" s="106" t="n"/>
      <c r="J87" s="106" t="n"/>
    </row>
    <row r="88" ht="15" customHeight="1" s="80">
      <c r="A88" s="94" t="inlineStr">
        <is>
          <t>C05-04-01</t>
        </is>
      </c>
      <c r="B88" s="95" t="n"/>
      <c r="C88" s="95" t="n"/>
      <c r="D88" s="95" t="inlineStr">
        <is>
          <t>●</t>
        </is>
      </c>
      <c r="E88" s="97" t="inlineStr">
        <is>
          <t>施設立ち上げ</t>
        </is>
      </c>
      <c r="F88" s="97" t="inlineStr">
        <is>
          <t>実施医療機関の選定・契約・IRB審査を行う</t>
        </is>
      </c>
      <c r="G88" s="94" t="n"/>
      <c r="H88" s="97" t="inlineStr">
        <is>
          <t>施設選定、契約、IRB対応</t>
        </is>
      </c>
      <c r="I88" s="105" t="inlineStr">
        <is>
          <t>—</t>
        </is>
      </c>
      <c r="J88" s="97" t="inlineStr">
        <is>
          <t>すぐに組入れを始められる施設</t>
        </is>
      </c>
    </row>
    <row r="89" ht="26.25" customHeight="1" s="80">
      <c r="A89" s="94" t="inlineStr">
        <is>
          <t>C05-04-02</t>
        </is>
      </c>
      <c r="B89" s="95" t="n"/>
      <c r="C89" s="95" t="n"/>
      <c r="D89" s="95" t="inlineStr">
        <is>
          <t>●</t>
        </is>
      </c>
      <c r="E89" s="97" t="inlineStr">
        <is>
          <t>モニタリング・施設管理</t>
        </is>
      </c>
      <c r="F89" s="97" t="inlineStr">
        <is>
          <t>リスクに基づくモニタリングで、施設の実施状況と症例を管理する</t>
        </is>
      </c>
      <c r="G89" s="94" t="n"/>
      <c r="H89" s="97" t="inlineStr">
        <is>
          <t>モニタリング、施設課題の管理</t>
        </is>
      </c>
      <c r="I89" s="105" t="inlineStr">
        <is>
          <t>—</t>
        </is>
      </c>
      <c r="J89" s="105" t="inlineStr">
        <is>
          <t>GCPに適合した試験の実施</t>
        </is>
      </c>
    </row>
    <row r="90" ht="26.25" customHeight="1" s="80">
      <c r="A90" s="94" t="inlineStr">
        <is>
          <t>C05-04-03</t>
        </is>
      </c>
      <c r="B90" s="95" t="n"/>
      <c r="C90" s="95" t="n"/>
      <c r="D90" s="95" t="inlineStr">
        <is>
          <t>●</t>
        </is>
      </c>
      <c r="E90" s="97" t="inlineStr">
        <is>
          <t>試験文書・登録管理</t>
        </is>
      </c>
      <c r="F90" s="97" t="inlineStr">
        <is>
          <t>治験マスターファイル（TMF）を管理し、ClinicalTrials.govへの登録・結果公開を行う</t>
        </is>
      </c>
      <c r="G90" s="94" t="n"/>
      <c r="H90" s="105" t="inlineStr">
        <is>
          <t>TMF管理、試験登録・結果報告</t>
        </is>
      </c>
      <c r="I90" s="97" t="inlineStr">
        <is>
          <t>文書管理（C13-02-01）</t>
        </is>
      </c>
      <c r="J90" s="97" t="inlineStr">
        <is>
          <t>いつでも査察に耐える試験記録</t>
        </is>
      </c>
    </row>
    <row r="91" ht="15" customHeight="1" s="80">
      <c r="A91" s="90" t="inlineStr">
        <is>
          <t>C05-05</t>
        </is>
      </c>
      <c r="B91" s="91" t="n"/>
      <c r="C91" s="91" t="inlineStr">
        <is>
          <t>●</t>
        </is>
      </c>
      <c r="D91" s="91" t="n"/>
      <c r="E91" s="92" t="inlineStr">
        <is>
          <t>臨床データマネジメント・統計解析</t>
        </is>
      </c>
      <c r="F91" s="93" t="inlineStr">
        <is>
          <t>臨床データを収集・固定し、解析して報告する</t>
        </is>
      </c>
      <c r="G91" s="90" t="n"/>
      <c r="H91" s="106" t="n"/>
      <c r="I91" s="106" t="n"/>
      <c r="J91" s="106" t="n"/>
    </row>
    <row r="92" ht="26.25" customHeight="1" s="80">
      <c r="A92" s="94" t="inlineStr">
        <is>
          <t>C05-05-01</t>
        </is>
      </c>
      <c r="B92" s="95" t="n"/>
      <c r="C92" s="95" t="n"/>
      <c r="D92" s="95" t="inlineStr">
        <is>
          <t>●</t>
        </is>
      </c>
      <c r="E92" s="97" t="inlineStr">
        <is>
          <t>データマネジメント</t>
        </is>
      </c>
      <c r="F92" s="105" t="inlineStr">
        <is>
          <t>EDCでデータを収集・クリーニングし、CDISC標準に整えて固定する</t>
        </is>
      </c>
      <c r="G92" s="94" t="n"/>
      <c r="H92" s="97" t="inlineStr">
        <is>
          <t>データ収集・クリーニング、SDTM／ADaMの作成、データベース固定</t>
        </is>
      </c>
      <c r="I92" s="105" t="inlineStr">
        <is>
          <t>—</t>
        </is>
      </c>
      <c r="J92" s="97" t="inlineStr">
        <is>
          <t>解析に使える、信頼できるデータ</t>
        </is>
      </c>
    </row>
    <row r="93" ht="15" customHeight="1" s="80">
      <c r="A93" s="94" t="inlineStr">
        <is>
          <t>C05-05-02</t>
        </is>
      </c>
      <c r="B93" s="95" t="n"/>
      <c r="C93" s="95" t="n"/>
      <c r="D93" s="95" t="inlineStr">
        <is>
          <t>●</t>
        </is>
      </c>
      <c r="E93" s="97" t="inlineStr">
        <is>
          <t>統計解析</t>
        </is>
      </c>
      <c r="F93" s="97" t="inlineStr">
        <is>
          <t>統計解析計画に沿って解析し、図表・リストを作成する</t>
        </is>
      </c>
      <c r="G93" s="94" t="n"/>
      <c r="H93" s="97" t="inlineStr">
        <is>
          <t>統計解析、結果の解釈</t>
        </is>
      </c>
      <c r="I93" s="97" t="inlineStr">
        <is>
          <t>試験デザイン★（C05-01-02）</t>
        </is>
      </c>
      <c r="J93" s="97" t="inlineStr">
        <is>
          <t>正確な解析結果</t>
        </is>
      </c>
    </row>
    <row r="94" ht="15" customHeight="1" s="80">
      <c r="A94" s="94" t="inlineStr">
        <is>
          <t>C05-05-03</t>
        </is>
      </c>
      <c r="B94" s="95" t="n"/>
      <c r="C94" s="95" t="n"/>
      <c r="D94" s="95" t="inlineStr">
        <is>
          <t>●</t>
        </is>
      </c>
      <c r="E94" s="97" t="inlineStr">
        <is>
          <t>臨床文書作成</t>
        </is>
      </c>
      <c r="F94" s="97" t="inlineStr">
        <is>
          <t>総括報告書（CSR）・統合解析などの臨床文書を作成する</t>
        </is>
      </c>
      <c r="G94" s="94" t="n"/>
      <c r="H94" s="105" t="inlineStr">
        <is>
          <t>CSR、統合安全性・有効性解析の文書</t>
        </is>
      </c>
      <c r="I94" s="97" t="inlineStr">
        <is>
          <t>申請資料の作成・統合（C06-02-01）</t>
        </is>
      </c>
      <c r="J94" s="97" t="inlineStr">
        <is>
          <t>申請に使える臨床文書</t>
        </is>
      </c>
    </row>
    <row r="95" ht="15" customHeight="1" s="80">
      <c r="A95" s="90" t="inlineStr">
        <is>
          <t>C05-06</t>
        </is>
      </c>
      <c r="B95" s="91" t="n"/>
      <c r="C95" s="91" t="inlineStr">
        <is>
          <t>●</t>
        </is>
      </c>
      <c r="D95" s="91" t="n"/>
      <c r="E95" s="92" t="inlineStr">
        <is>
          <t>治験薬供給管理</t>
        </is>
      </c>
      <c r="F95" s="93" t="inlineStr">
        <is>
          <t>治験薬を必要な施設・患者に、必要な時に届ける</t>
        </is>
      </c>
      <c r="G95" s="90" t="n"/>
      <c r="H95" s="106" t="n"/>
      <c r="I95" s="106" t="n"/>
      <c r="J95" s="106" t="n"/>
    </row>
    <row r="96" ht="26.25" customHeight="1" s="80">
      <c r="A96" s="94" t="inlineStr">
        <is>
          <t>C05-06-01</t>
        </is>
      </c>
      <c r="B96" s="95" t="n"/>
      <c r="C96" s="95" t="n"/>
      <c r="D96" s="95" t="inlineStr">
        <is>
          <t>●</t>
        </is>
      </c>
      <c r="E96" s="97" t="inlineStr">
        <is>
          <t>治験薬需給・割付</t>
        </is>
      </c>
      <c r="F96" s="97" t="inlineStr">
        <is>
          <t>治験薬の需給を計画し、割付・施設への供給・在庫を管理する</t>
        </is>
      </c>
      <c r="G96" s="94" t="n"/>
      <c r="H96" s="97" t="inlineStr">
        <is>
          <t>需給計画、IRTによる割付・供給</t>
        </is>
      </c>
      <c r="I96" s="105" t="inlineStr">
        <is>
          <t>—</t>
        </is>
      </c>
      <c r="J96" s="97" t="inlineStr">
        <is>
          <t>欠品・無駄のない治験薬供給</t>
        </is>
      </c>
    </row>
    <row r="97" ht="15" customHeight="1" s="80">
      <c r="A97" s="94" t="inlineStr">
        <is>
          <t>C05-06-02</t>
        </is>
      </c>
      <c r="B97" s="95" t="n"/>
      <c r="C97" s="95" t="n"/>
      <c r="D97" s="95" t="inlineStr">
        <is>
          <t>●</t>
        </is>
      </c>
      <c r="E97" s="97" t="inlineStr">
        <is>
          <t>治験薬の包装・表示</t>
        </is>
      </c>
      <c r="F97" s="97" t="inlineStr">
        <is>
          <t>治験薬の包装・表示（盲検化を含む）を行う</t>
        </is>
      </c>
      <c r="G97" s="94" t="n"/>
      <c r="H97" s="97" t="inlineStr">
        <is>
          <t>包装・表示、盲検化</t>
        </is>
      </c>
      <c r="I97" s="105" t="inlineStr">
        <is>
          <t>—</t>
        </is>
      </c>
      <c r="J97" s="97" t="inlineStr">
        <is>
          <t>試験の要件を満たす治験薬</t>
        </is>
      </c>
    </row>
    <row r="98" ht="26.25" customHeight="1" s="80">
      <c r="A98" s="86" t="inlineStr">
        <is>
          <t>C06</t>
        </is>
      </c>
      <c r="B98" s="87" t="inlineStr">
        <is>
          <t>●</t>
        </is>
      </c>
      <c r="C98" s="87" t="n"/>
      <c r="D98" s="87" t="n"/>
      <c r="E98" s="108" t="inlineStr">
        <is>
          <t>薬事</t>
        </is>
      </c>
      <c r="F98" s="110" t="inlineStr">
        <is>
          <t>FDAとの対話を通じて、開発を承認に導き、承認後も製品を適法に維持する能力</t>
        </is>
      </c>
      <c r="G98" s="109" t="inlineStr">
        <is>
          <t>コア</t>
        </is>
      </c>
      <c r="H98" s="110" t="n"/>
      <c r="I98" s="110" t="n"/>
      <c r="J98" s="110" t="n"/>
    </row>
    <row r="99" ht="15" customHeight="1" s="80">
      <c r="A99" s="90" t="inlineStr">
        <is>
          <t>C06-01</t>
        </is>
      </c>
      <c r="B99" s="91" t="n"/>
      <c r="C99" s="91" t="inlineStr">
        <is>
          <t>●</t>
        </is>
      </c>
      <c r="D99" s="91" t="n"/>
      <c r="E99" s="92" t="inlineStr">
        <is>
          <t>薬事戦略・当局対応</t>
        </is>
      </c>
      <c r="F99" s="93" t="inlineStr">
        <is>
          <t>規制戦略を立て、FDAと対話し、指定制度を活用する</t>
        </is>
      </c>
      <c r="G99" s="90" t="n"/>
      <c r="H99" s="106" t="n"/>
      <c r="I99" s="106" t="n"/>
      <c r="J99" s="106" t="n"/>
    </row>
    <row r="100" ht="26.25" customHeight="1" s="80">
      <c r="A100" s="94" t="inlineStr">
        <is>
          <t>C06-01-01</t>
        </is>
      </c>
      <c r="B100" s="95" t="n"/>
      <c r="C100" s="95" t="n"/>
      <c r="D100" s="95" t="inlineStr">
        <is>
          <t>●</t>
        </is>
      </c>
      <c r="E100" s="97" t="inlineStr">
        <is>
          <t>規制戦略立案</t>
        </is>
      </c>
      <c r="F100" s="97" t="inlineStr">
        <is>
          <t>米国での承認経路と迅速化制度の活用を含め、規制戦略を立てる</t>
        </is>
      </c>
      <c r="G100" s="94" t="n"/>
      <c r="H100" s="97" t="inlineStr">
        <is>
          <t>承認経路の選択、迅速化制度の活用方針</t>
        </is>
      </c>
      <c r="I100" s="97" t="inlineStr">
        <is>
          <t>臨床開発計画（C05-01-01）</t>
        </is>
      </c>
      <c r="J100" s="97" t="inlineStr">
        <is>
          <t>最短で確実な承認経路</t>
        </is>
      </c>
    </row>
    <row r="101" ht="26.25" customHeight="1" s="80">
      <c r="A101" s="94" t="inlineStr">
        <is>
          <t>C06-01-02</t>
        </is>
      </c>
      <c r="B101" s="95" t="n"/>
      <c r="C101" s="95" t="n"/>
      <c r="D101" s="95" t="inlineStr">
        <is>
          <t>●</t>
        </is>
      </c>
      <c r="E101" s="105" t="inlineStr">
        <is>
          <t>FDA会議・照会対応</t>
        </is>
      </c>
      <c r="F101" s="105" t="inlineStr">
        <is>
          <t>FDAとの会議（Pre-IND・EOP2・Pre-BLA等）と照会に対応する</t>
        </is>
      </c>
      <c r="G101" s="94" t="n"/>
      <c r="H101" s="97" t="inlineStr">
        <is>
          <t>会議資料・議事録、照会への回答</t>
        </is>
      </c>
      <c r="I101" s="105" t="inlineStr">
        <is>
          <t>—</t>
        </is>
      </c>
      <c r="J101" s="105" t="inlineStr">
        <is>
          <t>FDAと合意された開発・審査の論点</t>
        </is>
      </c>
    </row>
    <row r="102" ht="26.25" customHeight="1" s="80">
      <c r="A102" s="94" t="inlineStr">
        <is>
          <t>C06-01-03</t>
        </is>
      </c>
      <c r="B102" s="95" t="n"/>
      <c r="C102" s="95" t="n"/>
      <c r="D102" s="95" t="inlineStr">
        <is>
          <t>●</t>
        </is>
      </c>
      <c r="E102" s="97" t="inlineStr">
        <is>
          <t>指定制度・インセンティブ管理★</t>
        </is>
      </c>
      <c r="F102" s="105" t="inlineStr">
        <is>
          <t>Orphan Drug・希少小児疾患・Fast Track・Breakthrough Therapyの指定と、優先審査バウチャーを管理する</t>
        </is>
      </c>
      <c r="G102" s="94" t="n"/>
      <c r="H102" s="97" t="inlineStr">
        <is>
          <t>指定の申請・維持、バウチャーの受領・活用</t>
        </is>
      </c>
      <c r="I102" s="97" t="inlineStr">
        <is>
          <t>規制上の独占期間管理（C01-02-02）</t>
        </is>
      </c>
      <c r="J102" s="97" t="inlineStr">
        <is>
          <t>制度上の優遇の最大化</t>
        </is>
      </c>
    </row>
    <row r="103" ht="15" customHeight="1" s="80">
      <c r="A103" s="94" t="inlineStr">
        <is>
          <t>C06-01-04</t>
        </is>
      </c>
      <c r="B103" s="95" t="n"/>
      <c r="C103" s="95" t="n"/>
      <c r="D103" s="95" t="inlineStr">
        <is>
          <t>●</t>
        </is>
      </c>
      <c r="E103" s="97" t="inlineStr">
        <is>
          <t>規制情報収集</t>
        </is>
      </c>
      <c r="F103" s="105" t="inlineStr">
        <is>
          <t>FDAのガイダンス・制度変更を把握し、影響を評価する</t>
        </is>
      </c>
      <c r="G103" s="94" t="n"/>
      <c r="H103" s="97" t="inlineStr">
        <is>
          <t>規制動向の監視、影響評価</t>
        </is>
      </c>
      <c r="I103" s="105" t="inlineStr">
        <is>
          <t>—</t>
        </is>
      </c>
      <c r="J103" s="97" t="inlineStr">
        <is>
          <t>規制変更への先回りした対応</t>
        </is>
      </c>
    </row>
    <row r="104" ht="26.25" customHeight="1" s="80">
      <c r="A104" s="90" t="inlineStr">
        <is>
          <t>C06-02</t>
        </is>
      </c>
      <c r="B104" s="91" t="n"/>
      <c r="C104" s="91" t="inlineStr">
        <is>
          <t>●</t>
        </is>
      </c>
      <c r="D104" s="91" t="n"/>
      <c r="E104" s="92" t="inlineStr">
        <is>
          <t>申請資料作成・管理</t>
        </is>
      </c>
      <c r="F104" s="106" t="inlineStr">
        <is>
          <t>IND・BLA・補足申請の資料を作成・提出し、ライフサイクルを通じて管理する</t>
        </is>
      </c>
      <c r="G104" s="90" t="n"/>
      <c r="H104" s="106" t="n"/>
      <c r="I104" s="106" t="n"/>
      <c r="J104" s="106" t="n"/>
    </row>
    <row r="105" ht="26.25" customHeight="1" s="80">
      <c r="A105" s="94" t="inlineStr">
        <is>
          <t>C06-02-01</t>
        </is>
      </c>
      <c r="B105" s="95" t="n"/>
      <c r="C105" s="95" t="n"/>
      <c r="D105" s="95" t="inlineStr">
        <is>
          <t>●</t>
        </is>
      </c>
      <c r="E105" s="97" t="inlineStr">
        <is>
          <t>申請資料の作成・統合</t>
        </is>
      </c>
      <c r="F105" s="105" t="inlineStr">
        <is>
          <t>IND・BLA・補足申請（sBLA）の資料を作成・統合する</t>
        </is>
      </c>
      <c r="G105" s="94" t="n"/>
      <c r="H105" s="105" t="inlineStr">
        <is>
          <t>CTD各モジュールの統合、品質（Module 3）の作成</t>
        </is>
      </c>
      <c r="I105" s="97" t="inlineStr">
        <is>
          <t>臨床文書作成（C05-05-03）</t>
        </is>
      </c>
      <c r="J105" s="97" t="inlineStr">
        <is>
          <t>審査に耐える申請資料</t>
        </is>
      </c>
    </row>
    <row r="106" ht="15" customHeight="1" s="80">
      <c r="A106" s="94" t="inlineStr">
        <is>
          <t>C06-02-02</t>
        </is>
      </c>
      <c r="B106" s="95" t="n"/>
      <c r="C106" s="95" t="n"/>
      <c r="D106" s="95" t="inlineStr">
        <is>
          <t>●</t>
        </is>
      </c>
      <c r="E106" s="97" t="inlineStr">
        <is>
          <t>電子申請・パブリッシング</t>
        </is>
      </c>
      <c r="F106" s="105" t="inlineStr">
        <is>
          <t>eCTD形式で申請資料を編集し、FDAへ電子提出する</t>
        </is>
      </c>
      <c r="G106" s="94" t="n"/>
      <c r="H106" s="97" t="inlineStr">
        <is>
          <t>パブリッシング、電子提出</t>
        </is>
      </c>
      <c r="I106" s="105" t="inlineStr">
        <is>
          <t>—</t>
        </is>
      </c>
      <c r="J106" s="97" t="inlineStr">
        <is>
          <t>技術的に受理される申請</t>
        </is>
      </c>
    </row>
    <row r="107" ht="15" customHeight="1" s="80">
      <c r="A107" s="94" t="inlineStr">
        <is>
          <t>C06-02-03</t>
        </is>
      </c>
      <c r="B107" s="95" t="n"/>
      <c r="C107" s="95" t="n"/>
      <c r="D107" s="95" t="inlineStr">
        <is>
          <t>●</t>
        </is>
      </c>
      <c r="E107" s="97" t="inlineStr">
        <is>
          <t>申請ライフサイクル管理</t>
        </is>
      </c>
      <c r="F107" s="105" t="inlineStr">
        <is>
          <t>IND・BLAの提出履歴と、承認事項の最新状態を管理する</t>
        </is>
      </c>
      <c r="G107" s="94" t="n"/>
      <c r="H107" s="97" t="inlineStr">
        <is>
          <t>提出物の追跡、承認事項の管理</t>
        </is>
      </c>
      <c r="I107" s="105" t="inlineStr">
        <is>
          <t>—</t>
        </is>
      </c>
      <c r="J107" s="97" t="inlineStr">
        <is>
          <t>常に正確な承認事項</t>
        </is>
      </c>
    </row>
    <row r="108" ht="15" customHeight="1" s="80">
      <c r="A108" s="90" t="inlineStr">
        <is>
          <t>C06-03</t>
        </is>
      </c>
      <c r="B108" s="91" t="n"/>
      <c r="C108" s="91" t="inlineStr">
        <is>
          <t>●</t>
        </is>
      </c>
      <c r="D108" s="91" t="n"/>
      <c r="E108" s="92" t="inlineStr">
        <is>
          <t>ラベリング管理</t>
        </is>
      </c>
      <c r="F108" s="106" t="inlineStr">
        <is>
          <t>USPI・患者向け資料を作成・合意し、改訂する</t>
        </is>
      </c>
      <c r="G108" s="90" t="n"/>
      <c r="H108" s="106" t="n"/>
      <c r="I108" s="106" t="n"/>
      <c r="J108" s="106" t="n"/>
    </row>
    <row r="109" ht="15" customHeight="1" s="80">
      <c r="A109" s="94" t="inlineStr">
        <is>
          <t>C06-03-01</t>
        </is>
      </c>
      <c r="B109" s="95" t="n"/>
      <c r="C109" s="95" t="n"/>
      <c r="D109" s="95" t="inlineStr">
        <is>
          <t>●</t>
        </is>
      </c>
      <c r="E109" s="97" t="inlineStr">
        <is>
          <t>表示の作成・交渉</t>
        </is>
      </c>
      <c r="F109" s="105" t="inlineStr">
        <is>
          <t>USPI・患者向け資料の案を作成し、FDAと交渉・合意する</t>
        </is>
      </c>
      <c r="G109" s="94" t="n"/>
      <c r="H109" s="97" t="inlineStr">
        <is>
          <t>表示案の作成、FDAとの交渉</t>
        </is>
      </c>
      <c r="I109" s="97" t="inlineStr">
        <is>
          <t>販促資材審査（C11-03-01）</t>
        </is>
      </c>
      <c r="J109" s="97" t="inlineStr">
        <is>
          <t>合意された適正な表示</t>
        </is>
      </c>
    </row>
    <row r="110" ht="15" customHeight="1" s="80">
      <c r="A110" s="94" t="inlineStr">
        <is>
          <t>C06-03-02</t>
        </is>
      </c>
      <c r="B110" s="95" t="n"/>
      <c r="C110" s="95" t="n"/>
      <c r="D110" s="95" t="inlineStr">
        <is>
          <t>●</t>
        </is>
      </c>
      <c r="E110" s="97" t="inlineStr">
        <is>
          <t>表示の改訂管理</t>
        </is>
      </c>
      <c r="F110" s="97" t="inlineStr">
        <is>
          <t>安全性情報・適応追加などに応じて表示を改訂する</t>
        </is>
      </c>
      <c r="G110" s="94" t="n"/>
      <c r="H110" s="97" t="inlineStr">
        <is>
          <t>改訂の判断・提出、関連資材への反映</t>
        </is>
      </c>
      <c r="I110" s="105" t="inlineStr">
        <is>
          <t>—</t>
        </is>
      </c>
      <c r="J110" s="97" t="inlineStr">
        <is>
          <t>常に最新の表示</t>
        </is>
      </c>
    </row>
    <row r="111" ht="26.25" customHeight="1" s="80">
      <c r="A111" s="90" t="inlineStr">
        <is>
          <t>C06-04</t>
        </is>
      </c>
      <c r="B111" s="91" t="n"/>
      <c r="C111" s="91" t="inlineStr">
        <is>
          <t>●</t>
        </is>
      </c>
      <c r="D111" s="91" t="n"/>
      <c r="E111" s="92" t="inlineStr">
        <is>
          <t>市販後薬事コンプライアンス</t>
        </is>
      </c>
      <c r="F111" s="93" t="inlineStr">
        <is>
          <t>承認後の要求事項・変更・報告を管理し、製品を適法に維持する</t>
        </is>
      </c>
      <c r="G111" s="90" t="n"/>
      <c r="H111" s="106" t="n"/>
      <c r="I111" s="106" t="n"/>
      <c r="J111" s="106" t="n"/>
    </row>
    <row r="112" ht="26.25" customHeight="1" s="80">
      <c r="A112" s="94" t="inlineStr">
        <is>
          <t>C06-04-01</t>
        </is>
      </c>
      <c r="B112" s="95" t="n"/>
      <c r="C112" s="95" t="n"/>
      <c r="D112" s="95" t="inlineStr">
        <is>
          <t>●</t>
        </is>
      </c>
      <c r="E112" s="105" t="inlineStr">
        <is>
          <t>PMR／PMC管理</t>
        </is>
      </c>
      <c r="F112" s="97" t="inlineStr">
        <is>
          <t>市販後要求・コミットメントの進捗を管理し、報告する</t>
        </is>
      </c>
      <c r="G112" s="94" t="n"/>
      <c r="H112" s="97" t="inlineStr">
        <is>
          <t>試験の進捗管理、年次状況報告</t>
        </is>
      </c>
      <c r="I112" s="97" t="inlineStr">
        <is>
          <t>臨床試験運営（C05-04）</t>
        </is>
      </c>
      <c r="J112" s="97" t="inlineStr">
        <is>
          <t>期限どおりに履行された市販後要求</t>
        </is>
      </c>
    </row>
    <row r="113" ht="26.25" customHeight="1" s="80">
      <c r="A113" s="94" t="inlineStr">
        <is>
          <t>C06-04-02</t>
        </is>
      </c>
      <c r="B113" s="95" t="n"/>
      <c r="C113" s="95" t="n"/>
      <c r="D113" s="95" t="inlineStr">
        <is>
          <t>●</t>
        </is>
      </c>
      <c r="E113" s="97" t="inlineStr">
        <is>
          <t>変更の報告区分判定・申請</t>
        </is>
      </c>
      <c r="F113" s="97" t="inlineStr">
        <is>
          <t>製法などの変更を、21 CFR 601.12の報告区分で判定し、申請・報告する</t>
        </is>
      </c>
      <c r="G113" s="94" t="n"/>
      <c r="H113" s="97" t="inlineStr">
        <is>
          <t>報告区分の判定、事前承認申請・報告</t>
        </is>
      </c>
      <c r="I113" s="97" t="inlineStr">
        <is>
          <t>変更管理（C08-02-03）、同等性／同質性評価（C04-04-04）</t>
        </is>
      </c>
      <c r="J113" s="97" t="inlineStr">
        <is>
          <t>適法に実施された変更</t>
        </is>
      </c>
    </row>
    <row r="114" ht="26.25" customHeight="1" s="80">
      <c r="A114" s="94" t="inlineStr">
        <is>
          <t>C06-04-03</t>
        </is>
      </c>
      <c r="B114" s="95" t="n"/>
      <c r="C114" s="95" t="n"/>
      <c r="D114" s="95" t="inlineStr">
        <is>
          <t>●</t>
        </is>
      </c>
      <c r="E114" s="97" t="inlineStr">
        <is>
          <t>定期・年次報告</t>
        </is>
      </c>
      <c r="F114" s="105" t="inlineStr">
        <is>
          <t>BLAに関する定期・年次の報告を提出する</t>
        </is>
      </c>
      <c r="G114" s="94" t="n"/>
      <c r="H114" s="97" t="inlineStr">
        <is>
          <t>年次報告</t>
        </is>
      </c>
      <c r="I114" s="97" t="inlineStr">
        <is>
          <t>当局への安全性報告（C09-01-03）、PMR／PMC管理（C06-04-01）</t>
        </is>
      </c>
      <c r="J114" s="97" t="inlineStr">
        <is>
          <t>期限どおりの当局報告</t>
        </is>
      </c>
    </row>
    <row r="115" ht="15" customHeight="1" s="80">
      <c r="A115" s="94" t="inlineStr">
        <is>
          <t>C06-04-04</t>
        </is>
      </c>
      <c r="B115" s="95" t="n"/>
      <c r="C115" s="95" t="n"/>
      <c r="D115" s="95" t="inlineStr">
        <is>
          <t>●</t>
        </is>
      </c>
      <c r="E115" s="97" t="inlineStr">
        <is>
          <t>施設登録・製品リスティング</t>
        </is>
      </c>
      <c r="F115" s="97" t="inlineStr">
        <is>
          <t>製造施設の登録と製品リスティング（NDC）を維持する</t>
        </is>
      </c>
      <c r="G115" s="94" t="n"/>
      <c r="H115" s="97" t="inlineStr">
        <is>
          <t>施設登録、製品リスティングの更新</t>
        </is>
      </c>
      <c r="I115" s="105" t="inlineStr">
        <is>
          <t>—</t>
        </is>
      </c>
      <c r="J115" s="97" t="inlineStr">
        <is>
          <t>正確な登録・リスティング</t>
        </is>
      </c>
    </row>
    <row r="116" ht="26.25" customHeight="1" s="80">
      <c r="A116" s="86" t="inlineStr">
        <is>
          <t>C07</t>
        </is>
      </c>
      <c r="B116" s="87" t="inlineStr">
        <is>
          <t>●</t>
        </is>
      </c>
      <c r="C116" s="87" t="n"/>
      <c r="D116" s="87" t="n"/>
      <c r="E116" s="108" t="inlineStr">
        <is>
          <t>製造</t>
        </is>
      </c>
      <c r="F116" s="89" t="inlineStr">
        <is>
          <t>生細胞を用いて、GMPに従い、原薬・製剤を安定して製造する能力</t>
        </is>
      </c>
      <c r="G116" s="109" t="inlineStr">
        <is>
          <t>コア</t>
        </is>
      </c>
      <c r="H116" s="110" t="n"/>
      <c r="I116" s="110" t="n"/>
      <c r="J116" s="110" t="n"/>
    </row>
    <row r="117" ht="15" customHeight="1" s="80">
      <c r="A117" s="90" t="inlineStr">
        <is>
          <t>C07-01</t>
        </is>
      </c>
      <c r="B117" s="91" t="n"/>
      <c r="C117" s="91" t="inlineStr">
        <is>
          <t>●</t>
        </is>
      </c>
      <c r="D117" s="91" t="n"/>
      <c r="E117" s="92" t="inlineStr">
        <is>
          <t>生産計画・製造実行管理</t>
        </is>
      </c>
      <c r="F117" s="93" t="inlineStr">
        <is>
          <t>生産を計画し、資材を確保し、製造の実行と記録を管理する</t>
        </is>
      </c>
      <c r="G117" s="90" t="n"/>
      <c r="H117" s="106" t="n"/>
      <c r="I117" s="106" t="n"/>
      <c r="J117" s="106" t="n"/>
    </row>
    <row r="118" ht="15" customHeight="1" s="80">
      <c r="A118" s="94" t="inlineStr">
        <is>
          <t>C07-01-01</t>
        </is>
      </c>
      <c r="B118" s="95" t="n"/>
      <c r="C118" s="95" t="n"/>
      <c r="D118" s="95" t="inlineStr">
        <is>
          <t>●</t>
        </is>
      </c>
      <c r="E118" s="97" t="inlineStr">
        <is>
          <t>生産計画</t>
        </is>
      </c>
      <c r="F118" s="97" t="inlineStr">
        <is>
          <t>原薬・製剤の生産スケジュールを立てる</t>
        </is>
      </c>
      <c r="G118" s="94" t="n"/>
      <c r="H118" s="97" t="inlineStr">
        <is>
          <t>生産計画、能力調整</t>
        </is>
      </c>
      <c r="I118" s="97" t="inlineStr">
        <is>
          <t>在庫・供給計画（C12-01-02）</t>
        </is>
      </c>
      <c r="J118" s="97" t="inlineStr">
        <is>
          <t>需要に応える実行可能な生産計画</t>
        </is>
      </c>
    </row>
    <row r="119" ht="26.25" customHeight="1" s="80">
      <c r="A119" s="94" t="inlineStr">
        <is>
          <t>C07-01-02</t>
        </is>
      </c>
      <c r="B119" s="95" t="n"/>
      <c r="C119" s="95" t="n"/>
      <c r="D119" s="95" t="inlineStr">
        <is>
          <t>●</t>
        </is>
      </c>
      <c r="E119" s="97" t="inlineStr">
        <is>
          <t>資材調達・在庫管理</t>
        </is>
      </c>
      <c r="F119" s="97" t="inlineStr">
        <is>
          <t>培地・レジン・容器などの原材料・資材を調達し、在庫を管理する</t>
        </is>
      </c>
      <c r="G119" s="94" t="n"/>
      <c r="H119" s="97" t="inlineStr">
        <is>
          <t>調達、受入、在庫管理</t>
        </is>
      </c>
      <c r="I119" s="97" t="inlineStr">
        <is>
          <t>内部監査・パートナー監査（C08-04-02）</t>
        </is>
      </c>
      <c r="J119" s="97" t="inlineStr">
        <is>
          <t>欠品のない資材供給</t>
        </is>
      </c>
    </row>
    <row r="120" ht="26.25" customHeight="1" s="80">
      <c r="A120" s="94" t="inlineStr">
        <is>
          <t>C07-01-03</t>
        </is>
      </c>
      <c r="B120" s="95" t="n"/>
      <c r="C120" s="95" t="n"/>
      <c r="D120" s="95" t="inlineStr">
        <is>
          <t>●</t>
        </is>
      </c>
      <c r="E120" s="97" t="inlineStr">
        <is>
          <t>製造記録管理</t>
        </is>
      </c>
      <c r="F120" s="97" t="inlineStr">
        <is>
          <t>製造指図と製造記録（電子バッチ記録を含む）を管理する</t>
        </is>
      </c>
      <c r="G120" s="94" t="n"/>
      <c r="H120" s="97" t="inlineStr">
        <is>
          <t>製造指図の発行、記録の作成・照査準備</t>
        </is>
      </c>
      <c r="I120" s="97" t="inlineStr">
        <is>
          <t>ロット出荷判定（C08-02-01）</t>
        </is>
      </c>
      <c r="J120" s="97" t="inlineStr">
        <is>
          <t>完全で正確な製造記録</t>
        </is>
      </c>
    </row>
    <row r="121" ht="15" customHeight="1" s="80">
      <c r="A121" s="90" t="inlineStr">
        <is>
          <t>C07-02</t>
        </is>
      </c>
      <c r="B121" s="91" t="n"/>
      <c r="C121" s="91" t="inlineStr">
        <is>
          <t>●</t>
        </is>
      </c>
      <c r="D121" s="91" t="n"/>
      <c r="E121" s="92" t="inlineStr">
        <is>
          <t>原薬製造</t>
        </is>
      </c>
      <c r="F121" s="93" t="inlineStr">
        <is>
          <t>セルバンクから、培養・精製を経て原薬を製造する</t>
        </is>
      </c>
      <c r="G121" s="90" t="n"/>
      <c r="H121" s="106" t="n"/>
      <c r="I121" s="106" t="n"/>
      <c r="J121" s="106" t="n"/>
    </row>
    <row r="122" ht="26.25" customHeight="1" s="80">
      <c r="A122" s="94" t="inlineStr">
        <is>
          <t>C07-02-01</t>
        </is>
      </c>
      <c r="B122" s="95" t="n"/>
      <c r="C122" s="95" t="n"/>
      <c r="D122" s="95" t="inlineStr">
        <is>
          <t>●</t>
        </is>
      </c>
      <c r="E122" s="97" t="inlineStr">
        <is>
          <t>細胞培養</t>
        </is>
      </c>
      <c r="F122" s="97" t="inlineStr">
        <is>
          <t>セルバンクの融解から拡大培養・本培養（バイオリアクター）までを行う</t>
        </is>
      </c>
      <c r="G122" s="94" t="n"/>
      <c r="H122" s="97" t="inlineStr">
        <is>
          <t>シード培養、本培養、工程の監視</t>
        </is>
      </c>
      <c r="I122" s="105" t="inlineStr">
        <is>
          <t>—</t>
        </is>
      </c>
      <c r="J122" s="97" t="inlineStr">
        <is>
          <t>計画どおりの生産量と品質</t>
        </is>
      </c>
    </row>
    <row r="123" ht="26.25" customHeight="1" s="80">
      <c r="A123" s="94" t="inlineStr">
        <is>
          <t>C07-02-02</t>
        </is>
      </c>
      <c r="B123" s="95" t="n"/>
      <c r="C123" s="95" t="n"/>
      <c r="D123" s="95" t="inlineStr">
        <is>
          <t>●</t>
        </is>
      </c>
      <c r="E123" s="97" t="inlineStr">
        <is>
          <t>ハーベスト・精製</t>
        </is>
      </c>
      <c r="F123" s="97" t="inlineStr">
        <is>
          <t>培養液を回収し、精製してウイルス除去工程を含めて原薬にする</t>
        </is>
      </c>
      <c r="G123" s="94" t="n"/>
      <c r="H123" s="97" t="inlineStr">
        <is>
          <t>ハーベスト、クロマトグラフィー、ウイルス除去・不活化</t>
        </is>
      </c>
      <c r="I123" s="105" t="inlineStr">
        <is>
          <t>—</t>
        </is>
      </c>
      <c r="J123" s="97" t="inlineStr">
        <is>
          <t>規格に適合する精製原薬</t>
        </is>
      </c>
    </row>
    <row r="124" ht="15" customHeight="1" s="80">
      <c r="A124" s="94" t="inlineStr">
        <is>
          <t>C07-02-03</t>
        </is>
      </c>
      <c r="B124" s="95" t="n"/>
      <c r="C124" s="95" t="n"/>
      <c r="D124" s="95" t="inlineStr">
        <is>
          <t>●</t>
        </is>
      </c>
      <c r="E124" s="97" t="inlineStr">
        <is>
          <t>原薬の充填・保管</t>
        </is>
      </c>
      <c r="F124" s="97" t="inlineStr">
        <is>
          <t>原薬を容器に充填し、適切な条件で保管する</t>
        </is>
      </c>
      <c r="G124" s="94" t="n"/>
      <c r="H124" s="97" t="inlineStr">
        <is>
          <t>原薬の充填、凍結・保管</t>
        </is>
      </c>
      <c r="I124" s="105" t="inlineStr">
        <is>
          <t>—</t>
        </is>
      </c>
      <c r="J124" s="97" t="inlineStr">
        <is>
          <t>品質が保たれた原薬在庫</t>
        </is>
      </c>
    </row>
    <row r="125" ht="15" customHeight="1" s="80">
      <c r="A125" s="90" t="inlineStr">
        <is>
          <t>C07-03</t>
        </is>
      </c>
      <c r="B125" s="91" t="n"/>
      <c r="C125" s="91" t="inlineStr">
        <is>
          <t>●</t>
        </is>
      </c>
      <c r="D125" s="91" t="n"/>
      <c r="E125" s="92" t="inlineStr">
        <is>
          <t>製剤化・無菌充填・包装</t>
        </is>
      </c>
      <c r="F125" s="93" t="inlineStr">
        <is>
          <t>原薬から製剤を無菌的に製造し、包装する</t>
        </is>
      </c>
      <c r="G125" s="90" t="n"/>
      <c r="H125" s="106" t="n"/>
      <c r="I125" s="106" t="n"/>
      <c r="J125" s="106" t="n"/>
    </row>
    <row r="126" ht="26.25" customHeight="1" s="80">
      <c r="A126" s="94" t="inlineStr">
        <is>
          <t>C07-03-01</t>
        </is>
      </c>
      <c r="B126" s="95" t="n"/>
      <c r="C126" s="95" t="n"/>
      <c r="D126" s="95" t="inlineStr">
        <is>
          <t>●</t>
        </is>
      </c>
      <c r="E126" s="97" t="inlineStr">
        <is>
          <t>無菌製剤化・充填</t>
        </is>
      </c>
      <c r="F126" s="97" t="inlineStr">
        <is>
          <t>薬液調製・無菌ろ過・無菌充填を行う</t>
        </is>
      </c>
      <c r="G126" s="94" t="n"/>
      <c r="H126" s="97" t="inlineStr">
        <is>
          <t>調製、無菌ろ過、アイソレーター等での充填</t>
        </is>
      </c>
      <c r="I126" s="105" t="inlineStr">
        <is>
          <t>—</t>
        </is>
      </c>
      <c r="J126" s="97" t="inlineStr">
        <is>
          <t>無菌性が保証された製剤</t>
        </is>
      </c>
    </row>
    <row r="127" ht="15" customHeight="1" s="80">
      <c r="A127" s="94" t="inlineStr">
        <is>
          <t>C07-03-02</t>
        </is>
      </c>
      <c r="B127" s="95" t="n"/>
      <c r="C127" s="95" t="n"/>
      <c r="D127" s="95" t="inlineStr">
        <is>
          <t>●</t>
        </is>
      </c>
      <c r="E127" s="97" t="inlineStr">
        <is>
          <t>外観検査</t>
        </is>
      </c>
      <c r="F127" s="97" t="inlineStr">
        <is>
          <t>充填品の外観を検査する</t>
        </is>
      </c>
      <c r="G127" s="94" t="n"/>
      <c r="H127" s="97" t="inlineStr">
        <is>
          <t>目視・自動検査</t>
        </is>
      </c>
      <c r="I127" s="105" t="inlineStr">
        <is>
          <t>—</t>
        </is>
      </c>
      <c r="J127" s="97" t="inlineStr">
        <is>
          <t>不良品の排除</t>
        </is>
      </c>
    </row>
    <row r="128" ht="26.25" customHeight="1" s="80">
      <c r="A128" s="94" t="inlineStr">
        <is>
          <t>C07-03-03</t>
        </is>
      </c>
      <c r="B128" s="95" t="n"/>
      <c r="C128" s="95" t="n"/>
      <c r="D128" s="95" t="inlineStr">
        <is>
          <t>●</t>
        </is>
      </c>
      <c r="E128" s="97" t="inlineStr">
        <is>
          <t>表示・包装・シリアル化</t>
        </is>
      </c>
      <c r="F128" s="97" t="inlineStr">
        <is>
          <t>製品に表示・包装を施し、製品識別子を付与する</t>
        </is>
      </c>
      <c r="G128" s="94" t="n"/>
      <c r="H128" s="97" t="inlineStr">
        <is>
          <t>表示、包装、シリアル番号の付与</t>
        </is>
      </c>
      <c r="I128" s="97" t="inlineStr">
        <is>
          <t>シリアル化データ管理（C12-04-01）、治験薬の包装・表示（C05-06-02）</t>
        </is>
      </c>
      <c r="J128" s="97" t="inlineStr">
        <is>
          <t>出荷できる製品</t>
        </is>
      </c>
    </row>
    <row r="129" ht="15" customHeight="1" s="80">
      <c r="A129" s="90" t="inlineStr">
        <is>
          <t>C07-04</t>
        </is>
      </c>
      <c r="B129" s="91" t="n"/>
      <c r="C129" s="91" t="inlineStr">
        <is>
          <t>●</t>
        </is>
      </c>
      <c r="D129" s="91" t="n"/>
      <c r="E129" s="92" t="inlineStr">
        <is>
          <t>設備・環境管理</t>
        </is>
      </c>
      <c r="F129" s="93" t="inlineStr">
        <is>
          <t>製造設備と無菌環境を維持する</t>
        </is>
      </c>
      <c r="G129" s="90" t="n"/>
      <c r="H129" s="106" t="n"/>
      <c r="I129" s="106" t="n"/>
      <c r="J129" s="106" t="n"/>
    </row>
    <row r="130" ht="15" customHeight="1" s="80">
      <c r="A130" s="94" t="inlineStr">
        <is>
          <t>C07-04-01</t>
        </is>
      </c>
      <c r="B130" s="95" t="n"/>
      <c r="C130" s="95" t="n"/>
      <c r="D130" s="95" t="inlineStr">
        <is>
          <t>●</t>
        </is>
      </c>
      <c r="E130" s="97" t="inlineStr">
        <is>
          <t>設備保全・校正</t>
        </is>
      </c>
      <c r="F130" s="97" t="inlineStr">
        <is>
          <t>製造設備を保全・校正する</t>
        </is>
      </c>
      <c r="G130" s="94" t="n"/>
      <c r="H130" s="97" t="inlineStr">
        <is>
          <t>予防保全、校正</t>
        </is>
      </c>
      <c r="I130" s="97" t="inlineStr">
        <is>
          <t>設備・洗浄バリデーション（C08-03-01）</t>
        </is>
      </c>
      <c r="J130" s="97" t="inlineStr">
        <is>
          <t>安定して稼働する設備</t>
        </is>
      </c>
    </row>
    <row r="131" ht="26.25" customHeight="1" s="80">
      <c r="A131" s="94" t="inlineStr">
        <is>
          <t>C07-04-02</t>
        </is>
      </c>
      <c r="B131" s="95" t="n"/>
      <c r="C131" s="95" t="n"/>
      <c r="D131" s="95" t="inlineStr">
        <is>
          <t>●</t>
        </is>
      </c>
      <c r="E131" s="97" t="inlineStr">
        <is>
          <t>環境・ユーティリティ管理</t>
        </is>
      </c>
      <c r="F131" s="97" t="inlineStr">
        <is>
          <t>無菌環境と、水・空調などのユーティリティを管理・監視する</t>
        </is>
      </c>
      <c r="G131" s="94" t="n"/>
      <c r="H131" s="97" t="inlineStr">
        <is>
          <t>環境モニタリングの運用、ユーティリティ管理</t>
        </is>
      </c>
      <c r="I131" s="97" t="inlineStr">
        <is>
          <t>試験実施（原材料・工程内・出荷）（C08-01-01）</t>
        </is>
      </c>
      <c r="J131" s="97" t="inlineStr">
        <is>
          <t>管理された製造環境</t>
        </is>
      </c>
    </row>
    <row r="132" ht="26.25" customHeight="1" s="80">
      <c r="A132" s="86" t="inlineStr">
        <is>
          <t>C08</t>
        </is>
      </c>
      <c r="B132" s="87" t="inlineStr">
        <is>
          <t>●</t>
        </is>
      </c>
      <c r="C132" s="87" t="n"/>
      <c r="D132" s="87" t="n"/>
      <c r="E132" s="108" t="inlineStr">
        <is>
          <t>品質</t>
        </is>
      </c>
      <c r="F132" s="89" t="inlineStr">
        <is>
          <t>製品がGMPなどの要件に適合していることを、製造から独立した立場で試験・保証する能力</t>
        </is>
      </c>
      <c r="G132" s="109" t="inlineStr">
        <is>
          <t>コア</t>
        </is>
      </c>
      <c r="H132" s="110" t="n"/>
      <c r="I132" s="110" t="n"/>
      <c r="J132" s="110" t="n"/>
    </row>
    <row r="133" ht="15" customHeight="1" s="80">
      <c r="A133" s="90" t="inlineStr">
        <is>
          <t>C08-01</t>
        </is>
      </c>
      <c r="B133" s="91" t="n"/>
      <c r="C133" s="91" t="inlineStr">
        <is>
          <t>●</t>
        </is>
      </c>
      <c r="D133" s="91" t="n"/>
      <c r="E133" s="92" t="inlineStr">
        <is>
          <t>品質管理（試験・安定性）</t>
        </is>
      </c>
      <c r="F133" s="93" t="inlineStr">
        <is>
          <t>原材料・工程・製品を試験し、安定性を監視する</t>
        </is>
      </c>
      <c r="G133" s="90" t="n"/>
      <c r="H133" s="106" t="n"/>
      <c r="I133" s="106" t="n"/>
      <c r="J133" s="106" t="n"/>
    </row>
    <row r="134" ht="26.25" customHeight="1" s="80">
      <c r="A134" s="94" t="inlineStr">
        <is>
          <t>C08-01-01</t>
        </is>
      </c>
      <c r="B134" s="95" t="n"/>
      <c r="C134" s="95" t="n"/>
      <c r="D134" s="95" t="inlineStr">
        <is>
          <t>●</t>
        </is>
      </c>
      <c r="E134" s="97" t="inlineStr">
        <is>
          <t>試験実施（原材料・工程内・出荷）</t>
        </is>
      </c>
      <c r="F134" s="97" t="inlineStr">
        <is>
          <t>原材料・工程内・出荷の試験と、微生物・環境試験を行う</t>
        </is>
      </c>
      <c r="G134" s="94" t="n"/>
      <c r="H134" s="97" t="inlineStr">
        <is>
          <t>各種試験、試験成績書（CoA）の発行</t>
        </is>
      </c>
      <c r="I134" s="97" t="inlineStr">
        <is>
          <t>分析法開発・バリデーション（C04-04-02）</t>
        </is>
      </c>
      <c r="J134" s="97" t="inlineStr">
        <is>
          <t>正確な試験結果</t>
        </is>
      </c>
    </row>
    <row r="135" ht="15" customHeight="1" s="80">
      <c r="A135" s="94" t="inlineStr">
        <is>
          <t>C08-01-02</t>
        </is>
      </c>
      <c r="B135" s="95" t="n"/>
      <c r="C135" s="95" t="n"/>
      <c r="D135" s="95" t="inlineStr">
        <is>
          <t>●</t>
        </is>
      </c>
      <c r="E135" s="97" t="inlineStr">
        <is>
          <t>安定性試験の実施</t>
        </is>
      </c>
      <c r="F135" s="97" t="inlineStr">
        <is>
          <t>安定性試験を実施し、結果を監視する</t>
        </is>
      </c>
      <c r="G135" s="94" t="n"/>
      <c r="H135" s="97" t="inlineStr">
        <is>
          <t>保管・試験・傾向監視</t>
        </is>
      </c>
      <c r="I135" s="97" t="inlineStr">
        <is>
          <t>規格・有効期間設定（C04-04-03）</t>
        </is>
      </c>
      <c r="J135" s="97" t="inlineStr">
        <is>
          <t>有効期間を裏づけるデータ</t>
        </is>
      </c>
    </row>
    <row r="136" ht="26.25" customHeight="1" s="80">
      <c r="A136" s="94" t="inlineStr">
        <is>
          <t>C08-01-03</t>
        </is>
      </c>
      <c r="B136" s="95" t="n"/>
      <c r="C136" s="95" t="n"/>
      <c r="D136" s="95" t="inlineStr">
        <is>
          <t>●</t>
        </is>
      </c>
      <c r="E136" s="97" t="inlineStr">
        <is>
          <t>試験室管理</t>
        </is>
      </c>
      <c r="F136" s="97" t="inlineStr">
        <is>
          <t>規格外結果（OOS）の調査と、試験データの完全性を管理する</t>
        </is>
      </c>
      <c r="G136" s="94" t="n"/>
      <c r="H136" s="105" t="inlineStr">
        <is>
          <t>OOS調査、試験機器・データの管理</t>
        </is>
      </c>
      <c r="I136" s="105" t="inlineStr">
        <is>
          <t>—</t>
        </is>
      </c>
      <c r="J136" s="97" t="inlineStr">
        <is>
          <t>信頼できる試験室</t>
        </is>
      </c>
    </row>
    <row r="137" ht="15" customHeight="1" s="80">
      <c r="A137" s="90" t="inlineStr">
        <is>
          <t>C08-02</t>
        </is>
      </c>
      <c r="B137" s="91" t="n"/>
      <c r="C137" s="91" t="inlineStr">
        <is>
          <t>●</t>
        </is>
      </c>
      <c r="D137" s="91" t="n"/>
      <c r="E137" s="92" t="inlineStr">
        <is>
          <t>品質保証（出荷判定・逸脱・変更）</t>
        </is>
      </c>
      <c r="F137" s="93" t="inlineStr">
        <is>
          <t>ロットの出荷を判定し、逸脱・変更・苦情を管理する</t>
        </is>
      </c>
      <c r="G137" s="90" t="n"/>
      <c r="H137" s="106" t="n"/>
      <c r="I137" s="106" t="n"/>
      <c r="J137" s="106" t="n"/>
    </row>
    <row r="138" ht="26.25" customHeight="1" s="80">
      <c r="A138" s="94" t="inlineStr">
        <is>
          <t>C08-02-01</t>
        </is>
      </c>
      <c r="B138" s="95" t="n"/>
      <c r="C138" s="95" t="n"/>
      <c r="D138" s="95" t="inlineStr">
        <is>
          <t>●</t>
        </is>
      </c>
      <c r="E138" s="97" t="inlineStr">
        <is>
          <t>ロット出荷判定</t>
        </is>
      </c>
      <c r="F138" s="97" t="inlineStr">
        <is>
          <t>製造記録・試験結果を照査し、ロットの出荷可否を判定する</t>
        </is>
      </c>
      <c r="G138" s="94" t="n"/>
      <c r="H138" s="97" t="inlineStr">
        <is>
          <t>記録照査、出荷判定</t>
        </is>
      </c>
      <c r="I138" s="105" t="inlineStr">
        <is>
          <t>—</t>
        </is>
      </c>
      <c r="J138" s="97" t="inlineStr">
        <is>
          <t>品質が保証されたロットだけの出荷</t>
        </is>
      </c>
    </row>
    <row r="139" ht="15" customHeight="1" s="80">
      <c r="A139" s="94" t="inlineStr">
        <is>
          <t>C08-02-02</t>
        </is>
      </c>
      <c r="B139" s="95" t="n"/>
      <c r="C139" s="95" t="n"/>
      <c r="D139" s="95" t="inlineStr">
        <is>
          <t>●</t>
        </is>
      </c>
      <c r="E139" s="97" t="inlineStr">
        <is>
          <t>逸脱・CAPA管理</t>
        </is>
      </c>
      <c r="F139" s="97" t="inlineStr">
        <is>
          <t>逸脱を調査し、是正・予防措置を管理する</t>
        </is>
      </c>
      <c r="G139" s="94" t="n"/>
      <c r="H139" s="97" t="inlineStr">
        <is>
          <t>逸脱調査、根本原因分析、CAPA</t>
        </is>
      </c>
      <c r="I139" s="105" t="inlineStr">
        <is>
          <t>—</t>
        </is>
      </c>
      <c r="J139" s="97" t="inlineStr">
        <is>
          <t>再発防止された品質問題</t>
        </is>
      </c>
    </row>
    <row r="140" ht="15" customHeight="1" s="80">
      <c r="A140" s="94" t="inlineStr">
        <is>
          <t>C08-02-03</t>
        </is>
      </c>
      <c r="B140" s="95" t="n"/>
      <c r="C140" s="95" t="n"/>
      <c r="D140" s="95" t="inlineStr">
        <is>
          <t>●</t>
        </is>
      </c>
      <c r="E140" s="97" t="inlineStr">
        <is>
          <t>変更管理</t>
        </is>
      </c>
      <c r="F140" s="97" t="inlineStr">
        <is>
          <t>変更の品質への影響を評価し、実施を管理する</t>
        </is>
      </c>
      <c r="G140" s="94" t="n"/>
      <c r="H140" s="97" t="inlineStr">
        <is>
          <t>変更評価、実施管理</t>
        </is>
      </c>
      <c r="I140" s="97" t="inlineStr">
        <is>
          <t>変更の報告区分判定・申請（C06-04-02）</t>
        </is>
      </c>
      <c r="J140" s="97" t="inlineStr">
        <is>
          <t>管理された変更</t>
        </is>
      </c>
    </row>
    <row r="141" ht="15" customHeight="1" s="80">
      <c r="A141" s="94" t="inlineStr">
        <is>
          <t>C08-02-04</t>
        </is>
      </c>
      <c r="B141" s="95" t="n"/>
      <c r="C141" s="95" t="n"/>
      <c r="D141" s="95" t="inlineStr">
        <is>
          <t>●</t>
        </is>
      </c>
      <c r="E141" s="97" t="inlineStr">
        <is>
          <t>年次製品照査・品質指標</t>
        </is>
      </c>
      <c r="F141" s="97" t="inlineStr">
        <is>
          <t>製品品質の傾向を年次で照査し、品質指標を監視する</t>
        </is>
      </c>
      <c r="G141" s="94" t="n"/>
      <c r="H141" s="97" t="inlineStr">
        <is>
          <t>年次製品照査（APR）、品質指標</t>
        </is>
      </c>
      <c r="I141" s="105" t="inlineStr">
        <is>
          <t>—</t>
        </is>
      </c>
      <c r="J141" s="97" t="inlineStr">
        <is>
          <t>品質傾向の把握と改善</t>
        </is>
      </c>
    </row>
    <row r="142" ht="15" customHeight="1" s="80">
      <c r="A142" s="94" t="inlineStr">
        <is>
          <t>C08-02-05</t>
        </is>
      </c>
      <c r="B142" s="95" t="n"/>
      <c r="C142" s="95" t="n"/>
      <c r="D142" s="95" t="inlineStr">
        <is>
          <t>●</t>
        </is>
      </c>
      <c r="E142" s="97" t="inlineStr">
        <is>
          <t>製品品質苦情処理</t>
        </is>
      </c>
      <c r="F142" s="97" t="inlineStr">
        <is>
          <t>製品の品質に関する苦情を受け付け、調査する</t>
        </is>
      </c>
      <c r="G142" s="94" t="n"/>
      <c r="H142" s="97" t="inlineStr">
        <is>
          <t>苦情の受付・調査・対応</t>
        </is>
      </c>
      <c r="I142" s="97" t="inlineStr">
        <is>
          <t>有害事象情報の収集（C09-01-01）</t>
        </is>
      </c>
      <c r="J142" s="97" t="inlineStr">
        <is>
          <t>苦情への適切な対応と改善</t>
        </is>
      </c>
    </row>
    <row r="143" ht="26.25" customHeight="1" s="80">
      <c r="A143" s="90" t="inlineStr">
        <is>
          <t>C08-03</t>
        </is>
      </c>
      <c r="B143" s="91" t="n"/>
      <c r="C143" s="91" t="inlineStr">
        <is>
          <t>●</t>
        </is>
      </c>
      <c r="D143" s="91" t="n"/>
      <c r="E143" s="92" t="inlineStr">
        <is>
          <t>バリデーション管理</t>
        </is>
      </c>
      <c r="F143" s="93" t="inlineStr">
        <is>
          <t>設備・洗浄・プロセス・コンピュータ化システムが意図どおりに機能することを検証する</t>
        </is>
      </c>
      <c r="G143" s="90" t="n"/>
      <c r="H143" s="106" t="n"/>
      <c r="I143" s="106" t="n"/>
      <c r="J143" s="106" t="n"/>
    </row>
    <row r="144" ht="26.25" customHeight="1" s="80">
      <c r="A144" s="94" t="inlineStr">
        <is>
          <t>C08-03-01</t>
        </is>
      </c>
      <c r="B144" s="95" t="n"/>
      <c r="C144" s="95" t="n"/>
      <c r="D144" s="95" t="inlineStr">
        <is>
          <t>●</t>
        </is>
      </c>
      <c r="E144" s="97" t="inlineStr">
        <is>
          <t>設備・洗浄バリデーション</t>
        </is>
      </c>
      <c r="F144" s="97" t="inlineStr">
        <is>
          <t>設備の適格性確認と、洗浄方法のバリデーションを行う</t>
        </is>
      </c>
      <c r="G144" s="94" t="n"/>
      <c r="H144" s="97" t="inlineStr">
        <is>
          <t>据付・運転・性能適格性確認、洗浄バリデーション</t>
        </is>
      </c>
      <c r="I144" s="105" t="inlineStr">
        <is>
          <t>—</t>
        </is>
      </c>
      <c r="J144" s="97" t="inlineStr">
        <is>
          <t>適格性が確認された設備</t>
        </is>
      </c>
    </row>
    <row r="145" ht="15" customHeight="1" s="80">
      <c r="A145" s="94" t="inlineStr">
        <is>
          <t>C08-03-02</t>
        </is>
      </c>
      <c r="B145" s="95" t="n"/>
      <c r="C145" s="95" t="n"/>
      <c r="D145" s="95" t="inlineStr">
        <is>
          <t>●</t>
        </is>
      </c>
      <c r="E145" s="97" t="inlineStr">
        <is>
          <t>プロセスバリデーション</t>
        </is>
      </c>
      <c r="F145" s="105" t="inlineStr">
        <is>
          <t>PPQと、商用製造での継続的な工程確認を行う</t>
        </is>
      </c>
      <c r="G145" s="94" t="n"/>
      <c r="H145" s="105" t="inlineStr">
        <is>
          <t>PV計画、PPQ、継続的工程確認</t>
        </is>
      </c>
      <c r="I145" s="105" t="inlineStr">
        <is>
          <t>—</t>
        </is>
      </c>
      <c r="J145" s="97" t="inlineStr">
        <is>
          <t>一貫した品質で製造できる工程</t>
        </is>
      </c>
    </row>
    <row r="146" ht="26.25" customHeight="1" s="80">
      <c r="A146" s="94" t="inlineStr">
        <is>
          <t>C08-03-03</t>
        </is>
      </c>
      <c r="B146" s="95" t="n"/>
      <c r="C146" s="95" t="n"/>
      <c r="D146" s="95" t="inlineStr">
        <is>
          <t>●</t>
        </is>
      </c>
      <c r="E146" s="97" t="inlineStr">
        <is>
          <t>コンピュータ化システムバリデーション</t>
        </is>
      </c>
      <c r="F146" s="105" t="inlineStr">
        <is>
          <t>GxPに関わるシステムのバリデーションを行う（21 CFR Part 11）</t>
        </is>
      </c>
      <c r="G146" s="94" t="n"/>
      <c r="H146" s="97" t="inlineStr">
        <is>
          <t>リスクに基づく検証、定期レビュー</t>
        </is>
      </c>
      <c r="I146" s="105" t="inlineStr">
        <is>
          <t>—</t>
        </is>
      </c>
      <c r="J146" s="97" t="inlineStr">
        <is>
          <t>信頼できるGxPシステム</t>
        </is>
      </c>
    </row>
    <row r="147" ht="15" customHeight="1" s="80">
      <c r="A147" s="90" t="inlineStr">
        <is>
          <t>C08-04</t>
        </is>
      </c>
      <c r="B147" s="91" t="n"/>
      <c r="C147" s="91" t="inlineStr">
        <is>
          <t>●</t>
        </is>
      </c>
      <c r="D147" s="91" t="n"/>
      <c r="E147" s="92" t="inlineStr">
        <is>
          <t>品質システム・監査管理</t>
        </is>
      </c>
      <c r="F147" s="93" t="inlineStr">
        <is>
          <t>品質マネジメントシステムを運営し、監査・査察に対応する</t>
        </is>
      </c>
      <c r="G147" s="90" t="n"/>
      <c r="H147" s="106" t="n"/>
      <c r="I147" s="106" t="n"/>
      <c r="J147" s="106" t="n"/>
    </row>
    <row r="148" ht="26.25" customHeight="1" s="80">
      <c r="A148" s="94" t="inlineStr">
        <is>
          <t>C08-04-01</t>
        </is>
      </c>
      <c r="B148" s="95" t="n"/>
      <c r="C148" s="95" t="n"/>
      <c r="D148" s="95" t="inlineStr">
        <is>
          <t>●</t>
        </is>
      </c>
      <c r="E148" s="97" t="inlineStr">
        <is>
          <t>品質マネジメントシステム運営</t>
        </is>
      </c>
      <c r="F148" s="97" t="inlineStr">
        <is>
          <t>品質方針・マネジメントレビューなど、品質システム全体を運営する</t>
        </is>
      </c>
      <c r="G148" s="94" t="n"/>
      <c r="H148" s="97" t="inlineStr">
        <is>
          <t>品質方針、マネジメントレビュー、品質計画</t>
        </is>
      </c>
      <c r="I148" s="105" t="inlineStr">
        <is>
          <t>—</t>
        </is>
      </c>
      <c r="J148" s="97" t="inlineStr">
        <is>
          <t>機能する品質システム</t>
        </is>
      </c>
    </row>
    <row r="149" ht="26.25" customHeight="1" s="80">
      <c r="A149" s="94" t="inlineStr">
        <is>
          <t>C08-04-02</t>
        </is>
      </c>
      <c r="B149" s="95" t="n"/>
      <c r="C149" s="95" t="n"/>
      <c r="D149" s="95" t="inlineStr">
        <is>
          <t>●</t>
        </is>
      </c>
      <c r="E149" s="97" t="inlineStr">
        <is>
          <t>内部監査・パートナー監査</t>
        </is>
      </c>
      <c r="F149" s="97" t="inlineStr">
        <is>
          <t>社内と委託先・供給業者のGxP監査を行い、適格性を確認する</t>
        </is>
      </c>
      <c r="G149" s="94" t="n"/>
      <c r="H149" s="97" t="inlineStr">
        <is>
          <t>監査計画・実施、供給業者の適格性確認</t>
        </is>
      </c>
      <c r="I149" s="97" t="inlineStr">
        <is>
          <t>パートナー選定・評価（C01-03-01）</t>
        </is>
      </c>
      <c r="J149" s="105" t="inlineStr">
        <is>
          <t>GxPに適合した社内外の業務</t>
        </is>
      </c>
    </row>
    <row r="150" ht="26.25" customHeight="1" s="80">
      <c r="A150" s="94" t="inlineStr">
        <is>
          <t>C08-04-03</t>
        </is>
      </c>
      <c r="B150" s="95" t="n"/>
      <c r="C150" s="95" t="n"/>
      <c r="D150" s="95" t="inlineStr">
        <is>
          <t>●</t>
        </is>
      </c>
      <c r="E150" s="97" t="inlineStr">
        <is>
          <t>当局査察対応</t>
        </is>
      </c>
      <c r="F150" s="105" t="inlineStr">
        <is>
          <t>FDAの査察（承認前査察・BIMO・定期査察）に備え、対応する</t>
        </is>
      </c>
      <c r="G150" s="94" t="n"/>
      <c r="H150" s="97" t="inlineStr">
        <is>
          <t>査察準備、査察対応、指摘への回答</t>
        </is>
      </c>
      <c r="I150" s="105" t="inlineStr">
        <is>
          <t>—</t>
        </is>
      </c>
      <c r="J150" s="97" t="inlineStr">
        <is>
          <t>指摘の少ない査察結果</t>
        </is>
      </c>
    </row>
    <row r="151" ht="26.25" customHeight="1" s="80">
      <c r="A151" s="86" t="inlineStr">
        <is>
          <t>C09</t>
        </is>
      </c>
      <c r="B151" s="87" t="inlineStr">
        <is>
          <t>●</t>
        </is>
      </c>
      <c r="C151" s="87" t="n"/>
      <c r="D151" s="87" t="n"/>
      <c r="E151" s="108" t="inlineStr">
        <is>
          <t>ファーマコビジランス（安全性）</t>
        </is>
      </c>
      <c r="F151" s="89" t="inlineStr">
        <is>
          <t>治験中から市販後まで、有害事象を把握し、リスクを評価・最小化する能力</t>
        </is>
      </c>
      <c r="G151" s="109" t="inlineStr">
        <is>
          <t>コア</t>
        </is>
      </c>
      <c r="H151" s="110" t="n"/>
      <c r="I151" s="110" t="n"/>
      <c r="J151" s="110" t="n"/>
    </row>
    <row r="152" ht="15" customHeight="1" s="80">
      <c r="A152" s="90" t="inlineStr">
        <is>
          <t>C09-01</t>
        </is>
      </c>
      <c r="B152" s="91" t="n"/>
      <c r="C152" s="91" t="inlineStr">
        <is>
          <t>●</t>
        </is>
      </c>
      <c r="D152" s="91" t="n"/>
      <c r="E152" s="92" t="inlineStr">
        <is>
          <t>有害事象管理</t>
        </is>
      </c>
      <c r="F152" s="93" t="inlineStr">
        <is>
          <t>有害事象を収集・評価し、当局へ報告する</t>
        </is>
      </c>
      <c r="G152" s="90" t="n"/>
      <c r="H152" s="106" t="n"/>
      <c r="I152" s="106" t="n"/>
      <c r="J152" s="106" t="n"/>
    </row>
    <row r="153" ht="26.25" customHeight="1" s="80">
      <c r="A153" s="94" t="inlineStr">
        <is>
          <t>C09-01-01</t>
        </is>
      </c>
      <c r="B153" s="95" t="n"/>
      <c r="C153" s="95" t="n"/>
      <c r="D153" s="95" t="inlineStr">
        <is>
          <t>●</t>
        </is>
      </c>
      <c r="E153" s="97" t="inlineStr">
        <is>
          <t>有害事象情報の収集</t>
        </is>
      </c>
      <c r="F153" s="97" t="inlineStr">
        <is>
          <t>治験・市販後の有害事象情報を、あらゆる経路から受け付ける</t>
        </is>
      </c>
      <c r="G153" s="94" t="n"/>
      <c r="H153" s="97" t="inlineStr">
        <is>
          <t>自発報告・文献・患者支援プログラム経由の受付</t>
        </is>
      </c>
      <c r="I153" s="97" t="inlineStr">
        <is>
          <t>製品品質苦情処理（C08-02-05）</t>
        </is>
      </c>
      <c r="J153" s="97" t="inlineStr">
        <is>
          <t>漏れのない有害事象の把握</t>
        </is>
      </c>
    </row>
    <row r="154" ht="26.25" customHeight="1" s="80">
      <c r="A154" s="94" t="inlineStr">
        <is>
          <t>C09-01-02</t>
        </is>
      </c>
      <c r="B154" s="95" t="n"/>
      <c r="C154" s="95" t="n"/>
      <c r="D154" s="95" t="inlineStr">
        <is>
          <t>●</t>
        </is>
      </c>
      <c r="E154" s="97" t="inlineStr">
        <is>
          <t>症例評価</t>
        </is>
      </c>
      <c r="F154" s="97" t="inlineStr">
        <is>
          <t>症例を医学的に評価し、コード化する</t>
        </is>
      </c>
      <c r="G154" s="94" t="n"/>
      <c r="H154" s="97" t="inlineStr">
        <is>
          <t>因果関係・重篤性の評価、MedDRAコーディング</t>
        </is>
      </c>
      <c r="I154" s="105" t="inlineStr">
        <is>
          <t>—</t>
        </is>
      </c>
      <c r="J154" s="97" t="inlineStr">
        <is>
          <t>正確に評価された症例</t>
        </is>
      </c>
    </row>
    <row r="155" ht="26.25" customHeight="1" s="80">
      <c r="A155" s="94" t="inlineStr">
        <is>
          <t>C09-01-03</t>
        </is>
      </c>
      <c r="B155" s="95" t="n"/>
      <c r="C155" s="95" t="n"/>
      <c r="D155" s="95" t="inlineStr">
        <is>
          <t>●</t>
        </is>
      </c>
      <c r="E155" s="97" t="inlineStr">
        <is>
          <t>当局への安全性報告</t>
        </is>
      </c>
      <c r="F155" s="97" t="inlineStr">
        <is>
          <t>個別症例報告（IND安全性報告・15日アラート報告）と定期報告を提出する</t>
        </is>
      </c>
      <c r="G155" s="94" t="n"/>
      <c r="H155" s="97" t="inlineStr">
        <is>
          <t>個別報告、定期報告</t>
        </is>
      </c>
      <c r="I155" s="97" t="inlineStr">
        <is>
          <t>定期・年次報告（C06-04-03）</t>
        </is>
      </c>
      <c r="J155" s="97" t="inlineStr">
        <is>
          <t>期限どおりの安全性報告</t>
        </is>
      </c>
    </row>
    <row r="156" ht="26.25" customHeight="1" s="80">
      <c r="A156" s="90" t="inlineStr">
        <is>
          <t>C09-02</t>
        </is>
      </c>
      <c r="B156" s="91" t="n"/>
      <c r="C156" s="91" t="inlineStr">
        <is>
          <t>●</t>
        </is>
      </c>
      <c r="D156" s="91" t="n"/>
      <c r="E156" s="92" t="inlineStr">
        <is>
          <t>安全性シグナル・リスク管理</t>
        </is>
      </c>
      <c r="F156" s="93" t="inlineStr">
        <is>
          <t>シグナルを検出・評価し、ベネフィット・リスクとリスク最小化策を管理する</t>
        </is>
      </c>
      <c r="G156" s="90" t="n"/>
      <c r="H156" s="106" t="n"/>
      <c r="I156" s="106" t="n"/>
      <c r="J156" s="106" t="n"/>
    </row>
    <row r="157" ht="15" customHeight="1" s="80">
      <c r="A157" s="94" t="inlineStr">
        <is>
          <t>C09-02-01</t>
        </is>
      </c>
      <c r="B157" s="95" t="n"/>
      <c r="C157" s="95" t="n"/>
      <c r="D157" s="95" t="inlineStr">
        <is>
          <t>●</t>
        </is>
      </c>
      <c r="E157" s="97" t="inlineStr">
        <is>
          <t>シグナル検出・評価</t>
        </is>
      </c>
      <c r="F157" s="97" t="inlineStr">
        <is>
          <t>安全性データからシグナルを検出し、評価する</t>
        </is>
      </c>
      <c r="G157" s="94" t="n"/>
      <c r="H157" s="97" t="inlineStr">
        <is>
          <t>データ解析、シグナル評価</t>
        </is>
      </c>
      <c r="I157" s="105" t="inlineStr">
        <is>
          <t>—</t>
        </is>
      </c>
      <c r="J157" s="97" t="inlineStr">
        <is>
          <t>早期に把握された安全性リスク</t>
        </is>
      </c>
    </row>
    <row r="158" ht="15" customHeight="1" s="80">
      <c r="A158" s="94" t="inlineStr">
        <is>
          <t>C09-02-02</t>
        </is>
      </c>
      <c r="B158" s="95" t="n"/>
      <c r="C158" s="95" t="n"/>
      <c r="D158" s="95" t="inlineStr">
        <is>
          <t>●</t>
        </is>
      </c>
      <c r="E158" s="97" t="inlineStr">
        <is>
          <t>ベネフィット・リスク評価</t>
        </is>
      </c>
      <c r="F158" s="97" t="inlineStr">
        <is>
          <t>製品のベネフィットとリスクを総合的に評価する</t>
        </is>
      </c>
      <c r="G158" s="94" t="n"/>
      <c r="H158" s="97" t="inlineStr">
        <is>
          <t>開発・承認・市販後の各時点での評価</t>
        </is>
      </c>
      <c r="I158" s="105" t="inlineStr">
        <is>
          <t>—</t>
        </is>
      </c>
      <c r="J158" s="97" t="inlineStr">
        <is>
          <t>適切なベネフィット・リスク判断</t>
        </is>
      </c>
    </row>
    <row r="159" ht="15" customHeight="1" s="80">
      <c r="A159" s="94" t="inlineStr">
        <is>
          <t>C09-02-03</t>
        </is>
      </c>
      <c r="B159" s="95" t="n"/>
      <c r="C159" s="95" t="n"/>
      <c r="D159" s="95" t="inlineStr">
        <is>
          <t>●</t>
        </is>
      </c>
      <c r="E159" s="105" t="inlineStr">
        <is>
          <t>REMS・リスク最小化</t>
        </is>
      </c>
      <c r="F159" s="105" t="inlineStr">
        <is>
          <t>REMSなどのリスク最小化策を設計・運用・評価する</t>
        </is>
      </c>
      <c r="G159" s="94" t="n"/>
      <c r="H159" s="105" t="inlineStr">
        <is>
          <t>REMSの設計・運用・評価</t>
        </is>
      </c>
      <c r="I159" s="105" t="inlineStr">
        <is>
          <t>—</t>
        </is>
      </c>
      <c r="J159" s="97" t="inlineStr">
        <is>
          <t>管理されたリスク</t>
        </is>
      </c>
    </row>
    <row r="160" ht="26.25" customHeight="1" s="80">
      <c r="A160" s="86" t="inlineStr">
        <is>
          <t>C10</t>
        </is>
      </c>
      <c r="B160" s="87" t="inlineStr">
        <is>
          <t>●</t>
        </is>
      </c>
      <c r="C160" s="87" t="n"/>
      <c r="D160" s="87" t="n"/>
      <c r="E160" s="108" t="inlineStr">
        <is>
          <t>メディカル・患者エンゲージメント</t>
        </is>
      </c>
      <c r="F160" s="89" t="inlineStr">
        <is>
          <t>患者・患者団体・専門医との関係を築き、科学的情報と支援を通じて患者に届ける能力（★希少疾患で差別化の源泉）</t>
        </is>
      </c>
      <c r="G160" s="109" t="inlineStr">
        <is>
          <t>コア</t>
        </is>
      </c>
      <c r="H160" s="110" t="n"/>
      <c r="I160" s="110" t="n"/>
      <c r="J160" s="110" t="n"/>
    </row>
    <row r="161" ht="26.25" customHeight="1" s="80">
      <c r="A161" s="90" t="inlineStr">
        <is>
          <t>C10-01</t>
        </is>
      </c>
      <c r="B161" s="91" t="n"/>
      <c r="C161" s="91" t="inlineStr">
        <is>
          <t>●</t>
        </is>
      </c>
      <c r="D161" s="91" t="n"/>
      <c r="E161" s="92" t="inlineStr">
        <is>
          <t>患者団体・専門医連携★</t>
        </is>
      </c>
      <c r="F161" s="93" t="inlineStr">
        <is>
          <t>患者団体・専門医と、研究から市販後まで継続的な関係を築く</t>
        </is>
      </c>
      <c r="G161" s="90" t="n"/>
      <c r="H161" s="106" t="n"/>
      <c r="I161" s="106" t="n"/>
      <c r="J161" s="106" t="n"/>
    </row>
    <row r="162" ht="26.25" customHeight="1" s="80">
      <c r="A162" s="94" t="inlineStr">
        <is>
          <t>C10-01-01</t>
        </is>
      </c>
      <c r="B162" s="95" t="n"/>
      <c r="C162" s="95" t="n"/>
      <c r="D162" s="95" t="inlineStr">
        <is>
          <t>●</t>
        </is>
      </c>
      <c r="E162" s="97" t="inlineStr">
        <is>
          <t>患者団体との協働★</t>
        </is>
      </c>
      <c r="F162" s="97" t="inlineStr">
        <is>
          <t>患者団体と協働し、患者の声を研究・開発・事業に取り込む</t>
        </is>
      </c>
      <c r="G162" s="94" t="n"/>
      <c r="H162" s="97" t="inlineStr">
        <is>
          <t>患者の声の収集、協働プログラム、患者参画</t>
        </is>
      </c>
      <c r="I162" s="105" t="inlineStr">
        <is>
          <t>—</t>
        </is>
      </c>
      <c r="J162" s="97" t="inlineStr">
        <is>
          <t>患者視点が反映された開発・事業</t>
        </is>
      </c>
    </row>
    <row r="163" ht="26.25" customHeight="1" s="80">
      <c r="A163" s="94" t="inlineStr">
        <is>
          <t>C10-01-02</t>
        </is>
      </c>
      <c r="B163" s="95" t="n"/>
      <c r="C163" s="95" t="n"/>
      <c r="D163" s="95" t="inlineStr">
        <is>
          <t>●</t>
        </is>
      </c>
      <c r="E163" s="97" t="inlineStr">
        <is>
          <t>専門医との関係構築</t>
        </is>
      </c>
      <c r="F163" s="97" t="inlineStr">
        <is>
          <t>少数の専門医・KOLと関係を築き、助言を得る</t>
        </is>
      </c>
      <c r="G163" s="94" t="n"/>
      <c r="H163" s="97" t="inlineStr">
        <is>
          <t>アドバイザリーボード、専門医との対話</t>
        </is>
      </c>
      <c r="I163" s="97" t="inlineStr">
        <is>
          <t>医療従事者への科学的情報提供（C10-02-01）</t>
        </is>
      </c>
      <c r="J163" s="97" t="inlineStr">
        <is>
          <t>専門医との信頼関係</t>
        </is>
      </c>
    </row>
    <row r="164" ht="15" customHeight="1" s="80">
      <c r="A164" s="90" t="inlineStr">
        <is>
          <t>C10-02</t>
        </is>
      </c>
      <c r="B164" s="91" t="n"/>
      <c r="C164" s="91" t="inlineStr">
        <is>
          <t>●</t>
        </is>
      </c>
      <c r="D164" s="91" t="n"/>
      <c r="E164" s="92" t="inlineStr">
        <is>
          <t>メディカルアフェアーズ</t>
        </is>
      </c>
      <c r="F164" s="93" t="inlineStr">
        <is>
          <t>医療従事者に科学的情報を提供し、学術活動を行う</t>
        </is>
      </c>
      <c r="G164" s="90" t="n"/>
      <c r="H164" s="106" t="n"/>
      <c r="I164" s="106" t="n"/>
      <c r="J164" s="106" t="n"/>
    </row>
    <row r="165" ht="15" customHeight="1" s="80">
      <c r="A165" s="94" t="inlineStr">
        <is>
          <t>C10-02-01</t>
        </is>
      </c>
      <c r="B165" s="95" t="n"/>
      <c r="C165" s="95" t="n"/>
      <c r="D165" s="95" t="inlineStr">
        <is>
          <t>●</t>
        </is>
      </c>
      <c r="E165" s="97" t="inlineStr">
        <is>
          <t>医療従事者への科学的情報提供</t>
        </is>
      </c>
      <c r="F165" s="105" t="inlineStr">
        <is>
          <t>MSLが医療従事者と科学的な対話を行う</t>
        </is>
      </c>
      <c r="G165" s="94" t="n"/>
      <c r="H165" s="105" t="inlineStr">
        <is>
          <t>MSL活動、科学的交流</t>
        </is>
      </c>
      <c r="I165" s="97" t="inlineStr">
        <is>
          <t>営業活動管理（C11-04-02）</t>
        </is>
      </c>
      <c r="J165" s="97" t="inlineStr">
        <is>
          <t>適正使用に必要な科学的理解</t>
        </is>
      </c>
    </row>
    <row r="166" ht="15" customHeight="1" s="80">
      <c r="A166" s="94" t="inlineStr">
        <is>
          <t>C10-02-02</t>
        </is>
      </c>
      <c r="B166" s="95" t="n"/>
      <c r="C166" s="95" t="n"/>
      <c r="D166" s="95" t="inlineStr">
        <is>
          <t>●</t>
        </is>
      </c>
      <c r="E166" s="97" t="inlineStr">
        <is>
          <t>医療情報問い合わせ対応</t>
        </is>
      </c>
      <c r="F166" s="97" t="inlineStr">
        <is>
          <t>医療従事者・患者からの医学的な問い合わせに回答する</t>
        </is>
      </c>
      <c r="G166" s="94" t="n"/>
      <c r="H166" s="97" t="inlineStr">
        <is>
          <t>問い合わせ受付・回答</t>
        </is>
      </c>
      <c r="I166" s="105" t="inlineStr">
        <is>
          <t>—</t>
        </is>
      </c>
      <c r="J166" s="97" t="inlineStr">
        <is>
          <t>正確で迅速な回答</t>
        </is>
      </c>
    </row>
    <row r="167" ht="26.25" customHeight="1" s="80">
      <c r="A167" s="94" t="inlineStr">
        <is>
          <t>C10-02-03</t>
        </is>
      </c>
      <c r="B167" s="95" t="n"/>
      <c r="C167" s="95" t="n"/>
      <c r="D167" s="95" t="inlineStr">
        <is>
          <t>●</t>
        </is>
      </c>
      <c r="E167" s="97" t="inlineStr">
        <is>
          <t>学術活動</t>
        </is>
      </c>
      <c r="F167" s="97" t="inlineStr">
        <is>
          <t>研究者主導研究の支援と、学術発表・論文化を行う</t>
        </is>
      </c>
      <c r="G167" s="94" t="n"/>
      <c r="H167" s="97" t="inlineStr">
        <is>
          <t>研究者主導研究の支援、学術発表、論文</t>
        </is>
      </c>
      <c r="I167" s="105" t="inlineStr">
        <is>
          <t>—</t>
        </is>
      </c>
      <c r="J167" s="97" t="inlineStr">
        <is>
          <t>エビデンスの発信と蓄積</t>
        </is>
      </c>
    </row>
    <row r="168" ht="26.25" customHeight="1" s="80">
      <c r="A168" s="90" t="inlineStr">
        <is>
          <t>C10-03</t>
        </is>
      </c>
      <c r="B168" s="91" t="n"/>
      <c r="C168" s="91" t="inlineStr">
        <is>
          <t>●</t>
        </is>
      </c>
      <c r="D168" s="91" t="n"/>
      <c r="E168" s="92" t="inlineStr">
        <is>
          <t>疾患啓発・診断支援★</t>
        </is>
      </c>
      <c r="F168" s="93" t="inlineStr">
        <is>
          <t>疾患の認知を高め、診断されていない患者が診断に至る道筋をつくる</t>
        </is>
      </c>
      <c r="G168" s="90" t="n"/>
      <c r="H168" s="106" t="n"/>
      <c r="I168" s="106" t="n"/>
      <c r="J168" s="106" t="n"/>
    </row>
    <row r="169" ht="15" customHeight="1" s="80">
      <c r="A169" s="94" t="inlineStr">
        <is>
          <t>C10-03-01</t>
        </is>
      </c>
      <c r="B169" s="95" t="n"/>
      <c r="C169" s="95" t="n"/>
      <c r="D169" s="95" t="inlineStr">
        <is>
          <t>●</t>
        </is>
      </c>
      <c r="E169" s="97" t="inlineStr">
        <is>
          <t>疾患啓発</t>
        </is>
      </c>
      <c r="F169" s="97" t="inlineStr">
        <is>
          <t>製品名を出さない形で疾患の認知を高める</t>
        </is>
      </c>
      <c r="G169" s="94" t="n"/>
      <c r="H169" s="97" t="inlineStr">
        <is>
          <t>医療従事者・一般向けの啓発</t>
        </is>
      </c>
      <c r="I169" s="97" t="inlineStr">
        <is>
          <t>販促資材審査（C11-03-01）</t>
        </is>
      </c>
      <c r="J169" s="97" t="inlineStr">
        <is>
          <t>疾患の認知向上</t>
        </is>
      </c>
    </row>
    <row r="170" ht="26.25" customHeight="1" s="80">
      <c r="A170" s="94" t="inlineStr">
        <is>
          <t>C10-03-02</t>
        </is>
      </c>
      <c r="B170" s="95" t="n"/>
      <c r="C170" s="95" t="n"/>
      <c r="D170" s="95" t="inlineStr">
        <is>
          <t>●</t>
        </is>
      </c>
      <c r="E170" s="97" t="inlineStr">
        <is>
          <t>遺伝子検査プログラム★</t>
        </is>
      </c>
      <c r="F170" s="97" t="inlineStr">
        <is>
          <t>無償の遺伝子検査などで、診断を支援する</t>
        </is>
      </c>
      <c r="G170" s="94" t="n"/>
      <c r="H170" s="97" t="inlineStr">
        <is>
          <t>検査機関との連携、検査プログラムの運営</t>
        </is>
      </c>
      <c r="I170" s="97" t="inlineStr">
        <is>
          <t>候補患者特定（C05-03-01）</t>
        </is>
      </c>
      <c r="J170" s="97" t="inlineStr">
        <is>
          <t>診断率の向上</t>
        </is>
      </c>
    </row>
    <row r="171" ht="26.25" customHeight="1" s="80">
      <c r="A171" s="94" t="inlineStr">
        <is>
          <t>C10-03-03</t>
        </is>
      </c>
      <c r="B171" s="95" t="n"/>
      <c r="C171" s="95" t="n"/>
      <c r="D171" s="95" t="inlineStr">
        <is>
          <t>●</t>
        </is>
      </c>
      <c r="E171" s="97" t="inlineStr">
        <is>
          <t>専門施設ネットワーク構築★</t>
        </is>
      </c>
      <c r="F171" s="97" t="inlineStr">
        <is>
          <t>診断・治療ができる専門施設のネットワークをつくる</t>
        </is>
      </c>
      <c r="G171" s="94" t="n"/>
      <c r="H171" s="97" t="inlineStr">
        <is>
          <t>専門施設の特定、紹介経路の整備</t>
        </is>
      </c>
      <c r="I171" s="97" t="inlineStr">
        <is>
          <t>施設・紹介ネットワーク（C05-03-02）</t>
        </is>
      </c>
      <c r="J171" s="97" t="inlineStr">
        <is>
          <t>患者が専門施設にたどり着ける経路</t>
        </is>
      </c>
    </row>
    <row r="172" ht="15" customHeight="1" s="80">
      <c r="A172" s="90" t="inlineStr">
        <is>
          <t>C10-04</t>
        </is>
      </c>
      <c r="B172" s="91" t="n"/>
      <c r="C172" s="91" t="inlineStr">
        <is>
          <t>●</t>
        </is>
      </c>
      <c r="D172" s="91" t="n"/>
      <c r="E172" s="92" t="inlineStr">
        <is>
          <t>患者支援サービス★</t>
        </is>
      </c>
      <c r="F172" s="93" t="inlineStr">
        <is>
          <t>ハブを通じて、患者の保険確認・治療開始・継続を支援する</t>
        </is>
      </c>
      <c r="G172" s="90" t="n"/>
      <c r="H172" s="106" t="n"/>
      <c r="I172" s="106" t="n"/>
      <c r="J172" s="106" t="n"/>
    </row>
    <row r="173" ht="15" customHeight="1" s="80">
      <c r="A173" s="94" t="inlineStr">
        <is>
          <t>C10-04-01</t>
        </is>
      </c>
      <c r="B173" s="95" t="n"/>
      <c r="C173" s="95" t="n"/>
      <c r="D173" s="95" t="inlineStr">
        <is>
          <t>●</t>
        </is>
      </c>
      <c r="E173" s="97" t="inlineStr">
        <is>
          <t>保険確認・事前承認支援</t>
        </is>
      </c>
      <c r="F173" s="97" t="inlineStr">
        <is>
          <t>患者の保険適用を確認し、事前承認の取得を支援する</t>
        </is>
      </c>
      <c r="G173" s="94" t="n"/>
      <c r="H173" s="97" t="inlineStr">
        <is>
          <t>保険確認、事前承認の支援</t>
        </is>
      </c>
      <c r="I173" s="105" t="inlineStr">
        <is>
          <t>—</t>
        </is>
      </c>
      <c r="J173" s="97" t="inlineStr">
        <is>
          <t>治療開始を妨げない保険手続き</t>
        </is>
      </c>
    </row>
    <row r="174" ht="26.25" customHeight="1" s="80">
      <c r="A174" s="94" t="inlineStr">
        <is>
          <t>C10-04-02</t>
        </is>
      </c>
      <c r="B174" s="95" t="n"/>
      <c r="C174" s="95" t="n"/>
      <c r="D174" s="95" t="inlineStr">
        <is>
          <t>●</t>
        </is>
      </c>
      <c r="E174" s="97" t="inlineStr">
        <is>
          <t>経済的支援</t>
        </is>
      </c>
      <c r="F174" s="97" t="inlineStr">
        <is>
          <t>自己負担の支援と、無償提供プログラムを運営する</t>
        </is>
      </c>
      <c r="G174" s="94" t="n"/>
      <c r="H174" s="97" t="inlineStr">
        <is>
          <t>自己負担支援、無償提供</t>
        </is>
      </c>
      <c r="I174" s="105" t="inlineStr">
        <is>
          <t>—</t>
        </is>
      </c>
      <c r="J174" s="97" t="inlineStr">
        <is>
          <t>経済的理由で治療を断念しない状態</t>
        </is>
      </c>
    </row>
    <row r="175" ht="26.25" customHeight="1" s="80">
      <c r="A175" s="94" t="inlineStr">
        <is>
          <t>C10-04-03</t>
        </is>
      </c>
      <c r="B175" s="95" t="n"/>
      <c r="C175" s="95" t="n"/>
      <c r="D175" s="95" t="inlineStr">
        <is>
          <t>●</t>
        </is>
      </c>
      <c r="E175" s="97" t="inlineStr">
        <is>
          <t>治療開始・継続支援</t>
        </is>
      </c>
      <c r="F175" s="97" t="inlineStr">
        <is>
          <t>治療の開始・継続を調整し、支援する</t>
        </is>
      </c>
      <c r="G175" s="94" t="n"/>
      <c r="H175" s="97" t="inlineStr">
        <is>
          <t>ケアコーディネーション、看護師による支援</t>
        </is>
      </c>
      <c r="I175" s="105" t="inlineStr">
        <is>
          <t>—</t>
        </is>
      </c>
      <c r="J175" s="97" t="inlineStr">
        <is>
          <t>途切れない治療</t>
        </is>
      </c>
    </row>
    <row r="176" ht="15" customHeight="1" s="80">
      <c r="A176" s="86" t="inlineStr">
        <is>
          <t>C11</t>
        </is>
      </c>
      <c r="B176" s="87" t="inlineStr">
        <is>
          <t>●</t>
        </is>
      </c>
      <c r="C176" s="87" t="n"/>
      <c r="D176" s="87" t="n"/>
      <c r="E176" s="108" t="inlineStr">
        <is>
          <t>市場アクセス・商業</t>
        </is>
      </c>
      <c r="F176" s="89" t="inlineStr">
        <is>
          <t>製品の価値を価格と償還に結びつけ、適正に販売する能力</t>
        </is>
      </c>
      <c r="G176" s="109" t="inlineStr">
        <is>
          <t>コア</t>
        </is>
      </c>
      <c r="H176" s="110" t="n"/>
      <c r="I176" s="110" t="n"/>
      <c r="J176" s="110" t="n"/>
    </row>
    <row r="177" ht="15" customHeight="1" s="80">
      <c r="A177" s="90" t="inlineStr">
        <is>
          <t>C11-01</t>
        </is>
      </c>
      <c r="B177" s="91" t="n"/>
      <c r="C177" s="91" t="inlineStr">
        <is>
          <t>●</t>
        </is>
      </c>
      <c r="D177" s="91" t="n"/>
      <c r="E177" s="92" t="inlineStr">
        <is>
          <t>価格・保険者契約管理</t>
        </is>
      </c>
      <c r="F177" s="93" t="inlineStr">
        <is>
          <t>製品の価値を示し、価格を設定し、保険者と契約する</t>
        </is>
      </c>
      <c r="G177" s="90" t="n"/>
      <c r="H177" s="106" t="n"/>
      <c r="I177" s="106" t="n"/>
      <c r="J177" s="106" t="n"/>
    </row>
    <row r="178" ht="15" customHeight="1" s="80">
      <c r="A178" s="94" t="inlineStr">
        <is>
          <t>C11-01-01</t>
        </is>
      </c>
      <c r="B178" s="95" t="n"/>
      <c r="C178" s="95" t="n"/>
      <c r="D178" s="95" t="inlineStr">
        <is>
          <t>●</t>
        </is>
      </c>
      <c r="E178" s="97" t="inlineStr">
        <is>
          <t>価格戦略・設定</t>
        </is>
      </c>
      <c r="F178" s="97" t="inlineStr">
        <is>
          <t>製品の価値に基づき、価格（WAC）を設定・改定する</t>
        </is>
      </c>
      <c r="G178" s="94" t="n"/>
      <c r="H178" s="97" t="inlineStr">
        <is>
          <t>価格戦略、価格設定・改定</t>
        </is>
      </c>
      <c r="I178" s="105" t="inlineStr">
        <is>
          <t>—</t>
        </is>
      </c>
      <c r="J178" s="97" t="inlineStr">
        <is>
          <t>価値に見合った価格</t>
        </is>
      </c>
    </row>
    <row r="179" ht="15" customHeight="1" s="80">
      <c r="A179" s="94" t="inlineStr">
        <is>
          <t>C11-01-02</t>
        </is>
      </c>
      <c r="B179" s="95" t="n"/>
      <c r="C179" s="95" t="n"/>
      <c r="D179" s="95" t="inlineStr">
        <is>
          <t>●</t>
        </is>
      </c>
      <c r="E179" s="97" t="inlineStr">
        <is>
          <t>医療経済・価値エビデンス</t>
        </is>
      </c>
      <c r="F179" s="97" t="inlineStr">
        <is>
          <t>医療経済評価と価値エビデンスを作成する</t>
        </is>
      </c>
      <c r="G179" s="94" t="n"/>
      <c r="H179" s="97" t="inlineStr">
        <is>
          <t>医療経済モデル、価値資料</t>
        </is>
      </c>
      <c r="I179" s="105" t="inlineStr">
        <is>
          <t>—</t>
        </is>
      </c>
      <c r="J179" s="97" t="inlineStr">
        <is>
          <t>保険者に示せる価値の根拠</t>
        </is>
      </c>
    </row>
    <row r="180" ht="26.25" customHeight="1" s="80">
      <c r="A180" s="94" t="inlineStr">
        <is>
          <t>C11-01-03</t>
        </is>
      </c>
      <c r="B180" s="95" t="n"/>
      <c r="C180" s="95" t="n"/>
      <c r="D180" s="95" t="inlineStr">
        <is>
          <t>●</t>
        </is>
      </c>
      <c r="E180" s="97" t="inlineStr">
        <is>
          <t>保険者・PBM契約</t>
        </is>
      </c>
      <c r="F180" s="97" t="inlineStr">
        <is>
          <t>民間保険・PBMと償還条件・契約（成果連動型を含む）を交渉する</t>
        </is>
      </c>
      <c r="G180" s="94" t="n"/>
      <c r="H180" s="97" t="inlineStr">
        <is>
          <t>償還条件の交渉、契約管理</t>
        </is>
      </c>
      <c r="I180" s="105" t="inlineStr">
        <is>
          <t>—</t>
        </is>
      </c>
      <c r="J180" s="97" t="inlineStr">
        <is>
          <t>患者が償還を受けられる状態</t>
        </is>
      </c>
    </row>
    <row r="181" ht="15" customHeight="1" s="80">
      <c r="A181" s="90" t="inlineStr">
        <is>
          <t>C11-02</t>
        </is>
      </c>
      <c r="B181" s="91" t="n"/>
      <c r="C181" s="91" t="inlineStr">
        <is>
          <t>●</t>
        </is>
      </c>
      <c r="D181" s="91" t="n"/>
      <c r="E181" s="92" t="inlineStr">
        <is>
          <t>政府価格報告・政策対応</t>
        </is>
      </c>
      <c r="F181" s="93" t="inlineStr">
        <is>
          <t>公的保険プログラムと政府価格報告、薬価政策に対応する</t>
        </is>
      </c>
      <c r="G181" s="90" t="n"/>
      <c r="H181" s="106" t="n"/>
      <c r="I181" s="106" t="n"/>
      <c r="J181" s="106" t="n"/>
    </row>
    <row r="182" ht="15" customHeight="1" s="80">
      <c r="A182" s="94" t="inlineStr">
        <is>
          <t>C11-02-01</t>
        </is>
      </c>
      <c r="B182" s="95" t="n"/>
      <c r="C182" s="95" t="n"/>
      <c r="D182" s="95" t="inlineStr">
        <is>
          <t>●</t>
        </is>
      </c>
      <c r="E182" s="97" t="inlineStr">
        <is>
          <t>政府価格報告</t>
        </is>
      </c>
      <c r="F182" s="105" t="inlineStr">
        <is>
          <t>AMP・Best Price・ASPなどの政府価格を算定・報告する</t>
        </is>
      </c>
      <c r="G182" s="94" t="n"/>
      <c r="H182" s="97" t="inlineStr">
        <is>
          <t>価格算定、報告</t>
        </is>
      </c>
      <c r="I182" s="105" t="inlineStr">
        <is>
          <t>—</t>
        </is>
      </c>
      <c r="J182" s="97" t="inlineStr">
        <is>
          <t>正確で期限どおりの価格報告</t>
        </is>
      </c>
    </row>
    <row r="183" ht="26.25" customHeight="1" s="80">
      <c r="A183" s="94" t="inlineStr">
        <is>
          <t>C11-02-02</t>
        </is>
      </c>
      <c r="B183" s="95" t="n"/>
      <c r="C183" s="95" t="n"/>
      <c r="D183" s="95" t="inlineStr">
        <is>
          <t>●</t>
        </is>
      </c>
      <c r="E183" s="97" t="inlineStr">
        <is>
          <t>公的保険プログラム対応</t>
        </is>
      </c>
      <c r="F183" s="105" t="inlineStr">
        <is>
          <t>Medicaid薬剤リベート・Medicare（Part B／D）・償還コード（HCPCS）に対応する</t>
        </is>
      </c>
      <c r="G183" s="94" t="n"/>
      <c r="H183" s="97" t="inlineStr">
        <is>
          <t>契約・リベート、償還コードの申請</t>
        </is>
      </c>
      <c r="I183" s="105" t="inlineStr">
        <is>
          <t>—</t>
        </is>
      </c>
      <c r="J183" s="97" t="inlineStr">
        <is>
          <t>公的保険での償還</t>
        </is>
      </c>
    </row>
    <row r="184" ht="26.25" customHeight="1" s="80">
      <c r="A184" s="94" t="inlineStr">
        <is>
          <t>C11-02-03</t>
        </is>
      </c>
      <c r="B184" s="95" t="n"/>
      <c r="C184" s="95" t="n"/>
      <c r="D184" s="95" t="inlineStr">
        <is>
          <t>●</t>
        </is>
      </c>
      <c r="E184" s="97" t="inlineStr">
        <is>
          <t>薬価政策対応</t>
        </is>
      </c>
      <c r="F184" s="105" t="inlineStr">
        <is>
          <t>IRAのMedicare価格交渉など、薬価政策の影響を評価し対応する</t>
        </is>
      </c>
      <c r="G184" s="94" t="n"/>
      <c r="H184" s="97" t="inlineStr">
        <is>
          <t>対象・除外要件の判定、交渉対応</t>
        </is>
      </c>
      <c r="I184" s="105" t="inlineStr">
        <is>
          <t>—</t>
        </is>
      </c>
      <c r="J184" s="97" t="inlineStr">
        <is>
          <t>政策変化に備えた価格・製品戦略</t>
        </is>
      </c>
    </row>
    <row r="185" ht="15" customHeight="1" s="80">
      <c r="A185" s="90" t="inlineStr">
        <is>
          <t>C11-03</t>
        </is>
      </c>
      <c r="B185" s="91" t="n"/>
      <c r="C185" s="91" t="inlineStr">
        <is>
          <t>●</t>
        </is>
      </c>
      <c r="D185" s="91" t="n"/>
      <c r="E185" s="92" t="inlineStr">
        <is>
          <t>販促・商業コンプライアンス</t>
        </is>
      </c>
      <c r="F185" s="93" t="inlineStr">
        <is>
          <t>販促活動と商業活動が規制に適合するよう管理する</t>
        </is>
      </c>
      <c r="G185" s="90" t="n"/>
      <c r="H185" s="106" t="n"/>
      <c r="I185" s="106" t="n"/>
      <c r="J185" s="106" t="n"/>
    </row>
    <row r="186" ht="15" customHeight="1" s="80">
      <c r="A186" s="94" t="inlineStr">
        <is>
          <t>C11-03-01</t>
        </is>
      </c>
      <c r="B186" s="95" t="n"/>
      <c r="C186" s="95" t="n"/>
      <c r="D186" s="95" t="inlineStr">
        <is>
          <t>●</t>
        </is>
      </c>
      <c r="E186" s="97" t="inlineStr">
        <is>
          <t>販促資材審査</t>
        </is>
      </c>
      <c r="F186" s="97" t="inlineStr">
        <is>
          <t>販促資材を医学・法務・薬事の観点で審査する</t>
        </is>
      </c>
      <c r="G186" s="94" t="n"/>
      <c r="H186" s="97" t="inlineStr">
        <is>
          <t>資材の審査・承認</t>
        </is>
      </c>
      <c r="I186" s="97" t="inlineStr">
        <is>
          <t>表示の作成・交渉（C06-03-01）</t>
        </is>
      </c>
      <c r="J186" s="97" t="inlineStr">
        <is>
          <t>適正な販促資材</t>
        </is>
      </c>
    </row>
    <row r="187" ht="15" customHeight="1" s="80">
      <c r="A187" s="94" t="inlineStr">
        <is>
          <t>C11-03-02</t>
        </is>
      </c>
      <c r="B187" s="95" t="n"/>
      <c r="C187" s="95" t="n"/>
      <c r="D187" s="95" t="inlineStr">
        <is>
          <t>●</t>
        </is>
      </c>
      <c r="E187" s="105" t="inlineStr">
        <is>
          <t>OPDP提出</t>
        </is>
      </c>
      <c r="F187" s="97" t="inlineStr">
        <is>
          <t>販促資材をFDA（OPDP）に提出する（Form FDA 2253）</t>
        </is>
      </c>
      <c r="G187" s="94" t="n"/>
      <c r="H187" s="97" t="inlineStr">
        <is>
          <t>提出</t>
        </is>
      </c>
      <c r="I187" s="105" t="inlineStr">
        <is>
          <t>—</t>
        </is>
      </c>
      <c r="J187" s="97" t="inlineStr">
        <is>
          <t>適法な販促</t>
        </is>
      </c>
    </row>
    <row r="188" ht="15" customHeight="1" s="80">
      <c r="A188" s="94" t="inlineStr">
        <is>
          <t>C11-03-03</t>
        </is>
      </c>
      <c r="B188" s="95" t="n"/>
      <c r="C188" s="95" t="n"/>
      <c r="D188" s="95" t="inlineStr">
        <is>
          <t>●</t>
        </is>
      </c>
      <c r="E188" s="97" t="inlineStr">
        <is>
          <t>支払の透明性管理</t>
        </is>
      </c>
      <c r="F188" s="97" t="inlineStr">
        <is>
          <t>医療従事者への支払を記録し、公開する（Open Payments）</t>
        </is>
      </c>
      <c r="G188" s="94" t="n"/>
      <c r="H188" s="97" t="inlineStr">
        <is>
          <t>支払の記録・報告</t>
        </is>
      </c>
      <c r="I188" s="105" t="inlineStr">
        <is>
          <t>—</t>
        </is>
      </c>
      <c r="J188" s="97" t="inlineStr">
        <is>
          <t>透明な医療従事者との関係</t>
        </is>
      </c>
    </row>
    <row r="189" ht="26.25" customHeight="1" s="80">
      <c r="A189" s="90" t="inlineStr">
        <is>
          <t>C11-04</t>
        </is>
      </c>
      <c r="B189" s="91" t="n"/>
      <c r="C189" s="91" t="inlineStr">
        <is>
          <t>●</t>
        </is>
      </c>
      <c r="D189" s="91" t="n"/>
      <c r="E189" s="92" t="inlineStr">
        <is>
          <t>営業・顧客管理</t>
        </is>
      </c>
      <c r="F189" s="93" t="inlineStr">
        <is>
          <t>少数の対象施設・医療従事者に対して営業活動を計画・実行し、担当者を教育する</t>
        </is>
      </c>
      <c r="G189" s="90" t="n"/>
      <c r="H189" s="106" t="n"/>
      <c r="I189" s="106" t="n"/>
      <c r="J189" s="106" t="n"/>
    </row>
    <row r="190" ht="26.25" customHeight="1" s="80">
      <c r="A190" s="94" t="inlineStr">
        <is>
          <t>C11-04-01</t>
        </is>
      </c>
      <c r="B190" s="95" t="n"/>
      <c r="C190" s="95" t="n"/>
      <c r="D190" s="95" t="inlineStr">
        <is>
          <t>●</t>
        </is>
      </c>
      <c r="E190" s="97" t="inlineStr">
        <is>
          <t>顧客セグメンテーション・担当配置</t>
        </is>
      </c>
      <c r="F190" s="97" t="inlineStr">
        <is>
          <t>対象施設・医療従事者を特定し、担当を配置する</t>
        </is>
      </c>
      <c r="G190" s="94" t="n"/>
      <c r="H190" s="97" t="inlineStr">
        <is>
          <t>顧客の特定・区分、担当配置</t>
        </is>
      </c>
      <c r="I190" s="97" t="inlineStr">
        <is>
          <t>専門施設ネットワーク構築★（C10-03-03）</t>
        </is>
      </c>
      <c r="J190" s="97" t="inlineStr">
        <is>
          <t>必要な顧客に届く営業体制</t>
        </is>
      </c>
    </row>
    <row r="191" ht="26.25" customHeight="1" s="80">
      <c r="A191" s="94" t="inlineStr">
        <is>
          <t>C11-04-02</t>
        </is>
      </c>
      <c r="B191" s="95" t="n"/>
      <c r="C191" s="95" t="n"/>
      <c r="D191" s="95" t="inlineStr">
        <is>
          <t>●</t>
        </is>
      </c>
      <c r="E191" s="97" t="inlineStr">
        <is>
          <t>営業活動管理</t>
        </is>
      </c>
      <c r="F191" s="97" t="inlineStr">
        <is>
          <t>営業活動を計画・記録・評価する</t>
        </is>
      </c>
      <c r="G191" s="94" t="n"/>
      <c r="H191" s="97" t="inlineStr">
        <is>
          <t>活動計画、活動記録</t>
        </is>
      </c>
      <c r="I191" s="97" t="inlineStr">
        <is>
          <t>医療従事者への科学的情報提供（C10-02-01）</t>
        </is>
      </c>
      <c r="J191" s="97" t="inlineStr">
        <is>
          <t>効果的な営業活動</t>
        </is>
      </c>
    </row>
    <row r="192" ht="26.25" customHeight="1" s="80">
      <c r="A192" s="94" t="inlineStr">
        <is>
          <t>C11-04-03</t>
        </is>
      </c>
      <c r="B192" s="95" t="n"/>
      <c r="C192" s="95" t="n"/>
      <c r="D192" s="95" t="inlineStr">
        <is>
          <t>●</t>
        </is>
      </c>
      <c r="E192" s="97" t="inlineStr">
        <is>
          <t>営業・MSLの教育</t>
        </is>
      </c>
      <c r="F192" s="105" t="inlineStr">
        <is>
          <t>MSL・営業担当に、疾患・製品・コンプライアンスの教育を行う</t>
        </is>
      </c>
      <c r="G192" s="94" t="n"/>
      <c r="H192" s="97" t="inlineStr">
        <is>
          <t>上市前の教育、継続教育</t>
        </is>
      </c>
      <c r="I192" s="97" t="inlineStr">
        <is>
          <t>教育管理（C13-03-01：GxP業務の従事者向け）</t>
        </is>
      </c>
      <c r="J192" s="97" t="inlineStr">
        <is>
          <t>適正に情報提供できる担当者</t>
        </is>
      </c>
    </row>
    <row r="193" ht="26.25" customHeight="1" s="80">
      <c r="A193" s="86" t="inlineStr">
        <is>
          <t>C12</t>
        </is>
      </c>
      <c r="B193" s="87" t="inlineStr">
        <is>
          <t>●</t>
        </is>
      </c>
      <c r="C193" s="87" t="n"/>
      <c r="D193" s="87" t="n"/>
      <c r="E193" s="108" t="inlineStr">
        <is>
          <t>サプライチェーン</t>
        </is>
      </c>
      <c r="F193" s="89" t="inlineStr">
        <is>
          <t>患者単位の需要に応え、品質を保った製品を確実に届ける能力</t>
        </is>
      </c>
      <c r="G193" s="109" t="inlineStr">
        <is>
          <t>コア</t>
        </is>
      </c>
      <c r="H193" s="110" t="n"/>
      <c r="I193" s="110" t="n"/>
      <c r="J193" s="110" t="n"/>
    </row>
    <row r="194" ht="15" customHeight="1" s="80">
      <c r="A194" s="90" t="inlineStr">
        <is>
          <t>C12-01</t>
        </is>
      </c>
      <c r="B194" s="91" t="n"/>
      <c r="C194" s="91" t="inlineStr">
        <is>
          <t>●</t>
        </is>
      </c>
      <c r="D194" s="91" t="n"/>
      <c r="E194" s="92" t="inlineStr">
        <is>
          <t>需給計画</t>
        </is>
      </c>
      <c r="F194" s="93" t="inlineStr">
        <is>
          <t>需要を予測し、在庫・供給を計画し、受注・出荷を管理する</t>
        </is>
      </c>
      <c r="G194" s="90" t="n"/>
      <c r="H194" s="106" t="n"/>
      <c r="I194" s="106" t="n"/>
      <c r="J194" s="106" t="n"/>
    </row>
    <row r="195" ht="15" customHeight="1" s="80">
      <c r="A195" s="94" t="inlineStr">
        <is>
          <t>C12-01-01</t>
        </is>
      </c>
      <c r="B195" s="95" t="n"/>
      <c r="C195" s="95" t="n"/>
      <c r="D195" s="95" t="inlineStr">
        <is>
          <t>●</t>
        </is>
      </c>
      <c r="E195" s="97" t="inlineStr">
        <is>
          <t>需要予測★</t>
        </is>
      </c>
      <c r="F195" s="97" t="inlineStr">
        <is>
          <t>ハブ・流通データから患者単位で需要を把握し、予測する</t>
        </is>
      </c>
      <c r="G195" s="94" t="n"/>
      <c r="H195" s="97" t="inlineStr">
        <is>
          <t>患者単位の需要把握、予測</t>
        </is>
      </c>
      <c r="I195" s="105" t="inlineStr">
        <is>
          <t>—</t>
        </is>
      </c>
      <c r="J195" s="97" t="inlineStr">
        <is>
          <t>精度の高い需要予測</t>
        </is>
      </c>
    </row>
    <row r="196" ht="15" customHeight="1" s="80">
      <c r="A196" s="94" t="inlineStr">
        <is>
          <t>C12-01-02</t>
        </is>
      </c>
      <c r="B196" s="95" t="n"/>
      <c r="C196" s="95" t="n"/>
      <c r="D196" s="95" t="inlineStr">
        <is>
          <t>●</t>
        </is>
      </c>
      <c r="E196" s="97" t="inlineStr">
        <is>
          <t>在庫・供給計画</t>
        </is>
      </c>
      <c r="F196" s="97" t="inlineStr">
        <is>
          <t>需要予測をもとに、在庫・供給を計画する</t>
        </is>
      </c>
      <c r="G196" s="94" t="n"/>
      <c r="H196" s="97" t="inlineStr">
        <is>
          <t>在庫計画、安全在庫、需給調整</t>
        </is>
      </c>
      <c r="I196" s="97" t="inlineStr">
        <is>
          <t>生産計画（C07-01-01）</t>
        </is>
      </c>
      <c r="J196" s="97" t="inlineStr">
        <is>
          <t>欠品も過剰在庫もない供給</t>
        </is>
      </c>
    </row>
    <row r="197" ht="26.25" customHeight="1" s="80">
      <c r="A197" s="94" t="inlineStr">
        <is>
          <t>C12-01-03</t>
        </is>
      </c>
      <c r="B197" s="95" t="n"/>
      <c r="C197" s="95" t="n"/>
      <c r="D197" s="95" t="inlineStr">
        <is>
          <t>●</t>
        </is>
      </c>
      <c r="E197" s="97" t="inlineStr">
        <is>
          <t>受注・出荷管理</t>
        </is>
      </c>
      <c r="F197" s="97" t="inlineStr">
        <is>
          <t>流通業者・スペシャリティ薬局からの受注を受け付け、出荷を指示・管理する</t>
        </is>
      </c>
      <c r="G197" s="94" t="n"/>
      <c r="H197" s="97" t="inlineStr">
        <is>
          <t>受注処理、出荷指示、納期回答</t>
        </is>
      </c>
      <c r="I197" s="97" t="inlineStr">
        <is>
          <t>在庫・供給計画（C12-01-02）、保冷輸送設計（C12-03-01）</t>
        </is>
      </c>
      <c r="J197" s="97" t="inlineStr">
        <is>
          <t>正確で遅れのない受注・出荷</t>
        </is>
      </c>
    </row>
    <row r="198" ht="26.25" customHeight="1" s="80">
      <c r="A198" s="90" t="inlineStr">
        <is>
          <t>C12-02</t>
        </is>
      </c>
      <c r="B198" s="91" t="n"/>
      <c r="C198" s="91" t="inlineStr">
        <is>
          <t>●</t>
        </is>
      </c>
      <c r="D198" s="91" t="n"/>
      <c r="E198" s="92" t="inlineStr">
        <is>
          <t>流通ネットワーク管理★</t>
        </is>
      </c>
      <c r="F198" s="93" t="inlineStr">
        <is>
          <t>限定流通ネットワークを設計し、流通パートナーとデータを管理する</t>
        </is>
      </c>
      <c r="G198" s="90" t="n"/>
      <c r="H198" s="106" t="n"/>
      <c r="I198" s="106" t="n"/>
      <c r="J198" s="106" t="n"/>
    </row>
    <row r="199" ht="26.25" customHeight="1" s="80">
      <c r="A199" s="94" t="inlineStr">
        <is>
          <t>C12-02-01</t>
        </is>
      </c>
      <c r="B199" s="95" t="n"/>
      <c r="C199" s="95" t="n"/>
      <c r="D199" s="95" t="inlineStr">
        <is>
          <t>●</t>
        </is>
      </c>
      <c r="E199" s="97" t="inlineStr">
        <is>
          <t>流通ネットワーク設計・パートナー管理</t>
        </is>
      </c>
      <c r="F199" s="97" t="inlineStr">
        <is>
          <t>スペシャリティ薬局・流通業者・3PL・在宅投与事業者のネットワークを設計・管理する</t>
        </is>
      </c>
      <c r="G199" s="94" t="n"/>
      <c r="H199" s="97" t="inlineStr">
        <is>
          <t>チャネル設計、流通契約、パートナー管理</t>
        </is>
      </c>
      <c r="I199" s="97" t="inlineStr">
        <is>
          <t>委託業務の契約・監督（C01-03-02）</t>
        </is>
      </c>
      <c r="J199" s="97" t="inlineStr">
        <is>
          <t>患者に届く流通網</t>
        </is>
      </c>
    </row>
    <row r="200" ht="26.25" customHeight="1" s="80">
      <c r="A200" s="94" t="inlineStr">
        <is>
          <t>C12-02-02</t>
        </is>
      </c>
      <c r="B200" s="95" t="n"/>
      <c r="C200" s="95" t="n"/>
      <c r="D200" s="95" t="inlineStr">
        <is>
          <t>●</t>
        </is>
      </c>
      <c r="E200" s="97" t="inlineStr">
        <is>
          <t>流通データ管理</t>
        </is>
      </c>
      <c r="F200" s="97" t="inlineStr">
        <is>
          <t>流通パートナーから出荷・調剤・在庫のデータを収集・管理する</t>
        </is>
      </c>
      <c r="G200" s="94" t="n"/>
      <c r="H200" s="97" t="inlineStr">
        <is>
          <t>データの収集・照合</t>
        </is>
      </c>
      <c r="I200" s="105" t="inlineStr">
        <is>
          <t>—</t>
        </is>
      </c>
      <c r="J200" s="97" t="inlineStr">
        <is>
          <t>流通の可視化</t>
        </is>
      </c>
    </row>
    <row r="201" ht="15" customHeight="1" s="80">
      <c r="A201" s="90" t="inlineStr">
        <is>
          <t>C12-03</t>
        </is>
      </c>
      <c r="B201" s="91" t="n"/>
      <c r="C201" s="91" t="inlineStr">
        <is>
          <t>●</t>
        </is>
      </c>
      <c r="D201" s="91" t="n"/>
      <c r="E201" s="92" t="inlineStr">
        <is>
          <t>コールドチェーン物流</t>
        </is>
      </c>
      <c r="F201" s="93" t="inlineStr">
        <is>
          <t>温度を保ちながら製品を保管・輸送する</t>
        </is>
      </c>
      <c r="G201" s="90" t="n"/>
      <c r="H201" s="106" t="n"/>
      <c r="I201" s="106" t="n"/>
      <c r="J201" s="106" t="n"/>
    </row>
    <row r="202" ht="15" customHeight="1" s="80">
      <c r="A202" s="94" t="inlineStr">
        <is>
          <t>C12-03-01</t>
        </is>
      </c>
      <c r="B202" s="95" t="n"/>
      <c r="C202" s="95" t="n"/>
      <c r="D202" s="95" t="inlineStr">
        <is>
          <t>●</t>
        </is>
      </c>
      <c r="E202" s="97" t="inlineStr">
        <is>
          <t>保冷輸送設計</t>
        </is>
      </c>
      <c r="F202" s="97" t="inlineStr">
        <is>
          <t>保冷梱包・輸送方法を設計し、検証する</t>
        </is>
      </c>
      <c r="G202" s="94" t="n"/>
      <c r="H202" s="97" t="inlineStr">
        <is>
          <t>梱包仕様、輸送経路の検証</t>
        </is>
      </c>
      <c r="I202" s="105" t="inlineStr">
        <is>
          <t>—</t>
        </is>
      </c>
      <c r="J202" s="97" t="inlineStr">
        <is>
          <t>品質を保てる輸送方法</t>
        </is>
      </c>
    </row>
    <row r="203" ht="15" customHeight="1" s="80">
      <c r="A203" s="94" t="inlineStr">
        <is>
          <t>C12-03-02</t>
        </is>
      </c>
      <c r="B203" s="95" t="n"/>
      <c r="C203" s="95" t="n"/>
      <c r="D203" s="95" t="inlineStr">
        <is>
          <t>●</t>
        </is>
      </c>
      <c r="E203" s="97" t="inlineStr">
        <is>
          <t>温度管理・逸脱対応</t>
        </is>
      </c>
      <c r="F203" s="97" t="inlineStr">
        <is>
          <t>保管・輸送中の温度を監視し、逸脱に対応する</t>
        </is>
      </c>
      <c r="G203" s="94" t="n"/>
      <c r="H203" s="97" t="inlineStr">
        <is>
          <t>温度監視、逸脱時の評価</t>
        </is>
      </c>
      <c r="I203" s="97" t="inlineStr">
        <is>
          <t>逸脱・CAPA管理（C08-02-02）</t>
        </is>
      </c>
      <c r="J203" s="97" t="inlineStr">
        <is>
          <t>品質が保たれた製品の到達</t>
        </is>
      </c>
    </row>
    <row r="204" ht="26.25" customHeight="1" s="80">
      <c r="A204" s="90" t="inlineStr">
        <is>
          <t>C12-04</t>
        </is>
      </c>
      <c r="B204" s="91" t="n"/>
      <c r="C204" s="91" t="inlineStr">
        <is>
          <t>●</t>
        </is>
      </c>
      <c r="D204" s="91" t="n"/>
      <c r="E204" s="92" t="inlineStr">
        <is>
          <t>トレーサビリティ</t>
        </is>
      </c>
      <c r="F204" s="93" t="inlineStr">
        <is>
          <t>製品識別子と取引情報で、製品を追跡できるようにする（DSCSA）</t>
        </is>
      </c>
      <c r="G204" s="90" t="n"/>
      <c r="H204" s="106" t="n"/>
      <c r="I204" s="106" t="n"/>
      <c r="J204" s="106" t="n"/>
    </row>
    <row r="205" ht="15" customHeight="1" s="80">
      <c r="A205" s="94" t="inlineStr">
        <is>
          <t>C12-04-01</t>
        </is>
      </c>
      <c r="B205" s="95" t="n"/>
      <c r="C205" s="95" t="n"/>
      <c r="D205" s="95" t="inlineStr">
        <is>
          <t>●</t>
        </is>
      </c>
      <c r="E205" s="97" t="inlineStr">
        <is>
          <t>シリアル化データ管理</t>
        </is>
      </c>
      <c r="F205" s="97" t="inlineStr">
        <is>
          <t>製品識別子（シリアル番号）のデータを管理する</t>
        </is>
      </c>
      <c r="G205" s="94" t="n"/>
      <c r="H205" s="97" t="inlineStr">
        <is>
          <t>シリアル番号の採番・管理</t>
        </is>
      </c>
      <c r="I205" s="97" t="inlineStr">
        <is>
          <t>表示・包装・シリアル化（C07-03-03）</t>
        </is>
      </c>
      <c r="J205" s="97" t="inlineStr">
        <is>
          <t>一意に識別できる製品</t>
        </is>
      </c>
    </row>
    <row r="206" ht="15" customHeight="1" s="80">
      <c r="A206" s="94" t="inlineStr">
        <is>
          <t>C12-04-02</t>
        </is>
      </c>
      <c r="B206" s="95" t="n"/>
      <c r="C206" s="95" t="n"/>
      <c r="D206" s="95" t="inlineStr">
        <is>
          <t>●</t>
        </is>
      </c>
      <c r="E206" s="97" t="inlineStr">
        <is>
          <t>取引情報の交換・検証</t>
        </is>
      </c>
      <c r="F206" s="97" t="inlineStr">
        <is>
          <t>取引情報を電子的に交換し、疑わしい製品を検証する</t>
        </is>
      </c>
      <c r="G206" s="94" t="n"/>
      <c r="H206" s="97" t="inlineStr">
        <is>
          <t>取引情報の交換、製品の検証</t>
        </is>
      </c>
      <c r="I206" s="105" t="inlineStr">
        <is>
          <t>—</t>
        </is>
      </c>
      <c r="J206" s="97" t="inlineStr">
        <is>
          <t>追跡可能で偽造品を排除した流通</t>
        </is>
      </c>
    </row>
    <row r="207" ht="15" customHeight="1" s="80">
      <c r="A207" s="90" t="inlineStr">
        <is>
          <t>C12-05</t>
        </is>
      </c>
      <c r="B207" s="91" t="n"/>
      <c r="C207" s="91" t="inlineStr">
        <is>
          <t>●</t>
        </is>
      </c>
      <c r="D207" s="91" t="n"/>
      <c r="E207" s="92" t="inlineStr">
        <is>
          <t>供給継続・回収管理</t>
        </is>
      </c>
      <c r="F207" s="93" t="inlineStr">
        <is>
          <t>供給リスクに備え、回収を実施する</t>
        </is>
      </c>
      <c r="G207" s="90" t="n"/>
      <c r="H207" s="106" t="n"/>
      <c r="I207" s="106" t="n"/>
      <c r="J207" s="106" t="n"/>
    </row>
    <row r="208" ht="26.25" customHeight="1" s="80">
      <c r="A208" s="94" t="inlineStr">
        <is>
          <t>C12-05-01</t>
        </is>
      </c>
      <c r="B208" s="95" t="n"/>
      <c r="C208" s="95" t="n"/>
      <c r="D208" s="95" t="inlineStr">
        <is>
          <t>●</t>
        </is>
      </c>
      <c r="E208" s="97" t="inlineStr">
        <is>
          <t>供給リスク管理</t>
        </is>
      </c>
      <c r="F208" s="97" t="inlineStr">
        <is>
          <t>供給リスクを評価し、事業継続策とFDAへの供給中断の通知を管理する</t>
        </is>
      </c>
      <c r="G208" s="94" t="n"/>
      <c r="H208" s="97" t="inlineStr">
        <is>
          <t>リスク評価、事業継続計画、当局への通知</t>
        </is>
      </c>
      <c r="I208" s="105" t="inlineStr">
        <is>
          <t>—</t>
        </is>
      </c>
      <c r="J208" s="97" t="inlineStr">
        <is>
          <t>途切れない供給</t>
        </is>
      </c>
    </row>
    <row r="209" ht="15" customHeight="1" s="80">
      <c r="A209" s="94" t="inlineStr">
        <is>
          <t>C12-05-02</t>
        </is>
      </c>
      <c r="B209" s="95" t="n"/>
      <c r="C209" s="95" t="n"/>
      <c r="D209" s="95" t="inlineStr">
        <is>
          <t>●</t>
        </is>
      </c>
      <c r="E209" s="97" t="inlineStr">
        <is>
          <t>回収の実施</t>
        </is>
      </c>
      <c r="F209" s="97" t="inlineStr">
        <is>
          <t>回収を判断・実施し、当局・流通に対応する</t>
        </is>
      </c>
      <c r="G209" s="94" t="n"/>
      <c r="H209" s="97" t="inlineStr">
        <is>
          <t>回収の判断・実施・効果確認</t>
        </is>
      </c>
      <c r="I209" s="105" t="inlineStr">
        <is>
          <t>—</t>
        </is>
      </c>
      <c r="J209" s="97" t="inlineStr">
        <is>
          <t>迅速で確実な回収</t>
        </is>
      </c>
    </row>
    <row r="210" ht="15" customHeight="1" s="80">
      <c r="A210" s="86" t="inlineStr">
        <is>
          <t>C13</t>
        </is>
      </c>
      <c r="B210" s="87" t="inlineStr">
        <is>
          <t>●</t>
        </is>
      </c>
      <c r="C210" s="87" t="n"/>
      <c r="D210" s="87" t="n"/>
      <c r="E210" s="108" t="inlineStr">
        <is>
          <t>共通基盤</t>
        </is>
      </c>
      <c r="F210" s="89" t="inlineStr">
        <is>
          <t>全領域が使う情報・文書・教育の基盤を提供する能力</t>
        </is>
      </c>
      <c r="G210" s="109" t="inlineStr">
        <is>
          <t>支援</t>
        </is>
      </c>
      <c r="H210" s="110" t="n"/>
      <c r="I210" s="110" t="n"/>
      <c r="J210" s="110" t="n"/>
    </row>
    <row r="211" ht="26.25" customHeight="1" s="80">
      <c r="A211" s="90" t="inlineStr">
        <is>
          <t>C13-01</t>
        </is>
      </c>
      <c r="B211" s="91" t="n"/>
      <c r="C211" s="91" t="inlineStr">
        <is>
          <t>●</t>
        </is>
      </c>
      <c r="D211" s="91" t="n"/>
      <c r="E211" s="92" t="inlineStr">
        <is>
          <t>情報・データ管理</t>
        </is>
      </c>
      <c r="F211" s="93" t="inlineStr">
        <is>
          <t>マスタデータとデータガバナンスを管理し、個人情報を保護する</t>
        </is>
      </c>
      <c r="G211" s="90" t="n"/>
      <c r="H211" s="106" t="n"/>
      <c r="I211" s="106" t="n"/>
      <c r="J211" s="106" t="n"/>
    </row>
    <row r="212" ht="15" customHeight="1" s="80">
      <c r="A212" s="94" t="inlineStr">
        <is>
          <t>C13-01-01</t>
        </is>
      </c>
      <c r="B212" s="95" t="n"/>
      <c r="C212" s="95" t="n"/>
      <c r="D212" s="95" t="inlineStr">
        <is>
          <t>●</t>
        </is>
      </c>
      <c r="E212" s="97" t="inlineStr">
        <is>
          <t>マスタデータ管理</t>
        </is>
      </c>
      <c r="F212" s="97" t="inlineStr">
        <is>
          <t>製品・取引先・医療機関などのマスタデータを管理する</t>
        </is>
      </c>
      <c r="G212" s="94" t="n"/>
      <c r="H212" s="97" t="inlineStr">
        <is>
          <t>マスタの定義・維持</t>
        </is>
      </c>
      <c r="I212" s="105" t="inlineStr">
        <is>
          <t>—</t>
        </is>
      </c>
      <c r="J212" s="97" t="inlineStr">
        <is>
          <t>全社で一貫したマスタデータ</t>
        </is>
      </c>
    </row>
    <row r="213" ht="26.25" customHeight="1" s="80">
      <c r="A213" s="94" t="inlineStr">
        <is>
          <t>C13-01-02</t>
        </is>
      </c>
      <c r="B213" s="95" t="n"/>
      <c r="C213" s="95" t="n"/>
      <c r="D213" s="95" t="inlineStr">
        <is>
          <t>●</t>
        </is>
      </c>
      <c r="E213" s="97" t="inlineStr">
        <is>
          <t>データガバナンス・データ完全性</t>
        </is>
      </c>
      <c r="F213" s="97" t="inlineStr">
        <is>
          <t>データの責任・標準・品質と、データ完全性（ALCOA+）を管理する</t>
        </is>
      </c>
      <c r="G213" s="94" t="n"/>
      <c r="H213" s="97" t="inlineStr">
        <is>
          <t>データ責任者、データ標準、データ完全性</t>
        </is>
      </c>
      <c r="I213" s="105" t="inlineStr">
        <is>
          <t>—</t>
        </is>
      </c>
      <c r="J213" s="97" t="inlineStr">
        <is>
          <t>信頼できるデータ</t>
        </is>
      </c>
    </row>
    <row r="214" ht="15" customHeight="1" s="80">
      <c r="A214" s="94" t="inlineStr">
        <is>
          <t>C13-01-03</t>
        </is>
      </c>
      <c r="B214" s="95" t="n"/>
      <c r="C214" s="95" t="n"/>
      <c r="D214" s="95" t="inlineStr">
        <is>
          <t>●</t>
        </is>
      </c>
      <c r="E214" s="97" t="inlineStr">
        <is>
          <t>個人情報保護</t>
        </is>
      </c>
      <c r="F214" s="97" t="inlineStr">
        <is>
          <t>患者・被験者の個人情報を保護し、同意を管理する</t>
        </is>
      </c>
      <c r="G214" s="94" t="n"/>
      <c r="H214" s="97" t="inlineStr">
        <is>
          <t>プライバシー保護、同意管理</t>
        </is>
      </c>
      <c r="I214" s="105" t="inlineStr">
        <is>
          <t>—</t>
        </is>
      </c>
      <c r="J214" s="97" t="inlineStr">
        <is>
          <t>守られた患者のプライバシー</t>
        </is>
      </c>
    </row>
    <row r="215" ht="15" customHeight="1" s="80">
      <c r="A215" s="90" t="inlineStr">
        <is>
          <t>C13-02</t>
        </is>
      </c>
      <c r="B215" s="91" t="n"/>
      <c r="C215" s="91" t="inlineStr">
        <is>
          <t>●</t>
        </is>
      </c>
      <c r="D215" s="91" t="n"/>
      <c r="E215" s="107" t="inlineStr">
        <is>
          <t>GxP文書・記録管理</t>
        </is>
      </c>
      <c r="F215" s="106" t="inlineStr">
        <is>
          <t>GxP文書・記録を作成・承認・保管する</t>
        </is>
      </c>
      <c r="G215" s="90" t="n"/>
      <c r="H215" s="106" t="n"/>
      <c r="I215" s="106" t="n"/>
      <c r="J215" s="106" t="n"/>
    </row>
    <row r="216" ht="15" customHeight="1" s="80">
      <c r="A216" s="94" t="inlineStr">
        <is>
          <t>C13-02-01</t>
        </is>
      </c>
      <c r="B216" s="95" t="n"/>
      <c r="C216" s="95" t="n"/>
      <c r="D216" s="95" t="inlineStr">
        <is>
          <t>●</t>
        </is>
      </c>
      <c r="E216" s="97" t="inlineStr">
        <is>
          <t>文書管理</t>
        </is>
      </c>
      <c r="F216" s="105" t="inlineStr">
        <is>
          <t>SOPなどのGxP文書を作成・承認・配布・改訂する</t>
        </is>
      </c>
      <c r="G216" s="94" t="n"/>
      <c r="H216" s="97" t="inlineStr">
        <is>
          <t>文書の作成・承認・配布・改訂</t>
        </is>
      </c>
      <c r="I216" s="97" t="inlineStr">
        <is>
          <t>試験文書・登録管理（C05-04-03）</t>
        </is>
      </c>
      <c r="J216" s="97" t="inlineStr">
        <is>
          <t>最新で承認された文書</t>
        </is>
      </c>
    </row>
    <row r="217" ht="26.25" customHeight="1" s="80">
      <c r="A217" s="94" t="inlineStr">
        <is>
          <t>C13-02-02</t>
        </is>
      </c>
      <c r="B217" s="95" t="n"/>
      <c r="C217" s="95" t="n"/>
      <c r="D217" s="95" t="inlineStr">
        <is>
          <t>●</t>
        </is>
      </c>
      <c r="E217" s="97" t="inlineStr">
        <is>
          <t>記録の保管・アーカイブ</t>
        </is>
      </c>
      <c r="F217" s="105" t="inlineStr">
        <is>
          <t>GxP記録を保管・アーカイブする（電子記録・電子署名を含む）</t>
        </is>
      </c>
      <c r="G217" s="94" t="n"/>
      <c r="H217" s="97" t="inlineStr">
        <is>
          <t>保管、アーカイブ、検索</t>
        </is>
      </c>
      <c r="I217" s="105" t="inlineStr">
        <is>
          <t>—</t>
        </is>
      </c>
      <c r="J217" s="97" t="inlineStr">
        <is>
          <t>いつでも取り出せる記録</t>
        </is>
      </c>
    </row>
    <row r="218" ht="15" customHeight="1" s="80">
      <c r="A218" s="90" t="inlineStr">
        <is>
          <t>C13-03</t>
        </is>
      </c>
      <c r="B218" s="91" t="n"/>
      <c r="C218" s="91" t="inlineStr">
        <is>
          <t>●</t>
        </is>
      </c>
      <c r="D218" s="91" t="n"/>
      <c r="E218" s="107" t="inlineStr">
        <is>
          <t>GxP教育・資格管理</t>
        </is>
      </c>
      <c r="F218" s="106" t="inlineStr">
        <is>
          <t>GxP業務の従事者を教育し、資格を管理する</t>
        </is>
      </c>
      <c r="G218" s="90" t="n"/>
      <c r="H218" s="106" t="n"/>
      <c r="I218" s="106" t="n"/>
      <c r="J218" s="106" t="n"/>
    </row>
    <row r="219" ht="15" customHeight="1" s="80">
      <c r="A219" s="94" t="inlineStr">
        <is>
          <t>C13-03-01</t>
        </is>
      </c>
      <c r="B219" s="95" t="n"/>
      <c r="C219" s="95" t="n"/>
      <c r="D219" s="95" t="inlineStr">
        <is>
          <t>●</t>
        </is>
      </c>
      <c r="E219" s="97" t="inlineStr">
        <is>
          <t>教育管理</t>
        </is>
      </c>
      <c r="F219" s="97" t="inlineStr">
        <is>
          <t>教育を計画・実施し、記録する</t>
        </is>
      </c>
      <c r="G219" s="94" t="n"/>
      <c r="H219" s="97" t="inlineStr">
        <is>
          <t>教育計画、教育記録</t>
        </is>
      </c>
      <c r="I219" s="105" t="inlineStr">
        <is>
          <t>—</t>
        </is>
      </c>
      <c r="J219" s="97" t="inlineStr">
        <is>
          <t>必要な教育を受けた従事者</t>
        </is>
      </c>
    </row>
    <row r="220" ht="15" customHeight="1" s="80">
      <c r="A220" s="94" t="inlineStr">
        <is>
          <t>C13-03-02</t>
        </is>
      </c>
      <c r="B220" s="95" t="n"/>
      <c r="C220" s="95" t="n"/>
      <c r="D220" s="95" t="inlineStr">
        <is>
          <t>●</t>
        </is>
      </c>
      <c r="E220" s="97" t="inlineStr">
        <is>
          <t>資格認定</t>
        </is>
      </c>
      <c r="F220" s="97" t="inlineStr">
        <is>
          <t>業務に必要な資格を認定する</t>
        </is>
      </c>
      <c r="G220" s="94" t="n"/>
      <c r="H220" s="97" t="inlineStr">
        <is>
          <t>資格要件、認定</t>
        </is>
      </c>
      <c r="I220" s="105" t="inlineStr">
        <is>
          <t>—</t>
        </is>
      </c>
      <c r="J220" s="97" t="inlineStr">
        <is>
          <t>資格を持つ従事者による業務</t>
        </is>
      </c>
    </row>
  </sheetData>
  <autoFilter ref="A3:J22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1F3A5F"/>
    <outlinePr summaryBelow="1" summaryRight="1"/>
    <pageSetUpPr fitToPage="0"/>
  </sheetPr>
  <dimension ref="A1:I63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3" ySplit="10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79" min="1" max="1"/>
    <col width="16" customWidth="1" style="79" min="2" max="2"/>
    <col width="22" customWidth="1" style="79" min="3" max="3"/>
    <col width="14" customWidth="1" style="79" min="4" max="4"/>
    <col width="30" customWidth="1" style="79" min="5" max="9"/>
  </cols>
  <sheetData>
    <row r="1" ht="21" customHeight="1" s="80">
      <c r="A1" s="81" t="inlineStr">
        <is>
          <t>ケイパビリティの成熟度レベル（L2ごとの定義）</t>
        </is>
      </c>
    </row>
    <row r="2" ht="15" customHeight="1" s="80">
      <c r="A2" s="82" t="inlineStr">
        <is>
          <t>対象：希少疾患向け新規バイオ医薬品（抗体医薬）／米国基準（FDA・BLA・21 CFR）。評価の対象はL2。規制上の最低水準：GxP・法令が関わるL2はレベル3が事実上の最低水準。</t>
        </is>
      </c>
    </row>
    <row r="3" ht="15" customHeight="1" s="80">
      <c r="A3" s="84" t="inlineStr">
        <is>
          <t>レベル</t>
        </is>
      </c>
      <c r="B3" s="84" t="inlineStr">
        <is>
          <t>名称</t>
        </is>
      </c>
      <c r="C3" s="84" t="inlineStr">
        <is>
          <t>共通定義</t>
        </is>
      </c>
      <c r="D3" s="111" t="n"/>
      <c r="E3" s="111" t="n"/>
      <c r="F3" s="111" t="n"/>
      <c r="G3" s="111" t="n"/>
      <c r="H3" s="111" t="n"/>
      <c r="I3" s="112" t="n"/>
    </row>
    <row r="4" ht="15" customHeight="1" s="80">
      <c r="A4" s="99" t="n">
        <v>1</v>
      </c>
      <c r="B4" s="113" t="inlineStr">
        <is>
          <t>初期</t>
        </is>
      </c>
      <c r="C4" s="100" t="inlineStr">
        <is>
          <t>属人的・場当たり的。成果が個人に依存し、再現できない</t>
        </is>
      </c>
      <c r="D4" s="111" t="n"/>
      <c r="E4" s="111" t="n"/>
      <c r="F4" s="111" t="n"/>
      <c r="G4" s="111" t="n"/>
      <c r="H4" s="111" t="n"/>
      <c r="I4" s="112" t="n"/>
    </row>
    <row r="5" ht="15" customHeight="1" s="80">
      <c r="A5" s="99" t="n">
        <v>2</v>
      </c>
      <c r="B5" s="113" t="inlineStr">
        <is>
          <t>管理された</t>
        </is>
      </c>
      <c r="C5" s="100" t="inlineStr">
        <is>
          <t>案件（製品・試験・プロジェクト）ごとに計画・管理され、再現できる。ただし方法は案件・部門で異なる</t>
        </is>
      </c>
      <c r="D5" s="111" t="n"/>
      <c r="E5" s="111" t="n"/>
      <c r="F5" s="111" t="n"/>
      <c r="G5" s="111" t="n"/>
      <c r="H5" s="111" t="n"/>
      <c r="I5" s="112" t="n"/>
    </row>
    <row r="6" ht="15" customHeight="1" s="80">
      <c r="A6" s="99" t="n">
        <v>3</v>
      </c>
      <c r="B6" s="113" t="inlineStr">
        <is>
          <t>定義された</t>
        </is>
      </c>
      <c r="C6" s="100" t="inlineStr">
        <is>
          <t>全社標準のプロセス・役割・データ定義があり、一貫して運用される</t>
        </is>
      </c>
      <c r="D6" s="111" t="n"/>
      <c r="E6" s="111" t="n"/>
      <c r="F6" s="111" t="n"/>
      <c r="G6" s="111" t="n"/>
      <c r="H6" s="111" t="n"/>
      <c r="I6" s="112" t="n"/>
    </row>
    <row r="7" ht="15" customHeight="1" s="80">
      <c r="A7" s="99" t="n">
        <v>4</v>
      </c>
      <c r="B7" s="113" t="inlineStr">
        <is>
          <t>定量的に管理された</t>
        </is>
      </c>
      <c r="C7" s="100" t="inlineStr">
        <is>
          <t>指標で成果・品質を測定し、データに基づいて管理・予測する</t>
        </is>
      </c>
      <c r="D7" s="111" t="n"/>
      <c r="E7" s="111" t="n"/>
      <c r="F7" s="111" t="n"/>
      <c r="G7" s="111" t="n"/>
      <c r="H7" s="111" t="n"/>
      <c r="I7" s="112" t="n"/>
    </row>
    <row r="8" ht="15" customHeight="1" s="80">
      <c r="A8" s="99" t="n">
        <v>5</v>
      </c>
      <c r="B8" s="113" t="inlineStr">
        <is>
          <t>最適化された</t>
        </is>
      </c>
      <c r="C8" s="100" t="inlineStr">
        <is>
          <t>継続的な改善と先進的な手法により、変化に先回りし、業界をリードする</t>
        </is>
      </c>
      <c r="D8" s="111" t="n"/>
      <c r="E8" s="111" t="n"/>
      <c r="F8" s="111" t="n"/>
      <c r="G8" s="111" t="n"/>
      <c r="H8" s="111" t="n"/>
      <c r="I8" s="112" t="n"/>
    </row>
    <row r="10" ht="30" customHeight="1" s="80">
      <c r="A10" s="83" t="inlineStr">
        <is>
          <t>L2 ID</t>
        </is>
      </c>
      <c r="B10" s="84" t="inlineStr">
        <is>
          <t>ケイパビリティL1</t>
        </is>
      </c>
      <c r="C10" s="84" t="inlineStr">
        <is>
          <t>ケイパビリティL2</t>
        </is>
      </c>
      <c r="D10" s="84" t="inlineStr">
        <is>
          <t>規制上の最低水準</t>
        </is>
      </c>
      <c r="E10" s="114" t="inlineStr">
        <is>
          <t>レベル1 初期</t>
        </is>
      </c>
      <c r="F10" s="114" t="inlineStr">
        <is>
          <t>レベル2 管理された</t>
        </is>
      </c>
      <c r="G10" s="114" t="inlineStr">
        <is>
          <t>レベル3 定義された</t>
        </is>
      </c>
      <c r="H10" s="114" t="inlineStr">
        <is>
          <t>レベル4 定量的に管理された</t>
        </is>
      </c>
      <c r="I10" s="114" t="inlineStr">
        <is>
          <t>レベル5 最適化された</t>
        </is>
      </c>
    </row>
    <row r="11" ht="26.25" customHeight="1" s="80">
      <c r="A11" s="94" t="inlineStr">
        <is>
          <t>C01-01</t>
        </is>
      </c>
      <c r="B11" s="97" t="inlineStr">
        <is>
          <t>戦略・ガバナンス</t>
        </is>
      </c>
      <c r="C11" s="96" t="inlineStr">
        <is>
          <t>研究開発ポートフォリオ管理</t>
        </is>
      </c>
      <c r="D11" s="94" t="inlineStr">
        <is>
          <t>—</t>
        </is>
      </c>
      <c r="E11" s="97" t="inlineStr">
        <is>
          <t>優先順位が個人の判断で決まり、根拠が残らない</t>
        </is>
      </c>
      <c r="F11" s="97" t="inlineStr">
        <is>
          <t>開発品ごとに価値・リスクを評価するが、方法が案件ごとに異なる</t>
        </is>
      </c>
      <c r="G11" s="97" t="inlineStr">
        <is>
          <t>全社共通の評価基準と判定プロセスで、全開発品を比較・判断する</t>
        </is>
      </c>
      <c r="H11" s="97" t="inlineStr">
        <is>
          <t>成功確率・価値の予測を実績で検証し、資源配分を定量的に最適化する</t>
        </is>
      </c>
      <c r="I11" s="97" t="inlineStr">
        <is>
          <t>ポートフォリオ全体のシナリオ分析で、環境変化に先回りして組み替える</t>
        </is>
      </c>
    </row>
    <row r="12" ht="26.25" customHeight="1" s="80">
      <c r="A12" s="98" t="inlineStr">
        <is>
          <t>C01-02</t>
        </is>
      </c>
      <c r="B12" s="104" t="n"/>
      <c r="C12" s="113" t="inlineStr">
        <is>
          <t>知財・独占期間管理</t>
        </is>
      </c>
      <c r="D12" s="98" t="inlineStr">
        <is>
          <t>—</t>
        </is>
      </c>
      <c r="E12" s="100" t="inlineStr">
        <is>
          <t>特許出願が研究者任せで、独占期間を把握していない</t>
        </is>
      </c>
      <c r="F12" s="100" t="inlineStr">
        <is>
          <t>主要製品ごとに特許・独占期間を管理している</t>
        </is>
      </c>
      <c r="G12" s="100" t="inlineStr">
        <is>
          <t>特許と規制上の独占期間を一元管理し、全製品で戦略的に出願・維持する</t>
        </is>
      </c>
      <c r="H12" s="100" t="inlineStr">
        <is>
          <t>独占期間の残りと競合参入リスクを定量的に監視し、製品戦略に反映する</t>
        </is>
      </c>
      <c r="I12" s="100" t="inlineStr">
        <is>
          <t>知財と規制上の独占を組み合わせ、製品価値を最大化する戦略を先導する</t>
        </is>
      </c>
    </row>
    <row r="13" ht="26.25" customHeight="1" s="80">
      <c r="A13" s="98" t="inlineStr">
        <is>
          <t>C01-03</t>
        </is>
      </c>
      <c r="B13" s="104" t="n"/>
      <c r="C13" s="113" t="inlineStr">
        <is>
          <t>外部パートナー管理</t>
        </is>
      </c>
      <c r="D13" s="98" t="inlineStr">
        <is>
          <t>—</t>
        </is>
      </c>
      <c r="E13" s="100" t="inlineStr">
        <is>
          <t>委託先の選定・監督が担当者任せ</t>
        </is>
      </c>
      <c r="F13" s="100" t="inlineStr">
        <is>
          <t>委託案件ごとに契約・品質取決めを結び、進捗を管理する</t>
        </is>
      </c>
      <c r="G13" s="100" t="inlineStr">
        <is>
          <t>全社標準の選定基準・契約・監督の仕組みで、委託先を一元管理する</t>
        </is>
      </c>
      <c r="H13" s="100" t="inlineStr">
        <is>
          <t>委託先の実績をKPIで評価し、選定・更新に反映する</t>
        </is>
      </c>
      <c r="I13" s="100" t="inlineStr">
        <is>
          <t>戦略的パートナーと共同で改善し、委託ネットワーク全体を最適化する</t>
        </is>
      </c>
    </row>
    <row r="14" ht="39" customHeight="1" s="80">
      <c r="A14" s="94" t="inlineStr">
        <is>
          <t>C02-01</t>
        </is>
      </c>
      <c r="B14" s="97" t="inlineStr">
        <is>
          <t>研究（創薬）</t>
        </is>
      </c>
      <c r="C14" s="96" t="inlineStr">
        <is>
          <t>疾患・標的研究★</t>
        </is>
      </c>
      <c r="D14" s="94" t="inlineStr">
        <is>
          <t>—</t>
        </is>
      </c>
      <c r="E14" s="97" t="inlineStr">
        <is>
          <t>公開情報が中心で、標的仮説の根拠が限られる</t>
        </is>
      </c>
      <c r="F14" s="97" t="inlineStr">
        <is>
          <t>プロジェクトごとに遺伝学的解析・標的検証を行う</t>
        </is>
      </c>
      <c r="G14" s="97" t="inlineStr">
        <is>
          <t>遺伝学的データと患者団体・専門医の知見を体系的に使う、標準的な探索・検証の流れがある</t>
        </is>
      </c>
      <c r="H14" s="97" t="inlineStr">
        <is>
          <t>標的の検証成功率・臨床移行率を測定し、標的選定を改善する</t>
        </is>
      </c>
      <c r="I14" s="97" t="inlineStr">
        <is>
          <t>独自の患者データ・解析基盤により、他社に先んじて新しい標的を見出す</t>
        </is>
      </c>
    </row>
    <row r="15" ht="26.25" customHeight="1" s="80">
      <c r="A15" s="98" t="inlineStr">
        <is>
          <t>C02-02</t>
        </is>
      </c>
      <c r="B15" s="104" t="n"/>
      <c r="C15" s="113" t="inlineStr">
        <is>
          <t>抗体創出</t>
        </is>
      </c>
      <c r="D15" s="98" t="inlineStr">
        <is>
          <t>—</t>
        </is>
      </c>
      <c r="E15" s="100" t="inlineStr">
        <is>
          <t>外部技術に依存し、取得・選別が場当たり的</t>
        </is>
      </c>
      <c r="F15" s="100" t="inlineStr">
        <is>
          <t>標準的な取得法・アッセイを持ち、案件ごとに運用する</t>
        </is>
      </c>
      <c r="G15" s="100" t="inlineStr">
        <is>
          <t>複数の取得プラットフォームと、標準化されたスクリーニング体系を持つ</t>
        </is>
      </c>
      <c r="H15" s="100" t="inlineStr">
        <is>
          <t>ヒット率・期間を測定し、自動化で効率を管理する</t>
        </is>
      </c>
      <c r="I15" s="100" t="inlineStr">
        <is>
          <t>独自のプラットフォームで、難しい標的にも抗体を創出できる</t>
        </is>
      </c>
    </row>
    <row r="16" ht="26.25" customHeight="1" s="80">
      <c r="A16" s="98" t="inlineStr">
        <is>
          <t>C02-03</t>
        </is>
      </c>
      <c r="B16" s="104" t="n"/>
      <c r="C16" s="113" t="inlineStr">
        <is>
          <t>抗体エンジニアリング</t>
        </is>
      </c>
      <c r="D16" s="98" t="inlineStr">
        <is>
          <t>—</t>
        </is>
      </c>
      <c r="E16" s="100" t="inlineStr">
        <is>
          <t>改変を外部に依存している</t>
        </is>
      </c>
      <c r="F16" s="100" t="inlineStr">
        <is>
          <t>ヒト化・親和性成熟を案件ごとに実施できる</t>
        </is>
      </c>
      <c r="G16" s="100" t="inlineStr">
        <is>
          <t>ヒト化・親和性成熟・Fc設計を標準手法として社内で実施する</t>
        </is>
      </c>
      <c r="H16" s="100" t="inlineStr">
        <is>
          <t>設計の成功率を測定し、構造・計算手法で予測精度を高める</t>
        </is>
      </c>
      <c r="I16" s="104" t="inlineStr">
        <is>
          <t>AI・計算設計などで、独自の分子設計により差別化する</t>
        </is>
      </c>
    </row>
    <row r="17" ht="26.25" customHeight="1" s="80">
      <c r="A17" s="98" t="inlineStr">
        <is>
          <t>C02-04</t>
        </is>
      </c>
      <c r="B17" s="104" t="n"/>
      <c r="C17" s="113" t="inlineStr">
        <is>
          <t>疾患モデル・薬効評価</t>
        </is>
      </c>
      <c r="D17" s="98" t="inlineStr">
        <is>
          <t>—</t>
        </is>
      </c>
      <c r="E17" s="100" t="inlineStr">
        <is>
          <t>既存モデルに依存し、疾患の再現性が不十分</t>
        </is>
      </c>
      <c r="F17" s="100" t="inlineStr">
        <is>
          <t>案件ごとにモデルを構築・評価する</t>
        </is>
      </c>
      <c r="G17" s="100" t="inlineStr">
        <is>
          <t>疾患ごとに検証済みのモデル群を持ち、標準的に評価する</t>
        </is>
      </c>
      <c r="H17" s="100" t="inlineStr">
        <is>
          <t>モデルの予測性（臨床結果との相関）を検証し、改善する</t>
        </is>
      </c>
      <c r="I17" s="100" t="inlineStr">
        <is>
          <t>患者由来細胞などの独自モデルで、臨床予測性の高い評価を先導する</t>
        </is>
      </c>
    </row>
    <row r="18" ht="26.25" customHeight="1" s="80">
      <c r="A18" s="98" t="inlineStr">
        <is>
          <t>C02-05</t>
        </is>
      </c>
      <c r="B18" s="104" t="n"/>
      <c r="C18" s="113" t="inlineStr">
        <is>
          <t>開発適性・免疫原性リスク評価</t>
        </is>
      </c>
      <c r="D18" s="98" t="inlineStr">
        <is>
          <t>—</t>
        </is>
      </c>
      <c r="E18" s="100" t="inlineStr">
        <is>
          <t>評価をせず、後工程で問題が発覚する</t>
        </is>
      </c>
      <c r="F18" s="100" t="inlineStr">
        <is>
          <t>候補選定時に一部の評価を行う</t>
        </is>
      </c>
      <c r="G18" s="100" t="inlineStr">
        <is>
          <t>標準的な評価項目で全候補を評価し、選定基準に組み込む</t>
        </is>
      </c>
      <c r="H18" s="100" t="inlineStr">
        <is>
          <t>評価結果と後工程（製造性・ADA発生）の相関を測定し、基準を改善する</t>
        </is>
      </c>
      <c r="I18" s="100" t="inlineStr">
        <is>
          <t>予測モデルにより、設計段階からリスクを回避する</t>
        </is>
      </c>
    </row>
    <row r="19" ht="26.25" customHeight="1" s="80">
      <c r="A19" s="94" t="inlineStr">
        <is>
          <t>C03-01</t>
        </is>
      </c>
      <c r="B19" s="97" t="inlineStr">
        <is>
          <t>非臨床・臨床薬理</t>
        </is>
      </c>
      <c r="C19" s="96" t="inlineStr">
        <is>
          <t>非臨床薬理評価</t>
        </is>
      </c>
      <c r="D19" s="94" t="inlineStr">
        <is>
          <t>—</t>
        </is>
      </c>
      <c r="E19" s="97" t="inlineStr">
        <is>
          <t>試験が場当たり的で、臨床の用量設定に結びつかない</t>
        </is>
      </c>
      <c r="F19" s="97" t="inlineStr">
        <is>
          <t>開発品ごとに計画して実施する</t>
        </is>
      </c>
      <c r="G19" s="97" t="inlineStr">
        <is>
          <t>標準的な試験構成で、臨床の作用・用量の根拠を体系的に作る</t>
        </is>
      </c>
      <c r="H19" s="97" t="inlineStr">
        <is>
          <t>非臨床と臨床の結果の整合を検証し、試験設計を改善する</t>
        </is>
      </c>
      <c r="I19" s="97" t="inlineStr">
        <is>
          <t>トランスレーショナルな指標で、臨床結果を高い精度で予測する</t>
        </is>
      </c>
    </row>
    <row r="20" ht="39" customHeight="1" s="80">
      <c r="A20" s="98" t="inlineStr">
        <is>
          <t>C03-02</t>
        </is>
      </c>
      <c r="B20" s="104" t="n"/>
      <c r="C20" s="113" t="inlineStr">
        <is>
          <t>非臨床安全性評価</t>
        </is>
      </c>
      <c r="D20" s="103" t="inlineStr">
        <is>
          <t>レベル3（GLP）</t>
        </is>
      </c>
      <c r="E20" s="100" t="inlineStr">
        <is>
          <t>試験構成が指針に沿わず、追加試験が発生する</t>
        </is>
      </c>
      <c r="F20" s="100" t="inlineStr">
        <is>
          <t>開発品ごとに受託試験機関と試験を設計・実施する</t>
        </is>
      </c>
      <c r="G20" s="100" t="inlineStr">
        <is>
          <t>抗体医薬の指針（ICH S6）に沿った標準戦略で、過不足のない試験構成を組む</t>
        </is>
      </c>
      <c r="H20" s="100" t="inlineStr">
        <is>
          <t>当局からの指摘・追加試験の発生を測定し、戦略を改善する</t>
        </is>
      </c>
      <c r="I20" s="100" t="inlineStr">
        <is>
          <t>動物試験に代わる新しい手法を活用し、効率と予測性を高める</t>
        </is>
      </c>
    </row>
    <row r="21" ht="39" customHeight="1" s="80">
      <c r="A21" s="98" t="inlineStr">
        <is>
          <t>C03-03</t>
        </is>
      </c>
      <c r="B21" s="104" t="n"/>
      <c r="C21" s="113" t="inlineStr">
        <is>
          <t>バイオアナリシス</t>
        </is>
      </c>
      <c r="D21" s="103" t="inlineStr">
        <is>
          <t>レベル3（GLP・GCP）</t>
        </is>
      </c>
      <c r="E21" s="100" t="inlineStr">
        <is>
          <t>測定法が安定せず、データの信頼性に課題がある</t>
        </is>
      </c>
      <c r="F21" s="100" t="inlineStr">
        <is>
          <t>開発品ごとに測定法を確立・運用する</t>
        </is>
      </c>
      <c r="G21" s="100" t="inlineStr">
        <is>
          <t>規制ガイダンスに沿った標準的な測定法の開発・バリデーションと、検査機関の管理を行う</t>
        </is>
      </c>
      <c r="H21" s="100" t="inlineStr">
        <is>
          <t>再測定率・納期を測定し、管理する</t>
        </is>
      </c>
      <c r="I21" s="100" t="inlineStr">
        <is>
          <t>新しいバイオマーカー・高感度測定を先導する</t>
        </is>
      </c>
    </row>
    <row r="22" ht="39" customHeight="1" s="80">
      <c r="A22" s="98" t="inlineStr">
        <is>
          <t>C03-04</t>
        </is>
      </c>
      <c r="B22" s="104" t="n"/>
      <c r="C22" s="113" t="inlineStr">
        <is>
          <t>臨床薬理・ファーマコメトリクス</t>
        </is>
      </c>
      <c r="D22" s="98" t="inlineStr">
        <is>
          <t>—</t>
        </is>
      </c>
      <c r="E22" s="100" t="inlineStr">
        <is>
          <t>経験則で用量を決める</t>
        </is>
      </c>
      <c r="F22" s="100" t="inlineStr">
        <is>
          <t>開発品ごとにPK解析を行う</t>
        </is>
      </c>
      <c r="G22" s="100" t="inlineStr">
        <is>
          <t>モデルに基づく医薬品開発（MIDD）を標準的に適用する</t>
        </is>
      </c>
      <c r="H22" s="100" t="inlineStr">
        <is>
          <t>モデルの予測と実績の差を検証し、意思決定に定量的に活用する</t>
        </is>
      </c>
      <c r="I22" s="100" t="inlineStr">
        <is>
          <t>モデルで試験を代替・縮小し、当局と合意する（少数例の希少疾患で特に有効）</t>
        </is>
      </c>
    </row>
    <row r="23" ht="26.25" customHeight="1" s="80">
      <c r="A23" s="94" t="inlineStr">
        <is>
          <t>C04-01</t>
        </is>
      </c>
      <c r="B23" s="105" t="inlineStr">
        <is>
          <t>CMC開発</t>
        </is>
      </c>
      <c r="C23" s="96" t="inlineStr">
        <is>
          <t>細胞株開発・セルバンク管理</t>
        </is>
      </c>
      <c r="D23" s="115" t="inlineStr">
        <is>
          <t>レベル3（GMP：セルバンク）</t>
        </is>
      </c>
      <c r="E23" s="97" t="inlineStr">
        <is>
          <t>細胞株構築をCDMOに全面依存し、記録が不十分</t>
        </is>
      </c>
      <c r="F23" s="97" t="inlineStr">
        <is>
          <t>案件ごとに細胞株を構築し、セルバンクを管理する</t>
        </is>
      </c>
      <c r="G23" s="97" t="inlineStr">
        <is>
          <t>標準的な細胞株開発プラットフォームと、セルバンクの一元管理を持つ</t>
        </is>
      </c>
      <c r="H23" s="97" t="inlineStr">
        <is>
          <t>生産性・安定性を指標で管理し、開発期間を短縮する</t>
        </is>
      </c>
      <c r="I23" s="97" t="inlineStr">
        <is>
          <t>独自の高生産プラットフォームで、開発期間・コストの優位に立つ</t>
        </is>
      </c>
    </row>
    <row r="24" ht="26.25" customHeight="1" s="80">
      <c r="A24" s="98" t="inlineStr">
        <is>
          <t>C04-02</t>
        </is>
      </c>
      <c r="B24" s="104" t="n"/>
      <c r="C24" s="113" t="inlineStr">
        <is>
          <t>原薬プロセス開発</t>
        </is>
      </c>
      <c r="D24" s="98" t="inlineStr">
        <is>
          <t>—</t>
        </is>
      </c>
      <c r="E24" s="100" t="inlineStr">
        <is>
          <t>工程が経験則で、スケールを変えると問題が起きる</t>
        </is>
      </c>
      <c r="F24" s="100" t="inlineStr">
        <is>
          <t>開発品ごとに工程を開発する</t>
        </is>
      </c>
      <c r="G24" s="100" t="inlineStr">
        <is>
          <t>プラットフォーム工程とQbD（リスク評価・管理戦略）を標準的に適用する</t>
        </is>
      </c>
      <c r="H24" s="100" t="inlineStr">
        <is>
          <t>工程性能・収率を指標で管理し、データに基づいて最適化する</t>
        </is>
      </c>
      <c r="I24" s="100" t="inlineStr">
        <is>
          <t>連続生産などの先進的な工程技術を導入し、業界をリードする</t>
        </is>
      </c>
    </row>
    <row r="25" ht="26.25" customHeight="1" s="80">
      <c r="A25" s="98" t="inlineStr">
        <is>
          <t>C04-03</t>
        </is>
      </c>
      <c r="B25" s="104" t="n"/>
      <c r="C25" s="113" t="inlineStr">
        <is>
          <t>製剤・デバイス開発</t>
        </is>
      </c>
      <c r="D25" s="98" t="inlineStr">
        <is>
          <t>—</t>
        </is>
      </c>
      <c r="E25" s="100" t="inlineStr">
        <is>
          <t>既存処方の流用のみ</t>
        </is>
      </c>
      <c r="F25" s="100" t="inlineStr">
        <is>
          <t>開発品ごとに処方・容器を開発する</t>
        </is>
      </c>
      <c r="G25" s="100" t="inlineStr">
        <is>
          <t>標準的な処方開発・容器評価と、デバイスの設計管理を運用する</t>
        </is>
      </c>
      <c r="H25" s="100" t="inlineStr">
        <is>
          <t>安定性・使いやすさの指標で設計を最適化する</t>
        </is>
      </c>
      <c r="I25" s="100" t="inlineStr">
        <is>
          <t>高濃度製剤・在宅自己投与デバイスなど、患者中心の製剤で差別化する</t>
        </is>
      </c>
    </row>
    <row r="26" ht="26.25" customHeight="1" s="80">
      <c r="A26" s="98" t="inlineStr">
        <is>
          <t>C04-04</t>
        </is>
      </c>
      <c r="B26" s="104" t="n"/>
      <c r="C26" s="113" t="inlineStr">
        <is>
          <t>分析法開発・品質特性評価</t>
        </is>
      </c>
      <c r="D26" s="103" t="inlineStr">
        <is>
          <t>レベル3（GMP）</t>
        </is>
      </c>
      <c r="E26" s="100" t="inlineStr">
        <is>
          <t>特性解析が不十分で、規格の根拠が弱い</t>
        </is>
      </c>
      <c r="F26" s="100" t="inlineStr">
        <is>
          <t>開発品ごとに分析法・規格を設定する</t>
        </is>
      </c>
      <c r="G26" s="100" t="inlineStr">
        <is>
          <t>標準的な特性解析・分析法バリデーション・同等性評価の手順を持つ</t>
        </is>
      </c>
      <c r="H26" s="100" t="inlineStr">
        <is>
          <t>分析法の性能と同等性判断の実績を指標で管理する</t>
        </is>
      </c>
      <c r="I26" s="100" t="inlineStr">
        <is>
          <t>高度な分析技術で品質を深く理解し、製法変更を迅速にする</t>
        </is>
      </c>
    </row>
    <row r="27" ht="26.25" customHeight="1" s="80">
      <c r="A27" s="98" t="inlineStr">
        <is>
          <t>C04-05</t>
        </is>
      </c>
      <c r="B27" s="104" t="n"/>
      <c r="C27" s="113" t="inlineStr">
        <is>
          <t>技術移転・製造規模管理</t>
        </is>
      </c>
      <c r="D27" s="103" t="inlineStr">
        <is>
          <t>レベル3（GMP）</t>
        </is>
      </c>
      <c r="E27" s="100" t="inlineStr">
        <is>
          <t>移転のたびに問題が起き、規模の判断が場当たり的</t>
        </is>
      </c>
      <c r="F27" s="100" t="inlineStr">
        <is>
          <t>案件ごとに移転計画を作り、実施する</t>
        </is>
      </c>
      <c r="G27" s="100" t="inlineStr">
        <is>
          <t>標準的な移転手順と、需要に基づく規模・拠点の判断基準を持つ</t>
        </is>
      </c>
      <c r="H27" s="100" t="inlineStr">
        <is>
          <t>移転の期間・成功率を指標で管理する</t>
        </is>
      </c>
      <c r="I27" s="100" t="inlineStr">
        <is>
          <t>需要の変動に柔軟に対応できる製造ネットワークを先回りして構築する</t>
        </is>
      </c>
    </row>
    <row r="28" ht="39" customHeight="1" s="80">
      <c r="A28" s="94" t="inlineStr">
        <is>
          <t>C05-01</t>
        </is>
      </c>
      <c r="B28" s="97" t="inlineStr">
        <is>
          <t>臨床開発</t>
        </is>
      </c>
      <c r="C28" s="96" t="inlineStr">
        <is>
          <t>臨床開発戦略・試験デザイン</t>
        </is>
      </c>
      <c r="D28" s="94" t="inlineStr">
        <is>
          <t>—</t>
        </is>
      </c>
      <c r="E28" s="97" t="inlineStr">
        <is>
          <t>一般的な第I〜III相の流用のみ</t>
        </is>
      </c>
      <c r="F28" s="97" t="inlineStr">
        <is>
          <t>開発品ごとに計画・設計する</t>
        </is>
      </c>
      <c r="G28" s="97" t="inlineStr">
        <is>
          <t>希少疾患向けの設計手法（単一ピボタル、外部対照、適応的デザイン）を標準的に検討・適用する</t>
        </is>
      </c>
      <c r="H28" s="97" t="inlineStr">
        <is>
          <t>設計の妥当性（当局合意・成功率）を検証し、改善する</t>
        </is>
      </c>
      <c r="I28" s="97" t="inlineStr">
        <is>
          <t>革新的なデザインで当局と合意を形成し、開発期間を大幅に短縮する</t>
        </is>
      </c>
    </row>
    <row r="29" ht="39" customHeight="1" s="80">
      <c r="A29" s="98" t="inlineStr">
        <is>
          <t>C05-02</t>
        </is>
      </c>
      <c r="B29" s="104" t="n"/>
      <c r="C29" s="113" t="inlineStr">
        <is>
          <t>患者エビデンス管理★</t>
        </is>
      </c>
      <c r="D29" s="98" t="inlineStr">
        <is>
          <t>—</t>
        </is>
      </c>
      <c r="E29" s="100" t="inlineStr">
        <is>
          <t>自然歴データがなく、外部対照を作れない</t>
        </is>
      </c>
      <c r="F29" s="100" t="inlineStr">
        <is>
          <t>開発品ごとに自然歴研究・レジストリを行う</t>
        </is>
      </c>
      <c r="G29" s="100" t="inlineStr">
        <is>
          <t>疾患ごとに標準化された自然歴研究・レジストリを運営し、データ品質を管理する</t>
        </is>
      </c>
      <c r="H29" s="100" t="inlineStr">
        <is>
          <t>データの完全性・利用実績を指標で管理し、当局提出に使える品質を維持する</t>
        </is>
      </c>
      <c r="I29" s="100" t="inlineStr">
        <is>
          <t>患者団体・業界と共有するデータ基盤を主導し、疾患領域のエビデンスを先導する</t>
        </is>
      </c>
    </row>
    <row r="30" ht="39" customHeight="1" s="80">
      <c r="A30" s="98" t="inlineStr">
        <is>
          <t>C05-03</t>
        </is>
      </c>
      <c r="B30" s="104" t="n"/>
      <c r="C30" s="113" t="inlineStr">
        <is>
          <t>患者特定・組入れ★</t>
        </is>
      </c>
      <c r="D30" s="98" t="inlineStr">
        <is>
          <t>—</t>
        </is>
      </c>
      <c r="E30" s="100" t="inlineStr">
        <is>
          <t>施設任せで、組入れが遅れる</t>
        </is>
      </c>
      <c r="F30" s="100" t="inlineStr">
        <is>
          <t>試験ごとに組入れ計画・施設網をつくる</t>
        </is>
      </c>
      <c r="G30" s="100" t="inlineStr">
        <is>
          <t>遺伝子検査・紹介ネットワーク・負担軽減策を組み合わせた、標準的な組入れ戦略を持つ</t>
        </is>
      </c>
      <c r="H30" s="100" t="inlineStr">
        <is>
          <t>組入れ速度・脱落率を指標で管理し、予測する</t>
        </is>
      </c>
      <c r="I30" s="100" t="inlineStr">
        <is>
          <t>患者コミュニティと一体となり、世界規模で迅速に組み入れる</t>
        </is>
      </c>
    </row>
    <row r="31" ht="26.25" customHeight="1" s="80">
      <c r="A31" s="98" t="inlineStr">
        <is>
          <t>C05-04</t>
        </is>
      </c>
      <c r="B31" s="104" t="n"/>
      <c r="C31" s="113" t="inlineStr">
        <is>
          <t>臨床試験運営</t>
        </is>
      </c>
      <c r="D31" s="103" t="inlineStr">
        <is>
          <t>レベル3（GCP）</t>
        </is>
      </c>
      <c r="E31" s="104" t="inlineStr">
        <is>
          <t>CRO任せで、スポンサーとしての監督が弱い</t>
        </is>
      </c>
      <c r="F31" s="100" t="inlineStr">
        <is>
          <t>試験ごとに運営計画を立て、監督する</t>
        </is>
      </c>
      <c r="G31" s="100" t="inlineStr">
        <is>
          <t>標準的な立ち上げ・リスクに基づくモニタリング・TMF管理を運用する</t>
        </is>
      </c>
      <c r="H31" s="100" t="inlineStr">
        <is>
          <t>立ち上げ期間・品質指標を管理する</t>
        </is>
      </c>
      <c r="I31" s="100" t="inlineStr">
        <is>
          <t>分散型試験などの先進的な運営で、患者と施設の負担を最小にする</t>
        </is>
      </c>
    </row>
    <row r="32" ht="26.25" customHeight="1" s="80">
      <c r="A32" s="98" t="inlineStr">
        <is>
          <t>C05-05</t>
        </is>
      </c>
      <c r="B32" s="104" t="n"/>
      <c r="C32" s="113" t="inlineStr">
        <is>
          <t>臨床データマネジメント・統計解析</t>
        </is>
      </c>
      <c r="D32" s="103" t="inlineStr">
        <is>
          <t>レベル3（GCP）</t>
        </is>
      </c>
      <c r="E32" s="100" t="inlineStr">
        <is>
          <t>データ品質の問題で、データベース固定が遅れる</t>
        </is>
      </c>
      <c r="F32" s="100" t="inlineStr">
        <is>
          <t>試験ごとにデータマネジメント・解析を行う</t>
        </is>
      </c>
      <c r="G32" s="104" t="inlineStr">
        <is>
          <t>CDISC標準と、標準的なデータマネジメント・解析・文書作成の手順を持つ</t>
        </is>
      </c>
      <c r="H32" s="100" t="inlineStr">
        <is>
          <t>データベース固定までの期間・データ品質を指標で管理する</t>
        </is>
      </c>
      <c r="I32" s="100" t="inlineStr">
        <is>
          <t>自動化とデータの再利用で、解析・報告を大幅に短縮する</t>
        </is>
      </c>
    </row>
    <row r="33" ht="26.25" customHeight="1" s="80">
      <c r="A33" s="98" t="inlineStr">
        <is>
          <t>C05-06</t>
        </is>
      </c>
      <c r="B33" s="104" t="n"/>
      <c r="C33" s="113" t="inlineStr">
        <is>
          <t>治験薬供給管理</t>
        </is>
      </c>
      <c r="D33" s="103" t="inlineStr">
        <is>
          <t>レベル3（GCP・GMP）</t>
        </is>
      </c>
      <c r="E33" s="100" t="inlineStr">
        <is>
          <t>欠品・廃棄が頻発する</t>
        </is>
      </c>
      <c r="F33" s="100" t="inlineStr">
        <is>
          <t>試験ごとに供給計画を立てる</t>
        </is>
      </c>
      <c r="G33" s="104" t="inlineStr">
        <is>
          <t>IRTを用いた標準的な需給・割付・供給管理を行う</t>
        </is>
      </c>
      <c r="H33" s="100" t="inlineStr">
        <is>
          <t>廃棄率・欠品を指標で管理する</t>
        </is>
      </c>
      <c r="I33" s="100" t="inlineStr">
        <is>
          <t>需要予測に基づく動的な供給で、少量・多国間の供給を最適化する</t>
        </is>
      </c>
    </row>
    <row r="34" ht="26.25" customHeight="1" s="80">
      <c r="A34" s="94" t="inlineStr">
        <is>
          <t>C06-01</t>
        </is>
      </c>
      <c r="B34" s="97" t="inlineStr">
        <is>
          <t>薬事</t>
        </is>
      </c>
      <c r="C34" s="96" t="inlineStr">
        <is>
          <t>薬事戦略・当局対応</t>
        </is>
      </c>
      <c r="D34" s="94" t="inlineStr">
        <is>
          <t>—</t>
        </is>
      </c>
      <c r="E34" s="97" t="inlineStr">
        <is>
          <t>当局対応が場当たり的で、合意が得られない</t>
        </is>
      </c>
      <c r="F34" s="97" t="inlineStr">
        <is>
          <t>開発品ごとに規制戦略を立て、会議に臨む</t>
        </is>
      </c>
      <c r="G34" s="97" t="inlineStr">
        <is>
          <t>標準的な規制戦略の立案・会議準備と、指定制度の体系的な活用</t>
        </is>
      </c>
      <c r="H34" s="97" t="inlineStr">
        <is>
          <t>当局との合意事項の達成率・審査期間を指標で管理する</t>
        </is>
      </c>
      <c r="I34" s="97" t="inlineStr">
        <is>
          <t>規制動向を先取りし、新しい制度・枠組みの活用を先導する</t>
        </is>
      </c>
    </row>
    <row r="35" ht="26.25" customHeight="1" s="80">
      <c r="A35" s="98" t="inlineStr">
        <is>
          <t>C06-02</t>
        </is>
      </c>
      <c r="B35" s="104" t="n"/>
      <c r="C35" s="113" t="inlineStr">
        <is>
          <t>申請資料作成・管理</t>
        </is>
      </c>
      <c r="D35" s="103" t="inlineStr">
        <is>
          <t>レベル3（法令）</t>
        </is>
      </c>
      <c r="E35" s="100" t="inlineStr">
        <is>
          <t>申請資料の作成が遅れ、技術的な不備がある</t>
        </is>
      </c>
      <c r="F35" s="100" t="inlineStr">
        <is>
          <t>申請ごとに作成・提出する</t>
        </is>
      </c>
      <c r="G35" s="100" t="inlineStr">
        <is>
          <t>標準的なテンプレート・パブリッシング・提出管理を持つ</t>
        </is>
      </c>
      <c r="H35" s="100" t="inlineStr">
        <is>
          <t>作成期間・照会件数を指標で管理する</t>
        </is>
      </c>
      <c r="I35" s="100" t="inlineStr">
        <is>
          <t>構造化データにより、申請資料を自動生成する</t>
        </is>
      </c>
    </row>
    <row r="36" ht="26.25" customHeight="1" s="80">
      <c r="A36" s="98" t="inlineStr">
        <is>
          <t>C06-03</t>
        </is>
      </c>
      <c r="B36" s="104" t="n"/>
      <c r="C36" s="113" t="inlineStr">
        <is>
          <t>ラベリング管理</t>
        </is>
      </c>
      <c r="D36" s="103" t="inlineStr">
        <is>
          <t>レベル3（法令）</t>
        </is>
      </c>
      <c r="E36" s="100" t="inlineStr">
        <is>
          <t>改訂の反映漏れがある</t>
        </is>
      </c>
      <c r="F36" s="100" t="inlineStr">
        <is>
          <t>製品ごとに表示を管理する</t>
        </is>
      </c>
      <c r="G36" s="100" t="inlineStr">
        <is>
          <t>標準的な作成・改訂・関連資材への反映の手順を持つ</t>
        </is>
      </c>
      <c r="H36" s="100" t="inlineStr">
        <is>
          <t>改訂の期間・整合性を指標で管理する</t>
        </is>
      </c>
      <c r="I36" s="100" t="inlineStr">
        <is>
          <t>構造化された表示情報で、改訂を迅速かつ一貫して反映する</t>
        </is>
      </c>
    </row>
    <row r="37" ht="26.25" customHeight="1" s="80">
      <c r="A37" s="98" t="inlineStr">
        <is>
          <t>C06-04</t>
        </is>
      </c>
      <c r="B37" s="104" t="n"/>
      <c r="C37" s="113" t="inlineStr">
        <is>
          <t>市販後薬事コンプライアンス</t>
        </is>
      </c>
      <c r="D37" s="103" t="inlineStr">
        <is>
          <t>レベル3（法令）</t>
        </is>
      </c>
      <c r="E37" s="100" t="inlineStr">
        <is>
          <t>期限の遅れ・報告漏れがある</t>
        </is>
      </c>
      <c r="F37" s="100" t="inlineStr">
        <is>
          <t>製品ごとに要求事項・期限を管理する</t>
        </is>
      </c>
      <c r="G37" s="100" t="inlineStr">
        <is>
          <t>全製品の市販後要求・変更・報告を一元管理する</t>
        </is>
      </c>
      <c r="H37" s="100" t="inlineStr">
        <is>
          <t>期限の遵守率を指標で管理する</t>
        </is>
      </c>
      <c r="I37" s="100" t="inlineStr">
        <is>
          <t>規制の変化を先取りし、負担を最小にした運用を行う</t>
        </is>
      </c>
    </row>
    <row r="38" ht="26.25" customHeight="1" s="80">
      <c r="A38" s="94" t="inlineStr">
        <is>
          <t>C07-01</t>
        </is>
      </c>
      <c r="B38" s="97" t="inlineStr">
        <is>
          <t>製造</t>
        </is>
      </c>
      <c r="C38" s="96" t="inlineStr">
        <is>
          <t>生産計画・製造実行管理</t>
        </is>
      </c>
      <c r="D38" s="115" t="inlineStr">
        <is>
          <t>レベル3（GMP）</t>
        </is>
      </c>
      <c r="E38" s="97" t="inlineStr">
        <is>
          <t>紙の記録と場当たり的な計画</t>
        </is>
      </c>
      <c r="F38" s="97" t="inlineStr">
        <is>
          <t>製造所ごとに計画・記録を管理する</t>
        </is>
      </c>
      <c r="G38" s="97" t="inlineStr">
        <is>
          <t>標準的な計画プロセスと電子バッチ記録を持つ</t>
        </is>
      </c>
      <c r="H38" s="97" t="inlineStr">
        <is>
          <t>計画の遵守率・記録の不備率を指標で管理する</t>
        </is>
      </c>
      <c r="I38" s="97" t="inlineStr">
        <is>
          <t>需要と連動した動的な計画と、記録照査の自動化を行う</t>
        </is>
      </c>
    </row>
    <row r="39" ht="26.25" customHeight="1" s="80">
      <c r="A39" s="98" t="inlineStr">
        <is>
          <t>C07-02</t>
        </is>
      </c>
      <c r="B39" s="104" t="n"/>
      <c r="C39" s="113" t="inlineStr">
        <is>
          <t>原薬製造</t>
        </is>
      </c>
      <c r="D39" s="103" t="inlineStr">
        <is>
          <t>レベル3（GMP）</t>
        </is>
      </c>
      <c r="E39" s="100" t="inlineStr">
        <is>
          <t>ロット間のばらつきが大きく、失敗ロットが多い</t>
        </is>
      </c>
      <c r="F39" s="100" t="inlineStr">
        <is>
          <t>製造所ごとに安定して製造できる</t>
        </is>
      </c>
      <c r="G39" s="100" t="inlineStr">
        <is>
          <t>標準化された製造と工程データの監視で、一貫した品質を保つ</t>
        </is>
      </c>
      <c r="H39" s="100" t="inlineStr">
        <is>
          <t>収率・成功率を統計的に管理する</t>
        </is>
      </c>
      <c r="I39" s="100" t="inlineStr">
        <is>
          <t>リアルタイムの工程制御など先進的な製造技術で、業界をリードする</t>
        </is>
      </c>
    </row>
    <row r="40" ht="26.25" customHeight="1" s="80">
      <c r="A40" s="98" t="inlineStr">
        <is>
          <t>C07-03</t>
        </is>
      </c>
      <c r="B40" s="104" t="n"/>
      <c r="C40" s="113" t="inlineStr">
        <is>
          <t>製剤化・無菌充填・包装</t>
        </is>
      </c>
      <c r="D40" s="103" t="inlineStr">
        <is>
          <t>レベル3（GMP）</t>
        </is>
      </c>
      <c r="E40" s="100" t="inlineStr">
        <is>
          <t>無菌性の問題・不良が発生する</t>
        </is>
      </c>
      <c r="F40" s="100" t="inlineStr">
        <is>
          <t>製造所ごとに管理する</t>
        </is>
      </c>
      <c r="G40" s="100" t="inlineStr">
        <is>
          <t>標準化された無菌操作と、シリアル化を含む包装を行う</t>
        </is>
      </c>
      <c r="H40" s="100" t="inlineStr">
        <is>
          <t>不良率・無菌性の指標を管理する</t>
        </is>
      </c>
      <c r="I40" s="100" t="inlineStr">
        <is>
          <t>自動化・閉鎖系の技術で、無菌保証の水準を高める</t>
        </is>
      </c>
    </row>
    <row r="41" ht="26.25" customHeight="1" s="80">
      <c r="A41" s="98" t="inlineStr">
        <is>
          <t>C07-04</t>
        </is>
      </c>
      <c r="B41" s="104" t="n"/>
      <c r="C41" s="113" t="inlineStr">
        <is>
          <t>設備・環境管理</t>
        </is>
      </c>
      <c r="D41" s="103" t="inlineStr">
        <is>
          <t>レベル3（GMP）</t>
        </is>
      </c>
      <c r="E41" s="100" t="inlineStr">
        <is>
          <t>故障への対応が中心</t>
        </is>
      </c>
      <c r="F41" s="100" t="inlineStr">
        <is>
          <t>設備ごとに保全計画を持つ</t>
        </is>
      </c>
      <c r="G41" s="100" t="inlineStr">
        <is>
          <t>標準的な予防保全・環境モニタリングを行う</t>
        </is>
      </c>
      <c r="H41" s="100" t="inlineStr">
        <is>
          <t>稼働率・環境の傾向を指標で管理する</t>
        </is>
      </c>
      <c r="I41" s="100" t="inlineStr">
        <is>
          <t>予知保全・リアルタイム監視を行う</t>
        </is>
      </c>
    </row>
    <row r="42" ht="26.25" customHeight="1" s="80">
      <c r="A42" s="94" t="inlineStr">
        <is>
          <t>C08-01</t>
        </is>
      </c>
      <c r="B42" s="97" t="inlineStr">
        <is>
          <t>品質</t>
        </is>
      </c>
      <c r="C42" s="96" t="inlineStr">
        <is>
          <t>品質管理（試験・安定性）</t>
        </is>
      </c>
      <c r="D42" s="115" t="inlineStr">
        <is>
          <t>レベル3（GMP）</t>
        </is>
      </c>
      <c r="E42" s="97" t="inlineStr">
        <is>
          <t>試験の遅れ・規格外結果が多い</t>
        </is>
      </c>
      <c r="F42" s="97" t="inlineStr">
        <is>
          <t>試験室ごとに運用する</t>
        </is>
      </c>
      <c r="G42" s="97" t="inlineStr">
        <is>
          <t>標準的な試験・安定性試験・OOS調査の手順と、データ完全性の管理を持つ</t>
        </is>
      </c>
      <c r="H42" s="97" t="inlineStr">
        <is>
          <t>試験の所要時間・OOS率を管理する</t>
        </is>
      </c>
      <c r="I42" s="97" t="inlineStr">
        <is>
          <t>自動化・リアルタイム出荷試験など先進的な手法を用いる</t>
        </is>
      </c>
    </row>
    <row r="43" ht="26.25" customHeight="1" s="80">
      <c r="A43" s="98" t="inlineStr">
        <is>
          <t>C08-02</t>
        </is>
      </c>
      <c r="B43" s="104" t="n"/>
      <c r="C43" s="113" t="inlineStr">
        <is>
          <t>品質保証（出荷判定・逸脱・変更）</t>
        </is>
      </c>
      <c r="D43" s="103" t="inlineStr">
        <is>
          <t>レベル3（GMP）</t>
        </is>
      </c>
      <c r="E43" s="100" t="inlineStr">
        <is>
          <t>逸脱・苦情の処理が遅く、再発する</t>
        </is>
      </c>
      <c r="F43" s="100" t="inlineStr">
        <is>
          <t>製造所ごとに運用する</t>
        </is>
      </c>
      <c r="G43" s="100" t="inlineStr">
        <is>
          <t>標準的な出荷判定・逸脱・変更・苦情処理の品質システムを持つ</t>
        </is>
      </c>
      <c r="H43" s="100" t="inlineStr">
        <is>
          <t>逸脱の再発率・CAPAの有効性などの品質指標で管理する</t>
        </is>
      </c>
      <c r="I43" s="100" t="inlineStr">
        <is>
          <t>品質データの分析で問題を予防し、品質文化が定着している</t>
        </is>
      </c>
    </row>
    <row r="44" ht="26.25" customHeight="1" s="80">
      <c r="A44" s="98" t="inlineStr">
        <is>
          <t>C08-03</t>
        </is>
      </c>
      <c r="B44" s="104" t="n"/>
      <c r="C44" s="113" t="inlineStr">
        <is>
          <t>バリデーション管理</t>
        </is>
      </c>
      <c r="D44" s="103" t="inlineStr">
        <is>
          <t>レベル3（GMP）</t>
        </is>
      </c>
      <c r="E44" s="100" t="inlineStr">
        <is>
          <t>文書が不備で、査察で指摘される</t>
        </is>
      </c>
      <c r="F44" s="100" t="inlineStr">
        <is>
          <t>対象ごとにバリデーションを行う</t>
        </is>
      </c>
      <c r="G44" s="100" t="inlineStr">
        <is>
          <t>リスクに基づく標準的なバリデーション手法（CSAを含む）を持つ</t>
        </is>
      </c>
      <c r="H44" s="100" t="inlineStr">
        <is>
          <t>バリデーション状態・期間を指標で管理する</t>
        </is>
      </c>
      <c r="I44" s="100" t="inlineStr">
        <is>
          <t>継続的な工程確認とデータに基づく検証で、効率化する</t>
        </is>
      </c>
    </row>
    <row r="45" ht="26.25" customHeight="1" s="80">
      <c r="A45" s="98" t="inlineStr">
        <is>
          <t>C08-04</t>
        </is>
      </c>
      <c r="B45" s="104" t="n"/>
      <c r="C45" s="113" t="inlineStr">
        <is>
          <t>品質システム・監査管理</t>
        </is>
      </c>
      <c r="D45" s="103" t="inlineStr">
        <is>
          <t>レベル3（GxP）</t>
        </is>
      </c>
      <c r="E45" s="100" t="inlineStr">
        <is>
          <t>監査・査察への対応が場当たり的</t>
        </is>
      </c>
      <c r="F45" s="100" t="inlineStr">
        <is>
          <t>年次計画で監査を行う</t>
        </is>
      </c>
      <c r="G45" s="100" t="inlineStr">
        <is>
          <t>リスクに基づく監査計画と、常に査察に対応できる品質システムを持つ</t>
        </is>
      </c>
      <c r="H45" s="100" t="inlineStr">
        <is>
          <t>監査の指摘・査察結果を指標で管理し、改善する</t>
        </is>
      </c>
      <c r="I45" s="100" t="inlineStr">
        <is>
          <t>品質システムが事業の改善を先導する</t>
        </is>
      </c>
    </row>
    <row r="46" ht="26.25" customHeight="1" s="80">
      <c r="A46" s="94" t="inlineStr">
        <is>
          <t>C09-01</t>
        </is>
      </c>
      <c r="B46" s="97" t="inlineStr">
        <is>
          <t>ファーマコビジランス（安全性）</t>
        </is>
      </c>
      <c r="C46" s="96" t="inlineStr">
        <is>
          <t>有害事象管理</t>
        </is>
      </c>
      <c r="D46" s="115" t="inlineStr">
        <is>
          <t>レベル3（PV）</t>
        </is>
      </c>
      <c r="E46" s="97" t="inlineStr">
        <is>
          <t>収集漏れ・報告遅延がある</t>
        </is>
      </c>
      <c r="F46" s="97" t="inlineStr">
        <is>
          <t>製品ごとに運用する</t>
        </is>
      </c>
      <c r="G46" s="97" t="inlineStr">
        <is>
          <t>標準的な収集・評価・報告のプロセスと、安全性データベースを持つ</t>
        </is>
      </c>
      <c r="H46" s="97" t="inlineStr">
        <is>
          <t>報告期限の遵守率・品質を指標で管理する</t>
        </is>
      </c>
      <c r="I46" s="97" t="inlineStr">
        <is>
          <t>受付・コーディングの自動化で処理を効率化する</t>
        </is>
      </c>
    </row>
    <row r="47" ht="26.25" customHeight="1" s="80">
      <c r="A47" s="98" t="inlineStr">
        <is>
          <t>C09-02</t>
        </is>
      </c>
      <c r="B47" s="104" t="n"/>
      <c r="C47" s="113" t="inlineStr">
        <is>
          <t>安全性シグナル・リスク管理</t>
        </is>
      </c>
      <c r="D47" s="103" t="inlineStr">
        <is>
          <t>レベル3（PV）</t>
        </is>
      </c>
      <c r="E47" s="100" t="inlineStr">
        <is>
          <t>シグナルの検出が場当たり的</t>
        </is>
      </c>
      <c r="F47" s="100" t="inlineStr">
        <is>
          <t>製品ごとに定期的に評価する</t>
        </is>
      </c>
      <c r="G47" s="100" t="inlineStr">
        <is>
          <t>標準的なシグナル管理・ベネフィット・リスク評価・REMSの運用を持つ</t>
        </is>
      </c>
      <c r="H47" s="100" t="inlineStr">
        <is>
          <t>シグナル評価の期間・REMSの有効性を指標で管理する</t>
        </is>
      </c>
      <c r="I47" s="100" t="inlineStr">
        <is>
          <t>レジストリ・リアルワールドデータを統合した先進的なリスク評価を行う</t>
        </is>
      </c>
    </row>
    <row r="48" ht="26.25" customHeight="1" s="80">
      <c r="A48" s="94" t="inlineStr">
        <is>
          <t>C10-01</t>
        </is>
      </c>
      <c r="B48" s="97" t="inlineStr">
        <is>
          <t>メディカル・患者エンゲージメント</t>
        </is>
      </c>
      <c r="C48" s="96" t="inlineStr">
        <is>
          <t>患者団体・専門医連携★</t>
        </is>
      </c>
      <c r="D48" s="94" t="inlineStr">
        <is>
          <t>—</t>
        </is>
      </c>
      <c r="E48" s="97" t="inlineStr">
        <is>
          <t>関係が個人的なつながりに依存する</t>
        </is>
      </c>
      <c r="F48" s="97" t="inlineStr">
        <is>
          <t>製品ごとに関係を構築する</t>
        </is>
      </c>
      <c r="G48" s="97" t="inlineStr">
        <is>
          <t>全社の方針・倫理基準に基づき、継続的に協働する</t>
        </is>
      </c>
      <c r="H48" s="97" t="inlineStr">
        <is>
          <t>関係の質と成果（参画件数、意見の反映）を評価する</t>
        </is>
      </c>
      <c r="I48" s="97" t="inlineStr">
        <is>
          <t>患者コミュニティに信頼されるパートナーとして、疾患領域を共に先導する</t>
        </is>
      </c>
    </row>
    <row r="49" ht="26.25" customHeight="1" s="80">
      <c r="A49" s="98" t="inlineStr">
        <is>
          <t>C10-02</t>
        </is>
      </c>
      <c r="B49" s="104" t="n"/>
      <c r="C49" s="113" t="inlineStr">
        <is>
          <t>メディカルアフェアーズ</t>
        </is>
      </c>
      <c r="D49" s="98" t="inlineStr">
        <is>
          <t>—</t>
        </is>
      </c>
      <c r="E49" s="100" t="inlineStr">
        <is>
          <t>問い合わせへの対応が中心</t>
        </is>
      </c>
      <c r="F49" s="100" t="inlineStr">
        <is>
          <t>製品ごとにMSL活動・学術活動を計画する</t>
        </is>
      </c>
      <c r="G49" s="100" t="inlineStr">
        <is>
          <t>標準的な科学的情報提供・問い合わせ対応・学術活動を行う</t>
        </is>
      </c>
      <c r="H49" s="100" t="inlineStr">
        <is>
          <t>活動の質・影響を指標で評価する</t>
        </is>
      </c>
      <c r="I49" s="100" t="inlineStr">
        <is>
          <t>エビデンス創出を先導し、疾患領域の科学的議論をリードする</t>
        </is>
      </c>
    </row>
    <row r="50" ht="26.25" customHeight="1" s="80">
      <c r="A50" s="98" t="inlineStr">
        <is>
          <t>C10-03</t>
        </is>
      </c>
      <c r="B50" s="104" t="n"/>
      <c r="C50" s="113" t="inlineStr">
        <is>
          <t>疾患啓発・診断支援★</t>
        </is>
      </c>
      <c r="D50" s="98" t="inlineStr">
        <is>
          <t>—</t>
        </is>
      </c>
      <c r="E50" s="100" t="inlineStr">
        <is>
          <t>啓発活動がない</t>
        </is>
      </c>
      <c r="F50" s="100" t="inlineStr">
        <is>
          <t>製品ごとに啓発・検査プログラムを行う</t>
        </is>
      </c>
      <c r="G50" s="100" t="inlineStr">
        <is>
          <t>啓発・遺伝子検査・専門施設網を組み合わせた、標準的な診断支援を行う</t>
        </is>
      </c>
      <c r="H50" s="100" t="inlineStr">
        <is>
          <t>診断率・診断までの期間を指標で管理する</t>
        </is>
      </c>
      <c r="I50" s="100" t="inlineStr">
        <is>
          <t>学会・業界と連携し、疾患の診断環境そのものを変える</t>
        </is>
      </c>
    </row>
    <row r="51" ht="26.25" customHeight="1" s="80">
      <c r="A51" s="98" t="inlineStr">
        <is>
          <t>C10-04</t>
        </is>
      </c>
      <c r="B51" s="104" t="n"/>
      <c r="C51" s="113" t="inlineStr">
        <is>
          <t>患者支援サービス★</t>
        </is>
      </c>
      <c r="D51" s="98" t="inlineStr">
        <is>
          <t>—</t>
        </is>
      </c>
      <c r="E51" s="100" t="inlineStr">
        <is>
          <t>個別に対応している</t>
        </is>
      </c>
      <c r="F51" s="100" t="inlineStr">
        <is>
          <t>ハブ事業者に委託して運用する</t>
        </is>
      </c>
      <c r="G51" s="100" t="inlineStr">
        <is>
          <t>標準的なサービス設計・品質管理・個人情報保護のもとで運営する</t>
        </is>
      </c>
      <c r="H51" s="100" t="inlineStr">
        <is>
          <t>治療開始までの期間・継続率を指標で管理する</t>
        </is>
      </c>
      <c r="I51" s="100" t="inlineStr">
        <is>
          <t>患者体験に基づき、先回りした個別の支援を行う</t>
        </is>
      </c>
    </row>
    <row r="52" ht="26.25" customHeight="1" s="80">
      <c r="A52" s="94" t="inlineStr">
        <is>
          <t>C11-01</t>
        </is>
      </c>
      <c r="B52" s="97" t="inlineStr">
        <is>
          <t>市場アクセス・商業</t>
        </is>
      </c>
      <c r="C52" s="96" t="inlineStr">
        <is>
          <t>価格・保険者契約管理</t>
        </is>
      </c>
      <c r="D52" s="94" t="inlineStr">
        <is>
          <t>—</t>
        </is>
      </c>
      <c r="E52" s="97" t="inlineStr">
        <is>
          <t>価値の根拠が弱く、償還が得られない</t>
        </is>
      </c>
      <c r="F52" s="97" t="inlineStr">
        <is>
          <t>製品ごとに価格・契約を検討する</t>
        </is>
      </c>
      <c r="G52" s="97" t="inlineStr">
        <is>
          <t>価値エビデンスに基づく標準的な価格設定・契約プロセスを持つ</t>
        </is>
      </c>
      <c r="H52" s="97" t="inlineStr">
        <is>
          <t>償還率・契約の成果を指標で管理する</t>
        </is>
      </c>
      <c r="I52" s="97" t="inlineStr">
        <is>
          <t>成果連動型など革新的な契約モデルを先導する</t>
        </is>
      </c>
    </row>
    <row r="53" ht="26.25" customHeight="1" s="80">
      <c r="A53" s="98" t="inlineStr">
        <is>
          <t>C11-02</t>
        </is>
      </c>
      <c r="B53" s="104" t="n"/>
      <c r="C53" s="113" t="inlineStr">
        <is>
          <t>政府価格報告・政策対応</t>
        </is>
      </c>
      <c r="D53" s="103" t="inlineStr">
        <is>
          <t>レベル3（法令）</t>
        </is>
      </c>
      <c r="E53" s="100" t="inlineStr">
        <is>
          <t>報告の誤り・遅延がある</t>
        </is>
      </c>
      <c r="F53" s="100" t="inlineStr">
        <is>
          <t>担当者が手作業で算定・報告する</t>
        </is>
      </c>
      <c r="G53" s="100" t="inlineStr">
        <is>
          <t>標準化された算定方法と統制のもとで報告する</t>
        </is>
      </c>
      <c r="H53" s="100" t="inlineStr">
        <is>
          <t>報告の精度・期限を指標で管理する</t>
        </is>
      </c>
      <c r="I53" s="100" t="inlineStr">
        <is>
          <t>政策の変化を先取りして戦略的に対応する</t>
        </is>
      </c>
    </row>
    <row r="54" ht="26.25" customHeight="1" s="80">
      <c r="A54" s="98" t="inlineStr">
        <is>
          <t>C11-03</t>
        </is>
      </c>
      <c r="B54" s="104" t="n"/>
      <c r="C54" s="113" t="inlineStr">
        <is>
          <t>販促・商業コンプライアンス</t>
        </is>
      </c>
      <c r="D54" s="103" t="inlineStr">
        <is>
          <t>レベル3（法令）</t>
        </is>
      </c>
      <c r="E54" s="100" t="inlineStr">
        <is>
          <t>審査が不十分</t>
        </is>
      </c>
      <c r="F54" s="100" t="inlineStr">
        <is>
          <t>資材ごとに審査する</t>
        </is>
      </c>
      <c r="G54" s="100" t="inlineStr">
        <is>
          <t>標準的な審査・提出・支払報告の手順を持つ</t>
        </is>
      </c>
      <c r="H54" s="100" t="inlineStr">
        <is>
          <t>審査期間・指摘件数を指標で管理する</t>
        </is>
      </c>
      <c r="I54" s="100" t="inlineStr">
        <is>
          <t>コンプライアンスが迅速な市場展開を支えている</t>
        </is>
      </c>
    </row>
    <row r="55" ht="26.25" customHeight="1" s="80">
      <c r="A55" s="98" t="inlineStr">
        <is>
          <t>C11-04</t>
        </is>
      </c>
      <c r="B55" s="104" t="n"/>
      <c r="C55" s="113" t="inlineStr">
        <is>
          <t>営業・顧客管理</t>
        </is>
      </c>
      <c r="D55" s="98" t="inlineStr">
        <is>
          <t>—</t>
        </is>
      </c>
      <c r="E55" s="100" t="inlineStr">
        <is>
          <t>担当者任せ</t>
        </is>
      </c>
      <c r="F55" s="100" t="inlineStr">
        <is>
          <t>製品ごとに対象施設を定めて活動する</t>
        </is>
      </c>
      <c r="G55" s="100" t="inlineStr">
        <is>
          <t>標準的な顧客の区分と活動管理を行う</t>
        </is>
      </c>
      <c r="H55" s="100" t="inlineStr">
        <is>
          <t>活動の成果を指標で管理する</t>
        </is>
      </c>
      <c r="I55" s="100" t="inlineStr">
        <is>
          <t>データに基づき、施設ごとに最適化された活動を行う</t>
        </is>
      </c>
    </row>
    <row r="56" ht="26.25" customHeight="1" s="80">
      <c r="A56" s="94" t="inlineStr">
        <is>
          <t>C12-01</t>
        </is>
      </c>
      <c r="B56" s="97" t="inlineStr">
        <is>
          <t>サプライチェーン</t>
        </is>
      </c>
      <c r="C56" s="96" t="inlineStr">
        <is>
          <t>需給計画</t>
        </is>
      </c>
      <c r="D56" s="94" t="inlineStr">
        <is>
          <t>—</t>
        </is>
      </c>
      <c r="E56" s="97" t="inlineStr">
        <is>
          <t>経験則の予測で、欠品・廃棄が発生する</t>
        </is>
      </c>
      <c r="F56" s="97" t="inlineStr">
        <is>
          <t>製品ごとに計画する</t>
        </is>
      </c>
      <c r="G56" s="97" t="inlineStr">
        <is>
          <t>患者単位の需要データに基づく、標準的な需給計画（S&amp;OP）を持つ</t>
        </is>
      </c>
      <c r="H56" s="97" t="inlineStr">
        <is>
          <t>予測精度・在庫指標を管理する</t>
        </is>
      </c>
      <c r="I56" s="97" t="inlineStr">
        <is>
          <t>リアルタイムの需要データで動的に計画する</t>
        </is>
      </c>
    </row>
    <row r="57" ht="26.25" customHeight="1" s="80">
      <c r="A57" s="98" t="inlineStr">
        <is>
          <t>C12-02</t>
        </is>
      </c>
      <c r="B57" s="104" t="n"/>
      <c r="C57" s="113" t="inlineStr">
        <is>
          <t>流通ネットワーク管理★</t>
        </is>
      </c>
      <c r="D57" s="98" t="inlineStr">
        <is>
          <t>—</t>
        </is>
      </c>
      <c r="E57" s="100" t="inlineStr">
        <is>
          <t>流通の状況が見えない</t>
        </is>
      </c>
      <c r="F57" s="100" t="inlineStr">
        <is>
          <t>パートナーごとに契約・管理する</t>
        </is>
      </c>
      <c r="G57" s="100" t="inlineStr">
        <is>
          <t>標準的なネットワーク設計・パートナー管理・データ連携を行う</t>
        </is>
      </c>
      <c r="H57" s="100" t="inlineStr">
        <is>
          <t>流通パートナーの実績・データ品質を指標で管理する</t>
        </is>
      </c>
      <c r="I57" s="100" t="inlineStr">
        <is>
          <t>患者体験を中心に流通網を最適化する</t>
        </is>
      </c>
    </row>
    <row r="58" ht="26.25" customHeight="1" s="80">
      <c r="A58" s="98" t="inlineStr">
        <is>
          <t>C12-03</t>
        </is>
      </c>
      <c r="B58" s="104" t="n"/>
      <c r="C58" s="113" t="inlineStr">
        <is>
          <t>コールドチェーン物流</t>
        </is>
      </c>
      <c r="D58" s="103" t="inlineStr">
        <is>
          <t>レベル3（GMP）</t>
        </is>
      </c>
      <c r="E58" s="100" t="inlineStr">
        <is>
          <t>温度逸脱が頻発する</t>
        </is>
      </c>
      <c r="F58" s="100" t="inlineStr">
        <is>
          <t>輸送ごとに温度を記録する</t>
        </is>
      </c>
      <c r="G58" s="100" t="inlineStr">
        <is>
          <t>検証済みの梱包・輸送と、標準的な逸脱対応を持つ</t>
        </is>
      </c>
      <c r="H58" s="100" t="inlineStr">
        <is>
          <t>温度逸脱率を指標で管理する</t>
        </is>
      </c>
      <c r="I58" s="100" t="inlineStr">
        <is>
          <t>リアルタイム監視と予測で逸脱を未然に防ぐ</t>
        </is>
      </c>
    </row>
    <row r="59" ht="26.25" customHeight="1" s="80">
      <c r="A59" s="98" t="inlineStr">
        <is>
          <t>C12-04</t>
        </is>
      </c>
      <c r="B59" s="104" t="n"/>
      <c r="C59" s="113" t="inlineStr">
        <is>
          <t>トレーサビリティ</t>
        </is>
      </c>
      <c r="D59" s="103" t="inlineStr">
        <is>
          <t>レベル3（法令：DSCSA）</t>
        </is>
      </c>
      <c r="E59" s="100" t="inlineStr">
        <is>
          <t>規制への対応が不十分</t>
        </is>
      </c>
      <c r="F59" s="100" t="inlineStr">
        <is>
          <t>最低限の対応を個別に行う</t>
        </is>
      </c>
      <c r="G59" s="104" t="inlineStr">
        <is>
          <t>DSCSAに準拠した標準的なシリアル化・取引情報の交換を行う</t>
        </is>
      </c>
      <c r="H59" s="100" t="inlineStr">
        <is>
          <t>データの整合性・照会への対応を指標で管理する</t>
        </is>
      </c>
      <c r="I59" s="100" t="inlineStr">
        <is>
          <t>追跡データを需要・品質の管理にも活用する</t>
        </is>
      </c>
    </row>
    <row r="60" ht="26.25" customHeight="1" s="80">
      <c r="A60" s="98" t="inlineStr">
        <is>
          <t>C12-05</t>
        </is>
      </c>
      <c r="B60" s="104" t="n"/>
      <c r="C60" s="113" t="inlineStr">
        <is>
          <t>供給継続・回収管理</t>
        </is>
      </c>
      <c r="D60" s="103" t="inlineStr">
        <is>
          <t>レベル3（GMP・法令）</t>
        </is>
      </c>
      <c r="E60" s="100" t="inlineStr">
        <is>
          <t>供給中断・回収に場当たり的に対応する</t>
        </is>
      </c>
      <c r="F60" s="100" t="inlineStr">
        <is>
          <t>製品ごとにリスクを把握する</t>
        </is>
      </c>
      <c r="G60" s="100" t="inlineStr">
        <is>
          <t>標準的なリスク評価・事業継続計画・回収手順を持つ</t>
        </is>
      </c>
      <c r="H60" s="100" t="inlineStr">
        <is>
          <t>リスク指標を監視し、訓練で有効性を検証する</t>
        </is>
      </c>
      <c r="I60" s="100" t="inlineStr">
        <is>
          <t>サプライチェーン全体の強靭性を先回りして設計する</t>
        </is>
      </c>
    </row>
    <row r="61" ht="26.25" customHeight="1" s="80">
      <c r="A61" s="94" t="inlineStr">
        <is>
          <t>C13-01</t>
        </is>
      </c>
      <c r="B61" s="97" t="inlineStr">
        <is>
          <t>共通基盤</t>
        </is>
      </c>
      <c r="C61" s="96" t="inlineStr">
        <is>
          <t>情報・データ管理</t>
        </is>
      </c>
      <c r="D61" s="94" t="inlineStr">
        <is>
          <t>—</t>
        </is>
      </c>
      <c r="E61" s="97" t="inlineStr">
        <is>
          <t>データが部門ごとに分散している</t>
        </is>
      </c>
      <c r="F61" s="97" t="inlineStr">
        <is>
          <t>部門ごとにマスタ・データを管理する</t>
        </is>
      </c>
      <c r="G61" s="97" t="inlineStr">
        <is>
          <t>全社のデータガバナンス・マスタ管理・個人情報保護の仕組みを持つ</t>
        </is>
      </c>
      <c r="H61" s="97" t="inlineStr">
        <is>
          <t>データ品質を指標で管理する</t>
        </is>
      </c>
      <c r="I61" s="97" t="inlineStr">
        <is>
          <t>データを戦略的な資産として活用する</t>
        </is>
      </c>
    </row>
    <row r="62" ht="26.25" customHeight="1" s="80">
      <c r="A62" s="98" t="inlineStr">
        <is>
          <t>C13-02</t>
        </is>
      </c>
      <c r="B62" s="104" t="n"/>
      <c r="C62" s="116" t="inlineStr">
        <is>
          <t>GxP文書・記録管理</t>
        </is>
      </c>
      <c r="D62" s="103" t="inlineStr">
        <is>
          <t>レベル3（GxP・Part 11）</t>
        </is>
      </c>
      <c r="E62" s="100" t="inlineStr">
        <is>
          <t>紙・個人による管理</t>
        </is>
      </c>
      <c r="F62" s="100" t="inlineStr">
        <is>
          <t>部門ごとに文書を管理する</t>
        </is>
      </c>
      <c r="G62" s="100" t="inlineStr">
        <is>
          <t>全社標準の電子文書管理（Part 11準拠）を持つ</t>
        </is>
      </c>
      <c r="H62" s="100" t="inlineStr">
        <is>
          <t>文書の改訂期間・記録の検索性を指標で管理する</t>
        </is>
      </c>
      <c r="I62" s="100" t="inlineStr">
        <is>
          <t>構造化コンテンツで文書を再利用・自動化する</t>
        </is>
      </c>
    </row>
    <row r="63" ht="26.25" customHeight="1" s="80">
      <c r="A63" s="98" t="inlineStr">
        <is>
          <t>C13-03</t>
        </is>
      </c>
      <c r="B63" s="104" t="n"/>
      <c r="C63" s="116" t="inlineStr">
        <is>
          <t>GxP教育・資格管理</t>
        </is>
      </c>
      <c r="D63" s="103" t="inlineStr">
        <is>
          <t>レベル3（GxP）</t>
        </is>
      </c>
      <c r="E63" s="100" t="inlineStr">
        <is>
          <t>教育記録に不備がある</t>
        </is>
      </c>
      <c r="F63" s="100" t="inlineStr">
        <is>
          <t>部門ごとに教育を管理する</t>
        </is>
      </c>
      <c r="G63" s="100" t="inlineStr">
        <is>
          <t>役割に基づく標準的な教育・資格管理を持つ</t>
        </is>
      </c>
      <c r="H63" s="100" t="inlineStr">
        <is>
          <t>教育の完了率・有効性を指標で管理する</t>
        </is>
      </c>
      <c r="I63" s="100" t="inlineStr">
        <is>
          <t>業務の変化に先回りした能力開発を行う</t>
        </is>
      </c>
    </row>
  </sheetData>
  <autoFilter ref="A10:I63"/>
  <mergeCells count="6">
    <mergeCell ref="C3:I3"/>
    <mergeCell ref="C8:I8"/>
    <mergeCell ref="C4:I4"/>
    <mergeCell ref="C6:I6"/>
    <mergeCell ref="C7:I7"/>
    <mergeCell ref="C5:I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00A6A6A6"/>
    <outlinePr summaryBelow="1" summaryRight="1"/>
    <pageSetUpPr fitToPage="0"/>
  </sheetPr>
  <dimension ref="A1:G494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79" min="1" max="1"/>
    <col width="40" customWidth="1" style="79" min="2" max="2"/>
    <col width="13" customWidth="1" style="79" min="3" max="3"/>
    <col width="32" customWidth="1" style="79" min="4" max="4"/>
    <col width="7" customWidth="1" style="79" min="5" max="5"/>
    <col width="9" customWidth="1" style="79" min="6" max="6"/>
    <col width="11" customWidth="1" style="79" min="7" max="7"/>
  </cols>
  <sheetData>
    <row r="1" ht="21" customHeight="1" s="80">
      <c r="A1" s="117" t="inlineStr">
        <is>
          <t>VS×ケイパビリティ関係（正本：VS L4 × ケイパビリティL3）</t>
        </is>
      </c>
    </row>
    <row r="2" ht="15" customHeight="1" s="80">
      <c r="A2" s="118" t="inlineStr">
        <is>
          <t>1行1関係。区分は「主」（そのL4の中核）か「支援」（下支え）。マトリクスはこのシートから数式で集計する。関係の追加・変更はこのシートで行う。灰色の列は数式（編集しない）。</t>
        </is>
      </c>
    </row>
    <row r="3" ht="40.5" customHeight="1" s="80">
      <c r="A3" s="83" t="inlineStr">
        <is>
          <t>VS L4 ID</t>
        </is>
      </c>
      <c r="B3" s="83" t="inlineStr">
        <is>
          <t>VS L4</t>
        </is>
      </c>
      <c r="C3" s="84" t="inlineStr">
        <is>
          <t>ケイパビリティL3 ID</t>
        </is>
      </c>
      <c r="D3" s="84" t="inlineStr">
        <is>
          <t>ケイパビリティL3</t>
        </is>
      </c>
      <c r="E3" s="84" t="inlineStr">
        <is>
          <t>区分</t>
        </is>
      </c>
      <c r="F3" s="119" t="inlineStr">
        <is>
          <t>VS L3 ID</t>
        </is>
      </c>
      <c r="G3" s="85" t="inlineStr">
        <is>
          <t>ケイパビリティL2 ID</t>
        </is>
      </c>
    </row>
    <row r="4" ht="15" customHeight="1" s="80">
      <c r="A4" s="98" t="inlineStr">
        <is>
          <t>01-01-01</t>
        </is>
      </c>
      <c r="B4" s="100" t="inlineStr">
        <is>
          <t>★患者団体・専門医との連携による疾患理解</t>
        </is>
      </c>
      <c r="C4" s="98" t="inlineStr">
        <is>
          <t>C10-01-01</t>
        </is>
      </c>
      <c r="D4" s="104">
        <f>IFERROR(INDEX(ケイパビリティマップ!$E:$E,MATCH(C4,ケイパビリティマップ!$A:$A,0)),"（IDなし）")</f>
        <v/>
      </c>
      <c r="E4" s="103" t="inlineStr">
        <is>
          <t>主</t>
        </is>
      </c>
      <c r="F4" s="120">
        <f>LEFT(A4,5)</f>
        <v/>
      </c>
      <c r="G4" s="120">
        <f>LEFT(C4,6)</f>
        <v/>
      </c>
    </row>
    <row r="5" ht="15" customHeight="1" s="80">
      <c r="A5" s="98" t="inlineStr">
        <is>
          <t>01-01-01</t>
        </is>
      </c>
      <c r="B5" s="100" t="inlineStr">
        <is>
          <t>★患者団体・専門医との連携による疾患理解</t>
        </is>
      </c>
      <c r="C5" s="98" t="inlineStr">
        <is>
          <t>C10-01-02</t>
        </is>
      </c>
      <c r="D5" s="104">
        <f>IFERROR(INDEX(ケイパビリティマップ!$E:$E,MATCH(C5,ケイパビリティマップ!$A:$A,0)),"（IDなし）")</f>
        <v/>
      </c>
      <c r="E5" s="103" t="inlineStr">
        <is>
          <t>支援</t>
        </is>
      </c>
      <c r="F5" s="120">
        <f>LEFT(A5,5)</f>
        <v/>
      </c>
      <c r="G5" s="120">
        <f>LEFT(C5,6)</f>
        <v/>
      </c>
    </row>
    <row r="6" ht="15" customHeight="1" s="80">
      <c r="A6" s="98" t="inlineStr">
        <is>
          <t>01-01-01</t>
        </is>
      </c>
      <c r="B6" s="100" t="inlineStr">
        <is>
          <t>★患者団体・専門医との連携による疾患理解</t>
        </is>
      </c>
      <c r="C6" s="98" t="inlineStr">
        <is>
          <t>C02-01-01</t>
        </is>
      </c>
      <c r="D6" s="104">
        <f>IFERROR(INDEX(ケイパビリティマップ!$E:$E,MATCH(C6,ケイパビリティマップ!$A:$A,0)),"（IDなし）")</f>
        <v/>
      </c>
      <c r="E6" s="103" t="inlineStr">
        <is>
          <t>支援</t>
        </is>
      </c>
      <c r="F6" s="120">
        <f>LEFT(A6,5)</f>
        <v/>
      </c>
      <c r="G6" s="120">
        <f>LEFT(C6,6)</f>
        <v/>
      </c>
    </row>
    <row r="7" ht="15" customHeight="1" s="80">
      <c r="A7" s="98" t="inlineStr">
        <is>
          <t>01-01-02</t>
        </is>
      </c>
      <c r="B7" s="100" t="inlineStr">
        <is>
          <t>疾患生物学の調査・標的仮説の立案</t>
        </is>
      </c>
      <c r="C7" s="98" t="inlineStr">
        <is>
          <t>C02-01-01</t>
        </is>
      </c>
      <c r="D7" s="104">
        <f>IFERROR(INDEX(ケイパビリティマップ!$E:$E,MATCH(C7,ケイパビリティマップ!$A:$A,0)),"（IDなし）")</f>
        <v/>
      </c>
      <c r="E7" s="103" t="inlineStr">
        <is>
          <t>主</t>
        </is>
      </c>
      <c r="F7" s="120">
        <f>LEFT(A7,5)</f>
        <v/>
      </c>
      <c r="G7" s="120">
        <f>LEFT(C7,6)</f>
        <v/>
      </c>
    </row>
    <row r="8" ht="26.25" customHeight="1" s="80">
      <c r="A8" s="98" t="inlineStr">
        <is>
          <t>01-01-03</t>
        </is>
      </c>
      <c r="B8" s="100" t="inlineStr">
        <is>
          <t>★遺伝学的原因の解析（単一遺伝子疾患等、患者ゲノム・検体データ）</t>
        </is>
      </c>
      <c r="C8" s="98" t="inlineStr">
        <is>
          <t>C02-01-01</t>
        </is>
      </c>
      <c r="D8" s="104">
        <f>IFERROR(INDEX(ケイパビリティマップ!$E:$E,MATCH(C8,ケイパビリティマップ!$A:$A,0)),"（IDなし）")</f>
        <v/>
      </c>
      <c r="E8" s="103" t="inlineStr">
        <is>
          <t>主</t>
        </is>
      </c>
      <c r="F8" s="120">
        <f>LEFT(A8,5)</f>
        <v/>
      </c>
      <c r="G8" s="120">
        <f>LEFT(C8,6)</f>
        <v/>
      </c>
    </row>
    <row r="9" ht="26.25" customHeight="1" s="80">
      <c r="A9" s="98" t="inlineStr">
        <is>
          <t>01-01-03</t>
        </is>
      </c>
      <c r="B9" s="100" t="inlineStr">
        <is>
          <t>★遺伝学的原因の解析（単一遺伝子疾患等、患者ゲノム・検体データ）</t>
        </is>
      </c>
      <c r="C9" s="98" t="inlineStr">
        <is>
          <t>C13-01-03</t>
        </is>
      </c>
      <c r="D9" s="104">
        <f>IFERROR(INDEX(ケイパビリティマップ!$E:$E,MATCH(C9,ケイパビリティマップ!$A:$A,0)),"（IDなし）")</f>
        <v/>
      </c>
      <c r="E9" s="103" t="inlineStr">
        <is>
          <t>支援</t>
        </is>
      </c>
      <c r="F9" s="120">
        <f>LEFT(A9,5)</f>
        <v/>
      </c>
      <c r="G9" s="120">
        <f>LEFT(C9,6)</f>
        <v/>
      </c>
    </row>
    <row r="10" ht="26.25" customHeight="1" s="80">
      <c r="A10" s="98" t="inlineStr">
        <is>
          <t>01-01-04</t>
        </is>
      </c>
      <c r="B10" s="100" t="inlineStr">
        <is>
          <t>標的の機能検証（遺伝子ノックダウン、in vitro／in vivo）</t>
        </is>
      </c>
      <c r="C10" s="98" t="inlineStr">
        <is>
          <t>C02-01-02</t>
        </is>
      </c>
      <c r="D10" s="104">
        <f>IFERROR(INDEX(ケイパビリティマップ!$E:$E,MATCH(C10,ケイパビリティマップ!$A:$A,0)),"（IDなし）")</f>
        <v/>
      </c>
      <c r="E10" s="103" t="inlineStr">
        <is>
          <t>主</t>
        </is>
      </c>
      <c r="F10" s="120">
        <f>LEFT(A10,5)</f>
        <v/>
      </c>
      <c r="G10" s="120">
        <f>LEFT(C10,6)</f>
        <v/>
      </c>
    </row>
    <row r="11" ht="26.25" customHeight="1" s="80">
      <c r="A11" s="98" t="inlineStr">
        <is>
          <t>01-01-05</t>
        </is>
      </c>
      <c r="B11" s="100" t="inlineStr">
        <is>
          <t>抗体モダリティ適合性評価（細胞外・膜タンパクか、組織発現分布）</t>
        </is>
      </c>
      <c r="C11" s="98" t="inlineStr">
        <is>
          <t>C02-01-03</t>
        </is>
      </c>
      <c r="D11" s="104">
        <f>IFERROR(INDEX(ケイパビリティマップ!$E:$E,MATCH(C11,ケイパビリティマップ!$A:$A,0)),"（IDなし）")</f>
        <v/>
      </c>
      <c r="E11" s="103" t="inlineStr">
        <is>
          <t>主</t>
        </is>
      </c>
      <c r="F11" s="120">
        <f>LEFT(A11,5)</f>
        <v/>
      </c>
      <c r="G11" s="120">
        <f>LEFT(C11,6)</f>
        <v/>
      </c>
    </row>
    <row r="12" ht="15" customHeight="1" s="80">
      <c r="A12" s="98" t="inlineStr">
        <is>
          <t>01-01-06</t>
        </is>
      </c>
      <c r="B12" s="100" t="inlineStr">
        <is>
          <t>標的選定（競合・知財〔FTO〕調査を含む）</t>
        </is>
      </c>
      <c r="C12" s="98" t="inlineStr">
        <is>
          <t>C02-01-02</t>
        </is>
      </c>
      <c r="D12" s="104">
        <f>IFERROR(INDEX(ケイパビリティマップ!$E:$E,MATCH(C12,ケイパビリティマップ!$A:$A,0)),"（IDなし）")</f>
        <v/>
      </c>
      <c r="E12" s="103" t="inlineStr">
        <is>
          <t>主</t>
        </is>
      </c>
      <c r="F12" s="120">
        <f>LEFT(A12,5)</f>
        <v/>
      </c>
      <c r="G12" s="120">
        <f>LEFT(C12,6)</f>
        <v/>
      </c>
    </row>
    <row r="13" ht="15" customHeight="1" s="80">
      <c r="A13" s="98" t="inlineStr">
        <is>
          <t>01-01-06</t>
        </is>
      </c>
      <c r="B13" s="100" t="inlineStr">
        <is>
          <t>標的選定（競合・知財〔FTO〕調査を含む）</t>
        </is>
      </c>
      <c r="C13" s="98" t="inlineStr">
        <is>
          <t>C01-02-01</t>
        </is>
      </c>
      <c r="D13" s="104">
        <f>IFERROR(INDEX(ケイパビリティマップ!$E:$E,MATCH(C13,ケイパビリティマップ!$A:$A,0)),"（IDなし）")</f>
        <v/>
      </c>
      <c r="E13" s="103" t="inlineStr">
        <is>
          <t>支援</t>
        </is>
      </c>
      <c r="F13" s="120">
        <f>LEFT(A13,5)</f>
        <v/>
      </c>
      <c r="G13" s="120">
        <f>LEFT(C13,6)</f>
        <v/>
      </c>
    </row>
    <row r="14" ht="15" customHeight="1" s="80">
      <c r="A14" s="98" t="inlineStr">
        <is>
          <t>01-01-06</t>
        </is>
      </c>
      <c r="B14" s="100" t="inlineStr">
        <is>
          <t>標的選定（競合・知財〔FTO〕調査を含む）</t>
        </is>
      </c>
      <c r="C14" s="98" t="inlineStr">
        <is>
          <t>C01-01-03</t>
        </is>
      </c>
      <c r="D14" s="104">
        <f>IFERROR(INDEX(ケイパビリティマップ!$E:$E,MATCH(C14,ケイパビリティマップ!$A:$A,0)),"（IDなし）")</f>
        <v/>
      </c>
      <c r="E14" s="103" t="inlineStr">
        <is>
          <t>支援</t>
        </is>
      </c>
      <c r="F14" s="120">
        <f>LEFT(A14,5)</f>
        <v/>
      </c>
      <c r="G14" s="120">
        <f>LEFT(C14,6)</f>
        <v/>
      </c>
    </row>
    <row r="15" ht="15" customHeight="1" s="80">
      <c r="A15" s="98" t="inlineStr">
        <is>
          <t>01-02-01</t>
        </is>
      </c>
      <c r="B15" s="100" t="inlineStr">
        <is>
          <t>抗原・評価系（アッセイ）の準備</t>
        </is>
      </c>
      <c r="C15" s="98" t="inlineStr">
        <is>
          <t>C02-02-01</t>
        </is>
      </c>
      <c r="D15" s="104">
        <f>IFERROR(INDEX(ケイパビリティマップ!$E:$E,MATCH(C15,ケイパビリティマップ!$A:$A,0)),"（IDなし）")</f>
        <v/>
      </c>
      <c r="E15" s="103" t="inlineStr">
        <is>
          <t>主</t>
        </is>
      </c>
      <c r="F15" s="120">
        <f>LEFT(A15,5)</f>
        <v/>
      </c>
      <c r="G15" s="120">
        <f>LEFT(C15,6)</f>
        <v/>
      </c>
    </row>
    <row r="16" ht="26.25" customHeight="1" s="80">
      <c r="A16" s="98" t="inlineStr">
        <is>
          <t>01-02-02</t>
        </is>
      </c>
      <c r="B16" s="100" t="inlineStr">
        <is>
          <t>抗体取得（動物免疫／ヒト抗体産生動物／ディスプレイライブラリ）</t>
        </is>
      </c>
      <c r="C16" s="98" t="inlineStr">
        <is>
          <t>C02-02-02</t>
        </is>
      </c>
      <c r="D16" s="104">
        <f>IFERROR(INDEX(ケイパビリティマップ!$E:$E,MATCH(C16,ケイパビリティマップ!$A:$A,0)),"（IDなし）")</f>
        <v/>
      </c>
      <c r="E16" s="103" t="inlineStr">
        <is>
          <t>主</t>
        </is>
      </c>
      <c r="F16" s="120">
        <f>LEFT(A16,5)</f>
        <v/>
      </c>
      <c r="G16" s="120">
        <f>LEFT(C16,6)</f>
        <v/>
      </c>
    </row>
    <row r="17" ht="26.25" customHeight="1" s="80">
      <c r="A17" s="98" t="inlineStr">
        <is>
          <t>01-02-02</t>
        </is>
      </c>
      <c r="B17" s="100" t="inlineStr">
        <is>
          <t>抗体取得（動物免疫／ヒト抗体産生動物／ディスプレイライブラリ）</t>
        </is>
      </c>
      <c r="C17" s="98" t="inlineStr">
        <is>
          <t>C01-03-02</t>
        </is>
      </c>
      <c r="D17" s="104">
        <f>IFERROR(INDEX(ケイパビリティマップ!$E:$E,MATCH(C17,ケイパビリティマップ!$A:$A,0)),"（IDなし）")</f>
        <v/>
      </c>
      <c r="E17" s="103" t="inlineStr">
        <is>
          <t>支援</t>
        </is>
      </c>
      <c r="F17" s="120">
        <f>LEFT(A17,5)</f>
        <v/>
      </c>
      <c r="G17" s="120">
        <f>LEFT(C17,6)</f>
        <v/>
      </c>
    </row>
    <row r="18" ht="15" customHeight="1" s="80">
      <c r="A18" s="98" t="inlineStr">
        <is>
          <t>01-02-03</t>
        </is>
      </c>
      <c r="B18" s="100" t="inlineStr">
        <is>
          <t>一次スクリーニング（結合性）</t>
        </is>
      </c>
      <c r="C18" s="98" t="inlineStr">
        <is>
          <t>C02-02-03</t>
        </is>
      </c>
      <c r="D18" s="104">
        <f>IFERROR(INDEX(ケイパビリティマップ!$E:$E,MATCH(C18,ケイパビリティマップ!$A:$A,0)),"（IDなし）")</f>
        <v/>
      </c>
      <c r="E18" s="103" t="inlineStr">
        <is>
          <t>主</t>
        </is>
      </c>
      <c r="F18" s="120">
        <f>LEFT(A18,5)</f>
        <v/>
      </c>
      <c r="G18" s="120">
        <f>LEFT(C18,6)</f>
        <v/>
      </c>
    </row>
    <row r="19" ht="26.25" customHeight="1" s="80">
      <c r="A19" s="98" t="inlineStr">
        <is>
          <t>01-02-04</t>
        </is>
      </c>
      <c r="B19" s="100" t="inlineStr">
        <is>
          <t>機能評価（中和活性、ADCC等のエフェクター機能）</t>
        </is>
      </c>
      <c r="C19" s="98" t="inlineStr">
        <is>
          <t>C02-02-03</t>
        </is>
      </c>
      <c r="D19" s="104">
        <f>IFERROR(INDEX(ケイパビリティマップ!$E:$E,MATCH(C19,ケイパビリティマップ!$A:$A,0)),"（IDなし）")</f>
        <v/>
      </c>
      <c r="E19" s="103" t="inlineStr">
        <is>
          <t>主</t>
        </is>
      </c>
      <c r="F19" s="120">
        <f>LEFT(A19,5)</f>
        <v/>
      </c>
      <c r="G19" s="120">
        <f>LEFT(C19,6)</f>
        <v/>
      </c>
    </row>
    <row r="20" ht="15" customHeight="1" s="80">
      <c r="A20" s="98" t="inlineStr">
        <is>
          <t>01-02-05</t>
        </is>
      </c>
      <c r="B20" s="100" t="inlineStr">
        <is>
          <t>リード抗体の選定</t>
        </is>
      </c>
      <c r="C20" s="98" t="inlineStr">
        <is>
          <t>C02-02-03</t>
        </is>
      </c>
      <c r="D20" s="104">
        <f>IFERROR(INDEX(ケイパビリティマップ!$E:$E,MATCH(C20,ケイパビリティマップ!$A:$A,0)),"（IDなし）")</f>
        <v/>
      </c>
      <c r="E20" s="103" t="inlineStr">
        <is>
          <t>主</t>
        </is>
      </c>
      <c r="F20" s="120">
        <f>LEFT(A20,5)</f>
        <v/>
      </c>
      <c r="G20" s="120">
        <f>LEFT(C20,6)</f>
        <v/>
      </c>
    </row>
    <row r="21" ht="15" customHeight="1" s="80">
      <c r="A21" s="98" t="inlineStr">
        <is>
          <t>01-02-05</t>
        </is>
      </c>
      <c r="B21" s="100" t="inlineStr">
        <is>
          <t>リード抗体の選定</t>
        </is>
      </c>
      <c r="C21" s="98" t="inlineStr">
        <is>
          <t>C01-01-02</t>
        </is>
      </c>
      <c r="D21" s="104">
        <f>IFERROR(INDEX(ケイパビリティマップ!$E:$E,MATCH(C21,ケイパビリティマップ!$A:$A,0)),"（IDなし）")</f>
        <v/>
      </c>
      <c r="E21" s="103" t="inlineStr">
        <is>
          <t>支援</t>
        </is>
      </c>
      <c r="F21" s="120">
        <f>LEFT(A21,5)</f>
        <v/>
      </c>
      <c r="G21" s="120">
        <f>LEFT(C21,6)</f>
        <v/>
      </c>
    </row>
    <row r="22" ht="15" customHeight="1" s="80">
      <c r="A22" s="98" t="inlineStr">
        <is>
          <t>01-03-01</t>
        </is>
      </c>
      <c r="B22" s="100" t="inlineStr">
        <is>
          <t>ヒト化（動物由来抗体の場合）</t>
        </is>
      </c>
      <c r="C22" s="98" t="inlineStr">
        <is>
          <t>C02-03-01</t>
        </is>
      </c>
      <c r="D22" s="104">
        <f>IFERROR(INDEX(ケイパビリティマップ!$E:$E,MATCH(C22,ケイパビリティマップ!$A:$A,0)),"（IDなし）")</f>
        <v/>
      </c>
      <c r="E22" s="103" t="inlineStr">
        <is>
          <t>主</t>
        </is>
      </c>
      <c r="F22" s="120">
        <f>LEFT(A22,5)</f>
        <v/>
      </c>
      <c r="G22" s="120">
        <f>LEFT(C22,6)</f>
        <v/>
      </c>
    </row>
    <row r="23" ht="15" customHeight="1" s="80">
      <c r="A23" s="98" t="inlineStr">
        <is>
          <t>01-03-02</t>
        </is>
      </c>
      <c r="B23" s="100" t="inlineStr">
        <is>
          <t>親和性成熟</t>
        </is>
      </c>
      <c r="C23" s="98" t="inlineStr">
        <is>
          <t>C02-03-02</t>
        </is>
      </c>
      <c r="D23" s="104">
        <f>IFERROR(INDEX(ケイパビリティマップ!$E:$E,MATCH(C23,ケイパビリティマップ!$A:$A,0)),"（IDなし）")</f>
        <v/>
      </c>
      <c r="E23" s="103" t="inlineStr">
        <is>
          <t>主</t>
        </is>
      </c>
      <c r="F23" s="120">
        <f>LEFT(A23,5)</f>
        <v/>
      </c>
      <c r="G23" s="120">
        <f>LEFT(C23,6)</f>
        <v/>
      </c>
    </row>
    <row r="24" ht="15" customHeight="1" s="80">
      <c r="A24" s="98" t="inlineStr">
        <is>
          <t>01-03-03</t>
        </is>
      </c>
      <c r="B24" s="104" t="inlineStr">
        <is>
          <t>Fc設計（エフェクター機能・血中半減期の調整）</t>
        </is>
      </c>
      <c r="C24" s="98" t="inlineStr">
        <is>
          <t>C02-03-03</t>
        </is>
      </c>
      <c r="D24" s="104">
        <f>IFERROR(INDEX(ケイパビリティマップ!$E:$E,MATCH(C24,ケイパビリティマップ!$A:$A,0)),"（IDなし）")</f>
        <v/>
      </c>
      <c r="E24" s="103" t="inlineStr">
        <is>
          <t>主</t>
        </is>
      </c>
      <c r="F24" s="120">
        <f>LEFT(A24,5)</f>
        <v/>
      </c>
      <c r="G24" s="120">
        <f>LEFT(C24,6)</f>
        <v/>
      </c>
    </row>
    <row r="25" ht="15" customHeight="1" s="80">
      <c r="A25" s="98" t="inlineStr">
        <is>
          <t>01-03-04</t>
        </is>
      </c>
      <c r="B25" s="100" t="inlineStr">
        <is>
          <t>開発適性評価（凝集性・安定性・発現性・粘度）</t>
        </is>
      </c>
      <c r="C25" s="98" t="inlineStr">
        <is>
          <t>C02-05-01</t>
        </is>
      </c>
      <c r="D25" s="104">
        <f>IFERROR(INDEX(ケイパビリティマップ!$E:$E,MATCH(C25,ケイパビリティマップ!$A:$A,0)),"（IDなし）")</f>
        <v/>
      </c>
      <c r="E25" s="103" t="inlineStr">
        <is>
          <t>主</t>
        </is>
      </c>
      <c r="F25" s="120">
        <f>LEFT(A25,5)</f>
        <v/>
      </c>
      <c r="G25" s="120">
        <f>LEFT(C25,6)</f>
        <v/>
      </c>
    </row>
    <row r="26" ht="15" customHeight="1" s="80">
      <c r="A26" s="98" t="inlineStr">
        <is>
          <t>01-03-04</t>
        </is>
      </c>
      <c r="B26" s="100" t="inlineStr">
        <is>
          <t>開発適性評価（凝集性・安定性・発現性・粘度）</t>
        </is>
      </c>
      <c r="C26" s="98" t="inlineStr">
        <is>
          <t>C04-04-01</t>
        </is>
      </c>
      <c r="D26" s="104">
        <f>IFERROR(INDEX(ケイパビリティマップ!$E:$E,MATCH(C26,ケイパビリティマップ!$A:$A,0)),"（IDなし）")</f>
        <v/>
      </c>
      <c r="E26" s="103" t="inlineStr">
        <is>
          <t>支援</t>
        </is>
      </c>
      <c r="F26" s="120">
        <f>LEFT(A26,5)</f>
        <v/>
      </c>
      <c r="G26" s="120">
        <f>LEFT(C26,6)</f>
        <v/>
      </c>
    </row>
    <row r="27" ht="15" customHeight="1" s="80">
      <c r="A27" s="98" t="inlineStr">
        <is>
          <t>01-03-05</t>
        </is>
      </c>
      <c r="B27" s="100" t="inlineStr">
        <is>
          <t>免疫原性リスクの予測（in silico／in vitro）</t>
        </is>
      </c>
      <c r="C27" s="98" t="inlineStr">
        <is>
          <t>C02-05-02</t>
        </is>
      </c>
      <c r="D27" s="104">
        <f>IFERROR(INDEX(ケイパビリティマップ!$E:$E,MATCH(C27,ケイパビリティマップ!$A:$A,0)),"（IDなし）")</f>
        <v/>
      </c>
      <c r="E27" s="103" t="inlineStr">
        <is>
          <t>主</t>
        </is>
      </c>
      <c r="F27" s="120">
        <f>LEFT(A27,5)</f>
        <v/>
      </c>
      <c r="G27" s="120">
        <f>LEFT(C27,6)</f>
        <v/>
      </c>
    </row>
    <row r="28" ht="26.25" customHeight="1" s="80">
      <c r="A28" s="98" t="inlineStr">
        <is>
          <t>01-03-06</t>
        </is>
      </c>
      <c r="B28" s="100" t="inlineStr">
        <is>
          <t>★疾患モデルの構築・薬効評価（遺伝子改変動物・患者由来細胞）</t>
        </is>
      </c>
      <c r="C28" s="98" t="inlineStr">
        <is>
          <t>C02-04-01</t>
        </is>
      </c>
      <c r="D28" s="104">
        <f>IFERROR(INDEX(ケイパビリティマップ!$E:$E,MATCH(C28,ケイパビリティマップ!$A:$A,0)),"（IDなし）")</f>
        <v/>
      </c>
      <c r="E28" s="103" t="inlineStr">
        <is>
          <t>主</t>
        </is>
      </c>
      <c r="F28" s="120">
        <f>LEFT(A28,5)</f>
        <v/>
      </c>
      <c r="G28" s="120">
        <f>LEFT(C28,6)</f>
        <v/>
      </c>
    </row>
    <row r="29" ht="26.25" customHeight="1" s="80">
      <c r="A29" s="98" t="inlineStr">
        <is>
          <t>01-03-06</t>
        </is>
      </c>
      <c r="B29" s="100" t="inlineStr">
        <is>
          <t>★疾患モデルの構築・薬効評価（遺伝子改変動物・患者由来細胞）</t>
        </is>
      </c>
      <c r="C29" s="98" t="inlineStr">
        <is>
          <t>C02-04-02</t>
        </is>
      </c>
      <c r="D29" s="104">
        <f>IFERROR(INDEX(ケイパビリティマップ!$E:$E,MATCH(C29,ケイパビリティマップ!$A:$A,0)),"（IDなし）")</f>
        <v/>
      </c>
      <c r="E29" s="103" t="inlineStr">
        <is>
          <t>主</t>
        </is>
      </c>
      <c r="F29" s="120">
        <f>LEFT(A29,5)</f>
        <v/>
      </c>
      <c r="G29" s="120">
        <f>LEFT(C29,6)</f>
        <v/>
      </c>
    </row>
    <row r="30" ht="15" customHeight="1" s="80">
      <c r="A30" s="98" t="inlineStr">
        <is>
          <t>01-04-01</t>
        </is>
      </c>
      <c r="B30" s="100" t="inlineStr">
        <is>
          <t>目標製品プロファイル（TPP）との照合・候補比較</t>
        </is>
      </c>
      <c r="C30" s="98" t="inlineStr">
        <is>
          <t>C01-01-03</t>
        </is>
      </c>
      <c r="D30" s="104">
        <f>IFERROR(INDEX(ケイパビリティマップ!$E:$E,MATCH(C30,ケイパビリティマップ!$A:$A,0)),"（IDなし）")</f>
        <v/>
      </c>
      <c r="E30" s="103" t="inlineStr">
        <is>
          <t>主</t>
        </is>
      </c>
      <c r="F30" s="120">
        <f>LEFT(A30,5)</f>
        <v/>
      </c>
      <c r="G30" s="120">
        <f>LEFT(C30,6)</f>
        <v/>
      </c>
    </row>
    <row r="31" ht="15" customHeight="1" s="80">
      <c r="A31" s="98" t="inlineStr">
        <is>
          <t>01-04-01</t>
        </is>
      </c>
      <c r="B31" s="100" t="inlineStr">
        <is>
          <t>目標製品プロファイル（TPP）との照合・候補比較</t>
        </is>
      </c>
      <c r="C31" s="98" t="inlineStr">
        <is>
          <t>C01-01-01</t>
        </is>
      </c>
      <c r="D31" s="104">
        <f>IFERROR(INDEX(ケイパビリティマップ!$E:$E,MATCH(C31,ケイパビリティマップ!$A:$A,0)),"（IDなし）")</f>
        <v/>
      </c>
      <c r="E31" s="103" t="inlineStr">
        <is>
          <t>支援</t>
        </is>
      </c>
      <c r="F31" s="120">
        <f>LEFT(A31,5)</f>
        <v/>
      </c>
      <c r="G31" s="120">
        <f>LEFT(C31,6)</f>
        <v/>
      </c>
    </row>
    <row r="32" ht="15" customHeight="1" s="80">
      <c r="A32" s="98" t="inlineStr">
        <is>
          <t>01-04-02</t>
        </is>
      </c>
      <c r="B32" s="100" t="inlineStr">
        <is>
          <t>★患者数・疫学の確認（米国で20万人未満の根拠）</t>
        </is>
      </c>
      <c r="C32" s="98" t="inlineStr">
        <is>
          <t>C05-02-04</t>
        </is>
      </c>
      <c r="D32" s="104">
        <f>IFERROR(INDEX(ケイパビリティマップ!$E:$E,MATCH(C32,ケイパビリティマップ!$A:$A,0)),"（IDなし）")</f>
        <v/>
      </c>
      <c r="E32" s="103" t="inlineStr">
        <is>
          <t>主</t>
        </is>
      </c>
      <c r="F32" s="120">
        <f>LEFT(A32,5)</f>
        <v/>
      </c>
      <c r="G32" s="120">
        <f>LEFT(C32,6)</f>
        <v/>
      </c>
    </row>
    <row r="33" ht="15" customHeight="1" s="80">
      <c r="A33" s="98" t="inlineStr">
        <is>
          <t>01-04-02</t>
        </is>
      </c>
      <c r="B33" s="100" t="inlineStr">
        <is>
          <t>★患者数・疫学の確認（米国で20万人未満の根拠）</t>
        </is>
      </c>
      <c r="C33" s="98" t="inlineStr">
        <is>
          <t>C06-01-03</t>
        </is>
      </c>
      <c r="D33" s="104">
        <f>IFERROR(INDEX(ケイパビリティマップ!$E:$E,MATCH(C33,ケイパビリティマップ!$A:$A,0)),"（IDなし）")</f>
        <v/>
      </c>
      <c r="E33" s="103" t="inlineStr">
        <is>
          <t>支援</t>
        </is>
      </c>
      <c r="F33" s="120">
        <f>LEFT(A33,5)</f>
        <v/>
      </c>
      <c r="G33" s="120">
        <f>LEFT(C33,6)</f>
        <v/>
      </c>
    </row>
    <row r="34" ht="15" customHeight="1" s="80">
      <c r="A34" s="98" t="inlineStr">
        <is>
          <t>01-04-03</t>
        </is>
      </c>
      <c r="B34" s="100" t="inlineStr">
        <is>
          <t>物質特許の出願</t>
        </is>
      </c>
      <c r="C34" s="98" t="inlineStr">
        <is>
          <t>C01-02-01</t>
        </is>
      </c>
      <c r="D34" s="104">
        <f>IFERROR(INDEX(ケイパビリティマップ!$E:$E,MATCH(C34,ケイパビリティマップ!$A:$A,0)),"（IDなし）")</f>
        <v/>
      </c>
      <c r="E34" s="103" t="inlineStr">
        <is>
          <t>主</t>
        </is>
      </c>
      <c r="F34" s="120">
        <f>LEFT(A34,5)</f>
        <v/>
      </c>
      <c r="G34" s="120">
        <f>LEFT(C34,6)</f>
        <v/>
      </c>
    </row>
    <row r="35" ht="15" customHeight="1" s="80">
      <c r="A35" s="98" t="inlineStr">
        <is>
          <t>01-04-04</t>
        </is>
      </c>
      <c r="B35" s="100" t="inlineStr">
        <is>
          <t>開発移行判定会議</t>
        </is>
      </c>
      <c r="C35" s="98" t="inlineStr">
        <is>
          <t>C01-01-02</t>
        </is>
      </c>
      <c r="D35" s="104">
        <f>IFERROR(INDEX(ケイパビリティマップ!$E:$E,MATCH(C35,ケイパビリティマップ!$A:$A,0)),"（IDなし）")</f>
        <v/>
      </c>
      <c r="E35" s="103" t="inlineStr">
        <is>
          <t>主</t>
        </is>
      </c>
      <c r="F35" s="120">
        <f>LEFT(A35,5)</f>
        <v/>
      </c>
      <c r="G35" s="120">
        <f>LEFT(C35,6)</f>
        <v/>
      </c>
    </row>
    <row r="36" ht="15" customHeight="1" s="80">
      <c r="A36" s="98" t="inlineStr">
        <is>
          <t>01-04-04</t>
        </is>
      </c>
      <c r="B36" s="100" t="inlineStr">
        <is>
          <t>開発移行判定会議</t>
        </is>
      </c>
      <c r="C36" s="98" t="inlineStr">
        <is>
          <t>C01-01-01</t>
        </is>
      </c>
      <c r="D36" s="104">
        <f>IFERROR(INDEX(ケイパビリティマップ!$E:$E,MATCH(C36,ケイパビリティマップ!$A:$A,0)),"（IDなし）")</f>
        <v/>
      </c>
      <c r="E36" s="103" t="inlineStr">
        <is>
          <t>支援</t>
        </is>
      </c>
      <c r="F36" s="120">
        <f>LEFT(A36,5)</f>
        <v/>
      </c>
      <c r="G36" s="120">
        <f>LEFT(C36,6)</f>
        <v/>
      </c>
    </row>
    <row r="37" ht="15" customHeight="1" s="80">
      <c r="A37" s="98" t="inlineStr">
        <is>
          <t>02-01-01</t>
        </is>
      </c>
      <c r="B37" s="100" t="inlineStr">
        <is>
          <t>作用機序（MoA）の解明</t>
        </is>
      </c>
      <c r="C37" s="98" t="inlineStr">
        <is>
          <t>C03-01-01</t>
        </is>
      </c>
      <c r="D37" s="104">
        <f>IFERROR(INDEX(ケイパビリティマップ!$E:$E,MATCH(C37,ケイパビリティマップ!$A:$A,0)),"（IDなし）")</f>
        <v/>
      </c>
      <c r="E37" s="103" t="inlineStr">
        <is>
          <t>主</t>
        </is>
      </c>
      <c r="F37" s="120">
        <f>LEFT(A37,5)</f>
        <v/>
      </c>
      <c r="G37" s="120">
        <f>LEFT(C37,6)</f>
        <v/>
      </c>
    </row>
    <row r="38" ht="15" customHeight="1" s="80">
      <c r="A38" s="98" t="inlineStr">
        <is>
          <t>02-01-02</t>
        </is>
      </c>
      <c r="B38" s="100" t="inlineStr">
        <is>
          <t>薬効薬理試験（用量反応）</t>
        </is>
      </c>
      <c r="C38" s="98" t="inlineStr">
        <is>
          <t>C03-01-01</t>
        </is>
      </c>
      <c r="D38" s="104">
        <f>IFERROR(INDEX(ケイパビリティマップ!$E:$E,MATCH(C38,ケイパビリティマップ!$A:$A,0)),"（IDなし）")</f>
        <v/>
      </c>
      <c r="E38" s="103" t="inlineStr">
        <is>
          <t>主</t>
        </is>
      </c>
      <c r="F38" s="120">
        <f>LEFT(A38,5)</f>
        <v/>
      </c>
      <c r="G38" s="120">
        <f>LEFT(C38,6)</f>
        <v/>
      </c>
    </row>
    <row r="39" ht="15" customHeight="1" s="80">
      <c r="A39" s="98" t="inlineStr">
        <is>
          <t>02-01-02</t>
        </is>
      </c>
      <c r="B39" s="100" t="inlineStr">
        <is>
          <t>薬効薬理試験（用量反応）</t>
        </is>
      </c>
      <c r="C39" s="98" t="inlineStr">
        <is>
          <t>C02-04-01</t>
        </is>
      </c>
      <c r="D39" s="104">
        <f>IFERROR(INDEX(ケイパビリティマップ!$E:$E,MATCH(C39,ケイパビリティマップ!$A:$A,0)),"（IDなし）")</f>
        <v/>
      </c>
      <c r="E39" s="103" t="inlineStr">
        <is>
          <t>支援</t>
        </is>
      </c>
      <c r="F39" s="120">
        <f>LEFT(A39,5)</f>
        <v/>
      </c>
      <c r="G39" s="120">
        <f>LEFT(C39,6)</f>
        <v/>
      </c>
    </row>
    <row r="40" ht="15" customHeight="1" s="80">
      <c r="A40" s="98" t="inlineStr">
        <is>
          <t>02-01-03</t>
        </is>
      </c>
      <c r="B40" s="100" t="inlineStr">
        <is>
          <t>安全性薬理評価（毒性試験への組込みが一般的）</t>
        </is>
      </c>
      <c r="C40" s="98" t="inlineStr">
        <is>
          <t>C03-01-02</t>
        </is>
      </c>
      <c r="D40" s="104">
        <f>IFERROR(INDEX(ケイパビリティマップ!$E:$E,MATCH(C40,ケイパビリティマップ!$A:$A,0)),"（IDなし）")</f>
        <v/>
      </c>
      <c r="E40" s="103" t="inlineStr">
        <is>
          <t>主</t>
        </is>
      </c>
      <c r="F40" s="120">
        <f>LEFT(A40,5)</f>
        <v/>
      </c>
      <c r="G40" s="120">
        <f>LEFT(C40,6)</f>
        <v/>
      </c>
    </row>
    <row r="41" ht="15" customHeight="1" s="80">
      <c r="A41" s="98" t="inlineStr">
        <is>
          <t>02-01-03</t>
        </is>
      </c>
      <c r="B41" s="100" t="inlineStr">
        <is>
          <t>安全性薬理評価（毒性試験への組込みが一般的）</t>
        </is>
      </c>
      <c r="C41" s="98" t="inlineStr">
        <is>
          <t>C01-03-02</t>
        </is>
      </c>
      <c r="D41" s="104">
        <f>IFERROR(INDEX(ケイパビリティマップ!$E:$E,MATCH(C41,ケイパビリティマップ!$A:$A,0)),"（IDなし）")</f>
        <v/>
      </c>
      <c r="E41" s="103" t="inlineStr">
        <is>
          <t>支援</t>
        </is>
      </c>
      <c r="F41" s="120">
        <f>LEFT(A41,5)</f>
        <v/>
      </c>
      <c r="G41" s="120">
        <f>LEFT(C41,6)</f>
        <v/>
      </c>
    </row>
    <row r="42" ht="15" customHeight="1" s="80">
      <c r="A42" s="98" t="inlineStr">
        <is>
          <t>02-02-01</t>
        </is>
      </c>
      <c r="B42" s="104" t="inlineStr">
        <is>
          <t>PK／TK測定法（リガンド結合法）の確立</t>
        </is>
      </c>
      <c r="C42" s="98" t="inlineStr">
        <is>
          <t>C03-03-01</t>
        </is>
      </c>
      <c r="D42" s="104">
        <f>IFERROR(INDEX(ケイパビリティマップ!$E:$E,MATCH(C42,ケイパビリティマップ!$A:$A,0)),"（IDなし）")</f>
        <v/>
      </c>
      <c r="E42" s="103" t="inlineStr">
        <is>
          <t>主</t>
        </is>
      </c>
      <c r="F42" s="120">
        <f>LEFT(A42,5)</f>
        <v/>
      </c>
      <c r="G42" s="120">
        <f>LEFT(C42,6)</f>
        <v/>
      </c>
    </row>
    <row r="43" ht="15" customHeight="1" s="80">
      <c r="A43" s="98" t="inlineStr">
        <is>
          <t>02-02-02</t>
        </is>
      </c>
      <c r="B43" s="100" t="inlineStr">
        <is>
          <t>動物PK試験</t>
        </is>
      </c>
      <c r="C43" s="98" t="inlineStr">
        <is>
          <t>C03-03-02</t>
        </is>
      </c>
      <c r="D43" s="104">
        <f>IFERROR(INDEX(ケイパビリティマップ!$E:$E,MATCH(C43,ケイパビリティマップ!$A:$A,0)),"（IDなし）")</f>
        <v/>
      </c>
      <c r="E43" s="103" t="inlineStr">
        <is>
          <t>主</t>
        </is>
      </c>
      <c r="F43" s="120">
        <f>LEFT(A43,5)</f>
        <v/>
      </c>
      <c r="G43" s="120">
        <f>LEFT(C43,6)</f>
        <v/>
      </c>
    </row>
    <row r="44" ht="15" customHeight="1" s="80">
      <c r="A44" s="98" t="inlineStr">
        <is>
          <t>02-02-02</t>
        </is>
      </c>
      <c r="B44" s="100" t="inlineStr">
        <is>
          <t>動物PK試験</t>
        </is>
      </c>
      <c r="C44" s="98" t="inlineStr">
        <is>
          <t>C01-03-02</t>
        </is>
      </c>
      <c r="D44" s="104">
        <f>IFERROR(INDEX(ケイパビリティマップ!$E:$E,MATCH(C44,ケイパビリティマップ!$A:$A,0)),"（IDなし）")</f>
        <v/>
      </c>
      <c r="E44" s="103" t="inlineStr">
        <is>
          <t>支援</t>
        </is>
      </c>
      <c r="F44" s="120">
        <f>LEFT(A44,5)</f>
        <v/>
      </c>
      <c r="G44" s="120">
        <f>LEFT(C44,6)</f>
        <v/>
      </c>
    </row>
    <row r="45" ht="15" customHeight="1" s="80">
      <c r="A45" s="98" t="inlineStr">
        <is>
          <t>02-02-03</t>
        </is>
      </c>
      <c r="B45" s="100" t="inlineStr">
        <is>
          <t>抗薬物抗体（ADA）測定法の確立・動物での評価</t>
        </is>
      </c>
      <c r="C45" s="98" t="inlineStr">
        <is>
          <t>C03-03-01</t>
        </is>
      </c>
      <c r="D45" s="104">
        <f>IFERROR(INDEX(ケイパビリティマップ!$E:$E,MATCH(C45,ケイパビリティマップ!$A:$A,0)),"（IDなし）")</f>
        <v/>
      </c>
      <c r="E45" s="103" t="inlineStr">
        <is>
          <t>主</t>
        </is>
      </c>
      <c r="F45" s="120">
        <f>LEFT(A45,5)</f>
        <v/>
      </c>
      <c r="G45" s="120">
        <f>LEFT(C45,6)</f>
        <v/>
      </c>
    </row>
    <row r="46" ht="15" customHeight="1" s="80">
      <c r="A46" s="98" t="inlineStr">
        <is>
          <t>02-02-03</t>
        </is>
      </c>
      <c r="B46" s="100" t="inlineStr">
        <is>
          <t>抗薬物抗体（ADA）測定法の確立・動物での評価</t>
        </is>
      </c>
      <c r="C46" s="98" t="inlineStr">
        <is>
          <t>C03-03-02</t>
        </is>
      </c>
      <c r="D46" s="104">
        <f>IFERROR(INDEX(ケイパビリティマップ!$E:$E,MATCH(C46,ケイパビリティマップ!$A:$A,0)),"（IDなし）")</f>
        <v/>
      </c>
      <c r="E46" s="103" t="inlineStr">
        <is>
          <t>主</t>
        </is>
      </c>
      <c r="F46" s="120">
        <f>LEFT(A46,5)</f>
        <v/>
      </c>
      <c r="G46" s="120">
        <f>LEFT(C46,6)</f>
        <v/>
      </c>
    </row>
    <row r="47" ht="15" customHeight="1" s="80">
      <c r="A47" s="98" t="inlineStr">
        <is>
          <t>02-02-04</t>
        </is>
      </c>
      <c r="B47" s="100" t="inlineStr">
        <is>
          <t>ヒトPKの予測</t>
        </is>
      </c>
      <c r="C47" s="98" t="inlineStr">
        <is>
          <t>C03-04-01</t>
        </is>
      </c>
      <c r="D47" s="104">
        <f>IFERROR(INDEX(ケイパビリティマップ!$E:$E,MATCH(C47,ケイパビリティマップ!$A:$A,0)),"（IDなし）")</f>
        <v/>
      </c>
      <c r="E47" s="103" t="inlineStr">
        <is>
          <t>主</t>
        </is>
      </c>
      <c r="F47" s="120">
        <f>LEFT(A47,5)</f>
        <v/>
      </c>
      <c r="G47" s="120">
        <f>LEFT(C47,6)</f>
        <v/>
      </c>
    </row>
    <row r="48" ht="15" customHeight="1" s="80">
      <c r="A48" s="98" t="inlineStr">
        <is>
          <t>02-03-01</t>
        </is>
      </c>
      <c r="B48" s="100" t="inlineStr">
        <is>
          <t>関連動物種の選定（交差反応性・薬理活性の確認）</t>
        </is>
      </c>
      <c r="C48" s="98" t="inlineStr">
        <is>
          <t>C03-02-01</t>
        </is>
      </c>
      <c r="D48" s="104">
        <f>IFERROR(INDEX(ケイパビリティマップ!$E:$E,MATCH(C48,ケイパビリティマップ!$A:$A,0)),"（IDなし）")</f>
        <v/>
      </c>
      <c r="E48" s="103" t="inlineStr">
        <is>
          <t>主</t>
        </is>
      </c>
      <c r="F48" s="120">
        <f>LEFT(A48,5)</f>
        <v/>
      </c>
      <c r="G48" s="120">
        <f>LEFT(C48,6)</f>
        <v/>
      </c>
    </row>
    <row r="49" ht="15" customHeight="1" s="80">
      <c r="A49" s="98" t="inlineStr">
        <is>
          <t>02-03-02</t>
        </is>
      </c>
      <c r="B49" s="100" t="inlineStr">
        <is>
          <t>組織交差反応性試験（ヒト・動物組織）</t>
        </is>
      </c>
      <c r="C49" s="98" t="inlineStr">
        <is>
          <t>C03-02-03</t>
        </is>
      </c>
      <c r="D49" s="104">
        <f>IFERROR(INDEX(ケイパビリティマップ!$E:$E,MATCH(C49,ケイパビリティマップ!$A:$A,0)),"（IDなし）")</f>
        <v/>
      </c>
      <c r="E49" s="103" t="inlineStr">
        <is>
          <t>主</t>
        </is>
      </c>
      <c r="F49" s="120">
        <f>LEFT(A49,5)</f>
        <v/>
      </c>
      <c r="G49" s="120">
        <f>LEFT(C49,6)</f>
        <v/>
      </c>
    </row>
    <row r="50" ht="15" customHeight="1" s="80">
      <c r="A50" s="98" t="inlineStr">
        <is>
          <t>02-03-02</t>
        </is>
      </c>
      <c r="B50" s="100" t="inlineStr">
        <is>
          <t>組織交差反応性試験（ヒト・動物組織）</t>
        </is>
      </c>
      <c r="C50" s="98" t="inlineStr">
        <is>
          <t>C01-03-02</t>
        </is>
      </c>
      <c r="D50" s="104">
        <f>IFERROR(INDEX(ケイパビリティマップ!$E:$E,MATCH(C50,ケイパビリティマップ!$A:$A,0)),"（IDなし）")</f>
        <v/>
      </c>
      <c r="E50" s="103" t="inlineStr">
        <is>
          <t>支援</t>
        </is>
      </c>
      <c r="F50" s="120">
        <f>LEFT(A50,5)</f>
        <v/>
      </c>
      <c r="G50" s="120">
        <f>LEFT(C50,6)</f>
        <v/>
      </c>
    </row>
    <row r="51" ht="15" customHeight="1" s="80">
      <c r="A51" s="98" t="inlineStr">
        <is>
          <t>02-03-03</t>
        </is>
      </c>
      <c r="B51" s="104" t="inlineStr">
        <is>
          <t>GLP反復投与毒性試験</t>
        </is>
      </c>
      <c r="C51" s="98" t="inlineStr">
        <is>
          <t>C03-02-02</t>
        </is>
      </c>
      <c r="D51" s="104">
        <f>IFERROR(INDEX(ケイパビリティマップ!$E:$E,MATCH(C51,ケイパビリティマップ!$A:$A,0)),"（IDなし）")</f>
        <v/>
      </c>
      <c r="E51" s="103" t="inlineStr">
        <is>
          <t>主</t>
        </is>
      </c>
      <c r="F51" s="120">
        <f>LEFT(A51,5)</f>
        <v/>
      </c>
      <c r="G51" s="120">
        <f>LEFT(C51,6)</f>
        <v/>
      </c>
    </row>
    <row r="52" ht="15" customHeight="1" s="80">
      <c r="A52" s="98" t="inlineStr">
        <is>
          <t>02-03-03</t>
        </is>
      </c>
      <c r="B52" s="104" t="inlineStr">
        <is>
          <t>GLP反復投与毒性試験</t>
        </is>
      </c>
      <c r="C52" s="98" t="inlineStr">
        <is>
          <t>C01-03-02</t>
        </is>
      </c>
      <c r="D52" s="104">
        <f>IFERROR(INDEX(ケイパビリティマップ!$E:$E,MATCH(C52,ケイパビリティマップ!$A:$A,0)),"（IDなし）")</f>
        <v/>
      </c>
      <c r="E52" s="103" t="inlineStr">
        <is>
          <t>支援</t>
        </is>
      </c>
      <c r="F52" s="120">
        <f>LEFT(A52,5)</f>
        <v/>
      </c>
      <c r="G52" s="120">
        <f>LEFT(C52,6)</f>
        <v/>
      </c>
    </row>
    <row r="53" ht="15" customHeight="1" s="80">
      <c r="A53" s="98" t="inlineStr">
        <is>
          <t>02-03-03</t>
        </is>
      </c>
      <c r="B53" s="104" t="inlineStr">
        <is>
          <t>GLP反復投与毒性試験</t>
        </is>
      </c>
      <c r="C53" s="98" t="inlineStr">
        <is>
          <t>C08-04-02</t>
        </is>
      </c>
      <c r="D53" s="104">
        <f>IFERROR(INDEX(ケイパビリティマップ!$E:$E,MATCH(C53,ケイパビリティマップ!$A:$A,0)),"（IDなし）")</f>
        <v/>
      </c>
      <c r="E53" s="103" t="inlineStr">
        <is>
          <t>支援</t>
        </is>
      </c>
      <c r="F53" s="120">
        <f>LEFT(A53,5)</f>
        <v/>
      </c>
      <c r="G53" s="120">
        <f>LEFT(C53,6)</f>
        <v/>
      </c>
    </row>
    <row r="54" ht="15" customHeight="1" s="80">
      <c r="A54" s="98" t="inlineStr">
        <is>
          <t>02-03-04</t>
        </is>
      </c>
      <c r="B54" s="100" t="inlineStr">
        <is>
          <t>サイトカイン放出評価（免疫賦活作用がある場合）</t>
        </is>
      </c>
      <c r="C54" s="98" t="inlineStr">
        <is>
          <t>C03-02-03</t>
        </is>
      </c>
      <c r="D54" s="104">
        <f>IFERROR(INDEX(ケイパビリティマップ!$E:$E,MATCH(C54,ケイパビリティマップ!$A:$A,0)),"（IDなし）")</f>
        <v/>
      </c>
      <c r="E54" s="103" t="inlineStr">
        <is>
          <t>主</t>
        </is>
      </c>
      <c r="F54" s="120">
        <f>LEFT(A54,5)</f>
        <v/>
      </c>
      <c r="G54" s="120">
        <f>LEFT(C54,6)</f>
        <v/>
      </c>
    </row>
    <row r="55" ht="26.25" customHeight="1" s="80">
      <c r="A55" s="98" t="inlineStr">
        <is>
          <t>02-03-05</t>
        </is>
      </c>
      <c r="B55" s="100" t="inlineStr">
        <is>
          <t>開発段階に応じた追加試験の計画（生殖発生毒性等）</t>
        </is>
      </c>
      <c r="C55" s="98" t="inlineStr">
        <is>
          <t>C03-02-01</t>
        </is>
      </c>
      <c r="D55" s="104">
        <f>IFERROR(INDEX(ケイパビリティマップ!$E:$E,MATCH(C55,ケイパビリティマップ!$A:$A,0)),"（IDなし）")</f>
        <v/>
      </c>
      <c r="E55" s="103" t="inlineStr">
        <is>
          <t>主</t>
        </is>
      </c>
      <c r="F55" s="120">
        <f>LEFT(A55,5)</f>
        <v/>
      </c>
      <c r="G55" s="120">
        <f>LEFT(C55,6)</f>
        <v/>
      </c>
    </row>
    <row r="56" ht="15" customHeight="1" s="80">
      <c r="A56" s="98" t="inlineStr">
        <is>
          <t>02-04-01</t>
        </is>
      </c>
      <c r="B56" s="100" t="inlineStr">
        <is>
          <t>初回投与量の設定（NOAEL／MABEL）</t>
        </is>
      </c>
      <c r="C56" s="98" t="inlineStr">
        <is>
          <t>C03-04-01</t>
        </is>
      </c>
      <c r="D56" s="104">
        <f>IFERROR(INDEX(ケイパビリティマップ!$E:$E,MATCH(C56,ケイパビリティマップ!$A:$A,0)),"（IDなし）")</f>
        <v/>
      </c>
      <c r="E56" s="103" t="inlineStr">
        <is>
          <t>主</t>
        </is>
      </c>
      <c r="F56" s="120">
        <f>LEFT(A56,5)</f>
        <v/>
      </c>
      <c r="G56" s="120">
        <f>LEFT(C56,6)</f>
        <v/>
      </c>
    </row>
    <row r="57" ht="15" customHeight="1" s="80">
      <c r="A57" s="98" t="inlineStr">
        <is>
          <t>02-04-02</t>
        </is>
      </c>
      <c r="B57" s="100" t="inlineStr">
        <is>
          <t>治験薬概要書（IB）の作成</t>
        </is>
      </c>
      <c r="C57" s="98" t="inlineStr">
        <is>
          <t>C05-05-03</t>
        </is>
      </c>
      <c r="D57" s="104">
        <f>IFERROR(INDEX(ケイパビリティマップ!$E:$E,MATCH(C57,ケイパビリティマップ!$A:$A,0)),"（IDなし）")</f>
        <v/>
      </c>
      <c r="E57" s="103" t="inlineStr">
        <is>
          <t>主</t>
        </is>
      </c>
      <c r="F57" s="120">
        <f>LEFT(A57,5)</f>
        <v/>
      </c>
      <c r="G57" s="120">
        <f>LEFT(C57,6)</f>
        <v/>
      </c>
    </row>
    <row r="58" ht="15" customHeight="1" s="80">
      <c r="A58" s="98" t="inlineStr">
        <is>
          <t>02-04-02</t>
        </is>
      </c>
      <c r="B58" s="100" t="inlineStr">
        <is>
          <t>治験薬概要書（IB）の作成</t>
        </is>
      </c>
      <c r="C58" s="98" t="inlineStr">
        <is>
          <t>C03-02-01</t>
        </is>
      </c>
      <c r="D58" s="104">
        <f>IFERROR(INDEX(ケイパビリティマップ!$E:$E,MATCH(C58,ケイパビリティマップ!$A:$A,0)),"（IDなし）")</f>
        <v/>
      </c>
      <c r="E58" s="103" t="inlineStr">
        <is>
          <t>支援</t>
        </is>
      </c>
      <c r="F58" s="120">
        <f>LEFT(A58,5)</f>
        <v/>
      </c>
      <c r="G58" s="120">
        <f>LEFT(C58,6)</f>
        <v/>
      </c>
    </row>
    <row r="59" ht="15" customHeight="1" s="80">
      <c r="A59" s="98" t="inlineStr">
        <is>
          <t>02-04-03</t>
        </is>
      </c>
      <c r="B59" s="104" t="inlineStr">
        <is>
          <t>Pre-INDミーティング（FDA）</t>
        </is>
      </c>
      <c r="C59" s="98" t="inlineStr">
        <is>
          <t>C06-01-02</t>
        </is>
      </c>
      <c r="D59" s="104">
        <f>IFERROR(INDEX(ケイパビリティマップ!$E:$E,MATCH(C59,ケイパビリティマップ!$A:$A,0)),"（IDなし）")</f>
        <v/>
      </c>
      <c r="E59" s="103" t="inlineStr">
        <is>
          <t>主</t>
        </is>
      </c>
      <c r="F59" s="120">
        <f>LEFT(A59,5)</f>
        <v/>
      </c>
      <c r="G59" s="120">
        <f>LEFT(C59,6)</f>
        <v/>
      </c>
    </row>
    <row r="60" ht="15" customHeight="1" s="80">
      <c r="A60" s="98" t="inlineStr">
        <is>
          <t>02-04-03</t>
        </is>
      </c>
      <c r="B60" s="104" t="inlineStr">
        <is>
          <t>Pre-INDミーティング（FDA）</t>
        </is>
      </c>
      <c r="C60" s="98" t="inlineStr">
        <is>
          <t>C06-01-01</t>
        </is>
      </c>
      <c r="D60" s="104">
        <f>IFERROR(INDEX(ケイパビリティマップ!$E:$E,MATCH(C60,ケイパビリティマップ!$A:$A,0)),"（IDなし）")</f>
        <v/>
      </c>
      <c r="E60" s="103" t="inlineStr">
        <is>
          <t>支援</t>
        </is>
      </c>
      <c r="F60" s="120">
        <f>LEFT(A60,5)</f>
        <v/>
      </c>
      <c r="G60" s="120">
        <f>LEFT(C60,6)</f>
        <v/>
      </c>
    </row>
    <row r="61" ht="26.25" customHeight="1" s="80">
      <c r="A61" s="98" t="inlineStr">
        <is>
          <t>02-04-04</t>
        </is>
      </c>
      <c r="B61" s="104" t="inlineStr">
        <is>
          <t>★Orphan Drug指定の申請（FDA OOPD。税額控除・ユーザーフィー免除・7年独占の前提）</t>
        </is>
      </c>
      <c r="C61" s="98" t="inlineStr">
        <is>
          <t>C06-01-03</t>
        </is>
      </c>
      <c r="D61" s="104">
        <f>IFERROR(INDEX(ケイパビリティマップ!$E:$E,MATCH(C61,ケイパビリティマップ!$A:$A,0)),"（IDなし）")</f>
        <v/>
      </c>
      <c r="E61" s="103" t="inlineStr">
        <is>
          <t>主</t>
        </is>
      </c>
      <c r="F61" s="120">
        <f>LEFT(A61,5)</f>
        <v/>
      </c>
      <c r="G61" s="120">
        <f>LEFT(C61,6)</f>
        <v/>
      </c>
    </row>
    <row r="62" ht="26.25" customHeight="1" s="80">
      <c r="A62" s="98" t="inlineStr">
        <is>
          <t>02-04-05</t>
        </is>
      </c>
      <c r="B62" s="100" t="inlineStr">
        <is>
          <t>★希少小児疾患指定の申請（該当する場合。承認時の優先審査バウチャーの前提）</t>
        </is>
      </c>
      <c r="C62" s="98" t="inlineStr">
        <is>
          <t>C06-01-03</t>
        </is>
      </c>
      <c r="D62" s="104">
        <f>IFERROR(INDEX(ケイパビリティマップ!$E:$E,MATCH(C62,ケイパビリティマップ!$A:$A,0)),"（IDなし）")</f>
        <v/>
      </c>
      <c r="E62" s="103" t="inlineStr">
        <is>
          <t>主</t>
        </is>
      </c>
      <c r="F62" s="120">
        <f>LEFT(A62,5)</f>
        <v/>
      </c>
      <c r="G62" s="120">
        <f>LEFT(C62,6)</f>
        <v/>
      </c>
    </row>
    <row r="63" ht="26.25" customHeight="1" s="80">
      <c r="A63" s="98" t="inlineStr">
        <is>
          <t>02-04-06</t>
        </is>
      </c>
      <c r="B63" s="104" t="inlineStr">
        <is>
          <t>IND申請（Form FDA 1571、GLP試験報告書を含む）</t>
        </is>
      </c>
      <c r="C63" s="98" t="inlineStr">
        <is>
          <t>C06-02-01</t>
        </is>
      </c>
      <c r="D63" s="104">
        <f>IFERROR(INDEX(ケイパビリティマップ!$E:$E,MATCH(C63,ケイパビリティマップ!$A:$A,0)),"（IDなし）")</f>
        <v/>
      </c>
      <c r="E63" s="103" t="inlineStr">
        <is>
          <t>主</t>
        </is>
      </c>
      <c r="F63" s="120">
        <f>LEFT(A63,5)</f>
        <v/>
      </c>
      <c r="G63" s="120">
        <f>LEFT(C63,6)</f>
        <v/>
      </c>
    </row>
    <row r="64" ht="26.25" customHeight="1" s="80">
      <c r="A64" s="98" t="inlineStr">
        <is>
          <t>02-04-06</t>
        </is>
      </c>
      <c r="B64" s="104" t="inlineStr">
        <is>
          <t>IND申請（Form FDA 1571、GLP試験報告書を含む）</t>
        </is>
      </c>
      <c r="C64" s="98" t="inlineStr">
        <is>
          <t>C06-02-02</t>
        </is>
      </c>
      <c r="D64" s="104">
        <f>IFERROR(INDEX(ケイパビリティマップ!$E:$E,MATCH(C64,ケイパビリティマップ!$A:$A,0)),"（IDなし）")</f>
        <v/>
      </c>
      <c r="E64" s="103" t="inlineStr">
        <is>
          <t>支援</t>
        </is>
      </c>
      <c r="F64" s="120">
        <f>LEFT(A64,5)</f>
        <v/>
      </c>
      <c r="G64" s="120">
        <f>LEFT(C64,6)</f>
        <v/>
      </c>
    </row>
    <row r="65" ht="15" customHeight="1" s="80">
      <c r="A65" s="98" t="inlineStr">
        <is>
          <t>02-04-07</t>
        </is>
      </c>
      <c r="B65" s="104" t="inlineStr">
        <is>
          <t>30日待機期間（クリニカルホールドの有無の確認）</t>
        </is>
      </c>
      <c r="C65" s="98" t="inlineStr">
        <is>
          <t>C06-01-02</t>
        </is>
      </c>
      <c r="D65" s="104">
        <f>IFERROR(INDEX(ケイパビリティマップ!$E:$E,MATCH(C65,ケイパビリティマップ!$A:$A,0)),"（IDなし）")</f>
        <v/>
      </c>
      <c r="E65" s="103" t="inlineStr">
        <is>
          <t>主</t>
        </is>
      </c>
      <c r="F65" s="120">
        <f>LEFT(A65,5)</f>
        <v/>
      </c>
      <c r="G65" s="120">
        <f>LEFT(C65,6)</f>
        <v/>
      </c>
    </row>
    <row r="66" ht="15" customHeight="1" s="80">
      <c r="A66" s="98" t="inlineStr">
        <is>
          <t>02-04-07</t>
        </is>
      </c>
      <c r="B66" s="104" t="inlineStr">
        <is>
          <t>30日待機期間（クリニカルホールドの有無の確認）</t>
        </is>
      </c>
      <c r="C66" s="98" t="inlineStr">
        <is>
          <t>C01-01-02</t>
        </is>
      </c>
      <c r="D66" s="104">
        <f>IFERROR(INDEX(ケイパビリティマップ!$E:$E,MATCH(C66,ケイパビリティマップ!$A:$A,0)),"（IDなし）")</f>
        <v/>
      </c>
      <c r="E66" s="103" t="inlineStr">
        <is>
          <t>支援</t>
        </is>
      </c>
      <c r="F66" s="120">
        <f>LEFT(A66,5)</f>
        <v/>
      </c>
      <c r="G66" s="120">
        <f>LEFT(C66,6)</f>
        <v/>
      </c>
    </row>
    <row r="67" ht="15" customHeight="1" s="80">
      <c r="A67" s="98" t="inlineStr">
        <is>
          <t>03-01-01</t>
        </is>
      </c>
      <c r="B67" s="100" t="inlineStr">
        <is>
          <t>発現ベクターの設計・構築</t>
        </is>
      </c>
      <c r="C67" s="98" t="inlineStr">
        <is>
          <t>C04-01-01</t>
        </is>
      </c>
      <c r="D67" s="104">
        <f>IFERROR(INDEX(ケイパビリティマップ!$E:$E,MATCH(C67,ケイパビリティマップ!$A:$A,0)),"（IDなし）")</f>
        <v/>
      </c>
      <c r="E67" s="103" t="inlineStr">
        <is>
          <t>主</t>
        </is>
      </c>
      <c r="F67" s="120">
        <f>LEFT(A67,5)</f>
        <v/>
      </c>
      <c r="G67" s="120">
        <f>LEFT(C67,6)</f>
        <v/>
      </c>
    </row>
    <row r="68" ht="15" customHeight="1" s="80">
      <c r="A68" s="98" t="inlineStr">
        <is>
          <t>03-01-02</t>
        </is>
      </c>
      <c r="B68" s="100" t="inlineStr">
        <is>
          <t>宿主細胞（CHO等）への導入・クローン選択</t>
        </is>
      </c>
      <c r="C68" s="98" t="inlineStr">
        <is>
          <t>C04-01-01</t>
        </is>
      </c>
      <c r="D68" s="104">
        <f>IFERROR(INDEX(ケイパビリティマップ!$E:$E,MATCH(C68,ケイパビリティマップ!$A:$A,0)),"（IDなし）")</f>
        <v/>
      </c>
      <c r="E68" s="103" t="inlineStr">
        <is>
          <t>主</t>
        </is>
      </c>
      <c r="F68" s="120">
        <f>LEFT(A68,5)</f>
        <v/>
      </c>
      <c r="G68" s="120">
        <f>LEFT(C68,6)</f>
        <v/>
      </c>
    </row>
    <row r="69" ht="15" customHeight="1" s="80">
      <c r="A69" s="98" t="inlineStr">
        <is>
          <t>03-01-02</t>
        </is>
      </c>
      <c r="B69" s="100" t="inlineStr">
        <is>
          <t>宿主細胞（CHO等）への導入・クローン選択</t>
        </is>
      </c>
      <c r="C69" s="98" t="inlineStr">
        <is>
          <t>C01-03-02</t>
        </is>
      </c>
      <c r="D69" s="104">
        <f>IFERROR(INDEX(ケイパビリティマップ!$E:$E,MATCH(C69,ケイパビリティマップ!$A:$A,0)),"（IDなし）")</f>
        <v/>
      </c>
      <c r="E69" s="103" t="inlineStr">
        <is>
          <t>支援</t>
        </is>
      </c>
      <c r="F69" s="120">
        <f>LEFT(A69,5)</f>
        <v/>
      </c>
      <c r="G69" s="120">
        <f>LEFT(C69,6)</f>
        <v/>
      </c>
    </row>
    <row r="70" ht="26.25" customHeight="1" s="80">
      <c r="A70" s="98" t="inlineStr">
        <is>
          <t>03-01-03</t>
        </is>
      </c>
      <c r="B70" s="100" t="inlineStr">
        <is>
          <t>クローン評価（生産性・品質・安定性、単一クローン由来の確認）</t>
        </is>
      </c>
      <c r="C70" s="98" t="inlineStr">
        <is>
          <t>C04-01-01</t>
        </is>
      </c>
      <c r="D70" s="104">
        <f>IFERROR(INDEX(ケイパビリティマップ!$E:$E,MATCH(C70,ケイパビリティマップ!$A:$A,0)),"（IDなし）")</f>
        <v/>
      </c>
      <c r="E70" s="103" t="inlineStr">
        <is>
          <t>主</t>
        </is>
      </c>
      <c r="F70" s="120">
        <f>LEFT(A70,5)</f>
        <v/>
      </c>
      <c r="G70" s="120">
        <f>LEFT(C70,6)</f>
        <v/>
      </c>
    </row>
    <row r="71" ht="26.25" customHeight="1" s="80">
      <c r="A71" s="98" t="inlineStr">
        <is>
          <t>03-01-04</t>
        </is>
      </c>
      <c r="B71" s="100" t="inlineStr">
        <is>
          <t>マスター／ワーキングセルバンク（MCB／WCB）の作製</t>
        </is>
      </c>
      <c r="C71" s="98" t="inlineStr">
        <is>
          <t>C04-01-02</t>
        </is>
      </c>
      <c r="D71" s="104">
        <f>IFERROR(INDEX(ケイパビリティマップ!$E:$E,MATCH(C71,ケイパビリティマップ!$A:$A,0)),"（IDなし）")</f>
        <v/>
      </c>
      <c r="E71" s="103" t="inlineStr">
        <is>
          <t>主</t>
        </is>
      </c>
      <c r="F71" s="120">
        <f>LEFT(A71,5)</f>
        <v/>
      </c>
      <c r="G71" s="120">
        <f>LEFT(C71,6)</f>
        <v/>
      </c>
    </row>
    <row r="72" ht="26.25" customHeight="1" s="80">
      <c r="A72" s="98" t="inlineStr">
        <is>
          <t>03-01-04</t>
        </is>
      </c>
      <c r="B72" s="100" t="inlineStr">
        <is>
          <t>マスター／ワーキングセルバンク（MCB／WCB）の作製</t>
        </is>
      </c>
      <c r="C72" s="98" t="inlineStr">
        <is>
          <t>C07-01-03</t>
        </is>
      </c>
      <c r="D72" s="104">
        <f>IFERROR(INDEX(ケイパビリティマップ!$E:$E,MATCH(C72,ケイパビリティマップ!$A:$A,0)),"（IDなし）")</f>
        <v/>
      </c>
      <c r="E72" s="103" t="inlineStr">
        <is>
          <t>支援</t>
        </is>
      </c>
      <c r="F72" s="120">
        <f>LEFT(A72,5)</f>
        <v/>
      </c>
      <c r="G72" s="120">
        <f>LEFT(C72,6)</f>
        <v/>
      </c>
    </row>
    <row r="73" ht="26.25" customHeight="1" s="80">
      <c r="A73" s="98" t="inlineStr">
        <is>
          <t>03-01-04</t>
        </is>
      </c>
      <c r="B73" s="100" t="inlineStr">
        <is>
          <t>マスター／ワーキングセルバンク（MCB／WCB）の作製</t>
        </is>
      </c>
      <c r="C73" s="98" t="inlineStr">
        <is>
          <t>C01-03-02</t>
        </is>
      </c>
      <c r="D73" s="104">
        <f>IFERROR(INDEX(ケイパビリティマップ!$E:$E,MATCH(C73,ケイパビリティマップ!$A:$A,0)),"（IDなし）")</f>
        <v/>
      </c>
      <c r="E73" s="103" t="inlineStr">
        <is>
          <t>支援</t>
        </is>
      </c>
      <c r="F73" s="120">
        <f>LEFT(A73,5)</f>
        <v/>
      </c>
      <c r="G73" s="120">
        <f>LEFT(C73,6)</f>
        <v/>
      </c>
    </row>
    <row r="74" ht="15" customHeight="1" s="80">
      <c r="A74" s="98" t="inlineStr">
        <is>
          <t>03-01-05</t>
        </is>
      </c>
      <c r="B74" s="100" t="inlineStr">
        <is>
          <t>セルバンクの特性解析・ウイルス等安全性試験</t>
        </is>
      </c>
      <c r="C74" s="98" t="inlineStr">
        <is>
          <t>C04-01-02</t>
        </is>
      </c>
      <c r="D74" s="104">
        <f>IFERROR(INDEX(ケイパビリティマップ!$E:$E,MATCH(C74,ケイパビリティマップ!$A:$A,0)),"（IDなし）")</f>
        <v/>
      </c>
      <c r="E74" s="103" t="inlineStr">
        <is>
          <t>主</t>
        </is>
      </c>
      <c r="F74" s="120">
        <f>LEFT(A74,5)</f>
        <v/>
      </c>
      <c r="G74" s="120">
        <f>LEFT(C74,6)</f>
        <v/>
      </c>
    </row>
    <row r="75" ht="15" customHeight="1" s="80">
      <c r="A75" s="98" t="inlineStr">
        <is>
          <t>03-01-05</t>
        </is>
      </c>
      <c r="B75" s="100" t="inlineStr">
        <is>
          <t>セルバンクの特性解析・ウイルス等安全性試験</t>
        </is>
      </c>
      <c r="C75" s="98" t="inlineStr">
        <is>
          <t>C08-01-01</t>
        </is>
      </c>
      <c r="D75" s="104">
        <f>IFERROR(INDEX(ケイパビリティマップ!$E:$E,MATCH(C75,ケイパビリティマップ!$A:$A,0)),"（IDなし）")</f>
        <v/>
      </c>
      <c r="E75" s="103" t="inlineStr">
        <is>
          <t>支援</t>
        </is>
      </c>
      <c r="F75" s="120">
        <f>LEFT(A75,5)</f>
        <v/>
      </c>
      <c r="G75" s="120">
        <f>LEFT(C75,6)</f>
        <v/>
      </c>
    </row>
    <row r="76" ht="15" customHeight="1" s="80">
      <c r="A76" s="98" t="inlineStr">
        <is>
          <t>03-02-01</t>
        </is>
      </c>
      <c r="B76" s="100" t="inlineStr">
        <is>
          <t>培養プロセス開発（培地・流加条件）</t>
        </is>
      </c>
      <c r="C76" s="98" t="inlineStr">
        <is>
          <t>C04-02-01</t>
        </is>
      </c>
      <c r="D76" s="104">
        <f>IFERROR(INDEX(ケイパビリティマップ!$E:$E,MATCH(C76,ケイパビリティマップ!$A:$A,0)),"（IDなし）")</f>
        <v/>
      </c>
      <c r="E76" s="103" t="inlineStr">
        <is>
          <t>主</t>
        </is>
      </c>
      <c r="F76" s="120">
        <f>LEFT(A76,5)</f>
        <v/>
      </c>
      <c r="G76" s="120">
        <f>LEFT(C76,6)</f>
        <v/>
      </c>
    </row>
    <row r="77" ht="26.25" customHeight="1" s="80">
      <c r="A77" s="98" t="inlineStr">
        <is>
          <t>03-02-02</t>
        </is>
      </c>
      <c r="B77" s="100" t="inlineStr">
        <is>
          <t>ハーベスト・精製プロセス開発（プロテインA、イオン交換等）</t>
        </is>
      </c>
      <c r="C77" s="98" t="inlineStr">
        <is>
          <t>C04-02-02</t>
        </is>
      </c>
      <c r="D77" s="104">
        <f>IFERROR(INDEX(ケイパビリティマップ!$E:$E,MATCH(C77,ケイパビリティマップ!$A:$A,0)),"（IDなし）")</f>
        <v/>
      </c>
      <c r="E77" s="103" t="inlineStr">
        <is>
          <t>主</t>
        </is>
      </c>
      <c r="F77" s="120">
        <f>LEFT(A77,5)</f>
        <v/>
      </c>
      <c r="G77" s="120">
        <f>LEFT(C77,6)</f>
        <v/>
      </c>
    </row>
    <row r="78" ht="15" customHeight="1" s="80">
      <c r="A78" s="98" t="inlineStr">
        <is>
          <t>03-02-03</t>
        </is>
      </c>
      <c r="B78" s="100" t="inlineStr">
        <is>
          <t>ウイルスクリアランス評価（除去・不活化工程）</t>
        </is>
      </c>
      <c r="C78" s="98" t="inlineStr">
        <is>
          <t>C04-02-03</t>
        </is>
      </c>
      <c r="D78" s="104">
        <f>IFERROR(INDEX(ケイパビリティマップ!$E:$E,MATCH(C78,ケイパビリティマップ!$A:$A,0)),"（IDなし）")</f>
        <v/>
      </c>
      <c r="E78" s="103" t="inlineStr">
        <is>
          <t>主</t>
        </is>
      </c>
      <c r="F78" s="120">
        <f>LEFT(A78,5)</f>
        <v/>
      </c>
      <c r="G78" s="120">
        <f>LEFT(C78,6)</f>
        <v/>
      </c>
    </row>
    <row r="79" ht="15" customHeight="1" s="80">
      <c r="A79" s="98" t="inlineStr">
        <is>
          <t>03-02-04</t>
        </is>
      </c>
      <c r="B79" s="100" t="inlineStr">
        <is>
          <t>治験薬スケールへのスケールアップ</t>
        </is>
      </c>
      <c r="C79" s="98" t="inlineStr">
        <is>
          <t>C04-05-01</t>
        </is>
      </c>
      <c r="D79" s="104">
        <f>IFERROR(INDEX(ケイパビリティマップ!$E:$E,MATCH(C79,ケイパビリティマップ!$A:$A,0)),"（IDなし）")</f>
        <v/>
      </c>
      <c r="E79" s="103" t="inlineStr">
        <is>
          <t>主</t>
        </is>
      </c>
      <c r="F79" s="120">
        <f>LEFT(A79,5)</f>
        <v/>
      </c>
      <c r="G79" s="120">
        <f>LEFT(C79,6)</f>
        <v/>
      </c>
    </row>
    <row r="80" ht="15" customHeight="1" s="80">
      <c r="A80" s="98" t="inlineStr">
        <is>
          <t>03-02-04</t>
        </is>
      </c>
      <c r="B80" s="100" t="inlineStr">
        <is>
          <t>治験薬スケールへのスケールアップ</t>
        </is>
      </c>
      <c r="C80" s="98" t="inlineStr">
        <is>
          <t>C04-05-03</t>
        </is>
      </c>
      <c r="D80" s="104">
        <f>IFERROR(INDEX(ケイパビリティマップ!$E:$E,MATCH(C80,ケイパビリティマップ!$A:$A,0)),"（IDなし）")</f>
        <v/>
      </c>
      <c r="E80" s="103" t="inlineStr">
        <is>
          <t>支援</t>
        </is>
      </c>
      <c r="F80" s="120">
        <f>LEFT(A80,5)</f>
        <v/>
      </c>
      <c r="G80" s="120">
        <f>LEFT(C80,6)</f>
        <v/>
      </c>
    </row>
    <row r="81" ht="15" customHeight="1" s="80">
      <c r="A81" s="98" t="inlineStr">
        <is>
          <t>03-03-01</t>
        </is>
      </c>
      <c r="B81" s="100" t="inlineStr">
        <is>
          <t>処方設計（緩衝液・安定化剤、高濃度化）</t>
        </is>
      </c>
      <c r="C81" s="98" t="inlineStr">
        <is>
          <t>C04-03-01</t>
        </is>
      </c>
      <c r="D81" s="104">
        <f>IFERROR(INDEX(ケイパビリティマップ!$E:$E,MATCH(C81,ケイパビリティマップ!$A:$A,0)),"（IDなし）")</f>
        <v/>
      </c>
      <c r="E81" s="103" t="inlineStr">
        <is>
          <t>主</t>
        </is>
      </c>
      <c r="F81" s="120">
        <f>LEFT(A81,5)</f>
        <v/>
      </c>
      <c r="G81" s="120">
        <f>LEFT(C81,6)</f>
        <v/>
      </c>
    </row>
    <row r="82" ht="26.25" customHeight="1" s="80">
      <c r="A82" s="98" t="inlineStr">
        <is>
          <t>03-03-02</t>
        </is>
      </c>
      <c r="B82" s="100" t="inlineStr">
        <is>
          <t>剤形・容器の選定（バイアル／プレフィルドシリンジ等）</t>
        </is>
      </c>
      <c r="C82" s="98" t="inlineStr">
        <is>
          <t>C04-03-02</t>
        </is>
      </c>
      <c r="D82" s="104">
        <f>IFERROR(INDEX(ケイパビリティマップ!$E:$E,MATCH(C82,ケイパビリティマップ!$A:$A,0)),"（IDなし）")</f>
        <v/>
      </c>
      <c r="E82" s="103" t="inlineStr">
        <is>
          <t>主</t>
        </is>
      </c>
      <c r="F82" s="120">
        <f>LEFT(A82,5)</f>
        <v/>
      </c>
      <c r="G82" s="120">
        <f>LEFT(C82,6)</f>
        <v/>
      </c>
    </row>
    <row r="83" ht="15" customHeight="1" s="80">
      <c r="A83" s="98" t="inlineStr">
        <is>
          <t>03-03-03</t>
        </is>
      </c>
      <c r="B83" s="100" t="inlineStr">
        <is>
          <t>製剤の安定性評価（加速・苛酷・長期）</t>
        </is>
      </c>
      <c r="C83" s="98" t="inlineStr">
        <is>
          <t>C04-03-01</t>
        </is>
      </c>
      <c r="D83" s="104">
        <f>IFERROR(INDEX(ケイパビリティマップ!$E:$E,MATCH(C83,ケイパビリティマップ!$A:$A,0)),"（IDなし）")</f>
        <v/>
      </c>
      <c r="E83" s="103" t="inlineStr">
        <is>
          <t>主</t>
        </is>
      </c>
      <c r="F83" s="120">
        <f>LEFT(A83,5)</f>
        <v/>
      </c>
      <c r="G83" s="120">
        <f>LEFT(C83,6)</f>
        <v/>
      </c>
    </row>
    <row r="84" ht="15" customHeight="1" s="80">
      <c r="A84" s="98" t="inlineStr">
        <is>
          <t>03-03-03</t>
        </is>
      </c>
      <c r="B84" s="100" t="inlineStr">
        <is>
          <t>製剤の安定性評価（加速・苛酷・長期）</t>
        </is>
      </c>
      <c r="C84" s="98" t="inlineStr">
        <is>
          <t>C04-04-03</t>
        </is>
      </c>
      <c r="D84" s="104">
        <f>IFERROR(INDEX(ケイパビリティマップ!$E:$E,MATCH(C84,ケイパビリティマップ!$A:$A,0)),"（IDなし）")</f>
        <v/>
      </c>
      <c r="E84" s="103" t="inlineStr">
        <is>
          <t>支援</t>
        </is>
      </c>
      <c r="F84" s="120">
        <f>LEFT(A84,5)</f>
        <v/>
      </c>
      <c r="G84" s="120">
        <f>LEFT(C84,6)</f>
        <v/>
      </c>
    </row>
    <row r="85" ht="15" customHeight="1" s="80">
      <c r="A85" s="98" t="inlineStr">
        <is>
          <t>03-03-04</t>
        </is>
      </c>
      <c r="B85" s="100" t="inlineStr">
        <is>
          <t>投与デバイスの開発（必要な場合）</t>
        </is>
      </c>
      <c r="C85" s="98" t="inlineStr">
        <is>
          <t>C04-03-03</t>
        </is>
      </c>
      <c r="D85" s="104">
        <f>IFERROR(INDEX(ケイパビリティマップ!$E:$E,MATCH(C85,ケイパビリティマップ!$A:$A,0)),"（IDなし）")</f>
        <v/>
      </c>
      <c r="E85" s="103" t="inlineStr">
        <is>
          <t>主</t>
        </is>
      </c>
      <c r="F85" s="120">
        <f>LEFT(A85,5)</f>
        <v/>
      </c>
      <c r="G85" s="120">
        <f>LEFT(C85,6)</f>
        <v/>
      </c>
    </row>
    <row r="86" ht="15" customHeight="1" s="80">
      <c r="A86" s="98" t="inlineStr">
        <is>
          <t>03-04-01</t>
        </is>
      </c>
      <c r="B86" s="100" t="inlineStr">
        <is>
          <t>重要品質特性（CQA）の特定</t>
        </is>
      </c>
      <c r="C86" s="98" t="inlineStr">
        <is>
          <t>C04-04-01</t>
        </is>
      </c>
      <c r="D86" s="104">
        <f>IFERROR(INDEX(ケイパビリティマップ!$E:$E,MATCH(C86,ケイパビリティマップ!$A:$A,0)),"（IDなし）")</f>
        <v/>
      </c>
      <c r="E86" s="103" t="inlineStr">
        <is>
          <t>主</t>
        </is>
      </c>
      <c r="F86" s="120">
        <f>LEFT(A86,5)</f>
        <v/>
      </c>
      <c r="G86" s="120">
        <f>LEFT(C86,6)</f>
        <v/>
      </c>
    </row>
    <row r="87" ht="26.25" customHeight="1" s="80">
      <c r="A87" s="98" t="inlineStr">
        <is>
          <t>03-04-02</t>
        </is>
      </c>
      <c r="B87" s="100" t="inlineStr">
        <is>
          <t>分析法の開発（構造・純度・糖鎖・電荷・生物活性）</t>
        </is>
      </c>
      <c r="C87" s="98" t="inlineStr">
        <is>
          <t>C04-04-02</t>
        </is>
      </c>
      <c r="D87" s="104">
        <f>IFERROR(INDEX(ケイパビリティマップ!$E:$E,MATCH(C87,ケイパビリティマップ!$A:$A,0)),"（IDなし）")</f>
        <v/>
      </c>
      <c r="E87" s="103" t="inlineStr">
        <is>
          <t>主</t>
        </is>
      </c>
      <c r="F87" s="120">
        <f>LEFT(A87,5)</f>
        <v/>
      </c>
      <c r="G87" s="120">
        <f>LEFT(C87,6)</f>
        <v/>
      </c>
    </row>
    <row r="88" ht="15" customHeight="1" s="80">
      <c r="A88" s="98" t="inlineStr">
        <is>
          <t>03-04-03</t>
        </is>
      </c>
      <c r="B88" s="100" t="inlineStr">
        <is>
          <t>分析法バリデーション</t>
        </is>
      </c>
      <c r="C88" s="98" t="inlineStr">
        <is>
          <t>C04-04-02</t>
        </is>
      </c>
      <c r="D88" s="104">
        <f>IFERROR(INDEX(ケイパビリティマップ!$E:$E,MATCH(C88,ケイパビリティマップ!$A:$A,0)),"（IDなし）")</f>
        <v/>
      </c>
      <c r="E88" s="103" t="inlineStr">
        <is>
          <t>主</t>
        </is>
      </c>
      <c r="F88" s="120">
        <f>LEFT(A88,5)</f>
        <v/>
      </c>
      <c r="G88" s="120">
        <f>LEFT(C88,6)</f>
        <v/>
      </c>
    </row>
    <row r="89" ht="15" customHeight="1" s="80">
      <c r="A89" s="98" t="inlineStr">
        <is>
          <t>03-04-04</t>
        </is>
      </c>
      <c r="B89" s="100" t="inlineStr">
        <is>
          <t>標準物質の確立</t>
        </is>
      </c>
      <c r="C89" s="98" t="inlineStr">
        <is>
          <t>C04-04-03</t>
        </is>
      </c>
      <c r="D89" s="104">
        <f>IFERROR(INDEX(ケイパビリティマップ!$E:$E,MATCH(C89,ケイパビリティマップ!$A:$A,0)),"（IDなし）")</f>
        <v/>
      </c>
      <c r="E89" s="103" t="inlineStr">
        <is>
          <t>主</t>
        </is>
      </c>
      <c r="F89" s="120">
        <f>LEFT(A89,5)</f>
        <v/>
      </c>
      <c r="G89" s="120">
        <f>LEFT(C89,6)</f>
        <v/>
      </c>
    </row>
    <row r="90" ht="15" customHeight="1" s="80">
      <c r="A90" s="98" t="inlineStr">
        <is>
          <t>03-04-05</t>
        </is>
      </c>
      <c r="B90" s="100" t="inlineStr">
        <is>
          <t>規格の設定</t>
        </is>
      </c>
      <c r="C90" s="98" t="inlineStr">
        <is>
          <t>C04-04-03</t>
        </is>
      </c>
      <c r="D90" s="104">
        <f>IFERROR(INDEX(ケイパビリティマップ!$E:$E,MATCH(C90,ケイパビリティマップ!$A:$A,0)),"（IDなし）")</f>
        <v/>
      </c>
      <c r="E90" s="103" t="inlineStr">
        <is>
          <t>主</t>
        </is>
      </c>
      <c r="F90" s="120">
        <f>LEFT(A90,5)</f>
        <v/>
      </c>
      <c r="G90" s="120">
        <f>LEFT(C90,6)</f>
        <v/>
      </c>
    </row>
    <row r="91" ht="15" customHeight="1" s="80">
      <c r="A91" s="98" t="inlineStr">
        <is>
          <t>03-05-01</t>
        </is>
      </c>
      <c r="B91" s="100" t="inlineStr">
        <is>
          <t>治験薬（原薬・製剤）の製造</t>
        </is>
      </c>
      <c r="C91" s="98" t="inlineStr">
        <is>
          <t>C07-02-01</t>
        </is>
      </c>
      <c r="D91" s="104">
        <f>IFERROR(INDEX(ケイパビリティマップ!$E:$E,MATCH(C91,ケイパビリティマップ!$A:$A,0)),"（IDなし）")</f>
        <v/>
      </c>
      <c r="E91" s="103" t="inlineStr">
        <is>
          <t>主</t>
        </is>
      </c>
      <c r="F91" s="120">
        <f>LEFT(A91,5)</f>
        <v/>
      </c>
      <c r="G91" s="120">
        <f>LEFT(C91,6)</f>
        <v/>
      </c>
    </row>
    <row r="92" ht="15" customHeight="1" s="80">
      <c r="A92" s="98" t="inlineStr">
        <is>
          <t>03-05-01</t>
        </is>
      </c>
      <c r="B92" s="100" t="inlineStr">
        <is>
          <t>治験薬（原薬・製剤）の製造</t>
        </is>
      </c>
      <c r="C92" s="98" t="inlineStr">
        <is>
          <t>C07-02-02</t>
        </is>
      </c>
      <c r="D92" s="104">
        <f>IFERROR(INDEX(ケイパビリティマップ!$E:$E,MATCH(C92,ケイパビリティマップ!$A:$A,0)),"（IDなし）")</f>
        <v/>
      </c>
      <c r="E92" s="103" t="inlineStr">
        <is>
          <t>主</t>
        </is>
      </c>
      <c r="F92" s="120">
        <f>LEFT(A92,5)</f>
        <v/>
      </c>
      <c r="G92" s="120">
        <f>LEFT(C92,6)</f>
        <v/>
      </c>
    </row>
    <row r="93" ht="15" customHeight="1" s="80">
      <c r="A93" s="98" t="inlineStr">
        <is>
          <t>03-05-01</t>
        </is>
      </c>
      <c r="B93" s="100" t="inlineStr">
        <is>
          <t>治験薬（原薬・製剤）の製造</t>
        </is>
      </c>
      <c r="C93" s="98" t="inlineStr">
        <is>
          <t>C07-03-01</t>
        </is>
      </c>
      <c r="D93" s="104">
        <f>IFERROR(INDEX(ケイパビリティマップ!$E:$E,MATCH(C93,ケイパビリティマップ!$A:$A,0)),"（IDなし）")</f>
        <v/>
      </c>
      <c r="E93" s="103" t="inlineStr">
        <is>
          <t>主</t>
        </is>
      </c>
      <c r="F93" s="120">
        <f>LEFT(A93,5)</f>
        <v/>
      </c>
      <c r="G93" s="120">
        <f>LEFT(C93,6)</f>
        <v/>
      </c>
    </row>
    <row r="94" ht="15" customHeight="1" s="80">
      <c r="A94" s="98" t="inlineStr">
        <is>
          <t>03-05-01</t>
        </is>
      </c>
      <c r="B94" s="100" t="inlineStr">
        <is>
          <t>治験薬（原薬・製剤）の製造</t>
        </is>
      </c>
      <c r="C94" s="98" t="inlineStr">
        <is>
          <t>C01-03-02</t>
        </is>
      </c>
      <c r="D94" s="104">
        <f>IFERROR(INDEX(ケイパビリティマップ!$E:$E,MATCH(C94,ケイパビリティマップ!$A:$A,0)),"（IDなし）")</f>
        <v/>
      </c>
      <c r="E94" s="103" t="inlineStr">
        <is>
          <t>支援</t>
        </is>
      </c>
      <c r="F94" s="120">
        <f>LEFT(A94,5)</f>
        <v/>
      </c>
      <c r="G94" s="120">
        <f>LEFT(C94,6)</f>
        <v/>
      </c>
    </row>
    <row r="95" ht="15" customHeight="1" s="80">
      <c r="A95" s="98" t="inlineStr">
        <is>
          <t>03-05-01</t>
        </is>
      </c>
      <c r="B95" s="100" t="inlineStr">
        <is>
          <t>治験薬（原薬・製剤）の製造</t>
        </is>
      </c>
      <c r="C95" s="98" t="inlineStr">
        <is>
          <t>C07-01-03</t>
        </is>
      </c>
      <c r="D95" s="104">
        <f>IFERROR(INDEX(ケイパビリティマップ!$E:$E,MATCH(C95,ケイパビリティマップ!$A:$A,0)),"（IDなし）")</f>
        <v/>
      </c>
      <c r="E95" s="103" t="inlineStr">
        <is>
          <t>支援</t>
        </is>
      </c>
      <c r="F95" s="120">
        <f>LEFT(A95,5)</f>
        <v/>
      </c>
      <c r="G95" s="120">
        <f>LEFT(C95,6)</f>
        <v/>
      </c>
    </row>
    <row r="96" ht="15" customHeight="1" s="80">
      <c r="A96" s="98" t="inlineStr">
        <is>
          <t>03-05-02</t>
        </is>
      </c>
      <c r="B96" s="100" t="inlineStr">
        <is>
          <t>品質試験・出荷判定</t>
        </is>
      </c>
      <c r="C96" s="98" t="inlineStr">
        <is>
          <t>C08-01-01</t>
        </is>
      </c>
      <c r="D96" s="104">
        <f>IFERROR(INDEX(ケイパビリティマップ!$E:$E,MATCH(C96,ケイパビリティマップ!$A:$A,0)),"（IDなし）")</f>
        <v/>
      </c>
      <c r="E96" s="103" t="inlineStr">
        <is>
          <t>主</t>
        </is>
      </c>
      <c r="F96" s="120">
        <f>LEFT(A96,5)</f>
        <v/>
      </c>
      <c r="G96" s="120">
        <f>LEFT(C96,6)</f>
        <v/>
      </c>
    </row>
    <row r="97" ht="15" customHeight="1" s="80">
      <c r="A97" s="98" t="inlineStr">
        <is>
          <t>03-05-02</t>
        </is>
      </c>
      <c r="B97" s="100" t="inlineStr">
        <is>
          <t>品質試験・出荷判定</t>
        </is>
      </c>
      <c r="C97" s="98" t="inlineStr">
        <is>
          <t>C08-02-01</t>
        </is>
      </c>
      <c r="D97" s="104">
        <f>IFERROR(INDEX(ケイパビリティマップ!$E:$E,MATCH(C97,ケイパビリティマップ!$A:$A,0)),"（IDなし）")</f>
        <v/>
      </c>
      <c r="E97" s="103" t="inlineStr">
        <is>
          <t>主</t>
        </is>
      </c>
      <c r="F97" s="120">
        <f>LEFT(A97,5)</f>
        <v/>
      </c>
      <c r="G97" s="120">
        <f>LEFT(C97,6)</f>
        <v/>
      </c>
    </row>
    <row r="98" ht="15" customHeight="1" s="80">
      <c r="A98" s="98" t="inlineStr">
        <is>
          <t>03-05-03</t>
        </is>
      </c>
      <c r="B98" s="100" t="inlineStr">
        <is>
          <t>安定性モニタリング</t>
        </is>
      </c>
      <c r="C98" s="98" t="inlineStr">
        <is>
          <t>C08-01-02</t>
        </is>
      </c>
      <c r="D98" s="104">
        <f>IFERROR(INDEX(ケイパビリティマップ!$E:$E,MATCH(C98,ケイパビリティマップ!$A:$A,0)),"（IDなし）")</f>
        <v/>
      </c>
      <c r="E98" s="103" t="inlineStr">
        <is>
          <t>主</t>
        </is>
      </c>
      <c r="F98" s="120">
        <f>LEFT(A98,5)</f>
        <v/>
      </c>
      <c r="G98" s="120">
        <f>LEFT(C98,6)</f>
        <v/>
      </c>
    </row>
    <row r="99" ht="15" customHeight="1" s="80">
      <c r="A99" s="98" t="inlineStr">
        <is>
          <t>03-05-04</t>
        </is>
      </c>
      <c r="B99" s="100" t="inlineStr">
        <is>
          <t>包装・表示・実施医療機関への供給</t>
        </is>
      </c>
      <c r="C99" s="98" t="inlineStr">
        <is>
          <t>C05-06-02</t>
        </is>
      </c>
      <c r="D99" s="104">
        <f>IFERROR(INDEX(ケイパビリティマップ!$E:$E,MATCH(C99,ケイパビリティマップ!$A:$A,0)),"（IDなし）")</f>
        <v/>
      </c>
      <c r="E99" s="103" t="inlineStr">
        <is>
          <t>主</t>
        </is>
      </c>
      <c r="F99" s="120">
        <f>LEFT(A99,5)</f>
        <v/>
      </c>
      <c r="G99" s="120">
        <f>LEFT(C99,6)</f>
        <v/>
      </c>
    </row>
    <row r="100" ht="15" customHeight="1" s="80">
      <c r="A100" s="98" t="inlineStr">
        <is>
          <t>03-05-04</t>
        </is>
      </c>
      <c r="B100" s="100" t="inlineStr">
        <is>
          <t>包装・表示・実施医療機関への供給</t>
        </is>
      </c>
      <c r="C100" s="98" t="inlineStr">
        <is>
          <t>C05-06-01</t>
        </is>
      </c>
      <c r="D100" s="104">
        <f>IFERROR(INDEX(ケイパビリティマップ!$E:$E,MATCH(C100,ケイパビリティマップ!$A:$A,0)),"（IDなし）")</f>
        <v/>
      </c>
      <c r="E100" s="103" t="inlineStr">
        <is>
          <t>主</t>
        </is>
      </c>
      <c r="F100" s="120">
        <f>LEFT(A100,5)</f>
        <v/>
      </c>
      <c r="G100" s="120">
        <f>LEFT(C100,6)</f>
        <v/>
      </c>
    </row>
    <row r="101" ht="15" customHeight="1" s="80">
      <c r="A101" s="98" t="inlineStr">
        <is>
          <t>03-05-05</t>
        </is>
      </c>
      <c r="B101" s="100" t="inlineStr">
        <is>
          <t>製法変更時の同等性／同質性評価</t>
        </is>
      </c>
      <c r="C101" s="98" t="inlineStr">
        <is>
          <t>C04-04-04</t>
        </is>
      </c>
      <c r="D101" s="104">
        <f>IFERROR(INDEX(ケイパビリティマップ!$E:$E,MATCH(C101,ケイパビリティマップ!$A:$A,0)),"（IDなし）")</f>
        <v/>
      </c>
      <c r="E101" s="103" t="inlineStr">
        <is>
          <t>主</t>
        </is>
      </c>
      <c r="F101" s="120">
        <f>LEFT(A101,5)</f>
        <v/>
      </c>
      <c r="G101" s="120">
        <f>LEFT(C101,6)</f>
        <v/>
      </c>
    </row>
    <row r="102" ht="15" customHeight="1" s="80">
      <c r="A102" s="98" t="inlineStr">
        <is>
          <t>03-05-05</t>
        </is>
      </c>
      <c r="B102" s="100" t="inlineStr">
        <is>
          <t>製法変更時の同等性／同質性評価</t>
        </is>
      </c>
      <c r="C102" s="98" t="inlineStr">
        <is>
          <t>C08-02-03</t>
        </is>
      </c>
      <c r="D102" s="104">
        <f>IFERROR(INDEX(ケイパビリティマップ!$E:$E,MATCH(C102,ケイパビリティマップ!$A:$A,0)),"（IDなし）")</f>
        <v/>
      </c>
      <c r="E102" s="103" t="inlineStr">
        <is>
          <t>支援</t>
        </is>
      </c>
      <c r="F102" s="120">
        <f>LEFT(A102,5)</f>
        <v/>
      </c>
      <c r="G102" s="120">
        <f>LEFT(C102,6)</f>
        <v/>
      </c>
    </row>
    <row r="103" ht="15" customHeight="1" s="80">
      <c r="A103" s="98" t="inlineStr">
        <is>
          <t>03-06-01</t>
        </is>
      </c>
      <c r="B103" s="100" t="inlineStr">
        <is>
          <t>プロセス特性解析（リスク評価・実験計画法）</t>
        </is>
      </c>
      <c r="C103" s="98" t="inlineStr">
        <is>
          <t>C04-02-04</t>
        </is>
      </c>
      <c r="D103" s="104">
        <f>IFERROR(INDEX(ケイパビリティマップ!$E:$E,MATCH(C103,ケイパビリティマップ!$A:$A,0)),"（IDなし）")</f>
        <v/>
      </c>
      <c r="E103" s="103" t="inlineStr">
        <is>
          <t>主</t>
        </is>
      </c>
      <c r="F103" s="120">
        <f>LEFT(A103,5)</f>
        <v/>
      </c>
      <c r="G103" s="120">
        <f>LEFT(C103,6)</f>
        <v/>
      </c>
    </row>
    <row r="104" ht="15" customHeight="1" s="80">
      <c r="A104" s="98" t="inlineStr">
        <is>
          <t>03-06-02</t>
        </is>
      </c>
      <c r="B104" s="100" t="inlineStr">
        <is>
          <t>管理戦略の確立</t>
        </is>
      </c>
      <c r="C104" s="98" t="inlineStr">
        <is>
          <t>C04-02-04</t>
        </is>
      </c>
      <c r="D104" s="104">
        <f>IFERROR(INDEX(ケイパビリティマップ!$E:$E,MATCH(C104,ケイパビリティマップ!$A:$A,0)),"（IDなし）")</f>
        <v/>
      </c>
      <c r="E104" s="103" t="inlineStr">
        <is>
          <t>主</t>
        </is>
      </c>
      <c r="F104" s="120">
        <f>LEFT(A104,5)</f>
        <v/>
      </c>
      <c r="G104" s="120">
        <f>LEFT(C104,6)</f>
        <v/>
      </c>
    </row>
    <row r="105" ht="15" customHeight="1" s="80">
      <c r="A105" s="98" t="inlineStr">
        <is>
          <t>03-06-02</t>
        </is>
      </c>
      <c r="B105" s="100" t="inlineStr">
        <is>
          <t>管理戦略の確立</t>
        </is>
      </c>
      <c r="C105" s="98" t="inlineStr">
        <is>
          <t>C04-04-01</t>
        </is>
      </c>
      <c r="D105" s="104">
        <f>IFERROR(INDEX(ケイパビリティマップ!$E:$E,MATCH(C105,ケイパビリティマップ!$A:$A,0)),"（IDなし）")</f>
        <v/>
      </c>
      <c r="E105" s="103" t="inlineStr">
        <is>
          <t>支援</t>
        </is>
      </c>
      <c r="F105" s="120">
        <f>LEFT(A105,5)</f>
        <v/>
      </c>
      <c r="G105" s="120">
        <f>LEFT(C105,6)</f>
        <v/>
      </c>
    </row>
    <row r="106" ht="26.25" customHeight="1" s="80">
      <c r="A106" s="98" t="inlineStr">
        <is>
          <t>03-06-03</t>
        </is>
      </c>
      <c r="B106" s="100" t="inlineStr">
        <is>
          <t>★需要に見合う製造規模の設定（小ロット、臨床と同規模のまま商用化する場合あり）</t>
        </is>
      </c>
      <c r="C106" s="98" t="inlineStr">
        <is>
          <t>C04-05-01</t>
        </is>
      </c>
      <c r="D106" s="104">
        <f>IFERROR(INDEX(ケイパビリティマップ!$E:$E,MATCH(C106,ケイパビリティマップ!$A:$A,0)),"（IDなし）")</f>
        <v/>
      </c>
      <c r="E106" s="103" t="inlineStr">
        <is>
          <t>主</t>
        </is>
      </c>
      <c r="F106" s="120">
        <f>LEFT(A106,5)</f>
        <v/>
      </c>
      <c r="G106" s="120">
        <f>LEFT(C106,6)</f>
        <v/>
      </c>
    </row>
    <row r="107" ht="26.25" customHeight="1" s="80">
      <c r="A107" s="98" t="inlineStr">
        <is>
          <t>03-06-03</t>
        </is>
      </c>
      <c r="B107" s="100" t="inlineStr">
        <is>
          <t>★需要に見合う製造規模の設定（小ロット、臨床と同規模のまま商用化する場合あり）</t>
        </is>
      </c>
      <c r="C107" s="98" t="inlineStr">
        <is>
          <t>C04-05-02</t>
        </is>
      </c>
      <c r="D107" s="104">
        <f>IFERROR(INDEX(ケイパビリティマップ!$E:$E,MATCH(C107,ケイパビリティマップ!$A:$A,0)),"（IDなし）")</f>
        <v/>
      </c>
      <c r="E107" s="103" t="inlineStr">
        <is>
          <t>支援</t>
        </is>
      </c>
      <c r="F107" s="120">
        <f>LEFT(A107,5)</f>
        <v/>
      </c>
      <c r="G107" s="120">
        <f>LEFT(C107,6)</f>
        <v/>
      </c>
    </row>
    <row r="108" ht="26.25" customHeight="1" s="80">
      <c r="A108" s="98" t="inlineStr">
        <is>
          <t>03-06-03</t>
        </is>
      </c>
      <c r="B108" s="100" t="inlineStr">
        <is>
          <t>★需要に見合う製造規模の設定（小ロット、臨床と同規模のまま商用化する場合あり）</t>
        </is>
      </c>
      <c r="C108" s="98" t="inlineStr">
        <is>
          <t>C12-01-01</t>
        </is>
      </c>
      <c r="D108" s="104">
        <f>IFERROR(INDEX(ケイパビリティマップ!$E:$E,MATCH(C108,ケイパビリティマップ!$A:$A,0)),"（IDなし）")</f>
        <v/>
      </c>
      <c r="E108" s="103" t="inlineStr">
        <is>
          <t>支援</t>
        </is>
      </c>
      <c r="F108" s="120">
        <f>LEFT(A108,5)</f>
        <v/>
      </c>
      <c r="G108" s="120">
        <f>LEFT(C108,6)</f>
        <v/>
      </c>
    </row>
    <row r="109" ht="26.25" customHeight="1" s="80">
      <c r="A109" s="98" t="inlineStr">
        <is>
          <t>03-06-03</t>
        </is>
      </c>
      <c r="B109" s="100" t="inlineStr">
        <is>
          <t>★需要に見合う製造規模の設定（小ロット、臨床と同規模のまま商用化する場合あり）</t>
        </is>
      </c>
      <c r="C109" s="98" t="inlineStr">
        <is>
          <t>C05-02-04</t>
        </is>
      </c>
      <c r="D109" s="104">
        <f>IFERROR(INDEX(ケイパビリティマップ!$E:$E,MATCH(C109,ケイパビリティマップ!$A:$A,0)),"（IDなし）")</f>
        <v/>
      </c>
      <c r="E109" s="103" t="inlineStr">
        <is>
          <t>支援</t>
        </is>
      </c>
      <c r="F109" s="120">
        <f>LEFT(A109,5)</f>
        <v/>
      </c>
      <c r="G109" s="120">
        <f>LEFT(C109,6)</f>
        <v/>
      </c>
    </row>
    <row r="110" ht="15" customHeight="1" s="80">
      <c r="A110" s="98" t="inlineStr">
        <is>
          <t>03-06-04</t>
        </is>
      </c>
      <c r="B110" s="100" t="inlineStr">
        <is>
          <t>商用製造所への技術移転</t>
        </is>
      </c>
      <c r="C110" s="98" t="inlineStr">
        <is>
          <t>C04-05-03</t>
        </is>
      </c>
      <c r="D110" s="104">
        <f>IFERROR(INDEX(ケイパビリティマップ!$E:$E,MATCH(C110,ケイパビリティマップ!$A:$A,0)),"（IDなし）")</f>
        <v/>
      </c>
      <c r="E110" s="103" t="inlineStr">
        <is>
          <t>主</t>
        </is>
      </c>
      <c r="F110" s="120">
        <f>LEFT(A110,5)</f>
        <v/>
      </c>
      <c r="G110" s="120">
        <f>LEFT(C110,6)</f>
        <v/>
      </c>
    </row>
    <row r="111" ht="15" customHeight="1" s="80">
      <c r="A111" s="98" t="inlineStr">
        <is>
          <t>03-06-04</t>
        </is>
      </c>
      <c r="B111" s="100" t="inlineStr">
        <is>
          <t>商用製造所への技術移転</t>
        </is>
      </c>
      <c r="C111" s="98" t="inlineStr">
        <is>
          <t>C04-05-02</t>
        </is>
      </c>
      <c r="D111" s="104">
        <f>IFERROR(INDEX(ケイパビリティマップ!$E:$E,MATCH(C111,ケイパビリティマップ!$A:$A,0)),"（IDなし）")</f>
        <v/>
      </c>
      <c r="E111" s="103" t="inlineStr">
        <is>
          <t>支援</t>
        </is>
      </c>
      <c r="F111" s="120">
        <f>LEFT(A111,5)</f>
        <v/>
      </c>
      <c r="G111" s="120">
        <f>LEFT(C111,6)</f>
        <v/>
      </c>
    </row>
    <row r="112" ht="15" customHeight="1" s="80">
      <c r="A112" s="98" t="inlineStr">
        <is>
          <t>03-06-04</t>
        </is>
      </c>
      <c r="B112" s="100" t="inlineStr">
        <is>
          <t>商用製造所への技術移転</t>
        </is>
      </c>
      <c r="C112" s="98" t="inlineStr">
        <is>
          <t>C01-03-01</t>
        </is>
      </c>
      <c r="D112" s="104">
        <f>IFERROR(INDEX(ケイパビリティマップ!$E:$E,MATCH(C112,ケイパビリティマップ!$A:$A,0)),"（IDなし）")</f>
        <v/>
      </c>
      <c r="E112" s="103" t="inlineStr">
        <is>
          <t>支援</t>
        </is>
      </c>
      <c r="F112" s="120">
        <f>LEFT(A112,5)</f>
        <v/>
      </c>
      <c r="G112" s="120">
        <f>LEFT(C112,6)</f>
        <v/>
      </c>
    </row>
    <row r="113" ht="15" customHeight="1" s="80">
      <c r="A113" s="98" t="inlineStr">
        <is>
          <t>03-06-04</t>
        </is>
      </c>
      <c r="B113" s="100" t="inlineStr">
        <is>
          <t>商用製造所への技術移転</t>
        </is>
      </c>
      <c r="C113" s="98" t="inlineStr">
        <is>
          <t>C01-03-02</t>
        </is>
      </c>
      <c r="D113" s="104">
        <f>IFERROR(INDEX(ケイパビリティマップ!$E:$E,MATCH(C113,ケイパビリティマップ!$A:$A,0)),"（IDなし）")</f>
        <v/>
      </c>
      <c r="E113" s="103" t="inlineStr">
        <is>
          <t>支援</t>
        </is>
      </c>
      <c r="F113" s="120">
        <f>LEFT(A113,5)</f>
        <v/>
      </c>
      <c r="G113" s="120">
        <f>LEFT(C113,6)</f>
        <v/>
      </c>
    </row>
    <row r="114" ht="15" customHeight="1" s="80">
      <c r="A114" s="98" t="inlineStr">
        <is>
          <t>03-07-01</t>
        </is>
      </c>
      <c r="B114" s="100" t="inlineStr">
        <is>
          <t>設備・洗浄バリデーション</t>
        </is>
      </c>
      <c r="C114" s="98" t="inlineStr">
        <is>
          <t>C08-03-01</t>
        </is>
      </c>
      <c r="D114" s="104">
        <f>IFERROR(INDEX(ケイパビリティマップ!$E:$E,MATCH(C114,ケイパビリティマップ!$A:$A,0)),"（IDなし）")</f>
        <v/>
      </c>
      <c r="E114" s="103" t="inlineStr">
        <is>
          <t>主</t>
        </is>
      </c>
      <c r="F114" s="120">
        <f>LEFT(A114,5)</f>
        <v/>
      </c>
      <c r="G114" s="120">
        <f>LEFT(C114,6)</f>
        <v/>
      </c>
    </row>
    <row r="115" ht="15" customHeight="1" s="80">
      <c r="A115" s="98" t="inlineStr">
        <is>
          <t>03-07-01</t>
        </is>
      </c>
      <c r="B115" s="100" t="inlineStr">
        <is>
          <t>設備・洗浄バリデーション</t>
        </is>
      </c>
      <c r="C115" s="98" t="inlineStr">
        <is>
          <t>C07-04-01</t>
        </is>
      </c>
      <c r="D115" s="104">
        <f>IFERROR(INDEX(ケイパビリティマップ!$E:$E,MATCH(C115,ケイパビリティマップ!$A:$A,0)),"（IDなし）")</f>
        <v/>
      </c>
      <c r="E115" s="103" t="inlineStr">
        <is>
          <t>支援</t>
        </is>
      </c>
      <c r="F115" s="120">
        <f>LEFT(A115,5)</f>
        <v/>
      </c>
      <c r="G115" s="120">
        <f>LEFT(C115,6)</f>
        <v/>
      </c>
    </row>
    <row r="116" ht="15" customHeight="1" s="80">
      <c r="A116" s="98" t="inlineStr">
        <is>
          <t>03-07-02</t>
        </is>
      </c>
      <c r="B116" s="100" t="inlineStr">
        <is>
          <t>プロセスバリデーション計画の策定</t>
        </is>
      </c>
      <c r="C116" s="98" t="inlineStr">
        <is>
          <t>C08-03-02</t>
        </is>
      </c>
      <c r="D116" s="104">
        <f>IFERROR(INDEX(ケイパビリティマップ!$E:$E,MATCH(C116,ケイパビリティマップ!$A:$A,0)),"（IDなし）")</f>
        <v/>
      </c>
      <c r="E116" s="103" t="inlineStr">
        <is>
          <t>主</t>
        </is>
      </c>
      <c r="F116" s="120">
        <f>LEFT(A116,5)</f>
        <v/>
      </c>
      <c r="G116" s="120">
        <f>LEFT(C116,6)</f>
        <v/>
      </c>
    </row>
    <row r="117" ht="15" customHeight="1" s="80">
      <c r="A117" s="98" t="inlineStr">
        <is>
          <t>03-07-03</t>
        </is>
      </c>
      <c r="B117" s="104" t="inlineStr">
        <is>
          <t>PPQバッチの製造（複数ロット）</t>
        </is>
      </c>
      <c r="C117" s="98" t="inlineStr">
        <is>
          <t>C08-03-02</t>
        </is>
      </c>
      <c r="D117" s="104">
        <f>IFERROR(INDEX(ケイパビリティマップ!$E:$E,MATCH(C117,ケイパビリティマップ!$A:$A,0)),"（IDなし）")</f>
        <v/>
      </c>
      <c r="E117" s="103" t="inlineStr">
        <is>
          <t>主</t>
        </is>
      </c>
      <c r="F117" s="120">
        <f>LEFT(A117,5)</f>
        <v/>
      </c>
      <c r="G117" s="120">
        <f>LEFT(C117,6)</f>
        <v/>
      </c>
    </row>
    <row r="118" ht="15" customHeight="1" s="80">
      <c r="A118" s="98" t="inlineStr">
        <is>
          <t>03-07-03</t>
        </is>
      </c>
      <c r="B118" s="104" t="inlineStr">
        <is>
          <t>PPQバッチの製造（複数ロット）</t>
        </is>
      </c>
      <c r="C118" s="98" t="inlineStr">
        <is>
          <t>C07-02-01</t>
        </is>
      </c>
      <c r="D118" s="104">
        <f>IFERROR(INDEX(ケイパビリティマップ!$E:$E,MATCH(C118,ケイパビリティマップ!$A:$A,0)),"（IDなし）")</f>
        <v/>
      </c>
      <c r="E118" s="103" t="inlineStr">
        <is>
          <t>支援</t>
        </is>
      </c>
      <c r="F118" s="120">
        <f>LEFT(A118,5)</f>
        <v/>
      </c>
      <c r="G118" s="120">
        <f>LEFT(C118,6)</f>
        <v/>
      </c>
    </row>
    <row r="119" ht="15" customHeight="1" s="80">
      <c r="A119" s="98" t="inlineStr">
        <is>
          <t>03-07-03</t>
        </is>
      </c>
      <c r="B119" s="104" t="inlineStr">
        <is>
          <t>PPQバッチの製造（複数ロット）</t>
        </is>
      </c>
      <c r="C119" s="98" t="inlineStr">
        <is>
          <t>C07-02-02</t>
        </is>
      </c>
      <c r="D119" s="104">
        <f>IFERROR(INDEX(ケイパビリティマップ!$E:$E,MATCH(C119,ケイパビリティマップ!$A:$A,0)),"（IDなし）")</f>
        <v/>
      </c>
      <c r="E119" s="103" t="inlineStr">
        <is>
          <t>支援</t>
        </is>
      </c>
      <c r="F119" s="120">
        <f>LEFT(A119,5)</f>
        <v/>
      </c>
      <c r="G119" s="120">
        <f>LEFT(C119,6)</f>
        <v/>
      </c>
    </row>
    <row r="120" ht="15" customHeight="1" s="80">
      <c r="A120" s="98" t="inlineStr">
        <is>
          <t>03-07-03</t>
        </is>
      </c>
      <c r="B120" s="104" t="inlineStr">
        <is>
          <t>PPQバッチの製造（複数ロット）</t>
        </is>
      </c>
      <c r="C120" s="98" t="inlineStr">
        <is>
          <t>C07-03-01</t>
        </is>
      </c>
      <c r="D120" s="104">
        <f>IFERROR(INDEX(ケイパビリティマップ!$E:$E,MATCH(C120,ケイパビリティマップ!$A:$A,0)),"（IDなし）")</f>
        <v/>
      </c>
      <c r="E120" s="103" t="inlineStr">
        <is>
          <t>支援</t>
        </is>
      </c>
      <c r="F120" s="120">
        <f>LEFT(A120,5)</f>
        <v/>
      </c>
      <c r="G120" s="120">
        <f>LEFT(C120,6)</f>
        <v/>
      </c>
    </row>
    <row r="121" ht="15" customHeight="1" s="80">
      <c r="A121" s="98" t="inlineStr">
        <is>
          <t>03-07-04</t>
        </is>
      </c>
      <c r="B121" s="100" t="inlineStr">
        <is>
          <t>工程性能の評価・報告</t>
        </is>
      </c>
      <c r="C121" s="98" t="inlineStr">
        <is>
          <t>C08-03-02</t>
        </is>
      </c>
      <c r="D121" s="104">
        <f>IFERROR(INDEX(ケイパビリティマップ!$E:$E,MATCH(C121,ケイパビリティマップ!$A:$A,0)),"（IDなし）")</f>
        <v/>
      </c>
      <c r="E121" s="103" t="inlineStr">
        <is>
          <t>主</t>
        </is>
      </c>
      <c r="F121" s="120">
        <f>LEFT(A121,5)</f>
        <v/>
      </c>
      <c r="G121" s="120">
        <f>LEFT(C121,6)</f>
        <v/>
      </c>
    </row>
    <row r="122" ht="26.25" customHeight="1" s="80">
      <c r="A122" s="98" t="inlineStr">
        <is>
          <t>04-01-01</t>
        </is>
      </c>
      <c r="B122" s="100" t="inlineStr">
        <is>
          <t>★自然歴研究の実施（外部対照・評価項目設定の基礎）</t>
        </is>
      </c>
      <c r="C122" s="98" t="inlineStr">
        <is>
          <t>C05-02-01</t>
        </is>
      </c>
      <c r="D122" s="104">
        <f>IFERROR(INDEX(ケイパビリティマップ!$E:$E,MATCH(C122,ケイパビリティマップ!$A:$A,0)),"（IDなし）")</f>
        <v/>
      </c>
      <c r="E122" s="103" t="inlineStr">
        <is>
          <t>主</t>
        </is>
      </c>
      <c r="F122" s="120">
        <f>LEFT(A122,5)</f>
        <v/>
      </c>
      <c r="G122" s="120">
        <f>LEFT(C122,6)</f>
        <v/>
      </c>
    </row>
    <row r="123" ht="26.25" customHeight="1" s="80">
      <c r="A123" s="98" t="inlineStr">
        <is>
          <t>04-01-01</t>
        </is>
      </c>
      <c r="B123" s="100" t="inlineStr">
        <is>
          <t>★自然歴研究の実施（外部対照・評価項目設定の基礎）</t>
        </is>
      </c>
      <c r="C123" s="98" t="inlineStr">
        <is>
          <t>C10-01-01</t>
        </is>
      </c>
      <c r="D123" s="104">
        <f>IFERROR(INDEX(ケイパビリティマップ!$E:$E,MATCH(C123,ケイパビリティマップ!$A:$A,0)),"（IDなし）")</f>
        <v/>
      </c>
      <c r="E123" s="103" t="inlineStr">
        <is>
          <t>支援</t>
        </is>
      </c>
      <c r="F123" s="120">
        <f>LEFT(A123,5)</f>
        <v/>
      </c>
      <c r="G123" s="120">
        <f>LEFT(C123,6)</f>
        <v/>
      </c>
    </row>
    <row r="124" ht="15" customHeight="1" s="80">
      <c r="A124" s="98" t="inlineStr">
        <is>
          <t>04-01-02</t>
        </is>
      </c>
      <c r="B124" s="100" t="inlineStr">
        <is>
          <t>★患者レジストリの構築（患者団体と連携）</t>
        </is>
      </c>
      <c r="C124" s="98" t="inlineStr">
        <is>
          <t>C05-02-02</t>
        </is>
      </c>
      <c r="D124" s="104">
        <f>IFERROR(INDEX(ケイパビリティマップ!$E:$E,MATCH(C124,ケイパビリティマップ!$A:$A,0)),"（IDなし）")</f>
        <v/>
      </c>
      <c r="E124" s="103" t="inlineStr">
        <is>
          <t>主</t>
        </is>
      </c>
      <c r="F124" s="120">
        <f>LEFT(A124,5)</f>
        <v/>
      </c>
      <c r="G124" s="120">
        <f>LEFT(C124,6)</f>
        <v/>
      </c>
    </row>
    <row r="125" ht="15" customHeight="1" s="80">
      <c r="A125" s="98" t="inlineStr">
        <is>
          <t>04-01-02</t>
        </is>
      </c>
      <c r="B125" s="100" t="inlineStr">
        <is>
          <t>★患者レジストリの構築（患者団体と連携）</t>
        </is>
      </c>
      <c r="C125" s="98" t="inlineStr">
        <is>
          <t>C10-01-01</t>
        </is>
      </c>
      <c r="D125" s="104">
        <f>IFERROR(INDEX(ケイパビリティマップ!$E:$E,MATCH(C125,ケイパビリティマップ!$A:$A,0)),"（IDなし）")</f>
        <v/>
      </c>
      <c r="E125" s="103" t="inlineStr">
        <is>
          <t>支援</t>
        </is>
      </c>
      <c r="F125" s="120">
        <f>LEFT(A125,5)</f>
        <v/>
      </c>
      <c r="G125" s="120">
        <f>LEFT(C125,6)</f>
        <v/>
      </c>
    </row>
    <row r="126" ht="15" customHeight="1" s="80">
      <c r="A126" s="98" t="inlineStr">
        <is>
          <t>04-01-02</t>
        </is>
      </c>
      <c r="B126" s="100" t="inlineStr">
        <is>
          <t>★患者レジストリの構築（患者団体と連携）</t>
        </is>
      </c>
      <c r="C126" s="98" t="inlineStr">
        <is>
          <t>C13-01-03</t>
        </is>
      </c>
      <c r="D126" s="104">
        <f>IFERROR(INDEX(ケイパビリティマップ!$E:$E,MATCH(C126,ケイパビリティマップ!$A:$A,0)),"（IDなし）")</f>
        <v/>
      </c>
      <c r="E126" s="103" t="inlineStr">
        <is>
          <t>支援</t>
        </is>
      </c>
      <c r="F126" s="120">
        <f>LEFT(A126,5)</f>
        <v/>
      </c>
      <c r="G126" s="120">
        <f>LEFT(C126,6)</f>
        <v/>
      </c>
    </row>
    <row r="127" ht="26.25" customHeight="1" s="80">
      <c r="A127" s="98" t="inlineStr">
        <is>
          <t>04-01-03</t>
        </is>
      </c>
      <c r="B127" s="100" t="inlineStr">
        <is>
          <t>★診断・患者特定の支援（遺伝子検査プログラム等）</t>
        </is>
      </c>
      <c r="C127" s="98" t="inlineStr">
        <is>
          <t>C05-03-01</t>
        </is>
      </c>
      <c r="D127" s="104">
        <f>IFERROR(INDEX(ケイパビリティマップ!$E:$E,MATCH(C127,ケイパビリティマップ!$A:$A,0)),"（IDなし）")</f>
        <v/>
      </c>
      <c r="E127" s="103" t="inlineStr">
        <is>
          <t>主</t>
        </is>
      </c>
      <c r="F127" s="120">
        <f>LEFT(A127,5)</f>
        <v/>
      </c>
      <c r="G127" s="120">
        <f>LEFT(C127,6)</f>
        <v/>
      </c>
    </row>
    <row r="128" ht="26.25" customHeight="1" s="80">
      <c r="A128" s="98" t="inlineStr">
        <is>
          <t>04-01-03</t>
        </is>
      </c>
      <c r="B128" s="100" t="inlineStr">
        <is>
          <t>★診断・患者特定の支援（遺伝子検査プログラム等）</t>
        </is>
      </c>
      <c r="C128" s="98" t="inlineStr">
        <is>
          <t>C10-03-02</t>
        </is>
      </c>
      <c r="D128" s="104">
        <f>IFERROR(INDEX(ケイパビリティマップ!$E:$E,MATCH(C128,ケイパビリティマップ!$A:$A,0)),"（IDなし）")</f>
        <v/>
      </c>
      <c r="E128" s="103" t="inlineStr">
        <is>
          <t>支援</t>
        </is>
      </c>
      <c r="F128" s="120">
        <f>LEFT(A128,5)</f>
        <v/>
      </c>
      <c r="G128" s="120">
        <f>LEFT(C128,6)</f>
        <v/>
      </c>
    </row>
    <row r="129" ht="26.25" customHeight="1" s="80">
      <c r="A129" s="98" t="inlineStr">
        <is>
          <t>04-01-04</t>
        </is>
      </c>
      <c r="B129" s="100" t="inlineStr">
        <is>
          <t>★臨床評価指標（COA）・バイオマーカーの開発・検証</t>
        </is>
      </c>
      <c r="C129" s="98" t="inlineStr">
        <is>
          <t>C05-01-03</t>
        </is>
      </c>
      <c r="D129" s="104">
        <f>IFERROR(INDEX(ケイパビリティマップ!$E:$E,MATCH(C129,ケイパビリティマップ!$A:$A,0)),"（IDなし）")</f>
        <v/>
      </c>
      <c r="E129" s="103" t="inlineStr">
        <is>
          <t>主</t>
        </is>
      </c>
      <c r="F129" s="120">
        <f>LEFT(A129,5)</f>
        <v/>
      </c>
      <c r="G129" s="120">
        <f>LEFT(C129,6)</f>
        <v/>
      </c>
    </row>
    <row r="130" ht="26.25" customHeight="1" s="80">
      <c r="A130" s="98" t="inlineStr">
        <is>
          <t>04-01-04</t>
        </is>
      </c>
      <c r="B130" s="100" t="inlineStr">
        <is>
          <t>★臨床評価指標（COA）・バイオマーカーの開発・検証</t>
        </is>
      </c>
      <c r="C130" s="98" t="inlineStr">
        <is>
          <t>C10-01-01</t>
        </is>
      </c>
      <c r="D130" s="104">
        <f>IFERROR(INDEX(ケイパビリティマップ!$E:$E,MATCH(C130,ケイパビリティマップ!$A:$A,0)),"（IDなし）")</f>
        <v/>
      </c>
      <c r="E130" s="103" t="inlineStr">
        <is>
          <t>支援</t>
        </is>
      </c>
      <c r="F130" s="120">
        <f>LEFT(A130,5)</f>
        <v/>
      </c>
      <c r="G130" s="120">
        <f>LEFT(C130,6)</f>
        <v/>
      </c>
    </row>
    <row r="131" ht="26.25" customHeight="1" s="80">
      <c r="A131" s="98" t="inlineStr">
        <is>
          <t>04-02-01</t>
        </is>
      </c>
      <c r="B131" s="100" t="inlineStr">
        <is>
          <t>★治験実施計画書の作成（患者対象の用量漸増＋拡大コホート）</t>
        </is>
      </c>
      <c r="C131" s="98" t="inlineStr">
        <is>
          <t>C05-01-02</t>
        </is>
      </c>
      <c r="D131" s="104">
        <f>IFERROR(INDEX(ケイパビリティマップ!$E:$E,MATCH(C131,ケイパビリティマップ!$A:$A,0)),"（IDなし）")</f>
        <v/>
      </c>
      <c r="E131" s="103" t="inlineStr">
        <is>
          <t>主</t>
        </is>
      </c>
      <c r="F131" s="120">
        <f>LEFT(A131,5)</f>
        <v/>
      </c>
      <c r="G131" s="120">
        <f>LEFT(C131,6)</f>
        <v/>
      </c>
    </row>
    <row r="132" ht="26.25" customHeight="1" s="80">
      <c r="A132" s="98" t="inlineStr">
        <is>
          <t>04-02-01</t>
        </is>
      </c>
      <c r="B132" s="100" t="inlineStr">
        <is>
          <t>★治験実施計画書の作成（患者対象の用量漸増＋拡大コホート）</t>
        </is>
      </c>
      <c r="C132" s="98" t="inlineStr">
        <is>
          <t>C05-01-01</t>
        </is>
      </c>
      <c r="D132" s="104">
        <f>IFERROR(INDEX(ケイパビリティマップ!$E:$E,MATCH(C132,ケイパビリティマップ!$A:$A,0)),"（IDなし）")</f>
        <v/>
      </c>
      <c r="E132" s="103" t="inlineStr">
        <is>
          <t>支援</t>
        </is>
      </c>
      <c r="F132" s="120">
        <f>LEFT(A132,5)</f>
        <v/>
      </c>
      <c r="G132" s="120">
        <f>LEFT(C132,6)</f>
        <v/>
      </c>
    </row>
    <row r="133" ht="26.25" customHeight="1" s="80">
      <c r="A133" s="98" t="inlineStr">
        <is>
          <t>04-02-01</t>
        </is>
      </c>
      <c r="B133" s="100" t="inlineStr">
        <is>
          <t>★治験実施計画書の作成（患者対象の用量漸増＋拡大コホート）</t>
        </is>
      </c>
      <c r="C133" s="98" t="inlineStr">
        <is>
          <t>C03-04-01</t>
        </is>
      </c>
      <c r="D133" s="104">
        <f>IFERROR(INDEX(ケイパビリティマップ!$E:$E,MATCH(C133,ケイパビリティマップ!$A:$A,0)),"（IDなし）")</f>
        <v/>
      </c>
      <c r="E133" s="103" t="inlineStr">
        <is>
          <t>支援</t>
        </is>
      </c>
      <c r="F133" s="120">
        <f>LEFT(A133,5)</f>
        <v/>
      </c>
      <c r="G133" s="120">
        <f>LEFT(C133,6)</f>
        <v/>
      </c>
    </row>
    <row r="134" ht="26.25" customHeight="1" s="80">
      <c r="A134" s="98" t="inlineStr">
        <is>
          <t>04-02-02</t>
        </is>
      </c>
      <c r="B134" s="100" t="inlineStr">
        <is>
          <t>★少数の専門施設・国際共同での立ち上げ・IRB審査</t>
        </is>
      </c>
      <c r="C134" s="98" t="inlineStr">
        <is>
          <t>C05-04-01</t>
        </is>
      </c>
      <c r="D134" s="104">
        <f>IFERROR(INDEX(ケイパビリティマップ!$E:$E,MATCH(C134,ケイパビリティマップ!$A:$A,0)),"（IDなし）")</f>
        <v/>
      </c>
      <c r="E134" s="103" t="inlineStr">
        <is>
          <t>主</t>
        </is>
      </c>
      <c r="F134" s="120">
        <f>LEFT(A134,5)</f>
        <v/>
      </c>
      <c r="G134" s="120">
        <f>LEFT(C134,6)</f>
        <v/>
      </c>
    </row>
    <row r="135" ht="26.25" customHeight="1" s="80">
      <c r="A135" s="98" t="inlineStr">
        <is>
          <t>04-02-02</t>
        </is>
      </c>
      <c r="B135" s="100" t="inlineStr">
        <is>
          <t>★少数の専門施設・国際共同での立ち上げ・IRB審査</t>
        </is>
      </c>
      <c r="C135" s="98" t="inlineStr">
        <is>
          <t>C05-03-02</t>
        </is>
      </c>
      <c r="D135" s="104">
        <f>IFERROR(INDEX(ケイパビリティマップ!$E:$E,MATCH(C135,ケイパビリティマップ!$A:$A,0)),"（IDなし）")</f>
        <v/>
      </c>
      <c r="E135" s="103" t="inlineStr">
        <is>
          <t>支援</t>
        </is>
      </c>
      <c r="F135" s="120">
        <f>LEFT(A135,5)</f>
        <v/>
      </c>
      <c r="G135" s="120">
        <f>LEFT(C135,6)</f>
        <v/>
      </c>
    </row>
    <row r="136" ht="26.25" customHeight="1" s="80">
      <c r="A136" s="98" t="inlineStr">
        <is>
          <t>04-02-02</t>
        </is>
      </c>
      <c r="B136" s="100" t="inlineStr">
        <is>
          <t>★少数の専門施設・国際共同での立ち上げ・IRB審査</t>
        </is>
      </c>
      <c r="C136" s="98" t="inlineStr">
        <is>
          <t>C01-03-01</t>
        </is>
      </c>
      <c r="D136" s="104">
        <f>IFERROR(INDEX(ケイパビリティマップ!$E:$E,MATCH(C136,ケイパビリティマップ!$A:$A,0)),"（IDなし）")</f>
        <v/>
      </c>
      <c r="E136" s="103" t="inlineStr">
        <is>
          <t>支援</t>
        </is>
      </c>
      <c r="F136" s="120">
        <f>LEFT(A136,5)</f>
        <v/>
      </c>
      <c r="G136" s="120">
        <f>LEFT(C136,6)</f>
        <v/>
      </c>
    </row>
    <row r="137" ht="26.25" customHeight="1" s="80">
      <c r="A137" s="98" t="inlineStr">
        <is>
          <t>04-02-02</t>
        </is>
      </c>
      <c r="B137" s="100" t="inlineStr">
        <is>
          <t>★少数の専門施設・国際共同での立ち上げ・IRB審査</t>
        </is>
      </c>
      <c r="C137" s="98" t="inlineStr">
        <is>
          <t>C01-03-02</t>
        </is>
      </c>
      <c r="D137" s="104">
        <f>IFERROR(INDEX(ケイパビリティマップ!$E:$E,MATCH(C137,ケイパビリティマップ!$A:$A,0)),"（IDなし）")</f>
        <v/>
      </c>
      <c r="E137" s="103" t="inlineStr">
        <is>
          <t>支援</t>
        </is>
      </c>
      <c r="F137" s="120">
        <f>LEFT(A137,5)</f>
        <v/>
      </c>
      <c r="G137" s="120">
        <f>LEFT(C137,6)</f>
        <v/>
      </c>
    </row>
    <row r="138" ht="15" customHeight="1" s="80">
      <c r="A138" s="98" t="inlineStr">
        <is>
          <t>04-02-03</t>
        </is>
      </c>
      <c r="B138" s="104" t="inlineStr">
        <is>
          <t>ClinicalTrials.govへの登録</t>
        </is>
      </c>
      <c r="C138" s="98" t="inlineStr">
        <is>
          <t>C05-04-03</t>
        </is>
      </c>
      <c r="D138" s="104">
        <f>IFERROR(INDEX(ケイパビリティマップ!$E:$E,MATCH(C138,ケイパビリティマップ!$A:$A,0)),"（IDなし）")</f>
        <v/>
      </c>
      <c r="E138" s="103" t="inlineStr">
        <is>
          <t>主</t>
        </is>
      </c>
      <c r="F138" s="120">
        <f>LEFT(A138,5)</f>
        <v/>
      </c>
      <c r="G138" s="120">
        <f>LEFT(C138,6)</f>
        <v/>
      </c>
    </row>
    <row r="139" ht="26.25" customHeight="1" s="80">
      <c r="A139" s="98" t="inlineStr">
        <is>
          <t>04-02-04</t>
        </is>
      </c>
      <c r="B139" s="100" t="inlineStr">
        <is>
          <t>初回投与・用量漸増（安全性評価委員会による判断）</t>
        </is>
      </c>
      <c r="C139" s="98" t="inlineStr">
        <is>
          <t>C05-04-02</t>
        </is>
      </c>
      <c r="D139" s="104">
        <f>IFERROR(INDEX(ケイパビリティマップ!$E:$E,MATCH(C139,ケイパビリティマップ!$A:$A,0)),"（IDなし）")</f>
        <v/>
      </c>
      <c r="E139" s="103" t="inlineStr">
        <is>
          <t>主</t>
        </is>
      </c>
      <c r="F139" s="120">
        <f>LEFT(A139,5)</f>
        <v/>
      </c>
      <c r="G139" s="120">
        <f>LEFT(C139,6)</f>
        <v/>
      </c>
    </row>
    <row r="140" ht="26.25" customHeight="1" s="80">
      <c r="A140" s="98" t="inlineStr">
        <is>
          <t>04-02-04</t>
        </is>
      </c>
      <c r="B140" s="100" t="inlineStr">
        <is>
          <t>初回投与・用量漸増（安全性評価委員会による判断）</t>
        </is>
      </c>
      <c r="C140" s="98" t="inlineStr">
        <is>
          <t>C09-01-01</t>
        </is>
      </c>
      <c r="D140" s="104">
        <f>IFERROR(INDEX(ケイパビリティマップ!$E:$E,MATCH(C140,ケイパビリティマップ!$A:$A,0)),"（IDなし）")</f>
        <v/>
      </c>
      <c r="E140" s="103" t="inlineStr">
        <is>
          <t>支援</t>
        </is>
      </c>
      <c r="F140" s="120">
        <f>LEFT(A140,5)</f>
        <v/>
      </c>
      <c r="G140" s="120">
        <f>LEFT(C140,6)</f>
        <v/>
      </c>
    </row>
    <row r="141" ht="26.25" customHeight="1" s="80">
      <c r="A141" s="98" t="inlineStr">
        <is>
          <t>04-02-04</t>
        </is>
      </c>
      <c r="B141" s="100" t="inlineStr">
        <is>
          <t>初回投与・用量漸増（安全性評価委員会による判断）</t>
        </is>
      </c>
      <c r="C141" s="98" t="inlineStr">
        <is>
          <t>C05-06-01</t>
        </is>
      </c>
      <c r="D141" s="104">
        <f>IFERROR(INDEX(ケイパビリティマップ!$E:$E,MATCH(C141,ケイパビリティマップ!$A:$A,0)),"（IDなし）")</f>
        <v/>
      </c>
      <c r="E141" s="103" t="inlineStr">
        <is>
          <t>支援</t>
        </is>
      </c>
      <c r="F141" s="120">
        <f>LEFT(A141,5)</f>
        <v/>
      </c>
      <c r="G141" s="120">
        <f>LEFT(C141,6)</f>
        <v/>
      </c>
    </row>
    <row r="142" ht="15" customHeight="1" s="80">
      <c r="A142" s="98" t="inlineStr">
        <is>
          <t>04-02-05</t>
        </is>
      </c>
      <c r="B142" s="104" t="inlineStr">
        <is>
          <t>★PK・ADA・バイオマーカーの評価</t>
        </is>
      </c>
      <c r="C142" s="98" t="inlineStr">
        <is>
          <t>C03-03-02</t>
        </is>
      </c>
      <c r="D142" s="104">
        <f>IFERROR(INDEX(ケイパビリティマップ!$E:$E,MATCH(C142,ケイパビリティマップ!$A:$A,0)),"（IDなし）")</f>
        <v/>
      </c>
      <c r="E142" s="103" t="inlineStr">
        <is>
          <t>主</t>
        </is>
      </c>
      <c r="F142" s="120">
        <f>LEFT(A142,5)</f>
        <v/>
      </c>
      <c r="G142" s="120">
        <f>LEFT(C142,6)</f>
        <v/>
      </c>
    </row>
    <row r="143" ht="15" customHeight="1" s="80">
      <c r="A143" s="98" t="inlineStr">
        <is>
          <t>04-02-05</t>
        </is>
      </c>
      <c r="B143" s="104" t="inlineStr">
        <is>
          <t>★PK・ADA・バイオマーカーの評価</t>
        </is>
      </c>
      <c r="C143" s="98" t="inlineStr">
        <is>
          <t>C03-04-02</t>
        </is>
      </c>
      <c r="D143" s="104">
        <f>IFERROR(INDEX(ケイパビリティマップ!$E:$E,MATCH(C143,ケイパビリティマップ!$A:$A,0)),"（IDなし）")</f>
        <v/>
      </c>
      <c r="E143" s="103" t="inlineStr">
        <is>
          <t>支援</t>
        </is>
      </c>
      <c r="F143" s="120">
        <f>LEFT(A143,5)</f>
        <v/>
      </c>
      <c r="G143" s="120">
        <f>LEFT(C143,6)</f>
        <v/>
      </c>
    </row>
    <row r="144" ht="26.25" customHeight="1" s="80">
      <c r="A144" s="98" t="inlineStr">
        <is>
          <t>04-02-06</t>
        </is>
      </c>
      <c r="B144" s="100" t="inlineStr">
        <is>
          <t>迅速化制度の指定申請（Fast Track／Breakthrough Therapy、該当する場合）</t>
        </is>
      </c>
      <c r="C144" s="98" t="inlineStr">
        <is>
          <t>C06-01-03</t>
        </is>
      </c>
      <c r="D144" s="104">
        <f>IFERROR(INDEX(ケイパビリティマップ!$E:$E,MATCH(C144,ケイパビリティマップ!$A:$A,0)),"（IDなし）")</f>
        <v/>
      </c>
      <c r="E144" s="103" t="inlineStr">
        <is>
          <t>主</t>
        </is>
      </c>
      <c r="F144" s="120">
        <f>LEFT(A144,5)</f>
        <v/>
      </c>
      <c r="G144" s="120">
        <f>LEFT(C144,6)</f>
        <v/>
      </c>
    </row>
    <row r="145" ht="26.25" customHeight="1" s="80">
      <c r="A145" s="98" t="inlineStr">
        <is>
          <t>04-02-07</t>
        </is>
      </c>
      <c r="B145" s="104" t="inlineStr">
        <is>
          <t>★End-of-Phase 2ミーティング（ピボタル試験デザイン・エビデンス要件の合意）</t>
        </is>
      </c>
      <c r="C145" s="98" t="inlineStr">
        <is>
          <t>C06-01-02</t>
        </is>
      </c>
      <c r="D145" s="104">
        <f>IFERROR(INDEX(ケイパビリティマップ!$E:$E,MATCH(C145,ケイパビリティマップ!$A:$A,0)),"（IDなし）")</f>
        <v/>
      </c>
      <c r="E145" s="103" t="inlineStr">
        <is>
          <t>主</t>
        </is>
      </c>
      <c r="F145" s="120">
        <f>LEFT(A145,5)</f>
        <v/>
      </c>
      <c r="G145" s="120">
        <f>LEFT(C145,6)</f>
        <v/>
      </c>
    </row>
    <row r="146" ht="26.25" customHeight="1" s="80">
      <c r="A146" s="98" t="inlineStr">
        <is>
          <t>04-02-07</t>
        </is>
      </c>
      <c r="B146" s="104" t="inlineStr">
        <is>
          <t>★End-of-Phase 2ミーティング（ピボタル試験デザイン・エビデンス要件の合意）</t>
        </is>
      </c>
      <c r="C146" s="98" t="inlineStr">
        <is>
          <t>C05-01-02</t>
        </is>
      </c>
      <c r="D146" s="104">
        <f>IFERROR(INDEX(ケイパビリティマップ!$E:$E,MATCH(C146,ケイパビリティマップ!$A:$A,0)),"（IDなし）")</f>
        <v/>
      </c>
      <c r="E146" s="103" t="inlineStr">
        <is>
          <t>支援</t>
        </is>
      </c>
      <c r="F146" s="120">
        <f>LEFT(A146,5)</f>
        <v/>
      </c>
      <c r="G146" s="120">
        <f>LEFT(C146,6)</f>
        <v/>
      </c>
    </row>
    <row r="147" ht="26.25" customHeight="1" s="80">
      <c r="A147" s="98" t="inlineStr">
        <is>
          <t>04-02-07</t>
        </is>
      </c>
      <c r="B147" s="104" t="inlineStr">
        <is>
          <t>★End-of-Phase 2ミーティング（ピボタル試験デザイン・エビデンス要件の合意）</t>
        </is>
      </c>
      <c r="C147" s="98" t="inlineStr">
        <is>
          <t>C01-01-02</t>
        </is>
      </c>
      <c r="D147" s="104">
        <f>IFERROR(INDEX(ケイパビリティマップ!$E:$E,MATCH(C147,ケイパビリティマップ!$A:$A,0)),"（IDなし）")</f>
        <v/>
      </c>
      <c r="E147" s="103" t="inlineStr">
        <is>
          <t>支援</t>
        </is>
      </c>
      <c r="F147" s="120">
        <f>LEFT(A147,5)</f>
        <v/>
      </c>
      <c r="G147" s="120">
        <f>LEFT(C147,6)</f>
        <v/>
      </c>
    </row>
    <row r="148" ht="26.25" customHeight="1" s="80">
      <c r="A148" s="98" t="inlineStr">
        <is>
          <t>04-03-01</t>
        </is>
      </c>
      <c r="B148" s="100" t="inlineStr">
        <is>
          <t>★試験計画（単一の適切な比較試験＋確認的エビデンス、外部対照の活用、該当すればRDEP手続き）</t>
        </is>
      </c>
      <c r="C148" s="98" t="inlineStr">
        <is>
          <t>C05-01-02</t>
        </is>
      </c>
      <c r="D148" s="104">
        <f>IFERROR(INDEX(ケイパビリティマップ!$E:$E,MATCH(C148,ケイパビリティマップ!$A:$A,0)),"（IDなし）")</f>
        <v/>
      </c>
      <c r="E148" s="103" t="inlineStr">
        <is>
          <t>主</t>
        </is>
      </c>
      <c r="F148" s="120">
        <f>LEFT(A148,5)</f>
        <v/>
      </c>
      <c r="G148" s="120">
        <f>LEFT(C148,6)</f>
        <v/>
      </c>
    </row>
    <row r="149" ht="26.25" customHeight="1" s="80">
      <c r="A149" s="98" t="inlineStr">
        <is>
          <t>04-03-01</t>
        </is>
      </c>
      <c r="B149" s="100" t="inlineStr">
        <is>
          <t>★試験計画（単一の適切な比較試験＋確認的エビデンス、外部対照の活用、該当すればRDEP手続き）</t>
        </is>
      </c>
      <c r="C149" s="98" t="inlineStr">
        <is>
          <t>C05-02-03</t>
        </is>
      </c>
      <c r="D149" s="104">
        <f>IFERROR(INDEX(ケイパビリティマップ!$E:$E,MATCH(C149,ケイパビリティマップ!$A:$A,0)),"（IDなし）")</f>
        <v/>
      </c>
      <c r="E149" s="103" t="inlineStr">
        <is>
          <t>支援</t>
        </is>
      </c>
      <c r="F149" s="120">
        <f>LEFT(A149,5)</f>
        <v/>
      </c>
      <c r="G149" s="120">
        <f>LEFT(C149,6)</f>
        <v/>
      </c>
    </row>
    <row r="150" ht="26.25" customHeight="1" s="80">
      <c r="A150" s="98" t="inlineStr">
        <is>
          <t>04-03-01</t>
        </is>
      </c>
      <c r="B150" s="100" t="inlineStr">
        <is>
          <t>★試験計画（単一の適切な比較試験＋確認的エビデンス、外部対照の活用、該当すればRDEP手続き）</t>
        </is>
      </c>
      <c r="C150" s="98" t="inlineStr">
        <is>
          <t>C06-01-02</t>
        </is>
      </c>
      <c r="D150" s="104">
        <f>IFERROR(INDEX(ケイパビリティマップ!$E:$E,MATCH(C150,ケイパビリティマップ!$A:$A,0)),"（IDなし）")</f>
        <v/>
      </c>
      <c r="E150" s="103" t="inlineStr">
        <is>
          <t>支援</t>
        </is>
      </c>
      <c r="F150" s="120">
        <f>LEFT(A150,5)</f>
        <v/>
      </c>
      <c r="G150" s="120">
        <f>LEFT(C150,6)</f>
        <v/>
      </c>
    </row>
    <row r="151" ht="26.25" customHeight="1" s="80">
      <c r="A151" s="98" t="inlineStr">
        <is>
          <t>04-03-02</t>
        </is>
      </c>
      <c r="B151" s="100" t="inlineStr">
        <is>
          <t>多国籍・多施設の立ち上げ・ClinicalTrials.govへの登録</t>
        </is>
      </c>
      <c r="C151" s="98" t="inlineStr">
        <is>
          <t>C05-04-01</t>
        </is>
      </c>
      <c r="D151" s="104">
        <f>IFERROR(INDEX(ケイパビリティマップ!$E:$E,MATCH(C151,ケイパビリティマップ!$A:$A,0)),"（IDなし）")</f>
        <v/>
      </c>
      <c r="E151" s="103" t="inlineStr">
        <is>
          <t>主</t>
        </is>
      </c>
      <c r="F151" s="120">
        <f>LEFT(A151,5)</f>
        <v/>
      </c>
      <c r="G151" s="120">
        <f>LEFT(C151,6)</f>
        <v/>
      </c>
    </row>
    <row r="152" ht="26.25" customHeight="1" s="80">
      <c r="A152" s="98" t="inlineStr">
        <is>
          <t>04-03-02</t>
        </is>
      </c>
      <c r="B152" s="100" t="inlineStr">
        <is>
          <t>多国籍・多施設の立ち上げ・ClinicalTrials.govへの登録</t>
        </is>
      </c>
      <c r="C152" s="98" t="inlineStr">
        <is>
          <t>C05-04-03</t>
        </is>
      </c>
      <c r="D152" s="104">
        <f>IFERROR(INDEX(ケイパビリティマップ!$E:$E,MATCH(C152,ケイパビリティマップ!$A:$A,0)),"（IDなし）")</f>
        <v/>
      </c>
      <c r="E152" s="103" t="inlineStr">
        <is>
          <t>支援</t>
        </is>
      </c>
      <c r="F152" s="120">
        <f>LEFT(A152,5)</f>
        <v/>
      </c>
      <c r="G152" s="120">
        <f>LEFT(C152,6)</f>
        <v/>
      </c>
    </row>
    <row r="153" ht="26.25" customHeight="1" s="80">
      <c r="A153" s="98" t="inlineStr">
        <is>
          <t>04-03-02</t>
        </is>
      </c>
      <c r="B153" s="100" t="inlineStr">
        <is>
          <t>多国籍・多施設の立ち上げ・ClinicalTrials.govへの登録</t>
        </is>
      </c>
      <c r="C153" s="98" t="inlineStr">
        <is>
          <t>C05-03-02</t>
        </is>
      </c>
      <c r="D153" s="104">
        <f>IFERROR(INDEX(ケイパビリティマップ!$E:$E,MATCH(C153,ケイパビリティマップ!$A:$A,0)),"（IDなし）")</f>
        <v/>
      </c>
      <c r="E153" s="103" t="inlineStr">
        <is>
          <t>支援</t>
        </is>
      </c>
      <c r="F153" s="120">
        <f>LEFT(A153,5)</f>
        <v/>
      </c>
      <c r="G153" s="120">
        <f>LEFT(C153,6)</f>
        <v/>
      </c>
    </row>
    <row r="154" ht="26.25" customHeight="1" s="80">
      <c r="A154" s="98" t="inlineStr">
        <is>
          <t>04-03-03</t>
        </is>
      </c>
      <c r="B154" s="100" t="inlineStr">
        <is>
          <t>★被験者登録・投与・モニタリング（患者・家族の負担軽減、分散型の要素）</t>
        </is>
      </c>
      <c r="C154" s="98" t="inlineStr">
        <is>
          <t>C05-04-02</t>
        </is>
      </c>
      <c r="D154" s="104">
        <f>IFERROR(INDEX(ケイパビリティマップ!$E:$E,MATCH(C154,ケイパビリティマップ!$A:$A,0)),"（IDなし）")</f>
        <v/>
      </c>
      <c r="E154" s="103" t="inlineStr">
        <is>
          <t>主</t>
        </is>
      </c>
      <c r="F154" s="120">
        <f>LEFT(A154,5)</f>
        <v/>
      </c>
      <c r="G154" s="120">
        <f>LEFT(C154,6)</f>
        <v/>
      </c>
    </row>
    <row r="155" ht="26.25" customHeight="1" s="80">
      <c r="A155" s="98" t="inlineStr">
        <is>
          <t>04-03-03</t>
        </is>
      </c>
      <c r="B155" s="100" t="inlineStr">
        <is>
          <t>★被験者登録・投与・モニタリング（患者・家族の負担軽減、分散型の要素）</t>
        </is>
      </c>
      <c r="C155" s="98" t="inlineStr">
        <is>
          <t>C05-03-03</t>
        </is>
      </c>
      <c r="D155" s="104">
        <f>IFERROR(INDEX(ケイパビリティマップ!$E:$E,MATCH(C155,ケイパビリティマップ!$A:$A,0)),"（IDなし）")</f>
        <v/>
      </c>
      <c r="E155" s="103" t="inlineStr">
        <is>
          <t>支援</t>
        </is>
      </c>
      <c r="F155" s="120">
        <f>LEFT(A155,5)</f>
        <v/>
      </c>
      <c r="G155" s="120">
        <f>LEFT(C155,6)</f>
        <v/>
      </c>
    </row>
    <row r="156" ht="26.25" customHeight="1" s="80">
      <c r="A156" s="98" t="inlineStr">
        <is>
          <t>04-03-03</t>
        </is>
      </c>
      <c r="B156" s="100" t="inlineStr">
        <is>
          <t>★被験者登録・投与・モニタリング（患者・家族の負担軽減、分散型の要素）</t>
        </is>
      </c>
      <c r="C156" s="98" t="inlineStr">
        <is>
          <t>C05-06-01</t>
        </is>
      </c>
      <c r="D156" s="104">
        <f>IFERROR(INDEX(ケイパビリティマップ!$E:$E,MATCH(C156,ケイパビリティマップ!$A:$A,0)),"（IDなし）")</f>
        <v/>
      </c>
      <c r="E156" s="103" t="inlineStr">
        <is>
          <t>支援</t>
        </is>
      </c>
      <c r="F156" s="120">
        <f>LEFT(A156,5)</f>
        <v/>
      </c>
      <c r="G156" s="120">
        <f>LEFT(C156,6)</f>
        <v/>
      </c>
    </row>
    <row r="157" ht="26.25" customHeight="1" s="80">
      <c r="A157" s="98" t="inlineStr">
        <is>
          <t>04-03-03</t>
        </is>
      </c>
      <c r="B157" s="100" t="inlineStr">
        <is>
          <t>★被験者登録・投与・モニタリング（患者・家族の負担軽減、分散型の要素）</t>
        </is>
      </c>
      <c r="C157" s="98" t="inlineStr">
        <is>
          <t>C09-01-01</t>
        </is>
      </c>
      <c r="D157" s="104">
        <f>IFERROR(INDEX(ケイパビリティマップ!$E:$E,MATCH(C157,ケイパビリティマップ!$A:$A,0)),"（IDなし）")</f>
        <v/>
      </c>
      <c r="E157" s="103" t="inlineStr">
        <is>
          <t>支援</t>
        </is>
      </c>
      <c r="F157" s="120">
        <f>LEFT(A157,5)</f>
        <v/>
      </c>
      <c r="G157" s="120">
        <f>LEFT(C157,6)</f>
        <v/>
      </c>
    </row>
    <row r="158" ht="15" customHeight="1" s="80">
      <c r="A158" s="98" t="inlineStr">
        <is>
          <t>04-03-04</t>
        </is>
      </c>
      <c r="B158" s="100" t="inlineStr">
        <is>
          <t>データマネジメント・データベース固定</t>
        </is>
      </c>
      <c r="C158" s="98" t="inlineStr">
        <is>
          <t>C05-05-01</t>
        </is>
      </c>
      <c r="D158" s="104">
        <f>IFERROR(INDEX(ケイパビリティマップ!$E:$E,MATCH(C158,ケイパビリティマップ!$A:$A,0)),"（IDなし）")</f>
        <v/>
      </c>
      <c r="E158" s="103" t="inlineStr">
        <is>
          <t>主</t>
        </is>
      </c>
      <c r="F158" s="120">
        <f>LEFT(A158,5)</f>
        <v/>
      </c>
      <c r="G158" s="120">
        <f>LEFT(C158,6)</f>
        <v/>
      </c>
    </row>
    <row r="159" ht="15" customHeight="1" s="80">
      <c r="A159" s="98" t="inlineStr">
        <is>
          <t>04-03-05</t>
        </is>
      </c>
      <c r="B159" s="100" t="inlineStr">
        <is>
          <t>統計解析・総括報告</t>
        </is>
      </c>
      <c r="C159" s="98" t="inlineStr">
        <is>
          <t>C05-05-02</t>
        </is>
      </c>
      <c r="D159" s="104">
        <f>IFERROR(INDEX(ケイパビリティマップ!$E:$E,MATCH(C159,ケイパビリティマップ!$A:$A,0)),"（IDなし）")</f>
        <v/>
      </c>
      <c r="E159" s="103" t="inlineStr">
        <is>
          <t>主</t>
        </is>
      </c>
      <c r="F159" s="120">
        <f>LEFT(A159,5)</f>
        <v/>
      </c>
      <c r="G159" s="120">
        <f>LEFT(C159,6)</f>
        <v/>
      </c>
    </row>
    <row r="160" ht="15" customHeight="1" s="80">
      <c r="A160" s="98" t="inlineStr">
        <is>
          <t>04-03-05</t>
        </is>
      </c>
      <c r="B160" s="100" t="inlineStr">
        <is>
          <t>統計解析・総括報告</t>
        </is>
      </c>
      <c r="C160" s="98" t="inlineStr">
        <is>
          <t>C05-05-03</t>
        </is>
      </c>
      <c r="D160" s="104">
        <f>IFERROR(INDEX(ケイパビリティマップ!$E:$E,MATCH(C160,ケイパビリティマップ!$A:$A,0)),"（IDなし）")</f>
        <v/>
      </c>
      <c r="E160" s="103" t="inlineStr">
        <is>
          <t>主</t>
        </is>
      </c>
      <c r="F160" s="120">
        <f>LEFT(A160,5)</f>
        <v/>
      </c>
      <c r="G160" s="120">
        <f>LEFT(C160,6)</f>
        <v/>
      </c>
    </row>
    <row r="161" ht="15" customHeight="1" s="80">
      <c r="A161" s="98" t="inlineStr">
        <is>
          <t>04-04-01</t>
        </is>
      </c>
      <c r="B161" s="100" t="inlineStr">
        <is>
          <t>統合安全性解析</t>
        </is>
      </c>
      <c r="C161" s="98" t="inlineStr">
        <is>
          <t>C05-05-02</t>
        </is>
      </c>
      <c r="D161" s="104">
        <f>IFERROR(INDEX(ケイパビリティマップ!$E:$E,MATCH(C161,ケイパビリティマップ!$A:$A,0)),"（IDなし）")</f>
        <v/>
      </c>
      <c r="E161" s="103" t="inlineStr">
        <is>
          <t>主</t>
        </is>
      </c>
      <c r="F161" s="120">
        <f>LEFT(A161,5)</f>
        <v/>
      </c>
      <c r="G161" s="120">
        <f>LEFT(C161,6)</f>
        <v/>
      </c>
    </row>
    <row r="162" ht="15" customHeight="1" s="80">
      <c r="A162" s="98" t="inlineStr">
        <is>
          <t>04-04-01</t>
        </is>
      </c>
      <c r="B162" s="100" t="inlineStr">
        <is>
          <t>統合安全性解析</t>
        </is>
      </c>
      <c r="C162" s="98" t="inlineStr">
        <is>
          <t>C09-02-01</t>
        </is>
      </c>
      <c r="D162" s="104">
        <f>IFERROR(INDEX(ケイパビリティマップ!$E:$E,MATCH(C162,ケイパビリティマップ!$A:$A,0)),"（IDなし）")</f>
        <v/>
      </c>
      <c r="E162" s="103" t="inlineStr">
        <is>
          <t>支援</t>
        </is>
      </c>
      <c r="F162" s="120">
        <f>LEFT(A162,5)</f>
        <v/>
      </c>
      <c r="G162" s="120">
        <f>LEFT(C162,6)</f>
        <v/>
      </c>
    </row>
    <row r="163" ht="15" customHeight="1" s="80">
      <c r="A163" s="98" t="inlineStr">
        <is>
          <t>04-04-02</t>
        </is>
      </c>
      <c r="B163" s="100" t="inlineStr">
        <is>
          <t>★統合有効性解析（自然歴データとの比較を含む）</t>
        </is>
      </c>
      <c r="C163" s="98" t="inlineStr">
        <is>
          <t>C05-05-02</t>
        </is>
      </c>
      <c r="D163" s="104">
        <f>IFERROR(INDEX(ケイパビリティマップ!$E:$E,MATCH(C163,ケイパビリティマップ!$A:$A,0)),"（IDなし）")</f>
        <v/>
      </c>
      <c r="E163" s="103" t="inlineStr">
        <is>
          <t>主</t>
        </is>
      </c>
      <c r="F163" s="120">
        <f>LEFT(A163,5)</f>
        <v/>
      </c>
      <c r="G163" s="120">
        <f>LEFT(C163,6)</f>
        <v/>
      </c>
    </row>
    <row r="164" ht="15" customHeight="1" s="80">
      <c r="A164" s="98" t="inlineStr">
        <is>
          <t>04-04-02</t>
        </is>
      </c>
      <c r="B164" s="100" t="inlineStr">
        <is>
          <t>★統合有効性解析（自然歴データとの比較を含む）</t>
        </is>
      </c>
      <c r="C164" s="98" t="inlineStr">
        <is>
          <t>C05-02-03</t>
        </is>
      </c>
      <c r="D164" s="104">
        <f>IFERROR(INDEX(ケイパビリティマップ!$E:$E,MATCH(C164,ケイパビリティマップ!$A:$A,0)),"（IDなし）")</f>
        <v/>
      </c>
      <c r="E164" s="103" t="inlineStr">
        <is>
          <t>支援</t>
        </is>
      </c>
      <c r="F164" s="120">
        <f>LEFT(A164,5)</f>
        <v/>
      </c>
      <c r="G164" s="120">
        <f>LEFT(C164,6)</f>
        <v/>
      </c>
    </row>
    <row r="165" ht="15" customHeight="1" s="80">
      <c r="A165" s="98" t="inlineStr">
        <is>
          <t>04-04-03</t>
        </is>
      </c>
      <c r="B165" s="100" t="inlineStr">
        <is>
          <t>母集団PK・曝露反応解析</t>
        </is>
      </c>
      <c r="C165" s="98" t="inlineStr">
        <is>
          <t>C03-04-02</t>
        </is>
      </c>
      <c r="D165" s="104">
        <f>IFERROR(INDEX(ケイパビリティマップ!$E:$E,MATCH(C165,ケイパビリティマップ!$A:$A,0)),"（IDなし）")</f>
        <v/>
      </c>
      <c r="E165" s="103" t="inlineStr">
        <is>
          <t>主</t>
        </is>
      </c>
      <c r="F165" s="120">
        <f>LEFT(A165,5)</f>
        <v/>
      </c>
      <c r="G165" s="120">
        <f>LEFT(C165,6)</f>
        <v/>
      </c>
    </row>
    <row r="166" ht="15" customHeight="1" s="80">
      <c r="A166" s="98" t="inlineStr">
        <is>
          <t>04-04-04</t>
        </is>
      </c>
      <c r="B166" s="100" t="inlineStr">
        <is>
          <t>免疫原性の統合評価</t>
        </is>
      </c>
      <c r="C166" s="98" t="inlineStr">
        <is>
          <t>C05-05-02</t>
        </is>
      </c>
      <c r="D166" s="104">
        <f>IFERROR(INDEX(ケイパビリティマップ!$E:$E,MATCH(C166,ケイパビリティマップ!$A:$A,0)),"（IDなし）")</f>
        <v/>
      </c>
      <c r="E166" s="103" t="inlineStr">
        <is>
          <t>主</t>
        </is>
      </c>
      <c r="F166" s="120">
        <f>LEFT(A166,5)</f>
        <v/>
      </c>
      <c r="G166" s="120">
        <f>LEFT(C166,6)</f>
        <v/>
      </c>
    </row>
    <row r="167" ht="15" customHeight="1" s="80">
      <c r="A167" s="98" t="inlineStr">
        <is>
          <t>04-04-04</t>
        </is>
      </c>
      <c r="B167" s="100" t="inlineStr">
        <is>
          <t>免疫原性の統合評価</t>
        </is>
      </c>
      <c r="C167" s="98" t="inlineStr">
        <is>
          <t>C03-03-02</t>
        </is>
      </c>
      <c r="D167" s="104">
        <f>IFERROR(INDEX(ケイパビリティマップ!$E:$E,MATCH(C167,ケイパビリティマップ!$A:$A,0)),"（IDなし）")</f>
        <v/>
      </c>
      <c r="E167" s="103" t="inlineStr">
        <is>
          <t>支援</t>
        </is>
      </c>
      <c r="F167" s="120">
        <f>LEFT(A167,5)</f>
        <v/>
      </c>
      <c r="G167" s="120">
        <f>LEFT(C167,6)</f>
        <v/>
      </c>
    </row>
    <row r="168" ht="15" customHeight="1" s="80">
      <c r="A168" s="98" t="inlineStr">
        <is>
          <t>04-04-05</t>
        </is>
      </c>
      <c r="B168" s="100" t="inlineStr">
        <is>
          <t>★長期継続投与試験（非盲検延長）</t>
        </is>
      </c>
      <c r="C168" s="98" t="inlineStr">
        <is>
          <t>C05-04-02</t>
        </is>
      </c>
      <c r="D168" s="104">
        <f>IFERROR(INDEX(ケイパビリティマップ!$E:$E,MATCH(C168,ケイパビリティマップ!$A:$A,0)),"（IDなし）")</f>
        <v/>
      </c>
      <c r="E168" s="103" t="inlineStr">
        <is>
          <t>主</t>
        </is>
      </c>
      <c r="F168" s="120">
        <f>LEFT(A168,5)</f>
        <v/>
      </c>
      <c r="G168" s="120">
        <f>LEFT(C168,6)</f>
        <v/>
      </c>
    </row>
    <row r="169" ht="15" customHeight="1" s="80">
      <c r="A169" s="98" t="inlineStr">
        <is>
          <t>04-04-05</t>
        </is>
      </c>
      <c r="B169" s="100" t="inlineStr">
        <is>
          <t>★長期継続投与試験（非盲検延長）</t>
        </is>
      </c>
      <c r="C169" s="98" t="inlineStr">
        <is>
          <t>C09-01-01</t>
        </is>
      </c>
      <c r="D169" s="104">
        <f>IFERROR(INDEX(ケイパビリティマップ!$E:$E,MATCH(C169,ケイパビリティマップ!$A:$A,0)),"（IDなし）")</f>
        <v/>
      </c>
      <c r="E169" s="103" t="inlineStr">
        <is>
          <t>支援</t>
        </is>
      </c>
      <c r="F169" s="120">
        <f>LEFT(A169,5)</f>
        <v/>
      </c>
      <c r="G169" s="120">
        <f>LEFT(C169,6)</f>
        <v/>
      </c>
    </row>
    <row r="170" ht="15" customHeight="1" s="80">
      <c r="A170" s="98" t="inlineStr">
        <is>
          <t>04-04-06</t>
        </is>
      </c>
      <c r="B170" s="100" t="inlineStr">
        <is>
          <t>ベネフィット・リスク評価</t>
        </is>
      </c>
      <c r="C170" s="98" t="inlineStr">
        <is>
          <t>C09-02-02</t>
        </is>
      </c>
      <c r="D170" s="104">
        <f>IFERROR(INDEX(ケイパビリティマップ!$E:$E,MATCH(C170,ケイパビリティマップ!$A:$A,0)),"（IDなし）")</f>
        <v/>
      </c>
      <c r="E170" s="103" t="inlineStr">
        <is>
          <t>主</t>
        </is>
      </c>
      <c r="F170" s="120">
        <f>LEFT(A170,5)</f>
        <v/>
      </c>
      <c r="G170" s="120">
        <f>LEFT(C170,6)</f>
        <v/>
      </c>
    </row>
    <row r="171" ht="15" customHeight="1" s="80">
      <c r="A171" s="98" t="inlineStr">
        <is>
          <t>05-01-01</t>
        </is>
      </c>
      <c r="B171" s="104" t="inlineStr">
        <is>
          <t>Pre-BLAミーティング（FDA）</t>
        </is>
      </c>
      <c r="C171" s="98" t="inlineStr">
        <is>
          <t>C06-01-02</t>
        </is>
      </c>
      <c r="D171" s="104">
        <f>IFERROR(INDEX(ケイパビリティマップ!$E:$E,MATCH(C171,ケイパビリティマップ!$A:$A,0)),"（IDなし）")</f>
        <v/>
      </c>
      <c r="E171" s="103" t="inlineStr">
        <is>
          <t>主</t>
        </is>
      </c>
      <c r="F171" s="120">
        <f>LEFT(A171,5)</f>
        <v/>
      </c>
      <c r="G171" s="120">
        <f>LEFT(C171,6)</f>
        <v/>
      </c>
    </row>
    <row r="172" ht="15" customHeight="1" s="80">
      <c r="A172" s="98" t="inlineStr">
        <is>
          <t>05-01-02</t>
        </is>
      </c>
      <c r="B172" s="100" t="inlineStr">
        <is>
          <t>品質（Module 3）の作成</t>
        </is>
      </c>
      <c r="C172" s="98" t="inlineStr">
        <is>
          <t>C06-02-01</t>
        </is>
      </c>
      <c r="D172" s="104">
        <f>IFERROR(INDEX(ケイパビリティマップ!$E:$E,MATCH(C172,ケイパビリティマップ!$A:$A,0)),"（IDなし）")</f>
        <v/>
      </c>
      <c r="E172" s="103" t="inlineStr">
        <is>
          <t>主</t>
        </is>
      </c>
      <c r="F172" s="120">
        <f>LEFT(A172,5)</f>
        <v/>
      </c>
      <c r="G172" s="120">
        <f>LEFT(C172,6)</f>
        <v/>
      </c>
    </row>
    <row r="173" ht="15" customHeight="1" s="80">
      <c r="A173" s="98" t="inlineStr">
        <is>
          <t>05-01-02</t>
        </is>
      </c>
      <c r="B173" s="100" t="inlineStr">
        <is>
          <t>品質（Module 3）の作成</t>
        </is>
      </c>
      <c r="C173" s="98" t="inlineStr">
        <is>
          <t>C04-02-04</t>
        </is>
      </c>
      <c r="D173" s="104">
        <f>IFERROR(INDEX(ケイパビリティマップ!$E:$E,MATCH(C173,ケイパビリティマップ!$A:$A,0)),"（IDなし）")</f>
        <v/>
      </c>
      <c r="E173" s="103" t="inlineStr">
        <is>
          <t>支援</t>
        </is>
      </c>
      <c r="F173" s="120">
        <f>LEFT(A173,5)</f>
        <v/>
      </c>
      <c r="G173" s="120">
        <f>LEFT(C173,6)</f>
        <v/>
      </c>
    </row>
    <row r="174" ht="15" customHeight="1" s="80">
      <c r="A174" s="98" t="inlineStr">
        <is>
          <t>05-01-03</t>
        </is>
      </c>
      <c r="B174" s="100" t="inlineStr">
        <is>
          <t>非臨床・臨床（Module 4・5）の作成</t>
        </is>
      </c>
      <c r="C174" s="98" t="inlineStr">
        <is>
          <t>C06-02-01</t>
        </is>
      </c>
      <c r="D174" s="104">
        <f>IFERROR(INDEX(ケイパビリティマップ!$E:$E,MATCH(C174,ケイパビリティマップ!$A:$A,0)),"（IDなし）")</f>
        <v/>
      </c>
      <c r="E174" s="103" t="inlineStr">
        <is>
          <t>主</t>
        </is>
      </c>
      <c r="F174" s="120">
        <f>LEFT(A174,5)</f>
        <v/>
      </c>
      <c r="G174" s="120">
        <f>LEFT(C174,6)</f>
        <v/>
      </c>
    </row>
    <row r="175" ht="15" customHeight="1" s="80">
      <c r="A175" s="98" t="inlineStr">
        <is>
          <t>05-01-03</t>
        </is>
      </c>
      <c r="B175" s="100" t="inlineStr">
        <is>
          <t>非臨床・臨床（Module 4・5）の作成</t>
        </is>
      </c>
      <c r="C175" s="98" t="inlineStr">
        <is>
          <t>C05-05-03</t>
        </is>
      </c>
      <c r="D175" s="104">
        <f>IFERROR(INDEX(ケイパビリティマップ!$E:$E,MATCH(C175,ケイパビリティマップ!$A:$A,0)),"（IDなし）")</f>
        <v/>
      </c>
      <c r="E175" s="103" t="inlineStr">
        <is>
          <t>支援</t>
        </is>
      </c>
      <c r="F175" s="120">
        <f>LEFT(A175,5)</f>
        <v/>
      </c>
      <c r="G175" s="120">
        <f>LEFT(C175,6)</f>
        <v/>
      </c>
    </row>
    <row r="176" ht="15" customHeight="1" s="80">
      <c r="A176" s="98" t="inlineStr">
        <is>
          <t>05-01-04</t>
        </is>
      </c>
      <c r="B176" s="100" t="inlineStr">
        <is>
          <t>概要（Module 2）の作成</t>
        </is>
      </c>
      <c r="C176" s="98" t="inlineStr">
        <is>
          <t>C06-02-01</t>
        </is>
      </c>
      <c r="D176" s="104">
        <f>IFERROR(INDEX(ケイパビリティマップ!$E:$E,MATCH(C176,ケイパビリティマップ!$A:$A,0)),"（IDなし）")</f>
        <v/>
      </c>
      <c r="E176" s="103" t="inlineStr">
        <is>
          <t>主</t>
        </is>
      </c>
      <c r="F176" s="120">
        <f>LEFT(A176,5)</f>
        <v/>
      </c>
      <c r="G176" s="120">
        <f>LEFT(C176,6)</f>
        <v/>
      </c>
    </row>
    <row r="177" ht="15" customHeight="1" s="80">
      <c r="A177" s="98" t="inlineStr">
        <is>
          <t>05-01-04</t>
        </is>
      </c>
      <c r="B177" s="100" t="inlineStr">
        <is>
          <t>概要（Module 2）の作成</t>
        </is>
      </c>
      <c r="C177" s="98" t="inlineStr">
        <is>
          <t>C05-05-03</t>
        </is>
      </c>
      <c r="D177" s="104">
        <f>IFERROR(INDEX(ケイパビリティマップ!$E:$E,MATCH(C177,ケイパビリティマップ!$A:$A,0)),"（IDなし）")</f>
        <v/>
      </c>
      <c r="E177" s="103" t="inlineStr">
        <is>
          <t>支援</t>
        </is>
      </c>
      <c r="F177" s="120">
        <f>LEFT(A177,5)</f>
        <v/>
      </c>
      <c r="G177" s="120">
        <f>LEFT(C177,6)</f>
        <v/>
      </c>
    </row>
    <row r="178" ht="26.25" customHeight="1" s="80">
      <c r="A178" s="98" t="inlineStr">
        <is>
          <t>05-01-05</t>
        </is>
      </c>
      <c r="B178" s="100" t="inlineStr">
        <is>
          <t>米国地域情報（Module 1：Form FDA 356h、表示案）の作成</t>
        </is>
      </c>
      <c r="C178" s="98" t="inlineStr">
        <is>
          <t>C06-02-01</t>
        </is>
      </c>
      <c r="D178" s="104">
        <f>IFERROR(INDEX(ケイパビリティマップ!$E:$E,MATCH(C178,ケイパビリティマップ!$A:$A,0)),"（IDなし）")</f>
        <v/>
      </c>
      <c r="E178" s="103" t="inlineStr">
        <is>
          <t>主</t>
        </is>
      </c>
      <c r="F178" s="120">
        <f>LEFT(A178,5)</f>
        <v/>
      </c>
      <c r="G178" s="120">
        <f>LEFT(C178,6)</f>
        <v/>
      </c>
    </row>
    <row r="179" ht="26.25" customHeight="1" s="80">
      <c r="A179" s="98" t="inlineStr">
        <is>
          <t>05-01-05</t>
        </is>
      </c>
      <c r="B179" s="100" t="inlineStr">
        <is>
          <t>米国地域情報（Module 1：Form FDA 356h、表示案）の作成</t>
        </is>
      </c>
      <c r="C179" s="98" t="inlineStr">
        <is>
          <t>C06-03-01</t>
        </is>
      </c>
      <c r="D179" s="104">
        <f>IFERROR(INDEX(ケイパビリティマップ!$E:$E,MATCH(C179,ケイパビリティマップ!$A:$A,0)),"（IDなし）")</f>
        <v/>
      </c>
      <c r="E179" s="103" t="inlineStr">
        <is>
          <t>支援</t>
        </is>
      </c>
      <c r="F179" s="120">
        <f>LEFT(A179,5)</f>
        <v/>
      </c>
      <c r="G179" s="120">
        <f>LEFT(C179,6)</f>
        <v/>
      </c>
    </row>
    <row r="180" ht="26.25" customHeight="1" s="80">
      <c r="A180" s="98" t="inlineStr">
        <is>
          <t>05-01-06</t>
        </is>
      </c>
      <c r="B180" s="100" t="inlineStr">
        <is>
          <t>電子申請（eCTD）によるBLA提出（PHS法351条(a)）</t>
        </is>
      </c>
      <c r="C180" s="98" t="inlineStr">
        <is>
          <t>C06-02-02</t>
        </is>
      </c>
      <c r="D180" s="104">
        <f>IFERROR(INDEX(ケイパビリティマップ!$E:$E,MATCH(C180,ケイパビリティマップ!$A:$A,0)),"（IDなし）")</f>
        <v/>
      </c>
      <c r="E180" s="103" t="inlineStr">
        <is>
          <t>主</t>
        </is>
      </c>
      <c r="F180" s="120">
        <f>LEFT(A180,5)</f>
        <v/>
      </c>
      <c r="G180" s="120">
        <f>LEFT(C180,6)</f>
        <v/>
      </c>
    </row>
    <row r="181" ht="15" customHeight="1" s="80">
      <c r="A181" s="98" t="inlineStr">
        <is>
          <t>05-02-01</t>
        </is>
      </c>
      <c r="B181" s="100" t="inlineStr">
        <is>
          <t>受理審査（提出から60日）・優先審査の判定</t>
        </is>
      </c>
      <c r="C181" s="98" t="inlineStr">
        <is>
          <t>C06-01-02</t>
        </is>
      </c>
      <c r="D181" s="104">
        <f>IFERROR(INDEX(ケイパビリティマップ!$E:$E,MATCH(C181,ケイパビリティマップ!$A:$A,0)),"（IDなし）")</f>
        <v/>
      </c>
      <c r="E181" s="103" t="inlineStr">
        <is>
          <t>主</t>
        </is>
      </c>
      <c r="F181" s="120">
        <f>LEFT(A181,5)</f>
        <v/>
      </c>
      <c r="G181" s="120">
        <f>LEFT(C181,6)</f>
        <v/>
      </c>
    </row>
    <row r="182" ht="15" customHeight="1" s="80">
      <c r="A182" s="98" t="inlineStr">
        <is>
          <t>05-02-02</t>
        </is>
      </c>
      <c r="B182" s="100" t="inlineStr">
        <is>
          <t>情報提供依頼（IR）への回答</t>
        </is>
      </c>
      <c r="C182" s="98" t="inlineStr">
        <is>
          <t>C06-01-02</t>
        </is>
      </c>
      <c r="D182" s="104">
        <f>IFERROR(INDEX(ケイパビリティマップ!$E:$E,MATCH(C182,ケイパビリティマップ!$A:$A,0)),"（IDなし）")</f>
        <v/>
      </c>
      <c r="E182" s="103" t="inlineStr">
        <is>
          <t>主</t>
        </is>
      </c>
      <c r="F182" s="120">
        <f>LEFT(A182,5)</f>
        <v/>
      </c>
      <c r="G182" s="120">
        <f>LEFT(C182,6)</f>
        <v/>
      </c>
    </row>
    <row r="183" ht="15" customHeight="1" s="80">
      <c r="A183" s="98" t="inlineStr">
        <is>
          <t>05-02-02</t>
        </is>
      </c>
      <c r="B183" s="100" t="inlineStr">
        <is>
          <t>情報提供依頼（IR）への回答</t>
        </is>
      </c>
      <c r="C183" s="98" t="inlineStr">
        <is>
          <t>C06-02-03</t>
        </is>
      </c>
      <c r="D183" s="104">
        <f>IFERROR(INDEX(ケイパビリティマップ!$E:$E,MATCH(C183,ケイパビリティマップ!$A:$A,0)),"（IDなし）")</f>
        <v/>
      </c>
      <c r="E183" s="103" t="inlineStr">
        <is>
          <t>支援</t>
        </is>
      </c>
      <c r="F183" s="120">
        <f>LEFT(A183,5)</f>
        <v/>
      </c>
      <c r="G183" s="120">
        <f>LEFT(C183,6)</f>
        <v/>
      </c>
    </row>
    <row r="184" ht="15" customHeight="1" s="80">
      <c r="A184" s="98" t="inlineStr">
        <is>
          <t>05-02-03</t>
        </is>
      </c>
      <c r="B184" s="100" t="inlineStr">
        <is>
          <t>承認前査察（PLI）への対応（製造所）</t>
        </is>
      </c>
      <c r="C184" s="98" t="inlineStr">
        <is>
          <t>C08-04-03</t>
        </is>
      </c>
      <c r="D184" s="104">
        <f>IFERROR(INDEX(ケイパビリティマップ!$E:$E,MATCH(C184,ケイパビリティマップ!$A:$A,0)),"（IDなし）")</f>
        <v/>
      </c>
      <c r="E184" s="103" t="inlineStr">
        <is>
          <t>主</t>
        </is>
      </c>
      <c r="F184" s="120">
        <f>LEFT(A184,5)</f>
        <v/>
      </c>
      <c r="G184" s="120">
        <f>LEFT(C184,6)</f>
        <v/>
      </c>
    </row>
    <row r="185" ht="15" customHeight="1" s="80">
      <c r="A185" s="98" t="inlineStr">
        <is>
          <t>05-02-03</t>
        </is>
      </c>
      <c r="B185" s="100" t="inlineStr">
        <is>
          <t>承認前査察（PLI）への対応（製造所）</t>
        </is>
      </c>
      <c r="C185" s="98" t="inlineStr">
        <is>
          <t>C01-03-02</t>
        </is>
      </c>
      <c r="D185" s="104">
        <f>IFERROR(INDEX(ケイパビリティマップ!$E:$E,MATCH(C185,ケイパビリティマップ!$A:$A,0)),"（IDなし）")</f>
        <v/>
      </c>
      <c r="E185" s="103" t="inlineStr">
        <is>
          <t>支援</t>
        </is>
      </c>
      <c r="F185" s="120">
        <f>LEFT(A185,5)</f>
        <v/>
      </c>
      <c r="G185" s="120">
        <f>LEFT(C185,6)</f>
        <v/>
      </c>
    </row>
    <row r="186" ht="15" customHeight="1" s="80">
      <c r="A186" s="98" t="inlineStr">
        <is>
          <t>05-02-04</t>
        </is>
      </c>
      <c r="B186" s="100" t="inlineStr">
        <is>
          <t>臨床試験実施施設の査察（BIMO）への対応</t>
        </is>
      </c>
      <c r="C186" s="98" t="inlineStr">
        <is>
          <t>C08-04-03</t>
        </is>
      </c>
      <c r="D186" s="104">
        <f>IFERROR(INDEX(ケイパビリティマップ!$E:$E,MATCH(C186,ケイパビリティマップ!$A:$A,0)),"（IDなし）")</f>
        <v/>
      </c>
      <c r="E186" s="103" t="inlineStr">
        <is>
          <t>主</t>
        </is>
      </c>
      <c r="F186" s="120">
        <f>LEFT(A186,5)</f>
        <v/>
      </c>
      <c r="G186" s="120">
        <f>LEFT(C186,6)</f>
        <v/>
      </c>
    </row>
    <row r="187" ht="15" customHeight="1" s="80">
      <c r="A187" s="98" t="inlineStr">
        <is>
          <t>05-02-04</t>
        </is>
      </c>
      <c r="B187" s="100" t="inlineStr">
        <is>
          <t>臨床試験実施施設の査察（BIMO）への対応</t>
        </is>
      </c>
      <c r="C187" s="98" t="inlineStr">
        <is>
          <t>C05-04-03</t>
        </is>
      </c>
      <c r="D187" s="104">
        <f>IFERROR(INDEX(ケイパビリティマップ!$E:$E,MATCH(C187,ケイパビリティマップ!$A:$A,0)),"（IDなし）")</f>
        <v/>
      </c>
      <c r="E187" s="103" t="inlineStr">
        <is>
          <t>支援</t>
        </is>
      </c>
      <c r="F187" s="120">
        <f>LEFT(A187,5)</f>
        <v/>
      </c>
      <c r="G187" s="120">
        <f>LEFT(C187,6)</f>
        <v/>
      </c>
    </row>
    <row r="188" ht="15" customHeight="1" s="80">
      <c r="A188" s="98" t="inlineStr">
        <is>
          <t>05-02-05</t>
        </is>
      </c>
      <c r="B188" s="100" t="inlineStr">
        <is>
          <t>中間・後期レビュー会議</t>
        </is>
      </c>
      <c r="C188" s="98" t="inlineStr">
        <is>
          <t>C06-01-02</t>
        </is>
      </c>
      <c r="D188" s="104">
        <f>IFERROR(INDEX(ケイパビリティマップ!$E:$E,MATCH(C188,ケイパビリティマップ!$A:$A,0)),"（IDなし）")</f>
        <v/>
      </c>
      <c r="E188" s="103" t="inlineStr">
        <is>
          <t>主</t>
        </is>
      </c>
      <c r="F188" s="120">
        <f>LEFT(A188,5)</f>
        <v/>
      </c>
      <c r="G188" s="120">
        <f>LEFT(C188,6)</f>
        <v/>
      </c>
    </row>
    <row r="189" ht="15" customHeight="1" s="80">
      <c r="A189" s="98" t="inlineStr">
        <is>
          <t>05-02-06</t>
        </is>
      </c>
      <c r="B189" s="100" t="inlineStr">
        <is>
          <t>諮問委員会への対応（開催される場合）</t>
        </is>
      </c>
      <c r="C189" s="98" t="inlineStr">
        <is>
          <t>C06-01-02</t>
        </is>
      </c>
      <c r="D189" s="104">
        <f>IFERROR(INDEX(ケイパビリティマップ!$E:$E,MATCH(C189,ケイパビリティマップ!$A:$A,0)),"（IDなし）")</f>
        <v/>
      </c>
      <c r="E189" s="103" t="inlineStr">
        <is>
          <t>主</t>
        </is>
      </c>
      <c r="F189" s="120">
        <f>LEFT(A189,5)</f>
        <v/>
      </c>
      <c r="G189" s="120">
        <f>LEFT(C189,6)</f>
        <v/>
      </c>
    </row>
    <row r="190" ht="15" customHeight="1" s="80">
      <c r="A190" s="98" t="inlineStr">
        <is>
          <t>05-02-06</t>
        </is>
      </c>
      <c r="B190" s="100" t="inlineStr">
        <is>
          <t>諮問委員会への対応（開催される場合）</t>
        </is>
      </c>
      <c r="C190" s="98" t="inlineStr">
        <is>
          <t>C09-02-02</t>
        </is>
      </c>
      <c r="D190" s="104">
        <f>IFERROR(INDEX(ケイパビリティマップ!$E:$E,MATCH(C190,ケイパビリティマップ!$A:$A,0)),"（IDなし）")</f>
        <v/>
      </c>
      <c r="E190" s="103" t="inlineStr">
        <is>
          <t>支援</t>
        </is>
      </c>
      <c r="F190" s="120">
        <f>LEFT(A190,5)</f>
        <v/>
      </c>
      <c r="G190" s="120">
        <f>LEFT(C190,6)</f>
        <v/>
      </c>
    </row>
    <row r="191" ht="15" customHeight="1" s="80">
      <c r="A191" s="98" t="inlineStr">
        <is>
          <t>05-03-01</t>
        </is>
      </c>
      <c r="B191" s="100" t="inlineStr">
        <is>
          <t>表示（USPI・患者向け資料）の交渉・合意</t>
        </is>
      </c>
      <c r="C191" s="98" t="inlineStr">
        <is>
          <t>C06-03-01</t>
        </is>
      </c>
      <c r="D191" s="104">
        <f>IFERROR(INDEX(ケイパビリティマップ!$E:$E,MATCH(C191,ケイパビリティマップ!$A:$A,0)),"（IDなし）")</f>
        <v/>
      </c>
      <c r="E191" s="103" t="inlineStr">
        <is>
          <t>主</t>
        </is>
      </c>
      <c r="F191" s="120">
        <f>LEFT(A191,5)</f>
        <v/>
      </c>
      <c r="G191" s="120">
        <f>LEFT(C191,6)</f>
        <v/>
      </c>
    </row>
    <row r="192" ht="15" customHeight="1" s="80">
      <c r="A192" s="98" t="inlineStr">
        <is>
          <t>05-03-02</t>
        </is>
      </c>
      <c r="B192" s="104" t="inlineStr">
        <is>
          <t>REMS・市販後要求（PMR／PMC）の合意</t>
        </is>
      </c>
      <c r="C192" s="98" t="inlineStr">
        <is>
          <t>C09-02-03</t>
        </is>
      </c>
      <c r="D192" s="104">
        <f>IFERROR(INDEX(ケイパビリティマップ!$E:$E,MATCH(C192,ケイパビリティマップ!$A:$A,0)),"（IDなし）")</f>
        <v/>
      </c>
      <c r="E192" s="103" t="inlineStr">
        <is>
          <t>主</t>
        </is>
      </c>
      <c r="F192" s="120">
        <f>LEFT(A192,5)</f>
        <v/>
      </c>
      <c r="G192" s="120">
        <f>LEFT(C192,6)</f>
        <v/>
      </c>
    </row>
    <row r="193" ht="15" customHeight="1" s="80">
      <c r="A193" s="98" t="inlineStr">
        <is>
          <t>05-03-02</t>
        </is>
      </c>
      <c r="B193" s="104" t="inlineStr">
        <is>
          <t>REMS・市販後要求（PMR／PMC）の合意</t>
        </is>
      </c>
      <c r="C193" s="98" t="inlineStr">
        <is>
          <t>C06-04-01</t>
        </is>
      </c>
      <c r="D193" s="104">
        <f>IFERROR(INDEX(ケイパビリティマップ!$E:$E,MATCH(C193,ケイパビリティマップ!$A:$A,0)),"（IDなし）")</f>
        <v/>
      </c>
      <c r="E193" s="103" t="inlineStr">
        <is>
          <t>主</t>
        </is>
      </c>
      <c r="F193" s="120">
        <f>LEFT(A193,5)</f>
        <v/>
      </c>
      <c r="G193" s="120">
        <f>LEFT(C193,6)</f>
        <v/>
      </c>
    </row>
    <row r="194" ht="26.25" customHeight="1" s="80">
      <c r="A194" s="98" t="inlineStr">
        <is>
          <t>05-03-03</t>
        </is>
      </c>
      <c r="B194" s="100" t="inlineStr">
        <is>
          <t>★優先審査バウチャーの受領（希少小児疾患指定の場合）</t>
        </is>
      </c>
      <c r="C194" s="98" t="inlineStr">
        <is>
          <t>C06-01-03</t>
        </is>
      </c>
      <c r="D194" s="104">
        <f>IFERROR(INDEX(ケイパビリティマップ!$E:$E,MATCH(C194,ケイパビリティマップ!$A:$A,0)),"（IDなし）")</f>
        <v/>
      </c>
      <c r="E194" s="103" t="inlineStr">
        <is>
          <t>主</t>
        </is>
      </c>
      <c r="F194" s="120">
        <f>LEFT(A194,5)</f>
        <v/>
      </c>
      <c r="G194" s="120">
        <f>LEFT(C194,6)</f>
        <v/>
      </c>
    </row>
    <row r="195" ht="26.25" customHeight="1" s="80">
      <c r="A195" s="98" t="inlineStr">
        <is>
          <t>05-03-04</t>
        </is>
      </c>
      <c r="B195" s="100" t="inlineStr">
        <is>
          <t>承認通知の受領（または審査完了通知〔CRL〕への対応）</t>
        </is>
      </c>
      <c r="C195" s="98" t="inlineStr">
        <is>
          <t>C06-01-02</t>
        </is>
      </c>
      <c r="D195" s="104">
        <f>IFERROR(INDEX(ケイパビリティマップ!$E:$E,MATCH(C195,ケイパビリティマップ!$A:$A,0)),"（IDなし）")</f>
        <v/>
      </c>
      <c r="E195" s="103" t="inlineStr">
        <is>
          <t>主</t>
        </is>
      </c>
      <c r="F195" s="120">
        <f>LEFT(A195,5)</f>
        <v/>
      </c>
      <c r="G195" s="120">
        <f>LEFT(C195,6)</f>
        <v/>
      </c>
    </row>
    <row r="196" ht="26.25" customHeight="1" s="80">
      <c r="A196" s="98" t="inlineStr">
        <is>
          <t>05-03-04</t>
        </is>
      </c>
      <c r="B196" s="100" t="inlineStr">
        <is>
          <t>承認通知の受領（または審査完了通知〔CRL〕への対応）</t>
        </is>
      </c>
      <c r="C196" s="98" t="inlineStr">
        <is>
          <t>C06-02-03</t>
        </is>
      </c>
      <c r="D196" s="104">
        <f>IFERROR(INDEX(ケイパビリティマップ!$E:$E,MATCH(C196,ケイパビリティマップ!$A:$A,0)),"（IDなし）")</f>
        <v/>
      </c>
      <c r="E196" s="103" t="inlineStr">
        <is>
          <t>支援</t>
        </is>
      </c>
      <c r="F196" s="120">
        <f>LEFT(A196,5)</f>
        <v/>
      </c>
      <c r="G196" s="120">
        <f>LEFT(C196,6)</f>
        <v/>
      </c>
    </row>
    <row r="197" ht="26.25" customHeight="1" s="80">
      <c r="A197" s="98" t="inlineStr">
        <is>
          <t>05-03-04</t>
        </is>
      </c>
      <c r="B197" s="100" t="inlineStr">
        <is>
          <t>承認通知の受領（または審査完了通知〔CRL〕への対応）</t>
        </is>
      </c>
      <c r="C197" s="98" t="inlineStr">
        <is>
          <t>C06-04-04</t>
        </is>
      </c>
      <c r="D197" s="104">
        <f>IFERROR(INDEX(ケイパビリティマップ!$E:$E,MATCH(C197,ケイパビリティマップ!$A:$A,0)),"（IDなし）")</f>
        <v/>
      </c>
      <c r="E197" s="103" t="inlineStr">
        <is>
          <t>支援</t>
        </is>
      </c>
      <c r="F197" s="120">
        <f>LEFT(A197,5)</f>
        <v/>
      </c>
      <c r="G197" s="120">
        <f>LEFT(C197,6)</f>
        <v/>
      </c>
    </row>
    <row r="198" ht="15" customHeight="1" s="80">
      <c r="A198" s="98" t="inlineStr">
        <is>
          <t>06-01-01</t>
        </is>
      </c>
      <c r="B198" s="100" t="inlineStr">
        <is>
          <t>生産計画・資材手配</t>
        </is>
      </c>
      <c r="C198" s="98" t="inlineStr">
        <is>
          <t>C07-01-01</t>
        </is>
      </c>
      <c r="D198" s="104">
        <f>IFERROR(INDEX(ケイパビリティマップ!$E:$E,MATCH(C198,ケイパビリティマップ!$A:$A,0)),"（IDなし）")</f>
        <v/>
      </c>
      <c r="E198" s="103" t="inlineStr">
        <is>
          <t>主</t>
        </is>
      </c>
      <c r="F198" s="120">
        <f>LEFT(A198,5)</f>
        <v/>
      </c>
      <c r="G198" s="120">
        <f>LEFT(C198,6)</f>
        <v/>
      </c>
    </row>
    <row r="199" ht="15" customHeight="1" s="80">
      <c r="A199" s="98" t="inlineStr">
        <is>
          <t>06-01-01</t>
        </is>
      </c>
      <c r="B199" s="100" t="inlineStr">
        <is>
          <t>生産計画・資材手配</t>
        </is>
      </c>
      <c r="C199" s="98" t="inlineStr">
        <is>
          <t>C07-01-02</t>
        </is>
      </c>
      <c r="D199" s="104">
        <f>IFERROR(INDEX(ケイパビリティマップ!$E:$E,MATCH(C199,ケイパビリティマップ!$A:$A,0)),"（IDなし）")</f>
        <v/>
      </c>
      <c r="E199" s="103" t="inlineStr">
        <is>
          <t>主</t>
        </is>
      </c>
      <c r="F199" s="120">
        <f>LEFT(A199,5)</f>
        <v/>
      </c>
      <c r="G199" s="120">
        <f>LEFT(C199,6)</f>
        <v/>
      </c>
    </row>
    <row r="200" ht="15" customHeight="1" s="80">
      <c r="A200" s="98" t="inlineStr">
        <is>
          <t>06-01-02</t>
        </is>
      </c>
      <c r="B200" s="100" t="inlineStr">
        <is>
          <t>セルバンクの融解・拡大培養</t>
        </is>
      </c>
      <c r="C200" s="98" t="inlineStr">
        <is>
          <t>C07-02-01</t>
        </is>
      </c>
      <c r="D200" s="104">
        <f>IFERROR(INDEX(ケイパビリティマップ!$E:$E,MATCH(C200,ケイパビリティマップ!$A:$A,0)),"（IDなし）")</f>
        <v/>
      </c>
      <c r="E200" s="103" t="inlineStr">
        <is>
          <t>主</t>
        </is>
      </c>
      <c r="F200" s="120">
        <f>LEFT(A200,5)</f>
        <v/>
      </c>
      <c r="G200" s="120">
        <f>LEFT(C200,6)</f>
        <v/>
      </c>
    </row>
    <row r="201" ht="15" customHeight="1" s="80">
      <c r="A201" s="98" t="inlineStr">
        <is>
          <t>06-01-02</t>
        </is>
      </c>
      <c r="B201" s="100" t="inlineStr">
        <is>
          <t>セルバンクの融解・拡大培養</t>
        </is>
      </c>
      <c r="C201" s="98" t="inlineStr">
        <is>
          <t>C04-01-02</t>
        </is>
      </c>
      <c r="D201" s="104">
        <f>IFERROR(INDEX(ケイパビリティマップ!$E:$E,MATCH(C201,ケイパビリティマップ!$A:$A,0)),"（IDなし）")</f>
        <v/>
      </c>
      <c r="E201" s="103" t="inlineStr">
        <is>
          <t>支援</t>
        </is>
      </c>
      <c r="F201" s="120">
        <f>LEFT(A201,5)</f>
        <v/>
      </c>
      <c r="G201" s="120">
        <f>LEFT(C201,6)</f>
        <v/>
      </c>
    </row>
    <row r="202" ht="15" customHeight="1" s="80">
      <c r="A202" s="98" t="inlineStr">
        <is>
          <t>06-01-03</t>
        </is>
      </c>
      <c r="B202" s="100" t="inlineStr">
        <is>
          <t>本培養（バイオリアクター）</t>
        </is>
      </c>
      <c r="C202" s="98" t="inlineStr">
        <is>
          <t>C07-02-01</t>
        </is>
      </c>
      <c r="D202" s="104">
        <f>IFERROR(INDEX(ケイパビリティマップ!$E:$E,MATCH(C202,ケイパビリティマップ!$A:$A,0)),"（IDなし）")</f>
        <v/>
      </c>
      <c r="E202" s="103" t="inlineStr">
        <is>
          <t>主</t>
        </is>
      </c>
      <c r="F202" s="120">
        <f>LEFT(A202,5)</f>
        <v/>
      </c>
      <c r="G202" s="120">
        <f>LEFT(C202,6)</f>
        <v/>
      </c>
    </row>
    <row r="203" ht="15" customHeight="1" s="80">
      <c r="A203" s="98" t="inlineStr">
        <is>
          <t>06-01-03</t>
        </is>
      </c>
      <c r="B203" s="100" t="inlineStr">
        <is>
          <t>本培養（バイオリアクター）</t>
        </is>
      </c>
      <c r="C203" s="98" t="inlineStr">
        <is>
          <t>C07-04-02</t>
        </is>
      </c>
      <c r="D203" s="104">
        <f>IFERROR(INDEX(ケイパビリティマップ!$E:$E,MATCH(C203,ケイパビリティマップ!$A:$A,0)),"（IDなし）")</f>
        <v/>
      </c>
      <c r="E203" s="103" t="inlineStr">
        <is>
          <t>支援</t>
        </is>
      </c>
      <c r="F203" s="120">
        <f>LEFT(A203,5)</f>
        <v/>
      </c>
      <c r="G203" s="120">
        <f>LEFT(C203,6)</f>
        <v/>
      </c>
    </row>
    <row r="204" ht="15" customHeight="1" s="80">
      <c r="A204" s="98" t="inlineStr">
        <is>
          <t>06-01-04</t>
        </is>
      </c>
      <c r="B204" s="100" t="inlineStr">
        <is>
          <t>ハーベスト・精製</t>
        </is>
      </c>
      <c r="C204" s="98" t="inlineStr">
        <is>
          <t>C07-02-02</t>
        </is>
      </c>
      <c r="D204" s="104">
        <f>IFERROR(INDEX(ケイパビリティマップ!$E:$E,MATCH(C204,ケイパビリティマップ!$A:$A,0)),"（IDなし）")</f>
        <v/>
      </c>
      <c r="E204" s="103" t="inlineStr">
        <is>
          <t>主</t>
        </is>
      </c>
      <c r="F204" s="120">
        <f>LEFT(A204,5)</f>
        <v/>
      </c>
      <c r="G204" s="120">
        <f>LEFT(C204,6)</f>
        <v/>
      </c>
    </row>
    <row r="205" ht="15" customHeight="1" s="80">
      <c r="A205" s="98" t="inlineStr">
        <is>
          <t>06-01-05</t>
        </is>
      </c>
      <c r="B205" s="100" t="inlineStr">
        <is>
          <t>原薬の充填・保管</t>
        </is>
      </c>
      <c r="C205" s="98" t="inlineStr">
        <is>
          <t>C07-02-03</t>
        </is>
      </c>
      <c r="D205" s="104">
        <f>IFERROR(INDEX(ケイパビリティマップ!$E:$E,MATCH(C205,ケイパビリティマップ!$A:$A,0)),"（IDなし）")</f>
        <v/>
      </c>
      <c r="E205" s="103" t="inlineStr">
        <is>
          <t>主</t>
        </is>
      </c>
      <c r="F205" s="120">
        <f>LEFT(A205,5)</f>
        <v/>
      </c>
      <c r="G205" s="120">
        <f>LEFT(C205,6)</f>
        <v/>
      </c>
    </row>
    <row r="206" ht="15" customHeight="1" s="80">
      <c r="A206" s="98" t="inlineStr">
        <is>
          <t>06-02-01</t>
        </is>
      </c>
      <c r="B206" s="100" t="inlineStr">
        <is>
          <t>薬液調製・無菌ろ過</t>
        </is>
      </c>
      <c r="C206" s="98" t="inlineStr">
        <is>
          <t>C07-03-01</t>
        </is>
      </c>
      <c r="D206" s="104">
        <f>IFERROR(INDEX(ケイパビリティマップ!$E:$E,MATCH(C206,ケイパビリティマップ!$A:$A,0)),"（IDなし）")</f>
        <v/>
      </c>
      <c r="E206" s="103" t="inlineStr">
        <is>
          <t>主</t>
        </is>
      </c>
      <c r="F206" s="120">
        <f>LEFT(A206,5)</f>
        <v/>
      </c>
      <c r="G206" s="120">
        <f>LEFT(C206,6)</f>
        <v/>
      </c>
    </row>
    <row r="207" ht="15" customHeight="1" s="80">
      <c r="A207" s="98" t="inlineStr">
        <is>
          <t>06-02-02</t>
        </is>
      </c>
      <c r="B207" s="100" t="inlineStr">
        <is>
          <t>無菌充填</t>
        </is>
      </c>
      <c r="C207" s="98" t="inlineStr">
        <is>
          <t>C07-03-01</t>
        </is>
      </c>
      <c r="D207" s="104">
        <f>IFERROR(INDEX(ケイパビリティマップ!$E:$E,MATCH(C207,ケイパビリティマップ!$A:$A,0)),"（IDなし）")</f>
        <v/>
      </c>
      <c r="E207" s="103" t="inlineStr">
        <is>
          <t>主</t>
        </is>
      </c>
      <c r="F207" s="120">
        <f>LEFT(A207,5)</f>
        <v/>
      </c>
      <c r="G207" s="120">
        <f>LEFT(C207,6)</f>
        <v/>
      </c>
    </row>
    <row r="208" ht="15" customHeight="1" s="80">
      <c r="A208" s="98" t="inlineStr">
        <is>
          <t>06-02-02</t>
        </is>
      </c>
      <c r="B208" s="100" t="inlineStr">
        <is>
          <t>無菌充填</t>
        </is>
      </c>
      <c r="C208" s="98" t="inlineStr">
        <is>
          <t>C07-04-02</t>
        </is>
      </c>
      <c r="D208" s="104">
        <f>IFERROR(INDEX(ケイパビリティマップ!$E:$E,MATCH(C208,ケイパビリティマップ!$A:$A,0)),"（IDなし）")</f>
        <v/>
      </c>
      <c r="E208" s="103" t="inlineStr">
        <is>
          <t>支援</t>
        </is>
      </c>
      <c r="F208" s="120">
        <f>LEFT(A208,5)</f>
        <v/>
      </c>
      <c r="G208" s="120">
        <f>LEFT(C208,6)</f>
        <v/>
      </c>
    </row>
    <row r="209" ht="15" customHeight="1" s="80">
      <c r="A209" s="98" t="inlineStr">
        <is>
          <t>06-02-03</t>
        </is>
      </c>
      <c r="B209" s="100" t="inlineStr">
        <is>
          <t>外観検査</t>
        </is>
      </c>
      <c r="C209" s="98" t="inlineStr">
        <is>
          <t>C07-03-02</t>
        </is>
      </c>
      <c r="D209" s="104">
        <f>IFERROR(INDEX(ケイパビリティマップ!$E:$E,MATCH(C209,ケイパビリティマップ!$A:$A,0)),"（IDなし）")</f>
        <v/>
      </c>
      <c r="E209" s="103" t="inlineStr">
        <is>
          <t>主</t>
        </is>
      </c>
      <c r="F209" s="120">
        <f>LEFT(A209,5)</f>
        <v/>
      </c>
      <c r="G209" s="120">
        <f>LEFT(C209,6)</f>
        <v/>
      </c>
    </row>
    <row r="210" ht="15" customHeight="1" s="80">
      <c r="A210" s="98" t="inlineStr">
        <is>
          <t>06-02-04</t>
        </is>
      </c>
      <c r="B210" s="100" t="inlineStr">
        <is>
          <t>表示・包装</t>
        </is>
      </c>
      <c r="C210" s="98" t="inlineStr">
        <is>
          <t>C07-03-03</t>
        </is>
      </c>
      <c r="D210" s="104">
        <f>IFERROR(INDEX(ケイパビリティマップ!$E:$E,MATCH(C210,ケイパビリティマップ!$A:$A,0)),"（IDなし）")</f>
        <v/>
      </c>
      <c r="E210" s="103" t="inlineStr">
        <is>
          <t>主</t>
        </is>
      </c>
      <c r="F210" s="120">
        <f>LEFT(A210,5)</f>
        <v/>
      </c>
      <c r="G210" s="120">
        <f>LEFT(C210,6)</f>
        <v/>
      </c>
    </row>
    <row r="211" ht="15" customHeight="1" s="80">
      <c r="A211" s="98" t="inlineStr">
        <is>
          <t>06-02-04</t>
        </is>
      </c>
      <c r="B211" s="100" t="inlineStr">
        <is>
          <t>表示・包装</t>
        </is>
      </c>
      <c r="C211" s="98" t="inlineStr">
        <is>
          <t>C12-04-01</t>
        </is>
      </c>
      <c r="D211" s="104">
        <f>IFERROR(INDEX(ケイパビリティマップ!$E:$E,MATCH(C211,ケイパビリティマップ!$A:$A,0)),"（IDなし）")</f>
        <v/>
      </c>
      <c r="E211" s="103" t="inlineStr">
        <is>
          <t>支援</t>
        </is>
      </c>
      <c r="F211" s="120">
        <f>LEFT(A211,5)</f>
        <v/>
      </c>
      <c r="G211" s="120">
        <f>LEFT(C211,6)</f>
        <v/>
      </c>
    </row>
    <row r="212" ht="15" customHeight="1" s="80">
      <c r="A212" s="98" t="inlineStr">
        <is>
          <t>06-03-01</t>
        </is>
      </c>
      <c r="B212" s="100" t="inlineStr">
        <is>
          <t>工程内試験・規格試験</t>
        </is>
      </c>
      <c r="C212" s="98" t="inlineStr">
        <is>
          <t>C08-01-01</t>
        </is>
      </c>
      <c r="D212" s="104">
        <f>IFERROR(INDEX(ケイパビリティマップ!$E:$E,MATCH(C212,ケイパビリティマップ!$A:$A,0)),"（IDなし）")</f>
        <v/>
      </c>
      <c r="E212" s="103" t="inlineStr">
        <is>
          <t>主</t>
        </is>
      </c>
      <c r="F212" s="120">
        <f>LEFT(A212,5)</f>
        <v/>
      </c>
      <c r="G212" s="120">
        <f>LEFT(C212,6)</f>
        <v/>
      </c>
    </row>
    <row r="213" ht="15" customHeight="1" s="80">
      <c r="A213" s="98" t="inlineStr">
        <is>
          <t>06-03-01</t>
        </is>
      </c>
      <c r="B213" s="100" t="inlineStr">
        <is>
          <t>工程内試験・規格試験</t>
        </is>
      </c>
      <c r="C213" s="98" t="inlineStr">
        <is>
          <t>C08-01-03</t>
        </is>
      </c>
      <c r="D213" s="104">
        <f>IFERROR(INDEX(ケイパビリティマップ!$E:$E,MATCH(C213,ケイパビリティマップ!$A:$A,0)),"（IDなし）")</f>
        <v/>
      </c>
      <c r="E213" s="103" t="inlineStr">
        <is>
          <t>支援</t>
        </is>
      </c>
      <c r="F213" s="120">
        <f>LEFT(A213,5)</f>
        <v/>
      </c>
      <c r="G213" s="120">
        <f>LEFT(C213,6)</f>
        <v/>
      </c>
    </row>
    <row r="214" ht="26.25" customHeight="1" s="80">
      <c r="A214" s="98" t="inlineStr">
        <is>
          <t>06-03-02</t>
        </is>
      </c>
      <c r="B214" s="100" t="inlineStr">
        <is>
          <t>逸脱・変更の管理（変更は21 CFR 601.12の報告区分を判定）</t>
        </is>
      </c>
      <c r="C214" s="98" t="inlineStr">
        <is>
          <t>C08-02-02</t>
        </is>
      </c>
      <c r="D214" s="104">
        <f>IFERROR(INDEX(ケイパビリティマップ!$E:$E,MATCH(C214,ケイパビリティマップ!$A:$A,0)),"（IDなし）")</f>
        <v/>
      </c>
      <c r="E214" s="103" t="inlineStr">
        <is>
          <t>主</t>
        </is>
      </c>
      <c r="F214" s="120">
        <f>LEFT(A214,5)</f>
        <v/>
      </c>
      <c r="G214" s="120">
        <f>LEFT(C214,6)</f>
        <v/>
      </c>
    </row>
    <row r="215" ht="26.25" customHeight="1" s="80">
      <c r="A215" s="98" t="inlineStr">
        <is>
          <t>06-03-02</t>
        </is>
      </c>
      <c r="B215" s="100" t="inlineStr">
        <is>
          <t>逸脱・変更の管理（変更は21 CFR 601.12の報告区分を判定）</t>
        </is>
      </c>
      <c r="C215" s="98" t="inlineStr">
        <is>
          <t>C08-02-03</t>
        </is>
      </c>
      <c r="D215" s="104">
        <f>IFERROR(INDEX(ケイパビリティマップ!$E:$E,MATCH(C215,ケイパビリティマップ!$A:$A,0)),"（IDなし）")</f>
        <v/>
      </c>
      <c r="E215" s="103" t="inlineStr">
        <is>
          <t>主</t>
        </is>
      </c>
      <c r="F215" s="120">
        <f>LEFT(A215,5)</f>
        <v/>
      </c>
      <c r="G215" s="120">
        <f>LEFT(C215,6)</f>
        <v/>
      </c>
    </row>
    <row r="216" ht="26.25" customHeight="1" s="80">
      <c r="A216" s="98" t="inlineStr">
        <is>
          <t>06-03-02</t>
        </is>
      </c>
      <c r="B216" s="100" t="inlineStr">
        <is>
          <t>逸脱・変更の管理（変更は21 CFR 601.12の報告区分を判定）</t>
        </is>
      </c>
      <c r="C216" s="98" t="inlineStr">
        <is>
          <t>C06-04-02</t>
        </is>
      </c>
      <c r="D216" s="104">
        <f>IFERROR(INDEX(ケイパビリティマップ!$E:$E,MATCH(C216,ケイパビリティマップ!$A:$A,0)),"（IDなし）")</f>
        <v/>
      </c>
      <c r="E216" s="103" t="inlineStr">
        <is>
          <t>支援</t>
        </is>
      </c>
      <c r="F216" s="120">
        <f>LEFT(A216,5)</f>
        <v/>
      </c>
      <c r="G216" s="120">
        <f>LEFT(C216,6)</f>
        <v/>
      </c>
    </row>
    <row r="217" ht="15" customHeight="1" s="80">
      <c r="A217" s="98" t="inlineStr">
        <is>
          <t>06-03-03</t>
        </is>
      </c>
      <c r="B217" s="100" t="inlineStr">
        <is>
          <t>製造記録の照査・品質部門によるロット出荷判定</t>
        </is>
      </c>
      <c r="C217" s="98" t="inlineStr">
        <is>
          <t>C08-02-01</t>
        </is>
      </c>
      <c r="D217" s="104">
        <f>IFERROR(INDEX(ケイパビリティマップ!$E:$E,MATCH(C217,ケイパビリティマップ!$A:$A,0)),"（IDなし）")</f>
        <v/>
      </c>
      <c r="E217" s="103" t="inlineStr">
        <is>
          <t>主</t>
        </is>
      </c>
      <c r="F217" s="120">
        <f>LEFT(A217,5)</f>
        <v/>
      </c>
      <c r="G217" s="120">
        <f>LEFT(C217,6)</f>
        <v/>
      </c>
    </row>
    <row r="218" ht="15" customHeight="1" s="80">
      <c r="A218" s="98" t="inlineStr">
        <is>
          <t>06-03-03</t>
        </is>
      </c>
      <c r="B218" s="100" t="inlineStr">
        <is>
          <t>製造記録の照査・品質部門によるロット出荷判定</t>
        </is>
      </c>
      <c r="C218" s="98" t="inlineStr">
        <is>
          <t>C07-01-03</t>
        </is>
      </c>
      <c r="D218" s="104">
        <f>IFERROR(INDEX(ケイパビリティマップ!$E:$E,MATCH(C218,ケイパビリティマップ!$A:$A,0)),"（IDなし）")</f>
        <v/>
      </c>
      <c r="E218" s="103" t="inlineStr">
        <is>
          <t>支援</t>
        </is>
      </c>
      <c r="F218" s="120">
        <f>LEFT(A218,5)</f>
        <v/>
      </c>
      <c r="G218" s="120">
        <f>LEFT(C218,6)</f>
        <v/>
      </c>
    </row>
    <row r="219" ht="15" customHeight="1" s="80">
      <c r="A219" s="98" t="inlineStr">
        <is>
          <t>06-03-04</t>
        </is>
      </c>
      <c r="B219" s="100" t="inlineStr">
        <is>
          <t>安定性モニタリング・年次製品照査（APR）</t>
        </is>
      </c>
      <c r="C219" s="98" t="inlineStr">
        <is>
          <t>C08-01-02</t>
        </is>
      </c>
      <c r="D219" s="104">
        <f>IFERROR(INDEX(ケイパビリティマップ!$E:$E,MATCH(C219,ケイパビリティマップ!$A:$A,0)),"（IDなし）")</f>
        <v/>
      </c>
      <c r="E219" s="103" t="inlineStr">
        <is>
          <t>主</t>
        </is>
      </c>
      <c r="F219" s="120">
        <f>LEFT(A219,5)</f>
        <v/>
      </c>
      <c r="G219" s="120">
        <f>LEFT(C219,6)</f>
        <v/>
      </c>
    </row>
    <row r="220" ht="15" customHeight="1" s="80">
      <c r="A220" s="98" t="inlineStr">
        <is>
          <t>06-03-04</t>
        </is>
      </c>
      <c r="B220" s="100" t="inlineStr">
        <is>
          <t>安定性モニタリング・年次製品照査（APR）</t>
        </is>
      </c>
      <c r="C220" s="98" t="inlineStr">
        <is>
          <t>C08-02-04</t>
        </is>
      </c>
      <c r="D220" s="104">
        <f>IFERROR(INDEX(ケイパビリティマップ!$E:$E,MATCH(C220,ケイパビリティマップ!$A:$A,0)),"（IDなし）")</f>
        <v/>
      </c>
      <c r="E220" s="103" t="inlineStr">
        <is>
          <t>主</t>
        </is>
      </c>
      <c r="F220" s="120">
        <f>LEFT(A220,5)</f>
        <v/>
      </c>
      <c r="G220" s="120">
        <f>LEFT(C220,6)</f>
        <v/>
      </c>
    </row>
    <row r="221" ht="15" customHeight="1" s="80">
      <c r="A221" s="98" t="inlineStr">
        <is>
          <t>07-01-01</t>
        </is>
      </c>
      <c r="B221" s="100" t="inlineStr">
        <is>
          <t>価格（WAC）の設定</t>
        </is>
      </c>
      <c r="C221" s="98" t="inlineStr">
        <is>
          <t>C11-01-01</t>
        </is>
      </c>
      <c r="D221" s="104">
        <f>IFERROR(INDEX(ケイパビリティマップ!$E:$E,MATCH(C221,ケイパビリティマップ!$A:$A,0)),"（IDなし）")</f>
        <v/>
      </c>
      <c r="E221" s="103" t="inlineStr">
        <is>
          <t>主</t>
        </is>
      </c>
      <c r="F221" s="120">
        <f>LEFT(A221,5)</f>
        <v/>
      </c>
      <c r="G221" s="120">
        <f>LEFT(C221,6)</f>
        <v/>
      </c>
    </row>
    <row r="222" ht="15" customHeight="1" s="80">
      <c r="A222" s="98" t="inlineStr">
        <is>
          <t>07-01-01</t>
        </is>
      </c>
      <c r="B222" s="100" t="inlineStr">
        <is>
          <t>価格（WAC）の設定</t>
        </is>
      </c>
      <c r="C222" s="98" t="inlineStr">
        <is>
          <t>C11-01-02</t>
        </is>
      </c>
      <c r="D222" s="104">
        <f>IFERROR(INDEX(ケイパビリティマップ!$E:$E,MATCH(C222,ケイパビリティマップ!$A:$A,0)),"（IDなし）")</f>
        <v/>
      </c>
      <c r="E222" s="103" t="inlineStr">
        <is>
          <t>支援</t>
        </is>
      </c>
      <c r="F222" s="120">
        <f>LEFT(A222,5)</f>
        <v/>
      </c>
      <c r="G222" s="120">
        <f>LEFT(C222,6)</f>
        <v/>
      </c>
    </row>
    <row r="223" ht="15" customHeight="1" s="80">
      <c r="A223" s="98" t="inlineStr">
        <is>
          <t>07-01-01</t>
        </is>
      </c>
      <c r="B223" s="100" t="inlineStr">
        <is>
          <t>価格（WAC）の設定</t>
        </is>
      </c>
      <c r="C223" s="98" t="inlineStr">
        <is>
          <t>C05-02-04</t>
        </is>
      </c>
      <c r="D223" s="104">
        <f>IFERROR(INDEX(ケイパビリティマップ!$E:$E,MATCH(C223,ケイパビリティマップ!$A:$A,0)),"（IDなし）")</f>
        <v/>
      </c>
      <c r="E223" s="103" t="inlineStr">
        <is>
          <t>支援</t>
        </is>
      </c>
      <c r="F223" s="120">
        <f>LEFT(A223,5)</f>
        <v/>
      </c>
      <c r="G223" s="120">
        <f>LEFT(C223,6)</f>
        <v/>
      </c>
    </row>
    <row r="224" ht="26.25" customHeight="1" s="80">
      <c r="A224" s="98" t="inlineStr">
        <is>
          <t>07-01-02</t>
        </is>
      </c>
      <c r="B224" s="100" t="inlineStr">
        <is>
          <t>公的保険への対応（Medicaid薬剤リベート契約、Medicare Part B／D）</t>
        </is>
      </c>
      <c r="C224" s="98" t="inlineStr">
        <is>
          <t>C11-02-02</t>
        </is>
      </c>
      <c r="D224" s="104">
        <f>IFERROR(INDEX(ケイパビリティマップ!$E:$E,MATCH(C224,ケイパビリティマップ!$A:$A,0)),"（IDなし）")</f>
        <v/>
      </c>
      <c r="E224" s="103" t="inlineStr">
        <is>
          <t>主</t>
        </is>
      </c>
      <c r="F224" s="120">
        <f>LEFT(A224,5)</f>
        <v/>
      </c>
      <c r="G224" s="120">
        <f>LEFT(C224,6)</f>
        <v/>
      </c>
    </row>
    <row r="225" ht="26.25" customHeight="1" s="80">
      <c r="A225" s="98" t="inlineStr">
        <is>
          <t>07-01-02</t>
        </is>
      </c>
      <c r="B225" s="100" t="inlineStr">
        <is>
          <t>公的保険への対応（Medicaid薬剤リベート契約、Medicare Part B／D）</t>
        </is>
      </c>
      <c r="C225" s="98" t="inlineStr">
        <is>
          <t>C11-02-01</t>
        </is>
      </c>
      <c r="D225" s="104">
        <f>IFERROR(INDEX(ケイパビリティマップ!$E:$E,MATCH(C225,ケイパビリティマップ!$A:$A,0)),"（IDなし）")</f>
        <v/>
      </c>
      <c r="E225" s="103" t="inlineStr">
        <is>
          <t>支援</t>
        </is>
      </c>
      <c r="F225" s="120">
        <f>LEFT(A225,5)</f>
        <v/>
      </c>
      <c r="G225" s="120">
        <f>LEFT(C225,6)</f>
        <v/>
      </c>
    </row>
    <row r="226" ht="15" customHeight="1" s="80">
      <c r="A226" s="98" t="inlineStr">
        <is>
          <t>07-01-03</t>
        </is>
      </c>
      <c r="B226" s="104" t="inlineStr">
        <is>
          <t>HCPCSコードの申請（医師投与型の場合）</t>
        </is>
      </c>
      <c r="C226" s="98" t="inlineStr">
        <is>
          <t>C11-02-02</t>
        </is>
      </c>
      <c r="D226" s="104">
        <f>IFERROR(INDEX(ケイパビリティマップ!$E:$E,MATCH(C226,ケイパビリティマップ!$A:$A,0)),"（IDなし）")</f>
        <v/>
      </c>
      <c r="E226" s="103" t="inlineStr">
        <is>
          <t>主</t>
        </is>
      </c>
      <c r="F226" s="120">
        <f>LEFT(A226,5)</f>
        <v/>
      </c>
      <c r="G226" s="120">
        <f>LEFT(C226,6)</f>
        <v/>
      </c>
    </row>
    <row r="227" ht="26.25" customHeight="1" s="80">
      <c r="A227" s="98" t="inlineStr">
        <is>
          <t>07-01-04</t>
        </is>
      </c>
      <c r="B227" s="100" t="inlineStr">
        <is>
          <t>★民間保険・PBMとの交渉（事前承認基準、成果連動型契約を含む）</t>
        </is>
      </c>
      <c r="C227" s="98" t="inlineStr">
        <is>
          <t>C11-01-03</t>
        </is>
      </c>
      <c r="D227" s="104">
        <f>IFERROR(INDEX(ケイパビリティマップ!$E:$E,MATCH(C227,ケイパビリティマップ!$A:$A,0)),"（IDなし）")</f>
        <v/>
      </c>
      <c r="E227" s="103" t="inlineStr">
        <is>
          <t>主</t>
        </is>
      </c>
      <c r="F227" s="120">
        <f>LEFT(A227,5)</f>
        <v/>
      </c>
      <c r="G227" s="120">
        <f>LEFT(C227,6)</f>
        <v/>
      </c>
    </row>
    <row r="228" ht="26.25" customHeight="1" s="80">
      <c r="A228" s="98" t="inlineStr">
        <is>
          <t>07-01-04</t>
        </is>
      </c>
      <c r="B228" s="100" t="inlineStr">
        <is>
          <t>★民間保険・PBMとの交渉（事前承認基準、成果連動型契約を含む）</t>
        </is>
      </c>
      <c r="C228" s="98" t="inlineStr">
        <is>
          <t>C11-01-02</t>
        </is>
      </c>
      <c r="D228" s="104">
        <f>IFERROR(INDEX(ケイパビリティマップ!$E:$E,MATCH(C228,ケイパビリティマップ!$A:$A,0)),"（IDなし）")</f>
        <v/>
      </c>
      <c r="E228" s="103" t="inlineStr">
        <is>
          <t>支援</t>
        </is>
      </c>
      <c r="F228" s="120">
        <f>LEFT(A228,5)</f>
        <v/>
      </c>
      <c r="G228" s="120">
        <f>LEFT(C228,6)</f>
        <v/>
      </c>
    </row>
    <row r="229" ht="26.25" customHeight="1" s="80">
      <c r="A229" s="98" t="inlineStr">
        <is>
          <t>07-01-05</t>
        </is>
      </c>
      <c r="B229" s="100" t="inlineStr">
        <is>
          <t>患者支援プログラムの構築（ハブサービス・自己負担支援）</t>
        </is>
      </c>
      <c r="C229" s="98" t="inlineStr">
        <is>
          <t>C10-04-01</t>
        </is>
      </c>
      <c r="D229" s="104">
        <f>IFERROR(INDEX(ケイパビリティマップ!$E:$E,MATCH(C229,ケイパビリティマップ!$A:$A,0)),"（IDなし）")</f>
        <v/>
      </c>
      <c r="E229" s="103" t="inlineStr">
        <is>
          <t>主</t>
        </is>
      </c>
      <c r="F229" s="120">
        <f>LEFT(A229,5)</f>
        <v/>
      </c>
      <c r="G229" s="120">
        <f>LEFT(C229,6)</f>
        <v/>
      </c>
    </row>
    <row r="230" ht="26.25" customHeight="1" s="80">
      <c r="A230" s="98" t="inlineStr">
        <is>
          <t>07-01-05</t>
        </is>
      </c>
      <c r="B230" s="100" t="inlineStr">
        <is>
          <t>患者支援プログラムの構築（ハブサービス・自己負担支援）</t>
        </is>
      </c>
      <c r="C230" s="98" t="inlineStr">
        <is>
          <t>C10-04-02</t>
        </is>
      </c>
      <c r="D230" s="104">
        <f>IFERROR(INDEX(ケイパビリティマップ!$E:$E,MATCH(C230,ケイパビリティマップ!$A:$A,0)),"（IDなし）")</f>
        <v/>
      </c>
      <c r="E230" s="103" t="inlineStr">
        <is>
          <t>支援</t>
        </is>
      </c>
      <c r="F230" s="120">
        <f>LEFT(A230,5)</f>
        <v/>
      </c>
      <c r="G230" s="120">
        <f>LEFT(C230,6)</f>
        <v/>
      </c>
    </row>
    <row r="231" ht="26.25" customHeight="1" s="80">
      <c r="A231" s="98" t="inlineStr">
        <is>
          <t>07-01-05</t>
        </is>
      </c>
      <c r="B231" s="100" t="inlineStr">
        <is>
          <t>患者支援プログラムの構築（ハブサービス・自己負担支援）</t>
        </is>
      </c>
      <c r="C231" s="98" t="inlineStr">
        <is>
          <t>C10-04-03</t>
        </is>
      </c>
      <c r="D231" s="104">
        <f>IFERROR(INDEX(ケイパビリティマップ!$E:$E,MATCH(C231,ケイパビリティマップ!$A:$A,0)),"（IDなし）")</f>
        <v/>
      </c>
      <c r="E231" s="103" t="inlineStr">
        <is>
          <t>支援</t>
        </is>
      </c>
      <c r="F231" s="120">
        <f>LEFT(A231,5)</f>
        <v/>
      </c>
      <c r="G231" s="120">
        <f>LEFT(C231,6)</f>
        <v/>
      </c>
    </row>
    <row r="232" ht="26.25" customHeight="1" s="80">
      <c r="A232" s="98" t="inlineStr">
        <is>
          <t>07-01-05</t>
        </is>
      </c>
      <c r="B232" s="100" t="inlineStr">
        <is>
          <t>患者支援プログラムの構築（ハブサービス・自己負担支援）</t>
        </is>
      </c>
      <c r="C232" s="98" t="inlineStr">
        <is>
          <t>C13-01-03</t>
        </is>
      </c>
      <c r="D232" s="104">
        <f>IFERROR(INDEX(ケイパビリティマップ!$E:$E,MATCH(C232,ケイパビリティマップ!$A:$A,0)),"（IDなし）")</f>
        <v/>
      </c>
      <c r="E232" s="103" t="inlineStr">
        <is>
          <t>支援</t>
        </is>
      </c>
      <c r="F232" s="120">
        <f>LEFT(A232,5)</f>
        <v/>
      </c>
      <c r="G232" s="120">
        <f>LEFT(C232,6)</f>
        <v/>
      </c>
    </row>
    <row r="233" ht="26.25" customHeight="1" s="80">
      <c r="A233" s="98" t="inlineStr">
        <is>
          <t>07-02-01</t>
        </is>
      </c>
      <c r="B233" s="100" t="inlineStr">
        <is>
          <t>販促資材の作成・FDA（OPDP）への提出（Form FDA 2253）</t>
        </is>
      </c>
      <c r="C233" s="98" t="inlineStr">
        <is>
          <t>C11-03-01</t>
        </is>
      </c>
      <c r="D233" s="104">
        <f>IFERROR(INDEX(ケイパビリティマップ!$E:$E,MATCH(C233,ケイパビリティマップ!$A:$A,0)),"（IDなし）")</f>
        <v/>
      </c>
      <c r="E233" s="103" t="inlineStr">
        <is>
          <t>主</t>
        </is>
      </c>
      <c r="F233" s="120">
        <f>LEFT(A233,5)</f>
        <v/>
      </c>
      <c r="G233" s="120">
        <f>LEFT(C233,6)</f>
        <v/>
      </c>
    </row>
    <row r="234" ht="26.25" customHeight="1" s="80">
      <c r="A234" s="98" t="inlineStr">
        <is>
          <t>07-02-01</t>
        </is>
      </c>
      <c r="B234" s="100" t="inlineStr">
        <is>
          <t>販促資材の作成・FDA（OPDP）への提出（Form FDA 2253）</t>
        </is>
      </c>
      <c r="C234" s="98" t="inlineStr">
        <is>
          <t>C11-03-02</t>
        </is>
      </c>
      <c r="D234" s="104">
        <f>IFERROR(INDEX(ケイパビリティマップ!$E:$E,MATCH(C234,ケイパビリティマップ!$A:$A,0)),"（IDなし）")</f>
        <v/>
      </c>
      <c r="E234" s="103" t="inlineStr">
        <is>
          <t>主</t>
        </is>
      </c>
      <c r="F234" s="120">
        <f>LEFT(A234,5)</f>
        <v/>
      </c>
      <c r="G234" s="120">
        <f>LEFT(C234,6)</f>
        <v/>
      </c>
    </row>
    <row r="235" ht="15" customHeight="1" s="80">
      <c r="A235" s="98" t="inlineStr">
        <is>
          <t>07-02-02</t>
        </is>
      </c>
      <c r="B235" s="104" t="inlineStr">
        <is>
          <t>MSL・営業担当の教育</t>
        </is>
      </c>
      <c r="C235" s="98" t="inlineStr">
        <is>
          <t>C11-04-03</t>
        </is>
      </c>
      <c r="D235" s="104">
        <f>IFERROR(INDEX(ケイパビリティマップ!$E:$E,MATCH(C235,ケイパビリティマップ!$A:$A,0)),"（IDなし）")</f>
        <v/>
      </c>
      <c r="E235" s="103" t="inlineStr">
        <is>
          <t>主</t>
        </is>
      </c>
      <c r="F235" s="120">
        <f>LEFT(A235,5)</f>
        <v/>
      </c>
      <c r="G235" s="120">
        <f>LEFT(C235,6)</f>
        <v/>
      </c>
    </row>
    <row r="236" ht="15" customHeight="1" s="80">
      <c r="A236" s="98" t="inlineStr">
        <is>
          <t>07-02-02</t>
        </is>
      </c>
      <c r="B236" s="104" t="inlineStr">
        <is>
          <t>MSL・営業担当の教育</t>
        </is>
      </c>
      <c r="C236" s="98" t="inlineStr">
        <is>
          <t>C10-02-01</t>
        </is>
      </c>
      <c r="D236" s="104">
        <f>IFERROR(INDEX(ケイパビリティマップ!$E:$E,MATCH(C236,ケイパビリティマップ!$A:$A,0)),"（IDなし）")</f>
        <v/>
      </c>
      <c r="E236" s="103" t="inlineStr">
        <is>
          <t>支援</t>
        </is>
      </c>
      <c r="F236" s="120">
        <f>LEFT(A236,5)</f>
        <v/>
      </c>
      <c r="G236" s="120">
        <f>LEFT(C236,6)</f>
        <v/>
      </c>
    </row>
    <row r="237" ht="15" customHeight="1" s="80">
      <c r="A237" s="98" t="inlineStr">
        <is>
          <t>07-02-02</t>
        </is>
      </c>
      <c r="B237" s="104" t="inlineStr">
        <is>
          <t>MSL・営業担当の教育</t>
        </is>
      </c>
      <c r="C237" s="98" t="inlineStr">
        <is>
          <t>C11-04-01</t>
        </is>
      </c>
      <c r="D237" s="104">
        <f>IFERROR(INDEX(ケイパビリティマップ!$E:$E,MATCH(C237,ケイパビリティマップ!$A:$A,0)),"（IDなし）")</f>
        <v/>
      </c>
      <c r="E237" s="103" t="inlineStr">
        <is>
          <t>支援</t>
        </is>
      </c>
      <c r="F237" s="120">
        <f>LEFT(A237,5)</f>
        <v/>
      </c>
      <c r="G237" s="120">
        <f>LEFT(C237,6)</f>
        <v/>
      </c>
    </row>
    <row r="238" ht="26.25" customHeight="1" s="80">
      <c r="A238" s="98" t="inlineStr">
        <is>
          <t>07-02-03</t>
        </is>
      </c>
      <c r="B238" s="100" t="inlineStr">
        <is>
          <t>★疾患啓発・診断支援（遺伝子検査プログラム、専門施設ネットワーク）</t>
        </is>
      </c>
      <c r="C238" s="98" t="inlineStr">
        <is>
          <t>C10-03-02</t>
        </is>
      </c>
      <c r="D238" s="104">
        <f>IFERROR(INDEX(ケイパビリティマップ!$E:$E,MATCH(C238,ケイパビリティマップ!$A:$A,0)),"（IDなし）")</f>
        <v/>
      </c>
      <c r="E238" s="103" t="inlineStr">
        <is>
          <t>主</t>
        </is>
      </c>
      <c r="F238" s="120">
        <f>LEFT(A238,5)</f>
        <v/>
      </c>
      <c r="G238" s="120">
        <f>LEFT(C238,6)</f>
        <v/>
      </c>
    </row>
    <row r="239" ht="26.25" customHeight="1" s="80">
      <c r="A239" s="98" t="inlineStr">
        <is>
          <t>07-02-03</t>
        </is>
      </c>
      <c r="B239" s="100" t="inlineStr">
        <is>
          <t>★疾患啓発・診断支援（遺伝子検査プログラム、専門施設ネットワーク）</t>
        </is>
      </c>
      <c r="C239" s="98" t="inlineStr">
        <is>
          <t>C10-03-03</t>
        </is>
      </c>
      <c r="D239" s="104">
        <f>IFERROR(INDEX(ケイパビリティマップ!$E:$E,MATCH(C239,ケイパビリティマップ!$A:$A,0)),"（IDなし）")</f>
        <v/>
      </c>
      <c r="E239" s="103" t="inlineStr">
        <is>
          <t>主</t>
        </is>
      </c>
      <c r="F239" s="120">
        <f>LEFT(A239,5)</f>
        <v/>
      </c>
      <c r="G239" s="120">
        <f>LEFT(C239,6)</f>
        <v/>
      </c>
    </row>
    <row r="240" ht="26.25" customHeight="1" s="80">
      <c r="A240" s="98" t="inlineStr">
        <is>
          <t>07-02-03</t>
        </is>
      </c>
      <c r="B240" s="100" t="inlineStr">
        <is>
          <t>★疾患啓発・診断支援（遺伝子検査プログラム、専門施設ネットワーク）</t>
        </is>
      </c>
      <c r="C240" s="98" t="inlineStr">
        <is>
          <t>C10-03-01</t>
        </is>
      </c>
      <c r="D240" s="104">
        <f>IFERROR(INDEX(ケイパビリティマップ!$E:$E,MATCH(C240,ケイパビリティマップ!$A:$A,0)),"（IDなし）")</f>
        <v/>
      </c>
      <c r="E240" s="103" t="inlineStr">
        <is>
          <t>支援</t>
        </is>
      </c>
      <c r="F240" s="120">
        <f>LEFT(A240,5)</f>
        <v/>
      </c>
      <c r="G240" s="120">
        <f>LEFT(C240,6)</f>
        <v/>
      </c>
    </row>
    <row r="241" ht="26.25" customHeight="1" s="80">
      <c r="A241" s="98" t="inlineStr">
        <is>
          <t>07-02-04</t>
        </is>
      </c>
      <c r="B241" s="100" t="inlineStr">
        <is>
          <t>★限定流通ネットワークの構築（少数のスペシャリティ薬局・在宅投与）</t>
        </is>
      </c>
      <c r="C241" s="98" t="inlineStr">
        <is>
          <t>C12-02-01</t>
        </is>
      </c>
      <c r="D241" s="104">
        <f>IFERROR(INDEX(ケイパビリティマップ!$E:$E,MATCH(C241,ケイパビリティマップ!$A:$A,0)),"（IDなし）")</f>
        <v/>
      </c>
      <c r="E241" s="103" t="inlineStr">
        <is>
          <t>主</t>
        </is>
      </c>
      <c r="F241" s="120">
        <f>LEFT(A241,5)</f>
        <v/>
      </c>
      <c r="G241" s="120">
        <f>LEFT(C241,6)</f>
        <v/>
      </c>
    </row>
    <row r="242" ht="15" customHeight="1" s="80">
      <c r="A242" s="98" t="inlineStr">
        <is>
          <t>07-02-05</t>
        </is>
      </c>
      <c r="B242" s="100" t="inlineStr">
        <is>
          <t>販売開始・初回出荷</t>
        </is>
      </c>
      <c r="C242" s="98" t="inlineStr">
        <is>
          <t>C12-01-03</t>
        </is>
      </c>
      <c r="D242" s="104">
        <f>IFERROR(INDEX(ケイパビリティマップ!$E:$E,MATCH(C242,ケイパビリティマップ!$A:$A,0)),"（IDなし）")</f>
        <v/>
      </c>
      <c r="E242" s="103" t="inlineStr">
        <is>
          <t>主</t>
        </is>
      </c>
      <c r="F242" s="120">
        <f>LEFT(A242,5)</f>
        <v/>
      </c>
      <c r="G242" s="120">
        <f>LEFT(C242,6)</f>
        <v/>
      </c>
    </row>
    <row r="243" ht="15" customHeight="1" s="80">
      <c r="A243" s="98" t="inlineStr">
        <is>
          <t>07-02-05</t>
        </is>
      </c>
      <c r="B243" s="100" t="inlineStr">
        <is>
          <t>販売開始・初回出荷</t>
        </is>
      </c>
      <c r="C243" s="98" t="inlineStr">
        <is>
          <t>C12-01-02</t>
        </is>
      </c>
      <c r="D243" s="104">
        <f>IFERROR(INDEX(ケイパビリティマップ!$E:$E,MATCH(C243,ケイパビリティマップ!$A:$A,0)),"（IDなし）")</f>
        <v/>
      </c>
      <c r="E243" s="103" t="inlineStr">
        <is>
          <t>支援</t>
        </is>
      </c>
      <c r="F243" s="120">
        <f>LEFT(A243,5)</f>
        <v/>
      </c>
      <c r="G243" s="120">
        <f>LEFT(C243,6)</f>
        <v/>
      </c>
    </row>
    <row r="244" ht="15" customHeight="1" s="80">
      <c r="A244" s="98" t="inlineStr">
        <is>
          <t>07-02-05</t>
        </is>
      </c>
      <c r="B244" s="100" t="inlineStr">
        <is>
          <t>販売開始・初回出荷</t>
        </is>
      </c>
      <c r="C244" s="98" t="inlineStr">
        <is>
          <t>C08-02-01</t>
        </is>
      </c>
      <c r="D244" s="104">
        <f>IFERROR(INDEX(ケイパビリティマップ!$E:$E,MATCH(C244,ケイパビリティマップ!$A:$A,0)),"（IDなし）")</f>
        <v/>
      </c>
      <c r="E244" s="103" t="inlineStr">
        <is>
          <t>支援</t>
        </is>
      </c>
      <c r="F244" s="120">
        <f>LEFT(A244,5)</f>
        <v/>
      </c>
      <c r="G244" s="120">
        <f>LEFT(C244,6)</f>
        <v/>
      </c>
    </row>
    <row r="245" ht="15" customHeight="1" s="80">
      <c r="A245" s="98" t="inlineStr">
        <is>
          <t>07-02-05</t>
        </is>
      </c>
      <c r="B245" s="100" t="inlineStr">
        <is>
          <t>販売開始・初回出荷</t>
        </is>
      </c>
      <c r="C245" s="98" t="inlineStr">
        <is>
          <t>C12-02-01</t>
        </is>
      </c>
      <c r="D245" s="104">
        <f>IFERROR(INDEX(ケイパビリティマップ!$E:$E,MATCH(C245,ケイパビリティマップ!$A:$A,0)),"（IDなし）")</f>
        <v/>
      </c>
      <c r="E245" s="103" t="inlineStr">
        <is>
          <t>支援</t>
        </is>
      </c>
      <c r="F245" s="120">
        <f>LEFT(A245,5)</f>
        <v/>
      </c>
      <c r="G245" s="120">
        <f>LEFT(C245,6)</f>
        <v/>
      </c>
    </row>
    <row r="246" ht="26.25" customHeight="1" s="80">
      <c r="A246" s="98" t="inlineStr">
        <is>
          <t>08-01-01</t>
        </is>
      </c>
      <c r="B246" s="100" t="inlineStr">
        <is>
          <t>★患者単位の需要把握（ハブ経由の処方・治療開始情報）</t>
        </is>
      </c>
      <c r="C246" s="98" t="inlineStr">
        <is>
          <t>C12-01-01</t>
        </is>
      </c>
      <c r="D246" s="104">
        <f>IFERROR(INDEX(ケイパビリティマップ!$E:$E,MATCH(C246,ケイパビリティマップ!$A:$A,0)),"（IDなし）")</f>
        <v/>
      </c>
      <c r="E246" s="103" t="inlineStr">
        <is>
          <t>主</t>
        </is>
      </c>
      <c r="F246" s="120">
        <f>LEFT(A246,5)</f>
        <v/>
      </c>
      <c r="G246" s="120">
        <f>LEFT(C246,6)</f>
        <v/>
      </c>
    </row>
    <row r="247" ht="26.25" customHeight="1" s="80">
      <c r="A247" s="98" t="inlineStr">
        <is>
          <t>08-01-01</t>
        </is>
      </c>
      <c r="B247" s="100" t="inlineStr">
        <is>
          <t>★患者単位の需要把握（ハブ経由の処方・治療開始情報）</t>
        </is>
      </c>
      <c r="C247" s="98" t="inlineStr">
        <is>
          <t>C10-04-03</t>
        </is>
      </c>
      <c r="D247" s="104">
        <f>IFERROR(INDEX(ケイパビリティマップ!$E:$E,MATCH(C247,ケイパビリティマップ!$A:$A,0)),"（IDなし）")</f>
        <v/>
      </c>
      <c r="E247" s="103" t="inlineStr">
        <is>
          <t>支援</t>
        </is>
      </c>
      <c r="F247" s="120">
        <f>LEFT(A247,5)</f>
        <v/>
      </c>
      <c r="G247" s="120">
        <f>LEFT(C247,6)</f>
        <v/>
      </c>
    </row>
    <row r="248" ht="26.25" customHeight="1" s="80">
      <c r="A248" s="98" t="inlineStr">
        <is>
          <t>08-01-01</t>
        </is>
      </c>
      <c r="B248" s="100" t="inlineStr">
        <is>
          <t>★患者単位の需要把握（ハブ経由の処方・治療開始情報）</t>
        </is>
      </c>
      <c r="C248" s="98" t="inlineStr">
        <is>
          <t>C12-02-02</t>
        </is>
      </c>
      <c r="D248" s="104">
        <f>IFERROR(INDEX(ケイパビリティマップ!$E:$E,MATCH(C248,ケイパビリティマップ!$A:$A,0)),"（IDなし）")</f>
        <v/>
      </c>
      <c r="E248" s="103" t="inlineStr">
        <is>
          <t>支援</t>
        </is>
      </c>
      <c r="F248" s="120">
        <f>LEFT(A248,5)</f>
        <v/>
      </c>
      <c r="G248" s="120">
        <f>LEFT(C248,6)</f>
        <v/>
      </c>
    </row>
    <row r="249" ht="15" customHeight="1" s="80">
      <c r="A249" s="98" t="inlineStr">
        <is>
          <t>08-01-02</t>
        </is>
      </c>
      <c r="B249" s="100" t="inlineStr">
        <is>
          <t>在庫計画（安全在庫）</t>
        </is>
      </c>
      <c r="C249" s="98" t="inlineStr">
        <is>
          <t>C12-01-02</t>
        </is>
      </c>
      <c r="D249" s="104">
        <f>IFERROR(INDEX(ケイパビリティマップ!$E:$E,MATCH(C249,ケイパビリティマップ!$A:$A,0)),"（IDなし）")</f>
        <v/>
      </c>
      <c r="E249" s="103" t="inlineStr">
        <is>
          <t>主</t>
        </is>
      </c>
      <c r="F249" s="120">
        <f>LEFT(A249,5)</f>
        <v/>
      </c>
      <c r="G249" s="120">
        <f>LEFT(C249,6)</f>
        <v/>
      </c>
    </row>
    <row r="250" ht="15" customHeight="1" s="80">
      <c r="A250" s="98" t="inlineStr">
        <is>
          <t>08-01-03</t>
        </is>
      </c>
      <c r="B250" s="100" t="inlineStr">
        <is>
          <t>流通業者からの受注処理</t>
        </is>
      </c>
      <c r="C250" s="98" t="inlineStr">
        <is>
          <t>C12-01-03</t>
        </is>
      </c>
      <c r="D250" s="104">
        <f>IFERROR(INDEX(ケイパビリティマップ!$E:$E,MATCH(C250,ケイパビリティマップ!$A:$A,0)),"（IDなし）")</f>
        <v/>
      </c>
      <c r="E250" s="103" t="inlineStr">
        <is>
          <t>主</t>
        </is>
      </c>
      <c r="F250" s="120">
        <f>LEFT(A250,5)</f>
        <v/>
      </c>
      <c r="G250" s="120">
        <f>LEFT(C250,6)</f>
        <v/>
      </c>
    </row>
    <row r="251" ht="15" customHeight="1" s="80">
      <c r="A251" s="98" t="inlineStr">
        <is>
          <t>08-01-03</t>
        </is>
      </c>
      <c r="B251" s="100" t="inlineStr">
        <is>
          <t>流通業者からの受注処理</t>
        </is>
      </c>
      <c r="C251" s="98" t="inlineStr">
        <is>
          <t>C12-02-01</t>
        </is>
      </c>
      <c r="D251" s="104">
        <f>IFERROR(INDEX(ケイパビリティマップ!$E:$E,MATCH(C251,ケイパビリティマップ!$A:$A,0)),"（IDなし）")</f>
        <v/>
      </c>
      <c r="E251" s="103" t="inlineStr">
        <is>
          <t>支援</t>
        </is>
      </c>
      <c r="F251" s="120">
        <f>LEFT(A251,5)</f>
        <v/>
      </c>
      <c r="G251" s="120">
        <f>LEFT(C251,6)</f>
        <v/>
      </c>
    </row>
    <row r="252" ht="26.25" customHeight="1" s="80">
      <c r="A252" s="98" t="inlineStr">
        <is>
          <t>08-01-04</t>
        </is>
      </c>
      <c r="B252" s="100" t="inlineStr">
        <is>
          <t>供給リスク管理（供給中断時のFDAへの事前通知を含む）</t>
        </is>
      </c>
      <c r="C252" s="98" t="inlineStr">
        <is>
          <t>C12-05-01</t>
        </is>
      </c>
      <c r="D252" s="104">
        <f>IFERROR(INDEX(ケイパビリティマップ!$E:$E,MATCH(C252,ケイパビリティマップ!$A:$A,0)),"（IDなし）")</f>
        <v/>
      </c>
      <c r="E252" s="103" t="inlineStr">
        <is>
          <t>主</t>
        </is>
      </c>
      <c r="F252" s="120">
        <f>LEFT(A252,5)</f>
        <v/>
      </c>
      <c r="G252" s="120">
        <f>LEFT(C252,6)</f>
        <v/>
      </c>
    </row>
    <row r="253" ht="15" customHeight="1" s="80">
      <c r="A253" s="98" t="inlineStr">
        <is>
          <t>08-02-01</t>
        </is>
      </c>
      <c r="B253" s="100" t="inlineStr">
        <is>
          <t>保冷梱包・出荷</t>
        </is>
      </c>
      <c r="C253" s="98" t="inlineStr">
        <is>
          <t>C12-03-01</t>
        </is>
      </c>
      <c r="D253" s="104">
        <f>IFERROR(INDEX(ケイパビリティマップ!$E:$E,MATCH(C253,ケイパビリティマップ!$A:$A,0)),"（IDなし）")</f>
        <v/>
      </c>
      <c r="E253" s="103" t="inlineStr">
        <is>
          <t>主</t>
        </is>
      </c>
      <c r="F253" s="120">
        <f>LEFT(A253,5)</f>
        <v/>
      </c>
      <c r="G253" s="120">
        <f>LEFT(C253,6)</f>
        <v/>
      </c>
    </row>
    <row r="254" ht="15" customHeight="1" s="80">
      <c r="A254" s="98" t="inlineStr">
        <is>
          <t>08-02-01</t>
        </is>
      </c>
      <c r="B254" s="100" t="inlineStr">
        <is>
          <t>保冷梱包・出荷</t>
        </is>
      </c>
      <c r="C254" s="98" t="inlineStr">
        <is>
          <t>C12-03-02</t>
        </is>
      </c>
      <c r="D254" s="104">
        <f>IFERROR(INDEX(ケイパビリティマップ!$E:$E,MATCH(C254,ケイパビリティマップ!$A:$A,0)),"（IDなし）")</f>
        <v/>
      </c>
      <c r="E254" s="103" t="inlineStr">
        <is>
          <t>支援</t>
        </is>
      </c>
      <c r="F254" s="120">
        <f>LEFT(A254,5)</f>
        <v/>
      </c>
      <c r="G254" s="120">
        <f>LEFT(C254,6)</f>
        <v/>
      </c>
    </row>
    <row r="255" ht="15" customHeight="1" s="80">
      <c r="A255" s="98" t="inlineStr">
        <is>
          <t>08-02-02</t>
        </is>
      </c>
      <c r="B255" s="100" t="inlineStr">
        <is>
          <t>輸送中の温度モニタリング・逸脱対応</t>
        </is>
      </c>
      <c r="C255" s="98" t="inlineStr">
        <is>
          <t>C12-03-02</t>
        </is>
      </c>
      <c r="D255" s="104">
        <f>IFERROR(INDEX(ケイパビリティマップ!$E:$E,MATCH(C255,ケイパビリティマップ!$A:$A,0)),"（IDなし）")</f>
        <v/>
      </c>
      <c r="E255" s="103" t="inlineStr">
        <is>
          <t>主</t>
        </is>
      </c>
      <c r="F255" s="120">
        <f>LEFT(A255,5)</f>
        <v/>
      </c>
      <c r="G255" s="120">
        <f>LEFT(C255,6)</f>
        <v/>
      </c>
    </row>
    <row r="256" ht="15" customHeight="1" s="80">
      <c r="A256" s="98" t="inlineStr">
        <is>
          <t>08-02-02</t>
        </is>
      </c>
      <c r="B256" s="100" t="inlineStr">
        <is>
          <t>輸送中の温度モニタリング・逸脱対応</t>
        </is>
      </c>
      <c r="C256" s="98" t="inlineStr">
        <is>
          <t>C08-02-02</t>
        </is>
      </c>
      <c r="D256" s="104">
        <f>IFERROR(INDEX(ケイパビリティマップ!$E:$E,MATCH(C256,ケイパビリティマップ!$A:$A,0)),"（IDなし）")</f>
        <v/>
      </c>
      <c r="E256" s="103" t="inlineStr">
        <is>
          <t>支援</t>
        </is>
      </c>
      <c r="F256" s="120">
        <f>LEFT(A256,5)</f>
        <v/>
      </c>
      <c r="G256" s="120">
        <f>LEFT(C256,6)</f>
        <v/>
      </c>
    </row>
    <row r="257" ht="15" customHeight="1" s="80">
      <c r="A257" s="98" t="inlineStr">
        <is>
          <t>08-02-03</t>
        </is>
      </c>
      <c r="B257" s="104" t="inlineStr">
        <is>
          <t>3PL・流通業者での保管</t>
        </is>
      </c>
      <c r="C257" s="98" t="inlineStr">
        <is>
          <t>C12-03-02</t>
        </is>
      </c>
      <c r="D257" s="104">
        <f>IFERROR(INDEX(ケイパビリティマップ!$E:$E,MATCH(C257,ケイパビリティマップ!$A:$A,0)),"（IDなし）")</f>
        <v/>
      </c>
      <c r="E257" s="103" t="inlineStr">
        <is>
          <t>主</t>
        </is>
      </c>
      <c r="F257" s="120">
        <f>LEFT(A257,5)</f>
        <v/>
      </c>
      <c r="G257" s="120">
        <f>LEFT(C257,6)</f>
        <v/>
      </c>
    </row>
    <row r="258" ht="15" customHeight="1" s="80">
      <c r="A258" s="98" t="inlineStr">
        <is>
          <t>08-02-03</t>
        </is>
      </c>
      <c r="B258" s="104" t="inlineStr">
        <is>
          <t>3PL・流通業者での保管</t>
        </is>
      </c>
      <c r="C258" s="98" t="inlineStr">
        <is>
          <t>C12-02-01</t>
        </is>
      </c>
      <c r="D258" s="104">
        <f>IFERROR(INDEX(ケイパビリティマップ!$E:$E,MATCH(C258,ケイパビリティマップ!$A:$A,0)),"（IDなし）")</f>
        <v/>
      </c>
      <c r="E258" s="103" t="inlineStr">
        <is>
          <t>支援</t>
        </is>
      </c>
      <c r="F258" s="120">
        <f>LEFT(A258,5)</f>
        <v/>
      </c>
      <c r="G258" s="120">
        <f>LEFT(C258,6)</f>
        <v/>
      </c>
    </row>
    <row r="259" ht="26.25" customHeight="1" s="80">
      <c r="A259" s="98" t="inlineStr">
        <is>
          <t>08-03-01</t>
        </is>
      </c>
      <c r="B259" s="100" t="inlineStr">
        <is>
          <t>★限定流通ネットワーク経由の配送（在宅投与を含む）</t>
        </is>
      </c>
      <c r="C259" s="98" t="inlineStr">
        <is>
          <t>C12-02-01</t>
        </is>
      </c>
      <c r="D259" s="104">
        <f>IFERROR(INDEX(ケイパビリティマップ!$E:$E,MATCH(C259,ケイパビリティマップ!$A:$A,0)),"（IDなし）")</f>
        <v/>
      </c>
      <c r="E259" s="103" t="inlineStr">
        <is>
          <t>主</t>
        </is>
      </c>
      <c r="F259" s="120">
        <f>LEFT(A259,5)</f>
        <v/>
      </c>
      <c r="G259" s="120">
        <f>LEFT(C259,6)</f>
        <v/>
      </c>
    </row>
    <row r="260" ht="26.25" customHeight="1" s="80">
      <c r="A260" s="98" t="inlineStr">
        <is>
          <t>08-03-02</t>
        </is>
      </c>
      <c r="B260" s="104" t="inlineStr">
        <is>
          <t>DSCSA対応（製品識別子・取引情報の電子的な交換）</t>
        </is>
      </c>
      <c r="C260" s="98" t="inlineStr">
        <is>
          <t>C12-04-02</t>
        </is>
      </c>
      <c r="D260" s="104">
        <f>IFERROR(INDEX(ケイパビリティマップ!$E:$E,MATCH(C260,ケイパビリティマップ!$A:$A,0)),"（IDなし）")</f>
        <v/>
      </c>
      <c r="E260" s="103" t="inlineStr">
        <is>
          <t>主</t>
        </is>
      </c>
      <c r="F260" s="120">
        <f>LEFT(A260,5)</f>
        <v/>
      </c>
      <c r="G260" s="120">
        <f>LEFT(C260,6)</f>
        <v/>
      </c>
    </row>
    <row r="261" ht="26.25" customHeight="1" s="80">
      <c r="A261" s="98" t="inlineStr">
        <is>
          <t>08-03-02</t>
        </is>
      </c>
      <c r="B261" s="104" t="inlineStr">
        <is>
          <t>DSCSA対応（製品識別子・取引情報の電子的な交換）</t>
        </is>
      </c>
      <c r="C261" s="98" t="inlineStr">
        <is>
          <t>C12-04-01</t>
        </is>
      </c>
      <c r="D261" s="104">
        <f>IFERROR(INDEX(ケイパビリティマップ!$E:$E,MATCH(C261,ケイパビリティマップ!$A:$A,0)),"（IDなし）")</f>
        <v/>
      </c>
      <c r="E261" s="103" t="inlineStr">
        <is>
          <t>支援</t>
        </is>
      </c>
      <c r="F261" s="120">
        <f>LEFT(A261,5)</f>
        <v/>
      </c>
      <c r="G261" s="120">
        <f>LEFT(C261,6)</f>
        <v/>
      </c>
    </row>
    <row r="262" ht="15" customHeight="1" s="80">
      <c r="A262" s="98" t="inlineStr">
        <is>
          <t>08-03-03</t>
        </is>
      </c>
      <c r="B262" s="100" t="inlineStr">
        <is>
          <t>回収（リコール）への対応</t>
        </is>
      </c>
      <c r="C262" s="98" t="inlineStr">
        <is>
          <t>C12-05-02</t>
        </is>
      </c>
      <c r="D262" s="104">
        <f>IFERROR(INDEX(ケイパビリティマップ!$E:$E,MATCH(C262,ケイパビリティマップ!$A:$A,0)),"（IDなし）")</f>
        <v/>
      </c>
      <c r="E262" s="103" t="inlineStr">
        <is>
          <t>主</t>
        </is>
      </c>
      <c r="F262" s="120">
        <f>LEFT(A262,5)</f>
        <v/>
      </c>
      <c r="G262" s="120">
        <f>LEFT(C262,6)</f>
        <v/>
      </c>
    </row>
    <row r="263" ht="15" customHeight="1" s="80">
      <c r="A263" s="98" t="inlineStr">
        <is>
          <t>08-03-03</t>
        </is>
      </c>
      <c r="B263" s="100" t="inlineStr">
        <is>
          <t>回収（リコール）への対応</t>
        </is>
      </c>
      <c r="C263" s="98" t="inlineStr">
        <is>
          <t>C08-02-02</t>
        </is>
      </c>
      <c r="D263" s="104">
        <f>IFERROR(INDEX(ケイパビリティマップ!$E:$E,MATCH(C263,ケイパビリティマップ!$A:$A,0)),"（IDなし）")</f>
        <v/>
      </c>
      <c r="E263" s="103" t="inlineStr">
        <is>
          <t>支援</t>
        </is>
      </c>
      <c r="F263" s="120">
        <f>LEFT(A263,5)</f>
        <v/>
      </c>
      <c r="G263" s="120">
        <f>LEFT(C263,6)</f>
        <v/>
      </c>
    </row>
    <row r="264" ht="26.25" customHeight="1" s="80">
      <c r="A264" s="98" t="inlineStr">
        <is>
          <t>09-01-01</t>
        </is>
      </c>
      <c r="B264" s="100" t="inlineStr">
        <is>
          <t>有害事象情報の収集（自発報告・文献・患者支援プログラム経由）</t>
        </is>
      </c>
      <c r="C264" s="98" t="inlineStr">
        <is>
          <t>C09-01-01</t>
        </is>
      </c>
      <c r="D264" s="104">
        <f>IFERROR(INDEX(ケイパビリティマップ!$E:$E,MATCH(C264,ケイパビリティマップ!$A:$A,0)),"（IDなし）")</f>
        <v/>
      </c>
      <c r="E264" s="103" t="inlineStr">
        <is>
          <t>主</t>
        </is>
      </c>
      <c r="F264" s="120">
        <f>LEFT(A264,5)</f>
        <v/>
      </c>
      <c r="G264" s="120">
        <f>LEFT(C264,6)</f>
        <v/>
      </c>
    </row>
    <row r="265" ht="26.25" customHeight="1" s="80">
      <c r="A265" s="98" t="inlineStr">
        <is>
          <t>09-01-01</t>
        </is>
      </c>
      <c r="B265" s="100" t="inlineStr">
        <is>
          <t>有害事象情報の収集（自発報告・文献・患者支援プログラム経由）</t>
        </is>
      </c>
      <c r="C265" s="98" t="inlineStr">
        <is>
          <t>C10-04-03</t>
        </is>
      </c>
      <c r="D265" s="104">
        <f>IFERROR(INDEX(ケイパビリティマップ!$E:$E,MATCH(C265,ケイパビリティマップ!$A:$A,0)),"（IDなし）")</f>
        <v/>
      </c>
      <c r="E265" s="103" t="inlineStr">
        <is>
          <t>支援</t>
        </is>
      </c>
      <c r="F265" s="120">
        <f>LEFT(A265,5)</f>
        <v/>
      </c>
      <c r="G265" s="120">
        <f>LEFT(C265,6)</f>
        <v/>
      </c>
    </row>
    <row r="266" ht="26.25" customHeight="1" s="80">
      <c r="A266" s="98" t="inlineStr">
        <is>
          <t>09-01-01</t>
        </is>
      </c>
      <c r="B266" s="100" t="inlineStr">
        <is>
          <t>有害事象情報の収集（自発報告・文献・患者支援プログラム経由）</t>
        </is>
      </c>
      <c r="C266" s="98" t="inlineStr">
        <is>
          <t>C10-02-02</t>
        </is>
      </c>
      <c r="D266" s="104">
        <f>IFERROR(INDEX(ケイパビリティマップ!$E:$E,MATCH(C266,ケイパビリティマップ!$A:$A,0)),"（IDなし）")</f>
        <v/>
      </c>
      <c r="E266" s="103" t="inlineStr">
        <is>
          <t>支援</t>
        </is>
      </c>
      <c r="F266" s="120">
        <f>LEFT(A266,5)</f>
        <v/>
      </c>
      <c r="G266" s="120">
        <f>LEFT(C266,6)</f>
        <v/>
      </c>
    </row>
    <row r="267" ht="26.25" customHeight="1" s="80">
      <c r="A267" s="98" t="inlineStr">
        <is>
          <t>09-01-01</t>
        </is>
      </c>
      <c r="B267" s="100" t="inlineStr">
        <is>
          <t>有害事象情報の収集（自発報告・文献・患者支援プログラム経由）</t>
        </is>
      </c>
      <c r="C267" s="98" t="inlineStr">
        <is>
          <t>C08-02-05</t>
        </is>
      </c>
      <c r="D267" s="104">
        <f>IFERROR(INDEX(ケイパビリティマップ!$E:$E,MATCH(C267,ケイパビリティマップ!$A:$A,0)),"（IDなし）")</f>
        <v/>
      </c>
      <c r="E267" s="103" t="inlineStr">
        <is>
          <t>支援</t>
        </is>
      </c>
      <c r="F267" s="120">
        <f>LEFT(A267,5)</f>
        <v/>
      </c>
      <c r="G267" s="120">
        <f>LEFT(C267,6)</f>
        <v/>
      </c>
    </row>
    <row r="268" ht="15" customHeight="1" s="80">
      <c r="A268" s="98" t="inlineStr">
        <is>
          <t>09-01-02</t>
        </is>
      </c>
      <c r="B268" s="104" t="inlineStr">
        <is>
          <t>15日アラート報告（21 CFR 600.80）</t>
        </is>
      </c>
      <c r="C268" s="98" t="inlineStr">
        <is>
          <t>C09-01-03</t>
        </is>
      </c>
      <c r="D268" s="104">
        <f>IFERROR(INDEX(ケイパビリティマップ!$E:$E,MATCH(C268,ケイパビリティマップ!$A:$A,0)),"（IDなし）")</f>
        <v/>
      </c>
      <c r="E268" s="103" t="inlineStr">
        <is>
          <t>主</t>
        </is>
      </c>
      <c r="F268" s="120">
        <f>LEFT(A268,5)</f>
        <v/>
      </c>
      <c r="G268" s="120">
        <f>LEFT(C268,6)</f>
        <v/>
      </c>
    </row>
    <row r="269" ht="15" customHeight="1" s="80">
      <c r="A269" s="98" t="inlineStr">
        <is>
          <t>09-01-02</t>
        </is>
      </c>
      <c r="B269" s="104" t="inlineStr">
        <is>
          <t>15日アラート報告（21 CFR 600.80）</t>
        </is>
      </c>
      <c r="C269" s="98" t="inlineStr">
        <is>
          <t>C09-01-02</t>
        </is>
      </c>
      <c r="D269" s="104">
        <f>IFERROR(INDEX(ケイパビリティマップ!$E:$E,MATCH(C269,ケイパビリティマップ!$A:$A,0)),"（IDなし）")</f>
        <v/>
      </c>
      <c r="E269" s="103" t="inlineStr">
        <is>
          <t>支援</t>
        </is>
      </c>
      <c r="F269" s="120">
        <f>LEFT(A269,5)</f>
        <v/>
      </c>
      <c r="G269" s="120">
        <f>LEFT(C269,6)</f>
        <v/>
      </c>
    </row>
    <row r="270" ht="15" customHeight="1" s="80">
      <c r="A270" s="98" t="inlineStr">
        <is>
          <t>09-01-03</t>
        </is>
      </c>
      <c r="B270" s="100" t="inlineStr">
        <is>
          <t>定期報告（承認後3年間は四半期、以後年次）</t>
        </is>
      </c>
      <c r="C270" s="98" t="inlineStr">
        <is>
          <t>C09-01-03</t>
        </is>
      </c>
      <c r="D270" s="104">
        <f>IFERROR(INDEX(ケイパビリティマップ!$E:$E,MATCH(C270,ケイパビリティマップ!$A:$A,0)),"（IDなし）")</f>
        <v/>
      </c>
      <c r="E270" s="103" t="inlineStr">
        <is>
          <t>主</t>
        </is>
      </c>
      <c r="F270" s="120">
        <f>LEFT(A270,5)</f>
        <v/>
      </c>
      <c r="G270" s="120">
        <f>LEFT(C270,6)</f>
        <v/>
      </c>
    </row>
    <row r="271" ht="15" customHeight="1" s="80">
      <c r="A271" s="98" t="inlineStr">
        <is>
          <t>09-01-04</t>
        </is>
      </c>
      <c r="B271" s="100" t="inlineStr">
        <is>
          <t>シグナル検出・評価</t>
        </is>
      </c>
      <c r="C271" s="98" t="inlineStr">
        <is>
          <t>C09-02-01</t>
        </is>
      </c>
      <c r="D271" s="104">
        <f>IFERROR(INDEX(ケイパビリティマップ!$E:$E,MATCH(C271,ケイパビリティマップ!$A:$A,0)),"（IDなし）")</f>
        <v/>
      </c>
      <c r="E271" s="103" t="inlineStr">
        <is>
          <t>主</t>
        </is>
      </c>
      <c r="F271" s="120">
        <f>LEFT(A271,5)</f>
        <v/>
      </c>
      <c r="G271" s="120">
        <f>LEFT(C271,6)</f>
        <v/>
      </c>
    </row>
    <row r="272" ht="15" customHeight="1" s="80">
      <c r="A272" s="98" t="inlineStr">
        <is>
          <t>09-01-04</t>
        </is>
      </c>
      <c r="B272" s="100" t="inlineStr">
        <is>
          <t>シグナル検出・評価</t>
        </is>
      </c>
      <c r="C272" s="98" t="inlineStr">
        <is>
          <t>C05-02-02</t>
        </is>
      </c>
      <c r="D272" s="104">
        <f>IFERROR(INDEX(ケイパビリティマップ!$E:$E,MATCH(C272,ケイパビリティマップ!$A:$A,0)),"（IDなし）")</f>
        <v/>
      </c>
      <c r="E272" s="103" t="inlineStr">
        <is>
          <t>支援</t>
        </is>
      </c>
      <c r="F272" s="120">
        <f>LEFT(A272,5)</f>
        <v/>
      </c>
      <c r="G272" s="120">
        <f>LEFT(C272,6)</f>
        <v/>
      </c>
    </row>
    <row r="273" ht="15" customHeight="1" s="80">
      <c r="A273" s="98" t="inlineStr">
        <is>
          <t>09-01-05</t>
        </is>
      </c>
      <c r="B273" s="104" t="inlineStr">
        <is>
          <t>REMSの運用・評価（課されている場合）</t>
        </is>
      </c>
      <c r="C273" s="98" t="inlineStr">
        <is>
          <t>C09-02-03</t>
        </is>
      </c>
      <c r="D273" s="104">
        <f>IFERROR(INDEX(ケイパビリティマップ!$E:$E,MATCH(C273,ケイパビリティマップ!$A:$A,0)),"（IDなし）")</f>
        <v/>
      </c>
      <c r="E273" s="103" t="inlineStr">
        <is>
          <t>主</t>
        </is>
      </c>
      <c r="F273" s="120">
        <f>LEFT(A273,5)</f>
        <v/>
      </c>
      <c r="G273" s="120">
        <f>LEFT(C273,6)</f>
        <v/>
      </c>
    </row>
    <row r="274" ht="15" customHeight="1" s="80">
      <c r="A274" s="98" t="inlineStr">
        <is>
          <t>09-02-01</t>
        </is>
      </c>
      <c r="B274" s="104" t="inlineStr">
        <is>
          <t>PMR／PMC試験の計画・実施</t>
        </is>
      </c>
      <c r="C274" s="98" t="inlineStr">
        <is>
          <t>C05-04-02</t>
        </is>
      </c>
      <c r="D274" s="104">
        <f>IFERROR(INDEX(ケイパビリティマップ!$E:$E,MATCH(C274,ケイパビリティマップ!$A:$A,0)),"（IDなし）")</f>
        <v/>
      </c>
      <c r="E274" s="103" t="inlineStr">
        <is>
          <t>主</t>
        </is>
      </c>
      <c r="F274" s="120">
        <f>LEFT(A274,5)</f>
        <v/>
      </c>
      <c r="G274" s="120">
        <f>LEFT(C274,6)</f>
        <v/>
      </c>
    </row>
    <row r="275" ht="15" customHeight="1" s="80">
      <c r="A275" s="98" t="inlineStr">
        <is>
          <t>09-02-01</t>
        </is>
      </c>
      <c r="B275" s="104" t="inlineStr">
        <is>
          <t>PMR／PMC試験の計画・実施</t>
        </is>
      </c>
      <c r="C275" s="98" t="inlineStr">
        <is>
          <t>C06-04-01</t>
        </is>
      </c>
      <c r="D275" s="104">
        <f>IFERROR(INDEX(ケイパビリティマップ!$E:$E,MATCH(C275,ケイパビリティマップ!$A:$A,0)),"（IDなし）")</f>
        <v/>
      </c>
      <c r="E275" s="103" t="inlineStr">
        <is>
          <t>支援</t>
        </is>
      </c>
      <c r="F275" s="120">
        <f>LEFT(A275,5)</f>
        <v/>
      </c>
      <c r="G275" s="120">
        <f>LEFT(C275,6)</f>
        <v/>
      </c>
    </row>
    <row r="276" ht="15" customHeight="1" s="80">
      <c r="A276" s="98" t="inlineStr">
        <is>
          <t>09-02-01</t>
        </is>
      </c>
      <c r="B276" s="104" t="inlineStr">
        <is>
          <t>PMR／PMC試験の計画・実施</t>
        </is>
      </c>
      <c r="C276" s="98" t="inlineStr">
        <is>
          <t>C05-01-02</t>
        </is>
      </c>
      <c r="D276" s="104">
        <f>IFERROR(INDEX(ケイパビリティマップ!$E:$E,MATCH(C276,ケイパビリティマップ!$A:$A,0)),"（IDなし）")</f>
        <v/>
      </c>
      <c r="E276" s="103" t="inlineStr">
        <is>
          <t>支援</t>
        </is>
      </c>
      <c r="F276" s="120">
        <f>LEFT(A276,5)</f>
        <v/>
      </c>
      <c r="G276" s="120">
        <f>LEFT(C276,6)</f>
        <v/>
      </c>
    </row>
    <row r="277" ht="15" customHeight="1" s="80">
      <c r="A277" s="98" t="inlineStr">
        <is>
          <t>09-02-02</t>
        </is>
      </c>
      <c r="B277" s="100" t="inlineStr">
        <is>
          <t>検証的試験の完了（迅速承認の場合）</t>
        </is>
      </c>
      <c r="C277" s="98" t="inlineStr">
        <is>
          <t>C05-04-02</t>
        </is>
      </c>
      <c r="D277" s="104">
        <f>IFERROR(INDEX(ケイパビリティマップ!$E:$E,MATCH(C277,ケイパビリティマップ!$A:$A,0)),"（IDなし）")</f>
        <v/>
      </c>
      <c r="E277" s="103" t="inlineStr">
        <is>
          <t>主</t>
        </is>
      </c>
      <c r="F277" s="120">
        <f>LEFT(A277,5)</f>
        <v/>
      </c>
      <c r="G277" s="120">
        <f>LEFT(C277,6)</f>
        <v/>
      </c>
    </row>
    <row r="278" ht="15" customHeight="1" s="80">
      <c r="A278" s="98" t="inlineStr">
        <is>
          <t>09-02-02</t>
        </is>
      </c>
      <c r="B278" s="100" t="inlineStr">
        <is>
          <t>検証的試験の完了（迅速承認の場合）</t>
        </is>
      </c>
      <c r="C278" s="98" t="inlineStr">
        <is>
          <t>C06-04-01</t>
        </is>
      </c>
      <c r="D278" s="104">
        <f>IFERROR(INDEX(ケイパビリティマップ!$E:$E,MATCH(C278,ケイパビリティマップ!$A:$A,0)),"（IDなし）")</f>
        <v/>
      </c>
      <c r="E278" s="103" t="inlineStr">
        <is>
          <t>支援</t>
        </is>
      </c>
      <c r="F278" s="120">
        <f>LEFT(A278,5)</f>
        <v/>
      </c>
      <c r="G278" s="120">
        <f>LEFT(C278,6)</f>
        <v/>
      </c>
    </row>
    <row r="279" ht="15" customHeight="1" s="80">
      <c r="A279" s="98" t="inlineStr">
        <is>
          <t>09-02-02</t>
        </is>
      </c>
      <c r="B279" s="100" t="inlineStr">
        <is>
          <t>検証的試験の完了（迅速承認の場合）</t>
        </is>
      </c>
      <c r="C279" s="98" t="inlineStr">
        <is>
          <t>C06-02-01</t>
        </is>
      </c>
      <c r="D279" s="104">
        <f>IFERROR(INDEX(ケイパビリティマップ!$E:$E,MATCH(C279,ケイパビリティマップ!$A:$A,0)),"（IDなし）")</f>
        <v/>
      </c>
      <c r="E279" s="103" t="inlineStr">
        <is>
          <t>支援</t>
        </is>
      </c>
      <c r="F279" s="120">
        <f>LEFT(A279,5)</f>
        <v/>
      </c>
      <c r="G279" s="120">
        <f>LEFT(C279,6)</f>
        <v/>
      </c>
    </row>
    <row r="280" ht="15" customHeight="1" s="80">
      <c r="A280" s="98" t="inlineStr">
        <is>
          <t>09-02-03</t>
        </is>
      </c>
      <c r="B280" s="100" t="inlineStr">
        <is>
          <t>★患者レジストリによる長期追跡</t>
        </is>
      </c>
      <c r="C280" s="98" t="inlineStr">
        <is>
          <t>C05-02-02</t>
        </is>
      </c>
      <c r="D280" s="104">
        <f>IFERROR(INDEX(ケイパビリティマップ!$E:$E,MATCH(C280,ケイパビリティマップ!$A:$A,0)),"（IDなし）")</f>
        <v/>
      </c>
      <c r="E280" s="103" t="inlineStr">
        <is>
          <t>主</t>
        </is>
      </c>
      <c r="F280" s="120">
        <f>LEFT(A280,5)</f>
        <v/>
      </c>
      <c r="G280" s="120">
        <f>LEFT(C280,6)</f>
        <v/>
      </c>
    </row>
    <row r="281" ht="15" customHeight="1" s="80">
      <c r="A281" s="98" t="inlineStr">
        <is>
          <t>09-02-03</t>
        </is>
      </c>
      <c r="B281" s="100" t="inlineStr">
        <is>
          <t>★患者レジストリによる長期追跡</t>
        </is>
      </c>
      <c r="C281" s="98" t="inlineStr">
        <is>
          <t>C09-02-01</t>
        </is>
      </c>
      <c r="D281" s="104">
        <f>IFERROR(INDEX(ケイパビリティマップ!$E:$E,MATCH(C281,ケイパビリティマップ!$A:$A,0)),"（IDなし）")</f>
        <v/>
      </c>
      <c r="E281" s="103" t="inlineStr">
        <is>
          <t>支援</t>
        </is>
      </c>
      <c r="F281" s="120">
        <f>LEFT(A281,5)</f>
        <v/>
      </c>
      <c r="G281" s="120">
        <f>LEFT(C281,6)</f>
        <v/>
      </c>
    </row>
    <row r="282" ht="15" customHeight="1" s="80">
      <c r="A282" s="98" t="inlineStr">
        <is>
          <t>09-02-04</t>
        </is>
      </c>
      <c r="B282" s="100" t="inlineStr">
        <is>
          <t>年次状況報告</t>
        </is>
      </c>
      <c r="C282" s="98" t="inlineStr">
        <is>
          <t>C06-04-01</t>
        </is>
      </c>
      <c r="D282" s="104">
        <f>IFERROR(INDEX(ケイパビリティマップ!$E:$E,MATCH(C282,ケイパビリティマップ!$A:$A,0)),"（IDなし）")</f>
        <v/>
      </c>
      <c r="E282" s="103" t="inlineStr">
        <is>
          <t>主</t>
        </is>
      </c>
      <c r="F282" s="120">
        <f>LEFT(A282,5)</f>
        <v/>
      </c>
      <c r="G282" s="120">
        <f>LEFT(C282,6)</f>
        <v/>
      </c>
    </row>
    <row r="283" ht="15" customHeight="1" s="80">
      <c r="A283" s="98" t="inlineStr">
        <is>
          <t>09-03-01</t>
        </is>
      </c>
      <c r="B283" s="100" t="inlineStr">
        <is>
          <t>適応追加（sBLA）</t>
        </is>
      </c>
      <c r="C283" s="98" t="inlineStr">
        <is>
          <t>C06-02-01</t>
        </is>
      </c>
      <c r="D283" s="104">
        <f>IFERROR(INDEX(ケイパビリティマップ!$E:$E,MATCH(C283,ケイパビリティマップ!$A:$A,0)),"（IDなし）")</f>
        <v/>
      </c>
      <c r="E283" s="103" t="inlineStr">
        <is>
          <t>主</t>
        </is>
      </c>
      <c r="F283" s="120">
        <f>LEFT(A283,5)</f>
        <v/>
      </c>
      <c r="G283" s="120">
        <f>LEFT(C283,6)</f>
        <v/>
      </c>
    </row>
    <row r="284" ht="15" customHeight="1" s="80">
      <c r="A284" s="98" t="inlineStr">
        <is>
          <t>09-03-01</t>
        </is>
      </c>
      <c r="B284" s="100" t="inlineStr">
        <is>
          <t>適応追加（sBLA）</t>
        </is>
      </c>
      <c r="C284" s="98" t="inlineStr">
        <is>
          <t>C05-01-01</t>
        </is>
      </c>
      <c r="D284" s="104">
        <f>IFERROR(INDEX(ケイパビリティマップ!$E:$E,MATCH(C284,ケイパビリティマップ!$A:$A,0)),"（IDなし）")</f>
        <v/>
      </c>
      <c r="E284" s="103" t="inlineStr">
        <is>
          <t>支援</t>
        </is>
      </c>
      <c r="F284" s="120">
        <f>LEFT(A284,5)</f>
        <v/>
      </c>
      <c r="G284" s="120">
        <f>LEFT(C284,6)</f>
        <v/>
      </c>
    </row>
    <row r="285" ht="15" customHeight="1" s="80">
      <c r="A285" s="98" t="inlineStr">
        <is>
          <t>09-03-01</t>
        </is>
      </c>
      <c r="B285" s="100" t="inlineStr">
        <is>
          <t>適応追加（sBLA）</t>
        </is>
      </c>
      <c r="C285" s="98" t="inlineStr">
        <is>
          <t>C06-03-02</t>
        </is>
      </c>
      <c r="D285" s="104">
        <f>IFERROR(INDEX(ケイパビリティマップ!$E:$E,MATCH(C285,ケイパビリティマップ!$A:$A,0)),"（IDなし）")</f>
        <v/>
      </c>
      <c r="E285" s="103" t="inlineStr">
        <is>
          <t>支援</t>
        </is>
      </c>
      <c r="F285" s="120">
        <f>LEFT(A285,5)</f>
        <v/>
      </c>
      <c r="G285" s="120">
        <f>LEFT(C285,6)</f>
        <v/>
      </c>
    </row>
    <row r="286" ht="15" customHeight="1" s="80">
      <c r="A286" s="98" t="inlineStr">
        <is>
          <t>09-03-02</t>
        </is>
      </c>
      <c r="B286" s="100" t="inlineStr">
        <is>
          <t>剤形・投与経路の追加（皮下注化等）</t>
        </is>
      </c>
      <c r="C286" s="98" t="inlineStr">
        <is>
          <t>C06-02-01</t>
        </is>
      </c>
      <c r="D286" s="104">
        <f>IFERROR(INDEX(ケイパビリティマップ!$E:$E,MATCH(C286,ケイパビリティマップ!$A:$A,0)),"（IDなし）")</f>
        <v/>
      </c>
      <c r="E286" s="103" t="inlineStr">
        <is>
          <t>主</t>
        </is>
      </c>
      <c r="F286" s="120">
        <f>LEFT(A286,5)</f>
        <v/>
      </c>
      <c r="G286" s="120">
        <f>LEFT(C286,6)</f>
        <v/>
      </c>
    </row>
    <row r="287" ht="15" customHeight="1" s="80">
      <c r="A287" s="98" t="inlineStr">
        <is>
          <t>09-03-02</t>
        </is>
      </c>
      <c r="B287" s="100" t="inlineStr">
        <is>
          <t>剤形・投与経路の追加（皮下注化等）</t>
        </is>
      </c>
      <c r="C287" s="98" t="inlineStr">
        <is>
          <t>C04-03-03</t>
        </is>
      </c>
      <c r="D287" s="104">
        <f>IFERROR(INDEX(ケイパビリティマップ!$E:$E,MATCH(C287,ケイパビリティマップ!$A:$A,0)),"（IDなし）")</f>
        <v/>
      </c>
      <c r="E287" s="103" t="inlineStr">
        <is>
          <t>支援</t>
        </is>
      </c>
      <c r="F287" s="120">
        <f>LEFT(A287,5)</f>
        <v/>
      </c>
      <c r="G287" s="120">
        <f>LEFT(C287,6)</f>
        <v/>
      </c>
    </row>
    <row r="288" ht="15" customHeight="1" s="80">
      <c r="A288" s="98" t="inlineStr">
        <is>
          <t>09-03-02</t>
        </is>
      </c>
      <c r="B288" s="100" t="inlineStr">
        <is>
          <t>剤形・投与経路の追加（皮下注化等）</t>
        </is>
      </c>
      <c r="C288" s="98" t="inlineStr">
        <is>
          <t>C04-04-04</t>
        </is>
      </c>
      <c r="D288" s="104">
        <f>IFERROR(INDEX(ケイパビリティマップ!$E:$E,MATCH(C288,ケイパビリティマップ!$A:$A,0)),"（IDなし）")</f>
        <v/>
      </c>
      <c r="E288" s="103" t="inlineStr">
        <is>
          <t>支援</t>
        </is>
      </c>
      <c r="F288" s="120">
        <f>LEFT(A288,5)</f>
        <v/>
      </c>
      <c r="G288" s="120">
        <f>LEFT(C288,6)</f>
        <v/>
      </c>
    </row>
    <row r="289" ht="26.25" customHeight="1" s="80">
      <c r="A289" s="98" t="inlineStr">
        <is>
          <t>09-03-03</t>
        </is>
      </c>
      <c r="B289" s="100" t="inlineStr">
        <is>
          <t>製法変更・製造所追加（601.12の報告区分・同等性評価）</t>
        </is>
      </c>
      <c r="C289" s="98" t="inlineStr">
        <is>
          <t>C06-04-02</t>
        </is>
      </c>
      <c r="D289" s="104">
        <f>IFERROR(INDEX(ケイパビリティマップ!$E:$E,MATCH(C289,ケイパビリティマップ!$A:$A,0)),"（IDなし）")</f>
        <v/>
      </c>
      <c r="E289" s="103" t="inlineStr">
        <is>
          <t>主</t>
        </is>
      </c>
      <c r="F289" s="120">
        <f>LEFT(A289,5)</f>
        <v/>
      </c>
      <c r="G289" s="120">
        <f>LEFT(C289,6)</f>
        <v/>
      </c>
    </row>
    <row r="290" ht="26.25" customHeight="1" s="80">
      <c r="A290" s="98" t="inlineStr">
        <is>
          <t>09-03-03</t>
        </is>
      </c>
      <c r="B290" s="100" t="inlineStr">
        <is>
          <t>製法変更・製造所追加（601.12の報告区分・同等性評価）</t>
        </is>
      </c>
      <c r="C290" s="98" t="inlineStr">
        <is>
          <t>C04-04-04</t>
        </is>
      </c>
      <c r="D290" s="104">
        <f>IFERROR(INDEX(ケイパビリティマップ!$E:$E,MATCH(C290,ケイパビリティマップ!$A:$A,0)),"（IDなし）")</f>
        <v/>
      </c>
      <c r="E290" s="103" t="inlineStr">
        <is>
          <t>支援</t>
        </is>
      </c>
      <c r="F290" s="120">
        <f>LEFT(A290,5)</f>
        <v/>
      </c>
      <c r="G290" s="120">
        <f>LEFT(C290,6)</f>
        <v/>
      </c>
    </row>
    <row r="291" ht="26.25" customHeight="1" s="80">
      <c r="A291" s="98" t="inlineStr">
        <is>
          <t>09-03-03</t>
        </is>
      </c>
      <c r="B291" s="100" t="inlineStr">
        <is>
          <t>製法変更・製造所追加（601.12の報告区分・同等性評価）</t>
        </is>
      </c>
      <c r="C291" s="98" t="inlineStr">
        <is>
          <t>C08-02-03</t>
        </is>
      </c>
      <c r="D291" s="104">
        <f>IFERROR(INDEX(ケイパビリティマップ!$E:$E,MATCH(C291,ケイパビリティマップ!$A:$A,0)),"（IDなし）")</f>
        <v/>
      </c>
      <c r="E291" s="103" t="inlineStr">
        <is>
          <t>支援</t>
        </is>
      </c>
      <c r="F291" s="120">
        <f>LEFT(A291,5)</f>
        <v/>
      </c>
      <c r="G291" s="120">
        <f>LEFT(C291,6)</f>
        <v/>
      </c>
    </row>
    <row r="292" ht="26.25" customHeight="1" s="80">
      <c r="A292" s="98" t="inlineStr">
        <is>
          <t>09-03-04</t>
        </is>
      </c>
      <c r="B292" s="100" t="inlineStr">
        <is>
          <t>★独占期間の管理（Orphan 7年・生物製剤12年）・特許とバイオシミラーへの対応</t>
        </is>
      </c>
      <c r="C292" s="98" t="inlineStr">
        <is>
          <t>C01-02-02</t>
        </is>
      </c>
      <c r="D292" s="104">
        <f>IFERROR(INDEX(ケイパビリティマップ!$E:$E,MATCH(C292,ケイパビリティマップ!$A:$A,0)),"（IDなし）")</f>
        <v/>
      </c>
      <c r="E292" s="103" t="inlineStr">
        <is>
          <t>主</t>
        </is>
      </c>
      <c r="F292" s="120">
        <f>LEFT(A292,5)</f>
        <v/>
      </c>
      <c r="G292" s="120">
        <f>LEFT(C292,6)</f>
        <v/>
      </c>
    </row>
    <row r="293" ht="26.25" customHeight="1" s="80">
      <c r="A293" s="98" t="inlineStr">
        <is>
          <t>09-03-04</t>
        </is>
      </c>
      <c r="B293" s="100" t="inlineStr">
        <is>
          <t>★独占期間の管理（Orphan 7年・生物製剤12年）・特許とバイオシミラーへの対応</t>
        </is>
      </c>
      <c r="C293" s="98" t="inlineStr">
        <is>
          <t>C01-02-03</t>
        </is>
      </c>
      <c r="D293" s="104">
        <f>IFERROR(INDEX(ケイパビリティマップ!$E:$E,MATCH(C293,ケイパビリティマップ!$A:$A,0)),"（IDなし）")</f>
        <v/>
      </c>
      <c r="E293" s="103" t="inlineStr">
        <is>
          <t>主</t>
        </is>
      </c>
      <c r="F293" s="120">
        <f>LEFT(A293,5)</f>
        <v/>
      </c>
      <c r="G293" s="120">
        <f>LEFT(C293,6)</f>
        <v/>
      </c>
    </row>
    <row r="294" ht="26.25" customHeight="1" s="80">
      <c r="A294" s="98" t="inlineStr">
        <is>
          <t>09-03-05</t>
        </is>
      </c>
      <c r="B294" s="104" t="inlineStr">
        <is>
          <t>★Medicare価格交渉の除外要件の管理（希少疾病のみの適応の場合、IRA）</t>
        </is>
      </c>
      <c r="C294" s="98" t="inlineStr">
        <is>
          <t>C11-02-03</t>
        </is>
      </c>
      <c r="D294" s="104">
        <f>IFERROR(INDEX(ケイパビリティマップ!$E:$E,MATCH(C294,ケイパビリティマップ!$A:$A,0)),"（IDなし）")</f>
        <v/>
      </c>
      <c r="E294" s="103" t="inlineStr">
        <is>
          <t>主</t>
        </is>
      </c>
      <c r="F294" s="120">
        <f>LEFT(A294,5)</f>
        <v/>
      </c>
      <c r="G294" s="120">
        <f>LEFT(C294,6)</f>
        <v/>
      </c>
    </row>
    <row r="295" ht="15" customHeight="1" s="80">
      <c r="D295" s="121">
        <f>IF(C295="","",IFERROR(INDEX(ケイパビリティマップ!$E:$E,MATCH(C295,ケイパビリティマップ!$A:$A,0)),"（IDなし）"))</f>
        <v/>
      </c>
      <c r="F295" s="121">
        <f>IF(A295="","",LEFT(A295,5))</f>
        <v/>
      </c>
      <c r="G295" s="121">
        <f>IF(C295="","",LEFT(C295,6))</f>
        <v/>
      </c>
    </row>
    <row r="296" ht="15" customHeight="1" s="80">
      <c r="D296" s="121">
        <f>IF(C296="","",IFERROR(INDEX(ケイパビリティマップ!$E:$E,MATCH(C296,ケイパビリティマップ!$A:$A,0)),"（IDなし）"))</f>
        <v/>
      </c>
      <c r="F296" s="121">
        <f>IF(A296="","",LEFT(A296,5))</f>
        <v/>
      </c>
      <c r="G296" s="121">
        <f>IF(C296="","",LEFT(C296,6))</f>
        <v/>
      </c>
    </row>
    <row r="297" ht="15" customHeight="1" s="80">
      <c r="D297" s="121">
        <f>IF(C297="","",IFERROR(INDEX(ケイパビリティマップ!$E:$E,MATCH(C297,ケイパビリティマップ!$A:$A,0)),"（IDなし）"))</f>
        <v/>
      </c>
      <c r="F297" s="121">
        <f>IF(A297="","",LEFT(A297,5))</f>
        <v/>
      </c>
      <c r="G297" s="121">
        <f>IF(C297="","",LEFT(C297,6))</f>
        <v/>
      </c>
    </row>
    <row r="298" ht="15" customHeight="1" s="80">
      <c r="D298" s="121">
        <f>IF(C298="","",IFERROR(INDEX(ケイパビリティマップ!$E:$E,MATCH(C298,ケイパビリティマップ!$A:$A,0)),"（IDなし）"))</f>
        <v/>
      </c>
      <c r="F298" s="121">
        <f>IF(A298="","",LEFT(A298,5))</f>
        <v/>
      </c>
      <c r="G298" s="121">
        <f>IF(C298="","",LEFT(C298,6))</f>
        <v/>
      </c>
    </row>
    <row r="299" ht="15" customHeight="1" s="80">
      <c r="D299" s="121">
        <f>IF(C299="","",IFERROR(INDEX(ケイパビリティマップ!$E:$E,MATCH(C299,ケイパビリティマップ!$A:$A,0)),"（IDなし）"))</f>
        <v/>
      </c>
      <c r="F299" s="121">
        <f>IF(A299="","",LEFT(A299,5))</f>
        <v/>
      </c>
      <c r="G299" s="121">
        <f>IF(C299="","",LEFT(C299,6))</f>
        <v/>
      </c>
    </row>
    <row r="300" ht="15" customHeight="1" s="80">
      <c r="D300" s="121">
        <f>IF(C300="","",IFERROR(INDEX(ケイパビリティマップ!$E:$E,MATCH(C300,ケイパビリティマップ!$A:$A,0)),"（IDなし）"))</f>
        <v/>
      </c>
      <c r="F300" s="121">
        <f>IF(A300="","",LEFT(A300,5))</f>
        <v/>
      </c>
      <c r="G300" s="121">
        <f>IF(C300="","",LEFT(C300,6))</f>
        <v/>
      </c>
    </row>
    <row r="301" ht="15" customHeight="1" s="80">
      <c r="D301" s="121">
        <f>IF(C301="","",IFERROR(INDEX(ケイパビリティマップ!$E:$E,MATCH(C301,ケイパビリティマップ!$A:$A,0)),"（IDなし）"))</f>
        <v/>
      </c>
      <c r="F301" s="121">
        <f>IF(A301="","",LEFT(A301,5))</f>
        <v/>
      </c>
      <c r="G301" s="121">
        <f>IF(C301="","",LEFT(C301,6))</f>
        <v/>
      </c>
    </row>
    <row r="302" ht="15" customHeight="1" s="80">
      <c r="D302" s="121">
        <f>IF(C302="","",IFERROR(INDEX(ケイパビリティマップ!$E:$E,MATCH(C302,ケイパビリティマップ!$A:$A,0)),"（IDなし）"))</f>
        <v/>
      </c>
      <c r="F302" s="121">
        <f>IF(A302="","",LEFT(A302,5))</f>
        <v/>
      </c>
      <c r="G302" s="121">
        <f>IF(C302="","",LEFT(C302,6))</f>
        <v/>
      </c>
    </row>
    <row r="303" ht="15" customHeight="1" s="80">
      <c r="D303" s="121">
        <f>IF(C303="","",IFERROR(INDEX(ケイパビリティマップ!$E:$E,MATCH(C303,ケイパビリティマップ!$A:$A,0)),"（IDなし）"))</f>
        <v/>
      </c>
      <c r="F303" s="121">
        <f>IF(A303="","",LEFT(A303,5))</f>
        <v/>
      </c>
      <c r="G303" s="121">
        <f>IF(C303="","",LEFT(C303,6))</f>
        <v/>
      </c>
    </row>
    <row r="304" ht="15" customHeight="1" s="80">
      <c r="D304" s="121">
        <f>IF(C304="","",IFERROR(INDEX(ケイパビリティマップ!$E:$E,MATCH(C304,ケイパビリティマップ!$A:$A,0)),"（IDなし）"))</f>
        <v/>
      </c>
      <c r="F304" s="121">
        <f>IF(A304="","",LEFT(A304,5))</f>
        <v/>
      </c>
      <c r="G304" s="121">
        <f>IF(C304="","",LEFT(C304,6))</f>
        <v/>
      </c>
    </row>
    <row r="305" ht="15" customHeight="1" s="80">
      <c r="D305" s="121">
        <f>IF(C305="","",IFERROR(INDEX(ケイパビリティマップ!$E:$E,MATCH(C305,ケイパビリティマップ!$A:$A,0)),"（IDなし）"))</f>
        <v/>
      </c>
      <c r="F305" s="121">
        <f>IF(A305="","",LEFT(A305,5))</f>
        <v/>
      </c>
      <c r="G305" s="121">
        <f>IF(C305="","",LEFT(C305,6))</f>
        <v/>
      </c>
    </row>
    <row r="306" ht="15" customHeight="1" s="80">
      <c r="D306" s="121">
        <f>IF(C306="","",IFERROR(INDEX(ケイパビリティマップ!$E:$E,MATCH(C306,ケイパビリティマップ!$A:$A,0)),"（IDなし）"))</f>
        <v/>
      </c>
      <c r="F306" s="121">
        <f>IF(A306="","",LEFT(A306,5))</f>
        <v/>
      </c>
      <c r="G306" s="121">
        <f>IF(C306="","",LEFT(C306,6))</f>
        <v/>
      </c>
    </row>
    <row r="307" ht="15" customHeight="1" s="80">
      <c r="D307" s="121">
        <f>IF(C307="","",IFERROR(INDEX(ケイパビリティマップ!$E:$E,MATCH(C307,ケイパビリティマップ!$A:$A,0)),"（IDなし）"))</f>
        <v/>
      </c>
      <c r="F307" s="121">
        <f>IF(A307="","",LEFT(A307,5))</f>
        <v/>
      </c>
      <c r="G307" s="121">
        <f>IF(C307="","",LEFT(C307,6))</f>
        <v/>
      </c>
    </row>
    <row r="308" ht="15" customHeight="1" s="80">
      <c r="D308" s="121">
        <f>IF(C308="","",IFERROR(INDEX(ケイパビリティマップ!$E:$E,MATCH(C308,ケイパビリティマップ!$A:$A,0)),"（IDなし）"))</f>
        <v/>
      </c>
      <c r="F308" s="121">
        <f>IF(A308="","",LEFT(A308,5))</f>
        <v/>
      </c>
      <c r="G308" s="121">
        <f>IF(C308="","",LEFT(C308,6))</f>
        <v/>
      </c>
    </row>
    <row r="309" ht="15" customHeight="1" s="80">
      <c r="D309" s="121">
        <f>IF(C309="","",IFERROR(INDEX(ケイパビリティマップ!$E:$E,MATCH(C309,ケイパビリティマップ!$A:$A,0)),"（IDなし）"))</f>
        <v/>
      </c>
      <c r="F309" s="121">
        <f>IF(A309="","",LEFT(A309,5))</f>
        <v/>
      </c>
      <c r="G309" s="121">
        <f>IF(C309="","",LEFT(C309,6))</f>
        <v/>
      </c>
    </row>
    <row r="310" ht="15" customHeight="1" s="80">
      <c r="D310" s="121">
        <f>IF(C310="","",IFERROR(INDEX(ケイパビリティマップ!$E:$E,MATCH(C310,ケイパビリティマップ!$A:$A,0)),"（IDなし）"))</f>
        <v/>
      </c>
      <c r="F310" s="121">
        <f>IF(A310="","",LEFT(A310,5))</f>
        <v/>
      </c>
      <c r="G310" s="121">
        <f>IF(C310="","",LEFT(C310,6))</f>
        <v/>
      </c>
    </row>
    <row r="311" ht="15" customHeight="1" s="80">
      <c r="D311" s="121">
        <f>IF(C311="","",IFERROR(INDEX(ケイパビリティマップ!$E:$E,MATCH(C311,ケイパビリティマップ!$A:$A,0)),"（IDなし）"))</f>
        <v/>
      </c>
      <c r="F311" s="121">
        <f>IF(A311="","",LEFT(A311,5))</f>
        <v/>
      </c>
      <c r="G311" s="121">
        <f>IF(C311="","",LEFT(C311,6))</f>
        <v/>
      </c>
    </row>
    <row r="312" ht="15" customHeight="1" s="80">
      <c r="D312" s="121">
        <f>IF(C312="","",IFERROR(INDEX(ケイパビリティマップ!$E:$E,MATCH(C312,ケイパビリティマップ!$A:$A,0)),"（IDなし）"))</f>
        <v/>
      </c>
      <c r="F312" s="121">
        <f>IF(A312="","",LEFT(A312,5))</f>
        <v/>
      </c>
      <c r="G312" s="121">
        <f>IF(C312="","",LEFT(C312,6))</f>
        <v/>
      </c>
    </row>
    <row r="313" ht="15" customHeight="1" s="80">
      <c r="D313" s="121">
        <f>IF(C313="","",IFERROR(INDEX(ケイパビリティマップ!$E:$E,MATCH(C313,ケイパビリティマップ!$A:$A,0)),"（IDなし）"))</f>
        <v/>
      </c>
      <c r="F313" s="121">
        <f>IF(A313="","",LEFT(A313,5))</f>
        <v/>
      </c>
      <c r="G313" s="121">
        <f>IF(C313="","",LEFT(C313,6))</f>
        <v/>
      </c>
    </row>
    <row r="314" ht="15" customHeight="1" s="80">
      <c r="D314" s="121">
        <f>IF(C314="","",IFERROR(INDEX(ケイパビリティマップ!$E:$E,MATCH(C314,ケイパビリティマップ!$A:$A,0)),"（IDなし）"))</f>
        <v/>
      </c>
      <c r="F314" s="121">
        <f>IF(A314="","",LEFT(A314,5))</f>
        <v/>
      </c>
      <c r="G314" s="121">
        <f>IF(C314="","",LEFT(C314,6))</f>
        <v/>
      </c>
    </row>
    <row r="315" ht="15" customHeight="1" s="80">
      <c r="D315" s="121">
        <f>IF(C315="","",IFERROR(INDEX(ケイパビリティマップ!$E:$E,MATCH(C315,ケイパビリティマップ!$A:$A,0)),"（IDなし）"))</f>
        <v/>
      </c>
      <c r="F315" s="121">
        <f>IF(A315="","",LEFT(A315,5))</f>
        <v/>
      </c>
      <c r="G315" s="121">
        <f>IF(C315="","",LEFT(C315,6))</f>
        <v/>
      </c>
    </row>
    <row r="316" ht="15" customHeight="1" s="80">
      <c r="D316" s="121">
        <f>IF(C316="","",IFERROR(INDEX(ケイパビリティマップ!$E:$E,MATCH(C316,ケイパビリティマップ!$A:$A,0)),"（IDなし）"))</f>
        <v/>
      </c>
      <c r="F316" s="121">
        <f>IF(A316="","",LEFT(A316,5))</f>
        <v/>
      </c>
      <c r="G316" s="121">
        <f>IF(C316="","",LEFT(C316,6))</f>
        <v/>
      </c>
    </row>
    <row r="317" ht="15" customHeight="1" s="80">
      <c r="D317" s="121">
        <f>IF(C317="","",IFERROR(INDEX(ケイパビリティマップ!$E:$E,MATCH(C317,ケイパビリティマップ!$A:$A,0)),"（IDなし）"))</f>
        <v/>
      </c>
      <c r="F317" s="121">
        <f>IF(A317="","",LEFT(A317,5))</f>
        <v/>
      </c>
      <c r="G317" s="121">
        <f>IF(C317="","",LEFT(C317,6))</f>
        <v/>
      </c>
    </row>
    <row r="318" ht="15" customHeight="1" s="80">
      <c r="D318" s="121">
        <f>IF(C318="","",IFERROR(INDEX(ケイパビリティマップ!$E:$E,MATCH(C318,ケイパビリティマップ!$A:$A,0)),"（IDなし）"))</f>
        <v/>
      </c>
      <c r="F318" s="121">
        <f>IF(A318="","",LEFT(A318,5))</f>
        <v/>
      </c>
      <c r="G318" s="121">
        <f>IF(C318="","",LEFT(C318,6))</f>
        <v/>
      </c>
    </row>
    <row r="319" ht="15" customHeight="1" s="80">
      <c r="D319" s="121">
        <f>IF(C319="","",IFERROR(INDEX(ケイパビリティマップ!$E:$E,MATCH(C319,ケイパビリティマップ!$A:$A,0)),"（IDなし）"))</f>
        <v/>
      </c>
      <c r="F319" s="121">
        <f>IF(A319="","",LEFT(A319,5))</f>
        <v/>
      </c>
      <c r="G319" s="121">
        <f>IF(C319="","",LEFT(C319,6))</f>
        <v/>
      </c>
    </row>
    <row r="320" ht="15" customHeight="1" s="80">
      <c r="D320" s="121">
        <f>IF(C320="","",IFERROR(INDEX(ケイパビリティマップ!$E:$E,MATCH(C320,ケイパビリティマップ!$A:$A,0)),"（IDなし）"))</f>
        <v/>
      </c>
      <c r="F320" s="121">
        <f>IF(A320="","",LEFT(A320,5))</f>
        <v/>
      </c>
      <c r="G320" s="121">
        <f>IF(C320="","",LEFT(C320,6))</f>
        <v/>
      </c>
    </row>
    <row r="321" ht="15" customHeight="1" s="80">
      <c r="D321" s="121">
        <f>IF(C321="","",IFERROR(INDEX(ケイパビリティマップ!$E:$E,MATCH(C321,ケイパビリティマップ!$A:$A,0)),"（IDなし）"))</f>
        <v/>
      </c>
      <c r="F321" s="121">
        <f>IF(A321="","",LEFT(A321,5))</f>
        <v/>
      </c>
      <c r="G321" s="121">
        <f>IF(C321="","",LEFT(C321,6))</f>
        <v/>
      </c>
    </row>
    <row r="322" ht="15" customHeight="1" s="80">
      <c r="D322" s="121">
        <f>IF(C322="","",IFERROR(INDEX(ケイパビリティマップ!$E:$E,MATCH(C322,ケイパビリティマップ!$A:$A,0)),"（IDなし）"))</f>
        <v/>
      </c>
      <c r="F322" s="121">
        <f>IF(A322="","",LEFT(A322,5))</f>
        <v/>
      </c>
      <c r="G322" s="121">
        <f>IF(C322="","",LEFT(C322,6))</f>
        <v/>
      </c>
    </row>
    <row r="323" ht="15" customHeight="1" s="80">
      <c r="D323" s="121">
        <f>IF(C323="","",IFERROR(INDEX(ケイパビリティマップ!$E:$E,MATCH(C323,ケイパビリティマップ!$A:$A,0)),"（IDなし）"))</f>
        <v/>
      </c>
      <c r="F323" s="121">
        <f>IF(A323="","",LEFT(A323,5))</f>
        <v/>
      </c>
      <c r="G323" s="121">
        <f>IF(C323="","",LEFT(C323,6))</f>
        <v/>
      </c>
    </row>
    <row r="324" ht="15" customHeight="1" s="80">
      <c r="D324" s="121">
        <f>IF(C324="","",IFERROR(INDEX(ケイパビリティマップ!$E:$E,MATCH(C324,ケイパビリティマップ!$A:$A,0)),"（IDなし）"))</f>
        <v/>
      </c>
      <c r="F324" s="121">
        <f>IF(A324="","",LEFT(A324,5))</f>
        <v/>
      </c>
      <c r="G324" s="121">
        <f>IF(C324="","",LEFT(C324,6))</f>
        <v/>
      </c>
    </row>
    <row r="325" ht="15" customHeight="1" s="80">
      <c r="D325" s="121">
        <f>IF(C325="","",IFERROR(INDEX(ケイパビリティマップ!$E:$E,MATCH(C325,ケイパビリティマップ!$A:$A,0)),"（IDなし）"))</f>
        <v/>
      </c>
      <c r="F325" s="121">
        <f>IF(A325="","",LEFT(A325,5))</f>
        <v/>
      </c>
      <c r="G325" s="121">
        <f>IF(C325="","",LEFT(C325,6))</f>
        <v/>
      </c>
    </row>
    <row r="326" ht="15" customHeight="1" s="80">
      <c r="D326" s="121">
        <f>IF(C326="","",IFERROR(INDEX(ケイパビリティマップ!$E:$E,MATCH(C326,ケイパビリティマップ!$A:$A,0)),"（IDなし）"))</f>
        <v/>
      </c>
      <c r="F326" s="121">
        <f>IF(A326="","",LEFT(A326,5))</f>
        <v/>
      </c>
      <c r="G326" s="121">
        <f>IF(C326="","",LEFT(C326,6))</f>
        <v/>
      </c>
    </row>
    <row r="327" ht="15" customHeight="1" s="80">
      <c r="D327" s="121">
        <f>IF(C327="","",IFERROR(INDEX(ケイパビリティマップ!$E:$E,MATCH(C327,ケイパビリティマップ!$A:$A,0)),"（IDなし）"))</f>
        <v/>
      </c>
      <c r="F327" s="121">
        <f>IF(A327="","",LEFT(A327,5))</f>
        <v/>
      </c>
      <c r="G327" s="121">
        <f>IF(C327="","",LEFT(C327,6))</f>
        <v/>
      </c>
    </row>
    <row r="328" ht="15" customHeight="1" s="80">
      <c r="D328" s="121">
        <f>IF(C328="","",IFERROR(INDEX(ケイパビリティマップ!$E:$E,MATCH(C328,ケイパビリティマップ!$A:$A,0)),"（IDなし）"))</f>
        <v/>
      </c>
      <c r="F328" s="121">
        <f>IF(A328="","",LEFT(A328,5))</f>
        <v/>
      </c>
      <c r="G328" s="121">
        <f>IF(C328="","",LEFT(C328,6))</f>
        <v/>
      </c>
    </row>
    <row r="329" ht="15" customHeight="1" s="80">
      <c r="D329" s="121">
        <f>IF(C329="","",IFERROR(INDEX(ケイパビリティマップ!$E:$E,MATCH(C329,ケイパビリティマップ!$A:$A,0)),"（IDなし）"))</f>
        <v/>
      </c>
      <c r="F329" s="121">
        <f>IF(A329="","",LEFT(A329,5))</f>
        <v/>
      </c>
      <c r="G329" s="121">
        <f>IF(C329="","",LEFT(C329,6))</f>
        <v/>
      </c>
    </row>
    <row r="330" ht="15" customHeight="1" s="80">
      <c r="D330" s="121">
        <f>IF(C330="","",IFERROR(INDEX(ケイパビリティマップ!$E:$E,MATCH(C330,ケイパビリティマップ!$A:$A,0)),"（IDなし）"))</f>
        <v/>
      </c>
      <c r="F330" s="121">
        <f>IF(A330="","",LEFT(A330,5))</f>
        <v/>
      </c>
      <c r="G330" s="121">
        <f>IF(C330="","",LEFT(C330,6))</f>
        <v/>
      </c>
    </row>
    <row r="331" ht="15" customHeight="1" s="80">
      <c r="D331" s="121">
        <f>IF(C331="","",IFERROR(INDEX(ケイパビリティマップ!$E:$E,MATCH(C331,ケイパビリティマップ!$A:$A,0)),"（IDなし）"))</f>
        <v/>
      </c>
      <c r="F331" s="121">
        <f>IF(A331="","",LEFT(A331,5))</f>
        <v/>
      </c>
      <c r="G331" s="121">
        <f>IF(C331="","",LEFT(C331,6))</f>
        <v/>
      </c>
    </row>
    <row r="332" ht="15" customHeight="1" s="80">
      <c r="D332" s="121">
        <f>IF(C332="","",IFERROR(INDEX(ケイパビリティマップ!$E:$E,MATCH(C332,ケイパビリティマップ!$A:$A,0)),"（IDなし）"))</f>
        <v/>
      </c>
      <c r="F332" s="121">
        <f>IF(A332="","",LEFT(A332,5))</f>
        <v/>
      </c>
      <c r="G332" s="121">
        <f>IF(C332="","",LEFT(C332,6))</f>
        <v/>
      </c>
    </row>
    <row r="333" ht="15" customHeight="1" s="80">
      <c r="D333" s="121">
        <f>IF(C333="","",IFERROR(INDEX(ケイパビリティマップ!$E:$E,MATCH(C333,ケイパビリティマップ!$A:$A,0)),"（IDなし）"))</f>
        <v/>
      </c>
      <c r="F333" s="121">
        <f>IF(A333="","",LEFT(A333,5))</f>
        <v/>
      </c>
      <c r="G333" s="121">
        <f>IF(C333="","",LEFT(C333,6))</f>
        <v/>
      </c>
    </row>
    <row r="334" ht="15" customHeight="1" s="80">
      <c r="D334" s="121">
        <f>IF(C334="","",IFERROR(INDEX(ケイパビリティマップ!$E:$E,MATCH(C334,ケイパビリティマップ!$A:$A,0)),"（IDなし）"))</f>
        <v/>
      </c>
      <c r="F334" s="121">
        <f>IF(A334="","",LEFT(A334,5))</f>
        <v/>
      </c>
      <c r="G334" s="121">
        <f>IF(C334="","",LEFT(C334,6))</f>
        <v/>
      </c>
    </row>
    <row r="335" ht="15" customHeight="1" s="80">
      <c r="D335" s="121">
        <f>IF(C335="","",IFERROR(INDEX(ケイパビリティマップ!$E:$E,MATCH(C335,ケイパビリティマップ!$A:$A,0)),"（IDなし）"))</f>
        <v/>
      </c>
      <c r="F335" s="121">
        <f>IF(A335="","",LEFT(A335,5))</f>
        <v/>
      </c>
      <c r="G335" s="121">
        <f>IF(C335="","",LEFT(C335,6))</f>
        <v/>
      </c>
    </row>
    <row r="336" ht="15" customHeight="1" s="80">
      <c r="D336" s="121">
        <f>IF(C336="","",IFERROR(INDEX(ケイパビリティマップ!$E:$E,MATCH(C336,ケイパビリティマップ!$A:$A,0)),"（IDなし）"))</f>
        <v/>
      </c>
      <c r="F336" s="121">
        <f>IF(A336="","",LEFT(A336,5))</f>
        <v/>
      </c>
      <c r="G336" s="121">
        <f>IF(C336="","",LEFT(C336,6))</f>
        <v/>
      </c>
    </row>
    <row r="337" ht="15" customHeight="1" s="80">
      <c r="D337" s="121">
        <f>IF(C337="","",IFERROR(INDEX(ケイパビリティマップ!$E:$E,MATCH(C337,ケイパビリティマップ!$A:$A,0)),"（IDなし）"))</f>
        <v/>
      </c>
      <c r="F337" s="121">
        <f>IF(A337="","",LEFT(A337,5))</f>
        <v/>
      </c>
      <c r="G337" s="121">
        <f>IF(C337="","",LEFT(C337,6))</f>
        <v/>
      </c>
    </row>
    <row r="338" ht="15" customHeight="1" s="80">
      <c r="D338" s="121">
        <f>IF(C338="","",IFERROR(INDEX(ケイパビリティマップ!$E:$E,MATCH(C338,ケイパビリティマップ!$A:$A,0)),"（IDなし）"))</f>
        <v/>
      </c>
      <c r="F338" s="121">
        <f>IF(A338="","",LEFT(A338,5))</f>
        <v/>
      </c>
      <c r="G338" s="121">
        <f>IF(C338="","",LEFT(C338,6))</f>
        <v/>
      </c>
    </row>
    <row r="339" ht="15" customHeight="1" s="80">
      <c r="D339" s="121">
        <f>IF(C339="","",IFERROR(INDEX(ケイパビリティマップ!$E:$E,MATCH(C339,ケイパビリティマップ!$A:$A,0)),"（IDなし）"))</f>
        <v/>
      </c>
      <c r="F339" s="121">
        <f>IF(A339="","",LEFT(A339,5))</f>
        <v/>
      </c>
      <c r="G339" s="121">
        <f>IF(C339="","",LEFT(C339,6))</f>
        <v/>
      </c>
    </row>
    <row r="340" ht="15" customHeight="1" s="80">
      <c r="D340" s="121">
        <f>IF(C340="","",IFERROR(INDEX(ケイパビリティマップ!$E:$E,MATCH(C340,ケイパビリティマップ!$A:$A,0)),"（IDなし）"))</f>
        <v/>
      </c>
      <c r="F340" s="121">
        <f>IF(A340="","",LEFT(A340,5))</f>
        <v/>
      </c>
      <c r="G340" s="121">
        <f>IF(C340="","",LEFT(C340,6))</f>
        <v/>
      </c>
    </row>
    <row r="341" ht="15" customHeight="1" s="80">
      <c r="D341" s="121">
        <f>IF(C341="","",IFERROR(INDEX(ケイパビリティマップ!$E:$E,MATCH(C341,ケイパビリティマップ!$A:$A,0)),"（IDなし）"))</f>
        <v/>
      </c>
      <c r="F341" s="121">
        <f>IF(A341="","",LEFT(A341,5))</f>
        <v/>
      </c>
      <c r="G341" s="121">
        <f>IF(C341="","",LEFT(C341,6))</f>
        <v/>
      </c>
    </row>
    <row r="342" ht="15" customHeight="1" s="80">
      <c r="D342" s="121">
        <f>IF(C342="","",IFERROR(INDEX(ケイパビリティマップ!$E:$E,MATCH(C342,ケイパビリティマップ!$A:$A,0)),"（IDなし）"))</f>
        <v/>
      </c>
      <c r="F342" s="121">
        <f>IF(A342="","",LEFT(A342,5))</f>
        <v/>
      </c>
      <c r="G342" s="121">
        <f>IF(C342="","",LEFT(C342,6))</f>
        <v/>
      </c>
    </row>
    <row r="343" ht="15" customHeight="1" s="80">
      <c r="D343" s="121">
        <f>IF(C343="","",IFERROR(INDEX(ケイパビリティマップ!$E:$E,MATCH(C343,ケイパビリティマップ!$A:$A,0)),"（IDなし）"))</f>
        <v/>
      </c>
      <c r="F343" s="121">
        <f>IF(A343="","",LEFT(A343,5))</f>
        <v/>
      </c>
      <c r="G343" s="121">
        <f>IF(C343="","",LEFT(C343,6))</f>
        <v/>
      </c>
    </row>
    <row r="344" ht="15" customHeight="1" s="80">
      <c r="D344" s="121">
        <f>IF(C344="","",IFERROR(INDEX(ケイパビリティマップ!$E:$E,MATCH(C344,ケイパビリティマップ!$A:$A,0)),"（IDなし）"))</f>
        <v/>
      </c>
      <c r="F344" s="121">
        <f>IF(A344="","",LEFT(A344,5))</f>
        <v/>
      </c>
      <c r="G344" s="121">
        <f>IF(C344="","",LEFT(C344,6))</f>
        <v/>
      </c>
    </row>
    <row r="345" ht="15" customHeight="1" s="80">
      <c r="D345" s="121">
        <f>IF(C345="","",IFERROR(INDEX(ケイパビリティマップ!$E:$E,MATCH(C345,ケイパビリティマップ!$A:$A,0)),"（IDなし）"))</f>
        <v/>
      </c>
      <c r="F345" s="121">
        <f>IF(A345="","",LEFT(A345,5))</f>
        <v/>
      </c>
      <c r="G345" s="121">
        <f>IF(C345="","",LEFT(C345,6))</f>
        <v/>
      </c>
    </row>
    <row r="346" ht="15" customHeight="1" s="80">
      <c r="D346" s="121">
        <f>IF(C346="","",IFERROR(INDEX(ケイパビリティマップ!$E:$E,MATCH(C346,ケイパビリティマップ!$A:$A,0)),"（IDなし）"))</f>
        <v/>
      </c>
      <c r="F346" s="121">
        <f>IF(A346="","",LEFT(A346,5))</f>
        <v/>
      </c>
      <c r="G346" s="121">
        <f>IF(C346="","",LEFT(C346,6))</f>
        <v/>
      </c>
    </row>
    <row r="347" ht="15" customHeight="1" s="80">
      <c r="D347" s="121">
        <f>IF(C347="","",IFERROR(INDEX(ケイパビリティマップ!$E:$E,MATCH(C347,ケイパビリティマップ!$A:$A,0)),"（IDなし）"))</f>
        <v/>
      </c>
      <c r="F347" s="121">
        <f>IF(A347="","",LEFT(A347,5))</f>
        <v/>
      </c>
      <c r="G347" s="121">
        <f>IF(C347="","",LEFT(C347,6))</f>
        <v/>
      </c>
    </row>
    <row r="348" ht="15" customHeight="1" s="80">
      <c r="D348" s="121">
        <f>IF(C348="","",IFERROR(INDEX(ケイパビリティマップ!$E:$E,MATCH(C348,ケイパビリティマップ!$A:$A,0)),"（IDなし）"))</f>
        <v/>
      </c>
      <c r="F348" s="121">
        <f>IF(A348="","",LEFT(A348,5))</f>
        <v/>
      </c>
      <c r="G348" s="121">
        <f>IF(C348="","",LEFT(C348,6))</f>
        <v/>
      </c>
    </row>
    <row r="349" ht="15" customHeight="1" s="80">
      <c r="D349" s="121">
        <f>IF(C349="","",IFERROR(INDEX(ケイパビリティマップ!$E:$E,MATCH(C349,ケイパビリティマップ!$A:$A,0)),"（IDなし）"))</f>
        <v/>
      </c>
      <c r="F349" s="121">
        <f>IF(A349="","",LEFT(A349,5))</f>
        <v/>
      </c>
      <c r="G349" s="121">
        <f>IF(C349="","",LEFT(C349,6))</f>
        <v/>
      </c>
    </row>
    <row r="350" ht="15" customHeight="1" s="80">
      <c r="D350" s="121">
        <f>IF(C350="","",IFERROR(INDEX(ケイパビリティマップ!$E:$E,MATCH(C350,ケイパビリティマップ!$A:$A,0)),"（IDなし）"))</f>
        <v/>
      </c>
      <c r="F350" s="121">
        <f>IF(A350="","",LEFT(A350,5))</f>
        <v/>
      </c>
      <c r="G350" s="121">
        <f>IF(C350="","",LEFT(C350,6))</f>
        <v/>
      </c>
    </row>
    <row r="351" ht="15" customHeight="1" s="80">
      <c r="D351" s="121">
        <f>IF(C351="","",IFERROR(INDEX(ケイパビリティマップ!$E:$E,MATCH(C351,ケイパビリティマップ!$A:$A,0)),"（IDなし）"))</f>
        <v/>
      </c>
      <c r="F351" s="121">
        <f>IF(A351="","",LEFT(A351,5))</f>
        <v/>
      </c>
      <c r="G351" s="121">
        <f>IF(C351="","",LEFT(C351,6))</f>
        <v/>
      </c>
    </row>
    <row r="352" ht="15" customHeight="1" s="80">
      <c r="D352" s="121">
        <f>IF(C352="","",IFERROR(INDEX(ケイパビリティマップ!$E:$E,MATCH(C352,ケイパビリティマップ!$A:$A,0)),"（IDなし）"))</f>
        <v/>
      </c>
      <c r="F352" s="121">
        <f>IF(A352="","",LEFT(A352,5))</f>
        <v/>
      </c>
      <c r="G352" s="121">
        <f>IF(C352="","",LEFT(C352,6))</f>
        <v/>
      </c>
    </row>
    <row r="353" ht="15" customHeight="1" s="80">
      <c r="D353" s="121">
        <f>IF(C353="","",IFERROR(INDEX(ケイパビリティマップ!$E:$E,MATCH(C353,ケイパビリティマップ!$A:$A,0)),"（IDなし）"))</f>
        <v/>
      </c>
      <c r="F353" s="121">
        <f>IF(A353="","",LEFT(A353,5))</f>
        <v/>
      </c>
      <c r="G353" s="121">
        <f>IF(C353="","",LEFT(C353,6))</f>
        <v/>
      </c>
    </row>
    <row r="354" ht="15" customHeight="1" s="80">
      <c r="D354" s="121">
        <f>IF(C354="","",IFERROR(INDEX(ケイパビリティマップ!$E:$E,MATCH(C354,ケイパビリティマップ!$A:$A,0)),"（IDなし）"))</f>
        <v/>
      </c>
      <c r="F354" s="121">
        <f>IF(A354="","",LEFT(A354,5))</f>
        <v/>
      </c>
      <c r="G354" s="121">
        <f>IF(C354="","",LEFT(C354,6))</f>
        <v/>
      </c>
    </row>
    <row r="355" ht="15" customHeight="1" s="80">
      <c r="D355" s="121">
        <f>IF(C355="","",IFERROR(INDEX(ケイパビリティマップ!$E:$E,MATCH(C355,ケイパビリティマップ!$A:$A,0)),"（IDなし）"))</f>
        <v/>
      </c>
      <c r="F355" s="121">
        <f>IF(A355="","",LEFT(A355,5))</f>
        <v/>
      </c>
      <c r="G355" s="121">
        <f>IF(C355="","",LEFT(C355,6))</f>
        <v/>
      </c>
    </row>
    <row r="356" ht="15" customHeight="1" s="80">
      <c r="D356" s="121">
        <f>IF(C356="","",IFERROR(INDEX(ケイパビリティマップ!$E:$E,MATCH(C356,ケイパビリティマップ!$A:$A,0)),"（IDなし）"))</f>
        <v/>
      </c>
      <c r="F356" s="121">
        <f>IF(A356="","",LEFT(A356,5))</f>
        <v/>
      </c>
      <c r="G356" s="121">
        <f>IF(C356="","",LEFT(C356,6))</f>
        <v/>
      </c>
    </row>
    <row r="357" ht="15" customHeight="1" s="80">
      <c r="D357" s="121">
        <f>IF(C357="","",IFERROR(INDEX(ケイパビリティマップ!$E:$E,MATCH(C357,ケイパビリティマップ!$A:$A,0)),"（IDなし）"))</f>
        <v/>
      </c>
      <c r="F357" s="121">
        <f>IF(A357="","",LEFT(A357,5))</f>
        <v/>
      </c>
      <c r="G357" s="121">
        <f>IF(C357="","",LEFT(C357,6))</f>
        <v/>
      </c>
    </row>
    <row r="358" ht="15" customHeight="1" s="80">
      <c r="D358" s="121">
        <f>IF(C358="","",IFERROR(INDEX(ケイパビリティマップ!$E:$E,MATCH(C358,ケイパビリティマップ!$A:$A,0)),"（IDなし）"))</f>
        <v/>
      </c>
      <c r="F358" s="121">
        <f>IF(A358="","",LEFT(A358,5))</f>
        <v/>
      </c>
      <c r="G358" s="121">
        <f>IF(C358="","",LEFT(C358,6))</f>
        <v/>
      </c>
    </row>
    <row r="359" ht="15" customHeight="1" s="80">
      <c r="D359" s="121">
        <f>IF(C359="","",IFERROR(INDEX(ケイパビリティマップ!$E:$E,MATCH(C359,ケイパビリティマップ!$A:$A,0)),"（IDなし）"))</f>
        <v/>
      </c>
      <c r="F359" s="121">
        <f>IF(A359="","",LEFT(A359,5))</f>
        <v/>
      </c>
      <c r="G359" s="121">
        <f>IF(C359="","",LEFT(C359,6))</f>
        <v/>
      </c>
    </row>
    <row r="360" ht="15" customHeight="1" s="80">
      <c r="D360" s="121">
        <f>IF(C360="","",IFERROR(INDEX(ケイパビリティマップ!$E:$E,MATCH(C360,ケイパビリティマップ!$A:$A,0)),"（IDなし）"))</f>
        <v/>
      </c>
      <c r="F360" s="121">
        <f>IF(A360="","",LEFT(A360,5))</f>
        <v/>
      </c>
      <c r="G360" s="121">
        <f>IF(C360="","",LEFT(C360,6))</f>
        <v/>
      </c>
    </row>
    <row r="361" ht="15" customHeight="1" s="80">
      <c r="D361" s="121">
        <f>IF(C361="","",IFERROR(INDEX(ケイパビリティマップ!$E:$E,MATCH(C361,ケイパビリティマップ!$A:$A,0)),"（IDなし）"))</f>
        <v/>
      </c>
      <c r="F361" s="121">
        <f>IF(A361="","",LEFT(A361,5))</f>
        <v/>
      </c>
      <c r="G361" s="121">
        <f>IF(C361="","",LEFT(C361,6))</f>
        <v/>
      </c>
    </row>
    <row r="362" ht="15" customHeight="1" s="80">
      <c r="D362" s="121">
        <f>IF(C362="","",IFERROR(INDEX(ケイパビリティマップ!$E:$E,MATCH(C362,ケイパビリティマップ!$A:$A,0)),"（IDなし）"))</f>
        <v/>
      </c>
      <c r="F362" s="121">
        <f>IF(A362="","",LEFT(A362,5))</f>
        <v/>
      </c>
      <c r="G362" s="121">
        <f>IF(C362="","",LEFT(C362,6))</f>
        <v/>
      </c>
    </row>
    <row r="363" ht="15" customHeight="1" s="80">
      <c r="D363" s="121">
        <f>IF(C363="","",IFERROR(INDEX(ケイパビリティマップ!$E:$E,MATCH(C363,ケイパビリティマップ!$A:$A,0)),"（IDなし）"))</f>
        <v/>
      </c>
      <c r="F363" s="121">
        <f>IF(A363="","",LEFT(A363,5))</f>
        <v/>
      </c>
      <c r="G363" s="121">
        <f>IF(C363="","",LEFT(C363,6))</f>
        <v/>
      </c>
    </row>
    <row r="364" ht="15" customHeight="1" s="80">
      <c r="D364" s="121">
        <f>IF(C364="","",IFERROR(INDEX(ケイパビリティマップ!$E:$E,MATCH(C364,ケイパビリティマップ!$A:$A,0)),"（IDなし）"))</f>
        <v/>
      </c>
      <c r="F364" s="121">
        <f>IF(A364="","",LEFT(A364,5))</f>
        <v/>
      </c>
      <c r="G364" s="121">
        <f>IF(C364="","",LEFT(C364,6))</f>
        <v/>
      </c>
    </row>
    <row r="365" ht="15" customHeight="1" s="80">
      <c r="D365" s="121">
        <f>IF(C365="","",IFERROR(INDEX(ケイパビリティマップ!$E:$E,MATCH(C365,ケイパビリティマップ!$A:$A,0)),"（IDなし）"))</f>
        <v/>
      </c>
      <c r="F365" s="121">
        <f>IF(A365="","",LEFT(A365,5))</f>
        <v/>
      </c>
      <c r="G365" s="121">
        <f>IF(C365="","",LEFT(C365,6))</f>
        <v/>
      </c>
    </row>
    <row r="366" ht="15" customHeight="1" s="80">
      <c r="D366" s="121">
        <f>IF(C366="","",IFERROR(INDEX(ケイパビリティマップ!$E:$E,MATCH(C366,ケイパビリティマップ!$A:$A,0)),"（IDなし）"))</f>
        <v/>
      </c>
      <c r="F366" s="121">
        <f>IF(A366="","",LEFT(A366,5))</f>
        <v/>
      </c>
      <c r="G366" s="121">
        <f>IF(C366="","",LEFT(C366,6))</f>
        <v/>
      </c>
    </row>
    <row r="367" ht="15" customHeight="1" s="80">
      <c r="D367" s="121">
        <f>IF(C367="","",IFERROR(INDEX(ケイパビリティマップ!$E:$E,MATCH(C367,ケイパビリティマップ!$A:$A,0)),"（IDなし）"))</f>
        <v/>
      </c>
      <c r="F367" s="121">
        <f>IF(A367="","",LEFT(A367,5))</f>
        <v/>
      </c>
      <c r="G367" s="121">
        <f>IF(C367="","",LEFT(C367,6))</f>
        <v/>
      </c>
    </row>
    <row r="368" ht="15" customHeight="1" s="80">
      <c r="D368" s="121">
        <f>IF(C368="","",IFERROR(INDEX(ケイパビリティマップ!$E:$E,MATCH(C368,ケイパビリティマップ!$A:$A,0)),"（IDなし）"))</f>
        <v/>
      </c>
      <c r="F368" s="121">
        <f>IF(A368="","",LEFT(A368,5))</f>
        <v/>
      </c>
      <c r="G368" s="121">
        <f>IF(C368="","",LEFT(C368,6))</f>
        <v/>
      </c>
    </row>
    <row r="369" ht="15" customHeight="1" s="80">
      <c r="D369" s="121">
        <f>IF(C369="","",IFERROR(INDEX(ケイパビリティマップ!$E:$E,MATCH(C369,ケイパビリティマップ!$A:$A,0)),"（IDなし）"))</f>
        <v/>
      </c>
      <c r="F369" s="121">
        <f>IF(A369="","",LEFT(A369,5))</f>
        <v/>
      </c>
      <c r="G369" s="121">
        <f>IF(C369="","",LEFT(C369,6))</f>
        <v/>
      </c>
    </row>
    <row r="370" ht="15" customHeight="1" s="80">
      <c r="D370" s="121">
        <f>IF(C370="","",IFERROR(INDEX(ケイパビリティマップ!$E:$E,MATCH(C370,ケイパビリティマップ!$A:$A,0)),"（IDなし）"))</f>
        <v/>
      </c>
      <c r="F370" s="121">
        <f>IF(A370="","",LEFT(A370,5))</f>
        <v/>
      </c>
      <c r="G370" s="121">
        <f>IF(C370="","",LEFT(C370,6))</f>
        <v/>
      </c>
    </row>
    <row r="371" ht="15" customHeight="1" s="80">
      <c r="D371" s="121">
        <f>IF(C371="","",IFERROR(INDEX(ケイパビリティマップ!$E:$E,MATCH(C371,ケイパビリティマップ!$A:$A,0)),"（IDなし）"))</f>
        <v/>
      </c>
      <c r="F371" s="121">
        <f>IF(A371="","",LEFT(A371,5))</f>
        <v/>
      </c>
      <c r="G371" s="121">
        <f>IF(C371="","",LEFT(C371,6))</f>
        <v/>
      </c>
    </row>
    <row r="372" ht="15" customHeight="1" s="80">
      <c r="D372" s="121">
        <f>IF(C372="","",IFERROR(INDEX(ケイパビリティマップ!$E:$E,MATCH(C372,ケイパビリティマップ!$A:$A,0)),"（IDなし）"))</f>
        <v/>
      </c>
      <c r="F372" s="121">
        <f>IF(A372="","",LEFT(A372,5))</f>
        <v/>
      </c>
      <c r="G372" s="121">
        <f>IF(C372="","",LEFT(C372,6))</f>
        <v/>
      </c>
    </row>
    <row r="373" ht="15" customHeight="1" s="80">
      <c r="D373" s="121">
        <f>IF(C373="","",IFERROR(INDEX(ケイパビリティマップ!$E:$E,MATCH(C373,ケイパビリティマップ!$A:$A,0)),"（IDなし）"))</f>
        <v/>
      </c>
      <c r="F373" s="121">
        <f>IF(A373="","",LEFT(A373,5))</f>
        <v/>
      </c>
      <c r="G373" s="121">
        <f>IF(C373="","",LEFT(C373,6))</f>
        <v/>
      </c>
    </row>
    <row r="374" ht="15" customHeight="1" s="80">
      <c r="D374" s="121">
        <f>IF(C374="","",IFERROR(INDEX(ケイパビリティマップ!$E:$E,MATCH(C374,ケイパビリティマップ!$A:$A,0)),"（IDなし）"))</f>
        <v/>
      </c>
      <c r="F374" s="121">
        <f>IF(A374="","",LEFT(A374,5))</f>
        <v/>
      </c>
      <c r="G374" s="121">
        <f>IF(C374="","",LEFT(C374,6))</f>
        <v/>
      </c>
    </row>
    <row r="375" ht="15" customHeight="1" s="80">
      <c r="D375" s="121">
        <f>IF(C375="","",IFERROR(INDEX(ケイパビリティマップ!$E:$E,MATCH(C375,ケイパビリティマップ!$A:$A,0)),"（IDなし）"))</f>
        <v/>
      </c>
      <c r="F375" s="121">
        <f>IF(A375="","",LEFT(A375,5))</f>
        <v/>
      </c>
      <c r="G375" s="121">
        <f>IF(C375="","",LEFT(C375,6))</f>
        <v/>
      </c>
    </row>
    <row r="376" ht="15" customHeight="1" s="80">
      <c r="D376" s="121">
        <f>IF(C376="","",IFERROR(INDEX(ケイパビリティマップ!$E:$E,MATCH(C376,ケイパビリティマップ!$A:$A,0)),"（IDなし）"))</f>
        <v/>
      </c>
      <c r="F376" s="121">
        <f>IF(A376="","",LEFT(A376,5))</f>
        <v/>
      </c>
      <c r="G376" s="121">
        <f>IF(C376="","",LEFT(C376,6))</f>
        <v/>
      </c>
    </row>
    <row r="377" ht="15" customHeight="1" s="80">
      <c r="D377" s="121">
        <f>IF(C377="","",IFERROR(INDEX(ケイパビリティマップ!$E:$E,MATCH(C377,ケイパビリティマップ!$A:$A,0)),"（IDなし）"))</f>
        <v/>
      </c>
      <c r="F377" s="121">
        <f>IF(A377="","",LEFT(A377,5))</f>
        <v/>
      </c>
      <c r="G377" s="121">
        <f>IF(C377="","",LEFT(C377,6))</f>
        <v/>
      </c>
    </row>
    <row r="378" ht="15" customHeight="1" s="80">
      <c r="D378" s="121">
        <f>IF(C378="","",IFERROR(INDEX(ケイパビリティマップ!$E:$E,MATCH(C378,ケイパビリティマップ!$A:$A,0)),"（IDなし）"))</f>
        <v/>
      </c>
      <c r="F378" s="121">
        <f>IF(A378="","",LEFT(A378,5))</f>
        <v/>
      </c>
      <c r="G378" s="121">
        <f>IF(C378="","",LEFT(C378,6))</f>
        <v/>
      </c>
    </row>
    <row r="379" ht="15" customHeight="1" s="80">
      <c r="D379" s="121">
        <f>IF(C379="","",IFERROR(INDEX(ケイパビリティマップ!$E:$E,MATCH(C379,ケイパビリティマップ!$A:$A,0)),"（IDなし）"))</f>
        <v/>
      </c>
      <c r="F379" s="121">
        <f>IF(A379="","",LEFT(A379,5))</f>
        <v/>
      </c>
      <c r="G379" s="121">
        <f>IF(C379="","",LEFT(C379,6))</f>
        <v/>
      </c>
    </row>
    <row r="380" ht="15" customHeight="1" s="80">
      <c r="D380" s="121">
        <f>IF(C380="","",IFERROR(INDEX(ケイパビリティマップ!$E:$E,MATCH(C380,ケイパビリティマップ!$A:$A,0)),"（IDなし）"))</f>
        <v/>
      </c>
      <c r="F380" s="121">
        <f>IF(A380="","",LEFT(A380,5))</f>
        <v/>
      </c>
      <c r="G380" s="121">
        <f>IF(C380="","",LEFT(C380,6))</f>
        <v/>
      </c>
    </row>
    <row r="381" ht="15" customHeight="1" s="80">
      <c r="D381" s="121">
        <f>IF(C381="","",IFERROR(INDEX(ケイパビリティマップ!$E:$E,MATCH(C381,ケイパビリティマップ!$A:$A,0)),"（IDなし）"))</f>
        <v/>
      </c>
      <c r="F381" s="121">
        <f>IF(A381="","",LEFT(A381,5))</f>
        <v/>
      </c>
      <c r="G381" s="121">
        <f>IF(C381="","",LEFT(C381,6))</f>
        <v/>
      </c>
    </row>
    <row r="382" ht="15" customHeight="1" s="80">
      <c r="D382" s="121">
        <f>IF(C382="","",IFERROR(INDEX(ケイパビリティマップ!$E:$E,MATCH(C382,ケイパビリティマップ!$A:$A,0)),"（IDなし）"))</f>
        <v/>
      </c>
      <c r="F382" s="121">
        <f>IF(A382="","",LEFT(A382,5))</f>
        <v/>
      </c>
      <c r="G382" s="121">
        <f>IF(C382="","",LEFT(C382,6))</f>
        <v/>
      </c>
    </row>
    <row r="383" ht="15" customHeight="1" s="80">
      <c r="D383" s="121">
        <f>IF(C383="","",IFERROR(INDEX(ケイパビリティマップ!$E:$E,MATCH(C383,ケイパビリティマップ!$A:$A,0)),"（IDなし）"))</f>
        <v/>
      </c>
      <c r="F383" s="121">
        <f>IF(A383="","",LEFT(A383,5))</f>
        <v/>
      </c>
      <c r="G383" s="121">
        <f>IF(C383="","",LEFT(C383,6))</f>
        <v/>
      </c>
    </row>
    <row r="384" ht="15" customHeight="1" s="80">
      <c r="D384" s="121">
        <f>IF(C384="","",IFERROR(INDEX(ケイパビリティマップ!$E:$E,MATCH(C384,ケイパビリティマップ!$A:$A,0)),"（IDなし）"))</f>
        <v/>
      </c>
      <c r="F384" s="121">
        <f>IF(A384="","",LEFT(A384,5))</f>
        <v/>
      </c>
      <c r="G384" s="121">
        <f>IF(C384="","",LEFT(C384,6))</f>
        <v/>
      </c>
    </row>
    <row r="385" ht="15" customHeight="1" s="80">
      <c r="D385" s="121">
        <f>IF(C385="","",IFERROR(INDEX(ケイパビリティマップ!$E:$E,MATCH(C385,ケイパビリティマップ!$A:$A,0)),"（IDなし）"))</f>
        <v/>
      </c>
      <c r="F385" s="121">
        <f>IF(A385="","",LEFT(A385,5))</f>
        <v/>
      </c>
      <c r="G385" s="121">
        <f>IF(C385="","",LEFT(C385,6))</f>
        <v/>
      </c>
    </row>
    <row r="386" ht="15" customHeight="1" s="80">
      <c r="D386" s="121">
        <f>IF(C386="","",IFERROR(INDEX(ケイパビリティマップ!$E:$E,MATCH(C386,ケイパビリティマップ!$A:$A,0)),"（IDなし）"))</f>
        <v/>
      </c>
      <c r="F386" s="121">
        <f>IF(A386="","",LEFT(A386,5))</f>
        <v/>
      </c>
      <c r="G386" s="121">
        <f>IF(C386="","",LEFT(C386,6))</f>
        <v/>
      </c>
    </row>
    <row r="387" ht="15" customHeight="1" s="80">
      <c r="D387" s="121">
        <f>IF(C387="","",IFERROR(INDEX(ケイパビリティマップ!$E:$E,MATCH(C387,ケイパビリティマップ!$A:$A,0)),"（IDなし）"))</f>
        <v/>
      </c>
      <c r="F387" s="121">
        <f>IF(A387="","",LEFT(A387,5))</f>
        <v/>
      </c>
      <c r="G387" s="121">
        <f>IF(C387="","",LEFT(C387,6))</f>
        <v/>
      </c>
    </row>
    <row r="388" ht="15" customHeight="1" s="80">
      <c r="D388" s="121">
        <f>IF(C388="","",IFERROR(INDEX(ケイパビリティマップ!$E:$E,MATCH(C388,ケイパビリティマップ!$A:$A,0)),"（IDなし）"))</f>
        <v/>
      </c>
      <c r="F388" s="121">
        <f>IF(A388="","",LEFT(A388,5))</f>
        <v/>
      </c>
      <c r="G388" s="121">
        <f>IF(C388="","",LEFT(C388,6))</f>
        <v/>
      </c>
    </row>
    <row r="389" ht="15" customHeight="1" s="80">
      <c r="D389" s="121">
        <f>IF(C389="","",IFERROR(INDEX(ケイパビリティマップ!$E:$E,MATCH(C389,ケイパビリティマップ!$A:$A,0)),"（IDなし）"))</f>
        <v/>
      </c>
      <c r="F389" s="121">
        <f>IF(A389="","",LEFT(A389,5))</f>
        <v/>
      </c>
      <c r="G389" s="121">
        <f>IF(C389="","",LEFT(C389,6))</f>
        <v/>
      </c>
    </row>
    <row r="390" ht="15" customHeight="1" s="80">
      <c r="D390" s="121">
        <f>IF(C390="","",IFERROR(INDEX(ケイパビリティマップ!$E:$E,MATCH(C390,ケイパビリティマップ!$A:$A,0)),"（IDなし）"))</f>
        <v/>
      </c>
      <c r="F390" s="121">
        <f>IF(A390="","",LEFT(A390,5))</f>
        <v/>
      </c>
      <c r="G390" s="121">
        <f>IF(C390="","",LEFT(C390,6))</f>
        <v/>
      </c>
    </row>
    <row r="391" ht="15" customHeight="1" s="80">
      <c r="D391" s="121">
        <f>IF(C391="","",IFERROR(INDEX(ケイパビリティマップ!$E:$E,MATCH(C391,ケイパビリティマップ!$A:$A,0)),"（IDなし）"))</f>
        <v/>
      </c>
      <c r="F391" s="121">
        <f>IF(A391="","",LEFT(A391,5))</f>
        <v/>
      </c>
      <c r="G391" s="121">
        <f>IF(C391="","",LEFT(C391,6))</f>
        <v/>
      </c>
    </row>
    <row r="392" ht="15" customHeight="1" s="80">
      <c r="D392" s="121">
        <f>IF(C392="","",IFERROR(INDEX(ケイパビリティマップ!$E:$E,MATCH(C392,ケイパビリティマップ!$A:$A,0)),"（IDなし）"))</f>
        <v/>
      </c>
      <c r="F392" s="121">
        <f>IF(A392="","",LEFT(A392,5))</f>
        <v/>
      </c>
      <c r="G392" s="121">
        <f>IF(C392="","",LEFT(C392,6))</f>
        <v/>
      </c>
    </row>
    <row r="393" ht="15" customHeight="1" s="80">
      <c r="D393" s="121">
        <f>IF(C393="","",IFERROR(INDEX(ケイパビリティマップ!$E:$E,MATCH(C393,ケイパビリティマップ!$A:$A,0)),"（IDなし）"))</f>
        <v/>
      </c>
      <c r="F393" s="121">
        <f>IF(A393="","",LEFT(A393,5))</f>
        <v/>
      </c>
      <c r="G393" s="121">
        <f>IF(C393="","",LEFT(C393,6))</f>
        <v/>
      </c>
    </row>
    <row r="394" ht="15" customHeight="1" s="80">
      <c r="D394" s="121">
        <f>IF(C394="","",IFERROR(INDEX(ケイパビリティマップ!$E:$E,MATCH(C394,ケイパビリティマップ!$A:$A,0)),"（IDなし）"))</f>
        <v/>
      </c>
      <c r="F394" s="121">
        <f>IF(A394="","",LEFT(A394,5))</f>
        <v/>
      </c>
      <c r="G394" s="121">
        <f>IF(C394="","",LEFT(C394,6))</f>
        <v/>
      </c>
    </row>
    <row r="395" ht="15" customHeight="1" s="80">
      <c r="D395" s="121">
        <f>IF(C395="","",IFERROR(INDEX(ケイパビリティマップ!$E:$E,MATCH(C395,ケイパビリティマップ!$A:$A,0)),"（IDなし）"))</f>
        <v/>
      </c>
      <c r="F395" s="121">
        <f>IF(A395="","",LEFT(A395,5))</f>
        <v/>
      </c>
      <c r="G395" s="121">
        <f>IF(C395="","",LEFT(C395,6))</f>
        <v/>
      </c>
    </row>
    <row r="396" ht="15" customHeight="1" s="80">
      <c r="D396" s="121">
        <f>IF(C396="","",IFERROR(INDEX(ケイパビリティマップ!$E:$E,MATCH(C396,ケイパビリティマップ!$A:$A,0)),"（IDなし）"))</f>
        <v/>
      </c>
      <c r="F396" s="121">
        <f>IF(A396="","",LEFT(A396,5))</f>
        <v/>
      </c>
      <c r="G396" s="121">
        <f>IF(C396="","",LEFT(C396,6))</f>
        <v/>
      </c>
    </row>
    <row r="397" ht="15" customHeight="1" s="80">
      <c r="D397" s="121">
        <f>IF(C397="","",IFERROR(INDEX(ケイパビリティマップ!$E:$E,MATCH(C397,ケイパビリティマップ!$A:$A,0)),"（IDなし）"))</f>
        <v/>
      </c>
      <c r="F397" s="121">
        <f>IF(A397="","",LEFT(A397,5))</f>
        <v/>
      </c>
      <c r="G397" s="121">
        <f>IF(C397="","",LEFT(C397,6))</f>
        <v/>
      </c>
    </row>
    <row r="398" ht="15" customHeight="1" s="80">
      <c r="D398" s="121">
        <f>IF(C398="","",IFERROR(INDEX(ケイパビリティマップ!$E:$E,MATCH(C398,ケイパビリティマップ!$A:$A,0)),"（IDなし）"))</f>
        <v/>
      </c>
      <c r="F398" s="121">
        <f>IF(A398="","",LEFT(A398,5))</f>
        <v/>
      </c>
      <c r="G398" s="121">
        <f>IF(C398="","",LEFT(C398,6))</f>
        <v/>
      </c>
    </row>
    <row r="399" ht="15" customHeight="1" s="80">
      <c r="D399" s="121">
        <f>IF(C399="","",IFERROR(INDEX(ケイパビリティマップ!$E:$E,MATCH(C399,ケイパビリティマップ!$A:$A,0)),"（IDなし）"))</f>
        <v/>
      </c>
      <c r="F399" s="121">
        <f>IF(A399="","",LEFT(A399,5))</f>
        <v/>
      </c>
      <c r="G399" s="121">
        <f>IF(C399="","",LEFT(C399,6))</f>
        <v/>
      </c>
    </row>
    <row r="400" ht="15" customHeight="1" s="80">
      <c r="D400" s="121">
        <f>IF(C400="","",IFERROR(INDEX(ケイパビリティマップ!$E:$E,MATCH(C400,ケイパビリティマップ!$A:$A,0)),"（IDなし）"))</f>
        <v/>
      </c>
      <c r="F400" s="121">
        <f>IF(A400="","",LEFT(A400,5))</f>
        <v/>
      </c>
      <c r="G400" s="121">
        <f>IF(C400="","",LEFT(C400,6))</f>
        <v/>
      </c>
    </row>
    <row r="401" ht="15" customHeight="1" s="80">
      <c r="D401" s="121">
        <f>IF(C401="","",IFERROR(INDEX(ケイパビリティマップ!$E:$E,MATCH(C401,ケイパビリティマップ!$A:$A,0)),"（IDなし）"))</f>
        <v/>
      </c>
      <c r="F401" s="121">
        <f>IF(A401="","",LEFT(A401,5))</f>
        <v/>
      </c>
      <c r="G401" s="121">
        <f>IF(C401="","",LEFT(C401,6))</f>
        <v/>
      </c>
    </row>
    <row r="402" ht="15" customHeight="1" s="80">
      <c r="D402" s="121">
        <f>IF(C402="","",IFERROR(INDEX(ケイパビリティマップ!$E:$E,MATCH(C402,ケイパビリティマップ!$A:$A,0)),"（IDなし）"))</f>
        <v/>
      </c>
      <c r="F402" s="121">
        <f>IF(A402="","",LEFT(A402,5))</f>
        <v/>
      </c>
      <c r="G402" s="121">
        <f>IF(C402="","",LEFT(C402,6))</f>
        <v/>
      </c>
    </row>
    <row r="403" ht="15" customHeight="1" s="80">
      <c r="D403" s="121">
        <f>IF(C403="","",IFERROR(INDEX(ケイパビリティマップ!$E:$E,MATCH(C403,ケイパビリティマップ!$A:$A,0)),"（IDなし）"))</f>
        <v/>
      </c>
      <c r="F403" s="121">
        <f>IF(A403="","",LEFT(A403,5))</f>
        <v/>
      </c>
      <c r="G403" s="121">
        <f>IF(C403="","",LEFT(C403,6))</f>
        <v/>
      </c>
    </row>
    <row r="404" ht="15" customHeight="1" s="80">
      <c r="D404" s="121">
        <f>IF(C404="","",IFERROR(INDEX(ケイパビリティマップ!$E:$E,MATCH(C404,ケイパビリティマップ!$A:$A,0)),"（IDなし）"))</f>
        <v/>
      </c>
      <c r="F404" s="121">
        <f>IF(A404="","",LEFT(A404,5))</f>
        <v/>
      </c>
      <c r="G404" s="121">
        <f>IF(C404="","",LEFT(C404,6))</f>
        <v/>
      </c>
    </row>
    <row r="405" ht="15" customHeight="1" s="80">
      <c r="D405" s="121">
        <f>IF(C405="","",IFERROR(INDEX(ケイパビリティマップ!$E:$E,MATCH(C405,ケイパビリティマップ!$A:$A,0)),"（IDなし）"))</f>
        <v/>
      </c>
      <c r="F405" s="121">
        <f>IF(A405="","",LEFT(A405,5))</f>
        <v/>
      </c>
      <c r="G405" s="121">
        <f>IF(C405="","",LEFT(C405,6))</f>
        <v/>
      </c>
    </row>
    <row r="406" ht="15" customHeight="1" s="80">
      <c r="D406" s="121">
        <f>IF(C406="","",IFERROR(INDEX(ケイパビリティマップ!$E:$E,MATCH(C406,ケイパビリティマップ!$A:$A,0)),"（IDなし）"))</f>
        <v/>
      </c>
      <c r="F406" s="121">
        <f>IF(A406="","",LEFT(A406,5))</f>
        <v/>
      </c>
      <c r="G406" s="121">
        <f>IF(C406="","",LEFT(C406,6))</f>
        <v/>
      </c>
    </row>
    <row r="407" ht="15" customHeight="1" s="80">
      <c r="D407" s="121">
        <f>IF(C407="","",IFERROR(INDEX(ケイパビリティマップ!$E:$E,MATCH(C407,ケイパビリティマップ!$A:$A,0)),"（IDなし）"))</f>
        <v/>
      </c>
      <c r="F407" s="121">
        <f>IF(A407="","",LEFT(A407,5))</f>
        <v/>
      </c>
      <c r="G407" s="121">
        <f>IF(C407="","",LEFT(C407,6))</f>
        <v/>
      </c>
    </row>
    <row r="408" ht="15" customHeight="1" s="80">
      <c r="D408" s="121">
        <f>IF(C408="","",IFERROR(INDEX(ケイパビリティマップ!$E:$E,MATCH(C408,ケイパビリティマップ!$A:$A,0)),"（IDなし）"))</f>
        <v/>
      </c>
      <c r="F408" s="121">
        <f>IF(A408="","",LEFT(A408,5))</f>
        <v/>
      </c>
      <c r="G408" s="121">
        <f>IF(C408="","",LEFT(C408,6))</f>
        <v/>
      </c>
    </row>
    <row r="409" ht="15" customHeight="1" s="80">
      <c r="D409" s="121">
        <f>IF(C409="","",IFERROR(INDEX(ケイパビリティマップ!$E:$E,MATCH(C409,ケイパビリティマップ!$A:$A,0)),"（IDなし）"))</f>
        <v/>
      </c>
      <c r="F409" s="121">
        <f>IF(A409="","",LEFT(A409,5))</f>
        <v/>
      </c>
      <c r="G409" s="121">
        <f>IF(C409="","",LEFT(C409,6))</f>
        <v/>
      </c>
    </row>
    <row r="410" ht="15" customHeight="1" s="80">
      <c r="D410" s="121">
        <f>IF(C410="","",IFERROR(INDEX(ケイパビリティマップ!$E:$E,MATCH(C410,ケイパビリティマップ!$A:$A,0)),"（IDなし）"))</f>
        <v/>
      </c>
      <c r="F410" s="121">
        <f>IF(A410="","",LEFT(A410,5))</f>
        <v/>
      </c>
      <c r="G410" s="121">
        <f>IF(C410="","",LEFT(C410,6))</f>
        <v/>
      </c>
    </row>
    <row r="411" ht="15" customHeight="1" s="80">
      <c r="D411" s="121">
        <f>IF(C411="","",IFERROR(INDEX(ケイパビリティマップ!$E:$E,MATCH(C411,ケイパビリティマップ!$A:$A,0)),"（IDなし）"))</f>
        <v/>
      </c>
      <c r="F411" s="121">
        <f>IF(A411="","",LEFT(A411,5))</f>
        <v/>
      </c>
      <c r="G411" s="121">
        <f>IF(C411="","",LEFT(C411,6))</f>
        <v/>
      </c>
    </row>
    <row r="412" ht="15" customHeight="1" s="80">
      <c r="D412" s="121">
        <f>IF(C412="","",IFERROR(INDEX(ケイパビリティマップ!$E:$E,MATCH(C412,ケイパビリティマップ!$A:$A,0)),"（IDなし）"))</f>
        <v/>
      </c>
      <c r="F412" s="121">
        <f>IF(A412="","",LEFT(A412,5))</f>
        <v/>
      </c>
      <c r="G412" s="121">
        <f>IF(C412="","",LEFT(C412,6))</f>
        <v/>
      </c>
    </row>
    <row r="413" ht="15" customHeight="1" s="80">
      <c r="D413" s="121">
        <f>IF(C413="","",IFERROR(INDEX(ケイパビリティマップ!$E:$E,MATCH(C413,ケイパビリティマップ!$A:$A,0)),"（IDなし）"))</f>
        <v/>
      </c>
      <c r="F413" s="121">
        <f>IF(A413="","",LEFT(A413,5))</f>
        <v/>
      </c>
      <c r="G413" s="121">
        <f>IF(C413="","",LEFT(C413,6))</f>
        <v/>
      </c>
    </row>
    <row r="414" ht="15" customHeight="1" s="80">
      <c r="D414" s="121">
        <f>IF(C414="","",IFERROR(INDEX(ケイパビリティマップ!$E:$E,MATCH(C414,ケイパビリティマップ!$A:$A,0)),"（IDなし）"))</f>
        <v/>
      </c>
      <c r="F414" s="121">
        <f>IF(A414="","",LEFT(A414,5))</f>
        <v/>
      </c>
      <c r="G414" s="121">
        <f>IF(C414="","",LEFT(C414,6))</f>
        <v/>
      </c>
    </row>
    <row r="415" ht="15" customHeight="1" s="80">
      <c r="D415" s="121">
        <f>IF(C415="","",IFERROR(INDEX(ケイパビリティマップ!$E:$E,MATCH(C415,ケイパビリティマップ!$A:$A,0)),"（IDなし）"))</f>
        <v/>
      </c>
      <c r="F415" s="121">
        <f>IF(A415="","",LEFT(A415,5))</f>
        <v/>
      </c>
      <c r="G415" s="121">
        <f>IF(C415="","",LEFT(C415,6))</f>
        <v/>
      </c>
    </row>
    <row r="416" ht="15" customHeight="1" s="80">
      <c r="D416" s="121">
        <f>IF(C416="","",IFERROR(INDEX(ケイパビリティマップ!$E:$E,MATCH(C416,ケイパビリティマップ!$A:$A,0)),"（IDなし）"))</f>
        <v/>
      </c>
      <c r="F416" s="121">
        <f>IF(A416="","",LEFT(A416,5))</f>
        <v/>
      </c>
      <c r="G416" s="121">
        <f>IF(C416="","",LEFT(C416,6))</f>
        <v/>
      </c>
    </row>
    <row r="417" ht="15" customHeight="1" s="80">
      <c r="D417" s="121">
        <f>IF(C417="","",IFERROR(INDEX(ケイパビリティマップ!$E:$E,MATCH(C417,ケイパビリティマップ!$A:$A,0)),"（IDなし）"))</f>
        <v/>
      </c>
      <c r="F417" s="121">
        <f>IF(A417="","",LEFT(A417,5))</f>
        <v/>
      </c>
      <c r="G417" s="121">
        <f>IF(C417="","",LEFT(C417,6))</f>
        <v/>
      </c>
    </row>
    <row r="418" ht="15" customHeight="1" s="80">
      <c r="D418" s="121">
        <f>IF(C418="","",IFERROR(INDEX(ケイパビリティマップ!$E:$E,MATCH(C418,ケイパビリティマップ!$A:$A,0)),"（IDなし）"))</f>
        <v/>
      </c>
      <c r="F418" s="121">
        <f>IF(A418="","",LEFT(A418,5))</f>
        <v/>
      </c>
      <c r="G418" s="121">
        <f>IF(C418="","",LEFT(C418,6))</f>
        <v/>
      </c>
    </row>
    <row r="419" ht="15" customHeight="1" s="80">
      <c r="D419" s="121">
        <f>IF(C419="","",IFERROR(INDEX(ケイパビリティマップ!$E:$E,MATCH(C419,ケイパビリティマップ!$A:$A,0)),"（IDなし）"))</f>
        <v/>
      </c>
      <c r="F419" s="121">
        <f>IF(A419="","",LEFT(A419,5))</f>
        <v/>
      </c>
      <c r="G419" s="121">
        <f>IF(C419="","",LEFT(C419,6))</f>
        <v/>
      </c>
    </row>
    <row r="420" ht="15" customHeight="1" s="80">
      <c r="D420" s="121">
        <f>IF(C420="","",IFERROR(INDEX(ケイパビリティマップ!$E:$E,MATCH(C420,ケイパビリティマップ!$A:$A,0)),"（IDなし）"))</f>
        <v/>
      </c>
      <c r="F420" s="121">
        <f>IF(A420="","",LEFT(A420,5))</f>
        <v/>
      </c>
      <c r="G420" s="121">
        <f>IF(C420="","",LEFT(C420,6))</f>
        <v/>
      </c>
    </row>
    <row r="421" ht="15" customHeight="1" s="80">
      <c r="D421" s="121">
        <f>IF(C421="","",IFERROR(INDEX(ケイパビリティマップ!$E:$E,MATCH(C421,ケイパビリティマップ!$A:$A,0)),"（IDなし）"))</f>
        <v/>
      </c>
      <c r="F421" s="121">
        <f>IF(A421="","",LEFT(A421,5))</f>
        <v/>
      </c>
      <c r="G421" s="121">
        <f>IF(C421="","",LEFT(C421,6))</f>
        <v/>
      </c>
    </row>
    <row r="422" ht="15" customHeight="1" s="80">
      <c r="D422" s="121">
        <f>IF(C422="","",IFERROR(INDEX(ケイパビリティマップ!$E:$E,MATCH(C422,ケイパビリティマップ!$A:$A,0)),"（IDなし）"))</f>
        <v/>
      </c>
      <c r="F422" s="121">
        <f>IF(A422="","",LEFT(A422,5))</f>
        <v/>
      </c>
      <c r="G422" s="121">
        <f>IF(C422="","",LEFT(C422,6))</f>
        <v/>
      </c>
    </row>
    <row r="423" ht="15" customHeight="1" s="80">
      <c r="D423" s="121">
        <f>IF(C423="","",IFERROR(INDEX(ケイパビリティマップ!$E:$E,MATCH(C423,ケイパビリティマップ!$A:$A,0)),"（IDなし）"))</f>
        <v/>
      </c>
      <c r="F423" s="121">
        <f>IF(A423="","",LEFT(A423,5))</f>
        <v/>
      </c>
      <c r="G423" s="121">
        <f>IF(C423="","",LEFT(C423,6))</f>
        <v/>
      </c>
    </row>
    <row r="424" ht="15" customHeight="1" s="80">
      <c r="D424" s="121">
        <f>IF(C424="","",IFERROR(INDEX(ケイパビリティマップ!$E:$E,MATCH(C424,ケイパビリティマップ!$A:$A,0)),"（IDなし）"))</f>
        <v/>
      </c>
      <c r="F424" s="121">
        <f>IF(A424="","",LEFT(A424,5))</f>
        <v/>
      </c>
      <c r="G424" s="121">
        <f>IF(C424="","",LEFT(C424,6))</f>
        <v/>
      </c>
    </row>
    <row r="425" ht="15" customHeight="1" s="80">
      <c r="D425" s="121">
        <f>IF(C425="","",IFERROR(INDEX(ケイパビリティマップ!$E:$E,MATCH(C425,ケイパビリティマップ!$A:$A,0)),"（IDなし）"))</f>
        <v/>
      </c>
      <c r="F425" s="121">
        <f>IF(A425="","",LEFT(A425,5))</f>
        <v/>
      </c>
      <c r="G425" s="121">
        <f>IF(C425="","",LEFT(C425,6))</f>
        <v/>
      </c>
    </row>
    <row r="426" ht="15" customHeight="1" s="80">
      <c r="D426" s="121">
        <f>IF(C426="","",IFERROR(INDEX(ケイパビリティマップ!$E:$E,MATCH(C426,ケイパビリティマップ!$A:$A,0)),"（IDなし）"))</f>
        <v/>
      </c>
      <c r="F426" s="121">
        <f>IF(A426="","",LEFT(A426,5))</f>
        <v/>
      </c>
      <c r="G426" s="121">
        <f>IF(C426="","",LEFT(C426,6))</f>
        <v/>
      </c>
    </row>
    <row r="427" ht="15" customHeight="1" s="80">
      <c r="D427" s="121">
        <f>IF(C427="","",IFERROR(INDEX(ケイパビリティマップ!$E:$E,MATCH(C427,ケイパビリティマップ!$A:$A,0)),"（IDなし）"))</f>
        <v/>
      </c>
      <c r="F427" s="121">
        <f>IF(A427="","",LEFT(A427,5))</f>
        <v/>
      </c>
      <c r="G427" s="121">
        <f>IF(C427="","",LEFT(C427,6))</f>
        <v/>
      </c>
    </row>
    <row r="428" ht="15" customHeight="1" s="80">
      <c r="D428" s="121">
        <f>IF(C428="","",IFERROR(INDEX(ケイパビリティマップ!$E:$E,MATCH(C428,ケイパビリティマップ!$A:$A,0)),"（IDなし）"))</f>
        <v/>
      </c>
      <c r="F428" s="121">
        <f>IF(A428="","",LEFT(A428,5))</f>
        <v/>
      </c>
      <c r="G428" s="121">
        <f>IF(C428="","",LEFT(C428,6))</f>
        <v/>
      </c>
    </row>
    <row r="429" ht="15" customHeight="1" s="80">
      <c r="D429" s="121">
        <f>IF(C429="","",IFERROR(INDEX(ケイパビリティマップ!$E:$E,MATCH(C429,ケイパビリティマップ!$A:$A,0)),"（IDなし）"))</f>
        <v/>
      </c>
      <c r="F429" s="121">
        <f>IF(A429="","",LEFT(A429,5))</f>
        <v/>
      </c>
      <c r="G429" s="121">
        <f>IF(C429="","",LEFT(C429,6))</f>
        <v/>
      </c>
    </row>
    <row r="430" ht="15" customHeight="1" s="80">
      <c r="D430" s="121">
        <f>IF(C430="","",IFERROR(INDEX(ケイパビリティマップ!$E:$E,MATCH(C430,ケイパビリティマップ!$A:$A,0)),"（IDなし）"))</f>
        <v/>
      </c>
      <c r="F430" s="121">
        <f>IF(A430="","",LEFT(A430,5))</f>
        <v/>
      </c>
      <c r="G430" s="121">
        <f>IF(C430="","",LEFT(C430,6))</f>
        <v/>
      </c>
    </row>
    <row r="431" ht="15" customHeight="1" s="80">
      <c r="D431" s="121">
        <f>IF(C431="","",IFERROR(INDEX(ケイパビリティマップ!$E:$E,MATCH(C431,ケイパビリティマップ!$A:$A,0)),"（IDなし）"))</f>
        <v/>
      </c>
      <c r="F431" s="121">
        <f>IF(A431="","",LEFT(A431,5))</f>
        <v/>
      </c>
      <c r="G431" s="121">
        <f>IF(C431="","",LEFT(C431,6))</f>
        <v/>
      </c>
    </row>
    <row r="432" ht="15" customHeight="1" s="80">
      <c r="D432" s="121">
        <f>IF(C432="","",IFERROR(INDEX(ケイパビリティマップ!$E:$E,MATCH(C432,ケイパビリティマップ!$A:$A,0)),"（IDなし）"))</f>
        <v/>
      </c>
      <c r="F432" s="121">
        <f>IF(A432="","",LEFT(A432,5))</f>
        <v/>
      </c>
      <c r="G432" s="121">
        <f>IF(C432="","",LEFT(C432,6))</f>
        <v/>
      </c>
    </row>
    <row r="433" ht="15" customHeight="1" s="80">
      <c r="D433" s="121">
        <f>IF(C433="","",IFERROR(INDEX(ケイパビリティマップ!$E:$E,MATCH(C433,ケイパビリティマップ!$A:$A,0)),"（IDなし）"))</f>
        <v/>
      </c>
      <c r="F433" s="121">
        <f>IF(A433="","",LEFT(A433,5))</f>
        <v/>
      </c>
      <c r="G433" s="121">
        <f>IF(C433="","",LEFT(C433,6))</f>
        <v/>
      </c>
    </row>
    <row r="434" ht="15" customHeight="1" s="80">
      <c r="D434" s="121">
        <f>IF(C434="","",IFERROR(INDEX(ケイパビリティマップ!$E:$E,MATCH(C434,ケイパビリティマップ!$A:$A,0)),"（IDなし）"))</f>
        <v/>
      </c>
      <c r="F434" s="121">
        <f>IF(A434="","",LEFT(A434,5))</f>
        <v/>
      </c>
      <c r="G434" s="121">
        <f>IF(C434="","",LEFT(C434,6))</f>
        <v/>
      </c>
    </row>
    <row r="435" ht="15" customHeight="1" s="80">
      <c r="D435" s="121">
        <f>IF(C435="","",IFERROR(INDEX(ケイパビリティマップ!$E:$E,MATCH(C435,ケイパビリティマップ!$A:$A,0)),"（IDなし）"))</f>
        <v/>
      </c>
      <c r="F435" s="121">
        <f>IF(A435="","",LEFT(A435,5))</f>
        <v/>
      </c>
      <c r="G435" s="121">
        <f>IF(C435="","",LEFT(C435,6))</f>
        <v/>
      </c>
    </row>
    <row r="436" ht="15" customHeight="1" s="80">
      <c r="D436" s="121">
        <f>IF(C436="","",IFERROR(INDEX(ケイパビリティマップ!$E:$E,MATCH(C436,ケイパビリティマップ!$A:$A,0)),"（IDなし）"))</f>
        <v/>
      </c>
      <c r="F436" s="121">
        <f>IF(A436="","",LEFT(A436,5))</f>
        <v/>
      </c>
      <c r="G436" s="121">
        <f>IF(C436="","",LEFT(C436,6))</f>
        <v/>
      </c>
    </row>
    <row r="437" ht="15" customHeight="1" s="80">
      <c r="D437" s="121">
        <f>IF(C437="","",IFERROR(INDEX(ケイパビリティマップ!$E:$E,MATCH(C437,ケイパビリティマップ!$A:$A,0)),"（IDなし）"))</f>
        <v/>
      </c>
      <c r="F437" s="121">
        <f>IF(A437="","",LEFT(A437,5))</f>
        <v/>
      </c>
      <c r="G437" s="121">
        <f>IF(C437="","",LEFT(C437,6))</f>
        <v/>
      </c>
    </row>
    <row r="438" ht="15" customHeight="1" s="80">
      <c r="D438" s="121">
        <f>IF(C438="","",IFERROR(INDEX(ケイパビリティマップ!$E:$E,MATCH(C438,ケイパビリティマップ!$A:$A,0)),"（IDなし）"))</f>
        <v/>
      </c>
      <c r="F438" s="121">
        <f>IF(A438="","",LEFT(A438,5))</f>
        <v/>
      </c>
      <c r="G438" s="121">
        <f>IF(C438="","",LEFT(C438,6))</f>
        <v/>
      </c>
    </row>
    <row r="439" ht="15" customHeight="1" s="80">
      <c r="D439" s="121">
        <f>IF(C439="","",IFERROR(INDEX(ケイパビリティマップ!$E:$E,MATCH(C439,ケイパビリティマップ!$A:$A,0)),"（IDなし）"))</f>
        <v/>
      </c>
      <c r="F439" s="121">
        <f>IF(A439="","",LEFT(A439,5))</f>
        <v/>
      </c>
      <c r="G439" s="121">
        <f>IF(C439="","",LEFT(C439,6))</f>
        <v/>
      </c>
    </row>
    <row r="440" ht="15" customHeight="1" s="80">
      <c r="D440" s="121">
        <f>IF(C440="","",IFERROR(INDEX(ケイパビリティマップ!$E:$E,MATCH(C440,ケイパビリティマップ!$A:$A,0)),"（IDなし）"))</f>
        <v/>
      </c>
      <c r="F440" s="121">
        <f>IF(A440="","",LEFT(A440,5))</f>
        <v/>
      </c>
      <c r="G440" s="121">
        <f>IF(C440="","",LEFT(C440,6))</f>
        <v/>
      </c>
    </row>
    <row r="441" ht="15" customHeight="1" s="80">
      <c r="D441" s="121">
        <f>IF(C441="","",IFERROR(INDEX(ケイパビリティマップ!$E:$E,MATCH(C441,ケイパビリティマップ!$A:$A,0)),"（IDなし）"))</f>
        <v/>
      </c>
      <c r="F441" s="121">
        <f>IF(A441="","",LEFT(A441,5))</f>
        <v/>
      </c>
      <c r="G441" s="121">
        <f>IF(C441="","",LEFT(C441,6))</f>
        <v/>
      </c>
    </row>
    <row r="442" ht="15" customHeight="1" s="80">
      <c r="D442" s="121">
        <f>IF(C442="","",IFERROR(INDEX(ケイパビリティマップ!$E:$E,MATCH(C442,ケイパビリティマップ!$A:$A,0)),"（IDなし）"))</f>
        <v/>
      </c>
      <c r="F442" s="121">
        <f>IF(A442="","",LEFT(A442,5))</f>
        <v/>
      </c>
      <c r="G442" s="121">
        <f>IF(C442="","",LEFT(C442,6))</f>
        <v/>
      </c>
    </row>
    <row r="443" ht="15" customHeight="1" s="80">
      <c r="D443" s="121">
        <f>IF(C443="","",IFERROR(INDEX(ケイパビリティマップ!$E:$E,MATCH(C443,ケイパビリティマップ!$A:$A,0)),"（IDなし）"))</f>
        <v/>
      </c>
      <c r="F443" s="121">
        <f>IF(A443="","",LEFT(A443,5))</f>
        <v/>
      </c>
      <c r="G443" s="121">
        <f>IF(C443="","",LEFT(C443,6))</f>
        <v/>
      </c>
    </row>
    <row r="444" ht="15" customHeight="1" s="80">
      <c r="D444" s="121">
        <f>IF(C444="","",IFERROR(INDEX(ケイパビリティマップ!$E:$E,MATCH(C444,ケイパビリティマップ!$A:$A,0)),"（IDなし）"))</f>
        <v/>
      </c>
      <c r="F444" s="121">
        <f>IF(A444="","",LEFT(A444,5))</f>
        <v/>
      </c>
      <c r="G444" s="121">
        <f>IF(C444="","",LEFT(C444,6))</f>
        <v/>
      </c>
    </row>
    <row r="445" ht="15" customHeight="1" s="80">
      <c r="D445" s="121">
        <f>IF(C445="","",IFERROR(INDEX(ケイパビリティマップ!$E:$E,MATCH(C445,ケイパビリティマップ!$A:$A,0)),"（IDなし）"))</f>
        <v/>
      </c>
      <c r="F445" s="121">
        <f>IF(A445="","",LEFT(A445,5))</f>
        <v/>
      </c>
      <c r="G445" s="121">
        <f>IF(C445="","",LEFT(C445,6))</f>
        <v/>
      </c>
    </row>
    <row r="446" ht="15" customHeight="1" s="80">
      <c r="D446" s="121">
        <f>IF(C446="","",IFERROR(INDEX(ケイパビリティマップ!$E:$E,MATCH(C446,ケイパビリティマップ!$A:$A,0)),"（IDなし）"))</f>
        <v/>
      </c>
      <c r="F446" s="121">
        <f>IF(A446="","",LEFT(A446,5))</f>
        <v/>
      </c>
      <c r="G446" s="121">
        <f>IF(C446="","",LEFT(C446,6))</f>
        <v/>
      </c>
    </row>
    <row r="447" ht="15" customHeight="1" s="80">
      <c r="D447" s="121">
        <f>IF(C447="","",IFERROR(INDEX(ケイパビリティマップ!$E:$E,MATCH(C447,ケイパビリティマップ!$A:$A,0)),"（IDなし）"))</f>
        <v/>
      </c>
      <c r="F447" s="121">
        <f>IF(A447="","",LEFT(A447,5))</f>
        <v/>
      </c>
      <c r="G447" s="121">
        <f>IF(C447="","",LEFT(C447,6))</f>
        <v/>
      </c>
    </row>
    <row r="448" ht="15" customHeight="1" s="80">
      <c r="D448" s="121">
        <f>IF(C448="","",IFERROR(INDEX(ケイパビリティマップ!$E:$E,MATCH(C448,ケイパビリティマップ!$A:$A,0)),"（IDなし）"))</f>
        <v/>
      </c>
      <c r="F448" s="121">
        <f>IF(A448="","",LEFT(A448,5))</f>
        <v/>
      </c>
      <c r="G448" s="121">
        <f>IF(C448="","",LEFT(C448,6))</f>
        <v/>
      </c>
    </row>
    <row r="449" ht="15" customHeight="1" s="80">
      <c r="D449" s="121">
        <f>IF(C449="","",IFERROR(INDEX(ケイパビリティマップ!$E:$E,MATCH(C449,ケイパビリティマップ!$A:$A,0)),"（IDなし）"))</f>
        <v/>
      </c>
      <c r="F449" s="121">
        <f>IF(A449="","",LEFT(A449,5))</f>
        <v/>
      </c>
      <c r="G449" s="121">
        <f>IF(C449="","",LEFT(C449,6))</f>
        <v/>
      </c>
    </row>
    <row r="450" ht="15" customHeight="1" s="80">
      <c r="D450" s="121">
        <f>IF(C450="","",IFERROR(INDEX(ケイパビリティマップ!$E:$E,MATCH(C450,ケイパビリティマップ!$A:$A,0)),"（IDなし）"))</f>
        <v/>
      </c>
      <c r="F450" s="121">
        <f>IF(A450="","",LEFT(A450,5))</f>
        <v/>
      </c>
      <c r="G450" s="121">
        <f>IF(C450="","",LEFT(C450,6))</f>
        <v/>
      </c>
    </row>
    <row r="451" ht="15" customHeight="1" s="80">
      <c r="D451" s="121">
        <f>IF(C451="","",IFERROR(INDEX(ケイパビリティマップ!$E:$E,MATCH(C451,ケイパビリティマップ!$A:$A,0)),"（IDなし）"))</f>
        <v/>
      </c>
      <c r="F451" s="121">
        <f>IF(A451="","",LEFT(A451,5))</f>
        <v/>
      </c>
      <c r="G451" s="121">
        <f>IF(C451="","",LEFT(C451,6))</f>
        <v/>
      </c>
    </row>
    <row r="452" ht="15" customHeight="1" s="80">
      <c r="D452" s="121">
        <f>IF(C452="","",IFERROR(INDEX(ケイパビリティマップ!$E:$E,MATCH(C452,ケイパビリティマップ!$A:$A,0)),"（IDなし）"))</f>
        <v/>
      </c>
      <c r="F452" s="121">
        <f>IF(A452="","",LEFT(A452,5))</f>
        <v/>
      </c>
      <c r="G452" s="121">
        <f>IF(C452="","",LEFT(C452,6))</f>
        <v/>
      </c>
    </row>
    <row r="453" ht="15" customHeight="1" s="80">
      <c r="D453" s="121">
        <f>IF(C453="","",IFERROR(INDEX(ケイパビリティマップ!$E:$E,MATCH(C453,ケイパビリティマップ!$A:$A,0)),"（IDなし）"))</f>
        <v/>
      </c>
      <c r="F453" s="121">
        <f>IF(A453="","",LEFT(A453,5))</f>
        <v/>
      </c>
      <c r="G453" s="121">
        <f>IF(C453="","",LEFT(C453,6))</f>
        <v/>
      </c>
    </row>
    <row r="454" ht="15" customHeight="1" s="80">
      <c r="D454" s="121">
        <f>IF(C454="","",IFERROR(INDEX(ケイパビリティマップ!$E:$E,MATCH(C454,ケイパビリティマップ!$A:$A,0)),"（IDなし）"))</f>
        <v/>
      </c>
      <c r="F454" s="121">
        <f>IF(A454="","",LEFT(A454,5))</f>
        <v/>
      </c>
      <c r="G454" s="121">
        <f>IF(C454="","",LEFT(C454,6))</f>
        <v/>
      </c>
    </row>
    <row r="455" ht="15" customHeight="1" s="80">
      <c r="D455" s="121">
        <f>IF(C455="","",IFERROR(INDEX(ケイパビリティマップ!$E:$E,MATCH(C455,ケイパビリティマップ!$A:$A,0)),"（IDなし）"))</f>
        <v/>
      </c>
      <c r="F455" s="121">
        <f>IF(A455="","",LEFT(A455,5))</f>
        <v/>
      </c>
      <c r="G455" s="121">
        <f>IF(C455="","",LEFT(C455,6))</f>
        <v/>
      </c>
    </row>
    <row r="456" ht="15" customHeight="1" s="80">
      <c r="D456" s="121">
        <f>IF(C456="","",IFERROR(INDEX(ケイパビリティマップ!$E:$E,MATCH(C456,ケイパビリティマップ!$A:$A,0)),"（IDなし）"))</f>
        <v/>
      </c>
      <c r="F456" s="121">
        <f>IF(A456="","",LEFT(A456,5))</f>
        <v/>
      </c>
      <c r="G456" s="121">
        <f>IF(C456="","",LEFT(C456,6))</f>
        <v/>
      </c>
    </row>
    <row r="457" ht="15" customHeight="1" s="80">
      <c r="D457" s="121">
        <f>IF(C457="","",IFERROR(INDEX(ケイパビリティマップ!$E:$E,MATCH(C457,ケイパビリティマップ!$A:$A,0)),"（IDなし）"))</f>
        <v/>
      </c>
      <c r="F457" s="121">
        <f>IF(A457="","",LEFT(A457,5))</f>
        <v/>
      </c>
      <c r="G457" s="121">
        <f>IF(C457="","",LEFT(C457,6))</f>
        <v/>
      </c>
    </row>
    <row r="458" ht="15" customHeight="1" s="80">
      <c r="D458" s="121">
        <f>IF(C458="","",IFERROR(INDEX(ケイパビリティマップ!$E:$E,MATCH(C458,ケイパビリティマップ!$A:$A,0)),"（IDなし）"))</f>
        <v/>
      </c>
      <c r="F458" s="121">
        <f>IF(A458="","",LEFT(A458,5))</f>
        <v/>
      </c>
      <c r="G458" s="121">
        <f>IF(C458="","",LEFT(C458,6))</f>
        <v/>
      </c>
    </row>
    <row r="459" ht="15" customHeight="1" s="80">
      <c r="D459" s="121">
        <f>IF(C459="","",IFERROR(INDEX(ケイパビリティマップ!$E:$E,MATCH(C459,ケイパビリティマップ!$A:$A,0)),"（IDなし）"))</f>
        <v/>
      </c>
      <c r="F459" s="121">
        <f>IF(A459="","",LEFT(A459,5))</f>
        <v/>
      </c>
      <c r="G459" s="121">
        <f>IF(C459="","",LEFT(C459,6))</f>
        <v/>
      </c>
    </row>
    <row r="460" ht="15" customHeight="1" s="80">
      <c r="D460" s="121">
        <f>IF(C460="","",IFERROR(INDEX(ケイパビリティマップ!$E:$E,MATCH(C460,ケイパビリティマップ!$A:$A,0)),"（IDなし）"))</f>
        <v/>
      </c>
      <c r="F460" s="121">
        <f>IF(A460="","",LEFT(A460,5))</f>
        <v/>
      </c>
      <c r="G460" s="121">
        <f>IF(C460="","",LEFT(C460,6))</f>
        <v/>
      </c>
    </row>
    <row r="461" ht="15" customHeight="1" s="80">
      <c r="D461" s="121">
        <f>IF(C461="","",IFERROR(INDEX(ケイパビリティマップ!$E:$E,MATCH(C461,ケイパビリティマップ!$A:$A,0)),"（IDなし）"))</f>
        <v/>
      </c>
      <c r="F461" s="121">
        <f>IF(A461="","",LEFT(A461,5))</f>
        <v/>
      </c>
      <c r="G461" s="121">
        <f>IF(C461="","",LEFT(C461,6))</f>
        <v/>
      </c>
    </row>
    <row r="462" ht="15" customHeight="1" s="80">
      <c r="D462" s="121">
        <f>IF(C462="","",IFERROR(INDEX(ケイパビリティマップ!$E:$E,MATCH(C462,ケイパビリティマップ!$A:$A,0)),"（IDなし）"))</f>
        <v/>
      </c>
      <c r="F462" s="121">
        <f>IF(A462="","",LEFT(A462,5))</f>
        <v/>
      </c>
      <c r="G462" s="121">
        <f>IF(C462="","",LEFT(C462,6))</f>
        <v/>
      </c>
    </row>
    <row r="463" ht="15" customHeight="1" s="80">
      <c r="D463" s="121">
        <f>IF(C463="","",IFERROR(INDEX(ケイパビリティマップ!$E:$E,MATCH(C463,ケイパビリティマップ!$A:$A,0)),"（IDなし）"))</f>
        <v/>
      </c>
      <c r="F463" s="121">
        <f>IF(A463="","",LEFT(A463,5))</f>
        <v/>
      </c>
      <c r="G463" s="121">
        <f>IF(C463="","",LEFT(C463,6))</f>
        <v/>
      </c>
    </row>
    <row r="464" ht="15" customHeight="1" s="80">
      <c r="D464" s="121">
        <f>IF(C464="","",IFERROR(INDEX(ケイパビリティマップ!$E:$E,MATCH(C464,ケイパビリティマップ!$A:$A,0)),"（IDなし）"))</f>
        <v/>
      </c>
      <c r="F464" s="121">
        <f>IF(A464="","",LEFT(A464,5))</f>
        <v/>
      </c>
      <c r="G464" s="121">
        <f>IF(C464="","",LEFT(C464,6))</f>
        <v/>
      </c>
    </row>
    <row r="465" ht="15" customHeight="1" s="80">
      <c r="D465" s="121">
        <f>IF(C465="","",IFERROR(INDEX(ケイパビリティマップ!$E:$E,MATCH(C465,ケイパビリティマップ!$A:$A,0)),"（IDなし）"))</f>
        <v/>
      </c>
      <c r="F465" s="121">
        <f>IF(A465="","",LEFT(A465,5))</f>
        <v/>
      </c>
      <c r="G465" s="121">
        <f>IF(C465="","",LEFT(C465,6))</f>
        <v/>
      </c>
    </row>
    <row r="466" ht="15" customHeight="1" s="80">
      <c r="D466" s="121">
        <f>IF(C466="","",IFERROR(INDEX(ケイパビリティマップ!$E:$E,MATCH(C466,ケイパビリティマップ!$A:$A,0)),"（IDなし）"))</f>
        <v/>
      </c>
      <c r="F466" s="121">
        <f>IF(A466="","",LEFT(A466,5))</f>
        <v/>
      </c>
      <c r="G466" s="121">
        <f>IF(C466="","",LEFT(C466,6))</f>
        <v/>
      </c>
    </row>
    <row r="467" ht="15" customHeight="1" s="80">
      <c r="D467" s="121">
        <f>IF(C467="","",IFERROR(INDEX(ケイパビリティマップ!$E:$E,MATCH(C467,ケイパビリティマップ!$A:$A,0)),"（IDなし）"))</f>
        <v/>
      </c>
      <c r="F467" s="121">
        <f>IF(A467="","",LEFT(A467,5))</f>
        <v/>
      </c>
      <c r="G467" s="121">
        <f>IF(C467="","",LEFT(C467,6))</f>
        <v/>
      </c>
    </row>
    <row r="468" ht="15" customHeight="1" s="80">
      <c r="D468" s="121">
        <f>IF(C468="","",IFERROR(INDEX(ケイパビリティマップ!$E:$E,MATCH(C468,ケイパビリティマップ!$A:$A,0)),"（IDなし）"))</f>
        <v/>
      </c>
      <c r="F468" s="121">
        <f>IF(A468="","",LEFT(A468,5))</f>
        <v/>
      </c>
      <c r="G468" s="121">
        <f>IF(C468="","",LEFT(C468,6))</f>
        <v/>
      </c>
    </row>
    <row r="469" ht="15" customHeight="1" s="80">
      <c r="D469" s="121">
        <f>IF(C469="","",IFERROR(INDEX(ケイパビリティマップ!$E:$E,MATCH(C469,ケイパビリティマップ!$A:$A,0)),"（IDなし）"))</f>
        <v/>
      </c>
      <c r="F469" s="121">
        <f>IF(A469="","",LEFT(A469,5))</f>
        <v/>
      </c>
      <c r="G469" s="121">
        <f>IF(C469="","",LEFT(C469,6))</f>
        <v/>
      </c>
    </row>
    <row r="470" ht="15" customHeight="1" s="80">
      <c r="D470" s="121">
        <f>IF(C470="","",IFERROR(INDEX(ケイパビリティマップ!$E:$E,MATCH(C470,ケイパビリティマップ!$A:$A,0)),"（IDなし）"))</f>
        <v/>
      </c>
      <c r="F470" s="121">
        <f>IF(A470="","",LEFT(A470,5))</f>
        <v/>
      </c>
      <c r="G470" s="121">
        <f>IF(C470="","",LEFT(C470,6))</f>
        <v/>
      </c>
    </row>
    <row r="471" ht="15" customHeight="1" s="80">
      <c r="D471" s="121">
        <f>IF(C471="","",IFERROR(INDEX(ケイパビリティマップ!$E:$E,MATCH(C471,ケイパビリティマップ!$A:$A,0)),"（IDなし）"))</f>
        <v/>
      </c>
      <c r="F471" s="121">
        <f>IF(A471="","",LEFT(A471,5))</f>
        <v/>
      </c>
      <c r="G471" s="121">
        <f>IF(C471="","",LEFT(C471,6))</f>
        <v/>
      </c>
    </row>
    <row r="472" ht="15" customHeight="1" s="80">
      <c r="D472" s="121">
        <f>IF(C472="","",IFERROR(INDEX(ケイパビリティマップ!$E:$E,MATCH(C472,ケイパビリティマップ!$A:$A,0)),"（IDなし）"))</f>
        <v/>
      </c>
      <c r="F472" s="121">
        <f>IF(A472="","",LEFT(A472,5))</f>
        <v/>
      </c>
      <c r="G472" s="121">
        <f>IF(C472="","",LEFT(C472,6))</f>
        <v/>
      </c>
    </row>
    <row r="473" ht="15" customHeight="1" s="80">
      <c r="D473" s="121">
        <f>IF(C473="","",IFERROR(INDEX(ケイパビリティマップ!$E:$E,MATCH(C473,ケイパビリティマップ!$A:$A,0)),"（IDなし）"))</f>
        <v/>
      </c>
      <c r="F473" s="121">
        <f>IF(A473="","",LEFT(A473,5))</f>
        <v/>
      </c>
      <c r="G473" s="121">
        <f>IF(C473="","",LEFT(C473,6))</f>
        <v/>
      </c>
    </row>
    <row r="474" ht="15" customHeight="1" s="80">
      <c r="D474" s="121">
        <f>IF(C474="","",IFERROR(INDEX(ケイパビリティマップ!$E:$E,MATCH(C474,ケイパビリティマップ!$A:$A,0)),"（IDなし）"))</f>
        <v/>
      </c>
      <c r="F474" s="121">
        <f>IF(A474="","",LEFT(A474,5))</f>
        <v/>
      </c>
      <c r="G474" s="121">
        <f>IF(C474="","",LEFT(C474,6))</f>
        <v/>
      </c>
    </row>
    <row r="475" ht="15" customHeight="1" s="80">
      <c r="D475" s="121">
        <f>IF(C475="","",IFERROR(INDEX(ケイパビリティマップ!$E:$E,MATCH(C475,ケイパビリティマップ!$A:$A,0)),"（IDなし）"))</f>
        <v/>
      </c>
      <c r="F475" s="121">
        <f>IF(A475="","",LEFT(A475,5))</f>
        <v/>
      </c>
      <c r="G475" s="121">
        <f>IF(C475="","",LEFT(C475,6))</f>
        <v/>
      </c>
    </row>
    <row r="476" ht="15" customHeight="1" s="80">
      <c r="D476" s="121">
        <f>IF(C476="","",IFERROR(INDEX(ケイパビリティマップ!$E:$E,MATCH(C476,ケイパビリティマップ!$A:$A,0)),"（IDなし）"))</f>
        <v/>
      </c>
      <c r="F476" s="121">
        <f>IF(A476="","",LEFT(A476,5))</f>
        <v/>
      </c>
      <c r="G476" s="121">
        <f>IF(C476="","",LEFT(C476,6))</f>
        <v/>
      </c>
    </row>
    <row r="477" ht="15" customHeight="1" s="80">
      <c r="D477" s="121">
        <f>IF(C477="","",IFERROR(INDEX(ケイパビリティマップ!$E:$E,MATCH(C477,ケイパビリティマップ!$A:$A,0)),"（IDなし）"))</f>
        <v/>
      </c>
      <c r="F477" s="121">
        <f>IF(A477="","",LEFT(A477,5))</f>
        <v/>
      </c>
      <c r="G477" s="121">
        <f>IF(C477="","",LEFT(C477,6))</f>
        <v/>
      </c>
    </row>
    <row r="478" ht="15" customHeight="1" s="80">
      <c r="D478" s="121">
        <f>IF(C478="","",IFERROR(INDEX(ケイパビリティマップ!$E:$E,MATCH(C478,ケイパビリティマップ!$A:$A,0)),"（IDなし）"))</f>
        <v/>
      </c>
      <c r="F478" s="121">
        <f>IF(A478="","",LEFT(A478,5))</f>
        <v/>
      </c>
      <c r="G478" s="121">
        <f>IF(C478="","",LEFT(C478,6))</f>
        <v/>
      </c>
    </row>
    <row r="479" ht="15" customHeight="1" s="80">
      <c r="D479" s="121">
        <f>IF(C479="","",IFERROR(INDEX(ケイパビリティマップ!$E:$E,MATCH(C479,ケイパビリティマップ!$A:$A,0)),"（IDなし）"))</f>
        <v/>
      </c>
      <c r="F479" s="121">
        <f>IF(A479="","",LEFT(A479,5))</f>
        <v/>
      </c>
      <c r="G479" s="121">
        <f>IF(C479="","",LEFT(C479,6))</f>
        <v/>
      </c>
    </row>
    <row r="480" ht="15" customHeight="1" s="80">
      <c r="D480" s="121">
        <f>IF(C480="","",IFERROR(INDEX(ケイパビリティマップ!$E:$E,MATCH(C480,ケイパビリティマップ!$A:$A,0)),"（IDなし）"))</f>
        <v/>
      </c>
      <c r="F480" s="121">
        <f>IF(A480="","",LEFT(A480,5))</f>
        <v/>
      </c>
      <c r="G480" s="121">
        <f>IF(C480="","",LEFT(C480,6))</f>
        <v/>
      </c>
    </row>
    <row r="481" ht="15" customHeight="1" s="80">
      <c r="D481" s="121">
        <f>IF(C481="","",IFERROR(INDEX(ケイパビリティマップ!$E:$E,MATCH(C481,ケイパビリティマップ!$A:$A,0)),"（IDなし）"))</f>
        <v/>
      </c>
      <c r="F481" s="121">
        <f>IF(A481="","",LEFT(A481,5))</f>
        <v/>
      </c>
      <c r="G481" s="121">
        <f>IF(C481="","",LEFT(C481,6))</f>
        <v/>
      </c>
    </row>
    <row r="482" ht="15" customHeight="1" s="80">
      <c r="D482" s="121">
        <f>IF(C482="","",IFERROR(INDEX(ケイパビリティマップ!$E:$E,MATCH(C482,ケイパビリティマップ!$A:$A,0)),"（IDなし）"))</f>
        <v/>
      </c>
      <c r="F482" s="121">
        <f>IF(A482="","",LEFT(A482,5))</f>
        <v/>
      </c>
      <c r="G482" s="121">
        <f>IF(C482="","",LEFT(C482,6))</f>
        <v/>
      </c>
    </row>
    <row r="483" ht="15" customHeight="1" s="80">
      <c r="D483" s="121">
        <f>IF(C483="","",IFERROR(INDEX(ケイパビリティマップ!$E:$E,MATCH(C483,ケイパビリティマップ!$A:$A,0)),"（IDなし）"))</f>
        <v/>
      </c>
      <c r="F483" s="121">
        <f>IF(A483="","",LEFT(A483,5))</f>
        <v/>
      </c>
      <c r="G483" s="121">
        <f>IF(C483="","",LEFT(C483,6))</f>
        <v/>
      </c>
    </row>
    <row r="484" ht="15" customHeight="1" s="80">
      <c r="D484" s="121">
        <f>IF(C484="","",IFERROR(INDEX(ケイパビリティマップ!$E:$E,MATCH(C484,ケイパビリティマップ!$A:$A,0)),"（IDなし）"))</f>
        <v/>
      </c>
      <c r="F484" s="121">
        <f>IF(A484="","",LEFT(A484,5))</f>
        <v/>
      </c>
      <c r="G484" s="121">
        <f>IF(C484="","",LEFT(C484,6))</f>
        <v/>
      </c>
    </row>
    <row r="485" ht="15" customHeight="1" s="80">
      <c r="D485" s="121">
        <f>IF(C485="","",IFERROR(INDEX(ケイパビリティマップ!$E:$E,MATCH(C485,ケイパビリティマップ!$A:$A,0)),"（IDなし）"))</f>
        <v/>
      </c>
      <c r="F485" s="121">
        <f>IF(A485="","",LEFT(A485,5))</f>
        <v/>
      </c>
      <c r="G485" s="121">
        <f>IF(C485="","",LEFT(C485,6))</f>
        <v/>
      </c>
    </row>
    <row r="486" ht="15" customHeight="1" s="80">
      <c r="D486" s="121">
        <f>IF(C486="","",IFERROR(INDEX(ケイパビリティマップ!$E:$E,MATCH(C486,ケイパビリティマップ!$A:$A,0)),"（IDなし）"))</f>
        <v/>
      </c>
      <c r="F486" s="121">
        <f>IF(A486="","",LEFT(A486,5))</f>
        <v/>
      </c>
      <c r="G486" s="121">
        <f>IF(C486="","",LEFT(C486,6))</f>
        <v/>
      </c>
    </row>
    <row r="487" ht="15" customHeight="1" s="80">
      <c r="D487" s="121">
        <f>IF(C487="","",IFERROR(INDEX(ケイパビリティマップ!$E:$E,MATCH(C487,ケイパビリティマップ!$A:$A,0)),"（IDなし）"))</f>
        <v/>
      </c>
      <c r="F487" s="121">
        <f>IF(A487="","",LEFT(A487,5))</f>
        <v/>
      </c>
      <c r="G487" s="121">
        <f>IF(C487="","",LEFT(C487,6))</f>
        <v/>
      </c>
    </row>
    <row r="488" ht="15" customHeight="1" s="80">
      <c r="D488" s="121">
        <f>IF(C488="","",IFERROR(INDEX(ケイパビリティマップ!$E:$E,MATCH(C488,ケイパビリティマップ!$A:$A,0)),"（IDなし）"))</f>
        <v/>
      </c>
      <c r="F488" s="121">
        <f>IF(A488="","",LEFT(A488,5))</f>
        <v/>
      </c>
      <c r="G488" s="121">
        <f>IF(C488="","",LEFT(C488,6))</f>
        <v/>
      </c>
    </row>
    <row r="489" ht="15" customHeight="1" s="80">
      <c r="D489" s="121">
        <f>IF(C489="","",IFERROR(INDEX(ケイパビリティマップ!$E:$E,MATCH(C489,ケイパビリティマップ!$A:$A,0)),"（IDなし）"))</f>
        <v/>
      </c>
      <c r="F489" s="121">
        <f>IF(A489="","",LEFT(A489,5))</f>
        <v/>
      </c>
      <c r="G489" s="121">
        <f>IF(C489="","",LEFT(C489,6))</f>
        <v/>
      </c>
    </row>
    <row r="490" ht="15" customHeight="1" s="80">
      <c r="D490" s="121">
        <f>IF(C490="","",IFERROR(INDEX(ケイパビリティマップ!$E:$E,MATCH(C490,ケイパビリティマップ!$A:$A,0)),"（IDなし）"))</f>
        <v/>
      </c>
      <c r="F490" s="121">
        <f>IF(A490="","",LEFT(A490,5))</f>
        <v/>
      </c>
      <c r="G490" s="121">
        <f>IF(C490="","",LEFT(C490,6))</f>
        <v/>
      </c>
    </row>
    <row r="491" ht="15" customHeight="1" s="80">
      <c r="D491" s="121">
        <f>IF(C491="","",IFERROR(INDEX(ケイパビリティマップ!$E:$E,MATCH(C491,ケイパビリティマップ!$A:$A,0)),"（IDなし）"))</f>
        <v/>
      </c>
      <c r="F491" s="121">
        <f>IF(A491="","",LEFT(A491,5))</f>
        <v/>
      </c>
      <c r="G491" s="121">
        <f>IF(C491="","",LEFT(C491,6))</f>
        <v/>
      </c>
    </row>
    <row r="492" ht="15" customHeight="1" s="80">
      <c r="D492" s="121">
        <f>IF(C492="","",IFERROR(INDEX(ケイパビリティマップ!$E:$E,MATCH(C492,ケイパビリティマップ!$A:$A,0)),"（IDなし）"))</f>
        <v/>
      </c>
      <c r="F492" s="121">
        <f>IF(A492="","",LEFT(A492,5))</f>
        <v/>
      </c>
      <c r="G492" s="121">
        <f>IF(C492="","",LEFT(C492,6))</f>
        <v/>
      </c>
    </row>
    <row r="493" ht="15" customHeight="1" s="80">
      <c r="D493" s="121">
        <f>IF(C493="","",IFERROR(INDEX(ケイパビリティマップ!$E:$E,MATCH(C493,ケイパビリティマップ!$A:$A,0)),"（IDなし）"))</f>
        <v/>
      </c>
      <c r="F493" s="121">
        <f>IF(A493="","",LEFT(A493,5))</f>
        <v/>
      </c>
      <c r="G493" s="121">
        <f>IF(C493="","",LEFT(C493,6))</f>
        <v/>
      </c>
    </row>
    <row r="494" ht="15" customHeight="1" s="80">
      <c r="D494" s="121">
        <f>IF(C494="","",IFERROR(INDEX(ケイパビリティマップ!$E:$E,MATCH(C494,ケイパビリティマップ!$A:$A,0)),"（IDなし）"))</f>
        <v/>
      </c>
      <c r="F494" s="121">
        <f>IF(A494="","",LEFT(A494,5))</f>
        <v/>
      </c>
      <c r="G494" s="121">
        <f>IF(C494="","",LEFT(C494,6))</f>
        <v/>
      </c>
    </row>
  </sheetData>
  <autoFilter ref="A3:G294"/>
  <dataValidations count="1">
    <dataValidation sqref="E4:E494" showDropDown="0" showInputMessage="0" showErrorMessage="0" allowBlank="1" type="list" errorStyle="stop" operator="between">
      <formula1>"主,支援"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002E8B57"/>
    <outlinePr summaryBelow="1" summaryRight="1"/>
    <pageSetUpPr fitToPage="0"/>
  </sheetPr>
  <dimension ref="A1:BF39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79" min="1" max="1"/>
    <col width="7" customWidth="1" style="79" min="2" max="2"/>
    <col width="30" customWidth="1" style="79" min="3" max="3"/>
    <col width="5.52" customWidth="1" style="79" min="4" max="56"/>
    <col width="7" customWidth="1" style="79" min="57" max="58"/>
  </cols>
  <sheetData>
    <row r="1" ht="21" customHeight="1" s="80">
      <c r="A1" s="81" t="inlineStr">
        <is>
          <t>バリューストリーム×ケイパビリティマップ（行：バリューストリームL3 × 列：ケイパビリティL2）</t>
        </is>
      </c>
    </row>
    <row r="2" ht="15" customHeight="1" s="80">
      <c r="A2" s="82" t="inlineStr">
        <is>
          <t>●＝主（配下のL4×L3の関係に「主」が1つ以上）　○＝支援のみ　空欄＝関係なし。各セルは「VS×ケイパビリティ関係」シートから数式で集計（直接入力しない）。</t>
        </is>
      </c>
    </row>
    <row r="4" ht="42" customHeight="1" s="80">
      <c r="A4" s="83" t="inlineStr">
        <is>
          <t>VS L2</t>
        </is>
      </c>
      <c r="B4" s="83" t="inlineStr">
        <is>
          <t>L3 ID</t>
        </is>
      </c>
      <c r="C4" s="83" t="inlineStr">
        <is>
          <t>VS L3</t>
        </is>
      </c>
      <c r="D4" s="122" t="inlineStr">
        <is>
          <t>C01 戦略・ガバナンス</t>
        </is>
      </c>
      <c r="E4" s="111" t="n"/>
      <c r="F4" s="112" t="n"/>
      <c r="G4" s="122" t="inlineStr">
        <is>
          <t>C02 研究（創薬）</t>
        </is>
      </c>
      <c r="H4" s="111" t="n"/>
      <c r="I4" s="111" t="n"/>
      <c r="J4" s="111" t="n"/>
      <c r="K4" s="112" t="n"/>
      <c r="L4" s="122" t="inlineStr">
        <is>
          <t>C03 非臨床・臨床薬理</t>
        </is>
      </c>
      <c r="M4" s="111" t="n"/>
      <c r="N4" s="111" t="n"/>
      <c r="O4" s="112" t="n"/>
      <c r="P4" s="122" t="inlineStr">
        <is>
          <t>C04 CMC開発</t>
        </is>
      </c>
      <c r="Q4" s="111" t="n"/>
      <c r="R4" s="111" t="n"/>
      <c r="S4" s="111" t="n"/>
      <c r="T4" s="112" t="n"/>
      <c r="U4" s="122" t="inlineStr">
        <is>
          <t>C05 臨床開発</t>
        </is>
      </c>
      <c r="V4" s="111" t="n"/>
      <c r="W4" s="111" t="n"/>
      <c r="X4" s="111" t="n"/>
      <c r="Y4" s="111" t="n"/>
      <c r="Z4" s="112" t="n"/>
      <c r="AA4" s="122" t="inlineStr">
        <is>
          <t>C06 薬事</t>
        </is>
      </c>
      <c r="AB4" s="111" t="n"/>
      <c r="AC4" s="111" t="n"/>
      <c r="AD4" s="112" t="n"/>
      <c r="AE4" s="122" t="inlineStr">
        <is>
          <t>C07 製造</t>
        </is>
      </c>
      <c r="AF4" s="111" t="n"/>
      <c r="AG4" s="111" t="n"/>
      <c r="AH4" s="112" t="n"/>
      <c r="AI4" s="122" t="inlineStr">
        <is>
          <t>C08 品質</t>
        </is>
      </c>
      <c r="AJ4" s="111" t="n"/>
      <c r="AK4" s="111" t="n"/>
      <c r="AL4" s="112" t="n"/>
      <c r="AM4" s="122" t="inlineStr">
        <is>
          <t>C09 ファーマコビジランス（安全性）</t>
        </is>
      </c>
      <c r="AN4" s="112" t="n"/>
      <c r="AO4" s="122" t="inlineStr">
        <is>
          <t>C10 メディカル・患者エンゲージメント</t>
        </is>
      </c>
      <c r="AP4" s="111" t="n"/>
      <c r="AQ4" s="111" t="n"/>
      <c r="AR4" s="112" t="n"/>
      <c r="AS4" s="122" t="inlineStr">
        <is>
          <t>C11 市場アクセス・商業</t>
        </is>
      </c>
      <c r="AT4" s="111" t="n"/>
      <c r="AU4" s="111" t="n"/>
      <c r="AV4" s="112" t="n"/>
      <c r="AW4" s="122" t="inlineStr">
        <is>
          <t>C12 サプライチェーン</t>
        </is>
      </c>
      <c r="AX4" s="111" t="n"/>
      <c r="AY4" s="111" t="n"/>
      <c r="AZ4" s="111" t="n"/>
      <c r="BA4" s="112" t="n"/>
      <c r="BB4" s="122" t="inlineStr">
        <is>
          <t>C13 共通基盤</t>
        </is>
      </c>
      <c r="BC4" s="111" t="n"/>
      <c r="BD4" s="112" t="n"/>
      <c r="BE4" s="84" t="inlineStr">
        <is>
          <t>●の数</t>
        </is>
      </c>
      <c r="BF4" s="84" t="inlineStr">
        <is>
          <t>○の数</t>
        </is>
      </c>
    </row>
    <row r="5" ht="23.25" customHeight="1" s="80">
      <c r="A5" s="123" t="n"/>
      <c r="B5" s="123" t="n"/>
      <c r="C5" s="123" t="n"/>
      <c r="D5" s="122" t="inlineStr">
        <is>
          <t>C01-01</t>
        </is>
      </c>
      <c r="E5" s="122" t="inlineStr">
        <is>
          <t>C01-02</t>
        </is>
      </c>
      <c r="F5" s="122" t="inlineStr">
        <is>
          <t>C01-03</t>
        </is>
      </c>
      <c r="G5" s="122" t="inlineStr">
        <is>
          <t>C02-01</t>
        </is>
      </c>
      <c r="H5" s="122" t="inlineStr">
        <is>
          <t>C02-02</t>
        </is>
      </c>
      <c r="I5" s="122" t="inlineStr">
        <is>
          <t>C02-03</t>
        </is>
      </c>
      <c r="J5" s="122" t="inlineStr">
        <is>
          <t>C02-04</t>
        </is>
      </c>
      <c r="K5" s="122" t="inlineStr">
        <is>
          <t>C02-05</t>
        </is>
      </c>
      <c r="L5" s="122" t="inlineStr">
        <is>
          <t>C03-01</t>
        </is>
      </c>
      <c r="M5" s="122" t="inlineStr">
        <is>
          <t>C03-02</t>
        </is>
      </c>
      <c r="N5" s="122" t="inlineStr">
        <is>
          <t>C03-03</t>
        </is>
      </c>
      <c r="O5" s="122" t="inlineStr">
        <is>
          <t>C03-04</t>
        </is>
      </c>
      <c r="P5" s="122" t="inlineStr">
        <is>
          <t>C04-01</t>
        </is>
      </c>
      <c r="Q5" s="122" t="inlineStr">
        <is>
          <t>C04-02</t>
        </is>
      </c>
      <c r="R5" s="122" t="inlineStr">
        <is>
          <t>C04-03</t>
        </is>
      </c>
      <c r="S5" s="122" t="inlineStr">
        <is>
          <t>C04-04</t>
        </is>
      </c>
      <c r="T5" s="122" t="inlineStr">
        <is>
          <t>C04-05</t>
        </is>
      </c>
      <c r="U5" s="122" t="inlineStr">
        <is>
          <t>C05-01</t>
        </is>
      </c>
      <c r="V5" s="122" t="inlineStr">
        <is>
          <t>C05-02</t>
        </is>
      </c>
      <c r="W5" s="122" t="inlineStr">
        <is>
          <t>C05-03</t>
        </is>
      </c>
      <c r="X5" s="122" t="inlineStr">
        <is>
          <t>C05-04</t>
        </is>
      </c>
      <c r="Y5" s="122" t="inlineStr">
        <is>
          <t>C05-05</t>
        </is>
      </c>
      <c r="Z5" s="122" t="inlineStr">
        <is>
          <t>C05-06</t>
        </is>
      </c>
      <c r="AA5" s="122" t="inlineStr">
        <is>
          <t>C06-01</t>
        </is>
      </c>
      <c r="AB5" s="122" t="inlineStr">
        <is>
          <t>C06-02</t>
        </is>
      </c>
      <c r="AC5" s="122" t="inlineStr">
        <is>
          <t>C06-03</t>
        </is>
      </c>
      <c r="AD5" s="122" t="inlineStr">
        <is>
          <t>C06-04</t>
        </is>
      </c>
      <c r="AE5" s="122" t="inlineStr">
        <is>
          <t>C07-01</t>
        </is>
      </c>
      <c r="AF5" s="122" t="inlineStr">
        <is>
          <t>C07-02</t>
        </is>
      </c>
      <c r="AG5" s="122" t="inlineStr">
        <is>
          <t>C07-03</t>
        </is>
      </c>
      <c r="AH5" s="122" t="inlineStr">
        <is>
          <t>C07-04</t>
        </is>
      </c>
      <c r="AI5" s="122" t="inlineStr">
        <is>
          <t>C08-01</t>
        </is>
      </c>
      <c r="AJ5" s="122" t="inlineStr">
        <is>
          <t>C08-02</t>
        </is>
      </c>
      <c r="AK5" s="122" t="inlineStr">
        <is>
          <t>C08-03</t>
        </is>
      </c>
      <c r="AL5" s="122" t="inlineStr">
        <is>
          <t>C08-04</t>
        </is>
      </c>
      <c r="AM5" s="122" t="inlineStr">
        <is>
          <t>C09-01</t>
        </is>
      </c>
      <c r="AN5" s="122" t="inlineStr">
        <is>
          <t>C09-02</t>
        </is>
      </c>
      <c r="AO5" s="122" t="inlineStr">
        <is>
          <t>C10-01</t>
        </is>
      </c>
      <c r="AP5" s="122" t="inlineStr">
        <is>
          <t>C10-02</t>
        </is>
      </c>
      <c r="AQ5" s="122" t="inlineStr">
        <is>
          <t>C10-03</t>
        </is>
      </c>
      <c r="AR5" s="122" t="inlineStr">
        <is>
          <t>C10-04</t>
        </is>
      </c>
      <c r="AS5" s="122" t="inlineStr">
        <is>
          <t>C11-01</t>
        </is>
      </c>
      <c r="AT5" s="122" t="inlineStr">
        <is>
          <t>C11-02</t>
        </is>
      </c>
      <c r="AU5" s="122" t="inlineStr">
        <is>
          <t>C11-03</t>
        </is>
      </c>
      <c r="AV5" s="122" t="inlineStr">
        <is>
          <t>C11-04</t>
        </is>
      </c>
      <c r="AW5" s="122" t="inlineStr">
        <is>
          <t>C12-01</t>
        </is>
      </c>
      <c r="AX5" s="122" t="inlineStr">
        <is>
          <t>C12-02</t>
        </is>
      </c>
      <c r="AY5" s="122" t="inlineStr">
        <is>
          <t>C12-03</t>
        </is>
      </c>
      <c r="AZ5" s="122" t="inlineStr">
        <is>
          <t>C12-04</t>
        </is>
      </c>
      <c r="BA5" s="122" t="inlineStr">
        <is>
          <t>C12-05</t>
        </is>
      </c>
      <c r="BB5" s="122" t="inlineStr">
        <is>
          <t>C13-01</t>
        </is>
      </c>
      <c r="BC5" s="122" t="inlineStr">
        <is>
          <t>C13-02</t>
        </is>
      </c>
      <c r="BD5" s="122" t="inlineStr">
        <is>
          <t>C13-03</t>
        </is>
      </c>
      <c r="BE5" s="123" t="n"/>
      <c r="BF5" s="123" t="n"/>
    </row>
    <row r="6" ht="150" customHeight="1" s="80">
      <c r="A6" s="124" t="n"/>
      <c r="B6" s="124" t="n"/>
      <c r="C6" s="124" t="n"/>
      <c r="D6" s="125" t="inlineStr">
        <is>
          <t>研究開発ポートフォリオ管理</t>
        </is>
      </c>
      <c r="E6" s="125" t="inlineStr">
        <is>
          <t>知財・独占期間管理</t>
        </is>
      </c>
      <c r="F6" s="125" t="inlineStr">
        <is>
          <t>外部パートナー管理</t>
        </is>
      </c>
      <c r="G6" s="125" t="inlineStr">
        <is>
          <t>疾患・標的研究★</t>
        </is>
      </c>
      <c r="H6" s="125" t="inlineStr">
        <is>
          <t>抗体創出</t>
        </is>
      </c>
      <c r="I6" s="125" t="inlineStr">
        <is>
          <t>抗体エンジニアリング</t>
        </is>
      </c>
      <c r="J6" s="125" t="inlineStr">
        <is>
          <t>疾患モデル・薬効評価</t>
        </is>
      </c>
      <c r="K6" s="125" t="inlineStr">
        <is>
          <t>開発適性・免疫原性リスク評価</t>
        </is>
      </c>
      <c r="L6" s="125" t="inlineStr">
        <is>
          <t>非臨床薬理評価</t>
        </is>
      </c>
      <c r="M6" s="125" t="inlineStr">
        <is>
          <t>非臨床安全性評価</t>
        </is>
      </c>
      <c r="N6" s="125" t="inlineStr">
        <is>
          <t>バイオアナリシス</t>
        </is>
      </c>
      <c r="O6" s="125" t="inlineStr">
        <is>
          <t>臨床薬理・ファーマコメトリクス</t>
        </is>
      </c>
      <c r="P6" s="125" t="inlineStr">
        <is>
          <t>細胞株開発・セルバンク管理</t>
        </is>
      </c>
      <c r="Q6" s="125" t="inlineStr">
        <is>
          <t>原薬プロセス開発</t>
        </is>
      </c>
      <c r="R6" s="125" t="inlineStr">
        <is>
          <t>製剤・デバイス開発</t>
        </is>
      </c>
      <c r="S6" s="125" t="inlineStr">
        <is>
          <t>分析法開発・品質特性評価</t>
        </is>
      </c>
      <c r="T6" s="125" t="inlineStr">
        <is>
          <t>技術移転・製造規模管理</t>
        </is>
      </c>
      <c r="U6" s="125" t="inlineStr">
        <is>
          <t>臨床開発戦略・試験デザイン</t>
        </is>
      </c>
      <c r="V6" s="125" t="inlineStr">
        <is>
          <t>患者エビデンス管理★</t>
        </is>
      </c>
      <c r="W6" s="125" t="inlineStr">
        <is>
          <t>患者特定・組入れ★</t>
        </is>
      </c>
      <c r="X6" s="125" t="inlineStr">
        <is>
          <t>臨床試験運営</t>
        </is>
      </c>
      <c r="Y6" s="125" t="inlineStr">
        <is>
          <t>臨床データマネジメント・統計解析</t>
        </is>
      </c>
      <c r="Z6" s="125" t="inlineStr">
        <is>
          <t>治験薬供給管理</t>
        </is>
      </c>
      <c r="AA6" s="125" t="inlineStr">
        <is>
          <t>薬事戦略・当局対応</t>
        </is>
      </c>
      <c r="AB6" s="125" t="inlineStr">
        <is>
          <t>申請資料作成・管理</t>
        </is>
      </c>
      <c r="AC6" s="125" t="inlineStr">
        <is>
          <t>ラベリング管理</t>
        </is>
      </c>
      <c r="AD6" s="125" t="inlineStr">
        <is>
          <t>市販後薬事コンプライアンス</t>
        </is>
      </c>
      <c r="AE6" s="125" t="inlineStr">
        <is>
          <t>生産計画・製造実行管理</t>
        </is>
      </c>
      <c r="AF6" s="125" t="inlineStr">
        <is>
          <t>原薬製造</t>
        </is>
      </c>
      <c r="AG6" s="125" t="inlineStr">
        <is>
          <t>製剤化・無菌充填・包装</t>
        </is>
      </c>
      <c r="AH6" s="125" t="inlineStr">
        <is>
          <t>設備・環境管理</t>
        </is>
      </c>
      <c r="AI6" s="125" t="inlineStr">
        <is>
          <t>品質管理（試験・安定性）</t>
        </is>
      </c>
      <c r="AJ6" s="125" t="inlineStr">
        <is>
          <t>品質保証（出荷判定・逸脱・変更）</t>
        </is>
      </c>
      <c r="AK6" s="125" t="inlineStr">
        <is>
          <t>バリデーション管理</t>
        </is>
      </c>
      <c r="AL6" s="125" t="inlineStr">
        <is>
          <t>品質システム・監査管理</t>
        </is>
      </c>
      <c r="AM6" s="125" t="inlineStr">
        <is>
          <t>有害事象管理</t>
        </is>
      </c>
      <c r="AN6" s="125" t="inlineStr">
        <is>
          <t>安全性シグナル・リスク管理</t>
        </is>
      </c>
      <c r="AO6" s="125" t="inlineStr">
        <is>
          <t>患者団体・専門医連携★</t>
        </is>
      </c>
      <c r="AP6" s="125" t="inlineStr">
        <is>
          <t>メディカルアフェアーズ</t>
        </is>
      </c>
      <c r="AQ6" s="125" t="inlineStr">
        <is>
          <t>疾患啓発・診断支援★</t>
        </is>
      </c>
      <c r="AR6" s="125" t="inlineStr">
        <is>
          <t>患者支援サービス★</t>
        </is>
      </c>
      <c r="AS6" s="125" t="inlineStr">
        <is>
          <t>価格・保険者契約管理</t>
        </is>
      </c>
      <c r="AT6" s="125" t="inlineStr">
        <is>
          <t>政府価格報告・政策対応</t>
        </is>
      </c>
      <c r="AU6" s="125" t="inlineStr">
        <is>
          <t>販促・商業コンプライアンス</t>
        </is>
      </c>
      <c r="AV6" s="125" t="inlineStr">
        <is>
          <t>営業・顧客管理</t>
        </is>
      </c>
      <c r="AW6" s="125" t="inlineStr">
        <is>
          <t>需給計画</t>
        </is>
      </c>
      <c r="AX6" s="125" t="inlineStr">
        <is>
          <t>流通ネットワーク管理★</t>
        </is>
      </c>
      <c r="AY6" s="125" t="inlineStr">
        <is>
          <t>コールドチェーン物流</t>
        </is>
      </c>
      <c r="AZ6" s="125" t="inlineStr">
        <is>
          <t>トレーサビリティ</t>
        </is>
      </c>
      <c r="BA6" s="125" t="inlineStr">
        <is>
          <t>供給継続・回収管理</t>
        </is>
      </c>
      <c r="BB6" s="125" t="inlineStr">
        <is>
          <t>情報・データ管理</t>
        </is>
      </c>
      <c r="BC6" s="126" t="inlineStr">
        <is>
          <t>GxP文書・記録管理</t>
        </is>
      </c>
      <c r="BD6" s="126" t="inlineStr">
        <is>
          <t>GxP教育・資格管理</t>
        </is>
      </c>
      <c r="BE6" s="124" t="n"/>
      <c r="BF6" s="124" t="n"/>
    </row>
    <row r="7" ht="15" customHeight="1" s="80">
      <c r="A7" s="116" t="inlineStr">
        <is>
          <t>01 創薬研究</t>
        </is>
      </c>
      <c r="B7" s="98" t="inlineStr">
        <is>
          <t>01-01</t>
        </is>
      </c>
      <c r="C7" s="100" t="inlineStr">
        <is>
          <t>標的探索・検証</t>
        </is>
      </c>
      <c r="D7" s="98">
        <f>IF(COUNTIFS('VS×ケイパビリティ関係'!$F$4:$F$494,$B7,'VS×ケイパビリティ関係'!$G$4:$G$494,D$5,'VS×ケイパビリティ関係'!$E$4:$E$494,"主")&gt;0,"●",IF(COUNTIFS('VS×ケイパビリティ関係'!$F$4:$F$494,$B7,'VS×ケイパビリティ関係'!$G$4:$G$494,D$5,'VS×ケイパビリティ関係'!$E$4:$E$494,"支援")&gt;0,"○",""))</f>
        <v/>
      </c>
      <c r="E7" s="98">
        <f>IF(COUNTIFS('VS×ケイパビリティ関係'!$F$4:$F$494,$B7,'VS×ケイパビリティ関係'!$G$4:$G$494,E$5,'VS×ケイパビリティ関係'!$E$4:$E$494,"主")&gt;0,"●",IF(COUNTIFS('VS×ケイパビリティ関係'!$F$4:$F$494,$B7,'VS×ケイパビリティ関係'!$G$4:$G$494,E$5,'VS×ケイパビリティ関係'!$E$4:$E$494,"支援")&gt;0,"○",""))</f>
        <v/>
      </c>
      <c r="F7" s="98">
        <f>IF(COUNTIFS('VS×ケイパビリティ関係'!$F$4:$F$494,$B7,'VS×ケイパビリティ関係'!$G$4:$G$494,F$5,'VS×ケイパビリティ関係'!$E$4:$E$494,"主")&gt;0,"●",IF(COUNTIFS('VS×ケイパビリティ関係'!$F$4:$F$494,$B7,'VS×ケイパビリティ関係'!$G$4:$G$494,F$5,'VS×ケイパビリティ関係'!$E$4:$E$494,"支援")&gt;0,"○",""))</f>
        <v/>
      </c>
      <c r="G7" s="98">
        <f>IF(COUNTIFS('VS×ケイパビリティ関係'!$F$4:$F$494,$B7,'VS×ケイパビリティ関係'!$G$4:$G$494,G$5,'VS×ケイパビリティ関係'!$E$4:$E$494,"主")&gt;0,"●",IF(COUNTIFS('VS×ケイパビリティ関係'!$F$4:$F$494,$B7,'VS×ケイパビリティ関係'!$G$4:$G$494,G$5,'VS×ケイパビリティ関係'!$E$4:$E$494,"支援")&gt;0,"○",""))</f>
        <v/>
      </c>
      <c r="H7" s="98">
        <f>IF(COUNTIFS('VS×ケイパビリティ関係'!$F$4:$F$494,$B7,'VS×ケイパビリティ関係'!$G$4:$G$494,H$5,'VS×ケイパビリティ関係'!$E$4:$E$494,"主")&gt;0,"●",IF(COUNTIFS('VS×ケイパビリティ関係'!$F$4:$F$494,$B7,'VS×ケイパビリティ関係'!$G$4:$G$494,H$5,'VS×ケイパビリティ関係'!$E$4:$E$494,"支援")&gt;0,"○",""))</f>
        <v/>
      </c>
      <c r="I7" s="98">
        <f>IF(COUNTIFS('VS×ケイパビリティ関係'!$F$4:$F$494,$B7,'VS×ケイパビリティ関係'!$G$4:$G$494,I$5,'VS×ケイパビリティ関係'!$E$4:$E$494,"主")&gt;0,"●",IF(COUNTIFS('VS×ケイパビリティ関係'!$F$4:$F$494,$B7,'VS×ケイパビリティ関係'!$G$4:$G$494,I$5,'VS×ケイパビリティ関係'!$E$4:$E$494,"支援")&gt;0,"○",""))</f>
        <v/>
      </c>
      <c r="J7" s="98">
        <f>IF(COUNTIFS('VS×ケイパビリティ関係'!$F$4:$F$494,$B7,'VS×ケイパビリティ関係'!$G$4:$G$494,J$5,'VS×ケイパビリティ関係'!$E$4:$E$494,"主")&gt;0,"●",IF(COUNTIFS('VS×ケイパビリティ関係'!$F$4:$F$494,$B7,'VS×ケイパビリティ関係'!$G$4:$G$494,J$5,'VS×ケイパビリティ関係'!$E$4:$E$494,"支援")&gt;0,"○",""))</f>
        <v/>
      </c>
      <c r="K7" s="98">
        <f>IF(COUNTIFS('VS×ケイパビリティ関係'!$F$4:$F$494,$B7,'VS×ケイパビリティ関係'!$G$4:$G$494,K$5,'VS×ケイパビリティ関係'!$E$4:$E$494,"主")&gt;0,"●",IF(COUNTIFS('VS×ケイパビリティ関係'!$F$4:$F$494,$B7,'VS×ケイパビリティ関係'!$G$4:$G$494,K$5,'VS×ケイパビリティ関係'!$E$4:$E$494,"支援")&gt;0,"○",""))</f>
        <v/>
      </c>
      <c r="L7" s="98">
        <f>IF(COUNTIFS('VS×ケイパビリティ関係'!$F$4:$F$494,$B7,'VS×ケイパビリティ関係'!$G$4:$G$494,L$5,'VS×ケイパビリティ関係'!$E$4:$E$494,"主")&gt;0,"●",IF(COUNTIFS('VS×ケイパビリティ関係'!$F$4:$F$494,$B7,'VS×ケイパビリティ関係'!$G$4:$G$494,L$5,'VS×ケイパビリティ関係'!$E$4:$E$494,"支援")&gt;0,"○",""))</f>
        <v/>
      </c>
      <c r="M7" s="98">
        <f>IF(COUNTIFS('VS×ケイパビリティ関係'!$F$4:$F$494,$B7,'VS×ケイパビリティ関係'!$G$4:$G$494,M$5,'VS×ケイパビリティ関係'!$E$4:$E$494,"主")&gt;0,"●",IF(COUNTIFS('VS×ケイパビリティ関係'!$F$4:$F$494,$B7,'VS×ケイパビリティ関係'!$G$4:$G$494,M$5,'VS×ケイパビリティ関係'!$E$4:$E$494,"支援")&gt;0,"○",""))</f>
        <v/>
      </c>
      <c r="N7" s="98">
        <f>IF(COUNTIFS('VS×ケイパビリティ関係'!$F$4:$F$494,$B7,'VS×ケイパビリティ関係'!$G$4:$G$494,N$5,'VS×ケイパビリティ関係'!$E$4:$E$494,"主")&gt;0,"●",IF(COUNTIFS('VS×ケイパビリティ関係'!$F$4:$F$494,$B7,'VS×ケイパビリティ関係'!$G$4:$G$494,N$5,'VS×ケイパビリティ関係'!$E$4:$E$494,"支援")&gt;0,"○",""))</f>
        <v/>
      </c>
      <c r="O7" s="98">
        <f>IF(COUNTIFS('VS×ケイパビリティ関係'!$F$4:$F$494,$B7,'VS×ケイパビリティ関係'!$G$4:$G$494,O$5,'VS×ケイパビリティ関係'!$E$4:$E$494,"主")&gt;0,"●",IF(COUNTIFS('VS×ケイパビリティ関係'!$F$4:$F$494,$B7,'VS×ケイパビリティ関係'!$G$4:$G$494,O$5,'VS×ケイパビリティ関係'!$E$4:$E$494,"支援")&gt;0,"○",""))</f>
        <v/>
      </c>
      <c r="P7" s="98">
        <f>IF(COUNTIFS('VS×ケイパビリティ関係'!$F$4:$F$494,$B7,'VS×ケイパビリティ関係'!$G$4:$G$494,P$5,'VS×ケイパビリティ関係'!$E$4:$E$494,"主")&gt;0,"●",IF(COUNTIFS('VS×ケイパビリティ関係'!$F$4:$F$494,$B7,'VS×ケイパビリティ関係'!$G$4:$G$494,P$5,'VS×ケイパビリティ関係'!$E$4:$E$494,"支援")&gt;0,"○",""))</f>
        <v/>
      </c>
      <c r="Q7" s="98">
        <f>IF(COUNTIFS('VS×ケイパビリティ関係'!$F$4:$F$494,$B7,'VS×ケイパビリティ関係'!$G$4:$G$494,Q$5,'VS×ケイパビリティ関係'!$E$4:$E$494,"主")&gt;0,"●",IF(COUNTIFS('VS×ケイパビリティ関係'!$F$4:$F$494,$B7,'VS×ケイパビリティ関係'!$G$4:$G$494,Q$5,'VS×ケイパビリティ関係'!$E$4:$E$494,"支援")&gt;0,"○",""))</f>
        <v/>
      </c>
      <c r="R7" s="98">
        <f>IF(COUNTIFS('VS×ケイパビリティ関係'!$F$4:$F$494,$B7,'VS×ケイパビリティ関係'!$G$4:$G$494,R$5,'VS×ケイパビリティ関係'!$E$4:$E$494,"主")&gt;0,"●",IF(COUNTIFS('VS×ケイパビリティ関係'!$F$4:$F$494,$B7,'VS×ケイパビリティ関係'!$G$4:$G$494,R$5,'VS×ケイパビリティ関係'!$E$4:$E$494,"支援")&gt;0,"○",""))</f>
        <v/>
      </c>
      <c r="S7" s="98">
        <f>IF(COUNTIFS('VS×ケイパビリティ関係'!$F$4:$F$494,$B7,'VS×ケイパビリティ関係'!$G$4:$G$494,S$5,'VS×ケイパビリティ関係'!$E$4:$E$494,"主")&gt;0,"●",IF(COUNTIFS('VS×ケイパビリティ関係'!$F$4:$F$494,$B7,'VS×ケイパビリティ関係'!$G$4:$G$494,S$5,'VS×ケイパビリティ関係'!$E$4:$E$494,"支援")&gt;0,"○",""))</f>
        <v/>
      </c>
      <c r="T7" s="98">
        <f>IF(COUNTIFS('VS×ケイパビリティ関係'!$F$4:$F$494,$B7,'VS×ケイパビリティ関係'!$G$4:$G$494,T$5,'VS×ケイパビリティ関係'!$E$4:$E$494,"主")&gt;0,"●",IF(COUNTIFS('VS×ケイパビリティ関係'!$F$4:$F$494,$B7,'VS×ケイパビリティ関係'!$G$4:$G$494,T$5,'VS×ケイパビリティ関係'!$E$4:$E$494,"支援")&gt;0,"○",""))</f>
        <v/>
      </c>
      <c r="U7" s="98">
        <f>IF(COUNTIFS('VS×ケイパビリティ関係'!$F$4:$F$494,$B7,'VS×ケイパビリティ関係'!$G$4:$G$494,U$5,'VS×ケイパビリティ関係'!$E$4:$E$494,"主")&gt;0,"●",IF(COUNTIFS('VS×ケイパビリティ関係'!$F$4:$F$494,$B7,'VS×ケイパビリティ関係'!$G$4:$G$494,U$5,'VS×ケイパビリティ関係'!$E$4:$E$494,"支援")&gt;0,"○",""))</f>
        <v/>
      </c>
      <c r="V7" s="98">
        <f>IF(COUNTIFS('VS×ケイパビリティ関係'!$F$4:$F$494,$B7,'VS×ケイパビリティ関係'!$G$4:$G$494,V$5,'VS×ケイパビリティ関係'!$E$4:$E$494,"主")&gt;0,"●",IF(COUNTIFS('VS×ケイパビリティ関係'!$F$4:$F$494,$B7,'VS×ケイパビリティ関係'!$G$4:$G$494,V$5,'VS×ケイパビリティ関係'!$E$4:$E$494,"支援")&gt;0,"○",""))</f>
        <v/>
      </c>
      <c r="W7" s="98">
        <f>IF(COUNTIFS('VS×ケイパビリティ関係'!$F$4:$F$494,$B7,'VS×ケイパビリティ関係'!$G$4:$G$494,W$5,'VS×ケイパビリティ関係'!$E$4:$E$494,"主")&gt;0,"●",IF(COUNTIFS('VS×ケイパビリティ関係'!$F$4:$F$494,$B7,'VS×ケイパビリティ関係'!$G$4:$G$494,W$5,'VS×ケイパビリティ関係'!$E$4:$E$494,"支援")&gt;0,"○",""))</f>
        <v/>
      </c>
      <c r="X7" s="98">
        <f>IF(COUNTIFS('VS×ケイパビリティ関係'!$F$4:$F$494,$B7,'VS×ケイパビリティ関係'!$G$4:$G$494,X$5,'VS×ケイパビリティ関係'!$E$4:$E$494,"主")&gt;0,"●",IF(COUNTIFS('VS×ケイパビリティ関係'!$F$4:$F$494,$B7,'VS×ケイパビリティ関係'!$G$4:$G$494,X$5,'VS×ケイパビリティ関係'!$E$4:$E$494,"支援")&gt;0,"○",""))</f>
        <v/>
      </c>
      <c r="Y7" s="98">
        <f>IF(COUNTIFS('VS×ケイパビリティ関係'!$F$4:$F$494,$B7,'VS×ケイパビリティ関係'!$G$4:$G$494,Y$5,'VS×ケイパビリティ関係'!$E$4:$E$494,"主")&gt;0,"●",IF(COUNTIFS('VS×ケイパビリティ関係'!$F$4:$F$494,$B7,'VS×ケイパビリティ関係'!$G$4:$G$494,Y$5,'VS×ケイパビリティ関係'!$E$4:$E$494,"支援")&gt;0,"○",""))</f>
        <v/>
      </c>
      <c r="Z7" s="98">
        <f>IF(COUNTIFS('VS×ケイパビリティ関係'!$F$4:$F$494,$B7,'VS×ケイパビリティ関係'!$G$4:$G$494,Z$5,'VS×ケイパビリティ関係'!$E$4:$E$494,"主")&gt;0,"●",IF(COUNTIFS('VS×ケイパビリティ関係'!$F$4:$F$494,$B7,'VS×ケイパビリティ関係'!$G$4:$G$494,Z$5,'VS×ケイパビリティ関係'!$E$4:$E$494,"支援")&gt;0,"○",""))</f>
        <v/>
      </c>
      <c r="AA7" s="98">
        <f>IF(COUNTIFS('VS×ケイパビリティ関係'!$F$4:$F$494,$B7,'VS×ケイパビリティ関係'!$G$4:$G$494,AA$5,'VS×ケイパビリティ関係'!$E$4:$E$494,"主")&gt;0,"●",IF(COUNTIFS('VS×ケイパビリティ関係'!$F$4:$F$494,$B7,'VS×ケイパビリティ関係'!$G$4:$G$494,AA$5,'VS×ケイパビリティ関係'!$E$4:$E$494,"支援")&gt;0,"○",""))</f>
        <v/>
      </c>
      <c r="AB7" s="98">
        <f>IF(COUNTIFS('VS×ケイパビリティ関係'!$F$4:$F$494,$B7,'VS×ケイパビリティ関係'!$G$4:$G$494,AB$5,'VS×ケイパビリティ関係'!$E$4:$E$494,"主")&gt;0,"●",IF(COUNTIFS('VS×ケイパビリティ関係'!$F$4:$F$494,$B7,'VS×ケイパビリティ関係'!$G$4:$G$494,AB$5,'VS×ケイパビリティ関係'!$E$4:$E$494,"支援")&gt;0,"○",""))</f>
        <v/>
      </c>
      <c r="AC7" s="98">
        <f>IF(COUNTIFS('VS×ケイパビリティ関係'!$F$4:$F$494,$B7,'VS×ケイパビリティ関係'!$G$4:$G$494,AC$5,'VS×ケイパビリティ関係'!$E$4:$E$494,"主")&gt;0,"●",IF(COUNTIFS('VS×ケイパビリティ関係'!$F$4:$F$494,$B7,'VS×ケイパビリティ関係'!$G$4:$G$494,AC$5,'VS×ケイパビリティ関係'!$E$4:$E$494,"支援")&gt;0,"○",""))</f>
        <v/>
      </c>
      <c r="AD7" s="98">
        <f>IF(COUNTIFS('VS×ケイパビリティ関係'!$F$4:$F$494,$B7,'VS×ケイパビリティ関係'!$G$4:$G$494,AD$5,'VS×ケイパビリティ関係'!$E$4:$E$494,"主")&gt;0,"●",IF(COUNTIFS('VS×ケイパビリティ関係'!$F$4:$F$494,$B7,'VS×ケイパビリティ関係'!$G$4:$G$494,AD$5,'VS×ケイパビリティ関係'!$E$4:$E$494,"支援")&gt;0,"○",""))</f>
        <v/>
      </c>
      <c r="AE7" s="98">
        <f>IF(COUNTIFS('VS×ケイパビリティ関係'!$F$4:$F$494,$B7,'VS×ケイパビリティ関係'!$G$4:$G$494,AE$5,'VS×ケイパビリティ関係'!$E$4:$E$494,"主")&gt;0,"●",IF(COUNTIFS('VS×ケイパビリティ関係'!$F$4:$F$494,$B7,'VS×ケイパビリティ関係'!$G$4:$G$494,AE$5,'VS×ケイパビリティ関係'!$E$4:$E$494,"支援")&gt;0,"○",""))</f>
        <v/>
      </c>
      <c r="AF7" s="98">
        <f>IF(COUNTIFS('VS×ケイパビリティ関係'!$F$4:$F$494,$B7,'VS×ケイパビリティ関係'!$G$4:$G$494,AF$5,'VS×ケイパビリティ関係'!$E$4:$E$494,"主")&gt;0,"●",IF(COUNTIFS('VS×ケイパビリティ関係'!$F$4:$F$494,$B7,'VS×ケイパビリティ関係'!$G$4:$G$494,AF$5,'VS×ケイパビリティ関係'!$E$4:$E$494,"支援")&gt;0,"○",""))</f>
        <v/>
      </c>
      <c r="AG7" s="98">
        <f>IF(COUNTIFS('VS×ケイパビリティ関係'!$F$4:$F$494,$B7,'VS×ケイパビリティ関係'!$G$4:$G$494,AG$5,'VS×ケイパビリティ関係'!$E$4:$E$494,"主")&gt;0,"●",IF(COUNTIFS('VS×ケイパビリティ関係'!$F$4:$F$494,$B7,'VS×ケイパビリティ関係'!$G$4:$G$494,AG$5,'VS×ケイパビリティ関係'!$E$4:$E$494,"支援")&gt;0,"○",""))</f>
        <v/>
      </c>
      <c r="AH7" s="98">
        <f>IF(COUNTIFS('VS×ケイパビリティ関係'!$F$4:$F$494,$B7,'VS×ケイパビリティ関係'!$G$4:$G$494,AH$5,'VS×ケイパビリティ関係'!$E$4:$E$494,"主")&gt;0,"●",IF(COUNTIFS('VS×ケイパビリティ関係'!$F$4:$F$494,$B7,'VS×ケイパビリティ関係'!$G$4:$G$494,AH$5,'VS×ケイパビリティ関係'!$E$4:$E$494,"支援")&gt;0,"○",""))</f>
        <v/>
      </c>
      <c r="AI7" s="98">
        <f>IF(COUNTIFS('VS×ケイパビリティ関係'!$F$4:$F$494,$B7,'VS×ケイパビリティ関係'!$G$4:$G$494,AI$5,'VS×ケイパビリティ関係'!$E$4:$E$494,"主")&gt;0,"●",IF(COUNTIFS('VS×ケイパビリティ関係'!$F$4:$F$494,$B7,'VS×ケイパビリティ関係'!$G$4:$G$494,AI$5,'VS×ケイパビリティ関係'!$E$4:$E$494,"支援")&gt;0,"○",""))</f>
        <v/>
      </c>
      <c r="AJ7" s="98">
        <f>IF(COUNTIFS('VS×ケイパビリティ関係'!$F$4:$F$494,$B7,'VS×ケイパビリティ関係'!$G$4:$G$494,AJ$5,'VS×ケイパビリティ関係'!$E$4:$E$494,"主")&gt;0,"●",IF(COUNTIFS('VS×ケイパビリティ関係'!$F$4:$F$494,$B7,'VS×ケイパビリティ関係'!$G$4:$G$494,AJ$5,'VS×ケイパビリティ関係'!$E$4:$E$494,"支援")&gt;0,"○",""))</f>
        <v/>
      </c>
      <c r="AK7" s="98">
        <f>IF(COUNTIFS('VS×ケイパビリティ関係'!$F$4:$F$494,$B7,'VS×ケイパビリティ関係'!$G$4:$G$494,AK$5,'VS×ケイパビリティ関係'!$E$4:$E$494,"主")&gt;0,"●",IF(COUNTIFS('VS×ケイパビリティ関係'!$F$4:$F$494,$B7,'VS×ケイパビリティ関係'!$G$4:$G$494,AK$5,'VS×ケイパビリティ関係'!$E$4:$E$494,"支援")&gt;0,"○",""))</f>
        <v/>
      </c>
      <c r="AL7" s="98">
        <f>IF(COUNTIFS('VS×ケイパビリティ関係'!$F$4:$F$494,$B7,'VS×ケイパビリティ関係'!$G$4:$G$494,AL$5,'VS×ケイパビリティ関係'!$E$4:$E$494,"主")&gt;0,"●",IF(COUNTIFS('VS×ケイパビリティ関係'!$F$4:$F$494,$B7,'VS×ケイパビリティ関係'!$G$4:$G$494,AL$5,'VS×ケイパビリティ関係'!$E$4:$E$494,"支援")&gt;0,"○",""))</f>
        <v/>
      </c>
      <c r="AM7" s="98">
        <f>IF(COUNTIFS('VS×ケイパビリティ関係'!$F$4:$F$494,$B7,'VS×ケイパビリティ関係'!$G$4:$G$494,AM$5,'VS×ケイパビリティ関係'!$E$4:$E$494,"主")&gt;0,"●",IF(COUNTIFS('VS×ケイパビリティ関係'!$F$4:$F$494,$B7,'VS×ケイパビリティ関係'!$G$4:$G$494,AM$5,'VS×ケイパビリティ関係'!$E$4:$E$494,"支援")&gt;0,"○",""))</f>
        <v/>
      </c>
      <c r="AN7" s="98">
        <f>IF(COUNTIFS('VS×ケイパビリティ関係'!$F$4:$F$494,$B7,'VS×ケイパビリティ関係'!$G$4:$G$494,AN$5,'VS×ケイパビリティ関係'!$E$4:$E$494,"主")&gt;0,"●",IF(COUNTIFS('VS×ケイパビリティ関係'!$F$4:$F$494,$B7,'VS×ケイパビリティ関係'!$G$4:$G$494,AN$5,'VS×ケイパビリティ関係'!$E$4:$E$494,"支援")&gt;0,"○",""))</f>
        <v/>
      </c>
      <c r="AO7" s="98">
        <f>IF(COUNTIFS('VS×ケイパビリティ関係'!$F$4:$F$494,$B7,'VS×ケイパビリティ関係'!$G$4:$G$494,AO$5,'VS×ケイパビリティ関係'!$E$4:$E$494,"主")&gt;0,"●",IF(COUNTIFS('VS×ケイパビリティ関係'!$F$4:$F$494,$B7,'VS×ケイパビリティ関係'!$G$4:$G$494,AO$5,'VS×ケイパビリティ関係'!$E$4:$E$494,"支援")&gt;0,"○",""))</f>
        <v/>
      </c>
      <c r="AP7" s="98">
        <f>IF(COUNTIFS('VS×ケイパビリティ関係'!$F$4:$F$494,$B7,'VS×ケイパビリティ関係'!$G$4:$G$494,AP$5,'VS×ケイパビリティ関係'!$E$4:$E$494,"主")&gt;0,"●",IF(COUNTIFS('VS×ケイパビリティ関係'!$F$4:$F$494,$B7,'VS×ケイパビリティ関係'!$G$4:$G$494,AP$5,'VS×ケイパビリティ関係'!$E$4:$E$494,"支援")&gt;0,"○",""))</f>
        <v/>
      </c>
      <c r="AQ7" s="98">
        <f>IF(COUNTIFS('VS×ケイパビリティ関係'!$F$4:$F$494,$B7,'VS×ケイパビリティ関係'!$G$4:$G$494,AQ$5,'VS×ケイパビリティ関係'!$E$4:$E$494,"主")&gt;0,"●",IF(COUNTIFS('VS×ケイパビリティ関係'!$F$4:$F$494,$B7,'VS×ケイパビリティ関係'!$G$4:$G$494,AQ$5,'VS×ケイパビリティ関係'!$E$4:$E$494,"支援")&gt;0,"○",""))</f>
        <v/>
      </c>
      <c r="AR7" s="98">
        <f>IF(COUNTIFS('VS×ケイパビリティ関係'!$F$4:$F$494,$B7,'VS×ケイパビリティ関係'!$G$4:$G$494,AR$5,'VS×ケイパビリティ関係'!$E$4:$E$494,"主")&gt;0,"●",IF(COUNTIFS('VS×ケイパビリティ関係'!$F$4:$F$494,$B7,'VS×ケイパビリティ関係'!$G$4:$G$494,AR$5,'VS×ケイパビリティ関係'!$E$4:$E$494,"支援")&gt;0,"○",""))</f>
        <v/>
      </c>
      <c r="AS7" s="98">
        <f>IF(COUNTIFS('VS×ケイパビリティ関係'!$F$4:$F$494,$B7,'VS×ケイパビリティ関係'!$G$4:$G$494,AS$5,'VS×ケイパビリティ関係'!$E$4:$E$494,"主")&gt;0,"●",IF(COUNTIFS('VS×ケイパビリティ関係'!$F$4:$F$494,$B7,'VS×ケイパビリティ関係'!$G$4:$G$494,AS$5,'VS×ケイパビリティ関係'!$E$4:$E$494,"支援")&gt;0,"○",""))</f>
        <v/>
      </c>
      <c r="AT7" s="98">
        <f>IF(COUNTIFS('VS×ケイパビリティ関係'!$F$4:$F$494,$B7,'VS×ケイパビリティ関係'!$G$4:$G$494,AT$5,'VS×ケイパビリティ関係'!$E$4:$E$494,"主")&gt;0,"●",IF(COUNTIFS('VS×ケイパビリティ関係'!$F$4:$F$494,$B7,'VS×ケイパビリティ関係'!$G$4:$G$494,AT$5,'VS×ケイパビリティ関係'!$E$4:$E$494,"支援")&gt;0,"○",""))</f>
        <v/>
      </c>
      <c r="AU7" s="98">
        <f>IF(COUNTIFS('VS×ケイパビリティ関係'!$F$4:$F$494,$B7,'VS×ケイパビリティ関係'!$G$4:$G$494,AU$5,'VS×ケイパビリティ関係'!$E$4:$E$494,"主")&gt;0,"●",IF(COUNTIFS('VS×ケイパビリティ関係'!$F$4:$F$494,$B7,'VS×ケイパビリティ関係'!$G$4:$G$494,AU$5,'VS×ケイパビリティ関係'!$E$4:$E$494,"支援")&gt;0,"○",""))</f>
        <v/>
      </c>
      <c r="AV7" s="98">
        <f>IF(COUNTIFS('VS×ケイパビリティ関係'!$F$4:$F$494,$B7,'VS×ケイパビリティ関係'!$G$4:$G$494,AV$5,'VS×ケイパビリティ関係'!$E$4:$E$494,"主")&gt;0,"●",IF(COUNTIFS('VS×ケイパビリティ関係'!$F$4:$F$494,$B7,'VS×ケイパビリティ関係'!$G$4:$G$494,AV$5,'VS×ケイパビリティ関係'!$E$4:$E$494,"支援")&gt;0,"○",""))</f>
        <v/>
      </c>
      <c r="AW7" s="98">
        <f>IF(COUNTIFS('VS×ケイパビリティ関係'!$F$4:$F$494,$B7,'VS×ケイパビリティ関係'!$G$4:$G$494,AW$5,'VS×ケイパビリティ関係'!$E$4:$E$494,"主")&gt;0,"●",IF(COUNTIFS('VS×ケイパビリティ関係'!$F$4:$F$494,$B7,'VS×ケイパビリティ関係'!$G$4:$G$494,AW$5,'VS×ケイパビリティ関係'!$E$4:$E$494,"支援")&gt;0,"○",""))</f>
        <v/>
      </c>
      <c r="AX7" s="98">
        <f>IF(COUNTIFS('VS×ケイパビリティ関係'!$F$4:$F$494,$B7,'VS×ケイパビリティ関係'!$G$4:$G$494,AX$5,'VS×ケイパビリティ関係'!$E$4:$E$494,"主")&gt;0,"●",IF(COUNTIFS('VS×ケイパビリティ関係'!$F$4:$F$494,$B7,'VS×ケイパビリティ関係'!$G$4:$G$494,AX$5,'VS×ケイパビリティ関係'!$E$4:$E$494,"支援")&gt;0,"○",""))</f>
        <v/>
      </c>
      <c r="AY7" s="98">
        <f>IF(COUNTIFS('VS×ケイパビリティ関係'!$F$4:$F$494,$B7,'VS×ケイパビリティ関係'!$G$4:$G$494,AY$5,'VS×ケイパビリティ関係'!$E$4:$E$494,"主")&gt;0,"●",IF(COUNTIFS('VS×ケイパビリティ関係'!$F$4:$F$494,$B7,'VS×ケイパビリティ関係'!$G$4:$G$494,AY$5,'VS×ケイパビリティ関係'!$E$4:$E$494,"支援")&gt;0,"○",""))</f>
        <v/>
      </c>
      <c r="AZ7" s="98">
        <f>IF(COUNTIFS('VS×ケイパビリティ関係'!$F$4:$F$494,$B7,'VS×ケイパビリティ関係'!$G$4:$G$494,AZ$5,'VS×ケイパビリティ関係'!$E$4:$E$494,"主")&gt;0,"●",IF(COUNTIFS('VS×ケイパビリティ関係'!$F$4:$F$494,$B7,'VS×ケイパビリティ関係'!$G$4:$G$494,AZ$5,'VS×ケイパビリティ関係'!$E$4:$E$494,"支援")&gt;0,"○",""))</f>
        <v/>
      </c>
      <c r="BA7" s="98">
        <f>IF(COUNTIFS('VS×ケイパビリティ関係'!$F$4:$F$494,$B7,'VS×ケイパビリティ関係'!$G$4:$G$494,BA$5,'VS×ケイパビリティ関係'!$E$4:$E$494,"主")&gt;0,"●",IF(COUNTIFS('VS×ケイパビリティ関係'!$F$4:$F$494,$B7,'VS×ケイパビリティ関係'!$G$4:$G$494,BA$5,'VS×ケイパビリティ関係'!$E$4:$E$494,"支援")&gt;0,"○",""))</f>
        <v/>
      </c>
      <c r="BB7" s="98">
        <f>IF(COUNTIFS('VS×ケイパビリティ関係'!$F$4:$F$494,$B7,'VS×ケイパビリティ関係'!$G$4:$G$494,BB$5,'VS×ケイパビリティ関係'!$E$4:$E$494,"主")&gt;0,"●",IF(COUNTIFS('VS×ケイパビリティ関係'!$F$4:$F$494,$B7,'VS×ケイパビリティ関係'!$G$4:$G$494,BB$5,'VS×ケイパビリティ関係'!$E$4:$E$494,"支援")&gt;0,"○",""))</f>
        <v/>
      </c>
      <c r="BC7" s="98">
        <f>IF(COUNTIFS('VS×ケイパビリティ関係'!$F$4:$F$494,$B7,'VS×ケイパビリティ関係'!$G$4:$G$494,BC$5,'VS×ケイパビリティ関係'!$E$4:$E$494,"主")&gt;0,"●",IF(COUNTIFS('VS×ケイパビリティ関係'!$F$4:$F$494,$B7,'VS×ケイパビリティ関係'!$G$4:$G$494,BC$5,'VS×ケイパビリティ関係'!$E$4:$E$494,"支援")&gt;0,"○",""))</f>
        <v/>
      </c>
      <c r="BD7" s="98">
        <f>IF(COUNTIFS('VS×ケイパビリティ関係'!$F$4:$F$494,$B7,'VS×ケイパビリティ関係'!$G$4:$G$494,BD$5,'VS×ケイパビリティ関係'!$E$4:$E$494,"主")&gt;0,"●",IF(COUNTIFS('VS×ケイパビリティ関係'!$F$4:$F$494,$B7,'VS×ケイパビリティ関係'!$G$4:$G$494,BD$5,'VS×ケイパビリティ関係'!$E$4:$E$494,"支援")&gt;0,"○",""))</f>
        <v/>
      </c>
      <c r="BE7" s="98">
        <f>COUNTIF(D7:BD7,"●")</f>
        <v/>
      </c>
      <c r="BF7" s="98">
        <f>COUNTIF(D7:BD7,"○")</f>
        <v/>
      </c>
    </row>
    <row r="8" ht="15" customHeight="1" s="80">
      <c r="A8" s="116" t="n"/>
      <c r="B8" s="98" t="inlineStr">
        <is>
          <t>01-02</t>
        </is>
      </c>
      <c r="C8" s="100" t="inlineStr">
        <is>
          <t>ヒット・リード創出</t>
        </is>
      </c>
      <c r="D8" s="98">
        <f>IF(COUNTIFS('VS×ケイパビリティ関係'!$F$4:$F$494,$B8,'VS×ケイパビリティ関係'!$G$4:$G$494,D$5,'VS×ケイパビリティ関係'!$E$4:$E$494,"主")&gt;0,"●",IF(COUNTIFS('VS×ケイパビリティ関係'!$F$4:$F$494,$B8,'VS×ケイパビリティ関係'!$G$4:$G$494,D$5,'VS×ケイパビリティ関係'!$E$4:$E$494,"支援")&gt;0,"○",""))</f>
        <v/>
      </c>
      <c r="E8" s="98">
        <f>IF(COUNTIFS('VS×ケイパビリティ関係'!$F$4:$F$494,$B8,'VS×ケイパビリティ関係'!$G$4:$G$494,E$5,'VS×ケイパビリティ関係'!$E$4:$E$494,"主")&gt;0,"●",IF(COUNTIFS('VS×ケイパビリティ関係'!$F$4:$F$494,$B8,'VS×ケイパビリティ関係'!$G$4:$G$494,E$5,'VS×ケイパビリティ関係'!$E$4:$E$494,"支援")&gt;0,"○",""))</f>
        <v/>
      </c>
      <c r="F8" s="98">
        <f>IF(COUNTIFS('VS×ケイパビリティ関係'!$F$4:$F$494,$B8,'VS×ケイパビリティ関係'!$G$4:$G$494,F$5,'VS×ケイパビリティ関係'!$E$4:$E$494,"主")&gt;0,"●",IF(COUNTIFS('VS×ケイパビリティ関係'!$F$4:$F$494,$B8,'VS×ケイパビリティ関係'!$G$4:$G$494,F$5,'VS×ケイパビリティ関係'!$E$4:$E$494,"支援")&gt;0,"○",""))</f>
        <v/>
      </c>
      <c r="G8" s="98">
        <f>IF(COUNTIFS('VS×ケイパビリティ関係'!$F$4:$F$494,$B8,'VS×ケイパビリティ関係'!$G$4:$G$494,G$5,'VS×ケイパビリティ関係'!$E$4:$E$494,"主")&gt;0,"●",IF(COUNTIFS('VS×ケイパビリティ関係'!$F$4:$F$494,$B8,'VS×ケイパビリティ関係'!$G$4:$G$494,G$5,'VS×ケイパビリティ関係'!$E$4:$E$494,"支援")&gt;0,"○",""))</f>
        <v/>
      </c>
      <c r="H8" s="98">
        <f>IF(COUNTIFS('VS×ケイパビリティ関係'!$F$4:$F$494,$B8,'VS×ケイパビリティ関係'!$G$4:$G$494,H$5,'VS×ケイパビリティ関係'!$E$4:$E$494,"主")&gt;0,"●",IF(COUNTIFS('VS×ケイパビリティ関係'!$F$4:$F$494,$B8,'VS×ケイパビリティ関係'!$G$4:$G$494,H$5,'VS×ケイパビリティ関係'!$E$4:$E$494,"支援")&gt;0,"○",""))</f>
        <v/>
      </c>
      <c r="I8" s="98">
        <f>IF(COUNTIFS('VS×ケイパビリティ関係'!$F$4:$F$494,$B8,'VS×ケイパビリティ関係'!$G$4:$G$494,I$5,'VS×ケイパビリティ関係'!$E$4:$E$494,"主")&gt;0,"●",IF(COUNTIFS('VS×ケイパビリティ関係'!$F$4:$F$494,$B8,'VS×ケイパビリティ関係'!$G$4:$G$494,I$5,'VS×ケイパビリティ関係'!$E$4:$E$494,"支援")&gt;0,"○",""))</f>
        <v/>
      </c>
      <c r="J8" s="98">
        <f>IF(COUNTIFS('VS×ケイパビリティ関係'!$F$4:$F$494,$B8,'VS×ケイパビリティ関係'!$G$4:$G$494,J$5,'VS×ケイパビリティ関係'!$E$4:$E$494,"主")&gt;0,"●",IF(COUNTIFS('VS×ケイパビリティ関係'!$F$4:$F$494,$B8,'VS×ケイパビリティ関係'!$G$4:$G$494,J$5,'VS×ケイパビリティ関係'!$E$4:$E$494,"支援")&gt;0,"○",""))</f>
        <v/>
      </c>
      <c r="K8" s="98">
        <f>IF(COUNTIFS('VS×ケイパビリティ関係'!$F$4:$F$494,$B8,'VS×ケイパビリティ関係'!$G$4:$G$494,K$5,'VS×ケイパビリティ関係'!$E$4:$E$494,"主")&gt;0,"●",IF(COUNTIFS('VS×ケイパビリティ関係'!$F$4:$F$494,$B8,'VS×ケイパビリティ関係'!$G$4:$G$494,K$5,'VS×ケイパビリティ関係'!$E$4:$E$494,"支援")&gt;0,"○",""))</f>
        <v/>
      </c>
      <c r="L8" s="98">
        <f>IF(COUNTIFS('VS×ケイパビリティ関係'!$F$4:$F$494,$B8,'VS×ケイパビリティ関係'!$G$4:$G$494,L$5,'VS×ケイパビリティ関係'!$E$4:$E$494,"主")&gt;0,"●",IF(COUNTIFS('VS×ケイパビリティ関係'!$F$4:$F$494,$B8,'VS×ケイパビリティ関係'!$G$4:$G$494,L$5,'VS×ケイパビリティ関係'!$E$4:$E$494,"支援")&gt;0,"○",""))</f>
        <v/>
      </c>
      <c r="M8" s="98">
        <f>IF(COUNTIFS('VS×ケイパビリティ関係'!$F$4:$F$494,$B8,'VS×ケイパビリティ関係'!$G$4:$G$494,M$5,'VS×ケイパビリティ関係'!$E$4:$E$494,"主")&gt;0,"●",IF(COUNTIFS('VS×ケイパビリティ関係'!$F$4:$F$494,$B8,'VS×ケイパビリティ関係'!$G$4:$G$494,M$5,'VS×ケイパビリティ関係'!$E$4:$E$494,"支援")&gt;0,"○",""))</f>
        <v/>
      </c>
      <c r="N8" s="98">
        <f>IF(COUNTIFS('VS×ケイパビリティ関係'!$F$4:$F$494,$B8,'VS×ケイパビリティ関係'!$G$4:$G$494,N$5,'VS×ケイパビリティ関係'!$E$4:$E$494,"主")&gt;0,"●",IF(COUNTIFS('VS×ケイパビリティ関係'!$F$4:$F$494,$B8,'VS×ケイパビリティ関係'!$G$4:$G$494,N$5,'VS×ケイパビリティ関係'!$E$4:$E$494,"支援")&gt;0,"○",""))</f>
        <v/>
      </c>
      <c r="O8" s="98">
        <f>IF(COUNTIFS('VS×ケイパビリティ関係'!$F$4:$F$494,$B8,'VS×ケイパビリティ関係'!$G$4:$G$494,O$5,'VS×ケイパビリティ関係'!$E$4:$E$494,"主")&gt;0,"●",IF(COUNTIFS('VS×ケイパビリティ関係'!$F$4:$F$494,$B8,'VS×ケイパビリティ関係'!$G$4:$G$494,O$5,'VS×ケイパビリティ関係'!$E$4:$E$494,"支援")&gt;0,"○",""))</f>
        <v/>
      </c>
      <c r="P8" s="98">
        <f>IF(COUNTIFS('VS×ケイパビリティ関係'!$F$4:$F$494,$B8,'VS×ケイパビリティ関係'!$G$4:$G$494,P$5,'VS×ケイパビリティ関係'!$E$4:$E$494,"主")&gt;0,"●",IF(COUNTIFS('VS×ケイパビリティ関係'!$F$4:$F$494,$B8,'VS×ケイパビリティ関係'!$G$4:$G$494,P$5,'VS×ケイパビリティ関係'!$E$4:$E$494,"支援")&gt;0,"○",""))</f>
        <v/>
      </c>
      <c r="Q8" s="98">
        <f>IF(COUNTIFS('VS×ケイパビリティ関係'!$F$4:$F$494,$B8,'VS×ケイパビリティ関係'!$G$4:$G$494,Q$5,'VS×ケイパビリティ関係'!$E$4:$E$494,"主")&gt;0,"●",IF(COUNTIFS('VS×ケイパビリティ関係'!$F$4:$F$494,$B8,'VS×ケイパビリティ関係'!$G$4:$G$494,Q$5,'VS×ケイパビリティ関係'!$E$4:$E$494,"支援")&gt;0,"○",""))</f>
        <v/>
      </c>
      <c r="R8" s="98">
        <f>IF(COUNTIFS('VS×ケイパビリティ関係'!$F$4:$F$494,$B8,'VS×ケイパビリティ関係'!$G$4:$G$494,R$5,'VS×ケイパビリティ関係'!$E$4:$E$494,"主")&gt;0,"●",IF(COUNTIFS('VS×ケイパビリティ関係'!$F$4:$F$494,$B8,'VS×ケイパビリティ関係'!$G$4:$G$494,R$5,'VS×ケイパビリティ関係'!$E$4:$E$494,"支援")&gt;0,"○",""))</f>
        <v/>
      </c>
      <c r="S8" s="98">
        <f>IF(COUNTIFS('VS×ケイパビリティ関係'!$F$4:$F$494,$B8,'VS×ケイパビリティ関係'!$G$4:$G$494,S$5,'VS×ケイパビリティ関係'!$E$4:$E$494,"主")&gt;0,"●",IF(COUNTIFS('VS×ケイパビリティ関係'!$F$4:$F$494,$B8,'VS×ケイパビリティ関係'!$G$4:$G$494,S$5,'VS×ケイパビリティ関係'!$E$4:$E$494,"支援")&gt;0,"○",""))</f>
        <v/>
      </c>
      <c r="T8" s="98">
        <f>IF(COUNTIFS('VS×ケイパビリティ関係'!$F$4:$F$494,$B8,'VS×ケイパビリティ関係'!$G$4:$G$494,T$5,'VS×ケイパビリティ関係'!$E$4:$E$494,"主")&gt;0,"●",IF(COUNTIFS('VS×ケイパビリティ関係'!$F$4:$F$494,$B8,'VS×ケイパビリティ関係'!$G$4:$G$494,T$5,'VS×ケイパビリティ関係'!$E$4:$E$494,"支援")&gt;0,"○",""))</f>
        <v/>
      </c>
      <c r="U8" s="98">
        <f>IF(COUNTIFS('VS×ケイパビリティ関係'!$F$4:$F$494,$B8,'VS×ケイパビリティ関係'!$G$4:$G$494,U$5,'VS×ケイパビリティ関係'!$E$4:$E$494,"主")&gt;0,"●",IF(COUNTIFS('VS×ケイパビリティ関係'!$F$4:$F$494,$B8,'VS×ケイパビリティ関係'!$G$4:$G$494,U$5,'VS×ケイパビリティ関係'!$E$4:$E$494,"支援")&gt;0,"○",""))</f>
        <v/>
      </c>
      <c r="V8" s="98">
        <f>IF(COUNTIFS('VS×ケイパビリティ関係'!$F$4:$F$494,$B8,'VS×ケイパビリティ関係'!$G$4:$G$494,V$5,'VS×ケイパビリティ関係'!$E$4:$E$494,"主")&gt;0,"●",IF(COUNTIFS('VS×ケイパビリティ関係'!$F$4:$F$494,$B8,'VS×ケイパビリティ関係'!$G$4:$G$494,V$5,'VS×ケイパビリティ関係'!$E$4:$E$494,"支援")&gt;0,"○",""))</f>
        <v/>
      </c>
      <c r="W8" s="98">
        <f>IF(COUNTIFS('VS×ケイパビリティ関係'!$F$4:$F$494,$B8,'VS×ケイパビリティ関係'!$G$4:$G$494,W$5,'VS×ケイパビリティ関係'!$E$4:$E$494,"主")&gt;0,"●",IF(COUNTIFS('VS×ケイパビリティ関係'!$F$4:$F$494,$B8,'VS×ケイパビリティ関係'!$G$4:$G$494,W$5,'VS×ケイパビリティ関係'!$E$4:$E$494,"支援")&gt;0,"○",""))</f>
        <v/>
      </c>
      <c r="X8" s="98">
        <f>IF(COUNTIFS('VS×ケイパビリティ関係'!$F$4:$F$494,$B8,'VS×ケイパビリティ関係'!$G$4:$G$494,X$5,'VS×ケイパビリティ関係'!$E$4:$E$494,"主")&gt;0,"●",IF(COUNTIFS('VS×ケイパビリティ関係'!$F$4:$F$494,$B8,'VS×ケイパビリティ関係'!$G$4:$G$494,X$5,'VS×ケイパビリティ関係'!$E$4:$E$494,"支援")&gt;0,"○",""))</f>
        <v/>
      </c>
      <c r="Y8" s="98">
        <f>IF(COUNTIFS('VS×ケイパビリティ関係'!$F$4:$F$494,$B8,'VS×ケイパビリティ関係'!$G$4:$G$494,Y$5,'VS×ケイパビリティ関係'!$E$4:$E$494,"主")&gt;0,"●",IF(COUNTIFS('VS×ケイパビリティ関係'!$F$4:$F$494,$B8,'VS×ケイパビリティ関係'!$G$4:$G$494,Y$5,'VS×ケイパビリティ関係'!$E$4:$E$494,"支援")&gt;0,"○",""))</f>
        <v/>
      </c>
      <c r="Z8" s="98">
        <f>IF(COUNTIFS('VS×ケイパビリティ関係'!$F$4:$F$494,$B8,'VS×ケイパビリティ関係'!$G$4:$G$494,Z$5,'VS×ケイパビリティ関係'!$E$4:$E$494,"主")&gt;0,"●",IF(COUNTIFS('VS×ケイパビリティ関係'!$F$4:$F$494,$B8,'VS×ケイパビリティ関係'!$G$4:$G$494,Z$5,'VS×ケイパビリティ関係'!$E$4:$E$494,"支援")&gt;0,"○",""))</f>
        <v/>
      </c>
      <c r="AA8" s="98">
        <f>IF(COUNTIFS('VS×ケイパビリティ関係'!$F$4:$F$494,$B8,'VS×ケイパビリティ関係'!$G$4:$G$494,AA$5,'VS×ケイパビリティ関係'!$E$4:$E$494,"主")&gt;0,"●",IF(COUNTIFS('VS×ケイパビリティ関係'!$F$4:$F$494,$B8,'VS×ケイパビリティ関係'!$G$4:$G$494,AA$5,'VS×ケイパビリティ関係'!$E$4:$E$494,"支援")&gt;0,"○",""))</f>
        <v/>
      </c>
      <c r="AB8" s="98">
        <f>IF(COUNTIFS('VS×ケイパビリティ関係'!$F$4:$F$494,$B8,'VS×ケイパビリティ関係'!$G$4:$G$494,AB$5,'VS×ケイパビリティ関係'!$E$4:$E$494,"主")&gt;0,"●",IF(COUNTIFS('VS×ケイパビリティ関係'!$F$4:$F$494,$B8,'VS×ケイパビリティ関係'!$G$4:$G$494,AB$5,'VS×ケイパビリティ関係'!$E$4:$E$494,"支援")&gt;0,"○",""))</f>
        <v/>
      </c>
      <c r="AC8" s="98">
        <f>IF(COUNTIFS('VS×ケイパビリティ関係'!$F$4:$F$494,$B8,'VS×ケイパビリティ関係'!$G$4:$G$494,AC$5,'VS×ケイパビリティ関係'!$E$4:$E$494,"主")&gt;0,"●",IF(COUNTIFS('VS×ケイパビリティ関係'!$F$4:$F$494,$B8,'VS×ケイパビリティ関係'!$G$4:$G$494,AC$5,'VS×ケイパビリティ関係'!$E$4:$E$494,"支援")&gt;0,"○",""))</f>
        <v/>
      </c>
      <c r="AD8" s="98">
        <f>IF(COUNTIFS('VS×ケイパビリティ関係'!$F$4:$F$494,$B8,'VS×ケイパビリティ関係'!$G$4:$G$494,AD$5,'VS×ケイパビリティ関係'!$E$4:$E$494,"主")&gt;0,"●",IF(COUNTIFS('VS×ケイパビリティ関係'!$F$4:$F$494,$B8,'VS×ケイパビリティ関係'!$G$4:$G$494,AD$5,'VS×ケイパビリティ関係'!$E$4:$E$494,"支援")&gt;0,"○",""))</f>
        <v/>
      </c>
      <c r="AE8" s="98">
        <f>IF(COUNTIFS('VS×ケイパビリティ関係'!$F$4:$F$494,$B8,'VS×ケイパビリティ関係'!$G$4:$G$494,AE$5,'VS×ケイパビリティ関係'!$E$4:$E$494,"主")&gt;0,"●",IF(COUNTIFS('VS×ケイパビリティ関係'!$F$4:$F$494,$B8,'VS×ケイパビリティ関係'!$G$4:$G$494,AE$5,'VS×ケイパビリティ関係'!$E$4:$E$494,"支援")&gt;0,"○",""))</f>
        <v/>
      </c>
      <c r="AF8" s="98">
        <f>IF(COUNTIFS('VS×ケイパビリティ関係'!$F$4:$F$494,$B8,'VS×ケイパビリティ関係'!$G$4:$G$494,AF$5,'VS×ケイパビリティ関係'!$E$4:$E$494,"主")&gt;0,"●",IF(COUNTIFS('VS×ケイパビリティ関係'!$F$4:$F$494,$B8,'VS×ケイパビリティ関係'!$G$4:$G$494,AF$5,'VS×ケイパビリティ関係'!$E$4:$E$494,"支援")&gt;0,"○",""))</f>
        <v/>
      </c>
      <c r="AG8" s="98">
        <f>IF(COUNTIFS('VS×ケイパビリティ関係'!$F$4:$F$494,$B8,'VS×ケイパビリティ関係'!$G$4:$G$494,AG$5,'VS×ケイパビリティ関係'!$E$4:$E$494,"主")&gt;0,"●",IF(COUNTIFS('VS×ケイパビリティ関係'!$F$4:$F$494,$B8,'VS×ケイパビリティ関係'!$G$4:$G$494,AG$5,'VS×ケイパビリティ関係'!$E$4:$E$494,"支援")&gt;0,"○",""))</f>
        <v/>
      </c>
      <c r="AH8" s="98">
        <f>IF(COUNTIFS('VS×ケイパビリティ関係'!$F$4:$F$494,$B8,'VS×ケイパビリティ関係'!$G$4:$G$494,AH$5,'VS×ケイパビリティ関係'!$E$4:$E$494,"主")&gt;0,"●",IF(COUNTIFS('VS×ケイパビリティ関係'!$F$4:$F$494,$B8,'VS×ケイパビリティ関係'!$G$4:$G$494,AH$5,'VS×ケイパビリティ関係'!$E$4:$E$494,"支援")&gt;0,"○",""))</f>
        <v/>
      </c>
      <c r="AI8" s="98">
        <f>IF(COUNTIFS('VS×ケイパビリティ関係'!$F$4:$F$494,$B8,'VS×ケイパビリティ関係'!$G$4:$G$494,AI$5,'VS×ケイパビリティ関係'!$E$4:$E$494,"主")&gt;0,"●",IF(COUNTIFS('VS×ケイパビリティ関係'!$F$4:$F$494,$B8,'VS×ケイパビリティ関係'!$G$4:$G$494,AI$5,'VS×ケイパビリティ関係'!$E$4:$E$494,"支援")&gt;0,"○",""))</f>
        <v/>
      </c>
      <c r="AJ8" s="98">
        <f>IF(COUNTIFS('VS×ケイパビリティ関係'!$F$4:$F$494,$B8,'VS×ケイパビリティ関係'!$G$4:$G$494,AJ$5,'VS×ケイパビリティ関係'!$E$4:$E$494,"主")&gt;0,"●",IF(COUNTIFS('VS×ケイパビリティ関係'!$F$4:$F$494,$B8,'VS×ケイパビリティ関係'!$G$4:$G$494,AJ$5,'VS×ケイパビリティ関係'!$E$4:$E$494,"支援")&gt;0,"○",""))</f>
        <v/>
      </c>
      <c r="AK8" s="98">
        <f>IF(COUNTIFS('VS×ケイパビリティ関係'!$F$4:$F$494,$B8,'VS×ケイパビリティ関係'!$G$4:$G$494,AK$5,'VS×ケイパビリティ関係'!$E$4:$E$494,"主")&gt;0,"●",IF(COUNTIFS('VS×ケイパビリティ関係'!$F$4:$F$494,$B8,'VS×ケイパビリティ関係'!$G$4:$G$494,AK$5,'VS×ケイパビリティ関係'!$E$4:$E$494,"支援")&gt;0,"○",""))</f>
        <v/>
      </c>
      <c r="AL8" s="98">
        <f>IF(COUNTIFS('VS×ケイパビリティ関係'!$F$4:$F$494,$B8,'VS×ケイパビリティ関係'!$G$4:$G$494,AL$5,'VS×ケイパビリティ関係'!$E$4:$E$494,"主")&gt;0,"●",IF(COUNTIFS('VS×ケイパビリティ関係'!$F$4:$F$494,$B8,'VS×ケイパビリティ関係'!$G$4:$G$494,AL$5,'VS×ケイパビリティ関係'!$E$4:$E$494,"支援")&gt;0,"○",""))</f>
        <v/>
      </c>
      <c r="AM8" s="98">
        <f>IF(COUNTIFS('VS×ケイパビリティ関係'!$F$4:$F$494,$B8,'VS×ケイパビリティ関係'!$G$4:$G$494,AM$5,'VS×ケイパビリティ関係'!$E$4:$E$494,"主")&gt;0,"●",IF(COUNTIFS('VS×ケイパビリティ関係'!$F$4:$F$494,$B8,'VS×ケイパビリティ関係'!$G$4:$G$494,AM$5,'VS×ケイパビリティ関係'!$E$4:$E$494,"支援")&gt;0,"○",""))</f>
        <v/>
      </c>
      <c r="AN8" s="98">
        <f>IF(COUNTIFS('VS×ケイパビリティ関係'!$F$4:$F$494,$B8,'VS×ケイパビリティ関係'!$G$4:$G$494,AN$5,'VS×ケイパビリティ関係'!$E$4:$E$494,"主")&gt;0,"●",IF(COUNTIFS('VS×ケイパビリティ関係'!$F$4:$F$494,$B8,'VS×ケイパビリティ関係'!$G$4:$G$494,AN$5,'VS×ケイパビリティ関係'!$E$4:$E$494,"支援")&gt;0,"○",""))</f>
        <v/>
      </c>
      <c r="AO8" s="98">
        <f>IF(COUNTIFS('VS×ケイパビリティ関係'!$F$4:$F$494,$B8,'VS×ケイパビリティ関係'!$G$4:$G$494,AO$5,'VS×ケイパビリティ関係'!$E$4:$E$494,"主")&gt;0,"●",IF(COUNTIFS('VS×ケイパビリティ関係'!$F$4:$F$494,$B8,'VS×ケイパビリティ関係'!$G$4:$G$494,AO$5,'VS×ケイパビリティ関係'!$E$4:$E$494,"支援")&gt;0,"○",""))</f>
        <v/>
      </c>
      <c r="AP8" s="98">
        <f>IF(COUNTIFS('VS×ケイパビリティ関係'!$F$4:$F$494,$B8,'VS×ケイパビリティ関係'!$G$4:$G$494,AP$5,'VS×ケイパビリティ関係'!$E$4:$E$494,"主")&gt;0,"●",IF(COUNTIFS('VS×ケイパビリティ関係'!$F$4:$F$494,$B8,'VS×ケイパビリティ関係'!$G$4:$G$494,AP$5,'VS×ケイパビリティ関係'!$E$4:$E$494,"支援")&gt;0,"○",""))</f>
        <v/>
      </c>
      <c r="AQ8" s="98">
        <f>IF(COUNTIFS('VS×ケイパビリティ関係'!$F$4:$F$494,$B8,'VS×ケイパビリティ関係'!$G$4:$G$494,AQ$5,'VS×ケイパビリティ関係'!$E$4:$E$494,"主")&gt;0,"●",IF(COUNTIFS('VS×ケイパビリティ関係'!$F$4:$F$494,$B8,'VS×ケイパビリティ関係'!$G$4:$G$494,AQ$5,'VS×ケイパビリティ関係'!$E$4:$E$494,"支援")&gt;0,"○",""))</f>
        <v/>
      </c>
      <c r="AR8" s="98">
        <f>IF(COUNTIFS('VS×ケイパビリティ関係'!$F$4:$F$494,$B8,'VS×ケイパビリティ関係'!$G$4:$G$494,AR$5,'VS×ケイパビリティ関係'!$E$4:$E$494,"主")&gt;0,"●",IF(COUNTIFS('VS×ケイパビリティ関係'!$F$4:$F$494,$B8,'VS×ケイパビリティ関係'!$G$4:$G$494,AR$5,'VS×ケイパビリティ関係'!$E$4:$E$494,"支援")&gt;0,"○",""))</f>
        <v/>
      </c>
      <c r="AS8" s="98">
        <f>IF(COUNTIFS('VS×ケイパビリティ関係'!$F$4:$F$494,$B8,'VS×ケイパビリティ関係'!$G$4:$G$494,AS$5,'VS×ケイパビリティ関係'!$E$4:$E$494,"主")&gt;0,"●",IF(COUNTIFS('VS×ケイパビリティ関係'!$F$4:$F$494,$B8,'VS×ケイパビリティ関係'!$G$4:$G$494,AS$5,'VS×ケイパビリティ関係'!$E$4:$E$494,"支援")&gt;0,"○",""))</f>
        <v/>
      </c>
      <c r="AT8" s="98">
        <f>IF(COUNTIFS('VS×ケイパビリティ関係'!$F$4:$F$494,$B8,'VS×ケイパビリティ関係'!$G$4:$G$494,AT$5,'VS×ケイパビリティ関係'!$E$4:$E$494,"主")&gt;0,"●",IF(COUNTIFS('VS×ケイパビリティ関係'!$F$4:$F$494,$B8,'VS×ケイパビリティ関係'!$G$4:$G$494,AT$5,'VS×ケイパビリティ関係'!$E$4:$E$494,"支援")&gt;0,"○",""))</f>
        <v/>
      </c>
      <c r="AU8" s="98">
        <f>IF(COUNTIFS('VS×ケイパビリティ関係'!$F$4:$F$494,$B8,'VS×ケイパビリティ関係'!$G$4:$G$494,AU$5,'VS×ケイパビリティ関係'!$E$4:$E$494,"主")&gt;0,"●",IF(COUNTIFS('VS×ケイパビリティ関係'!$F$4:$F$494,$B8,'VS×ケイパビリティ関係'!$G$4:$G$494,AU$5,'VS×ケイパビリティ関係'!$E$4:$E$494,"支援")&gt;0,"○",""))</f>
        <v/>
      </c>
      <c r="AV8" s="98">
        <f>IF(COUNTIFS('VS×ケイパビリティ関係'!$F$4:$F$494,$B8,'VS×ケイパビリティ関係'!$G$4:$G$494,AV$5,'VS×ケイパビリティ関係'!$E$4:$E$494,"主")&gt;0,"●",IF(COUNTIFS('VS×ケイパビリティ関係'!$F$4:$F$494,$B8,'VS×ケイパビリティ関係'!$G$4:$G$494,AV$5,'VS×ケイパビリティ関係'!$E$4:$E$494,"支援")&gt;0,"○",""))</f>
        <v/>
      </c>
      <c r="AW8" s="98">
        <f>IF(COUNTIFS('VS×ケイパビリティ関係'!$F$4:$F$494,$B8,'VS×ケイパビリティ関係'!$G$4:$G$494,AW$5,'VS×ケイパビリティ関係'!$E$4:$E$494,"主")&gt;0,"●",IF(COUNTIFS('VS×ケイパビリティ関係'!$F$4:$F$494,$B8,'VS×ケイパビリティ関係'!$G$4:$G$494,AW$5,'VS×ケイパビリティ関係'!$E$4:$E$494,"支援")&gt;0,"○",""))</f>
        <v/>
      </c>
      <c r="AX8" s="98">
        <f>IF(COUNTIFS('VS×ケイパビリティ関係'!$F$4:$F$494,$B8,'VS×ケイパビリティ関係'!$G$4:$G$494,AX$5,'VS×ケイパビリティ関係'!$E$4:$E$494,"主")&gt;0,"●",IF(COUNTIFS('VS×ケイパビリティ関係'!$F$4:$F$494,$B8,'VS×ケイパビリティ関係'!$G$4:$G$494,AX$5,'VS×ケイパビリティ関係'!$E$4:$E$494,"支援")&gt;0,"○",""))</f>
        <v/>
      </c>
      <c r="AY8" s="98">
        <f>IF(COUNTIFS('VS×ケイパビリティ関係'!$F$4:$F$494,$B8,'VS×ケイパビリティ関係'!$G$4:$G$494,AY$5,'VS×ケイパビリティ関係'!$E$4:$E$494,"主")&gt;0,"●",IF(COUNTIFS('VS×ケイパビリティ関係'!$F$4:$F$494,$B8,'VS×ケイパビリティ関係'!$G$4:$G$494,AY$5,'VS×ケイパビリティ関係'!$E$4:$E$494,"支援")&gt;0,"○",""))</f>
        <v/>
      </c>
      <c r="AZ8" s="98">
        <f>IF(COUNTIFS('VS×ケイパビリティ関係'!$F$4:$F$494,$B8,'VS×ケイパビリティ関係'!$G$4:$G$494,AZ$5,'VS×ケイパビリティ関係'!$E$4:$E$494,"主")&gt;0,"●",IF(COUNTIFS('VS×ケイパビリティ関係'!$F$4:$F$494,$B8,'VS×ケイパビリティ関係'!$G$4:$G$494,AZ$5,'VS×ケイパビリティ関係'!$E$4:$E$494,"支援")&gt;0,"○",""))</f>
        <v/>
      </c>
      <c r="BA8" s="98">
        <f>IF(COUNTIFS('VS×ケイパビリティ関係'!$F$4:$F$494,$B8,'VS×ケイパビリティ関係'!$G$4:$G$494,BA$5,'VS×ケイパビリティ関係'!$E$4:$E$494,"主")&gt;0,"●",IF(COUNTIFS('VS×ケイパビリティ関係'!$F$4:$F$494,$B8,'VS×ケイパビリティ関係'!$G$4:$G$494,BA$5,'VS×ケイパビリティ関係'!$E$4:$E$494,"支援")&gt;0,"○",""))</f>
        <v/>
      </c>
      <c r="BB8" s="98">
        <f>IF(COUNTIFS('VS×ケイパビリティ関係'!$F$4:$F$494,$B8,'VS×ケイパビリティ関係'!$G$4:$G$494,BB$5,'VS×ケイパビリティ関係'!$E$4:$E$494,"主")&gt;0,"●",IF(COUNTIFS('VS×ケイパビリティ関係'!$F$4:$F$494,$B8,'VS×ケイパビリティ関係'!$G$4:$G$494,BB$5,'VS×ケイパビリティ関係'!$E$4:$E$494,"支援")&gt;0,"○",""))</f>
        <v/>
      </c>
      <c r="BC8" s="98">
        <f>IF(COUNTIFS('VS×ケイパビリティ関係'!$F$4:$F$494,$B8,'VS×ケイパビリティ関係'!$G$4:$G$494,BC$5,'VS×ケイパビリティ関係'!$E$4:$E$494,"主")&gt;0,"●",IF(COUNTIFS('VS×ケイパビリティ関係'!$F$4:$F$494,$B8,'VS×ケイパビリティ関係'!$G$4:$G$494,BC$5,'VS×ケイパビリティ関係'!$E$4:$E$494,"支援")&gt;0,"○",""))</f>
        <v/>
      </c>
      <c r="BD8" s="98">
        <f>IF(COUNTIFS('VS×ケイパビリティ関係'!$F$4:$F$494,$B8,'VS×ケイパビリティ関係'!$G$4:$G$494,BD$5,'VS×ケイパビリティ関係'!$E$4:$E$494,"主")&gt;0,"●",IF(COUNTIFS('VS×ケイパビリティ関係'!$F$4:$F$494,$B8,'VS×ケイパビリティ関係'!$G$4:$G$494,BD$5,'VS×ケイパビリティ関係'!$E$4:$E$494,"支援")&gt;0,"○",""))</f>
        <v/>
      </c>
      <c r="BE8" s="98">
        <f>COUNTIF(D8:BD8,"●")</f>
        <v/>
      </c>
      <c r="BF8" s="98">
        <f>COUNTIF(D8:BD8,"○")</f>
        <v/>
      </c>
    </row>
    <row r="9" ht="15" customHeight="1" s="80">
      <c r="A9" s="116" t="n"/>
      <c r="B9" s="98" t="inlineStr">
        <is>
          <t>01-03</t>
        </is>
      </c>
      <c r="C9" s="100" t="inlineStr">
        <is>
          <t>リード最適化</t>
        </is>
      </c>
      <c r="D9" s="98">
        <f>IF(COUNTIFS('VS×ケイパビリティ関係'!$F$4:$F$494,$B9,'VS×ケイパビリティ関係'!$G$4:$G$494,D$5,'VS×ケイパビリティ関係'!$E$4:$E$494,"主")&gt;0,"●",IF(COUNTIFS('VS×ケイパビリティ関係'!$F$4:$F$494,$B9,'VS×ケイパビリティ関係'!$G$4:$G$494,D$5,'VS×ケイパビリティ関係'!$E$4:$E$494,"支援")&gt;0,"○",""))</f>
        <v/>
      </c>
      <c r="E9" s="98">
        <f>IF(COUNTIFS('VS×ケイパビリティ関係'!$F$4:$F$494,$B9,'VS×ケイパビリティ関係'!$G$4:$G$494,E$5,'VS×ケイパビリティ関係'!$E$4:$E$494,"主")&gt;0,"●",IF(COUNTIFS('VS×ケイパビリティ関係'!$F$4:$F$494,$B9,'VS×ケイパビリティ関係'!$G$4:$G$494,E$5,'VS×ケイパビリティ関係'!$E$4:$E$494,"支援")&gt;0,"○",""))</f>
        <v/>
      </c>
      <c r="F9" s="98">
        <f>IF(COUNTIFS('VS×ケイパビリティ関係'!$F$4:$F$494,$B9,'VS×ケイパビリティ関係'!$G$4:$G$494,F$5,'VS×ケイパビリティ関係'!$E$4:$E$494,"主")&gt;0,"●",IF(COUNTIFS('VS×ケイパビリティ関係'!$F$4:$F$494,$B9,'VS×ケイパビリティ関係'!$G$4:$G$494,F$5,'VS×ケイパビリティ関係'!$E$4:$E$494,"支援")&gt;0,"○",""))</f>
        <v/>
      </c>
      <c r="G9" s="98">
        <f>IF(COUNTIFS('VS×ケイパビリティ関係'!$F$4:$F$494,$B9,'VS×ケイパビリティ関係'!$G$4:$G$494,G$5,'VS×ケイパビリティ関係'!$E$4:$E$494,"主")&gt;0,"●",IF(COUNTIFS('VS×ケイパビリティ関係'!$F$4:$F$494,$B9,'VS×ケイパビリティ関係'!$G$4:$G$494,G$5,'VS×ケイパビリティ関係'!$E$4:$E$494,"支援")&gt;0,"○",""))</f>
        <v/>
      </c>
      <c r="H9" s="98">
        <f>IF(COUNTIFS('VS×ケイパビリティ関係'!$F$4:$F$494,$B9,'VS×ケイパビリティ関係'!$G$4:$G$494,H$5,'VS×ケイパビリティ関係'!$E$4:$E$494,"主")&gt;0,"●",IF(COUNTIFS('VS×ケイパビリティ関係'!$F$4:$F$494,$B9,'VS×ケイパビリティ関係'!$G$4:$G$494,H$5,'VS×ケイパビリティ関係'!$E$4:$E$494,"支援")&gt;0,"○",""))</f>
        <v/>
      </c>
      <c r="I9" s="98">
        <f>IF(COUNTIFS('VS×ケイパビリティ関係'!$F$4:$F$494,$B9,'VS×ケイパビリティ関係'!$G$4:$G$494,I$5,'VS×ケイパビリティ関係'!$E$4:$E$494,"主")&gt;0,"●",IF(COUNTIFS('VS×ケイパビリティ関係'!$F$4:$F$494,$B9,'VS×ケイパビリティ関係'!$G$4:$G$494,I$5,'VS×ケイパビリティ関係'!$E$4:$E$494,"支援")&gt;0,"○",""))</f>
        <v/>
      </c>
      <c r="J9" s="98">
        <f>IF(COUNTIFS('VS×ケイパビリティ関係'!$F$4:$F$494,$B9,'VS×ケイパビリティ関係'!$G$4:$G$494,J$5,'VS×ケイパビリティ関係'!$E$4:$E$494,"主")&gt;0,"●",IF(COUNTIFS('VS×ケイパビリティ関係'!$F$4:$F$494,$B9,'VS×ケイパビリティ関係'!$G$4:$G$494,J$5,'VS×ケイパビリティ関係'!$E$4:$E$494,"支援")&gt;0,"○",""))</f>
        <v/>
      </c>
      <c r="K9" s="98">
        <f>IF(COUNTIFS('VS×ケイパビリティ関係'!$F$4:$F$494,$B9,'VS×ケイパビリティ関係'!$G$4:$G$494,K$5,'VS×ケイパビリティ関係'!$E$4:$E$494,"主")&gt;0,"●",IF(COUNTIFS('VS×ケイパビリティ関係'!$F$4:$F$494,$B9,'VS×ケイパビリティ関係'!$G$4:$G$494,K$5,'VS×ケイパビリティ関係'!$E$4:$E$494,"支援")&gt;0,"○",""))</f>
        <v/>
      </c>
      <c r="L9" s="98">
        <f>IF(COUNTIFS('VS×ケイパビリティ関係'!$F$4:$F$494,$B9,'VS×ケイパビリティ関係'!$G$4:$G$494,L$5,'VS×ケイパビリティ関係'!$E$4:$E$494,"主")&gt;0,"●",IF(COUNTIFS('VS×ケイパビリティ関係'!$F$4:$F$494,$B9,'VS×ケイパビリティ関係'!$G$4:$G$494,L$5,'VS×ケイパビリティ関係'!$E$4:$E$494,"支援")&gt;0,"○",""))</f>
        <v/>
      </c>
      <c r="M9" s="98">
        <f>IF(COUNTIFS('VS×ケイパビリティ関係'!$F$4:$F$494,$B9,'VS×ケイパビリティ関係'!$G$4:$G$494,M$5,'VS×ケイパビリティ関係'!$E$4:$E$494,"主")&gt;0,"●",IF(COUNTIFS('VS×ケイパビリティ関係'!$F$4:$F$494,$B9,'VS×ケイパビリティ関係'!$G$4:$G$494,M$5,'VS×ケイパビリティ関係'!$E$4:$E$494,"支援")&gt;0,"○",""))</f>
        <v/>
      </c>
      <c r="N9" s="98">
        <f>IF(COUNTIFS('VS×ケイパビリティ関係'!$F$4:$F$494,$B9,'VS×ケイパビリティ関係'!$G$4:$G$494,N$5,'VS×ケイパビリティ関係'!$E$4:$E$494,"主")&gt;0,"●",IF(COUNTIFS('VS×ケイパビリティ関係'!$F$4:$F$494,$B9,'VS×ケイパビリティ関係'!$G$4:$G$494,N$5,'VS×ケイパビリティ関係'!$E$4:$E$494,"支援")&gt;0,"○",""))</f>
        <v/>
      </c>
      <c r="O9" s="98">
        <f>IF(COUNTIFS('VS×ケイパビリティ関係'!$F$4:$F$494,$B9,'VS×ケイパビリティ関係'!$G$4:$G$494,O$5,'VS×ケイパビリティ関係'!$E$4:$E$494,"主")&gt;0,"●",IF(COUNTIFS('VS×ケイパビリティ関係'!$F$4:$F$494,$B9,'VS×ケイパビリティ関係'!$G$4:$G$494,O$5,'VS×ケイパビリティ関係'!$E$4:$E$494,"支援")&gt;0,"○",""))</f>
        <v/>
      </c>
      <c r="P9" s="98">
        <f>IF(COUNTIFS('VS×ケイパビリティ関係'!$F$4:$F$494,$B9,'VS×ケイパビリティ関係'!$G$4:$G$494,P$5,'VS×ケイパビリティ関係'!$E$4:$E$494,"主")&gt;0,"●",IF(COUNTIFS('VS×ケイパビリティ関係'!$F$4:$F$494,$B9,'VS×ケイパビリティ関係'!$G$4:$G$494,P$5,'VS×ケイパビリティ関係'!$E$4:$E$494,"支援")&gt;0,"○",""))</f>
        <v/>
      </c>
      <c r="Q9" s="98">
        <f>IF(COUNTIFS('VS×ケイパビリティ関係'!$F$4:$F$494,$B9,'VS×ケイパビリティ関係'!$G$4:$G$494,Q$5,'VS×ケイパビリティ関係'!$E$4:$E$494,"主")&gt;0,"●",IF(COUNTIFS('VS×ケイパビリティ関係'!$F$4:$F$494,$B9,'VS×ケイパビリティ関係'!$G$4:$G$494,Q$5,'VS×ケイパビリティ関係'!$E$4:$E$494,"支援")&gt;0,"○",""))</f>
        <v/>
      </c>
      <c r="R9" s="98">
        <f>IF(COUNTIFS('VS×ケイパビリティ関係'!$F$4:$F$494,$B9,'VS×ケイパビリティ関係'!$G$4:$G$494,R$5,'VS×ケイパビリティ関係'!$E$4:$E$494,"主")&gt;0,"●",IF(COUNTIFS('VS×ケイパビリティ関係'!$F$4:$F$494,$B9,'VS×ケイパビリティ関係'!$G$4:$G$494,R$5,'VS×ケイパビリティ関係'!$E$4:$E$494,"支援")&gt;0,"○",""))</f>
        <v/>
      </c>
      <c r="S9" s="98">
        <f>IF(COUNTIFS('VS×ケイパビリティ関係'!$F$4:$F$494,$B9,'VS×ケイパビリティ関係'!$G$4:$G$494,S$5,'VS×ケイパビリティ関係'!$E$4:$E$494,"主")&gt;0,"●",IF(COUNTIFS('VS×ケイパビリティ関係'!$F$4:$F$494,$B9,'VS×ケイパビリティ関係'!$G$4:$G$494,S$5,'VS×ケイパビリティ関係'!$E$4:$E$494,"支援")&gt;0,"○",""))</f>
        <v/>
      </c>
      <c r="T9" s="98">
        <f>IF(COUNTIFS('VS×ケイパビリティ関係'!$F$4:$F$494,$B9,'VS×ケイパビリティ関係'!$G$4:$G$494,T$5,'VS×ケイパビリティ関係'!$E$4:$E$494,"主")&gt;0,"●",IF(COUNTIFS('VS×ケイパビリティ関係'!$F$4:$F$494,$B9,'VS×ケイパビリティ関係'!$G$4:$G$494,T$5,'VS×ケイパビリティ関係'!$E$4:$E$494,"支援")&gt;0,"○",""))</f>
        <v/>
      </c>
      <c r="U9" s="98">
        <f>IF(COUNTIFS('VS×ケイパビリティ関係'!$F$4:$F$494,$B9,'VS×ケイパビリティ関係'!$G$4:$G$494,U$5,'VS×ケイパビリティ関係'!$E$4:$E$494,"主")&gt;0,"●",IF(COUNTIFS('VS×ケイパビリティ関係'!$F$4:$F$494,$B9,'VS×ケイパビリティ関係'!$G$4:$G$494,U$5,'VS×ケイパビリティ関係'!$E$4:$E$494,"支援")&gt;0,"○",""))</f>
        <v/>
      </c>
      <c r="V9" s="98">
        <f>IF(COUNTIFS('VS×ケイパビリティ関係'!$F$4:$F$494,$B9,'VS×ケイパビリティ関係'!$G$4:$G$494,V$5,'VS×ケイパビリティ関係'!$E$4:$E$494,"主")&gt;0,"●",IF(COUNTIFS('VS×ケイパビリティ関係'!$F$4:$F$494,$B9,'VS×ケイパビリティ関係'!$G$4:$G$494,V$5,'VS×ケイパビリティ関係'!$E$4:$E$494,"支援")&gt;0,"○",""))</f>
        <v/>
      </c>
      <c r="W9" s="98">
        <f>IF(COUNTIFS('VS×ケイパビリティ関係'!$F$4:$F$494,$B9,'VS×ケイパビリティ関係'!$G$4:$G$494,W$5,'VS×ケイパビリティ関係'!$E$4:$E$494,"主")&gt;0,"●",IF(COUNTIFS('VS×ケイパビリティ関係'!$F$4:$F$494,$B9,'VS×ケイパビリティ関係'!$G$4:$G$494,W$5,'VS×ケイパビリティ関係'!$E$4:$E$494,"支援")&gt;0,"○",""))</f>
        <v/>
      </c>
      <c r="X9" s="98">
        <f>IF(COUNTIFS('VS×ケイパビリティ関係'!$F$4:$F$494,$B9,'VS×ケイパビリティ関係'!$G$4:$G$494,X$5,'VS×ケイパビリティ関係'!$E$4:$E$494,"主")&gt;0,"●",IF(COUNTIFS('VS×ケイパビリティ関係'!$F$4:$F$494,$B9,'VS×ケイパビリティ関係'!$G$4:$G$494,X$5,'VS×ケイパビリティ関係'!$E$4:$E$494,"支援")&gt;0,"○",""))</f>
        <v/>
      </c>
      <c r="Y9" s="98">
        <f>IF(COUNTIFS('VS×ケイパビリティ関係'!$F$4:$F$494,$B9,'VS×ケイパビリティ関係'!$G$4:$G$494,Y$5,'VS×ケイパビリティ関係'!$E$4:$E$494,"主")&gt;0,"●",IF(COUNTIFS('VS×ケイパビリティ関係'!$F$4:$F$494,$B9,'VS×ケイパビリティ関係'!$G$4:$G$494,Y$5,'VS×ケイパビリティ関係'!$E$4:$E$494,"支援")&gt;0,"○",""))</f>
        <v/>
      </c>
      <c r="Z9" s="98">
        <f>IF(COUNTIFS('VS×ケイパビリティ関係'!$F$4:$F$494,$B9,'VS×ケイパビリティ関係'!$G$4:$G$494,Z$5,'VS×ケイパビリティ関係'!$E$4:$E$494,"主")&gt;0,"●",IF(COUNTIFS('VS×ケイパビリティ関係'!$F$4:$F$494,$B9,'VS×ケイパビリティ関係'!$G$4:$G$494,Z$5,'VS×ケイパビリティ関係'!$E$4:$E$494,"支援")&gt;0,"○",""))</f>
        <v/>
      </c>
      <c r="AA9" s="98">
        <f>IF(COUNTIFS('VS×ケイパビリティ関係'!$F$4:$F$494,$B9,'VS×ケイパビリティ関係'!$G$4:$G$494,AA$5,'VS×ケイパビリティ関係'!$E$4:$E$494,"主")&gt;0,"●",IF(COUNTIFS('VS×ケイパビリティ関係'!$F$4:$F$494,$B9,'VS×ケイパビリティ関係'!$G$4:$G$494,AA$5,'VS×ケイパビリティ関係'!$E$4:$E$494,"支援")&gt;0,"○",""))</f>
        <v/>
      </c>
      <c r="AB9" s="98">
        <f>IF(COUNTIFS('VS×ケイパビリティ関係'!$F$4:$F$494,$B9,'VS×ケイパビリティ関係'!$G$4:$G$494,AB$5,'VS×ケイパビリティ関係'!$E$4:$E$494,"主")&gt;0,"●",IF(COUNTIFS('VS×ケイパビリティ関係'!$F$4:$F$494,$B9,'VS×ケイパビリティ関係'!$G$4:$G$494,AB$5,'VS×ケイパビリティ関係'!$E$4:$E$494,"支援")&gt;0,"○",""))</f>
        <v/>
      </c>
      <c r="AC9" s="98">
        <f>IF(COUNTIFS('VS×ケイパビリティ関係'!$F$4:$F$494,$B9,'VS×ケイパビリティ関係'!$G$4:$G$494,AC$5,'VS×ケイパビリティ関係'!$E$4:$E$494,"主")&gt;0,"●",IF(COUNTIFS('VS×ケイパビリティ関係'!$F$4:$F$494,$B9,'VS×ケイパビリティ関係'!$G$4:$G$494,AC$5,'VS×ケイパビリティ関係'!$E$4:$E$494,"支援")&gt;0,"○",""))</f>
        <v/>
      </c>
      <c r="AD9" s="98">
        <f>IF(COUNTIFS('VS×ケイパビリティ関係'!$F$4:$F$494,$B9,'VS×ケイパビリティ関係'!$G$4:$G$494,AD$5,'VS×ケイパビリティ関係'!$E$4:$E$494,"主")&gt;0,"●",IF(COUNTIFS('VS×ケイパビリティ関係'!$F$4:$F$494,$B9,'VS×ケイパビリティ関係'!$G$4:$G$494,AD$5,'VS×ケイパビリティ関係'!$E$4:$E$494,"支援")&gt;0,"○",""))</f>
        <v/>
      </c>
      <c r="AE9" s="98">
        <f>IF(COUNTIFS('VS×ケイパビリティ関係'!$F$4:$F$494,$B9,'VS×ケイパビリティ関係'!$G$4:$G$494,AE$5,'VS×ケイパビリティ関係'!$E$4:$E$494,"主")&gt;0,"●",IF(COUNTIFS('VS×ケイパビリティ関係'!$F$4:$F$494,$B9,'VS×ケイパビリティ関係'!$G$4:$G$494,AE$5,'VS×ケイパビリティ関係'!$E$4:$E$494,"支援")&gt;0,"○",""))</f>
        <v/>
      </c>
      <c r="AF9" s="98">
        <f>IF(COUNTIFS('VS×ケイパビリティ関係'!$F$4:$F$494,$B9,'VS×ケイパビリティ関係'!$G$4:$G$494,AF$5,'VS×ケイパビリティ関係'!$E$4:$E$494,"主")&gt;0,"●",IF(COUNTIFS('VS×ケイパビリティ関係'!$F$4:$F$494,$B9,'VS×ケイパビリティ関係'!$G$4:$G$494,AF$5,'VS×ケイパビリティ関係'!$E$4:$E$494,"支援")&gt;0,"○",""))</f>
        <v/>
      </c>
      <c r="AG9" s="98">
        <f>IF(COUNTIFS('VS×ケイパビリティ関係'!$F$4:$F$494,$B9,'VS×ケイパビリティ関係'!$G$4:$G$494,AG$5,'VS×ケイパビリティ関係'!$E$4:$E$494,"主")&gt;0,"●",IF(COUNTIFS('VS×ケイパビリティ関係'!$F$4:$F$494,$B9,'VS×ケイパビリティ関係'!$G$4:$G$494,AG$5,'VS×ケイパビリティ関係'!$E$4:$E$494,"支援")&gt;0,"○",""))</f>
        <v/>
      </c>
      <c r="AH9" s="98">
        <f>IF(COUNTIFS('VS×ケイパビリティ関係'!$F$4:$F$494,$B9,'VS×ケイパビリティ関係'!$G$4:$G$494,AH$5,'VS×ケイパビリティ関係'!$E$4:$E$494,"主")&gt;0,"●",IF(COUNTIFS('VS×ケイパビリティ関係'!$F$4:$F$494,$B9,'VS×ケイパビリティ関係'!$G$4:$G$494,AH$5,'VS×ケイパビリティ関係'!$E$4:$E$494,"支援")&gt;0,"○",""))</f>
        <v/>
      </c>
      <c r="AI9" s="98">
        <f>IF(COUNTIFS('VS×ケイパビリティ関係'!$F$4:$F$494,$B9,'VS×ケイパビリティ関係'!$G$4:$G$494,AI$5,'VS×ケイパビリティ関係'!$E$4:$E$494,"主")&gt;0,"●",IF(COUNTIFS('VS×ケイパビリティ関係'!$F$4:$F$494,$B9,'VS×ケイパビリティ関係'!$G$4:$G$494,AI$5,'VS×ケイパビリティ関係'!$E$4:$E$494,"支援")&gt;0,"○",""))</f>
        <v/>
      </c>
      <c r="AJ9" s="98">
        <f>IF(COUNTIFS('VS×ケイパビリティ関係'!$F$4:$F$494,$B9,'VS×ケイパビリティ関係'!$G$4:$G$494,AJ$5,'VS×ケイパビリティ関係'!$E$4:$E$494,"主")&gt;0,"●",IF(COUNTIFS('VS×ケイパビリティ関係'!$F$4:$F$494,$B9,'VS×ケイパビリティ関係'!$G$4:$G$494,AJ$5,'VS×ケイパビリティ関係'!$E$4:$E$494,"支援")&gt;0,"○",""))</f>
        <v/>
      </c>
      <c r="AK9" s="98">
        <f>IF(COUNTIFS('VS×ケイパビリティ関係'!$F$4:$F$494,$B9,'VS×ケイパビリティ関係'!$G$4:$G$494,AK$5,'VS×ケイパビリティ関係'!$E$4:$E$494,"主")&gt;0,"●",IF(COUNTIFS('VS×ケイパビリティ関係'!$F$4:$F$494,$B9,'VS×ケイパビリティ関係'!$G$4:$G$494,AK$5,'VS×ケイパビリティ関係'!$E$4:$E$494,"支援")&gt;0,"○",""))</f>
        <v/>
      </c>
      <c r="AL9" s="98">
        <f>IF(COUNTIFS('VS×ケイパビリティ関係'!$F$4:$F$494,$B9,'VS×ケイパビリティ関係'!$G$4:$G$494,AL$5,'VS×ケイパビリティ関係'!$E$4:$E$494,"主")&gt;0,"●",IF(COUNTIFS('VS×ケイパビリティ関係'!$F$4:$F$494,$B9,'VS×ケイパビリティ関係'!$G$4:$G$494,AL$5,'VS×ケイパビリティ関係'!$E$4:$E$494,"支援")&gt;0,"○",""))</f>
        <v/>
      </c>
      <c r="AM9" s="98">
        <f>IF(COUNTIFS('VS×ケイパビリティ関係'!$F$4:$F$494,$B9,'VS×ケイパビリティ関係'!$G$4:$G$494,AM$5,'VS×ケイパビリティ関係'!$E$4:$E$494,"主")&gt;0,"●",IF(COUNTIFS('VS×ケイパビリティ関係'!$F$4:$F$494,$B9,'VS×ケイパビリティ関係'!$G$4:$G$494,AM$5,'VS×ケイパビリティ関係'!$E$4:$E$494,"支援")&gt;0,"○",""))</f>
        <v/>
      </c>
      <c r="AN9" s="98">
        <f>IF(COUNTIFS('VS×ケイパビリティ関係'!$F$4:$F$494,$B9,'VS×ケイパビリティ関係'!$G$4:$G$494,AN$5,'VS×ケイパビリティ関係'!$E$4:$E$494,"主")&gt;0,"●",IF(COUNTIFS('VS×ケイパビリティ関係'!$F$4:$F$494,$B9,'VS×ケイパビリティ関係'!$G$4:$G$494,AN$5,'VS×ケイパビリティ関係'!$E$4:$E$494,"支援")&gt;0,"○",""))</f>
        <v/>
      </c>
      <c r="AO9" s="98">
        <f>IF(COUNTIFS('VS×ケイパビリティ関係'!$F$4:$F$494,$B9,'VS×ケイパビリティ関係'!$G$4:$G$494,AO$5,'VS×ケイパビリティ関係'!$E$4:$E$494,"主")&gt;0,"●",IF(COUNTIFS('VS×ケイパビリティ関係'!$F$4:$F$494,$B9,'VS×ケイパビリティ関係'!$G$4:$G$494,AO$5,'VS×ケイパビリティ関係'!$E$4:$E$494,"支援")&gt;0,"○",""))</f>
        <v/>
      </c>
      <c r="AP9" s="98">
        <f>IF(COUNTIFS('VS×ケイパビリティ関係'!$F$4:$F$494,$B9,'VS×ケイパビリティ関係'!$G$4:$G$494,AP$5,'VS×ケイパビリティ関係'!$E$4:$E$494,"主")&gt;0,"●",IF(COUNTIFS('VS×ケイパビリティ関係'!$F$4:$F$494,$B9,'VS×ケイパビリティ関係'!$G$4:$G$494,AP$5,'VS×ケイパビリティ関係'!$E$4:$E$494,"支援")&gt;0,"○",""))</f>
        <v/>
      </c>
      <c r="AQ9" s="98">
        <f>IF(COUNTIFS('VS×ケイパビリティ関係'!$F$4:$F$494,$B9,'VS×ケイパビリティ関係'!$G$4:$G$494,AQ$5,'VS×ケイパビリティ関係'!$E$4:$E$494,"主")&gt;0,"●",IF(COUNTIFS('VS×ケイパビリティ関係'!$F$4:$F$494,$B9,'VS×ケイパビリティ関係'!$G$4:$G$494,AQ$5,'VS×ケイパビリティ関係'!$E$4:$E$494,"支援")&gt;0,"○",""))</f>
        <v/>
      </c>
      <c r="AR9" s="98">
        <f>IF(COUNTIFS('VS×ケイパビリティ関係'!$F$4:$F$494,$B9,'VS×ケイパビリティ関係'!$G$4:$G$494,AR$5,'VS×ケイパビリティ関係'!$E$4:$E$494,"主")&gt;0,"●",IF(COUNTIFS('VS×ケイパビリティ関係'!$F$4:$F$494,$B9,'VS×ケイパビリティ関係'!$G$4:$G$494,AR$5,'VS×ケイパビリティ関係'!$E$4:$E$494,"支援")&gt;0,"○",""))</f>
        <v/>
      </c>
      <c r="AS9" s="98">
        <f>IF(COUNTIFS('VS×ケイパビリティ関係'!$F$4:$F$494,$B9,'VS×ケイパビリティ関係'!$G$4:$G$494,AS$5,'VS×ケイパビリティ関係'!$E$4:$E$494,"主")&gt;0,"●",IF(COUNTIFS('VS×ケイパビリティ関係'!$F$4:$F$494,$B9,'VS×ケイパビリティ関係'!$G$4:$G$494,AS$5,'VS×ケイパビリティ関係'!$E$4:$E$494,"支援")&gt;0,"○",""))</f>
        <v/>
      </c>
      <c r="AT9" s="98">
        <f>IF(COUNTIFS('VS×ケイパビリティ関係'!$F$4:$F$494,$B9,'VS×ケイパビリティ関係'!$G$4:$G$494,AT$5,'VS×ケイパビリティ関係'!$E$4:$E$494,"主")&gt;0,"●",IF(COUNTIFS('VS×ケイパビリティ関係'!$F$4:$F$494,$B9,'VS×ケイパビリティ関係'!$G$4:$G$494,AT$5,'VS×ケイパビリティ関係'!$E$4:$E$494,"支援")&gt;0,"○",""))</f>
        <v/>
      </c>
      <c r="AU9" s="98">
        <f>IF(COUNTIFS('VS×ケイパビリティ関係'!$F$4:$F$494,$B9,'VS×ケイパビリティ関係'!$G$4:$G$494,AU$5,'VS×ケイパビリティ関係'!$E$4:$E$494,"主")&gt;0,"●",IF(COUNTIFS('VS×ケイパビリティ関係'!$F$4:$F$494,$B9,'VS×ケイパビリティ関係'!$G$4:$G$494,AU$5,'VS×ケイパビリティ関係'!$E$4:$E$494,"支援")&gt;0,"○",""))</f>
        <v/>
      </c>
      <c r="AV9" s="98">
        <f>IF(COUNTIFS('VS×ケイパビリティ関係'!$F$4:$F$494,$B9,'VS×ケイパビリティ関係'!$G$4:$G$494,AV$5,'VS×ケイパビリティ関係'!$E$4:$E$494,"主")&gt;0,"●",IF(COUNTIFS('VS×ケイパビリティ関係'!$F$4:$F$494,$B9,'VS×ケイパビリティ関係'!$G$4:$G$494,AV$5,'VS×ケイパビリティ関係'!$E$4:$E$494,"支援")&gt;0,"○",""))</f>
        <v/>
      </c>
      <c r="AW9" s="98">
        <f>IF(COUNTIFS('VS×ケイパビリティ関係'!$F$4:$F$494,$B9,'VS×ケイパビリティ関係'!$G$4:$G$494,AW$5,'VS×ケイパビリティ関係'!$E$4:$E$494,"主")&gt;0,"●",IF(COUNTIFS('VS×ケイパビリティ関係'!$F$4:$F$494,$B9,'VS×ケイパビリティ関係'!$G$4:$G$494,AW$5,'VS×ケイパビリティ関係'!$E$4:$E$494,"支援")&gt;0,"○",""))</f>
        <v/>
      </c>
      <c r="AX9" s="98">
        <f>IF(COUNTIFS('VS×ケイパビリティ関係'!$F$4:$F$494,$B9,'VS×ケイパビリティ関係'!$G$4:$G$494,AX$5,'VS×ケイパビリティ関係'!$E$4:$E$494,"主")&gt;0,"●",IF(COUNTIFS('VS×ケイパビリティ関係'!$F$4:$F$494,$B9,'VS×ケイパビリティ関係'!$G$4:$G$494,AX$5,'VS×ケイパビリティ関係'!$E$4:$E$494,"支援")&gt;0,"○",""))</f>
        <v/>
      </c>
      <c r="AY9" s="98">
        <f>IF(COUNTIFS('VS×ケイパビリティ関係'!$F$4:$F$494,$B9,'VS×ケイパビリティ関係'!$G$4:$G$494,AY$5,'VS×ケイパビリティ関係'!$E$4:$E$494,"主")&gt;0,"●",IF(COUNTIFS('VS×ケイパビリティ関係'!$F$4:$F$494,$B9,'VS×ケイパビリティ関係'!$G$4:$G$494,AY$5,'VS×ケイパビリティ関係'!$E$4:$E$494,"支援")&gt;0,"○",""))</f>
        <v/>
      </c>
      <c r="AZ9" s="98">
        <f>IF(COUNTIFS('VS×ケイパビリティ関係'!$F$4:$F$494,$B9,'VS×ケイパビリティ関係'!$G$4:$G$494,AZ$5,'VS×ケイパビリティ関係'!$E$4:$E$494,"主")&gt;0,"●",IF(COUNTIFS('VS×ケイパビリティ関係'!$F$4:$F$494,$B9,'VS×ケイパビリティ関係'!$G$4:$G$494,AZ$5,'VS×ケイパビリティ関係'!$E$4:$E$494,"支援")&gt;0,"○",""))</f>
        <v/>
      </c>
      <c r="BA9" s="98">
        <f>IF(COUNTIFS('VS×ケイパビリティ関係'!$F$4:$F$494,$B9,'VS×ケイパビリティ関係'!$G$4:$G$494,BA$5,'VS×ケイパビリティ関係'!$E$4:$E$494,"主")&gt;0,"●",IF(COUNTIFS('VS×ケイパビリティ関係'!$F$4:$F$494,$B9,'VS×ケイパビリティ関係'!$G$4:$G$494,BA$5,'VS×ケイパビリティ関係'!$E$4:$E$494,"支援")&gt;0,"○",""))</f>
        <v/>
      </c>
      <c r="BB9" s="98">
        <f>IF(COUNTIFS('VS×ケイパビリティ関係'!$F$4:$F$494,$B9,'VS×ケイパビリティ関係'!$G$4:$G$494,BB$5,'VS×ケイパビリティ関係'!$E$4:$E$494,"主")&gt;0,"●",IF(COUNTIFS('VS×ケイパビリティ関係'!$F$4:$F$494,$B9,'VS×ケイパビリティ関係'!$G$4:$G$494,BB$5,'VS×ケイパビリティ関係'!$E$4:$E$494,"支援")&gt;0,"○",""))</f>
        <v/>
      </c>
      <c r="BC9" s="98">
        <f>IF(COUNTIFS('VS×ケイパビリティ関係'!$F$4:$F$494,$B9,'VS×ケイパビリティ関係'!$G$4:$G$494,BC$5,'VS×ケイパビリティ関係'!$E$4:$E$494,"主")&gt;0,"●",IF(COUNTIFS('VS×ケイパビリティ関係'!$F$4:$F$494,$B9,'VS×ケイパビリティ関係'!$G$4:$G$494,BC$5,'VS×ケイパビリティ関係'!$E$4:$E$494,"支援")&gt;0,"○",""))</f>
        <v/>
      </c>
      <c r="BD9" s="98">
        <f>IF(COUNTIFS('VS×ケイパビリティ関係'!$F$4:$F$494,$B9,'VS×ケイパビリティ関係'!$G$4:$G$494,BD$5,'VS×ケイパビリティ関係'!$E$4:$E$494,"主")&gt;0,"●",IF(COUNTIFS('VS×ケイパビリティ関係'!$F$4:$F$494,$B9,'VS×ケイパビリティ関係'!$G$4:$G$494,BD$5,'VS×ケイパビリティ関係'!$E$4:$E$494,"支援")&gt;0,"○",""))</f>
        <v/>
      </c>
      <c r="BE9" s="98">
        <f>COUNTIF(D9:BD9,"●")</f>
        <v/>
      </c>
      <c r="BF9" s="98">
        <f>COUNTIF(D9:BD9,"○")</f>
        <v/>
      </c>
    </row>
    <row r="10" ht="15" customHeight="1" s="80">
      <c r="A10" s="116" t="n"/>
      <c r="B10" s="98" t="inlineStr">
        <is>
          <t>01-04</t>
        </is>
      </c>
      <c r="C10" s="100" t="inlineStr">
        <is>
          <t>開発候補品選定</t>
        </is>
      </c>
      <c r="D10" s="98">
        <f>IF(COUNTIFS('VS×ケイパビリティ関係'!$F$4:$F$494,$B10,'VS×ケイパビリティ関係'!$G$4:$G$494,D$5,'VS×ケイパビリティ関係'!$E$4:$E$494,"主")&gt;0,"●",IF(COUNTIFS('VS×ケイパビリティ関係'!$F$4:$F$494,$B10,'VS×ケイパビリティ関係'!$G$4:$G$494,D$5,'VS×ケイパビリティ関係'!$E$4:$E$494,"支援")&gt;0,"○",""))</f>
        <v/>
      </c>
      <c r="E10" s="98">
        <f>IF(COUNTIFS('VS×ケイパビリティ関係'!$F$4:$F$494,$B10,'VS×ケイパビリティ関係'!$G$4:$G$494,E$5,'VS×ケイパビリティ関係'!$E$4:$E$494,"主")&gt;0,"●",IF(COUNTIFS('VS×ケイパビリティ関係'!$F$4:$F$494,$B10,'VS×ケイパビリティ関係'!$G$4:$G$494,E$5,'VS×ケイパビリティ関係'!$E$4:$E$494,"支援")&gt;0,"○",""))</f>
        <v/>
      </c>
      <c r="F10" s="98">
        <f>IF(COUNTIFS('VS×ケイパビリティ関係'!$F$4:$F$494,$B10,'VS×ケイパビリティ関係'!$G$4:$G$494,F$5,'VS×ケイパビリティ関係'!$E$4:$E$494,"主")&gt;0,"●",IF(COUNTIFS('VS×ケイパビリティ関係'!$F$4:$F$494,$B10,'VS×ケイパビリティ関係'!$G$4:$G$494,F$5,'VS×ケイパビリティ関係'!$E$4:$E$494,"支援")&gt;0,"○",""))</f>
        <v/>
      </c>
      <c r="G10" s="98">
        <f>IF(COUNTIFS('VS×ケイパビリティ関係'!$F$4:$F$494,$B10,'VS×ケイパビリティ関係'!$G$4:$G$494,G$5,'VS×ケイパビリティ関係'!$E$4:$E$494,"主")&gt;0,"●",IF(COUNTIFS('VS×ケイパビリティ関係'!$F$4:$F$494,$B10,'VS×ケイパビリティ関係'!$G$4:$G$494,G$5,'VS×ケイパビリティ関係'!$E$4:$E$494,"支援")&gt;0,"○",""))</f>
        <v/>
      </c>
      <c r="H10" s="98">
        <f>IF(COUNTIFS('VS×ケイパビリティ関係'!$F$4:$F$494,$B10,'VS×ケイパビリティ関係'!$G$4:$G$494,H$5,'VS×ケイパビリティ関係'!$E$4:$E$494,"主")&gt;0,"●",IF(COUNTIFS('VS×ケイパビリティ関係'!$F$4:$F$494,$B10,'VS×ケイパビリティ関係'!$G$4:$G$494,H$5,'VS×ケイパビリティ関係'!$E$4:$E$494,"支援")&gt;0,"○",""))</f>
        <v/>
      </c>
      <c r="I10" s="98">
        <f>IF(COUNTIFS('VS×ケイパビリティ関係'!$F$4:$F$494,$B10,'VS×ケイパビリティ関係'!$G$4:$G$494,I$5,'VS×ケイパビリティ関係'!$E$4:$E$494,"主")&gt;0,"●",IF(COUNTIFS('VS×ケイパビリティ関係'!$F$4:$F$494,$B10,'VS×ケイパビリティ関係'!$G$4:$G$494,I$5,'VS×ケイパビリティ関係'!$E$4:$E$494,"支援")&gt;0,"○",""))</f>
        <v/>
      </c>
      <c r="J10" s="98">
        <f>IF(COUNTIFS('VS×ケイパビリティ関係'!$F$4:$F$494,$B10,'VS×ケイパビリティ関係'!$G$4:$G$494,J$5,'VS×ケイパビリティ関係'!$E$4:$E$494,"主")&gt;0,"●",IF(COUNTIFS('VS×ケイパビリティ関係'!$F$4:$F$494,$B10,'VS×ケイパビリティ関係'!$G$4:$G$494,J$5,'VS×ケイパビリティ関係'!$E$4:$E$494,"支援")&gt;0,"○",""))</f>
        <v/>
      </c>
      <c r="K10" s="98">
        <f>IF(COUNTIFS('VS×ケイパビリティ関係'!$F$4:$F$494,$B10,'VS×ケイパビリティ関係'!$G$4:$G$494,K$5,'VS×ケイパビリティ関係'!$E$4:$E$494,"主")&gt;0,"●",IF(COUNTIFS('VS×ケイパビリティ関係'!$F$4:$F$494,$B10,'VS×ケイパビリティ関係'!$G$4:$G$494,K$5,'VS×ケイパビリティ関係'!$E$4:$E$494,"支援")&gt;0,"○",""))</f>
        <v/>
      </c>
      <c r="L10" s="98">
        <f>IF(COUNTIFS('VS×ケイパビリティ関係'!$F$4:$F$494,$B10,'VS×ケイパビリティ関係'!$G$4:$G$494,L$5,'VS×ケイパビリティ関係'!$E$4:$E$494,"主")&gt;0,"●",IF(COUNTIFS('VS×ケイパビリティ関係'!$F$4:$F$494,$B10,'VS×ケイパビリティ関係'!$G$4:$G$494,L$5,'VS×ケイパビリティ関係'!$E$4:$E$494,"支援")&gt;0,"○",""))</f>
        <v/>
      </c>
      <c r="M10" s="98">
        <f>IF(COUNTIFS('VS×ケイパビリティ関係'!$F$4:$F$494,$B10,'VS×ケイパビリティ関係'!$G$4:$G$494,M$5,'VS×ケイパビリティ関係'!$E$4:$E$494,"主")&gt;0,"●",IF(COUNTIFS('VS×ケイパビリティ関係'!$F$4:$F$494,$B10,'VS×ケイパビリティ関係'!$G$4:$G$494,M$5,'VS×ケイパビリティ関係'!$E$4:$E$494,"支援")&gt;0,"○",""))</f>
        <v/>
      </c>
      <c r="N10" s="98">
        <f>IF(COUNTIFS('VS×ケイパビリティ関係'!$F$4:$F$494,$B10,'VS×ケイパビリティ関係'!$G$4:$G$494,N$5,'VS×ケイパビリティ関係'!$E$4:$E$494,"主")&gt;0,"●",IF(COUNTIFS('VS×ケイパビリティ関係'!$F$4:$F$494,$B10,'VS×ケイパビリティ関係'!$G$4:$G$494,N$5,'VS×ケイパビリティ関係'!$E$4:$E$494,"支援")&gt;0,"○",""))</f>
        <v/>
      </c>
      <c r="O10" s="98">
        <f>IF(COUNTIFS('VS×ケイパビリティ関係'!$F$4:$F$494,$B10,'VS×ケイパビリティ関係'!$G$4:$G$494,O$5,'VS×ケイパビリティ関係'!$E$4:$E$494,"主")&gt;0,"●",IF(COUNTIFS('VS×ケイパビリティ関係'!$F$4:$F$494,$B10,'VS×ケイパビリティ関係'!$G$4:$G$494,O$5,'VS×ケイパビリティ関係'!$E$4:$E$494,"支援")&gt;0,"○",""))</f>
        <v/>
      </c>
      <c r="P10" s="98">
        <f>IF(COUNTIFS('VS×ケイパビリティ関係'!$F$4:$F$494,$B10,'VS×ケイパビリティ関係'!$G$4:$G$494,P$5,'VS×ケイパビリティ関係'!$E$4:$E$494,"主")&gt;0,"●",IF(COUNTIFS('VS×ケイパビリティ関係'!$F$4:$F$494,$B10,'VS×ケイパビリティ関係'!$G$4:$G$494,P$5,'VS×ケイパビリティ関係'!$E$4:$E$494,"支援")&gt;0,"○",""))</f>
        <v/>
      </c>
      <c r="Q10" s="98">
        <f>IF(COUNTIFS('VS×ケイパビリティ関係'!$F$4:$F$494,$B10,'VS×ケイパビリティ関係'!$G$4:$G$494,Q$5,'VS×ケイパビリティ関係'!$E$4:$E$494,"主")&gt;0,"●",IF(COUNTIFS('VS×ケイパビリティ関係'!$F$4:$F$494,$B10,'VS×ケイパビリティ関係'!$G$4:$G$494,Q$5,'VS×ケイパビリティ関係'!$E$4:$E$494,"支援")&gt;0,"○",""))</f>
        <v/>
      </c>
      <c r="R10" s="98">
        <f>IF(COUNTIFS('VS×ケイパビリティ関係'!$F$4:$F$494,$B10,'VS×ケイパビリティ関係'!$G$4:$G$494,R$5,'VS×ケイパビリティ関係'!$E$4:$E$494,"主")&gt;0,"●",IF(COUNTIFS('VS×ケイパビリティ関係'!$F$4:$F$494,$B10,'VS×ケイパビリティ関係'!$G$4:$G$494,R$5,'VS×ケイパビリティ関係'!$E$4:$E$494,"支援")&gt;0,"○",""))</f>
        <v/>
      </c>
      <c r="S10" s="98">
        <f>IF(COUNTIFS('VS×ケイパビリティ関係'!$F$4:$F$494,$B10,'VS×ケイパビリティ関係'!$G$4:$G$494,S$5,'VS×ケイパビリティ関係'!$E$4:$E$494,"主")&gt;0,"●",IF(COUNTIFS('VS×ケイパビリティ関係'!$F$4:$F$494,$B10,'VS×ケイパビリティ関係'!$G$4:$G$494,S$5,'VS×ケイパビリティ関係'!$E$4:$E$494,"支援")&gt;0,"○",""))</f>
        <v/>
      </c>
      <c r="T10" s="98">
        <f>IF(COUNTIFS('VS×ケイパビリティ関係'!$F$4:$F$494,$B10,'VS×ケイパビリティ関係'!$G$4:$G$494,T$5,'VS×ケイパビリティ関係'!$E$4:$E$494,"主")&gt;0,"●",IF(COUNTIFS('VS×ケイパビリティ関係'!$F$4:$F$494,$B10,'VS×ケイパビリティ関係'!$G$4:$G$494,T$5,'VS×ケイパビリティ関係'!$E$4:$E$494,"支援")&gt;0,"○",""))</f>
        <v/>
      </c>
      <c r="U10" s="98">
        <f>IF(COUNTIFS('VS×ケイパビリティ関係'!$F$4:$F$494,$B10,'VS×ケイパビリティ関係'!$G$4:$G$494,U$5,'VS×ケイパビリティ関係'!$E$4:$E$494,"主")&gt;0,"●",IF(COUNTIFS('VS×ケイパビリティ関係'!$F$4:$F$494,$B10,'VS×ケイパビリティ関係'!$G$4:$G$494,U$5,'VS×ケイパビリティ関係'!$E$4:$E$494,"支援")&gt;0,"○",""))</f>
        <v/>
      </c>
      <c r="V10" s="98">
        <f>IF(COUNTIFS('VS×ケイパビリティ関係'!$F$4:$F$494,$B10,'VS×ケイパビリティ関係'!$G$4:$G$494,V$5,'VS×ケイパビリティ関係'!$E$4:$E$494,"主")&gt;0,"●",IF(COUNTIFS('VS×ケイパビリティ関係'!$F$4:$F$494,$B10,'VS×ケイパビリティ関係'!$G$4:$G$494,V$5,'VS×ケイパビリティ関係'!$E$4:$E$494,"支援")&gt;0,"○",""))</f>
        <v/>
      </c>
      <c r="W10" s="98">
        <f>IF(COUNTIFS('VS×ケイパビリティ関係'!$F$4:$F$494,$B10,'VS×ケイパビリティ関係'!$G$4:$G$494,W$5,'VS×ケイパビリティ関係'!$E$4:$E$494,"主")&gt;0,"●",IF(COUNTIFS('VS×ケイパビリティ関係'!$F$4:$F$494,$B10,'VS×ケイパビリティ関係'!$G$4:$G$494,W$5,'VS×ケイパビリティ関係'!$E$4:$E$494,"支援")&gt;0,"○",""))</f>
        <v/>
      </c>
      <c r="X10" s="98">
        <f>IF(COUNTIFS('VS×ケイパビリティ関係'!$F$4:$F$494,$B10,'VS×ケイパビリティ関係'!$G$4:$G$494,X$5,'VS×ケイパビリティ関係'!$E$4:$E$494,"主")&gt;0,"●",IF(COUNTIFS('VS×ケイパビリティ関係'!$F$4:$F$494,$B10,'VS×ケイパビリティ関係'!$G$4:$G$494,X$5,'VS×ケイパビリティ関係'!$E$4:$E$494,"支援")&gt;0,"○",""))</f>
        <v/>
      </c>
      <c r="Y10" s="98">
        <f>IF(COUNTIFS('VS×ケイパビリティ関係'!$F$4:$F$494,$B10,'VS×ケイパビリティ関係'!$G$4:$G$494,Y$5,'VS×ケイパビリティ関係'!$E$4:$E$494,"主")&gt;0,"●",IF(COUNTIFS('VS×ケイパビリティ関係'!$F$4:$F$494,$B10,'VS×ケイパビリティ関係'!$G$4:$G$494,Y$5,'VS×ケイパビリティ関係'!$E$4:$E$494,"支援")&gt;0,"○",""))</f>
        <v/>
      </c>
      <c r="Z10" s="98">
        <f>IF(COUNTIFS('VS×ケイパビリティ関係'!$F$4:$F$494,$B10,'VS×ケイパビリティ関係'!$G$4:$G$494,Z$5,'VS×ケイパビリティ関係'!$E$4:$E$494,"主")&gt;0,"●",IF(COUNTIFS('VS×ケイパビリティ関係'!$F$4:$F$494,$B10,'VS×ケイパビリティ関係'!$G$4:$G$494,Z$5,'VS×ケイパビリティ関係'!$E$4:$E$494,"支援")&gt;0,"○",""))</f>
        <v/>
      </c>
      <c r="AA10" s="98">
        <f>IF(COUNTIFS('VS×ケイパビリティ関係'!$F$4:$F$494,$B10,'VS×ケイパビリティ関係'!$G$4:$G$494,AA$5,'VS×ケイパビリティ関係'!$E$4:$E$494,"主")&gt;0,"●",IF(COUNTIFS('VS×ケイパビリティ関係'!$F$4:$F$494,$B10,'VS×ケイパビリティ関係'!$G$4:$G$494,AA$5,'VS×ケイパビリティ関係'!$E$4:$E$494,"支援")&gt;0,"○",""))</f>
        <v/>
      </c>
      <c r="AB10" s="98">
        <f>IF(COUNTIFS('VS×ケイパビリティ関係'!$F$4:$F$494,$B10,'VS×ケイパビリティ関係'!$G$4:$G$494,AB$5,'VS×ケイパビリティ関係'!$E$4:$E$494,"主")&gt;0,"●",IF(COUNTIFS('VS×ケイパビリティ関係'!$F$4:$F$494,$B10,'VS×ケイパビリティ関係'!$G$4:$G$494,AB$5,'VS×ケイパビリティ関係'!$E$4:$E$494,"支援")&gt;0,"○",""))</f>
        <v/>
      </c>
      <c r="AC10" s="98">
        <f>IF(COUNTIFS('VS×ケイパビリティ関係'!$F$4:$F$494,$B10,'VS×ケイパビリティ関係'!$G$4:$G$494,AC$5,'VS×ケイパビリティ関係'!$E$4:$E$494,"主")&gt;0,"●",IF(COUNTIFS('VS×ケイパビリティ関係'!$F$4:$F$494,$B10,'VS×ケイパビリティ関係'!$G$4:$G$494,AC$5,'VS×ケイパビリティ関係'!$E$4:$E$494,"支援")&gt;0,"○",""))</f>
        <v/>
      </c>
      <c r="AD10" s="98">
        <f>IF(COUNTIFS('VS×ケイパビリティ関係'!$F$4:$F$494,$B10,'VS×ケイパビリティ関係'!$G$4:$G$494,AD$5,'VS×ケイパビリティ関係'!$E$4:$E$494,"主")&gt;0,"●",IF(COUNTIFS('VS×ケイパビリティ関係'!$F$4:$F$494,$B10,'VS×ケイパビリティ関係'!$G$4:$G$494,AD$5,'VS×ケイパビリティ関係'!$E$4:$E$494,"支援")&gt;0,"○",""))</f>
        <v/>
      </c>
      <c r="AE10" s="98">
        <f>IF(COUNTIFS('VS×ケイパビリティ関係'!$F$4:$F$494,$B10,'VS×ケイパビリティ関係'!$G$4:$G$494,AE$5,'VS×ケイパビリティ関係'!$E$4:$E$494,"主")&gt;0,"●",IF(COUNTIFS('VS×ケイパビリティ関係'!$F$4:$F$494,$B10,'VS×ケイパビリティ関係'!$G$4:$G$494,AE$5,'VS×ケイパビリティ関係'!$E$4:$E$494,"支援")&gt;0,"○",""))</f>
        <v/>
      </c>
      <c r="AF10" s="98">
        <f>IF(COUNTIFS('VS×ケイパビリティ関係'!$F$4:$F$494,$B10,'VS×ケイパビリティ関係'!$G$4:$G$494,AF$5,'VS×ケイパビリティ関係'!$E$4:$E$494,"主")&gt;0,"●",IF(COUNTIFS('VS×ケイパビリティ関係'!$F$4:$F$494,$B10,'VS×ケイパビリティ関係'!$G$4:$G$494,AF$5,'VS×ケイパビリティ関係'!$E$4:$E$494,"支援")&gt;0,"○",""))</f>
        <v/>
      </c>
      <c r="AG10" s="98">
        <f>IF(COUNTIFS('VS×ケイパビリティ関係'!$F$4:$F$494,$B10,'VS×ケイパビリティ関係'!$G$4:$G$494,AG$5,'VS×ケイパビリティ関係'!$E$4:$E$494,"主")&gt;0,"●",IF(COUNTIFS('VS×ケイパビリティ関係'!$F$4:$F$494,$B10,'VS×ケイパビリティ関係'!$G$4:$G$494,AG$5,'VS×ケイパビリティ関係'!$E$4:$E$494,"支援")&gt;0,"○",""))</f>
        <v/>
      </c>
      <c r="AH10" s="98">
        <f>IF(COUNTIFS('VS×ケイパビリティ関係'!$F$4:$F$494,$B10,'VS×ケイパビリティ関係'!$G$4:$G$494,AH$5,'VS×ケイパビリティ関係'!$E$4:$E$494,"主")&gt;0,"●",IF(COUNTIFS('VS×ケイパビリティ関係'!$F$4:$F$494,$B10,'VS×ケイパビリティ関係'!$G$4:$G$494,AH$5,'VS×ケイパビリティ関係'!$E$4:$E$494,"支援")&gt;0,"○",""))</f>
        <v/>
      </c>
      <c r="AI10" s="98">
        <f>IF(COUNTIFS('VS×ケイパビリティ関係'!$F$4:$F$494,$B10,'VS×ケイパビリティ関係'!$G$4:$G$494,AI$5,'VS×ケイパビリティ関係'!$E$4:$E$494,"主")&gt;0,"●",IF(COUNTIFS('VS×ケイパビリティ関係'!$F$4:$F$494,$B10,'VS×ケイパビリティ関係'!$G$4:$G$494,AI$5,'VS×ケイパビリティ関係'!$E$4:$E$494,"支援")&gt;0,"○",""))</f>
        <v/>
      </c>
      <c r="AJ10" s="98">
        <f>IF(COUNTIFS('VS×ケイパビリティ関係'!$F$4:$F$494,$B10,'VS×ケイパビリティ関係'!$G$4:$G$494,AJ$5,'VS×ケイパビリティ関係'!$E$4:$E$494,"主")&gt;0,"●",IF(COUNTIFS('VS×ケイパビリティ関係'!$F$4:$F$494,$B10,'VS×ケイパビリティ関係'!$G$4:$G$494,AJ$5,'VS×ケイパビリティ関係'!$E$4:$E$494,"支援")&gt;0,"○",""))</f>
        <v/>
      </c>
      <c r="AK10" s="98">
        <f>IF(COUNTIFS('VS×ケイパビリティ関係'!$F$4:$F$494,$B10,'VS×ケイパビリティ関係'!$G$4:$G$494,AK$5,'VS×ケイパビリティ関係'!$E$4:$E$494,"主")&gt;0,"●",IF(COUNTIFS('VS×ケイパビリティ関係'!$F$4:$F$494,$B10,'VS×ケイパビリティ関係'!$G$4:$G$494,AK$5,'VS×ケイパビリティ関係'!$E$4:$E$494,"支援")&gt;0,"○",""))</f>
        <v/>
      </c>
      <c r="AL10" s="98">
        <f>IF(COUNTIFS('VS×ケイパビリティ関係'!$F$4:$F$494,$B10,'VS×ケイパビリティ関係'!$G$4:$G$494,AL$5,'VS×ケイパビリティ関係'!$E$4:$E$494,"主")&gt;0,"●",IF(COUNTIFS('VS×ケイパビリティ関係'!$F$4:$F$494,$B10,'VS×ケイパビリティ関係'!$G$4:$G$494,AL$5,'VS×ケイパビリティ関係'!$E$4:$E$494,"支援")&gt;0,"○",""))</f>
        <v/>
      </c>
      <c r="AM10" s="98">
        <f>IF(COUNTIFS('VS×ケイパビリティ関係'!$F$4:$F$494,$B10,'VS×ケイパビリティ関係'!$G$4:$G$494,AM$5,'VS×ケイパビリティ関係'!$E$4:$E$494,"主")&gt;0,"●",IF(COUNTIFS('VS×ケイパビリティ関係'!$F$4:$F$494,$B10,'VS×ケイパビリティ関係'!$G$4:$G$494,AM$5,'VS×ケイパビリティ関係'!$E$4:$E$494,"支援")&gt;0,"○",""))</f>
        <v/>
      </c>
      <c r="AN10" s="98">
        <f>IF(COUNTIFS('VS×ケイパビリティ関係'!$F$4:$F$494,$B10,'VS×ケイパビリティ関係'!$G$4:$G$494,AN$5,'VS×ケイパビリティ関係'!$E$4:$E$494,"主")&gt;0,"●",IF(COUNTIFS('VS×ケイパビリティ関係'!$F$4:$F$494,$B10,'VS×ケイパビリティ関係'!$G$4:$G$494,AN$5,'VS×ケイパビリティ関係'!$E$4:$E$494,"支援")&gt;0,"○",""))</f>
        <v/>
      </c>
      <c r="AO10" s="98">
        <f>IF(COUNTIFS('VS×ケイパビリティ関係'!$F$4:$F$494,$B10,'VS×ケイパビリティ関係'!$G$4:$G$494,AO$5,'VS×ケイパビリティ関係'!$E$4:$E$494,"主")&gt;0,"●",IF(COUNTIFS('VS×ケイパビリティ関係'!$F$4:$F$494,$B10,'VS×ケイパビリティ関係'!$G$4:$G$494,AO$5,'VS×ケイパビリティ関係'!$E$4:$E$494,"支援")&gt;0,"○",""))</f>
        <v/>
      </c>
      <c r="AP10" s="98">
        <f>IF(COUNTIFS('VS×ケイパビリティ関係'!$F$4:$F$494,$B10,'VS×ケイパビリティ関係'!$G$4:$G$494,AP$5,'VS×ケイパビリティ関係'!$E$4:$E$494,"主")&gt;0,"●",IF(COUNTIFS('VS×ケイパビリティ関係'!$F$4:$F$494,$B10,'VS×ケイパビリティ関係'!$G$4:$G$494,AP$5,'VS×ケイパビリティ関係'!$E$4:$E$494,"支援")&gt;0,"○",""))</f>
        <v/>
      </c>
      <c r="AQ10" s="98">
        <f>IF(COUNTIFS('VS×ケイパビリティ関係'!$F$4:$F$494,$B10,'VS×ケイパビリティ関係'!$G$4:$G$494,AQ$5,'VS×ケイパビリティ関係'!$E$4:$E$494,"主")&gt;0,"●",IF(COUNTIFS('VS×ケイパビリティ関係'!$F$4:$F$494,$B10,'VS×ケイパビリティ関係'!$G$4:$G$494,AQ$5,'VS×ケイパビリティ関係'!$E$4:$E$494,"支援")&gt;0,"○",""))</f>
        <v/>
      </c>
      <c r="AR10" s="98">
        <f>IF(COUNTIFS('VS×ケイパビリティ関係'!$F$4:$F$494,$B10,'VS×ケイパビリティ関係'!$G$4:$G$494,AR$5,'VS×ケイパビリティ関係'!$E$4:$E$494,"主")&gt;0,"●",IF(COUNTIFS('VS×ケイパビリティ関係'!$F$4:$F$494,$B10,'VS×ケイパビリティ関係'!$G$4:$G$494,AR$5,'VS×ケイパビリティ関係'!$E$4:$E$494,"支援")&gt;0,"○",""))</f>
        <v/>
      </c>
      <c r="AS10" s="98">
        <f>IF(COUNTIFS('VS×ケイパビリティ関係'!$F$4:$F$494,$B10,'VS×ケイパビリティ関係'!$G$4:$G$494,AS$5,'VS×ケイパビリティ関係'!$E$4:$E$494,"主")&gt;0,"●",IF(COUNTIFS('VS×ケイパビリティ関係'!$F$4:$F$494,$B10,'VS×ケイパビリティ関係'!$G$4:$G$494,AS$5,'VS×ケイパビリティ関係'!$E$4:$E$494,"支援")&gt;0,"○",""))</f>
        <v/>
      </c>
      <c r="AT10" s="98">
        <f>IF(COUNTIFS('VS×ケイパビリティ関係'!$F$4:$F$494,$B10,'VS×ケイパビリティ関係'!$G$4:$G$494,AT$5,'VS×ケイパビリティ関係'!$E$4:$E$494,"主")&gt;0,"●",IF(COUNTIFS('VS×ケイパビリティ関係'!$F$4:$F$494,$B10,'VS×ケイパビリティ関係'!$G$4:$G$494,AT$5,'VS×ケイパビリティ関係'!$E$4:$E$494,"支援")&gt;0,"○",""))</f>
        <v/>
      </c>
      <c r="AU10" s="98">
        <f>IF(COUNTIFS('VS×ケイパビリティ関係'!$F$4:$F$494,$B10,'VS×ケイパビリティ関係'!$G$4:$G$494,AU$5,'VS×ケイパビリティ関係'!$E$4:$E$494,"主")&gt;0,"●",IF(COUNTIFS('VS×ケイパビリティ関係'!$F$4:$F$494,$B10,'VS×ケイパビリティ関係'!$G$4:$G$494,AU$5,'VS×ケイパビリティ関係'!$E$4:$E$494,"支援")&gt;0,"○",""))</f>
        <v/>
      </c>
      <c r="AV10" s="98">
        <f>IF(COUNTIFS('VS×ケイパビリティ関係'!$F$4:$F$494,$B10,'VS×ケイパビリティ関係'!$G$4:$G$494,AV$5,'VS×ケイパビリティ関係'!$E$4:$E$494,"主")&gt;0,"●",IF(COUNTIFS('VS×ケイパビリティ関係'!$F$4:$F$494,$B10,'VS×ケイパビリティ関係'!$G$4:$G$494,AV$5,'VS×ケイパビリティ関係'!$E$4:$E$494,"支援")&gt;0,"○",""))</f>
        <v/>
      </c>
      <c r="AW10" s="98">
        <f>IF(COUNTIFS('VS×ケイパビリティ関係'!$F$4:$F$494,$B10,'VS×ケイパビリティ関係'!$G$4:$G$494,AW$5,'VS×ケイパビリティ関係'!$E$4:$E$494,"主")&gt;0,"●",IF(COUNTIFS('VS×ケイパビリティ関係'!$F$4:$F$494,$B10,'VS×ケイパビリティ関係'!$G$4:$G$494,AW$5,'VS×ケイパビリティ関係'!$E$4:$E$494,"支援")&gt;0,"○",""))</f>
        <v/>
      </c>
      <c r="AX10" s="98">
        <f>IF(COUNTIFS('VS×ケイパビリティ関係'!$F$4:$F$494,$B10,'VS×ケイパビリティ関係'!$G$4:$G$494,AX$5,'VS×ケイパビリティ関係'!$E$4:$E$494,"主")&gt;0,"●",IF(COUNTIFS('VS×ケイパビリティ関係'!$F$4:$F$494,$B10,'VS×ケイパビリティ関係'!$G$4:$G$494,AX$5,'VS×ケイパビリティ関係'!$E$4:$E$494,"支援")&gt;0,"○",""))</f>
        <v/>
      </c>
      <c r="AY10" s="98">
        <f>IF(COUNTIFS('VS×ケイパビリティ関係'!$F$4:$F$494,$B10,'VS×ケイパビリティ関係'!$G$4:$G$494,AY$5,'VS×ケイパビリティ関係'!$E$4:$E$494,"主")&gt;0,"●",IF(COUNTIFS('VS×ケイパビリティ関係'!$F$4:$F$494,$B10,'VS×ケイパビリティ関係'!$G$4:$G$494,AY$5,'VS×ケイパビリティ関係'!$E$4:$E$494,"支援")&gt;0,"○",""))</f>
        <v/>
      </c>
      <c r="AZ10" s="98">
        <f>IF(COUNTIFS('VS×ケイパビリティ関係'!$F$4:$F$494,$B10,'VS×ケイパビリティ関係'!$G$4:$G$494,AZ$5,'VS×ケイパビリティ関係'!$E$4:$E$494,"主")&gt;0,"●",IF(COUNTIFS('VS×ケイパビリティ関係'!$F$4:$F$494,$B10,'VS×ケイパビリティ関係'!$G$4:$G$494,AZ$5,'VS×ケイパビリティ関係'!$E$4:$E$494,"支援")&gt;0,"○",""))</f>
        <v/>
      </c>
      <c r="BA10" s="98">
        <f>IF(COUNTIFS('VS×ケイパビリティ関係'!$F$4:$F$494,$B10,'VS×ケイパビリティ関係'!$G$4:$G$494,BA$5,'VS×ケイパビリティ関係'!$E$4:$E$494,"主")&gt;0,"●",IF(COUNTIFS('VS×ケイパビリティ関係'!$F$4:$F$494,$B10,'VS×ケイパビリティ関係'!$G$4:$G$494,BA$5,'VS×ケイパビリティ関係'!$E$4:$E$494,"支援")&gt;0,"○",""))</f>
        <v/>
      </c>
      <c r="BB10" s="98">
        <f>IF(COUNTIFS('VS×ケイパビリティ関係'!$F$4:$F$494,$B10,'VS×ケイパビリティ関係'!$G$4:$G$494,BB$5,'VS×ケイパビリティ関係'!$E$4:$E$494,"主")&gt;0,"●",IF(COUNTIFS('VS×ケイパビリティ関係'!$F$4:$F$494,$B10,'VS×ケイパビリティ関係'!$G$4:$G$494,BB$5,'VS×ケイパビリティ関係'!$E$4:$E$494,"支援")&gt;0,"○",""))</f>
        <v/>
      </c>
      <c r="BC10" s="98">
        <f>IF(COUNTIFS('VS×ケイパビリティ関係'!$F$4:$F$494,$B10,'VS×ケイパビリティ関係'!$G$4:$G$494,BC$5,'VS×ケイパビリティ関係'!$E$4:$E$494,"主")&gt;0,"●",IF(COUNTIFS('VS×ケイパビリティ関係'!$F$4:$F$494,$B10,'VS×ケイパビリティ関係'!$G$4:$G$494,BC$5,'VS×ケイパビリティ関係'!$E$4:$E$494,"支援")&gt;0,"○",""))</f>
        <v/>
      </c>
      <c r="BD10" s="98">
        <f>IF(COUNTIFS('VS×ケイパビリティ関係'!$F$4:$F$494,$B10,'VS×ケイパビリティ関係'!$G$4:$G$494,BD$5,'VS×ケイパビリティ関係'!$E$4:$E$494,"主")&gt;0,"●",IF(COUNTIFS('VS×ケイパビリティ関係'!$F$4:$F$494,$B10,'VS×ケイパビリティ関係'!$G$4:$G$494,BD$5,'VS×ケイパビリティ関係'!$E$4:$E$494,"支援")&gt;0,"○",""))</f>
        <v/>
      </c>
      <c r="BE10" s="98">
        <f>COUNTIF(D10:BD10,"●")</f>
        <v/>
      </c>
      <c r="BF10" s="98">
        <f>COUNTIF(D10:BD10,"○")</f>
        <v/>
      </c>
    </row>
    <row r="11" ht="15" customHeight="1" s="80">
      <c r="A11" s="116" t="inlineStr">
        <is>
          <t>02 非臨床開発</t>
        </is>
      </c>
      <c r="B11" s="98" t="inlineStr">
        <is>
          <t>02-01</t>
        </is>
      </c>
      <c r="C11" s="100" t="inlineStr">
        <is>
          <t>非臨床薬理</t>
        </is>
      </c>
      <c r="D11" s="98">
        <f>IF(COUNTIFS('VS×ケイパビリティ関係'!$F$4:$F$494,$B11,'VS×ケイパビリティ関係'!$G$4:$G$494,D$5,'VS×ケイパビリティ関係'!$E$4:$E$494,"主")&gt;0,"●",IF(COUNTIFS('VS×ケイパビリティ関係'!$F$4:$F$494,$B11,'VS×ケイパビリティ関係'!$G$4:$G$494,D$5,'VS×ケイパビリティ関係'!$E$4:$E$494,"支援")&gt;0,"○",""))</f>
        <v/>
      </c>
      <c r="E11" s="98">
        <f>IF(COUNTIFS('VS×ケイパビリティ関係'!$F$4:$F$494,$B11,'VS×ケイパビリティ関係'!$G$4:$G$494,E$5,'VS×ケイパビリティ関係'!$E$4:$E$494,"主")&gt;0,"●",IF(COUNTIFS('VS×ケイパビリティ関係'!$F$4:$F$494,$B11,'VS×ケイパビリティ関係'!$G$4:$G$494,E$5,'VS×ケイパビリティ関係'!$E$4:$E$494,"支援")&gt;0,"○",""))</f>
        <v/>
      </c>
      <c r="F11" s="98">
        <f>IF(COUNTIFS('VS×ケイパビリティ関係'!$F$4:$F$494,$B11,'VS×ケイパビリティ関係'!$G$4:$G$494,F$5,'VS×ケイパビリティ関係'!$E$4:$E$494,"主")&gt;0,"●",IF(COUNTIFS('VS×ケイパビリティ関係'!$F$4:$F$494,$B11,'VS×ケイパビリティ関係'!$G$4:$G$494,F$5,'VS×ケイパビリティ関係'!$E$4:$E$494,"支援")&gt;0,"○",""))</f>
        <v/>
      </c>
      <c r="G11" s="98">
        <f>IF(COUNTIFS('VS×ケイパビリティ関係'!$F$4:$F$494,$B11,'VS×ケイパビリティ関係'!$G$4:$G$494,G$5,'VS×ケイパビリティ関係'!$E$4:$E$494,"主")&gt;0,"●",IF(COUNTIFS('VS×ケイパビリティ関係'!$F$4:$F$494,$B11,'VS×ケイパビリティ関係'!$G$4:$G$494,G$5,'VS×ケイパビリティ関係'!$E$4:$E$494,"支援")&gt;0,"○",""))</f>
        <v/>
      </c>
      <c r="H11" s="98">
        <f>IF(COUNTIFS('VS×ケイパビリティ関係'!$F$4:$F$494,$B11,'VS×ケイパビリティ関係'!$G$4:$G$494,H$5,'VS×ケイパビリティ関係'!$E$4:$E$494,"主")&gt;0,"●",IF(COUNTIFS('VS×ケイパビリティ関係'!$F$4:$F$494,$B11,'VS×ケイパビリティ関係'!$G$4:$G$494,H$5,'VS×ケイパビリティ関係'!$E$4:$E$494,"支援")&gt;0,"○",""))</f>
        <v/>
      </c>
      <c r="I11" s="98">
        <f>IF(COUNTIFS('VS×ケイパビリティ関係'!$F$4:$F$494,$B11,'VS×ケイパビリティ関係'!$G$4:$G$494,I$5,'VS×ケイパビリティ関係'!$E$4:$E$494,"主")&gt;0,"●",IF(COUNTIFS('VS×ケイパビリティ関係'!$F$4:$F$494,$B11,'VS×ケイパビリティ関係'!$G$4:$G$494,I$5,'VS×ケイパビリティ関係'!$E$4:$E$494,"支援")&gt;0,"○",""))</f>
        <v/>
      </c>
      <c r="J11" s="98">
        <f>IF(COUNTIFS('VS×ケイパビリティ関係'!$F$4:$F$494,$B11,'VS×ケイパビリティ関係'!$G$4:$G$494,J$5,'VS×ケイパビリティ関係'!$E$4:$E$494,"主")&gt;0,"●",IF(COUNTIFS('VS×ケイパビリティ関係'!$F$4:$F$494,$B11,'VS×ケイパビリティ関係'!$G$4:$G$494,J$5,'VS×ケイパビリティ関係'!$E$4:$E$494,"支援")&gt;0,"○",""))</f>
        <v/>
      </c>
      <c r="K11" s="98">
        <f>IF(COUNTIFS('VS×ケイパビリティ関係'!$F$4:$F$494,$B11,'VS×ケイパビリティ関係'!$G$4:$G$494,K$5,'VS×ケイパビリティ関係'!$E$4:$E$494,"主")&gt;0,"●",IF(COUNTIFS('VS×ケイパビリティ関係'!$F$4:$F$494,$B11,'VS×ケイパビリティ関係'!$G$4:$G$494,K$5,'VS×ケイパビリティ関係'!$E$4:$E$494,"支援")&gt;0,"○",""))</f>
        <v/>
      </c>
      <c r="L11" s="98">
        <f>IF(COUNTIFS('VS×ケイパビリティ関係'!$F$4:$F$494,$B11,'VS×ケイパビリティ関係'!$G$4:$G$494,L$5,'VS×ケイパビリティ関係'!$E$4:$E$494,"主")&gt;0,"●",IF(COUNTIFS('VS×ケイパビリティ関係'!$F$4:$F$494,$B11,'VS×ケイパビリティ関係'!$G$4:$G$494,L$5,'VS×ケイパビリティ関係'!$E$4:$E$494,"支援")&gt;0,"○",""))</f>
        <v/>
      </c>
      <c r="M11" s="98">
        <f>IF(COUNTIFS('VS×ケイパビリティ関係'!$F$4:$F$494,$B11,'VS×ケイパビリティ関係'!$G$4:$G$494,M$5,'VS×ケイパビリティ関係'!$E$4:$E$494,"主")&gt;0,"●",IF(COUNTIFS('VS×ケイパビリティ関係'!$F$4:$F$494,$B11,'VS×ケイパビリティ関係'!$G$4:$G$494,M$5,'VS×ケイパビリティ関係'!$E$4:$E$494,"支援")&gt;0,"○",""))</f>
        <v/>
      </c>
      <c r="N11" s="98">
        <f>IF(COUNTIFS('VS×ケイパビリティ関係'!$F$4:$F$494,$B11,'VS×ケイパビリティ関係'!$G$4:$G$494,N$5,'VS×ケイパビリティ関係'!$E$4:$E$494,"主")&gt;0,"●",IF(COUNTIFS('VS×ケイパビリティ関係'!$F$4:$F$494,$B11,'VS×ケイパビリティ関係'!$G$4:$G$494,N$5,'VS×ケイパビリティ関係'!$E$4:$E$494,"支援")&gt;0,"○",""))</f>
        <v/>
      </c>
      <c r="O11" s="98">
        <f>IF(COUNTIFS('VS×ケイパビリティ関係'!$F$4:$F$494,$B11,'VS×ケイパビリティ関係'!$G$4:$G$494,O$5,'VS×ケイパビリティ関係'!$E$4:$E$494,"主")&gt;0,"●",IF(COUNTIFS('VS×ケイパビリティ関係'!$F$4:$F$494,$B11,'VS×ケイパビリティ関係'!$G$4:$G$494,O$5,'VS×ケイパビリティ関係'!$E$4:$E$494,"支援")&gt;0,"○",""))</f>
        <v/>
      </c>
      <c r="P11" s="98">
        <f>IF(COUNTIFS('VS×ケイパビリティ関係'!$F$4:$F$494,$B11,'VS×ケイパビリティ関係'!$G$4:$G$494,P$5,'VS×ケイパビリティ関係'!$E$4:$E$494,"主")&gt;0,"●",IF(COUNTIFS('VS×ケイパビリティ関係'!$F$4:$F$494,$B11,'VS×ケイパビリティ関係'!$G$4:$G$494,P$5,'VS×ケイパビリティ関係'!$E$4:$E$494,"支援")&gt;0,"○",""))</f>
        <v/>
      </c>
      <c r="Q11" s="98">
        <f>IF(COUNTIFS('VS×ケイパビリティ関係'!$F$4:$F$494,$B11,'VS×ケイパビリティ関係'!$G$4:$G$494,Q$5,'VS×ケイパビリティ関係'!$E$4:$E$494,"主")&gt;0,"●",IF(COUNTIFS('VS×ケイパビリティ関係'!$F$4:$F$494,$B11,'VS×ケイパビリティ関係'!$G$4:$G$494,Q$5,'VS×ケイパビリティ関係'!$E$4:$E$494,"支援")&gt;0,"○",""))</f>
        <v/>
      </c>
      <c r="R11" s="98">
        <f>IF(COUNTIFS('VS×ケイパビリティ関係'!$F$4:$F$494,$B11,'VS×ケイパビリティ関係'!$G$4:$G$494,R$5,'VS×ケイパビリティ関係'!$E$4:$E$494,"主")&gt;0,"●",IF(COUNTIFS('VS×ケイパビリティ関係'!$F$4:$F$494,$B11,'VS×ケイパビリティ関係'!$G$4:$G$494,R$5,'VS×ケイパビリティ関係'!$E$4:$E$494,"支援")&gt;0,"○",""))</f>
        <v/>
      </c>
      <c r="S11" s="98">
        <f>IF(COUNTIFS('VS×ケイパビリティ関係'!$F$4:$F$494,$B11,'VS×ケイパビリティ関係'!$G$4:$G$494,S$5,'VS×ケイパビリティ関係'!$E$4:$E$494,"主")&gt;0,"●",IF(COUNTIFS('VS×ケイパビリティ関係'!$F$4:$F$494,$B11,'VS×ケイパビリティ関係'!$G$4:$G$494,S$5,'VS×ケイパビリティ関係'!$E$4:$E$494,"支援")&gt;0,"○",""))</f>
        <v/>
      </c>
      <c r="T11" s="98">
        <f>IF(COUNTIFS('VS×ケイパビリティ関係'!$F$4:$F$494,$B11,'VS×ケイパビリティ関係'!$G$4:$G$494,T$5,'VS×ケイパビリティ関係'!$E$4:$E$494,"主")&gt;0,"●",IF(COUNTIFS('VS×ケイパビリティ関係'!$F$4:$F$494,$B11,'VS×ケイパビリティ関係'!$G$4:$G$494,T$5,'VS×ケイパビリティ関係'!$E$4:$E$494,"支援")&gt;0,"○",""))</f>
        <v/>
      </c>
      <c r="U11" s="98">
        <f>IF(COUNTIFS('VS×ケイパビリティ関係'!$F$4:$F$494,$B11,'VS×ケイパビリティ関係'!$G$4:$G$494,U$5,'VS×ケイパビリティ関係'!$E$4:$E$494,"主")&gt;0,"●",IF(COUNTIFS('VS×ケイパビリティ関係'!$F$4:$F$494,$B11,'VS×ケイパビリティ関係'!$G$4:$G$494,U$5,'VS×ケイパビリティ関係'!$E$4:$E$494,"支援")&gt;0,"○",""))</f>
        <v/>
      </c>
      <c r="V11" s="98">
        <f>IF(COUNTIFS('VS×ケイパビリティ関係'!$F$4:$F$494,$B11,'VS×ケイパビリティ関係'!$G$4:$G$494,V$5,'VS×ケイパビリティ関係'!$E$4:$E$494,"主")&gt;0,"●",IF(COUNTIFS('VS×ケイパビリティ関係'!$F$4:$F$494,$B11,'VS×ケイパビリティ関係'!$G$4:$G$494,V$5,'VS×ケイパビリティ関係'!$E$4:$E$494,"支援")&gt;0,"○",""))</f>
        <v/>
      </c>
      <c r="W11" s="98">
        <f>IF(COUNTIFS('VS×ケイパビリティ関係'!$F$4:$F$494,$B11,'VS×ケイパビリティ関係'!$G$4:$G$494,W$5,'VS×ケイパビリティ関係'!$E$4:$E$494,"主")&gt;0,"●",IF(COUNTIFS('VS×ケイパビリティ関係'!$F$4:$F$494,$B11,'VS×ケイパビリティ関係'!$G$4:$G$494,W$5,'VS×ケイパビリティ関係'!$E$4:$E$494,"支援")&gt;0,"○",""))</f>
        <v/>
      </c>
      <c r="X11" s="98">
        <f>IF(COUNTIFS('VS×ケイパビリティ関係'!$F$4:$F$494,$B11,'VS×ケイパビリティ関係'!$G$4:$G$494,X$5,'VS×ケイパビリティ関係'!$E$4:$E$494,"主")&gt;0,"●",IF(COUNTIFS('VS×ケイパビリティ関係'!$F$4:$F$494,$B11,'VS×ケイパビリティ関係'!$G$4:$G$494,X$5,'VS×ケイパビリティ関係'!$E$4:$E$494,"支援")&gt;0,"○",""))</f>
        <v/>
      </c>
      <c r="Y11" s="98">
        <f>IF(COUNTIFS('VS×ケイパビリティ関係'!$F$4:$F$494,$B11,'VS×ケイパビリティ関係'!$G$4:$G$494,Y$5,'VS×ケイパビリティ関係'!$E$4:$E$494,"主")&gt;0,"●",IF(COUNTIFS('VS×ケイパビリティ関係'!$F$4:$F$494,$B11,'VS×ケイパビリティ関係'!$G$4:$G$494,Y$5,'VS×ケイパビリティ関係'!$E$4:$E$494,"支援")&gt;0,"○",""))</f>
        <v/>
      </c>
      <c r="Z11" s="98">
        <f>IF(COUNTIFS('VS×ケイパビリティ関係'!$F$4:$F$494,$B11,'VS×ケイパビリティ関係'!$G$4:$G$494,Z$5,'VS×ケイパビリティ関係'!$E$4:$E$494,"主")&gt;0,"●",IF(COUNTIFS('VS×ケイパビリティ関係'!$F$4:$F$494,$B11,'VS×ケイパビリティ関係'!$G$4:$G$494,Z$5,'VS×ケイパビリティ関係'!$E$4:$E$494,"支援")&gt;0,"○",""))</f>
        <v/>
      </c>
      <c r="AA11" s="98">
        <f>IF(COUNTIFS('VS×ケイパビリティ関係'!$F$4:$F$494,$B11,'VS×ケイパビリティ関係'!$G$4:$G$494,AA$5,'VS×ケイパビリティ関係'!$E$4:$E$494,"主")&gt;0,"●",IF(COUNTIFS('VS×ケイパビリティ関係'!$F$4:$F$494,$B11,'VS×ケイパビリティ関係'!$G$4:$G$494,AA$5,'VS×ケイパビリティ関係'!$E$4:$E$494,"支援")&gt;0,"○",""))</f>
        <v/>
      </c>
      <c r="AB11" s="98">
        <f>IF(COUNTIFS('VS×ケイパビリティ関係'!$F$4:$F$494,$B11,'VS×ケイパビリティ関係'!$G$4:$G$494,AB$5,'VS×ケイパビリティ関係'!$E$4:$E$494,"主")&gt;0,"●",IF(COUNTIFS('VS×ケイパビリティ関係'!$F$4:$F$494,$B11,'VS×ケイパビリティ関係'!$G$4:$G$494,AB$5,'VS×ケイパビリティ関係'!$E$4:$E$494,"支援")&gt;0,"○",""))</f>
        <v/>
      </c>
      <c r="AC11" s="98">
        <f>IF(COUNTIFS('VS×ケイパビリティ関係'!$F$4:$F$494,$B11,'VS×ケイパビリティ関係'!$G$4:$G$494,AC$5,'VS×ケイパビリティ関係'!$E$4:$E$494,"主")&gt;0,"●",IF(COUNTIFS('VS×ケイパビリティ関係'!$F$4:$F$494,$B11,'VS×ケイパビリティ関係'!$G$4:$G$494,AC$5,'VS×ケイパビリティ関係'!$E$4:$E$494,"支援")&gt;0,"○",""))</f>
        <v/>
      </c>
      <c r="AD11" s="98">
        <f>IF(COUNTIFS('VS×ケイパビリティ関係'!$F$4:$F$494,$B11,'VS×ケイパビリティ関係'!$G$4:$G$494,AD$5,'VS×ケイパビリティ関係'!$E$4:$E$494,"主")&gt;0,"●",IF(COUNTIFS('VS×ケイパビリティ関係'!$F$4:$F$494,$B11,'VS×ケイパビリティ関係'!$G$4:$G$494,AD$5,'VS×ケイパビリティ関係'!$E$4:$E$494,"支援")&gt;0,"○",""))</f>
        <v/>
      </c>
      <c r="AE11" s="98">
        <f>IF(COUNTIFS('VS×ケイパビリティ関係'!$F$4:$F$494,$B11,'VS×ケイパビリティ関係'!$G$4:$G$494,AE$5,'VS×ケイパビリティ関係'!$E$4:$E$494,"主")&gt;0,"●",IF(COUNTIFS('VS×ケイパビリティ関係'!$F$4:$F$494,$B11,'VS×ケイパビリティ関係'!$G$4:$G$494,AE$5,'VS×ケイパビリティ関係'!$E$4:$E$494,"支援")&gt;0,"○",""))</f>
        <v/>
      </c>
      <c r="AF11" s="98">
        <f>IF(COUNTIFS('VS×ケイパビリティ関係'!$F$4:$F$494,$B11,'VS×ケイパビリティ関係'!$G$4:$G$494,AF$5,'VS×ケイパビリティ関係'!$E$4:$E$494,"主")&gt;0,"●",IF(COUNTIFS('VS×ケイパビリティ関係'!$F$4:$F$494,$B11,'VS×ケイパビリティ関係'!$G$4:$G$494,AF$5,'VS×ケイパビリティ関係'!$E$4:$E$494,"支援")&gt;0,"○",""))</f>
        <v/>
      </c>
      <c r="AG11" s="98">
        <f>IF(COUNTIFS('VS×ケイパビリティ関係'!$F$4:$F$494,$B11,'VS×ケイパビリティ関係'!$G$4:$G$494,AG$5,'VS×ケイパビリティ関係'!$E$4:$E$494,"主")&gt;0,"●",IF(COUNTIFS('VS×ケイパビリティ関係'!$F$4:$F$494,$B11,'VS×ケイパビリティ関係'!$G$4:$G$494,AG$5,'VS×ケイパビリティ関係'!$E$4:$E$494,"支援")&gt;0,"○",""))</f>
        <v/>
      </c>
      <c r="AH11" s="98">
        <f>IF(COUNTIFS('VS×ケイパビリティ関係'!$F$4:$F$494,$B11,'VS×ケイパビリティ関係'!$G$4:$G$494,AH$5,'VS×ケイパビリティ関係'!$E$4:$E$494,"主")&gt;0,"●",IF(COUNTIFS('VS×ケイパビリティ関係'!$F$4:$F$494,$B11,'VS×ケイパビリティ関係'!$G$4:$G$494,AH$5,'VS×ケイパビリティ関係'!$E$4:$E$494,"支援")&gt;0,"○",""))</f>
        <v/>
      </c>
      <c r="AI11" s="98">
        <f>IF(COUNTIFS('VS×ケイパビリティ関係'!$F$4:$F$494,$B11,'VS×ケイパビリティ関係'!$G$4:$G$494,AI$5,'VS×ケイパビリティ関係'!$E$4:$E$494,"主")&gt;0,"●",IF(COUNTIFS('VS×ケイパビリティ関係'!$F$4:$F$494,$B11,'VS×ケイパビリティ関係'!$G$4:$G$494,AI$5,'VS×ケイパビリティ関係'!$E$4:$E$494,"支援")&gt;0,"○",""))</f>
        <v/>
      </c>
      <c r="AJ11" s="98">
        <f>IF(COUNTIFS('VS×ケイパビリティ関係'!$F$4:$F$494,$B11,'VS×ケイパビリティ関係'!$G$4:$G$494,AJ$5,'VS×ケイパビリティ関係'!$E$4:$E$494,"主")&gt;0,"●",IF(COUNTIFS('VS×ケイパビリティ関係'!$F$4:$F$494,$B11,'VS×ケイパビリティ関係'!$G$4:$G$494,AJ$5,'VS×ケイパビリティ関係'!$E$4:$E$494,"支援")&gt;0,"○",""))</f>
        <v/>
      </c>
      <c r="AK11" s="98">
        <f>IF(COUNTIFS('VS×ケイパビリティ関係'!$F$4:$F$494,$B11,'VS×ケイパビリティ関係'!$G$4:$G$494,AK$5,'VS×ケイパビリティ関係'!$E$4:$E$494,"主")&gt;0,"●",IF(COUNTIFS('VS×ケイパビリティ関係'!$F$4:$F$494,$B11,'VS×ケイパビリティ関係'!$G$4:$G$494,AK$5,'VS×ケイパビリティ関係'!$E$4:$E$494,"支援")&gt;0,"○",""))</f>
        <v/>
      </c>
      <c r="AL11" s="98">
        <f>IF(COUNTIFS('VS×ケイパビリティ関係'!$F$4:$F$494,$B11,'VS×ケイパビリティ関係'!$G$4:$G$494,AL$5,'VS×ケイパビリティ関係'!$E$4:$E$494,"主")&gt;0,"●",IF(COUNTIFS('VS×ケイパビリティ関係'!$F$4:$F$494,$B11,'VS×ケイパビリティ関係'!$G$4:$G$494,AL$5,'VS×ケイパビリティ関係'!$E$4:$E$494,"支援")&gt;0,"○",""))</f>
        <v/>
      </c>
      <c r="AM11" s="98">
        <f>IF(COUNTIFS('VS×ケイパビリティ関係'!$F$4:$F$494,$B11,'VS×ケイパビリティ関係'!$G$4:$G$494,AM$5,'VS×ケイパビリティ関係'!$E$4:$E$494,"主")&gt;0,"●",IF(COUNTIFS('VS×ケイパビリティ関係'!$F$4:$F$494,$B11,'VS×ケイパビリティ関係'!$G$4:$G$494,AM$5,'VS×ケイパビリティ関係'!$E$4:$E$494,"支援")&gt;0,"○",""))</f>
        <v/>
      </c>
      <c r="AN11" s="98">
        <f>IF(COUNTIFS('VS×ケイパビリティ関係'!$F$4:$F$494,$B11,'VS×ケイパビリティ関係'!$G$4:$G$494,AN$5,'VS×ケイパビリティ関係'!$E$4:$E$494,"主")&gt;0,"●",IF(COUNTIFS('VS×ケイパビリティ関係'!$F$4:$F$494,$B11,'VS×ケイパビリティ関係'!$G$4:$G$494,AN$5,'VS×ケイパビリティ関係'!$E$4:$E$494,"支援")&gt;0,"○",""))</f>
        <v/>
      </c>
      <c r="AO11" s="98">
        <f>IF(COUNTIFS('VS×ケイパビリティ関係'!$F$4:$F$494,$B11,'VS×ケイパビリティ関係'!$G$4:$G$494,AO$5,'VS×ケイパビリティ関係'!$E$4:$E$494,"主")&gt;0,"●",IF(COUNTIFS('VS×ケイパビリティ関係'!$F$4:$F$494,$B11,'VS×ケイパビリティ関係'!$G$4:$G$494,AO$5,'VS×ケイパビリティ関係'!$E$4:$E$494,"支援")&gt;0,"○",""))</f>
        <v/>
      </c>
      <c r="AP11" s="98">
        <f>IF(COUNTIFS('VS×ケイパビリティ関係'!$F$4:$F$494,$B11,'VS×ケイパビリティ関係'!$G$4:$G$494,AP$5,'VS×ケイパビリティ関係'!$E$4:$E$494,"主")&gt;0,"●",IF(COUNTIFS('VS×ケイパビリティ関係'!$F$4:$F$494,$B11,'VS×ケイパビリティ関係'!$G$4:$G$494,AP$5,'VS×ケイパビリティ関係'!$E$4:$E$494,"支援")&gt;0,"○",""))</f>
        <v/>
      </c>
      <c r="AQ11" s="98">
        <f>IF(COUNTIFS('VS×ケイパビリティ関係'!$F$4:$F$494,$B11,'VS×ケイパビリティ関係'!$G$4:$G$494,AQ$5,'VS×ケイパビリティ関係'!$E$4:$E$494,"主")&gt;0,"●",IF(COUNTIFS('VS×ケイパビリティ関係'!$F$4:$F$494,$B11,'VS×ケイパビリティ関係'!$G$4:$G$494,AQ$5,'VS×ケイパビリティ関係'!$E$4:$E$494,"支援")&gt;0,"○",""))</f>
        <v/>
      </c>
      <c r="AR11" s="98">
        <f>IF(COUNTIFS('VS×ケイパビリティ関係'!$F$4:$F$494,$B11,'VS×ケイパビリティ関係'!$G$4:$G$494,AR$5,'VS×ケイパビリティ関係'!$E$4:$E$494,"主")&gt;0,"●",IF(COUNTIFS('VS×ケイパビリティ関係'!$F$4:$F$494,$B11,'VS×ケイパビリティ関係'!$G$4:$G$494,AR$5,'VS×ケイパビリティ関係'!$E$4:$E$494,"支援")&gt;0,"○",""))</f>
        <v/>
      </c>
      <c r="AS11" s="98">
        <f>IF(COUNTIFS('VS×ケイパビリティ関係'!$F$4:$F$494,$B11,'VS×ケイパビリティ関係'!$G$4:$G$494,AS$5,'VS×ケイパビリティ関係'!$E$4:$E$494,"主")&gt;0,"●",IF(COUNTIFS('VS×ケイパビリティ関係'!$F$4:$F$494,$B11,'VS×ケイパビリティ関係'!$G$4:$G$494,AS$5,'VS×ケイパビリティ関係'!$E$4:$E$494,"支援")&gt;0,"○",""))</f>
        <v/>
      </c>
      <c r="AT11" s="98">
        <f>IF(COUNTIFS('VS×ケイパビリティ関係'!$F$4:$F$494,$B11,'VS×ケイパビリティ関係'!$G$4:$G$494,AT$5,'VS×ケイパビリティ関係'!$E$4:$E$494,"主")&gt;0,"●",IF(COUNTIFS('VS×ケイパビリティ関係'!$F$4:$F$494,$B11,'VS×ケイパビリティ関係'!$G$4:$G$494,AT$5,'VS×ケイパビリティ関係'!$E$4:$E$494,"支援")&gt;0,"○",""))</f>
        <v/>
      </c>
      <c r="AU11" s="98">
        <f>IF(COUNTIFS('VS×ケイパビリティ関係'!$F$4:$F$494,$B11,'VS×ケイパビリティ関係'!$G$4:$G$494,AU$5,'VS×ケイパビリティ関係'!$E$4:$E$494,"主")&gt;0,"●",IF(COUNTIFS('VS×ケイパビリティ関係'!$F$4:$F$494,$B11,'VS×ケイパビリティ関係'!$G$4:$G$494,AU$5,'VS×ケイパビリティ関係'!$E$4:$E$494,"支援")&gt;0,"○",""))</f>
        <v/>
      </c>
      <c r="AV11" s="98">
        <f>IF(COUNTIFS('VS×ケイパビリティ関係'!$F$4:$F$494,$B11,'VS×ケイパビリティ関係'!$G$4:$G$494,AV$5,'VS×ケイパビリティ関係'!$E$4:$E$494,"主")&gt;0,"●",IF(COUNTIFS('VS×ケイパビリティ関係'!$F$4:$F$494,$B11,'VS×ケイパビリティ関係'!$G$4:$G$494,AV$5,'VS×ケイパビリティ関係'!$E$4:$E$494,"支援")&gt;0,"○",""))</f>
        <v/>
      </c>
      <c r="AW11" s="98">
        <f>IF(COUNTIFS('VS×ケイパビリティ関係'!$F$4:$F$494,$B11,'VS×ケイパビリティ関係'!$G$4:$G$494,AW$5,'VS×ケイパビリティ関係'!$E$4:$E$494,"主")&gt;0,"●",IF(COUNTIFS('VS×ケイパビリティ関係'!$F$4:$F$494,$B11,'VS×ケイパビリティ関係'!$G$4:$G$494,AW$5,'VS×ケイパビリティ関係'!$E$4:$E$494,"支援")&gt;0,"○",""))</f>
        <v/>
      </c>
      <c r="AX11" s="98">
        <f>IF(COUNTIFS('VS×ケイパビリティ関係'!$F$4:$F$494,$B11,'VS×ケイパビリティ関係'!$G$4:$G$494,AX$5,'VS×ケイパビリティ関係'!$E$4:$E$494,"主")&gt;0,"●",IF(COUNTIFS('VS×ケイパビリティ関係'!$F$4:$F$494,$B11,'VS×ケイパビリティ関係'!$G$4:$G$494,AX$5,'VS×ケイパビリティ関係'!$E$4:$E$494,"支援")&gt;0,"○",""))</f>
        <v/>
      </c>
      <c r="AY11" s="98">
        <f>IF(COUNTIFS('VS×ケイパビリティ関係'!$F$4:$F$494,$B11,'VS×ケイパビリティ関係'!$G$4:$G$494,AY$5,'VS×ケイパビリティ関係'!$E$4:$E$494,"主")&gt;0,"●",IF(COUNTIFS('VS×ケイパビリティ関係'!$F$4:$F$494,$B11,'VS×ケイパビリティ関係'!$G$4:$G$494,AY$5,'VS×ケイパビリティ関係'!$E$4:$E$494,"支援")&gt;0,"○",""))</f>
        <v/>
      </c>
      <c r="AZ11" s="98">
        <f>IF(COUNTIFS('VS×ケイパビリティ関係'!$F$4:$F$494,$B11,'VS×ケイパビリティ関係'!$G$4:$G$494,AZ$5,'VS×ケイパビリティ関係'!$E$4:$E$494,"主")&gt;0,"●",IF(COUNTIFS('VS×ケイパビリティ関係'!$F$4:$F$494,$B11,'VS×ケイパビリティ関係'!$G$4:$G$494,AZ$5,'VS×ケイパビリティ関係'!$E$4:$E$494,"支援")&gt;0,"○",""))</f>
        <v/>
      </c>
      <c r="BA11" s="98">
        <f>IF(COUNTIFS('VS×ケイパビリティ関係'!$F$4:$F$494,$B11,'VS×ケイパビリティ関係'!$G$4:$G$494,BA$5,'VS×ケイパビリティ関係'!$E$4:$E$494,"主")&gt;0,"●",IF(COUNTIFS('VS×ケイパビリティ関係'!$F$4:$F$494,$B11,'VS×ケイパビリティ関係'!$G$4:$G$494,BA$5,'VS×ケイパビリティ関係'!$E$4:$E$494,"支援")&gt;0,"○",""))</f>
        <v/>
      </c>
      <c r="BB11" s="98">
        <f>IF(COUNTIFS('VS×ケイパビリティ関係'!$F$4:$F$494,$B11,'VS×ケイパビリティ関係'!$G$4:$G$494,BB$5,'VS×ケイパビリティ関係'!$E$4:$E$494,"主")&gt;0,"●",IF(COUNTIFS('VS×ケイパビリティ関係'!$F$4:$F$494,$B11,'VS×ケイパビリティ関係'!$G$4:$G$494,BB$5,'VS×ケイパビリティ関係'!$E$4:$E$494,"支援")&gt;0,"○",""))</f>
        <v/>
      </c>
      <c r="BC11" s="98">
        <f>IF(COUNTIFS('VS×ケイパビリティ関係'!$F$4:$F$494,$B11,'VS×ケイパビリティ関係'!$G$4:$G$494,BC$5,'VS×ケイパビリティ関係'!$E$4:$E$494,"主")&gt;0,"●",IF(COUNTIFS('VS×ケイパビリティ関係'!$F$4:$F$494,$B11,'VS×ケイパビリティ関係'!$G$4:$G$494,BC$5,'VS×ケイパビリティ関係'!$E$4:$E$494,"支援")&gt;0,"○",""))</f>
        <v/>
      </c>
      <c r="BD11" s="98">
        <f>IF(COUNTIFS('VS×ケイパビリティ関係'!$F$4:$F$494,$B11,'VS×ケイパビリティ関係'!$G$4:$G$494,BD$5,'VS×ケイパビリティ関係'!$E$4:$E$494,"主")&gt;0,"●",IF(COUNTIFS('VS×ケイパビリティ関係'!$F$4:$F$494,$B11,'VS×ケイパビリティ関係'!$G$4:$G$494,BD$5,'VS×ケイパビリティ関係'!$E$4:$E$494,"支援")&gt;0,"○",""))</f>
        <v/>
      </c>
      <c r="BE11" s="98">
        <f>COUNTIF(D11:BD11,"●")</f>
        <v/>
      </c>
      <c r="BF11" s="98">
        <f>COUNTIF(D11:BD11,"○")</f>
        <v/>
      </c>
    </row>
    <row r="12" ht="15" customHeight="1" s="80">
      <c r="A12" s="116" t="n"/>
      <c r="B12" s="98" t="inlineStr">
        <is>
          <t>02-02</t>
        </is>
      </c>
      <c r="C12" s="100" t="inlineStr">
        <is>
          <t>薬物動態・免疫原性評価</t>
        </is>
      </c>
      <c r="D12" s="98">
        <f>IF(COUNTIFS('VS×ケイパビリティ関係'!$F$4:$F$494,$B12,'VS×ケイパビリティ関係'!$G$4:$G$494,D$5,'VS×ケイパビリティ関係'!$E$4:$E$494,"主")&gt;0,"●",IF(COUNTIFS('VS×ケイパビリティ関係'!$F$4:$F$494,$B12,'VS×ケイパビリティ関係'!$G$4:$G$494,D$5,'VS×ケイパビリティ関係'!$E$4:$E$494,"支援")&gt;0,"○",""))</f>
        <v/>
      </c>
      <c r="E12" s="98">
        <f>IF(COUNTIFS('VS×ケイパビリティ関係'!$F$4:$F$494,$B12,'VS×ケイパビリティ関係'!$G$4:$G$494,E$5,'VS×ケイパビリティ関係'!$E$4:$E$494,"主")&gt;0,"●",IF(COUNTIFS('VS×ケイパビリティ関係'!$F$4:$F$494,$B12,'VS×ケイパビリティ関係'!$G$4:$G$494,E$5,'VS×ケイパビリティ関係'!$E$4:$E$494,"支援")&gt;0,"○",""))</f>
        <v/>
      </c>
      <c r="F12" s="98">
        <f>IF(COUNTIFS('VS×ケイパビリティ関係'!$F$4:$F$494,$B12,'VS×ケイパビリティ関係'!$G$4:$G$494,F$5,'VS×ケイパビリティ関係'!$E$4:$E$494,"主")&gt;0,"●",IF(COUNTIFS('VS×ケイパビリティ関係'!$F$4:$F$494,$B12,'VS×ケイパビリティ関係'!$G$4:$G$494,F$5,'VS×ケイパビリティ関係'!$E$4:$E$494,"支援")&gt;0,"○",""))</f>
        <v/>
      </c>
      <c r="G12" s="98">
        <f>IF(COUNTIFS('VS×ケイパビリティ関係'!$F$4:$F$494,$B12,'VS×ケイパビリティ関係'!$G$4:$G$494,G$5,'VS×ケイパビリティ関係'!$E$4:$E$494,"主")&gt;0,"●",IF(COUNTIFS('VS×ケイパビリティ関係'!$F$4:$F$494,$B12,'VS×ケイパビリティ関係'!$G$4:$G$494,G$5,'VS×ケイパビリティ関係'!$E$4:$E$494,"支援")&gt;0,"○",""))</f>
        <v/>
      </c>
      <c r="H12" s="98">
        <f>IF(COUNTIFS('VS×ケイパビリティ関係'!$F$4:$F$494,$B12,'VS×ケイパビリティ関係'!$G$4:$G$494,H$5,'VS×ケイパビリティ関係'!$E$4:$E$494,"主")&gt;0,"●",IF(COUNTIFS('VS×ケイパビリティ関係'!$F$4:$F$494,$B12,'VS×ケイパビリティ関係'!$G$4:$G$494,H$5,'VS×ケイパビリティ関係'!$E$4:$E$494,"支援")&gt;0,"○",""))</f>
        <v/>
      </c>
      <c r="I12" s="98">
        <f>IF(COUNTIFS('VS×ケイパビリティ関係'!$F$4:$F$494,$B12,'VS×ケイパビリティ関係'!$G$4:$G$494,I$5,'VS×ケイパビリティ関係'!$E$4:$E$494,"主")&gt;0,"●",IF(COUNTIFS('VS×ケイパビリティ関係'!$F$4:$F$494,$B12,'VS×ケイパビリティ関係'!$G$4:$G$494,I$5,'VS×ケイパビリティ関係'!$E$4:$E$494,"支援")&gt;0,"○",""))</f>
        <v/>
      </c>
      <c r="J12" s="98">
        <f>IF(COUNTIFS('VS×ケイパビリティ関係'!$F$4:$F$494,$B12,'VS×ケイパビリティ関係'!$G$4:$G$494,J$5,'VS×ケイパビリティ関係'!$E$4:$E$494,"主")&gt;0,"●",IF(COUNTIFS('VS×ケイパビリティ関係'!$F$4:$F$494,$B12,'VS×ケイパビリティ関係'!$G$4:$G$494,J$5,'VS×ケイパビリティ関係'!$E$4:$E$494,"支援")&gt;0,"○",""))</f>
        <v/>
      </c>
      <c r="K12" s="98">
        <f>IF(COUNTIFS('VS×ケイパビリティ関係'!$F$4:$F$494,$B12,'VS×ケイパビリティ関係'!$G$4:$G$494,K$5,'VS×ケイパビリティ関係'!$E$4:$E$494,"主")&gt;0,"●",IF(COUNTIFS('VS×ケイパビリティ関係'!$F$4:$F$494,$B12,'VS×ケイパビリティ関係'!$G$4:$G$494,K$5,'VS×ケイパビリティ関係'!$E$4:$E$494,"支援")&gt;0,"○",""))</f>
        <v/>
      </c>
      <c r="L12" s="98">
        <f>IF(COUNTIFS('VS×ケイパビリティ関係'!$F$4:$F$494,$B12,'VS×ケイパビリティ関係'!$G$4:$G$494,L$5,'VS×ケイパビリティ関係'!$E$4:$E$494,"主")&gt;0,"●",IF(COUNTIFS('VS×ケイパビリティ関係'!$F$4:$F$494,$B12,'VS×ケイパビリティ関係'!$G$4:$G$494,L$5,'VS×ケイパビリティ関係'!$E$4:$E$494,"支援")&gt;0,"○",""))</f>
        <v/>
      </c>
      <c r="M12" s="98">
        <f>IF(COUNTIFS('VS×ケイパビリティ関係'!$F$4:$F$494,$B12,'VS×ケイパビリティ関係'!$G$4:$G$494,M$5,'VS×ケイパビリティ関係'!$E$4:$E$494,"主")&gt;0,"●",IF(COUNTIFS('VS×ケイパビリティ関係'!$F$4:$F$494,$B12,'VS×ケイパビリティ関係'!$G$4:$G$494,M$5,'VS×ケイパビリティ関係'!$E$4:$E$494,"支援")&gt;0,"○",""))</f>
        <v/>
      </c>
      <c r="N12" s="98">
        <f>IF(COUNTIFS('VS×ケイパビリティ関係'!$F$4:$F$494,$B12,'VS×ケイパビリティ関係'!$G$4:$G$494,N$5,'VS×ケイパビリティ関係'!$E$4:$E$494,"主")&gt;0,"●",IF(COUNTIFS('VS×ケイパビリティ関係'!$F$4:$F$494,$B12,'VS×ケイパビリティ関係'!$G$4:$G$494,N$5,'VS×ケイパビリティ関係'!$E$4:$E$494,"支援")&gt;0,"○",""))</f>
        <v/>
      </c>
      <c r="O12" s="98">
        <f>IF(COUNTIFS('VS×ケイパビリティ関係'!$F$4:$F$494,$B12,'VS×ケイパビリティ関係'!$G$4:$G$494,O$5,'VS×ケイパビリティ関係'!$E$4:$E$494,"主")&gt;0,"●",IF(COUNTIFS('VS×ケイパビリティ関係'!$F$4:$F$494,$B12,'VS×ケイパビリティ関係'!$G$4:$G$494,O$5,'VS×ケイパビリティ関係'!$E$4:$E$494,"支援")&gt;0,"○",""))</f>
        <v/>
      </c>
      <c r="P12" s="98">
        <f>IF(COUNTIFS('VS×ケイパビリティ関係'!$F$4:$F$494,$B12,'VS×ケイパビリティ関係'!$G$4:$G$494,P$5,'VS×ケイパビリティ関係'!$E$4:$E$494,"主")&gt;0,"●",IF(COUNTIFS('VS×ケイパビリティ関係'!$F$4:$F$494,$B12,'VS×ケイパビリティ関係'!$G$4:$G$494,P$5,'VS×ケイパビリティ関係'!$E$4:$E$494,"支援")&gt;0,"○",""))</f>
        <v/>
      </c>
      <c r="Q12" s="98">
        <f>IF(COUNTIFS('VS×ケイパビリティ関係'!$F$4:$F$494,$B12,'VS×ケイパビリティ関係'!$G$4:$G$494,Q$5,'VS×ケイパビリティ関係'!$E$4:$E$494,"主")&gt;0,"●",IF(COUNTIFS('VS×ケイパビリティ関係'!$F$4:$F$494,$B12,'VS×ケイパビリティ関係'!$G$4:$G$494,Q$5,'VS×ケイパビリティ関係'!$E$4:$E$494,"支援")&gt;0,"○",""))</f>
        <v/>
      </c>
      <c r="R12" s="98">
        <f>IF(COUNTIFS('VS×ケイパビリティ関係'!$F$4:$F$494,$B12,'VS×ケイパビリティ関係'!$G$4:$G$494,R$5,'VS×ケイパビリティ関係'!$E$4:$E$494,"主")&gt;0,"●",IF(COUNTIFS('VS×ケイパビリティ関係'!$F$4:$F$494,$B12,'VS×ケイパビリティ関係'!$G$4:$G$494,R$5,'VS×ケイパビリティ関係'!$E$4:$E$494,"支援")&gt;0,"○",""))</f>
        <v/>
      </c>
      <c r="S12" s="98">
        <f>IF(COUNTIFS('VS×ケイパビリティ関係'!$F$4:$F$494,$B12,'VS×ケイパビリティ関係'!$G$4:$G$494,S$5,'VS×ケイパビリティ関係'!$E$4:$E$494,"主")&gt;0,"●",IF(COUNTIFS('VS×ケイパビリティ関係'!$F$4:$F$494,$B12,'VS×ケイパビリティ関係'!$G$4:$G$494,S$5,'VS×ケイパビリティ関係'!$E$4:$E$494,"支援")&gt;0,"○",""))</f>
        <v/>
      </c>
      <c r="T12" s="98">
        <f>IF(COUNTIFS('VS×ケイパビリティ関係'!$F$4:$F$494,$B12,'VS×ケイパビリティ関係'!$G$4:$G$494,T$5,'VS×ケイパビリティ関係'!$E$4:$E$494,"主")&gt;0,"●",IF(COUNTIFS('VS×ケイパビリティ関係'!$F$4:$F$494,$B12,'VS×ケイパビリティ関係'!$G$4:$G$494,T$5,'VS×ケイパビリティ関係'!$E$4:$E$494,"支援")&gt;0,"○",""))</f>
        <v/>
      </c>
      <c r="U12" s="98">
        <f>IF(COUNTIFS('VS×ケイパビリティ関係'!$F$4:$F$494,$B12,'VS×ケイパビリティ関係'!$G$4:$G$494,U$5,'VS×ケイパビリティ関係'!$E$4:$E$494,"主")&gt;0,"●",IF(COUNTIFS('VS×ケイパビリティ関係'!$F$4:$F$494,$B12,'VS×ケイパビリティ関係'!$G$4:$G$494,U$5,'VS×ケイパビリティ関係'!$E$4:$E$494,"支援")&gt;0,"○",""))</f>
        <v/>
      </c>
      <c r="V12" s="98">
        <f>IF(COUNTIFS('VS×ケイパビリティ関係'!$F$4:$F$494,$B12,'VS×ケイパビリティ関係'!$G$4:$G$494,V$5,'VS×ケイパビリティ関係'!$E$4:$E$494,"主")&gt;0,"●",IF(COUNTIFS('VS×ケイパビリティ関係'!$F$4:$F$494,$B12,'VS×ケイパビリティ関係'!$G$4:$G$494,V$5,'VS×ケイパビリティ関係'!$E$4:$E$494,"支援")&gt;0,"○",""))</f>
        <v/>
      </c>
      <c r="W12" s="98">
        <f>IF(COUNTIFS('VS×ケイパビリティ関係'!$F$4:$F$494,$B12,'VS×ケイパビリティ関係'!$G$4:$G$494,W$5,'VS×ケイパビリティ関係'!$E$4:$E$494,"主")&gt;0,"●",IF(COUNTIFS('VS×ケイパビリティ関係'!$F$4:$F$494,$B12,'VS×ケイパビリティ関係'!$G$4:$G$494,W$5,'VS×ケイパビリティ関係'!$E$4:$E$494,"支援")&gt;0,"○",""))</f>
        <v/>
      </c>
      <c r="X12" s="98">
        <f>IF(COUNTIFS('VS×ケイパビリティ関係'!$F$4:$F$494,$B12,'VS×ケイパビリティ関係'!$G$4:$G$494,X$5,'VS×ケイパビリティ関係'!$E$4:$E$494,"主")&gt;0,"●",IF(COUNTIFS('VS×ケイパビリティ関係'!$F$4:$F$494,$B12,'VS×ケイパビリティ関係'!$G$4:$G$494,X$5,'VS×ケイパビリティ関係'!$E$4:$E$494,"支援")&gt;0,"○",""))</f>
        <v/>
      </c>
      <c r="Y12" s="98">
        <f>IF(COUNTIFS('VS×ケイパビリティ関係'!$F$4:$F$494,$B12,'VS×ケイパビリティ関係'!$G$4:$G$494,Y$5,'VS×ケイパビリティ関係'!$E$4:$E$494,"主")&gt;0,"●",IF(COUNTIFS('VS×ケイパビリティ関係'!$F$4:$F$494,$B12,'VS×ケイパビリティ関係'!$G$4:$G$494,Y$5,'VS×ケイパビリティ関係'!$E$4:$E$494,"支援")&gt;0,"○",""))</f>
        <v/>
      </c>
      <c r="Z12" s="98">
        <f>IF(COUNTIFS('VS×ケイパビリティ関係'!$F$4:$F$494,$B12,'VS×ケイパビリティ関係'!$G$4:$G$494,Z$5,'VS×ケイパビリティ関係'!$E$4:$E$494,"主")&gt;0,"●",IF(COUNTIFS('VS×ケイパビリティ関係'!$F$4:$F$494,$B12,'VS×ケイパビリティ関係'!$G$4:$G$494,Z$5,'VS×ケイパビリティ関係'!$E$4:$E$494,"支援")&gt;0,"○",""))</f>
        <v/>
      </c>
      <c r="AA12" s="98">
        <f>IF(COUNTIFS('VS×ケイパビリティ関係'!$F$4:$F$494,$B12,'VS×ケイパビリティ関係'!$G$4:$G$494,AA$5,'VS×ケイパビリティ関係'!$E$4:$E$494,"主")&gt;0,"●",IF(COUNTIFS('VS×ケイパビリティ関係'!$F$4:$F$494,$B12,'VS×ケイパビリティ関係'!$G$4:$G$494,AA$5,'VS×ケイパビリティ関係'!$E$4:$E$494,"支援")&gt;0,"○",""))</f>
        <v/>
      </c>
      <c r="AB12" s="98">
        <f>IF(COUNTIFS('VS×ケイパビリティ関係'!$F$4:$F$494,$B12,'VS×ケイパビリティ関係'!$G$4:$G$494,AB$5,'VS×ケイパビリティ関係'!$E$4:$E$494,"主")&gt;0,"●",IF(COUNTIFS('VS×ケイパビリティ関係'!$F$4:$F$494,$B12,'VS×ケイパビリティ関係'!$G$4:$G$494,AB$5,'VS×ケイパビリティ関係'!$E$4:$E$494,"支援")&gt;0,"○",""))</f>
        <v/>
      </c>
      <c r="AC12" s="98">
        <f>IF(COUNTIFS('VS×ケイパビリティ関係'!$F$4:$F$494,$B12,'VS×ケイパビリティ関係'!$G$4:$G$494,AC$5,'VS×ケイパビリティ関係'!$E$4:$E$494,"主")&gt;0,"●",IF(COUNTIFS('VS×ケイパビリティ関係'!$F$4:$F$494,$B12,'VS×ケイパビリティ関係'!$G$4:$G$494,AC$5,'VS×ケイパビリティ関係'!$E$4:$E$494,"支援")&gt;0,"○",""))</f>
        <v/>
      </c>
      <c r="AD12" s="98">
        <f>IF(COUNTIFS('VS×ケイパビリティ関係'!$F$4:$F$494,$B12,'VS×ケイパビリティ関係'!$G$4:$G$494,AD$5,'VS×ケイパビリティ関係'!$E$4:$E$494,"主")&gt;0,"●",IF(COUNTIFS('VS×ケイパビリティ関係'!$F$4:$F$494,$B12,'VS×ケイパビリティ関係'!$G$4:$G$494,AD$5,'VS×ケイパビリティ関係'!$E$4:$E$494,"支援")&gt;0,"○",""))</f>
        <v/>
      </c>
      <c r="AE12" s="98">
        <f>IF(COUNTIFS('VS×ケイパビリティ関係'!$F$4:$F$494,$B12,'VS×ケイパビリティ関係'!$G$4:$G$494,AE$5,'VS×ケイパビリティ関係'!$E$4:$E$494,"主")&gt;0,"●",IF(COUNTIFS('VS×ケイパビリティ関係'!$F$4:$F$494,$B12,'VS×ケイパビリティ関係'!$G$4:$G$494,AE$5,'VS×ケイパビリティ関係'!$E$4:$E$494,"支援")&gt;0,"○",""))</f>
        <v/>
      </c>
      <c r="AF12" s="98">
        <f>IF(COUNTIFS('VS×ケイパビリティ関係'!$F$4:$F$494,$B12,'VS×ケイパビリティ関係'!$G$4:$G$494,AF$5,'VS×ケイパビリティ関係'!$E$4:$E$494,"主")&gt;0,"●",IF(COUNTIFS('VS×ケイパビリティ関係'!$F$4:$F$494,$B12,'VS×ケイパビリティ関係'!$G$4:$G$494,AF$5,'VS×ケイパビリティ関係'!$E$4:$E$494,"支援")&gt;0,"○",""))</f>
        <v/>
      </c>
      <c r="AG12" s="98">
        <f>IF(COUNTIFS('VS×ケイパビリティ関係'!$F$4:$F$494,$B12,'VS×ケイパビリティ関係'!$G$4:$G$494,AG$5,'VS×ケイパビリティ関係'!$E$4:$E$494,"主")&gt;0,"●",IF(COUNTIFS('VS×ケイパビリティ関係'!$F$4:$F$494,$B12,'VS×ケイパビリティ関係'!$G$4:$G$494,AG$5,'VS×ケイパビリティ関係'!$E$4:$E$494,"支援")&gt;0,"○",""))</f>
        <v/>
      </c>
      <c r="AH12" s="98">
        <f>IF(COUNTIFS('VS×ケイパビリティ関係'!$F$4:$F$494,$B12,'VS×ケイパビリティ関係'!$G$4:$G$494,AH$5,'VS×ケイパビリティ関係'!$E$4:$E$494,"主")&gt;0,"●",IF(COUNTIFS('VS×ケイパビリティ関係'!$F$4:$F$494,$B12,'VS×ケイパビリティ関係'!$G$4:$G$494,AH$5,'VS×ケイパビリティ関係'!$E$4:$E$494,"支援")&gt;0,"○",""))</f>
        <v/>
      </c>
      <c r="AI12" s="98">
        <f>IF(COUNTIFS('VS×ケイパビリティ関係'!$F$4:$F$494,$B12,'VS×ケイパビリティ関係'!$G$4:$G$494,AI$5,'VS×ケイパビリティ関係'!$E$4:$E$494,"主")&gt;0,"●",IF(COUNTIFS('VS×ケイパビリティ関係'!$F$4:$F$494,$B12,'VS×ケイパビリティ関係'!$G$4:$G$494,AI$5,'VS×ケイパビリティ関係'!$E$4:$E$494,"支援")&gt;0,"○",""))</f>
        <v/>
      </c>
      <c r="AJ12" s="98">
        <f>IF(COUNTIFS('VS×ケイパビリティ関係'!$F$4:$F$494,$B12,'VS×ケイパビリティ関係'!$G$4:$G$494,AJ$5,'VS×ケイパビリティ関係'!$E$4:$E$494,"主")&gt;0,"●",IF(COUNTIFS('VS×ケイパビリティ関係'!$F$4:$F$494,$B12,'VS×ケイパビリティ関係'!$G$4:$G$494,AJ$5,'VS×ケイパビリティ関係'!$E$4:$E$494,"支援")&gt;0,"○",""))</f>
        <v/>
      </c>
      <c r="AK12" s="98">
        <f>IF(COUNTIFS('VS×ケイパビリティ関係'!$F$4:$F$494,$B12,'VS×ケイパビリティ関係'!$G$4:$G$494,AK$5,'VS×ケイパビリティ関係'!$E$4:$E$494,"主")&gt;0,"●",IF(COUNTIFS('VS×ケイパビリティ関係'!$F$4:$F$494,$B12,'VS×ケイパビリティ関係'!$G$4:$G$494,AK$5,'VS×ケイパビリティ関係'!$E$4:$E$494,"支援")&gt;0,"○",""))</f>
        <v/>
      </c>
      <c r="AL12" s="98">
        <f>IF(COUNTIFS('VS×ケイパビリティ関係'!$F$4:$F$494,$B12,'VS×ケイパビリティ関係'!$G$4:$G$494,AL$5,'VS×ケイパビリティ関係'!$E$4:$E$494,"主")&gt;0,"●",IF(COUNTIFS('VS×ケイパビリティ関係'!$F$4:$F$494,$B12,'VS×ケイパビリティ関係'!$G$4:$G$494,AL$5,'VS×ケイパビリティ関係'!$E$4:$E$494,"支援")&gt;0,"○",""))</f>
        <v/>
      </c>
      <c r="AM12" s="98">
        <f>IF(COUNTIFS('VS×ケイパビリティ関係'!$F$4:$F$494,$B12,'VS×ケイパビリティ関係'!$G$4:$G$494,AM$5,'VS×ケイパビリティ関係'!$E$4:$E$494,"主")&gt;0,"●",IF(COUNTIFS('VS×ケイパビリティ関係'!$F$4:$F$494,$B12,'VS×ケイパビリティ関係'!$G$4:$G$494,AM$5,'VS×ケイパビリティ関係'!$E$4:$E$494,"支援")&gt;0,"○",""))</f>
        <v/>
      </c>
      <c r="AN12" s="98">
        <f>IF(COUNTIFS('VS×ケイパビリティ関係'!$F$4:$F$494,$B12,'VS×ケイパビリティ関係'!$G$4:$G$494,AN$5,'VS×ケイパビリティ関係'!$E$4:$E$494,"主")&gt;0,"●",IF(COUNTIFS('VS×ケイパビリティ関係'!$F$4:$F$494,$B12,'VS×ケイパビリティ関係'!$G$4:$G$494,AN$5,'VS×ケイパビリティ関係'!$E$4:$E$494,"支援")&gt;0,"○",""))</f>
        <v/>
      </c>
      <c r="AO12" s="98">
        <f>IF(COUNTIFS('VS×ケイパビリティ関係'!$F$4:$F$494,$B12,'VS×ケイパビリティ関係'!$G$4:$G$494,AO$5,'VS×ケイパビリティ関係'!$E$4:$E$494,"主")&gt;0,"●",IF(COUNTIFS('VS×ケイパビリティ関係'!$F$4:$F$494,$B12,'VS×ケイパビリティ関係'!$G$4:$G$494,AO$5,'VS×ケイパビリティ関係'!$E$4:$E$494,"支援")&gt;0,"○",""))</f>
        <v/>
      </c>
      <c r="AP12" s="98">
        <f>IF(COUNTIFS('VS×ケイパビリティ関係'!$F$4:$F$494,$B12,'VS×ケイパビリティ関係'!$G$4:$G$494,AP$5,'VS×ケイパビリティ関係'!$E$4:$E$494,"主")&gt;0,"●",IF(COUNTIFS('VS×ケイパビリティ関係'!$F$4:$F$494,$B12,'VS×ケイパビリティ関係'!$G$4:$G$494,AP$5,'VS×ケイパビリティ関係'!$E$4:$E$494,"支援")&gt;0,"○",""))</f>
        <v/>
      </c>
      <c r="AQ12" s="98">
        <f>IF(COUNTIFS('VS×ケイパビリティ関係'!$F$4:$F$494,$B12,'VS×ケイパビリティ関係'!$G$4:$G$494,AQ$5,'VS×ケイパビリティ関係'!$E$4:$E$494,"主")&gt;0,"●",IF(COUNTIFS('VS×ケイパビリティ関係'!$F$4:$F$494,$B12,'VS×ケイパビリティ関係'!$G$4:$G$494,AQ$5,'VS×ケイパビリティ関係'!$E$4:$E$494,"支援")&gt;0,"○",""))</f>
        <v/>
      </c>
      <c r="AR12" s="98">
        <f>IF(COUNTIFS('VS×ケイパビリティ関係'!$F$4:$F$494,$B12,'VS×ケイパビリティ関係'!$G$4:$G$494,AR$5,'VS×ケイパビリティ関係'!$E$4:$E$494,"主")&gt;0,"●",IF(COUNTIFS('VS×ケイパビリティ関係'!$F$4:$F$494,$B12,'VS×ケイパビリティ関係'!$G$4:$G$494,AR$5,'VS×ケイパビリティ関係'!$E$4:$E$494,"支援")&gt;0,"○",""))</f>
        <v/>
      </c>
      <c r="AS12" s="98">
        <f>IF(COUNTIFS('VS×ケイパビリティ関係'!$F$4:$F$494,$B12,'VS×ケイパビリティ関係'!$G$4:$G$494,AS$5,'VS×ケイパビリティ関係'!$E$4:$E$494,"主")&gt;0,"●",IF(COUNTIFS('VS×ケイパビリティ関係'!$F$4:$F$494,$B12,'VS×ケイパビリティ関係'!$G$4:$G$494,AS$5,'VS×ケイパビリティ関係'!$E$4:$E$494,"支援")&gt;0,"○",""))</f>
        <v/>
      </c>
      <c r="AT12" s="98">
        <f>IF(COUNTIFS('VS×ケイパビリティ関係'!$F$4:$F$494,$B12,'VS×ケイパビリティ関係'!$G$4:$G$494,AT$5,'VS×ケイパビリティ関係'!$E$4:$E$494,"主")&gt;0,"●",IF(COUNTIFS('VS×ケイパビリティ関係'!$F$4:$F$494,$B12,'VS×ケイパビリティ関係'!$G$4:$G$494,AT$5,'VS×ケイパビリティ関係'!$E$4:$E$494,"支援")&gt;0,"○",""))</f>
        <v/>
      </c>
      <c r="AU12" s="98">
        <f>IF(COUNTIFS('VS×ケイパビリティ関係'!$F$4:$F$494,$B12,'VS×ケイパビリティ関係'!$G$4:$G$494,AU$5,'VS×ケイパビリティ関係'!$E$4:$E$494,"主")&gt;0,"●",IF(COUNTIFS('VS×ケイパビリティ関係'!$F$4:$F$494,$B12,'VS×ケイパビリティ関係'!$G$4:$G$494,AU$5,'VS×ケイパビリティ関係'!$E$4:$E$494,"支援")&gt;0,"○",""))</f>
        <v/>
      </c>
      <c r="AV12" s="98">
        <f>IF(COUNTIFS('VS×ケイパビリティ関係'!$F$4:$F$494,$B12,'VS×ケイパビリティ関係'!$G$4:$G$494,AV$5,'VS×ケイパビリティ関係'!$E$4:$E$494,"主")&gt;0,"●",IF(COUNTIFS('VS×ケイパビリティ関係'!$F$4:$F$494,$B12,'VS×ケイパビリティ関係'!$G$4:$G$494,AV$5,'VS×ケイパビリティ関係'!$E$4:$E$494,"支援")&gt;0,"○",""))</f>
        <v/>
      </c>
      <c r="AW12" s="98">
        <f>IF(COUNTIFS('VS×ケイパビリティ関係'!$F$4:$F$494,$B12,'VS×ケイパビリティ関係'!$G$4:$G$494,AW$5,'VS×ケイパビリティ関係'!$E$4:$E$494,"主")&gt;0,"●",IF(COUNTIFS('VS×ケイパビリティ関係'!$F$4:$F$494,$B12,'VS×ケイパビリティ関係'!$G$4:$G$494,AW$5,'VS×ケイパビリティ関係'!$E$4:$E$494,"支援")&gt;0,"○",""))</f>
        <v/>
      </c>
      <c r="AX12" s="98">
        <f>IF(COUNTIFS('VS×ケイパビリティ関係'!$F$4:$F$494,$B12,'VS×ケイパビリティ関係'!$G$4:$G$494,AX$5,'VS×ケイパビリティ関係'!$E$4:$E$494,"主")&gt;0,"●",IF(COUNTIFS('VS×ケイパビリティ関係'!$F$4:$F$494,$B12,'VS×ケイパビリティ関係'!$G$4:$G$494,AX$5,'VS×ケイパビリティ関係'!$E$4:$E$494,"支援")&gt;0,"○",""))</f>
        <v/>
      </c>
      <c r="AY12" s="98">
        <f>IF(COUNTIFS('VS×ケイパビリティ関係'!$F$4:$F$494,$B12,'VS×ケイパビリティ関係'!$G$4:$G$494,AY$5,'VS×ケイパビリティ関係'!$E$4:$E$494,"主")&gt;0,"●",IF(COUNTIFS('VS×ケイパビリティ関係'!$F$4:$F$494,$B12,'VS×ケイパビリティ関係'!$G$4:$G$494,AY$5,'VS×ケイパビリティ関係'!$E$4:$E$494,"支援")&gt;0,"○",""))</f>
        <v/>
      </c>
      <c r="AZ12" s="98">
        <f>IF(COUNTIFS('VS×ケイパビリティ関係'!$F$4:$F$494,$B12,'VS×ケイパビリティ関係'!$G$4:$G$494,AZ$5,'VS×ケイパビリティ関係'!$E$4:$E$494,"主")&gt;0,"●",IF(COUNTIFS('VS×ケイパビリティ関係'!$F$4:$F$494,$B12,'VS×ケイパビリティ関係'!$G$4:$G$494,AZ$5,'VS×ケイパビリティ関係'!$E$4:$E$494,"支援")&gt;0,"○",""))</f>
        <v/>
      </c>
      <c r="BA12" s="98">
        <f>IF(COUNTIFS('VS×ケイパビリティ関係'!$F$4:$F$494,$B12,'VS×ケイパビリティ関係'!$G$4:$G$494,BA$5,'VS×ケイパビリティ関係'!$E$4:$E$494,"主")&gt;0,"●",IF(COUNTIFS('VS×ケイパビリティ関係'!$F$4:$F$494,$B12,'VS×ケイパビリティ関係'!$G$4:$G$494,BA$5,'VS×ケイパビリティ関係'!$E$4:$E$494,"支援")&gt;0,"○",""))</f>
        <v/>
      </c>
      <c r="BB12" s="98">
        <f>IF(COUNTIFS('VS×ケイパビリティ関係'!$F$4:$F$494,$B12,'VS×ケイパビリティ関係'!$G$4:$G$494,BB$5,'VS×ケイパビリティ関係'!$E$4:$E$494,"主")&gt;0,"●",IF(COUNTIFS('VS×ケイパビリティ関係'!$F$4:$F$494,$B12,'VS×ケイパビリティ関係'!$G$4:$G$494,BB$5,'VS×ケイパビリティ関係'!$E$4:$E$494,"支援")&gt;0,"○",""))</f>
        <v/>
      </c>
      <c r="BC12" s="98">
        <f>IF(COUNTIFS('VS×ケイパビリティ関係'!$F$4:$F$494,$B12,'VS×ケイパビリティ関係'!$G$4:$G$494,BC$5,'VS×ケイパビリティ関係'!$E$4:$E$494,"主")&gt;0,"●",IF(COUNTIFS('VS×ケイパビリティ関係'!$F$4:$F$494,$B12,'VS×ケイパビリティ関係'!$G$4:$G$494,BC$5,'VS×ケイパビリティ関係'!$E$4:$E$494,"支援")&gt;0,"○",""))</f>
        <v/>
      </c>
      <c r="BD12" s="98">
        <f>IF(COUNTIFS('VS×ケイパビリティ関係'!$F$4:$F$494,$B12,'VS×ケイパビリティ関係'!$G$4:$G$494,BD$5,'VS×ケイパビリティ関係'!$E$4:$E$494,"主")&gt;0,"●",IF(COUNTIFS('VS×ケイパビリティ関係'!$F$4:$F$494,$B12,'VS×ケイパビリティ関係'!$G$4:$G$494,BD$5,'VS×ケイパビリティ関係'!$E$4:$E$494,"支援")&gt;0,"○",""))</f>
        <v/>
      </c>
      <c r="BE12" s="98">
        <f>COUNTIF(D12:BD12,"●")</f>
        <v/>
      </c>
      <c r="BF12" s="98">
        <f>COUNTIF(D12:BD12,"○")</f>
        <v/>
      </c>
    </row>
    <row r="13" ht="15" customHeight="1" s="80">
      <c r="A13" s="116" t="n"/>
      <c r="B13" s="98" t="inlineStr">
        <is>
          <t>02-03</t>
        </is>
      </c>
      <c r="C13" s="100" t="inlineStr">
        <is>
          <t>安全性評価</t>
        </is>
      </c>
      <c r="D13" s="98">
        <f>IF(COUNTIFS('VS×ケイパビリティ関係'!$F$4:$F$494,$B13,'VS×ケイパビリティ関係'!$G$4:$G$494,D$5,'VS×ケイパビリティ関係'!$E$4:$E$494,"主")&gt;0,"●",IF(COUNTIFS('VS×ケイパビリティ関係'!$F$4:$F$494,$B13,'VS×ケイパビリティ関係'!$G$4:$G$494,D$5,'VS×ケイパビリティ関係'!$E$4:$E$494,"支援")&gt;0,"○",""))</f>
        <v/>
      </c>
      <c r="E13" s="98">
        <f>IF(COUNTIFS('VS×ケイパビリティ関係'!$F$4:$F$494,$B13,'VS×ケイパビリティ関係'!$G$4:$G$494,E$5,'VS×ケイパビリティ関係'!$E$4:$E$494,"主")&gt;0,"●",IF(COUNTIFS('VS×ケイパビリティ関係'!$F$4:$F$494,$B13,'VS×ケイパビリティ関係'!$G$4:$G$494,E$5,'VS×ケイパビリティ関係'!$E$4:$E$494,"支援")&gt;0,"○",""))</f>
        <v/>
      </c>
      <c r="F13" s="98">
        <f>IF(COUNTIFS('VS×ケイパビリティ関係'!$F$4:$F$494,$B13,'VS×ケイパビリティ関係'!$G$4:$G$494,F$5,'VS×ケイパビリティ関係'!$E$4:$E$494,"主")&gt;0,"●",IF(COUNTIFS('VS×ケイパビリティ関係'!$F$4:$F$494,$B13,'VS×ケイパビリティ関係'!$G$4:$G$494,F$5,'VS×ケイパビリティ関係'!$E$4:$E$494,"支援")&gt;0,"○",""))</f>
        <v/>
      </c>
      <c r="G13" s="98">
        <f>IF(COUNTIFS('VS×ケイパビリティ関係'!$F$4:$F$494,$B13,'VS×ケイパビリティ関係'!$G$4:$G$494,G$5,'VS×ケイパビリティ関係'!$E$4:$E$494,"主")&gt;0,"●",IF(COUNTIFS('VS×ケイパビリティ関係'!$F$4:$F$494,$B13,'VS×ケイパビリティ関係'!$G$4:$G$494,G$5,'VS×ケイパビリティ関係'!$E$4:$E$494,"支援")&gt;0,"○",""))</f>
        <v/>
      </c>
      <c r="H13" s="98">
        <f>IF(COUNTIFS('VS×ケイパビリティ関係'!$F$4:$F$494,$B13,'VS×ケイパビリティ関係'!$G$4:$G$494,H$5,'VS×ケイパビリティ関係'!$E$4:$E$494,"主")&gt;0,"●",IF(COUNTIFS('VS×ケイパビリティ関係'!$F$4:$F$494,$B13,'VS×ケイパビリティ関係'!$G$4:$G$494,H$5,'VS×ケイパビリティ関係'!$E$4:$E$494,"支援")&gt;0,"○",""))</f>
        <v/>
      </c>
      <c r="I13" s="98">
        <f>IF(COUNTIFS('VS×ケイパビリティ関係'!$F$4:$F$494,$B13,'VS×ケイパビリティ関係'!$G$4:$G$494,I$5,'VS×ケイパビリティ関係'!$E$4:$E$494,"主")&gt;0,"●",IF(COUNTIFS('VS×ケイパビリティ関係'!$F$4:$F$494,$B13,'VS×ケイパビリティ関係'!$G$4:$G$494,I$5,'VS×ケイパビリティ関係'!$E$4:$E$494,"支援")&gt;0,"○",""))</f>
        <v/>
      </c>
      <c r="J13" s="98">
        <f>IF(COUNTIFS('VS×ケイパビリティ関係'!$F$4:$F$494,$B13,'VS×ケイパビリティ関係'!$G$4:$G$494,J$5,'VS×ケイパビリティ関係'!$E$4:$E$494,"主")&gt;0,"●",IF(COUNTIFS('VS×ケイパビリティ関係'!$F$4:$F$494,$B13,'VS×ケイパビリティ関係'!$G$4:$G$494,J$5,'VS×ケイパビリティ関係'!$E$4:$E$494,"支援")&gt;0,"○",""))</f>
        <v/>
      </c>
      <c r="K13" s="98">
        <f>IF(COUNTIFS('VS×ケイパビリティ関係'!$F$4:$F$494,$B13,'VS×ケイパビリティ関係'!$G$4:$G$494,K$5,'VS×ケイパビリティ関係'!$E$4:$E$494,"主")&gt;0,"●",IF(COUNTIFS('VS×ケイパビリティ関係'!$F$4:$F$494,$B13,'VS×ケイパビリティ関係'!$G$4:$G$494,K$5,'VS×ケイパビリティ関係'!$E$4:$E$494,"支援")&gt;0,"○",""))</f>
        <v/>
      </c>
      <c r="L13" s="98">
        <f>IF(COUNTIFS('VS×ケイパビリティ関係'!$F$4:$F$494,$B13,'VS×ケイパビリティ関係'!$G$4:$G$494,L$5,'VS×ケイパビリティ関係'!$E$4:$E$494,"主")&gt;0,"●",IF(COUNTIFS('VS×ケイパビリティ関係'!$F$4:$F$494,$B13,'VS×ケイパビリティ関係'!$G$4:$G$494,L$5,'VS×ケイパビリティ関係'!$E$4:$E$494,"支援")&gt;0,"○",""))</f>
        <v/>
      </c>
      <c r="M13" s="98">
        <f>IF(COUNTIFS('VS×ケイパビリティ関係'!$F$4:$F$494,$B13,'VS×ケイパビリティ関係'!$G$4:$G$494,M$5,'VS×ケイパビリティ関係'!$E$4:$E$494,"主")&gt;0,"●",IF(COUNTIFS('VS×ケイパビリティ関係'!$F$4:$F$494,$B13,'VS×ケイパビリティ関係'!$G$4:$G$494,M$5,'VS×ケイパビリティ関係'!$E$4:$E$494,"支援")&gt;0,"○",""))</f>
        <v/>
      </c>
      <c r="N13" s="98">
        <f>IF(COUNTIFS('VS×ケイパビリティ関係'!$F$4:$F$494,$B13,'VS×ケイパビリティ関係'!$G$4:$G$494,N$5,'VS×ケイパビリティ関係'!$E$4:$E$494,"主")&gt;0,"●",IF(COUNTIFS('VS×ケイパビリティ関係'!$F$4:$F$494,$B13,'VS×ケイパビリティ関係'!$G$4:$G$494,N$5,'VS×ケイパビリティ関係'!$E$4:$E$494,"支援")&gt;0,"○",""))</f>
        <v/>
      </c>
      <c r="O13" s="98">
        <f>IF(COUNTIFS('VS×ケイパビリティ関係'!$F$4:$F$494,$B13,'VS×ケイパビリティ関係'!$G$4:$G$494,O$5,'VS×ケイパビリティ関係'!$E$4:$E$494,"主")&gt;0,"●",IF(COUNTIFS('VS×ケイパビリティ関係'!$F$4:$F$494,$B13,'VS×ケイパビリティ関係'!$G$4:$G$494,O$5,'VS×ケイパビリティ関係'!$E$4:$E$494,"支援")&gt;0,"○",""))</f>
        <v/>
      </c>
      <c r="P13" s="98">
        <f>IF(COUNTIFS('VS×ケイパビリティ関係'!$F$4:$F$494,$B13,'VS×ケイパビリティ関係'!$G$4:$G$494,P$5,'VS×ケイパビリティ関係'!$E$4:$E$494,"主")&gt;0,"●",IF(COUNTIFS('VS×ケイパビリティ関係'!$F$4:$F$494,$B13,'VS×ケイパビリティ関係'!$G$4:$G$494,P$5,'VS×ケイパビリティ関係'!$E$4:$E$494,"支援")&gt;0,"○",""))</f>
        <v/>
      </c>
      <c r="Q13" s="98">
        <f>IF(COUNTIFS('VS×ケイパビリティ関係'!$F$4:$F$494,$B13,'VS×ケイパビリティ関係'!$G$4:$G$494,Q$5,'VS×ケイパビリティ関係'!$E$4:$E$494,"主")&gt;0,"●",IF(COUNTIFS('VS×ケイパビリティ関係'!$F$4:$F$494,$B13,'VS×ケイパビリティ関係'!$G$4:$G$494,Q$5,'VS×ケイパビリティ関係'!$E$4:$E$494,"支援")&gt;0,"○",""))</f>
        <v/>
      </c>
      <c r="R13" s="98">
        <f>IF(COUNTIFS('VS×ケイパビリティ関係'!$F$4:$F$494,$B13,'VS×ケイパビリティ関係'!$G$4:$G$494,R$5,'VS×ケイパビリティ関係'!$E$4:$E$494,"主")&gt;0,"●",IF(COUNTIFS('VS×ケイパビリティ関係'!$F$4:$F$494,$B13,'VS×ケイパビリティ関係'!$G$4:$G$494,R$5,'VS×ケイパビリティ関係'!$E$4:$E$494,"支援")&gt;0,"○",""))</f>
        <v/>
      </c>
      <c r="S13" s="98">
        <f>IF(COUNTIFS('VS×ケイパビリティ関係'!$F$4:$F$494,$B13,'VS×ケイパビリティ関係'!$G$4:$G$494,S$5,'VS×ケイパビリティ関係'!$E$4:$E$494,"主")&gt;0,"●",IF(COUNTIFS('VS×ケイパビリティ関係'!$F$4:$F$494,$B13,'VS×ケイパビリティ関係'!$G$4:$G$494,S$5,'VS×ケイパビリティ関係'!$E$4:$E$494,"支援")&gt;0,"○",""))</f>
        <v/>
      </c>
      <c r="T13" s="98">
        <f>IF(COUNTIFS('VS×ケイパビリティ関係'!$F$4:$F$494,$B13,'VS×ケイパビリティ関係'!$G$4:$G$494,T$5,'VS×ケイパビリティ関係'!$E$4:$E$494,"主")&gt;0,"●",IF(COUNTIFS('VS×ケイパビリティ関係'!$F$4:$F$494,$B13,'VS×ケイパビリティ関係'!$G$4:$G$494,T$5,'VS×ケイパビリティ関係'!$E$4:$E$494,"支援")&gt;0,"○",""))</f>
        <v/>
      </c>
      <c r="U13" s="98">
        <f>IF(COUNTIFS('VS×ケイパビリティ関係'!$F$4:$F$494,$B13,'VS×ケイパビリティ関係'!$G$4:$G$494,U$5,'VS×ケイパビリティ関係'!$E$4:$E$494,"主")&gt;0,"●",IF(COUNTIFS('VS×ケイパビリティ関係'!$F$4:$F$494,$B13,'VS×ケイパビリティ関係'!$G$4:$G$494,U$5,'VS×ケイパビリティ関係'!$E$4:$E$494,"支援")&gt;0,"○",""))</f>
        <v/>
      </c>
      <c r="V13" s="98">
        <f>IF(COUNTIFS('VS×ケイパビリティ関係'!$F$4:$F$494,$B13,'VS×ケイパビリティ関係'!$G$4:$G$494,V$5,'VS×ケイパビリティ関係'!$E$4:$E$494,"主")&gt;0,"●",IF(COUNTIFS('VS×ケイパビリティ関係'!$F$4:$F$494,$B13,'VS×ケイパビリティ関係'!$G$4:$G$494,V$5,'VS×ケイパビリティ関係'!$E$4:$E$494,"支援")&gt;0,"○",""))</f>
        <v/>
      </c>
      <c r="W13" s="98">
        <f>IF(COUNTIFS('VS×ケイパビリティ関係'!$F$4:$F$494,$B13,'VS×ケイパビリティ関係'!$G$4:$G$494,W$5,'VS×ケイパビリティ関係'!$E$4:$E$494,"主")&gt;0,"●",IF(COUNTIFS('VS×ケイパビリティ関係'!$F$4:$F$494,$B13,'VS×ケイパビリティ関係'!$G$4:$G$494,W$5,'VS×ケイパビリティ関係'!$E$4:$E$494,"支援")&gt;0,"○",""))</f>
        <v/>
      </c>
      <c r="X13" s="98">
        <f>IF(COUNTIFS('VS×ケイパビリティ関係'!$F$4:$F$494,$B13,'VS×ケイパビリティ関係'!$G$4:$G$494,X$5,'VS×ケイパビリティ関係'!$E$4:$E$494,"主")&gt;0,"●",IF(COUNTIFS('VS×ケイパビリティ関係'!$F$4:$F$494,$B13,'VS×ケイパビリティ関係'!$G$4:$G$494,X$5,'VS×ケイパビリティ関係'!$E$4:$E$494,"支援")&gt;0,"○",""))</f>
        <v/>
      </c>
      <c r="Y13" s="98">
        <f>IF(COUNTIFS('VS×ケイパビリティ関係'!$F$4:$F$494,$B13,'VS×ケイパビリティ関係'!$G$4:$G$494,Y$5,'VS×ケイパビリティ関係'!$E$4:$E$494,"主")&gt;0,"●",IF(COUNTIFS('VS×ケイパビリティ関係'!$F$4:$F$494,$B13,'VS×ケイパビリティ関係'!$G$4:$G$494,Y$5,'VS×ケイパビリティ関係'!$E$4:$E$494,"支援")&gt;0,"○",""))</f>
        <v/>
      </c>
      <c r="Z13" s="98">
        <f>IF(COUNTIFS('VS×ケイパビリティ関係'!$F$4:$F$494,$B13,'VS×ケイパビリティ関係'!$G$4:$G$494,Z$5,'VS×ケイパビリティ関係'!$E$4:$E$494,"主")&gt;0,"●",IF(COUNTIFS('VS×ケイパビリティ関係'!$F$4:$F$494,$B13,'VS×ケイパビリティ関係'!$G$4:$G$494,Z$5,'VS×ケイパビリティ関係'!$E$4:$E$494,"支援")&gt;0,"○",""))</f>
        <v/>
      </c>
      <c r="AA13" s="98">
        <f>IF(COUNTIFS('VS×ケイパビリティ関係'!$F$4:$F$494,$B13,'VS×ケイパビリティ関係'!$G$4:$G$494,AA$5,'VS×ケイパビリティ関係'!$E$4:$E$494,"主")&gt;0,"●",IF(COUNTIFS('VS×ケイパビリティ関係'!$F$4:$F$494,$B13,'VS×ケイパビリティ関係'!$G$4:$G$494,AA$5,'VS×ケイパビリティ関係'!$E$4:$E$494,"支援")&gt;0,"○",""))</f>
        <v/>
      </c>
      <c r="AB13" s="98">
        <f>IF(COUNTIFS('VS×ケイパビリティ関係'!$F$4:$F$494,$B13,'VS×ケイパビリティ関係'!$G$4:$G$494,AB$5,'VS×ケイパビリティ関係'!$E$4:$E$494,"主")&gt;0,"●",IF(COUNTIFS('VS×ケイパビリティ関係'!$F$4:$F$494,$B13,'VS×ケイパビリティ関係'!$G$4:$G$494,AB$5,'VS×ケイパビリティ関係'!$E$4:$E$494,"支援")&gt;0,"○",""))</f>
        <v/>
      </c>
      <c r="AC13" s="98">
        <f>IF(COUNTIFS('VS×ケイパビリティ関係'!$F$4:$F$494,$B13,'VS×ケイパビリティ関係'!$G$4:$G$494,AC$5,'VS×ケイパビリティ関係'!$E$4:$E$494,"主")&gt;0,"●",IF(COUNTIFS('VS×ケイパビリティ関係'!$F$4:$F$494,$B13,'VS×ケイパビリティ関係'!$G$4:$G$494,AC$5,'VS×ケイパビリティ関係'!$E$4:$E$494,"支援")&gt;0,"○",""))</f>
        <v/>
      </c>
      <c r="AD13" s="98">
        <f>IF(COUNTIFS('VS×ケイパビリティ関係'!$F$4:$F$494,$B13,'VS×ケイパビリティ関係'!$G$4:$G$494,AD$5,'VS×ケイパビリティ関係'!$E$4:$E$494,"主")&gt;0,"●",IF(COUNTIFS('VS×ケイパビリティ関係'!$F$4:$F$494,$B13,'VS×ケイパビリティ関係'!$G$4:$G$494,AD$5,'VS×ケイパビリティ関係'!$E$4:$E$494,"支援")&gt;0,"○",""))</f>
        <v/>
      </c>
      <c r="AE13" s="98">
        <f>IF(COUNTIFS('VS×ケイパビリティ関係'!$F$4:$F$494,$B13,'VS×ケイパビリティ関係'!$G$4:$G$494,AE$5,'VS×ケイパビリティ関係'!$E$4:$E$494,"主")&gt;0,"●",IF(COUNTIFS('VS×ケイパビリティ関係'!$F$4:$F$494,$B13,'VS×ケイパビリティ関係'!$G$4:$G$494,AE$5,'VS×ケイパビリティ関係'!$E$4:$E$494,"支援")&gt;0,"○",""))</f>
        <v/>
      </c>
      <c r="AF13" s="98">
        <f>IF(COUNTIFS('VS×ケイパビリティ関係'!$F$4:$F$494,$B13,'VS×ケイパビリティ関係'!$G$4:$G$494,AF$5,'VS×ケイパビリティ関係'!$E$4:$E$494,"主")&gt;0,"●",IF(COUNTIFS('VS×ケイパビリティ関係'!$F$4:$F$494,$B13,'VS×ケイパビリティ関係'!$G$4:$G$494,AF$5,'VS×ケイパビリティ関係'!$E$4:$E$494,"支援")&gt;0,"○",""))</f>
        <v/>
      </c>
      <c r="AG13" s="98">
        <f>IF(COUNTIFS('VS×ケイパビリティ関係'!$F$4:$F$494,$B13,'VS×ケイパビリティ関係'!$G$4:$G$494,AG$5,'VS×ケイパビリティ関係'!$E$4:$E$494,"主")&gt;0,"●",IF(COUNTIFS('VS×ケイパビリティ関係'!$F$4:$F$494,$B13,'VS×ケイパビリティ関係'!$G$4:$G$494,AG$5,'VS×ケイパビリティ関係'!$E$4:$E$494,"支援")&gt;0,"○",""))</f>
        <v/>
      </c>
      <c r="AH13" s="98">
        <f>IF(COUNTIFS('VS×ケイパビリティ関係'!$F$4:$F$494,$B13,'VS×ケイパビリティ関係'!$G$4:$G$494,AH$5,'VS×ケイパビリティ関係'!$E$4:$E$494,"主")&gt;0,"●",IF(COUNTIFS('VS×ケイパビリティ関係'!$F$4:$F$494,$B13,'VS×ケイパビリティ関係'!$G$4:$G$494,AH$5,'VS×ケイパビリティ関係'!$E$4:$E$494,"支援")&gt;0,"○",""))</f>
        <v/>
      </c>
      <c r="AI13" s="98">
        <f>IF(COUNTIFS('VS×ケイパビリティ関係'!$F$4:$F$494,$B13,'VS×ケイパビリティ関係'!$G$4:$G$494,AI$5,'VS×ケイパビリティ関係'!$E$4:$E$494,"主")&gt;0,"●",IF(COUNTIFS('VS×ケイパビリティ関係'!$F$4:$F$494,$B13,'VS×ケイパビリティ関係'!$G$4:$G$494,AI$5,'VS×ケイパビリティ関係'!$E$4:$E$494,"支援")&gt;0,"○",""))</f>
        <v/>
      </c>
      <c r="AJ13" s="98">
        <f>IF(COUNTIFS('VS×ケイパビリティ関係'!$F$4:$F$494,$B13,'VS×ケイパビリティ関係'!$G$4:$G$494,AJ$5,'VS×ケイパビリティ関係'!$E$4:$E$494,"主")&gt;0,"●",IF(COUNTIFS('VS×ケイパビリティ関係'!$F$4:$F$494,$B13,'VS×ケイパビリティ関係'!$G$4:$G$494,AJ$5,'VS×ケイパビリティ関係'!$E$4:$E$494,"支援")&gt;0,"○",""))</f>
        <v/>
      </c>
      <c r="AK13" s="98">
        <f>IF(COUNTIFS('VS×ケイパビリティ関係'!$F$4:$F$494,$B13,'VS×ケイパビリティ関係'!$G$4:$G$494,AK$5,'VS×ケイパビリティ関係'!$E$4:$E$494,"主")&gt;0,"●",IF(COUNTIFS('VS×ケイパビリティ関係'!$F$4:$F$494,$B13,'VS×ケイパビリティ関係'!$G$4:$G$494,AK$5,'VS×ケイパビリティ関係'!$E$4:$E$494,"支援")&gt;0,"○",""))</f>
        <v/>
      </c>
      <c r="AL13" s="98">
        <f>IF(COUNTIFS('VS×ケイパビリティ関係'!$F$4:$F$494,$B13,'VS×ケイパビリティ関係'!$G$4:$G$494,AL$5,'VS×ケイパビリティ関係'!$E$4:$E$494,"主")&gt;0,"●",IF(COUNTIFS('VS×ケイパビリティ関係'!$F$4:$F$494,$B13,'VS×ケイパビリティ関係'!$G$4:$G$494,AL$5,'VS×ケイパビリティ関係'!$E$4:$E$494,"支援")&gt;0,"○",""))</f>
        <v/>
      </c>
      <c r="AM13" s="98">
        <f>IF(COUNTIFS('VS×ケイパビリティ関係'!$F$4:$F$494,$B13,'VS×ケイパビリティ関係'!$G$4:$G$494,AM$5,'VS×ケイパビリティ関係'!$E$4:$E$494,"主")&gt;0,"●",IF(COUNTIFS('VS×ケイパビリティ関係'!$F$4:$F$494,$B13,'VS×ケイパビリティ関係'!$G$4:$G$494,AM$5,'VS×ケイパビリティ関係'!$E$4:$E$494,"支援")&gt;0,"○",""))</f>
        <v/>
      </c>
      <c r="AN13" s="98">
        <f>IF(COUNTIFS('VS×ケイパビリティ関係'!$F$4:$F$494,$B13,'VS×ケイパビリティ関係'!$G$4:$G$494,AN$5,'VS×ケイパビリティ関係'!$E$4:$E$494,"主")&gt;0,"●",IF(COUNTIFS('VS×ケイパビリティ関係'!$F$4:$F$494,$B13,'VS×ケイパビリティ関係'!$G$4:$G$494,AN$5,'VS×ケイパビリティ関係'!$E$4:$E$494,"支援")&gt;0,"○",""))</f>
        <v/>
      </c>
      <c r="AO13" s="98">
        <f>IF(COUNTIFS('VS×ケイパビリティ関係'!$F$4:$F$494,$B13,'VS×ケイパビリティ関係'!$G$4:$G$494,AO$5,'VS×ケイパビリティ関係'!$E$4:$E$494,"主")&gt;0,"●",IF(COUNTIFS('VS×ケイパビリティ関係'!$F$4:$F$494,$B13,'VS×ケイパビリティ関係'!$G$4:$G$494,AO$5,'VS×ケイパビリティ関係'!$E$4:$E$494,"支援")&gt;0,"○",""))</f>
        <v/>
      </c>
      <c r="AP13" s="98">
        <f>IF(COUNTIFS('VS×ケイパビリティ関係'!$F$4:$F$494,$B13,'VS×ケイパビリティ関係'!$G$4:$G$494,AP$5,'VS×ケイパビリティ関係'!$E$4:$E$494,"主")&gt;0,"●",IF(COUNTIFS('VS×ケイパビリティ関係'!$F$4:$F$494,$B13,'VS×ケイパビリティ関係'!$G$4:$G$494,AP$5,'VS×ケイパビリティ関係'!$E$4:$E$494,"支援")&gt;0,"○",""))</f>
        <v/>
      </c>
      <c r="AQ13" s="98">
        <f>IF(COUNTIFS('VS×ケイパビリティ関係'!$F$4:$F$494,$B13,'VS×ケイパビリティ関係'!$G$4:$G$494,AQ$5,'VS×ケイパビリティ関係'!$E$4:$E$494,"主")&gt;0,"●",IF(COUNTIFS('VS×ケイパビリティ関係'!$F$4:$F$494,$B13,'VS×ケイパビリティ関係'!$G$4:$G$494,AQ$5,'VS×ケイパビリティ関係'!$E$4:$E$494,"支援")&gt;0,"○",""))</f>
        <v/>
      </c>
      <c r="AR13" s="98">
        <f>IF(COUNTIFS('VS×ケイパビリティ関係'!$F$4:$F$494,$B13,'VS×ケイパビリティ関係'!$G$4:$G$494,AR$5,'VS×ケイパビリティ関係'!$E$4:$E$494,"主")&gt;0,"●",IF(COUNTIFS('VS×ケイパビリティ関係'!$F$4:$F$494,$B13,'VS×ケイパビリティ関係'!$G$4:$G$494,AR$5,'VS×ケイパビリティ関係'!$E$4:$E$494,"支援")&gt;0,"○",""))</f>
        <v/>
      </c>
      <c r="AS13" s="98">
        <f>IF(COUNTIFS('VS×ケイパビリティ関係'!$F$4:$F$494,$B13,'VS×ケイパビリティ関係'!$G$4:$G$494,AS$5,'VS×ケイパビリティ関係'!$E$4:$E$494,"主")&gt;0,"●",IF(COUNTIFS('VS×ケイパビリティ関係'!$F$4:$F$494,$B13,'VS×ケイパビリティ関係'!$G$4:$G$494,AS$5,'VS×ケイパビリティ関係'!$E$4:$E$494,"支援")&gt;0,"○",""))</f>
        <v/>
      </c>
      <c r="AT13" s="98">
        <f>IF(COUNTIFS('VS×ケイパビリティ関係'!$F$4:$F$494,$B13,'VS×ケイパビリティ関係'!$G$4:$G$494,AT$5,'VS×ケイパビリティ関係'!$E$4:$E$494,"主")&gt;0,"●",IF(COUNTIFS('VS×ケイパビリティ関係'!$F$4:$F$494,$B13,'VS×ケイパビリティ関係'!$G$4:$G$494,AT$5,'VS×ケイパビリティ関係'!$E$4:$E$494,"支援")&gt;0,"○",""))</f>
        <v/>
      </c>
      <c r="AU13" s="98">
        <f>IF(COUNTIFS('VS×ケイパビリティ関係'!$F$4:$F$494,$B13,'VS×ケイパビリティ関係'!$G$4:$G$494,AU$5,'VS×ケイパビリティ関係'!$E$4:$E$494,"主")&gt;0,"●",IF(COUNTIFS('VS×ケイパビリティ関係'!$F$4:$F$494,$B13,'VS×ケイパビリティ関係'!$G$4:$G$494,AU$5,'VS×ケイパビリティ関係'!$E$4:$E$494,"支援")&gt;0,"○",""))</f>
        <v/>
      </c>
      <c r="AV13" s="98">
        <f>IF(COUNTIFS('VS×ケイパビリティ関係'!$F$4:$F$494,$B13,'VS×ケイパビリティ関係'!$G$4:$G$494,AV$5,'VS×ケイパビリティ関係'!$E$4:$E$494,"主")&gt;0,"●",IF(COUNTIFS('VS×ケイパビリティ関係'!$F$4:$F$494,$B13,'VS×ケイパビリティ関係'!$G$4:$G$494,AV$5,'VS×ケイパビリティ関係'!$E$4:$E$494,"支援")&gt;0,"○",""))</f>
        <v/>
      </c>
      <c r="AW13" s="98">
        <f>IF(COUNTIFS('VS×ケイパビリティ関係'!$F$4:$F$494,$B13,'VS×ケイパビリティ関係'!$G$4:$G$494,AW$5,'VS×ケイパビリティ関係'!$E$4:$E$494,"主")&gt;0,"●",IF(COUNTIFS('VS×ケイパビリティ関係'!$F$4:$F$494,$B13,'VS×ケイパビリティ関係'!$G$4:$G$494,AW$5,'VS×ケイパビリティ関係'!$E$4:$E$494,"支援")&gt;0,"○",""))</f>
        <v/>
      </c>
      <c r="AX13" s="98">
        <f>IF(COUNTIFS('VS×ケイパビリティ関係'!$F$4:$F$494,$B13,'VS×ケイパビリティ関係'!$G$4:$G$494,AX$5,'VS×ケイパビリティ関係'!$E$4:$E$494,"主")&gt;0,"●",IF(COUNTIFS('VS×ケイパビリティ関係'!$F$4:$F$494,$B13,'VS×ケイパビリティ関係'!$G$4:$G$494,AX$5,'VS×ケイパビリティ関係'!$E$4:$E$494,"支援")&gt;0,"○",""))</f>
        <v/>
      </c>
      <c r="AY13" s="98">
        <f>IF(COUNTIFS('VS×ケイパビリティ関係'!$F$4:$F$494,$B13,'VS×ケイパビリティ関係'!$G$4:$G$494,AY$5,'VS×ケイパビリティ関係'!$E$4:$E$494,"主")&gt;0,"●",IF(COUNTIFS('VS×ケイパビリティ関係'!$F$4:$F$494,$B13,'VS×ケイパビリティ関係'!$G$4:$G$494,AY$5,'VS×ケイパビリティ関係'!$E$4:$E$494,"支援")&gt;0,"○",""))</f>
        <v/>
      </c>
      <c r="AZ13" s="98">
        <f>IF(COUNTIFS('VS×ケイパビリティ関係'!$F$4:$F$494,$B13,'VS×ケイパビリティ関係'!$G$4:$G$494,AZ$5,'VS×ケイパビリティ関係'!$E$4:$E$494,"主")&gt;0,"●",IF(COUNTIFS('VS×ケイパビリティ関係'!$F$4:$F$494,$B13,'VS×ケイパビリティ関係'!$G$4:$G$494,AZ$5,'VS×ケイパビリティ関係'!$E$4:$E$494,"支援")&gt;0,"○",""))</f>
        <v/>
      </c>
      <c r="BA13" s="98">
        <f>IF(COUNTIFS('VS×ケイパビリティ関係'!$F$4:$F$494,$B13,'VS×ケイパビリティ関係'!$G$4:$G$494,BA$5,'VS×ケイパビリティ関係'!$E$4:$E$494,"主")&gt;0,"●",IF(COUNTIFS('VS×ケイパビリティ関係'!$F$4:$F$494,$B13,'VS×ケイパビリティ関係'!$G$4:$G$494,BA$5,'VS×ケイパビリティ関係'!$E$4:$E$494,"支援")&gt;0,"○",""))</f>
        <v/>
      </c>
      <c r="BB13" s="98">
        <f>IF(COUNTIFS('VS×ケイパビリティ関係'!$F$4:$F$494,$B13,'VS×ケイパビリティ関係'!$G$4:$G$494,BB$5,'VS×ケイパビリティ関係'!$E$4:$E$494,"主")&gt;0,"●",IF(COUNTIFS('VS×ケイパビリティ関係'!$F$4:$F$494,$B13,'VS×ケイパビリティ関係'!$G$4:$G$494,BB$5,'VS×ケイパビリティ関係'!$E$4:$E$494,"支援")&gt;0,"○",""))</f>
        <v/>
      </c>
      <c r="BC13" s="98">
        <f>IF(COUNTIFS('VS×ケイパビリティ関係'!$F$4:$F$494,$B13,'VS×ケイパビリティ関係'!$G$4:$G$494,BC$5,'VS×ケイパビリティ関係'!$E$4:$E$494,"主")&gt;0,"●",IF(COUNTIFS('VS×ケイパビリティ関係'!$F$4:$F$494,$B13,'VS×ケイパビリティ関係'!$G$4:$G$494,BC$5,'VS×ケイパビリティ関係'!$E$4:$E$494,"支援")&gt;0,"○",""))</f>
        <v/>
      </c>
      <c r="BD13" s="98">
        <f>IF(COUNTIFS('VS×ケイパビリティ関係'!$F$4:$F$494,$B13,'VS×ケイパビリティ関係'!$G$4:$G$494,BD$5,'VS×ケイパビリティ関係'!$E$4:$E$494,"主")&gt;0,"●",IF(COUNTIFS('VS×ケイパビリティ関係'!$F$4:$F$494,$B13,'VS×ケイパビリティ関係'!$G$4:$G$494,BD$5,'VS×ケイパビリティ関係'!$E$4:$E$494,"支援")&gt;0,"○",""))</f>
        <v/>
      </c>
      <c r="BE13" s="98">
        <f>COUNTIF(D13:BD13,"●")</f>
        <v/>
      </c>
      <c r="BF13" s="98">
        <f>COUNTIF(D13:BD13,"○")</f>
        <v/>
      </c>
    </row>
    <row r="14" ht="15" customHeight="1" s="80">
      <c r="A14" s="116" t="n"/>
      <c r="B14" s="98" t="inlineStr">
        <is>
          <t>02-04</t>
        </is>
      </c>
      <c r="C14" s="100" t="inlineStr">
        <is>
          <t>初回ヒト投与量の設定・IND申請</t>
        </is>
      </c>
      <c r="D14" s="98">
        <f>IF(COUNTIFS('VS×ケイパビリティ関係'!$F$4:$F$494,$B14,'VS×ケイパビリティ関係'!$G$4:$G$494,D$5,'VS×ケイパビリティ関係'!$E$4:$E$494,"主")&gt;0,"●",IF(COUNTIFS('VS×ケイパビリティ関係'!$F$4:$F$494,$B14,'VS×ケイパビリティ関係'!$G$4:$G$494,D$5,'VS×ケイパビリティ関係'!$E$4:$E$494,"支援")&gt;0,"○",""))</f>
        <v/>
      </c>
      <c r="E14" s="98">
        <f>IF(COUNTIFS('VS×ケイパビリティ関係'!$F$4:$F$494,$B14,'VS×ケイパビリティ関係'!$G$4:$G$494,E$5,'VS×ケイパビリティ関係'!$E$4:$E$494,"主")&gt;0,"●",IF(COUNTIFS('VS×ケイパビリティ関係'!$F$4:$F$494,$B14,'VS×ケイパビリティ関係'!$G$4:$G$494,E$5,'VS×ケイパビリティ関係'!$E$4:$E$494,"支援")&gt;0,"○",""))</f>
        <v/>
      </c>
      <c r="F14" s="98">
        <f>IF(COUNTIFS('VS×ケイパビリティ関係'!$F$4:$F$494,$B14,'VS×ケイパビリティ関係'!$G$4:$G$494,F$5,'VS×ケイパビリティ関係'!$E$4:$E$494,"主")&gt;0,"●",IF(COUNTIFS('VS×ケイパビリティ関係'!$F$4:$F$494,$B14,'VS×ケイパビリティ関係'!$G$4:$G$494,F$5,'VS×ケイパビリティ関係'!$E$4:$E$494,"支援")&gt;0,"○",""))</f>
        <v/>
      </c>
      <c r="G14" s="98">
        <f>IF(COUNTIFS('VS×ケイパビリティ関係'!$F$4:$F$494,$B14,'VS×ケイパビリティ関係'!$G$4:$G$494,G$5,'VS×ケイパビリティ関係'!$E$4:$E$494,"主")&gt;0,"●",IF(COUNTIFS('VS×ケイパビリティ関係'!$F$4:$F$494,$B14,'VS×ケイパビリティ関係'!$G$4:$G$494,G$5,'VS×ケイパビリティ関係'!$E$4:$E$494,"支援")&gt;0,"○",""))</f>
        <v/>
      </c>
      <c r="H14" s="98">
        <f>IF(COUNTIFS('VS×ケイパビリティ関係'!$F$4:$F$494,$B14,'VS×ケイパビリティ関係'!$G$4:$G$494,H$5,'VS×ケイパビリティ関係'!$E$4:$E$494,"主")&gt;0,"●",IF(COUNTIFS('VS×ケイパビリティ関係'!$F$4:$F$494,$B14,'VS×ケイパビリティ関係'!$G$4:$G$494,H$5,'VS×ケイパビリティ関係'!$E$4:$E$494,"支援")&gt;0,"○",""))</f>
        <v/>
      </c>
      <c r="I14" s="98">
        <f>IF(COUNTIFS('VS×ケイパビリティ関係'!$F$4:$F$494,$B14,'VS×ケイパビリティ関係'!$G$4:$G$494,I$5,'VS×ケイパビリティ関係'!$E$4:$E$494,"主")&gt;0,"●",IF(COUNTIFS('VS×ケイパビリティ関係'!$F$4:$F$494,$B14,'VS×ケイパビリティ関係'!$G$4:$G$494,I$5,'VS×ケイパビリティ関係'!$E$4:$E$494,"支援")&gt;0,"○",""))</f>
        <v/>
      </c>
      <c r="J14" s="98">
        <f>IF(COUNTIFS('VS×ケイパビリティ関係'!$F$4:$F$494,$B14,'VS×ケイパビリティ関係'!$G$4:$G$494,J$5,'VS×ケイパビリティ関係'!$E$4:$E$494,"主")&gt;0,"●",IF(COUNTIFS('VS×ケイパビリティ関係'!$F$4:$F$494,$B14,'VS×ケイパビリティ関係'!$G$4:$G$494,J$5,'VS×ケイパビリティ関係'!$E$4:$E$494,"支援")&gt;0,"○",""))</f>
        <v/>
      </c>
      <c r="K14" s="98">
        <f>IF(COUNTIFS('VS×ケイパビリティ関係'!$F$4:$F$494,$B14,'VS×ケイパビリティ関係'!$G$4:$G$494,K$5,'VS×ケイパビリティ関係'!$E$4:$E$494,"主")&gt;0,"●",IF(COUNTIFS('VS×ケイパビリティ関係'!$F$4:$F$494,$B14,'VS×ケイパビリティ関係'!$G$4:$G$494,K$5,'VS×ケイパビリティ関係'!$E$4:$E$494,"支援")&gt;0,"○",""))</f>
        <v/>
      </c>
      <c r="L14" s="98">
        <f>IF(COUNTIFS('VS×ケイパビリティ関係'!$F$4:$F$494,$B14,'VS×ケイパビリティ関係'!$G$4:$G$494,L$5,'VS×ケイパビリティ関係'!$E$4:$E$494,"主")&gt;0,"●",IF(COUNTIFS('VS×ケイパビリティ関係'!$F$4:$F$494,$B14,'VS×ケイパビリティ関係'!$G$4:$G$494,L$5,'VS×ケイパビリティ関係'!$E$4:$E$494,"支援")&gt;0,"○",""))</f>
        <v/>
      </c>
      <c r="M14" s="98">
        <f>IF(COUNTIFS('VS×ケイパビリティ関係'!$F$4:$F$494,$B14,'VS×ケイパビリティ関係'!$G$4:$G$494,M$5,'VS×ケイパビリティ関係'!$E$4:$E$494,"主")&gt;0,"●",IF(COUNTIFS('VS×ケイパビリティ関係'!$F$4:$F$494,$B14,'VS×ケイパビリティ関係'!$G$4:$G$494,M$5,'VS×ケイパビリティ関係'!$E$4:$E$494,"支援")&gt;0,"○",""))</f>
        <v/>
      </c>
      <c r="N14" s="98">
        <f>IF(COUNTIFS('VS×ケイパビリティ関係'!$F$4:$F$494,$B14,'VS×ケイパビリティ関係'!$G$4:$G$494,N$5,'VS×ケイパビリティ関係'!$E$4:$E$494,"主")&gt;0,"●",IF(COUNTIFS('VS×ケイパビリティ関係'!$F$4:$F$494,$B14,'VS×ケイパビリティ関係'!$G$4:$G$494,N$5,'VS×ケイパビリティ関係'!$E$4:$E$494,"支援")&gt;0,"○",""))</f>
        <v/>
      </c>
      <c r="O14" s="98">
        <f>IF(COUNTIFS('VS×ケイパビリティ関係'!$F$4:$F$494,$B14,'VS×ケイパビリティ関係'!$G$4:$G$494,O$5,'VS×ケイパビリティ関係'!$E$4:$E$494,"主")&gt;0,"●",IF(COUNTIFS('VS×ケイパビリティ関係'!$F$4:$F$494,$B14,'VS×ケイパビリティ関係'!$G$4:$G$494,O$5,'VS×ケイパビリティ関係'!$E$4:$E$494,"支援")&gt;0,"○",""))</f>
        <v/>
      </c>
      <c r="P14" s="98">
        <f>IF(COUNTIFS('VS×ケイパビリティ関係'!$F$4:$F$494,$B14,'VS×ケイパビリティ関係'!$G$4:$G$494,P$5,'VS×ケイパビリティ関係'!$E$4:$E$494,"主")&gt;0,"●",IF(COUNTIFS('VS×ケイパビリティ関係'!$F$4:$F$494,$B14,'VS×ケイパビリティ関係'!$G$4:$G$494,P$5,'VS×ケイパビリティ関係'!$E$4:$E$494,"支援")&gt;0,"○",""))</f>
        <v/>
      </c>
      <c r="Q14" s="98">
        <f>IF(COUNTIFS('VS×ケイパビリティ関係'!$F$4:$F$494,$B14,'VS×ケイパビリティ関係'!$G$4:$G$494,Q$5,'VS×ケイパビリティ関係'!$E$4:$E$494,"主")&gt;0,"●",IF(COUNTIFS('VS×ケイパビリティ関係'!$F$4:$F$494,$B14,'VS×ケイパビリティ関係'!$G$4:$G$494,Q$5,'VS×ケイパビリティ関係'!$E$4:$E$494,"支援")&gt;0,"○",""))</f>
        <v/>
      </c>
      <c r="R14" s="98">
        <f>IF(COUNTIFS('VS×ケイパビリティ関係'!$F$4:$F$494,$B14,'VS×ケイパビリティ関係'!$G$4:$G$494,R$5,'VS×ケイパビリティ関係'!$E$4:$E$494,"主")&gt;0,"●",IF(COUNTIFS('VS×ケイパビリティ関係'!$F$4:$F$494,$B14,'VS×ケイパビリティ関係'!$G$4:$G$494,R$5,'VS×ケイパビリティ関係'!$E$4:$E$494,"支援")&gt;0,"○",""))</f>
        <v/>
      </c>
      <c r="S14" s="98">
        <f>IF(COUNTIFS('VS×ケイパビリティ関係'!$F$4:$F$494,$B14,'VS×ケイパビリティ関係'!$G$4:$G$494,S$5,'VS×ケイパビリティ関係'!$E$4:$E$494,"主")&gt;0,"●",IF(COUNTIFS('VS×ケイパビリティ関係'!$F$4:$F$494,$B14,'VS×ケイパビリティ関係'!$G$4:$G$494,S$5,'VS×ケイパビリティ関係'!$E$4:$E$494,"支援")&gt;0,"○",""))</f>
        <v/>
      </c>
      <c r="T14" s="98">
        <f>IF(COUNTIFS('VS×ケイパビリティ関係'!$F$4:$F$494,$B14,'VS×ケイパビリティ関係'!$G$4:$G$494,T$5,'VS×ケイパビリティ関係'!$E$4:$E$494,"主")&gt;0,"●",IF(COUNTIFS('VS×ケイパビリティ関係'!$F$4:$F$494,$B14,'VS×ケイパビリティ関係'!$G$4:$G$494,T$5,'VS×ケイパビリティ関係'!$E$4:$E$494,"支援")&gt;0,"○",""))</f>
        <v/>
      </c>
      <c r="U14" s="98">
        <f>IF(COUNTIFS('VS×ケイパビリティ関係'!$F$4:$F$494,$B14,'VS×ケイパビリティ関係'!$G$4:$G$494,U$5,'VS×ケイパビリティ関係'!$E$4:$E$494,"主")&gt;0,"●",IF(COUNTIFS('VS×ケイパビリティ関係'!$F$4:$F$494,$B14,'VS×ケイパビリティ関係'!$G$4:$G$494,U$5,'VS×ケイパビリティ関係'!$E$4:$E$494,"支援")&gt;0,"○",""))</f>
        <v/>
      </c>
      <c r="V14" s="98">
        <f>IF(COUNTIFS('VS×ケイパビリティ関係'!$F$4:$F$494,$B14,'VS×ケイパビリティ関係'!$G$4:$G$494,V$5,'VS×ケイパビリティ関係'!$E$4:$E$494,"主")&gt;0,"●",IF(COUNTIFS('VS×ケイパビリティ関係'!$F$4:$F$494,$B14,'VS×ケイパビリティ関係'!$G$4:$G$494,V$5,'VS×ケイパビリティ関係'!$E$4:$E$494,"支援")&gt;0,"○",""))</f>
        <v/>
      </c>
      <c r="W14" s="98">
        <f>IF(COUNTIFS('VS×ケイパビリティ関係'!$F$4:$F$494,$B14,'VS×ケイパビリティ関係'!$G$4:$G$494,W$5,'VS×ケイパビリティ関係'!$E$4:$E$494,"主")&gt;0,"●",IF(COUNTIFS('VS×ケイパビリティ関係'!$F$4:$F$494,$B14,'VS×ケイパビリティ関係'!$G$4:$G$494,W$5,'VS×ケイパビリティ関係'!$E$4:$E$494,"支援")&gt;0,"○",""))</f>
        <v/>
      </c>
      <c r="X14" s="98">
        <f>IF(COUNTIFS('VS×ケイパビリティ関係'!$F$4:$F$494,$B14,'VS×ケイパビリティ関係'!$G$4:$G$494,X$5,'VS×ケイパビリティ関係'!$E$4:$E$494,"主")&gt;0,"●",IF(COUNTIFS('VS×ケイパビリティ関係'!$F$4:$F$494,$B14,'VS×ケイパビリティ関係'!$G$4:$G$494,X$5,'VS×ケイパビリティ関係'!$E$4:$E$494,"支援")&gt;0,"○",""))</f>
        <v/>
      </c>
      <c r="Y14" s="98">
        <f>IF(COUNTIFS('VS×ケイパビリティ関係'!$F$4:$F$494,$B14,'VS×ケイパビリティ関係'!$G$4:$G$494,Y$5,'VS×ケイパビリティ関係'!$E$4:$E$494,"主")&gt;0,"●",IF(COUNTIFS('VS×ケイパビリティ関係'!$F$4:$F$494,$B14,'VS×ケイパビリティ関係'!$G$4:$G$494,Y$5,'VS×ケイパビリティ関係'!$E$4:$E$494,"支援")&gt;0,"○",""))</f>
        <v/>
      </c>
      <c r="Z14" s="98">
        <f>IF(COUNTIFS('VS×ケイパビリティ関係'!$F$4:$F$494,$B14,'VS×ケイパビリティ関係'!$G$4:$G$494,Z$5,'VS×ケイパビリティ関係'!$E$4:$E$494,"主")&gt;0,"●",IF(COUNTIFS('VS×ケイパビリティ関係'!$F$4:$F$494,$B14,'VS×ケイパビリティ関係'!$G$4:$G$494,Z$5,'VS×ケイパビリティ関係'!$E$4:$E$494,"支援")&gt;0,"○",""))</f>
        <v/>
      </c>
      <c r="AA14" s="98">
        <f>IF(COUNTIFS('VS×ケイパビリティ関係'!$F$4:$F$494,$B14,'VS×ケイパビリティ関係'!$G$4:$G$494,AA$5,'VS×ケイパビリティ関係'!$E$4:$E$494,"主")&gt;0,"●",IF(COUNTIFS('VS×ケイパビリティ関係'!$F$4:$F$494,$B14,'VS×ケイパビリティ関係'!$G$4:$G$494,AA$5,'VS×ケイパビリティ関係'!$E$4:$E$494,"支援")&gt;0,"○",""))</f>
        <v/>
      </c>
      <c r="AB14" s="98">
        <f>IF(COUNTIFS('VS×ケイパビリティ関係'!$F$4:$F$494,$B14,'VS×ケイパビリティ関係'!$G$4:$G$494,AB$5,'VS×ケイパビリティ関係'!$E$4:$E$494,"主")&gt;0,"●",IF(COUNTIFS('VS×ケイパビリティ関係'!$F$4:$F$494,$B14,'VS×ケイパビリティ関係'!$G$4:$G$494,AB$5,'VS×ケイパビリティ関係'!$E$4:$E$494,"支援")&gt;0,"○",""))</f>
        <v/>
      </c>
      <c r="AC14" s="98">
        <f>IF(COUNTIFS('VS×ケイパビリティ関係'!$F$4:$F$494,$B14,'VS×ケイパビリティ関係'!$G$4:$G$494,AC$5,'VS×ケイパビリティ関係'!$E$4:$E$494,"主")&gt;0,"●",IF(COUNTIFS('VS×ケイパビリティ関係'!$F$4:$F$494,$B14,'VS×ケイパビリティ関係'!$G$4:$G$494,AC$5,'VS×ケイパビリティ関係'!$E$4:$E$494,"支援")&gt;0,"○",""))</f>
        <v/>
      </c>
      <c r="AD14" s="98">
        <f>IF(COUNTIFS('VS×ケイパビリティ関係'!$F$4:$F$494,$B14,'VS×ケイパビリティ関係'!$G$4:$G$494,AD$5,'VS×ケイパビリティ関係'!$E$4:$E$494,"主")&gt;0,"●",IF(COUNTIFS('VS×ケイパビリティ関係'!$F$4:$F$494,$B14,'VS×ケイパビリティ関係'!$G$4:$G$494,AD$5,'VS×ケイパビリティ関係'!$E$4:$E$494,"支援")&gt;0,"○",""))</f>
        <v/>
      </c>
      <c r="AE14" s="98">
        <f>IF(COUNTIFS('VS×ケイパビリティ関係'!$F$4:$F$494,$B14,'VS×ケイパビリティ関係'!$G$4:$G$494,AE$5,'VS×ケイパビリティ関係'!$E$4:$E$494,"主")&gt;0,"●",IF(COUNTIFS('VS×ケイパビリティ関係'!$F$4:$F$494,$B14,'VS×ケイパビリティ関係'!$G$4:$G$494,AE$5,'VS×ケイパビリティ関係'!$E$4:$E$494,"支援")&gt;0,"○",""))</f>
        <v/>
      </c>
      <c r="AF14" s="98">
        <f>IF(COUNTIFS('VS×ケイパビリティ関係'!$F$4:$F$494,$B14,'VS×ケイパビリティ関係'!$G$4:$G$494,AF$5,'VS×ケイパビリティ関係'!$E$4:$E$494,"主")&gt;0,"●",IF(COUNTIFS('VS×ケイパビリティ関係'!$F$4:$F$494,$B14,'VS×ケイパビリティ関係'!$G$4:$G$494,AF$5,'VS×ケイパビリティ関係'!$E$4:$E$494,"支援")&gt;0,"○",""))</f>
        <v/>
      </c>
      <c r="AG14" s="98">
        <f>IF(COUNTIFS('VS×ケイパビリティ関係'!$F$4:$F$494,$B14,'VS×ケイパビリティ関係'!$G$4:$G$494,AG$5,'VS×ケイパビリティ関係'!$E$4:$E$494,"主")&gt;0,"●",IF(COUNTIFS('VS×ケイパビリティ関係'!$F$4:$F$494,$B14,'VS×ケイパビリティ関係'!$G$4:$G$494,AG$5,'VS×ケイパビリティ関係'!$E$4:$E$494,"支援")&gt;0,"○",""))</f>
        <v/>
      </c>
      <c r="AH14" s="98">
        <f>IF(COUNTIFS('VS×ケイパビリティ関係'!$F$4:$F$494,$B14,'VS×ケイパビリティ関係'!$G$4:$G$494,AH$5,'VS×ケイパビリティ関係'!$E$4:$E$494,"主")&gt;0,"●",IF(COUNTIFS('VS×ケイパビリティ関係'!$F$4:$F$494,$B14,'VS×ケイパビリティ関係'!$G$4:$G$494,AH$5,'VS×ケイパビリティ関係'!$E$4:$E$494,"支援")&gt;0,"○",""))</f>
        <v/>
      </c>
      <c r="AI14" s="98">
        <f>IF(COUNTIFS('VS×ケイパビリティ関係'!$F$4:$F$494,$B14,'VS×ケイパビリティ関係'!$G$4:$G$494,AI$5,'VS×ケイパビリティ関係'!$E$4:$E$494,"主")&gt;0,"●",IF(COUNTIFS('VS×ケイパビリティ関係'!$F$4:$F$494,$B14,'VS×ケイパビリティ関係'!$G$4:$G$494,AI$5,'VS×ケイパビリティ関係'!$E$4:$E$494,"支援")&gt;0,"○",""))</f>
        <v/>
      </c>
      <c r="AJ14" s="98">
        <f>IF(COUNTIFS('VS×ケイパビリティ関係'!$F$4:$F$494,$B14,'VS×ケイパビリティ関係'!$G$4:$G$494,AJ$5,'VS×ケイパビリティ関係'!$E$4:$E$494,"主")&gt;0,"●",IF(COUNTIFS('VS×ケイパビリティ関係'!$F$4:$F$494,$B14,'VS×ケイパビリティ関係'!$G$4:$G$494,AJ$5,'VS×ケイパビリティ関係'!$E$4:$E$494,"支援")&gt;0,"○",""))</f>
        <v/>
      </c>
      <c r="AK14" s="98">
        <f>IF(COUNTIFS('VS×ケイパビリティ関係'!$F$4:$F$494,$B14,'VS×ケイパビリティ関係'!$G$4:$G$494,AK$5,'VS×ケイパビリティ関係'!$E$4:$E$494,"主")&gt;0,"●",IF(COUNTIFS('VS×ケイパビリティ関係'!$F$4:$F$494,$B14,'VS×ケイパビリティ関係'!$G$4:$G$494,AK$5,'VS×ケイパビリティ関係'!$E$4:$E$494,"支援")&gt;0,"○",""))</f>
        <v/>
      </c>
      <c r="AL14" s="98">
        <f>IF(COUNTIFS('VS×ケイパビリティ関係'!$F$4:$F$494,$B14,'VS×ケイパビリティ関係'!$G$4:$G$494,AL$5,'VS×ケイパビリティ関係'!$E$4:$E$494,"主")&gt;0,"●",IF(COUNTIFS('VS×ケイパビリティ関係'!$F$4:$F$494,$B14,'VS×ケイパビリティ関係'!$G$4:$G$494,AL$5,'VS×ケイパビリティ関係'!$E$4:$E$494,"支援")&gt;0,"○",""))</f>
        <v/>
      </c>
      <c r="AM14" s="98">
        <f>IF(COUNTIFS('VS×ケイパビリティ関係'!$F$4:$F$494,$B14,'VS×ケイパビリティ関係'!$G$4:$G$494,AM$5,'VS×ケイパビリティ関係'!$E$4:$E$494,"主")&gt;0,"●",IF(COUNTIFS('VS×ケイパビリティ関係'!$F$4:$F$494,$B14,'VS×ケイパビリティ関係'!$G$4:$G$494,AM$5,'VS×ケイパビリティ関係'!$E$4:$E$494,"支援")&gt;0,"○",""))</f>
        <v/>
      </c>
      <c r="AN14" s="98">
        <f>IF(COUNTIFS('VS×ケイパビリティ関係'!$F$4:$F$494,$B14,'VS×ケイパビリティ関係'!$G$4:$G$494,AN$5,'VS×ケイパビリティ関係'!$E$4:$E$494,"主")&gt;0,"●",IF(COUNTIFS('VS×ケイパビリティ関係'!$F$4:$F$494,$B14,'VS×ケイパビリティ関係'!$G$4:$G$494,AN$5,'VS×ケイパビリティ関係'!$E$4:$E$494,"支援")&gt;0,"○",""))</f>
        <v/>
      </c>
      <c r="AO14" s="98">
        <f>IF(COUNTIFS('VS×ケイパビリティ関係'!$F$4:$F$494,$B14,'VS×ケイパビリティ関係'!$G$4:$G$494,AO$5,'VS×ケイパビリティ関係'!$E$4:$E$494,"主")&gt;0,"●",IF(COUNTIFS('VS×ケイパビリティ関係'!$F$4:$F$494,$B14,'VS×ケイパビリティ関係'!$G$4:$G$494,AO$5,'VS×ケイパビリティ関係'!$E$4:$E$494,"支援")&gt;0,"○",""))</f>
        <v/>
      </c>
      <c r="AP14" s="98">
        <f>IF(COUNTIFS('VS×ケイパビリティ関係'!$F$4:$F$494,$B14,'VS×ケイパビリティ関係'!$G$4:$G$494,AP$5,'VS×ケイパビリティ関係'!$E$4:$E$494,"主")&gt;0,"●",IF(COUNTIFS('VS×ケイパビリティ関係'!$F$4:$F$494,$B14,'VS×ケイパビリティ関係'!$G$4:$G$494,AP$5,'VS×ケイパビリティ関係'!$E$4:$E$494,"支援")&gt;0,"○",""))</f>
        <v/>
      </c>
      <c r="AQ14" s="98">
        <f>IF(COUNTIFS('VS×ケイパビリティ関係'!$F$4:$F$494,$B14,'VS×ケイパビリティ関係'!$G$4:$G$494,AQ$5,'VS×ケイパビリティ関係'!$E$4:$E$494,"主")&gt;0,"●",IF(COUNTIFS('VS×ケイパビリティ関係'!$F$4:$F$494,$B14,'VS×ケイパビリティ関係'!$G$4:$G$494,AQ$5,'VS×ケイパビリティ関係'!$E$4:$E$494,"支援")&gt;0,"○",""))</f>
        <v/>
      </c>
      <c r="AR14" s="98">
        <f>IF(COUNTIFS('VS×ケイパビリティ関係'!$F$4:$F$494,$B14,'VS×ケイパビリティ関係'!$G$4:$G$494,AR$5,'VS×ケイパビリティ関係'!$E$4:$E$494,"主")&gt;0,"●",IF(COUNTIFS('VS×ケイパビリティ関係'!$F$4:$F$494,$B14,'VS×ケイパビリティ関係'!$G$4:$G$494,AR$5,'VS×ケイパビリティ関係'!$E$4:$E$494,"支援")&gt;0,"○",""))</f>
        <v/>
      </c>
      <c r="AS14" s="98">
        <f>IF(COUNTIFS('VS×ケイパビリティ関係'!$F$4:$F$494,$B14,'VS×ケイパビリティ関係'!$G$4:$G$494,AS$5,'VS×ケイパビリティ関係'!$E$4:$E$494,"主")&gt;0,"●",IF(COUNTIFS('VS×ケイパビリティ関係'!$F$4:$F$494,$B14,'VS×ケイパビリティ関係'!$G$4:$G$494,AS$5,'VS×ケイパビリティ関係'!$E$4:$E$494,"支援")&gt;0,"○",""))</f>
        <v/>
      </c>
      <c r="AT14" s="98">
        <f>IF(COUNTIFS('VS×ケイパビリティ関係'!$F$4:$F$494,$B14,'VS×ケイパビリティ関係'!$G$4:$G$494,AT$5,'VS×ケイパビリティ関係'!$E$4:$E$494,"主")&gt;0,"●",IF(COUNTIFS('VS×ケイパビリティ関係'!$F$4:$F$494,$B14,'VS×ケイパビリティ関係'!$G$4:$G$494,AT$5,'VS×ケイパビリティ関係'!$E$4:$E$494,"支援")&gt;0,"○",""))</f>
        <v/>
      </c>
      <c r="AU14" s="98">
        <f>IF(COUNTIFS('VS×ケイパビリティ関係'!$F$4:$F$494,$B14,'VS×ケイパビリティ関係'!$G$4:$G$494,AU$5,'VS×ケイパビリティ関係'!$E$4:$E$494,"主")&gt;0,"●",IF(COUNTIFS('VS×ケイパビリティ関係'!$F$4:$F$494,$B14,'VS×ケイパビリティ関係'!$G$4:$G$494,AU$5,'VS×ケイパビリティ関係'!$E$4:$E$494,"支援")&gt;0,"○",""))</f>
        <v/>
      </c>
      <c r="AV14" s="98">
        <f>IF(COUNTIFS('VS×ケイパビリティ関係'!$F$4:$F$494,$B14,'VS×ケイパビリティ関係'!$G$4:$G$494,AV$5,'VS×ケイパビリティ関係'!$E$4:$E$494,"主")&gt;0,"●",IF(COUNTIFS('VS×ケイパビリティ関係'!$F$4:$F$494,$B14,'VS×ケイパビリティ関係'!$G$4:$G$494,AV$5,'VS×ケイパビリティ関係'!$E$4:$E$494,"支援")&gt;0,"○",""))</f>
        <v/>
      </c>
      <c r="AW14" s="98">
        <f>IF(COUNTIFS('VS×ケイパビリティ関係'!$F$4:$F$494,$B14,'VS×ケイパビリティ関係'!$G$4:$G$494,AW$5,'VS×ケイパビリティ関係'!$E$4:$E$494,"主")&gt;0,"●",IF(COUNTIFS('VS×ケイパビリティ関係'!$F$4:$F$494,$B14,'VS×ケイパビリティ関係'!$G$4:$G$494,AW$5,'VS×ケイパビリティ関係'!$E$4:$E$494,"支援")&gt;0,"○",""))</f>
        <v/>
      </c>
      <c r="AX14" s="98">
        <f>IF(COUNTIFS('VS×ケイパビリティ関係'!$F$4:$F$494,$B14,'VS×ケイパビリティ関係'!$G$4:$G$494,AX$5,'VS×ケイパビリティ関係'!$E$4:$E$494,"主")&gt;0,"●",IF(COUNTIFS('VS×ケイパビリティ関係'!$F$4:$F$494,$B14,'VS×ケイパビリティ関係'!$G$4:$G$494,AX$5,'VS×ケイパビリティ関係'!$E$4:$E$494,"支援")&gt;0,"○",""))</f>
        <v/>
      </c>
      <c r="AY14" s="98">
        <f>IF(COUNTIFS('VS×ケイパビリティ関係'!$F$4:$F$494,$B14,'VS×ケイパビリティ関係'!$G$4:$G$494,AY$5,'VS×ケイパビリティ関係'!$E$4:$E$494,"主")&gt;0,"●",IF(COUNTIFS('VS×ケイパビリティ関係'!$F$4:$F$494,$B14,'VS×ケイパビリティ関係'!$G$4:$G$494,AY$5,'VS×ケイパビリティ関係'!$E$4:$E$494,"支援")&gt;0,"○",""))</f>
        <v/>
      </c>
      <c r="AZ14" s="98">
        <f>IF(COUNTIFS('VS×ケイパビリティ関係'!$F$4:$F$494,$B14,'VS×ケイパビリティ関係'!$G$4:$G$494,AZ$5,'VS×ケイパビリティ関係'!$E$4:$E$494,"主")&gt;0,"●",IF(COUNTIFS('VS×ケイパビリティ関係'!$F$4:$F$494,$B14,'VS×ケイパビリティ関係'!$G$4:$G$494,AZ$5,'VS×ケイパビリティ関係'!$E$4:$E$494,"支援")&gt;0,"○",""))</f>
        <v/>
      </c>
      <c r="BA14" s="98">
        <f>IF(COUNTIFS('VS×ケイパビリティ関係'!$F$4:$F$494,$B14,'VS×ケイパビリティ関係'!$G$4:$G$494,BA$5,'VS×ケイパビリティ関係'!$E$4:$E$494,"主")&gt;0,"●",IF(COUNTIFS('VS×ケイパビリティ関係'!$F$4:$F$494,$B14,'VS×ケイパビリティ関係'!$G$4:$G$494,BA$5,'VS×ケイパビリティ関係'!$E$4:$E$494,"支援")&gt;0,"○",""))</f>
        <v/>
      </c>
      <c r="BB14" s="98">
        <f>IF(COUNTIFS('VS×ケイパビリティ関係'!$F$4:$F$494,$B14,'VS×ケイパビリティ関係'!$G$4:$G$494,BB$5,'VS×ケイパビリティ関係'!$E$4:$E$494,"主")&gt;0,"●",IF(COUNTIFS('VS×ケイパビリティ関係'!$F$4:$F$494,$B14,'VS×ケイパビリティ関係'!$G$4:$G$494,BB$5,'VS×ケイパビリティ関係'!$E$4:$E$494,"支援")&gt;0,"○",""))</f>
        <v/>
      </c>
      <c r="BC14" s="98">
        <f>IF(COUNTIFS('VS×ケイパビリティ関係'!$F$4:$F$494,$B14,'VS×ケイパビリティ関係'!$G$4:$G$494,BC$5,'VS×ケイパビリティ関係'!$E$4:$E$494,"主")&gt;0,"●",IF(COUNTIFS('VS×ケイパビリティ関係'!$F$4:$F$494,$B14,'VS×ケイパビリティ関係'!$G$4:$G$494,BC$5,'VS×ケイパビリティ関係'!$E$4:$E$494,"支援")&gt;0,"○",""))</f>
        <v/>
      </c>
      <c r="BD14" s="98">
        <f>IF(COUNTIFS('VS×ケイパビリティ関係'!$F$4:$F$494,$B14,'VS×ケイパビリティ関係'!$G$4:$G$494,BD$5,'VS×ケイパビリティ関係'!$E$4:$E$494,"主")&gt;0,"●",IF(COUNTIFS('VS×ケイパビリティ関係'!$F$4:$F$494,$B14,'VS×ケイパビリティ関係'!$G$4:$G$494,BD$5,'VS×ケイパビリティ関係'!$E$4:$E$494,"支援")&gt;0,"○",""))</f>
        <v/>
      </c>
      <c r="BE14" s="98">
        <f>COUNTIF(D14:BD14,"●")</f>
        <v/>
      </c>
      <c r="BF14" s="98">
        <f>COUNTIF(D14:BD14,"○")</f>
        <v/>
      </c>
    </row>
    <row r="15" ht="26.25" customHeight="1" s="80">
      <c r="A15" s="116" t="inlineStr">
        <is>
          <t>03 CMC開発（臨床と並行）</t>
        </is>
      </c>
      <c r="B15" s="98" t="inlineStr">
        <is>
          <t>03-01</t>
        </is>
      </c>
      <c r="C15" s="100" t="inlineStr">
        <is>
          <t>細胞株構築・セルバンク</t>
        </is>
      </c>
      <c r="D15" s="98">
        <f>IF(COUNTIFS('VS×ケイパビリティ関係'!$F$4:$F$494,$B15,'VS×ケイパビリティ関係'!$G$4:$G$494,D$5,'VS×ケイパビリティ関係'!$E$4:$E$494,"主")&gt;0,"●",IF(COUNTIFS('VS×ケイパビリティ関係'!$F$4:$F$494,$B15,'VS×ケイパビリティ関係'!$G$4:$G$494,D$5,'VS×ケイパビリティ関係'!$E$4:$E$494,"支援")&gt;0,"○",""))</f>
        <v/>
      </c>
      <c r="E15" s="98">
        <f>IF(COUNTIFS('VS×ケイパビリティ関係'!$F$4:$F$494,$B15,'VS×ケイパビリティ関係'!$G$4:$G$494,E$5,'VS×ケイパビリティ関係'!$E$4:$E$494,"主")&gt;0,"●",IF(COUNTIFS('VS×ケイパビリティ関係'!$F$4:$F$494,$B15,'VS×ケイパビリティ関係'!$G$4:$G$494,E$5,'VS×ケイパビリティ関係'!$E$4:$E$494,"支援")&gt;0,"○",""))</f>
        <v/>
      </c>
      <c r="F15" s="98">
        <f>IF(COUNTIFS('VS×ケイパビリティ関係'!$F$4:$F$494,$B15,'VS×ケイパビリティ関係'!$G$4:$G$494,F$5,'VS×ケイパビリティ関係'!$E$4:$E$494,"主")&gt;0,"●",IF(COUNTIFS('VS×ケイパビリティ関係'!$F$4:$F$494,$B15,'VS×ケイパビリティ関係'!$G$4:$G$494,F$5,'VS×ケイパビリティ関係'!$E$4:$E$494,"支援")&gt;0,"○",""))</f>
        <v/>
      </c>
      <c r="G15" s="98">
        <f>IF(COUNTIFS('VS×ケイパビリティ関係'!$F$4:$F$494,$B15,'VS×ケイパビリティ関係'!$G$4:$G$494,G$5,'VS×ケイパビリティ関係'!$E$4:$E$494,"主")&gt;0,"●",IF(COUNTIFS('VS×ケイパビリティ関係'!$F$4:$F$494,$B15,'VS×ケイパビリティ関係'!$G$4:$G$494,G$5,'VS×ケイパビリティ関係'!$E$4:$E$494,"支援")&gt;0,"○",""))</f>
        <v/>
      </c>
      <c r="H15" s="98">
        <f>IF(COUNTIFS('VS×ケイパビリティ関係'!$F$4:$F$494,$B15,'VS×ケイパビリティ関係'!$G$4:$G$494,H$5,'VS×ケイパビリティ関係'!$E$4:$E$494,"主")&gt;0,"●",IF(COUNTIFS('VS×ケイパビリティ関係'!$F$4:$F$494,$B15,'VS×ケイパビリティ関係'!$G$4:$G$494,H$5,'VS×ケイパビリティ関係'!$E$4:$E$494,"支援")&gt;0,"○",""))</f>
        <v/>
      </c>
      <c r="I15" s="98">
        <f>IF(COUNTIFS('VS×ケイパビリティ関係'!$F$4:$F$494,$B15,'VS×ケイパビリティ関係'!$G$4:$G$494,I$5,'VS×ケイパビリティ関係'!$E$4:$E$494,"主")&gt;0,"●",IF(COUNTIFS('VS×ケイパビリティ関係'!$F$4:$F$494,$B15,'VS×ケイパビリティ関係'!$G$4:$G$494,I$5,'VS×ケイパビリティ関係'!$E$4:$E$494,"支援")&gt;0,"○",""))</f>
        <v/>
      </c>
      <c r="J15" s="98">
        <f>IF(COUNTIFS('VS×ケイパビリティ関係'!$F$4:$F$494,$B15,'VS×ケイパビリティ関係'!$G$4:$G$494,J$5,'VS×ケイパビリティ関係'!$E$4:$E$494,"主")&gt;0,"●",IF(COUNTIFS('VS×ケイパビリティ関係'!$F$4:$F$494,$B15,'VS×ケイパビリティ関係'!$G$4:$G$494,J$5,'VS×ケイパビリティ関係'!$E$4:$E$494,"支援")&gt;0,"○",""))</f>
        <v/>
      </c>
      <c r="K15" s="98">
        <f>IF(COUNTIFS('VS×ケイパビリティ関係'!$F$4:$F$494,$B15,'VS×ケイパビリティ関係'!$G$4:$G$494,K$5,'VS×ケイパビリティ関係'!$E$4:$E$494,"主")&gt;0,"●",IF(COUNTIFS('VS×ケイパビリティ関係'!$F$4:$F$494,$B15,'VS×ケイパビリティ関係'!$G$4:$G$494,K$5,'VS×ケイパビリティ関係'!$E$4:$E$494,"支援")&gt;0,"○",""))</f>
        <v/>
      </c>
      <c r="L15" s="98">
        <f>IF(COUNTIFS('VS×ケイパビリティ関係'!$F$4:$F$494,$B15,'VS×ケイパビリティ関係'!$G$4:$G$494,L$5,'VS×ケイパビリティ関係'!$E$4:$E$494,"主")&gt;0,"●",IF(COUNTIFS('VS×ケイパビリティ関係'!$F$4:$F$494,$B15,'VS×ケイパビリティ関係'!$G$4:$G$494,L$5,'VS×ケイパビリティ関係'!$E$4:$E$494,"支援")&gt;0,"○",""))</f>
        <v/>
      </c>
      <c r="M15" s="98">
        <f>IF(COUNTIFS('VS×ケイパビリティ関係'!$F$4:$F$494,$B15,'VS×ケイパビリティ関係'!$G$4:$G$494,M$5,'VS×ケイパビリティ関係'!$E$4:$E$494,"主")&gt;0,"●",IF(COUNTIFS('VS×ケイパビリティ関係'!$F$4:$F$494,$B15,'VS×ケイパビリティ関係'!$G$4:$G$494,M$5,'VS×ケイパビリティ関係'!$E$4:$E$494,"支援")&gt;0,"○",""))</f>
        <v/>
      </c>
      <c r="N15" s="98">
        <f>IF(COUNTIFS('VS×ケイパビリティ関係'!$F$4:$F$494,$B15,'VS×ケイパビリティ関係'!$G$4:$G$494,N$5,'VS×ケイパビリティ関係'!$E$4:$E$494,"主")&gt;0,"●",IF(COUNTIFS('VS×ケイパビリティ関係'!$F$4:$F$494,$B15,'VS×ケイパビリティ関係'!$G$4:$G$494,N$5,'VS×ケイパビリティ関係'!$E$4:$E$494,"支援")&gt;0,"○",""))</f>
        <v/>
      </c>
      <c r="O15" s="98">
        <f>IF(COUNTIFS('VS×ケイパビリティ関係'!$F$4:$F$494,$B15,'VS×ケイパビリティ関係'!$G$4:$G$494,O$5,'VS×ケイパビリティ関係'!$E$4:$E$494,"主")&gt;0,"●",IF(COUNTIFS('VS×ケイパビリティ関係'!$F$4:$F$494,$B15,'VS×ケイパビリティ関係'!$G$4:$G$494,O$5,'VS×ケイパビリティ関係'!$E$4:$E$494,"支援")&gt;0,"○",""))</f>
        <v/>
      </c>
      <c r="P15" s="98">
        <f>IF(COUNTIFS('VS×ケイパビリティ関係'!$F$4:$F$494,$B15,'VS×ケイパビリティ関係'!$G$4:$G$494,P$5,'VS×ケイパビリティ関係'!$E$4:$E$494,"主")&gt;0,"●",IF(COUNTIFS('VS×ケイパビリティ関係'!$F$4:$F$494,$B15,'VS×ケイパビリティ関係'!$G$4:$G$494,P$5,'VS×ケイパビリティ関係'!$E$4:$E$494,"支援")&gt;0,"○",""))</f>
        <v/>
      </c>
      <c r="Q15" s="98">
        <f>IF(COUNTIFS('VS×ケイパビリティ関係'!$F$4:$F$494,$B15,'VS×ケイパビリティ関係'!$G$4:$G$494,Q$5,'VS×ケイパビリティ関係'!$E$4:$E$494,"主")&gt;0,"●",IF(COUNTIFS('VS×ケイパビリティ関係'!$F$4:$F$494,$B15,'VS×ケイパビリティ関係'!$G$4:$G$494,Q$5,'VS×ケイパビリティ関係'!$E$4:$E$494,"支援")&gt;0,"○",""))</f>
        <v/>
      </c>
      <c r="R15" s="98">
        <f>IF(COUNTIFS('VS×ケイパビリティ関係'!$F$4:$F$494,$B15,'VS×ケイパビリティ関係'!$G$4:$G$494,R$5,'VS×ケイパビリティ関係'!$E$4:$E$494,"主")&gt;0,"●",IF(COUNTIFS('VS×ケイパビリティ関係'!$F$4:$F$494,$B15,'VS×ケイパビリティ関係'!$G$4:$G$494,R$5,'VS×ケイパビリティ関係'!$E$4:$E$494,"支援")&gt;0,"○",""))</f>
        <v/>
      </c>
      <c r="S15" s="98">
        <f>IF(COUNTIFS('VS×ケイパビリティ関係'!$F$4:$F$494,$B15,'VS×ケイパビリティ関係'!$G$4:$G$494,S$5,'VS×ケイパビリティ関係'!$E$4:$E$494,"主")&gt;0,"●",IF(COUNTIFS('VS×ケイパビリティ関係'!$F$4:$F$494,$B15,'VS×ケイパビリティ関係'!$G$4:$G$494,S$5,'VS×ケイパビリティ関係'!$E$4:$E$494,"支援")&gt;0,"○",""))</f>
        <v/>
      </c>
      <c r="T15" s="98">
        <f>IF(COUNTIFS('VS×ケイパビリティ関係'!$F$4:$F$494,$B15,'VS×ケイパビリティ関係'!$G$4:$G$494,T$5,'VS×ケイパビリティ関係'!$E$4:$E$494,"主")&gt;0,"●",IF(COUNTIFS('VS×ケイパビリティ関係'!$F$4:$F$494,$B15,'VS×ケイパビリティ関係'!$G$4:$G$494,T$5,'VS×ケイパビリティ関係'!$E$4:$E$494,"支援")&gt;0,"○",""))</f>
        <v/>
      </c>
      <c r="U15" s="98">
        <f>IF(COUNTIFS('VS×ケイパビリティ関係'!$F$4:$F$494,$B15,'VS×ケイパビリティ関係'!$G$4:$G$494,U$5,'VS×ケイパビリティ関係'!$E$4:$E$494,"主")&gt;0,"●",IF(COUNTIFS('VS×ケイパビリティ関係'!$F$4:$F$494,$B15,'VS×ケイパビリティ関係'!$G$4:$G$494,U$5,'VS×ケイパビリティ関係'!$E$4:$E$494,"支援")&gt;0,"○",""))</f>
        <v/>
      </c>
      <c r="V15" s="98">
        <f>IF(COUNTIFS('VS×ケイパビリティ関係'!$F$4:$F$494,$B15,'VS×ケイパビリティ関係'!$G$4:$G$494,V$5,'VS×ケイパビリティ関係'!$E$4:$E$494,"主")&gt;0,"●",IF(COUNTIFS('VS×ケイパビリティ関係'!$F$4:$F$494,$B15,'VS×ケイパビリティ関係'!$G$4:$G$494,V$5,'VS×ケイパビリティ関係'!$E$4:$E$494,"支援")&gt;0,"○",""))</f>
        <v/>
      </c>
      <c r="W15" s="98">
        <f>IF(COUNTIFS('VS×ケイパビリティ関係'!$F$4:$F$494,$B15,'VS×ケイパビリティ関係'!$G$4:$G$494,W$5,'VS×ケイパビリティ関係'!$E$4:$E$494,"主")&gt;0,"●",IF(COUNTIFS('VS×ケイパビリティ関係'!$F$4:$F$494,$B15,'VS×ケイパビリティ関係'!$G$4:$G$494,W$5,'VS×ケイパビリティ関係'!$E$4:$E$494,"支援")&gt;0,"○",""))</f>
        <v/>
      </c>
      <c r="X15" s="98">
        <f>IF(COUNTIFS('VS×ケイパビリティ関係'!$F$4:$F$494,$B15,'VS×ケイパビリティ関係'!$G$4:$G$494,X$5,'VS×ケイパビリティ関係'!$E$4:$E$494,"主")&gt;0,"●",IF(COUNTIFS('VS×ケイパビリティ関係'!$F$4:$F$494,$B15,'VS×ケイパビリティ関係'!$G$4:$G$494,X$5,'VS×ケイパビリティ関係'!$E$4:$E$494,"支援")&gt;0,"○",""))</f>
        <v/>
      </c>
      <c r="Y15" s="98">
        <f>IF(COUNTIFS('VS×ケイパビリティ関係'!$F$4:$F$494,$B15,'VS×ケイパビリティ関係'!$G$4:$G$494,Y$5,'VS×ケイパビリティ関係'!$E$4:$E$494,"主")&gt;0,"●",IF(COUNTIFS('VS×ケイパビリティ関係'!$F$4:$F$494,$B15,'VS×ケイパビリティ関係'!$G$4:$G$494,Y$5,'VS×ケイパビリティ関係'!$E$4:$E$494,"支援")&gt;0,"○",""))</f>
        <v/>
      </c>
      <c r="Z15" s="98">
        <f>IF(COUNTIFS('VS×ケイパビリティ関係'!$F$4:$F$494,$B15,'VS×ケイパビリティ関係'!$G$4:$G$494,Z$5,'VS×ケイパビリティ関係'!$E$4:$E$494,"主")&gt;0,"●",IF(COUNTIFS('VS×ケイパビリティ関係'!$F$4:$F$494,$B15,'VS×ケイパビリティ関係'!$G$4:$G$494,Z$5,'VS×ケイパビリティ関係'!$E$4:$E$494,"支援")&gt;0,"○",""))</f>
        <v/>
      </c>
      <c r="AA15" s="98">
        <f>IF(COUNTIFS('VS×ケイパビリティ関係'!$F$4:$F$494,$B15,'VS×ケイパビリティ関係'!$G$4:$G$494,AA$5,'VS×ケイパビリティ関係'!$E$4:$E$494,"主")&gt;0,"●",IF(COUNTIFS('VS×ケイパビリティ関係'!$F$4:$F$494,$B15,'VS×ケイパビリティ関係'!$G$4:$G$494,AA$5,'VS×ケイパビリティ関係'!$E$4:$E$494,"支援")&gt;0,"○",""))</f>
        <v/>
      </c>
      <c r="AB15" s="98">
        <f>IF(COUNTIFS('VS×ケイパビリティ関係'!$F$4:$F$494,$B15,'VS×ケイパビリティ関係'!$G$4:$G$494,AB$5,'VS×ケイパビリティ関係'!$E$4:$E$494,"主")&gt;0,"●",IF(COUNTIFS('VS×ケイパビリティ関係'!$F$4:$F$494,$B15,'VS×ケイパビリティ関係'!$G$4:$G$494,AB$5,'VS×ケイパビリティ関係'!$E$4:$E$494,"支援")&gt;0,"○",""))</f>
        <v/>
      </c>
      <c r="AC15" s="98">
        <f>IF(COUNTIFS('VS×ケイパビリティ関係'!$F$4:$F$494,$B15,'VS×ケイパビリティ関係'!$G$4:$G$494,AC$5,'VS×ケイパビリティ関係'!$E$4:$E$494,"主")&gt;0,"●",IF(COUNTIFS('VS×ケイパビリティ関係'!$F$4:$F$494,$B15,'VS×ケイパビリティ関係'!$G$4:$G$494,AC$5,'VS×ケイパビリティ関係'!$E$4:$E$494,"支援")&gt;0,"○",""))</f>
        <v/>
      </c>
      <c r="AD15" s="98">
        <f>IF(COUNTIFS('VS×ケイパビリティ関係'!$F$4:$F$494,$B15,'VS×ケイパビリティ関係'!$G$4:$G$494,AD$5,'VS×ケイパビリティ関係'!$E$4:$E$494,"主")&gt;0,"●",IF(COUNTIFS('VS×ケイパビリティ関係'!$F$4:$F$494,$B15,'VS×ケイパビリティ関係'!$G$4:$G$494,AD$5,'VS×ケイパビリティ関係'!$E$4:$E$494,"支援")&gt;0,"○",""))</f>
        <v/>
      </c>
      <c r="AE15" s="98">
        <f>IF(COUNTIFS('VS×ケイパビリティ関係'!$F$4:$F$494,$B15,'VS×ケイパビリティ関係'!$G$4:$G$494,AE$5,'VS×ケイパビリティ関係'!$E$4:$E$494,"主")&gt;0,"●",IF(COUNTIFS('VS×ケイパビリティ関係'!$F$4:$F$494,$B15,'VS×ケイパビリティ関係'!$G$4:$G$494,AE$5,'VS×ケイパビリティ関係'!$E$4:$E$494,"支援")&gt;0,"○",""))</f>
        <v/>
      </c>
      <c r="AF15" s="98">
        <f>IF(COUNTIFS('VS×ケイパビリティ関係'!$F$4:$F$494,$B15,'VS×ケイパビリティ関係'!$G$4:$G$494,AF$5,'VS×ケイパビリティ関係'!$E$4:$E$494,"主")&gt;0,"●",IF(COUNTIFS('VS×ケイパビリティ関係'!$F$4:$F$494,$B15,'VS×ケイパビリティ関係'!$G$4:$G$494,AF$5,'VS×ケイパビリティ関係'!$E$4:$E$494,"支援")&gt;0,"○",""))</f>
        <v/>
      </c>
      <c r="AG15" s="98">
        <f>IF(COUNTIFS('VS×ケイパビリティ関係'!$F$4:$F$494,$B15,'VS×ケイパビリティ関係'!$G$4:$G$494,AG$5,'VS×ケイパビリティ関係'!$E$4:$E$494,"主")&gt;0,"●",IF(COUNTIFS('VS×ケイパビリティ関係'!$F$4:$F$494,$B15,'VS×ケイパビリティ関係'!$G$4:$G$494,AG$5,'VS×ケイパビリティ関係'!$E$4:$E$494,"支援")&gt;0,"○",""))</f>
        <v/>
      </c>
      <c r="AH15" s="98">
        <f>IF(COUNTIFS('VS×ケイパビリティ関係'!$F$4:$F$494,$B15,'VS×ケイパビリティ関係'!$G$4:$G$494,AH$5,'VS×ケイパビリティ関係'!$E$4:$E$494,"主")&gt;0,"●",IF(COUNTIFS('VS×ケイパビリティ関係'!$F$4:$F$494,$B15,'VS×ケイパビリティ関係'!$G$4:$G$494,AH$5,'VS×ケイパビリティ関係'!$E$4:$E$494,"支援")&gt;0,"○",""))</f>
        <v/>
      </c>
      <c r="AI15" s="98">
        <f>IF(COUNTIFS('VS×ケイパビリティ関係'!$F$4:$F$494,$B15,'VS×ケイパビリティ関係'!$G$4:$G$494,AI$5,'VS×ケイパビリティ関係'!$E$4:$E$494,"主")&gt;0,"●",IF(COUNTIFS('VS×ケイパビリティ関係'!$F$4:$F$494,$B15,'VS×ケイパビリティ関係'!$G$4:$G$494,AI$5,'VS×ケイパビリティ関係'!$E$4:$E$494,"支援")&gt;0,"○",""))</f>
        <v/>
      </c>
      <c r="AJ15" s="98">
        <f>IF(COUNTIFS('VS×ケイパビリティ関係'!$F$4:$F$494,$B15,'VS×ケイパビリティ関係'!$G$4:$G$494,AJ$5,'VS×ケイパビリティ関係'!$E$4:$E$494,"主")&gt;0,"●",IF(COUNTIFS('VS×ケイパビリティ関係'!$F$4:$F$494,$B15,'VS×ケイパビリティ関係'!$G$4:$G$494,AJ$5,'VS×ケイパビリティ関係'!$E$4:$E$494,"支援")&gt;0,"○",""))</f>
        <v/>
      </c>
      <c r="AK15" s="98">
        <f>IF(COUNTIFS('VS×ケイパビリティ関係'!$F$4:$F$494,$B15,'VS×ケイパビリティ関係'!$G$4:$G$494,AK$5,'VS×ケイパビリティ関係'!$E$4:$E$494,"主")&gt;0,"●",IF(COUNTIFS('VS×ケイパビリティ関係'!$F$4:$F$494,$B15,'VS×ケイパビリティ関係'!$G$4:$G$494,AK$5,'VS×ケイパビリティ関係'!$E$4:$E$494,"支援")&gt;0,"○",""))</f>
        <v/>
      </c>
      <c r="AL15" s="98">
        <f>IF(COUNTIFS('VS×ケイパビリティ関係'!$F$4:$F$494,$B15,'VS×ケイパビリティ関係'!$G$4:$G$494,AL$5,'VS×ケイパビリティ関係'!$E$4:$E$494,"主")&gt;0,"●",IF(COUNTIFS('VS×ケイパビリティ関係'!$F$4:$F$494,$B15,'VS×ケイパビリティ関係'!$G$4:$G$494,AL$5,'VS×ケイパビリティ関係'!$E$4:$E$494,"支援")&gt;0,"○",""))</f>
        <v/>
      </c>
      <c r="AM15" s="98">
        <f>IF(COUNTIFS('VS×ケイパビリティ関係'!$F$4:$F$494,$B15,'VS×ケイパビリティ関係'!$G$4:$G$494,AM$5,'VS×ケイパビリティ関係'!$E$4:$E$494,"主")&gt;0,"●",IF(COUNTIFS('VS×ケイパビリティ関係'!$F$4:$F$494,$B15,'VS×ケイパビリティ関係'!$G$4:$G$494,AM$5,'VS×ケイパビリティ関係'!$E$4:$E$494,"支援")&gt;0,"○",""))</f>
        <v/>
      </c>
      <c r="AN15" s="98">
        <f>IF(COUNTIFS('VS×ケイパビリティ関係'!$F$4:$F$494,$B15,'VS×ケイパビリティ関係'!$G$4:$G$494,AN$5,'VS×ケイパビリティ関係'!$E$4:$E$494,"主")&gt;0,"●",IF(COUNTIFS('VS×ケイパビリティ関係'!$F$4:$F$494,$B15,'VS×ケイパビリティ関係'!$G$4:$G$494,AN$5,'VS×ケイパビリティ関係'!$E$4:$E$494,"支援")&gt;0,"○",""))</f>
        <v/>
      </c>
      <c r="AO15" s="98">
        <f>IF(COUNTIFS('VS×ケイパビリティ関係'!$F$4:$F$494,$B15,'VS×ケイパビリティ関係'!$G$4:$G$494,AO$5,'VS×ケイパビリティ関係'!$E$4:$E$494,"主")&gt;0,"●",IF(COUNTIFS('VS×ケイパビリティ関係'!$F$4:$F$494,$B15,'VS×ケイパビリティ関係'!$G$4:$G$494,AO$5,'VS×ケイパビリティ関係'!$E$4:$E$494,"支援")&gt;0,"○",""))</f>
        <v/>
      </c>
      <c r="AP15" s="98">
        <f>IF(COUNTIFS('VS×ケイパビリティ関係'!$F$4:$F$494,$B15,'VS×ケイパビリティ関係'!$G$4:$G$494,AP$5,'VS×ケイパビリティ関係'!$E$4:$E$494,"主")&gt;0,"●",IF(COUNTIFS('VS×ケイパビリティ関係'!$F$4:$F$494,$B15,'VS×ケイパビリティ関係'!$G$4:$G$494,AP$5,'VS×ケイパビリティ関係'!$E$4:$E$494,"支援")&gt;0,"○",""))</f>
        <v/>
      </c>
      <c r="AQ15" s="98">
        <f>IF(COUNTIFS('VS×ケイパビリティ関係'!$F$4:$F$494,$B15,'VS×ケイパビリティ関係'!$G$4:$G$494,AQ$5,'VS×ケイパビリティ関係'!$E$4:$E$494,"主")&gt;0,"●",IF(COUNTIFS('VS×ケイパビリティ関係'!$F$4:$F$494,$B15,'VS×ケイパビリティ関係'!$G$4:$G$494,AQ$5,'VS×ケイパビリティ関係'!$E$4:$E$494,"支援")&gt;0,"○",""))</f>
        <v/>
      </c>
      <c r="AR15" s="98">
        <f>IF(COUNTIFS('VS×ケイパビリティ関係'!$F$4:$F$494,$B15,'VS×ケイパビリティ関係'!$G$4:$G$494,AR$5,'VS×ケイパビリティ関係'!$E$4:$E$494,"主")&gt;0,"●",IF(COUNTIFS('VS×ケイパビリティ関係'!$F$4:$F$494,$B15,'VS×ケイパビリティ関係'!$G$4:$G$494,AR$5,'VS×ケイパビリティ関係'!$E$4:$E$494,"支援")&gt;0,"○",""))</f>
        <v/>
      </c>
      <c r="AS15" s="98">
        <f>IF(COUNTIFS('VS×ケイパビリティ関係'!$F$4:$F$494,$B15,'VS×ケイパビリティ関係'!$G$4:$G$494,AS$5,'VS×ケイパビリティ関係'!$E$4:$E$494,"主")&gt;0,"●",IF(COUNTIFS('VS×ケイパビリティ関係'!$F$4:$F$494,$B15,'VS×ケイパビリティ関係'!$G$4:$G$494,AS$5,'VS×ケイパビリティ関係'!$E$4:$E$494,"支援")&gt;0,"○",""))</f>
        <v/>
      </c>
      <c r="AT15" s="98">
        <f>IF(COUNTIFS('VS×ケイパビリティ関係'!$F$4:$F$494,$B15,'VS×ケイパビリティ関係'!$G$4:$G$494,AT$5,'VS×ケイパビリティ関係'!$E$4:$E$494,"主")&gt;0,"●",IF(COUNTIFS('VS×ケイパビリティ関係'!$F$4:$F$494,$B15,'VS×ケイパビリティ関係'!$G$4:$G$494,AT$5,'VS×ケイパビリティ関係'!$E$4:$E$494,"支援")&gt;0,"○",""))</f>
        <v/>
      </c>
      <c r="AU15" s="98">
        <f>IF(COUNTIFS('VS×ケイパビリティ関係'!$F$4:$F$494,$B15,'VS×ケイパビリティ関係'!$G$4:$G$494,AU$5,'VS×ケイパビリティ関係'!$E$4:$E$494,"主")&gt;0,"●",IF(COUNTIFS('VS×ケイパビリティ関係'!$F$4:$F$494,$B15,'VS×ケイパビリティ関係'!$G$4:$G$494,AU$5,'VS×ケイパビリティ関係'!$E$4:$E$494,"支援")&gt;0,"○",""))</f>
        <v/>
      </c>
      <c r="AV15" s="98">
        <f>IF(COUNTIFS('VS×ケイパビリティ関係'!$F$4:$F$494,$B15,'VS×ケイパビリティ関係'!$G$4:$G$494,AV$5,'VS×ケイパビリティ関係'!$E$4:$E$494,"主")&gt;0,"●",IF(COUNTIFS('VS×ケイパビリティ関係'!$F$4:$F$494,$B15,'VS×ケイパビリティ関係'!$G$4:$G$494,AV$5,'VS×ケイパビリティ関係'!$E$4:$E$494,"支援")&gt;0,"○",""))</f>
        <v/>
      </c>
      <c r="AW15" s="98">
        <f>IF(COUNTIFS('VS×ケイパビリティ関係'!$F$4:$F$494,$B15,'VS×ケイパビリティ関係'!$G$4:$G$494,AW$5,'VS×ケイパビリティ関係'!$E$4:$E$494,"主")&gt;0,"●",IF(COUNTIFS('VS×ケイパビリティ関係'!$F$4:$F$494,$B15,'VS×ケイパビリティ関係'!$G$4:$G$494,AW$5,'VS×ケイパビリティ関係'!$E$4:$E$494,"支援")&gt;0,"○",""))</f>
        <v/>
      </c>
      <c r="AX15" s="98">
        <f>IF(COUNTIFS('VS×ケイパビリティ関係'!$F$4:$F$494,$B15,'VS×ケイパビリティ関係'!$G$4:$G$494,AX$5,'VS×ケイパビリティ関係'!$E$4:$E$494,"主")&gt;0,"●",IF(COUNTIFS('VS×ケイパビリティ関係'!$F$4:$F$494,$B15,'VS×ケイパビリティ関係'!$G$4:$G$494,AX$5,'VS×ケイパビリティ関係'!$E$4:$E$494,"支援")&gt;0,"○",""))</f>
        <v/>
      </c>
      <c r="AY15" s="98">
        <f>IF(COUNTIFS('VS×ケイパビリティ関係'!$F$4:$F$494,$B15,'VS×ケイパビリティ関係'!$G$4:$G$494,AY$5,'VS×ケイパビリティ関係'!$E$4:$E$494,"主")&gt;0,"●",IF(COUNTIFS('VS×ケイパビリティ関係'!$F$4:$F$494,$B15,'VS×ケイパビリティ関係'!$G$4:$G$494,AY$5,'VS×ケイパビリティ関係'!$E$4:$E$494,"支援")&gt;0,"○",""))</f>
        <v/>
      </c>
      <c r="AZ15" s="98">
        <f>IF(COUNTIFS('VS×ケイパビリティ関係'!$F$4:$F$494,$B15,'VS×ケイパビリティ関係'!$G$4:$G$494,AZ$5,'VS×ケイパビリティ関係'!$E$4:$E$494,"主")&gt;0,"●",IF(COUNTIFS('VS×ケイパビリティ関係'!$F$4:$F$494,$B15,'VS×ケイパビリティ関係'!$G$4:$G$494,AZ$5,'VS×ケイパビリティ関係'!$E$4:$E$494,"支援")&gt;0,"○",""))</f>
        <v/>
      </c>
      <c r="BA15" s="98">
        <f>IF(COUNTIFS('VS×ケイパビリティ関係'!$F$4:$F$494,$B15,'VS×ケイパビリティ関係'!$G$4:$G$494,BA$5,'VS×ケイパビリティ関係'!$E$4:$E$494,"主")&gt;0,"●",IF(COUNTIFS('VS×ケイパビリティ関係'!$F$4:$F$494,$B15,'VS×ケイパビリティ関係'!$G$4:$G$494,BA$5,'VS×ケイパビリティ関係'!$E$4:$E$494,"支援")&gt;0,"○",""))</f>
        <v/>
      </c>
      <c r="BB15" s="98">
        <f>IF(COUNTIFS('VS×ケイパビリティ関係'!$F$4:$F$494,$B15,'VS×ケイパビリティ関係'!$G$4:$G$494,BB$5,'VS×ケイパビリティ関係'!$E$4:$E$494,"主")&gt;0,"●",IF(COUNTIFS('VS×ケイパビリティ関係'!$F$4:$F$494,$B15,'VS×ケイパビリティ関係'!$G$4:$G$494,BB$5,'VS×ケイパビリティ関係'!$E$4:$E$494,"支援")&gt;0,"○",""))</f>
        <v/>
      </c>
      <c r="BC15" s="98">
        <f>IF(COUNTIFS('VS×ケイパビリティ関係'!$F$4:$F$494,$B15,'VS×ケイパビリティ関係'!$G$4:$G$494,BC$5,'VS×ケイパビリティ関係'!$E$4:$E$494,"主")&gt;0,"●",IF(COUNTIFS('VS×ケイパビリティ関係'!$F$4:$F$494,$B15,'VS×ケイパビリティ関係'!$G$4:$G$494,BC$5,'VS×ケイパビリティ関係'!$E$4:$E$494,"支援")&gt;0,"○",""))</f>
        <v/>
      </c>
      <c r="BD15" s="98">
        <f>IF(COUNTIFS('VS×ケイパビリティ関係'!$F$4:$F$494,$B15,'VS×ケイパビリティ関係'!$G$4:$G$494,BD$5,'VS×ケイパビリティ関係'!$E$4:$E$494,"主")&gt;0,"●",IF(COUNTIFS('VS×ケイパビリティ関係'!$F$4:$F$494,$B15,'VS×ケイパビリティ関係'!$G$4:$G$494,BD$5,'VS×ケイパビリティ関係'!$E$4:$E$494,"支援")&gt;0,"○",""))</f>
        <v/>
      </c>
      <c r="BE15" s="98">
        <f>COUNTIF(D15:BD15,"●")</f>
        <v/>
      </c>
      <c r="BF15" s="98">
        <f>COUNTIF(D15:BD15,"○")</f>
        <v/>
      </c>
    </row>
    <row r="16" ht="15" customHeight="1" s="80">
      <c r="A16" s="116" t="n"/>
      <c r="B16" s="98" t="inlineStr">
        <is>
          <t>03-02</t>
        </is>
      </c>
      <c r="C16" s="100" t="inlineStr">
        <is>
          <t>原薬プロセス開発</t>
        </is>
      </c>
      <c r="D16" s="98">
        <f>IF(COUNTIFS('VS×ケイパビリティ関係'!$F$4:$F$494,$B16,'VS×ケイパビリティ関係'!$G$4:$G$494,D$5,'VS×ケイパビリティ関係'!$E$4:$E$494,"主")&gt;0,"●",IF(COUNTIFS('VS×ケイパビリティ関係'!$F$4:$F$494,$B16,'VS×ケイパビリティ関係'!$G$4:$G$494,D$5,'VS×ケイパビリティ関係'!$E$4:$E$494,"支援")&gt;0,"○",""))</f>
        <v/>
      </c>
      <c r="E16" s="98">
        <f>IF(COUNTIFS('VS×ケイパビリティ関係'!$F$4:$F$494,$B16,'VS×ケイパビリティ関係'!$G$4:$G$494,E$5,'VS×ケイパビリティ関係'!$E$4:$E$494,"主")&gt;0,"●",IF(COUNTIFS('VS×ケイパビリティ関係'!$F$4:$F$494,$B16,'VS×ケイパビリティ関係'!$G$4:$G$494,E$5,'VS×ケイパビリティ関係'!$E$4:$E$494,"支援")&gt;0,"○",""))</f>
        <v/>
      </c>
      <c r="F16" s="98">
        <f>IF(COUNTIFS('VS×ケイパビリティ関係'!$F$4:$F$494,$B16,'VS×ケイパビリティ関係'!$G$4:$G$494,F$5,'VS×ケイパビリティ関係'!$E$4:$E$494,"主")&gt;0,"●",IF(COUNTIFS('VS×ケイパビリティ関係'!$F$4:$F$494,$B16,'VS×ケイパビリティ関係'!$G$4:$G$494,F$5,'VS×ケイパビリティ関係'!$E$4:$E$494,"支援")&gt;0,"○",""))</f>
        <v/>
      </c>
      <c r="G16" s="98">
        <f>IF(COUNTIFS('VS×ケイパビリティ関係'!$F$4:$F$494,$B16,'VS×ケイパビリティ関係'!$G$4:$G$494,G$5,'VS×ケイパビリティ関係'!$E$4:$E$494,"主")&gt;0,"●",IF(COUNTIFS('VS×ケイパビリティ関係'!$F$4:$F$494,$B16,'VS×ケイパビリティ関係'!$G$4:$G$494,G$5,'VS×ケイパビリティ関係'!$E$4:$E$494,"支援")&gt;0,"○",""))</f>
        <v/>
      </c>
      <c r="H16" s="98">
        <f>IF(COUNTIFS('VS×ケイパビリティ関係'!$F$4:$F$494,$B16,'VS×ケイパビリティ関係'!$G$4:$G$494,H$5,'VS×ケイパビリティ関係'!$E$4:$E$494,"主")&gt;0,"●",IF(COUNTIFS('VS×ケイパビリティ関係'!$F$4:$F$494,$B16,'VS×ケイパビリティ関係'!$G$4:$G$494,H$5,'VS×ケイパビリティ関係'!$E$4:$E$494,"支援")&gt;0,"○",""))</f>
        <v/>
      </c>
      <c r="I16" s="98">
        <f>IF(COUNTIFS('VS×ケイパビリティ関係'!$F$4:$F$494,$B16,'VS×ケイパビリティ関係'!$G$4:$G$494,I$5,'VS×ケイパビリティ関係'!$E$4:$E$494,"主")&gt;0,"●",IF(COUNTIFS('VS×ケイパビリティ関係'!$F$4:$F$494,$B16,'VS×ケイパビリティ関係'!$G$4:$G$494,I$5,'VS×ケイパビリティ関係'!$E$4:$E$494,"支援")&gt;0,"○",""))</f>
        <v/>
      </c>
      <c r="J16" s="98">
        <f>IF(COUNTIFS('VS×ケイパビリティ関係'!$F$4:$F$494,$B16,'VS×ケイパビリティ関係'!$G$4:$G$494,J$5,'VS×ケイパビリティ関係'!$E$4:$E$494,"主")&gt;0,"●",IF(COUNTIFS('VS×ケイパビリティ関係'!$F$4:$F$494,$B16,'VS×ケイパビリティ関係'!$G$4:$G$494,J$5,'VS×ケイパビリティ関係'!$E$4:$E$494,"支援")&gt;0,"○",""))</f>
        <v/>
      </c>
      <c r="K16" s="98">
        <f>IF(COUNTIFS('VS×ケイパビリティ関係'!$F$4:$F$494,$B16,'VS×ケイパビリティ関係'!$G$4:$G$494,K$5,'VS×ケイパビリティ関係'!$E$4:$E$494,"主")&gt;0,"●",IF(COUNTIFS('VS×ケイパビリティ関係'!$F$4:$F$494,$B16,'VS×ケイパビリティ関係'!$G$4:$G$494,K$5,'VS×ケイパビリティ関係'!$E$4:$E$494,"支援")&gt;0,"○",""))</f>
        <v/>
      </c>
      <c r="L16" s="98">
        <f>IF(COUNTIFS('VS×ケイパビリティ関係'!$F$4:$F$494,$B16,'VS×ケイパビリティ関係'!$G$4:$G$494,L$5,'VS×ケイパビリティ関係'!$E$4:$E$494,"主")&gt;0,"●",IF(COUNTIFS('VS×ケイパビリティ関係'!$F$4:$F$494,$B16,'VS×ケイパビリティ関係'!$G$4:$G$494,L$5,'VS×ケイパビリティ関係'!$E$4:$E$494,"支援")&gt;0,"○",""))</f>
        <v/>
      </c>
      <c r="M16" s="98">
        <f>IF(COUNTIFS('VS×ケイパビリティ関係'!$F$4:$F$494,$B16,'VS×ケイパビリティ関係'!$G$4:$G$494,M$5,'VS×ケイパビリティ関係'!$E$4:$E$494,"主")&gt;0,"●",IF(COUNTIFS('VS×ケイパビリティ関係'!$F$4:$F$494,$B16,'VS×ケイパビリティ関係'!$G$4:$G$494,M$5,'VS×ケイパビリティ関係'!$E$4:$E$494,"支援")&gt;0,"○",""))</f>
        <v/>
      </c>
      <c r="N16" s="98">
        <f>IF(COUNTIFS('VS×ケイパビリティ関係'!$F$4:$F$494,$B16,'VS×ケイパビリティ関係'!$G$4:$G$494,N$5,'VS×ケイパビリティ関係'!$E$4:$E$494,"主")&gt;0,"●",IF(COUNTIFS('VS×ケイパビリティ関係'!$F$4:$F$494,$B16,'VS×ケイパビリティ関係'!$G$4:$G$494,N$5,'VS×ケイパビリティ関係'!$E$4:$E$494,"支援")&gt;0,"○",""))</f>
        <v/>
      </c>
      <c r="O16" s="98">
        <f>IF(COUNTIFS('VS×ケイパビリティ関係'!$F$4:$F$494,$B16,'VS×ケイパビリティ関係'!$G$4:$G$494,O$5,'VS×ケイパビリティ関係'!$E$4:$E$494,"主")&gt;0,"●",IF(COUNTIFS('VS×ケイパビリティ関係'!$F$4:$F$494,$B16,'VS×ケイパビリティ関係'!$G$4:$G$494,O$5,'VS×ケイパビリティ関係'!$E$4:$E$494,"支援")&gt;0,"○",""))</f>
        <v/>
      </c>
      <c r="P16" s="98">
        <f>IF(COUNTIFS('VS×ケイパビリティ関係'!$F$4:$F$494,$B16,'VS×ケイパビリティ関係'!$G$4:$G$494,P$5,'VS×ケイパビリティ関係'!$E$4:$E$494,"主")&gt;0,"●",IF(COUNTIFS('VS×ケイパビリティ関係'!$F$4:$F$494,$B16,'VS×ケイパビリティ関係'!$G$4:$G$494,P$5,'VS×ケイパビリティ関係'!$E$4:$E$494,"支援")&gt;0,"○",""))</f>
        <v/>
      </c>
      <c r="Q16" s="98">
        <f>IF(COUNTIFS('VS×ケイパビリティ関係'!$F$4:$F$494,$B16,'VS×ケイパビリティ関係'!$G$4:$G$494,Q$5,'VS×ケイパビリティ関係'!$E$4:$E$494,"主")&gt;0,"●",IF(COUNTIFS('VS×ケイパビリティ関係'!$F$4:$F$494,$B16,'VS×ケイパビリティ関係'!$G$4:$G$494,Q$5,'VS×ケイパビリティ関係'!$E$4:$E$494,"支援")&gt;0,"○",""))</f>
        <v/>
      </c>
      <c r="R16" s="98">
        <f>IF(COUNTIFS('VS×ケイパビリティ関係'!$F$4:$F$494,$B16,'VS×ケイパビリティ関係'!$G$4:$G$494,R$5,'VS×ケイパビリティ関係'!$E$4:$E$494,"主")&gt;0,"●",IF(COUNTIFS('VS×ケイパビリティ関係'!$F$4:$F$494,$B16,'VS×ケイパビリティ関係'!$G$4:$G$494,R$5,'VS×ケイパビリティ関係'!$E$4:$E$494,"支援")&gt;0,"○",""))</f>
        <v/>
      </c>
      <c r="S16" s="98">
        <f>IF(COUNTIFS('VS×ケイパビリティ関係'!$F$4:$F$494,$B16,'VS×ケイパビリティ関係'!$G$4:$G$494,S$5,'VS×ケイパビリティ関係'!$E$4:$E$494,"主")&gt;0,"●",IF(COUNTIFS('VS×ケイパビリティ関係'!$F$4:$F$494,$B16,'VS×ケイパビリティ関係'!$G$4:$G$494,S$5,'VS×ケイパビリティ関係'!$E$4:$E$494,"支援")&gt;0,"○",""))</f>
        <v/>
      </c>
      <c r="T16" s="98">
        <f>IF(COUNTIFS('VS×ケイパビリティ関係'!$F$4:$F$494,$B16,'VS×ケイパビリティ関係'!$G$4:$G$494,T$5,'VS×ケイパビリティ関係'!$E$4:$E$494,"主")&gt;0,"●",IF(COUNTIFS('VS×ケイパビリティ関係'!$F$4:$F$494,$B16,'VS×ケイパビリティ関係'!$G$4:$G$494,T$5,'VS×ケイパビリティ関係'!$E$4:$E$494,"支援")&gt;0,"○",""))</f>
        <v/>
      </c>
      <c r="U16" s="98">
        <f>IF(COUNTIFS('VS×ケイパビリティ関係'!$F$4:$F$494,$B16,'VS×ケイパビリティ関係'!$G$4:$G$494,U$5,'VS×ケイパビリティ関係'!$E$4:$E$494,"主")&gt;0,"●",IF(COUNTIFS('VS×ケイパビリティ関係'!$F$4:$F$494,$B16,'VS×ケイパビリティ関係'!$G$4:$G$494,U$5,'VS×ケイパビリティ関係'!$E$4:$E$494,"支援")&gt;0,"○",""))</f>
        <v/>
      </c>
      <c r="V16" s="98">
        <f>IF(COUNTIFS('VS×ケイパビリティ関係'!$F$4:$F$494,$B16,'VS×ケイパビリティ関係'!$G$4:$G$494,V$5,'VS×ケイパビリティ関係'!$E$4:$E$494,"主")&gt;0,"●",IF(COUNTIFS('VS×ケイパビリティ関係'!$F$4:$F$494,$B16,'VS×ケイパビリティ関係'!$G$4:$G$494,V$5,'VS×ケイパビリティ関係'!$E$4:$E$494,"支援")&gt;0,"○",""))</f>
        <v/>
      </c>
      <c r="W16" s="98">
        <f>IF(COUNTIFS('VS×ケイパビリティ関係'!$F$4:$F$494,$B16,'VS×ケイパビリティ関係'!$G$4:$G$494,W$5,'VS×ケイパビリティ関係'!$E$4:$E$494,"主")&gt;0,"●",IF(COUNTIFS('VS×ケイパビリティ関係'!$F$4:$F$494,$B16,'VS×ケイパビリティ関係'!$G$4:$G$494,W$5,'VS×ケイパビリティ関係'!$E$4:$E$494,"支援")&gt;0,"○",""))</f>
        <v/>
      </c>
      <c r="X16" s="98">
        <f>IF(COUNTIFS('VS×ケイパビリティ関係'!$F$4:$F$494,$B16,'VS×ケイパビリティ関係'!$G$4:$G$494,X$5,'VS×ケイパビリティ関係'!$E$4:$E$494,"主")&gt;0,"●",IF(COUNTIFS('VS×ケイパビリティ関係'!$F$4:$F$494,$B16,'VS×ケイパビリティ関係'!$G$4:$G$494,X$5,'VS×ケイパビリティ関係'!$E$4:$E$494,"支援")&gt;0,"○",""))</f>
        <v/>
      </c>
      <c r="Y16" s="98">
        <f>IF(COUNTIFS('VS×ケイパビリティ関係'!$F$4:$F$494,$B16,'VS×ケイパビリティ関係'!$G$4:$G$494,Y$5,'VS×ケイパビリティ関係'!$E$4:$E$494,"主")&gt;0,"●",IF(COUNTIFS('VS×ケイパビリティ関係'!$F$4:$F$494,$B16,'VS×ケイパビリティ関係'!$G$4:$G$494,Y$5,'VS×ケイパビリティ関係'!$E$4:$E$494,"支援")&gt;0,"○",""))</f>
        <v/>
      </c>
      <c r="Z16" s="98">
        <f>IF(COUNTIFS('VS×ケイパビリティ関係'!$F$4:$F$494,$B16,'VS×ケイパビリティ関係'!$G$4:$G$494,Z$5,'VS×ケイパビリティ関係'!$E$4:$E$494,"主")&gt;0,"●",IF(COUNTIFS('VS×ケイパビリティ関係'!$F$4:$F$494,$B16,'VS×ケイパビリティ関係'!$G$4:$G$494,Z$5,'VS×ケイパビリティ関係'!$E$4:$E$494,"支援")&gt;0,"○",""))</f>
        <v/>
      </c>
      <c r="AA16" s="98">
        <f>IF(COUNTIFS('VS×ケイパビリティ関係'!$F$4:$F$494,$B16,'VS×ケイパビリティ関係'!$G$4:$G$494,AA$5,'VS×ケイパビリティ関係'!$E$4:$E$494,"主")&gt;0,"●",IF(COUNTIFS('VS×ケイパビリティ関係'!$F$4:$F$494,$B16,'VS×ケイパビリティ関係'!$G$4:$G$494,AA$5,'VS×ケイパビリティ関係'!$E$4:$E$494,"支援")&gt;0,"○",""))</f>
        <v/>
      </c>
      <c r="AB16" s="98">
        <f>IF(COUNTIFS('VS×ケイパビリティ関係'!$F$4:$F$494,$B16,'VS×ケイパビリティ関係'!$G$4:$G$494,AB$5,'VS×ケイパビリティ関係'!$E$4:$E$494,"主")&gt;0,"●",IF(COUNTIFS('VS×ケイパビリティ関係'!$F$4:$F$494,$B16,'VS×ケイパビリティ関係'!$G$4:$G$494,AB$5,'VS×ケイパビリティ関係'!$E$4:$E$494,"支援")&gt;0,"○",""))</f>
        <v/>
      </c>
      <c r="AC16" s="98">
        <f>IF(COUNTIFS('VS×ケイパビリティ関係'!$F$4:$F$494,$B16,'VS×ケイパビリティ関係'!$G$4:$G$494,AC$5,'VS×ケイパビリティ関係'!$E$4:$E$494,"主")&gt;0,"●",IF(COUNTIFS('VS×ケイパビリティ関係'!$F$4:$F$494,$B16,'VS×ケイパビリティ関係'!$G$4:$G$494,AC$5,'VS×ケイパビリティ関係'!$E$4:$E$494,"支援")&gt;0,"○",""))</f>
        <v/>
      </c>
      <c r="AD16" s="98">
        <f>IF(COUNTIFS('VS×ケイパビリティ関係'!$F$4:$F$494,$B16,'VS×ケイパビリティ関係'!$G$4:$G$494,AD$5,'VS×ケイパビリティ関係'!$E$4:$E$494,"主")&gt;0,"●",IF(COUNTIFS('VS×ケイパビリティ関係'!$F$4:$F$494,$B16,'VS×ケイパビリティ関係'!$G$4:$G$494,AD$5,'VS×ケイパビリティ関係'!$E$4:$E$494,"支援")&gt;0,"○",""))</f>
        <v/>
      </c>
      <c r="AE16" s="98">
        <f>IF(COUNTIFS('VS×ケイパビリティ関係'!$F$4:$F$494,$B16,'VS×ケイパビリティ関係'!$G$4:$G$494,AE$5,'VS×ケイパビリティ関係'!$E$4:$E$494,"主")&gt;0,"●",IF(COUNTIFS('VS×ケイパビリティ関係'!$F$4:$F$494,$B16,'VS×ケイパビリティ関係'!$G$4:$G$494,AE$5,'VS×ケイパビリティ関係'!$E$4:$E$494,"支援")&gt;0,"○",""))</f>
        <v/>
      </c>
      <c r="AF16" s="98">
        <f>IF(COUNTIFS('VS×ケイパビリティ関係'!$F$4:$F$494,$B16,'VS×ケイパビリティ関係'!$G$4:$G$494,AF$5,'VS×ケイパビリティ関係'!$E$4:$E$494,"主")&gt;0,"●",IF(COUNTIFS('VS×ケイパビリティ関係'!$F$4:$F$494,$B16,'VS×ケイパビリティ関係'!$G$4:$G$494,AF$5,'VS×ケイパビリティ関係'!$E$4:$E$494,"支援")&gt;0,"○",""))</f>
        <v/>
      </c>
      <c r="AG16" s="98">
        <f>IF(COUNTIFS('VS×ケイパビリティ関係'!$F$4:$F$494,$B16,'VS×ケイパビリティ関係'!$G$4:$G$494,AG$5,'VS×ケイパビリティ関係'!$E$4:$E$494,"主")&gt;0,"●",IF(COUNTIFS('VS×ケイパビリティ関係'!$F$4:$F$494,$B16,'VS×ケイパビリティ関係'!$G$4:$G$494,AG$5,'VS×ケイパビリティ関係'!$E$4:$E$494,"支援")&gt;0,"○",""))</f>
        <v/>
      </c>
      <c r="AH16" s="98">
        <f>IF(COUNTIFS('VS×ケイパビリティ関係'!$F$4:$F$494,$B16,'VS×ケイパビリティ関係'!$G$4:$G$494,AH$5,'VS×ケイパビリティ関係'!$E$4:$E$494,"主")&gt;0,"●",IF(COUNTIFS('VS×ケイパビリティ関係'!$F$4:$F$494,$B16,'VS×ケイパビリティ関係'!$G$4:$G$494,AH$5,'VS×ケイパビリティ関係'!$E$4:$E$494,"支援")&gt;0,"○",""))</f>
        <v/>
      </c>
      <c r="AI16" s="98">
        <f>IF(COUNTIFS('VS×ケイパビリティ関係'!$F$4:$F$494,$B16,'VS×ケイパビリティ関係'!$G$4:$G$494,AI$5,'VS×ケイパビリティ関係'!$E$4:$E$494,"主")&gt;0,"●",IF(COUNTIFS('VS×ケイパビリティ関係'!$F$4:$F$494,$B16,'VS×ケイパビリティ関係'!$G$4:$G$494,AI$5,'VS×ケイパビリティ関係'!$E$4:$E$494,"支援")&gt;0,"○",""))</f>
        <v/>
      </c>
      <c r="AJ16" s="98">
        <f>IF(COUNTIFS('VS×ケイパビリティ関係'!$F$4:$F$494,$B16,'VS×ケイパビリティ関係'!$G$4:$G$494,AJ$5,'VS×ケイパビリティ関係'!$E$4:$E$494,"主")&gt;0,"●",IF(COUNTIFS('VS×ケイパビリティ関係'!$F$4:$F$494,$B16,'VS×ケイパビリティ関係'!$G$4:$G$494,AJ$5,'VS×ケイパビリティ関係'!$E$4:$E$494,"支援")&gt;0,"○",""))</f>
        <v/>
      </c>
      <c r="AK16" s="98">
        <f>IF(COUNTIFS('VS×ケイパビリティ関係'!$F$4:$F$494,$B16,'VS×ケイパビリティ関係'!$G$4:$G$494,AK$5,'VS×ケイパビリティ関係'!$E$4:$E$494,"主")&gt;0,"●",IF(COUNTIFS('VS×ケイパビリティ関係'!$F$4:$F$494,$B16,'VS×ケイパビリティ関係'!$G$4:$G$494,AK$5,'VS×ケイパビリティ関係'!$E$4:$E$494,"支援")&gt;0,"○",""))</f>
        <v/>
      </c>
      <c r="AL16" s="98">
        <f>IF(COUNTIFS('VS×ケイパビリティ関係'!$F$4:$F$494,$B16,'VS×ケイパビリティ関係'!$G$4:$G$494,AL$5,'VS×ケイパビリティ関係'!$E$4:$E$494,"主")&gt;0,"●",IF(COUNTIFS('VS×ケイパビリティ関係'!$F$4:$F$494,$B16,'VS×ケイパビリティ関係'!$G$4:$G$494,AL$5,'VS×ケイパビリティ関係'!$E$4:$E$494,"支援")&gt;0,"○",""))</f>
        <v/>
      </c>
      <c r="AM16" s="98">
        <f>IF(COUNTIFS('VS×ケイパビリティ関係'!$F$4:$F$494,$B16,'VS×ケイパビリティ関係'!$G$4:$G$494,AM$5,'VS×ケイパビリティ関係'!$E$4:$E$494,"主")&gt;0,"●",IF(COUNTIFS('VS×ケイパビリティ関係'!$F$4:$F$494,$B16,'VS×ケイパビリティ関係'!$G$4:$G$494,AM$5,'VS×ケイパビリティ関係'!$E$4:$E$494,"支援")&gt;0,"○",""))</f>
        <v/>
      </c>
      <c r="AN16" s="98">
        <f>IF(COUNTIFS('VS×ケイパビリティ関係'!$F$4:$F$494,$B16,'VS×ケイパビリティ関係'!$G$4:$G$494,AN$5,'VS×ケイパビリティ関係'!$E$4:$E$494,"主")&gt;0,"●",IF(COUNTIFS('VS×ケイパビリティ関係'!$F$4:$F$494,$B16,'VS×ケイパビリティ関係'!$G$4:$G$494,AN$5,'VS×ケイパビリティ関係'!$E$4:$E$494,"支援")&gt;0,"○",""))</f>
        <v/>
      </c>
      <c r="AO16" s="98">
        <f>IF(COUNTIFS('VS×ケイパビリティ関係'!$F$4:$F$494,$B16,'VS×ケイパビリティ関係'!$G$4:$G$494,AO$5,'VS×ケイパビリティ関係'!$E$4:$E$494,"主")&gt;0,"●",IF(COUNTIFS('VS×ケイパビリティ関係'!$F$4:$F$494,$B16,'VS×ケイパビリティ関係'!$G$4:$G$494,AO$5,'VS×ケイパビリティ関係'!$E$4:$E$494,"支援")&gt;0,"○",""))</f>
        <v/>
      </c>
      <c r="AP16" s="98">
        <f>IF(COUNTIFS('VS×ケイパビリティ関係'!$F$4:$F$494,$B16,'VS×ケイパビリティ関係'!$G$4:$G$494,AP$5,'VS×ケイパビリティ関係'!$E$4:$E$494,"主")&gt;0,"●",IF(COUNTIFS('VS×ケイパビリティ関係'!$F$4:$F$494,$B16,'VS×ケイパビリティ関係'!$G$4:$G$494,AP$5,'VS×ケイパビリティ関係'!$E$4:$E$494,"支援")&gt;0,"○",""))</f>
        <v/>
      </c>
      <c r="AQ16" s="98">
        <f>IF(COUNTIFS('VS×ケイパビリティ関係'!$F$4:$F$494,$B16,'VS×ケイパビリティ関係'!$G$4:$G$494,AQ$5,'VS×ケイパビリティ関係'!$E$4:$E$494,"主")&gt;0,"●",IF(COUNTIFS('VS×ケイパビリティ関係'!$F$4:$F$494,$B16,'VS×ケイパビリティ関係'!$G$4:$G$494,AQ$5,'VS×ケイパビリティ関係'!$E$4:$E$494,"支援")&gt;0,"○",""))</f>
        <v/>
      </c>
      <c r="AR16" s="98">
        <f>IF(COUNTIFS('VS×ケイパビリティ関係'!$F$4:$F$494,$B16,'VS×ケイパビリティ関係'!$G$4:$G$494,AR$5,'VS×ケイパビリティ関係'!$E$4:$E$494,"主")&gt;0,"●",IF(COUNTIFS('VS×ケイパビリティ関係'!$F$4:$F$494,$B16,'VS×ケイパビリティ関係'!$G$4:$G$494,AR$5,'VS×ケイパビリティ関係'!$E$4:$E$494,"支援")&gt;0,"○",""))</f>
        <v/>
      </c>
      <c r="AS16" s="98">
        <f>IF(COUNTIFS('VS×ケイパビリティ関係'!$F$4:$F$494,$B16,'VS×ケイパビリティ関係'!$G$4:$G$494,AS$5,'VS×ケイパビリティ関係'!$E$4:$E$494,"主")&gt;0,"●",IF(COUNTIFS('VS×ケイパビリティ関係'!$F$4:$F$494,$B16,'VS×ケイパビリティ関係'!$G$4:$G$494,AS$5,'VS×ケイパビリティ関係'!$E$4:$E$494,"支援")&gt;0,"○",""))</f>
        <v/>
      </c>
      <c r="AT16" s="98">
        <f>IF(COUNTIFS('VS×ケイパビリティ関係'!$F$4:$F$494,$B16,'VS×ケイパビリティ関係'!$G$4:$G$494,AT$5,'VS×ケイパビリティ関係'!$E$4:$E$494,"主")&gt;0,"●",IF(COUNTIFS('VS×ケイパビリティ関係'!$F$4:$F$494,$B16,'VS×ケイパビリティ関係'!$G$4:$G$494,AT$5,'VS×ケイパビリティ関係'!$E$4:$E$494,"支援")&gt;0,"○",""))</f>
        <v/>
      </c>
      <c r="AU16" s="98">
        <f>IF(COUNTIFS('VS×ケイパビリティ関係'!$F$4:$F$494,$B16,'VS×ケイパビリティ関係'!$G$4:$G$494,AU$5,'VS×ケイパビリティ関係'!$E$4:$E$494,"主")&gt;0,"●",IF(COUNTIFS('VS×ケイパビリティ関係'!$F$4:$F$494,$B16,'VS×ケイパビリティ関係'!$G$4:$G$494,AU$5,'VS×ケイパビリティ関係'!$E$4:$E$494,"支援")&gt;0,"○",""))</f>
        <v/>
      </c>
      <c r="AV16" s="98">
        <f>IF(COUNTIFS('VS×ケイパビリティ関係'!$F$4:$F$494,$B16,'VS×ケイパビリティ関係'!$G$4:$G$494,AV$5,'VS×ケイパビリティ関係'!$E$4:$E$494,"主")&gt;0,"●",IF(COUNTIFS('VS×ケイパビリティ関係'!$F$4:$F$494,$B16,'VS×ケイパビリティ関係'!$G$4:$G$494,AV$5,'VS×ケイパビリティ関係'!$E$4:$E$494,"支援")&gt;0,"○",""))</f>
        <v/>
      </c>
      <c r="AW16" s="98">
        <f>IF(COUNTIFS('VS×ケイパビリティ関係'!$F$4:$F$494,$B16,'VS×ケイパビリティ関係'!$G$4:$G$494,AW$5,'VS×ケイパビリティ関係'!$E$4:$E$494,"主")&gt;0,"●",IF(COUNTIFS('VS×ケイパビリティ関係'!$F$4:$F$494,$B16,'VS×ケイパビリティ関係'!$G$4:$G$494,AW$5,'VS×ケイパビリティ関係'!$E$4:$E$494,"支援")&gt;0,"○",""))</f>
        <v/>
      </c>
      <c r="AX16" s="98">
        <f>IF(COUNTIFS('VS×ケイパビリティ関係'!$F$4:$F$494,$B16,'VS×ケイパビリティ関係'!$G$4:$G$494,AX$5,'VS×ケイパビリティ関係'!$E$4:$E$494,"主")&gt;0,"●",IF(COUNTIFS('VS×ケイパビリティ関係'!$F$4:$F$494,$B16,'VS×ケイパビリティ関係'!$G$4:$G$494,AX$5,'VS×ケイパビリティ関係'!$E$4:$E$494,"支援")&gt;0,"○",""))</f>
        <v/>
      </c>
      <c r="AY16" s="98">
        <f>IF(COUNTIFS('VS×ケイパビリティ関係'!$F$4:$F$494,$B16,'VS×ケイパビリティ関係'!$G$4:$G$494,AY$5,'VS×ケイパビリティ関係'!$E$4:$E$494,"主")&gt;0,"●",IF(COUNTIFS('VS×ケイパビリティ関係'!$F$4:$F$494,$B16,'VS×ケイパビリティ関係'!$G$4:$G$494,AY$5,'VS×ケイパビリティ関係'!$E$4:$E$494,"支援")&gt;0,"○",""))</f>
        <v/>
      </c>
      <c r="AZ16" s="98">
        <f>IF(COUNTIFS('VS×ケイパビリティ関係'!$F$4:$F$494,$B16,'VS×ケイパビリティ関係'!$G$4:$G$494,AZ$5,'VS×ケイパビリティ関係'!$E$4:$E$494,"主")&gt;0,"●",IF(COUNTIFS('VS×ケイパビリティ関係'!$F$4:$F$494,$B16,'VS×ケイパビリティ関係'!$G$4:$G$494,AZ$5,'VS×ケイパビリティ関係'!$E$4:$E$494,"支援")&gt;0,"○",""))</f>
        <v/>
      </c>
      <c r="BA16" s="98">
        <f>IF(COUNTIFS('VS×ケイパビリティ関係'!$F$4:$F$494,$B16,'VS×ケイパビリティ関係'!$G$4:$G$494,BA$5,'VS×ケイパビリティ関係'!$E$4:$E$494,"主")&gt;0,"●",IF(COUNTIFS('VS×ケイパビリティ関係'!$F$4:$F$494,$B16,'VS×ケイパビリティ関係'!$G$4:$G$494,BA$5,'VS×ケイパビリティ関係'!$E$4:$E$494,"支援")&gt;0,"○",""))</f>
        <v/>
      </c>
      <c r="BB16" s="98">
        <f>IF(COUNTIFS('VS×ケイパビリティ関係'!$F$4:$F$494,$B16,'VS×ケイパビリティ関係'!$G$4:$G$494,BB$5,'VS×ケイパビリティ関係'!$E$4:$E$494,"主")&gt;0,"●",IF(COUNTIFS('VS×ケイパビリティ関係'!$F$4:$F$494,$B16,'VS×ケイパビリティ関係'!$G$4:$G$494,BB$5,'VS×ケイパビリティ関係'!$E$4:$E$494,"支援")&gt;0,"○",""))</f>
        <v/>
      </c>
      <c r="BC16" s="98">
        <f>IF(COUNTIFS('VS×ケイパビリティ関係'!$F$4:$F$494,$B16,'VS×ケイパビリティ関係'!$G$4:$G$494,BC$5,'VS×ケイパビリティ関係'!$E$4:$E$494,"主")&gt;0,"●",IF(COUNTIFS('VS×ケイパビリティ関係'!$F$4:$F$494,$B16,'VS×ケイパビリティ関係'!$G$4:$G$494,BC$5,'VS×ケイパビリティ関係'!$E$4:$E$494,"支援")&gt;0,"○",""))</f>
        <v/>
      </c>
      <c r="BD16" s="98">
        <f>IF(COUNTIFS('VS×ケイパビリティ関係'!$F$4:$F$494,$B16,'VS×ケイパビリティ関係'!$G$4:$G$494,BD$5,'VS×ケイパビリティ関係'!$E$4:$E$494,"主")&gt;0,"●",IF(COUNTIFS('VS×ケイパビリティ関係'!$F$4:$F$494,$B16,'VS×ケイパビリティ関係'!$G$4:$G$494,BD$5,'VS×ケイパビリティ関係'!$E$4:$E$494,"支援")&gt;0,"○",""))</f>
        <v/>
      </c>
      <c r="BE16" s="98">
        <f>COUNTIF(D16:BD16,"●")</f>
        <v/>
      </c>
      <c r="BF16" s="98">
        <f>COUNTIF(D16:BD16,"○")</f>
        <v/>
      </c>
    </row>
    <row r="17" ht="15" customHeight="1" s="80">
      <c r="A17" s="116" t="n"/>
      <c r="B17" s="98" t="inlineStr">
        <is>
          <t>03-03</t>
        </is>
      </c>
      <c r="C17" s="100" t="inlineStr">
        <is>
          <t>製剤開発</t>
        </is>
      </c>
      <c r="D17" s="98">
        <f>IF(COUNTIFS('VS×ケイパビリティ関係'!$F$4:$F$494,$B17,'VS×ケイパビリティ関係'!$G$4:$G$494,D$5,'VS×ケイパビリティ関係'!$E$4:$E$494,"主")&gt;0,"●",IF(COUNTIFS('VS×ケイパビリティ関係'!$F$4:$F$494,$B17,'VS×ケイパビリティ関係'!$G$4:$G$494,D$5,'VS×ケイパビリティ関係'!$E$4:$E$494,"支援")&gt;0,"○",""))</f>
        <v/>
      </c>
      <c r="E17" s="98">
        <f>IF(COUNTIFS('VS×ケイパビリティ関係'!$F$4:$F$494,$B17,'VS×ケイパビリティ関係'!$G$4:$G$494,E$5,'VS×ケイパビリティ関係'!$E$4:$E$494,"主")&gt;0,"●",IF(COUNTIFS('VS×ケイパビリティ関係'!$F$4:$F$494,$B17,'VS×ケイパビリティ関係'!$G$4:$G$494,E$5,'VS×ケイパビリティ関係'!$E$4:$E$494,"支援")&gt;0,"○",""))</f>
        <v/>
      </c>
      <c r="F17" s="98">
        <f>IF(COUNTIFS('VS×ケイパビリティ関係'!$F$4:$F$494,$B17,'VS×ケイパビリティ関係'!$G$4:$G$494,F$5,'VS×ケイパビリティ関係'!$E$4:$E$494,"主")&gt;0,"●",IF(COUNTIFS('VS×ケイパビリティ関係'!$F$4:$F$494,$B17,'VS×ケイパビリティ関係'!$G$4:$G$494,F$5,'VS×ケイパビリティ関係'!$E$4:$E$494,"支援")&gt;0,"○",""))</f>
        <v/>
      </c>
      <c r="G17" s="98">
        <f>IF(COUNTIFS('VS×ケイパビリティ関係'!$F$4:$F$494,$B17,'VS×ケイパビリティ関係'!$G$4:$G$494,G$5,'VS×ケイパビリティ関係'!$E$4:$E$494,"主")&gt;0,"●",IF(COUNTIFS('VS×ケイパビリティ関係'!$F$4:$F$494,$B17,'VS×ケイパビリティ関係'!$G$4:$G$494,G$5,'VS×ケイパビリティ関係'!$E$4:$E$494,"支援")&gt;0,"○",""))</f>
        <v/>
      </c>
      <c r="H17" s="98">
        <f>IF(COUNTIFS('VS×ケイパビリティ関係'!$F$4:$F$494,$B17,'VS×ケイパビリティ関係'!$G$4:$G$494,H$5,'VS×ケイパビリティ関係'!$E$4:$E$494,"主")&gt;0,"●",IF(COUNTIFS('VS×ケイパビリティ関係'!$F$4:$F$494,$B17,'VS×ケイパビリティ関係'!$G$4:$G$494,H$5,'VS×ケイパビリティ関係'!$E$4:$E$494,"支援")&gt;0,"○",""))</f>
        <v/>
      </c>
      <c r="I17" s="98">
        <f>IF(COUNTIFS('VS×ケイパビリティ関係'!$F$4:$F$494,$B17,'VS×ケイパビリティ関係'!$G$4:$G$494,I$5,'VS×ケイパビリティ関係'!$E$4:$E$494,"主")&gt;0,"●",IF(COUNTIFS('VS×ケイパビリティ関係'!$F$4:$F$494,$B17,'VS×ケイパビリティ関係'!$G$4:$G$494,I$5,'VS×ケイパビリティ関係'!$E$4:$E$494,"支援")&gt;0,"○",""))</f>
        <v/>
      </c>
      <c r="J17" s="98">
        <f>IF(COUNTIFS('VS×ケイパビリティ関係'!$F$4:$F$494,$B17,'VS×ケイパビリティ関係'!$G$4:$G$494,J$5,'VS×ケイパビリティ関係'!$E$4:$E$494,"主")&gt;0,"●",IF(COUNTIFS('VS×ケイパビリティ関係'!$F$4:$F$494,$B17,'VS×ケイパビリティ関係'!$G$4:$G$494,J$5,'VS×ケイパビリティ関係'!$E$4:$E$494,"支援")&gt;0,"○",""))</f>
        <v/>
      </c>
      <c r="K17" s="98">
        <f>IF(COUNTIFS('VS×ケイパビリティ関係'!$F$4:$F$494,$B17,'VS×ケイパビリティ関係'!$G$4:$G$494,K$5,'VS×ケイパビリティ関係'!$E$4:$E$494,"主")&gt;0,"●",IF(COUNTIFS('VS×ケイパビリティ関係'!$F$4:$F$494,$B17,'VS×ケイパビリティ関係'!$G$4:$G$494,K$5,'VS×ケイパビリティ関係'!$E$4:$E$494,"支援")&gt;0,"○",""))</f>
        <v/>
      </c>
      <c r="L17" s="98">
        <f>IF(COUNTIFS('VS×ケイパビリティ関係'!$F$4:$F$494,$B17,'VS×ケイパビリティ関係'!$G$4:$G$494,L$5,'VS×ケイパビリティ関係'!$E$4:$E$494,"主")&gt;0,"●",IF(COUNTIFS('VS×ケイパビリティ関係'!$F$4:$F$494,$B17,'VS×ケイパビリティ関係'!$G$4:$G$494,L$5,'VS×ケイパビリティ関係'!$E$4:$E$494,"支援")&gt;0,"○",""))</f>
        <v/>
      </c>
      <c r="M17" s="98">
        <f>IF(COUNTIFS('VS×ケイパビリティ関係'!$F$4:$F$494,$B17,'VS×ケイパビリティ関係'!$G$4:$G$494,M$5,'VS×ケイパビリティ関係'!$E$4:$E$494,"主")&gt;0,"●",IF(COUNTIFS('VS×ケイパビリティ関係'!$F$4:$F$494,$B17,'VS×ケイパビリティ関係'!$G$4:$G$494,M$5,'VS×ケイパビリティ関係'!$E$4:$E$494,"支援")&gt;0,"○",""))</f>
        <v/>
      </c>
      <c r="N17" s="98">
        <f>IF(COUNTIFS('VS×ケイパビリティ関係'!$F$4:$F$494,$B17,'VS×ケイパビリティ関係'!$G$4:$G$494,N$5,'VS×ケイパビリティ関係'!$E$4:$E$494,"主")&gt;0,"●",IF(COUNTIFS('VS×ケイパビリティ関係'!$F$4:$F$494,$B17,'VS×ケイパビリティ関係'!$G$4:$G$494,N$5,'VS×ケイパビリティ関係'!$E$4:$E$494,"支援")&gt;0,"○",""))</f>
        <v/>
      </c>
      <c r="O17" s="98">
        <f>IF(COUNTIFS('VS×ケイパビリティ関係'!$F$4:$F$494,$B17,'VS×ケイパビリティ関係'!$G$4:$G$494,O$5,'VS×ケイパビリティ関係'!$E$4:$E$494,"主")&gt;0,"●",IF(COUNTIFS('VS×ケイパビリティ関係'!$F$4:$F$494,$B17,'VS×ケイパビリティ関係'!$G$4:$G$494,O$5,'VS×ケイパビリティ関係'!$E$4:$E$494,"支援")&gt;0,"○",""))</f>
        <v/>
      </c>
      <c r="P17" s="98">
        <f>IF(COUNTIFS('VS×ケイパビリティ関係'!$F$4:$F$494,$B17,'VS×ケイパビリティ関係'!$G$4:$G$494,P$5,'VS×ケイパビリティ関係'!$E$4:$E$494,"主")&gt;0,"●",IF(COUNTIFS('VS×ケイパビリティ関係'!$F$4:$F$494,$B17,'VS×ケイパビリティ関係'!$G$4:$G$494,P$5,'VS×ケイパビリティ関係'!$E$4:$E$494,"支援")&gt;0,"○",""))</f>
        <v/>
      </c>
      <c r="Q17" s="98">
        <f>IF(COUNTIFS('VS×ケイパビリティ関係'!$F$4:$F$494,$B17,'VS×ケイパビリティ関係'!$G$4:$G$494,Q$5,'VS×ケイパビリティ関係'!$E$4:$E$494,"主")&gt;0,"●",IF(COUNTIFS('VS×ケイパビリティ関係'!$F$4:$F$494,$B17,'VS×ケイパビリティ関係'!$G$4:$G$494,Q$5,'VS×ケイパビリティ関係'!$E$4:$E$494,"支援")&gt;0,"○",""))</f>
        <v/>
      </c>
      <c r="R17" s="98">
        <f>IF(COUNTIFS('VS×ケイパビリティ関係'!$F$4:$F$494,$B17,'VS×ケイパビリティ関係'!$G$4:$G$494,R$5,'VS×ケイパビリティ関係'!$E$4:$E$494,"主")&gt;0,"●",IF(COUNTIFS('VS×ケイパビリティ関係'!$F$4:$F$494,$B17,'VS×ケイパビリティ関係'!$G$4:$G$494,R$5,'VS×ケイパビリティ関係'!$E$4:$E$494,"支援")&gt;0,"○",""))</f>
        <v/>
      </c>
      <c r="S17" s="98">
        <f>IF(COUNTIFS('VS×ケイパビリティ関係'!$F$4:$F$494,$B17,'VS×ケイパビリティ関係'!$G$4:$G$494,S$5,'VS×ケイパビリティ関係'!$E$4:$E$494,"主")&gt;0,"●",IF(COUNTIFS('VS×ケイパビリティ関係'!$F$4:$F$494,$B17,'VS×ケイパビリティ関係'!$G$4:$G$494,S$5,'VS×ケイパビリティ関係'!$E$4:$E$494,"支援")&gt;0,"○",""))</f>
        <v/>
      </c>
      <c r="T17" s="98">
        <f>IF(COUNTIFS('VS×ケイパビリティ関係'!$F$4:$F$494,$B17,'VS×ケイパビリティ関係'!$G$4:$G$494,T$5,'VS×ケイパビリティ関係'!$E$4:$E$494,"主")&gt;0,"●",IF(COUNTIFS('VS×ケイパビリティ関係'!$F$4:$F$494,$B17,'VS×ケイパビリティ関係'!$G$4:$G$494,T$5,'VS×ケイパビリティ関係'!$E$4:$E$494,"支援")&gt;0,"○",""))</f>
        <v/>
      </c>
      <c r="U17" s="98">
        <f>IF(COUNTIFS('VS×ケイパビリティ関係'!$F$4:$F$494,$B17,'VS×ケイパビリティ関係'!$G$4:$G$494,U$5,'VS×ケイパビリティ関係'!$E$4:$E$494,"主")&gt;0,"●",IF(COUNTIFS('VS×ケイパビリティ関係'!$F$4:$F$494,$B17,'VS×ケイパビリティ関係'!$G$4:$G$494,U$5,'VS×ケイパビリティ関係'!$E$4:$E$494,"支援")&gt;0,"○",""))</f>
        <v/>
      </c>
      <c r="V17" s="98">
        <f>IF(COUNTIFS('VS×ケイパビリティ関係'!$F$4:$F$494,$B17,'VS×ケイパビリティ関係'!$G$4:$G$494,V$5,'VS×ケイパビリティ関係'!$E$4:$E$494,"主")&gt;0,"●",IF(COUNTIFS('VS×ケイパビリティ関係'!$F$4:$F$494,$B17,'VS×ケイパビリティ関係'!$G$4:$G$494,V$5,'VS×ケイパビリティ関係'!$E$4:$E$494,"支援")&gt;0,"○",""))</f>
        <v/>
      </c>
      <c r="W17" s="98">
        <f>IF(COUNTIFS('VS×ケイパビリティ関係'!$F$4:$F$494,$B17,'VS×ケイパビリティ関係'!$G$4:$G$494,W$5,'VS×ケイパビリティ関係'!$E$4:$E$494,"主")&gt;0,"●",IF(COUNTIFS('VS×ケイパビリティ関係'!$F$4:$F$494,$B17,'VS×ケイパビリティ関係'!$G$4:$G$494,W$5,'VS×ケイパビリティ関係'!$E$4:$E$494,"支援")&gt;0,"○",""))</f>
        <v/>
      </c>
      <c r="X17" s="98">
        <f>IF(COUNTIFS('VS×ケイパビリティ関係'!$F$4:$F$494,$B17,'VS×ケイパビリティ関係'!$G$4:$G$494,X$5,'VS×ケイパビリティ関係'!$E$4:$E$494,"主")&gt;0,"●",IF(COUNTIFS('VS×ケイパビリティ関係'!$F$4:$F$494,$B17,'VS×ケイパビリティ関係'!$G$4:$G$494,X$5,'VS×ケイパビリティ関係'!$E$4:$E$494,"支援")&gt;0,"○",""))</f>
        <v/>
      </c>
      <c r="Y17" s="98">
        <f>IF(COUNTIFS('VS×ケイパビリティ関係'!$F$4:$F$494,$B17,'VS×ケイパビリティ関係'!$G$4:$G$494,Y$5,'VS×ケイパビリティ関係'!$E$4:$E$494,"主")&gt;0,"●",IF(COUNTIFS('VS×ケイパビリティ関係'!$F$4:$F$494,$B17,'VS×ケイパビリティ関係'!$G$4:$G$494,Y$5,'VS×ケイパビリティ関係'!$E$4:$E$494,"支援")&gt;0,"○",""))</f>
        <v/>
      </c>
      <c r="Z17" s="98">
        <f>IF(COUNTIFS('VS×ケイパビリティ関係'!$F$4:$F$494,$B17,'VS×ケイパビリティ関係'!$G$4:$G$494,Z$5,'VS×ケイパビリティ関係'!$E$4:$E$494,"主")&gt;0,"●",IF(COUNTIFS('VS×ケイパビリティ関係'!$F$4:$F$494,$B17,'VS×ケイパビリティ関係'!$G$4:$G$494,Z$5,'VS×ケイパビリティ関係'!$E$4:$E$494,"支援")&gt;0,"○",""))</f>
        <v/>
      </c>
      <c r="AA17" s="98">
        <f>IF(COUNTIFS('VS×ケイパビリティ関係'!$F$4:$F$494,$B17,'VS×ケイパビリティ関係'!$G$4:$G$494,AA$5,'VS×ケイパビリティ関係'!$E$4:$E$494,"主")&gt;0,"●",IF(COUNTIFS('VS×ケイパビリティ関係'!$F$4:$F$494,$B17,'VS×ケイパビリティ関係'!$G$4:$G$494,AA$5,'VS×ケイパビリティ関係'!$E$4:$E$494,"支援")&gt;0,"○",""))</f>
        <v/>
      </c>
      <c r="AB17" s="98">
        <f>IF(COUNTIFS('VS×ケイパビリティ関係'!$F$4:$F$494,$B17,'VS×ケイパビリティ関係'!$G$4:$G$494,AB$5,'VS×ケイパビリティ関係'!$E$4:$E$494,"主")&gt;0,"●",IF(COUNTIFS('VS×ケイパビリティ関係'!$F$4:$F$494,$B17,'VS×ケイパビリティ関係'!$G$4:$G$494,AB$5,'VS×ケイパビリティ関係'!$E$4:$E$494,"支援")&gt;0,"○",""))</f>
        <v/>
      </c>
      <c r="AC17" s="98">
        <f>IF(COUNTIFS('VS×ケイパビリティ関係'!$F$4:$F$494,$B17,'VS×ケイパビリティ関係'!$G$4:$G$494,AC$5,'VS×ケイパビリティ関係'!$E$4:$E$494,"主")&gt;0,"●",IF(COUNTIFS('VS×ケイパビリティ関係'!$F$4:$F$494,$B17,'VS×ケイパビリティ関係'!$G$4:$G$494,AC$5,'VS×ケイパビリティ関係'!$E$4:$E$494,"支援")&gt;0,"○",""))</f>
        <v/>
      </c>
      <c r="AD17" s="98">
        <f>IF(COUNTIFS('VS×ケイパビリティ関係'!$F$4:$F$494,$B17,'VS×ケイパビリティ関係'!$G$4:$G$494,AD$5,'VS×ケイパビリティ関係'!$E$4:$E$494,"主")&gt;0,"●",IF(COUNTIFS('VS×ケイパビリティ関係'!$F$4:$F$494,$B17,'VS×ケイパビリティ関係'!$G$4:$G$494,AD$5,'VS×ケイパビリティ関係'!$E$4:$E$494,"支援")&gt;0,"○",""))</f>
        <v/>
      </c>
      <c r="AE17" s="98">
        <f>IF(COUNTIFS('VS×ケイパビリティ関係'!$F$4:$F$494,$B17,'VS×ケイパビリティ関係'!$G$4:$G$494,AE$5,'VS×ケイパビリティ関係'!$E$4:$E$494,"主")&gt;0,"●",IF(COUNTIFS('VS×ケイパビリティ関係'!$F$4:$F$494,$B17,'VS×ケイパビリティ関係'!$G$4:$G$494,AE$5,'VS×ケイパビリティ関係'!$E$4:$E$494,"支援")&gt;0,"○",""))</f>
        <v/>
      </c>
      <c r="AF17" s="98">
        <f>IF(COUNTIFS('VS×ケイパビリティ関係'!$F$4:$F$494,$B17,'VS×ケイパビリティ関係'!$G$4:$G$494,AF$5,'VS×ケイパビリティ関係'!$E$4:$E$494,"主")&gt;0,"●",IF(COUNTIFS('VS×ケイパビリティ関係'!$F$4:$F$494,$B17,'VS×ケイパビリティ関係'!$G$4:$G$494,AF$5,'VS×ケイパビリティ関係'!$E$4:$E$494,"支援")&gt;0,"○",""))</f>
        <v/>
      </c>
      <c r="AG17" s="98">
        <f>IF(COUNTIFS('VS×ケイパビリティ関係'!$F$4:$F$494,$B17,'VS×ケイパビリティ関係'!$G$4:$G$494,AG$5,'VS×ケイパビリティ関係'!$E$4:$E$494,"主")&gt;0,"●",IF(COUNTIFS('VS×ケイパビリティ関係'!$F$4:$F$494,$B17,'VS×ケイパビリティ関係'!$G$4:$G$494,AG$5,'VS×ケイパビリティ関係'!$E$4:$E$494,"支援")&gt;0,"○",""))</f>
        <v/>
      </c>
      <c r="AH17" s="98">
        <f>IF(COUNTIFS('VS×ケイパビリティ関係'!$F$4:$F$494,$B17,'VS×ケイパビリティ関係'!$G$4:$G$494,AH$5,'VS×ケイパビリティ関係'!$E$4:$E$494,"主")&gt;0,"●",IF(COUNTIFS('VS×ケイパビリティ関係'!$F$4:$F$494,$B17,'VS×ケイパビリティ関係'!$G$4:$G$494,AH$5,'VS×ケイパビリティ関係'!$E$4:$E$494,"支援")&gt;0,"○",""))</f>
        <v/>
      </c>
      <c r="AI17" s="98">
        <f>IF(COUNTIFS('VS×ケイパビリティ関係'!$F$4:$F$494,$B17,'VS×ケイパビリティ関係'!$G$4:$G$494,AI$5,'VS×ケイパビリティ関係'!$E$4:$E$494,"主")&gt;0,"●",IF(COUNTIFS('VS×ケイパビリティ関係'!$F$4:$F$494,$B17,'VS×ケイパビリティ関係'!$G$4:$G$494,AI$5,'VS×ケイパビリティ関係'!$E$4:$E$494,"支援")&gt;0,"○",""))</f>
        <v/>
      </c>
      <c r="AJ17" s="98">
        <f>IF(COUNTIFS('VS×ケイパビリティ関係'!$F$4:$F$494,$B17,'VS×ケイパビリティ関係'!$G$4:$G$494,AJ$5,'VS×ケイパビリティ関係'!$E$4:$E$494,"主")&gt;0,"●",IF(COUNTIFS('VS×ケイパビリティ関係'!$F$4:$F$494,$B17,'VS×ケイパビリティ関係'!$G$4:$G$494,AJ$5,'VS×ケイパビリティ関係'!$E$4:$E$494,"支援")&gt;0,"○",""))</f>
        <v/>
      </c>
      <c r="AK17" s="98">
        <f>IF(COUNTIFS('VS×ケイパビリティ関係'!$F$4:$F$494,$B17,'VS×ケイパビリティ関係'!$G$4:$G$494,AK$5,'VS×ケイパビリティ関係'!$E$4:$E$494,"主")&gt;0,"●",IF(COUNTIFS('VS×ケイパビリティ関係'!$F$4:$F$494,$B17,'VS×ケイパビリティ関係'!$G$4:$G$494,AK$5,'VS×ケイパビリティ関係'!$E$4:$E$494,"支援")&gt;0,"○",""))</f>
        <v/>
      </c>
      <c r="AL17" s="98">
        <f>IF(COUNTIFS('VS×ケイパビリティ関係'!$F$4:$F$494,$B17,'VS×ケイパビリティ関係'!$G$4:$G$494,AL$5,'VS×ケイパビリティ関係'!$E$4:$E$494,"主")&gt;0,"●",IF(COUNTIFS('VS×ケイパビリティ関係'!$F$4:$F$494,$B17,'VS×ケイパビリティ関係'!$G$4:$G$494,AL$5,'VS×ケイパビリティ関係'!$E$4:$E$494,"支援")&gt;0,"○",""))</f>
        <v/>
      </c>
      <c r="AM17" s="98">
        <f>IF(COUNTIFS('VS×ケイパビリティ関係'!$F$4:$F$494,$B17,'VS×ケイパビリティ関係'!$G$4:$G$494,AM$5,'VS×ケイパビリティ関係'!$E$4:$E$494,"主")&gt;0,"●",IF(COUNTIFS('VS×ケイパビリティ関係'!$F$4:$F$494,$B17,'VS×ケイパビリティ関係'!$G$4:$G$494,AM$5,'VS×ケイパビリティ関係'!$E$4:$E$494,"支援")&gt;0,"○",""))</f>
        <v/>
      </c>
      <c r="AN17" s="98">
        <f>IF(COUNTIFS('VS×ケイパビリティ関係'!$F$4:$F$494,$B17,'VS×ケイパビリティ関係'!$G$4:$G$494,AN$5,'VS×ケイパビリティ関係'!$E$4:$E$494,"主")&gt;0,"●",IF(COUNTIFS('VS×ケイパビリティ関係'!$F$4:$F$494,$B17,'VS×ケイパビリティ関係'!$G$4:$G$494,AN$5,'VS×ケイパビリティ関係'!$E$4:$E$494,"支援")&gt;0,"○",""))</f>
        <v/>
      </c>
      <c r="AO17" s="98">
        <f>IF(COUNTIFS('VS×ケイパビリティ関係'!$F$4:$F$494,$B17,'VS×ケイパビリティ関係'!$G$4:$G$494,AO$5,'VS×ケイパビリティ関係'!$E$4:$E$494,"主")&gt;0,"●",IF(COUNTIFS('VS×ケイパビリティ関係'!$F$4:$F$494,$B17,'VS×ケイパビリティ関係'!$G$4:$G$494,AO$5,'VS×ケイパビリティ関係'!$E$4:$E$494,"支援")&gt;0,"○",""))</f>
        <v/>
      </c>
      <c r="AP17" s="98">
        <f>IF(COUNTIFS('VS×ケイパビリティ関係'!$F$4:$F$494,$B17,'VS×ケイパビリティ関係'!$G$4:$G$494,AP$5,'VS×ケイパビリティ関係'!$E$4:$E$494,"主")&gt;0,"●",IF(COUNTIFS('VS×ケイパビリティ関係'!$F$4:$F$494,$B17,'VS×ケイパビリティ関係'!$G$4:$G$494,AP$5,'VS×ケイパビリティ関係'!$E$4:$E$494,"支援")&gt;0,"○",""))</f>
        <v/>
      </c>
      <c r="AQ17" s="98">
        <f>IF(COUNTIFS('VS×ケイパビリティ関係'!$F$4:$F$494,$B17,'VS×ケイパビリティ関係'!$G$4:$G$494,AQ$5,'VS×ケイパビリティ関係'!$E$4:$E$494,"主")&gt;0,"●",IF(COUNTIFS('VS×ケイパビリティ関係'!$F$4:$F$494,$B17,'VS×ケイパビリティ関係'!$G$4:$G$494,AQ$5,'VS×ケイパビリティ関係'!$E$4:$E$494,"支援")&gt;0,"○",""))</f>
        <v/>
      </c>
      <c r="AR17" s="98">
        <f>IF(COUNTIFS('VS×ケイパビリティ関係'!$F$4:$F$494,$B17,'VS×ケイパビリティ関係'!$G$4:$G$494,AR$5,'VS×ケイパビリティ関係'!$E$4:$E$494,"主")&gt;0,"●",IF(COUNTIFS('VS×ケイパビリティ関係'!$F$4:$F$494,$B17,'VS×ケイパビリティ関係'!$G$4:$G$494,AR$5,'VS×ケイパビリティ関係'!$E$4:$E$494,"支援")&gt;0,"○",""))</f>
        <v/>
      </c>
      <c r="AS17" s="98">
        <f>IF(COUNTIFS('VS×ケイパビリティ関係'!$F$4:$F$494,$B17,'VS×ケイパビリティ関係'!$G$4:$G$494,AS$5,'VS×ケイパビリティ関係'!$E$4:$E$494,"主")&gt;0,"●",IF(COUNTIFS('VS×ケイパビリティ関係'!$F$4:$F$494,$B17,'VS×ケイパビリティ関係'!$G$4:$G$494,AS$5,'VS×ケイパビリティ関係'!$E$4:$E$494,"支援")&gt;0,"○",""))</f>
        <v/>
      </c>
      <c r="AT17" s="98">
        <f>IF(COUNTIFS('VS×ケイパビリティ関係'!$F$4:$F$494,$B17,'VS×ケイパビリティ関係'!$G$4:$G$494,AT$5,'VS×ケイパビリティ関係'!$E$4:$E$494,"主")&gt;0,"●",IF(COUNTIFS('VS×ケイパビリティ関係'!$F$4:$F$494,$B17,'VS×ケイパビリティ関係'!$G$4:$G$494,AT$5,'VS×ケイパビリティ関係'!$E$4:$E$494,"支援")&gt;0,"○",""))</f>
        <v/>
      </c>
      <c r="AU17" s="98">
        <f>IF(COUNTIFS('VS×ケイパビリティ関係'!$F$4:$F$494,$B17,'VS×ケイパビリティ関係'!$G$4:$G$494,AU$5,'VS×ケイパビリティ関係'!$E$4:$E$494,"主")&gt;0,"●",IF(COUNTIFS('VS×ケイパビリティ関係'!$F$4:$F$494,$B17,'VS×ケイパビリティ関係'!$G$4:$G$494,AU$5,'VS×ケイパビリティ関係'!$E$4:$E$494,"支援")&gt;0,"○",""))</f>
        <v/>
      </c>
      <c r="AV17" s="98">
        <f>IF(COUNTIFS('VS×ケイパビリティ関係'!$F$4:$F$494,$B17,'VS×ケイパビリティ関係'!$G$4:$G$494,AV$5,'VS×ケイパビリティ関係'!$E$4:$E$494,"主")&gt;0,"●",IF(COUNTIFS('VS×ケイパビリティ関係'!$F$4:$F$494,$B17,'VS×ケイパビリティ関係'!$G$4:$G$494,AV$5,'VS×ケイパビリティ関係'!$E$4:$E$494,"支援")&gt;0,"○",""))</f>
        <v/>
      </c>
      <c r="AW17" s="98">
        <f>IF(COUNTIFS('VS×ケイパビリティ関係'!$F$4:$F$494,$B17,'VS×ケイパビリティ関係'!$G$4:$G$494,AW$5,'VS×ケイパビリティ関係'!$E$4:$E$494,"主")&gt;0,"●",IF(COUNTIFS('VS×ケイパビリティ関係'!$F$4:$F$494,$B17,'VS×ケイパビリティ関係'!$G$4:$G$494,AW$5,'VS×ケイパビリティ関係'!$E$4:$E$494,"支援")&gt;0,"○",""))</f>
        <v/>
      </c>
      <c r="AX17" s="98">
        <f>IF(COUNTIFS('VS×ケイパビリティ関係'!$F$4:$F$494,$B17,'VS×ケイパビリティ関係'!$G$4:$G$494,AX$5,'VS×ケイパビリティ関係'!$E$4:$E$494,"主")&gt;0,"●",IF(COUNTIFS('VS×ケイパビリティ関係'!$F$4:$F$494,$B17,'VS×ケイパビリティ関係'!$G$4:$G$494,AX$5,'VS×ケイパビリティ関係'!$E$4:$E$494,"支援")&gt;0,"○",""))</f>
        <v/>
      </c>
      <c r="AY17" s="98">
        <f>IF(COUNTIFS('VS×ケイパビリティ関係'!$F$4:$F$494,$B17,'VS×ケイパビリティ関係'!$G$4:$G$494,AY$5,'VS×ケイパビリティ関係'!$E$4:$E$494,"主")&gt;0,"●",IF(COUNTIFS('VS×ケイパビリティ関係'!$F$4:$F$494,$B17,'VS×ケイパビリティ関係'!$G$4:$G$494,AY$5,'VS×ケイパビリティ関係'!$E$4:$E$494,"支援")&gt;0,"○",""))</f>
        <v/>
      </c>
      <c r="AZ17" s="98">
        <f>IF(COUNTIFS('VS×ケイパビリティ関係'!$F$4:$F$494,$B17,'VS×ケイパビリティ関係'!$G$4:$G$494,AZ$5,'VS×ケイパビリティ関係'!$E$4:$E$494,"主")&gt;0,"●",IF(COUNTIFS('VS×ケイパビリティ関係'!$F$4:$F$494,$B17,'VS×ケイパビリティ関係'!$G$4:$G$494,AZ$5,'VS×ケイパビリティ関係'!$E$4:$E$494,"支援")&gt;0,"○",""))</f>
        <v/>
      </c>
      <c r="BA17" s="98">
        <f>IF(COUNTIFS('VS×ケイパビリティ関係'!$F$4:$F$494,$B17,'VS×ケイパビリティ関係'!$G$4:$G$494,BA$5,'VS×ケイパビリティ関係'!$E$4:$E$494,"主")&gt;0,"●",IF(COUNTIFS('VS×ケイパビリティ関係'!$F$4:$F$494,$B17,'VS×ケイパビリティ関係'!$G$4:$G$494,BA$5,'VS×ケイパビリティ関係'!$E$4:$E$494,"支援")&gt;0,"○",""))</f>
        <v/>
      </c>
      <c r="BB17" s="98">
        <f>IF(COUNTIFS('VS×ケイパビリティ関係'!$F$4:$F$494,$B17,'VS×ケイパビリティ関係'!$G$4:$G$494,BB$5,'VS×ケイパビリティ関係'!$E$4:$E$494,"主")&gt;0,"●",IF(COUNTIFS('VS×ケイパビリティ関係'!$F$4:$F$494,$B17,'VS×ケイパビリティ関係'!$G$4:$G$494,BB$5,'VS×ケイパビリティ関係'!$E$4:$E$494,"支援")&gt;0,"○",""))</f>
        <v/>
      </c>
      <c r="BC17" s="98">
        <f>IF(COUNTIFS('VS×ケイパビリティ関係'!$F$4:$F$494,$B17,'VS×ケイパビリティ関係'!$G$4:$G$494,BC$5,'VS×ケイパビリティ関係'!$E$4:$E$494,"主")&gt;0,"●",IF(COUNTIFS('VS×ケイパビリティ関係'!$F$4:$F$494,$B17,'VS×ケイパビリティ関係'!$G$4:$G$494,BC$5,'VS×ケイパビリティ関係'!$E$4:$E$494,"支援")&gt;0,"○",""))</f>
        <v/>
      </c>
      <c r="BD17" s="98">
        <f>IF(COUNTIFS('VS×ケイパビリティ関係'!$F$4:$F$494,$B17,'VS×ケイパビリティ関係'!$G$4:$G$494,BD$5,'VS×ケイパビリティ関係'!$E$4:$E$494,"主")&gt;0,"●",IF(COUNTIFS('VS×ケイパビリティ関係'!$F$4:$F$494,$B17,'VS×ケイパビリティ関係'!$G$4:$G$494,BD$5,'VS×ケイパビリティ関係'!$E$4:$E$494,"支援")&gt;0,"○",""))</f>
        <v/>
      </c>
      <c r="BE17" s="98">
        <f>COUNTIF(D17:BD17,"●")</f>
        <v/>
      </c>
      <c r="BF17" s="98">
        <f>COUNTIF(D17:BD17,"○")</f>
        <v/>
      </c>
    </row>
    <row r="18" ht="15" customHeight="1" s="80">
      <c r="A18" s="116" t="n"/>
      <c r="B18" s="98" t="inlineStr">
        <is>
          <t>03-04</t>
        </is>
      </c>
      <c r="C18" s="100" t="inlineStr">
        <is>
          <t>分析法開発・特性解析</t>
        </is>
      </c>
      <c r="D18" s="98">
        <f>IF(COUNTIFS('VS×ケイパビリティ関係'!$F$4:$F$494,$B18,'VS×ケイパビリティ関係'!$G$4:$G$494,D$5,'VS×ケイパビリティ関係'!$E$4:$E$494,"主")&gt;0,"●",IF(COUNTIFS('VS×ケイパビリティ関係'!$F$4:$F$494,$B18,'VS×ケイパビリティ関係'!$G$4:$G$494,D$5,'VS×ケイパビリティ関係'!$E$4:$E$494,"支援")&gt;0,"○",""))</f>
        <v/>
      </c>
      <c r="E18" s="98">
        <f>IF(COUNTIFS('VS×ケイパビリティ関係'!$F$4:$F$494,$B18,'VS×ケイパビリティ関係'!$G$4:$G$494,E$5,'VS×ケイパビリティ関係'!$E$4:$E$494,"主")&gt;0,"●",IF(COUNTIFS('VS×ケイパビリティ関係'!$F$4:$F$494,$B18,'VS×ケイパビリティ関係'!$G$4:$G$494,E$5,'VS×ケイパビリティ関係'!$E$4:$E$494,"支援")&gt;0,"○",""))</f>
        <v/>
      </c>
      <c r="F18" s="98">
        <f>IF(COUNTIFS('VS×ケイパビリティ関係'!$F$4:$F$494,$B18,'VS×ケイパビリティ関係'!$G$4:$G$494,F$5,'VS×ケイパビリティ関係'!$E$4:$E$494,"主")&gt;0,"●",IF(COUNTIFS('VS×ケイパビリティ関係'!$F$4:$F$494,$B18,'VS×ケイパビリティ関係'!$G$4:$G$494,F$5,'VS×ケイパビリティ関係'!$E$4:$E$494,"支援")&gt;0,"○",""))</f>
        <v/>
      </c>
      <c r="G18" s="98">
        <f>IF(COUNTIFS('VS×ケイパビリティ関係'!$F$4:$F$494,$B18,'VS×ケイパビリティ関係'!$G$4:$G$494,G$5,'VS×ケイパビリティ関係'!$E$4:$E$494,"主")&gt;0,"●",IF(COUNTIFS('VS×ケイパビリティ関係'!$F$4:$F$494,$B18,'VS×ケイパビリティ関係'!$G$4:$G$494,G$5,'VS×ケイパビリティ関係'!$E$4:$E$494,"支援")&gt;0,"○",""))</f>
        <v/>
      </c>
      <c r="H18" s="98">
        <f>IF(COUNTIFS('VS×ケイパビリティ関係'!$F$4:$F$494,$B18,'VS×ケイパビリティ関係'!$G$4:$G$494,H$5,'VS×ケイパビリティ関係'!$E$4:$E$494,"主")&gt;0,"●",IF(COUNTIFS('VS×ケイパビリティ関係'!$F$4:$F$494,$B18,'VS×ケイパビリティ関係'!$G$4:$G$494,H$5,'VS×ケイパビリティ関係'!$E$4:$E$494,"支援")&gt;0,"○",""))</f>
        <v/>
      </c>
      <c r="I18" s="98">
        <f>IF(COUNTIFS('VS×ケイパビリティ関係'!$F$4:$F$494,$B18,'VS×ケイパビリティ関係'!$G$4:$G$494,I$5,'VS×ケイパビリティ関係'!$E$4:$E$494,"主")&gt;0,"●",IF(COUNTIFS('VS×ケイパビリティ関係'!$F$4:$F$494,$B18,'VS×ケイパビリティ関係'!$G$4:$G$494,I$5,'VS×ケイパビリティ関係'!$E$4:$E$494,"支援")&gt;0,"○",""))</f>
        <v/>
      </c>
      <c r="J18" s="98">
        <f>IF(COUNTIFS('VS×ケイパビリティ関係'!$F$4:$F$494,$B18,'VS×ケイパビリティ関係'!$G$4:$G$494,J$5,'VS×ケイパビリティ関係'!$E$4:$E$494,"主")&gt;0,"●",IF(COUNTIFS('VS×ケイパビリティ関係'!$F$4:$F$494,$B18,'VS×ケイパビリティ関係'!$G$4:$G$494,J$5,'VS×ケイパビリティ関係'!$E$4:$E$494,"支援")&gt;0,"○",""))</f>
        <v/>
      </c>
      <c r="K18" s="98">
        <f>IF(COUNTIFS('VS×ケイパビリティ関係'!$F$4:$F$494,$B18,'VS×ケイパビリティ関係'!$G$4:$G$494,K$5,'VS×ケイパビリティ関係'!$E$4:$E$494,"主")&gt;0,"●",IF(COUNTIFS('VS×ケイパビリティ関係'!$F$4:$F$494,$B18,'VS×ケイパビリティ関係'!$G$4:$G$494,K$5,'VS×ケイパビリティ関係'!$E$4:$E$494,"支援")&gt;0,"○",""))</f>
        <v/>
      </c>
      <c r="L18" s="98">
        <f>IF(COUNTIFS('VS×ケイパビリティ関係'!$F$4:$F$494,$B18,'VS×ケイパビリティ関係'!$G$4:$G$494,L$5,'VS×ケイパビリティ関係'!$E$4:$E$494,"主")&gt;0,"●",IF(COUNTIFS('VS×ケイパビリティ関係'!$F$4:$F$494,$B18,'VS×ケイパビリティ関係'!$G$4:$G$494,L$5,'VS×ケイパビリティ関係'!$E$4:$E$494,"支援")&gt;0,"○",""))</f>
        <v/>
      </c>
      <c r="M18" s="98">
        <f>IF(COUNTIFS('VS×ケイパビリティ関係'!$F$4:$F$494,$B18,'VS×ケイパビリティ関係'!$G$4:$G$494,M$5,'VS×ケイパビリティ関係'!$E$4:$E$494,"主")&gt;0,"●",IF(COUNTIFS('VS×ケイパビリティ関係'!$F$4:$F$494,$B18,'VS×ケイパビリティ関係'!$G$4:$G$494,M$5,'VS×ケイパビリティ関係'!$E$4:$E$494,"支援")&gt;0,"○",""))</f>
        <v/>
      </c>
      <c r="N18" s="98">
        <f>IF(COUNTIFS('VS×ケイパビリティ関係'!$F$4:$F$494,$B18,'VS×ケイパビリティ関係'!$G$4:$G$494,N$5,'VS×ケイパビリティ関係'!$E$4:$E$494,"主")&gt;0,"●",IF(COUNTIFS('VS×ケイパビリティ関係'!$F$4:$F$494,$B18,'VS×ケイパビリティ関係'!$G$4:$G$494,N$5,'VS×ケイパビリティ関係'!$E$4:$E$494,"支援")&gt;0,"○",""))</f>
        <v/>
      </c>
      <c r="O18" s="98">
        <f>IF(COUNTIFS('VS×ケイパビリティ関係'!$F$4:$F$494,$B18,'VS×ケイパビリティ関係'!$G$4:$G$494,O$5,'VS×ケイパビリティ関係'!$E$4:$E$494,"主")&gt;0,"●",IF(COUNTIFS('VS×ケイパビリティ関係'!$F$4:$F$494,$B18,'VS×ケイパビリティ関係'!$G$4:$G$494,O$5,'VS×ケイパビリティ関係'!$E$4:$E$494,"支援")&gt;0,"○",""))</f>
        <v/>
      </c>
      <c r="P18" s="98">
        <f>IF(COUNTIFS('VS×ケイパビリティ関係'!$F$4:$F$494,$B18,'VS×ケイパビリティ関係'!$G$4:$G$494,P$5,'VS×ケイパビリティ関係'!$E$4:$E$494,"主")&gt;0,"●",IF(COUNTIFS('VS×ケイパビリティ関係'!$F$4:$F$494,$B18,'VS×ケイパビリティ関係'!$G$4:$G$494,P$5,'VS×ケイパビリティ関係'!$E$4:$E$494,"支援")&gt;0,"○",""))</f>
        <v/>
      </c>
      <c r="Q18" s="98">
        <f>IF(COUNTIFS('VS×ケイパビリティ関係'!$F$4:$F$494,$B18,'VS×ケイパビリティ関係'!$G$4:$G$494,Q$5,'VS×ケイパビリティ関係'!$E$4:$E$494,"主")&gt;0,"●",IF(COUNTIFS('VS×ケイパビリティ関係'!$F$4:$F$494,$B18,'VS×ケイパビリティ関係'!$G$4:$G$494,Q$5,'VS×ケイパビリティ関係'!$E$4:$E$494,"支援")&gt;0,"○",""))</f>
        <v/>
      </c>
      <c r="R18" s="98">
        <f>IF(COUNTIFS('VS×ケイパビリティ関係'!$F$4:$F$494,$B18,'VS×ケイパビリティ関係'!$G$4:$G$494,R$5,'VS×ケイパビリティ関係'!$E$4:$E$494,"主")&gt;0,"●",IF(COUNTIFS('VS×ケイパビリティ関係'!$F$4:$F$494,$B18,'VS×ケイパビリティ関係'!$G$4:$G$494,R$5,'VS×ケイパビリティ関係'!$E$4:$E$494,"支援")&gt;0,"○",""))</f>
        <v/>
      </c>
      <c r="S18" s="98">
        <f>IF(COUNTIFS('VS×ケイパビリティ関係'!$F$4:$F$494,$B18,'VS×ケイパビリティ関係'!$G$4:$G$494,S$5,'VS×ケイパビリティ関係'!$E$4:$E$494,"主")&gt;0,"●",IF(COUNTIFS('VS×ケイパビリティ関係'!$F$4:$F$494,$B18,'VS×ケイパビリティ関係'!$G$4:$G$494,S$5,'VS×ケイパビリティ関係'!$E$4:$E$494,"支援")&gt;0,"○",""))</f>
        <v/>
      </c>
      <c r="T18" s="98">
        <f>IF(COUNTIFS('VS×ケイパビリティ関係'!$F$4:$F$494,$B18,'VS×ケイパビリティ関係'!$G$4:$G$494,T$5,'VS×ケイパビリティ関係'!$E$4:$E$494,"主")&gt;0,"●",IF(COUNTIFS('VS×ケイパビリティ関係'!$F$4:$F$494,$B18,'VS×ケイパビリティ関係'!$G$4:$G$494,T$5,'VS×ケイパビリティ関係'!$E$4:$E$494,"支援")&gt;0,"○",""))</f>
        <v/>
      </c>
      <c r="U18" s="98">
        <f>IF(COUNTIFS('VS×ケイパビリティ関係'!$F$4:$F$494,$B18,'VS×ケイパビリティ関係'!$G$4:$G$494,U$5,'VS×ケイパビリティ関係'!$E$4:$E$494,"主")&gt;0,"●",IF(COUNTIFS('VS×ケイパビリティ関係'!$F$4:$F$494,$B18,'VS×ケイパビリティ関係'!$G$4:$G$494,U$5,'VS×ケイパビリティ関係'!$E$4:$E$494,"支援")&gt;0,"○",""))</f>
        <v/>
      </c>
      <c r="V18" s="98">
        <f>IF(COUNTIFS('VS×ケイパビリティ関係'!$F$4:$F$494,$B18,'VS×ケイパビリティ関係'!$G$4:$G$494,V$5,'VS×ケイパビリティ関係'!$E$4:$E$494,"主")&gt;0,"●",IF(COUNTIFS('VS×ケイパビリティ関係'!$F$4:$F$494,$B18,'VS×ケイパビリティ関係'!$G$4:$G$494,V$5,'VS×ケイパビリティ関係'!$E$4:$E$494,"支援")&gt;0,"○",""))</f>
        <v/>
      </c>
      <c r="W18" s="98">
        <f>IF(COUNTIFS('VS×ケイパビリティ関係'!$F$4:$F$494,$B18,'VS×ケイパビリティ関係'!$G$4:$G$494,W$5,'VS×ケイパビリティ関係'!$E$4:$E$494,"主")&gt;0,"●",IF(COUNTIFS('VS×ケイパビリティ関係'!$F$4:$F$494,$B18,'VS×ケイパビリティ関係'!$G$4:$G$494,W$5,'VS×ケイパビリティ関係'!$E$4:$E$494,"支援")&gt;0,"○",""))</f>
        <v/>
      </c>
      <c r="X18" s="98">
        <f>IF(COUNTIFS('VS×ケイパビリティ関係'!$F$4:$F$494,$B18,'VS×ケイパビリティ関係'!$G$4:$G$494,X$5,'VS×ケイパビリティ関係'!$E$4:$E$494,"主")&gt;0,"●",IF(COUNTIFS('VS×ケイパビリティ関係'!$F$4:$F$494,$B18,'VS×ケイパビリティ関係'!$G$4:$G$494,X$5,'VS×ケイパビリティ関係'!$E$4:$E$494,"支援")&gt;0,"○",""))</f>
        <v/>
      </c>
      <c r="Y18" s="98">
        <f>IF(COUNTIFS('VS×ケイパビリティ関係'!$F$4:$F$494,$B18,'VS×ケイパビリティ関係'!$G$4:$G$494,Y$5,'VS×ケイパビリティ関係'!$E$4:$E$494,"主")&gt;0,"●",IF(COUNTIFS('VS×ケイパビリティ関係'!$F$4:$F$494,$B18,'VS×ケイパビリティ関係'!$G$4:$G$494,Y$5,'VS×ケイパビリティ関係'!$E$4:$E$494,"支援")&gt;0,"○",""))</f>
        <v/>
      </c>
      <c r="Z18" s="98">
        <f>IF(COUNTIFS('VS×ケイパビリティ関係'!$F$4:$F$494,$B18,'VS×ケイパビリティ関係'!$G$4:$G$494,Z$5,'VS×ケイパビリティ関係'!$E$4:$E$494,"主")&gt;0,"●",IF(COUNTIFS('VS×ケイパビリティ関係'!$F$4:$F$494,$B18,'VS×ケイパビリティ関係'!$G$4:$G$494,Z$5,'VS×ケイパビリティ関係'!$E$4:$E$494,"支援")&gt;0,"○",""))</f>
        <v/>
      </c>
      <c r="AA18" s="98">
        <f>IF(COUNTIFS('VS×ケイパビリティ関係'!$F$4:$F$494,$B18,'VS×ケイパビリティ関係'!$G$4:$G$494,AA$5,'VS×ケイパビリティ関係'!$E$4:$E$494,"主")&gt;0,"●",IF(COUNTIFS('VS×ケイパビリティ関係'!$F$4:$F$494,$B18,'VS×ケイパビリティ関係'!$G$4:$G$494,AA$5,'VS×ケイパビリティ関係'!$E$4:$E$494,"支援")&gt;0,"○",""))</f>
        <v/>
      </c>
      <c r="AB18" s="98">
        <f>IF(COUNTIFS('VS×ケイパビリティ関係'!$F$4:$F$494,$B18,'VS×ケイパビリティ関係'!$G$4:$G$494,AB$5,'VS×ケイパビリティ関係'!$E$4:$E$494,"主")&gt;0,"●",IF(COUNTIFS('VS×ケイパビリティ関係'!$F$4:$F$494,$B18,'VS×ケイパビリティ関係'!$G$4:$G$494,AB$5,'VS×ケイパビリティ関係'!$E$4:$E$494,"支援")&gt;0,"○",""))</f>
        <v/>
      </c>
      <c r="AC18" s="98">
        <f>IF(COUNTIFS('VS×ケイパビリティ関係'!$F$4:$F$494,$B18,'VS×ケイパビリティ関係'!$G$4:$G$494,AC$5,'VS×ケイパビリティ関係'!$E$4:$E$494,"主")&gt;0,"●",IF(COUNTIFS('VS×ケイパビリティ関係'!$F$4:$F$494,$B18,'VS×ケイパビリティ関係'!$G$4:$G$494,AC$5,'VS×ケイパビリティ関係'!$E$4:$E$494,"支援")&gt;0,"○",""))</f>
        <v/>
      </c>
      <c r="AD18" s="98">
        <f>IF(COUNTIFS('VS×ケイパビリティ関係'!$F$4:$F$494,$B18,'VS×ケイパビリティ関係'!$G$4:$G$494,AD$5,'VS×ケイパビリティ関係'!$E$4:$E$494,"主")&gt;0,"●",IF(COUNTIFS('VS×ケイパビリティ関係'!$F$4:$F$494,$B18,'VS×ケイパビリティ関係'!$G$4:$G$494,AD$5,'VS×ケイパビリティ関係'!$E$4:$E$494,"支援")&gt;0,"○",""))</f>
        <v/>
      </c>
      <c r="AE18" s="98">
        <f>IF(COUNTIFS('VS×ケイパビリティ関係'!$F$4:$F$494,$B18,'VS×ケイパビリティ関係'!$G$4:$G$494,AE$5,'VS×ケイパビリティ関係'!$E$4:$E$494,"主")&gt;0,"●",IF(COUNTIFS('VS×ケイパビリティ関係'!$F$4:$F$494,$B18,'VS×ケイパビリティ関係'!$G$4:$G$494,AE$5,'VS×ケイパビリティ関係'!$E$4:$E$494,"支援")&gt;0,"○",""))</f>
        <v/>
      </c>
      <c r="AF18" s="98">
        <f>IF(COUNTIFS('VS×ケイパビリティ関係'!$F$4:$F$494,$B18,'VS×ケイパビリティ関係'!$G$4:$G$494,AF$5,'VS×ケイパビリティ関係'!$E$4:$E$494,"主")&gt;0,"●",IF(COUNTIFS('VS×ケイパビリティ関係'!$F$4:$F$494,$B18,'VS×ケイパビリティ関係'!$G$4:$G$494,AF$5,'VS×ケイパビリティ関係'!$E$4:$E$494,"支援")&gt;0,"○",""))</f>
        <v/>
      </c>
      <c r="AG18" s="98">
        <f>IF(COUNTIFS('VS×ケイパビリティ関係'!$F$4:$F$494,$B18,'VS×ケイパビリティ関係'!$G$4:$G$494,AG$5,'VS×ケイパビリティ関係'!$E$4:$E$494,"主")&gt;0,"●",IF(COUNTIFS('VS×ケイパビリティ関係'!$F$4:$F$494,$B18,'VS×ケイパビリティ関係'!$G$4:$G$494,AG$5,'VS×ケイパビリティ関係'!$E$4:$E$494,"支援")&gt;0,"○",""))</f>
        <v/>
      </c>
      <c r="AH18" s="98">
        <f>IF(COUNTIFS('VS×ケイパビリティ関係'!$F$4:$F$494,$B18,'VS×ケイパビリティ関係'!$G$4:$G$494,AH$5,'VS×ケイパビリティ関係'!$E$4:$E$494,"主")&gt;0,"●",IF(COUNTIFS('VS×ケイパビリティ関係'!$F$4:$F$494,$B18,'VS×ケイパビリティ関係'!$G$4:$G$494,AH$5,'VS×ケイパビリティ関係'!$E$4:$E$494,"支援")&gt;0,"○",""))</f>
        <v/>
      </c>
      <c r="AI18" s="98">
        <f>IF(COUNTIFS('VS×ケイパビリティ関係'!$F$4:$F$494,$B18,'VS×ケイパビリティ関係'!$G$4:$G$494,AI$5,'VS×ケイパビリティ関係'!$E$4:$E$494,"主")&gt;0,"●",IF(COUNTIFS('VS×ケイパビリティ関係'!$F$4:$F$494,$B18,'VS×ケイパビリティ関係'!$G$4:$G$494,AI$5,'VS×ケイパビリティ関係'!$E$4:$E$494,"支援")&gt;0,"○",""))</f>
        <v/>
      </c>
      <c r="AJ18" s="98">
        <f>IF(COUNTIFS('VS×ケイパビリティ関係'!$F$4:$F$494,$B18,'VS×ケイパビリティ関係'!$G$4:$G$494,AJ$5,'VS×ケイパビリティ関係'!$E$4:$E$494,"主")&gt;0,"●",IF(COUNTIFS('VS×ケイパビリティ関係'!$F$4:$F$494,$B18,'VS×ケイパビリティ関係'!$G$4:$G$494,AJ$5,'VS×ケイパビリティ関係'!$E$4:$E$494,"支援")&gt;0,"○",""))</f>
        <v/>
      </c>
      <c r="AK18" s="98">
        <f>IF(COUNTIFS('VS×ケイパビリティ関係'!$F$4:$F$494,$B18,'VS×ケイパビリティ関係'!$G$4:$G$494,AK$5,'VS×ケイパビリティ関係'!$E$4:$E$494,"主")&gt;0,"●",IF(COUNTIFS('VS×ケイパビリティ関係'!$F$4:$F$494,$B18,'VS×ケイパビリティ関係'!$G$4:$G$494,AK$5,'VS×ケイパビリティ関係'!$E$4:$E$494,"支援")&gt;0,"○",""))</f>
        <v/>
      </c>
      <c r="AL18" s="98">
        <f>IF(COUNTIFS('VS×ケイパビリティ関係'!$F$4:$F$494,$B18,'VS×ケイパビリティ関係'!$G$4:$G$494,AL$5,'VS×ケイパビリティ関係'!$E$4:$E$494,"主")&gt;0,"●",IF(COUNTIFS('VS×ケイパビリティ関係'!$F$4:$F$494,$B18,'VS×ケイパビリティ関係'!$G$4:$G$494,AL$5,'VS×ケイパビリティ関係'!$E$4:$E$494,"支援")&gt;0,"○",""))</f>
        <v/>
      </c>
      <c r="AM18" s="98">
        <f>IF(COUNTIFS('VS×ケイパビリティ関係'!$F$4:$F$494,$B18,'VS×ケイパビリティ関係'!$G$4:$G$494,AM$5,'VS×ケイパビリティ関係'!$E$4:$E$494,"主")&gt;0,"●",IF(COUNTIFS('VS×ケイパビリティ関係'!$F$4:$F$494,$B18,'VS×ケイパビリティ関係'!$G$4:$G$494,AM$5,'VS×ケイパビリティ関係'!$E$4:$E$494,"支援")&gt;0,"○",""))</f>
        <v/>
      </c>
      <c r="AN18" s="98">
        <f>IF(COUNTIFS('VS×ケイパビリティ関係'!$F$4:$F$494,$B18,'VS×ケイパビリティ関係'!$G$4:$G$494,AN$5,'VS×ケイパビリティ関係'!$E$4:$E$494,"主")&gt;0,"●",IF(COUNTIFS('VS×ケイパビリティ関係'!$F$4:$F$494,$B18,'VS×ケイパビリティ関係'!$G$4:$G$494,AN$5,'VS×ケイパビリティ関係'!$E$4:$E$494,"支援")&gt;0,"○",""))</f>
        <v/>
      </c>
      <c r="AO18" s="98">
        <f>IF(COUNTIFS('VS×ケイパビリティ関係'!$F$4:$F$494,$B18,'VS×ケイパビリティ関係'!$G$4:$G$494,AO$5,'VS×ケイパビリティ関係'!$E$4:$E$494,"主")&gt;0,"●",IF(COUNTIFS('VS×ケイパビリティ関係'!$F$4:$F$494,$B18,'VS×ケイパビリティ関係'!$G$4:$G$494,AO$5,'VS×ケイパビリティ関係'!$E$4:$E$494,"支援")&gt;0,"○",""))</f>
        <v/>
      </c>
      <c r="AP18" s="98">
        <f>IF(COUNTIFS('VS×ケイパビリティ関係'!$F$4:$F$494,$B18,'VS×ケイパビリティ関係'!$G$4:$G$494,AP$5,'VS×ケイパビリティ関係'!$E$4:$E$494,"主")&gt;0,"●",IF(COUNTIFS('VS×ケイパビリティ関係'!$F$4:$F$494,$B18,'VS×ケイパビリティ関係'!$G$4:$G$494,AP$5,'VS×ケイパビリティ関係'!$E$4:$E$494,"支援")&gt;0,"○",""))</f>
        <v/>
      </c>
      <c r="AQ18" s="98">
        <f>IF(COUNTIFS('VS×ケイパビリティ関係'!$F$4:$F$494,$B18,'VS×ケイパビリティ関係'!$G$4:$G$494,AQ$5,'VS×ケイパビリティ関係'!$E$4:$E$494,"主")&gt;0,"●",IF(COUNTIFS('VS×ケイパビリティ関係'!$F$4:$F$494,$B18,'VS×ケイパビリティ関係'!$G$4:$G$494,AQ$5,'VS×ケイパビリティ関係'!$E$4:$E$494,"支援")&gt;0,"○",""))</f>
        <v/>
      </c>
      <c r="AR18" s="98">
        <f>IF(COUNTIFS('VS×ケイパビリティ関係'!$F$4:$F$494,$B18,'VS×ケイパビリティ関係'!$G$4:$G$494,AR$5,'VS×ケイパビリティ関係'!$E$4:$E$494,"主")&gt;0,"●",IF(COUNTIFS('VS×ケイパビリティ関係'!$F$4:$F$494,$B18,'VS×ケイパビリティ関係'!$G$4:$G$494,AR$5,'VS×ケイパビリティ関係'!$E$4:$E$494,"支援")&gt;0,"○",""))</f>
        <v/>
      </c>
      <c r="AS18" s="98">
        <f>IF(COUNTIFS('VS×ケイパビリティ関係'!$F$4:$F$494,$B18,'VS×ケイパビリティ関係'!$G$4:$G$494,AS$5,'VS×ケイパビリティ関係'!$E$4:$E$494,"主")&gt;0,"●",IF(COUNTIFS('VS×ケイパビリティ関係'!$F$4:$F$494,$B18,'VS×ケイパビリティ関係'!$G$4:$G$494,AS$5,'VS×ケイパビリティ関係'!$E$4:$E$494,"支援")&gt;0,"○",""))</f>
        <v/>
      </c>
      <c r="AT18" s="98">
        <f>IF(COUNTIFS('VS×ケイパビリティ関係'!$F$4:$F$494,$B18,'VS×ケイパビリティ関係'!$G$4:$G$494,AT$5,'VS×ケイパビリティ関係'!$E$4:$E$494,"主")&gt;0,"●",IF(COUNTIFS('VS×ケイパビリティ関係'!$F$4:$F$494,$B18,'VS×ケイパビリティ関係'!$G$4:$G$494,AT$5,'VS×ケイパビリティ関係'!$E$4:$E$494,"支援")&gt;0,"○",""))</f>
        <v/>
      </c>
      <c r="AU18" s="98">
        <f>IF(COUNTIFS('VS×ケイパビリティ関係'!$F$4:$F$494,$B18,'VS×ケイパビリティ関係'!$G$4:$G$494,AU$5,'VS×ケイパビリティ関係'!$E$4:$E$494,"主")&gt;0,"●",IF(COUNTIFS('VS×ケイパビリティ関係'!$F$4:$F$494,$B18,'VS×ケイパビリティ関係'!$G$4:$G$494,AU$5,'VS×ケイパビリティ関係'!$E$4:$E$494,"支援")&gt;0,"○",""))</f>
        <v/>
      </c>
      <c r="AV18" s="98">
        <f>IF(COUNTIFS('VS×ケイパビリティ関係'!$F$4:$F$494,$B18,'VS×ケイパビリティ関係'!$G$4:$G$494,AV$5,'VS×ケイパビリティ関係'!$E$4:$E$494,"主")&gt;0,"●",IF(COUNTIFS('VS×ケイパビリティ関係'!$F$4:$F$494,$B18,'VS×ケイパビリティ関係'!$G$4:$G$494,AV$5,'VS×ケイパビリティ関係'!$E$4:$E$494,"支援")&gt;0,"○",""))</f>
        <v/>
      </c>
      <c r="AW18" s="98">
        <f>IF(COUNTIFS('VS×ケイパビリティ関係'!$F$4:$F$494,$B18,'VS×ケイパビリティ関係'!$G$4:$G$494,AW$5,'VS×ケイパビリティ関係'!$E$4:$E$494,"主")&gt;0,"●",IF(COUNTIFS('VS×ケイパビリティ関係'!$F$4:$F$494,$B18,'VS×ケイパビリティ関係'!$G$4:$G$494,AW$5,'VS×ケイパビリティ関係'!$E$4:$E$494,"支援")&gt;0,"○",""))</f>
        <v/>
      </c>
      <c r="AX18" s="98">
        <f>IF(COUNTIFS('VS×ケイパビリティ関係'!$F$4:$F$494,$B18,'VS×ケイパビリティ関係'!$G$4:$G$494,AX$5,'VS×ケイパビリティ関係'!$E$4:$E$494,"主")&gt;0,"●",IF(COUNTIFS('VS×ケイパビリティ関係'!$F$4:$F$494,$B18,'VS×ケイパビリティ関係'!$G$4:$G$494,AX$5,'VS×ケイパビリティ関係'!$E$4:$E$494,"支援")&gt;0,"○",""))</f>
        <v/>
      </c>
      <c r="AY18" s="98">
        <f>IF(COUNTIFS('VS×ケイパビリティ関係'!$F$4:$F$494,$B18,'VS×ケイパビリティ関係'!$G$4:$G$494,AY$5,'VS×ケイパビリティ関係'!$E$4:$E$494,"主")&gt;0,"●",IF(COUNTIFS('VS×ケイパビリティ関係'!$F$4:$F$494,$B18,'VS×ケイパビリティ関係'!$G$4:$G$494,AY$5,'VS×ケイパビリティ関係'!$E$4:$E$494,"支援")&gt;0,"○",""))</f>
        <v/>
      </c>
      <c r="AZ18" s="98">
        <f>IF(COUNTIFS('VS×ケイパビリティ関係'!$F$4:$F$494,$B18,'VS×ケイパビリティ関係'!$G$4:$G$494,AZ$5,'VS×ケイパビリティ関係'!$E$4:$E$494,"主")&gt;0,"●",IF(COUNTIFS('VS×ケイパビリティ関係'!$F$4:$F$494,$B18,'VS×ケイパビリティ関係'!$G$4:$G$494,AZ$5,'VS×ケイパビリティ関係'!$E$4:$E$494,"支援")&gt;0,"○",""))</f>
        <v/>
      </c>
      <c r="BA18" s="98">
        <f>IF(COUNTIFS('VS×ケイパビリティ関係'!$F$4:$F$494,$B18,'VS×ケイパビリティ関係'!$G$4:$G$494,BA$5,'VS×ケイパビリティ関係'!$E$4:$E$494,"主")&gt;0,"●",IF(COUNTIFS('VS×ケイパビリティ関係'!$F$4:$F$494,$B18,'VS×ケイパビリティ関係'!$G$4:$G$494,BA$5,'VS×ケイパビリティ関係'!$E$4:$E$494,"支援")&gt;0,"○",""))</f>
        <v/>
      </c>
      <c r="BB18" s="98">
        <f>IF(COUNTIFS('VS×ケイパビリティ関係'!$F$4:$F$494,$B18,'VS×ケイパビリティ関係'!$G$4:$G$494,BB$5,'VS×ケイパビリティ関係'!$E$4:$E$494,"主")&gt;0,"●",IF(COUNTIFS('VS×ケイパビリティ関係'!$F$4:$F$494,$B18,'VS×ケイパビリティ関係'!$G$4:$G$494,BB$5,'VS×ケイパビリティ関係'!$E$4:$E$494,"支援")&gt;0,"○",""))</f>
        <v/>
      </c>
      <c r="BC18" s="98">
        <f>IF(COUNTIFS('VS×ケイパビリティ関係'!$F$4:$F$494,$B18,'VS×ケイパビリティ関係'!$G$4:$G$494,BC$5,'VS×ケイパビリティ関係'!$E$4:$E$494,"主")&gt;0,"●",IF(COUNTIFS('VS×ケイパビリティ関係'!$F$4:$F$494,$B18,'VS×ケイパビリティ関係'!$G$4:$G$494,BC$5,'VS×ケイパビリティ関係'!$E$4:$E$494,"支援")&gt;0,"○",""))</f>
        <v/>
      </c>
      <c r="BD18" s="98">
        <f>IF(COUNTIFS('VS×ケイパビリティ関係'!$F$4:$F$494,$B18,'VS×ケイパビリティ関係'!$G$4:$G$494,BD$5,'VS×ケイパビリティ関係'!$E$4:$E$494,"主")&gt;0,"●",IF(COUNTIFS('VS×ケイパビリティ関係'!$F$4:$F$494,$B18,'VS×ケイパビリティ関係'!$G$4:$G$494,BD$5,'VS×ケイパビリティ関係'!$E$4:$E$494,"支援")&gt;0,"○",""))</f>
        <v/>
      </c>
      <c r="BE18" s="98">
        <f>COUNTIF(D18:BD18,"●")</f>
        <v/>
      </c>
      <c r="BF18" s="98">
        <f>COUNTIF(D18:BD18,"○")</f>
        <v/>
      </c>
    </row>
    <row r="19" ht="15" customHeight="1" s="80">
      <c r="A19" s="116" t="n"/>
      <c r="B19" s="98" t="inlineStr">
        <is>
          <t>03-05</t>
        </is>
      </c>
      <c r="C19" s="100" t="inlineStr">
        <is>
          <t>治験薬GMP製造・供給</t>
        </is>
      </c>
      <c r="D19" s="98">
        <f>IF(COUNTIFS('VS×ケイパビリティ関係'!$F$4:$F$494,$B19,'VS×ケイパビリティ関係'!$G$4:$G$494,D$5,'VS×ケイパビリティ関係'!$E$4:$E$494,"主")&gt;0,"●",IF(COUNTIFS('VS×ケイパビリティ関係'!$F$4:$F$494,$B19,'VS×ケイパビリティ関係'!$G$4:$G$494,D$5,'VS×ケイパビリティ関係'!$E$4:$E$494,"支援")&gt;0,"○",""))</f>
        <v/>
      </c>
      <c r="E19" s="98">
        <f>IF(COUNTIFS('VS×ケイパビリティ関係'!$F$4:$F$494,$B19,'VS×ケイパビリティ関係'!$G$4:$G$494,E$5,'VS×ケイパビリティ関係'!$E$4:$E$494,"主")&gt;0,"●",IF(COUNTIFS('VS×ケイパビリティ関係'!$F$4:$F$494,$B19,'VS×ケイパビリティ関係'!$G$4:$G$494,E$5,'VS×ケイパビリティ関係'!$E$4:$E$494,"支援")&gt;0,"○",""))</f>
        <v/>
      </c>
      <c r="F19" s="98">
        <f>IF(COUNTIFS('VS×ケイパビリティ関係'!$F$4:$F$494,$B19,'VS×ケイパビリティ関係'!$G$4:$G$494,F$5,'VS×ケイパビリティ関係'!$E$4:$E$494,"主")&gt;0,"●",IF(COUNTIFS('VS×ケイパビリティ関係'!$F$4:$F$494,$B19,'VS×ケイパビリティ関係'!$G$4:$G$494,F$5,'VS×ケイパビリティ関係'!$E$4:$E$494,"支援")&gt;0,"○",""))</f>
        <v/>
      </c>
      <c r="G19" s="98">
        <f>IF(COUNTIFS('VS×ケイパビリティ関係'!$F$4:$F$494,$B19,'VS×ケイパビリティ関係'!$G$4:$G$494,G$5,'VS×ケイパビリティ関係'!$E$4:$E$494,"主")&gt;0,"●",IF(COUNTIFS('VS×ケイパビリティ関係'!$F$4:$F$494,$B19,'VS×ケイパビリティ関係'!$G$4:$G$494,G$5,'VS×ケイパビリティ関係'!$E$4:$E$494,"支援")&gt;0,"○",""))</f>
        <v/>
      </c>
      <c r="H19" s="98">
        <f>IF(COUNTIFS('VS×ケイパビリティ関係'!$F$4:$F$494,$B19,'VS×ケイパビリティ関係'!$G$4:$G$494,H$5,'VS×ケイパビリティ関係'!$E$4:$E$494,"主")&gt;0,"●",IF(COUNTIFS('VS×ケイパビリティ関係'!$F$4:$F$494,$B19,'VS×ケイパビリティ関係'!$G$4:$G$494,H$5,'VS×ケイパビリティ関係'!$E$4:$E$494,"支援")&gt;0,"○",""))</f>
        <v/>
      </c>
      <c r="I19" s="98">
        <f>IF(COUNTIFS('VS×ケイパビリティ関係'!$F$4:$F$494,$B19,'VS×ケイパビリティ関係'!$G$4:$G$494,I$5,'VS×ケイパビリティ関係'!$E$4:$E$494,"主")&gt;0,"●",IF(COUNTIFS('VS×ケイパビリティ関係'!$F$4:$F$494,$B19,'VS×ケイパビリティ関係'!$G$4:$G$494,I$5,'VS×ケイパビリティ関係'!$E$4:$E$494,"支援")&gt;0,"○",""))</f>
        <v/>
      </c>
      <c r="J19" s="98">
        <f>IF(COUNTIFS('VS×ケイパビリティ関係'!$F$4:$F$494,$B19,'VS×ケイパビリティ関係'!$G$4:$G$494,J$5,'VS×ケイパビリティ関係'!$E$4:$E$494,"主")&gt;0,"●",IF(COUNTIFS('VS×ケイパビリティ関係'!$F$4:$F$494,$B19,'VS×ケイパビリティ関係'!$G$4:$G$494,J$5,'VS×ケイパビリティ関係'!$E$4:$E$494,"支援")&gt;0,"○",""))</f>
        <v/>
      </c>
      <c r="K19" s="98">
        <f>IF(COUNTIFS('VS×ケイパビリティ関係'!$F$4:$F$494,$B19,'VS×ケイパビリティ関係'!$G$4:$G$494,K$5,'VS×ケイパビリティ関係'!$E$4:$E$494,"主")&gt;0,"●",IF(COUNTIFS('VS×ケイパビリティ関係'!$F$4:$F$494,$B19,'VS×ケイパビリティ関係'!$G$4:$G$494,K$5,'VS×ケイパビリティ関係'!$E$4:$E$494,"支援")&gt;0,"○",""))</f>
        <v/>
      </c>
      <c r="L19" s="98">
        <f>IF(COUNTIFS('VS×ケイパビリティ関係'!$F$4:$F$494,$B19,'VS×ケイパビリティ関係'!$G$4:$G$494,L$5,'VS×ケイパビリティ関係'!$E$4:$E$494,"主")&gt;0,"●",IF(COUNTIFS('VS×ケイパビリティ関係'!$F$4:$F$494,$B19,'VS×ケイパビリティ関係'!$G$4:$G$494,L$5,'VS×ケイパビリティ関係'!$E$4:$E$494,"支援")&gt;0,"○",""))</f>
        <v/>
      </c>
      <c r="M19" s="98">
        <f>IF(COUNTIFS('VS×ケイパビリティ関係'!$F$4:$F$494,$B19,'VS×ケイパビリティ関係'!$G$4:$G$494,M$5,'VS×ケイパビリティ関係'!$E$4:$E$494,"主")&gt;0,"●",IF(COUNTIFS('VS×ケイパビリティ関係'!$F$4:$F$494,$B19,'VS×ケイパビリティ関係'!$G$4:$G$494,M$5,'VS×ケイパビリティ関係'!$E$4:$E$494,"支援")&gt;0,"○",""))</f>
        <v/>
      </c>
      <c r="N19" s="98">
        <f>IF(COUNTIFS('VS×ケイパビリティ関係'!$F$4:$F$494,$B19,'VS×ケイパビリティ関係'!$G$4:$G$494,N$5,'VS×ケイパビリティ関係'!$E$4:$E$494,"主")&gt;0,"●",IF(COUNTIFS('VS×ケイパビリティ関係'!$F$4:$F$494,$B19,'VS×ケイパビリティ関係'!$G$4:$G$494,N$5,'VS×ケイパビリティ関係'!$E$4:$E$494,"支援")&gt;0,"○",""))</f>
        <v/>
      </c>
      <c r="O19" s="98">
        <f>IF(COUNTIFS('VS×ケイパビリティ関係'!$F$4:$F$494,$B19,'VS×ケイパビリティ関係'!$G$4:$G$494,O$5,'VS×ケイパビリティ関係'!$E$4:$E$494,"主")&gt;0,"●",IF(COUNTIFS('VS×ケイパビリティ関係'!$F$4:$F$494,$B19,'VS×ケイパビリティ関係'!$G$4:$G$494,O$5,'VS×ケイパビリティ関係'!$E$4:$E$494,"支援")&gt;0,"○",""))</f>
        <v/>
      </c>
      <c r="P19" s="98">
        <f>IF(COUNTIFS('VS×ケイパビリティ関係'!$F$4:$F$494,$B19,'VS×ケイパビリティ関係'!$G$4:$G$494,P$5,'VS×ケイパビリティ関係'!$E$4:$E$494,"主")&gt;0,"●",IF(COUNTIFS('VS×ケイパビリティ関係'!$F$4:$F$494,$B19,'VS×ケイパビリティ関係'!$G$4:$G$494,P$5,'VS×ケイパビリティ関係'!$E$4:$E$494,"支援")&gt;0,"○",""))</f>
        <v/>
      </c>
      <c r="Q19" s="98">
        <f>IF(COUNTIFS('VS×ケイパビリティ関係'!$F$4:$F$494,$B19,'VS×ケイパビリティ関係'!$G$4:$G$494,Q$5,'VS×ケイパビリティ関係'!$E$4:$E$494,"主")&gt;0,"●",IF(COUNTIFS('VS×ケイパビリティ関係'!$F$4:$F$494,$B19,'VS×ケイパビリティ関係'!$G$4:$G$494,Q$5,'VS×ケイパビリティ関係'!$E$4:$E$494,"支援")&gt;0,"○",""))</f>
        <v/>
      </c>
      <c r="R19" s="98">
        <f>IF(COUNTIFS('VS×ケイパビリティ関係'!$F$4:$F$494,$B19,'VS×ケイパビリティ関係'!$G$4:$G$494,R$5,'VS×ケイパビリティ関係'!$E$4:$E$494,"主")&gt;0,"●",IF(COUNTIFS('VS×ケイパビリティ関係'!$F$4:$F$494,$B19,'VS×ケイパビリティ関係'!$G$4:$G$494,R$5,'VS×ケイパビリティ関係'!$E$4:$E$494,"支援")&gt;0,"○",""))</f>
        <v/>
      </c>
      <c r="S19" s="98">
        <f>IF(COUNTIFS('VS×ケイパビリティ関係'!$F$4:$F$494,$B19,'VS×ケイパビリティ関係'!$G$4:$G$494,S$5,'VS×ケイパビリティ関係'!$E$4:$E$494,"主")&gt;0,"●",IF(COUNTIFS('VS×ケイパビリティ関係'!$F$4:$F$494,$B19,'VS×ケイパビリティ関係'!$G$4:$G$494,S$5,'VS×ケイパビリティ関係'!$E$4:$E$494,"支援")&gt;0,"○",""))</f>
        <v/>
      </c>
      <c r="T19" s="98">
        <f>IF(COUNTIFS('VS×ケイパビリティ関係'!$F$4:$F$494,$B19,'VS×ケイパビリティ関係'!$G$4:$G$494,T$5,'VS×ケイパビリティ関係'!$E$4:$E$494,"主")&gt;0,"●",IF(COUNTIFS('VS×ケイパビリティ関係'!$F$4:$F$494,$B19,'VS×ケイパビリティ関係'!$G$4:$G$494,T$5,'VS×ケイパビリティ関係'!$E$4:$E$494,"支援")&gt;0,"○",""))</f>
        <v/>
      </c>
      <c r="U19" s="98">
        <f>IF(COUNTIFS('VS×ケイパビリティ関係'!$F$4:$F$494,$B19,'VS×ケイパビリティ関係'!$G$4:$G$494,U$5,'VS×ケイパビリティ関係'!$E$4:$E$494,"主")&gt;0,"●",IF(COUNTIFS('VS×ケイパビリティ関係'!$F$4:$F$494,$B19,'VS×ケイパビリティ関係'!$G$4:$G$494,U$5,'VS×ケイパビリティ関係'!$E$4:$E$494,"支援")&gt;0,"○",""))</f>
        <v/>
      </c>
      <c r="V19" s="98">
        <f>IF(COUNTIFS('VS×ケイパビリティ関係'!$F$4:$F$494,$B19,'VS×ケイパビリティ関係'!$G$4:$G$494,V$5,'VS×ケイパビリティ関係'!$E$4:$E$494,"主")&gt;0,"●",IF(COUNTIFS('VS×ケイパビリティ関係'!$F$4:$F$494,$B19,'VS×ケイパビリティ関係'!$G$4:$G$494,V$5,'VS×ケイパビリティ関係'!$E$4:$E$494,"支援")&gt;0,"○",""))</f>
        <v/>
      </c>
      <c r="W19" s="98">
        <f>IF(COUNTIFS('VS×ケイパビリティ関係'!$F$4:$F$494,$B19,'VS×ケイパビリティ関係'!$G$4:$G$494,W$5,'VS×ケイパビリティ関係'!$E$4:$E$494,"主")&gt;0,"●",IF(COUNTIFS('VS×ケイパビリティ関係'!$F$4:$F$494,$B19,'VS×ケイパビリティ関係'!$G$4:$G$494,W$5,'VS×ケイパビリティ関係'!$E$4:$E$494,"支援")&gt;0,"○",""))</f>
        <v/>
      </c>
      <c r="X19" s="98">
        <f>IF(COUNTIFS('VS×ケイパビリティ関係'!$F$4:$F$494,$B19,'VS×ケイパビリティ関係'!$G$4:$G$494,X$5,'VS×ケイパビリティ関係'!$E$4:$E$494,"主")&gt;0,"●",IF(COUNTIFS('VS×ケイパビリティ関係'!$F$4:$F$494,$B19,'VS×ケイパビリティ関係'!$G$4:$G$494,X$5,'VS×ケイパビリティ関係'!$E$4:$E$494,"支援")&gt;0,"○",""))</f>
        <v/>
      </c>
      <c r="Y19" s="98">
        <f>IF(COUNTIFS('VS×ケイパビリティ関係'!$F$4:$F$494,$B19,'VS×ケイパビリティ関係'!$G$4:$G$494,Y$5,'VS×ケイパビリティ関係'!$E$4:$E$494,"主")&gt;0,"●",IF(COUNTIFS('VS×ケイパビリティ関係'!$F$4:$F$494,$B19,'VS×ケイパビリティ関係'!$G$4:$G$494,Y$5,'VS×ケイパビリティ関係'!$E$4:$E$494,"支援")&gt;0,"○",""))</f>
        <v/>
      </c>
      <c r="Z19" s="98">
        <f>IF(COUNTIFS('VS×ケイパビリティ関係'!$F$4:$F$494,$B19,'VS×ケイパビリティ関係'!$G$4:$G$494,Z$5,'VS×ケイパビリティ関係'!$E$4:$E$494,"主")&gt;0,"●",IF(COUNTIFS('VS×ケイパビリティ関係'!$F$4:$F$494,$B19,'VS×ケイパビリティ関係'!$G$4:$G$494,Z$5,'VS×ケイパビリティ関係'!$E$4:$E$494,"支援")&gt;0,"○",""))</f>
        <v/>
      </c>
      <c r="AA19" s="98">
        <f>IF(COUNTIFS('VS×ケイパビリティ関係'!$F$4:$F$494,$B19,'VS×ケイパビリティ関係'!$G$4:$G$494,AA$5,'VS×ケイパビリティ関係'!$E$4:$E$494,"主")&gt;0,"●",IF(COUNTIFS('VS×ケイパビリティ関係'!$F$4:$F$494,$B19,'VS×ケイパビリティ関係'!$G$4:$G$494,AA$5,'VS×ケイパビリティ関係'!$E$4:$E$494,"支援")&gt;0,"○",""))</f>
        <v/>
      </c>
      <c r="AB19" s="98">
        <f>IF(COUNTIFS('VS×ケイパビリティ関係'!$F$4:$F$494,$B19,'VS×ケイパビリティ関係'!$G$4:$G$494,AB$5,'VS×ケイパビリティ関係'!$E$4:$E$494,"主")&gt;0,"●",IF(COUNTIFS('VS×ケイパビリティ関係'!$F$4:$F$494,$B19,'VS×ケイパビリティ関係'!$G$4:$G$494,AB$5,'VS×ケイパビリティ関係'!$E$4:$E$494,"支援")&gt;0,"○",""))</f>
        <v/>
      </c>
      <c r="AC19" s="98">
        <f>IF(COUNTIFS('VS×ケイパビリティ関係'!$F$4:$F$494,$B19,'VS×ケイパビリティ関係'!$G$4:$G$494,AC$5,'VS×ケイパビリティ関係'!$E$4:$E$494,"主")&gt;0,"●",IF(COUNTIFS('VS×ケイパビリティ関係'!$F$4:$F$494,$B19,'VS×ケイパビリティ関係'!$G$4:$G$494,AC$5,'VS×ケイパビリティ関係'!$E$4:$E$494,"支援")&gt;0,"○",""))</f>
        <v/>
      </c>
      <c r="AD19" s="98">
        <f>IF(COUNTIFS('VS×ケイパビリティ関係'!$F$4:$F$494,$B19,'VS×ケイパビリティ関係'!$G$4:$G$494,AD$5,'VS×ケイパビリティ関係'!$E$4:$E$494,"主")&gt;0,"●",IF(COUNTIFS('VS×ケイパビリティ関係'!$F$4:$F$494,$B19,'VS×ケイパビリティ関係'!$G$4:$G$494,AD$5,'VS×ケイパビリティ関係'!$E$4:$E$494,"支援")&gt;0,"○",""))</f>
        <v/>
      </c>
      <c r="AE19" s="98">
        <f>IF(COUNTIFS('VS×ケイパビリティ関係'!$F$4:$F$494,$B19,'VS×ケイパビリティ関係'!$G$4:$G$494,AE$5,'VS×ケイパビリティ関係'!$E$4:$E$494,"主")&gt;0,"●",IF(COUNTIFS('VS×ケイパビリティ関係'!$F$4:$F$494,$B19,'VS×ケイパビリティ関係'!$G$4:$G$494,AE$5,'VS×ケイパビリティ関係'!$E$4:$E$494,"支援")&gt;0,"○",""))</f>
        <v/>
      </c>
      <c r="AF19" s="98">
        <f>IF(COUNTIFS('VS×ケイパビリティ関係'!$F$4:$F$494,$B19,'VS×ケイパビリティ関係'!$G$4:$G$494,AF$5,'VS×ケイパビリティ関係'!$E$4:$E$494,"主")&gt;0,"●",IF(COUNTIFS('VS×ケイパビリティ関係'!$F$4:$F$494,$B19,'VS×ケイパビリティ関係'!$G$4:$G$494,AF$5,'VS×ケイパビリティ関係'!$E$4:$E$494,"支援")&gt;0,"○",""))</f>
        <v/>
      </c>
      <c r="AG19" s="98">
        <f>IF(COUNTIFS('VS×ケイパビリティ関係'!$F$4:$F$494,$B19,'VS×ケイパビリティ関係'!$G$4:$G$494,AG$5,'VS×ケイパビリティ関係'!$E$4:$E$494,"主")&gt;0,"●",IF(COUNTIFS('VS×ケイパビリティ関係'!$F$4:$F$494,$B19,'VS×ケイパビリティ関係'!$G$4:$G$494,AG$5,'VS×ケイパビリティ関係'!$E$4:$E$494,"支援")&gt;0,"○",""))</f>
        <v/>
      </c>
      <c r="AH19" s="98">
        <f>IF(COUNTIFS('VS×ケイパビリティ関係'!$F$4:$F$494,$B19,'VS×ケイパビリティ関係'!$G$4:$G$494,AH$5,'VS×ケイパビリティ関係'!$E$4:$E$494,"主")&gt;0,"●",IF(COUNTIFS('VS×ケイパビリティ関係'!$F$4:$F$494,$B19,'VS×ケイパビリティ関係'!$G$4:$G$494,AH$5,'VS×ケイパビリティ関係'!$E$4:$E$494,"支援")&gt;0,"○",""))</f>
        <v/>
      </c>
      <c r="AI19" s="98">
        <f>IF(COUNTIFS('VS×ケイパビリティ関係'!$F$4:$F$494,$B19,'VS×ケイパビリティ関係'!$G$4:$G$494,AI$5,'VS×ケイパビリティ関係'!$E$4:$E$494,"主")&gt;0,"●",IF(COUNTIFS('VS×ケイパビリティ関係'!$F$4:$F$494,$B19,'VS×ケイパビリティ関係'!$G$4:$G$494,AI$5,'VS×ケイパビリティ関係'!$E$4:$E$494,"支援")&gt;0,"○",""))</f>
        <v/>
      </c>
      <c r="AJ19" s="98">
        <f>IF(COUNTIFS('VS×ケイパビリティ関係'!$F$4:$F$494,$B19,'VS×ケイパビリティ関係'!$G$4:$G$494,AJ$5,'VS×ケイパビリティ関係'!$E$4:$E$494,"主")&gt;0,"●",IF(COUNTIFS('VS×ケイパビリティ関係'!$F$4:$F$494,$B19,'VS×ケイパビリティ関係'!$G$4:$G$494,AJ$5,'VS×ケイパビリティ関係'!$E$4:$E$494,"支援")&gt;0,"○",""))</f>
        <v/>
      </c>
      <c r="AK19" s="98">
        <f>IF(COUNTIFS('VS×ケイパビリティ関係'!$F$4:$F$494,$B19,'VS×ケイパビリティ関係'!$G$4:$G$494,AK$5,'VS×ケイパビリティ関係'!$E$4:$E$494,"主")&gt;0,"●",IF(COUNTIFS('VS×ケイパビリティ関係'!$F$4:$F$494,$B19,'VS×ケイパビリティ関係'!$G$4:$G$494,AK$5,'VS×ケイパビリティ関係'!$E$4:$E$494,"支援")&gt;0,"○",""))</f>
        <v/>
      </c>
      <c r="AL19" s="98">
        <f>IF(COUNTIFS('VS×ケイパビリティ関係'!$F$4:$F$494,$B19,'VS×ケイパビリティ関係'!$G$4:$G$494,AL$5,'VS×ケイパビリティ関係'!$E$4:$E$494,"主")&gt;0,"●",IF(COUNTIFS('VS×ケイパビリティ関係'!$F$4:$F$494,$B19,'VS×ケイパビリティ関係'!$G$4:$G$494,AL$5,'VS×ケイパビリティ関係'!$E$4:$E$494,"支援")&gt;0,"○",""))</f>
        <v/>
      </c>
      <c r="AM19" s="98">
        <f>IF(COUNTIFS('VS×ケイパビリティ関係'!$F$4:$F$494,$B19,'VS×ケイパビリティ関係'!$G$4:$G$494,AM$5,'VS×ケイパビリティ関係'!$E$4:$E$494,"主")&gt;0,"●",IF(COUNTIFS('VS×ケイパビリティ関係'!$F$4:$F$494,$B19,'VS×ケイパビリティ関係'!$G$4:$G$494,AM$5,'VS×ケイパビリティ関係'!$E$4:$E$494,"支援")&gt;0,"○",""))</f>
        <v/>
      </c>
      <c r="AN19" s="98">
        <f>IF(COUNTIFS('VS×ケイパビリティ関係'!$F$4:$F$494,$B19,'VS×ケイパビリティ関係'!$G$4:$G$494,AN$5,'VS×ケイパビリティ関係'!$E$4:$E$494,"主")&gt;0,"●",IF(COUNTIFS('VS×ケイパビリティ関係'!$F$4:$F$494,$B19,'VS×ケイパビリティ関係'!$G$4:$G$494,AN$5,'VS×ケイパビリティ関係'!$E$4:$E$494,"支援")&gt;0,"○",""))</f>
        <v/>
      </c>
      <c r="AO19" s="98">
        <f>IF(COUNTIFS('VS×ケイパビリティ関係'!$F$4:$F$494,$B19,'VS×ケイパビリティ関係'!$G$4:$G$494,AO$5,'VS×ケイパビリティ関係'!$E$4:$E$494,"主")&gt;0,"●",IF(COUNTIFS('VS×ケイパビリティ関係'!$F$4:$F$494,$B19,'VS×ケイパビリティ関係'!$G$4:$G$494,AO$5,'VS×ケイパビリティ関係'!$E$4:$E$494,"支援")&gt;0,"○",""))</f>
        <v/>
      </c>
      <c r="AP19" s="98">
        <f>IF(COUNTIFS('VS×ケイパビリティ関係'!$F$4:$F$494,$B19,'VS×ケイパビリティ関係'!$G$4:$G$494,AP$5,'VS×ケイパビリティ関係'!$E$4:$E$494,"主")&gt;0,"●",IF(COUNTIFS('VS×ケイパビリティ関係'!$F$4:$F$494,$B19,'VS×ケイパビリティ関係'!$G$4:$G$494,AP$5,'VS×ケイパビリティ関係'!$E$4:$E$494,"支援")&gt;0,"○",""))</f>
        <v/>
      </c>
      <c r="AQ19" s="98">
        <f>IF(COUNTIFS('VS×ケイパビリティ関係'!$F$4:$F$494,$B19,'VS×ケイパビリティ関係'!$G$4:$G$494,AQ$5,'VS×ケイパビリティ関係'!$E$4:$E$494,"主")&gt;0,"●",IF(COUNTIFS('VS×ケイパビリティ関係'!$F$4:$F$494,$B19,'VS×ケイパビリティ関係'!$G$4:$G$494,AQ$5,'VS×ケイパビリティ関係'!$E$4:$E$494,"支援")&gt;0,"○",""))</f>
        <v/>
      </c>
      <c r="AR19" s="98">
        <f>IF(COUNTIFS('VS×ケイパビリティ関係'!$F$4:$F$494,$B19,'VS×ケイパビリティ関係'!$G$4:$G$494,AR$5,'VS×ケイパビリティ関係'!$E$4:$E$494,"主")&gt;0,"●",IF(COUNTIFS('VS×ケイパビリティ関係'!$F$4:$F$494,$B19,'VS×ケイパビリティ関係'!$G$4:$G$494,AR$5,'VS×ケイパビリティ関係'!$E$4:$E$494,"支援")&gt;0,"○",""))</f>
        <v/>
      </c>
      <c r="AS19" s="98">
        <f>IF(COUNTIFS('VS×ケイパビリティ関係'!$F$4:$F$494,$B19,'VS×ケイパビリティ関係'!$G$4:$G$494,AS$5,'VS×ケイパビリティ関係'!$E$4:$E$494,"主")&gt;0,"●",IF(COUNTIFS('VS×ケイパビリティ関係'!$F$4:$F$494,$B19,'VS×ケイパビリティ関係'!$G$4:$G$494,AS$5,'VS×ケイパビリティ関係'!$E$4:$E$494,"支援")&gt;0,"○",""))</f>
        <v/>
      </c>
      <c r="AT19" s="98">
        <f>IF(COUNTIFS('VS×ケイパビリティ関係'!$F$4:$F$494,$B19,'VS×ケイパビリティ関係'!$G$4:$G$494,AT$5,'VS×ケイパビリティ関係'!$E$4:$E$494,"主")&gt;0,"●",IF(COUNTIFS('VS×ケイパビリティ関係'!$F$4:$F$494,$B19,'VS×ケイパビリティ関係'!$G$4:$G$494,AT$5,'VS×ケイパビリティ関係'!$E$4:$E$494,"支援")&gt;0,"○",""))</f>
        <v/>
      </c>
      <c r="AU19" s="98">
        <f>IF(COUNTIFS('VS×ケイパビリティ関係'!$F$4:$F$494,$B19,'VS×ケイパビリティ関係'!$G$4:$G$494,AU$5,'VS×ケイパビリティ関係'!$E$4:$E$494,"主")&gt;0,"●",IF(COUNTIFS('VS×ケイパビリティ関係'!$F$4:$F$494,$B19,'VS×ケイパビリティ関係'!$G$4:$G$494,AU$5,'VS×ケイパビリティ関係'!$E$4:$E$494,"支援")&gt;0,"○",""))</f>
        <v/>
      </c>
      <c r="AV19" s="98">
        <f>IF(COUNTIFS('VS×ケイパビリティ関係'!$F$4:$F$494,$B19,'VS×ケイパビリティ関係'!$G$4:$G$494,AV$5,'VS×ケイパビリティ関係'!$E$4:$E$494,"主")&gt;0,"●",IF(COUNTIFS('VS×ケイパビリティ関係'!$F$4:$F$494,$B19,'VS×ケイパビリティ関係'!$G$4:$G$494,AV$5,'VS×ケイパビリティ関係'!$E$4:$E$494,"支援")&gt;0,"○",""))</f>
        <v/>
      </c>
      <c r="AW19" s="98">
        <f>IF(COUNTIFS('VS×ケイパビリティ関係'!$F$4:$F$494,$B19,'VS×ケイパビリティ関係'!$G$4:$G$494,AW$5,'VS×ケイパビリティ関係'!$E$4:$E$494,"主")&gt;0,"●",IF(COUNTIFS('VS×ケイパビリティ関係'!$F$4:$F$494,$B19,'VS×ケイパビリティ関係'!$G$4:$G$494,AW$5,'VS×ケイパビリティ関係'!$E$4:$E$494,"支援")&gt;0,"○",""))</f>
        <v/>
      </c>
      <c r="AX19" s="98">
        <f>IF(COUNTIFS('VS×ケイパビリティ関係'!$F$4:$F$494,$B19,'VS×ケイパビリティ関係'!$G$4:$G$494,AX$5,'VS×ケイパビリティ関係'!$E$4:$E$494,"主")&gt;0,"●",IF(COUNTIFS('VS×ケイパビリティ関係'!$F$4:$F$494,$B19,'VS×ケイパビリティ関係'!$G$4:$G$494,AX$5,'VS×ケイパビリティ関係'!$E$4:$E$494,"支援")&gt;0,"○",""))</f>
        <v/>
      </c>
      <c r="AY19" s="98">
        <f>IF(COUNTIFS('VS×ケイパビリティ関係'!$F$4:$F$494,$B19,'VS×ケイパビリティ関係'!$G$4:$G$494,AY$5,'VS×ケイパビリティ関係'!$E$4:$E$494,"主")&gt;0,"●",IF(COUNTIFS('VS×ケイパビリティ関係'!$F$4:$F$494,$B19,'VS×ケイパビリティ関係'!$G$4:$G$494,AY$5,'VS×ケイパビリティ関係'!$E$4:$E$494,"支援")&gt;0,"○",""))</f>
        <v/>
      </c>
      <c r="AZ19" s="98">
        <f>IF(COUNTIFS('VS×ケイパビリティ関係'!$F$4:$F$494,$B19,'VS×ケイパビリティ関係'!$G$4:$G$494,AZ$5,'VS×ケイパビリティ関係'!$E$4:$E$494,"主")&gt;0,"●",IF(COUNTIFS('VS×ケイパビリティ関係'!$F$4:$F$494,$B19,'VS×ケイパビリティ関係'!$G$4:$G$494,AZ$5,'VS×ケイパビリティ関係'!$E$4:$E$494,"支援")&gt;0,"○",""))</f>
        <v/>
      </c>
      <c r="BA19" s="98">
        <f>IF(COUNTIFS('VS×ケイパビリティ関係'!$F$4:$F$494,$B19,'VS×ケイパビリティ関係'!$G$4:$G$494,BA$5,'VS×ケイパビリティ関係'!$E$4:$E$494,"主")&gt;0,"●",IF(COUNTIFS('VS×ケイパビリティ関係'!$F$4:$F$494,$B19,'VS×ケイパビリティ関係'!$G$4:$G$494,BA$5,'VS×ケイパビリティ関係'!$E$4:$E$494,"支援")&gt;0,"○",""))</f>
        <v/>
      </c>
      <c r="BB19" s="98">
        <f>IF(COUNTIFS('VS×ケイパビリティ関係'!$F$4:$F$494,$B19,'VS×ケイパビリティ関係'!$G$4:$G$494,BB$5,'VS×ケイパビリティ関係'!$E$4:$E$494,"主")&gt;0,"●",IF(COUNTIFS('VS×ケイパビリティ関係'!$F$4:$F$494,$B19,'VS×ケイパビリティ関係'!$G$4:$G$494,BB$5,'VS×ケイパビリティ関係'!$E$4:$E$494,"支援")&gt;0,"○",""))</f>
        <v/>
      </c>
      <c r="BC19" s="98">
        <f>IF(COUNTIFS('VS×ケイパビリティ関係'!$F$4:$F$494,$B19,'VS×ケイパビリティ関係'!$G$4:$G$494,BC$5,'VS×ケイパビリティ関係'!$E$4:$E$494,"主")&gt;0,"●",IF(COUNTIFS('VS×ケイパビリティ関係'!$F$4:$F$494,$B19,'VS×ケイパビリティ関係'!$G$4:$G$494,BC$5,'VS×ケイパビリティ関係'!$E$4:$E$494,"支援")&gt;0,"○",""))</f>
        <v/>
      </c>
      <c r="BD19" s="98">
        <f>IF(COUNTIFS('VS×ケイパビリティ関係'!$F$4:$F$494,$B19,'VS×ケイパビリティ関係'!$G$4:$G$494,BD$5,'VS×ケイパビリティ関係'!$E$4:$E$494,"主")&gt;0,"●",IF(COUNTIFS('VS×ケイパビリティ関係'!$F$4:$F$494,$B19,'VS×ケイパビリティ関係'!$G$4:$G$494,BD$5,'VS×ケイパビリティ関係'!$E$4:$E$494,"支援")&gt;0,"○",""))</f>
        <v/>
      </c>
      <c r="BE19" s="98">
        <f>COUNTIF(D19:BD19,"●")</f>
        <v/>
      </c>
      <c r="BF19" s="98">
        <f>COUNTIF(D19:BD19,"○")</f>
        <v/>
      </c>
    </row>
    <row r="20" ht="26.25" customHeight="1" s="80">
      <c r="A20" s="116" t="n"/>
      <c r="B20" s="98" t="inlineStr">
        <is>
          <t>03-06</t>
        </is>
      </c>
      <c r="C20" s="100" t="inlineStr">
        <is>
          <t>後期プロセス開発・スケールアップ・技術移転</t>
        </is>
      </c>
      <c r="D20" s="98">
        <f>IF(COUNTIFS('VS×ケイパビリティ関係'!$F$4:$F$494,$B20,'VS×ケイパビリティ関係'!$G$4:$G$494,D$5,'VS×ケイパビリティ関係'!$E$4:$E$494,"主")&gt;0,"●",IF(COUNTIFS('VS×ケイパビリティ関係'!$F$4:$F$494,$B20,'VS×ケイパビリティ関係'!$G$4:$G$494,D$5,'VS×ケイパビリティ関係'!$E$4:$E$494,"支援")&gt;0,"○",""))</f>
        <v/>
      </c>
      <c r="E20" s="98">
        <f>IF(COUNTIFS('VS×ケイパビリティ関係'!$F$4:$F$494,$B20,'VS×ケイパビリティ関係'!$G$4:$G$494,E$5,'VS×ケイパビリティ関係'!$E$4:$E$494,"主")&gt;0,"●",IF(COUNTIFS('VS×ケイパビリティ関係'!$F$4:$F$494,$B20,'VS×ケイパビリティ関係'!$G$4:$G$494,E$5,'VS×ケイパビリティ関係'!$E$4:$E$494,"支援")&gt;0,"○",""))</f>
        <v/>
      </c>
      <c r="F20" s="98">
        <f>IF(COUNTIFS('VS×ケイパビリティ関係'!$F$4:$F$494,$B20,'VS×ケイパビリティ関係'!$G$4:$G$494,F$5,'VS×ケイパビリティ関係'!$E$4:$E$494,"主")&gt;0,"●",IF(COUNTIFS('VS×ケイパビリティ関係'!$F$4:$F$494,$B20,'VS×ケイパビリティ関係'!$G$4:$G$494,F$5,'VS×ケイパビリティ関係'!$E$4:$E$494,"支援")&gt;0,"○",""))</f>
        <v/>
      </c>
      <c r="G20" s="98">
        <f>IF(COUNTIFS('VS×ケイパビリティ関係'!$F$4:$F$494,$B20,'VS×ケイパビリティ関係'!$G$4:$G$494,G$5,'VS×ケイパビリティ関係'!$E$4:$E$494,"主")&gt;0,"●",IF(COUNTIFS('VS×ケイパビリティ関係'!$F$4:$F$494,$B20,'VS×ケイパビリティ関係'!$G$4:$G$494,G$5,'VS×ケイパビリティ関係'!$E$4:$E$494,"支援")&gt;0,"○",""))</f>
        <v/>
      </c>
      <c r="H20" s="98">
        <f>IF(COUNTIFS('VS×ケイパビリティ関係'!$F$4:$F$494,$B20,'VS×ケイパビリティ関係'!$G$4:$G$494,H$5,'VS×ケイパビリティ関係'!$E$4:$E$494,"主")&gt;0,"●",IF(COUNTIFS('VS×ケイパビリティ関係'!$F$4:$F$494,$B20,'VS×ケイパビリティ関係'!$G$4:$G$494,H$5,'VS×ケイパビリティ関係'!$E$4:$E$494,"支援")&gt;0,"○",""))</f>
        <v/>
      </c>
      <c r="I20" s="98">
        <f>IF(COUNTIFS('VS×ケイパビリティ関係'!$F$4:$F$494,$B20,'VS×ケイパビリティ関係'!$G$4:$G$494,I$5,'VS×ケイパビリティ関係'!$E$4:$E$494,"主")&gt;0,"●",IF(COUNTIFS('VS×ケイパビリティ関係'!$F$4:$F$494,$B20,'VS×ケイパビリティ関係'!$G$4:$G$494,I$5,'VS×ケイパビリティ関係'!$E$4:$E$494,"支援")&gt;0,"○",""))</f>
        <v/>
      </c>
      <c r="J20" s="98">
        <f>IF(COUNTIFS('VS×ケイパビリティ関係'!$F$4:$F$494,$B20,'VS×ケイパビリティ関係'!$G$4:$G$494,J$5,'VS×ケイパビリティ関係'!$E$4:$E$494,"主")&gt;0,"●",IF(COUNTIFS('VS×ケイパビリティ関係'!$F$4:$F$494,$B20,'VS×ケイパビリティ関係'!$G$4:$G$494,J$5,'VS×ケイパビリティ関係'!$E$4:$E$494,"支援")&gt;0,"○",""))</f>
        <v/>
      </c>
      <c r="K20" s="98">
        <f>IF(COUNTIFS('VS×ケイパビリティ関係'!$F$4:$F$494,$B20,'VS×ケイパビリティ関係'!$G$4:$G$494,K$5,'VS×ケイパビリティ関係'!$E$4:$E$494,"主")&gt;0,"●",IF(COUNTIFS('VS×ケイパビリティ関係'!$F$4:$F$494,$B20,'VS×ケイパビリティ関係'!$G$4:$G$494,K$5,'VS×ケイパビリティ関係'!$E$4:$E$494,"支援")&gt;0,"○",""))</f>
        <v/>
      </c>
      <c r="L20" s="98">
        <f>IF(COUNTIFS('VS×ケイパビリティ関係'!$F$4:$F$494,$B20,'VS×ケイパビリティ関係'!$G$4:$G$494,L$5,'VS×ケイパビリティ関係'!$E$4:$E$494,"主")&gt;0,"●",IF(COUNTIFS('VS×ケイパビリティ関係'!$F$4:$F$494,$B20,'VS×ケイパビリティ関係'!$G$4:$G$494,L$5,'VS×ケイパビリティ関係'!$E$4:$E$494,"支援")&gt;0,"○",""))</f>
        <v/>
      </c>
      <c r="M20" s="98">
        <f>IF(COUNTIFS('VS×ケイパビリティ関係'!$F$4:$F$494,$B20,'VS×ケイパビリティ関係'!$G$4:$G$494,M$5,'VS×ケイパビリティ関係'!$E$4:$E$494,"主")&gt;0,"●",IF(COUNTIFS('VS×ケイパビリティ関係'!$F$4:$F$494,$B20,'VS×ケイパビリティ関係'!$G$4:$G$494,M$5,'VS×ケイパビリティ関係'!$E$4:$E$494,"支援")&gt;0,"○",""))</f>
        <v/>
      </c>
      <c r="N20" s="98">
        <f>IF(COUNTIFS('VS×ケイパビリティ関係'!$F$4:$F$494,$B20,'VS×ケイパビリティ関係'!$G$4:$G$494,N$5,'VS×ケイパビリティ関係'!$E$4:$E$494,"主")&gt;0,"●",IF(COUNTIFS('VS×ケイパビリティ関係'!$F$4:$F$494,$B20,'VS×ケイパビリティ関係'!$G$4:$G$494,N$5,'VS×ケイパビリティ関係'!$E$4:$E$494,"支援")&gt;0,"○",""))</f>
        <v/>
      </c>
      <c r="O20" s="98">
        <f>IF(COUNTIFS('VS×ケイパビリティ関係'!$F$4:$F$494,$B20,'VS×ケイパビリティ関係'!$G$4:$G$494,O$5,'VS×ケイパビリティ関係'!$E$4:$E$494,"主")&gt;0,"●",IF(COUNTIFS('VS×ケイパビリティ関係'!$F$4:$F$494,$B20,'VS×ケイパビリティ関係'!$G$4:$G$494,O$5,'VS×ケイパビリティ関係'!$E$4:$E$494,"支援")&gt;0,"○",""))</f>
        <v/>
      </c>
      <c r="P20" s="98">
        <f>IF(COUNTIFS('VS×ケイパビリティ関係'!$F$4:$F$494,$B20,'VS×ケイパビリティ関係'!$G$4:$G$494,P$5,'VS×ケイパビリティ関係'!$E$4:$E$494,"主")&gt;0,"●",IF(COUNTIFS('VS×ケイパビリティ関係'!$F$4:$F$494,$B20,'VS×ケイパビリティ関係'!$G$4:$G$494,P$5,'VS×ケイパビリティ関係'!$E$4:$E$494,"支援")&gt;0,"○",""))</f>
        <v/>
      </c>
      <c r="Q20" s="98">
        <f>IF(COUNTIFS('VS×ケイパビリティ関係'!$F$4:$F$494,$B20,'VS×ケイパビリティ関係'!$G$4:$G$494,Q$5,'VS×ケイパビリティ関係'!$E$4:$E$494,"主")&gt;0,"●",IF(COUNTIFS('VS×ケイパビリティ関係'!$F$4:$F$494,$B20,'VS×ケイパビリティ関係'!$G$4:$G$494,Q$5,'VS×ケイパビリティ関係'!$E$4:$E$494,"支援")&gt;0,"○",""))</f>
        <v/>
      </c>
      <c r="R20" s="98">
        <f>IF(COUNTIFS('VS×ケイパビリティ関係'!$F$4:$F$494,$B20,'VS×ケイパビリティ関係'!$G$4:$G$494,R$5,'VS×ケイパビリティ関係'!$E$4:$E$494,"主")&gt;0,"●",IF(COUNTIFS('VS×ケイパビリティ関係'!$F$4:$F$494,$B20,'VS×ケイパビリティ関係'!$G$4:$G$494,R$5,'VS×ケイパビリティ関係'!$E$4:$E$494,"支援")&gt;0,"○",""))</f>
        <v/>
      </c>
      <c r="S20" s="98">
        <f>IF(COUNTIFS('VS×ケイパビリティ関係'!$F$4:$F$494,$B20,'VS×ケイパビリティ関係'!$G$4:$G$494,S$5,'VS×ケイパビリティ関係'!$E$4:$E$494,"主")&gt;0,"●",IF(COUNTIFS('VS×ケイパビリティ関係'!$F$4:$F$494,$B20,'VS×ケイパビリティ関係'!$G$4:$G$494,S$5,'VS×ケイパビリティ関係'!$E$4:$E$494,"支援")&gt;0,"○",""))</f>
        <v/>
      </c>
      <c r="T20" s="98">
        <f>IF(COUNTIFS('VS×ケイパビリティ関係'!$F$4:$F$494,$B20,'VS×ケイパビリティ関係'!$G$4:$G$494,T$5,'VS×ケイパビリティ関係'!$E$4:$E$494,"主")&gt;0,"●",IF(COUNTIFS('VS×ケイパビリティ関係'!$F$4:$F$494,$B20,'VS×ケイパビリティ関係'!$G$4:$G$494,T$5,'VS×ケイパビリティ関係'!$E$4:$E$494,"支援")&gt;0,"○",""))</f>
        <v/>
      </c>
      <c r="U20" s="98">
        <f>IF(COUNTIFS('VS×ケイパビリティ関係'!$F$4:$F$494,$B20,'VS×ケイパビリティ関係'!$G$4:$G$494,U$5,'VS×ケイパビリティ関係'!$E$4:$E$494,"主")&gt;0,"●",IF(COUNTIFS('VS×ケイパビリティ関係'!$F$4:$F$494,$B20,'VS×ケイパビリティ関係'!$G$4:$G$494,U$5,'VS×ケイパビリティ関係'!$E$4:$E$494,"支援")&gt;0,"○",""))</f>
        <v/>
      </c>
      <c r="V20" s="98">
        <f>IF(COUNTIFS('VS×ケイパビリティ関係'!$F$4:$F$494,$B20,'VS×ケイパビリティ関係'!$G$4:$G$494,V$5,'VS×ケイパビリティ関係'!$E$4:$E$494,"主")&gt;0,"●",IF(COUNTIFS('VS×ケイパビリティ関係'!$F$4:$F$494,$B20,'VS×ケイパビリティ関係'!$G$4:$G$494,V$5,'VS×ケイパビリティ関係'!$E$4:$E$494,"支援")&gt;0,"○",""))</f>
        <v/>
      </c>
      <c r="W20" s="98">
        <f>IF(COUNTIFS('VS×ケイパビリティ関係'!$F$4:$F$494,$B20,'VS×ケイパビリティ関係'!$G$4:$G$494,W$5,'VS×ケイパビリティ関係'!$E$4:$E$494,"主")&gt;0,"●",IF(COUNTIFS('VS×ケイパビリティ関係'!$F$4:$F$494,$B20,'VS×ケイパビリティ関係'!$G$4:$G$494,W$5,'VS×ケイパビリティ関係'!$E$4:$E$494,"支援")&gt;0,"○",""))</f>
        <v/>
      </c>
      <c r="X20" s="98">
        <f>IF(COUNTIFS('VS×ケイパビリティ関係'!$F$4:$F$494,$B20,'VS×ケイパビリティ関係'!$G$4:$G$494,X$5,'VS×ケイパビリティ関係'!$E$4:$E$494,"主")&gt;0,"●",IF(COUNTIFS('VS×ケイパビリティ関係'!$F$4:$F$494,$B20,'VS×ケイパビリティ関係'!$G$4:$G$494,X$5,'VS×ケイパビリティ関係'!$E$4:$E$494,"支援")&gt;0,"○",""))</f>
        <v/>
      </c>
      <c r="Y20" s="98">
        <f>IF(COUNTIFS('VS×ケイパビリティ関係'!$F$4:$F$494,$B20,'VS×ケイパビリティ関係'!$G$4:$G$494,Y$5,'VS×ケイパビリティ関係'!$E$4:$E$494,"主")&gt;0,"●",IF(COUNTIFS('VS×ケイパビリティ関係'!$F$4:$F$494,$B20,'VS×ケイパビリティ関係'!$G$4:$G$494,Y$5,'VS×ケイパビリティ関係'!$E$4:$E$494,"支援")&gt;0,"○",""))</f>
        <v/>
      </c>
      <c r="Z20" s="98">
        <f>IF(COUNTIFS('VS×ケイパビリティ関係'!$F$4:$F$494,$B20,'VS×ケイパビリティ関係'!$G$4:$G$494,Z$5,'VS×ケイパビリティ関係'!$E$4:$E$494,"主")&gt;0,"●",IF(COUNTIFS('VS×ケイパビリティ関係'!$F$4:$F$494,$B20,'VS×ケイパビリティ関係'!$G$4:$G$494,Z$5,'VS×ケイパビリティ関係'!$E$4:$E$494,"支援")&gt;0,"○",""))</f>
        <v/>
      </c>
      <c r="AA20" s="98">
        <f>IF(COUNTIFS('VS×ケイパビリティ関係'!$F$4:$F$494,$B20,'VS×ケイパビリティ関係'!$G$4:$G$494,AA$5,'VS×ケイパビリティ関係'!$E$4:$E$494,"主")&gt;0,"●",IF(COUNTIFS('VS×ケイパビリティ関係'!$F$4:$F$494,$B20,'VS×ケイパビリティ関係'!$G$4:$G$494,AA$5,'VS×ケイパビリティ関係'!$E$4:$E$494,"支援")&gt;0,"○",""))</f>
        <v/>
      </c>
      <c r="AB20" s="98">
        <f>IF(COUNTIFS('VS×ケイパビリティ関係'!$F$4:$F$494,$B20,'VS×ケイパビリティ関係'!$G$4:$G$494,AB$5,'VS×ケイパビリティ関係'!$E$4:$E$494,"主")&gt;0,"●",IF(COUNTIFS('VS×ケイパビリティ関係'!$F$4:$F$494,$B20,'VS×ケイパビリティ関係'!$G$4:$G$494,AB$5,'VS×ケイパビリティ関係'!$E$4:$E$494,"支援")&gt;0,"○",""))</f>
        <v/>
      </c>
      <c r="AC20" s="98">
        <f>IF(COUNTIFS('VS×ケイパビリティ関係'!$F$4:$F$494,$B20,'VS×ケイパビリティ関係'!$G$4:$G$494,AC$5,'VS×ケイパビリティ関係'!$E$4:$E$494,"主")&gt;0,"●",IF(COUNTIFS('VS×ケイパビリティ関係'!$F$4:$F$494,$B20,'VS×ケイパビリティ関係'!$G$4:$G$494,AC$5,'VS×ケイパビリティ関係'!$E$4:$E$494,"支援")&gt;0,"○",""))</f>
        <v/>
      </c>
      <c r="AD20" s="98">
        <f>IF(COUNTIFS('VS×ケイパビリティ関係'!$F$4:$F$494,$B20,'VS×ケイパビリティ関係'!$G$4:$G$494,AD$5,'VS×ケイパビリティ関係'!$E$4:$E$494,"主")&gt;0,"●",IF(COUNTIFS('VS×ケイパビリティ関係'!$F$4:$F$494,$B20,'VS×ケイパビリティ関係'!$G$4:$G$494,AD$5,'VS×ケイパビリティ関係'!$E$4:$E$494,"支援")&gt;0,"○",""))</f>
        <v/>
      </c>
      <c r="AE20" s="98">
        <f>IF(COUNTIFS('VS×ケイパビリティ関係'!$F$4:$F$494,$B20,'VS×ケイパビリティ関係'!$G$4:$G$494,AE$5,'VS×ケイパビリティ関係'!$E$4:$E$494,"主")&gt;0,"●",IF(COUNTIFS('VS×ケイパビリティ関係'!$F$4:$F$494,$B20,'VS×ケイパビリティ関係'!$G$4:$G$494,AE$5,'VS×ケイパビリティ関係'!$E$4:$E$494,"支援")&gt;0,"○",""))</f>
        <v/>
      </c>
      <c r="AF20" s="98">
        <f>IF(COUNTIFS('VS×ケイパビリティ関係'!$F$4:$F$494,$B20,'VS×ケイパビリティ関係'!$G$4:$G$494,AF$5,'VS×ケイパビリティ関係'!$E$4:$E$494,"主")&gt;0,"●",IF(COUNTIFS('VS×ケイパビリティ関係'!$F$4:$F$494,$B20,'VS×ケイパビリティ関係'!$G$4:$G$494,AF$5,'VS×ケイパビリティ関係'!$E$4:$E$494,"支援")&gt;0,"○",""))</f>
        <v/>
      </c>
      <c r="AG20" s="98">
        <f>IF(COUNTIFS('VS×ケイパビリティ関係'!$F$4:$F$494,$B20,'VS×ケイパビリティ関係'!$G$4:$G$494,AG$5,'VS×ケイパビリティ関係'!$E$4:$E$494,"主")&gt;0,"●",IF(COUNTIFS('VS×ケイパビリティ関係'!$F$4:$F$494,$B20,'VS×ケイパビリティ関係'!$G$4:$G$494,AG$5,'VS×ケイパビリティ関係'!$E$4:$E$494,"支援")&gt;0,"○",""))</f>
        <v/>
      </c>
      <c r="AH20" s="98">
        <f>IF(COUNTIFS('VS×ケイパビリティ関係'!$F$4:$F$494,$B20,'VS×ケイパビリティ関係'!$G$4:$G$494,AH$5,'VS×ケイパビリティ関係'!$E$4:$E$494,"主")&gt;0,"●",IF(COUNTIFS('VS×ケイパビリティ関係'!$F$4:$F$494,$B20,'VS×ケイパビリティ関係'!$G$4:$G$494,AH$5,'VS×ケイパビリティ関係'!$E$4:$E$494,"支援")&gt;0,"○",""))</f>
        <v/>
      </c>
      <c r="AI20" s="98">
        <f>IF(COUNTIFS('VS×ケイパビリティ関係'!$F$4:$F$494,$B20,'VS×ケイパビリティ関係'!$G$4:$G$494,AI$5,'VS×ケイパビリティ関係'!$E$4:$E$494,"主")&gt;0,"●",IF(COUNTIFS('VS×ケイパビリティ関係'!$F$4:$F$494,$B20,'VS×ケイパビリティ関係'!$G$4:$G$494,AI$5,'VS×ケイパビリティ関係'!$E$4:$E$494,"支援")&gt;0,"○",""))</f>
        <v/>
      </c>
      <c r="AJ20" s="98">
        <f>IF(COUNTIFS('VS×ケイパビリティ関係'!$F$4:$F$494,$B20,'VS×ケイパビリティ関係'!$G$4:$G$494,AJ$5,'VS×ケイパビリティ関係'!$E$4:$E$494,"主")&gt;0,"●",IF(COUNTIFS('VS×ケイパビリティ関係'!$F$4:$F$494,$B20,'VS×ケイパビリティ関係'!$G$4:$G$494,AJ$5,'VS×ケイパビリティ関係'!$E$4:$E$494,"支援")&gt;0,"○",""))</f>
        <v/>
      </c>
      <c r="AK20" s="98">
        <f>IF(COUNTIFS('VS×ケイパビリティ関係'!$F$4:$F$494,$B20,'VS×ケイパビリティ関係'!$G$4:$G$494,AK$5,'VS×ケイパビリティ関係'!$E$4:$E$494,"主")&gt;0,"●",IF(COUNTIFS('VS×ケイパビリティ関係'!$F$4:$F$494,$B20,'VS×ケイパビリティ関係'!$G$4:$G$494,AK$5,'VS×ケイパビリティ関係'!$E$4:$E$494,"支援")&gt;0,"○",""))</f>
        <v/>
      </c>
      <c r="AL20" s="98">
        <f>IF(COUNTIFS('VS×ケイパビリティ関係'!$F$4:$F$494,$B20,'VS×ケイパビリティ関係'!$G$4:$G$494,AL$5,'VS×ケイパビリティ関係'!$E$4:$E$494,"主")&gt;0,"●",IF(COUNTIFS('VS×ケイパビリティ関係'!$F$4:$F$494,$B20,'VS×ケイパビリティ関係'!$G$4:$G$494,AL$5,'VS×ケイパビリティ関係'!$E$4:$E$494,"支援")&gt;0,"○",""))</f>
        <v/>
      </c>
      <c r="AM20" s="98">
        <f>IF(COUNTIFS('VS×ケイパビリティ関係'!$F$4:$F$494,$B20,'VS×ケイパビリティ関係'!$G$4:$G$494,AM$5,'VS×ケイパビリティ関係'!$E$4:$E$494,"主")&gt;0,"●",IF(COUNTIFS('VS×ケイパビリティ関係'!$F$4:$F$494,$B20,'VS×ケイパビリティ関係'!$G$4:$G$494,AM$5,'VS×ケイパビリティ関係'!$E$4:$E$494,"支援")&gt;0,"○",""))</f>
        <v/>
      </c>
      <c r="AN20" s="98">
        <f>IF(COUNTIFS('VS×ケイパビリティ関係'!$F$4:$F$494,$B20,'VS×ケイパビリティ関係'!$G$4:$G$494,AN$5,'VS×ケイパビリティ関係'!$E$4:$E$494,"主")&gt;0,"●",IF(COUNTIFS('VS×ケイパビリティ関係'!$F$4:$F$494,$B20,'VS×ケイパビリティ関係'!$G$4:$G$494,AN$5,'VS×ケイパビリティ関係'!$E$4:$E$494,"支援")&gt;0,"○",""))</f>
        <v/>
      </c>
      <c r="AO20" s="98">
        <f>IF(COUNTIFS('VS×ケイパビリティ関係'!$F$4:$F$494,$B20,'VS×ケイパビリティ関係'!$G$4:$G$494,AO$5,'VS×ケイパビリティ関係'!$E$4:$E$494,"主")&gt;0,"●",IF(COUNTIFS('VS×ケイパビリティ関係'!$F$4:$F$494,$B20,'VS×ケイパビリティ関係'!$G$4:$G$494,AO$5,'VS×ケイパビリティ関係'!$E$4:$E$494,"支援")&gt;0,"○",""))</f>
        <v/>
      </c>
      <c r="AP20" s="98">
        <f>IF(COUNTIFS('VS×ケイパビリティ関係'!$F$4:$F$494,$B20,'VS×ケイパビリティ関係'!$G$4:$G$494,AP$5,'VS×ケイパビリティ関係'!$E$4:$E$494,"主")&gt;0,"●",IF(COUNTIFS('VS×ケイパビリティ関係'!$F$4:$F$494,$B20,'VS×ケイパビリティ関係'!$G$4:$G$494,AP$5,'VS×ケイパビリティ関係'!$E$4:$E$494,"支援")&gt;0,"○",""))</f>
        <v/>
      </c>
      <c r="AQ20" s="98">
        <f>IF(COUNTIFS('VS×ケイパビリティ関係'!$F$4:$F$494,$B20,'VS×ケイパビリティ関係'!$G$4:$G$494,AQ$5,'VS×ケイパビリティ関係'!$E$4:$E$494,"主")&gt;0,"●",IF(COUNTIFS('VS×ケイパビリティ関係'!$F$4:$F$494,$B20,'VS×ケイパビリティ関係'!$G$4:$G$494,AQ$5,'VS×ケイパビリティ関係'!$E$4:$E$494,"支援")&gt;0,"○",""))</f>
        <v/>
      </c>
      <c r="AR20" s="98">
        <f>IF(COUNTIFS('VS×ケイパビリティ関係'!$F$4:$F$494,$B20,'VS×ケイパビリティ関係'!$G$4:$G$494,AR$5,'VS×ケイパビリティ関係'!$E$4:$E$494,"主")&gt;0,"●",IF(COUNTIFS('VS×ケイパビリティ関係'!$F$4:$F$494,$B20,'VS×ケイパビリティ関係'!$G$4:$G$494,AR$5,'VS×ケイパビリティ関係'!$E$4:$E$494,"支援")&gt;0,"○",""))</f>
        <v/>
      </c>
      <c r="AS20" s="98">
        <f>IF(COUNTIFS('VS×ケイパビリティ関係'!$F$4:$F$494,$B20,'VS×ケイパビリティ関係'!$G$4:$G$494,AS$5,'VS×ケイパビリティ関係'!$E$4:$E$494,"主")&gt;0,"●",IF(COUNTIFS('VS×ケイパビリティ関係'!$F$4:$F$494,$B20,'VS×ケイパビリティ関係'!$G$4:$G$494,AS$5,'VS×ケイパビリティ関係'!$E$4:$E$494,"支援")&gt;0,"○",""))</f>
        <v/>
      </c>
      <c r="AT20" s="98">
        <f>IF(COUNTIFS('VS×ケイパビリティ関係'!$F$4:$F$494,$B20,'VS×ケイパビリティ関係'!$G$4:$G$494,AT$5,'VS×ケイパビリティ関係'!$E$4:$E$494,"主")&gt;0,"●",IF(COUNTIFS('VS×ケイパビリティ関係'!$F$4:$F$494,$B20,'VS×ケイパビリティ関係'!$G$4:$G$494,AT$5,'VS×ケイパビリティ関係'!$E$4:$E$494,"支援")&gt;0,"○",""))</f>
        <v/>
      </c>
      <c r="AU20" s="98">
        <f>IF(COUNTIFS('VS×ケイパビリティ関係'!$F$4:$F$494,$B20,'VS×ケイパビリティ関係'!$G$4:$G$494,AU$5,'VS×ケイパビリティ関係'!$E$4:$E$494,"主")&gt;0,"●",IF(COUNTIFS('VS×ケイパビリティ関係'!$F$4:$F$494,$B20,'VS×ケイパビリティ関係'!$G$4:$G$494,AU$5,'VS×ケイパビリティ関係'!$E$4:$E$494,"支援")&gt;0,"○",""))</f>
        <v/>
      </c>
      <c r="AV20" s="98">
        <f>IF(COUNTIFS('VS×ケイパビリティ関係'!$F$4:$F$494,$B20,'VS×ケイパビリティ関係'!$G$4:$G$494,AV$5,'VS×ケイパビリティ関係'!$E$4:$E$494,"主")&gt;0,"●",IF(COUNTIFS('VS×ケイパビリティ関係'!$F$4:$F$494,$B20,'VS×ケイパビリティ関係'!$G$4:$G$494,AV$5,'VS×ケイパビリティ関係'!$E$4:$E$494,"支援")&gt;0,"○",""))</f>
        <v/>
      </c>
      <c r="AW20" s="98">
        <f>IF(COUNTIFS('VS×ケイパビリティ関係'!$F$4:$F$494,$B20,'VS×ケイパビリティ関係'!$G$4:$G$494,AW$5,'VS×ケイパビリティ関係'!$E$4:$E$494,"主")&gt;0,"●",IF(COUNTIFS('VS×ケイパビリティ関係'!$F$4:$F$494,$B20,'VS×ケイパビリティ関係'!$G$4:$G$494,AW$5,'VS×ケイパビリティ関係'!$E$4:$E$494,"支援")&gt;0,"○",""))</f>
        <v/>
      </c>
      <c r="AX20" s="98">
        <f>IF(COUNTIFS('VS×ケイパビリティ関係'!$F$4:$F$494,$B20,'VS×ケイパビリティ関係'!$G$4:$G$494,AX$5,'VS×ケイパビリティ関係'!$E$4:$E$494,"主")&gt;0,"●",IF(COUNTIFS('VS×ケイパビリティ関係'!$F$4:$F$494,$B20,'VS×ケイパビリティ関係'!$G$4:$G$494,AX$5,'VS×ケイパビリティ関係'!$E$4:$E$494,"支援")&gt;0,"○",""))</f>
        <v/>
      </c>
      <c r="AY20" s="98">
        <f>IF(COUNTIFS('VS×ケイパビリティ関係'!$F$4:$F$494,$B20,'VS×ケイパビリティ関係'!$G$4:$G$494,AY$5,'VS×ケイパビリティ関係'!$E$4:$E$494,"主")&gt;0,"●",IF(COUNTIFS('VS×ケイパビリティ関係'!$F$4:$F$494,$B20,'VS×ケイパビリティ関係'!$G$4:$G$494,AY$5,'VS×ケイパビリティ関係'!$E$4:$E$494,"支援")&gt;0,"○",""))</f>
        <v/>
      </c>
      <c r="AZ20" s="98">
        <f>IF(COUNTIFS('VS×ケイパビリティ関係'!$F$4:$F$494,$B20,'VS×ケイパビリティ関係'!$G$4:$G$494,AZ$5,'VS×ケイパビリティ関係'!$E$4:$E$494,"主")&gt;0,"●",IF(COUNTIFS('VS×ケイパビリティ関係'!$F$4:$F$494,$B20,'VS×ケイパビリティ関係'!$G$4:$G$494,AZ$5,'VS×ケイパビリティ関係'!$E$4:$E$494,"支援")&gt;0,"○",""))</f>
        <v/>
      </c>
      <c r="BA20" s="98">
        <f>IF(COUNTIFS('VS×ケイパビリティ関係'!$F$4:$F$494,$B20,'VS×ケイパビリティ関係'!$G$4:$G$494,BA$5,'VS×ケイパビリティ関係'!$E$4:$E$494,"主")&gt;0,"●",IF(COUNTIFS('VS×ケイパビリティ関係'!$F$4:$F$494,$B20,'VS×ケイパビリティ関係'!$G$4:$G$494,BA$5,'VS×ケイパビリティ関係'!$E$4:$E$494,"支援")&gt;0,"○",""))</f>
        <v/>
      </c>
      <c r="BB20" s="98">
        <f>IF(COUNTIFS('VS×ケイパビリティ関係'!$F$4:$F$494,$B20,'VS×ケイパビリティ関係'!$G$4:$G$494,BB$5,'VS×ケイパビリティ関係'!$E$4:$E$494,"主")&gt;0,"●",IF(COUNTIFS('VS×ケイパビリティ関係'!$F$4:$F$494,$B20,'VS×ケイパビリティ関係'!$G$4:$G$494,BB$5,'VS×ケイパビリティ関係'!$E$4:$E$494,"支援")&gt;0,"○",""))</f>
        <v/>
      </c>
      <c r="BC20" s="98">
        <f>IF(COUNTIFS('VS×ケイパビリティ関係'!$F$4:$F$494,$B20,'VS×ケイパビリティ関係'!$G$4:$G$494,BC$5,'VS×ケイパビリティ関係'!$E$4:$E$494,"主")&gt;0,"●",IF(COUNTIFS('VS×ケイパビリティ関係'!$F$4:$F$494,$B20,'VS×ケイパビリティ関係'!$G$4:$G$494,BC$5,'VS×ケイパビリティ関係'!$E$4:$E$494,"支援")&gt;0,"○",""))</f>
        <v/>
      </c>
      <c r="BD20" s="98">
        <f>IF(COUNTIFS('VS×ケイパビリティ関係'!$F$4:$F$494,$B20,'VS×ケイパビリティ関係'!$G$4:$G$494,BD$5,'VS×ケイパビリティ関係'!$E$4:$E$494,"主")&gt;0,"●",IF(COUNTIFS('VS×ケイパビリティ関係'!$F$4:$F$494,$B20,'VS×ケイパビリティ関係'!$G$4:$G$494,BD$5,'VS×ケイパビリティ関係'!$E$4:$E$494,"支援")&gt;0,"○",""))</f>
        <v/>
      </c>
      <c r="BE20" s="98">
        <f>COUNTIF(D20:BD20,"●")</f>
        <v/>
      </c>
      <c r="BF20" s="98">
        <f>COUNTIF(D20:BD20,"○")</f>
        <v/>
      </c>
    </row>
    <row r="21" ht="15" customHeight="1" s="80">
      <c r="A21" s="116" t="n"/>
      <c r="B21" s="98" t="inlineStr">
        <is>
          <t>03-07</t>
        </is>
      </c>
      <c r="C21" s="100" t="inlineStr">
        <is>
          <t>プロセスバリデーション（PPQ）</t>
        </is>
      </c>
      <c r="D21" s="98">
        <f>IF(COUNTIFS('VS×ケイパビリティ関係'!$F$4:$F$494,$B21,'VS×ケイパビリティ関係'!$G$4:$G$494,D$5,'VS×ケイパビリティ関係'!$E$4:$E$494,"主")&gt;0,"●",IF(COUNTIFS('VS×ケイパビリティ関係'!$F$4:$F$494,$B21,'VS×ケイパビリティ関係'!$G$4:$G$494,D$5,'VS×ケイパビリティ関係'!$E$4:$E$494,"支援")&gt;0,"○",""))</f>
        <v/>
      </c>
      <c r="E21" s="98">
        <f>IF(COUNTIFS('VS×ケイパビリティ関係'!$F$4:$F$494,$B21,'VS×ケイパビリティ関係'!$G$4:$G$494,E$5,'VS×ケイパビリティ関係'!$E$4:$E$494,"主")&gt;0,"●",IF(COUNTIFS('VS×ケイパビリティ関係'!$F$4:$F$494,$B21,'VS×ケイパビリティ関係'!$G$4:$G$494,E$5,'VS×ケイパビリティ関係'!$E$4:$E$494,"支援")&gt;0,"○",""))</f>
        <v/>
      </c>
      <c r="F21" s="98">
        <f>IF(COUNTIFS('VS×ケイパビリティ関係'!$F$4:$F$494,$B21,'VS×ケイパビリティ関係'!$G$4:$G$494,F$5,'VS×ケイパビリティ関係'!$E$4:$E$494,"主")&gt;0,"●",IF(COUNTIFS('VS×ケイパビリティ関係'!$F$4:$F$494,$B21,'VS×ケイパビリティ関係'!$G$4:$G$494,F$5,'VS×ケイパビリティ関係'!$E$4:$E$494,"支援")&gt;0,"○",""))</f>
        <v/>
      </c>
      <c r="G21" s="98">
        <f>IF(COUNTIFS('VS×ケイパビリティ関係'!$F$4:$F$494,$B21,'VS×ケイパビリティ関係'!$G$4:$G$494,G$5,'VS×ケイパビリティ関係'!$E$4:$E$494,"主")&gt;0,"●",IF(COUNTIFS('VS×ケイパビリティ関係'!$F$4:$F$494,$B21,'VS×ケイパビリティ関係'!$G$4:$G$494,G$5,'VS×ケイパビリティ関係'!$E$4:$E$494,"支援")&gt;0,"○",""))</f>
        <v/>
      </c>
      <c r="H21" s="98">
        <f>IF(COUNTIFS('VS×ケイパビリティ関係'!$F$4:$F$494,$B21,'VS×ケイパビリティ関係'!$G$4:$G$494,H$5,'VS×ケイパビリティ関係'!$E$4:$E$494,"主")&gt;0,"●",IF(COUNTIFS('VS×ケイパビリティ関係'!$F$4:$F$494,$B21,'VS×ケイパビリティ関係'!$G$4:$G$494,H$5,'VS×ケイパビリティ関係'!$E$4:$E$494,"支援")&gt;0,"○",""))</f>
        <v/>
      </c>
      <c r="I21" s="98">
        <f>IF(COUNTIFS('VS×ケイパビリティ関係'!$F$4:$F$494,$B21,'VS×ケイパビリティ関係'!$G$4:$G$494,I$5,'VS×ケイパビリティ関係'!$E$4:$E$494,"主")&gt;0,"●",IF(COUNTIFS('VS×ケイパビリティ関係'!$F$4:$F$494,$B21,'VS×ケイパビリティ関係'!$G$4:$G$494,I$5,'VS×ケイパビリティ関係'!$E$4:$E$494,"支援")&gt;0,"○",""))</f>
        <v/>
      </c>
      <c r="J21" s="98">
        <f>IF(COUNTIFS('VS×ケイパビリティ関係'!$F$4:$F$494,$B21,'VS×ケイパビリティ関係'!$G$4:$G$494,J$5,'VS×ケイパビリティ関係'!$E$4:$E$494,"主")&gt;0,"●",IF(COUNTIFS('VS×ケイパビリティ関係'!$F$4:$F$494,$B21,'VS×ケイパビリティ関係'!$G$4:$G$494,J$5,'VS×ケイパビリティ関係'!$E$4:$E$494,"支援")&gt;0,"○",""))</f>
        <v/>
      </c>
      <c r="K21" s="98">
        <f>IF(COUNTIFS('VS×ケイパビリティ関係'!$F$4:$F$494,$B21,'VS×ケイパビリティ関係'!$G$4:$G$494,K$5,'VS×ケイパビリティ関係'!$E$4:$E$494,"主")&gt;0,"●",IF(COUNTIFS('VS×ケイパビリティ関係'!$F$4:$F$494,$B21,'VS×ケイパビリティ関係'!$G$4:$G$494,K$5,'VS×ケイパビリティ関係'!$E$4:$E$494,"支援")&gt;0,"○",""))</f>
        <v/>
      </c>
      <c r="L21" s="98">
        <f>IF(COUNTIFS('VS×ケイパビリティ関係'!$F$4:$F$494,$B21,'VS×ケイパビリティ関係'!$G$4:$G$494,L$5,'VS×ケイパビリティ関係'!$E$4:$E$494,"主")&gt;0,"●",IF(COUNTIFS('VS×ケイパビリティ関係'!$F$4:$F$494,$B21,'VS×ケイパビリティ関係'!$G$4:$G$494,L$5,'VS×ケイパビリティ関係'!$E$4:$E$494,"支援")&gt;0,"○",""))</f>
        <v/>
      </c>
      <c r="M21" s="98">
        <f>IF(COUNTIFS('VS×ケイパビリティ関係'!$F$4:$F$494,$B21,'VS×ケイパビリティ関係'!$G$4:$G$494,M$5,'VS×ケイパビリティ関係'!$E$4:$E$494,"主")&gt;0,"●",IF(COUNTIFS('VS×ケイパビリティ関係'!$F$4:$F$494,$B21,'VS×ケイパビリティ関係'!$G$4:$G$494,M$5,'VS×ケイパビリティ関係'!$E$4:$E$494,"支援")&gt;0,"○",""))</f>
        <v/>
      </c>
      <c r="N21" s="98">
        <f>IF(COUNTIFS('VS×ケイパビリティ関係'!$F$4:$F$494,$B21,'VS×ケイパビリティ関係'!$G$4:$G$494,N$5,'VS×ケイパビリティ関係'!$E$4:$E$494,"主")&gt;0,"●",IF(COUNTIFS('VS×ケイパビリティ関係'!$F$4:$F$494,$B21,'VS×ケイパビリティ関係'!$G$4:$G$494,N$5,'VS×ケイパビリティ関係'!$E$4:$E$494,"支援")&gt;0,"○",""))</f>
        <v/>
      </c>
      <c r="O21" s="98">
        <f>IF(COUNTIFS('VS×ケイパビリティ関係'!$F$4:$F$494,$B21,'VS×ケイパビリティ関係'!$G$4:$G$494,O$5,'VS×ケイパビリティ関係'!$E$4:$E$494,"主")&gt;0,"●",IF(COUNTIFS('VS×ケイパビリティ関係'!$F$4:$F$494,$B21,'VS×ケイパビリティ関係'!$G$4:$G$494,O$5,'VS×ケイパビリティ関係'!$E$4:$E$494,"支援")&gt;0,"○",""))</f>
        <v/>
      </c>
      <c r="P21" s="98">
        <f>IF(COUNTIFS('VS×ケイパビリティ関係'!$F$4:$F$494,$B21,'VS×ケイパビリティ関係'!$G$4:$G$494,P$5,'VS×ケイパビリティ関係'!$E$4:$E$494,"主")&gt;0,"●",IF(COUNTIFS('VS×ケイパビリティ関係'!$F$4:$F$494,$B21,'VS×ケイパビリティ関係'!$G$4:$G$494,P$5,'VS×ケイパビリティ関係'!$E$4:$E$494,"支援")&gt;0,"○",""))</f>
        <v/>
      </c>
      <c r="Q21" s="98">
        <f>IF(COUNTIFS('VS×ケイパビリティ関係'!$F$4:$F$494,$B21,'VS×ケイパビリティ関係'!$G$4:$G$494,Q$5,'VS×ケイパビリティ関係'!$E$4:$E$494,"主")&gt;0,"●",IF(COUNTIFS('VS×ケイパビリティ関係'!$F$4:$F$494,$B21,'VS×ケイパビリティ関係'!$G$4:$G$494,Q$5,'VS×ケイパビリティ関係'!$E$4:$E$494,"支援")&gt;0,"○",""))</f>
        <v/>
      </c>
      <c r="R21" s="98">
        <f>IF(COUNTIFS('VS×ケイパビリティ関係'!$F$4:$F$494,$B21,'VS×ケイパビリティ関係'!$G$4:$G$494,R$5,'VS×ケイパビリティ関係'!$E$4:$E$494,"主")&gt;0,"●",IF(COUNTIFS('VS×ケイパビリティ関係'!$F$4:$F$494,$B21,'VS×ケイパビリティ関係'!$G$4:$G$494,R$5,'VS×ケイパビリティ関係'!$E$4:$E$494,"支援")&gt;0,"○",""))</f>
        <v/>
      </c>
      <c r="S21" s="98">
        <f>IF(COUNTIFS('VS×ケイパビリティ関係'!$F$4:$F$494,$B21,'VS×ケイパビリティ関係'!$G$4:$G$494,S$5,'VS×ケイパビリティ関係'!$E$4:$E$494,"主")&gt;0,"●",IF(COUNTIFS('VS×ケイパビリティ関係'!$F$4:$F$494,$B21,'VS×ケイパビリティ関係'!$G$4:$G$494,S$5,'VS×ケイパビリティ関係'!$E$4:$E$494,"支援")&gt;0,"○",""))</f>
        <v/>
      </c>
      <c r="T21" s="98">
        <f>IF(COUNTIFS('VS×ケイパビリティ関係'!$F$4:$F$494,$B21,'VS×ケイパビリティ関係'!$G$4:$G$494,T$5,'VS×ケイパビリティ関係'!$E$4:$E$494,"主")&gt;0,"●",IF(COUNTIFS('VS×ケイパビリティ関係'!$F$4:$F$494,$B21,'VS×ケイパビリティ関係'!$G$4:$G$494,T$5,'VS×ケイパビリティ関係'!$E$4:$E$494,"支援")&gt;0,"○",""))</f>
        <v/>
      </c>
      <c r="U21" s="98">
        <f>IF(COUNTIFS('VS×ケイパビリティ関係'!$F$4:$F$494,$B21,'VS×ケイパビリティ関係'!$G$4:$G$494,U$5,'VS×ケイパビリティ関係'!$E$4:$E$494,"主")&gt;0,"●",IF(COUNTIFS('VS×ケイパビリティ関係'!$F$4:$F$494,$B21,'VS×ケイパビリティ関係'!$G$4:$G$494,U$5,'VS×ケイパビリティ関係'!$E$4:$E$494,"支援")&gt;0,"○",""))</f>
        <v/>
      </c>
      <c r="V21" s="98">
        <f>IF(COUNTIFS('VS×ケイパビリティ関係'!$F$4:$F$494,$B21,'VS×ケイパビリティ関係'!$G$4:$G$494,V$5,'VS×ケイパビリティ関係'!$E$4:$E$494,"主")&gt;0,"●",IF(COUNTIFS('VS×ケイパビリティ関係'!$F$4:$F$494,$B21,'VS×ケイパビリティ関係'!$G$4:$G$494,V$5,'VS×ケイパビリティ関係'!$E$4:$E$494,"支援")&gt;0,"○",""))</f>
        <v/>
      </c>
      <c r="W21" s="98">
        <f>IF(COUNTIFS('VS×ケイパビリティ関係'!$F$4:$F$494,$B21,'VS×ケイパビリティ関係'!$G$4:$G$494,W$5,'VS×ケイパビリティ関係'!$E$4:$E$494,"主")&gt;0,"●",IF(COUNTIFS('VS×ケイパビリティ関係'!$F$4:$F$494,$B21,'VS×ケイパビリティ関係'!$G$4:$G$494,W$5,'VS×ケイパビリティ関係'!$E$4:$E$494,"支援")&gt;0,"○",""))</f>
        <v/>
      </c>
      <c r="X21" s="98">
        <f>IF(COUNTIFS('VS×ケイパビリティ関係'!$F$4:$F$494,$B21,'VS×ケイパビリティ関係'!$G$4:$G$494,X$5,'VS×ケイパビリティ関係'!$E$4:$E$494,"主")&gt;0,"●",IF(COUNTIFS('VS×ケイパビリティ関係'!$F$4:$F$494,$B21,'VS×ケイパビリティ関係'!$G$4:$G$494,X$5,'VS×ケイパビリティ関係'!$E$4:$E$494,"支援")&gt;0,"○",""))</f>
        <v/>
      </c>
      <c r="Y21" s="98">
        <f>IF(COUNTIFS('VS×ケイパビリティ関係'!$F$4:$F$494,$B21,'VS×ケイパビリティ関係'!$G$4:$G$494,Y$5,'VS×ケイパビリティ関係'!$E$4:$E$494,"主")&gt;0,"●",IF(COUNTIFS('VS×ケイパビリティ関係'!$F$4:$F$494,$B21,'VS×ケイパビリティ関係'!$G$4:$G$494,Y$5,'VS×ケイパビリティ関係'!$E$4:$E$494,"支援")&gt;0,"○",""))</f>
        <v/>
      </c>
      <c r="Z21" s="98">
        <f>IF(COUNTIFS('VS×ケイパビリティ関係'!$F$4:$F$494,$B21,'VS×ケイパビリティ関係'!$G$4:$G$494,Z$5,'VS×ケイパビリティ関係'!$E$4:$E$494,"主")&gt;0,"●",IF(COUNTIFS('VS×ケイパビリティ関係'!$F$4:$F$494,$B21,'VS×ケイパビリティ関係'!$G$4:$G$494,Z$5,'VS×ケイパビリティ関係'!$E$4:$E$494,"支援")&gt;0,"○",""))</f>
        <v/>
      </c>
      <c r="AA21" s="98">
        <f>IF(COUNTIFS('VS×ケイパビリティ関係'!$F$4:$F$494,$B21,'VS×ケイパビリティ関係'!$G$4:$G$494,AA$5,'VS×ケイパビリティ関係'!$E$4:$E$494,"主")&gt;0,"●",IF(COUNTIFS('VS×ケイパビリティ関係'!$F$4:$F$494,$B21,'VS×ケイパビリティ関係'!$G$4:$G$494,AA$5,'VS×ケイパビリティ関係'!$E$4:$E$494,"支援")&gt;0,"○",""))</f>
        <v/>
      </c>
      <c r="AB21" s="98">
        <f>IF(COUNTIFS('VS×ケイパビリティ関係'!$F$4:$F$494,$B21,'VS×ケイパビリティ関係'!$G$4:$G$494,AB$5,'VS×ケイパビリティ関係'!$E$4:$E$494,"主")&gt;0,"●",IF(COUNTIFS('VS×ケイパビリティ関係'!$F$4:$F$494,$B21,'VS×ケイパビリティ関係'!$G$4:$G$494,AB$5,'VS×ケイパビリティ関係'!$E$4:$E$494,"支援")&gt;0,"○",""))</f>
        <v/>
      </c>
      <c r="AC21" s="98">
        <f>IF(COUNTIFS('VS×ケイパビリティ関係'!$F$4:$F$494,$B21,'VS×ケイパビリティ関係'!$G$4:$G$494,AC$5,'VS×ケイパビリティ関係'!$E$4:$E$494,"主")&gt;0,"●",IF(COUNTIFS('VS×ケイパビリティ関係'!$F$4:$F$494,$B21,'VS×ケイパビリティ関係'!$G$4:$G$494,AC$5,'VS×ケイパビリティ関係'!$E$4:$E$494,"支援")&gt;0,"○",""))</f>
        <v/>
      </c>
      <c r="AD21" s="98">
        <f>IF(COUNTIFS('VS×ケイパビリティ関係'!$F$4:$F$494,$B21,'VS×ケイパビリティ関係'!$G$4:$G$494,AD$5,'VS×ケイパビリティ関係'!$E$4:$E$494,"主")&gt;0,"●",IF(COUNTIFS('VS×ケイパビリティ関係'!$F$4:$F$494,$B21,'VS×ケイパビリティ関係'!$G$4:$G$494,AD$5,'VS×ケイパビリティ関係'!$E$4:$E$494,"支援")&gt;0,"○",""))</f>
        <v/>
      </c>
      <c r="AE21" s="98">
        <f>IF(COUNTIFS('VS×ケイパビリティ関係'!$F$4:$F$494,$B21,'VS×ケイパビリティ関係'!$G$4:$G$494,AE$5,'VS×ケイパビリティ関係'!$E$4:$E$494,"主")&gt;0,"●",IF(COUNTIFS('VS×ケイパビリティ関係'!$F$4:$F$494,$B21,'VS×ケイパビリティ関係'!$G$4:$G$494,AE$5,'VS×ケイパビリティ関係'!$E$4:$E$494,"支援")&gt;0,"○",""))</f>
        <v/>
      </c>
      <c r="AF21" s="98">
        <f>IF(COUNTIFS('VS×ケイパビリティ関係'!$F$4:$F$494,$B21,'VS×ケイパビリティ関係'!$G$4:$G$494,AF$5,'VS×ケイパビリティ関係'!$E$4:$E$494,"主")&gt;0,"●",IF(COUNTIFS('VS×ケイパビリティ関係'!$F$4:$F$494,$B21,'VS×ケイパビリティ関係'!$G$4:$G$494,AF$5,'VS×ケイパビリティ関係'!$E$4:$E$494,"支援")&gt;0,"○",""))</f>
        <v/>
      </c>
      <c r="AG21" s="98">
        <f>IF(COUNTIFS('VS×ケイパビリティ関係'!$F$4:$F$494,$B21,'VS×ケイパビリティ関係'!$G$4:$G$494,AG$5,'VS×ケイパビリティ関係'!$E$4:$E$494,"主")&gt;0,"●",IF(COUNTIFS('VS×ケイパビリティ関係'!$F$4:$F$494,$B21,'VS×ケイパビリティ関係'!$G$4:$G$494,AG$5,'VS×ケイパビリティ関係'!$E$4:$E$494,"支援")&gt;0,"○",""))</f>
        <v/>
      </c>
      <c r="AH21" s="98">
        <f>IF(COUNTIFS('VS×ケイパビリティ関係'!$F$4:$F$494,$B21,'VS×ケイパビリティ関係'!$G$4:$G$494,AH$5,'VS×ケイパビリティ関係'!$E$4:$E$494,"主")&gt;0,"●",IF(COUNTIFS('VS×ケイパビリティ関係'!$F$4:$F$494,$B21,'VS×ケイパビリティ関係'!$G$4:$G$494,AH$5,'VS×ケイパビリティ関係'!$E$4:$E$494,"支援")&gt;0,"○",""))</f>
        <v/>
      </c>
      <c r="AI21" s="98">
        <f>IF(COUNTIFS('VS×ケイパビリティ関係'!$F$4:$F$494,$B21,'VS×ケイパビリティ関係'!$G$4:$G$494,AI$5,'VS×ケイパビリティ関係'!$E$4:$E$494,"主")&gt;0,"●",IF(COUNTIFS('VS×ケイパビリティ関係'!$F$4:$F$494,$B21,'VS×ケイパビリティ関係'!$G$4:$G$494,AI$5,'VS×ケイパビリティ関係'!$E$4:$E$494,"支援")&gt;0,"○",""))</f>
        <v/>
      </c>
      <c r="AJ21" s="98">
        <f>IF(COUNTIFS('VS×ケイパビリティ関係'!$F$4:$F$494,$B21,'VS×ケイパビリティ関係'!$G$4:$G$494,AJ$5,'VS×ケイパビリティ関係'!$E$4:$E$494,"主")&gt;0,"●",IF(COUNTIFS('VS×ケイパビリティ関係'!$F$4:$F$494,$B21,'VS×ケイパビリティ関係'!$G$4:$G$494,AJ$5,'VS×ケイパビリティ関係'!$E$4:$E$494,"支援")&gt;0,"○",""))</f>
        <v/>
      </c>
      <c r="AK21" s="98">
        <f>IF(COUNTIFS('VS×ケイパビリティ関係'!$F$4:$F$494,$B21,'VS×ケイパビリティ関係'!$G$4:$G$494,AK$5,'VS×ケイパビリティ関係'!$E$4:$E$494,"主")&gt;0,"●",IF(COUNTIFS('VS×ケイパビリティ関係'!$F$4:$F$494,$B21,'VS×ケイパビリティ関係'!$G$4:$G$494,AK$5,'VS×ケイパビリティ関係'!$E$4:$E$494,"支援")&gt;0,"○",""))</f>
        <v/>
      </c>
      <c r="AL21" s="98">
        <f>IF(COUNTIFS('VS×ケイパビリティ関係'!$F$4:$F$494,$B21,'VS×ケイパビリティ関係'!$G$4:$G$494,AL$5,'VS×ケイパビリティ関係'!$E$4:$E$494,"主")&gt;0,"●",IF(COUNTIFS('VS×ケイパビリティ関係'!$F$4:$F$494,$B21,'VS×ケイパビリティ関係'!$G$4:$G$494,AL$5,'VS×ケイパビリティ関係'!$E$4:$E$494,"支援")&gt;0,"○",""))</f>
        <v/>
      </c>
      <c r="AM21" s="98">
        <f>IF(COUNTIFS('VS×ケイパビリティ関係'!$F$4:$F$494,$B21,'VS×ケイパビリティ関係'!$G$4:$G$494,AM$5,'VS×ケイパビリティ関係'!$E$4:$E$494,"主")&gt;0,"●",IF(COUNTIFS('VS×ケイパビリティ関係'!$F$4:$F$494,$B21,'VS×ケイパビリティ関係'!$G$4:$G$494,AM$5,'VS×ケイパビリティ関係'!$E$4:$E$494,"支援")&gt;0,"○",""))</f>
        <v/>
      </c>
      <c r="AN21" s="98">
        <f>IF(COUNTIFS('VS×ケイパビリティ関係'!$F$4:$F$494,$B21,'VS×ケイパビリティ関係'!$G$4:$G$494,AN$5,'VS×ケイパビリティ関係'!$E$4:$E$494,"主")&gt;0,"●",IF(COUNTIFS('VS×ケイパビリティ関係'!$F$4:$F$494,$B21,'VS×ケイパビリティ関係'!$G$4:$G$494,AN$5,'VS×ケイパビリティ関係'!$E$4:$E$494,"支援")&gt;0,"○",""))</f>
        <v/>
      </c>
      <c r="AO21" s="98">
        <f>IF(COUNTIFS('VS×ケイパビリティ関係'!$F$4:$F$494,$B21,'VS×ケイパビリティ関係'!$G$4:$G$494,AO$5,'VS×ケイパビリティ関係'!$E$4:$E$494,"主")&gt;0,"●",IF(COUNTIFS('VS×ケイパビリティ関係'!$F$4:$F$494,$B21,'VS×ケイパビリティ関係'!$G$4:$G$494,AO$5,'VS×ケイパビリティ関係'!$E$4:$E$494,"支援")&gt;0,"○",""))</f>
        <v/>
      </c>
      <c r="AP21" s="98">
        <f>IF(COUNTIFS('VS×ケイパビリティ関係'!$F$4:$F$494,$B21,'VS×ケイパビリティ関係'!$G$4:$G$494,AP$5,'VS×ケイパビリティ関係'!$E$4:$E$494,"主")&gt;0,"●",IF(COUNTIFS('VS×ケイパビリティ関係'!$F$4:$F$494,$B21,'VS×ケイパビリティ関係'!$G$4:$G$494,AP$5,'VS×ケイパビリティ関係'!$E$4:$E$494,"支援")&gt;0,"○",""))</f>
        <v/>
      </c>
      <c r="AQ21" s="98">
        <f>IF(COUNTIFS('VS×ケイパビリティ関係'!$F$4:$F$494,$B21,'VS×ケイパビリティ関係'!$G$4:$G$494,AQ$5,'VS×ケイパビリティ関係'!$E$4:$E$494,"主")&gt;0,"●",IF(COUNTIFS('VS×ケイパビリティ関係'!$F$4:$F$494,$B21,'VS×ケイパビリティ関係'!$G$4:$G$494,AQ$5,'VS×ケイパビリティ関係'!$E$4:$E$494,"支援")&gt;0,"○",""))</f>
        <v/>
      </c>
      <c r="AR21" s="98">
        <f>IF(COUNTIFS('VS×ケイパビリティ関係'!$F$4:$F$494,$B21,'VS×ケイパビリティ関係'!$G$4:$G$494,AR$5,'VS×ケイパビリティ関係'!$E$4:$E$494,"主")&gt;0,"●",IF(COUNTIFS('VS×ケイパビリティ関係'!$F$4:$F$494,$B21,'VS×ケイパビリティ関係'!$G$4:$G$494,AR$5,'VS×ケイパビリティ関係'!$E$4:$E$494,"支援")&gt;0,"○",""))</f>
        <v/>
      </c>
      <c r="AS21" s="98">
        <f>IF(COUNTIFS('VS×ケイパビリティ関係'!$F$4:$F$494,$B21,'VS×ケイパビリティ関係'!$G$4:$G$494,AS$5,'VS×ケイパビリティ関係'!$E$4:$E$494,"主")&gt;0,"●",IF(COUNTIFS('VS×ケイパビリティ関係'!$F$4:$F$494,$B21,'VS×ケイパビリティ関係'!$G$4:$G$494,AS$5,'VS×ケイパビリティ関係'!$E$4:$E$494,"支援")&gt;0,"○",""))</f>
        <v/>
      </c>
      <c r="AT21" s="98">
        <f>IF(COUNTIFS('VS×ケイパビリティ関係'!$F$4:$F$494,$B21,'VS×ケイパビリティ関係'!$G$4:$G$494,AT$5,'VS×ケイパビリティ関係'!$E$4:$E$494,"主")&gt;0,"●",IF(COUNTIFS('VS×ケイパビリティ関係'!$F$4:$F$494,$B21,'VS×ケイパビリティ関係'!$G$4:$G$494,AT$5,'VS×ケイパビリティ関係'!$E$4:$E$494,"支援")&gt;0,"○",""))</f>
        <v/>
      </c>
      <c r="AU21" s="98">
        <f>IF(COUNTIFS('VS×ケイパビリティ関係'!$F$4:$F$494,$B21,'VS×ケイパビリティ関係'!$G$4:$G$494,AU$5,'VS×ケイパビリティ関係'!$E$4:$E$494,"主")&gt;0,"●",IF(COUNTIFS('VS×ケイパビリティ関係'!$F$4:$F$494,$B21,'VS×ケイパビリティ関係'!$G$4:$G$494,AU$5,'VS×ケイパビリティ関係'!$E$4:$E$494,"支援")&gt;0,"○",""))</f>
        <v/>
      </c>
      <c r="AV21" s="98">
        <f>IF(COUNTIFS('VS×ケイパビリティ関係'!$F$4:$F$494,$B21,'VS×ケイパビリティ関係'!$G$4:$G$494,AV$5,'VS×ケイパビリティ関係'!$E$4:$E$494,"主")&gt;0,"●",IF(COUNTIFS('VS×ケイパビリティ関係'!$F$4:$F$494,$B21,'VS×ケイパビリティ関係'!$G$4:$G$494,AV$5,'VS×ケイパビリティ関係'!$E$4:$E$494,"支援")&gt;0,"○",""))</f>
        <v/>
      </c>
      <c r="AW21" s="98">
        <f>IF(COUNTIFS('VS×ケイパビリティ関係'!$F$4:$F$494,$B21,'VS×ケイパビリティ関係'!$G$4:$G$494,AW$5,'VS×ケイパビリティ関係'!$E$4:$E$494,"主")&gt;0,"●",IF(COUNTIFS('VS×ケイパビリティ関係'!$F$4:$F$494,$B21,'VS×ケイパビリティ関係'!$G$4:$G$494,AW$5,'VS×ケイパビリティ関係'!$E$4:$E$494,"支援")&gt;0,"○",""))</f>
        <v/>
      </c>
      <c r="AX21" s="98">
        <f>IF(COUNTIFS('VS×ケイパビリティ関係'!$F$4:$F$494,$B21,'VS×ケイパビリティ関係'!$G$4:$G$494,AX$5,'VS×ケイパビリティ関係'!$E$4:$E$494,"主")&gt;0,"●",IF(COUNTIFS('VS×ケイパビリティ関係'!$F$4:$F$494,$B21,'VS×ケイパビリティ関係'!$G$4:$G$494,AX$5,'VS×ケイパビリティ関係'!$E$4:$E$494,"支援")&gt;0,"○",""))</f>
        <v/>
      </c>
      <c r="AY21" s="98">
        <f>IF(COUNTIFS('VS×ケイパビリティ関係'!$F$4:$F$494,$B21,'VS×ケイパビリティ関係'!$G$4:$G$494,AY$5,'VS×ケイパビリティ関係'!$E$4:$E$494,"主")&gt;0,"●",IF(COUNTIFS('VS×ケイパビリティ関係'!$F$4:$F$494,$B21,'VS×ケイパビリティ関係'!$G$4:$G$494,AY$5,'VS×ケイパビリティ関係'!$E$4:$E$494,"支援")&gt;0,"○",""))</f>
        <v/>
      </c>
      <c r="AZ21" s="98">
        <f>IF(COUNTIFS('VS×ケイパビリティ関係'!$F$4:$F$494,$B21,'VS×ケイパビリティ関係'!$G$4:$G$494,AZ$5,'VS×ケイパビリティ関係'!$E$4:$E$494,"主")&gt;0,"●",IF(COUNTIFS('VS×ケイパビリティ関係'!$F$4:$F$494,$B21,'VS×ケイパビリティ関係'!$G$4:$G$494,AZ$5,'VS×ケイパビリティ関係'!$E$4:$E$494,"支援")&gt;0,"○",""))</f>
        <v/>
      </c>
      <c r="BA21" s="98">
        <f>IF(COUNTIFS('VS×ケイパビリティ関係'!$F$4:$F$494,$B21,'VS×ケイパビリティ関係'!$G$4:$G$494,BA$5,'VS×ケイパビリティ関係'!$E$4:$E$494,"主")&gt;0,"●",IF(COUNTIFS('VS×ケイパビリティ関係'!$F$4:$F$494,$B21,'VS×ケイパビリティ関係'!$G$4:$G$494,BA$5,'VS×ケイパビリティ関係'!$E$4:$E$494,"支援")&gt;0,"○",""))</f>
        <v/>
      </c>
      <c r="BB21" s="98">
        <f>IF(COUNTIFS('VS×ケイパビリティ関係'!$F$4:$F$494,$B21,'VS×ケイパビリティ関係'!$G$4:$G$494,BB$5,'VS×ケイパビリティ関係'!$E$4:$E$494,"主")&gt;0,"●",IF(COUNTIFS('VS×ケイパビリティ関係'!$F$4:$F$494,$B21,'VS×ケイパビリティ関係'!$G$4:$G$494,BB$5,'VS×ケイパビリティ関係'!$E$4:$E$494,"支援")&gt;0,"○",""))</f>
        <v/>
      </c>
      <c r="BC21" s="98">
        <f>IF(COUNTIFS('VS×ケイパビリティ関係'!$F$4:$F$494,$B21,'VS×ケイパビリティ関係'!$G$4:$G$494,BC$5,'VS×ケイパビリティ関係'!$E$4:$E$494,"主")&gt;0,"●",IF(COUNTIFS('VS×ケイパビリティ関係'!$F$4:$F$494,$B21,'VS×ケイパビリティ関係'!$G$4:$G$494,BC$5,'VS×ケイパビリティ関係'!$E$4:$E$494,"支援")&gt;0,"○",""))</f>
        <v/>
      </c>
      <c r="BD21" s="98">
        <f>IF(COUNTIFS('VS×ケイパビリティ関係'!$F$4:$F$494,$B21,'VS×ケイパビリティ関係'!$G$4:$G$494,BD$5,'VS×ケイパビリティ関係'!$E$4:$E$494,"主")&gt;0,"●",IF(COUNTIFS('VS×ケイパビリティ関係'!$F$4:$F$494,$B21,'VS×ケイパビリティ関係'!$G$4:$G$494,BD$5,'VS×ケイパビリティ関係'!$E$4:$E$494,"支援")&gt;0,"○",""))</f>
        <v/>
      </c>
      <c r="BE21" s="98">
        <f>COUNTIF(D21:BD21,"●")</f>
        <v/>
      </c>
      <c r="BF21" s="98">
        <f>COUNTIF(D21:BD21,"○")</f>
        <v/>
      </c>
    </row>
    <row r="22" ht="15" customHeight="1" s="80">
      <c r="A22" s="116" t="inlineStr">
        <is>
          <t>04 臨床開発</t>
        </is>
      </c>
      <c r="B22" s="98" t="inlineStr">
        <is>
          <t>04-01</t>
        </is>
      </c>
      <c r="C22" s="100" t="inlineStr">
        <is>
          <t>★自然歴研究・患者特定</t>
        </is>
      </c>
      <c r="D22" s="98">
        <f>IF(COUNTIFS('VS×ケイパビリティ関係'!$F$4:$F$494,$B22,'VS×ケイパビリティ関係'!$G$4:$G$494,D$5,'VS×ケイパビリティ関係'!$E$4:$E$494,"主")&gt;0,"●",IF(COUNTIFS('VS×ケイパビリティ関係'!$F$4:$F$494,$B22,'VS×ケイパビリティ関係'!$G$4:$G$494,D$5,'VS×ケイパビリティ関係'!$E$4:$E$494,"支援")&gt;0,"○",""))</f>
        <v/>
      </c>
      <c r="E22" s="98">
        <f>IF(COUNTIFS('VS×ケイパビリティ関係'!$F$4:$F$494,$B22,'VS×ケイパビリティ関係'!$G$4:$G$494,E$5,'VS×ケイパビリティ関係'!$E$4:$E$494,"主")&gt;0,"●",IF(COUNTIFS('VS×ケイパビリティ関係'!$F$4:$F$494,$B22,'VS×ケイパビリティ関係'!$G$4:$G$494,E$5,'VS×ケイパビリティ関係'!$E$4:$E$494,"支援")&gt;0,"○",""))</f>
        <v/>
      </c>
      <c r="F22" s="98">
        <f>IF(COUNTIFS('VS×ケイパビリティ関係'!$F$4:$F$494,$B22,'VS×ケイパビリティ関係'!$G$4:$G$494,F$5,'VS×ケイパビリティ関係'!$E$4:$E$494,"主")&gt;0,"●",IF(COUNTIFS('VS×ケイパビリティ関係'!$F$4:$F$494,$B22,'VS×ケイパビリティ関係'!$G$4:$G$494,F$5,'VS×ケイパビリティ関係'!$E$4:$E$494,"支援")&gt;0,"○",""))</f>
        <v/>
      </c>
      <c r="G22" s="98">
        <f>IF(COUNTIFS('VS×ケイパビリティ関係'!$F$4:$F$494,$B22,'VS×ケイパビリティ関係'!$G$4:$G$494,G$5,'VS×ケイパビリティ関係'!$E$4:$E$494,"主")&gt;0,"●",IF(COUNTIFS('VS×ケイパビリティ関係'!$F$4:$F$494,$B22,'VS×ケイパビリティ関係'!$G$4:$G$494,G$5,'VS×ケイパビリティ関係'!$E$4:$E$494,"支援")&gt;0,"○",""))</f>
        <v/>
      </c>
      <c r="H22" s="98">
        <f>IF(COUNTIFS('VS×ケイパビリティ関係'!$F$4:$F$494,$B22,'VS×ケイパビリティ関係'!$G$4:$G$494,H$5,'VS×ケイパビリティ関係'!$E$4:$E$494,"主")&gt;0,"●",IF(COUNTIFS('VS×ケイパビリティ関係'!$F$4:$F$494,$B22,'VS×ケイパビリティ関係'!$G$4:$G$494,H$5,'VS×ケイパビリティ関係'!$E$4:$E$494,"支援")&gt;0,"○",""))</f>
        <v/>
      </c>
      <c r="I22" s="98">
        <f>IF(COUNTIFS('VS×ケイパビリティ関係'!$F$4:$F$494,$B22,'VS×ケイパビリティ関係'!$G$4:$G$494,I$5,'VS×ケイパビリティ関係'!$E$4:$E$494,"主")&gt;0,"●",IF(COUNTIFS('VS×ケイパビリティ関係'!$F$4:$F$494,$B22,'VS×ケイパビリティ関係'!$G$4:$G$494,I$5,'VS×ケイパビリティ関係'!$E$4:$E$494,"支援")&gt;0,"○",""))</f>
        <v/>
      </c>
      <c r="J22" s="98">
        <f>IF(COUNTIFS('VS×ケイパビリティ関係'!$F$4:$F$494,$B22,'VS×ケイパビリティ関係'!$G$4:$G$494,J$5,'VS×ケイパビリティ関係'!$E$4:$E$494,"主")&gt;0,"●",IF(COUNTIFS('VS×ケイパビリティ関係'!$F$4:$F$494,$B22,'VS×ケイパビリティ関係'!$G$4:$G$494,J$5,'VS×ケイパビリティ関係'!$E$4:$E$494,"支援")&gt;0,"○",""))</f>
        <v/>
      </c>
      <c r="K22" s="98">
        <f>IF(COUNTIFS('VS×ケイパビリティ関係'!$F$4:$F$494,$B22,'VS×ケイパビリティ関係'!$G$4:$G$494,K$5,'VS×ケイパビリティ関係'!$E$4:$E$494,"主")&gt;0,"●",IF(COUNTIFS('VS×ケイパビリティ関係'!$F$4:$F$494,$B22,'VS×ケイパビリティ関係'!$G$4:$G$494,K$5,'VS×ケイパビリティ関係'!$E$4:$E$494,"支援")&gt;0,"○",""))</f>
        <v/>
      </c>
      <c r="L22" s="98">
        <f>IF(COUNTIFS('VS×ケイパビリティ関係'!$F$4:$F$494,$B22,'VS×ケイパビリティ関係'!$G$4:$G$494,L$5,'VS×ケイパビリティ関係'!$E$4:$E$494,"主")&gt;0,"●",IF(COUNTIFS('VS×ケイパビリティ関係'!$F$4:$F$494,$B22,'VS×ケイパビリティ関係'!$G$4:$G$494,L$5,'VS×ケイパビリティ関係'!$E$4:$E$494,"支援")&gt;0,"○",""))</f>
        <v/>
      </c>
      <c r="M22" s="98">
        <f>IF(COUNTIFS('VS×ケイパビリティ関係'!$F$4:$F$494,$B22,'VS×ケイパビリティ関係'!$G$4:$G$494,M$5,'VS×ケイパビリティ関係'!$E$4:$E$494,"主")&gt;0,"●",IF(COUNTIFS('VS×ケイパビリティ関係'!$F$4:$F$494,$B22,'VS×ケイパビリティ関係'!$G$4:$G$494,M$5,'VS×ケイパビリティ関係'!$E$4:$E$494,"支援")&gt;0,"○",""))</f>
        <v/>
      </c>
      <c r="N22" s="98">
        <f>IF(COUNTIFS('VS×ケイパビリティ関係'!$F$4:$F$494,$B22,'VS×ケイパビリティ関係'!$G$4:$G$494,N$5,'VS×ケイパビリティ関係'!$E$4:$E$494,"主")&gt;0,"●",IF(COUNTIFS('VS×ケイパビリティ関係'!$F$4:$F$494,$B22,'VS×ケイパビリティ関係'!$G$4:$G$494,N$5,'VS×ケイパビリティ関係'!$E$4:$E$494,"支援")&gt;0,"○",""))</f>
        <v/>
      </c>
      <c r="O22" s="98">
        <f>IF(COUNTIFS('VS×ケイパビリティ関係'!$F$4:$F$494,$B22,'VS×ケイパビリティ関係'!$G$4:$G$494,O$5,'VS×ケイパビリティ関係'!$E$4:$E$494,"主")&gt;0,"●",IF(COUNTIFS('VS×ケイパビリティ関係'!$F$4:$F$494,$B22,'VS×ケイパビリティ関係'!$G$4:$G$494,O$5,'VS×ケイパビリティ関係'!$E$4:$E$494,"支援")&gt;0,"○",""))</f>
        <v/>
      </c>
      <c r="P22" s="98">
        <f>IF(COUNTIFS('VS×ケイパビリティ関係'!$F$4:$F$494,$B22,'VS×ケイパビリティ関係'!$G$4:$G$494,P$5,'VS×ケイパビリティ関係'!$E$4:$E$494,"主")&gt;0,"●",IF(COUNTIFS('VS×ケイパビリティ関係'!$F$4:$F$494,$B22,'VS×ケイパビリティ関係'!$G$4:$G$494,P$5,'VS×ケイパビリティ関係'!$E$4:$E$494,"支援")&gt;0,"○",""))</f>
        <v/>
      </c>
      <c r="Q22" s="98">
        <f>IF(COUNTIFS('VS×ケイパビリティ関係'!$F$4:$F$494,$B22,'VS×ケイパビリティ関係'!$G$4:$G$494,Q$5,'VS×ケイパビリティ関係'!$E$4:$E$494,"主")&gt;0,"●",IF(COUNTIFS('VS×ケイパビリティ関係'!$F$4:$F$494,$B22,'VS×ケイパビリティ関係'!$G$4:$G$494,Q$5,'VS×ケイパビリティ関係'!$E$4:$E$494,"支援")&gt;0,"○",""))</f>
        <v/>
      </c>
      <c r="R22" s="98">
        <f>IF(COUNTIFS('VS×ケイパビリティ関係'!$F$4:$F$494,$B22,'VS×ケイパビリティ関係'!$G$4:$G$494,R$5,'VS×ケイパビリティ関係'!$E$4:$E$494,"主")&gt;0,"●",IF(COUNTIFS('VS×ケイパビリティ関係'!$F$4:$F$494,$B22,'VS×ケイパビリティ関係'!$G$4:$G$494,R$5,'VS×ケイパビリティ関係'!$E$4:$E$494,"支援")&gt;0,"○",""))</f>
        <v/>
      </c>
      <c r="S22" s="98">
        <f>IF(COUNTIFS('VS×ケイパビリティ関係'!$F$4:$F$494,$B22,'VS×ケイパビリティ関係'!$G$4:$G$494,S$5,'VS×ケイパビリティ関係'!$E$4:$E$494,"主")&gt;0,"●",IF(COUNTIFS('VS×ケイパビリティ関係'!$F$4:$F$494,$B22,'VS×ケイパビリティ関係'!$G$4:$G$494,S$5,'VS×ケイパビリティ関係'!$E$4:$E$494,"支援")&gt;0,"○",""))</f>
        <v/>
      </c>
      <c r="T22" s="98">
        <f>IF(COUNTIFS('VS×ケイパビリティ関係'!$F$4:$F$494,$B22,'VS×ケイパビリティ関係'!$G$4:$G$494,T$5,'VS×ケイパビリティ関係'!$E$4:$E$494,"主")&gt;0,"●",IF(COUNTIFS('VS×ケイパビリティ関係'!$F$4:$F$494,$B22,'VS×ケイパビリティ関係'!$G$4:$G$494,T$5,'VS×ケイパビリティ関係'!$E$4:$E$494,"支援")&gt;0,"○",""))</f>
        <v/>
      </c>
      <c r="U22" s="98">
        <f>IF(COUNTIFS('VS×ケイパビリティ関係'!$F$4:$F$494,$B22,'VS×ケイパビリティ関係'!$G$4:$G$494,U$5,'VS×ケイパビリティ関係'!$E$4:$E$494,"主")&gt;0,"●",IF(COUNTIFS('VS×ケイパビリティ関係'!$F$4:$F$494,$B22,'VS×ケイパビリティ関係'!$G$4:$G$494,U$5,'VS×ケイパビリティ関係'!$E$4:$E$494,"支援")&gt;0,"○",""))</f>
        <v/>
      </c>
      <c r="V22" s="98">
        <f>IF(COUNTIFS('VS×ケイパビリティ関係'!$F$4:$F$494,$B22,'VS×ケイパビリティ関係'!$G$4:$G$494,V$5,'VS×ケイパビリティ関係'!$E$4:$E$494,"主")&gt;0,"●",IF(COUNTIFS('VS×ケイパビリティ関係'!$F$4:$F$494,$B22,'VS×ケイパビリティ関係'!$G$4:$G$494,V$5,'VS×ケイパビリティ関係'!$E$4:$E$494,"支援")&gt;0,"○",""))</f>
        <v/>
      </c>
      <c r="W22" s="98">
        <f>IF(COUNTIFS('VS×ケイパビリティ関係'!$F$4:$F$494,$B22,'VS×ケイパビリティ関係'!$G$4:$G$494,W$5,'VS×ケイパビリティ関係'!$E$4:$E$494,"主")&gt;0,"●",IF(COUNTIFS('VS×ケイパビリティ関係'!$F$4:$F$494,$B22,'VS×ケイパビリティ関係'!$G$4:$G$494,W$5,'VS×ケイパビリティ関係'!$E$4:$E$494,"支援")&gt;0,"○",""))</f>
        <v/>
      </c>
      <c r="X22" s="98">
        <f>IF(COUNTIFS('VS×ケイパビリティ関係'!$F$4:$F$494,$B22,'VS×ケイパビリティ関係'!$G$4:$G$494,X$5,'VS×ケイパビリティ関係'!$E$4:$E$494,"主")&gt;0,"●",IF(COUNTIFS('VS×ケイパビリティ関係'!$F$4:$F$494,$B22,'VS×ケイパビリティ関係'!$G$4:$G$494,X$5,'VS×ケイパビリティ関係'!$E$4:$E$494,"支援")&gt;0,"○",""))</f>
        <v/>
      </c>
      <c r="Y22" s="98">
        <f>IF(COUNTIFS('VS×ケイパビリティ関係'!$F$4:$F$494,$B22,'VS×ケイパビリティ関係'!$G$4:$G$494,Y$5,'VS×ケイパビリティ関係'!$E$4:$E$494,"主")&gt;0,"●",IF(COUNTIFS('VS×ケイパビリティ関係'!$F$4:$F$494,$B22,'VS×ケイパビリティ関係'!$G$4:$G$494,Y$5,'VS×ケイパビリティ関係'!$E$4:$E$494,"支援")&gt;0,"○",""))</f>
        <v/>
      </c>
      <c r="Z22" s="98">
        <f>IF(COUNTIFS('VS×ケイパビリティ関係'!$F$4:$F$494,$B22,'VS×ケイパビリティ関係'!$G$4:$G$494,Z$5,'VS×ケイパビリティ関係'!$E$4:$E$494,"主")&gt;0,"●",IF(COUNTIFS('VS×ケイパビリティ関係'!$F$4:$F$494,$B22,'VS×ケイパビリティ関係'!$G$4:$G$494,Z$5,'VS×ケイパビリティ関係'!$E$4:$E$494,"支援")&gt;0,"○",""))</f>
        <v/>
      </c>
      <c r="AA22" s="98">
        <f>IF(COUNTIFS('VS×ケイパビリティ関係'!$F$4:$F$494,$B22,'VS×ケイパビリティ関係'!$G$4:$G$494,AA$5,'VS×ケイパビリティ関係'!$E$4:$E$494,"主")&gt;0,"●",IF(COUNTIFS('VS×ケイパビリティ関係'!$F$4:$F$494,$B22,'VS×ケイパビリティ関係'!$G$4:$G$494,AA$5,'VS×ケイパビリティ関係'!$E$4:$E$494,"支援")&gt;0,"○",""))</f>
        <v/>
      </c>
      <c r="AB22" s="98">
        <f>IF(COUNTIFS('VS×ケイパビリティ関係'!$F$4:$F$494,$B22,'VS×ケイパビリティ関係'!$G$4:$G$494,AB$5,'VS×ケイパビリティ関係'!$E$4:$E$494,"主")&gt;0,"●",IF(COUNTIFS('VS×ケイパビリティ関係'!$F$4:$F$494,$B22,'VS×ケイパビリティ関係'!$G$4:$G$494,AB$5,'VS×ケイパビリティ関係'!$E$4:$E$494,"支援")&gt;0,"○",""))</f>
        <v/>
      </c>
      <c r="AC22" s="98">
        <f>IF(COUNTIFS('VS×ケイパビリティ関係'!$F$4:$F$494,$B22,'VS×ケイパビリティ関係'!$G$4:$G$494,AC$5,'VS×ケイパビリティ関係'!$E$4:$E$494,"主")&gt;0,"●",IF(COUNTIFS('VS×ケイパビリティ関係'!$F$4:$F$494,$B22,'VS×ケイパビリティ関係'!$G$4:$G$494,AC$5,'VS×ケイパビリティ関係'!$E$4:$E$494,"支援")&gt;0,"○",""))</f>
        <v/>
      </c>
      <c r="AD22" s="98">
        <f>IF(COUNTIFS('VS×ケイパビリティ関係'!$F$4:$F$494,$B22,'VS×ケイパビリティ関係'!$G$4:$G$494,AD$5,'VS×ケイパビリティ関係'!$E$4:$E$494,"主")&gt;0,"●",IF(COUNTIFS('VS×ケイパビリティ関係'!$F$4:$F$494,$B22,'VS×ケイパビリティ関係'!$G$4:$G$494,AD$5,'VS×ケイパビリティ関係'!$E$4:$E$494,"支援")&gt;0,"○",""))</f>
        <v/>
      </c>
      <c r="AE22" s="98">
        <f>IF(COUNTIFS('VS×ケイパビリティ関係'!$F$4:$F$494,$B22,'VS×ケイパビリティ関係'!$G$4:$G$494,AE$5,'VS×ケイパビリティ関係'!$E$4:$E$494,"主")&gt;0,"●",IF(COUNTIFS('VS×ケイパビリティ関係'!$F$4:$F$494,$B22,'VS×ケイパビリティ関係'!$G$4:$G$494,AE$5,'VS×ケイパビリティ関係'!$E$4:$E$494,"支援")&gt;0,"○",""))</f>
        <v/>
      </c>
      <c r="AF22" s="98">
        <f>IF(COUNTIFS('VS×ケイパビリティ関係'!$F$4:$F$494,$B22,'VS×ケイパビリティ関係'!$G$4:$G$494,AF$5,'VS×ケイパビリティ関係'!$E$4:$E$494,"主")&gt;0,"●",IF(COUNTIFS('VS×ケイパビリティ関係'!$F$4:$F$494,$B22,'VS×ケイパビリティ関係'!$G$4:$G$494,AF$5,'VS×ケイパビリティ関係'!$E$4:$E$494,"支援")&gt;0,"○",""))</f>
        <v/>
      </c>
      <c r="AG22" s="98">
        <f>IF(COUNTIFS('VS×ケイパビリティ関係'!$F$4:$F$494,$B22,'VS×ケイパビリティ関係'!$G$4:$G$494,AG$5,'VS×ケイパビリティ関係'!$E$4:$E$494,"主")&gt;0,"●",IF(COUNTIFS('VS×ケイパビリティ関係'!$F$4:$F$494,$B22,'VS×ケイパビリティ関係'!$G$4:$G$494,AG$5,'VS×ケイパビリティ関係'!$E$4:$E$494,"支援")&gt;0,"○",""))</f>
        <v/>
      </c>
      <c r="AH22" s="98">
        <f>IF(COUNTIFS('VS×ケイパビリティ関係'!$F$4:$F$494,$B22,'VS×ケイパビリティ関係'!$G$4:$G$494,AH$5,'VS×ケイパビリティ関係'!$E$4:$E$494,"主")&gt;0,"●",IF(COUNTIFS('VS×ケイパビリティ関係'!$F$4:$F$494,$B22,'VS×ケイパビリティ関係'!$G$4:$G$494,AH$5,'VS×ケイパビリティ関係'!$E$4:$E$494,"支援")&gt;0,"○",""))</f>
        <v/>
      </c>
      <c r="AI22" s="98">
        <f>IF(COUNTIFS('VS×ケイパビリティ関係'!$F$4:$F$494,$B22,'VS×ケイパビリティ関係'!$G$4:$G$494,AI$5,'VS×ケイパビリティ関係'!$E$4:$E$494,"主")&gt;0,"●",IF(COUNTIFS('VS×ケイパビリティ関係'!$F$4:$F$494,$B22,'VS×ケイパビリティ関係'!$G$4:$G$494,AI$5,'VS×ケイパビリティ関係'!$E$4:$E$494,"支援")&gt;0,"○",""))</f>
        <v/>
      </c>
      <c r="AJ22" s="98">
        <f>IF(COUNTIFS('VS×ケイパビリティ関係'!$F$4:$F$494,$B22,'VS×ケイパビリティ関係'!$G$4:$G$494,AJ$5,'VS×ケイパビリティ関係'!$E$4:$E$494,"主")&gt;0,"●",IF(COUNTIFS('VS×ケイパビリティ関係'!$F$4:$F$494,$B22,'VS×ケイパビリティ関係'!$G$4:$G$494,AJ$5,'VS×ケイパビリティ関係'!$E$4:$E$494,"支援")&gt;0,"○",""))</f>
        <v/>
      </c>
      <c r="AK22" s="98">
        <f>IF(COUNTIFS('VS×ケイパビリティ関係'!$F$4:$F$494,$B22,'VS×ケイパビリティ関係'!$G$4:$G$494,AK$5,'VS×ケイパビリティ関係'!$E$4:$E$494,"主")&gt;0,"●",IF(COUNTIFS('VS×ケイパビリティ関係'!$F$4:$F$494,$B22,'VS×ケイパビリティ関係'!$G$4:$G$494,AK$5,'VS×ケイパビリティ関係'!$E$4:$E$494,"支援")&gt;0,"○",""))</f>
        <v/>
      </c>
      <c r="AL22" s="98">
        <f>IF(COUNTIFS('VS×ケイパビリティ関係'!$F$4:$F$494,$B22,'VS×ケイパビリティ関係'!$G$4:$G$494,AL$5,'VS×ケイパビリティ関係'!$E$4:$E$494,"主")&gt;0,"●",IF(COUNTIFS('VS×ケイパビリティ関係'!$F$4:$F$494,$B22,'VS×ケイパビリティ関係'!$G$4:$G$494,AL$5,'VS×ケイパビリティ関係'!$E$4:$E$494,"支援")&gt;0,"○",""))</f>
        <v/>
      </c>
      <c r="AM22" s="98">
        <f>IF(COUNTIFS('VS×ケイパビリティ関係'!$F$4:$F$494,$B22,'VS×ケイパビリティ関係'!$G$4:$G$494,AM$5,'VS×ケイパビリティ関係'!$E$4:$E$494,"主")&gt;0,"●",IF(COUNTIFS('VS×ケイパビリティ関係'!$F$4:$F$494,$B22,'VS×ケイパビリティ関係'!$G$4:$G$494,AM$5,'VS×ケイパビリティ関係'!$E$4:$E$494,"支援")&gt;0,"○",""))</f>
        <v/>
      </c>
      <c r="AN22" s="98">
        <f>IF(COUNTIFS('VS×ケイパビリティ関係'!$F$4:$F$494,$B22,'VS×ケイパビリティ関係'!$G$4:$G$494,AN$5,'VS×ケイパビリティ関係'!$E$4:$E$494,"主")&gt;0,"●",IF(COUNTIFS('VS×ケイパビリティ関係'!$F$4:$F$494,$B22,'VS×ケイパビリティ関係'!$G$4:$G$494,AN$5,'VS×ケイパビリティ関係'!$E$4:$E$494,"支援")&gt;0,"○",""))</f>
        <v/>
      </c>
      <c r="AO22" s="98">
        <f>IF(COUNTIFS('VS×ケイパビリティ関係'!$F$4:$F$494,$B22,'VS×ケイパビリティ関係'!$G$4:$G$494,AO$5,'VS×ケイパビリティ関係'!$E$4:$E$494,"主")&gt;0,"●",IF(COUNTIFS('VS×ケイパビリティ関係'!$F$4:$F$494,$B22,'VS×ケイパビリティ関係'!$G$4:$G$494,AO$5,'VS×ケイパビリティ関係'!$E$4:$E$494,"支援")&gt;0,"○",""))</f>
        <v/>
      </c>
      <c r="AP22" s="98">
        <f>IF(COUNTIFS('VS×ケイパビリティ関係'!$F$4:$F$494,$B22,'VS×ケイパビリティ関係'!$G$4:$G$494,AP$5,'VS×ケイパビリティ関係'!$E$4:$E$494,"主")&gt;0,"●",IF(COUNTIFS('VS×ケイパビリティ関係'!$F$4:$F$494,$B22,'VS×ケイパビリティ関係'!$G$4:$G$494,AP$5,'VS×ケイパビリティ関係'!$E$4:$E$494,"支援")&gt;0,"○",""))</f>
        <v/>
      </c>
      <c r="AQ22" s="98">
        <f>IF(COUNTIFS('VS×ケイパビリティ関係'!$F$4:$F$494,$B22,'VS×ケイパビリティ関係'!$G$4:$G$494,AQ$5,'VS×ケイパビリティ関係'!$E$4:$E$494,"主")&gt;0,"●",IF(COUNTIFS('VS×ケイパビリティ関係'!$F$4:$F$494,$B22,'VS×ケイパビリティ関係'!$G$4:$G$494,AQ$5,'VS×ケイパビリティ関係'!$E$4:$E$494,"支援")&gt;0,"○",""))</f>
        <v/>
      </c>
      <c r="AR22" s="98">
        <f>IF(COUNTIFS('VS×ケイパビリティ関係'!$F$4:$F$494,$B22,'VS×ケイパビリティ関係'!$G$4:$G$494,AR$5,'VS×ケイパビリティ関係'!$E$4:$E$494,"主")&gt;0,"●",IF(COUNTIFS('VS×ケイパビリティ関係'!$F$4:$F$494,$B22,'VS×ケイパビリティ関係'!$G$4:$G$494,AR$5,'VS×ケイパビリティ関係'!$E$4:$E$494,"支援")&gt;0,"○",""))</f>
        <v/>
      </c>
      <c r="AS22" s="98">
        <f>IF(COUNTIFS('VS×ケイパビリティ関係'!$F$4:$F$494,$B22,'VS×ケイパビリティ関係'!$G$4:$G$494,AS$5,'VS×ケイパビリティ関係'!$E$4:$E$494,"主")&gt;0,"●",IF(COUNTIFS('VS×ケイパビリティ関係'!$F$4:$F$494,$B22,'VS×ケイパビリティ関係'!$G$4:$G$494,AS$5,'VS×ケイパビリティ関係'!$E$4:$E$494,"支援")&gt;0,"○",""))</f>
        <v/>
      </c>
      <c r="AT22" s="98">
        <f>IF(COUNTIFS('VS×ケイパビリティ関係'!$F$4:$F$494,$B22,'VS×ケイパビリティ関係'!$G$4:$G$494,AT$5,'VS×ケイパビリティ関係'!$E$4:$E$494,"主")&gt;0,"●",IF(COUNTIFS('VS×ケイパビリティ関係'!$F$4:$F$494,$B22,'VS×ケイパビリティ関係'!$G$4:$G$494,AT$5,'VS×ケイパビリティ関係'!$E$4:$E$494,"支援")&gt;0,"○",""))</f>
        <v/>
      </c>
      <c r="AU22" s="98">
        <f>IF(COUNTIFS('VS×ケイパビリティ関係'!$F$4:$F$494,$B22,'VS×ケイパビリティ関係'!$G$4:$G$494,AU$5,'VS×ケイパビリティ関係'!$E$4:$E$494,"主")&gt;0,"●",IF(COUNTIFS('VS×ケイパビリティ関係'!$F$4:$F$494,$B22,'VS×ケイパビリティ関係'!$G$4:$G$494,AU$5,'VS×ケイパビリティ関係'!$E$4:$E$494,"支援")&gt;0,"○",""))</f>
        <v/>
      </c>
      <c r="AV22" s="98">
        <f>IF(COUNTIFS('VS×ケイパビリティ関係'!$F$4:$F$494,$B22,'VS×ケイパビリティ関係'!$G$4:$G$494,AV$5,'VS×ケイパビリティ関係'!$E$4:$E$494,"主")&gt;0,"●",IF(COUNTIFS('VS×ケイパビリティ関係'!$F$4:$F$494,$B22,'VS×ケイパビリティ関係'!$G$4:$G$494,AV$5,'VS×ケイパビリティ関係'!$E$4:$E$494,"支援")&gt;0,"○",""))</f>
        <v/>
      </c>
      <c r="AW22" s="98">
        <f>IF(COUNTIFS('VS×ケイパビリティ関係'!$F$4:$F$494,$B22,'VS×ケイパビリティ関係'!$G$4:$G$494,AW$5,'VS×ケイパビリティ関係'!$E$4:$E$494,"主")&gt;0,"●",IF(COUNTIFS('VS×ケイパビリティ関係'!$F$4:$F$494,$B22,'VS×ケイパビリティ関係'!$G$4:$G$494,AW$5,'VS×ケイパビリティ関係'!$E$4:$E$494,"支援")&gt;0,"○",""))</f>
        <v/>
      </c>
      <c r="AX22" s="98">
        <f>IF(COUNTIFS('VS×ケイパビリティ関係'!$F$4:$F$494,$B22,'VS×ケイパビリティ関係'!$G$4:$G$494,AX$5,'VS×ケイパビリティ関係'!$E$4:$E$494,"主")&gt;0,"●",IF(COUNTIFS('VS×ケイパビリティ関係'!$F$4:$F$494,$B22,'VS×ケイパビリティ関係'!$G$4:$G$494,AX$5,'VS×ケイパビリティ関係'!$E$4:$E$494,"支援")&gt;0,"○",""))</f>
        <v/>
      </c>
      <c r="AY22" s="98">
        <f>IF(COUNTIFS('VS×ケイパビリティ関係'!$F$4:$F$494,$B22,'VS×ケイパビリティ関係'!$G$4:$G$494,AY$5,'VS×ケイパビリティ関係'!$E$4:$E$494,"主")&gt;0,"●",IF(COUNTIFS('VS×ケイパビリティ関係'!$F$4:$F$494,$B22,'VS×ケイパビリティ関係'!$G$4:$G$494,AY$5,'VS×ケイパビリティ関係'!$E$4:$E$494,"支援")&gt;0,"○",""))</f>
        <v/>
      </c>
      <c r="AZ22" s="98">
        <f>IF(COUNTIFS('VS×ケイパビリティ関係'!$F$4:$F$494,$B22,'VS×ケイパビリティ関係'!$G$4:$G$494,AZ$5,'VS×ケイパビリティ関係'!$E$4:$E$494,"主")&gt;0,"●",IF(COUNTIFS('VS×ケイパビリティ関係'!$F$4:$F$494,$B22,'VS×ケイパビリティ関係'!$G$4:$G$494,AZ$5,'VS×ケイパビリティ関係'!$E$4:$E$494,"支援")&gt;0,"○",""))</f>
        <v/>
      </c>
      <c r="BA22" s="98">
        <f>IF(COUNTIFS('VS×ケイパビリティ関係'!$F$4:$F$494,$B22,'VS×ケイパビリティ関係'!$G$4:$G$494,BA$5,'VS×ケイパビリティ関係'!$E$4:$E$494,"主")&gt;0,"●",IF(COUNTIFS('VS×ケイパビリティ関係'!$F$4:$F$494,$B22,'VS×ケイパビリティ関係'!$G$4:$G$494,BA$5,'VS×ケイパビリティ関係'!$E$4:$E$494,"支援")&gt;0,"○",""))</f>
        <v/>
      </c>
      <c r="BB22" s="98">
        <f>IF(COUNTIFS('VS×ケイパビリティ関係'!$F$4:$F$494,$B22,'VS×ケイパビリティ関係'!$G$4:$G$494,BB$5,'VS×ケイパビリティ関係'!$E$4:$E$494,"主")&gt;0,"●",IF(COUNTIFS('VS×ケイパビリティ関係'!$F$4:$F$494,$B22,'VS×ケイパビリティ関係'!$G$4:$G$494,BB$5,'VS×ケイパビリティ関係'!$E$4:$E$494,"支援")&gt;0,"○",""))</f>
        <v/>
      </c>
      <c r="BC22" s="98">
        <f>IF(COUNTIFS('VS×ケイパビリティ関係'!$F$4:$F$494,$B22,'VS×ケイパビリティ関係'!$G$4:$G$494,BC$5,'VS×ケイパビリティ関係'!$E$4:$E$494,"主")&gt;0,"●",IF(COUNTIFS('VS×ケイパビリティ関係'!$F$4:$F$494,$B22,'VS×ケイパビリティ関係'!$G$4:$G$494,BC$5,'VS×ケイパビリティ関係'!$E$4:$E$494,"支援")&gt;0,"○",""))</f>
        <v/>
      </c>
      <c r="BD22" s="98">
        <f>IF(COUNTIFS('VS×ケイパビリティ関係'!$F$4:$F$494,$B22,'VS×ケイパビリティ関係'!$G$4:$G$494,BD$5,'VS×ケイパビリティ関係'!$E$4:$E$494,"主")&gt;0,"●",IF(COUNTIFS('VS×ケイパビリティ関係'!$F$4:$F$494,$B22,'VS×ケイパビリティ関係'!$G$4:$G$494,BD$5,'VS×ケイパビリティ関係'!$E$4:$E$494,"支援")&gt;0,"○",""))</f>
        <v/>
      </c>
      <c r="BE22" s="98">
        <f>COUNTIF(D22:BD22,"●")</f>
        <v/>
      </c>
      <c r="BF22" s="98">
        <f>COUNTIF(D22:BD22,"○")</f>
        <v/>
      </c>
    </row>
    <row r="23" ht="26.25" customHeight="1" s="80">
      <c r="A23" s="116" t="n"/>
      <c r="B23" s="98" t="inlineStr">
        <is>
          <t>04-02</t>
        </is>
      </c>
      <c r="C23" s="100" t="inlineStr">
        <is>
          <t>★第I/II相（患者での安全性・PK・PoC）</t>
        </is>
      </c>
      <c r="D23" s="98">
        <f>IF(COUNTIFS('VS×ケイパビリティ関係'!$F$4:$F$494,$B23,'VS×ケイパビリティ関係'!$G$4:$G$494,D$5,'VS×ケイパビリティ関係'!$E$4:$E$494,"主")&gt;0,"●",IF(COUNTIFS('VS×ケイパビリティ関係'!$F$4:$F$494,$B23,'VS×ケイパビリティ関係'!$G$4:$G$494,D$5,'VS×ケイパビリティ関係'!$E$4:$E$494,"支援")&gt;0,"○",""))</f>
        <v/>
      </c>
      <c r="E23" s="98">
        <f>IF(COUNTIFS('VS×ケイパビリティ関係'!$F$4:$F$494,$B23,'VS×ケイパビリティ関係'!$G$4:$G$494,E$5,'VS×ケイパビリティ関係'!$E$4:$E$494,"主")&gt;0,"●",IF(COUNTIFS('VS×ケイパビリティ関係'!$F$4:$F$494,$B23,'VS×ケイパビリティ関係'!$G$4:$G$494,E$5,'VS×ケイパビリティ関係'!$E$4:$E$494,"支援")&gt;0,"○",""))</f>
        <v/>
      </c>
      <c r="F23" s="98">
        <f>IF(COUNTIFS('VS×ケイパビリティ関係'!$F$4:$F$494,$B23,'VS×ケイパビリティ関係'!$G$4:$G$494,F$5,'VS×ケイパビリティ関係'!$E$4:$E$494,"主")&gt;0,"●",IF(COUNTIFS('VS×ケイパビリティ関係'!$F$4:$F$494,$B23,'VS×ケイパビリティ関係'!$G$4:$G$494,F$5,'VS×ケイパビリティ関係'!$E$4:$E$494,"支援")&gt;0,"○",""))</f>
        <v/>
      </c>
      <c r="G23" s="98">
        <f>IF(COUNTIFS('VS×ケイパビリティ関係'!$F$4:$F$494,$B23,'VS×ケイパビリティ関係'!$G$4:$G$494,G$5,'VS×ケイパビリティ関係'!$E$4:$E$494,"主")&gt;0,"●",IF(COUNTIFS('VS×ケイパビリティ関係'!$F$4:$F$494,$B23,'VS×ケイパビリティ関係'!$G$4:$G$494,G$5,'VS×ケイパビリティ関係'!$E$4:$E$494,"支援")&gt;0,"○",""))</f>
        <v/>
      </c>
      <c r="H23" s="98">
        <f>IF(COUNTIFS('VS×ケイパビリティ関係'!$F$4:$F$494,$B23,'VS×ケイパビリティ関係'!$G$4:$G$494,H$5,'VS×ケイパビリティ関係'!$E$4:$E$494,"主")&gt;0,"●",IF(COUNTIFS('VS×ケイパビリティ関係'!$F$4:$F$494,$B23,'VS×ケイパビリティ関係'!$G$4:$G$494,H$5,'VS×ケイパビリティ関係'!$E$4:$E$494,"支援")&gt;0,"○",""))</f>
        <v/>
      </c>
      <c r="I23" s="98">
        <f>IF(COUNTIFS('VS×ケイパビリティ関係'!$F$4:$F$494,$B23,'VS×ケイパビリティ関係'!$G$4:$G$494,I$5,'VS×ケイパビリティ関係'!$E$4:$E$494,"主")&gt;0,"●",IF(COUNTIFS('VS×ケイパビリティ関係'!$F$4:$F$494,$B23,'VS×ケイパビリティ関係'!$G$4:$G$494,I$5,'VS×ケイパビリティ関係'!$E$4:$E$494,"支援")&gt;0,"○",""))</f>
        <v/>
      </c>
      <c r="J23" s="98">
        <f>IF(COUNTIFS('VS×ケイパビリティ関係'!$F$4:$F$494,$B23,'VS×ケイパビリティ関係'!$G$4:$G$494,J$5,'VS×ケイパビリティ関係'!$E$4:$E$494,"主")&gt;0,"●",IF(COUNTIFS('VS×ケイパビリティ関係'!$F$4:$F$494,$B23,'VS×ケイパビリティ関係'!$G$4:$G$494,J$5,'VS×ケイパビリティ関係'!$E$4:$E$494,"支援")&gt;0,"○",""))</f>
        <v/>
      </c>
      <c r="K23" s="98">
        <f>IF(COUNTIFS('VS×ケイパビリティ関係'!$F$4:$F$494,$B23,'VS×ケイパビリティ関係'!$G$4:$G$494,K$5,'VS×ケイパビリティ関係'!$E$4:$E$494,"主")&gt;0,"●",IF(COUNTIFS('VS×ケイパビリティ関係'!$F$4:$F$494,$B23,'VS×ケイパビリティ関係'!$G$4:$G$494,K$5,'VS×ケイパビリティ関係'!$E$4:$E$494,"支援")&gt;0,"○",""))</f>
        <v/>
      </c>
      <c r="L23" s="98">
        <f>IF(COUNTIFS('VS×ケイパビリティ関係'!$F$4:$F$494,$B23,'VS×ケイパビリティ関係'!$G$4:$G$494,L$5,'VS×ケイパビリティ関係'!$E$4:$E$494,"主")&gt;0,"●",IF(COUNTIFS('VS×ケイパビリティ関係'!$F$4:$F$494,$B23,'VS×ケイパビリティ関係'!$G$4:$G$494,L$5,'VS×ケイパビリティ関係'!$E$4:$E$494,"支援")&gt;0,"○",""))</f>
        <v/>
      </c>
      <c r="M23" s="98">
        <f>IF(COUNTIFS('VS×ケイパビリティ関係'!$F$4:$F$494,$B23,'VS×ケイパビリティ関係'!$G$4:$G$494,M$5,'VS×ケイパビリティ関係'!$E$4:$E$494,"主")&gt;0,"●",IF(COUNTIFS('VS×ケイパビリティ関係'!$F$4:$F$494,$B23,'VS×ケイパビリティ関係'!$G$4:$G$494,M$5,'VS×ケイパビリティ関係'!$E$4:$E$494,"支援")&gt;0,"○",""))</f>
        <v/>
      </c>
      <c r="N23" s="98">
        <f>IF(COUNTIFS('VS×ケイパビリティ関係'!$F$4:$F$494,$B23,'VS×ケイパビリティ関係'!$G$4:$G$494,N$5,'VS×ケイパビリティ関係'!$E$4:$E$494,"主")&gt;0,"●",IF(COUNTIFS('VS×ケイパビリティ関係'!$F$4:$F$494,$B23,'VS×ケイパビリティ関係'!$G$4:$G$494,N$5,'VS×ケイパビリティ関係'!$E$4:$E$494,"支援")&gt;0,"○",""))</f>
        <v/>
      </c>
      <c r="O23" s="98">
        <f>IF(COUNTIFS('VS×ケイパビリティ関係'!$F$4:$F$494,$B23,'VS×ケイパビリティ関係'!$G$4:$G$494,O$5,'VS×ケイパビリティ関係'!$E$4:$E$494,"主")&gt;0,"●",IF(COUNTIFS('VS×ケイパビリティ関係'!$F$4:$F$494,$B23,'VS×ケイパビリティ関係'!$G$4:$G$494,O$5,'VS×ケイパビリティ関係'!$E$4:$E$494,"支援")&gt;0,"○",""))</f>
        <v/>
      </c>
      <c r="P23" s="98">
        <f>IF(COUNTIFS('VS×ケイパビリティ関係'!$F$4:$F$494,$B23,'VS×ケイパビリティ関係'!$G$4:$G$494,P$5,'VS×ケイパビリティ関係'!$E$4:$E$494,"主")&gt;0,"●",IF(COUNTIFS('VS×ケイパビリティ関係'!$F$4:$F$494,$B23,'VS×ケイパビリティ関係'!$G$4:$G$494,P$5,'VS×ケイパビリティ関係'!$E$4:$E$494,"支援")&gt;0,"○",""))</f>
        <v/>
      </c>
      <c r="Q23" s="98">
        <f>IF(COUNTIFS('VS×ケイパビリティ関係'!$F$4:$F$494,$B23,'VS×ケイパビリティ関係'!$G$4:$G$494,Q$5,'VS×ケイパビリティ関係'!$E$4:$E$494,"主")&gt;0,"●",IF(COUNTIFS('VS×ケイパビリティ関係'!$F$4:$F$494,$B23,'VS×ケイパビリティ関係'!$G$4:$G$494,Q$5,'VS×ケイパビリティ関係'!$E$4:$E$494,"支援")&gt;0,"○",""))</f>
        <v/>
      </c>
      <c r="R23" s="98">
        <f>IF(COUNTIFS('VS×ケイパビリティ関係'!$F$4:$F$494,$B23,'VS×ケイパビリティ関係'!$G$4:$G$494,R$5,'VS×ケイパビリティ関係'!$E$4:$E$494,"主")&gt;0,"●",IF(COUNTIFS('VS×ケイパビリティ関係'!$F$4:$F$494,$B23,'VS×ケイパビリティ関係'!$G$4:$G$494,R$5,'VS×ケイパビリティ関係'!$E$4:$E$494,"支援")&gt;0,"○",""))</f>
        <v/>
      </c>
      <c r="S23" s="98">
        <f>IF(COUNTIFS('VS×ケイパビリティ関係'!$F$4:$F$494,$B23,'VS×ケイパビリティ関係'!$G$4:$G$494,S$5,'VS×ケイパビリティ関係'!$E$4:$E$494,"主")&gt;0,"●",IF(COUNTIFS('VS×ケイパビリティ関係'!$F$4:$F$494,$B23,'VS×ケイパビリティ関係'!$G$4:$G$494,S$5,'VS×ケイパビリティ関係'!$E$4:$E$494,"支援")&gt;0,"○",""))</f>
        <v/>
      </c>
      <c r="T23" s="98">
        <f>IF(COUNTIFS('VS×ケイパビリティ関係'!$F$4:$F$494,$B23,'VS×ケイパビリティ関係'!$G$4:$G$494,T$5,'VS×ケイパビリティ関係'!$E$4:$E$494,"主")&gt;0,"●",IF(COUNTIFS('VS×ケイパビリティ関係'!$F$4:$F$494,$B23,'VS×ケイパビリティ関係'!$G$4:$G$494,T$5,'VS×ケイパビリティ関係'!$E$4:$E$494,"支援")&gt;0,"○",""))</f>
        <v/>
      </c>
      <c r="U23" s="98">
        <f>IF(COUNTIFS('VS×ケイパビリティ関係'!$F$4:$F$494,$B23,'VS×ケイパビリティ関係'!$G$4:$G$494,U$5,'VS×ケイパビリティ関係'!$E$4:$E$494,"主")&gt;0,"●",IF(COUNTIFS('VS×ケイパビリティ関係'!$F$4:$F$494,$B23,'VS×ケイパビリティ関係'!$G$4:$G$494,U$5,'VS×ケイパビリティ関係'!$E$4:$E$494,"支援")&gt;0,"○",""))</f>
        <v/>
      </c>
      <c r="V23" s="98">
        <f>IF(COUNTIFS('VS×ケイパビリティ関係'!$F$4:$F$494,$B23,'VS×ケイパビリティ関係'!$G$4:$G$494,V$5,'VS×ケイパビリティ関係'!$E$4:$E$494,"主")&gt;0,"●",IF(COUNTIFS('VS×ケイパビリティ関係'!$F$4:$F$494,$B23,'VS×ケイパビリティ関係'!$G$4:$G$494,V$5,'VS×ケイパビリティ関係'!$E$4:$E$494,"支援")&gt;0,"○",""))</f>
        <v/>
      </c>
      <c r="W23" s="98">
        <f>IF(COUNTIFS('VS×ケイパビリティ関係'!$F$4:$F$494,$B23,'VS×ケイパビリティ関係'!$G$4:$G$494,W$5,'VS×ケイパビリティ関係'!$E$4:$E$494,"主")&gt;0,"●",IF(COUNTIFS('VS×ケイパビリティ関係'!$F$4:$F$494,$B23,'VS×ケイパビリティ関係'!$G$4:$G$494,W$5,'VS×ケイパビリティ関係'!$E$4:$E$494,"支援")&gt;0,"○",""))</f>
        <v/>
      </c>
      <c r="X23" s="98">
        <f>IF(COUNTIFS('VS×ケイパビリティ関係'!$F$4:$F$494,$B23,'VS×ケイパビリティ関係'!$G$4:$G$494,X$5,'VS×ケイパビリティ関係'!$E$4:$E$494,"主")&gt;0,"●",IF(COUNTIFS('VS×ケイパビリティ関係'!$F$4:$F$494,$B23,'VS×ケイパビリティ関係'!$G$4:$G$494,X$5,'VS×ケイパビリティ関係'!$E$4:$E$494,"支援")&gt;0,"○",""))</f>
        <v/>
      </c>
      <c r="Y23" s="98">
        <f>IF(COUNTIFS('VS×ケイパビリティ関係'!$F$4:$F$494,$B23,'VS×ケイパビリティ関係'!$G$4:$G$494,Y$5,'VS×ケイパビリティ関係'!$E$4:$E$494,"主")&gt;0,"●",IF(COUNTIFS('VS×ケイパビリティ関係'!$F$4:$F$494,$B23,'VS×ケイパビリティ関係'!$G$4:$G$494,Y$5,'VS×ケイパビリティ関係'!$E$4:$E$494,"支援")&gt;0,"○",""))</f>
        <v/>
      </c>
      <c r="Z23" s="98">
        <f>IF(COUNTIFS('VS×ケイパビリティ関係'!$F$4:$F$494,$B23,'VS×ケイパビリティ関係'!$G$4:$G$494,Z$5,'VS×ケイパビリティ関係'!$E$4:$E$494,"主")&gt;0,"●",IF(COUNTIFS('VS×ケイパビリティ関係'!$F$4:$F$494,$B23,'VS×ケイパビリティ関係'!$G$4:$G$494,Z$5,'VS×ケイパビリティ関係'!$E$4:$E$494,"支援")&gt;0,"○",""))</f>
        <v/>
      </c>
      <c r="AA23" s="98">
        <f>IF(COUNTIFS('VS×ケイパビリティ関係'!$F$4:$F$494,$B23,'VS×ケイパビリティ関係'!$G$4:$G$494,AA$5,'VS×ケイパビリティ関係'!$E$4:$E$494,"主")&gt;0,"●",IF(COUNTIFS('VS×ケイパビリティ関係'!$F$4:$F$494,$B23,'VS×ケイパビリティ関係'!$G$4:$G$494,AA$5,'VS×ケイパビリティ関係'!$E$4:$E$494,"支援")&gt;0,"○",""))</f>
        <v/>
      </c>
      <c r="AB23" s="98">
        <f>IF(COUNTIFS('VS×ケイパビリティ関係'!$F$4:$F$494,$B23,'VS×ケイパビリティ関係'!$G$4:$G$494,AB$5,'VS×ケイパビリティ関係'!$E$4:$E$494,"主")&gt;0,"●",IF(COUNTIFS('VS×ケイパビリティ関係'!$F$4:$F$494,$B23,'VS×ケイパビリティ関係'!$G$4:$G$494,AB$5,'VS×ケイパビリティ関係'!$E$4:$E$494,"支援")&gt;0,"○",""))</f>
        <v/>
      </c>
      <c r="AC23" s="98">
        <f>IF(COUNTIFS('VS×ケイパビリティ関係'!$F$4:$F$494,$B23,'VS×ケイパビリティ関係'!$G$4:$G$494,AC$5,'VS×ケイパビリティ関係'!$E$4:$E$494,"主")&gt;0,"●",IF(COUNTIFS('VS×ケイパビリティ関係'!$F$4:$F$494,$B23,'VS×ケイパビリティ関係'!$G$4:$G$494,AC$5,'VS×ケイパビリティ関係'!$E$4:$E$494,"支援")&gt;0,"○",""))</f>
        <v/>
      </c>
      <c r="AD23" s="98">
        <f>IF(COUNTIFS('VS×ケイパビリティ関係'!$F$4:$F$494,$B23,'VS×ケイパビリティ関係'!$G$4:$G$494,AD$5,'VS×ケイパビリティ関係'!$E$4:$E$494,"主")&gt;0,"●",IF(COUNTIFS('VS×ケイパビリティ関係'!$F$4:$F$494,$B23,'VS×ケイパビリティ関係'!$G$4:$G$494,AD$5,'VS×ケイパビリティ関係'!$E$4:$E$494,"支援")&gt;0,"○",""))</f>
        <v/>
      </c>
      <c r="AE23" s="98">
        <f>IF(COUNTIFS('VS×ケイパビリティ関係'!$F$4:$F$494,$B23,'VS×ケイパビリティ関係'!$G$4:$G$494,AE$5,'VS×ケイパビリティ関係'!$E$4:$E$494,"主")&gt;0,"●",IF(COUNTIFS('VS×ケイパビリティ関係'!$F$4:$F$494,$B23,'VS×ケイパビリティ関係'!$G$4:$G$494,AE$5,'VS×ケイパビリティ関係'!$E$4:$E$494,"支援")&gt;0,"○",""))</f>
        <v/>
      </c>
      <c r="AF23" s="98">
        <f>IF(COUNTIFS('VS×ケイパビリティ関係'!$F$4:$F$494,$B23,'VS×ケイパビリティ関係'!$G$4:$G$494,AF$5,'VS×ケイパビリティ関係'!$E$4:$E$494,"主")&gt;0,"●",IF(COUNTIFS('VS×ケイパビリティ関係'!$F$4:$F$494,$B23,'VS×ケイパビリティ関係'!$G$4:$G$494,AF$5,'VS×ケイパビリティ関係'!$E$4:$E$494,"支援")&gt;0,"○",""))</f>
        <v/>
      </c>
      <c r="AG23" s="98">
        <f>IF(COUNTIFS('VS×ケイパビリティ関係'!$F$4:$F$494,$B23,'VS×ケイパビリティ関係'!$G$4:$G$494,AG$5,'VS×ケイパビリティ関係'!$E$4:$E$494,"主")&gt;0,"●",IF(COUNTIFS('VS×ケイパビリティ関係'!$F$4:$F$494,$B23,'VS×ケイパビリティ関係'!$G$4:$G$494,AG$5,'VS×ケイパビリティ関係'!$E$4:$E$494,"支援")&gt;0,"○",""))</f>
        <v/>
      </c>
      <c r="AH23" s="98">
        <f>IF(COUNTIFS('VS×ケイパビリティ関係'!$F$4:$F$494,$B23,'VS×ケイパビリティ関係'!$G$4:$G$494,AH$5,'VS×ケイパビリティ関係'!$E$4:$E$494,"主")&gt;0,"●",IF(COUNTIFS('VS×ケイパビリティ関係'!$F$4:$F$494,$B23,'VS×ケイパビリティ関係'!$G$4:$G$494,AH$5,'VS×ケイパビリティ関係'!$E$4:$E$494,"支援")&gt;0,"○",""))</f>
        <v/>
      </c>
      <c r="AI23" s="98">
        <f>IF(COUNTIFS('VS×ケイパビリティ関係'!$F$4:$F$494,$B23,'VS×ケイパビリティ関係'!$G$4:$G$494,AI$5,'VS×ケイパビリティ関係'!$E$4:$E$494,"主")&gt;0,"●",IF(COUNTIFS('VS×ケイパビリティ関係'!$F$4:$F$494,$B23,'VS×ケイパビリティ関係'!$G$4:$G$494,AI$5,'VS×ケイパビリティ関係'!$E$4:$E$494,"支援")&gt;0,"○",""))</f>
        <v/>
      </c>
      <c r="AJ23" s="98">
        <f>IF(COUNTIFS('VS×ケイパビリティ関係'!$F$4:$F$494,$B23,'VS×ケイパビリティ関係'!$G$4:$G$494,AJ$5,'VS×ケイパビリティ関係'!$E$4:$E$494,"主")&gt;0,"●",IF(COUNTIFS('VS×ケイパビリティ関係'!$F$4:$F$494,$B23,'VS×ケイパビリティ関係'!$G$4:$G$494,AJ$5,'VS×ケイパビリティ関係'!$E$4:$E$494,"支援")&gt;0,"○",""))</f>
        <v/>
      </c>
      <c r="AK23" s="98">
        <f>IF(COUNTIFS('VS×ケイパビリティ関係'!$F$4:$F$494,$B23,'VS×ケイパビリティ関係'!$G$4:$G$494,AK$5,'VS×ケイパビリティ関係'!$E$4:$E$494,"主")&gt;0,"●",IF(COUNTIFS('VS×ケイパビリティ関係'!$F$4:$F$494,$B23,'VS×ケイパビリティ関係'!$G$4:$G$494,AK$5,'VS×ケイパビリティ関係'!$E$4:$E$494,"支援")&gt;0,"○",""))</f>
        <v/>
      </c>
      <c r="AL23" s="98">
        <f>IF(COUNTIFS('VS×ケイパビリティ関係'!$F$4:$F$494,$B23,'VS×ケイパビリティ関係'!$G$4:$G$494,AL$5,'VS×ケイパビリティ関係'!$E$4:$E$494,"主")&gt;0,"●",IF(COUNTIFS('VS×ケイパビリティ関係'!$F$4:$F$494,$B23,'VS×ケイパビリティ関係'!$G$4:$G$494,AL$5,'VS×ケイパビリティ関係'!$E$4:$E$494,"支援")&gt;0,"○",""))</f>
        <v/>
      </c>
      <c r="AM23" s="98">
        <f>IF(COUNTIFS('VS×ケイパビリティ関係'!$F$4:$F$494,$B23,'VS×ケイパビリティ関係'!$G$4:$G$494,AM$5,'VS×ケイパビリティ関係'!$E$4:$E$494,"主")&gt;0,"●",IF(COUNTIFS('VS×ケイパビリティ関係'!$F$4:$F$494,$B23,'VS×ケイパビリティ関係'!$G$4:$G$494,AM$5,'VS×ケイパビリティ関係'!$E$4:$E$494,"支援")&gt;0,"○",""))</f>
        <v/>
      </c>
      <c r="AN23" s="98">
        <f>IF(COUNTIFS('VS×ケイパビリティ関係'!$F$4:$F$494,$B23,'VS×ケイパビリティ関係'!$G$4:$G$494,AN$5,'VS×ケイパビリティ関係'!$E$4:$E$494,"主")&gt;0,"●",IF(COUNTIFS('VS×ケイパビリティ関係'!$F$4:$F$494,$B23,'VS×ケイパビリティ関係'!$G$4:$G$494,AN$5,'VS×ケイパビリティ関係'!$E$4:$E$494,"支援")&gt;0,"○",""))</f>
        <v/>
      </c>
      <c r="AO23" s="98">
        <f>IF(COUNTIFS('VS×ケイパビリティ関係'!$F$4:$F$494,$B23,'VS×ケイパビリティ関係'!$G$4:$G$494,AO$5,'VS×ケイパビリティ関係'!$E$4:$E$494,"主")&gt;0,"●",IF(COUNTIFS('VS×ケイパビリティ関係'!$F$4:$F$494,$B23,'VS×ケイパビリティ関係'!$G$4:$G$494,AO$5,'VS×ケイパビリティ関係'!$E$4:$E$494,"支援")&gt;0,"○",""))</f>
        <v/>
      </c>
      <c r="AP23" s="98">
        <f>IF(COUNTIFS('VS×ケイパビリティ関係'!$F$4:$F$494,$B23,'VS×ケイパビリティ関係'!$G$4:$G$494,AP$5,'VS×ケイパビリティ関係'!$E$4:$E$494,"主")&gt;0,"●",IF(COUNTIFS('VS×ケイパビリティ関係'!$F$4:$F$494,$B23,'VS×ケイパビリティ関係'!$G$4:$G$494,AP$5,'VS×ケイパビリティ関係'!$E$4:$E$494,"支援")&gt;0,"○",""))</f>
        <v/>
      </c>
      <c r="AQ23" s="98">
        <f>IF(COUNTIFS('VS×ケイパビリティ関係'!$F$4:$F$494,$B23,'VS×ケイパビリティ関係'!$G$4:$G$494,AQ$5,'VS×ケイパビリティ関係'!$E$4:$E$494,"主")&gt;0,"●",IF(COUNTIFS('VS×ケイパビリティ関係'!$F$4:$F$494,$B23,'VS×ケイパビリティ関係'!$G$4:$G$494,AQ$5,'VS×ケイパビリティ関係'!$E$4:$E$494,"支援")&gt;0,"○",""))</f>
        <v/>
      </c>
      <c r="AR23" s="98">
        <f>IF(COUNTIFS('VS×ケイパビリティ関係'!$F$4:$F$494,$B23,'VS×ケイパビリティ関係'!$G$4:$G$494,AR$5,'VS×ケイパビリティ関係'!$E$4:$E$494,"主")&gt;0,"●",IF(COUNTIFS('VS×ケイパビリティ関係'!$F$4:$F$494,$B23,'VS×ケイパビリティ関係'!$G$4:$G$494,AR$5,'VS×ケイパビリティ関係'!$E$4:$E$494,"支援")&gt;0,"○",""))</f>
        <v/>
      </c>
      <c r="AS23" s="98">
        <f>IF(COUNTIFS('VS×ケイパビリティ関係'!$F$4:$F$494,$B23,'VS×ケイパビリティ関係'!$G$4:$G$494,AS$5,'VS×ケイパビリティ関係'!$E$4:$E$494,"主")&gt;0,"●",IF(COUNTIFS('VS×ケイパビリティ関係'!$F$4:$F$494,$B23,'VS×ケイパビリティ関係'!$G$4:$G$494,AS$5,'VS×ケイパビリティ関係'!$E$4:$E$494,"支援")&gt;0,"○",""))</f>
        <v/>
      </c>
      <c r="AT23" s="98">
        <f>IF(COUNTIFS('VS×ケイパビリティ関係'!$F$4:$F$494,$B23,'VS×ケイパビリティ関係'!$G$4:$G$494,AT$5,'VS×ケイパビリティ関係'!$E$4:$E$494,"主")&gt;0,"●",IF(COUNTIFS('VS×ケイパビリティ関係'!$F$4:$F$494,$B23,'VS×ケイパビリティ関係'!$G$4:$G$494,AT$5,'VS×ケイパビリティ関係'!$E$4:$E$494,"支援")&gt;0,"○",""))</f>
        <v/>
      </c>
      <c r="AU23" s="98">
        <f>IF(COUNTIFS('VS×ケイパビリティ関係'!$F$4:$F$494,$B23,'VS×ケイパビリティ関係'!$G$4:$G$494,AU$5,'VS×ケイパビリティ関係'!$E$4:$E$494,"主")&gt;0,"●",IF(COUNTIFS('VS×ケイパビリティ関係'!$F$4:$F$494,$B23,'VS×ケイパビリティ関係'!$G$4:$G$494,AU$5,'VS×ケイパビリティ関係'!$E$4:$E$494,"支援")&gt;0,"○",""))</f>
        <v/>
      </c>
      <c r="AV23" s="98">
        <f>IF(COUNTIFS('VS×ケイパビリティ関係'!$F$4:$F$494,$B23,'VS×ケイパビリティ関係'!$G$4:$G$494,AV$5,'VS×ケイパビリティ関係'!$E$4:$E$494,"主")&gt;0,"●",IF(COUNTIFS('VS×ケイパビリティ関係'!$F$4:$F$494,$B23,'VS×ケイパビリティ関係'!$G$4:$G$494,AV$5,'VS×ケイパビリティ関係'!$E$4:$E$494,"支援")&gt;0,"○",""))</f>
        <v/>
      </c>
      <c r="AW23" s="98">
        <f>IF(COUNTIFS('VS×ケイパビリティ関係'!$F$4:$F$494,$B23,'VS×ケイパビリティ関係'!$G$4:$G$494,AW$5,'VS×ケイパビリティ関係'!$E$4:$E$494,"主")&gt;0,"●",IF(COUNTIFS('VS×ケイパビリティ関係'!$F$4:$F$494,$B23,'VS×ケイパビリティ関係'!$G$4:$G$494,AW$5,'VS×ケイパビリティ関係'!$E$4:$E$494,"支援")&gt;0,"○",""))</f>
        <v/>
      </c>
      <c r="AX23" s="98">
        <f>IF(COUNTIFS('VS×ケイパビリティ関係'!$F$4:$F$494,$B23,'VS×ケイパビリティ関係'!$G$4:$G$494,AX$5,'VS×ケイパビリティ関係'!$E$4:$E$494,"主")&gt;0,"●",IF(COUNTIFS('VS×ケイパビリティ関係'!$F$4:$F$494,$B23,'VS×ケイパビリティ関係'!$G$4:$G$494,AX$5,'VS×ケイパビリティ関係'!$E$4:$E$494,"支援")&gt;0,"○",""))</f>
        <v/>
      </c>
      <c r="AY23" s="98">
        <f>IF(COUNTIFS('VS×ケイパビリティ関係'!$F$4:$F$494,$B23,'VS×ケイパビリティ関係'!$G$4:$G$494,AY$5,'VS×ケイパビリティ関係'!$E$4:$E$494,"主")&gt;0,"●",IF(COUNTIFS('VS×ケイパビリティ関係'!$F$4:$F$494,$B23,'VS×ケイパビリティ関係'!$G$4:$G$494,AY$5,'VS×ケイパビリティ関係'!$E$4:$E$494,"支援")&gt;0,"○",""))</f>
        <v/>
      </c>
      <c r="AZ23" s="98">
        <f>IF(COUNTIFS('VS×ケイパビリティ関係'!$F$4:$F$494,$B23,'VS×ケイパビリティ関係'!$G$4:$G$494,AZ$5,'VS×ケイパビリティ関係'!$E$4:$E$494,"主")&gt;0,"●",IF(COUNTIFS('VS×ケイパビリティ関係'!$F$4:$F$494,$B23,'VS×ケイパビリティ関係'!$G$4:$G$494,AZ$5,'VS×ケイパビリティ関係'!$E$4:$E$494,"支援")&gt;0,"○",""))</f>
        <v/>
      </c>
      <c r="BA23" s="98">
        <f>IF(COUNTIFS('VS×ケイパビリティ関係'!$F$4:$F$494,$B23,'VS×ケイパビリティ関係'!$G$4:$G$494,BA$5,'VS×ケイパビリティ関係'!$E$4:$E$494,"主")&gt;0,"●",IF(COUNTIFS('VS×ケイパビリティ関係'!$F$4:$F$494,$B23,'VS×ケイパビリティ関係'!$G$4:$G$494,BA$5,'VS×ケイパビリティ関係'!$E$4:$E$494,"支援")&gt;0,"○",""))</f>
        <v/>
      </c>
      <c r="BB23" s="98">
        <f>IF(COUNTIFS('VS×ケイパビリティ関係'!$F$4:$F$494,$B23,'VS×ケイパビリティ関係'!$G$4:$G$494,BB$5,'VS×ケイパビリティ関係'!$E$4:$E$494,"主")&gt;0,"●",IF(COUNTIFS('VS×ケイパビリティ関係'!$F$4:$F$494,$B23,'VS×ケイパビリティ関係'!$G$4:$G$494,BB$5,'VS×ケイパビリティ関係'!$E$4:$E$494,"支援")&gt;0,"○",""))</f>
        <v/>
      </c>
      <c r="BC23" s="98">
        <f>IF(COUNTIFS('VS×ケイパビリティ関係'!$F$4:$F$494,$B23,'VS×ケイパビリティ関係'!$G$4:$G$494,BC$5,'VS×ケイパビリティ関係'!$E$4:$E$494,"主")&gt;0,"●",IF(COUNTIFS('VS×ケイパビリティ関係'!$F$4:$F$494,$B23,'VS×ケイパビリティ関係'!$G$4:$G$494,BC$5,'VS×ケイパビリティ関係'!$E$4:$E$494,"支援")&gt;0,"○",""))</f>
        <v/>
      </c>
      <c r="BD23" s="98">
        <f>IF(COUNTIFS('VS×ケイパビリティ関係'!$F$4:$F$494,$B23,'VS×ケイパビリティ関係'!$G$4:$G$494,BD$5,'VS×ケイパビリティ関係'!$E$4:$E$494,"主")&gt;0,"●",IF(COUNTIFS('VS×ケイパビリティ関係'!$F$4:$F$494,$B23,'VS×ケイパビリティ関係'!$G$4:$G$494,BD$5,'VS×ケイパビリティ関係'!$E$4:$E$494,"支援")&gt;0,"○",""))</f>
        <v/>
      </c>
      <c r="BE23" s="98">
        <f>COUNTIF(D23:BD23,"●")</f>
        <v/>
      </c>
      <c r="BF23" s="98">
        <f>COUNTIF(D23:BD23,"○")</f>
        <v/>
      </c>
    </row>
    <row r="24" ht="15" customHeight="1" s="80">
      <c r="A24" s="116" t="n"/>
      <c r="B24" s="98" t="inlineStr">
        <is>
          <t>04-03</t>
        </is>
      </c>
      <c r="C24" s="100" t="inlineStr">
        <is>
          <t>★ピボタル試験（検証的試験）</t>
        </is>
      </c>
      <c r="D24" s="98">
        <f>IF(COUNTIFS('VS×ケイパビリティ関係'!$F$4:$F$494,$B24,'VS×ケイパビリティ関係'!$G$4:$G$494,D$5,'VS×ケイパビリティ関係'!$E$4:$E$494,"主")&gt;0,"●",IF(COUNTIFS('VS×ケイパビリティ関係'!$F$4:$F$494,$B24,'VS×ケイパビリティ関係'!$G$4:$G$494,D$5,'VS×ケイパビリティ関係'!$E$4:$E$494,"支援")&gt;0,"○",""))</f>
        <v/>
      </c>
      <c r="E24" s="98">
        <f>IF(COUNTIFS('VS×ケイパビリティ関係'!$F$4:$F$494,$B24,'VS×ケイパビリティ関係'!$G$4:$G$494,E$5,'VS×ケイパビリティ関係'!$E$4:$E$494,"主")&gt;0,"●",IF(COUNTIFS('VS×ケイパビリティ関係'!$F$4:$F$494,$B24,'VS×ケイパビリティ関係'!$G$4:$G$494,E$5,'VS×ケイパビリティ関係'!$E$4:$E$494,"支援")&gt;0,"○",""))</f>
        <v/>
      </c>
      <c r="F24" s="98">
        <f>IF(COUNTIFS('VS×ケイパビリティ関係'!$F$4:$F$494,$B24,'VS×ケイパビリティ関係'!$G$4:$G$494,F$5,'VS×ケイパビリティ関係'!$E$4:$E$494,"主")&gt;0,"●",IF(COUNTIFS('VS×ケイパビリティ関係'!$F$4:$F$494,$B24,'VS×ケイパビリティ関係'!$G$4:$G$494,F$5,'VS×ケイパビリティ関係'!$E$4:$E$494,"支援")&gt;0,"○",""))</f>
        <v/>
      </c>
      <c r="G24" s="98">
        <f>IF(COUNTIFS('VS×ケイパビリティ関係'!$F$4:$F$494,$B24,'VS×ケイパビリティ関係'!$G$4:$G$494,G$5,'VS×ケイパビリティ関係'!$E$4:$E$494,"主")&gt;0,"●",IF(COUNTIFS('VS×ケイパビリティ関係'!$F$4:$F$494,$B24,'VS×ケイパビリティ関係'!$G$4:$G$494,G$5,'VS×ケイパビリティ関係'!$E$4:$E$494,"支援")&gt;0,"○",""))</f>
        <v/>
      </c>
      <c r="H24" s="98">
        <f>IF(COUNTIFS('VS×ケイパビリティ関係'!$F$4:$F$494,$B24,'VS×ケイパビリティ関係'!$G$4:$G$494,H$5,'VS×ケイパビリティ関係'!$E$4:$E$494,"主")&gt;0,"●",IF(COUNTIFS('VS×ケイパビリティ関係'!$F$4:$F$494,$B24,'VS×ケイパビリティ関係'!$G$4:$G$494,H$5,'VS×ケイパビリティ関係'!$E$4:$E$494,"支援")&gt;0,"○",""))</f>
        <v/>
      </c>
      <c r="I24" s="98">
        <f>IF(COUNTIFS('VS×ケイパビリティ関係'!$F$4:$F$494,$B24,'VS×ケイパビリティ関係'!$G$4:$G$494,I$5,'VS×ケイパビリティ関係'!$E$4:$E$494,"主")&gt;0,"●",IF(COUNTIFS('VS×ケイパビリティ関係'!$F$4:$F$494,$B24,'VS×ケイパビリティ関係'!$G$4:$G$494,I$5,'VS×ケイパビリティ関係'!$E$4:$E$494,"支援")&gt;0,"○",""))</f>
        <v/>
      </c>
      <c r="J24" s="98">
        <f>IF(COUNTIFS('VS×ケイパビリティ関係'!$F$4:$F$494,$B24,'VS×ケイパビリティ関係'!$G$4:$G$494,J$5,'VS×ケイパビリティ関係'!$E$4:$E$494,"主")&gt;0,"●",IF(COUNTIFS('VS×ケイパビリティ関係'!$F$4:$F$494,$B24,'VS×ケイパビリティ関係'!$G$4:$G$494,J$5,'VS×ケイパビリティ関係'!$E$4:$E$494,"支援")&gt;0,"○",""))</f>
        <v/>
      </c>
      <c r="K24" s="98">
        <f>IF(COUNTIFS('VS×ケイパビリティ関係'!$F$4:$F$494,$B24,'VS×ケイパビリティ関係'!$G$4:$G$494,K$5,'VS×ケイパビリティ関係'!$E$4:$E$494,"主")&gt;0,"●",IF(COUNTIFS('VS×ケイパビリティ関係'!$F$4:$F$494,$B24,'VS×ケイパビリティ関係'!$G$4:$G$494,K$5,'VS×ケイパビリティ関係'!$E$4:$E$494,"支援")&gt;0,"○",""))</f>
        <v/>
      </c>
      <c r="L24" s="98">
        <f>IF(COUNTIFS('VS×ケイパビリティ関係'!$F$4:$F$494,$B24,'VS×ケイパビリティ関係'!$G$4:$G$494,L$5,'VS×ケイパビリティ関係'!$E$4:$E$494,"主")&gt;0,"●",IF(COUNTIFS('VS×ケイパビリティ関係'!$F$4:$F$494,$B24,'VS×ケイパビリティ関係'!$G$4:$G$494,L$5,'VS×ケイパビリティ関係'!$E$4:$E$494,"支援")&gt;0,"○",""))</f>
        <v/>
      </c>
      <c r="M24" s="98">
        <f>IF(COUNTIFS('VS×ケイパビリティ関係'!$F$4:$F$494,$B24,'VS×ケイパビリティ関係'!$G$4:$G$494,M$5,'VS×ケイパビリティ関係'!$E$4:$E$494,"主")&gt;0,"●",IF(COUNTIFS('VS×ケイパビリティ関係'!$F$4:$F$494,$B24,'VS×ケイパビリティ関係'!$G$4:$G$494,M$5,'VS×ケイパビリティ関係'!$E$4:$E$494,"支援")&gt;0,"○",""))</f>
        <v/>
      </c>
      <c r="N24" s="98">
        <f>IF(COUNTIFS('VS×ケイパビリティ関係'!$F$4:$F$494,$B24,'VS×ケイパビリティ関係'!$G$4:$G$494,N$5,'VS×ケイパビリティ関係'!$E$4:$E$494,"主")&gt;0,"●",IF(COUNTIFS('VS×ケイパビリティ関係'!$F$4:$F$494,$B24,'VS×ケイパビリティ関係'!$G$4:$G$494,N$5,'VS×ケイパビリティ関係'!$E$4:$E$494,"支援")&gt;0,"○",""))</f>
        <v/>
      </c>
      <c r="O24" s="98">
        <f>IF(COUNTIFS('VS×ケイパビリティ関係'!$F$4:$F$494,$B24,'VS×ケイパビリティ関係'!$G$4:$G$494,O$5,'VS×ケイパビリティ関係'!$E$4:$E$494,"主")&gt;0,"●",IF(COUNTIFS('VS×ケイパビリティ関係'!$F$4:$F$494,$B24,'VS×ケイパビリティ関係'!$G$4:$G$494,O$5,'VS×ケイパビリティ関係'!$E$4:$E$494,"支援")&gt;0,"○",""))</f>
        <v/>
      </c>
      <c r="P24" s="98">
        <f>IF(COUNTIFS('VS×ケイパビリティ関係'!$F$4:$F$494,$B24,'VS×ケイパビリティ関係'!$G$4:$G$494,P$5,'VS×ケイパビリティ関係'!$E$4:$E$494,"主")&gt;0,"●",IF(COUNTIFS('VS×ケイパビリティ関係'!$F$4:$F$494,$B24,'VS×ケイパビリティ関係'!$G$4:$G$494,P$5,'VS×ケイパビリティ関係'!$E$4:$E$494,"支援")&gt;0,"○",""))</f>
        <v/>
      </c>
      <c r="Q24" s="98">
        <f>IF(COUNTIFS('VS×ケイパビリティ関係'!$F$4:$F$494,$B24,'VS×ケイパビリティ関係'!$G$4:$G$494,Q$5,'VS×ケイパビリティ関係'!$E$4:$E$494,"主")&gt;0,"●",IF(COUNTIFS('VS×ケイパビリティ関係'!$F$4:$F$494,$B24,'VS×ケイパビリティ関係'!$G$4:$G$494,Q$5,'VS×ケイパビリティ関係'!$E$4:$E$494,"支援")&gt;0,"○",""))</f>
        <v/>
      </c>
      <c r="R24" s="98">
        <f>IF(COUNTIFS('VS×ケイパビリティ関係'!$F$4:$F$494,$B24,'VS×ケイパビリティ関係'!$G$4:$G$494,R$5,'VS×ケイパビリティ関係'!$E$4:$E$494,"主")&gt;0,"●",IF(COUNTIFS('VS×ケイパビリティ関係'!$F$4:$F$494,$B24,'VS×ケイパビリティ関係'!$G$4:$G$494,R$5,'VS×ケイパビリティ関係'!$E$4:$E$494,"支援")&gt;0,"○",""))</f>
        <v/>
      </c>
      <c r="S24" s="98">
        <f>IF(COUNTIFS('VS×ケイパビリティ関係'!$F$4:$F$494,$B24,'VS×ケイパビリティ関係'!$G$4:$G$494,S$5,'VS×ケイパビリティ関係'!$E$4:$E$494,"主")&gt;0,"●",IF(COUNTIFS('VS×ケイパビリティ関係'!$F$4:$F$494,$B24,'VS×ケイパビリティ関係'!$G$4:$G$494,S$5,'VS×ケイパビリティ関係'!$E$4:$E$494,"支援")&gt;0,"○",""))</f>
        <v/>
      </c>
      <c r="T24" s="98">
        <f>IF(COUNTIFS('VS×ケイパビリティ関係'!$F$4:$F$494,$B24,'VS×ケイパビリティ関係'!$G$4:$G$494,T$5,'VS×ケイパビリティ関係'!$E$4:$E$494,"主")&gt;0,"●",IF(COUNTIFS('VS×ケイパビリティ関係'!$F$4:$F$494,$B24,'VS×ケイパビリティ関係'!$G$4:$G$494,T$5,'VS×ケイパビリティ関係'!$E$4:$E$494,"支援")&gt;0,"○",""))</f>
        <v/>
      </c>
      <c r="U24" s="98">
        <f>IF(COUNTIFS('VS×ケイパビリティ関係'!$F$4:$F$494,$B24,'VS×ケイパビリティ関係'!$G$4:$G$494,U$5,'VS×ケイパビリティ関係'!$E$4:$E$494,"主")&gt;0,"●",IF(COUNTIFS('VS×ケイパビリティ関係'!$F$4:$F$494,$B24,'VS×ケイパビリティ関係'!$G$4:$G$494,U$5,'VS×ケイパビリティ関係'!$E$4:$E$494,"支援")&gt;0,"○",""))</f>
        <v/>
      </c>
      <c r="V24" s="98">
        <f>IF(COUNTIFS('VS×ケイパビリティ関係'!$F$4:$F$494,$B24,'VS×ケイパビリティ関係'!$G$4:$G$494,V$5,'VS×ケイパビリティ関係'!$E$4:$E$494,"主")&gt;0,"●",IF(COUNTIFS('VS×ケイパビリティ関係'!$F$4:$F$494,$B24,'VS×ケイパビリティ関係'!$G$4:$G$494,V$5,'VS×ケイパビリティ関係'!$E$4:$E$494,"支援")&gt;0,"○",""))</f>
        <v/>
      </c>
      <c r="W24" s="98">
        <f>IF(COUNTIFS('VS×ケイパビリティ関係'!$F$4:$F$494,$B24,'VS×ケイパビリティ関係'!$G$4:$G$494,W$5,'VS×ケイパビリティ関係'!$E$4:$E$494,"主")&gt;0,"●",IF(COUNTIFS('VS×ケイパビリティ関係'!$F$4:$F$494,$B24,'VS×ケイパビリティ関係'!$G$4:$G$494,W$5,'VS×ケイパビリティ関係'!$E$4:$E$494,"支援")&gt;0,"○",""))</f>
        <v/>
      </c>
      <c r="X24" s="98">
        <f>IF(COUNTIFS('VS×ケイパビリティ関係'!$F$4:$F$494,$B24,'VS×ケイパビリティ関係'!$G$4:$G$494,X$5,'VS×ケイパビリティ関係'!$E$4:$E$494,"主")&gt;0,"●",IF(COUNTIFS('VS×ケイパビリティ関係'!$F$4:$F$494,$B24,'VS×ケイパビリティ関係'!$G$4:$G$494,X$5,'VS×ケイパビリティ関係'!$E$4:$E$494,"支援")&gt;0,"○",""))</f>
        <v/>
      </c>
      <c r="Y24" s="98">
        <f>IF(COUNTIFS('VS×ケイパビリティ関係'!$F$4:$F$494,$B24,'VS×ケイパビリティ関係'!$G$4:$G$494,Y$5,'VS×ケイパビリティ関係'!$E$4:$E$494,"主")&gt;0,"●",IF(COUNTIFS('VS×ケイパビリティ関係'!$F$4:$F$494,$B24,'VS×ケイパビリティ関係'!$G$4:$G$494,Y$5,'VS×ケイパビリティ関係'!$E$4:$E$494,"支援")&gt;0,"○",""))</f>
        <v/>
      </c>
      <c r="Z24" s="98">
        <f>IF(COUNTIFS('VS×ケイパビリティ関係'!$F$4:$F$494,$B24,'VS×ケイパビリティ関係'!$G$4:$G$494,Z$5,'VS×ケイパビリティ関係'!$E$4:$E$494,"主")&gt;0,"●",IF(COUNTIFS('VS×ケイパビリティ関係'!$F$4:$F$494,$B24,'VS×ケイパビリティ関係'!$G$4:$G$494,Z$5,'VS×ケイパビリティ関係'!$E$4:$E$494,"支援")&gt;0,"○",""))</f>
        <v/>
      </c>
      <c r="AA24" s="98">
        <f>IF(COUNTIFS('VS×ケイパビリティ関係'!$F$4:$F$494,$B24,'VS×ケイパビリティ関係'!$G$4:$G$494,AA$5,'VS×ケイパビリティ関係'!$E$4:$E$494,"主")&gt;0,"●",IF(COUNTIFS('VS×ケイパビリティ関係'!$F$4:$F$494,$B24,'VS×ケイパビリティ関係'!$G$4:$G$494,AA$5,'VS×ケイパビリティ関係'!$E$4:$E$494,"支援")&gt;0,"○",""))</f>
        <v/>
      </c>
      <c r="AB24" s="98">
        <f>IF(COUNTIFS('VS×ケイパビリティ関係'!$F$4:$F$494,$B24,'VS×ケイパビリティ関係'!$G$4:$G$494,AB$5,'VS×ケイパビリティ関係'!$E$4:$E$494,"主")&gt;0,"●",IF(COUNTIFS('VS×ケイパビリティ関係'!$F$4:$F$494,$B24,'VS×ケイパビリティ関係'!$G$4:$G$494,AB$5,'VS×ケイパビリティ関係'!$E$4:$E$494,"支援")&gt;0,"○",""))</f>
        <v/>
      </c>
      <c r="AC24" s="98">
        <f>IF(COUNTIFS('VS×ケイパビリティ関係'!$F$4:$F$494,$B24,'VS×ケイパビリティ関係'!$G$4:$G$494,AC$5,'VS×ケイパビリティ関係'!$E$4:$E$494,"主")&gt;0,"●",IF(COUNTIFS('VS×ケイパビリティ関係'!$F$4:$F$494,$B24,'VS×ケイパビリティ関係'!$G$4:$G$494,AC$5,'VS×ケイパビリティ関係'!$E$4:$E$494,"支援")&gt;0,"○",""))</f>
        <v/>
      </c>
      <c r="AD24" s="98">
        <f>IF(COUNTIFS('VS×ケイパビリティ関係'!$F$4:$F$494,$B24,'VS×ケイパビリティ関係'!$G$4:$G$494,AD$5,'VS×ケイパビリティ関係'!$E$4:$E$494,"主")&gt;0,"●",IF(COUNTIFS('VS×ケイパビリティ関係'!$F$4:$F$494,$B24,'VS×ケイパビリティ関係'!$G$4:$G$494,AD$5,'VS×ケイパビリティ関係'!$E$4:$E$494,"支援")&gt;0,"○",""))</f>
        <v/>
      </c>
      <c r="AE24" s="98">
        <f>IF(COUNTIFS('VS×ケイパビリティ関係'!$F$4:$F$494,$B24,'VS×ケイパビリティ関係'!$G$4:$G$494,AE$5,'VS×ケイパビリティ関係'!$E$4:$E$494,"主")&gt;0,"●",IF(COUNTIFS('VS×ケイパビリティ関係'!$F$4:$F$494,$B24,'VS×ケイパビリティ関係'!$G$4:$G$494,AE$5,'VS×ケイパビリティ関係'!$E$4:$E$494,"支援")&gt;0,"○",""))</f>
        <v/>
      </c>
      <c r="AF24" s="98">
        <f>IF(COUNTIFS('VS×ケイパビリティ関係'!$F$4:$F$494,$B24,'VS×ケイパビリティ関係'!$G$4:$G$494,AF$5,'VS×ケイパビリティ関係'!$E$4:$E$494,"主")&gt;0,"●",IF(COUNTIFS('VS×ケイパビリティ関係'!$F$4:$F$494,$B24,'VS×ケイパビリティ関係'!$G$4:$G$494,AF$5,'VS×ケイパビリティ関係'!$E$4:$E$494,"支援")&gt;0,"○",""))</f>
        <v/>
      </c>
      <c r="AG24" s="98">
        <f>IF(COUNTIFS('VS×ケイパビリティ関係'!$F$4:$F$494,$B24,'VS×ケイパビリティ関係'!$G$4:$G$494,AG$5,'VS×ケイパビリティ関係'!$E$4:$E$494,"主")&gt;0,"●",IF(COUNTIFS('VS×ケイパビリティ関係'!$F$4:$F$494,$B24,'VS×ケイパビリティ関係'!$G$4:$G$494,AG$5,'VS×ケイパビリティ関係'!$E$4:$E$494,"支援")&gt;0,"○",""))</f>
        <v/>
      </c>
      <c r="AH24" s="98">
        <f>IF(COUNTIFS('VS×ケイパビリティ関係'!$F$4:$F$494,$B24,'VS×ケイパビリティ関係'!$G$4:$G$494,AH$5,'VS×ケイパビリティ関係'!$E$4:$E$494,"主")&gt;0,"●",IF(COUNTIFS('VS×ケイパビリティ関係'!$F$4:$F$494,$B24,'VS×ケイパビリティ関係'!$G$4:$G$494,AH$5,'VS×ケイパビリティ関係'!$E$4:$E$494,"支援")&gt;0,"○",""))</f>
        <v/>
      </c>
      <c r="AI24" s="98">
        <f>IF(COUNTIFS('VS×ケイパビリティ関係'!$F$4:$F$494,$B24,'VS×ケイパビリティ関係'!$G$4:$G$494,AI$5,'VS×ケイパビリティ関係'!$E$4:$E$494,"主")&gt;0,"●",IF(COUNTIFS('VS×ケイパビリティ関係'!$F$4:$F$494,$B24,'VS×ケイパビリティ関係'!$G$4:$G$494,AI$5,'VS×ケイパビリティ関係'!$E$4:$E$494,"支援")&gt;0,"○",""))</f>
        <v/>
      </c>
      <c r="AJ24" s="98">
        <f>IF(COUNTIFS('VS×ケイパビリティ関係'!$F$4:$F$494,$B24,'VS×ケイパビリティ関係'!$G$4:$G$494,AJ$5,'VS×ケイパビリティ関係'!$E$4:$E$494,"主")&gt;0,"●",IF(COUNTIFS('VS×ケイパビリティ関係'!$F$4:$F$494,$B24,'VS×ケイパビリティ関係'!$G$4:$G$494,AJ$5,'VS×ケイパビリティ関係'!$E$4:$E$494,"支援")&gt;0,"○",""))</f>
        <v/>
      </c>
      <c r="AK24" s="98">
        <f>IF(COUNTIFS('VS×ケイパビリティ関係'!$F$4:$F$494,$B24,'VS×ケイパビリティ関係'!$G$4:$G$494,AK$5,'VS×ケイパビリティ関係'!$E$4:$E$494,"主")&gt;0,"●",IF(COUNTIFS('VS×ケイパビリティ関係'!$F$4:$F$494,$B24,'VS×ケイパビリティ関係'!$G$4:$G$494,AK$5,'VS×ケイパビリティ関係'!$E$4:$E$494,"支援")&gt;0,"○",""))</f>
        <v/>
      </c>
      <c r="AL24" s="98">
        <f>IF(COUNTIFS('VS×ケイパビリティ関係'!$F$4:$F$494,$B24,'VS×ケイパビリティ関係'!$G$4:$G$494,AL$5,'VS×ケイパビリティ関係'!$E$4:$E$494,"主")&gt;0,"●",IF(COUNTIFS('VS×ケイパビリティ関係'!$F$4:$F$494,$B24,'VS×ケイパビリティ関係'!$G$4:$G$494,AL$5,'VS×ケイパビリティ関係'!$E$4:$E$494,"支援")&gt;0,"○",""))</f>
        <v/>
      </c>
      <c r="AM24" s="98">
        <f>IF(COUNTIFS('VS×ケイパビリティ関係'!$F$4:$F$494,$B24,'VS×ケイパビリティ関係'!$G$4:$G$494,AM$5,'VS×ケイパビリティ関係'!$E$4:$E$494,"主")&gt;0,"●",IF(COUNTIFS('VS×ケイパビリティ関係'!$F$4:$F$494,$B24,'VS×ケイパビリティ関係'!$G$4:$G$494,AM$5,'VS×ケイパビリティ関係'!$E$4:$E$494,"支援")&gt;0,"○",""))</f>
        <v/>
      </c>
      <c r="AN24" s="98">
        <f>IF(COUNTIFS('VS×ケイパビリティ関係'!$F$4:$F$494,$B24,'VS×ケイパビリティ関係'!$G$4:$G$494,AN$5,'VS×ケイパビリティ関係'!$E$4:$E$494,"主")&gt;0,"●",IF(COUNTIFS('VS×ケイパビリティ関係'!$F$4:$F$494,$B24,'VS×ケイパビリティ関係'!$G$4:$G$494,AN$5,'VS×ケイパビリティ関係'!$E$4:$E$494,"支援")&gt;0,"○",""))</f>
        <v/>
      </c>
      <c r="AO24" s="98">
        <f>IF(COUNTIFS('VS×ケイパビリティ関係'!$F$4:$F$494,$B24,'VS×ケイパビリティ関係'!$G$4:$G$494,AO$5,'VS×ケイパビリティ関係'!$E$4:$E$494,"主")&gt;0,"●",IF(COUNTIFS('VS×ケイパビリティ関係'!$F$4:$F$494,$B24,'VS×ケイパビリティ関係'!$G$4:$G$494,AO$5,'VS×ケイパビリティ関係'!$E$4:$E$494,"支援")&gt;0,"○",""))</f>
        <v/>
      </c>
      <c r="AP24" s="98">
        <f>IF(COUNTIFS('VS×ケイパビリティ関係'!$F$4:$F$494,$B24,'VS×ケイパビリティ関係'!$G$4:$G$494,AP$5,'VS×ケイパビリティ関係'!$E$4:$E$494,"主")&gt;0,"●",IF(COUNTIFS('VS×ケイパビリティ関係'!$F$4:$F$494,$B24,'VS×ケイパビリティ関係'!$G$4:$G$494,AP$5,'VS×ケイパビリティ関係'!$E$4:$E$494,"支援")&gt;0,"○",""))</f>
        <v/>
      </c>
      <c r="AQ24" s="98">
        <f>IF(COUNTIFS('VS×ケイパビリティ関係'!$F$4:$F$494,$B24,'VS×ケイパビリティ関係'!$G$4:$G$494,AQ$5,'VS×ケイパビリティ関係'!$E$4:$E$494,"主")&gt;0,"●",IF(COUNTIFS('VS×ケイパビリティ関係'!$F$4:$F$494,$B24,'VS×ケイパビリティ関係'!$G$4:$G$494,AQ$5,'VS×ケイパビリティ関係'!$E$4:$E$494,"支援")&gt;0,"○",""))</f>
        <v/>
      </c>
      <c r="AR24" s="98">
        <f>IF(COUNTIFS('VS×ケイパビリティ関係'!$F$4:$F$494,$B24,'VS×ケイパビリティ関係'!$G$4:$G$494,AR$5,'VS×ケイパビリティ関係'!$E$4:$E$494,"主")&gt;0,"●",IF(COUNTIFS('VS×ケイパビリティ関係'!$F$4:$F$494,$B24,'VS×ケイパビリティ関係'!$G$4:$G$494,AR$5,'VS×ケイパビリティ関係'!$E$4:$E$494,"支援")&gt;0,"○",""))</f>
        <v/>
      </c>
      <c r="AS24" s="98">
        <f>IF(COUNTIFS('VS×ケイパビリティ関係'!$F$4:$F$494,$B24,'VS×ケイパビリティ関係'!$G$4:$G$494,AS$5,'VS×ケイパビリティ関係'!$E$4:$E$494,"主")&gt;0,"●",IF(COUNTIFS('VS×ケイパビリティ関係'!$F$4:$F$494,$B24,'VS×ケイパビリティ関係'!$G$4:$G$494,AS$5,'VS×ケイパビリティ関係'!$E$4:$E$494,"支援")&gt;0,"○",""))</f>
        <v/>
      </c>
      <c r="AT24" s="98">
        <f>IF(COUNTIFS('VS×ケイパビリティ関係'!$F$4:$F$494,$B24,'VS×ケイパビリティ関係'!$G$4:$G$494,AT$5,'VS×ケイパビリティ関係'!$E$4:$E$494,"主")&gt;0,"●",IF(COUNTIFS('VS×ケイパビリティ関係'!$F$4:$F$494,$B24,'VS×ケイパビリティ関係'!$G$4:$G$494,AT$5,'VS×ケイパビリティ関係'!$E$4:$E$494,"支援")&gt;0,"○",""))</f>
        <v/>
      </c>
      <c r="AU24" s="98">
        <f>IF(COUNTIFS('VS×ケイパビリティ関係'!$F$4:$F$494,$B24,'VS×ケイパビリティ関係'!$G$4:$G$494,AU$5,'VS×ケイパビリティ関係'!$E$4:$E$494,"主")&gt;0,"●",IF(COUNTIFS('VS×ケイパビリティ関係'!$F$4:$F$494,$B24,'VS×ケイパビリティ関係'!$G$4:$G$494,AU$5,'VS×ケイパビリティ関係'!$E$4:$E$494,"支援")&gt;0,"○",""))</f>
        <v/>
      </c>
      <c r="AV24" s="98">
        <f>IF(COUNTIFS('VS×ケイパビリティ関係'!$F$4:$F$494,$B24,'VS×ケイパビリティ関係'!$G$4:$G$494,AV$5,'VS×ケイパビリティ関係'!$E$4:$E$494,"主")&gt;0,"●",IF(COUNTIFS('VS×ケイパビリティ関係'!$F$4:$F$494,$B24,'VS×ケイパビリティ関係'!$G$4:$G$494,AV$5,'VS×ケイパビリティ関係'!$E$4:$E$494,"支援")&gt;0,"○",""))</f>
        <v/>
      </c>
      <c r="AW24" s="98">
        <f>IF(COUNTIFS('VS×ケイパビリティ関係'!$F$4:$F$494,$B24,'VS×ケイパビリティ関係'!$G$4:$G$494,AW$5,'VS×ケイパビリティ関係'!$E$4:$E$494,"主")&gt;0,"●",IF(COUNTIFS('VS×ケイパビリティ関係'!$F$4:$F$494,$B24,'VS×ケイパビリティ関係'!$G$4:$G$494,AW$5,'VS×ケイパビリティ関係'!$E$4:$E$494,"支援")&gt;0,"○",""))</f>
        <v/>
      </c>
      <c r="AX24" s="98">
        <f>IF(COUNTIFS('VS×ケイパビリティ関係'!$F$4:$F$494,$B24,'VS×ケイパビリティ関係'!$G$4:$G$494,AX$5,'VS×ケイパビリティ関係'!$E$4:$E$494,"主")&gt;0,"●",IF(COUNTIFS('VS×ケイパビリティ関係'!$F$4:$F$494,$B24,'VS×ケイパビリティ関係'!$G$4:$G$494,AX$5,'VS×ケイパビリティ関係'!$E$4:$E$494,"支援")&gt;0,"○",""))</f>
        <v/>
      </c>
      <c r="AY24" s="98">
        <f>IF(COUNTIFS('VS×ケイパビリティ関係'!$F$4:$F$494,$B24,'VS×ケイパビリティ関係'!$G$4:$G$494,AY$5,'VS×ケイパビリティ関係'!$E$4:$E$494,"主")&gt;0,"●",IF(COUNTIFS('VS×ケイパビリティ関係'!$F$4:$F$494,$B24,'VS×ケイパビリティ関係'!$G$4:$G$494,AY$5,'VS×ケイパビリティ関係'!$E$4:$E$494,"支援")&gt;0,"○",""))</f>
        <v/>
      </c>
      <c r="AZ24" s="98">
        <f>IF(COUNTIFS('VS×ケイパビリティ関係'!$F$4:$F$494,$B24,'VS×ケイパビリティ関係'!$G$4:$G$494,AZ$5,'VS×ケイパビリティ関係'!$E$4:$E$494,"主")&gt;0,"●",IF(COUNTIFS('VS×ケイパビリティ関係'!$F$4:$F$494,$B24,'VS×ケイパビリティ関係'!$G$4:$G$494,AZ$5,'VS×ケイパビリティ関係'!$E$4:$E$494,"支援")&gt;0,"○",""))</f>
        <v/>
      </c>
      <c r="BA24" s="98">
        <f>IF(COUNTIFS('VS×ケイパビリティ関係'!$F$4:$F$494,$B24,'VS×ケイパビリティ関係'!$G$4:$G$494,BA$5,'VS×ケイパビリティ関係'!$E$4:$E$494,"主")&gt;0,"●",IF(COUNTIFS('VS×ケイパビリティ関係'!$F$4:$F$494,$B24,'VS×ケイパビリティ関係'!$G$4:$G$494,BA$5,'VS×ケイパビリティ関係'!$E$4:$E$494,"支援")&gt;0,"○",""))</f>
        <v/>
      </c>
      <c r="BB24" s="98">
        <f>IF(COUNTIFS('VS×ケイパビリティ関係'!$F$4:$F$494,$B24,'VS×ケイパビリティ関係'!$G$4:$G$494,BB$5,'VS×ケイパビリティ関係'!$E$4:$E$494,"主")&gt;0,"●",IF(COUNTIFS('VS×ケイパビリティ関係'!$F$4:$F$494,$B24,'VS×ケイパビリティ関係'!$G$4:$G$494,BB$5,'VS×ケイパビリティ関係'!$E$4:$E$494,"支援")&gt;0,"○",""))</f>
        <v/>
      </c>
      <c r="BC24" s="98">
        <f>IF(COUNTIFS('VS×ケイパビリティ関係'!$F$4:$F$494,$B24,'VS×ケイパビリティ関係'!$G$4:$G$494,BC$5,'VS×ケイパビリティ関係'!$E$4:$E$494,"主")&gt;0,"●",IF(COUNTIFS('VS×ケイパビリティ関係'!$F$4:$F$494,$B24,'VS×ケイパビリティ関係'!$G$4:$G$494,BC$5,'VS×ケイパビリティ関係'!$E$4:$E$494,"支援")&gt;0,"○",""))</f>
        <v/>
      </c>
      <c r="BD24" s="98">
        <f>IF(COUNTIFS('VS×ケイパビリティ関係'!$F$4:$F$494,$B24,'VS×ケイパビリティ関係'!$G$4:$G$494,BD$5,'VS×ケイパビリティ関係'!$E$4:$E$494,"主")&gt;0,"●",IF(COUNTIFS('VS×ケイパビリティ関係'!$F$4:$F$494,$B24,'VS×ケイパビリティ関係'!$G$4:$G$494,BD$5,'VS×ケイパビリティ関係'!$E$4:$E$494,"支援")&gt;0,"○",""))</f>
        <v/>
      </c>
      <c r="BE24" s="98">
        <f>COUNTIF(D24:BD24,"●")</f>
        <v/>
      </c>
      <c r="BF24" s="98">
        <f>COUNTIF(D24:BD24,"○")</f>
        <v/>
      </c>
    </row>
    <row r="25" ht="15" customHeight="1" s="80">
      <c r="A25" s="116" t="n"/>
      <c r="B25" s="98" t="inlineStr">
        <is>
          <t>04-04</t>
        </is>
      </c>
      <c r="C25" s="100" t="inlineStr">
        <is>
          <t>臨床データの統合・評価</t>
        </is>
      </c>
      <c r="D25" s="98">
        <f>IF(COUNTIFS('VS×ケイパビリティ関係'!$F$4:$F$494,$B25,'VS×ケイパビリティ関係'!$G$4:$G$494,D$5,'VS×ケイパビリティ関係'!$E$4:$E$494,"主")&gt;0,"●",IF(COUNTIFS('VS×ケイパビリティ関係'!$F$4:$F$494,$B25,'VS×ケイパビリティ関係'!$G$4:$G$494,D$5,'VS×ケイパビリティ関係'!$E$4:$E$494,"支援")&gt;0,"○",""))</f>
        <v/>
      </c>
      <c r="E25" s="98">
        <f>IF(COUNTIFS('VS×ケイパビリティ関係'!$F$4:$F$494,$B25,'VS×ケイパビリティ関係'!$G$4:$G$494,E$5,'VS×ケイパビリティ関係'!$E$4:$E$494,"主")&gt;0,"●",IF(COUNTIFS('VS×ケイパビリティ関係'!$F$4:$F$494,$B25,'VS×ケイパビリティ関係'!$G$4:$G$494,E$5,'VS×ケイパビリティ関係'!$E$4:$E$494,"支援")&gt;0,"○",""))</f>
        <v/>
      </c>
      <c r="F25" s="98">
        <f>IF(COUNTIFS('VS×ケイパビリティ関係'!$F$4:$F$494,$B25,'VS×ケイパビリティ関係'!$G$4:$G$494,F$5,'VS×ケイパビリティ関係'!$E$4:$E$494,"主")&gt;0,"●",IF(COUNTIFS('VS×ケイパビリティ関係'!$F$4:$F$494,$B25,'VS×ケイパビリティ関係'!$G$4:$G$494,F$5,'VS×ケイパビリティ関係'!$E$4:$E$494,"支援")&gt;0,"○",""))</f>
        <v/>
      </c>
      <c r="G25" s="98">
        <f>IF(COUNTIFS('VS×ケイパビリティ関係'!$F$4:$F$494,$B25,'VS×ケイパビリティ関係'!$G$4:$G$494,G$5,'VS×ケイパビリティ関係'!$E$4:$E$494,"主")&gt;0,"●",IF(COUNTIFS('VS×ケイパビリティ関係'!$F$4:$F$494,$B25,'VS×ケイパビリティ関係'!$G$4:$G$494,G$5,'VS×ケイパビリティ関係'!$E$4:$E$494,"支援")&gt;0,"○",""))</f>
        <v/>
      </c>
      <c r="H25" s="98">
        <f>IF(COUNTIFS('VS×ケイパビリティ関係'!$F$4:$F$494,$B25,'VS×ケイパビリティ関係'!$G$4:$G$494,H$5,'VS×ケイパビリティ関係'!$E$4:$E$494,"主")&gt;0,"●",IF(COUNTIFS('VS×ケイパビリティ関係'!$F$4:$F$494,$B25,'VS×ケイパビリティ関係'!$G$4:$G$494,H$5,'VS×ケイパビリティ関係'!$E$4:$E$494,"支援")&gt;0,"○",""))</f>
        <v/>
      </c>
      <c r="I25" s="98">
        <f>IF(COUNTIFS('VS×ケイパビリティ関係'!$F$4:$F$494,$B25,'VS×ケイパビリティ関係'!$G$4:$G$494,I$5,'VS×ケイパビリティ関係'!$E$4:$E$494,"主")&gt;0,"●",IF(COUNTIFS('VS×ケイパビリティ関係'!$F$4:$F$494,$B25,'VS×ケイパビリティ関係'!$G$4:$G$494,I$5,'VS×ケイパビリティ関係'!$E$4:$E$494,"支援")&gt;0,"○",""))</f>
        <v/>
      </c>
      <c r="J25" s="98">
        <f>IF(COUNTIFS('VS×ケイパビリティ関係'!$F$4:$F$494,$B25,'VS×ケイパビリティ関係'!$G$4:$G$494,J$5,'VS×ケイパビリティ関係'!$E$4:$E$494,"主")&gt;0,"●",IF(COUNTIFS('VS×ケイパビリティ関係'!$F$4:$F$494,$B25,'VS×ケイパビリティ関係'!$G$4:$G$494,J$5,'VS×ケイパビリティ関係'!$E$4:$E$494,"支援")&gt;0,"○",""))</f>
        <v/>
      </c>
      <c r="K25" s="98">
        <f>IF(COUNTIFS('VS×ケイパビリティ関係'!$F$4:$F$494,$B25,'VS×ケイパビリティ関係'!$G$4:$G$494,K$5,'VS×ケイパビリティ関係'!$E$4:$E$494,"主")&gt;0,"●",IF(COUNTIFS('VS×ケイパビリティ関係'!$F$4:$F$494,$B25,'VS×ケイパビリティ関係'!$G$4:$G$494,K$5,'VS×ケイパビリティ関係'!$E$4:$E$494,"支援")&gt;0,"○",""))</f>
        <v/>
      </c>
      <c r="L25" s="98">
        <f>IF(COUNTIFS('VS×ケイパビリティ関係'!$F$4:$F$494,$B25,'VS×ケイパビリティ関係'!$G$4:$G$494,L$5,'VS×ケイパビリティ関係'!$E$4:$E$494,"主")&gt;0,"●",IF(COUNTIFS('VS×ケイパビリティ関係'!$F$4:$F$494,$B25,'VS×ケイパビリティ関係'!$G$4:$G$494,L$5,'VS×ケイパビリティ関係'!$E$4:$E$494,"支援")&gt;0,"○",""))</f>
        <v/>
      </c>
      <c r="M25" s="98">
        <f>IF(COUNTIFS('VS×ケイパビリティ関係'!$F$4:$F$494,$B25,'VS×ケイパビリティ関係'!$G$4:$G$494,M$5,'VS×ケイパビリティ関係'!$E$4:$E$494,"主")&gt;0,"●",IF(COUNTIFS('VS×ケイパビリティ関係'!$F$4:$F$494,$B25,'VS×ケイパビリティ関係'!$G$4:$G$494,M$5,'VS×ケイパビリティ関係'!$E$4:$E$494,"支援")&gt;0,"○",""))</f>
        <v/>
      </c>
      <c r="N25" s="98">
        <f>IF(COUNTIFS('VS×ケイパビリティ関係'!$F$4:$F$494,$B25,'VS×ケイパビリティ関係'!$G$4:$G$494,N$5,'VS×ケイパビリティ関係'!$E$4:$E$494,"主")&gt;0,"●",IF(COUNTIFS('VS×ケイパビリティ関係'!$F$4:$F$494,$B25,'VS×ケイパビリティ関係'!$G$4:$G$494,N$5,'VS×ケイパビリティ関係'!$E$4:$E$494,"支援")&gt;0,"○",""))</f>
        <v/>
      </c>
      <c r="O25" s="98">
        <f>IF(COUNTIFS('VS×ケイパビリティ関係'!$F$4:$F$494,$B25,'VS×ケイパビリティ関係'!$G$4:$G$494,O$5,'VS×ケイパビリティ関係'!$E$4:$E$494,"主")&gt;0,"●",IF(COUNTIFS('VS×ケイパビリティ関係'!$F$4:$F$494,$B25,'VS×ケイパビリティ関係'!$G$4:$G$494,O$5,'VS×ケイパビリティ関係'!$E$4:$E$494,"支援")&gt;0,"○",""))</f>
        <v/>
      </c>
      <c r="P25" s="98">
        <f>IF(COUNTIFS('VS×ケイパビリティ関係'!$F$4:$F$494,$B25,'VS×ケイパビリティ関係'!$G$4:$G$494,P$5,'VS×ケイパビリティ関係'!$E$4:$E$494,"主")&gt;0,"●",IF(COUNTIFS('VS×ケイパビリティ関係'!$F$4:$F$494,$B25,'VS×ケイパビリティ関係'!$G$4:$G$494,P$5,'VS×ケイパビリティ関係'!$E$4:$E$494,"支援")&gt;0,"○",""))</f>
        <v/>
      </c>
      <c r="Q25" s="98">
        <f>IF(COUNTIFS('VS×ケイパビリティ関係'!$F$4:$F$494,$B25,'VS×ケイパビリティ関係'!$G$4:$G$494,Q$5,'VS×ケイパビリティ関係'!$E$4:$E$494,"主")&gt;0,"●",IF(COUNTIFS('VS×ケイパビリティ関係'!$F$4:$F$494,$B25,'VS×ケイパビリティ関係'!$G$4:$G$494,Q$5,'VS×ケイパビリティ関係'!$E$4:$E$494,"支援")&gt;0,"○",""))</f>
        <v/>
      </c>
      <c r="R25" s="98">
        <f>IF(COUNTIFS('VS×ケイパビリティ関係'!$F$4:$F$494,$B25,'VS×ケイパビリティ関係'!$G$4:$G$494,R$5,'VS×ケイパビリティ関係'!$E$4:$E$494,"主")&gt;0,"●",IF(COUNTIFS('VS×ケイパビリティ関係'!$F$4:$F$494,$B25,'VS×ケイパビリティ関係'!$G$4:$G$494,R$5,'VS×ケイパビリティ関係'!$E$4:$E$494,"支援")&gt;0,"○",""))</f>
        <v/>
      </c>
      <c r="S25" s="98">
        <f>IF(COUNTIFS('VS×ケイパビリティ関係'!$F$4:$F$494,$B25,'VS×ケイパビリティ関係'!$G$4:$G$494,S$5,'VS×ケイパビリティ関係'!$E$4:$E$494,"主")&gt;0,"●",IF(COUNTIFS('VS×ケイパビリティ関係'!$F$4:$F$494,$B25,'VS×ケイパビリティ関係'!$G$4:$G$494,S$5,'VS×ケイパビリティ関係'!$E$4:$E$494,"支援")&gt;0,"○",""))</f>
        <v/>
      </c>
      <c r="T25" s="98">
        <f>IF(COUNTIFS('VS×ケイパビリティ関係'!$F$4:$F$494,$B25,'VS×ケイパビリティ関係'!$G$4:$G$494,T$5,'VS×ケイパビリティ関係'!$E$4:$E$494,"主")&gt;0,"●",IF(COUNTIFS('VS×ケイパビリティ関係'!$F$4:$F$494,$B25,'VS×ケイパビリティ関係'!$G$4:$G$494,T$5,'VS×ケイパビリティ関係'!$E$4:$E$494,"支援")&gt;0,"○",""))</f>
        <v/>
      </c>
      <c r="U25" s="98">
        <f>IF(COUNTIFS('VS×ケイパビリティ関係'!$F$4:$F$494,$B25,'VS×ケイパビリティ関係'!$G$4:$G$494,U$5,'VS×ケイパビリティ関係'!$E$4:$E$494,"主")&gt;0,"●",IF(COUNTIFS('VS×ケイパビリティ関係'!$F$4:$F$494,$B25,'VS×ケイパビリティ関係'!$G$4:$G$494,U$5,'VS×ケイパビリティ関係'!$E$4:$E$494,"支援")&gt;0,"○",""))</f>
        <v/>
      </c>
      <c r="V25" s="98">
        <f>IF(COUNTIFS('VS×ケイパビリティ関係'!$F$4:$F$494,$B25,'VS×ケイパビリティ関係'!$G$4:$G$494,V$5,'VS×ケイパビリティ関係'!$E$4:$E$494,"主")&gt;0,"●",IF(COUNTIFS('VS×ケイパビリティ関係'!$F$4:$F$494,$B25,'VS×ケイパビリティ関係'!$G$4:$G$494,V$5,'VS×ケイパビリティ関係'!$E$4:$E$494,"支援")&gt;0,"○",""))</f>
        <v/>
      </c>
      <c r="W25" s="98">
        <f>IF(COUNTIFS('VS×ケイパビリティ関係'!$F$4:$F$494,$B25,'VS×ケイパビリティ関係'!$G$4:$G$494,W$5,'VS×ケイパビリティ関係'!$E$4:$E$494,"主")&gt;0,"●",IF(COUNTIFS('VS×ケイパビリティ関係'!$F$4:$F$494,$B25,'VS×ケイパビリティ関係'!$G$4:$G$494,W$5,'VS×ケイパビリティ関係'!$E$4:$E$494,"支援")&gt;0,"○",""))</f>
        <v/>
      </c>
      <c r="X25" s="98">
        <f>IF(COUNTIFS('VS×ケイパビリティ関係'!$F$4:$F$494,$B25,'VS×ケイパビリティ関係'!$G$4:$G$494,X$5,'VS×ケイパビリティ関係'!$E$4:$E$494,"主")&gt;0,"●",IF(COUNTIFS('VS×ケイパビリティ関係'!$F$4:$F$494,$B25,'VS×ケイパビリティ関係'!$G$4:$G$494,X$5,'VS×ケイパビリティ関係'!$E$4:$E$494,"支援")&gt;0,"○",""))</f>
        <v/>
      </c>
      <c r="Y25" s="98">
        <f>IF(COUNTIFS('VS×ケイパビリティ関係'!$F$4:$F$494,$B25,'VS×ケイパビリティ関係'!$G$4:$G$494,Y$5,'VS×ケイパビリティ関係'!$E$4:$E$494,"主")&gt;0,"●",IF(COUNTIFS('VS×ケイパビリティ関係'!$F$4:$F$494,$B25,'VS×ケイパビリティ関係'!$G$4:$G$494,Y$5,'VS×ケイパビリティ関係'!$E$4:$E$494,"支援")&gt;0,"○",""))</f>
        <v/>
      </c>
      <c r="Z25" s="98">
        <f>IF(COUNTIFS('VS×ケイパビリティ関係'!$F$4:$F$494,$B25,'VS×ケイパビリティ関係'!$G$4:$G$494,Z$5,'VS×ケイパビリティ関係'!$E$4:$E$494,"主")&gt;0,"●",IF(COUNTIFS('VS×ケイパビリティ関係'!$F$4:$F$494,$B25,'VS×ケイパビリティ関係'!$G$4:$G$494,Z$5,'VS×ケイパビリティ関係'!$E$4:$E$494,"支援")&gt;0,"○",""))</f>
        <v/>
      </c>
      <c r="AA25" s="98">
        <f>IF(COUNTIFS('VS×ケイパビリティ関係'!$F$4:$F$494,$B25,'VS×ケイパビリティ関係'!$G$4:$G$494,AA$5,'VS×ケイパビリティ関係'!$E$4:$E$494,"主")&gt;0,"●",IF(COUNTIFS('VS×ケイパビリティ関係'!$F$4:$F$494,$B25,'VS×ケイパビリティ関係'!$G$4:$G$494,AA$5,'VS×ケイパビリティ関係'!$E$4:$E$494,"支援")&gt;0,"○",""))</f>
        <v/>
      </c>
      <c r="AB25" s="98">
        <f>IF(COUNTIFS('VS×ケイパビリティ関係'!$F$4:$F$494,$B25,'VS×ケイパビリティ関係'!$G$4:$G$494,AB$5,'VS×ケイパビリティ関係'!$E$4:$E$494,"主")&gt;0,"●",IF(COUNTIFS('VS×ケイパビリティ関係'!$F$4:$F$494,$B25,'VS×ケイパビリティ関係'!$G$4:$G$494,AB$5,'VS×ケイパビリティ関係'!$E$4:$E$494,"支援")&gt;0,"○",""))</f>
        <v/>
      </c>
      <c r="AC25" s="98">
        <f>IF(COUNTIFS('VS×ケイパビリティ関係'!$F$4:$F$494,$B25,'VS×ケイパビリティ関係'!$G$4:$G$494,AC$5,'VS×ケイパビリティ関係'!$E$4:$E$494,"主")&gt;0,"●",IF(COUNTIFS('VS×ケイパビリティ関係'!$F$4:$F$494,$B25,'VS×ケイパビリティ関係'!$G$4:$G$494,AC$5,'VS×ケイパビリティ関係'!$E$4:$E$494,"支援")&gt;0,"○",""))</f>
        <v/>
      </c>
      <c r="AD25" s="98">
        <f>IF(COUNTIFS('VS×ケイパビリティ関係'!$F$4:$F$494,$B25,'VS×ケイパビリティ関係'!$G$4:$G$494,AD$5,'VS×ケイパビリティ関係'!$E$4:$E$494,"主")&gt;0,"●",IF(COUNTIFS('VS×ケイパビリティ関係'!$F$4:$F$494,$B25,'VS×ケイパビリティ関係'!$G$4:$G$494,AD$5,'VS×ケイパビリティ関係'!$E$4:$E$494,"支援")&gt;0,"○",""))</f>
        <v/>
      </c>
      <c r="AE25" s="98">
        <f>IF(COUNTIFS('VS×ケイパビリティ関係'!$F$4:$F$494,$B25,'VS×ケイパビリティ関係'!$G$4:$G$494,AE$5,'VS×ケイパビリティ関係'!$E$4:$E$494,"主")&gt;0,"●",IF(COUNTIFS('VS×ケイパビリティ関係'!$F$4:$F$494,$B25,'VS×ケイパビリティ関係'!$G$4:$G$494,AE$5,'VS×ケイパビリティ関係'!$E$4:$E$494,"支援")&gt;0,"○",""))</f>
        <v/>
      </c>
      <c r="AF25" s="98">
        <f>IF(COUNTIFS('VS×ケイパビリティ関係'!$F$4:$F$494,$B25,'VS×ケイパビリティ関係'!$G$4:$G$494,AF$5,'VS×ケイパビリティ関係'!$E$4:$E$494,"主")&gt;0,"●",IF(COUNTIFS('VS×ケイパビリティ関係'!$F$4:$F$494,$B25,'VS×ケイパビリティ関係'!$G$4:$G$494,AF$5,'VS×ケイパビリティ関係'!$E$4:$E$494,"支援")&gt;0,"○",""))</f>
        <v/>
      </c>
      <c r="AG25" s="98">
        <f>IF(COUNTIFS('VS×ケイパビリティ関係'!$F$4:$F$494,$B25,'VS×ケイパビリティ関係'!$G$4:$G$494,AG$5,'VS×ケイパビリティ関係'!$E$4:$E$494,"主")&gt;0,"●",IF(COUNTIFS('VS×ケイパビリティ関係'!$F$4:$F$494,$B25,'VS×ケイパビリティ関係'!$G$4:$G$494,AG$5,'VS×ケイパビリティ関係'!$E$4:$E$494,"支援")&gt;0,"○",""))</f>
        <v/>
      </c>
      <c r="AH25" s="98">
        <f>IF(COUNTIFS('VS×ケイパビリティ関係'!$F$4:$F$494,$B25,'VS×ケイパビリティ関係'!$G$4:$G$494,AH$5,'VS×ケイパビリティ関係'!$E$4:$E$494,"主")&gt;0,"●",IF(COUNTIFS('VS×ケイパビリティ関係'!$F$4:$F$494,$B25,'VS×ケイパビリティ関係'!$G$4:$G$494,AH$5,'VS×ケイパビリティ関係'!$E$4:$E$494,"支援")&gt;0,"○",""))</f>
        <v/>
      </c>
      <c r="AI25" s="98">
        <f>IF(COUNTIFS('VS×ケイパビリティ関係'!$F$4:$F$494,$B25,'VS×ケイパビリティ関係'!$G$4:$G$494,AI$5,'VS×ケイパビリティ関係'!$E$4:$E$494,"主")&gt;0,"●",IF(COUNTIFS('VS×ケイパビリティ関係'!$F$4:$F$494,$B25,'VS×ケイパビリティ関係'!$G$4:$G$494,AI$5,'VS×ケイパビリティ関係'!$E$4:$E$494,"支援")&gt;0,"○",""))</f>
        <v/>
      </c>
      <c r="AJ25" s="98">
        <f>IF(COUNTIFS('VS×ケイパビリティ関係'!$F$4:$F$494,$B25,'VS×ケイパビリティ関係'!$G$4:$G$494,AJ$5,'VS×ケイパビリティ関係'!$E$4:$E$494,"主")&gt;0,"●",IF(COUNTIFS('VS×ケイパビリティ関係'!$F$4:$F$494,$B25,'VS×ケイパビリティ関係'!$G$4:$G$494,AJ$5,'VS×ケイパビリティ関係'!$E$4:$E$494,"支援")&gt;0,"○",""))</f>
        <v/>
      </c>
      <c r="AK25" s="98">
        <f>IF(COUNTIFS('VS×ケイパビリティ関係'!$F$4:$F$494,$B25,'VS×ケイパビリティ関係'!$G$4:$G$494,AK$5,'VS×ケイパビリティ関係'!$E$4:$E$494,"主")&gt;0,"●",IF(COUNTIFS('VS×ケイパビリティ関係'!$F$4:$F$494,$B25,'VS×ケイパビリティ関係'!$G$4:$G$494,AK$5,'VS×ケイパビリティ関係'!$E$4:$E$494,"支援")&gt;0,"○",""))</f>
        <v/>
      </c>
      <c r="AL25" s="98">
        <f>IF(COUNTIFS('VS×ケイパビリティ関係'!$F$4:$F$494,$B25,'VS×ケイパビリティ関係'!$G$4:$G$494,AL$5,'VS×ケイパビリティ関係'!$E$4:$E$494,"主")&gt;0,"●",IF(COUNTIFS('VS×ケイパビリティ関係'!$F$4:$F$494,$B25,'VS×ケイパビリティ関係'!$G$4:$G$494,AL$5,'VS×ケイパビリティ関係'!$E$4:$E$494,"支援")&gt;0,"○",""))</f>
        <v/>
      </c>
      <c r="AM25" s="98">
        <f>IF(COUNTIFS('VS×ケイパビリティ関係'!$F$4:$F$494,$B25,'VS×ケイパビリティ関係'!$G$4:$G$494,AM$5,'VS×ケイパビリティ関係'!$E$4:$E$494,"主")&gt;0,"●",IF(COUNTIFS('VS×ケイパビリティ関係'!$F$4:$F$494,$B25,'VS×ケイパビリティ関係'!$G$4:$G$494,AM$5,'VS×ケイパビリティ関係'!$E$4:$E$494,"支援")&gt;0,"○",""))</f>
        <v/>
      </c>
      <c r="AN25" s="98">
        <f>IF(COUNTIFS('VS×ケイパビリティ関係'!$F$4:$F$494,$B25,'VS×ケイパビリティ関係'!$G$4:$G$494,AN$5,'VS×ケイパビリティ関係'!$E$4:$E$494,"主")&gt;0,"●",IF(COUNTIFS('VS×ケイパビリティ関係'!$F$4:$F$494,$B25,'VS×ケイパビリティ関係'!$G$4:$G$494,AN$5,'VS×ケイパビリティ関係'!$E$4:$E$494,"支援")&gt;0,"○",""))</f>
        <v/>
      </c>
      <c r="AO25" s="98">
        <f>IF(COUNTIFS('VS×ケイパビリティ関係'!$F$4:$F$494,$B25,'VS×ケイパビリティ関係'!$G$4:$G$494,AO$5,'VS×ケイパビリティ関係'!$E$4:$E$494,"主")&gt;0,"●",IF(COUNTIFS('VS×ケイパビリティ関係'!$F$4:$F$494,$B25,'VS×ケイパビリティ関係'!$G$4:$G$494,AO$5,'VS×ケイパビリティ関係'!$E$4:$E$494,"支援")&gt;0,"○",""))</f>
        <v/>
      </c>
      <c r="AP25" s="98">
        <f>IF(COUNTIFS('VS×ケイパビリティ関係'!$F$4:$F$494,$B25,'VS×ケイパビリティ関係'!$G$4:$G$494,AP$5,'VS×ケイパビリティ関係'!$E$4:$E$494,"主")&gt;0,"●",IF(COUNTIFS('VS×ケイパビリティ関係'!$F$4:$F$494,$B25,'VS×ケイパビリティ関係'!$G$4:$G$494,AP$5,'VS×ケイパビリティ関係'!$E$4:$E$494,"支援")&gt;0,"○",""))</f>
        <v/>
      </c>
      <c r="AQ25" s="98">
        <f>IF(COUNTIFS('VS×ケイパビリティ関係'!$F$4:$F$494,$B25,'VS×ケイパビリティ関係'!$G$4:$G$494,AQ$5,'VS×ケイパビリティ関係'!$E$4:$E$494,"主")&gt;0,"●",IF(COUNTIFS('VS×ケイパビリティ関係'!$F$4:$F$494,$B25,'VS×ケイパビリティ関係'!$G$4:$G$494,AQ$5,'VS×ケイパビリティ関係'!$E$4:$E$494,"支援")&gt;0,"○",""))</f>
        <v/>
      </c>
      <c r="AR25" s="98">
        <f>IF(COUNTIFS('VS×ケイパビリティ関係'!$F$4:$F$494,$B25,'VS×ケイパビリティ関係'!$G$4:$G$494,AR$5,'VS×ケイパビリティ関係'!$E$4:$E$494,"主")&gt;0,"●",IF(COUNTIFS('VS×ケイパビリティ関係'!$F$4:$F$494,$B25,'VS×ケイパビリティ関係'!$G$4:$G$494,AR$5,'VS×ケイパビリティ関係'!$E$4:$E$494,"支援")&gt;0,"○",""))</f>
        <v/>
      </c>
      <c r="AS25" s="98">
        <f>IF(COUNTIFS('VS×ケイパビリティ関係'!$F$4:$F$494,$B25,'VS×ケイパビリティ関係'!$G$4:$G$494,AS$5,'VS×ケイパビリティ関係'!$E$4:$E$494,"主")&gt;0,"●",IF(COUNTIFS('VS×ケイパビリティ関係'!$F$4:$F$494,$B25,'VS×ケイパビリティ関係'!$G$4:$G$494,AS$5,'VS×ケイパビリティ関係'!$E$4:$E$494,"支援")&gt;0,"○",""))</f>
        <v/>
      </c>
      <c r="AT25" s="98">
        <f>IF(COUNTIFS('VS×ケイパビリティ関係'!$F$4:$F$494,$B25,'VS×ケイパビリティ関係'!$G$4:$G$494,AT$5,'VS×ケイパビリティ関係'!$E$4:$E$494,"主")&gt;0,"●",IF(COUNTIFS('VS×ケイパビリティ関係'!$F$4:$F$494,$B25,'VS×ケイパビリティ関係'!$G$4:$G$494,AT$5,'VS×ケイパビリティ関係'!$E$4:$E$494,"支援")&gt;0,"○",""))</f>
        <v/>
      </c>
      <c r="AU25" s="98">
        <f>IF(COUNTIFS('VS×ケイパビリティ関係'!$F$4:$F$494,$B25,'VS×ケイパビリティ関係'!$G$4:$G$494,AU$5,'VS×ケイパビリティ関係'!$E$4:$E$494,"主")&gt;0,"●",IF(COUNTIFS('VS×ケイパビリティ関係'!$F$4:$F$494,$B25,'VS×ケイパビリティ関係'!$G$4:$G$494,AU$5,'VS×ケイパビリティ関係'!$E$4:$E$494,"支援")&gt;0,"○",""))</f>
        <v/>
      </c>
      <c r="AV25" s="98">
        <f>IF(COUNTIFS('VS×ケイパビリティ関係'!$F$4:$F$494,$B25,'VS×ケイパビリティ関係'!$G$4:$G$494,AV$5,'VS×ケイパビリティ関係'!$E$4:$E$494,"主")&gt;0,"●",IF(COUNTIFS('VS×ケイパビリティ関係'!$F$4:$F$494,$B25,'VS×ケイパビリティ関係'!$G$4:$G$494,AV$5,'VS×ケイパビリティ関係'!$E$4:$E$494,"支援")&gt;0,"○",""))</f>
        <v/>
      </c>
      <c r="AW25" s="98">
        <f>IF(COUNTIFS('VS×ケイパビリティ関係'!$F$4:$F$494,$B25,'VS×ケイパビリティ関係'!$G$4:$G$494,AW$5,'VS×ケイパビリティ関係'!$E$4:$E$494,"主")&gt;0,"●",IF(COUNTIFS('VS×ケイパビリティ関係'!$F$4:$F$494,$B25,'VS×ケイパビリティ関係'!$G$4:$G$494,AW$5,'VS×ケイパビリティ関係'!$E$4:$E$494,"支援")&gt;0,"○",""))</f>
        <v/>
      </c>
      <c r="AX25" s="98">
        <f>IF(COUNTIFS('VS×ケイパビリティ関係'!$F$4:$F$494,$B25,'VS×ケイパビリティ関係'!$G$4:$G$494,AX$5,'VS×ケイパビリティ関係'!$E$4:$E$494,"主")&gt;0,"●",IF(COUNTIFS('VS×ケイパビリティ関係'!$F$4:$F$494,$B25,'VS×ケイパビリティ関係'!$G$4:$G$494,AX$5,'VS×ケイパビリティ関係'!$E$4:$E$494,"支援")&gt;0,"○",""))</f>
        <v/>
      </c>
      <c r="AY25" s="98">
        <f>IF(COUNTIFS('VS×ケイパビリティ関係'!$F$4:$F$494,$B25,'VS×ケイパビリティ関係'!$G$4:$G$494,AY$5,'VS×ケイパビリティ関係'!$E$4:$E$494,"主")&gt;0,"●",IF(COUNTIFS('VS×ケイパビリティ関係'!$F$4:$F$494,$B25,'VS×ケイパビリティ関係'!$G$4:$G$494,AY$5,'VS×ケイパビリティ関係'!$E$4:$E$494,"支援")&gt;0,"○",""))</f>
        <v/>
      </c>
      <c r="AZ25" s="98">
        <f>IF(COUNTIFS('VS×ケイパビリティ関係'!$F$4:$F$494,$B25,'VS×ケイパビリティ関係'!$G$4:$G$494,AZ$5,'VS×ケイパビリティ関係'!$E$4:$E$494,"主")&gt;0,"●",IF(COUNTIFS('VS×ケイパビリティ関係'!$F$4:$F$494,$B25,'VS×ケイパビリティ関係'!$G$4:$G$494,AZ$5,'VS×ケイパビリティ関係'!$E$4:$E$494,"支援")&gt;0,"○",""))</f>
        <v/>
      </c>
      <c r="BA25" s="98">
        <f>IF(COUNTIFS('VS×ケイパビリティ関係'!$F$4:$F$494,$B25,'VS×ケイパビリティ関係'!$G$4:$G$494,BA$5,'VS×ケイパビリティ関係'!$E$4:$E$494,"主")&gt;0,"●",IF(COUNTIFS('VS×ケイパビリティ関係'!$F$4:$F$494,$B25,'VS×ケイパビリティ関係'!$G$4:$G$494,BA$5,'VS×ケイパビリティ関係'!$E$4:$E$494,"支援")&gt;0,"○",""))</f>
        <v/>
      </c>
      <c r="BB25" s="98">
        <f>IF(COUNTIFS('VS×ケイパビリティ関係'!$F$4:$F$494,$B25,'VS×ケイパビリティ関係'!$G$4:$G$494,BB$5,'VS×ケイパビリティ関係'!$E$4:$E$494,"主")&gt;0,"●",IF(COUNTIFS('VS×ケイパビリティ関係'!$F$4:$F$494,$B25,'VS×ケイパビリティ関係'!$G$4:$G$494,BB$5,'VS×ケイパビリティ関係'!$E$4:$E$494,"支援")&gt;0,"○",""))</f>
        <v/>
      </c>
      <c r="BC25" s="98">
        <f>IF(COUNTIFS('VS×ケイパビリティ関係'!$F$4:$F$494,$B25,'VS×ケイパビリティ関係'!$G$4:$G$494,BC$5,'VS×ケイパビリティ関係'!$E$4:$E$494,"主")&gt;0,"●",IF(COUNTIFS('VS×ケイパビリティ関係'!$F$4:$F$494,$B25,'VS×ケイパビリティ関係'!$G$4:$G$494,BC$5,'VS×ケイパビリティ関係'!$E$4:$E$494,"支援")&gt;0,"○",""))</f>
        <v/>
      </c>
      <c r="BD25" s="98">
        <f>IF(COUNTIFS('VS×ケイパビリティ関係'!$F$4:$F$494,$B25,'VS×ケイパビリティ関係'!$G$4:$G$494,BD$5,'VS×ケイパビリティ関係'!$E$4:$E$494,"主")&gt;0,"●",IF(COUNTIFS('VS×ケイパビリティ関係'!$F$4:$F$494,$B25,'VS×ケイパビリティ関係'!$G$4:$G$494,BD$5,'VS×ケイパビリティ関係'!$E$4:$E$494,"支援")&gt;0,"○",""))</f>
        <v/>
      </c>
      <c r="BE25" s="98">
        <f>COUNTIF(D25:BD25,"●")</f>
        <v/>
      </c>
      <c r="BF25" s="98">
        <f>COUNTIF(D25:BD25,"○")</f>
        <v/>
      </c>
    </row>
    <row r="26" ht="15" customHeight="1" s="80">
      <c r="A26" s="116" t="inlineStr">
        <is>
          <t>05 BLA申請・審査</t>
        </is>
      </c>
      <c r="B26" s="98" t="inlineStr">
        <is>
          <t>05-01</t>
        </is>
      </c>
      <c r="C26" s="100" t="inlineStr">
        <is>
          <t>申請資料（CTD）の作成</t>
        </is>
      </c>
      <c r="D26" s="98">
        <f>IF(COUNTIFS('VS×ケイパビリティ関係'!$F$4:$F$494,$B26,'VS×ケイパビリティ関係'!$G$4:$G$494,D$5,'VS×ケイパビリティ関係'!$E$4:$E$494,"主")&gt;0,"●",IF(COUNTIFS('VS×ケイパビリティ関係'!$F$4:$F$494,$B26,'VS×ケイパビリティ関係'!$G$4:$G$494,D$5,'VS×ケイパビリティ関係'!$E$4:$E$494,"支援")&gt;0,"○",""))</f>
        <v/>
      </c>
      <c r="E26" s="98">
        <f>IF(COUNTIFS('VS×ケイパビリティ関係'!$F$4:$F$494,$B26,'VS×ケイパビリティ関係'!$G$4:$G$494,E$5,'VS×ケイパビリティ関係'!$E$4:$E$494,"主")&gt;0,"●",IF(COUNTIFS('VS×ケイパビリティ関係'!$F$4:$F$494,$B26,'VS×ケイパビリティ関係'!$G$4:$G$494,E$5,'VS×ケイパビリティ関係'!$E$4:$E$494,"支援")&gt;0,"○",""))</f>
        <v/>
      </c>
      <c r="F26" s="98">
        <f>IF(COUNTIFS('VS×ケイパビリティ関係'!$F$4:$F$494,$B26,'VS×ケイパビリティ関係'!$G$4:$G$494,F$5,'VS×ケイパビリティ関係'!$E$4:$E$494,"主")&gt;0,"●",IF(COUNTIFS('VS×ケイパビリティ関係'!$F$4:$F$494,$B26,'VS×ケイパビリティ関係'!$G$4:$G$494,F$5,'VS×ケイパビリティ関係'!$E$4:$E$494,"支援")&gt;0,"○",""))</f>
        <v/>
      </c>
      <c r="G26" s="98">
        <f>IF(COUNTIFS('VS×ケイパビリティ関係'!$F$4:$F$494,$B26,'VS×ケイパビリティ関係'!$G$4:$G$494,G$5,'VS×ケイパビリティ関係'!$E$4:$E$494,"主")&gt;0,"●",IF(COUNTIFS('VS×ケイパビリティ関係'!$F$4:$F$494,$B26,'VS×ケイパビリティ関係'!$G$4:$G$494,G$5,'VS×ケイパビリティ関係'!$E$4:$E$494,"支援")&gt;0,"○",""))</f>
        <v/>
      </c>
      <c r="H26" s="98">
        <f>IF(COUNTIFS('VS×ケイパビリティ関係'!$F$4:$F$494,$B26,'VS×ケイパビリティ関係'!$G$4:$G$494,H$5,'VS×ケイパビリティ関係'!$E$4:$E$494,"主")&gt;0,"●",IF(COUNTIFS('VS×ケイパビリティ関係'!$F$4:$F$494,$B26,'VS×ケイパビリティ関係'!$G$4:$G$494,H$5,'VS×ケイパビリティ関係'!$E$4:$E$494,"支援")&gt;0,"○",""))</f>
        <v/>
      </c>
      <c r="I26" s="98">
        <f>IF(COUNTIFS('VS×ケイパビリティ関係'!$F$4:$F$494,$B26,'VS×ケイパビリティ関係'!$G$4:$G$494,I$5,'VS×ケイパビリティ関係'!$E$4:$E$494,"主")&gt;0,"●",IF(COUNTIFS('VS×ケイパビリティ関係'!$F$4:$F$494,$B26,'VS×ケイパビリティ関係'!$G$4:$G$494,I$5,'VS×ケイパビリティ関係'!$E$4:$E$494,"支援")&gt;0,"○",""))</f>
        <v/>
      </c>
      <c r="J26" s="98">
        <f>IF(COUNTIFS('VS×ケイパビリティ関係'!$F$4:$F$494,$B26,'VS×ケイパビリティ関係'!$G$4:$G$494,J$5,'VS×ケイパビリティ関係'!$E$4:$E$494,"主")&gt;0,"●",IF(COUNTIFS('VS×ケイパビリティ関係'!$F$4:$F$494,$B26,'VS×ケイパビリティ関係'!$G$4:$G$494,J$5,'VS×ケイパビリティ関係'!$E$4:$E$494,"支援")&gt;0,"○",""))</f>
        <v/>
      </c>
      <c r="K26" s="98">
        <f>IF(COUNTIFS('VS×ケイパビリティ関係'!$F$4:$F$494,$B26,'VS×ケイパビリティ関係'!$G$4:$G$494,K$5,'VS×ケイパビリティ関係'!$E$4:$E$494,"主")&gt;0,"●",IF(COUNTIFS('VS×ケイパビリティ関係'!$F$4:$F$494,$B26,'VS×ケイパビリティ関係'!$G$4:$G$494,K$5,'VS×ケイパビリティ関係'!$E$4:$E$494,"支援")&gt;0,"○",""))</f>
        <v/>
      </c>
      <c r="L26" s="98">
        <f>IF(COUNTIFS('VS×ケイパビリティ関係'!$F$4:$F$494,$B26,'VS×ケイパビリティ関係'!$G$4:$G$494,L$5,'VS×ケイパビリティ関係'!$E$4:$E$494,"主")&gt;0,"●",IF(COUNTIFS('VS×ケイパビリティ関係'!$F$4:$F$494,$B26,'VS×ケイパビリティ関係'!$G$4:$G$494,L$5,'VS×ケイパビリティ関係'!$E$4:$E$494,"支援")&gt;0,"○",""))</f>
        <v/>
      </c>
      <c r="M26" s="98">
        <f>IF(COUNTIFS('VS×ケイパビリティ関係'!$F$4:$F$494,$B26,'VS×ケイパビリティ関係'!$G$4:$G$494,M$5,'VS×ケイパビリティ関係'!$E$4:$E$494,"主")&gt;0,"●",IF(COUNTIFS('VS×ケイパビリティ関係'!$F$4:$F$494,$B26,'VS×ケイパビリティ関係'!$G$4:$G$494,M$5,'VS×ケイパビリティ関係'!$E$4:$E$494,"支援")&gt;0,"○",""))</f>
        <v/>
      </c>
      <c r="N26" s="98">
        <f>IF(COUNTIFS('VS×ケイパビリティ関係'!$F$4:$F$494,$B26,'VS×ケイパビリティ関係'!$G$4:$G$494,N$5,'VS×ケイパビリティ関係'!$E$4:$E$494,"主")&gt;0,"●",IF(COUNTIFS('VS×ケイパビリティ関係'!$F$4:$F$494,$B26,'VS×ケイパビリティ関係'!$G$4:$G$494,N$5,'VS×ケイパビリティ関係'!$E$4:$E$494,"支援")&gt;0,"○",""))</f>
        <v/>
      </c>
      <c r="O26" s="98">
        <f>IF(COUNTIFS('VS×ケイパビリティ関係'!$F$4:$F$494,$B26,'VS×ケイパビリティ関係'!$G$4:$G$494,O$5,'VS×ケイパビリティ関係'!$E$4:$E$494,"主")&gt;0,"●",IF(COUNTIFS('VS×ケイパビリティ関係'!$F$4:$F$494,$B26,'VS×ケイパビリティ関係'!$G$4:$G$494,O$5,'VS×ケイパビリティ関係'!$E$4:$E$494,"支援")&gt;0,"○",""))</f>
        <v/>
      </c>
      <c r="P26" s="98">
        <f>IF(COUNTIFS('VS×ケイパビリティ関係'!$F$4:$F$494,$B26,'VS×ケイパビリティ関係'!$G$4:$G$494,P$5,'VS×ケイパビリティ関係'!$E$4:$E$494,"主")&gt;0,"●",IF(COUNTIFS('VS×ケイパビリティ関係'!$F$4:$F$494,$B26,'VS×ケイパビリティ関係'!$G$4:$G$494,P$5,'VS×ケイパビリティ関係'!$E$4:$E$494,"支援")&gt;0,"○",""))</f>
        <v/>
      </c>
      <c r="Q26" s="98">
        <f>IF(COUNTIFS('VS×ケイパビリティ関係'!$F$4:$F$494,$B26,'VS×ケイパビリティ関係'!$G$4:$G$494,Q$5,'VS×ケイパビリティ関係'!$E$4:$E$494,"主")&gt;0,"●",IF(COUNTIFS('VS×ケイパビリティ関係'!$F$4:$F$494,$B26,'VS×ケイパビリティ関係'!$G$4:$G$494,Q$5,'VS×ケイパビリティ関係'!$E$4:$E$494,"支援")&gt;0,"○",""))</f>
        <v/>
      </c>
      <c r="R26" s="98">
        <f>IF(COUNTIFS('VS×ケイパビリティ関係'!$F$4:$F$494,$B26,'VS×ケイパビリティ関係'!$G$4:$G$494,R$5,'VS×ケイパビリティ関係'!$E$4:$E$494,"主")&gt;0,"●",IF(COUNTIFS('VS×ケイパビリティ関係'!$F$4:$F$494,$B26,'VS×ケイパビリティ関係'!$G$4:$G$494,R$5,'VS×ケイパビリティ関係'!$E$4:$E$494,"支援")&gt;0,"○",""))</f>
        <v/>
      </c>
      <c r="S26" s="98">
        <f>IF(COUNTIFS('VS×ケイパビリティ関係'!$F$4:$F$494,$B26,'VS×ケイパビリティ関係'!$G$4:$G$494,S$5,'VS×ケイパビリティ関係'!$E$4:$E$494,"主")&gt;0,"●",IF(COUNTIFS('VS×ケイパビリティ関係'!$F$4:$F$494,$B26,'VS×ケイパビリティ関係'!$G$4:$G$494,S$5,'VS×ケイパビリティ関係'!$E$4:$E$494,"支援")&gt;0,"○",""))</f>
        <v/>
      </c>
      <c r="T26" s="98">
        <f>IF(COUNTIFS('VS×ケイパビリティ関係'!$F$4:$F$494,$B26,'VS×ケイパビリティ関係'!$G$4:$G$494,T$5,'VS×ケイパビリティ関係'!$E$4:$E$494,"主")&gt;0,"●",IF(COUNTIFS('VS×ケイパビリティ関係'!$F$4:$F$494,$B26,'VS×ケイパビリティ関係'!$G$4:$G$494,T$5,'VS×ケイパビリティ関係'!$E$4:$E$494,"支援")&gt;0,"○",""))</f>
        <v/>
      </c>
      <c r="U26" s="98">
        <f>IF(COUNTIFS('VS×ケイパビリティ関係'!$F$4:$F$494,$B26,'VS×ケイパビリティ関係'!$G$4:$G$494,U$5,'VS×ケイパビリティ関係'!$E$4:$E$494,"主")&gt;0,"●",IF(COUNTIFS('VS×ケイパビリティ関係'!$F$4:$F$494,$B26,'VS×ケイパビリティ関係'!$G$4:$G$494,U$5,'VS×ケイパビリティ関係'!$E$4:$E$494,"支援")&gt;0,"○",""))</f>
        <v/>
      </c>
      <c r="V26" s="98">
        <f>IF(COUNTIFS('VS×ケイパビリティ関係'!$F$4:$F$494,$B26,'VS×ケイパビリティ関係'!$G$4:$G$494,V$5,'VS×ケイパビリティ関係'!$E$4:$E$494,"主")&gt;0,"●",IF(COUNTIFS('VS×ケイパビリティ関係'!$F$4:$F$494,$B26,'VS×ケイパビリティ関係'!$G$4:$G$494,V$5,'VS×ケイパビリティ関係'!$E$4:$E$494,"支援")&gt;0,"○",""))</f>
        <v/>
      </c>
      <c r="W26" s="98">
        <f>IF(COUNTIFS('VS×ケイパビリティ関係'!$F$4:$F$494,$B26,'VS×ケイパビリティ関係'!$G$4:$G$494,W$5,'VS×ケイパビリティ関係'!$E$4:$E$494,"主")&gt;0,"●",IF(COUNTIFS('VS×ケイパビリティ関係'!$F$4:$F$494,$B26,'VS×ケイパビリティ関係'!$G$4:$G$494,W$5,'VS×ケイパビリティ関係'!$E$4:$E$494,"支援")&gt;0,"○",""))</f>
        <v/>
      </c>
      <c r="X26" s="98">
        <f>IF(COUNTIFS('VS×ケイパビリティ関係'!$F$4:$F$494,$B26,'VS×ケイパビリティ関係'!$G$4:$G$494,X$5,'VS×ケイパビリティ関係'!$E$4:$E$494,"主")&gt;0,"●",IF(COUNTIFS('VS×ケイパビリティ関係'!$F$4:$F$494,$B26,'VS×ケイパビリティ関係'!$G$4:$G$494,X$5,'VS×ケイパビリティ関係'!$E$4:$E$494,"支援")&gt;0,"○",""))</f>
        <v/>
      </c>
      <c r="Y26" s="98">
        <f>IF(COUNTIFS('VS×ケイパビリティ関係'!$F$4:$F$494,$B26,'VS×ケイパビリティ関係'!$G$4:$G$494,Y$5,'VS×ケイパビリティ関係'!$E$4:$E$494,"主")&gt;0,"●",IF(COUNTIFS('VS×ケイパビリティ関係'!$F$4:$F$494,$B26,'VS×ケイパビリティ関係'!$G$4:$G$494,Y$5,'VS×ケイパビリティ関係'!$E$4:$E$494,"支援")&gt;0,"○",""))</f>
        <v/>
      </c>
      <c r="Z26" s="98">
        <f>IF(COUNTIFS('VS×ケイパビリティ関係'!$F$4:$F$494,$B26,'VS×ケイパビリティ関係'!$G$4:$G$494,Z$5,'VS×ケイパビリティ関係'!$E$4:$E$494,"主")&gt;0,"●",IF(COUNTIFS('VS×ケイパビリティ関係'!$F$4:$F$494,$B26,'VS×ケイパビリティ関係'!$G$4:$G$494,Z$5,'VS×ケイパビリティ関係'!$E$4:$E$494,"支援")&gt;0,"○",""))</f>
        <v/>
      </c>
      <c r="AA26" s="98">
        <f>IF(COUNTIFS('VS×ケイパビリティ関係'!$F$4:$F$494,$B26,'VS×ケイパビリティ関係'!$G$4:$G$494,AA$5,'VS×ケイパビリティ関係'!$E$4:$E$494,"主")&gt;0,"●",IF(COUNTIFS('VS×ケイパビリティ関係'!$F$4:$F$494,$B26,'VS×ケイパビリティ関係'!$G$4:$G$494,AA$5,'VS×ケイパビリティ関係'!$E$4:$E$494,"支援")&gt;0,"○",""))</f>
        <v/>
      </c>
      <c r="AB26" s="98">
        <f>IF(COUNTIFS('VS×ケイパビリティ関係'!$F$4:$F$494,$B26,'VS×ケイパビリティ関係'!$G$4:$G$494,AB$5,'VS×ケイパビリティ関係'!$E$4:$E$494,"主")&gt;0,"●",IF(COUNTIFS('VS×ケイパビリティ関係'!$F$4:$F$494,$B26,'VS×ケイパビリティ関係'!$G$4:$G$494,AB$5,'VS×ケイパビリティ関係'!$E$4:$E$494,"支援")&gt;0,"○",""))</f>
        <v/>
      </c>
      <c r="AC26" s="98">
        <f>IF(COUNTIFS('VS×ケイパビリティ関係'!$F$4:$F$494,$B26,'VS×ケイパビリティ関係'!$G$4:$G$494,AC$5,'VS×ケイパビリティ関係'!$E$4:$E$494,"主")&gt;0,"●",IF(COUNTIFS('VS×ケイパビリティ関係'!$F$4:$F$494,$B26,'VS×ケイパビリティ関係'!$G$4:$G$494,AC$5,'VS×ケイパビリティ関係'!$E$4:$E$494,"支援")&gt;0,"○",""))</f>
        <v/>
      </c>
      <c r="AD26" s="98">
        <f>IF(COUNTIFS('VS×ケイパビリティ関係'!$F$4:$F$494,$B26,'VS×ケイパビリティ関係'!$G$4:$G$494,AD$5,'VS×ケイパビリティ関係'!$E$4:$E$494,"主")&gt;0,"●",IF(COUNTIFS('VS×ケイパビリティ関係'!$F$4:$F$494,$B26,'VS×ケイパビリティ関係'!$G$4:$G$494,AD$5,'VS×ケイパビリティ関係'!$E$4:$E$494,"支援")&gt;0,"○",""))</f>
        <v/>
      </c>
      <c r="AE26" s="98">
        <f>IF(COUNTIFS('VS×ケイパビリティ関係'!$F$4:$F$494,$B26,'VS×ケイパビリティ関係'!$G$4:$G$494,AE$5,'VS×ケイパビリティ関係'!$E$4:$E$494,"主")&gt;0,"●",IF(COUNTIFS('VS×ケイパビリティ関係'!$F$4:$F$494,$B26,'VS×ケイパビリティ関係'!$G$4:$G$494,AE$5,'VS×ケイパビリティ関係'!$E$4:$E$494,"支援")&gt;0,"○",""))</f>
        <v/>
      </c>
      <c r="AF26" s="98">
        <f>IF(COUNTIFS('VS×ケイパビリティ関係'!$F$4:$F$494,$B26,'VS×ケイパビリティ関係'!$G$4:$G$494,AF$5,'VS×ケイパビリティ関係'!$E$4:$E$494,"主")&gt;0,"●",IF(COUNTIFS('VS×ケイパビリティ関係'!$F$4:$F$494,$B26,'VS×ケイパビリティ関係'!$G$4:$G$494,AF$5,'VS×ケイパビリティ関係'!$E$4:$E$494,"支援")&gt;0,"○",""))</f>
        <v/>
      </c>
      <c r="AG26" s="98">
        <f>IF(COUNTIFS('VS×ケイパビリティ関係'!$F$4:$F$494,$B26,'VS×ケイパビリティ関係'!$G$4:$G$494,AG$5,'VS×ケイパビリティ関係'!$E$4:$E$494,"主")&gt;0,"●",IF(COUNTIFS('VS×ケイパビリティ関係'!$F$4:$F$494,$B26,'VS×ケイパビリティ関係'!$G$4:$G$494,AG$5,'VS×ケイパビリティ関係'!$E$4:$E$494,"支援")&gt;0,"○",""))</f>
        <v/>
      </c>
      <c r="AH26" s="98">
        <f>IF(COUNTIFS('VS×ケイパビリティ関係'!$F$4:$F$494,$B26,'VS×ケイパビリティ関係'!$G$4:$G$494,AH$5,'VS×ケイパビリティ関係'!$E$4:$E$494,"主")&gt;0,"●",IF(COUNTIFS('VS×ケイパビリティ関係'!$F$4:$F$494,$B26,'VS×ケイパビリティ関係'!$G$4:$G$494,AH$5,'VS×ケイパビリティ関係'!$E$4:$E$494,"支援")&gt;0,"○",""))</f>
        <v/>
      </c>
      <c r="AI26" s="98">
        <f>IF(COUNTIFS('VS×ケイパビリティ関係'!$F$4:$F$494,$B26,'VS×ケイパビリティ関係'!$G$4:$G$494,AI$5,'VS×ケイパビリティ関係'!$E$4:$E$494,"主")&gt;0,"●",IF(COUNTIFS('VS×ケイパビリティ関係'!$F$4:$F$494,$B26,'VS×ケイパビリティ関係'!$G$4:$G$494,AI$5,'VS×ケイパビリティ関係'!$E$4:$E$494,"支援")&gt;0,"○",""))</f>
        <v/>
      </c>
      <c r="AJ26" s="98">
        <f>IF(COUNTIFS('VS×ケイパビリティ関係'!$F$4:$F$494,$B26,'VS×ケイパビリティ関係'!$G$4:$G$494,AJ$5,'VS×ケイパビリティ関係'!$E$4:$E$494,"主")&gt;0,"●",IF(COUNTIFS('VS×ケイパビリティ関係'!$F$4:$F$494,$B26,'VS×ケイパビリティ関係'!$G$4:$G$494,AJ$5,'VS×ケイパビリティ関係'!$E$4:$E$494,"支援")&gt;0,"○",""))</f>
        <v/>
      </c>
      <c r="AK26" s="98">
        <f>IF(COUNTIFS('VS×ケイパビリティ関係'!$F$4:$F$494,$B26,'VS×ケイパビリティ関係'!$G$4:$G$494,AK$5,'VS×ケイパビリティ関係'!$E$4:$E$494,"主")&gt;0,"●",IF(COUNTIFS('VS×ケイパビリティ関係'!$F$4:$F$494,$B26,'VS×ケイパビリティ関係'!$G$4:$G$494,AK$5,'VS×ケイパビリティ関係'!$E$4:$E$494,"支援")&gt;0,"○",""))</f>
        <v/>
      </c>
      <c r="AL26" s="98">
        <f>IF(COUNTIFS('VS×ケイパビリティ関係'!$F$4:$F$494,$B26,'VS×ケイパビリティ関係'!$G$4:$G$494,AL$5,'VS×ケイパビリティ関係'!$E$4:$E$494,"主")&gt;0,"●",IF(COUNTIFS('VS×ケイパビリティ関係'!$F$4:$F$494,$B26,'VS×ケイパビリティ関係'!$G$4:$G$494,AL$5,'VS×ケイパビリティ関係'!$E$4:$E$494,"支援")&gt;0,"○",""))</f>
        <v/>
      </c>
      <c r="AM26" s="98">
        <f>IF(COUNTIFS('VS×ケイパビリティ関係'!$F$4:$F$494,$B26,'VS×ケイパビリティ関係'!$G$4:$G$494,AM$5,'VS×ケイパビリティ関係'!$E$4:$E$494,"主")&gt;0,"●",IF(COUNTIFS('VS×ケイパビリティ関係'!$F$4:$F$494,$B26,'VS×ケイパビリティ関係'!$G$4:$G$494,AM$5,'VS×ケイパビリティ関係'!$E$4:$E$494,"支援")&gt;0,"○",""))</f>
        <v/>
      </c>
      <c r="AN26" s="98">
        <f>IF(COUNTIFS('VS×ケイパビリティ関係'!$F$4:$F$494,$B26,'VS×ケイパビリティ関係'!$G$4:$G$494,AN$5,'VS×ケイパビリティ関係'!$E$4:$E$494,"主")&gt;0,"●",IF(COUNTIFS('VS×ケイパビリティ関係'!$F$4:$F$494,$B26,'VS×ケイパビリティ関係'!$G$4:$G$494,AN$5,'VS×ケイパビリティ関係'!$E$4:$E$494,"支援")&gt;0,"○",""))</f>
        <v/>
      </c>
      <c r="AO26" s="98">
        <f>IF(COUNTIFS('VS×ケイパビリティ関係'!$F$4:$F$494,$B26,'VS×ケイパビリティ関係'!$G$4:$G$494,AO$5,'VS×ケイパビリティ関係'!$E$4:$E$494,"主")&gt;0,"●",IF(COUNTIFS('VS×ケイパビリティ関係'!$F$4:$F$494,$B26,'VS×ケイパビリティ関係'!$G$4:$G$494,AO$5,'VS×ケイパビリティ関係'!$E$4:$E$494,"支援")&gt;0,"○",""))</f>
        <v/>
      </c>
      <c r="AP26" s="98">
        <f>IF(COUNTIFS('VS×ケイパビリティ関係'!$F$4:$F$494,$B26,'VS×ケイパビリティ関係'!$G$4:$G$494,AP$5,'VS×ケイパビリティ関係'!$E$4:$E$494,"主")&gt;0,"●",IF(COUNTIFS('VS×ケイパビリティ関係'!$F$4:$F$494,$B26,'VS×ケイパビリティ関係'!$G$4:$G$494,AP$5,'VS×ケイパビリティ関係'!$E$4:$E$494,"支援")&gt;0,"○",""))</f>
        <v/>
      </c>
      <c r="AQ26" s="98">
        <f>IF(COUNTIFS('VS×ケイパビリティ関係'!$F$4:$F$494,$B26,'VS×ケイパビリティ関係'!$G$4:$G$494,AQ$5,'VS×ケイパビリティ関係'!$E$4:$E$494,"主")&gt;0,"●",IF(COUNTIFS('VS×ケイパビリティ関係'!$F$4:$F$494,$B26,'VS×ケイパビリティ関係'!$G$4:$G$494,AQ$5,'VS×ケイパビリティ関係'!$E$4:$E$494,"支援")&gt;0,"○",""))</f>
        <v/>
      </c>
      <c r="AR26" s="98">
        <f>IF(COUNTIFS('VS×ケイパビリティ関係'!$F$4:$F$494,$B26,'VS×ケイパビリティ関係'!$G$4:$G$494,AR$5,'VS×ケイパビリティ関係'!$E$4:$E$494,"主")&gt;0,"●",IF(COUNTIFS('VS×ケイパビリティ関係'!$F$4:$F$494,$B26,'VS×ケイパビリティ関係'!$G$4:$G$494,AR$5,'VS×ケイパビリティ関係'!$E$4:$E$494,"支援")&gt;0,"○",""))</f>
        <v/>
      </c>
      <c r="AS26" s="98">
        <f>IF(COUNTIFS('VS×ケイパビリティ関係'!$F$4:$F$494,$B26,'VS×ケイパビリティ関係'!$G$4:$G$494,AS$5,'VS×ケイパビリティ関係'!$E$4:$E$494,"主")&gt;0,"●",IF(COUNTIFS('VS×ケイパビリティ関係'!$F$4:$F$494,$B26,'VS×ケイパビリティ関係'!$G$4:$G$494,AS$5,'VS×ケイパビリティ関係'!$E$4:$E$494,"支援")&gt;0,"○",""))</f>
        <v/>
      </c>
      <c r="AT26" s="98">
        <f>IF(COUNTIFS('VS×ケイパビリティ関係'!$F$4:$F$494,$B26,'VS×ケイパビリティ関係'!$G$4:$G$494,AT$5,'VS×ケイパビリティ関係'!$E$4:$E$494,"主")&gt;0,"●",IF(COUNTIFS('VS×ケイパビリティ関係'!$F$4:$F$494,$B26,'VS×ケイパビリティ関係'!$G$4:$G$494,AT$5,'VS×ケイパビリティ関係'!$E$4:$E$494,"支援")&gt;0,"○",""))</f>
        <v/>
      </c>
      <c r="AU26" s="98">
        <f>IF(COUNTIFS('VS×ケイパビリティ関係'!$F$4:$F$494,$B26,'VS×ケイパビリティ関係'!$G$4:$G$494,AU$5,'VS×ケイパビリティ関係'!$E$4:$E$494,"主")&gt;0,"●",IF(COUNTIFS('VS×ケイパビリティ関係'!$F$4:$F$494,$B26,'VS×ケイパビリティ関係'!$G$4:$G$494,AU$5,'VS×ケイパビリティ関係'!$E$4:$E$494,"支援")&gt;0,"○",""))</f>
        <v/>
      </c>
      <c r="AV26" s="98">
        <f>IF(COUNTIFS('VS×ケイパビリティ関係'!$F$4:$F$494,$B26,'VS×ケイパビリティ関係'!$G$4:$G$494,AV$5,'VS×ケイパビリティ関係'!$E$4:$E$494,"主")&gt;0,"●",IF(COUNTIFS('VS×ケイパビリティ関係'!$F$4:$F$494,$B26,'VS×ケイパビリティ関係'!$G$4:$G$494,AV$5,'VS×ケイパビリティ関係'!$E$4:$E$494,"支援")&gt;0,"○",""))</f>
        <v/>
      </c>
      <c r="AW26" s="98">
        <f>IF(COUNTIFS('VS×ケイパビリティ関係'!$F$4:$F$494,$B26,'VS×ケイパビリティ関係'!$G$4:$G$494,AW$5,'VS×ケイパビリティ関係'!$E$4:$E$494,"主")&gt;0,"●",IF(COUNTIFS('VS×ケイパビリティ関係'!$F$4:$F$494,$B26,'VS×ケイパビリティ関係'!$G$4:$G$494,AW$5,'VS×ケイパビリティ関係'!$E$4:$E$494,"支援")&gt;0,"○",""))</f>
        <v/>
      </c>
      <c r="AX26" s="98">
        <f>IF(COUNTIFS('VS×ケイパビリティ関係'!$F$4:$F$494,$B26,'VS×ケイパビリティ関係'!$G$4:$G$494,AX$5,'VS×ケイパビリティ関係'!$E$4:$E$494,"主")&gt;0,"●",IF(COUNTIFS('VS×ケイパビリティ関係'!$F$4:$F$494,$B26,'VS×ケイパビリティ関係'!$G$4:$G$494,AX$5,'VS×ケイパビリティ関係'!$E$4:$E$494,"支援")&gt;0,"○",""))</f>
        <v/>
      </c>
      <c r="AY26" s="98">
        <f>IF(COUNTIFS('VS×ケイパビリティ関係'!$F$4:$F$494,$B26,'VS×ケイパビリティ関係'!$G$4:$G$494,AY$5,'VS×ケイパビリティ関係'!$E$4:$E$494,"主")&gt;0,"●",IF(COUNTIFS('VS×ケイパビリティ関係'!$F$4:$F$494,$B26,'VS×ケイパビリティ関係'!$G$4:$G$494,AY$5,'VS×ケイパビリティ関係'!$E$4:$E$494,"支援")&gt;0,"○",""))</f>
        <v/>
      </c>
      <c r="AZ26" s="98">
        <f>IF(COUNTIFS('VS×ケイパビリティ関係'!$F$4:$F$494,$B26,'VS×ケイパビリティ関係'!$G$4:$G$494,AZ$5,'VS×ケイパビリティ関係'!$E$4:$E$494,"主")&gt;0,"●",IF(COUNTIFS('VS×ケイパビリティ関係'!$F$4:$F$494,$B26,'VS×ケイパビリティ関係'!$G$4:$G$494,AZ$5,'VS×ケイパビリティ関係'!$E$4:$E$494,"支援")&gt;0,"○",""))</f>
        <v/>
      </c>
      <c r="BA26" s="98">
        <f>IF(COUNTIFS('VS×ケイパビリティ関係'!$F$4:$F$494,$B26,'VS×ケイパビリティ関係'!$G$4:$G$494,BA$5,'VS×ケイパビリティ関係'!$E$4:$E$494,"主")&gt;0,"●",IF(COUNTIFS('VS×ケイパビリティ関係'!$F$4:$F$494,$B26,'VS×ケイパビリティ関係'!$G$4:$G$494,BA$5,'VS×ケイパビリティ関係'!$E$4:$E$494,"支援")&gt;0,"○",""))</f>
        <v/>
      </c>
      <c r="BB26" s="98">
        <f>IF(COUNTIFS('VS×ケイパビリティ関係'!$F$4:$F$494,$B26,'VS×ケイパビリティ関係'!$G$4:$G$494,BB$5,'VS×ケイパビリティ関係'!$E$4:$E$494,"主")&gt;0,"●",IF(COUNTIFS('VS×ケイパビリティ関係'!$F$4:$F$494,$B26,'VS×ケイパビリティ関係'!$G$4:$G$494,BB$5,'VS×ケイパビリティ関係'!$E$4:$E$494,"支援")&gt;0,"○",""))</f>
        <v/>
      </c>
      <c r="BC26" s="98">
        <f>IF(COUNTIFS('VS×ケイパビリティ関係'!$F$4:$F$494,$B26,'VS×ケイパビリティ関係'!$G$4:$G$494,BC$5,'VS×ケイパビリティ関係'!$E$4:$E$494,"主")&gt;0,"●",IF(COUNTIFS('VS×ケイパビリティ関係'!$F$4:$F$494,$B26,'VS×ケイパビリティ関係'!$G$4:$G$494,BC$5,'VS×ケイパビリティ関係'!$E$4:$E$494,"支援")&gt;0,"○",""))</f>
        <v/>
      </c>
      <c r="BD26" s="98">
        <f>IF(COUNTIFS('VS×ケイパビリティ関係'!$F$4:$F$494,$B26,'VS×ケイパビリティ関係'!$G$4:$G$494,BD$5,'VS×ケイパビリティ関係'!$E$4:$E$494,"主")&gt;0,"●",IF(COUNTIFS('VS×ケイパビリティ関係'!$F$4:$F$494,$B26,'VS×ケイパビリティ関係'!$G$4:$G$494,BD$5,'VS×ケイパビリティ関係'!$E$4:$E$494,"支援")&gt;0,"○",""))</f>
        <v/>
      </c>
      <c r="BE26" s="98">
        <f>COUNTIF(D26:BD26,"●")</f>
        <v/>
      </c>
      <c r="BF26" s="98">
        <f>COUNTIF(D26:BD26,"○")</f>
        <v/>
      </c>
    </row>
    <row r="27" ht="15" customHeight="1" s="80">
      <c r="A27" s="116" t="n"/>
      <c r="B27" s="98" t="inlineStr">
        <is>
          <t>05-02</t>
        </is>
      </c>
      <c r="C27" s="100" t="inlineStr">
        <is>
          <t>審査対応</t>
        </is>
      </c>
      <c r="D27" s="98">
        <f>IF(COUNTIFS('VS×ケイパビリティ関係'!$F$4:$F$494,$B27,'VS×ケイパビリティ関係'!$G$4:$G$494,D$5,'VS×ケイパビリティ関係'!$E$4:$E$494,"主")&gt;0,"●",IF(COUNTIFS('VS×ケイパビリティ関係'!$F$4:$F$494,$B27,'VS×ケイパビリティ関係'!$G$4:$G$494,D$5,'VS×ケイパビリティ関係'!$E$4:$E$494,"支援")&gt;0,"○",""))</f>
        <v/>
      </c>
      <c r="E27" s="98">
        <f>IF(COUNTIFS('VS×ケイパビリティ関係'!$F$4:$F$494,$B27,'VS×ケイパビリティ関係'!$G$4:$G$494,E$5,'VS×ケイパビリティ関係'!$E$4:$E$494,"主")&gt;0,"●",IF(COUNTIFS('VS×ケイパビリティ関係'!$F$4:$F$494,$B27,'VS×ケイパビリティ関係'!$G$4:$G$494,E$5,'VS×ケイパビリティ関係'!$E$4:$E$494,"支援")&gt;0,"○",""))</f>
        <v/>
      </c>
      <c r="F27" s="98">
        <f>IF(COUNTIFS('VS×ケイパビリティ関係'!$F$4:$F$494,$B27,'VS×ケイパビリティ関係'!$G$4:$G$494,F$5,'VS×ケイパビリティ関係'!$E$4:$E$494,"主")&gt;0,"●",IF(COUNTIFS('VS×ケイパビリティ関係'!$F$4:$F$494,$B27,'VS×ケイパビリティ関係'!$G$4:$G$494,F$5,'VS×ケイパビリティ関係'!$E$4:$E$494,"支援")&gt;0,"○",""))</f>
        <v/>
      </c>
      <c r="G27" s="98">
        <f>IF(COUNTIFS('VS×ケイパビリティ関係'!$F$4:$F$494,$B27,'VS×ケイパビリティ関係'!$G$4:$G$494,G$5,'VS×ケイパビリティ関係'!$E$4:$E$494,"主")&gt;0,"●",IF(COUNTIFS('VS×ケイパビリティ関係'!$F$4:$F$494,$B27,'VS×ケイパビリティ関係'!$G$4:$G$494,G$5,'VS×ケイパビリティ関係'!$E$4:$E$494,"支援")&gt;0,"○",""))</f>
        <v/>
      </c>
      <c r="H27" s="98">
        <f>IF(COUNTIFS('VS×ケイパビリティ関係'!$F$4:$F$494,$B27,'VS×ケイパビリティ関係'!$G$4:$G$494,H$5,'VS×ケイパビリティ関係'!$E$4:$E$494,"主")&gt;0,"●",IF(COUNTIFS('VS×ケイパビリティ関係'!$F$4:$F$494,$B27,'VS×ケイパビリティ関係'!$G$4:$G$494,H$5,'VS×ケイパビリティ関係'!$E$4:$E$494,"支援")&gt;0,"○",""))</f>
        <v/>
      </c>
      <c r="I27" s="98">
        <f>IF(COUNTIFS('VS×ケイパビリティ関係'!$F$4:$F$494,$B27,'VS×ケイパビリティ関係'!$G$4:$G$494,I$5,'VS×ケイパビリティ関係'!$E$4:$E$494,"主")&gt;0,"●",IF(COUNTIFS('VS×ケイパビリティ関係'!$F$4:$F$494,$B27,'VS×ケイパビリティ関係'!$G$4:$G$494,I$5,'VS×ケイパビリティ関係'!$E$4:$E$494,"支援")&gt;0,"○",""))</f>
        <v/>
      </c>
      <c r="J27" s="98">
        <f>IF(COUNTIFS('VS×ケイパビリティ関係'!$F$4:$F$494,$B27,'VS×ケイパビリティ関係'!$G$4:$G$494,J$5,'VS×ケイパビリティ関係'!$E$4:$E$494,"主")&gt;0,"●",IF(COUNTIFS('VS×ケイパビリティ関係'!$F$4:$F$494,$B27,'VS×ケイパビリティ関係'!$G$4:$G$494,J$5,'VS×ケイパビリティ関係'!$E$4:$E$494,"支援")&gt;0,"○",""))</f>
        <v/>
      </c>
      <c r="K27" s="98">
        <f>IF(COUNTIFS('VS×ケイパビリティ関係'!$F$4:$F$494,$B27,'VS×ケイパビリティ関係'!$G$4:$G$494,K$5,'VS×ケイパビリティ関係'!$E$4:$E$494,"主")&gt;0,"●",IF(COUNTIFS('VS×ケイパビリティ関係'!$F$4:$F$494,$B27,'VS×ケイパビリティ関係'!$G$4:$G$494,K$5,'VS×ケイパビリティ関係'!$E$4:$E$494,"支援")&gt;0,"○",""))</f>
        <v/>
      </c>
      <c r="L27" s="98">
        <f>IF(COUNTIFS('VS×ケイパビリティ関係'!$F$4:$F$494,$B27,'VS×ケイパビリティ関係'!$G$4:$G$494,L$5,'VS×ケイパビリティ関係'!$E$4:$E$494,"主")&gt;0,"●",IF(COUNTIFS('VS×ケイパビリティ関係'!$F$4:$F$494,$B27,'VS×ケイパビリティ関係'!$G$4:$G$494,L$5,'VS×ケイパビリティ関係'!$E$4:$E$494,"支援")&gt;0,"○",""))</f>
        <v/>
      </c>
      <c r="M27" s="98">
        <f>IF(COUNTIFS('VS×ケイパビリティ関係'!$F$4:$F$494,$B27,'VS×ケイパビリティ関係'!$G$4:$G$494,M$5,'VS×ケイパビリティ関係'!$E$4:$E$494,"主")&gt;0,"●",IF(COUNTIFS('VS×ケイパビリティ関係'!$F$4:$F$494,$B27,'VS×ケイパビリティ関係'!$G$4:$G$494,M$5,'VS×ケイパビリティ関係'!$E$4:$E$494,"支援")&gt;0,"○",""))</f>
        <v/>
      </c>
      <c r="N27" s="98">
        <f>IF(COUNTIFS('VS×ケイパビリティ関係'!$F$4:$F$494,$B27,'VS×ケイパビリティ関係'!$G$4:$G$494,N$5,'VS×ケイパビリティ関係'!$E$4:$E$494,"主")&gt;0,"●",IF(COUNTIFS('VS×ケイパビリティ関係'!$F$4:$F$494,$B27,'VS×ケイパビリティ関係'!$G$4:$G$494,N$5,'VS×ケイパビリティ関係'!$E$4:$E$494,"支援")&gt;0,"○",""))</f>
        <v/>
      </c>
      <c r="O27" s="98">
        <f>IF(COUNTIFS('VS×ケイパビリティ関係'!$F$4:$F$494,$B27,'VS×ケイパビリティ関係'!$G$4:$G$494,O$5,'VS×ケイパビリティ関係'!$E$4:$E$494,"主")&gt;0,"●",IF(COUNTIFS('VS×ケイパビリティ関係'!$F$4:$F$494,$B27,'VS×ケイパビリティ関係'!$G$4:$G$494,O$5,'VS×ケイパビリティ関係'!$E$4:$E$494,"支援")&gt;0,"○",""))</f>
        <v/>
      </c>
      <c r="P27" s="98">
        <f>IF(COUNTIFS('VS×ケイパビリティ関係'!$F$4:$F$494,$B27,'VS×ケイパビリティ関係'!$G$4:$G$494,P$5,'VS×ケイパビリティ関係'!$E$4:$E$494,"主")&gt;0,"●",IF(COUNTIFS('VS×ケイパビリティ関係'!$F$4:$F$494,$B27,'VS×ケイパビリティ関係'!$G$4:$G$494,P$5,'VS×ケイパビリティ関係'!$E$4:$E$494,"支援")&gt;0,"○",""))</f>
        <v/>
      </c>
      <c r="Q27" s="98">
        <f>IF(COUNTIFS('VS×ケイパビリティ関係'!$F$4:$F$494,$B27,'VS×ケイパビリティ関係'!$G$4:$G$494,Q$5,'VS×ケイパビリティ関係'!$E$4:$E$494,"主")&gt;0,"●",IF(COUNTIFS('VS×ケイパビリティ関係'!$F$4:$F$494,$B27,'VS×ケイパビリティ関係'!$G$4:$G$494,Q$5,'VS×ケイパビリティ関係'!$E$4:$E$494,"支援")&gt;0,"○",""))</f>
        <v/>
      </c>
      <c r="R27" s="98">
        <f>IF(COUNTIFS('VS×ケイパビリティ関係'!$F$4:$F$494,$B27,'VS×ケイパビリティ関係'!$G$4:$G$494,R$5,'VS×ケイパビリティ関係'!$E$4:$E$494,"主")&gt;0,"●",IF(COUNTIFS('VS×ケイパビリティ関係'!$F$4:$F$494,$B27,'VS×ケイパビリティ関係'!$G$4:$G$494,R$5,'VS×ケイパビリティ関係'!$E$4:$E$494,"支援")&gt;0,"○",""))</f>
        <v/>
      </c>
      <c r="S27" s="98">
        <f>IF(COUNTIFS('VS×ケイパビリティ関係'!$F$4:$F$494,$B27,'VS×ケイパビリティ関係'!$G$4:$G$494,S$5,'VS×ケイパビリティ関係'!$E$4:$E$494,"主")&gt;0,"●",IF(COUNTIFS('VS×ケイパビリティ関係'!$F$4:$F$494,$B27,'VS×ケイパビリティ関係'!$G$4:$G$494,S$5,'VS×ケイパビリティ関係'!$E$4:$E$494,"支援")&gt;0,"○",""))</f>
        <v/>
      </c>
      <c r="T27" s="98">
        <f>IF(COUNTIFS('VS×ケイパビリティ関係'!$F$4:$F$494,$B27,'VS×ケイパビリティ関係'!$G$4:$G$494,T$5,'VS×ケイパビリティ関係'!$E$4:$E$494,"主")&gt;0,"●",IF(COUNTIFS('VS×ケイパビリティ関係'!$F$4:$F$494,$B27,'VS×ケイパビリティ関係'!$G$4:$G$494,T$5,'VS×ケイパビリティ関係'!$E$4:$E$494,"支援")&gt;0,"○",""))</f>
        <v/>
      </c>
      <c r="U27" s="98">
        <f>IF(COUNTIFS('VS×ケイパビリティ関係'!$F$4:$F$494,$B27,'VS×ケイパビリティ関係'!$G$4:$G$494,U$5,'VS×ケイパビリティ関係'!$E$4:$E$494,"主")&gt;0,"●",IF(COUNTIFS('VS×ケイパビリティ関係'!$F$4:$F$494,$B27,'VS×ケイパビリティ関係'!$G$4:$G$494,U$5,'VS×ケイパビリティ関係'!$E$4:$E$494,"支援")&gt;0,"○",""))</f>
        <v/>
      </c>
      <c r="V27" s="98">
        <f>IF(COUNTIFS('VS×ケイパビリティ関係'!$F$4:$F$494,$B27,'VS×ケイパビリティ関係'!$G$4:$G$494,V$5,'VS×ケイパビリティ関係'!$E$4:$E$494,"主")&gt;0,"●",IF(COUNTIFS('VS×ケイパビリティ関係'!$F$4:$F$494,$B27,'VS×ケイパビリティ関係'!$G$4:$G$494,V$5,'VS×ケイパビリティ関係'!$E$4:$E$494,"支援")&gt;0,"○",""))</f>
        <v/>
      </c>
      <c r="W27" s="98">
        <f>IF(COUNTIFS('VS×ケイパビリティ関係'!$F$4:$F$494,$B27,'VS×ケイパビリティ関係'!$G$4:$G$494,W$5,'VS×ケイパビリティ関係'!$E$4:$E$494,"主")&gt;0,"●",IF(COUNTIFS('VS×ケイパビリティ関係'!$F$4:$F$494,$B27,'VS×ケイパビリティ関係'!$G$4:$G$494,W$5,'VS×ケイパビリティ関係'!$E$4:$E$494,"支援")&gt;0,"○",""))</f>
        <v/>
      </c>
      <c r="X27" s="98">
        <f>IF(COUNTIFS('VS×ケイパビリティ関係'!$F$4:$F$494,$B27,'VS×ケイパビリティ関係'!$G$4:$G$494,X$5,'VS×ケイパビリティ関係'!$E$4:$E$494,"主")&gt;0,"●",IF(COUNTIFS('VS×ケイパビリティ関係'!$F$4:$F$494,$B27,'VS×ケイパビリティ関係'!$G$4:$G$494,X$5,'VS×ケイパビリティ関係'!$E$4:$E$494,"支援")&gt;0,"○",""))</f>
        <v/>
      </c>
      <c r="Y27" s="98">
        <f>IF(COUNTIFS('VS×ケイパビリティ関係'!$F$4:$F$494,$B27,'VS×ケイパビリティ関係'!$G$4:$G$494,Y$5,'VS×ケイパビリティ関係'!$E$4:$E$494,"主")&gt;0,"●",IF(COUNTIFS('VS×ケイパビリティ関係'!$F$4:$F$494,$B27,'VS×ケイパビリティ関係'!$G$4:$G$494,Y$5,'VS×ケイパビリティ関係'!$E$4:$E$494,"支援")&gt;0,"○",""))</f>
        <v/>
      </c>
      <c r="Z27" s="98">
        <f>IF(COUNTIFS('VS×ケイパビリティ関係'!$F$4:$F$494,$B27,'VS×ケイパビリティ関係'!$G$4:$G$494,Z$5,'VS×ケイパビリティ関係'!$E$4:$E$494,"主")&gt;0,"●",IF(COUNTIFS('VS×ケイパビリティ関係'!$F$4:$F$494,$B27,'VS×ケイパビリティ関係'!$G$4:$G$494,Z$5,'VS×ケイパビリティ関係'!$E$4:$E$494,"支援")&gt;0,"○",""))</f>
        <v/>
      </c>
      <c r="AA27" s="98">
        <f>IF(COUNTIFS('VS×ケイパビリティ関係'!$F$4:$F$494,$B27,'VS×ケイパビリティ関係'!$G$4:$G$494,AA$5,'VS×ケイパビリティ関係'!$E$4:$E$494,"主")&gt;0,"●",IF(COUNTIFS('VS×ケイパビリティ関係'!$F$4:$F$494,$B27,'VS×ケイパビリティ関係'!$G$4:$G$494,AA$5,'VS×ケイパビリティ関係'!$E$4:$E$494,"支援")&gt;0,"○",""))</f>
        <v/>
      </c>
      <c r="AB27" s="98">
        <f>IF(COUNTIFS('VS×ケイパビリティ関係'!$F$4:$F$494,$B27,'VS×ケイパビリティ関係'!$G$4:$G$494,AB$5,'VS×ケイパビリティ関係'!$E$4:$E$494,"主")&gt;0,"●",IF(COUNTIFS('VS×ケイパビリティ関係'!$F$4:$F$494,$B27,'VS×ケイパビリティ関係'!$G$4:$G$494,AB$5,'VS×ケイパビリティ関係'!$E$4:$E$494,"支援")&gt;0,"○",""))</f>
        <v/>
      </c>
      <c r="AC27" s="98">
        <f>IF(COUNTIFS('VS×ケイパビリティ関係'!$F$4:$F$494,$B27,'VS×ケイパビリティ関係'!$G$4:$G$494,AC$5,'VS×ケイパビリティ関係'!$E$4:$E$494,"主")&gt;0,"●",IF(COUNTIFS('VS×ケイパビリティ関係'!$F$4:$F$494,$B27,'VS×ケイパビリティ関係'!$G$4:$G$494,AC$5,'VS×ケイパビリティ関係'!$E$4:$E$494,"支援")&gt;0,"○",""))</f>
        <v/>
      </c>
      <c r="AD27" s="98">
        <f>IF(COUNTIFS('VS×ケイパビリティ関係'!$F$4:$F$494,$B27,'VS×ケイパビリティ関係'!$G$4:$G$494,AD$5,'VS×ケイパビリティ関係'!$E$4:$E$494,"主")&gt;0,"●",IF(COUNTIFS('VS×ケイパビリティ関係'!$F$4:$F$494,$B27,'VS×ケイパビリティ関係'!$G$4:$G$494,AD$5,'VS×ケイパビリティ関係'!$E$4:$E$494,"支援")&gt;0,"○",""))</f>
        <v/>
      </c>
      <c r="AE27" s="98">
        <f>IF(COUNTIFS('VS×ケイパビリティ関係'!$F$4:$F$494,$B27,'VS×ケイパビリティ関係'!$G$4:$G$494,AE$5,'VS×ケイパビリティ関係'!$E$4:$E$494,"主")&gt;0,"●",IF(COUNTIFS('VS×ケイパビリティ関係'!$F$4:$F$494,$B27,'VS×ケイパビリティ関係'!$G$4:$G$494,AE$5,'VS×ケイパビリティ関係'!$E$4:$E$494,"支援")&gt;0,"○",""))</f>
        <v/>
      </c>
      <c r="AF27" s="98">
        <f>IF(COUNTIFS('VS×ケイパビリティ関係'!$F$4:$F$494,$B27,'VS×ケイパビリティ関係'!$G$4:$G$494,AF$5,'VS×ケイパビリティ関係'!$E$4:$E$494,"主")&gt;0,"●",IF(COUNTIFS('VS×ケイパビリティ関係'!$F$4:$F$494,$B27,'VS×ケイパビリティ関係'!$G$4:$G$494,AF$5,'VS×ケイパビリティ関係'!$E$4:$E$494,"支援")&gt;0,"○",""))</f>
        <v/>
      </c>
      <c r="AG27" s="98">
        <f>IF(COUNTIFS('VS×ケイパビリティ関係'!$F$4:$F$494,$B27,'VS×ケイパビリティ関係'!$G$4:$G$494,AG$5,'VS×ケイパビリティ関係'!$E$4:$E$494,"主")&gt;0,"●",IF(COUNTIFS('VS×ケイパビリティ関係'!$F$4:$F$494,$B27,'VS×ケイパビリティ関係'!$G$4:$G$494,AG$5,'VS×ケイパビリティ関係'!$E$4:$E$494,"支援")&gt;0,"○",""))</f>
        <v/>
      </c>
      <c r="AH27" s="98">
        <f>IF(COUNTIFS('VS×ケイパビリティ関係'!$F$4:$F$494,$B27,'VS×ケイパビリティ関係'!$G$4:$G$494,AH$5,'VS×ケイパビリティ関係'!$E$4:$E$494,"主")&gt;0,"●",IF(COUNTIFS('VS×ケイパビリティ関係'!$F$4:$F$494,$B27,'VS×ケイパビリティ関係'!$G$4:$G$494,AH$5,'VS×ケイパビリティ関係'!$E$4:$E$494,"支援")&gt;0,"○",""))</f>
        <v/>
      </c>
      <c r="AI27" s="98">
        <f>IF(COUNTIFS('VS×ケイパビリティ関係'!$F$4:$F$494,$B27,'VS×ケイパビリティ関係'!$G$4:$G$494,AI$5,'VS×ケイパビリティ関係'!$E$4:$E$494,"主")&gt;0,"●",IF(COUNTIFS('VS×ケイパビリティ関係'!$F$4:$F$494,$B27,'VS×ケイパビリティ関係'!$G$4:$G$494,AI$5,'VS×ケイパビリティ関係'!$E$4:$E$494,"支援")&gt;0,"○",""))</f>
        <v/>
      </c>
      <c r="AJ27" s="98">
        <f>IF(COUNTIFS('VS×ケイパビリティ関係'!$F$4:$F$494,$B27,'VS×ケイパビリティ関係'!$G$4:$G$494,AJ$5,'VS×ケイパビリティ関係'!$E$4:$E$494,"主")&gt;0,"●",IF(COUNTIFS('VS×ケイパビリティ関係'!$F$4:$F$494,$B27,'VS×ケイパビリティ関係'!$G$4:$G$494,AJ$5,'VS×ケイパビリティ関係'!$E$4:$E$494,"支援")&gt;0,"○",""))</f>
        <v/>
      </c>
      <c r="AK27" s="98">
        <f>IF(COUNTIFS('VS×ケイパビリティ関係'!$F$4:$F$494,$B27,'VS×ケイパビリティ関係'!$G$4:$G$494,AK$5,'VS×ケイパビリティ関係'!$E$4:$E$494,"主")&gt;0,"●",IF(COUNTIFS('VS×ケイパビリティ関係'!$F$4:$F$494,$B27,'VS×ケイパビリティ関係'!$G$4:$G$494,AK$5,'VS×ケイパビリティ関係'!$E$4:$E$494,"支援")&gt;0,"○",""))</f>
        <v/>
      </c>
      <c r="AL27" s="98">
        <f>IF(COUNTIFS('VS×ケイパビリティ関係'!$F$4:$F$494,$B27,'VS×ケイパビリティ関係'!$G$4:$G$494,AL$5,'VS×ケイパビリティ関係'!$E$4:$E$494,"主")&gt;0,"●",IF(COUNTIFS('VS×ケイパビリティ関係'!$F$4:$F$494,$B27,'VS×ケイパビリティ関係'!$G$4:$G$494,AL$5,'VS×ケイパビリティ関係'!$E$4:$E$494,"支援")&gt;0,"○",""))</f>
        <v/>
      </c>
      <c r="AM27" s="98">
        <f>IF(COUNTIFS('VS×ケイパビリティ関係'!$F$4:$F$494,$B27,'VS×ケイパビリティ関係'!$G$4:$G$494,AM$5,'VS×ケイパビリティ関係'!$E$4:$E$494,"主")&gt;0,"●",IF(COUNTIFS('VS×ケイパビリティ関係'!$F$4:$F$494,$B27,'VS×ケイパビリティ関係'!$G$4:$G$494,AM$5,'VS×ケイパビリティ関係'!$E$4:$E$494,"支援")&gt;0,"○",""))</f>
        <v/>
      </c>
      <c r="AN27" s="98">
        <f>IF(COUNTIFS('VS×ケイパビリティ関係'!$F$4:$F$494,$B27,'VS×ケイパビリティ関係'!$G$4:$G$494,AN$5,'VS×ケイパビリティ関係'!$E$4:$E$494,"主")&gt;0,"●",IF(COUNTIFS('VS×ケイパビリティ関係'!$F$4:$F$494,$B27,'VS×ケイパビリティ関係'!$G$4:$G$494,AN$5,'VS×ケイパビリティ関係'!$E$4:$E$494,"支援")&gt;0,"○",""))</f>
        <v/>
      </c>
      <c r="AO27" s="98">
        <f>IF(COUNTIFS('VS×ケイパビリティ関係'!$F$4:$F$494,$B27,'VS×ケイパビリティ関係'!$G$4:$G$494,AO$5,'VS×ケイパビリティ関係'!$E$4:$E$494,"主")&gt;0,"●",IF(COUNTIFS('VS×ケイパビリティ関係'!$F$4:$F$494,$B27,'VS×ケイパビリティ関係'!$G$4:$G$494,AO$5,'VS×ケイパビリティ関係'!$E$4:$E$494,"支援")&gt;0,"○",""))</f>
        <v/>
      </c>
      <c r="AP27" s="98">
        <f>IF(COUNTIFS('VS×ケイパビリティ関係'!$F$4:$F$494,$B27,'VS×ケイパビリティ関係'!$G$4:$G$494,AP$5,'VS×ケイパビリティ関係'!$E$4:$E$494,"主")&gt;0,"●",IF(COUNTIFS('VS×ケイパビリティ関係'!$F$4:$F$494,$B27,'VS×ケイパビリティ関係'!$G$4:$G$494,AP$5,'VS×ケイパビリティ関係'!$E$4:$E$494,"支援")&gt;0,"○",""))</f>
        <v/>
      </c>
      <c r="AQ27" s="98">
        <f>IF(COUNTIFS('VS×ケイパビリティ関係'!$F$4:$F$494,$B27,'VS×ケイパビリティ関係'!$G$4:$G$494,AQ$5,'VS×ケイパビリティ関係'!$E$4:$E$494,"主")&gt;0,"●",IF(COUNTIFS('VS×ケイパビリティ関係'!$F$4:$F$494,$B27,'VS×ケイパビリティ関係'!$G$4:$G$494,AQ$5,'VS×ケイパビリティ関係'!$E$4:$E$494,"支援")&gt;0,"○",""))</f>
        <v/>
      </c>
      <c r="AR27" s="98">
        <f>IF(COUNTIFS('VS×ケイパビリティ関係'!$F$4:$F$494,$B27,'VS×ケイパビリティ関係'!$G$4:$G$494,AR$5,'VS×ケイパビリティ関係'!$E$4:$E$494,"主")&gt;0,"●",IF(COUNTIFS('VS×ケイパビリティ関係'!$F$4:$F$494,$B27,'VS×ケイパビリティ関係'!$G$4:$G$494,AR$5,'VS×ケイパビリティ関係'!$E$4:$E$494,"支援")&gt;0,"○",""))</f>
        <v/>
      </c>
      <c r="AS27" s="98">
        <f>IF(COUNTIFS('VS×ケイパビリティ関係'!$F$4:$F$494,$B27,'VS×ケイパビリティ関係'!$G$4:$G$494,AS$5,'VS×ケイパビリティ関係'!$E$4:$E$494,"主")&gt;0,"●",IF(COUNTIFS('VS×ケイパビリティ関係'!$F$4:$F$494,$B27,'VS×ケイパビリティ関係'!$G$4:$G$494,AS$5,'VS×ケイパビリティ関係'!$E$4:$E$494,"支援")&gt;0,"○",""))</f>
        <v/>
      </c>
      <c r="AT27" s="98">
        <f>IF(COUNTIFS('VS×ケイパビリティ関係'!$F$4:$F$494,$B27,'VS×ケイパビリティ関係'!$G$4:$G$494,AT$5,'VS×ケイパビリティ関係'!$E$4:$E$494,"主")&gt;0,"●",IF(COUNTIFS('VS×ケイパビリティ関係'!$F$4:$F$494,$B27,'VS×ケイパビリティ関係'!$G$4:$G$494,AT$5,'VS×ケイパビリティ関係'!$E$4:$E$494,"支援")&gt;0,"○",""))</f>
        <v/>
      </c>
      <c r="AU27" s="98">
        <f>IF(COUNTIFS('VS×ケイパビリティ関係'!$F$4:$F$494,$B27,'VS×ケイパビリティ関係'!$G$4:$G$494,AU$5,'VS×ケイパビリティ関係'!$E$4:$E$494,"主")&gt;0,"●",IF(COUNTIFS('VS×ケイパビリティ関係'!$F$4:$F$494,$B27,'VS×ケイパビリティ関係'!$G$4:$G$494,AU$5,'VS×ケイパビリティ関係'!$E$4:$E$494,"支援")&gt;0,"○",""))</f>
        <v/>
      </c>
      <c r="AV27" s="98">
        <f>IF(COUNTIFS('VS×ケイパビリティ関係'!$F$4:$F$494,$B27,'VS×ケイパビリティ関係'!$G$4:$G$494,AV$5,'VS×ケイパビリティ関係'!$E$4:$E$494,"主")&gt;0,"●",IF(COUNTIFS('VS×ケイパビリティ関係'!$F$4:$F$494,$B27,'VS×ケイパビリティ関係'!$G$4:$G$494,AV$5,'VS×ケイパビリティ関係'!$E$4:$E$494,"支援")&gt;0,"○",""))</f>
        <v/>
      </c>
      <c r="AW27" s="98">
        <f>IF(COUNTIFS('VS×ケイパビリティ関係'!$F$4:$F$494,$B27,'VS×ケイパビリティ関係'!$G$4:$G$494,AW$5,'VS×ケイパビリティ関係'!$E$4:$E$494,"主")&gt;0,"●",IF(COUNTIFS('VS×ケイパビリティ関係'!$F$4:$F$494,$B27,'VS×ケイパビリティ関係'!$G$4:$G$494,AW$5,'VS×ケイパビリティ関係'!$E$4:$E$494,"支援")&gt;0,"○",""))</f>
        <v/>
      </c>
      <c r="AX27" s="98">
        <f>IF(COUNTIFS('VS×ケイパビリティ関係'!$F$4:$F$494,$B27,'VS×ケイパビリティ関係'!$G$4:$G$494,AX$5,'VS×ケイパビリティ関係'!$E$4:$E$494,"主")&gt;0,"●",IF(COUNTIFS('VS×ケイパビリティ関係'!$F$4:$F$494,$B27,'VS×ケイパビリティ関係'!$G$4:$G$494,AX$5,'VS×ケイパビリティ関係'!$E$4:$E$494,"支援")&gt;0,"○",""))</f>
        <v/>
      </c>
      <c r="AY27" s="98">
        <f>IF(COUNTIFS('VS×ケイパビリティ関係'!$F$4:$F$494,$B27,'VS×ケイパビリティ関係'!$G$4:$G$494,AY$5,'VS×ケイパビリティ関係'!$E$4:$E$494,"主")&gt;0,"●",IF(COUNTIFS('VS×ケイパビリティ関係'!$F$4:$F$494,$B27,'VS×ケイパビリティ関係'!$G$4:$G$494,AY$5,'VS×ケイパビリティ関係'!$E$4:$E$494,"支援")&gt;0,"○",""))</f>
        <v/>
      </c>
      <c r="AZ27" s="98">
        <f>IF(COUNTIFS('VS×ケイパビリティ関係'!$F$4:$F$494,$B27,'VS×ケイパビリティ関係'!$G$4:$G$494,AZ$5,'VS×ケイパビリティ関係'!$E$4:$E$494,"主")&gt;0,"●",IF(COUNTIFS('VS×ケイパビリティ関係'!$F$4:$F$494,$B27,'VS×ケイパビリティ関係'!$G$4:$G$494,AZ$5,'VS×ケイパビリティ関係'!$E$4:$E$494,"支援")&gt;0,"○",""))</f>
        <v/>
      </c>
      <c r="BA27" s="98">
        <f>IF(COUNTIFS('VS×ケイパビリティ関係'!$F$4:$F$494,$B27,'VS×ケイパビリティ関係'!$G$4:$G$494,BA$5,'VS×ケイパビリティ関係'!$E$4:$E$494,"主")&gt;0,"●",IF(COUNTIFS('VS×ケイパビリティ関係'!$F$4:$F$494,$B27,'VS×ケイパビリティ関係'!$G$4:$G$494,BA$5,'VS×ケイパビリティ関係'!$E$4:$E$494,"支援")&gt;0,"○",""))</f>
        <v/>
      </c>
      <c r="BB27" s="98">
        <f>IF(COUNTIFS('VS×ケイパビリティ関係'!$F$4:$F$494,$B27,'VS×ケイパビリティ関係'!$G$4:$G$494,BB$5,'VS×ケイパビリティ関係'!$E$4:$E$494,"主")&gt;0,"●",IF(COUNTIFS('VS×ケイパビリティ関係'!$F$4:$F$494,$B27,'VS×ケイパビリティ関係'!$G$4:$G$494,BB$5,'VS×ケイパビリティ関係'!$E$4:$E$494,"支援")&gt;0,"○",""))</f>
        <v/>
      </c>
      <c r="BC27" s="98">
        <f>IF(COUNTIFS('VS×ケイパビリティ関係'!$F$4:$F$494,$B27,'VS×ケイパビリティ関係'!$G$4:$G$494,BC$5,'VS×ケイパビリティ関係'!$E$4:$E$494,"主")&gt;0,"●",IF(COUNTIFS('VS×ケイパビリティ関係'!$F$4:$F$494,$B27,'VS×ケイパビリティ関係'!$G$4:$G$494,BC$5,'VS×ケイパビリティ関係'!$E$4:$E$494,"支援")&gt;0,"○",""))</f>
        <v/>
      </c>
      <c r="BD27" s="98">
        <f>IF(COUNTIFS('VS×ケイパビリティ関係'!$F$4:$F$494,$B27,'VS×ケイパビリティ関係'!$G$4:$G$494,BD$5,'VS×ケイパビリティ関係'!$E$4:$E$494,"主")&gt;0,"●",IF(COUNTIFS('VS×ケイパビリティ関係'!$F$4:$F$494,$B27,'VS×ケイパビリティ関係'!$G$4:$G$494,BD$5,'VS×ケイパビリティ関係'!$E$4:$E$494,"支援")&gt;0,"○",""))</f>
        <v/>
      </c>
      <c r="BE27" s="98">
        <f>COUNTIF(D27:BD27,"●")</f>
        <v/>
      </c>
      <c r="BF27" s="98">
        <f>COUNTIF(D27:BD27,"○")</f>
        <v/>
      </c>
    </row>
    <row r="28" ht="15" customHeight="1" s="80">
      <c r="A28" s="116" t="n"/>
      <c r="B28" s="98" t="inlineStr">
        <is>
          <t>05-03</t>
        </is>
      </c>
      <c r="C28" s="100" t="inlineStr">
        <is>
          <t>承認取得</t>
        </is>
      </c>
      <c r="D28" s="98">
        <f>IF(COUNTIFS('VS×ケイパビリティ関係'!$F$4:$F$494,$B28,'VS×ケイパビリティ関係'!$G$4:$G$494,D$5,'VS×ケイパビリティ関係'!$E$4:$E$494,"主")&gt;0,"●",IF(COUNTIFS('VS×ケイパビリティ関係'!$F$4:$F$494,$B28,'VS×ケイパビリティ関係'!$G$4:$G$494,D$5,'VS×ケイパビリティ関係'!$E$4:$E$494,"支援")&gt;0,"○",""))</f>
        <v/>
      </c>
      <c r="E28" s="98">
        <f>IF(COUNTIFS('VS×ケイパビリティ関係'!$F$4:$F$494,$B28,'VS×ケイパビリティ関係'!$G$4:$G$494,E$5,'VS×ケイパビリティ関係'!$E$4:$E$494,"主")&gt;0,"●",IF(COUNTIFS('VS×ケイパビリティ関係'!$F$4:$F$494,$B28,'VS×ケイパビリティ関係'!$G$4:$G$494,E$5,'VS×ケイパビリティ関係'!$E$4:$E$494,"支援")&gt;0,"○",""))</f>
        <v/>
      </c>
      <c r="F28" s="98">
        <f>IF(COUNTIFS('VS×ケイパビリティ関係'!$F$4:$F$494,$B28,'VS×ケイパビリティ関係'!$G$4:$G$494,F$5,'VS×ケイパビリティ関係'!$E$4:$E$494,"主")&gt;0,"●",IF(COUNTIFS('VS×ケイパビリティ関係'!$F$4:$F$494,$B28,'VS×ケイパビリティ関係'!$G$4:$G$494,F$5,'VS×ケイパビリティ関係'!$E$4:$E$494,"支援")&gt;0,"○",""))</f>
        <v/>
      </c>
      <c r="G28" s="98">
        <f>IF(COUNTIFS('VS×ケイパビリティ関係'!$F$4:$F$494,$B28,'VS×ケイパビリティ関係'!$G$4:$G$494,G$5,'VS×ケイパビリティ関係'!$E$4:$E$494,"主")&gt;0,"●",IF(COUNTIFS('VS×ケイパビリティ関係'!$F$4:$F$494,$B28,'VS×ケイパビリティ関係'!$G$4:$G$494,G$5,'VS×ケイパビリティ関係'!$E$4:$E$494,"支援")&gt;0,"○",""))</f>
        <v/>
      </c>
      <c r="H28" s="98">
        <f>IF(COUNTIFS('VS×ケイパビリティ関係'!$F$4:$F$494,$B28,'VS×ケイパビリティ関係'!$G$4:$G$494,H$5,'VS×ケイパビリティ関係'!$E$4:$E$494,"主")&gt;0,"●",IF(COUNTIFS('VS×ケイパビリティ関係'!$F$4:$F$494,$B28,'VS×ケイパビリティ関係'!$G$4:$G$494,H$5,'VS×ケイパビリティ関係'!$E$4:$E$494,"支援")&gt;0,"○",""))</f>
        <v/>
      </c>
      <c r="I28" s="98">
        <f>IF(COUNTIFS('VS×ケイパビリティ関係'!$F$4:$F$494,$B28,'VS×ケイパビリティ関係'!$G$4:$G$494,I$5,'VS×ケイパビリティ関係'!$E$4:$E$494,"主")&gt;0,"●",IF(COUNTIFS('VS×ケイパビリティ関係'!$F$4:$F$494,$B28,'VS×ケイパビリティ関係'!$G$4:$G$494,I$5,'VS×ケイパビリティ関係'!$E$4:$E$494,"支援")&gt;0,"○",""))</f>
        <v/>
      </c>
      <c r="J28" s="98">
        <f>IF(COUNTIFS('VS×ケイパビリティ関係'!$F$4:$F$494,$B28,'VS×ケイパビリティ関係'!$G$4:$G$494,J$5,'VS×ケイパビリティ関係'!$E$4:$E$494,"主")&gt;0,"●",IF(COUNTIFS('VS×ケイパビリティ関係'!$F$4:$F$494,$B28,'VS×ケイパビリティ関係'!$G$4:$G$494,J$5,'VS×ケイパビリティ関係'!$E$4:$E$494,"支援")&gt;0,"○",""))</f>
        <v/>
      </c>
      <c r="K28" s="98">
        <f>IF(COUNTIFS('VS×ケイパビリティ関係'!$F$4:$F$494,$B28,'VS×ケイパビリティ関係'!$G$4:$G$494,K$5,'VS×ケイパビリティ関係'!$E$4:$E$494,"主")&gt;0,"●",IF(COUNTIFS('VS×ケイパビリティ関係'!$F$4:$F$494,$B28,'VS×ケイパビリティ関係'!$G$4:$G$494,K$5,'VS×ケイパビリティ関係'!$E$4:$E$494,"支援")&gt;0,"○",""))</f>
        <v/>
      </c>
      <c r="L28" s="98">
        <f>IF(COUNTIFS('VS×ケイパビリティ関係'!$F$4:$F$494,$B28,'VS×ケイパビリティ関係'!$G$4:$G$494,L$5,'VS×ケイパビリティ関係'!$E$4:$E$494,"主")&gt;0,"●",IF(COUNTIFS('VS×ケイパビリティ関係'!$F$4:$F$494,$B28,'VS×ケイパビリティ関係'!$G$4:$G$494,L$5,'VS×ケイパビリティ関係'!$E$4:$E$494,"支援")&gt;0,"○",""))</f>
        <v/>
      </c>
      <c r="M28" s="98">
        <f>IF(COUNTIFS('VS×ケイパビリティ関係'!$F$4:$F$494,$B28,'VS×ケイパビリティ関係'!$G$4:$G$494,M$5,'VS×ケイパビリティ関係'!$E$4:$E$494,"主")&gt;0,"●",IF(COUNTIFS('VS×ケイパビリティ関係'!$F$4:$F$494,$B28,'VS×ケイパビリティ関係'!$G$4:$G$494,M$5,'VS×ケイパビリティ関係'!$E$4:$E$494,"支援")&gt;0,"○",""))</f>
        <v/>
      </c>
      <c r="N28" s="98">
        <f>IF(COUNTIFS('VS×ケイパビリティ関係'!$F$4:$F$494,$B28,'VS×ケイパビリティ関係'!$G$4:$G$494,N$5,'VS×ケイパビリティ関係'!$E$4:$E$494,"主")&gt;0,"●",IF(COUNTIFS('VS×ケイパビリティ関係'!$F$4:$F$494,$B28,'VS×ケイパビリティ関係'!$G$4:$G$494,N$5,'VS×ケイパビリティ関係'!$E$4:$E$494,"支援")&gt;0,"○",""))</f>
        <v/>
      </c>
      <c r="O28" s="98">
        <f>IF(COUNTIFS('VS×ケイパビリティ関係'!$F$4:$F$494,$B28,'VS×ケイパビリティ関係'!$G$4:$G$494,O$5,'VS×ケイパビリティ関係'!$E$4:$E$494,"主")&gt;0,"●",IF(COUNTIFS('VS×ケイパビリティ関係'!$F$4:$F$494,$B28,'VS×ケイパビリティ関係'!$G$4:$G$494,O$5,'VS×ケイパビリティ関係'!$E$4:$E$494,"支援")&gt;0,"○",""))</f>
        <v/>
      </c>
      <c r="P28" s="98">
        <f>IF(COUNTIFS('VS×ケイパビリティ関係'!$F$4:$F$494,$B28,'VS×ケイパビリティ関係'!$G$4:$G$494,P$5,'VS×ケイパビリティ関係'!$E$4:$E$494,"主")&gt;0,"●",IF(COUNTIFS('VS×ケイパビリティ関係'!$F$4:$F$494,$B28,'VS×ケイパビリティ関係'!$G$4:$G$494,P$5,'VS×ケイパビリティ関係'!$E$4:$E$494,"支援")&gt;0,"○",""))</f>
        <v/>
      </c>
      <c r="Q28" s="98">
        <f>IF(COUNTIFS('VS×ケイパビリティ関係'!$F$4:$F$494,$B28,'VS×ケイパビリティ関係'!$G$4:$G$494,Q$5,'VS×ケイパビリティ関係'!$E$4:$E$494,"主")&gt;0,"●",IF(COUNTIFS('VS×ケイパビリティ関係'!$F$4:$F$494,$B28,'VS×ケイパビリティ関係'!$G$4:$G$494,Q$5,'VS×ケイパビリティ関係'!$E$4:$E$494,"支援")&gt;0,"○",""))</f>
        <v/>
      </c>
      <c r="R28" s="98">
        <f>IF(COUNTIFS('VS×ケイパビリティ関係'!$F$4:$F$494,$B28,'VS×ケイパビリティ関係'!$G$4:$G$494,R$5,'VS×ケイパビリティ関係'!$E$4:$E$494,"主")&gt;0,"●",IF(COUNTIFS('VS×ケイパビリティ関係'!$F$4:$F$494,$B28,'VS×ケイパビリティ関係'!$G$4:$G$494,R$5,'VS×ケイパビリティ関係'!$E$4:$E$494,"支援")&gt;0,"○",""))</f>
        <v/>
      </c>
      <c r="S28" s="98">
        <f>IF(COUNTIFS('VS×ケイパビリティ関係'!$F$4:$F$494,$B28,'VS×ケイパビリティ関係'!$G$4:$G$494,S$5,'VS×ケイパビリティ関係'!$E$4:$E$494,"主")&gt;0,"●",IF(COUNTIFS('VS×ケイパビリティ関係'!$F$4:$F$494,$B28,'VS×ケイパビリティ関係'!$G$4:$G$494,S$5,'VS×ケイパビリティ関係'!$E$4:$E$494,"支援")&gt;0,"○",""))</f>
        <v/>
      </c>
      <c r="T28" s="98">
        <f>IF(COUNTIFS('VS×ケイパビリティ関係'!$F$4:$F$494,$B28,'VS×ケイパビリティ関係'!$G$4:$G$494,T$5,'VS×ケイパビリティ関係'!$E$4:$E$494,"主")&gt;0,"●",IF(COUNTIFS('VS×ケイパビリティ関係'!$F$4:$F$494,$B28,'VS×ケイパビリティ関係'!$G$4:$G$494,T$5,'VS×ケイパビリティ関係'!$E$4:$E$494,"支援")&gt;0,"○",""))</f>
        <v/>
      </c>
      <c r="U28" s="98">
        <f>IF(COUNTIFS('VS×ケイパビリティ関係'!$F$4:$F$494,$B28,'VS×ケイパビリティ関係'!$G$4:$G$494,U$5,'VS×ケイパビリティ関係'!$E$4:$E$494,"主")&gt;0,"●",IF(COUNTIFS('VS×ケイパビリティ関係'!$F$4:$F$494,$B28,'VS×ケイパビリティ関係'!$G$4:$G$494,U$5,'VS×ケイパビリティ関係'!$E$4:$E$494,"支援")&gt;0,"○",""))</f>
        <v/>
      </c>
      <c r="V28" s="98">
        <f>IF(COUNTIFS('VS×ケイパビリティ関係'!$F$4:$F$494,$B28,'VS×ケイパビリティ関係'!$G$4:$G$494,V$5,'VS×ケイパビリティ関係'!$E$4:$E$494,"主")&gt;0,"●",IF(COUNTIFS('VS×ケイパビリティ関係'!$F$4:$F$494,$B28,'VS×ケイパビリティ関係'!$G$4:$G$494,V$5,'VS×ケイパビリティ関係'!$E$4:$E$494,"支援")&gt;0,"○",""))</f>
        <v/>
      </c>
      <c r="W28" s="98">
        <f>IF(COUNTIFS('VS×ケイパビリティ関係'!$F$4:$F$494,$B28,'VS×ケイパビリティ関係'!$G$4:$G$494,W$5,'VS×ケイパビリティ関係'!$E$4:$E$494,"主")&gt;0,"●",IF(COUNTIFS('VS×ケイパビリティ関係'!$F$4:$F$494,$B28,'VS×ケイパビリティ関係'!$G$4:$G$494,W$5,'VS×ケイパビリティ関係'!$E$4:$E$494,"支援")&gt;0,"○",""))</f>
        <v/>
      </c>
      <c r="X28" s="98">
        <f>IF(COUNTIFS('VS×ケイパビリティ関係'!$F$4:$F$494,$B28,'VS×ケイパビリティ関係'!$G$4:$G$494,X$5,'VS×ケイパビリティ関係'!$E$4:$E$494,"主")&gt;0,"●",IF(COUNTIFS('VS×ケイパビリティ関係'!$F$4:$F$494,$B28,'VS×ケイパビリティ関係'!$G$4:$G$494,X$5,'VS×ケイパビリティ関係'!$E$4:$E$494,"支援")&gt;0,"○",""))</f>
        <v/>
      </c>
      <c r="Y28" s="98">
        <f>IF(COUNTIFS('VS×ケイパビリティ関係'!$F$4:$F$494,$B28,'VS×ケイパビリティ関係'!$G$4:$G$494,Y$5,'VS×ケイパビリティ関係'!$E$4:$E$494,"主")&gt;0,"●",IF(COUNTIFS('VS×ケイパビリティ関係'!$F$4:$F$494,$B28,'VS×ケイパビリティ関係'!$G$4:$G$494,Y$5,'VS×ケイパビリティ関係'!$E$4:$E$494,"支援")&gt;0,"○",""))</f>
        <v/>
      </c>
      <c r="Z28" s="98">
        <f>IF(COUNTIFS('VS×ケイパビリティ関係'!$F$4:$F$494,$B28,'VS×ケイパビリティ関係'!$G$4:$G$494,Z$5,'VS×ケイパビリティ関係'!$E$4:$E$494,"主")&gt;0,"●",IF(COUNTIFS('VS×ケイパビリティ関係'!$F$4:$F$494,$B28,'VS×ケイパビリティ関係'!$G$4:$G$494,Z$5,'VS×ケイパビリティ関係'!$E$4:$E$494,"支援")&gt;0,"○",""))</f>
        <v/>
      </c>
      <c r="AA28" s="98">
        <f>IF(COUNTIFS('VS×ケイパビリティ関係'!$F$4:$F$494,$B28,'VS×ケイパビリティ関係'!$G$4:$G$494,AA$5,'VS×ケイパビリティ関係'!$E$4:$E$494,"主")&gt;0,"●",IF(COUNTIFS('VS×ケイパビリティ関係'!$F$4:$F$494,$B28,'VS×ケイパビリティ関係'!$G$4:$G$494,AA$5,'VS×ケイパビリティ関係'!$E$4:$E$494,"支援")&gt;0,"○",""))</f>
        <v/>
      </c>
      <c r="AB28" s="98">
        <f>IF(COUNTIFS('VS×ケイパビリティ関係'!$F$4:$F$494,$B28,'VS×ケイパビリティ関係'!$G$4:$G$494,AB$5,'VS×ケイパビリティ関係'!$E$4:$E$494,"主")&gt;0,"●",IF(COUNTIFS('VS×ケイパビリティ関係'!$F$4:$F$494,$B28,'VS×ケイパビリティ関係'!$G$4:$G$494,AB$5,'VS×ケイパビリティ関係'!$E$4:$E$494,"支援")&gt;0,"○",""))</f>
        <v/>
      </c>
      <c r="AC28" s="98">
        <f>IF(COUNTIFS('VS×ケイパビリティ関係'!$F$4:$F$494,$B28,'VS×ケイパビリティ関係'!$G$4:$G$494,AC$5,'VS×ケイパビリティ関係'!$E$4:$E$494,"主")&gt;0,"●",IF(COUNTIFS('VS×ケイパビリティ関係'!$F$4:$F$494,$B28,'VS×ケイパビリティ関係'!$G$4:$G$494,AC$5,'VS×ケイパビリティ関係'!$E$4:$E$494,"支援")&gt;0,"○",""))</f>
        <v/>
      </c>
      <c r="AD28" s="98">
        <f>IF(COUNTIFS('VS×ケイパビリティ関係'!$F$4:$F$494,$B28,'VS×ケイパビリティ関係'!$G$4:$G$494,AD$5,'VS×ケイパビリティ関係'!$E$4:$E$494,"主")&gt;0,"●",IF(COUNTIFS('VS×ケイパビリティ関係'!$F$4:$F$494,$B28,'VS×ケイパビリティ関係'!$G$4:$G$494,AD$5,'VS×ケイパビリティ関係'!$E$4:$E$494,"支援")&gt;0,"○",""))</f>
        <v/>
      </c>
      <c r="AE28" s="98">
        <f>IF(COUNTIFS('VS×ケイパビリティ関係'!$F$4:$F$494,$B28,'VS×ケイパビリティ関係'!$G$4:$G$494,AE$5,'VS×ケイパビリティ関係'!$E$4:$E$494,"主")&gt;0,"●",IF(COUNTIFS('VS×ケイパビリティ関係'!$F$4:$F$494,$B28,'VS×ケイパビリティ関係'!$G$4:$G$494,AE$5,'VS×ケイパビリティ関係'!$E$4:$E$494,"支援")&gt;0,"○",""))</f>
        <v/>
      </c>
      <c r="AF28" s="98">
        <f>IF(COUNTIFS('VS×ケイパビリティ関係'!$F$4:$F$494,$B28,'VS×ケイパビリティ関係'!$G$4:$G$494,AF$5,'VS×ケイパビリティ関係'!$E$4:$E$494,"主")&gt;0,"●",IF(COUNTIFS('VS×ケイパビリティ関係'!$F$4:$F$494,$B28,'VS×ケイパビリティ関係'!$G$4:$G$494,AF$5,'VS×ケイパビリティ関係'!$E$4:$E$494,"支援")&gt;0,"○",""))</f>
        <v/>
      </c>
      <c r="AG28" s="98">
        <f>IF(COUNTIFS('VS×ケイパビリティ関係'!$F$4:$F$494,$B28,'VS×ケイパビリティ関係'!$G$4:$G$494,AG$5,'VS×ケイパビリティ関係'!$E$4:$E$494,"主")&gt;0,"●",IF(COUNTIFS('VS×ケイパビリティ関係'!$F$4:$F$494,$B28,'VS×ケイパビリティ関係'!$G$4:$G$494,AG$5,'VS×ケイパビリティ関係'!$E$4:$E$494,"支援")&gt;0,"○",""))</f>
        <v/>
      </c>
      <c r="AH28" s="98">
        <f>IF(COUNTIFS('VS×ケイパビリティ関係'!$F$4:$F$494,$B28,'VS×ケイパビリティ関係'!$G$4:$G$494,AH$5,'VS×ケイパビリティ関係'!$E$4:$E$494,"主")&gt;0,"●",IF(COUNTIFS('VS×ケイパビリティ関係'!$F$4:$F$494,$B28,'VS×ケイパビリティ関係'!$G$4:$G$494,AH$5,'VS×ケイパビリティ関係'!$E$4:$E$494,"支援")&gt;0,"○",""))</f>
        <v/>
      </c>
      <c r="AI28" s="98">
        <f>IF(COUNTIFS('VS×ケイパビリティ関係'!$F$4:$F$494,$B28,'VS×ケイパビリティ関係'!$G$4:$G$494,AI$5,'VS×ケイパビリティ関係'!$E$4:$E$494,"主")&gt;0,"●",IF(COUNTIFS('VS×ケイパビリティ関係'!$F$4:$F$494,$B28,'VS×ケイパビリティ関係'!$G$4:$G$494,AI$5,'VS×ケイパビリティ関係'!$E$4:$E$494,"支援")&gt;0,"○",""))</f>
        <v/>
      </c>
      <c r="AJ28" s="98">
        <f>IF(COUNTIFS('VS×ケイパビリティ関係'!$F$4:$F$494,$B28,'VS×ケイパビリティ関係'!$G$4:$G$494,AJ$5,'VS×ケイパビリティ関係'!$E$4:$E$494,"主")&gt;0,"●",IF(COUNTIFS('VS×ケイパビリティ関係'!$F$4:$F$494,$B28,'VS×ケイパビリティ関係'!$G$4:$G$494,AJ$5,'VS×ケイパビリティ関係'!$E$4:$E$494,"支援")&gt;0,"○",""))</f>
        <v/>
      </c>
      <c r="AK28" s="98">
        <f>IF(COUNTIFS('VS×ケイパビリティ関係'!$F$4:$F$494,$B28,'VS×ケイパビリティ関係'!$G$4:$G$494,AK$5,'VS×ケイパビリティ関係'!$E$4:$E$494,"主")&gt;0,"●",IF(COUNTIFS('VS×ケイパビリティ関係'!$F$4:$F$494,$B28,'VS×ケイパビリティ関係'!$G$4:$G$494,AK$5,'VS×ケイパビリティ関係'!$E$4:$E$494,"支援")&gt;0,"○",""))</f>
        <v/>
      </c>
      <c r="AL28" s="98">
        <f>IF(COUNTIFS('VS×ケイパビリティ関係'!$F$4:$F$494,$B28,'VS×ケイパビリティ関係'!$G$4:$G$494,AL$5,'VS×ケイパビリティ関係'!$E$4:$E$494,"主")&gt;0,"●",IF(COUNTIFS('VS×ケイパビリティ関係'!$F$4:$F$494,$B28,'VS×ケイパビリティ関係'!$G$4:$G$494,AL$5,'VS×ケイパビリティ関係'!$E$4:$E$494,"支援")&gt;0,"○",""))</f>
        <v/>
      </c>
      <c r="AM28" s="98">
        <f>IF(COUNTIFS('VS×ケイパビリティ関係'!$F$4:$F$494,$B28,'VS×ケイパビリティ関係'!$G$4:$G$494,AM$5,'VS×ケイパビリティ関係'!$E$4:$E$494,"主")&gt;0,"●",IF(COUNTIFS('VS×ケイパビリティ関係'!$F$4:$F$494,$B28,'VS×ケイパビリティ関係'!$G$4:$G$494,AM$5,'VS×ケイパビリティ関係'!$E$4:$E$494,"支援")&gt;0,"○",""))</f>
        <v/>
      </c>
      <c r="AN28" s="98">
        <f>IF(COUNTIFS('VS×ケイパビリティ関係'!$F$4:$F$494,$B28,'VS×ケイパビリティ関係'!$G$4:$G$494,AN$5,'VS×ケイパビリティ関係'!$E$4:$E$494,"主")&gt;0,"●",IF(COUNTIFS('VS×ケイパビリティ関係'!$F$4:$F$494,$B28,'VS×ケイパビリティ関係'!$G$4:$G$494,AN$5,'VS×ケイパビリティ関係'!$E$4:$E$494,"支援")&gt;0,"○",""))</f>
        <v/>
      </c>
      <c r="AO28" s="98">
        <f>IF(COUNTIFS('VS×ケイパビリティ関係'!$F$4:$F$494,$B28,'VS×ケイパビリティ関係'!$G$4:$G$494,AO$5,'VS×ケイパビリティ関係'!$E$4:$E$494,"主")&gt;0,"●",IF(COUNTIFS('VS×ケイパビリティ関係'!$F$4:$F$494,$B28,'VS×ケイパビリティ関係'!$G$4:$G$494,AO$5,'VS×ケイパビリティ関係'!$E$4:$E$494,"支援")&gt;0,"○",""))</f>
        <v/>
      </c>
      <c r="AP28" s="98">
        <f>IF(COUNTIFS('VS×ケイパビリティ関係'!$F$4:$F$494,$B28,'VS×ケイパビリティ関係'!$G$4:$G$494,AP$5,'VS×ケイパビリティ関係'!$E$4:$E$494,"主")&gt;0,"●",IF(COUNTIFS('VS×ケイパビリティ関係'!$F$4:$F$494,$B28,'VS×ケイパビリティ関係'!$G$4:$G$494,AP$5,'VS×ケイパビリティ関係'!$E$4:$E$494,"支援")&gt;0,"○",""))</f>
        <v/>
      </c>
      <c r="AQ28" s="98">
        <f>IF(COUNTIFS('VS×ケイパビリティ関係'!$F$4:$F$494,$B28,'VS×ケイパビリティ関係'!$G$4:$G$494,AQ$5,'VS×ケイパビリティ関係'!$E$4:$E$494,"主")&gt;0,"●",IF(COUNTIFS('VS×ケイパビリティ関係'!$F$4:$F$494,$B28,'VS×ケイパビリティ関係'!$G$4:$G$494,AQ$5,'VS×ケイパビリティ関係'!$E$4:$E$494,"支援")&gt;0,"○",""))</f>
        <v/>
      </c>
      <c r="AR28" s="98">
        <f>IF(COUNTIFS('VS×ケイパビリティ関係'!$F$4:$F$494,$B28,'VS×ケイパビリティ関係'!$G$4:$G$494,AR$5,'VS×ケイパビリティ関係'!$E$4:$E$494,"主")&gt;0,"●",IF(COUNTIFS('VS×ケイパビリティ関係'!$F$4:$F$494,$B28,'VS×ケイパビリティ関係'!$G$4:$G$494,AR$5,'VS×ケイパビリティ関係'!$E$4:$E$494,"支援")&gt;0,"○",""))</f>
        <v/>
      </c>
      <c r="AS28" s="98">
        <f>IF(COUNTIFS('VS×ケイパビリティ関係'!$F$4:$F$494,$B28,'VS×ケイパビリティ関係'!$G$4:$G$494,AS$5,'VS×ケイパビリティ関係'!$E$4:$E$494,"主")&gt;0,"●",IF(COUNTIFS('VS×ケイパビリティ関係'!$F$4:$F$494,$B28,'VS×ケイパビリティ関係'!$G$4:$G$494,AS$5,'VS×ケイパビリティ関係'!$E$4:$E$494,"支援")&gt;0,"○",""))</f>
        <v/>
      </c>
      <c r="AT28" s="98">
        <f>IF(COUNTIFS('VS×ケイパビリティ関係'!$F$4:$F$494,$B28,'VS×ケイパビリティ関係'!$G$4:$G$494,AT$5,'VS×ケイパビリティ関係'!$E$4:$E$494,"主")&gt;0,"●",IF(COUNTIFS('VS×ケイパビリティ関係'!$F$4:$F$494,$B28,'VS×ケイパビリティ関係'!$G$4:$G$494,AT$5,'VS×ケイパビリティ関係'!$E$4:$E$494,"支援")&gt;0,"○",""))</f>
        <v/>
      </c>
      <c r="AU28" s="98">
        <f>IF(COUNTIFS('VS×ケイパビリティ関係'!$F$4:$F$494,$B28,'VS×ケイパビリティ関係'!$G$4:$G$494,AU$5,'VS×ケイパビリティ関係'!$E$4:$E$494,"主")&gt;0,"●",IF(COUNTIFS('VS×ケイパビリティ関係'!$F$4:$F$494,$B28,'VS×ケイパビリティ関係'!$G$4:$G$494,AU$5,'VS×ケイパビリティ関係'!$E$4:$E$494,"支援")&gt;0,"○",""))</f>
        <v/>
      </c>
      <c r="AV28" s="98">
        <f>IF(COUNTIFS('VS×ケイパビリティ関係'!$F$4:$F$494,$B28,'VS×ケイパビリティ関係'!$G$4:$G$494,AV$5,'VS×ケイパビリティ関係'!$E$4:$E$494,"主")&gt;0,"●",IF(COUNTIFS('VS×ケイパビリティ関係'!$F$4:$F$494,$B28,'VS×ケイパビリティ関係'!$G$4:$G$494,AV$5,'VS×ケイパビリティ関係'!$E$4:$E$494,"支援")&gt;0,"○",""))</f>
        <v/>
      </c>
      <c r="AW28" s="98">
        <f>IF(COUNTIFS('VS×ケイパビリティ関係'!$F$4:$F$494,$B28,'VS×ケイパビリティ関係'!$G$4:$G$494,AW$5,'VS×ケイパビリティ関係'!$E$4:$E$494,"主")&gt;0,"●",IF(COUNTIFS('VS×ケイパビリティ関係'!$F$4:$F$494,$B28,'VS×ケイパビリティ関係'!$G$4:$G$494,AW$5,'VS×ケイパビリティ関係'!$E$4:$E$494,"支援")&gt;0,"○",""))</f>
        <v/>
      </c>
      <c r="AX28" s="98">
        <f>IF(COUNTIFS('VS×ケイパビリティ関係'!$F$4:$F$494,$B28,'VS×ケイパビリティ関係'!$G$4:$G$494,AX$5,'VS×ケイパビリティ関係'!$E$4:$E$494,"主")&gt;0,"●",IF(COUNTIFS('VS×ケイパビリティ関係'!$F$4:$F$494,$B28,'VS×ケイパビリティ関係'!$G$4:$G$494,AX$5,'VS×ケイパビリティ関係'!$E$4:$E$494,"支援")&gt;0,"○",""))</f>
        <v/>
      </c>
      <c r="AY28" s="98">
        <f>IF(COUNTIFS('VS×ケイパビリティ関係'!$F$4:$F$494,$B28,'VS×ケイパビリティ関係'!$G$4:$G$494,AY$5,'VS×ケイパビリティ関係'!$E$4:$E$494,"主")&gt;0,"●",IF(COUNTIFS('VS×ケイパビリティ関係'!$F$4:$F$494,$B28,'VS×ケイパビリティ関係'!$G$4:$G$494,AY$5,'VS×ケイパビリティ関係'!$E$4:$E$494,"支援")&gt;0,"○",""))</f>
        <v/>
      </c>
      <c r="AZ28" s="98">
        <f>IF(COUNTIFS('VS×ケイパビリティ関係'!$F$4:$F$494,$B28,'VS×ケイパビリティ関係'!$G$4:$G$494,AZ$5,'VS×ケイパビリティ関係'!$E$4:$E$494,"主")&gt;0,"●",IF(COUNTIFS('VS×ケイパビリティ関係'!$F$4:$F$494,$B28,'VS×ケイパビリティ関係'!$G$4:$G$494,AZ$5,'VS×ケイパビリティ関係'!$E$4:$E$494,"支援")&gt;0,"○",""))</f>
        <v/>
      </c>
      <c r="BA28" s="98">
        <f>IF(COUNTIFS('VS×ケイパビリティ関係'!$F$4:$F$494,$B28,'VS×ケイパビリティ関係'!$G$4:$G$494,BA$5,'VS×ケイパビリティ関係'!$E$4:$E$494,"主")&gt;0,"●",IF(COUNTIFS('VS×ケイパビリティ関係'!$F$4:$F$494,$B28,'VS×ケイパビリティ関係'!$G$4:$G$494,BA$5,'VS×ケイパビリティ関係'!$E$4:$E$494,"支援")&gt;0,"○",""))</f>
        <v/>
      </c>
      <c r="BB28" s="98">
        <f>IF(COUNTIFS('VS×ケイパビリティ関係'!$F$4:$F$494,$B28,'VS×ケイパビリティ関係'!$G$4:$G$494,BB$5,'VS×ケイパビリティ関係'!$E$4:$E$494,"主")&gt;0,"●",IF(COUNTIFS('VS×ケイパビリティ関係'!$F$4:$F$494,$B28,'VS×ケイパビリティ関係'!$G$4:$G$494,BB$5,'VS×ケイパビリティ関係'!$E$4:$E$494,"支援")&gt;0,"○",""))</f>
        <v/>
      </c>
      <c r="BC28" s="98">
        <f>IF(COUNTIFS('VS×ケイパビリティ関係'!$F$4:$F$494,$B28,'VS×ケイパビリティ関係'!$G$4:$G$494,BC$5,'VS×ケイパビリティ関係'!$E$4:$E$494,"主")&gt;0,"●",IF(COUNTIFS('VS×ケイパビリティ関係'!$F$4:$F$494,$B28,'VS×ケイパビリティ関係'!$G$4:$G$494,BC$5,'VS×ケイパビリティ関係'!$E$4:$E$494,"支援")&gt;0,"○",""))</f>
        <v/>
      </c>
      <c r="BD28" s="98">
        <f>IF(COUNTIFS('VS×ケイパビリティ関係'!$F$4:$F$494,$B28,'VS×ケイパビリティ関係'!$G$4:$G$494,BD$5,'VS×ケイパビリティ関係'!$E$4:$E$494,"主")&gt;0,"●",IF(COUNTIFS('VS×ケイパビリティ関係'!$F$4:$F$494,$B28,'VS×ケイパビリティ関係'!$G$4:$G$494,BD$5,'VS×ケイパビリティ関係'!$E$4:$E$494,"支援")&gt;0,"○",""))</f>
        <v/>
      </c>
      <c r="BE28" s="98">
        <f>COUNTIF(D28:BD28,"●")</f>
        <v/>
      </c>
      <c r="BF28" s="98">
        <f>COUNTIF(D28:BD28,"○")</f>
        <v/>
      </c>
    </row>
    <row r="29" ht="26.25" customHeight="1" s="80">
      <c r="A29" s="116" t="inlineStr">
        <is>
          <t>06 商用製造（継続）</t>
        </is>
      </c>
      <c r="B29" s="98" t="inlineStr">
        <is>
          <t>06-01</t>
        </is>
      </c>
      <c r="C29" s="100" t="inlineStr">
        <is>
          <t>原薬製造（培養・精製）</t>
        </is>
      </c>
      <c r="D29" s="98">
        <f>IF(COUNTIFS('VS×ケイパビリティ関係'!$F$4:$F$494,$B29,'VS×ケイパビリティ関係'!$G$4:$G$494,D$5,'VS×ケイパビリティ関係'!$E$4:$E$494,"主")&gt;0,"●",IF(COUNTIFS('VS×ケイパビリティ関係'!$F$4:$F$494,$B29,'VS×ケイパビリティ関係'!$G$4:$G$494,D$5,'VS×ケイパビリティ関係'!$E$4:$E$494,"支援")&gt;0,"○",""))</f>
        <v/>
      </c>
      <c r="E29" s="98">
        <f>IF(COUNTIFS('VS×ケイパビリティ関係'!$F$4:$F$494,$B29,'VS×ケイパビリティ関係'!$G$4:$G$494,E$5,'VS×ケイパビリティ関係'!$E$4:$E$494,"主")&gt;0,"●",IF(COUNTIFS('VS×ケイパビリティ関係'!$F$4:$F$494,$B29,'VS×ケイパビリティ関係'!$G$4:$G$494,E$5,'VS×ケイパビリティ関係'!$E$4:$E$494,"支援")&gt;0,"○",""))</f>
        <v/>
      </c>
      <c r="F29" s="98">
        <f>IF(COUNTIFS('VS×ケイパビリティ関係'!$F$4:$F$494,$B29,'VS×ケイパビリティ関係'!$G$4:$G$494,F$5,'VS×ケイパビリティ関係'!$E$4:$E$494,"主")&gt;0,"●",IF(COUNTIFS('VS×ケイパビリティ関係'!$F$4:$F$494,$B29,'VS×ケイパビリティ関係'!$G$4:$G$494,F$5,'VS×ケイパビリティ関係'!$E$4:$E$494,"支援")&gt;0,"○",""))</f>
        <v/>
      </c>
      <c r="G29" s="98">
        <f>IF(COUNTIFS('VS×ケイパビリティ関係'!$F$4:$F$494,$B29,'VS×ケイパビリティ関係'!$G$4:$G$494,G$5,'VS×ケイパビリティ関係'!$E$4:$E$494,"主")&gt;0,"●",IF(COUNTIFS('VS×ケイパビリティ関係'!$F$4:$F$494,$B29,'VS×ケイパビリティ関係'!$G$4:$G$494,G$5,'VS×ケイパビリティ関係'!$E$4:$E$494,"支援")&gt;0,"○",""))</f>
        <v/>
      </c>
      <c r="H29" s="98">
        <f>IF(COUNTIFS('VS×ケイパビリティ関係'!$F$4:$F$494,$B29,'VS×ケイパビリティ関係'!$G$4:$G$494,H$5,'VS×ケイパビリティ関係'!$E$4:$E$494,"主")&gt;0,"●",IF(COUNTIFS('VS×ケイパビリティ関係'!$F$4:$F$494,$B29,'VS×ケイパビリティ関係'!$G$4:$G$494,H$5,'VS×ケイパビリティ関係'!$E$4:$E$494,"支援")&gt;0,"○",""))</f>
        <v/>
      </c>
      <c r="I29" s="98">
        <f>IF(COUNTIFS('VS×ケイパビリティ関係'!$F$4:$F$494,$B29,'VS×ケイパビリティ関係'!$G$4:$G$494,I$5,'VS×ケイパビリティ関係'!$E$4:$E$494,"主")&gt;0,"●",IF(COUNTIFS('VS×ケイパビリティ関係'!$F$4:$F$494,$B29,'VS×ケイパビリティ関係'!$G$4:$G$494,I$5,'VS×ケイパビリティ関係'!$E$4:$E$494,"支援")&gt;0,"○",""))</f>
        <v/>
      </c>
      <c r="J29" s="98">
        <f>IF(COUNTIFS('VS×ケイパビリティ関係'!$F$4:$F$494,$B29,'VS×ケイパビリティ関係'!$G$4:$G$494,J$5,'VS×ケイパビリティ関係'!$E$4:$E$494,"主")&gt;0,"●",IF(COUNTIFS('VS×ケイパビリティ関係'!$F$4:$F$494,$B29,'VS×ケイパビリティ関係'!$G$4:$G$494,J$5,'VS×ケイパビリティ関係'!$E$4:$E$494,"支援")&gt;0,"○",""))</f>
        <v/>
      </c>
      <c r="K29" s="98">
        <f>IF(COUNTIFS('VS×ケイパビリティ関係'!$F$4:$F$494,$B29,'VS×ケイパビリティ関係'!$G$4:$G$494,K$5,'VS×ケイパビリティ関係'!$E$4:$E$494,"主")&gt;0,"●",IF(COUNTIFS('VS×ケイパビリティ関係'!$F$4:$F$494,$B29,'VS×ケイパビリティ関係'!$G$4:$G$494,K$5,'VS×ケイパビリティ関係'!$E$4:$E$494,"支援")&gt;0,"○",""))</f>
        <v/>
      </c>
      <c r="L29" s="98">
        <f>IF(COUNTIFS('VS×ケイパビリティ関係'!$F$4:$F$494,$B29,'VS×ケイパビリティ関係'!$G$4:$G$494,L$5,'VS×ケイパビリティ関係'!$E$4:$E$494,"主")&gt;0,"●",IF(COUNTIFS('VS×ケイパビリティ関係'!$F$4:$F$494,$B29,'VS×ケイパビリティ関係'!$G$4:$G$494,L$5,'VS×ケイパビリティ関係'!$E$4:$E$494,"支援")&gt;0,"○",""))</f>
        <v/>
      </c>
      <c r="M29" s="98">
        <f>IF(COUNTIFS('VS×ケイパビリティ関係'!$F$4:$F$494,$B29,'VS×ケイパビリティ関係'!$G$4:$G$494,M$5,'VS×ケイパビリティ関係'!$E$4:$E$494,"主")&gt;0,"●",IF(COUNTIFS('VS×ケイパビリティ関係'!$F$4:$F$494,$B29,'VS×ケイパビリティ関係'!$G$4:$G$494,M$5,'VS×ケイパビリティ関係'!$E$4:$E$494,"支援")&gt;0,"○",""))</f>
        <v/>
      </c>
      <c r="N29" s="98">
        <f>IF(COUNTIFS('VS×ケイパビリティ関係'!$F$4:$F$494,$B29,'VS×ケイパビリティ関係'!$G$4:$G$494,N$5,'VS×ケイパビリティ関係'!$E$4:$E$494,"主")&gt;0,"●",IF(COUNTIFS('VS×ケイパビリティ関係'!$F$4:$F$494,$B29,'VS×ケイパビリティ関係'!$G$4:$G$494,N$5,'VS×ケイパビリティ関係'!$E$4:$E$494,"支援")&gt;0,"○",""))</f>
        <v/>
      </c>
      <c r="O29" s="98">
        <f>IF(COUNTIFS('VS×ケイパビリティ関係'!$F$4:$F$494,$B29,'VS×ケイパビリティ関係'!$G$4:$G$494,O$5,'VS×ケイパビリティ関係'!$E$4:$E$494,"主")&gt;0,"●",IF(COUNTIFS('VS×ケイパビリティ関係'!$F$4:$F$494,$B29,'VS×ケイパビリティ関係'!$G$4:$G$494,O$5,'VS×ケイパビリティ関係'!$E$4:$E$494,"支援")&gt;0,"○",""))</f>
        <v/>
      </c>
      <c r="P29" s="98">
        <f>IF(COUNTIFS('VS×ケイパビリティ関係'!$F$4:$F$494,$B29,'VS×ケイパビリティ関係'!$G$4:$G$494,P$5,'VS×ケイパビリティ関係'!$E$4:$E$494,"主")&gt;0,"●",IF(COUNTIFS('VS×ケイパビリティ関係'!$F$4:$F$494,$B29,'VS×ケイパビリティ関係'!$G$4:$G$494,P$5,'VS×ケイパビリティ関係'!$E$4:$E$494,"支援")&gt;0,"○",""))</f>
        <v/>
      </c>
      <c r="Q29" s="98">
        <f>IF(COUNTIFS('VS×ケイパビリティ関係'!$F$4:$F$494,$B29,'VS×ケイパビリティ関係'!$G$4:$G$494,Q$5,'VS×ケイパビリティ関係'!$E$4:$E$494,"主")&gt;0,"●",IF(COUNTIFS('VS×ケイパビリティ関係'!$F$4:$F$494,$B29,'VS×ケイパビリティ関係'!$G$4:$G$494,Q$5,'VS×ケイパビリティ関係'!$E$4:$E$494,"支援")&gt;0,"○",""))</f>
        <v/>
      </c>
      <c r="R29" s="98">
        <f>IF(COUNTIFS('VS×ケイパビリティ関係'!$F$4:$F$494,$B29,'VS×ケイパビリティ関係'!$G$4:$G$494,R$5,'VS×ケイパビリティ関係'!$E$4:$E$494,"主")&gt;0,"●",IF(COUNTIFS('VS×ケイパビリティ関係'!$F$4:$F$494,$B29,'VS×ケイパビリティ関係'!$G$4:$G$494,R$5,'VS×ケイパビリティ関係'!$E$4:$E$494,"支援")&gt;0,"○",""))</f>
        <v/>
      </c>
      <c r="S29" s="98">
        <f>IF(COUNTIFS('VS×ケイパビリティ関係'!$F$4:$F$494,$B29,'VS×ケイパビリティ関係'!$G$4:$G$494,S$5,'VS×ケイパビリティ関係'!$E$4:$E$494,"主")&gt;0,"●",IF(COUNTIFS('VS×ケイパビリティ関係'!$F$4:$F$494,$B29,'VS×ケイパビリティ関係'!$G$4:$G$494,S$5,'VS×ケイパビリティ関係'!$E$4:$E$494,"支援")&gt;0,"○",""))</f>
        <v/>
      </c>
      <c r="T29" s="98">
        <f>IF(COUNTIFS('VS×ケイパビリティ関係'!$F$4:$F$494,$B29,'VS×ケイパビリティ関係'!$G$4:$G$494,T$5,'VS×ケイパビリティ関係'!$E$4:$E$494,"主")&gt;0,"●",IF(COUNTIFS('VS×ケイパビリティ関係'!$F$4:$F$494,$B29,'VS×ケイパビリティ関係'!$G$4:$G$494,T$5,'VS×ケイパビリティ関係'!$E$4:$E$494,"支援")&gt;0,"○",""))</f>
        <v/>
      </c>
      <c r="U29" s="98">
        <f>IF(COUNTIFS('VS×ケイパビリティ関係'!$F$4:$F$494,$B29,'VS×ケイパビリティ関係'!$G$4:$G$494,U$5,'VS×ケイパビリティ関係'!$E$4:$E$494,"主")&gt;0,"●",IF(COUNTIFS('VS×ケイパビリティ関係'!$F$4:$F$494,$B29,'VS×ケイパビリティ関係'!$G$4:$G$494,U$5,'VS×ケイパビリティ関係'!$E$4:$E$494,"支援")&gt;0,"○",""))</f>
        <v/>
      </c>
      <c r="V29" s="98">
        <f>IF(COUNTIFS('VS×ケイパビリティ関係'!$F$4:$F$494,$B29,'VS×ケイパビリティ関係'!$G$4:$G$494,V$5,'VS×ケイパビリティ関係'!$E$4:$E$494,"主")&gt;0,"●",IF(COUNTIFS('VS×ケイパビリティ関係'!$F$4:$F$494,$B29,'VS×ケイパビリティ関係'!$G$4:$G$494,V$5,'VS×ケイパビリティ関係'!$E$4:$E$494,"支援")&gt;0,"○",""))</f>
        <v/>
      </c>
      <c r="W29" s="98">
        <f>IF(COUNTIFS('VS×ケイパビリティ関係'!$F$4:$F$494,$B29,'VS×ケイパビリティ関係'!$G$4:$G$494,W$5,'VS×ケイパビリティ関係'!$E$4:$E$494,"主")&gt;0,"●",IF(COUNTIFS('VS×ケイパビリティ関係'!$F$4:$F$494,$B29,'VS×ケイパビリティ関係'!$G$4:$G$494,W$5,'VS×ケイパビリティ関係'!$E$4:$E$494,"支援")&gt;0,"○",""))</f>
        <v/>
      </c>
      <c r="X29" s="98">
        <f>IF(COUNTIFS('VS×ケイパビリティ関係'!$F$4:$F$494,$B29,'VS×ケイパビリティ関係'!$G$4:$G$494,X$5,'VS×ケイパビリティ関係'!$E$4:$E$494,"主")&gt;0,"●",IF(COUNTIFS('VS×ケイパビリティ関係'!$F$4:$F$494,$B29,'VS×ケイパビリティ関係'!$G$4:$G$494,X$5,'VS×ケイパビリティ関係'!$E$4:$E$494,"支援")&gt;0,"○",""))</f>
        <v/>
      </c>
      <c r="Y29" s="98">
        <f>IF(COUNTIFS('VS×ケイパビリティ関係'!$F$4:$F$494,$B29,'VS×ケイパビリティ関係'!$G$4:$G$494,Y$5,'VS×ケイパビリティ関係'!$E$4:$E$494,"主")&gt;0,"●",IF(COUNTIFS('VS×ケイパビリティ関係'!$F$4:$F$494,$B29,'VS×ケイパビリティ関係'!$G$4:$G$494,Y$5,'VS×ケイパビリティ関係'!$E$4:$E$494,"支援")&gt;0,"○",""))</f>
        <v/>
      </c>
      <c r="Z29" s="98">
        <f>IF(COUNTIFS('VS×ケイパビリティ関係'!$F$4:$F$494,$B29,'VS×ケイパビリティ関係'!$G$4:$G$494,Z$5,'VS×ケイパビリティ関係'!$E$4:$E$494,"主")&gt;0,"●",IF(COUNTIFS('VS×ケイパビリティ関係'!$F$4:$F$494,$B29,'VS×ケイパビリティ関係'!$G$4:$G$494,Z$5,'VS×ケイパビリティ関係'!$E$4:$E$494,"支援")&gt;0,"○",""))</f>
        <v/>
      </c>
      <c r="AA29" s="98">
        <f>IF(COUNTIFS('VS×ケイパビリティ関係'!$F$4:$F$494,$B29,'VS×ケイパビリティ関係'!$G$4:$G$494,AA$5,'VS×ケイパビリティ関係'!$E$4:$E$494,"主")&gt;0,"●",IF(COUNTIFS('VS×ケイパビリティ関係'!$F$4:$F$494,$B29,'VS×ケイパビリティ関係'!$G$4:$G$494,AA$5,'VS×ケイパビリティ関係'!$E$4:$E$494,"支援")&gt;0,"○",""))</f>
        <v/>
      </c>
      <c r="AB29" s="98">
        <f>IF(COUNTIFS('VS×ケイパビリティ関係'!$F$4:$F$494,$B29,'VS×ケイパビリティ関係'!$G$4:$G$494,AB$5,'VS×ケイパビリティ関係'!$E$4:$E$494,"主")&gt;0,"●",IF(COUNTIFS('VS×ケイパビリティ関係'!$F$4:$F$494,$B29,'VS×ケイパビリティ関係'!$G$4:$G$494,AB$5,'VS×ケイパビリティ関係'!$E$4:$E$494,"支援")&gt;0,"○",""))</f>
        <v/>
      </c>
      <c r="AC29" s="98">
        <f>IF(COUNTIFS('VS×ケイパビリティ関係'!$F$4:$F$494,$B29,'VS×ケイパビリティ関係'!$G$4:$G$494,AC$5,'VS×ケイパビリティ関係'!$E$4:$E$494,"主")&gt;0,"●",IF(COUNTIFS('VS×ケイパビリティ関係'!$F$4:$F$494,$B29,'VS×ケイパビリティ関係'!$G$4:$G$494,AC$5,'VS×ケイパビリティ関係'!$E$4:$E$494,"支援")&gt;0,"○",""))</f>
        <v/>
      </c>
      <c r="AD29" s="98">
        <f>IF(COUNTIFS('VS×ケイパビリティ関係'!$F$4:$F$494,$B29,'VS×ケイパビリティ関係'!$G$4:$G$494,AD$5,'VS×ケイパビリティ関係'!$E$4:$E$494,"主")&gt;0,"●",IF(COUNTIFS('VS×ケイパビリティ関係'!$F$4:$F$494,$B29,'VS×ケイパビリティ関係'!$G$4:$G$494,AD$5,'VS×ケイパビリティ関係'!$E$4:$E$494,"支援")&gt;0,"○",""))</f>
        <v/>
      </c>
      <c r="AE29" s="98">
        <f>IF(COUNTIFS('VS×ケイパビリティ関係'!$F$4:$F$494,$B29,'VS×ケイパビリティ関係'!$G$4:$G$494,AE$5,'VS×ケイパビリティ関係'!$E$4:$E$494,"主")&gt;0,"●",IF(COUNTIFS('VS×ケイパビリティ関係'!$F$4:$F$494,$B29,'VS×ケイパビリティ関係'!$G$4:$G$494,AE$5,'VS×ケイパビリティ関係'!$E$4:$E$494,"支援")&gt;0,"○",""))</f>
        <v/>
      </c>
      <c r="AF29" s="98">
        <f>IF(COUNTIFS('VS×ケイパビリティ関係'!$F$4:$F$494,$B29,'VS×ケイパビリティ関係'!$G$4:$G$494,AF$5,'VS×ケイパビリティ関係'!$E$4:$E$494,"主")&gt;0,"●",IF(COUNTIFS('VS×ケイパビリティ関係'!$F$4:$F$494,$B29,'VS×ケイパビリティ関係'!$G$4:$G$494,AF$5,'VS×ケイパビリティ関係'!$E$4:$E$494,"支援")&gt;0,"○",""))</f>
        <v/>
      </c>
      <c r="AG29" s="98">
        <f>IF(COUNTIFS('VS×ケイパビリティ関係'!$F$4:$F$494,$B29,'VS×ケイパビリティ関係'!$G$4:$G$494,AG$5,'VS×ケイパビリティ関係'!$E$4:$E$494,"主")&gt;0,"●",IF(COUNTIFS('VS×ケイパビリティ関係'!$F$4:$F$494,$B29,'VS×ケイパビリティ関係'!$G$4:$G$494,AG$5,'VS×ケイパビリティ関係'!$E$4:$E$494,"支援")&gt;0,"○",""))</f>
        <v/>
      </c>
      <c r="AH29" s="98">
        <f>IF(COUNTIFS('VS×ケイパビリティ関係'!$F$4:$F$494,$B29,'VS×ケイパビリティ関係'!$G$4:$G$494,AH$5,'VS×ケイパビリティ関係'!$E$4:$E$494,"主")&gt;0,"●",IF(COUNTIFS('VS×ケイパビリティ関係'!$F$4:$F$494,$B29,'VS×ケイパビリティ関係'!$G$4:$G$494,AH$5,'VS×ケイパビリティ関係'!$E$4:$E$494,"支援")&gt;0,"○",""))</f>
        <v/>
      </c>
      <c r="AI29" s="98">
        <f>IF(COUNTIFS('VS×ケイパビリティ関係'!$F$4:$F$494,$B29,'VS×ケイパビリティ関係'!$G$4:$G$494,AI$5,'VS×ケイパビリティ関係'!$E$4:$E$494,"主")&gt;0,"●",IF(COUNTIFS('VS×ケイパビリティ関係'!$F$4:$F$494,$B29,'VS×ケイパビリティ関係'!$G$4:$G$494,AI$5,'VS×ケイパビリティ関係'!$E$4:$E$494,"支援")&gt;0,"○",""))</f>
        <v/>
      </c>
      <c r="AJ29" s="98">
        <f>IF(COUNTIFS('VS×ケイパビリティ関係'!$F$4:$F$494,$B29,'VS×ケイパビリティ関係'!$G$4:$G$494,AJ$5,'VS×ケイパビリティ関係'!$E$4:$E$494,"主")&gt;0,"●",IF(COUNTIFS('VS×ケイパビリティ関係'!$F$4:$F$494,$B29,'VS×ケイパビリティ関係'!$G$4:$G$494,AJ$5,'VS×ケイパビリティ関係'!$E$4:$E$494,"支援")&gt;0,"○",""))</f>
        <v/>
      </c>
      <c r="AK29" s="98">
        <f>IF(COUNTIFS('VS×ケイパビリティ関係'!$F$4:$F$494,$B29,'VS×ケイパビリティ関係'!$G$4:$G$494,AK$5,'VS×ケイパビリティ関係'!$E$4:$E$494,"主")&gt;0,"●",IF(COUNTIFS('VS×ケイパビリティ関係'!$F$4:$F$494,$B29,'VS×ケイパビリティ関係'!$G$4:$G$494,AK$5,'VS×ケイパビリティ関係'!$E$4:$E$494,"支援")&gt;0,"○",""))</f>
        <v/>
      </c>
      <c r="AL29" s="98">
        <f>IF(COUNTIFS('VS×ケイパビリティ関係'!$F$4:$F$494,$B29,'VS×ケイパビリティ関係'!$G$4:$G$494,AL$5,'VS×ケイパビリティ関係'!$E$4:$E$494,"主")&gt;0,"●",IF(COUNTIFS('VS×ケイパビリティ関係'!$F$4:$F$494,$B29,'VS×ケイパビリティ関係'!$G$4:$G$494,AL$5,'VS×ケイパビリティ関係'!$E$4:$E$494,"支援")&gt;0,"○",""))</f>
        <v/>
      </c>
      <c r="AM29" s="98">
        <f>IF(COUNTIFS('VS×ケイパビリティ関係'!$F$4:$F$494,$B29,'VS×ケイパビリティ関係'!$G$4:$G$494,AM$5,'VS×ケイパビリティ関係'!$E$4:$E$494,"主")&gt;0,"●",IF(COUNTIFS('VS×ケイパビリティ関係'!$F$4:$F$494,$B29,'VS×ケイパビリティ関係'!$G$4:$G$494,AM$5,'VS×ケイパビリティ関係'!$E$4:$E$494,"支援")&gt;0,"○",""))</f>
        <v/>
      </c>
      <c r="AN29" s="98">
        <f>IF(COUNTIFS('VS×ケイパビリティ関係'!$F$4:$F$494,$B29,'VS×ケイパビリティ関係'!$G$4:$G$494,AN$5,'VS×ケイパビリティ関係'!$E$4:$E$494,"主")&gt;0,"●",IF(COUNTIFS('VS×ケイパビリティ関係'!$F$4:$F$494,$B29,'VS×ケイパビリティ関係'!$G$4:$G$494,AN$5,'VS×ケイパビリティ関係'!$E$4:$E$494,"支援")&gt;0,"○",""))</f>
        <v/>
      </c>
      <c r="AO29" s="98">
        <f>IF(COUNTIFS('VS×ケイパビリティ関係'!$F$4:$F$494,$B29,'VS×ケイパビリティ関係'!$G$4:$G$494,AO$5,'VS×ケイパビリティ関係'!$E$4:$E$494,"主")&gt;0,"●",IF(COUNTIFS('VS×ケイパビリティ関係'!$F$4:$F$494,$B29,'VS×ケイパビリティ関係'!$G$4:$G$494,AO$5,'VS×ケイパビリティ関係'!$E$4:$E$494,"支援")&gt;0,"○",""))</f>
        <v/>
      </c>
      <c r="AP29" s="98">
        <f>IF(COUNTIFS('VS×ケイパビリティ関係'!$F$4:$F$494,$B29,'VS×ケイパビリティ関係'!$G$4:$G$494,AP$5,'VS×ケイパビリティ関係'!$E$4:$E$494,"主")&gt;0,"●",IF(COUNTIFS('VS×ケイパビリティ関係'!$F$4:$F$494,$B29,'VS×ケイパビリティ関係'!$G$4:$G$494,AP$5,'VS×ケイパビリティ関係'!$E$4:$E$494,"支援")&gt;0,"○",""))</f>
        <v/>
      </c>
      <c r="AQ29" s="98">
        <f>IF(COUNTIFS('VS×ケイパビリティ関係'!$F$4:$F$494,$B29,'VS×ケイパビリティ関係'!$G$4:$G$494,AQ$5,'VS×ケイパビリティ関係'!$E$4:$E$494,"主")&gt;0,"●",IF(COUNTIFS('VS×ケイパビリティ関係'!$F$4:$F$494,$B29,'VS×ケイパビリティ関係'!$G$4:$G$494,AQ$5,'VS×ケイパビリティ関係'!$E$4:$E$494,"支援")&gt;0,"○",""))</f>
        <v/>
      </c>
      <c r="AR29" s="98">
        <f>IF(COUNTIFS('VS×ケイパビリティ関係'!$F$4:$F$494,$B29,'VS×ケイパビリティ関係'!$G$4:$G$494,AR$5,'VS×ケイパビリティ関係'!$E$4:$E$494,"主")&gt;0,"●",IF(COUNTIFS('VS×ケイパビリティ関係'!$F$4:$F$494,$B29,'VS×ケイパビリティ関係'!$G$4:$G$494,AR$5,'VS×ケイパビリティ関係'!$E$4:$E$494,"支援")&gt;0,"○",""))</f>
        <v/>
      </c>
      <c r="AS29" s="98">
        <f>IF(COUNTIFS('VS×ケイパビリティ関係'!$F$4:$F$494,$B29,'VS×ケイパビリティ関係'!$G$4:$G$494,AS$5,'VS×ケイパビリティ関係'!$E$4:$E$494,"主")&gt;0,"●",IF(COUNTIFS('VS×ケイパビリティ関係'!$F$4:$F$494,$B29,'VS×ケイパビリティ関係'!$G$4:$G$494,AS$5,'VS×ケイパビリティ関係'!$E$4:$E$494,"支援")&gt;0,"○",""))</f>
        <v/>
      </c>
      <c r="AT29" s="98">
        <f>IF(COUNTIFS('VS×ケイパビリティ関係'!$F$4:$F$494,$B29,'VS×ケイパビリティ関係'!$G$4:$G$494,AT$5,'VS×ケイパビリティ関係'!$E$4:$E$494,"主")&gt;0,"●",IF(COUNTIFS('VS×ケイパビリティ関係'!$F$4:$F$494,$B29,'VS×ケイパビリティ関係'!$G$4:$G$494,AT$5,'VS×ケイパビリティ関係'!$E$4:$E$494,"支援")&gt;0,"○",""))</f>
        <v/>
      </c>
      <c r="AU29" s="98">
        <f>IF(COUNTIFS('VS×ケイパビリティ関係'!$F$4:$F$494,$B29,'VS×ケイパビリティ関係'!$G$4:$G$494,AU$5,'VS×ケイパビリティ関係'!$E$4:$E$494,"主")&gt;0,"●",IF(COUNTIFS('VS×ケイパビリティ関係'!$F$4:$F$494,$B29,'VS×ケイパビリティ関係'!$G$4:$G$494,AU$5,'VS×ケイパビリティ関係'!$E$4:$E$494,"支援")&gt;0,"○",""))</f>
        <v/>
      </c>
      <c r="AV29" s="98">
        <f>IF(COUNTIFS('VS×ケイパビリティ関係'!$F$4:$F$494,$B29,'VS×ケイパビリティ関係'!$G$4:$G$494,AV$5,'VS×ケイパビリティ関係'!$E$4:$E$494,"主")&gt;0,"●",IF(COUNTIFS('VS×ケイパビリティ関係'!$F$4:$F$494,$B29,'VS×ケイパビリティ関係'!$G$4:$G$494,AV$5,'VS×ケイパビリティ関係'!$E$4:$E$494,"支援")&gt;0,"○",""))</f>
        <v/>
      </c>
      <c r="AW29" s="98">
        <f>IF(COUNTIFS('VS×ケイパビリティ関係'!$F$4:$F$494,$B29,'VS×ケイパビリティ関係'!$G$4:$G$494,AW$5,'VS×ケイパビリティ関係'!$E$4:$E$494,"主")&gt;0,"●",IF(COUNTIFS('VS×ケイパビリティ関係'!$F$4:$F$494,$B29,'VS×ケイパビリティ関係'!$G$4:$G$494,AW$5,'VS×ケイパビリティ関係'!$E$4:$E$494,"支援")&gt;0,"○",""))</f>
        <v/>
      </c>
      <c r="AX29" s="98">
        <f>IF(COUNTIFS('VS×ケイパビリティ関係'!$F$4:$F$494,$B29,'VS×ケイパビリティ関係'!$G$4:$G$494,AX$5,'VS×ケイパビリティ関係'!$E$4:$E$494,"主")&gt;0,"●",IF(COUNTIFS('VS×ケイパビリティ関係'!$F$4:$F$494,$B29,'VS×ケイパビリティ関係'!$G$4:$G$494,AX$5,'VS×ケイパビリティ関係'!$E$4:$E$494,"支援")&gt;0,"○",""))</f>
        <v/>
      </c>
      <c r="AY29" s="98">
        <f>IF(COUNTIFS('VS×ケイパビリティ関係'!$F$4:$F$494,$B29,'VS×ケイパビリティ関係'!$G$4:$G$494,AY$5,'VS×ケイパビリティ関係'!$E$4:$E$494,"主")&gt;0,"●",IF(COUNTIFS('VS×ケイパビリティ関係'!$F$4:$F$494,$B29,'VS×ケイパビリティ関係'!$G$4:$G$494,AY$5,'VS×ケイパビリティ関係'!$E$4:$E$494,"支援")&gt;0,"○",""))</f>
        <v/>
      </c>
      <c r="AZ29" s="98">
        <f>IF(COUNTIFS('VS×ケイパビリティ関係'!$F$4:$F$494,$B29,'VS×ケイパビリティ関係'!$G$4:$G$494,AZ$5,'VS×ケイパビリティ関係'!$E$4:$E$494,"主")&gt;0,"●",IF(COUNTIFS('VS×ケイパビリティ関係'!$F$4:$F$494,$B29,'VS×ケイパビリティ関係'!$G$4:$G$494,AZ$5,'VS×ケイパビリティ関係'!$E$4:$E$494,"支援")&gt;0,"○",""))</f>
        <v/>
      </c>
      <c r="BA29" s="98">
        <f>IF(COUNTIFS('VS×ケイパビリティ関係'!$F$4:$F$494,$B29,'VS×ケイパビリティ関係'!$G$4:$G$494,BA$5,'VS×ケイパビリティ関係'!$E$4:$E$494,"主")&gt;0,"●",IF(COUNTIFS('VS×ケイパビリティ関係'!$F$4:$F$494,$B29,'VS×ケイパビリティ関係'!$G$4:$G$494,BA$5,'VS×ケイパビリティ関係'!$E$4:$E$494,"支援")&gt;0,"○",""))</f>
        <v/>
      </c>
      <c r="BB29" s="98">
        <f>IF(COUNTIFS('VS×ケイパビリティ関係'!$F$4:$F$494,$B29,'VS×ケイパビリティ関係'!$G$4:$G$494,BB$5,'VS×ケイパビリティ関係'!$E$4:$E$494,"主")&gt;0,"●",IF(COUNTIFS('VS×ケイパビリティ関係'!$F$4:$F$494,$B29,'VS×ケイパビリティ関係'!$G$4:$G$494,BB$5,'VS×ケイパビリティ関係'!$E$4:$E$494,"支援")&gt;0,"○",""))</f>
        <v/>
      </c>
      <c r="BC29" s="98">
        <f>IF(COUNTIFS('VS×ケイパビリティ関係'!$F$4:$F$494,$B29,'VS×ケイパビリティ関係'!$G$4:$G$494,BC$5,'VS×ケイパビリティ関係'!$E$4:$E$494,"主")&gt;0,"●",IF(COUNTIFS('VS×ケイパビリティ関係'!$F$4:$F$494,$B29,'VS×ケイパビリティ関係'!$G$4:$G$494,BC$5,'VS×ケイパビリティ関係'!$E$4:$E$494,"支援")&gt;0,"○",""))</f>
        <v/>
      </c>
      <c r="BD29" s="98">
        <f>IF(COUNTIFS('VS×ケイパビリティ関係'!$F$4:$F$494,$B29,'VS×ケイパビリティ関係'!$G$4:$G$494,BD$5,'VS×ケイパビリティ関係'!$E$4:$E$494,"主")&gt;0,"●",IF(COUNTIFS('VS×ケイパビリティ関係'!$F$4:$F$494,$B29,'VS×ケイパビリティ関係'!$G$4:$G$494,BD$5,'VS×ケイパビリティ関係'!$E$4:$E$494,"支援")&gt;0,"○",""))</f>
        <v/>
      </c>
      <c r="BE29" s="98">
        <f>COUNTIF(D29:BD29,"●")</f>
        <v/>
      </c>
      <c r="BF29" s="98">
        <f>COUNTIF(D29:BD29,"○")</f>
        <v/>
      </c>
    </row>
    <row r="30" ht="15" customHeight="1" s="80">
      <c r="A30" s="116" t="n"/>
      <c r="B30" s="98" t="inlineStr">
        <is>
          <t>06-02</t>
        </is>
      </c>
      <c r="C30" s="100" t="inlineStr">
        <is>
          <t>製剤化・充填・包装</t>
        </is>
      </c>
      <c r="D30" s="98">
        <f>IF(COUNTIFS('VS×ケイパビリティ関係'!$F$4:$F$494,$B30,'VS×ケイパビリティ関係'!$G$4:$G$494,D$5,'VS×ケイパビリティ関係'!$E$4:$E$494,"主")&gt;0,"●",IF(COUNTIFS('VS×ケイパビリティ関係'!$F$4:$F$494,$B30,'VS×ケイパビリティ関係'!$G$4:$G$494,D$5,'VS×ケイパビリティ関係'!$E$4:$E$494,"支援")&gt;0,"○",""))</f>
        <v/>
      </c>
      <c r="E30" s="98">
        <f>IF(COUNTIFS('VS×ケイパビリティ関係'!$F$4:$F$494,$B30,'VS×ケイパビリティ関係'!$G$4:$G$494,E$5,'VS×ケイパビリティ関係'!$E$4:$E$494,"主")&gt;0,"●",IF(COUNTIFS('VS×ケイパビリティ関係'!$F$4:$F$494,$B30,'VS×ケイパビリティ関係'!$G$4:$G$494,E$5,'VS×ケイパビリティ関係'!$E$4:$E$494,"支援")&gt;0,"○",""))</f>
        <v/>
      </c>
      <c r="F30" s="98">
        <f>IF(COUNTIFS('VS×ケイパビリティ関係'!$F$4:$F$494,$B30,'VS×ケイパビリティ関係'!$G$4:$G$494,F$5,'VS×ケイパビリティ関係'!$E$4:$E$494,"主")&gt;0,"●",IF(COUNTIFS('VS×ケイパビリティ関係'!$F$4:$F$494,$B30,'VS×ケイパビリティ関係'!$G$4:$G$494,F$5,'VS×ケイパビリティ関係'!$E$4:$E$494,"支援")&gt;0,"○",""))</f>
        <v/>
      </c>
      <c r="G30" s="98">
        <f>IF(COUNTIFS('VS×ケイパビリティ関係'!$F$4:$F$494,$B30,'VS×ケイパビリティ関係'!$G$4:$G$494,G$5,'VS×ケイパビリティ関係'!$E$4:$E$494,"主")&gt;0,"●",IF(COUNTIFS('VS×ケイパビリティ関係'!$F$4:$F$494,$B30,'VS×ケイパビリティ関係'!$G$4:$G$494,G$5,'VS×ケイパビリティ関係'!$E$4:$E$494,"支援")&gt;0,"○",""))</f>
        <v/>
      </c>
      <c r="H30" s="98">
        <f>IF(COUNTIFS('VS×ケイパビリティ関係'!$F$4:$F$494,$B30,'VS×ケイパビリティ関係'!$G$4:$G$494,H$5,'VS×ケイパビリティ関係'!$E$4:$E$494,"主")&gt;0,"●",IF(COUNTIFS('VS×ケイパビリティ関係'!$F$4:$F$494,$B30,'VS×ケイパビリティ関係'!$G$4:$G$494,H$5,'VS×ケイパビリティ関係'!$E$4:$E$494,"支援")&gt;0,"○",""))</f>
        <v/>
      </c>
      <c r="I30" s="98">
        <f>IF(COUNTIFS('VS×ケイパビリティ関係'!$F$4:$F$494,$B30,'VS×ケイパビリティ関係'!$G$4:$G$494,I$5,'VS×ケイパビリティ関係'!$E$4:$E$494,"主")&gt;0,"●",IF(COUNTIFS('VS×ケイパビリティ関係'!$F$4:$F$494,$B30,'VS×ケイパビリティ関係'!$G$4:$G$494,I$5,'VS×ケイパビリティ関係'!$E$4:$E$494,"支援")&gt;0,"○",""))</f>
        <v/>
      </c>
      <c r="J30" s="98">
        <f>IF(COUNTIFS('VS×ケイパビリティ関係'!$F$4:$F$494,$B30,'VS×ケイパビリティ関係'!$G$4:$G$494,J$5,'VS×ケイパビリティ関係'!$E$4:$E$494,"主")&gt;0,"●",IF(COUNTIFS('VS×ケイパビリティ関係'!$F$4:$F$494,$B30,'VS×ケイパビリティ関係'!$G$4:$G$494,J$5,'VS×ケイパビリティ関係'!$E$4:$E$494,"支援")&gt;0,"○",""))</f>
        <v/>
      </c>
      <c r="K30" s="98">
        <f>IF(COUNTIFS('VS×ケイパビリティ関係'!$F$4:$F$494,$B30,'VS×ケイパビリティ関係'!$G$4:$G$494,K$5,'VS×ケイパビリティ関係'!$E$4:$E$494,"主")&gt;0,"●",IF(COUNTIFS('VS×ケイパビリティ関係'!$F$4:$F$494,$B30,'VS×ケイパビリティ関係'!$G$4:$G$494,K$5,'VS×ケイパビリティ関係'!$E$4:$E$494,"支援")&gt;0,"○",""))</f>
        <v/>
      </c>
      <c r="L30" s="98">
        <f>IF(COUNTIFS('VS×ケイパビリティ関係'!$F$4:$F$494,$B30,'VS×ケイパビリティ関係'!$G$4:$G$494,L$5,'VS×ケイパビリティ関係'!$E$4:$E$494,"主")&gt;0,"●",IF(COUNTIFS('VS×ケイパビリティ関係'!$F$4:$F$494,$B30,'VS×ケイパビリティ関係'!$G$4:$G$494,L$5,'VS×ケイパビリティ関係'!$E$4:$E$494,"支援")&gt;0,"○",""))</f>
        <v/>
      </c>
      <c r="M30" s="98">
        <f>IF(COUNTIFS('VS×ケイパビリティ関係'!$F$4:$F$494,$B30,'VS×ケイパビリティ関係'!$G$4:$G$494,M$5,'VS×ケイパビリティ関係'!$E$4:$E$494,"主")&gt;0,"●",IF(COUNTIFS('VS×ケイパビリティ関係'!$F$4:$F$494,$B30,'VS×ケイパビリティ関係'!$G$4:$G$494,M$5,'VS×ケイパビリティ関係'!$E$4:$E$494,"支援")&gt;0,"○",""))</f>
        <v/>
      </c>
      <c r="N30" s="98">
        <f>IF(COUNTIFS('VS×ケイパビリティ関係'!$F$4:$F$494,$B30,'VS×ケイパビリティ関係'!$G$4:$G$494,N$5,'VS×ケイパビリティ関係'!$E$4:$E$494,"主")&gt;0,"●",IF(COUNTIFS('VS×ケイパビリティ関係'!$F$4:$F$494,$B30,'VS×ケイパビリティ関係'!$G$4:$G$494,N$5,'VS×ケイパビリティ関係'!$E$4:$E$494,"支援")&gt;0,"○",""))</f>
        <v/>
      </c>
      <c r="O30" s="98">
        <f>IF(COUNTIFS('VS×ケイパビリティ関係'!$F$4:$F$494,$B30,'VS×ケイパビリティ関係'!$G$4:$G$494,O$5,'VS×ケイパビリティ関係'!$E$4:$E$494,"主")&gt;0,"●",IF(COUNTIFS('VS×ケイパビリティ関係'!$F$4:$F$494,$B30,'VS×ケイパビリティ関係'!$G$4:$G$494,O$5,'VS×ケイパビリティ関係'!$E$4:$E$494,"支援")&gt;0,"○",""))</f>
        <v/>
      </c>
      <c r="P30" s="98">
        <f>IF(COUNTIFS('VS×ケイパビリティ関係'!$F$4:$F$494,$B30,'VS×ケイパビリティ関係'!$G$4:$G$494,P$5,'VS×ケイパビリティ関係'!$E$4:$E$494,"主")&gt;0,"●",IF(COUNTIFS('VS×ケイパビリティ関係'!$F$4:$F$494,$B30,'VS×ケイパビリティ関係'!$G$4:$G$494,P$5,'VS×ケイパビリティ関係'!$E$4:$E$494,"支援")&gt;0,"○",""))</f>
        <v/>
      </c>
      <c r="Q30" s="98">
        <f>IF(COUNTIFS('VS×ケイパビリティ関係'!$F$4:$F$494,$B30,'VS×ケイパビリティ関係'!$G$4:$G$494,Q$5,'VS×ケイパビリティ関係'!$E$4:$E$494,"主")&gt;0,"●",IF(COUNTIFS('VS×ケイパビリティ関係'!$F$4:$F$494,$B30,'VS×ケイパビリティ関係'!$G$4:$G$494,Q$5,'VS×ケイパビリティ関係'!$E$4:$E$494,"支援")&gt;0,"○",""))</f>
        <v/>
      </c>
      <c r="R30" s="98">
        <f>IF(COUNTIFS('VS×ケイパビリティ関係'!$F$4:$F$494,$B30,'VS×ケイパビリティ関係'!$G$4:$G$494,R$5,'VS×ケイパビリティ関係'!$E$4:$E$494,"主")&gt;0,"●",IF(COUNTIFS('VS×ケイパビリティ関係'!$F$4:$F$494,$B30,'VS×ケイパビリティ関係'!$G$4:$G$494,R$5,'VS×ケイパビリティ関係'!$E$4:$E$494,"支援")&gt;0,"○",""))</f>
        <v/>
      </c>
      <c r="S30" s="98">
        <f>IF(COUNTIFS('VS×ケイパビリティ関係'!$F$4:$F$494,$B30,'VS×ケイパビリティ関係'!$G$4:$G$494,S$5,'VS×ケイパビリティ関係'!$E$4:$E$494,"主")&gt;0,"●",IF(COUNTIFS('VS×ケイパビリティ関係'!$F$4:$F$494,$B30,'VS×ケイパビリティ関係'!$G$4:$G$494,S$5,'VS×ケイパビリティ関係'!$E$4:$E$494,"支援")&gt;0,"○",""))</f>
        <v/>
      </c>
      <c r="T30" s="98">
        <f>IF(COUNTIFS('VS×ケイパビリティ関係'!$F$4:$F$494,$B30,'VS×ケイパビリティ関係'!$G$4:$G$494,T$5,'VS×ケイパビリティ関係'!$E$4:$E$494,"主")&gt;0,"●",IF(COUNTIFS('VS×ケイパビリティ関係'!$F$4:$F$494,$B30,'VS×ケイパビリティ関係'!$G$4:$G$494,T$5,'VS×ケイパビリティ関係'!$E$4:$E$494,"支援")&gt;0,"○",""))</f>
        <v/>
      </c>
      <c r="U30" s="98">
        <f>IF(COUNTIFS('VS×ケイパビリティ関係'!$F$4:$F$494,$B30,'VS×ケイパビリティ関係'!$G$4:$G$494,U$5,'VS×ケイパビリティ関係'!$E$4:$E$494,"主")&gt;0,"●",IF(COUNTIFS('VS×ケイパビリティ関係'!$F$4:$F$494,$B30,'VS×ケイパビリティ関係'!$G$4:$G$494,U$5,'VS×ケイパビリティ関係'!$E$4:$E$494,"支援")&gt;0,"○",""))</f>
        <v/>
      </c>
      <c r="V30" s="98">
        <f>IF(COUNTIFS('VS×ケイパビリティ関係'!$F$4:$F$494,$B30,'VS×ケイパビリティ関係'!$G$4:$G$494,V$5,'VS×ケイパビリティ関係'!$E$4:$E$494,"主")&gt;0,"●",IF(COUNTIFS('VS×ケイパビリティ関係'!$F$4:$F$494,$B30,'VS×ケイパビリティ関係'!$G$4:$G$494,V$5,'VS×ケイパビリティ関係'!$E$4:$E$494,"支援")&gt;0,"○",""))</f>
        <v/>
      </c>
      <c r="W30" s="98">
        <f>IF(COUNTIFS('VS×ケイパビリティ関係'!$F$4:$F$494,$B30,'VS×ケイパビリティ関係'!$G$4:$G$494,W$5,'VS×ケイパビリティ関係'!$E$4:$E$494,"主")&gt;0,"●",IF(COUNTIFS('VS×ケイパビリティ関係'!$F$4:$F$494,$B30,'VS×ケイパビリティ関係'!$G$4:$G$494,W$5,'VS×ケイパビリティ関係'!$E$4:$E$494,"支援")&gt;0,"○",""))</f>
        <v/>
      </c>
      <c r="X30" s="98">
        <f>IF(COUNTIFS('VS×ケイパビリティ関係'!$F$4:$F$494,$B30,'VS×ケイパビリティ関係'!$G$4:$G$494,X$5,'VS×ケイパビリティ関係'!$E$4:$E$494,"主")&gt;0,"●",IF(COUNTIFS('VS×ケイパビリティ関係'!$F$4:$F$494,$B30,'VS×ケイパビリティ関係'!$G$4:$G$494,X$5,'VS×ケイパビリティ関係'!$E$4:$E$494,"支援")&gt;0,"○",""))</f>
        <v/>
      </c>
      <c r="Y30" s="98">
        <f>IF(COUNTIFS('VS×ケイパビリティ関係'!$F$4:$F$494,$B30,'VS×ケイパビリティ関係'!$G$4:$G$494,Y$5,'VS×ケイパビリティ関係'!$E$4:$E$494,"主")&gt;0,"●",IF(COUNTIFS('VS×ケイパビリティ関係'!$F$4:$F$494,$B30,'VS×ケイパビリティ関係'!$G$4:$G$494,Y$5,'VS×ケイパビリティ関係'!$E$4:$E$494,"支援")&gt;0,"○",""))</f>
        <v/>
      </c>
      <c r="Z30" s="98">
        <f>IF(COUNTIFS('VS×ケイパビリティ関係'!$F$4:$F$494,$B30,'VS×ケイパビリティ関係'!$G$4:$G$494,Z$5,'VS×ケイパビリティ関係'!$E$4:$E$494,"主")&gt;0,"●",IF(COUNTIFS('VS×ケイパビリティ関係'!$F$4:$F$494,$B30,'VS×ケイパビリティ関係'!$G$4:$G$494,Z$5,'VS×ケイパビリティ関係'!$E$4:$E$494,"支援")&gt;0,"○",""))</f>
        <v/>
      </c>
      <c r="AA30" s="98">
        <f>IF(COUNTIFS('VS×ケイパビリティ関係'!$F$4:$F$494,$B30,'VS×ケイパビリティ関係'!$G$4:$G$494,AA$5,'VS×ケイパビリティ関係'!$E$4:$E$494,"主")&gt;0,"●",IF(COUNTIFS('VS×ケイパビリティ関係'!$F$4:$F$494,$B30,'VS×ケイパビリティ関係'!$G$4:$G$494,AA$5,'VS×ケイパビリティ関係'!$E$4:$E$494,"支援")&gt;0,"○",""))</f>
        <v/>
      </c>
      <c r="AB30" s="98">
        <f>IF(COUNTIFS('VS×ケイパビリティ関係'!$F$4:$F$494,$B30,'VS×ケイパビリティ関係'!$G$4:$G$494,AB$5,'VS×ケイパビリティ関係'!$E$4:$E$494,"主")&gt;0,"●",IF(COUNTIFS('VS×ケイパビリティ関係'!$F$4:$F$494,$B30,'VS×ケイパビリティ関係'!$G$4:$G$494,AB$5,'VS×ケイパビリティ関係'!$E$4:$E$494,"支援")&gt;0,"○",""))</f>
        <v/>
      </c>
      <c r="AC30" s="98">
        <f>IF(COUNTIFS('VS×ケイパビリティ関係'!$F$4:$F$494,$B30,'VS×ケイパビリティ関係'!$G$4:$G$494,AC$5,'VS×ケイパビリティ関係'!$E$4:$E$494,"主")&gt;0,"●",IF(COUNTIFS('VS×ケイパビリティ関係'!$F$4:$F$494,$B30,'VS×ケイパビリティ関係'!$G$4:$G$494,AC$5,'VS×ケイパビリティ関係'!$E$4:$E$494,"支援")&gt;0,"○",""))</f>
        <v/>
      </c>
      <c r="AD30" s="98">
        <f>IF(COUNTIFS('VS×ケイパビリティ関係'!$F$4:$F$494,$B30,'VS×ケイパビリティ関係'!$G$4:$G$494,AD$5,'VS×ケイパビリティ関係'!$E$4:$E$494,"主")&gt;0,"●",IF(COUNTIFS('VS×ケイパビリティ関係'!$F$4:$F$494,$B30,'VS×ケイパビリティ関係'!$G$4:$G$494,AD$5,'VS×ケイパビリティ関係'!$E$4:$E$494,"支援")&gt;0,"○",""))</f>
        <v/>
      </c>
      <c r="AE30" s="98">
        <f>IF(COUNTIFS('VS×ケイパビリティ関係'!$F$4:$F$494,$B30,'VS×ケイパビリティ関係'!$G$4:$G$494,AE$5,'VS×ケイパビリティ関係'!$E$4:$E$494,"主")&gt;0,"●",IF(COUNTIFS('VS×ケイパビリティ関係'!$F$4:$F$494,$B30,'VS×ケイパビリティ関係'!$G$4:$G$494,AE$5,'VS×ケイパビリティ関係'!$E$4:$E$494,"支援")&gt;0,"○",""))</f>
        <v/>
      </c>
      <c r="AF30" s="98">
        <f>IF(COUNTIFS('VS×ケイパビリティ関係'!$F$4:$F$494,$B30,'VS×ケイパビリティ関係'!$G$4:$G$494,AF$5,'VS×ケイパビリティ関係'!$E$4:$E$494,"主")&gt;0,"●",IF(COUNTIFS('VS×ケイパビリティ関係'!$F$4:$F$494,$B30,'VS×ケイパビリティ関係'!$G$4:$G$494,AF$5,'VS×ケイパビリティ関係'!$E$4:$E$494,"支援")&gt;0,"○",""))</f>
        <v/>
      </c>
      <c r="AG30" s="98">
        <f>IF(COUNTIFS('VS×ケイパビリティ関係'!$F$4:$F$494,$B30,'VS×ケイパビリティ関係'!$G$4:$G$494,AG$5,'VS×ケイパビリティ関係'!$E$4:$E$494,"主")&gt;0,"●",IF(COUNTIFS('VS×ケイパビリティ関係'!$F$4:$F$494,$B30,'VS×ケイパビリティ関係'!$G$4:$G$494,AG$5,'VS×ケイパビリティ関係'!$E$4:$E$494,"支援")&gt;0,"○",""))</f>
        <v/>
      </c>
      <c r="AH30" s="98">
        <f>IF(COUNTIFS('VS×ケイパビリティ関係'!$F$4:$F$494,$B30,'VS×ケイパビリティ関係'!$G$4:$G$494,AH$5,'VS×ケイパビリティ関係'!$E$4:$E$494,"主")&gt;0,"●",IF(COUNTIFS('VS×ケイパビリティ関係'!$F$4:$F$494,$B30,'VS×ケイパビリティ関係'!$G$4:$G$494,AH$5,'VS×ケイパビリティ関係'!$E$4:$E$494,"支援")&gt;0,"○",""))</f>
        <v/>
      </c>
      <c r="AI30" s="98">
        <f>IF(COUNTIFS('VS×ケイパビリティ関係'!$F$4:$F$494,$B30,'VS×ケイパビリティ関係'!$G$4:$G$494,AI$5,'VS×ケイパビリティ関係'!$E$4:$E$494,"主")&gt;0,"●",IF(COUNTIFS('VS×ケイパビリティ関係'!$F$4:$F$494,$B30,'VS×ケイパビリティ関係'!$G$4:$G$494,AI$5,'VS×ケイパビリティ関係'!$E$4:$E$494,"支援")&gt;0,"○",""))</f>
        <v/>
      </c>
      <c r="AJ30" s="98">
        <f>IF(COUNTIFS('VS×ケイパビリティ関係'!$F$4:$F$494,$B30,'VS×ケイパビリティ関係'!$G$4:$G$494,AJ$5,'VS×ケイパビリティ関係'!$E$4:$E$494,"主")&gt;0,"●",IF(COUNTIFS('VS×ケイパビリティ関係'!$F$4:$F$494,$B30,'VS×ケイパビリティ関係'!$G$4:$G$494,AJ$5,'VS×ケイパビリティ関係'!$E$4:$E$494,"支援")&gt;0,"○",""))</f>
        <v/>
      </c>
      <c r="AK30" s="98">
        <f>IF(COUNTIFS('VS×ケイパビリティ関係'!$F$4:$F$494,$B30,'VS×ケイパビリティ関係'!$G$4:$G$494,AK$5,'VS×ケイパビリティ関係'!$E$4:$E$494,"主")&gt;0,"●",IF(COUNTIFS('VS×ケイパビリティ関係'!$F$4:$F$494,$B30,'VS×ケイパビリティ関係'!$G$4:$G$494,AK$5,'VS×ケイパビリティ関係'!$E$4:$E$494,"支援")&gt;0,"○",""))</f>
        <v/>
      </c>
      <c r="AL30" s="98">
        <f>IF(COUNTIFS('VS×ケイパビリティ関係'!$F$4:$F$494,$B30,'VS×ケイパビリティ関係'!$G$4:$G$494,AL$5,'VS×ケイパビリティ関係'!$E$4:$E$494,"主")&gt;0,"●",IF(COUNTIFS('VS×ケイパビリティ関係'!$F$4:$F$494,$B30,'VS×ケイパビリティ関係'!$G$4:$G$494,AL$5,'VS×ケイパビリティ関係'!$E$4:$E$494,"支援")&gt;0,"○",""))</f>
        <v/>
      </c>
      <c r="AM30" s="98">
        <f>IF(COUNTIFS('VS×ケイパビリティ関係'!$F$4:$F$494,$B30,'VS×ケイパビリティ関係'!$G$4:$G$494,AM$5,'VS×ケイパビリティ関係'!$E$4:$E$494,"主")&gt;0,"●",IF(COUNTIFS('VS×ケイパビリティ関係'!$F$4:$F$494,$B30,'VS×ケイパビリティ関係'!$G$4:$G$494,AM$5,'VS×ケイパビリティ関係'!$E$4:$E$494,"支援")&gt;0,"○",""))</f>
        <v/>
      </c>
      <c r="AN30" s="98">
        <f>IF(COUNTIFS('VS×ケイパビリティ関係'!$F$4:$F$494,$B30,'VS×ケイパビリティ関係'!$G$4:$G$494,AN$5,'VS×ケイパビリティ関係'!$E$4:$E$494,"主")&gt;0,"●",IF(COUNTIFS('VS×ケイパビリティ関係'!$F$4:$F$494,$B30,'VS×ケイパビリティ関係'!$G$4:$G$494,AN$5,'VS×ケイパビリティ関係'!$E$4:$E$494,"支援")&gt;0,"○",""))</f>
        <v/>
      </c>
      <c r="AO30" s="98">
        <f>IF(COUNTIFS('VS×ケイパビリティ関係'!$F$4:$F$494,$B30,'VS×ケイパビリティ関係'!$G$4:$G$494,AO$5,'VS×ケイパビリティ関係'!$E$4:$E$494,"主")&gt;0,"●",IF(COUNTIFS('VS×ケイパビリティ関係'!$F$4:$F$494,$B30,'VS×ケイパビリティ関係'!$G$4:$G$494,AO$5,'VS×ケイパビリティ関係'!$E$4:$E$494,"支援")&gt;0,"○",""))</f>
        <v/>
      </c>
      <c r="AP30" s="98">
        <f>IF(COUNTIFS('VS×ケイパビリティ関係'!$F$4:$F$494,$B30,'VS×ケイパビリティ関係'!$G$4:$G$494,AP$5,'VS×ケイパビリティ関係'!$E$4:$E$494,"主")&gt;0,"●",IF(COUNTIFS('VS×ケイパビリティ関係'!$F$4:$F$494,$B30,'VS×ケイパビリティ関係'!$G$4:$G$494,AP$5,'VS×ケイパビリティ関係'!$E$4:$E$494,"支援")&gt;0,"○",""))</f>
        <v/>
      </c>
      <c r="AQ30" s="98">
        <f>IF(COUNTIFS('VS×ケイパビリティ関係'!$F$4:$F$494,$B30,'VS×ケイパビリティ関係'!$G$4:$G$494,AQ$5,'VS×ケイパビリティ関係'!$E$4:$E$494,"主")&gt;0,"●",IF(COUNTIFS('VS×ケイパビリティ関係'!$F$4:$F$494,$B30,'VS×ケイパビリティ関係'!$G$4:$G$494,AQ$5,'VS×ケイパビリティ関係'!$E$4:$E$494,"支援")&gt;0,"○",""))</f>
        <v/>
      </c>
      <c r="AR30" s="98">
        <f>IF(COUNTIFS('VS×ケイパビリティ関係'!$F$4:$F$494,$B30,'VS×ケイパビリティ関係'!$G$4:$G$494,AR$5,'VS×ケイパビリティ関係'!$E$4:$E$494,"主")&gt;0,"●",IF(COUNTIFS('VS×ケイパビリティ関係'!$F$4:$F$494,$B30,'VS×ケイパビリティ関係'!$G$4:$G$494,AR$5,'VS×ケイパビリティ関係'!$E$4:$E$494,"支援")&gt;0,"○",""))</f>
        <v/>
      </c>
      <c r="AS30" s="98">
        <f>IF(COUNTIFS('VS×ケイパビリティ関係'!$F$4:$F$494,$B30,'VS×ケイパビリティ関係'!$G$4:$G$494,AS$5,'VS×ケイパビリティ関係'!$E$4:$E$494,"主")&gt;0,"●",IF(COUNTIFS('VS×ケイパビリティ関係'!$F$4:$F$494,$B30,'VS×ケイパビリティ関係'!$G$4:$G$494,AS$5,'VS×ケイパビリティ関係'!$E$4:$E$494,"支援")&gt;0,"○",""))</f>
        <v/>
      </c>
      <c r="AT30" s="98">
        <f>IF(COUNTIFS('VS×ケイパビリティ関係'!$F$4:$F$494,$B30,'VS×ケイパビリティ関係'!$G$4:$G$494,AT$5,'VS×ケイパビリティ関係'!$E$4:$E$494,"主")&gt;0,"●",IF(COUNTIFS('VS×ケイパビリティ関係'!$F$4:$F$494,$B30,'VS×ケイパビリティ関係'!$G$4:$G$494,AT$5,'VS×ケイパビリティ関係'!$E$4:$E$494,"支援")&gt;0,"○",""))</f>
        <v/>
      </c>
      <c r="AU30" s="98">
        <f>IF(COUNTIFS('VS×ケイパビリティ関係'!$F$4:$F$494,$B30,'VS×ケイパビリティ関係'!$G$4:$G$494,AU$5,'VS×ケイパビリティ関係'!$E$4:$E$494,"主")&gt;0,"●",IF(COUNTIFS('VS×ケイパビリティ関係'!$F$4:$F$494,$B30,'VS×ケイパビリティ関係'!$G$4:$G$494,AU$5,'VS×ケイパビリティ関係'!$E$4:$E$494,"支援")&gt;0,"○",""))</f>
        <v/>
      </c>
      <c r="AV30" s="98">
        <f>IF(COUNTIFS('VS×ケイパビリティ関係'!$F$4:$F$494,$B30,'VS×ケイパビリティ関係'!$G$4:$G$494,AV$5,'VS×ケイパビリティ関係'!$E$4:$E$494,"主")&gt;0,"●",IF(COUNTIFS('VS×ケイパビリティ関係'!$F$4:$F$494,$B30,'VS×ケイパビリティ関係'!$G$4:$G$494,AV$5,'VS×ケイパビリティ関係'!$E$4:$E$494,"支援")&gt;0,"○",""))</f>
        <v/>
      </c>
      <c r="AW30" s="98">
        <f>IF(COUNTIFS('VS×ケイパビリティ関係'!$F$4:$F$494,$B30,'VS×ケイパビリティ関係'!$G$4:$G$494,AW$5,'VS×ケイパビリティ関係'!$E$4:$E$494,"主")&gt;0,"●",IF(COUNTIFS('VS×ケイパビリティ関係'!$F$4:$F$494,$B30,'VS×ケイパビリティ関係'!$G$4:$G$494,AW$5,'VS×ケイパビリティ関係'!$E$4:$E$494,"支援")&gt;0,"○",""))</f>
        <v/>
      </c>
      <c r="AX30" s="98">
        <f>IF(COUNTIFS('VS×ケイパビリティ関係'!$F$4:$F$494,$B30,'VS×ケイパビリティ関係'!$G$4:$G$494,AX$5,'VS×ケイパビリティ関係'!$E$4:$E$494,"主")&gt;0,"●",IF(COUNTIFS('VS×ケイパビリティ関係'!$F$4:$F$494,$B30,'VS×ケイパビリティ関係'!$G$4:$G$494,AX$5,'VS×ケイパビリティ関係'!$E$4:$E$494,"支援")&gt;0,"○",""))</f>
        <v/>
      </c>
      <c r="AY30" s="98">
        <f>IF(COUNTIFS('VS×ケイパビリティ関係'!$F$4:$F$494,$B30,'VS×ケイパビリティ関係'!$G$4:$G$494,AY$5,'VS×ケイパビリティ関係'!$E$4:$E$494,"主")&gt;0,"●",IF(COUNTIFS('VS×ケイパビリティ関係'!$F$4:$F$494,$B30,'VS×ケイパビリティ関係'!$G$4:$G$494,AY$5,'VS×ケイパビリティ関係'!$E$4:$E$494,"支援")&gt;0,"○",""))</f>
        <v/>
      </c>
      <c r="AZ30" s="98">
        <f>IF(COUNTIFS('VS×ケイパビリティ関係'!$F$4:$F$494,$B30,'VS×ケイパビリティ関係'!$G$4:$G$494,AZ$5,'VS×ケイパビリティ関係'!$E$4:$E$494,"主")&gt;0,"●",IF(COUNTIFS('VS×ケイパビリティ関係'!$F$4:$F$494,$B30,'VS×ケイパビリティ関係'!$G$4:$G$494,AZ$5,'VS×ケイパビリティ関係'!$E$4:$E$494,"支援")&gt;0,"○",""))</f>
        <v/>
      </c>
      <c r="BA30" s="98">
        <f>IF(COUNTIFS('VS×ケイパビリティ関係'!$F$4:$F$494,$B30,'VS×ケイパビリティ関係'!$G$4:$G$494,BA$5,'VS×ケイパビリティ関係'!$E$4:$E$494,"主")&gt;0,"●",IF(COUNTIFS('VS×ケイパビリティ関係'!$F$4:$F$494,$B30,'VS×ケイパビリティ関係'!$G$4:$G$494,BA$5,'VS×ケイパビリティ関係'!$E$4:$E$494,"支援")&gt;0,"○",""))</f>
        <v/>
      </c>
      <c r="BB30" s="98">
        <f>IF(COUNTIFS('VS×ケイパビリティ関係'!$F$4:$F$494,$B30,'VS×ケイパビリティ関係'!$G$4:$G$494,BB$5,'VS×ケイパビリティ関係'!$E$4:$E$494,"主")&gt;0,"●",IF(COUNTIFS('VS×ケイパビリティ関係'!$F$4:$F$494,$B30,'VS×ケイパビリティ関係'!$G$4:$G$494,BB$5,'VS×ケイパビリティ関係'!$E$4:$E$494,"支援")&gt;0,"○",""))</f>
        <v/>
      </c>
      <c r="BC30" s="98">
        <f>IF(COUNTIFS('VS×ケイパビリティ関係'!$F$4:$F$494,$B30,'VS×ケイパビリティ関係'!$G$4:$G$494,BC$5,'VS×ケイパビリティ関係'!$E$4:$E$494,"主")&gt;0,"●",IF(COUNTIFS('VS×ケイパビリティ関係'!$F$4:$F$494,$B30,'VS×ケイパビリティ関係'!$G$4:$G$494,BC$5,'VS×ケイパビリティ関係'!$E$4:$E$494,"支援")&gt;0,"○",""))</f>
        <v/>
      </c>
      <c r="BD30" s="98">
        <f>IF(COUNTIFS('VS×ケイパビリティ関係'!$F$4:$F$494,$B30,'VS×ケイパビリティ関係'!$G$4:$G$494,BD$5,'VS×ケイパビリティ関係'!$E$4:$E$494,"主")&gt;0,"●",IF(COUNTIFS('VS×ケイパビリティ関係'!$F$4:$F$494,$B30,'VS×ケイパビリティ関係'!$G$4:$G$494,BD$5,'VS×ケイパビリティ関係'!$E$4:$E$494,"支援")&gt;0,"○",""))</f>
        <v/>
      </c>
      <c r="BE30" s="98">
        <f>COUNTIF(D30:BD30,"●")</f>
        <v/>
      </c>
      <c r="BF30" s="98">
        <f>COUNTIF(D30:BD30,"○")</f>
        <v/>
      </c>
    </row>
    <row r="31" ht="15" customHeight="1" s="80">
      <c r="A31" s="116" t="n"/>
      <c r="B31" s="98" t="inlineStr">
        <is>
          <t>06-03</t>
        </is>
      </c>
      <c r="C31" s="100" t="inlineStr">
        <is>
          <t>品質試験・出荷判定</t>
        </is>
      </c>
      <c r="D31" s="98">
        <f>IF(COUNTIFS('VS×ケイパビリティ関係'!$F$4:$F$494,$B31,'VS×ケイパビリティ関係'!$G$4:$G$494,D$5,'VS×ケイパビリティ関係'!$E$4:$E$494,"主")&gt;0,"●",IF(COUNTIFS('VS×ケイパビリティ関係'!$F$4:$F$494,$B31,'VS×ケイパビリティ関係'!$G$4:$G$494,D$5,'VS×ケイパビリティ関係'!$E$4:$E$494,"支援")&gt;0,"○",""))</f>
        <v/>
      </c>
      <c r="E31" s="98">
        <f>IF(COUNTIFS('VS×ケイパビリティ関係'!$F$4:$F$494,$B31,'VS×ケイパビリティ関係'!$G$4:$G$494,E$5,'VS×ケイパビリティ関係'!$E$4:$E$494,"主")&gt;0,"●",IF(COUNTIFS('VS×ケイパビリティ関係'!$F$4:$F$494,$B31,'VS×ケイパビリティ関係'!$G$4:$G$494,E$5,'VS×ケイパビリティ関係'!$E$4:$E$494,"支援")&gt;0,"○",""))</f>
        <v/>
      </c>
      <c r="F31" s="98">
        <f>IF(COUNTIFS('VS×ケイパビリティ関係'!$F$4:$F$494,$B31,'VS×ケイパビリティ関係'!$G$4:$G$494,F$5,'VS×ケイパビリティ関係'!$E$4:$E$494,"主")&gt;0,"●",IF(COUNTIFS('VS×ケイパビリティ関係'!$F$4:$F$494,$B31,'VS×ケイパビリティ関係'!$G$4:$G$494,F$5,'VS×ケイパビリティ関係'!$E$4:$E$494,"支援")&gt;0,"○",""))</f>
        <v/>
      </c>
      <c r="G31" s="98">
        <f>IF(COUNTIFS('VS×ケイパビリティ関係'!$F$4:$F$494,$B31,'VS×ケイパビリティ関係'!$G$4:$G$494,G$5,'VS×ケイパビリティ関係'!$E$4:$E$494,"主")&gt;0,"●",IF(COUNTIFS('VS×ケイパビリティ関係'!$F$4:$F$494,$B31,'VS×ケイパビリティ関係'!$G$4:$G$494,G$5,'VS×ケイパビリティ関係'!$E$4:$E$494,"支援")&gt;0,"○",""))</f>
        <v/>
      </c>
      <c r="H31" s="98">
        <f>IF(COUNTIFS('VS×ケイパビリティ関係'!$F$4:$F$494,$B31,'VS×ケイパビリティ関係'!$G$4:$G$494,H$5,'VS×ケイパビリティ関係'!$E$4:$E$494,"主")&gt;0,"●",IF(COUNTIFS('VS×ケイパビリティ関係'!$F$4:$F$494,$B31,'VS×ケイパビリティ関係'!$G$4:$G$494,H$5,'VS×ケイパビリティ関係'!$E$4:$E$494,"支援")&gt;0,"○",""))</f>
        <v/>
      </c>
      <c r="I31" s="98">
        <f>IF(COUNTIFS('VS×ケイパビリティ関係'!$F$4:$F$494,$B31,'VS×ケイパビリティ関係'!$G$4:$G$494,I$5,'VS×ケイパビリティ関係'!$E$4:$E$494,"主")&gt;0,"●",IF(COUNTIFS('VS×ケイパビリティ関係'!$F$4:$F$494,$B31,'VS×ケイパビリティ関係'!$G$4:$G$494,I$5,'VS×ケイパビリティ関係'!$E$4:$E$494,"支援")&gt;0,"○",""))</f>
        <v/>
      </c>
      <c r="J31" s="98">
        <f>IF(COUNTIFS('VS×ケイパビリティ関係'!$F$4:$F$494,$B31,'VS×ケイパビリティ関係'!$G$4:$G$494,J$5,'VS×ケイパビリティ関係'!$E$4:$E$494,"主")&gt;0,"●",IF(COUNTIFS('VS×ケイパビリティ関係'!$F$4:$F$494,$B31,'VS×ケイパビリティ関係'!$G$4:$G$494,J$5,'VS×ケイパビリティ関係'!$E$4:$E$494,"支援")&gt;0,"○",""))</f>
        <v/>
      </c>
      <c r="K31" s="98">
        <f>IF(COUNTIFS('VS×ケイパビリティ関係'!$F$4:$F$494,$B31,'VS×ケイパビリティ関係'!$G$4:$G$494,K$5,'VS×ケイパビリティ関係'!$E$4:$E$494,"主")&gt;0,"●",IF(COUNTIFS('VS×ケイパビリティ関係'!$F$4:$F$494,$B31,'VS×ケイパビリティ関係'!$G$4:$G$494,K$5,'VS×ケイパビリティ関係'!$E$4:$E$494,"支援")&gt;0,"○",""))</f>
        <v/>
      </c>
      <c r="L31" s="98">
        <f>IF(COUNTIFS('VS×ケイパビリティ関係'!$F$4:$F$494,$B31,'VS×ケイパビリティ関係'!$G$4:$G$494,L$5,'VS×ケイパビリティ関係'!$E$4:$E$494,"主")&gt;0,"●",IF(COUNTIFS('VS×ケイパビリティ関係'!$F$4:$F$494,$B31,'VS×ケイパビリティ関係'!$G$4:$G$494,L$5,'VS×ケイパビリティ関係'!$E$4:$E$494,"支援")&gt;0,"○",""))</f>
        <v/>
      </c>
      <c r="M31" s="98">
        <f>IF(COUNTIFS('VS×ケイパビリティ関係'!$F$4:$F$494,$B31,'VS×ケイパビリティ関係'!$G$4:$G$494,M$5,'VS×ケイパビリティ関係'!$E$4:$E$494,"主")&gt;0,"●",IF(COUNTIFS('VS×ケイパビリティ関係'!$F$4:$F$494,$B31,'VS×ケイパビリティ関係'!$G$4:$G$494,M$5,'VS×ケイパビリティ関係'!$E$4:$E$494,"支援")&gt;0,"○",""))</f>
        <v/>
      </c>
      <c r="N31" s="98">
        <f>IF(COUNTIFS('VS×ケイパビリティ関係'!$F$4:$F$494,$B31,'VS×ケイパビリティ関係'!$G$4:$G$494,N$5,'VS×ケイパビリティ関係'!$E$4:$E$494,"主")&gt;0,"●",IF(COUNTIFS('VS×ケイパビリティ関係'!$F$4:$F$494,$B31,'VS×ケイパビリティ関係'!$G$4:$G$494,N$5,'VS×ケイパビリティ関係'!$E$4:$E$494,"支援")&gt;0,"○",""))</f>
        <v/>
      </c>
      <c r="O31" s="98">
        <f>IF(COUNTIFS('VS×ケイパビリティ関係'!$F$4:$F$494,$B31,'VS×ケイパビリティ関係'!$G$4:$G$494,O$5,'VS×ケイパビリティ関係'!$E$4:$E$494,"主")&gt;0,"●",IF(COUNTIFS('VS×ケイパビリティ関係'!$F$4:$F$494,$B31,'VS×ケイパビリティ関係'!$G$4:$G$494,O$5,'VS×ケイパビリティ関係'!$E$4:$E$494,"支援")&gt;0,"○",""))</f>
        <v/>
      </c>
      <c r="P31" s="98">
        <f>IF(COUNTIFS('VS×ケイパビリティ関係'!$F$4:$F$494,$B31,'VS×ケイパビリティ関係'!$G$4:$G$494,P$5,'VS×ケイパビリティ関係'!$E$4:$E$494,"主")&gt;0,"●",IF(COUNTIFS('VS×ケイパビリティ関係'!$F$4:$F$494,$B31,'VS×ケイパビリティ関係'!$G$4:$G$494,P$5,'VS×ケイパビリティ関係'!$E$4:$E$494,"支援")&gt;0,"○",""))</f>
        <v/>
      </c>
      <c r="Q31" s="98">
        <f>IF(COUNTIFS('VS×ケイパビリティ関係'!$F$4:$F$494,$B31,'VS×ケイパビリティ関係'!$G$4:$G$494,Q$5,'VS×ケイパビリティ関係'!$E$4:$E$494,"主")&gt;0,"●",IF(COUNTIFS('VS×ケイパビリティ関係'!$F$4:$F$494,$B31,'VS×ケイパビリティ関係'!$G$4:$G$494,Q$5,'VS×ケイパビリティ関係'!$E$4:$E$494,"支援")&gt;0,"○",""))</f>
        <v/>
      </c>
      <c r="R31" s="98">
        <f>IF(COUNTIFS('VS×ケイパビリティ関係'!$F$4:$F$494,$B31,'VS×ケイパビリティ関係'!$G$4:$G$494,R$5,'VS×ケイパビリティ関係'!$E$4:$E$494,"主")&gt;0,"●",IF(COUNTIFS('VS×ケイパビリティ関係'!$F$4:$F$494,$B31,'VS×ケイパビリティ関係'!$G$4:$G$494,R$5,'VS×ケイパビリティ関係'!$E$4:$E$494,"支援")&gt;0,"○",""))</f>
        <v/>
      </c>
      <c r="S31" s="98">
        <f>IF(COUNTIFS('VS×ケイパビリティ関係'!$F$4:$F$494,$B31,'VS×ケイパビリティ関係'!$G$4:$G$494,S$5,'VS×ケイパビリティ関係'!$E$4:$E$494,"主")&gt;0,"●",IF(COUNTIFS('VS×ケイパビリティ関係'!$F$4:$F$494,$B31,'VS×ケイパビリティ関係'!$G$4:$G$494,S$5,'VS×ケイパビリティ関係'!$E$4:$E$494,"支援")&gt;0,"○",""))</f>
        <v/>
      </c>
      <c r="T31" s="98">
        <f>IF(COUNTIFS('VS×ケイパビリティ関係'!$F$4:$F$494,$B31,'VS×ケイパビリティ関係'!$G$4:$G$494,T$5,'VS×ケイパビリティ関係'!$E$4:$E$494,"主")&gt;0,"●",IF(COUNTIFS('VS×ケイパビリティ関係'!$F$4:$F$494,$B31,'VS×ケイパビリティ関係'!$G$4:$G$494,T$5,'VS×ケイパビリティ関係'!$E$4:$E$494,"支援")&gt;0,"○",""))</f>
        <v/>
      </c>
      <c r="U31" s="98">
        <f>IF(COUNTIFS('VS×ケイパビリティ関係'!$F$4:$F$494,$B31,'VS×ケイパビリティ関係'!$G$4:$G$494,U$5,'VS×ケイパビリティ関係'!$E$4:$E$494,"主")&gt;0,"●",IF(COUNTIFS('VS×ケイパビリティ関係'!$F$4:$F$494,$B31,'VS×ケイパビリティ関係'!$G$4:$G$494,U$5,'VS×ケイパビリティ関係'!$E$4:$E$494,"支援")&gt;0,"○",""))</f>
        <v/>
      </c>
      <c r="V31" s="98">
        <f>IF(COUNTIFS('VS×ケイパビリティ関係'!$F$4:$F$494,$B31,'VS×ケイパビリティ関係'!$G$4:$G$494,V$5,'VS×ケイパビリティ関係'!$E$4:$E$494,"主")&gt;0,"●",IF(COUNTIFS('VS×ケイパビリティ関係'!$F$4:$F$494,$B31,'VS×ケイパビリティ関係'!$G$4:$G$494,V$5,'VS×ケイパビリティ関係'!$E$4:$E$494,"支援")&gt;0,"○",""))</f>
        <v/>
      </c>
      <c r="W31" s="98">
        <f>IF(COUNTIFS('VS×ケイパビリティ関係'!$F$4:$F$494,$B31,'VS×ケイパビリティ関係'!$G$4:$G$494,W$5,'VS×ケイパビリティ関係'!$E$4:$E$494,"主")&gt;0,"●",IF(COUNTIFS('VS×ケイパビリティ関係'!$F$4:$F$494,$B31,'VS×ケイパビリティ関係'!$G$4:$G$494,W$5,'VS×ケイパビリティ関係'!$E$4:$E$494,"支援")&gt;0,"○",""))</f>
        <v/>
      </c>
      <c r="X31" s="98">
        <f>IF(COUNTIFS('VS×ケイパビリティ関係'!$F$4:$F$494,$B31,'VS×ケイパビリティ関係'!$G$4:$G$494,X$5,'VS×ケイパビリティ関係'!$E$4:$E$494,"主")&gt;0,"●",IF(COUNTIFS('VS×ケイパビリティ関係'!$F$4:$F$494,$B31,'VS×ケイパビリティ関係'!$G$4:$G$494,X$5,'VS×ケイパビリティ関係'!$E$4:$E$494,"支援")&gt;0,"○",""))</f>
        <v/>
      </c>
      <c r="Y31" s="98">
        <f>IF(COUNTIFS('VS×ケイパビリティ関係'!$F$4:$F$494,$B31,'VS×ケイパビリティ関係'!$G$4:$G$494,Y$5,'VS×ケイパビリティ関係'!$E$4:$E$494,"主")&gt;0,"●",IF(COUNTIFS('VS×ケイパビリティ関係'!$F$4:$F$494,$B31,'VS×ケイパビリティ関係'!$G$4:$G$494,Y$5,'VS×ケイパビリティ関係'!$E$4:$E$494,"支援")&gt;0,"○",""))</f>
        <v/>
      </c>
      <c r="Z31" s="98">
        <f>IF(COUNTIFS('VS×ケイパビリティ関係'!$F$4:$F$494,$B31,'VS×ケイパビリティ関係'!$G$4:$G$494,Z$5,'VS×ケイパビリティ関係'!$E$4:$E$494,"主")&gt;0,"●",IF(COUNTIFS('VS×ケイパビリティ関係'!$F$4:$F$494,$B31,'VS×ケイパビリティ関係'!$G$4:$G$494,Z$5,'VS×ケイパビリティ関係'!$E$4:$E$494,"支援")&gt;0,"○",""))</f>
        <v/>
      </c>
      <c r="AA31" s="98">
        <f>IF(COUNTIFS('VS×ケイパビリティ関係'!$F$4:$F$494,$B31,'VS×ケイパビリティ関係'!$G$4:$G$494,AA$5,'VS×ケイパビリティ関係'!$E$4:$E$494,"主")&gt;0,"●",IF(COUNTIFS('VS×ケイパビリティ関係'!$F$4:$F$494,$B31,'VS×ケイパビリティ関係'!$G$4:$G$494,AA$5,'VS×ケイパビリティ関係'!$E$4:$E$494,"支援")&gt;0,"○",""))</f>
        <v/>
      </c>
      <c r="AB31" s="98">
        <f>IF(COUNTIFS('VS×ケイパビリティ関係'!$F$4:$F$494,$B31,'VS×ケイパビリティ関係'!$G$4:$G$494,AB$5,'VS×ケイパビリティ関係'!$E$4:$E$494,"主")&gt;0,"●",IF(COUNTIFS('VS×ケイパビリティ関係'!$F$4:$F$494,$B31,'VS×ケイパビリティ関係'!$G$4:$G$494,AB$5,'VS×ケイパビリティ関係'!$E$4:$E$494,"支援")&gt;0,"○",""))</f>
        <v/>
      </c>
      <c r="AC31" s="98">
        <f>IF(COUNTIFS('VS×ケイパビリティ関係'!$F$4:$F$494,$B31,'VS×ケイパビリティ関係'!$G$4:$G$494,AC$5,'VS×ケイパビリティ関係'!$E$4:$E$494,"主")&gt;0,"●",IF(COUNTIFS('VS×ケイパビリティ関係'!$F$4:$F$494,$B31,'VS×ケイパビリティ関係'!$G$4:$G$494,AC$5,'VS×ケイパビリティ関係'!$E$4:$E$494,"支援")&gt;0,"○",""))</f>
        <v/>
      </c>
      <c r="AD31" s="98">
        <f>IF(COUNTIFS('VS×ケイパビリティ関係'!$F$4:$F$494,$B31,'VS×ケイパビリティ関係'!$G$4:$G$494,AD$5,'VS×ケイパビリティ関係'!$E$4:$E$494,"主")&gt;0,"●",IF(COUNTIFS('VS×ケイパビリティ関係'!$F$4:$F$494,$B31,'VS×ケイパビリティ関係'!$G$4:$G$494,AD$5,'VS×ケイパビリティ関係'!$E$4:$E$494,"支援")&gt;0,"○",""))</f>
        <v/>
      </c>
      <c r="AE31" s="98">
        <f>IF(COUNTIFS('VS×ケイパビリティ関係'!$F$4:$F$494,$B31,'VS×ケイパビリティ関係'!$G$4:$G$494,AE$5,'VS×ケイパビリティ関係'!$E$4:$E$494,"主")&gt;0,"●",IF(COUNTIFS('VS×ケイパビリティ関係'!$F$4:$F$494,$B31,'VS×ケイパビリティ関係'!$G$4:$G$494,AE$5,'VS×ケイパビリティ関係'!$E$4:$E$494,"支援")&gt;0,"○",""))</f>
        <v/>
      </c>
      <c r="AF31" s="98">
        <f>IF(COUNTIFS('VS×ケイパビリティ関係'!$F$4:$F$494,$B31,'VS×ケイパビリティ関係'!$G$4:$G$494,AF$5,'VS×ケイパビリティ関係'!$E$4:$E$494,"主")&gt;0,"●",IF(COUNTIFS('VS×ケイパビリティ関係'!$F$4:$F$494,$B31,'VS×ケイパビリティ関係'!$G$4:$G$494,AF$5,'VS×ケイパビリティ関係'!$E$4:$E$494,"支援")&gt;0,"○",""))</f>
        <v/>
      </c>
      <c r="AG31" s="98">
        <f>IF(COUNTIFS('VS×ケイパビリティ関係'!$F$4:$F$494,$B31,'VS×ケイパビリティ関係'!$G$4:$G$494,AG$5,'VS×ケイパビリティ関係'!$E$4:$E$494,"主")&gt;0,"●",IF(COUNTIFS('VS×ケイパビリティ関係'!$F$4:$F$494,$B31,'VS×ケイパビリティ関係'!$G$4:$G$494,AG$5,'VS×ケイパビリティ関係'!$E$4:$E$494,"支援")&gt;0,"○",""))</f>
        <v/>
      </c>
      <c r="AH31" s="98">
        <f>IF(COUNTIFS('VS×ケイパビリティ関係'!$F$4:$F$494,$B31,'VS×ケイパビリティ関係'!$G$4:$G$494,AH$5,'VS×ケイパビリティ関係'!$E$4:$E$494,"主")&gt;0,"●",IF(COUNTIFS('VS×ケイパビリティ関係'!$F$4:$F$494,$B31,'VS×ケイパビリティ関係'!$G$4:$G$494,AH$5,'VS×ケイパビリティ関係'!$E$4:$E$494,"支援")&gt;0,"○",""))</f>
        <v/>
      </c>
      <c r="AI31" s="98">
        <f>IF(COUNTIFS('VS×ケイパビリティ関係'!$F$4:$F$494,$B31,'VS×ケイパビリティ関係'!$G$4:$G$494,AI$5,'VS×ケイパビリティ関係'!$E$4:$E$494,"主")&gt;0,"●",IF(COUNTIFS('VS×ケイパビリティ関係'!$F$4:$F$494,$B31,'VS×ケイパビリティ関係'!$G$4:$G$494,AI$5,'VS×ケイパビリティ関係'!$E$4:$E$494,"支援")&gt;0,"○",""))</f>
        <v/>
      </c>
      <c r="AJ31" s="98">
        <f>IF(COUNTIFS('VS×ケイパビリティ関係'!$F$4:$F$494,$B31,'VS×ケイパビリティ関係'!$G$4:$G$494,AJ$5,'VS×ケイパビリティ関係'!$E$4:$E$494,"主")&gt;0,"●",IF(COUNTIFS('VS×ケイパビリティ関係'!$F$4:$F$494,$B31,'VS×ケイパビリティ関係'!$G$4:$G$494,AJ$5,'VS×ケイパビリティ関係'!$E$4:$E$494,"支援")&gt;0,"○",""))</f>
        <v/>
      </c>
      <c r="AK31" s="98">
        <f>IF(COUNTIFS('VS×ケイパビリティ関係'!$F$4:$F$494,$B31,'VS×ケイパビリティ関係'!$G$4:$G$494,AK$5,'VS×ケイパビリティ関係'!$E$4:$E$494,"主")&gt;0,"●",IF(COUNTIFS('VS×ケイパビリティ関係'!$F$4:$F$494,$B31,'VS×ケイパビリティ関係'!$G$4:$G$494,AK$5,'VS×ケイパビリティ関係'!$E$4:$E$494,"支援")&gt;0,"○",""))</f>
        <v/>
      </c>
      <c r="AL31" s="98">
        <f>IF(COUNTIFS('VS×ケイパビリティ関係'!$F$4:$F$494,$B31,'VS×ケイパビリティ関係'!$G$4:$G$494,AL$5,'VS×ケイパビリティ関係'!$E$4:$E$494,"主")&gt;0,"●",IF(COUNTIFS('VS×ケイパビリティ関係'!$F$4:$F$494,$B31,'VS×ケイパビリティ関係'!$G$4:$G$494,AL$5,'VS×ケイパビリティ関係'!$E$4:$E$494,"支援")&gt;0,"○",""))</f>
        <v/>
      </c>
      <c r="AM31" s="98">
        <f>IF(COUNTIFS('VS×ケイパビリティ関係'!$F$4:$F$494,$B31,'VS×ケイパビリティ関係'!$G$4:$G$494,AM$5,'VS×ケイパビリティ関係'!$E$4:$E$494,"主")&gt;0,"●",IF(COUNTIFS('VS×ケイパビリティ関係'!$F$4:$F$494,$B31,'VS×ケイパビリティ関係'!$G$4:$G$494,AM$5,'VS×ケイパビリティ関係'!$E$4:$E$494,"支援")&gt;0,"○",""))</f>
        <v/>
      </c>
      <c r="AN31" s="98">
        <f>IF(COUNTIFS('VS×ケイパビリティ関係'!$F$4:$F$494,$B31,'VS×ケイパビリティ関係'!$G$4:$G$494,AN$5,'VS×ケイパビリティ関係'!$E$4:$E$494,"主")&gt;0,"●",IF(COUNTIFS('VS×ケイパビリティ関係'!$F$4:$F$494,$B31,'VS×ケイパビリティ関係'!$G$4:$G$494,AN$5,'VS×ケイパビリティ関係'!$E$4:$E$494,"支援")&gt;0,"○",""))</f>
        <v/>
      </c>
      <c r="AO31" s="98">
        <f>IF(COUNTIFS('VS×ケイパビリティ関係'!$F$4:$F$494,$B31,'VS×ケイパビリティ関係'!$G$4:$G$494,AO$5,'VS×ケイパビリティ関係'!$E$4:$E$494,"主")&gt;0,"●",IF(COUNTIFS('VS×ケイパビリティ関係'!$F$4:$F$494,$B31,'VS×ケイパビリティ関係'!$G$4:$G$494,AO$5,'VS×ケイパビリティ関係'!$E$4:$E$494,"支援")&gt;0,"○",""))</f>
        <v/>
      </c>
      <c r="AP31" s="98">
        <f>IF(COUNTIFS('VS×ケイパビリティ関係'!$F$4:$F$494,$B31,'VS×ケイパビリティ関係'!$G$4:$G$494,AP$5,'VS×ケイパビリティ関係'!$E$4:$E$494,"主")&gt;0,"●",IF(COUNTIFS('VS×ケイパビリティ関係'!$F$4:$F$494,$B31,'VS×ケイパビリティ関係'!$G$4:$G$494,AP$5,'VS×ケイパビリティ関係'!$E$4:$E$494,"支援")&gt;0,"○",""))</f>
        <v/>
      </c>
      <c r="AQ31" s="98">
        <f>IF(COUNTIFS('VS×ケイパビリティ関係'!$F$4:$F$494,$B31,'VS×ケイパビリティ関係'!$G$4:$G$494,AQ$5,'VS×ケイパビリティ関係'!$E$4:$E$494,"主")&gt;0,"●",IF(COUNTIFS('VS×ケイパビリティ関係'!$F$4:$F$494,$B31,'VS×ケイパビリティ関係'!$G$4:$G$494,AQ$5,'VS×ケイパビリティ関係'!$E$4:$E$494,"支援")&gt;0,"○",""))</f>
        <v/>
      </c>
      <c r="AR31" s="98">
        <f>IF(COUNTIFS('VS×ケイパビリティ関係'!$F$4:$F$494,$B31,'VS×ケイパビリティ関係'!$G$4:$G$494,AR$5,'VS×ケイパビリティ関係'!$E$4:$E$494,"主")&gt;0,"●",IF(COUNTIFS('VS×ケイパビリティ関係'!$F$4:$F$494,$B31,'VS×ケイパビリティ関係'!$G$4:$G$494,AR$5,'VS×ケイパビリティ関係'!$E$4:$E$494,"支援")&gt;0,"○",""))</f>
        <v/>
      </c>
      <c r="AS31" s="98">
        <f>IF(COUNTIFS('VS×ケイパビリティ関係'!$F$4:$F$494,$B31,'VS×ケイパビリティ関係'!$G$4:$G$494,AS$5,'VS×ケイパビリティ関係'!$E$4:$E$494,"主")&gt;0,"●",IF(COUNTIFS('VS×ケイパビリティ関係'!$F$4:$F$494,$B31,'VS×ケイパビリティ関係'!$G$4:$G$494,AS$5,'VS×ケイパビリティ関係'!$E$4:$E$494,"支援")&gt;0,"○",""))</f>
        <v/>
      </c>
      <c r="AT31" s="98">
        <f>IF(COUNTIFS('VS×ケイパビリティ関係'!$F$4:$F$494,$B31,'VS×ケイパビリティ関係'!$G$4:$G$494,AT$5,'VS×ケイパビリティ関係'!$E$4:$E$494,"主")&gt;0,"●",IF(COUNTIFS('VS×ケイパビリティ関係'!$F$4:$F$494,$B31,'VS×ケイパビリティ関係'!$G$4:$G$494,AT$5,'VS×ケイパビリティ関係'!$E$4:$E$494,"支援")&gt;0,"○",""))</f>
        <v/>
      </c>
      <c r="AU31" s="98">
        <f>IF(COUNTIFS('VS×ケイパビリティ関係'!$F$4:$F$494,$B31,'VS×ケイパビリティ関係'!$G$4:$G$494,AU$5,'VS×ケイパビリティ関係'!$E$4:$E$494,"主")&gt;0,"●",IF(COUNTIFS('VS×ケイパビリティ関係'!$F$4:$F$494,$B31,'VS×ケイパビリティ関係'!$G$4:$G$494,AU$5,'VS×ケイパビリティ関係'!$E$4:$E$494,"支援")&gt;0,"○",""))</f>
        <v/>
      </c>
      <c r="AV31" s="98">
        <f>IF(COUNTIFS('VS×ケイパビリティ関係'!$F$4:$F$494,$B31,'VS×ケイパビリティ関係'!$G$4:$G$494,AV$5,'VS×ケイパビリティ関係'!$E$4:$E$494,"主")&gt;0,"●",IF(COUNTIFS('VS×ケイパビリティ関係'!$F$4:$F$494,$B31,'VS×ケイパビリティ関係'!$G$4:$G$494,AV$5,'VS×ケイパビリティ関係'!$E$4:$E$494,"支援")&gt;0,"○",""))</f>
        <v/>
      </c>
      <c r="AW31" s="98">
        <f>IF(COUNTIFS('VS×ケイパビリティ関係'!$F$4:$F$494,$B31,'VS×ケイパビリティ関係'!$G$4:$G$494,AW$5,'VS×ケイパビリティ関係'!$E$4:$E$494,"主")&gt;0,"●",IF(COUNTIFS('VS×ケイパビリティ関係'!$F$4:$F$494,$B31,'VS×ケイパビリティ関係'!$G$4:$G$494,AW$5,'VS×ケイパビリティ関係'!$E$4:$E$494,"支援")&gt;0,"○",""))</f>
        <v/>
      </c>
      <c r="AX31" s="98">
        <f>IF(COUNTIFS('VS×ケイパビリティ関係'!$F$4:$F$494,$B31,'VS×ケイパビリティ関係'!$G$4:$G$494,AX$5,'VS×ケイパビリティ関係'!$E$4:$E$494,"主")&gt;0,"●",IF(COUNTIFS('VS×ケイパビリティ関係'!$F$4:$F$494,$B31,'VS×ケイパビリティ関係'!$G$4:$G$494,AX$5,'VS×ケイパビリティ関係'!$E$4:$E$494,"支援")&gt;0,"○",""))</f>
        <v/>
      </c>
      <c r="AY31" s="98">
        <f>IF(COUNTIFS('VS×ケイパビリティ関係'!$F$4:$F$494,$B31,'VS×ケイパビリティ関係'!$G$4:$G$494,AY$5,'VS×ケイパビリティ関係'!$E$4:$E$494,"主")&gt;0,"●",IF(COUNTIFS('VS×ケイパビリティ関係'!$F$4:$F$494,$B31,'VS×ケイパビリティ関係'!$G$4:$G$494,AY$5,'VS×ケイパビリティ関係'!$E$4:$E$494,"支援")&gt;0,"○",""))</f>
        <v/>
      </c>
      <c r="AZ31" s="98">
        <f>IF(COUNTIFS('VS×ケイパビリティ関係'!$F$4:$F$494,$B31,'VS×ケイパビリティ関係'!$G$4:$G$494,AZ$5,'VS×ケイパビリティ関係'!$E$4:$E$494,"主")&gt;0,"●",IF(COUNTIFS('VS×ケイパビリティ関係'!$F$4:$F$494,$B31,'VS×ケイパビリティ関係'!$G$4:$G$494,AZ$5,'VS×ケイパビリティ関係'!$E$4:$E$494,"支援")&gt;0,"○",""))</f>
        <v/>
      </c>
      <c r="BA31" s="98">
        <f>IF(COUNTIFS('VS×ケイパビリティ関係'!$F$4:$F$494,$B31,'VS×ケイパビリティ関係'!$G$4:$G$494,BA$5,'VS×ケイパビリティ関係'!$E$4:$E$494,"主")&gt;0,"●",IF(COUNTIFS('VS×ケイパビリティ関係'!$F$4:$F$494,$B31,'VS×ケイパビリティ関係'!$G$4:$G$494,BA$5,'VS×ケイパビリティ関係'!$E$4:$E$494,"支援")&gt;0,"○",""))</f>
        <v/>
      </c>
      <c r="BB31" s="98">
        <f>IF(COUNTIFS('VS×ケイパビリティ関係'!$F$4:$F$494,$B31,'VS×ケイパビリティ関係'!$G$4:$G$494,BB$5,'VS×ケイパビリティ関係'!$E$4:$E$494,"主")&gt;0,"●",IF(COUNTIFS('VS×ケイパビリティ関係'!$F$4:$F$494,$B31,'VS×ケイパビリティ関係'!$G$4:$G$494,BB$5,'VS×ケイパビリティ関係'!$E$4:$E$494,"支援")&gt;0,"○",""))</f>
        <v/>
      </c>
      <c r="BC31" s="98">
        <f>IF(COUNTIFS('VS×ケイパビリティ関係'!$F$4:$F$494,$B31,'VS×ケイパビリティ関係'!$G$4:$G$494,BC$5,'VS×ケイパビリティ関係'!$E$4:$E$494,"主")&gt;0,"●",IF(COUNTIFS('VS×ケイパビリティ関係'!$F$4:$F$494,$B31,'VS×ケイパビリティ関係'!$G$4:$G$494,BC$5,'VS×ケイパビリティ関係'!$E$4:$E$494,"支援")&gt;0,"○",""))</f>
        <v/>
      </c>
      <c r="BD31" s="98">
        <f>IF(COUNTIFS('VS×ケイパビリティ関係'!$F$4:$F$494,$B31,'VS×ケイパビリティ関係'!$G$4:$G$494,BD$5,'VS×ケイパビリティ関係'!$E$4:$E$494,"主")&gt;0,"●",IF(COUNTIFS('VS×ケイパビリティ関係'!$F$4:$F$494,$B31,'VS×ケイパビリティ関係'!$G$4:$G$494,BD$5,'VS×ケイパビリティ関係'!$E$4:$E$494,"支援")&gt;0,"○",""))</f>
        <v/>
      </c>
      <c r="BE31" s="98">
        <f>COUNTIF(D31:BD31,"●")</f>
        <v/>
      </c>
      <c r="BF31" s="98">
        <f>COUNTIF(D31:BD31,"○")</f>
        <v/>
      </c>
    </row>
    <row r="32" ht="15" customHeight="1" s="80">
      <c r="A32" s="116" t="inlineStr">
        <is>
          <t>07 上市（1回きり）</t>
        </is>
      </c>
      <c r="B32" s="98" t="inlineStr">
        <is>
          <t>07-01</t>
        </is>
      </c>
      <c r="C32" s="100" t="inlineStr">
        <is>
          <t>価格設定・市場アクセス</t>
        </is>
      </c>
      <c r="D32" s="98">
        <f>IF(COUNTIFS('VS×ケイパビリティ関係'!$F$4:$F$494,$B32,'VS×ケイパビリティ関係'!$G$4:$G$494,D$5,'VS×ケイパビリティ関係'!$E$4:$E$494,"主")&gt;0,"●",IF(COUNTIFS('VS×ケイパビリティ関係'!$F$4:$F$494,$B32,'VS×ケイパビリティ関係'!$G$4:$G$494,D$5,'VS×ケイパビリティ関係'!$E$4:$E$494,"支援")&gt;0,"○",""))</f>
        <v/>
      </c>
      <c r="E32" s="98">
        <f>IF(COUNTIFS('VS×ケイパビリティ関係'!$F$4:$F$494,$B32,'VS×ケイパビリティ関係'!$G$4:$G$494,E$5,'VS×ケイパビリティ関係'!$E$4:$E$494,"主")&gt;0,"●",IF(COUNTIFS('VS×ケイパビリティ関係'!$F$4:$F$494,$B32,'VS×ケイパビリティ関係'!$G$4:$G$494,E$5,'VS×ケイパビリティ関係'!$E$4:$E$494,"支援")&gt;0,"○",""))</f>
        <v/>
      </c>
      <c r="F32" s="98">
        <f>IF(COUNTIFS('VS×ケイパビリティ関係'!$F$4:$F$494,$B32,'VS×ケイパビリティ関係'!$G$4:$G$494,F$5,'VS×ケイパビリティ関係'!$E$4:$E$494,"主")&gt;0,"●",IF(COUNTIFS('VS×ケイパビリティ関係'!$F$4:$F$494,$B32,'VS×ケイパビリティ関係'!$G$4:$G$494,F$5,'VS×ケイパビリティ関係'!$E$4:$E$494,"支援")&gt;0,"○",""))</f>
        <v/>
      </c>
      <c r="G32" s="98">
        <f>IF(COUNTIFS('VS×ケイパビリティ関係'!$F$4:$F$494,$B32,'VS×ケイパビリティ関係'!$G$4:$G$494,G$5,'VS×ケイパビリティ関係'!$E$4:$E$494,"主")&gt;0,"●",IF(COUNTIFS('VS×ケイパビリティ関係'!$F$4:$F$494,$B32,'VS×ケイパビリティ関係'!$G$4:$G$494,G$5,'VS×ケイパビリティ関係'!$E$4:$E$494,"支援")&gt;0,"○",""))</f>
        <v/>
      </c>
      <c r="H32" s="98">
        <f>IF(COUNTIFS('VS×ケイパビリティ関係'!$F$4:$F$494,$B32,'VS×ケイパビリティ関係'!$G$4:$G$494,H$5,'VS×ケイパビリティ関係'!$E$4:$E$494,"主")&gt;0,"●",IF(COUNTIFS('VS×ケイパビリティ関係'!$F$4:$F$494,$B32,'VS×ケイパビリティ関係'!$G$4:$G$494,H$5,'VS×ケイパビリティ関係'!$E$4:$E$494,"支援")&gt;0,"○",""))</f>
        <v/>
      </c>
      <c r="I32" s="98">
        <f>IF(COUNTIFS('VS×ケイパビリティ関係'!$F$4:$F$494,$B32,'VS×ケイパビリティ関係'!$G$4:$G$494,I$5,'VS×ケイパビリティ関係'!$E$4:$E$494,"主")&gt;0,"●",IF(COUNTIFS('VS×ケイパビリティ関係'!$F$4:$F$494,$B32,'VS×ケイパビリティ関係'!$G$4:$G$494,I$5,'VS×ケイパビリティ関係'!$E$4:$E$494,"支援")&gt;0,"○",""))</f>
        <v/>
      </c>
      <c r="J32" s="98">
        <f>IF(COUNTIFS('VS×ケイパビリティ関係'!$F$4:$F$494,$B32,'VS×ケイパビリティ関係'!$G$4:$G$494,J$5,'VS×ケイパビリティ関係'!$E$4:$E$494,"主")&gt;0,"●",IF(COUNTIFS('VS×ケイパビリティ関係'!$F$4:$F$494,$B32,'VS×ケイパビリティ関係'!$G$4:$G$494,J$5,'VS×ケイパビリティ関係'!$E$4:$E$494,"支援")&gt;0,"○",""))</f>
        <v/>
      </c>
      <c r="K32" s="98">
        <f>IF(COUNTIFS('VS×ケイパビリティ関係'!$F$4:$F$494,$B32,'VS×ケイパビリティ関係'!$G$4:$G$494,K$5,'VS×ケイパビリティ関係'!$E$4:$E$494,"主")&gt;0,"●",IF(COUNTIFS('VS×ケイパビリティ関係'!$F$4:$F$494,$B32,'VS×ケイパビリティ関係'!$G$4:$G$494,K$5,'VS×ケイパビリティ関係'!$E$4:$E$494,"支援")&gt;0,"○",""))</f>
        <v/>
      </c>
      <c r="L32" s="98">
        <f>IF(COUNTIFS('VS×ケイパビリティ関係'!$F$4:$F$494,$B32,'VS×ケイパビリティ関係'!$G$4:$G$494,L$5,'VS×ケイパビリティ関係'!$E$4:$E$494,"主")&gt;0,"●",IF(COUNTIFS('VS×ケイパビリティ関係'!$F$4:$F$494,$B32,'VS×ケイパビリティ関係'!$G$4:$G$494,L$5,'VS×ケイパビリティ関係'!$E$4:$E$494,"支援")&gt;0,"○",""))</f>
        <v/>
      </c>
      <c r="M32" s="98">
        <f>IF(COUNTIFS('VS×ケイパビリティ関係'!$F$4:$F$494,$B32,'VS×ケイパビリティ関係'!$G$4:$G$494,M$5,'VS×ケイパビリティ関係'!$E$4:$E$494,"主")&gt;0,"●",IF(COUNTIFS('VS×ケイパビリティ関係'!$F$4:$F$494,$B32,'VS×ケイパビリティ関係'!$G$4:$G$494,M$5,'VS×ケイパビリティ関係'!$E$4:$E$494,"支援")&gt;0,"○",""))</f>
        <v/>
      </c>
      <c r="N32" s="98">
        <f>IF(COUNTIFS('VS×ケイパビリティ関係'!$F$4:$F$494,$B32,'VS×ケイパビリティ関係'!$G$4:$G$494,N$5,'VS×ケイパビリティ関係'!$E$4:$E$494,"主")&gt;0,"●",IF(COUNTIFS('VS×ケイパビリティ関係'!$F$4:$F$494,$B32,'VS×ケイパビリティ関係'!$G$4:$G$494,N$5,'VS×ケイパビリティ関係'!$E$4:$E$494,"支援")&gt;0,"○",""))</f>
        <v/>
      </c>
      <c r="O32" s="98">
        <f>IF(COUNTIFS('VS×ケイパビリティ関係'!$F$4:$F$494,$B32,'VS×ケイパビリティ関係'!$G$4:$G$494,O$5,'VS×ケイパビリティ関係'!$E$4:$E$494,"主")&gt;0,"●",IF(COUNTIFS('VS×ケイパビリティ関係'!$F$4:$F$494,$B32,'VS×ケイパビリティ関係'!$G$4:$G$494,O$5,'VS×ケイパビリティ関係'!$E$4:$E$494,"支援")&gt;0,"○",""))</f>
        <v/>
      </c>
      <c r="P32" s="98">
        <f>IF(COUNTIFS('VS×ケイパビリティ関係'!$F$4:$F$494,$B32,'VS×ケイパビリティ関係'!$G$4:$G$494,P$5,'VS×ケイパビリティ関係'!$E$4:$E$494,"主")&gt;0,"●",IF(COUNTIFS('VS×ケイパビリティ関係'!$F$4:$F$494,$B32,'VS×ケイパビリティ関係'!$G$4:$G$494,P$5,'VS×ケイパビリティ関係'!$E$4:$E$494,"支援")&gt;0,"○",""))</f>
        <v/>
      </c>
      <c r="Q32" s="98">
        <f>IF(COUNTIFS('VS×ケイパビリティ関係'!$F$4:$F$494,$B32,'VS×ケイパビリティ関係'!$G$4:$G$494,Q$5,'VS×ケイパビリティ関係'!$E$4:$E$494,"主")&gt;0,"●",IF(COUNTIFS('VS×ケイパビリティ関係'!$F$4:$F$494,$B32,'VS×ケイパビリティ関係'!$G$4:$G$494,Q$5,'VS×ケイパビリティ関係'!$E$4:$E$494,"支援")&gt;0,"○",""))</f>
        <v/>
      </c>
      <c r="R32" s="98">
        <f>IF(COUNTIFS('VS×ケイパビリティ関係'!$F$4:$F$494,$B32,'VS×ケイパビリティ関係'!$G$4:$G$494,R$5,'VS×ケイパビリティ関係'!$E$4:$E$494,"主")&gt;0,"●",IF(COUNTIFS('VS×ケイパビリティ関係'!$F$4:$F$494,$B32,'VS×ケイパビリティ関係'!$G$4:$G$494,R$5,'VS×ケイパビリティ関係'!$E$4:$E$494,"支援")&gt;0,"○",""))</f>
        <v/>
      </c>
      <c r="S32" s="98">
        <f>IF(COUNTIFS('VS×ケイパビリティ関係'!$F$4:$F$494,$B32,'VS×ケイパビリティ関係'!$G$4:$G$494,S$5,'VS×ケイパビリティ関係'!$E$4:$E$494,"主")&gt;0,"●",IF(COUNTIFS('VS×ケイパビリティ関係'!$F$4:$F$494,$B32,'VS×ケイパビリティ関係'!$G$4:$G$494,S$5,'VS×ケイパビリティ関係'!$E$4:$E$494,"支援")&gt;0,"○",""))</f>
        <v/>
      </c>
      <c r="T32" s="98">
        <f>IF(COUNTIFS('VS×ケイパビリティ関係'!$F$4:$F$494,$B32,'VS×ケイパビリティ関係'!$G$4:$G$494,T$5,'VS×ケイパビリティ関係'!$E$4:$E$494,"主")&gt;0,"●",IF(COUNTIFS('VS×ケイパビリティ関係'!$F$4:$F$494,$B32,'VS×ケイパビリティ関係'!$G$4:$G$494,T$5,'VS×ケイパビリティ関係'!$E$4:$E$494,"支援")&gt;0,"○",""))</f>
        <v/>
      </c>
      <c r="U32" s="98">
        <f>IF(COUNTIFS('VS×ケイパビリティ関係'!$F$4:$F$494,$B32,'VS×ケイパビリティ関係'!$G$4:$G$494,U$5,'VS×ケイパビリティ関係'!$E$4:$E$494,"主")&gt;0,"●",IF(COUNTIFS('VS×ケイパビリティ関係'!$F$4:$F$494,$B32,'VS×ケイパビリティ関係'!$G$4:$G$494,U$5,'VS×ケイパビリティ関係'!$E$4:$E$494,"支援")&gt;0,"○",""))</f>
        <v/>
      </c>
      <c r="V32" s="98">
        <f>IF(COUNTIFS('VS×ケイパビリティ関係'!$F$4:$F$494,$B32,'VS×ケイパビリティ関係'!$G$4:$G$494,V$5,'VS×ケイパビリティ関係'!$E$4:$E$494,"主")&gt;0,"●",IF(COUNTIFS('VS×ケイパビリティ関係'!$F$4:$F$494,$B32,'VS×ケイパビリティ関係'!$G$4:$G$494,V$5,'VS×ケイパビリティ関係'!$E$4:$E$494,"支援")&gt;0,"○",""))</f>
        <v/>
      </c>
      <c r="W32" s="98">
        <f>IF(COUNTIFS('VS×ケイパビリティ関係'!$F$4:$F$494,$B32,'VS×ケイパビリティ関係'!$G$4:$G$494,W$5,'VS×ケイパビリティ関係'!$E$4:$E$494,"主")&gt;0,"●",IF(COUNTIFS('VS×ケイパビリティ関係'!$F$4:$F$494,$B32,'VS×ケイパビリティ関係'!$G$4:$G$494,W$5,'VS×ケイパビリティ関係'!$E$4:$E$494,"支援")&gt;0,"○",""))</f>
        <v/>
      </c>
      <c r="X32" s="98">
        <f>IF(COUNTIFS('VS×ケイパビリティ関係'!$F$4:$F$494,$B32,'VS×ケイパビリティ関係'!$G$4:$G$494,X$5,'VS×ケイパビリティ関係'!$E$4:$E$494,"主")&gt;0,"●",IF(COUNTIFS('VS×ケイパビリティ関係'!$F$4:$F$494,$B32,'VS×ケイパビリティ関係'!$G$4:$G$494,X$5,'VS×ケイパビリティ関係'!$E$4:$E$494,"支援")&gt;0,"○",""))</f>
        <v/>
      </c>
      <c r="Y32" s="98">
        <f>IF(COUNTIFS('VS×ケイパビリティ関係'!$F$4:$F$494,$B32,'VS×ケイパビリティ関係'!$G$4:$G$494,Y$5,'VS×ケイパビリティ関係'!$E$4:$E$494,"主")&gt;0,"●",IF(COUNTIFS('VS×ケイパビリティ関係'!$F$4:$F$494,$B32,'VS×ケイパビリティ関係'!$G$4:$G$494,Y$5,'VS×ケイパビリティ関係'!$E$4:$E$494,"支援")&gt;0,"○",""))</f>
        <v/>
      </c>
      <c r="Z32" s="98">
        <f>IF(COUNTIFS('VS×ケイパビリティ関係'!$F$4:$F$494,$B32,'VS×ケイパビリティ関係'!$G$4:$G$494,Z$5,'VS×ケイパビリティ関係'!$E$4:$E$494,"主")&gt;0,"●",IF(COUNTIFS('VS×ケイパビリティ関係'!$F$4:$F$494,$B32,'VS×ケイパビリティ関係'!$G$4:$G$494,Z$5,'VS×ケイパビリティ関係'!$E$4:$E$494,"支援")&gt;0,"○",""))</f>
        <v/>
      </c>
      <c r="AA32" s="98">
        <f>IF(COUNTIFS('VS×ケイパビリティ関係'!$F$4:$F$494,$B32,'VS×ケイパビリティ関係'!$G$4:$G$494,AA$5,'VS×ケイパビリティ関係'!$E$4:$E$494,"主")&gt;0,"●",IF(COUNTIFS('VS×ケイパビリティ関係'!$F$4:$F$494,$B32,'VS×ケイパビリティ関係'!$G$4:$G$494,AA$5,'VS×ケイパビリティ関係'!$E$4:$E$494,"支援")&gt;0,"○",""))</f>
        <v/>
      </c>
      <c r="AB32" s="98">
        <f>IF(COUNTIFS('VS×ケイパビリティ関係'!$F$4:$F$494,$B32,'VS×ケイパビリティ関係'!$G$4:$G$494,AB$5,'VS×ケイパビリティ関係'!$E$4:$E$494,"主")&gt;0,"●",IF(COUNTIFS('VS×ケイパビリティ関係'!$F$4:$F$494,$B32,'VS×ケイパビリティ関係'!$G$4:$G$494,AB$5,'VS×ケイパビリティ関係'!$E$4:$E$494,"支援")&gt;0,"○",""))</f>
        <v/>
      </c>
      <c r="AC32" s="98">
        <f>IF(COUNTIFS('VS×ケイパビリティ関係'!$F$4:$F$494,$B32,'VS×ケイパビリティ関係'!$G$4:$G$494,AC$5,'VS×ケイパビリティ関係'!$E$4:$E$494,"主")&gt;0,"●",IF(COUNTIFS('VS×ケイパビリティ関係'!$F$4:$F$494,$B32,'VS×ケイパビリティ関係'!$G$4:$G$494,AC$5,'VS×ケイパビリティ関係'!$E$4:$E$494,"支援")&gt;0,"○",""))</f>
        <v/>
      </c>
      <c r="AD32" s="98">
        <f>IF(COUNTIFS('VS×ケイパビリティ関係'!$F$4:$F$494,$B32,'VS×ケイパビリティ関係'!$G$4:$G$494,AD$5,'VS×ケイパビリティ関係'!$E$4:$E$494,"主")&gt;0,"●",IF(COUNTIFS('VS×ケイパビリティ関係'!$F$4:$F$494,$B32,'VS×ケイパビリティ関係'!$G$4:$G$494,AD$5,'VS×ケイパビリティ関係'!$E$4:$E$494,"支援")&gt;0,"○",""))</f>
        <v/>
      </c>
      <c r="AE32" s="98">
        <f>IF(COUNTIFS('VS×ケイパビリティ関係'!$F$4:$F$494,$B32,'VS×ケイパビリティ関係'!$G$4:$G$494,AE$5,'VS×ケイパビリティ関係'!$E$4:$E$494,"主")&gt;0,"●",IF(COUNTIFS('VS×ケイパビリティ関係'!$F$4:$F$494,$B32,'VS×ケイパビリティ関係'!$G$4:$G$494,AE$5,'VS×ケイパビリティ関係'!$E$4:$E$494,"支援")&gt;0,"○",""))</f>
        <v/>
      </c>
      <c r="AF32" s="98">
        <f>IF(COUNTIFS('VS×ケイパビリティ関係'!$F$4:$F$494,$B32,'VS×ケイパビリティ関係'!$G$4:$G$494,AF$5,'VS×ケイパビリティ関係'!$E$4:$E$494,"主")&gt;0,"●",IF(COUNTIFS('VS×ケイパビリティ関係'!$F$4:$F$494,$B32,'VS×ケイパビリティ関係'!$G$4:$G$494,AF$5,'VS×ケイパビリティ関係'!$E$4:$E$494,"支援")&gt;0,"○",""))</f>
        <v/>
      </c>
      <c r="AG32" s="98">
        <f>IF(COUNTIFS('VS×ケイパビリティ関係'!$F$4:$F$494,$B32,'VS×ケイパビリティ関係'!$G$4:$G$494,AG$5,'VS×ケイパビリティ関係'!$E$4:$E$494,"主")&gt;0,"●",IF(COUNTIFS('VS×ケイパビリティ関係'!$F$4:$F$494,$B32,'VS×ケイパビリティ関係'!$G$4:$G$494,AG$5,'VS×ケイパビリティ関係'!$E$4:$E$494,"支援")&gt;0,"○",""))</f>
        <v/>
      </c>
      <c r="AH32" s="98">
        <f>IF(COUNTIFS('VS×ケイパビリティ関係'!$F$4:$F$494,$B32,'VS×ケイパビリティ関係'!$G$4:$G$494,AH$5,'VS×ケイパビリティ関係'!$E$4:$E$494,"主")&gt;0,"●",IF(COUNTIFS('VS×ケイパビリティ関係'!$F$4:$F$494,$B32,'VS×ケイパビリティ関係'!$G$4:$G$494,AH$5,'VS×ケイパビリティ関係'!$E$4:$E$494,"支援")&gt;0,"○",""))</f>
        <v/>
      </c>
      <c r="AI32" s="98">
        <f>IF(COUNTIFS('VS×ケイパビリティ関係'!$F$4:$F$494,$B32,'VS×ケイパビリティ関係'!$G$4:$G$494,AI$5,'VS×ケイパビリティ関係'!$E$4:$E$494,"主")&gt;0,"●",IF(COUNTIFS('VS×ケイパビリティ関係'!$F$4:$F$494,$B32,'VS×ケイパビリティ関係'!$G$4:$G$494,AI$5,'VS×ケイパビリティ関係'!$E$4:$E$494,"支援")&gt;0,"○",""))</f>
        <v/>
      </c>
      <c r="AJ32" s="98">
        <f>IF(COUNTIFS('VS×ケイパビリティ関係'!$F$4:$F$494,$B32,'VS×ケイパビリティ関係'!$G$4:$G$494,AJ$5,'VS×ケイパビリティ関係'!$E$4:$E$494,"主")&gt;0,"●",IF(COUNTIFS('VS×ケイパビリティ関係'!$F$4:$F$494,$B32,'VS×ケイパビリティ関係'!$G$4:$G$494,AJ$5,'VS×ケイパビリティ関係'!$E$4:$E$494,"支援")&gt;0,"○",""))</f>
        <v/>
      </c>
      <c r="AK32" s="98">
        <f>IF(COUNTIFS('VS×ケイパビリティ関係'!$F$4:$F$494,$B32,'VS×ケイパビリティ関係'!$G$4:$G$494,AK$5,'VS×ケイパビリティ関係'!$E$4:$E$494,"主")&gt;0,"●",IF(COUNTIFS('VS×ケイパビリティ関係'!$F$4:$F$494,$B32,'VS×ケイパビリティ関係'!$G$4:$G$494,AK$5,'VS×ケイパビリティ関係'!$E$4:$E$494,"支援")&gt;0,"○",""))</f>
        <v/>
      </c>
      <c r="AL32" s="98">
        <f>IF(COUNTIFS('VS×ケイパビリティ関係'!$F$4:$F$494,$B32,'VS×ケイパビリティ関係'!$G$4:$G$494,AL$5,'VS×ケイパビリティ関係'!$E$4:$E$494,"主")&gt;0,"●",IF(COUNTIFS('VS×ケイパビリティ関係'!$F$4:$F$494,$B32,'VS×ケイパビリティ関係'!$G$4:$G$494,AL$5,'VS×ケイパビリティ関係'!$E$4:$E$494,"支援")&gt;0,"○",""))</f>
        <v/>
      </c>
      <c r="AM32" s="98">
        <f>IF(COUNTIFS('VS×ケイパビリティ関係'!$F$4:$F$494,$B32,'VS×ケイパビリティ関係'!$G$4:$G$494,AM$5,'VS×ケイパビリティ関係'!$E$4:$E$494,"主")&gt;0,"●",IF(COUNTIFS('VS×ケイパビリティ関係'!$F$4:$F$494,$B32,'VS×ケイパビリティ関係'!$G$4:$G$494,AM$5,'VS×ケイパビリティ関係'!$E$4:$E$494,"支援")&gt;0,"○",""))</f>
        <v/>
      </c>
      <c r="AN32" s="98">
        <f>IF(COUNTIFS('VS×ケイパビリティ関係'!$F$4:$F$494,$B32,'VS×ケイパビリティ関係'!$G$4:$G$494,AN$5,'VS×ケイパビリティ関係'!$E$4:$E$494,"主")&gt;0,"●",IF(COUNTIFS('VS×ケイパビリティ関係'!$F$4:$F$494,$B32,'VS×ケイパビリティ関係'!$G$4:$G$494,AN$5,'VS×ケイパビリティ関係'!$E$4:$E$494,"支援")&gt;0,"○",""))</f>
        <v/>
      </c>
      <c r="AO32" s="98">
        <f>IF(COUNTIFS('VS×ケイパビリティ関係'!$F$4:$F$494,$B32,'VS×ケイパビリティ関係'!$G$4:$G$494,AO$5,'VS×ケイパビリティ関係'!$E$4:$E$494,"主")&gt;0,"●",IF(COUNTIFS('VS×ケイパビリティ関係'!$F$4:$F$494,$B32,'VS×ケイパビリティ関係'!$G$4:$G$494,AO$5,'VS×ケイパビリティ関係'!$E$4:$E$494,"支援")&gt;0,"○",""))</f>
        <v/>
      </c>
      <c r="AP32" s="98">
        <f>IF(COUNTIFS('VS×ケイパビリティ関係'!$F$4:$F$494,$B32,'VS×ケイパビリティ関係'!$G$4:$G$494,AP$5,'VS×ケイパビリティ関係'!$E$4:$E$494,"主")&gt;0,"●",IF(COUNTIFS('VS×ケイパビリティ関係'!$F$4:$F$494,$B32,'VS×ケイパビリティ関係'!$G$4:$G$494,AP$5,'VS×ケイパビリティ関係'!$E$4:$E$494,"支援")&gt;0,"○",""))</f>
        <v/>
      </c>
      <c r="AQ32" s="98">
        <f>IF(COUNTIFS('VS×ケイパビリティ関係'!$F$4:$F$494,$B32,'VS×ケイパビリティ関係'!$G$4:$G$494,AQ$5,'VS×ケイパビリティ関係'!$E$4:$E$494,"主")&gt;0,"●",IF(COUNTIFS('VS×ケイパビリティ関係'!$F$4:$F$494,$B32,'VS×ケイパビリティ関係'!$G$4:$G$494,AQ$5,'VS×ケイパビリティ関係'!$E$4:$E$494,"支援")&gt;0,"○",""))</f>
        <v/>
      </c>
      <c r="AR32" s="98">
        <f>IF(COUNTIFS('VS×ケイパビリティ関係'!$F$4:$F$494,$B32,'VS×ケイパビリティ関係'!$G$4:$G$494,AR$5,'VS×ケイパビリティ関係'!$E$4:$E$494,"主")&gt;0,"●",IF(COUNTIFS('VS×ケイパビリティ関係'!$F$4:$F$494,$B32,'VS×ケイパビリティ関係'!$G$4:$G$494,AR$5,'VS×ケイパビリティ関係'!$E$4:$E$494,"支援")&gt;0,"○",""))</f>
        <v/>
      </c>
      <c r="AS32" s="98">
        <f>IF(COUNTIFS('VS×ケイパビリティ関係'!$F$4:$F$494,$B32,'VS×ケイパビリティ関係'!$G$4:$G$494,AS$5,'VS×ケイパビリティ関係'!$E$4:$E$494,"主")&gt;0,"●",IF(COUNTIFS('VS×ケイパビリティ関係'!$F$4:$F$494,$B32,'VS×ケイパビリティ関係'!$G$4:$G$494,AS$5,'VS×ケイパビリティ関係'!$E$4:$E$494,"支援")&gt;0,"○",""))</f>
        <v/>
      </c>
      <c r="AT32" s="98">
        <f>IF(COUNTIFS('VS×ケイパビリティ関係'!$F$4:$F$494,$B32,'VS×ケイパビリティ関係'!$G$4:$G$494,AT$5,'VS×ケイパビリティ関係'!$E$4:$E$494,"主")&gt;0,"●",IF(COUNTIFS('VS×ケイパビリティ関係'!$F$4:$F$494,$B32,'VS×ケイパビリティ関係'!$G$4:$G$494,AT$5,'VS×ケイパビリティ関係'!$E$4:$E$494,"支援")&gt;0,"○",""))</f>
        <v/>
      </c>
      <c r="AU32" s="98">
        <f>IF(COUNTIFS('VS×ケイパビリティ関係'!$F$4:$F$494,$B32,'VS×ケイパビリティ関係'!$G$4:$G$494,AU$5,'VS×ケイパビリティ関係'!$E$4:$E$494,"主")&gt;0,"●",IF(COUNTIFS('VS×ケイパビリティ関係'!$F$4:$F$494,$B32,'VS×ケイパビリティ関係'!$G$4:$G$494,AU$5,'VS×ケイパビリティ関係'!$E$4:$E$494,"支援")&gt;0,"○",""))</f>
        <v/>
      </c>
      <c r="AV32" s="98">
        <f>IF(COUNTIFS('VS×ケイパビリティ関係'!$F$4:$F$494,$B32,'VS×ケイパビリティ関係'!$G$4:$G$494,AV$5,'VS×ケイパビリティ関係'!$E$4:$E$494,"主")&gt;0,"●",IF(COUNTIFS('VS×ケイパビリティ関係'!$F$4:$F$494,$B32,'VS×ケイパビリティ関係'!$G$4:$G$494,AV$5,'VS×ケイパビリティ関係'!$E$4:$E$494,"支援")&gt;0,"○",""))</f>
        <v/>
      </c>
      <c r="AW32" s="98">
        <f>IF(COUNTIFS('VS×ケイパビリティ関係'!$F$4:$F$494,$B32,'VS×ケイパビリティ関係'!$G$4:$G$494,AW$5,'VS×ケイパビリティ関係'!$E$4:$E$494,"主")&gt;0,"●",IF(COUNTIFS('VS×ケイパビリティ関係'!$F$4:$F$494,$B32,'VS×ケイパビリティ関係'!$G$4:$G$494,AW$5,'VS×ケイパビリティ関係'!$E$4:$E$494,"支援")&gt;0,"○",""))</f>
        <v/>
      </c>
      <c r="AX32" s="98">
        <f>IF(COUNTIFS('VS×ケイパビリティ関係'!$F$4:$F$494,$B32,'VS×ケイパビリティ関係'!$G$4:$G$494,AX$5,'VS×ケイパビリティ関係'!$E$4:$E$494,"主")&gt;0,"●",IF(COUNTIFS('VS×ケイパビリティ関係'!$F$4:$F$494,$B32,'VS×ケイパビリティ関係'!$G$4:$G$494,AX$5,'VS×ケイパビリティ関係'!$E$4:$E$494,"支援")&gt;0,"○",""))</f>
        <v/>
      </c>
      <c r="AY32" s="98">
        <f>IF(COUNTIFS('VS×ケイパビリティ関係'!$F$4:$F$494,$B32,'VS×ケイパビリティ関係'!$G$4:$G$494,AY$5,'VS×ケイパビリティ関係'!$E$4:$E$494,"主")&gt;0,"●",IF(COUNTIFS('VS×ケイパビリティ関係'!$F$4:$F$494,$B32,'VS×ケイパビリティ関係'!$G$4:$G$494,AY$5,'VS×ケイパビリティ関係'!$E$4:$E$494,"支援")&gt;0,"○",""))</f>
        <v/>
      </c>
      <c r="AZ32" s="98">
        <f>IF(COUNTIFS('VS×ケイパビリティ関係'!$F$4:$F$494,$B32,'VS×ケイパビリティ関係'!$G$4:$G$494,AZ$5,'VS×ケイパビリティ関係'!$E$4:$E$494,"主")&gt;0,"●",IF(COUNTIFS('VS×ケイパビリティ関係'!$F$4:$F$494,$B32,'VS×ケイパビリティ関係'!$G$4:$G$494,AZ$5,'VS×ケイパビリティ関係'!$E$4:$E$494,"支援")&gt;0,"○",""))</f>
        <v/>
      </c>
      <c r="BA32" s="98">
        <f>IF(COUNTIFS('VS×ケイパビリティ関係'!$F$4:$F$494,$B32,'VS×ケイパビリティ関係'!$G$4:$G$494,BA$5,'VS×ケイパビリティ関係'!$E$4:$E$494,"主")&gt;0,"●",IF(COUNTIFS('VS×ケイパビリティ関係'!$F$4:$F$494,$B32,'VS×ケイパビリティ関係'!$G$4:$G$494,BA$5,'VS×ケイパビリティ関係'!$E$4:$E$494,"支援")&gt;0,"○",""))</f>
        <v/>
      </c>
      <c r="BB32" s="98">
        <f>IF(COUNTIFS('VS×ケイパビリティ関係'!$F$4:$F$494,$B32,'VS×ケイパビリティ関係'!$G$4:$G$494,BB$5,'VS×ケイパビリティ関係'!$E$4:$E$494,"主")&gt;0,"●",IF(COUNTIFS('VS×ケイパビリティ関係'!$F$4:$F$494,$B32,'VS×ケイパビリティ関係'!$G$4:$G$494,BB$5,'VS×ケイパビリティ関係'!$E$4:$E$494,"支援")&gt;0,"○",""))</f>
        <v/>
      </c>
      <c r="BC32" s="98">
        <f>IF(COUNTIFS('VS×ケイパビリティ関係'!$F$4:$F$494,$B32,'VS×ケイパビリティ関係'!$G$4:$G$494,BC$5,'VS×ケイパビリティ関係'!$E$4:$E$494,"主")&gt;0,"●",IF(COUNTIFS('VS×ケイパビリティ関係'!$F$4:$F$494,$B32,'VS×ケイパビリティ関係'!$G$4:$G$494,BC$5,'VS×ケイパビリティ関係'!$E$4:$E$494,"支援")&gt;0,"○",""))</f>
        <v/>
      </c>
      <c r="BD32" s="98">
        <f>IF(COUNTIFS('VS×ケイパビリティ関係'!$F$4:$F$494,$B32,'VS×ケイパビリティ関係'!$G$4:$G$494,BD$5,'VS×ケイパビリティ関係'!$E$4:$E$494,"主")&gt;0,"●",IF(COUNTIFS('VS×ケイパビリティ関係'!$F$4:$F$494,$B32,'VS×ケイパビリティ関係'!$G$4:$G$494,BD$5,'VS×ケイパビリティ関係'!$E$4:$E$494,"支援")&gt;0,"○",""))</f>
        <v/>
      </c>
      <c r="BE32" s="98">
        <f>COUNTIF(D32:BD32,"●")</f>
        <v/>
      </c>
      <c r="BF32" s="98">
        <f>COUNTIF(D32:BD32,"○")</f>
        <v/>
      </c>
    </row>
    <row r="33" ht="15" customHeight="1" s="80">
      <c r="A33" s="116" t="n"/>
      <c r="B33" s="98" t="inlineStr">
        <is>
          <t>07-02</t>
        </is>
      </c>
      <c r="C33" s="100" t="inlineStr">
        <is>
          <t>上市準備</t>
        </is>
      </c>
      <c r="D33" s="98">
        <f>IF(COUNTIFS('VS×ケイパビリティ関係'!$F$4:$F$494,$B33,'VS×ケイパビリティ関係'!$G$4:$G$494,D$5,'VS×ケイパビリティ関係'!$E$4:$E$494,"主")&gt;0,"●",IF(COUNTIFS('VS×ケイパビリティ関係'!$F$4:$F$494,$B33,'VS×ケイパビリティ関係'!$G$4:$G$494,D$5,'VS×ケイパビリティ関係'!$E$4:$E$494,"支援")&gt;0,"○",""))</f>
        <v/>
      </c>
      <c r="E33" s="98">
        <f>IF(COUNTIFS('VS×ケイパビリティ関係'!$F$4:$F$494,$B33,'VS×ケイパビリティ関係'!$G$4:$G$494,E$5,'VS×ケイパビリティ関係'!$E$4:$E$494,"主")&gt;0,"●",IF(COUNTIFS('VS×ケイパビリティ関係'!$F$4:$F$494,$B33,'VS×ケイパビリティ関係'!$G$4:$G$494,E$5,'VS×ケイパビリティ関係'!$E$4:$E$494,"支援")&gt;0,"○",""))</f>
        <v/>
      </c>
      <c r="F33" s="98">
        <f>IF(COUNTIFS('VS×ケイパビリティ関係'!$F$4:$F$494,$B33,'VS×ケイパビリティ関係'!$G$4:$G$494,F$5,'VS×ケイパビリティ関係'!$E$4:$E$494,"主")&gt;0,"●",IF(COUNTIFS('VS×ケイパビリティ関係'!$F$4:$F$494,$B33,'VS×ケイパビリティ関係'!$G$4:$G$494,F$5,'VS×ケイパビリティ関係'!$E$4:$E$494,"支援")&gt;0,"○",""))</f>
        <v/>
      </c>
      <c r="G33" s="98">
        <f>IF(COUNTIFS('VS×ケイパビリティ関係'!$F$4:$F$494,$B33,'VS×ケイパビリティ関係'!$G$4:$G$494,G$5,'VS×ケイパビリティ関係'!$E$4:$E$494,"主")&gt;0,"●",IF(COUNTIFS('VS×ケイパビリティ関係'!$F$4:$F$494,$B33,'VS×ケイパビリティ関係'!$G$4:$G$494,G$5,'VS×ケイパビリティ関係'!$E$4:$E$494,"支援")&gt;0,"○",""))</f>
        <v/>
      </c>
      <c r="H33" s="98">
        <f>IF(COUNTIFS('VS×ケイパビリティ関係'!$F$4:$F$494,$B33,'VS×ケイパビリティ関係'!$G$4:$G$494,H$5,'VS×ケイパビリティ関係'!$E$4:$E$494,"主")&gt;0,"●",IF(COUNTIFS('VS×ケイパビリティ関係'!$F$4:$F$494,$B33,'VS×ケイパビリティ関係'!$G$4:$G$494,H$5,'VS×ケイパビリティ関係'!$E$4:$E$494,"支援")&gt;0,"○",""))</f>
        <v/>
      </c>
      <c r="I33" s="98">
        <f>IF(COUNTIFS('VS×ケイパビリティ関係'!$F$4:$F$494,$B33,'VS×ケイパビリティ関係'!$G$4:$G$494,I$5,'VS×ケイパビリティ関係'!$E$4:$E$494,"主")&gt;0,"●",IF(COUNTIFS('VS×ケイパビリティ関係'!$F$4:$F$494,$B33,'VS×ケイパビリティ関係'!$G$4:$G$494,I$5,'VS×ケイパビリティ関係'!$E$4:$E$494,"支援")&gt;0,"○",""))</f>
        <v/>
      </c>
      <c r="J33" s="98">
        <f>IF(COUNTIFS('VS×ケイパビリティ関係'!$F$4:$F$494,$B33,'VS×ケイパビリティ関係'!$G$4:$G$494,J$5,'VS×ケイパビリティ関係'!$E$4:$E$494,"主")&gt;0,"●",IF(COUNTIFS('VS×ケイパビリティ関係'!$F$4:$F$494,$B33,'VS×ケイパビリティ関係'!$G$4:$G$494,J$5,'VS×ケイパビリティ関係'!$E$4:$E$494,"支援")&gt;0,"○",""))</f>
        <v/>
      </c>
      <c r="K33" s="98">
        <f>IF(COUNTIFS('VS×ケイパビリティ関係'!$F$4:$F$494,$B33,'VS×ケイパビリティ関係'!$G$4:$G$494,K$5,'VS×ケイパビリティ関係'!$E$4:$E$494,"主")&gt;0,"●",IF(COUNTIFS('VS×ケイパビリティ関係'!$F$4:$F$494,$B33,'VS×ケイパビリティ関係'!$G$4:$G$494,K$5,'VS×ケイパビリティ関係'!$E$4:$E$494,"支援")&gt;0,"○",""))</f>
        <v/>
      </c>
      <c r="L33" s="98">
        <f>IF(COUNTIFS('VS×ケイパビリティ関係'!$F$4:$F$494,$B33,'VS×ケイパビリティ関係'!$G$4:$G$494,L$5,'VS×ケイパビリティ関係'!$E$4:$E$494,"主")&gt;0,"●",IF(COUNTIFS('VS×ケイパビリティ関係'!$F$4:$F$494,$B33,'VS×ケイパビリティ関係'!$G$4:$G$494,L$5,'VS×ケイパビリティ関係'!$E$4:$E$494,"支援")&gt;0,"○",""))</f>
        <v/>
      </c>
      <c r="M33" s="98">
        <f>IF(COUNTIFS('VS×ケイパビリティ関係'!$F$4:$F$494,$B33,'VS×ケイパビリティ関係'!$G$4:$G$494,M$5,'VS×ケイパビリティ関係'!$E$4:$E$494,"主")&gt;0,"●",IF(COUNTIFS('VS×ケイパビリティ関係'!$F$4:$F$494,$B33,'VS×ケイパビリティ関係'!$G$4:$G$494,M$5,'VS×ケイパビリティ関係'!$E$4:$E$494,"支援")&gt;0,"○",""))</f>
        <v/>
      </c>
      <c r="N33" s="98">
        <f>IF(COUNTIFS('VS×ケイパビリティ関係'!$F$4:$F$494,$B33,'VS×ケイパビリティ関係'!$G$4:$G$494,N$5,'VS×ケイパビリティ関係'!$E$4:$E$494,"主")&gt;0,"●",IF(COUNTIFS('VS×ケイパビリティ関係'!$F$4:$F$494,$B33,'VS×ケイパビリティ関係'!$G$4:$G$494,N$5,'VS×ケイパビリティ関係'!$E$4:$E$494,"支援")&gt;0,"○",""))</f>
        <v/>
      </c>
      <c r="O33" s="98">
        <f>IF(COUNTIFS('VS×ケイパビリティ関係'!$F$4:$F$494,$B33,'VS×ケイパビリティ関係'!$G$4:$G$494,O$5,'VS×ケイパビリティ関係'!$E$4:$E$494,"主")&gt;0,"●",IF(COUNTIFS('VS×ケイパビリティ関係'!$F$4:$F$494,$B33,'VS×ケイパビリティ関係'!$G$4:$G$494,O$5,'VS×ケイパビリティ関係'!$E$4:$E$494,"支援")&gt;0,"○",""))</f>
        <v/>
      </c>
      <c r="P33" s="98">
        <f>IF(COUNTIFS('VS×ケイパビリティ関係'!$F$4:$F$494,$B33,'VS×ケイパビリティ関係'!$G$4:$G$494,P$5,'VS×ケイパビリティ関係'!$E$4:$E$494,"主")&gt;0,"●",IF(COUNTIFS('VS×ケイパビリティ関係'!$F$4:$F$494,$B33,'VS×ケイパビリティ関係'!$G$4:$G$494,P$5,'VS×ケイパビリティ関係'!$E$4:$E$494,"支援")&gt;0,"○",""))</f>
        <v/>
      </c>
      <c r="Q33" s="98">
        <f>IF(COUNTIFS('VS×ケイパビリティ関係'!$F$4:$F$494,$B33,'VS×ケイパビリティ関係'!$G$4:$G$494,Q$5,'VS×ケイパビリティ関係'!$E$4:$E$494,"主")&gt;0,"●",IF(COUNTIFS('VS×ケイパビリティ関係'!$F$4:$F$494,$B33,'VS×ケイパビリティ関係'!$G$4:$G$494,Q$5,'VS×ケイパビリティ関係'!$E$4:$E$494,"支援")&gt;0,"○",""))</f>
        <v/>
      </c>
      <c r="R33" s="98">
        <f>IF(COUNTIFS('VS×ケイパビリティ関係'!$F$4:$F$494,$B33,'VS×ケイパビリティ関係'!$G$4:$G$494,R$5,'VS×ケイパビリティ関係'!$E$4:$E$494,"主")&gt;0,"●",IF(COUNTIFS('VS×ケイパビリティ関係'!$F$4:$F$494,$B33,'VS×ケイパビリティ関係'!$G$4:$G$494,R$5,'VS×ケイパビリティ関係'!$E$4:$E$494,"支援")&gt;0,"○",""))</f>
        <v/>
      </c>
      <c r="S33" s="98">
        <f>IF(COUNTIFS('VS×ケイパビリティ関係'!$F$4:$F$494,$B33,'VS×ケイパビリティ関係'!$G$4:$G$494,S$5,'VS×ケイパビリティ関係'!$E$4:$E$494,"主")&gt;0,"●",IF(COUNTIFS('VS×ケイパビリティ関係'!$F$4:$F$494,$B33,'VS×ケイパビリティ関係'!$G$4:$G$494,S$5,'VS×ケイパビリティ関係'!$E$4:$E$494,"支援")&gt;0,"○",""))</f>
        <v/>
      </c>
      <c r="T33" s="98">
        <f>IF(COUNTIFS('VS×ケイパビリティ関係'!$F$4:$F$494,$B33,'VS×ケイパビリティ関係'!$G$4:$G$494,T$5,'VS×ケイパビリティ関係'!$E$4:$E$494,"主")&gt;0,"●",IF(COUNTIFS('VS×ケイパビリティ関係'!$F$4:$F$494,$B33,'VS×ケイパビリティ関係'!$G$4:$G$494,T$5,'VS×ケイパビリティ関係'!$E$4:$E$494,"支援")&gt;0,"○",""))</f>
        <v/>
      </c>
      <c r="U33" s="98">
        <f>IF(COUNTIFS('VS×ケイパビリティ関係'!$F$4:$F$494,$B33,'VS×ケイパビリティ関係'!$G$4:$G$494,U$5,'VS×ケイパビリティ関係'!$E$4:$E$494,"主")&gt;0,"●",IF(COUNTIFS('VS×ケイパビリティ関係'!$F$4:$F$494,$B33,'VS×ケイパビリティ関係'!$G$4:$G$494,U$5,'VS×ケイパビリティ関係'!$E$4:$E$494,"支援")&gt;0,"○",""))</f>
        <v/>
      </c>
      <c r="V33" s="98">
        <f>IF(COUNTIFS('VS×ケイパビリティ関係'!$F$4:$F$494,$B33,'VS×ケイパビリティ関係'!$G$4:$G$494,V$5,'VS×ケイパビリティ関係'!$E$4:$E$494,"主")&gt;0,"●",IF(COUNTIFS('VS×ケイパビリティ関係'!$F$4:$F$494,$B33,'VS×ケイパビリティ関係'!$G$4:$G$494,V$5,'VS×ケイパビリティ関係'!$E$4:$E$494,"支援")&gt;0,"○",""))</f>
        <v/>
      </c>
      <c r="W33" s="98">
        <f>IF(COUNTIFS('VS×ケイパビリティ関係'!$F$4:$F$494,$B33,'VS×ケイパビリティ関係'!$G$4:$G$494,W$5,'VS×ケイパビリティ関係'!$E$4:$E$494,"主")&gt;0,"●",IF(COUNTIFS('VS×ケイパビリティ関係'!$F$4:$F$494,$B33,'VS×ケイパビリティ関係'!$G$4:$G$494,W$5,'VS×ケイパビリティ関係'!$E$4:$E$494,"支援")&gt;0,"○",""))</f>
        <v/>
      </c>
      <c r="X33" s="98">
        <f>IF(COUNTIFS('VS×ケイパビリティ関係'!$F$4:$F$494,$B33,'VS×ケイパビリティ関係'!$G$4:$G$494,X$5,'VS×ケイパビリティ関係'!$E$4:$E$494,"主")&gt;0,"●",IF(COUNTIFS('VS×ケイパビリティ関係'!$F$4:$F$494,$B33,'VS×ケイパビリティ関係'!$G$4:$G$494,X$5,'VS×ケイパビリティ関係'!$E$4:$E$494,"支援")&gt;0,"○",""))</f>
        <v/>
      </c>
      <c r="Y33" s="98">
        <f>IF(COUNTIFS('VS×ケイパビリティ関係'!$F$4:$F$494,$B33,'VS×ケイパビリティ関係'!$G$4:$G$494,Y$5,'VS×ケイパビリティ関係'!$E$4:$E$494,"主")&gt;0,"●",IF(COUNTIFS('VS×ケイパビリティ関係'!$F$4:$F$494,$B33,'VS×ケイパビリティ関係'!$G$4:$G$494,Y$5,'VS×ケイパビリティ関係'!$E$4:$E$494,"支援")&gt;0,"○",""))</f>
        <v/>
      </c>
      <c r="Z33" s="98">
        <f>IF(COUNTIFS('VS×ケイパビリティ関係'!$F$4:$F$494,$B33,'VS×ケイパビリティ関係'!$G$4:$G$494,Z$5,'VS×ケイパビリティ関係'!$E$4:$E$494,"主")&gt;0,"●",IF(COUNTIFS('VS×ケイパビリティ関係'!$F$4:$F$494,$B33,'VS×ケイパビリティ関係'!$G$4:$G$494,Z$5,'VS×ケイパビリティ関係'!$E$4:$E$494,"支援")&gt;0,"○",""))</f>
        <v/>
      </c>
      <c r="AA33" s="98">
        <f>IF(COUNTIFS('VS×ケイパビリティ関係'!$F$4:$F$494,$B33,'VS×ケイパビリティ関係'!$G$4:$G$494,AA$5,'VS×ケイパビリティ関係'!$E$4:$E$494,"主")&gt;0,"●",IF(COUNTIFS('VS×ケイパビリティ関係'!$F$4:$F$494,$B33,'VS×ケイパビリティ関係'!$G$4:$G$494,AA$5,'VS×ケイパビリティ関係'!$E$4:$E$494,"支援")&gt;0,"○",""))</f>
        <v/>
      </c>
      <c r="AB33" s="98">
        <f>IF(COUNTIFS('VS×ケイパビリティ関係'!$F$4:$F$494,$B33,'VS×ケイパビリティ関係'!$G$4:$G$494,AB$5,'VS×ケイパビリティ関係'!$E$4:$E$494,"主")&gt;0,"●",IF(COUNTIFS('VS×ケイパビリティ関係'!$F$4:$F$494,$B33,'VS×ケイパビリティ関係'!$G$4:$G$494,AB$5,'VS×ケイパビリティ関係'!$E$4:$E$494,"支援")&gt;0,"○",""))</f>
        <v/>
      </c>
      <c r="AC33" s="98">
        <f>IF(COUNTIFS('VS×ケイパビリティ関係'!$F$4:$F$494,$B33,'VS×ケイパビリティ関係'!$G$4:$G$494,AC$5,'VS×ケイパビリティ関係'!$E$4:$E$494,"主")&gt;0,"●",IF(COUNTIFS('VS×ケイパビリティ関係'!$F$4:$F$494,$B33,'VS×ケイパビリティ関係'!$G$4:$G$494,AC$5,'VS×ケイパビリティ関係'!$E$4:$E$494,"支援")&gt;0,"○",""))</f>
        <v/>
      </c>
      <c r="AD33" s="98">
        <f>IF(COUNTIFS('VS×ケイパビリティ関係'!$F$4:$F$494,$B33,'VS×ケイパビリティ関係'!$G$4:$G$494,AD$5,'VS×ケイパビリティ関係'!$E$4:$E$494,"主")&gt;0,"●",IF(COUNTIFS('VS×ケイパビリティ関係'!$F$4:$F$494,$B33,'VS×ケイパビリティ関係'!$G$4:$G$494,AD$5,'VS×ケイパビリティ関係'!$E$4:$E$494,"支援")&gt;0,"○",""))</f>
        <v/>
      </c>
      <c r="AE33" s="98">
        <f>IF(COUNTIFS('VS×ケイパビリティ関係'!$F$4:$F$494,$B33,'VS×ケイパビリティ関係'!$G$4:$G$494,AE$5,'VS×ケイパビリティ関係'!$E$4:$E$494,"主")&gt;0,"●",IF(COUNTIFS('VS×ケイパビリティ関係'!$F$4:$F$494,$B33,'VS×ケイパビリティ関係'!$G$4:$G$494,AE$5,'VS×ケイパビリティ関係'!$E$4:$E$494,"支援")&gt;0,"○",""))</f>
        <v/>
      </c>
      <c r="AF33" s="98">
        <f>IF(COUNTIFS('VS×ケイパビリティ関係'!$F$4:$F$494,$B33,'VS×ケイパビリティ関係'!$G$4:$G$494,AF$5,'VS×ケイパビリティ関係'!$E$4:$E$494,"主")&gt;0,"●",IF(COUNTIFS('VS×ケイパビリティ関係'!$F$4:$F$494,$B33,'VS×ケイパビリティ関係'!$G$4:$G$494,AF$5,'VS×ケイパビリティ関係'!$E$4:$E$494,"支援")&gt;0,"○",""))</f>
        <v/>
      </c>
      <c r="AG33" s="98">
        <f>IF(COUNTIFS('VS×ケイパビリティ関係'!$F$4:$F$494,$B33,'VS×ケイパビリティ関係'!$G$4:$G$494,AG$5,'VS×ケイパビリティ関係'!$E$4:$E$494,"主")&gt;0,"●",IF(COUNTIFS('VS×ケイパビリティ関係'!$F$4:$F$494,$B33,'VS×ケイパビリティ関係'!$G$4:$G$494,AG$5,'VS×ケイパビリティ関係'!$E$4:$E$494,"支援")&gt;0,"○",""))</f>
        <v/>
      </c>
      <c r="AH33" s="98">
        <f>IF(COUNTIFS('VS×ケイパビリティ関係'!$F$4:$F$494,$B33,'VS×ケイパビリティ関係'!$G$4:$G$494,AH$5,'VS×ケイパビリティ関係'!$E$4:$E$494,"主")&gt;0,"●",IF(COUNTIFS('VS×ケイパビリティ関係'!$F$4:$F$494,$B33,'VS×ケイパビリティ関係'!$G$4:$G$494,AH$5,'VS×ケイパビリティ関係'!$E$4:$E$494,"支援")&gt;0,"○",""))</f>
        <v/>
      </c>
      <c r="AI33" s="98">
        <f>IF(COUNTIFS('VS×ケイパビリティ関係'!$F$4:$F$494,$B33,'VS×ケイパビリティ関係'!$G$4:$G$494,AI$5,'VS×ケイパビリティ関係'!$E$4:$E$494,"主")&gt;0,"●",IF(COUNTIFS('VS×ケイパビリティ関係'!$F$4:$F$494,$B33,'VS×ケイパビリティ関係'!$G$4:$G$494,AI$5,'VS×ケイパビリティ関係'!$E$4:$E$494,"支援")&gt;0,"○",""))</f>
        <v/>
      </c>
      <c r="AJ33" s="98">
        <f>IF(COUNTIFS('VS×ケイパビリティ関係'!$F$4:$F$494,$B33,'VS×ケイパビリティ関係'!$G$4:$G$494,AJ$5,'VS×ケイパビリティ関係'!$E$4:$E$494,"主")&gt;0,"●",IF(COUNTIFS('VS×ケイパビリティ関係'!$F$4:$F$494,$B33,'VS×ケイパビリティ関係'!$G$4:$G$494,AJ$5,'VS×ケイパビリティ関係'!$E$4:$E$494,"支援")&gt;0,"○",""))</f>
        <v/>
      </c>
      <c r="AK33" s="98">
        <f>IF(COUNTIFS('VS×ケイパビリティ関係'!$F$4:$F$494,$B33,'VS×ケイパビリティ関係'!$G$4:$G$494,AK$5,'VS×ケイパビリティ関係'!$E$4:$E$494,"主")&gt;0,"●",IF(COUNTIFS('VS×ケイパビリティ関係'!$F$4:$F$494,$B33,'VS×ケイパビリティ関係'!$G$4:$G$494,AK$5,'VS×ケイパビリティ関係'!$E$4:$E$494,"支援")&gt;0,"○",""))</f>
        <v/>
      </c>
      <c r="AL33" s="98">
        <f>IF(COUNTIFS('VS×ケイパビリティ関係'!$F$4:$F$494,$B33,'VS×ケイパビリティ関係'!$G$4:$G$494,AL$5,'VS×ケイパビリティ関係'!$E$4:$E$494,"主")&gt;0,"●",IF(COUNTIFS('VS×ケイパビリティ関係'!$F$4:$F$494,$B33,'VS×ケイパビリティ関係'!$G$4:$G$494,AL$5,'VS×ケイパビリティ関係'!$E$4:$E$494,"支援")&gt;0,"○",""))</f>
        <v/>
      </c>
      <c r="AM33" s="98">
        <f>IF(COUNTIFS('VS×ケイパビリティ関係'!$F$4:$F$494,$B33,'VS×ケイパビリティ関係'!$G$4:$G$494,AM$5,'VS×ケイパビリティ関係'!$E$4:$E$494,"主")&gt;0,"●",IF(COUNTIFS('VS×ケイパビリティ関係'!$F$4:$F$494,$B33,'VS×ケイパビリティ関係'!$G$4:$G$494,AM$5,'VS×ケイパビリティ関係'!$E$4:$E$494,"支援")&gt;0,"○",""))</f>
        <v/>
      </c>
      <c r="AN33" s="98">
        <f>IF(COUNTIFS('VS×ケイパビリティ関係'!$F$4:$F$494,$B33,'VS×ケイパビリティ関係'!$G$4:$G$494,AN$5,'VS×ケイパビリティ関係'!$E$4:$E$494,"主")&gt;0,"●",IF(COUNTIFS('VS×ケイパビリティ関係'!$F$4:$F$494,$B33,'VS×ケイパビリティ関係'!$G$4:$G$494,AN$5,'VS×ケイパビリティ関係'!$E$4:$E$494,"支援")&gt;0,"○",""))</f>
        <v/>
      </c>
      <c r="AO33" s="98">
        <f>IF(COUNTIFS('VS×ケイパビリティ関係'!$F$4:$F$494,$B33,'VS×ケイパビリティ関係'!$G$4:$G$494,AO$5,'VS×ケイパビリティ関係'!$E$4:$E$494,"主")&gt;0,"●",IF(COUNTIFS('VS×ケイパビリティ関係'!$F$4:$F$494,$B33,'VS×ケイパビリティ関係'!$G$4:$G$494,AO$5,'VS×ケイパビリティ関係'!$E$4:$E$494,"支援")&gt;0,"○",""))</f>
        <v/>
      </c>
      <c r="AP33" s="98">
        <f>IF(COUNTIFS('VS×ケイパビリティ関係'!$F$4:$F$494,$B33,'VS×ケイパビリティ関係'!$G$4:$G$494,AP$5,'VS×ケイパビリティ関係'!$E$4:$E$494,"主")&gt;0,"●",IF(COUNTIFS('VS×ケイパビリティ関係'!$F$4:$F$494,$B33,'VS×ケイパビリティ関係'!$G$4:$G$494,AP$5,'VS×ケイパビリティ関係'!$E$4:$E$494,"支援")&gt;0,"○",""))</f>
        <v/>
      </c>
      <c r="AQ33" s="98">
        <f>IF(COUNTIFS('VS×ケイパビリティ関係'!$F$4:$F$494,$B33,'VS×ケイパビリティ関係'!$G$4:$G$494,AQ$5,'VS×ケイパビリティ関係'!$E$4:$E$494,"主")&gt;0,"●",IF(COUNTIFS('VS×ケイパビリティ関係'!$F$4:$F$494,$B33,'VS×ケイパビリティ関係'!$G$4:$G$494,AQ$5,'VS×ケイパビリティ関係'!$E$4:$E$494,"支援")&gt;0,"○",""))</f>
        <v/>
      </c>
      <c r="AR33" s="98">
        <f>IF(COUNTIFS('VS×ケイパビリティ関係'!$F$4:$F$494,$B33,'VS×ケイパビリティ関係'!$G$4:$G$494,AR$5,'VS×ケイパビリティ関係'!$E$4:$E$494,"主")&gt;0,"●",IF(COUNTIFS('VS×ケイパビリティ関係'!$F$4:$F$494,$B33,'VS×ケイパビリティ関係'!$G$4:$G$494,AR$5,'VS×ケイパビリティ関係'!$E$4:$E$494,"支援")&gt;0,"○",""))</f>
        <v/>
      </c>
      <c r="AS33" s="98">
        <f>IF(COUNTIFS('VS×ケイパビリティ関係'!$F$4:$F$494,$B33,'VS×ケイパビリティ関係'!$G$4:$G$494,AS$5,'VS×ケイパビリティ関係'!$E$4:$E$494,"主")&gt;0,"●",IF(COUNTIFS('VS×ケイパビリティ関係'!$F$4:$F$494,$B33,'VS×ケイパビリティ関係'!$G$4:$G$494,AS$5,'VS×ケイパビリティ関係'!$E$4:$E$494,"支援")&gt;0,"○",""))</f>
        <v/>
      </c>
      <c r="AT33" s="98">
        <f>IF(COUNTIFS('VS×ケイパビリティ関係'!$F$4:$F$494,$B33,'VS×ケイパビリティ関係'!$G$4:$G$494,AT$5,'VS×ケイパビリティ関係'!$E$4:$E$494,"主")&gt;0,"●",IF(COUNTIFS('VS×ケイパビリティ関係'!$F$4:$F$494,$B33,'VS×ケイパビリティ関係'!$G$4:$G$494,AT$5,'VS×ケイパビリティ関係'!$E$4:$E$494,"支援")&gt;0,"○",""))</f>
        <v/>
      </c>
      <c r="AU33" s="98">
        <f>IF(COUNTIFS('VS×ケイパビリティ関係'!$F$4:$F$494,$B33,'VS×ケイパビリティ関係'!$G$4:$G$494,AU$5,'VS×ケイパビリティ関係'!$E$4:$E$494,"主")&gt;0,"●",IF(COUNTIFS('VS×ケイパビリティ関係'!$F$4:$F$494,$B33,'VS×ケイパビリティ関係'!$G$4:$G$494,AU$5,'VS×ケイパビリティ関係'!$E$4:$E$494,"支援")&gt;0,"○",""))</f>
        <v/>
      </c>
      <c r="AV33" s="98">
        <f>IF(COUNTIFS('VS×ケイパビリティ関係'!$F$4:$F$494,$B33,'VS×ケイパビリティ関係'!$G$4:$G$494,AV$5,'VS×ケイパビリティ関係'!$E$4:$E$494,"主")&gt;0,"●",IF(COUNTIFS('VS×ケイパビリティ関係'!$F$4:$F$494,$B33,'VS×ケイパビリティ関係'!$G$4:$G$494,AV$5,'VS×ケイパビリティ関係'!$E$4:$E$494,"支援")&gt;0,"○",""))</f>
        <v/>
      </c>
      <c r="AW33" s="98">
        <f>IF(COUNTIFS('VS×ケイパビリティ関係'!$F$4:$F$494,$B33,'VS×ケイパビリティ関係'!$G$4:$G$494,AW$5,'VS×ケイパビリティ関係'!$E$4:$E$494,"主")&gt;0,"●",IF(COUNTIFS('VS×ケイパビリティ関係'!$F$4:$F$494,$B33,'VS×ケイパビリティ関係'!$G$4:$G$494,AW$5,'VS×ケイパビリティ関係'!$E$4:$E$494,"支援")&gt;0,"○",""))</f>
        <v/>
      </c>
      <c r="AX33" s="98">
        <f>IF(COUNTIFS('VS×ケイパビリティ関係'!$F$4:$F$494,$B33,'VS×ケイパビリティ関係'!$G$4:$G$494,AX$5,'VS×ケイパビリティ関係'!$E$4:$E$494,"主")&gt;0,"●",IF(COUNTIFS('VS×ケイパビリティ関係'!$F$4:$F$494,$B33,'VS×ケイパビリティ関係'!$G$4:$G$494,AX$5,'VS×ケイパビリティ関係'!$E$4:$E$494,"支援")&gt;0,"○",""))</f>
        <v/>
      </c>
      <c r="AY33" s="98">
        <f>IF(COUNTIFS('VS×ケイパビリティ関係'!$F$4:$F$494,$B33,'VS×ケイパビリティ関係'!$G$4:$G$494,AY$5,'VS×ケイパビリティ関係'!$E$4:$E$494,"主")&gt;0,"●",IF(COUNTIFS('VS×ケイパビリティ関係'!$F$4:$F$494,$B33,'VS×ケイパビリティ関係'!$G$4:$G$494,AY$5,'VS×ケイパビリティ関係'!$E$4:$E$494,"支援")&gt;0,"○",""))</f>
        <v/>
      </c>
      <c r="AZ33" s="98">
        <f>IF(COUNTIFS('VS×ケイパビリティ関係'!$F$4:$F$494,$B33,'VS×ケイパビリティ関係'!$G$4:$G$494,AZ$5,'VS×ケイパビリティ関係'!$E$4:$E$494,"主")&gt;0,"●",IF(COUNTIFS('VS×ケイパビリティ関係'!$F$4:$F$494,$B33,'VS×ケイパビリティ関係'!$G$4:$G$494,AZ$5,'VS×ケイパビリティ関係'!$E$4:$E$494,"支援")&gt;0,"○",""))</f>
        <v/>
      </c>
      <c r="BA33" s="98">
        <f>IF(COUNTIFS('VS×ケイパビリティ関係'!$F$4:$F$494,$B33,'VS×ケイパビリティ関係'!$G$4:$G$494,BA$5,'VS×ケイパビリティ関係'!$E$4:$E$494,"主")&gt;0,"●",IF(COUNTIFS('VS×ケイパビリティ関係'!$F$4:$F$494,$B33,'VS×ケイパビリティ関係'!$G$4:$G$494,BA$5,'VS×ケイパビリティ関係'!$E$4:$E$494,"支援")&gt;0,"○",""))</f>
        <v/>
      </c>
      <c r="BB33" s="98">
        <f>IF(COUNTIFS('VS×ケイパビリティ関係'!$F$4:$F$494,$B33,'VS×ケイパビリティ関係'!$G$4:$G$494,BB$5,'VS×ケイパビリティ関係'!$E$4:$E$494,"主")&gt;0,"●",IF(COUNTIFS('VS×ケイパビリティ関係'!$F$4:$F$494,$B33,'VS×ケイパビリティ関係'!$G$4:$G$494,BB$5,'VS×ケイパビリティ関係'!$E$4:$E$494,"支援")&gt;0,"○",""))</f>
        <v/>
      </c>
      <c r="BC33" s="98">
        <f>IF(COUNTIFS('VS×ケイパビリティ関係'!$F$4:$F$494,$B33,'VS×ケイパビリティ関係'!$G$4:$G$494,BC$5,'VS×ケイパビリティ関係'!$E$4:$E$494,"主")&gt;0,"●",IF(COUNTIFS('VS×ケイパビリティ関係'!$F$4:$F$494,$B33,'VS×ケイパビリティ関係'!$G$4:$G$494,BC$5,'VS×ケイパビリティ関係'!$E$4:$E$494,"支援")&gt;0,"○",""))</f>
        <v/>
      </c>
      <c r="BD33" s="98">
        <f>IF(COUNTIFS('VS×ケイパビリティ関係'!$F$4:$F$494,$B33,'VS×ケイパビリティ関係'!$G$4:$G$494,BD$5,'VS×ケイパビリティ関係'!$E$4:$E$494,"主")&gt;0,"●",IF(COUNTIFS('VS×ケイパビリティ関係'!$F$4:$F$494,$B33,'VS×ケイパビリティ関係'!$G$4:$G$494,BD$5,'VS×ケイパビリティ関係'!$E$4:$E$494,"支援")&gt;0,"○",""))</f>
        <v/>
      </c>
      <c r="BE33" s="98">
        <f>COUNTIF(D33:BD33,"●")</f>
        <v/>
      </c>
      <c r="BF33" s="98">
        <f>COUNTIF(D33:BD33,"○")</f>
        <v/>
      </c>
    </row>
    <row r="34" ht="26.25" customHeight="1" s="80">
      <c r="A34" s="116" t="inlineStr">
        <is>
          <t>08 供給・流通（継続）</t>
        </is>
      </c>
      <c r="B34" s="98" t="inlineStr">
        <is>
          <t>08-01</t>
        </is>
      </c>
      <c r="C34" s="100" t="inlineStr">
        <is>
          <t>受注・需給調整</t>
        </is>
      </c>
      <c r="D34" s="98">
        <f>IF(COUNTIFS('VS×ケイパビリティ関係'!$F$4:$F$494,$B34,'VS×ケイパビリティ関係'!$G$4:$G$494,D$5,'VS×ケイパビリティ関係'!$E$4:$E$494,"主")&gt;0,"●",IF(COUNTIFS('VS×ケイパビリティ関係'!$F$4:$F$494,$B34,'VS×ケイパビリティ関係'!$G$4:$G$494,D$5,'VS×ケイパビリティ関係'!$E$4:$E$494,"支援")&gt;0,"○",""))</f>
        <v/>
      </c>
      <c r="E34" s="98">
        <f>IF(COUNTIFS('VS×ケイパビリティ関係'!$F$4:$F$494,$B34,'VS×ケイパビリティ関係'!$G$4:$G$494,E$5,'VS×ケイパビリティ関係'!$E$4:$E$494,"主")&gt;0,"●",IF(COUNTIFS('VS×ケイパビリティ関係'!$F$4:$F$494,$B34,'VS×ケイパビリティ関係'!$G$4:$G$494,E$5,'VS×ケイパビリティ関係'!$E$4:$E$494,"支援")&gt;0,"○",""))</f>
        <v/>
      </c>
      <c r="F34" s="98">
        <f>IF(COUNTIFS('VS×ケイパビリティ関係'!$F$4:$F$494,$B34,'VS×ケイパビリティ関係'!$G$4:$G$494,F$5,'VS×ケイパビリティ関係'!$E$4:$E$494,"主")&gt;0,"●",IF(COUNTIFS('VS×ケイパビリティ関係'!$F$4:$F$494,$B34,'VS×ケイパビリティ関係'!$G$4:$G$494,F$5,'VS×ケイパビリティ関係'!$E$4:$E$494,"支援")&gt;0,"○",""))</f>
        <v/>
      </c>
      <c r="G34" s="98">
        <f>IF(COUNTIFS('VS×ケイパビリティ関係'!$F$4:$F$494,$B34,'VS×ケイパビリティ関係'!$G$4:$G$494,G$5,'VS×ケイパビリティ関係'!$E$4:$E$494,"主")&gt;0,"●",IF(COUNTIFS('VS×ケイパビリティ関係'!$F$4:$F$494,$B34,'VS×ケイパビリティ関係'!$G$4:$G$494,G$5,'VS×ケイパビリティ関係'!$E$4:$E$494,"支援")&gt;0,"○",""))</f>
        <v/>
      </c>
      <c r="H34" s="98">
        <f>IF(COUNTIFS('VS×ケイパビリティ関係'!$F$4:$F$494,$B34,'VS×ケイパビリティ関係'!$G$4:$G$494,H$5,'VS×ケイパビリティ関係'!$E$4:$E$494,"主")&gt;0,"●",IF(COUNTIFS('VS×ケイパビリティ関係'!$F$4:$F$494,$B34,'VS×ケイパビリティ関係'!$G$4:$G$494,H$5,'VS×ケイパビリティ関係'!$E$4:$E$494,"支援")&gt;0,"○",""))</f>
        <v/>
      </c>
      <c r="I34" s="98">
        <f>IF(COUNTIFS('VS×ケイパビリティ関係'!$F$4:$F$494,$B34,'VS×ケイパビリティ関係'!$G$4:$G$494,I$5,'VS×ケイパビリティ関係'!$E$4:$E$494,"主")&gt;0,"●",IF(COUNTIFS('VS×ケイパビリティ関係'!$F$4:$F$494,$B34,'VS×ケイパビリティ関係'!$G$4:$G$494,I$5,'VS×ケイパビリティ関係'!$E$4:$E$494,"支援")&gt;0,"○",""))</f>
        <v/>
      </c>
      <c r="J34" s="98">
        <f>IF(COUNTIFS('VS×ケイパビリティ関係'!$F$4:$F$494,$B34,'VS×ケイパビリティ関係'!$G$4:$G$494,J$5,'VS×ケイパビリティ関係'!$E$4:$E$494,"主")&gt;0,"●",IF(COUNTIFS('VS×ケイパビリティ関係'!$F$4:$F$494,$B34,'VS×ケイパビリティ関係'!$G$4:$G$494,J$5,'VS×ケイパビリティ関係'!$E$4:$E$494,"支援")&gt;0,"○",""))</f>
        <v/>
      </c>
      <c r="K34" s="98">
        <f>IF(COUNTIFS('VS×ケイパビリティ関係'!$F$4:$F$494,$B34,'VS×ケイパビリティ関係'!$G$4:$G$494,K$5,'VS×ケイパビリティ関係'!$E$4:$E$494,"主")&gt;0,"●",IF(COUNTIFS('VS×ケイパビリティ関係'!$F$4:$F$494,$B34,'VS×ケイパビリティ関係'!$G$4:$G$494,K$5,'VS×ケイパビリティ関係'!$E$4:$E$494,"支援")&gt;0,"○",""))</f>
        <v/>
      </c>
      <c r="L34" s="98">
        <f>IF(COUNTIFS('VS×ケイパビリティ関係'!$F$4:$F$494,$B34,'VS×ケイパビリティ関係'!$G$4:$G$494,L$5,'VS×ケイパビリティ関係'!$E$4:$E$494,"主")&gt;0,"●",IF(COUNTIFS('VS×ケイパビリティ関係'!$F$4:$F$494,$B34,'VS×ケイパビリティ関係'!$G$4:$G$494,L$5,'VS×ケイパビリティ関係'!$E$4:$E$494,"支援")&gt;0,"○",""))</f>
        <v/>
      </c>
      <c r="M34" s="98">
        <f>IF(COUNTIFS('VS×ケイパビリティ関係'!$F$4:$F$494,$B34,'VS×ケイパビリティ関係'!$G$4:$G$494,M$5,'VS×ケイパビリティ関係'!$E$4:$E$494,"主")&gt;0,"●",IF(COUNTIFS('VS×ケイパビリティ関係'!$F$4:$F$494,$B34,'VS×ケイパビリティ関係'!$G$4:$G$494,M$5,'VS×ケイパビリティ関係'!$E$4:$E$494,"支援")&gt;0,"○",""))</f>
        <v/>
      </c>
      <c r="N34" s="98">
        <f>IF(COUNTIFS('VS×ケイパビリティ関係'!$F$4:$F$494,$B34,'VS×ケイパビリティ関係'!$G$4:$G$494,N$5,'VS×ケイパビリティ関係'!$E$4:$E$494,"主")&gt;0,"●",IF(COUNTIFS('VS×ケイパビリティ関係'!$F$4:$F$494,$B34,'VS×ケイパビリティ関係'!$G$4:$G$494,N$5,'VS×ケイパビリティ関係'!$E$4:$E$494,"支援")&gt;0,"○",""))</f>
        <v/>
      </c>
      <c r="O34" s="98">
        <f>IF(COUNTIFS('VS×ケイパビリティ関係'!$F$4:$F$494,$B34,'VS×ケイパビリティ関係'!$G$4:$G$494,O$5,'VS×ケイパビリティ関係'!$E$4:$E$494,"主")&gt;0,"●",IF(COUNTIFS('VS×ケイパビリティ関係'!$F$4:$F$494,$B34,'VS×ケイパビリティ関係'!$G$4:$G$494,O$5,'VS×ケイパビリティ関係'!$E$4:$E$494,"支援")&gt;0,"○",""))</f>
        <v/>
      </c>
      <c r="P34" s="98">
        <f>IF(COUNTIFS('VS×ケイパビリティ関係'!$F$4:$F$494,$B34,'VS×ケイパビリティ関係'!$G$4:$G$494,P$5,'VS×ケイパビリティ関係'!$E$4:$E$494,"主")&gt;0,"●",IF(COUNTIFS('VS×ケイパビリティ関係'!$F$4:$F$494,$B34,'VS×ケイパビリティ関係'!$G$4:$G$494,P$5,'VS×ケイパビリティ関係'!$E$4:$E$494,"支援")&gt;0,"○",""))</f>
        <v/>
      </c>
      <c r="Q34" s="98">
        <f>IF(COUNTIFS('VS×ケイパビリティ関係'!$F$4:$F$494,$B34,'VS×ケイパビリティ関係'!$G$4:$G$494,Q$5,'VS×ケイパビリティ関係'!$E$4:$E$494,"主")&gt;0,"●",IF(COUNTIFS('VS×ケイパビリティ関係'!$F$4:$F$494,$B34,'VS×ケイパビリティ関係'!$G$4:$G$494,Q$5,'VS×ケイパビリティ関係'!$E$4:$E$494,"支援")&gt;0,"○",""))</f>
        <v/>
      </c>
      <c r="R34" s="98">
        <f>IF(COUNTIFS('VS×ケイパビリティ関係'!$F$4:$F$494,$B34,'VS×ケイパビリティ関係'!$G$4:$G$494,R$5,'VS×ケイパビリティ関係'!$E$4:$E$494,"主")&gt;0,"●",IF(COUNTIFS('VS×ケイパビリティ関係'!$F$4:$F$494,$B34,'VS×ケイパビリティ関係'!$G$4:$G$494,R$5,'VS×ケイパビリティ関係'!$E$4:$E$494,"支援")&gt;0,"○",""))</f>
        <v/>
      </c>
      <c r="S34" s="98">
        <f>IF(COUNTIFS('VS×ケイパビリティ関係'!$F$4:$F$494,$B34,'VS×ケイパビリティ関係'!$G$4:$G$494,S$5,'VS×ケイパビリティ関係'!$E$4:$E$494,"主")&gt;0,"●",IF(COUNTIFS('VS×ケイパビリティ関係'!$F$4:$F$494,$B34,'VS×ケイパビリティ関係'!$G$4:$G$494,S$5,'VS×ケイパビリティ関係'!$E$4:$E$494,"支援")&gt;0,"○",""))</f>
        <v/>
      </c>
      <c r="T34" s="98">
        <f>IF(COUNTIFS('VS×ケイパビリティ関係'!$F$4:$F$494,$B34,'VS×ケイパビリティ関係'!$G$4:$G$494,T$5,'VS×ケイパビリティ関係'!$E$4:$E$494,"主")&gt;0,"●",IF(COUNTIFS('VS×ケイパビリティ関係'!$F$4:$F$494,$B34,'VS×ケイパビリティ関係'!$G$4:$G$494,T$5,'VS×ケイパビリティ関係'!$E$4:$E$494,"支援")&gt;0,"○",""))</f>
        <v/>
      </c>
      <c r="U34" s="98">
        <f>IF(COUNTIFS('VS×ケイパビリティ関係'!$F$4:$F$494,$B34,'VS×ケイパビリティ関係'!$G$4:$G$494,U$5,'VS×ケイパビリティ関係'!$E$4:$E$494,"主")&gt;0,"●",IF(COUNTIFS('VS×ケイパビリティ関係'!$F$4:$F$494,$B34,'VS×ケイパビリティ関係'!$G$4:$G$494,U$5,'VS×ケイパビリティ関係'!$E$4:$E$494,"支援")&gt;0,"○",""))</f>
        <v/>
      </c>
      <c r="V34" s="98">
        <f>IF(COUNTIFS('VS×ケイパビリティ関係'!$F$4:$F$494,$B34,'VS×ケイパビリティ関係'!$G$4:$G$494,V$5,'VS×ケイパビリティ関係'!$E$4:$E$494,"主")&gt;0,"●",IF(COUNTIFS('VS×ケイパビリティ関係'!$F$4:$F$494,$B34,'VS×ケイパビリティ関係'!$G$4:$G$494,V$5,'VS×ケイパビリティ関係'!$E$4:$E$494,"支援")&gt;0,"○",""))</f>
        <v/>
      </c>
      <c r="W34" s="98">
        <f>IF(COUNTIFS('VS×ケイパビリティ関係'!$F$4:$F$494,$B34,'VS×ケイパビリティ関係'!$G$4:$G$494,W$5,'VS×ケイパビリティ関係'!$E$4:$E$494,"主")&gt;0,"●",IF(COUNTIFS('VS×ケイパビリティ関係'!$F$4:$F$494,$B34,'VS×ケイパビリティ関係'!$G$4:$G$494,W$5,'VS×ケイパビリティ関係'!$E$4:$E$494,"支援")&gt;0,"○",""))</f>
        <v/>
      </c>
      <c r="X34" s="98">
        <f>IF(COUNTIFS('VS×ケイパビリティ関係'!$F$4:$F$494,$B34,'VS×ケイパビリティ関係'!$G$4:$G$494,X$5,'VS×ケイパビリティ関係'!$E$4:$E$494,"主")&gt;0,"●",IF(COUNTIFS('VS×ケイパビリティ関係'!$F$4:$F$494,$B34,'VS×ケイパビリティ関係'!$G$4:$G$494,X$5,'VS×ケイパビリティ関係'!$E$4:$E$494,"支援")&gt;0,"○",""))</f>
        <v/>
      </c>
      <c r="Y34" s="98">
        <f>IF(COUNTIFS('VS×ケイパビリティ関係'!$F$4:$F$494,$B34,'VS×ケイパビリティ関係'!$G$4:$G$494,Y$5,'VS×ケイパビリティ関係'!$E$4:$E$494,"主")&gt;0,"●",IF(COUNTIFS('VS×ケイパビリティ関係'!$F$4:$F$494,$B34,'VS×ケイパビリティ関係'!$G$4:$G$494,Y$5,'VS×ケイパビリティ関係'!$E$4:$E$494,"支援")&gt;0,"○",""))</f>
        <v/>
      </c>
      <c r="Z34" s="98">
        <f>IF(COUNTIFS('VS×ケイパビリティ関係'!$F$4:$F$494,$B34,'VS×ケイパビリティ関係'!$G$4:$G$494,Z$5,'VS×ケイパビリティ関係'!$E$4:$E$494,"主")&gt;0,"●",IF(COUNTIFS('VS×ケイパビリティ関係'!$F$4:$F$494,$B34,'VS×ケイパビリティ関係'!$G$4:$G$494,Z$5,'VS×ケイパビリティ関係'!$E$4:$E$494,"支援")&gt;0,"○",""))</f>
        <v/>
      </c>
      <c r="AA34" s="98">
        <f>IF(COUNTIFS('VS×ケイパビリティ関係'!$F$4:$F$494,$B34,'VS×ケイパビリティ関係'!$G$4:$G$494,AA$5,'VS×ケイパビリティ関係'!$E$4:$E$494,"主")&gt;0,"●",IF(COUNTIFS('VS×ケイパビリティ関係'!$F$4:$F$494,$B34,'VS×ケイパビリティ関係'!$G$4:$G$494,AA$5,'VS×ケイパビリティ関係'!$E$4:$E$494,"支援")&gt;0,"○",""))</f>
        <v/>
      </c>
      <c r="AB34" s="98">
        <f>IF(COUNTIFS('VS×ケイパビリティ関係'!$F$4:$F$494,$B34,'VS×ケイパビリティ関係'!$G$4:$G$494,AB$5,'VS×ケイパビリティ関係'!$E$4:$E$494,"主")&gt;0,"●",IF(COUNTIFS('VS×ケイパビリティ関係'!$F$4:$F$494,$B34,'VS×ケイパビリティ関係'!$G$4:$G$494,AB$5,'VS×ケイパビリティ関係'!$E$4:$E$494,"支援")&gt;0,"○",""))</f>
        <v/>
      </c>
      <c r="AC34" s="98">
        <f>IF(COUNTIFS('VS×ケイパビリティ関係'!$F$4:$F$494,$B34,'VS×ケイパビリティ関係'!$G$4:$G$494,AC$5,'VS×ケイパビリティ関係'!$E$4:$E$494,"主")&gt;0,"●",IF(COUNTIFS('VS×ケイパビリティ関係'!$F$4:$F$494,$B34,'VS×ケイパビリティ関係'!$G$4:$G$494,AC$5,'VS×ケイパビリティ関係'!$E$4:$E$494,"支援")&gt;0,"○",""))</f>
        <v/>
      </c>
      <c r="AD34" s="98">
        <f>IF(COUNTIFS('VS×ケイパビリティ関係'!$F$4:$F$494,$B34,'VS×ケイパビリティ関係'!$G$4:$G$494,AD$5,'VS×ケイパビリティ関係'!$E$4:$E$494,"主")&gt;0,"●",IF(COUNTIFS('VS×ケイパビリティ関係'!$F$4:$F$494,$B34,'VS×ケイパビリティ関係'!$G$4:$G$494,AD$5,'VS×ケイパビリティ関係'!$E$4:$E$494,"支援")&gt;0,"○",""))</f>
        <v/>
      </c>
      <c r="AE34" s="98">
        <f>IF(COUNTIFS('VS×ケイパビリティ関係'!$F$4:$F$494,$B34,'VS×ケイパビリティ関係'!$G$4:$G$494,AE$5,'VS×ケイパビリティ関係'!$E$4:$E$494,"主")&gt;0,"●",IF(COUNTIFS('VS×ケイパビリティ関係'!$F$4:$F$494,$B34,'VS×ケイパビリティ関係'!$G$4:$G$494,AE$5,'VS×ケイパビリティ関係'!$E$4:$E$494,"支援")&gt;0,"○",""))</f>
        <v/>
      </c>
      <c r="AF34" s="98">
        <f>IF(COUNTIFS('VS×ケイパビリティ関係'!$F$4:$F$494,$B34,'VS×ケイパビリティ関係'!$G$4:$G$494,AF$5,'VS×ケイパビリティ関係'!$E$4:$E$494,"主")&gt;0,"●",IF(COUNTIFS('VS×ケイパビリティ関係'!$F$4:$F$494,$B34,'VS×ケイパビリティ関係'!$G$4:$G$494,AF$5,'VS×ケイパビリティ関係'!$E$4:$E$494,"支援")&gt;0,"○",""))</f>
        <v/>
      </c>
      <c r="AG34" s="98">
        <f>IF(COUNTIFS('VS×ケイパビリティ関係'!$F$4:$F$494,$B34,'VS×ケイパビリティ関係'!$G$4:$G$494,AG$5,'VS×ケイパビリティ関係'!$E$4:$E$494,"主")&gt;0,"●",IF(COUNTIFS('VS×ケイパビリティ関係'!$F$4:$F$494,$B34,'VS×ケイパビリティ関係'!$G$4:$G$494,AG$5,'VS×ケイパビリティ関係'!$E$4:$E$494,"支援")&gt;0,"○",""))</f>
        <v/>
      </c>
      <c r="AH34" s="98">
        <f>IF(COUNTIFS('VS×ケイパビリティ関係'!$F$4:$F$494,$B34,'VS×ケイパビリティ関係'!$G$4:$G$494,AH$5,'VS×ケイパビリティ関係'!$E$4:$E$494,"主")&gt;0,"●",IF(COUNTIFS('VS×ケイパビリティ関係'!$F$4:$F$494,$B34,'VS×ケイパビリティ関係'!$G$4:$G$494,AH$5,'VS×ケイパビリティ関係'!$E$4:$E$494,"支援")&gt;0,"○",""))</f>
        <v/>
      </c>
      <c r="AI34" s="98">
        <f>IF(COUNTIFS('VS×ケイパビリティ関係'!$F$4:$F$494,$B34,'VS×ケイパビリティ関係'!$G$4:$G$494,AI$5,'VS×ケイパビリティ関係'!$E$4:$E$494,"主")&gt;0,"●",IF(COUNTIFS('VS×ケイパビリティ関係'!$F$4:$F$494,$B34,'VS×ケイパビリティ関係'!$G$4:$G$494,AI$5,'VS×ケイパビリティ関係'!$E$4:$E$494,"支援")&gt;0,"○",""))</f>
        <v/>
      </c>
      <c r="AJ34" s="98">
        <f>IF(COUNTIFS('VS×ケイパビリティ関係'!$F$4:$F$494,$B34,'VS×ケイパビリティ関係'!$G$4:$G$494,AJ$5,'VS×ケイパビリティ関係'!$E$4:$E$494,"主")&gt;0,"●",IF(COUNTIFS('VS×ケイパビリティ関係'!$F$4:$F$494,$B34,'VS×ケイパビリティ関係'!$G$4:$G$494,AJ$5,'VS×ケイパビリティ関係'!$E$4:$E$494,"支援")&gt;0,"○",""))</f>
        <v/>
      </c>
      <c r="AK34" s="98">
        <f>IF(COUNTIFS('VS×ケイパビリティ関係'!$F$4:$F$494,$B34,'VS×ケイパビリティ関係'!$G$4:$G$494,AK$5,'VS×ケイパビリティ関係'!$E$4:$E$494,"主")&gt;0,"●",IF(COUNTIFS('VS×ケイパビリティ関係'!$F$4:$F$494,$B34,'VS×ケイパビリティ関係'!$G$4:$G$494,AK$5,'VS×ケイパビリティ関係'!$E$4:$E$494,"支援")&gt;0,"○",""))</f>
        <v/>
      </c>
      <c r="AL34" s="98">
        <f>IF(COUNTIFS('VS×ケイパビリティ関係'!$F$4:$F$494,$B34,'VS×ケイパビリティ関係'!$G$4:$G$494,AL$5,'VS×ケイパビリティ関係'!$E$4:$E$494,"主")&gt;0,"●",IF(COUNTIFS('VS×ケイパビリティ関係'!$F$4:$F$494,$B34,'VS×ケイパビリティ関係'!$G$4:$G$494,AL$5,'VS×ケイパビリティ関係'!$E$4:$E$494,"支援")&gt;0,"○",""))</f>
        <v/>
      </c>
      <c r="AM34" s="98">
        <f>IF(COUNTIFS('VS×ケイパビリティ関係'!$F$4:$F$494,$B34,'VS×ケイパビリティ関係'!$G$4:$G$494,AM$5,'VS×ケイパビリティ関係'!$E$4:$E$494,"主")&gt;0,"●",IF(COUNTIFS('VS×ケイパビリティ関係'!$F$4:$F$494,$B34,'VS×ケイパビリティ関係'!$G$4:$G$494,AM$5,'VS×ケイパビリティ関係'!$E$4:$E$494,"支援")&gt;0,"○",""))</f>
        <v/>
      </c>
      <c r="AN34" s="98">
        <f>IF(COUNTIFS('VS×ケイパビリティ関係'!$F$4:$F$494,$B34,'VS×ケイパビリティ関係'!$G$4:$G$494,AN$5,'VS×ケイパビリティ関係'!$E$4:$E$494,"主")&gt;0,"●",IF(COUNTIFS('VS×ケイパビリティ関係'!$F$4:$F$494,$B34,'VS×ケイパビリティ関係'!$G$4:$G$494,AN$5,'VS×ケイパビリティ関係'!$E$4:$E$494,"支援")&gt;0,"○",""))</f>
        <v/>
      </c>
      <c r="AO34" s="98">
        <f>IF(COUNTIFS('VS×ケイパビリティ関係'!$F$4:$F$494,$B34,'VS×ケイパビリティ関係'!$G$4:$G$494,AO$5,'VS×ケイパビリティ関係'!$E$4:$E$494,"主")&gt;0,"●",IF(COUNTIFS('VS×ケイパビリティ関係'!$F$4:$F$494,$B34,'VS×ケイパビリティ関係'!$G$4:$G$494,AO$5,'VS×ケイパビリティ関係'!$E$4:$E$494,"支援")&gt;0,"○",""))</f>
        <v/>
      </c>
      <c r="AP34" s="98">
        <f>IF(COUNTIFS('VS×ケイパビリティ関係'!$F$4:$F$494,$B34,'VS×ケイパビリティ関係'!$G$4:$G$494,AP$5,'VS×ケイパビリティ関係'!$E$4:$E$494,"主")&gt;0,"●",IF(COUNTIFS('VS×ケイパビリティ関係'!$F$4:$F$494,$B34,'VS×ケイパビリティ関係'!$G$4:$G$494,AP$5,'VS×ケイパビリティ関係'!$E$4:$E$494,"支援")&gt;0,"○",""))</f>
        <v/>
      </c>
      <c r="AQ34" s="98">
        <f>IF(COUNTIFS('VS×ケイパビリティ関係'!$F$4:$F$494,$B34,'VS×ケイパビリティ関係'!$G$4:$G$494,AQ$5,'VS×ケイパビリティ関係'!$E$4:$E$494,"主")&gt;0,"●",IF(COUNTIFS('VS×ケイパビリティ関係'!$F$4:$F$494,$B34,'VS×ケイパビリティ関係'!$G$4:$G$494,AQ$5,'VS×ケイパビリティ関係'!$E$4:$E$494,"支援")&gt;0,"○",""))</f>
        <v/>
      </c>
      <c r="AR34" s="98">
        <f>IF(COUNTIFS('VS×ケイパビリティ関係'!$F$4:$F$494,$B34,'VS×ケイパビリティ関係'!$G$4:$G$494,AR$5,'VS×ケイパビリティ関係'!$E$4:$E$494,"主")&gt;0,"●",IF(COUNTIFS('VS×ケイパビリティ関係'!$F$4:$F$494,$B34,'VS×ケイパビリティ関係'!$G$4:$G$494,AR$5,'VS×ケイパビリティ関係'!$E$4:$E$494,"支援")&gt;0,"○",""))</f>
        <v/>
      </c>
      <c r="AS34" s="98">
        <f>IF(COUNTIFS('VS×ケイパビリティ関係'!$F$4:$F$494,$B34,'VS×ケイパビリティ関係'!$G$4:$G$494,AS$5,'VS×ケイパビリティ関係'!$E$4:$E$494,"主")&gt;0,"●",IF(COUNTIFS('VS×ケイパビリティ関係'!$F$4:$F$494,$B34,'VS×ケイパビリティ関係'!$G$4:$G$494,AS$5,'VS×ケイパビリティ関係'!$E$4:$E$494,"支援")&gt;0,"○",""))</f>
        <v/>
      </c>
      <c r="AT34" s="98">
        <f>IF(COUNTIFS('VS×ケイパビリティ関係'!$F$4:$F$494,$B34,'VS×ケイパビリティ関係'!$G$4:$G$494,AT$5,'VS×ケイパビリティ関係'!$E$4:$E$494,"主")&gt;0,"●",IF(COUNTIFS('VS×ケイパビリティ関係'!$F$4:$F$494,$B34,'VS×ケイパビリティ関係'!$G$4:$G$494,AT$5,'VS×ケイパビリティ関係'!$E$4:$E$494,"支援")&gt;0,"○",""))</f>
        <v/>
      </c>
      <c r="AU34" s="98">
        <f>IF(COUNTIFS('VS×ケイパビリティ関係'!$F$4:$F$494,$B34,'VS×ケイパビリティ関係'!$G$4:$G$494,AU$5,'VS×ケイパビリティ関係'!$E$4:$E$494,"主")&gt;0,"●",IF(COUNTIFS('VS×ケイパビリティ関係'!$F$4:$F$494,$B34,'VS×ケイパビリティ関係'!$G$4:$G$494,AU$5,'VS×ケイパビリティ関係'!$E$4:$E$494,"支援")&gt;0,"○",""))</f>
        <v/>
      </c>
      <c r="AV34" s="98">
        <f>IF(COUNTIFS('VS×ケイパビリティ関係'!$F$4:$F$494,$B34,'VS×ケイパビリティ関係'!$G$4:$G$494,AV$5,'VS×ケイパビリティ関係'!$E$4:$E$494,"主")&gt;0,"●",IF(COUNTIFS('VS×ケイパビリティ関係'!$F$4:$F$494,$B34,'VS×ケイパビリティ関係'!$G$4:$G$494,AV$5,'VS×ケイパビリティ関係'!$E$4:$E$494,"支援")&gt;0,"○",""))</f>
        <v/>
      </c>
      <c r="AW34" s="98">
        <f>IF(COUNTIFS('VS×ケイパビリティ関係'!$F$4:$F$494,$B34,'VS×ケイパビリティ関係'!$G$4:$G$494,AW$5,'VS×ケイパビリティ関係'!$E$4:$E$494,"主")&gt;0,"●",IF(COUNTIFS('VS×ケイパビリティ関係'!$F$4:$F$494,$B34,'VS×ケイパビリティ関係'!$G$4:$G$494,AW$5,'VS×ケイパビリティ関係'!$E$4:$E$494,"支援")&gt;0,"○",""))</f>
        <v/>
      </c>
      <c r="AX34" s="98">
        <f>IF(COUNTIFS('VS×ケイパビリティ関係'!$F$4:$F$494,$B34,'VS×ケイパビリティ関係'!$G$4:$G$494,AX$5,'VS×ケイパビリティ関係'!$E$4:$E$494,"主")&gt;0,"●",IF(COUNTIFS('VS×ケイパビリティ関係'!$F$4:$F$494,$B34,'VS×ケイパビリティ関係'!$G$4:$G$494,AX$5,'VS×ケイパビリティ関係'!$E$4:$E$494,"支援")&gt;0,"○",""))</f>
        <v/>
      </c>
      <c r="AY34" s="98">
        <f>IF(COUNTIFS('VS×ケイパビリティ関係'!$F$4:$F$494,$B34,'VS×ケイパビリティ関係'!$G$4:$G$494,AY$5,'VS×ケイパビリティ関係'!$E$4:$E$494,"主")&gt;0,"●",IF(COUNTIFS('VS×ケイパビリティ関係'!$F$4:$F$494,$B34,'VS×ケイパビリティ関係'!$G$4:$G$494,AY$5,'VS×ケイパビリティ関係'!$E$4:$E$494,"支援")&gt;0,"○",""))</f>
        <v/>
      </c>
      <c r="AZ34" s="98">
        <f>IF(COUNTIFS('VS×ケイパビリティ関係'!$F$4:$F$494,$B34,'VS×ケイパビリティ関係'!$G$4:$G$494,AZ$5,'VS×ケイパビリティ関係'!$E$4:$E$494,"主")&gt;0,"●",IF(COUNTIFS('VS×ケイパビリティ関係'!$F$4:$F$494,$B34,'VS×ケイパビリティ関係'!$G$4:$G$494,AZ$5,'VS×ケイパビリティ関係'!$E$4:$E$494,"支援")&gt;0,"○",""))</f>
        <v/>
      </c>
      <c r="BA34" s="98">
        <f>IF(COUNTIFS('VS×ケイパビリティ関係'!$F$4:$F$494,$B34,'VS×ケイパビリティ関係'!$G$4:$G$494,BA$5,'VS×ケイパビリティ関係'!$E$4:$E$494,"主")&gt;0,"●",IF(COUNTIFS('VS×ケイパビリティ関係'!$F$4:$F$494,$B34,'VS×ケイパビリティ関係'!$G$4:$G$494,BA$5,'VS×ケイパビリティ関係'!$E$4:$E$494,"支援")&gt;0,"○",""))</f>
        <v/>
      </c>
      <c r="BB34" s="98">
        <f>IF(COUNTIFS('VS×ケイパビリティ関係'!$F$4:$F$494,$B34,'VS×ケイパビリティ関係'!$G$4:$G$494,BB$5,'VS×ケイパビリティ関係'!$E$4:$E$494,"主")&gt;0,"●",IF(COUNTIFS('VS×ケイパビリティ関係'!$F$4:$F$494,$B34,'VS×ケイパビリティ関係'!$G$4:$G$494,BB$5,'VS×ケイパビリティ関係'!$E$4:$E$494,"支援")&gt;0,"○",""))</f>
        <v/>
      </c>
      <c r="BC34" s="98">
        <f>IF(COUNTIFS('VS×ケイパビリティ関係'!$F$4:$F$494,$B34,'VS×ケイパビリティ関係'!$G$4:$G$494,BC$5,'VS×ケイパビリティ関係'!$E$4:$E$494,"主")&gt;0,"●",IF(COUNTIFS('VS×ケイパビリティ関係'!$F$4:$F$494,$B34,'VS×ケイパビリティ関係'!$G$4:$G$494,BC$5,'VS×ケイパビリティ関係'!$E$4:$E$494,"支援")&gt;0,"○",""))</f>
        <v/>
      </c>
      <c r="BD34" s="98">
        <f>IF(COUNTIFS('VS×ケイパビリティ関係'!$F$4:$F$494,$B34,'VS×ケイパビリティ関係'!$G$4:$G$494,BD$5,'VS×ケイパビリティ関係'!$E$4:$E$494,"主")&gt;0,"●",IF(COUNTIFS('VS×ケイパビリティ関係'!$F$4:$F$494,$B34,'VS×ケイパビリティ関係'!$G$4:$G$494,BD$5,'VS×ケイパビリティ関係'!$E$4:$E$494,"支援")&gt;0,"○",""))</f>
        <v/>
      </c>
      <c r="BE34" s="98">
        <f>COUNTIF(D34:BD34,"●")</f>
        <v/>
      </c>
      <c r="BF34" s="98">
        <f>COUNTIF(D34:BD34,"○")</f>
        <v/>
      </c>
    </row>
    <row r="35" ht="15" customHeight="1" s="80">
      <c r="A35" s="116" t="n"/>
      <c r="B35" s="98" t="inlineStr">
        <is>
          <t>08-02</t>
        </is>
      </c>
      <c r="C35" s="100" t="inlineStr">
        <is>
          <t>コールドチェーン流通</t>
        </is>
      </c>
      <c r="D35" s="98">
        <f>IF(COUNTIFS('VS×ケイパビリティ関係'!$F$4:$F$494,$B35,'VS×ケイパビリティ関係'!$G$4:$G$494,D$5,'VS×ケイパビリティ関係'!$E$4:$E$494,"主")&gt;0,"●",IF(COUNTIFS('VS×ケイパビリティ関係'!$F$4:$F$494,$B35,'VS×ケイパビリティ関係'!$G$4:$G$494,D$5,'VS×ケイパビリティ関係'!$E$4:$E$494,"支援")&gt;0,"○",""))</f>
        <v/>
      </c>
      <c r="E35" s="98">
        <f>IF(COUNTIFS('VS×ケイパビリティ関係'!$F$4:$F$494,$B35,'VS×ケイパビリティ関係'!$G$4:$G$494,E$5,'VS×ケイパビリティ関係'!$E$4:$E$494,"主")&gt;0,"●",IF(COUNTIFS('VS×ケイパビリティ関係'!$F$4:$F$494,$B35,'VS×ケイパビリティ関係'!$G$4:$G$494,E$5,'VS×ケイパビリティ関係'!$E$4:$E$494,"支援")&gt;0,"○",""))</f>
        <v/>
      </c>
      <c r="F35" s="98">
        <f>IF(COUNTIFS('VS×ケイパビリティ関係'!$F$4:$F$494,$B35,'VS×ケイパビリティ関係'!$G$4:$G$494,F$5,'VS×ケイパビリティ関係'!$E$4:$E$494,"主")&gt;0,"●",IF(COUNTIFS('VS×ケイパビリティ関係'!$F$4:$F$494,$B35,'VS×ケイパビリティ関係'!$G$4:$G$494,F$5,'VS×ケイパビリティ関係'!$E$4:$E$494,"支援")&gt;0,"○",""))</f>
        <v/>
      </c>
      <c r="G35" s="98">
        <f>IF(COUNTIFS('VS×ケイパビリティ関係'!$F$4:$F$494,$B35,'VS×ケイパビリティ関係'!$G$4:$G$494,G$5,'VS×ケイパビリティ関係'!$E$4:$E$494,"主")&gt;0,"●",IF(COUNTIFS('VS×ケイパビリティ関係'!$F$4:$F$494,$B35,'VS×ケイパビリティ関係'!$G$4:$G$494,G$5,'VS×ケイパビリティ関係'!$E$4:$E$494,"支援")&gt;0,"○",""))</f>
        <v/>
      </c>
      <c r="H35" s="98">
        <f>IF(COUNTIFS('VS×ケイパビリティ関係'!$F$4:$F$494,$B35,'VS×ケイパビリティ関係'!$G$4:$G$494,H$5,'VS×ケイパビリティ関係'!$E$4:$E$494,"主")&gt;0,"●",IF(COUNTIFS('VS×ケイパビリティ関係'!$F$4:$F$494,$B35,'VS×ケイパビリティ関係'!$G$4:$G$494,H$5,'VS×ケイパビリティ関係'!$E$4:$E$494,"支援")&gt;0,"○",""))</f>
        <v/>
      </c>
      <c r="I35" s="98">
        <f>IF(COUNTIFS('VS×ケイパビリティ関係'!$F$4:$F$494,$B35,'VS×ケイパビリティ関係'!$G$4:$G$494,I$5,'VS×ケイパビリティ関係'!$E$4:$E$494,"主")&gt;0,"●",IF(COUNTIFS('VS×ケイパビリティ関係'!$F$4:$F$494,$B35,'VS×ケイパビリティ関係'!$G$4:$G$494,I$5,'VS×ケイパビリティ関係'!$E$4:$E$494,"支援")&gt;0,"○",""))</f>
        <v/>
      </c>
      <c r="J35" s="98">
        <f>IF(COUNTIFS('VS×ケイパビリティ関係'!$F$4:$F$494,$B35,'VS×ケイパビリティ関係'!$G$4:$G$494,J$5,'VS×ケイパビリティ関係'!$E$4:$E$494,"主")&gt;0,"●",IF(COUNTIFS('VS×ケイパビリティ関係'!$F$4:$F$494,$B35,'VS×ケイパビリティ関係'!$G$4:$G$494,J$5,'VS×ケイパビリティ関係'!$E$4:$E$494,"支援")&gt;0,"○",""))</f>
        <v/>
      </c>
      <c r="K35" s="98">
        <f>IF(COUNTIFS('VS×ケイパビリティ関係'!$F$4:$F$494,$B35,'VS×ケイパビリティ関係'!$G$4:$G$494,K$5,'VS×ケイパビリティ関係'!$E$4:$E$494,"主")&gt;0,"●",IF(COUNTIFS('VS×ケイパビリティ関係'!$F$4:$F$494,$B35,'VS×ケイパビリティ関係'!$G$4:$G$494,K$5,'VS×ケイパビリティ関係'!$E$4:$E$494,"支援")&gt;0,"○",""))</f>
        <v/>
      </c>
      <c r="L35" s="98">
        <f>IF(COUNTIFS('VS×ケイパビリティ関係'!$F$4:$F$494,$B35,'VS×ケイパビリティ関係'!$G$4:$G$494,L$5,'VS×ケイパビリティ関係'!$E$4:$E$494,"主")&gt;0,"●",IF(COUNTIFS('VS×ケイパビリティ関係'!$F$4:$F$494,$B35,'VS×ケイパビリティ関係'!$G$4:$G$494,L$5,'VS×ケイパビリティ関係'!$E$4:$E$494,"支援")&gt;0,"○",""))</f>
        <v/>
      </c>
      <c r="M35" s="98">
        <f>IF(COUNTIFS('VS×ケイパビリティ関係'!$F$4:$F$494,$B35,'VS×ケイパビリティ関係'!$G$4:$G$494,M$5,'VS×ケイパビリティ関係'!$E$4:$E$494,"主")&gt;0,"●",IF(COUNTIFS('VS×ケイパビリティ関係'!$F$4:$F$494,$B35,'VS×ケイパビリティ関係'!$G$4:$G$494,M$5,'VS×ケイパビリティ関係'!$E$4:$E$494,"支援")&gt;0,"○",""))</f>
        <v/>
      </c>
      <c r="N35" s="98">
        <f>IF(COUNTIFS('VS×ケイパビリティ関係'!$F$4:$F$494,$B35,'VS×ケイパビリティ関係'!$G$4:$G$494,N$5,'VS×ケイパビリティ関係'!$E$4:$E$494,"主")&gt;0,"●",IF(COUNTIFS('VS×ケイパビリティ関係'!$F$4:$F$494,$B35,'VS×ケイパビリティ関係'!$G$4:$G$494,N$5,'VS×ケイパビリティ関係'!$E$4:$E$494,"支援")&gt;0,"○",""))</f>
        <v/>
      </c>
      <c r="O35" s="98">
        <f>IF(COUNTIFS('VS×ケイパビリティ関係'!$F$4:$F$494,$B35,'VS×ケイパビリティ関係'!$G$4:$G$494,O$5,'VS×ケイパビリティ関係'!$E$4:$E$494,"主")&gt;0,"●",IF(COUNTIFS('VS×ケイパビリティ関係'!$F$4:$F$494,$B35,'VS×ケイパビリティ関係'!$G$4:$G$494,O$5,'VS×ケイパビリティ関係'!$E$4:$E$494,"支援")&gt;0,"○",""))</f>
        <v/>
      </c>
      <c r="P35" s="98">
        <f>IF(COUNTIFS('VS×ケイパビリティ関係'!$F$4:$F$494,$B35,'VS×ケイパビリティ関係'!$G$4:$G$494,P$5,'VS×ケイパビリティ関係'!$E$4:$E$494,"主")&gt;0,"●",IF(COUNTIFS('VS×ケイパビリティ関係'!$F$4:$F$494,$B35,'VS×ケイパビリティ関係'!$G$4:$G$494,P$5,'VS×ケイパビリティ関係'!$E$4:$E$494,"支援")&gt;0,"○",""))</f>
        <v/>
      </c>
      <c r="Q35" s="98">
        <f>IF(COUNTIFS('VS×ケイパビリティ関係'!$F$4:$F$494,$B35,'VS×ケイパビリティ関係'!$G$4:$G$494,Q$5,'VS×ケイパビリティ関係'!$E$4:$E$494,"主")&gt;0,"●",IF(COUNTIFS('VS×ケイパビリティ関係'!$F$4:$F$494,$B35,'VS×ケイパビリティ関係'!$G$4:$G$494,Q$5,'VS×ケイパビリティ関係'!$E$4:$E$494,"支援")&gt;0,"○",""))</f>
        <v/>
      </c>
      <c r="R35" s="98">
        <f>IF(COUNTIFS('VS×ケイパビリティ関係'!$F$4:$F$494,$B35,'VS×ケイパビリティ関係'!$G$4:$G$494,R$5,'VS×ケイパビリティ関係'!$E$4:$E$494,"主")&gt;0,"●",IF(COUNTIFS('VS×ケイパビリティ関係'!$F$4:$F$494,$B35,'VS×ケイパビリティ関係'!$G$4:$G$494,R$5,'VS×ケイパビリティ関係'!$E$4:$E$494,"支援")&gt;0,"○",""))</f>
        <v/>
      </c>
      <c r="S35" s="98">
        <f>IF(COUNTIFS('VS×ケイパビリティ関係'!$F$4:$F$494,$B35,'VS×ケイパビリティ関係'!$G$4:$G$494,S$5,'VS×ケイパビリティ関係'!$E$4:$E$494,"主")&gt;0,"●",IF(COUNTIFS('VS×ケイパビリティ関係'!$F$4:$F$494,$B35,'VS×ケイパビリティ関係'!$G$4:$G$494,S$5,'VS×ケイパビリティ関係'!$E$4:$E$494,"支援")&gt;0,"○",""))</f>
        <v/>
      </c>
      <c r="T35" s="98">
        <f>IF(COUNTIFS('VS×ケイパビリティ関係'!$F$4:$F$494,$B35,'VS×ケイパビリティ関係'!$G$4:$G$494,T$5,'VS×ケイパビリティ関係'!$E$4:$E$494,"主")&gt;0,"●",IF(COUNTIFS('VS×ケイパビリティ関係'!$F$4:$F$494,$B35,'VS×ケイパビリティ関係'!$G$4:$G$494,T$5,'VS×ケイパビリティ関係'!$E$4:$E$494,"支援")&gt;0,"○",""))</f>
        <v/>
      </c>
      <c r="U35" s="98">
        <f>IF(COUNTIFS('VS×ケイパビリティ関係'!$F$4:$F$494,$B35,'VS×ケイパビリティ関係'!$G$4:$G$494,U$5,'VS×ケイパビリティ関係'!$E$4:$E$494,"主")&gt;0,"●",IF(COUNTIFS('VS×ケイパビリティ関係'!$F$4:$F$494,$B35,'VS×ケイパビリティ関係'!$G$4:$G$494,U$5,'VS×ケイパビリティ関係'!$E$4:$E$494,"支援")&gt;0,"○",""))</f>
        <v/>
      </c>
      <c r="V35" s="98">
        <f>IF(COUNTIFS('VS×ケイパビリティ関係'!$F$4:$F$494,$B35,'VS×ケイパビリティ関係'!$G$4:$G$494,V$5,'VS×ケイパビリティ関係'!$E$4:$E$494,"主")&gt;0,"●",IF(COUNTIFS('VS×ケイパビリティ関係'!$F$4:$F$494,$B35,'VS×ケイパビリティ関係'!$G$4:$G$494,V$5,'VS×ケイパビリティ関係'!$E$4:$E$494,"支援")&gt;0,"○",""))</f>
        <v/>
      </c>
      <c r="W35" s="98">
        <f>IF(COUNTIFS('VS×ケイパビリティ関係'!$F$4:$F$494,$B35,'VS×ケイパビリティ関係'!$G$4:$G$494,W$5,'VS×ケイパビリティ関係'!$E$4:$E$494,"主")&gt;0,"●",IF(COUNTIFS('VS×ケイパビリティ関係'!$F$4:$F$494,$B35,'VS×ケイパビリティ関係'!$G$4:$G$494,W$5,'VS×ケイパビリティ関係'!$E$4:$E$494,"支援")&gt;0,"○",""))</f>
        <v/>
      </c>
      <c r="X35" s="98">
        <f>IF(COUNTIFS('VS×ケイパビリティ関係'!$F$4:$F$494,$B35,'VS×ケイパビリティ関係'!$G$4:$G$494,X$5,'VS×ケイパビリティ関係'!$E$4:$E$494,"主")&gt;0,"●",IF(COUNTIFS('VS×ケイパビリティ関係'!$F$4:$F$494,$B35,'VS×ケイパビリティ関係'!$G$4:$G$494,X$5,'VS×ケイパビリティ関係'!$E$4:$E$494,"支援")&gt;0,"○",""))</f>
        <v/>
      </c>
      <c r="Y35" s="98">
        <f>IF(COUNTIFS('VS×ケイパビリティ関係'!$F$4:$F$494,$B35,'VS×ケイパビリティ関係'!$G$4:$G$494,Y$5,'VS×ケイパビリティ関係'!$E$4:$E$494,"主")&gt;0,"●",IF(COUNTIFS('VS×ケイパビリティ関係'!$F$4:$F$494,$B35,'VS×ケイパビリティ関係'!$G$4:$G$494,Y$5,'VS×ケイパビリティ関係'!$E$4:$E$494,"支援")&gt;0,"○",""))</f>
        <v/>
      </c>
      <c r="Z35" s="98">
        <f>IF(COUNTIFS('VS×ケイパビリティ関係'!$F$4:$F$494,$B35,'VS×ケイパビリティ関係'!$G$4:$G$494,Z$5,'VS×ケイパビリティ関係'!$E$4:$E$494,"主")&gt;0,"●",IF(COUNTIFS('VS×ケイパビリティ関係'!$F$4:$F$494,$B35,'VS×ケイパビリティ関係'!$G$4:$G$494,Z$5,'VS×ケイパビリティ関係'!$E$4:$E$494,"支援")&gt;0,"○",""))</f>
        <v/>
      </c>
      <c r="AA35" s="98">
        <f>IF(COUNTIFS('VS×ケイパビリティ関係'!$F$4:$F$494,$B35,'VS×ケイパビリティ関係'!$G$4:$G$494,AA$5,'VS×ケイパビリティ関係'!$E$4:$E$494,"主")&gt;0,"●",IF(COUNTIFS('VS×ケイパビリティ関係'!$F$4:$F$494,$B35,'VS×ケイパビリティ関係'!$G$4:$G$494,AA$5,'VS×ケイパビリティ関係'!$E$4:$E$494,"支援")&gt;0,"○",""))</f>
        <v/>
      </c>
      <c r="AB35" s="98">
        <f>IF(COUNTIFS('VS×ケイパビリティ関係'!$F$4:$F$494,$B35,'VS×ケイパビリティ関係'!$G$4:$G$494,AB$5,'VS×ケイパビリティ関係'!$E$4:$E$494,"主")&gt;0,"●",IF(COUNTIFS('VS×ケイパビリティ関係'!$F$4:$F$494,$B35,'VS×ケイパビリティ関係'!$G$4:$G$494,AB$5,'VS×ケイパビリティ関係'!$E$4:$E$494,"支援")&gt;0,"○",""))</f>
        <v/>
      </c>
      <c r="AC35" s="98">
        <f>IF(COUNTIFS('VS×ケイパビリティ関係'!$F$4:$F$494,$B35,'VS×ケイパビリティ関係'!$G$4:$G$494,AC$5,'VS×ケイパビリティ関係'!$E$4:$E$494,"主")&gt;0,"●",IF(COUNTIFS('VS×ケイパビリティ関係'!$F$4:$F$494,$B35,'VS×ケイパビリティ関係'!$G$4:$G$494,AC$5,'VS×ケイパビリティ関係'!$E$4:$E$494,"支援")&gt;0,"○",""))</f>
        <v/>
      </c>
      <c r="AD35" s="98">
        <f>IF(COUNTIFS('VS×ケイパビリティ関係'!$F$4:$F$494,$B35,'VS×ケイパビリティ関係'!$G$4:$G$494,AD$5,'VS×ケイパビリティ関係'!$E$4:$E$494,"主")&gt;0,"●",IF(COUNTIFS('VS×ケイパビリティ関係'!$F$4:$F$494,$B35,'VS×ケイパビリティ関係'!$G$4:$G$494,AD$5,'VS×ケイパビリティ関係'!$E$4:$E$494,"支援")&gt;0,"○",""))</f>
        <v/>
      </c>
      <c r="AE35" s="98">
        <f>IF(COUNTIFS('VS×ケイパビリティ関係'!$F$4:$F$494,$B35,'VS×ケイパビリティ関係'!$G$4:$G$494,AE$5,'VS×ケイパビリティ関係'!$E$4:$E$494,"主")&gt;0,"●",IF(COUNTIFS('VS×ケイパビリティ関係'!$F$4:$F$494,$B35,'VS×ケイパビリティ関係'!$G$4:$G$494,AE$5,'VS×ケイパビリティ関係'!$E$4:$E$494,"支援")&gt;0,"○",""))</f>
        <v/>
      </c>
      <c r="AF35" s="98">
        <f>IF(COUNTIFS('VS×ケイパビリティ関係'!$F$4:$F$494,$B35,'VS×ケイパビリティ関係'!$G$4:$G$494,AF$5,'VS×ケイパビリティ関係'!$E$4:$E$494,"主")&gt;0,"●",IF(COUNTIFS('VS×ケイパビリティ関係'!$F$4:$F$494,$B35,'VS×ケイパビリティ関係'!$G$4:$G$494,AF$5,'VS×ケイパビリティ関係'!$E$4:$E$494,"支援")&gt;0,"○",""))</f>
        <v/>
      </c>
      <c r="AG35" s="98">
        <f>IF(COUNTIFS('VS×ケイパビリティ関係'!$F$4:$F$494,$B35,'VS×ケイパビリティ関係'!$G$4:$G$494,AG$5,'VS×ケイパビリティ関係'!$E$4:$E$494,"主")&gt;0,"●",IF(COUNTIFS('VS×ケイパビリティ関係'!$F$4:$F$494,$B35,'VS×ケイパビリティ関係'!$G$4:$G$494,AG$5,'VS×ケイパビリティ関係'!$E$4:$E$494,"支援")&gt;0,"○",""))</f>
        <v/>
      </c>
      <c r="AH35" s="98">
        <f>IF(COUNTIFS('VS×ケイパビリティ関係'!$F$4:$F$494,$B35,'VS×ケイパビリティ関係'!$G$4:$G$494,AH$5,'VS×ケイパビリティ関係'!$E$4:$E$494,"主")&gt;0,"●",IF(COUNTIFS('VS×ケイパビリティ関係'!$F$4:$F$494,$B35,'VS×ケイパビリティ関係'!$G$4:$G$494,AH$5,'VS×ケイパビリティ関係'!$E$4:$E$494,"支援")&gt;0,"○",""))</f>
        <v/>
      </c>
      <c r="AI35" s="98">
        <f>IF(COUNTIFS('VS×ケイパビリティ関係'!$F$4:$F$494,$B35,'VS×ケイパビリティ関係'!$G$4:$G$494,AI$5,'VS×ケイパビリティ関係'!$E$4:$E$494,"主")&gt;0,"●",IF(COUNTIFS('VS×ケイパビリティ関係'!$F$4:$F$494,$B35,'VS×ケイパビリティ関係'!$G$4:$G$494,AI$5,'VS×ケイパビリティ関係'!$E$4:$E$494,"支援")&gt;0,"○",""))</f>
        <v/>
      </c>
      <c r="AJ35" s="98">
        <f>IF(COUNTIFS('VS×ケイパビリティ関係'!$F$4:$F$494,$B35,'VS×ケイパビリティ関係'!$G$4:$G$494,AJ$5,'VS×ケイパビリティ関係'!$E$4:$E$494,"主")&gt;0,"●",IF(COUNTIFS('VS×ケイパビリティ関係'!$F$4:$F$494,$B35,'VS×ケイパビリティ関係'!$G$4:$G$494,AJ$5,'VS×ケイパビリティ関係'!$E$4:$E$494,"支援")&gt;0,"○",""))</f>
        <v/>
      </c>
      <c r="AK35" s="98">
        <f>IF(COUNTIFS('VS×ケイパビリティ関係'!$F$4:$F$494,$B35,'VS×ケイパビリティ関係'!$G$4:$G$494,AK$5,'VS×ケイパビリティ関係'!$E$4:$E$494,"主")&gt;0,"●",IF(COUNTIFS('VS×ケイパビリティ関係'!$F$4:$F$494,$B35,'VS×ケイパビリティ関係'!$G$4:$G$494,AK$5,'VS×ケイパビリティ関係'!$E$4:$E$494,"支援")&gt;0,"○",""))</f>
        <v/>
      </c>
      <c r="AL35" s="98">
        <f>IF(COUNTIFS('VS×ケイパビリティ関係'!$F$4:$F$494,$B35,'VS×ケイパビリティ関係'!$G$4:$G$494,AL$5,'VS×ケイパビリティ関係'!$E$4:$E$494,"主")&gt;0,"●",IF(COUNTIFS('VS×ケイパビリティ関係'!$F$4:$F$494,$B35,'VS×ケイパビリティ関係'!$G$4:$G$494,AL$5,'VS×ケイパビリティ関係'!$E$4:$E$494,"支援")&gt;0,"○",""))</f>
        <v/>
      </c>
      <c r="AM35" s="98">
        <f>IF(COUNTIFS('VS×ケイパビリティ関係'!$F$4:$F$494,$B35,'VS×ケイパビリティ関係'!$G$4:$G$494,AM$5,'VS×ケイパビリティ関係'!$E$4:$E$494,"主")&gt;0,"●",IF(COUNTIFS('VS×ケイパビリティ関係'!$F$4:$F$494,$B35,'VS×ケイパビリティ関係'!$G$4:$G$494,AM$5,'VS×ケイパビリティ関係'!$E$4:$E$494,"支援")&gt;0,"○",""))</f>
        <v/>
      </c>
      <c r="AN35" s="98">
        <f>IF(COUNTIFS('VS×ケイパビリティ関係'!$F$4:$F$494,$B35,'VS×ケイパビリティ関係'!$G$4:$G$494,AN$5,'VS×ケイパビリティ関係'!$E$4:$E$494,"主")&gt;0,"●",IF(COUNTIFS('VS×ケイパビリティ関係'!$F$4:$F$494,$B35,'VS×ケイパビリティ関係'!$G$4:$G$494,AN$5,'VS×ケイパビリティ関係'!$E$4:$E$494,"支援")&gt;0,"○",""))</f>
        <v/>
      </c>
      <c r="AO35" s="98">
        <f>IF(COUNTIFS('VS×ケイパビリティ関係'!$F$4:$F$494,$B35,'VS×ケイパビリティ関係'!$G$4:$G$494,AO$5,'VS×ケイパビリティ関係'!$E$4:$E$494,"主")&gt;0,"●",IF(COUNTIFS('VS×ケイパビリティ関係'!$F$4:$F$494,$B35,'VS×ケイパビリティ関係'!$G$4:$G$494,AO$5,'VS×ケイパビリティ関係'!$E$4:$E$494,"支援")&gt;0,"○",""))</f>
        <v/>
      </c>
      <c r="AP35" s="98">
        <f>IF(COUNTIFS('VS×ケイパビリティ関係'!$F$4:$F$494,$B35,'VS×ケイパビリティ関係'!$G$4:$G$494,AP$5,'VS×ケイパビリティ関係'!$E$4:$E$494,"主")&gt;0,"●",IF(COUNTIFS('VS×ケイパビリティ関係'!$F$4:$F$494,$B35,'VS×ケイパビリティ関係'!$G$4:$G$494,AP$5,'VS×ケイパビリティ関係'!$E$4:$E$494,"支援")&gt;0,"○",""))</f>
        <v/>
      </c>
      <c r="AQ35" s="98">
        <f>IF(COUNTIFS('VS×ケイパビリティ関係'!$F$4:$F$494,$B35,'VS×ケイパビリティ関係'!$G$4:$G$494,AQ$5,'VS×ケイパビリティ関係'!$E$4:$E$494,"主")&gt;0,"●",IF(COUNTIFS('VS×ケイパビリティ関係'!$F$4:$F$494,$B35,'VS×ケイパビリティ関係'!$G$4:$G$494,AQ$5,'VS×ケイパビリティ関係'!$E$4:$E$494,"支援")&gt;0,"○",""))</f>
        <v/>
      </c>
      <c r="AR35" s="98">
        <f>IF(COUNTIFS('VS×ケイパビリティ関係'!$F$4:$F$494,$B35,'VS×ケイパビリティ関係'!$G$4:$G$494,AR$5,'VS×ケイパビリティ関係'!$E$4:$E$494,"主")&gt;0,"●",IF(COUNTIFS('VS×ケイパビリティ関係'!$F$4:$F$494,$B35,'VS×ケイパビリティ関係'!$G$4:$G$494,AR$5,'VS×ケイパビリティ関係'!$E$4:$E$494,"支援")&gt;0,"○",""))</f>
        <v/>
      </c>
      <c r="AS35" s="98">
        <f>IF(COUNTIFS('VS×ケイパビリティ関係'!$F$4:$F$494,$B35,'VS×ケイパビリティ関係'!$G$4:$G$494,AS$5,'VS×ケイパビリティ関係'!$E$4:$E$494,"主")&gt;0,"●",IF(COUNTIFS('VS×ケイパビリティ関係'!$F$4:$F$494,$B35,'VS×ケイパビリティ関係'!$G$4:$G$494,AS$5,'VS×ケイパビリティ関係'!$E$4:$E$494,"支援")&gt;0,"○",""))</f>
        <v/>
      </c>
      <c r="AT35" s="98">
        <f>IF(COUNTIFS('VS×ケイパビリティ関係'!$F$4:$F$494,$B35,'VS×ケイパビリティ関係'!$G$4:$G$494,AT$5,'VS×ケイパビリティ関係'!$E$4:$E$494,"主")&gt;0,"●",IF(COUNTIFS('VS×ケイパビリティ関係'!$F$4:$F$494,$B35,'VS×ケイパビリティ関係'!$G$4:$G$494,AT$5,'VS×ケイパビリティ関係'!$E$4:$E$494,"支援")&gt;0,"○",""))</f>
        <v/>
      </c>
      <c r="AU35" s="98">
        <f>IF(COUNTIFS('VS×ケイパビリティ関係'!$F$4:$F$494,$B35,'VS×ケイパビリティ関係'!$G$4:$G$494,AU$5,'VS×ケイパビリティ関係'!$E$4:$E$494,"主")&gt;0,"●",IF(COUNTIFS('VS×ケイパビリティ関係'!$F$4:$F$494,$B35,'VS×ケイパビリティ関係'!$G$4:$G$494,AU$5,'VS×ケイパビリティ関係'!$E$4:$E$494,"支援")&gt;0,"○",""))</f>
        <v/>
      </c>
      <c r="AV35" s="98">
        <f>IF(COUNTIFS('VS×ケイパビリティ関係'!$F$4:$F$494,$B35,'VS×ケイパビリティ関係'!$G$4:$G$494,AV$5,'VS×ケイパビリティ関係'!$E$4:$E$494,"主")&gt;0,"●",IF(COUNTIFS('VS×ケイパビリティ関係'!$F$4:$F$494,$B35,'VS×ケイパビリティ関係'!$G$4:$G$494,AV$5,'VS×ケイパビリティ関係'!$E$4:$E$494,"支援")&gt;0,"○",""))</f>
        <v/>
      </c>
      <c r="AW35" s="98">
        <f>IF(COUNTIFS('VS×ケイパビリティ関係'!$F$4:$F$494,$B35,'VS×ケイパビリティ関係'!$G$4:$G$494,AW$5,'VS×ケイパビリティ関係'!$E$4:$E$494,"主")&gt;0,"●",IF(COUNTIFS('VS×ケイパビリティ関係'!$F$4:$F$494,$B35,'VS×ケイパビリティ関係'!$G$4:$G$494,AW$5,'VS×ケイパビリティ関係'!$E$4:$E$494,"支援")&gt;0,"○",""))</f>
        <v/>
      </c>
      <c r="AX35" s="98">
        <f>IF(COUNTIFS('VS×ケイパビリティ関係'!$F$4:$F$494,$B35,'VS×ケイパビリティ関係'!$G$4:$G$494,AX$5,'VS×ケイパビリティ関係'!$E$4:$E$494,"主")&gt;0,"●",IF(COUNTIFS('VS×ケイパビリティ関係'!$F$4:$F$494,$B35,'VS×ケイパビリティ関係'!$G$4:$G$494,AX$5,'VS×ケイパビリティ関係'!$E$4:$E$494,"支援")&gt;0,"○",""))</f>
        <v/>
      </c>
      <c r="AY35" s="98">
        <f>IF(COUNTIFS('VS×ケイパビリティ関係'!$F$4:$F$494,$B35,'VS×ケイパビリティ関係'!$G$4:$G$494,AY$5,'VS×ケイパビリティ関係'!$E$4:$E$494,"主")&gt;0,"●",IF(COUNTIFS('VS×ケイパビリティ関係'!$F$4:$F$494,$B35,'VS×ケイパビリティ関係'!$G$4:$G$494,AY$5,'VS×ケイパビリティ関係'!$E$4:$E$494,"支援")&gt;0,"○",""))</f>
        <v/>
      </c>
      <c r="AZ35" s="98">
        <f>IF(COUNTIFS('VS×ケイパビリティ関係'!$F$4:$F$494,$B35,'VS×ケイパビリティ関係'!$G$4:$G$494,AZ$5,'VS×ケイパビリティ関係'!$E$4:$E$494,"主")&gt;0,"●",IF(COUNTIFS('VS×ケイパビリティ関係'!$F$4:$F$494,$B35,'VS×ケイパビリティ関係'!$G$4:$G$494,AZ$5,'VS×ケイパビリティ関係'!$E$4:$E$494,"支援")&gt;0,"○",""))</f>
        <v/>
      </c>
      <c r="BA35" s="98">
        <f>IF(COUNTIFS('VS×ケイパビリティ関係'!$F$4:$F$494,$B35,'VS×ケイパビリティ関係'!$G$4:$G$494,BA$5,'VS×ケイパビリティ関係'!$E$4:$E$494,"主")&gt;0,"●",IF(COUNTIFS('VS×ケイパビリティ関係'!$F$4:$F$494,$B35,'VS×ケイパビリティ関係'!$G$4:$G$494,BA$5,'VS×ケイパビリティ関係'!$E$4:$E$494,"支援")&gt;0,"○",""))</f>
        <v/>
      </c>
      <c r="BB35" s="98">
        <f>IF(COUNTIFS('VS×ケイパビリティ関係'!$F$4:$F$494,$B35,'VS×ケイパビリティ関係'!$G$4:$G$494,BB$5,'VS×ケイパビリティ関係'!$E$4:$E$494,"主")&gt;0,"●",IF(COUNTIFS('VS×ケイパビリティ関係'!$F$4:$F$494,$B35,'VS×ケイパビリティ関係'!$G$4:$G$494,BB$5,'VS×ケイパビリティ関係'!$E$4:$E$494,"支援")&gt;0,"○",""))</f>
        <v/>
      </c>
      <c r="BC35" s="98">
        <f>IF(COUNTIFS('VS×ケイパビリティ関係'!$F$4:$F$494,$B35,'VS×ケイパビリティ関係'!$G$4:$G$494,BC$5,'VS×ケイパビリティ関係'!$E$4:$E$494,"主")&gt;0,"●",IF(COUNTIFS('VS×ケイパビリティ関係'!$F$4:$F$494,$B35,'VS×ケイパビリティ関係'!$G$4:$G$494,BC$5,'VS×ケイパビリティ関係'!$E$4:$E$494,"支援")&gt;0,"○",""))</f>
        <v/>
      </c>
      <c r="BD35" s="98">
        <f>IF(COUNTIFS('VS×ケイパビリティ関係'!$F$4:$F$494,$B35,'VS×ケイパビリティ関係'!$G$4:$G$494,BD$5,'VS×ケイパビリティ関係'!$E$4:$E$494,"主")&gt;0,"●",IF(COUNTIFS('VS×ケイパビリティ関係'!$F$4:$F$494,$B35,'VS×ケイパビリティ関係'!$G$4:$G$494,BD$5,'VS×ケイパビリティ関係'!$E$4:$E$494,"支援")&gt;0,"○",""))</f>
        <v/>
      </c>
      <c r="BE35" s="98">
        <f>COUNTIF(D35:BD35,"●")</f>
        <v/>
      </c>
      <c r="BF35" s="98">
        <f>COUNTIF(D35:BD35,"○")</f>
        <v/>
      </c>
    </row>
    <row r="36" ht="15" customHeight="1" s="80">
      <c r="A36" s="116" t="n"/>
      <c r="B36" s="98" t="inlineStr">
        <is>
          <t>08-03</t>
        </is>
      </c>
      <c r="C36" s="100" t="inlineStr">
        <is>
          <t>医療機関・薬局への納入</t>
        </is>
      </c>
      <c r="D36" s="98">
        <f>IF(COUNTIFS('VS×ケイパビリティ関係'!$F$4:$F$494,$B36,'VS×ケイパビリティ関係'!$G$4:$G$494,D$5,'VS×ケイパビリティ関係'!$E$4:$E$494,"主")&gt;0,"●",IF(COUNTIFS('VS×ケイパビリティ関係'!$F$4:$F$494,$B36,'VS×ケイパビリティ関係'!$G$4:$G$494,D$5,'VS×ケイパビリティ関係'!$E$4:$E$494,"支援")&gt;0,"○",""))</f>
        <v/>
      </c>
      <c r="E36" s="98">
        <f>IF(COUNTIFS('VS×ケイパビリティ関係'!$F$4:$F$494,$B36,'VS×ケイパビリティ関係'!$G$4:$G$494,E$5,'VS×ケイパビリティ関係'!$E$4:$E$494,"主")&gt;0,"●",IF(COUNTIFS('VS×ケイパビリティ関係'!$F$4:$F$494,$B36,'VS×ケイパビリティ関係'!$G$4:$G$494,E$5,'VS×ケイパビリティ関係'!$E$4:$E$494,"支援")&gt;0,"○",""))</f>
        <v/>
      </c>
      <c r="F36" s="98">
        <f>IF(COUNTIFS('VS×ケイパビリティ関係'!$F$4:$F$494,$B36,'VS×ケイパビリティ関係'!$G$4:$G$494,F$5,'VS×ケイパビリティ関係'!$E$4:$E$494,"主")&gt;0,"●",IF(COUNTIFS('VS×ケイパビリティ関係'!$F$4:$F$494,$B36,'VS×ケイパビリティ関係'!$G$4:$G$494,F$5,'VS×ケイパビリティ関係'!$E$4:$E$494,"支援")&gt;0,"○",""))</f>
        <v/>
      </c>
      <c r="G36" s="98">
        <f>IF(COUNTIFS('VS×ケイパビリティ関係'!$F$4:$F$494,$B36,'VS×ケイパビリティ関係'!$G$4:$G$494,G$5,'VS×ケイパビリティ関係'!$E$4:$E$494,"主")&gt;0,"●",IF(COUNTIFS('VS×ケイパビリティ関係'!$F$4:$F$494,$B36,'VS×ケイパビリティ関係'!$G$4:$G$494,G$5,'VS×ケイパビリティ関係'!$E$4:$E$494,"支援")&gt;0,"○",""))</f>
        <v/>
      </c>
      <c r="H36" s="98">
        <f>IF(COUNTIFS('VS×ケイパビリティ関係'!$F$4:$F$494,$B36,'VS×ケイパビリティ関係'!$G$4:$G$494,H$5,'VS×ケイパビリティ関係'!$E$4:$E$494,"主")&gt;0,"●",IF(COUNTIFS('VS×ケイパビリティ関係'!$F$4:$F$494,$B36,'VS×ケイパビリティ関係'!$G$4:$G$494,H$5,'VS×ケイパビリティ関係'!$E$4:$E$494,"支援")&gt;0,"○",""))</f>
        <v/>
      </c>
      <c r="I36" s="98">
        <f>IF(COUNTIFS('VS×ケイパビリティ関係'!$F$4:$F$494,$B36,'VS×ケイパビリティ関係'!$G$4:$G$494,I$5,'VS×ケイパビリティ関係'!$E$4:$E$494,"主")&gt;0,"●",IF(COUNTIFS('VS×ケイパビリティ関係'!$F$4:$F$494,$B36,'VS×ケイパビリティ関係'!$G$4:$G$494,I$5,'VS×ケイパビリティ関係'!$E$4:$E$494,"支援")&gt;0,"○",""))</f>
        <v/>
      </c>
      <c r="J36" s="98">
        <f>IF(COUNTIFS('VS×ケイパビリティ関係'!$F$4:$F$494,$B36,'VS×ケイパビリティ関係'!$G$4:$G$494,J$5,'VS×ケイパビリティ関係'!$E$4:$E$494,"主")&gt;0,"●",IF(COUNTIFS('VS×ケイパビリティ関係'!$F$4:$F$494,$B36,'VS×ケイパビリティ関係'!$G$4:$G$494,J$5,'VS×ケイパビリティ関係'!$E$4:$E$494,"支援")&gt;0,"○",""))</f>
        <v/>
      </c>
      <c r="K36" s="98">
        <f>IF(COUNTIFS('VS×ケイパビリティ関係'!$F$4:$F$494,$B36,'VS×ケイパビリティ関係'!$G$4:$G$494,K$5,'VS×ケイパビリティ関係'!$E$4:$E$494,"主")&gt;0,"●",IF(COUNTIFS('VS×ケイパビリティ関係'!$F$4:$F$494,$B36,'VS×ケイパビリティ関係'!$G$4:$G$494,K$5,'VS×ケイパビリティ関係'!$E$4:$E$494,"支援")&gt;0,"○",""))</f>
        <v/>
      </c>
      <c r="L36" s="98">
        <f>IF(COUNTIFS('VS×ケイパビリティ関係'!$F$4:$F$494,$B36,'VS×ケイパビリティ関係'!$G$4:$G$494,L$5,'VS×ケイパビリティ関係'!$E$4:$E$494,"主")&gt;0,"●",IF(COUNTIFS('VS×ケイパビリティ関係'!$F$4:$F$494,$B36,'VS×ケイパビリティ関係'!$G$4:$G$494,L$5,'VS×ケイパビリティ関係'!$E$4:$E$494,"支援")&gt;0,"○",""))</f>
        <v/>
      </c>
      <c r="M36" s="98">
        <f>IF(COUNTIFS('VS×ケイパビリティ関係'!$F$4:$F$494,$B36,'VS×ケイパビリティ関係'!$G$4:$G$494,M$5,'VS×ケイパビリティ関係'!$E$4:$E$494,"主")&gt;0,"●",IF(COUNTIFS('VS×ケイパビリティ関係'!$F$4:$F$494,$B36,'VS×ケイパビリティ関係'!$G$4:$G$494,M$5,'VS×ケイパビリティ関係'!$E$4:$E$494,"支援")&gt;0,"○",""))</f>
        <v/>
      </c>
      <c r="N36" s="98">
        <f>IF(COUNTIFS('VS×ケイパビリティ関係'!$F$4:$F$494,$B36,'VS×ケイパビリティ関係'!$G$4:$G$494,N$5,'VS×ケイパビリティ関係'!$E$4:$E$494,"主")&gt;0,"●",IF(COUNTIFS('VS×ケイパビリティ関係'!$F$4:$F$494,$B36,'VS×ケイパビリティ関係'!$G$4:$G$494,N$5,'VS×ケイパビリティ関係'!$E$4:$E$494,"支援")&gt;0,"○",""))</f>
        <v/>
      </c>
      <c r="O36" s="98">
        <f>IF(COUNTIFS('VS×ケイパビリティ関係'!$F$4:$F$494,$B36,'VS×ケイパビリティ関係'!$G$4:$G$494,O$5,'VS×ケイパビリティ関係'!$E$4:$E$494,"主")&gt;0,"●",IF(COUNTIFS('VS×ケイパビリティ関係'!$F$4:$F$494,$B36,'VS×ケイパビリティ関係'!$G$4:$G$494,O$5,'VS×ケイパビリティ関係'!$E$4:$E$494,"支援")&gt;0,"○",""))</f>
        <v/>
      </c>
      <c r="P36" s="98">
        <f>IF(COUNTIFS('VS×ケイパビリティ関係'!$F$4:$F$494,$B36,'VS×ケイパビリティ関係'!$G$4:$G$494,P$5,'VS×ケイパビリティ関係'!$E$4:$E$494,"主")&gt;0,"●",IF(COUNTIFS('VS×ケイパビリティ関係'!$F$4:$F$494,$B36,'VS×ケイパビリティ関係'!$G$4:$G$494,P$5,'VS×ケイパビリティ関係'!$E$4:$E$494,"支援")&gt;0,"○",""))</f>
        <v/>
      </c>
      <c r="Q36" s="98">
        <f>IF(COUNTIFS('VS×ケイパビリティ関係'!$F$4:$F$494,$B36,'VS×ケイパビリティ関係'!$G$4:$G$494,Q$5,'VS×ケイパビリティ関係'!$E$4:$E$494,"主")&gt;0,"●",IF(COUNTIFS('VS×ケイパビリティ関係'!$F$4:$F$494,$B36,'VS×ケイパビリティ関係'!$G$4:$G$494,Q$5,'VS×ケイパビリティ関係'!$E$4:$E$494,"支援")&gt;0,"○",""))</f>
        <v/>
      </c>
      <c r="R36" s="98">
        <f>IF(COUNTIFS('VS×ケイパビリティ関係'!$F$4:$F$494,$B36,'VS×ケイパビリティ関係'!$G$4:$G$494,R$5,'VS×ケイパビリティ関係'!$E$4:$E$494,"主")&gt;0,"●",IF(COUNTIFS('VS×ケイパビリティ関係'!$F$4:$F$494,$B36,'VS×ケイパビリティ関係'!$G$4:$G$494,R$5,'VS×ケイパビリティ関係'!$E$4:$E$494,"支援")&gt;0,"○",""))</f>
        <v/>
      </c>
      <c r="S36" s="98">
        <f>IF(COUNTIFS('VS×ケイパビリティ関係'!$F$4:$F$494,$B36,'VS×ケイパビリティ関係'!$G$4:$G$494,S$5,'VS×ケイパビリティ関係'!$E$4:$E$494,"主")&gt;0,"●",IF(COUNTIFS('VS×ケイパビリティ関係'!$F$4:$F$494,$B36,'VS×ケイパビリティ関係'!$G$4:$G$494,S$5,'VS×ケイパビリティ関係'!$E$4:$E$494,"支援")&gt;0,"○",""))</f>
        <v/>
      </c>
      <c r="T36" s="98">
        <f>IF(COUNTIFS('VS×ケイパビリティ関係'!$F$4:$F$494,$B36,'VS×ケイパビリティ関係'!$G$4:$G$494,T$5,'VS×ケイパビリティ関係'!$E$4:$E$494,"主")&gt;0,"●",IF(COUNTIFS('VS×ケイパビリティ関係'!$F$4:$F$494,$B36,'VS×ケイパビリティ関係'!$G$4:$G$494,T$5,'VS×ケイパビリティ関係'!$E$4:$E$494,"支援")&gt;0,"○",""))</f>
        <v/>
      </c>
      <c r="U36" s="98">
        <f>IF(COUNTIFS('VS×ケイパビリティ関係'!$F$4:$F$494,$B36,'VS×ケイパビリティ関係'!$G$4:$G$494,U$5,'VS×ケイパビリティ関係'!$E$4:$E$494,"主")&gt;0,"●",IF(COUNTIFS('VS×ケイパビリティ関係'!$F$4:$F$494,$B36,'VS×ケイパビリティ関係'!$G$4:$G$494,U$5,'VS×ケイパビリティ関係'!$E$4:$E$494,"支援")&gt;0,"○",""))</f>
        <v/>
      </c>
      <c r="V36" s="98">
        <f>IF(COUNTIFS('VS×ケイパビリティ関係'!$F$4:$F$494,$B36,'VS×ケイパビリティ関係'!$G$4:$G$494,V$5,'VS×ケイパビリティ関係'!$E$4:$E$494,"主")&gt;0,"●",IF(COUNTIFS('VS×ケイパビリティ関係'!$F$4:$F$494,$B36,'VS×ケイパビリティ関係'!$G$4:$G$494,V$5,'VS×ケイパビリティ関係'!$E$4:$E$494,"支援")&gt;0,"○",""))</f>
        <v/>
      </c>
      <c r="W36" s="98">
        <f>IF(COUNTIFS('VS×ケイパビリティ関係'!$F$4:$F$494,$B36,'VS×ケイパビリティ関係'!$G$4:$G$494,W$5,'VS×ケイパビリティ関係'!$E$4:$E$494,"主")&gt;0,"●",IF(COUNTIFS('VS×ケイパビリティ関係'!$F$4:$F$494,$B36,'VS×ケイパビリティ関係'!$G$4:$G$494,W$5,'VS×ケイパビリティ関係'!$E$4:$E$494,"支援")&gt;0,"○",""))</f>
        <v/>
      </c>
      <c r="X36" s="98">
        <f>IF(COUNTIFS('VS×ケイパビリティ関係'!$F$4:$F$494,$B36,'VS×ケイパビリティ関係'!$G$4:$G$494,X$5,'VS×ケイパビリティ関係'!$E$4:$E$494,"主")&gt;0,"●",IF(COUNTIFS('VS×ケイパビリティ関係'!$F$4:$F$494,$B36,'VS×ケイパビリティ関係'!$G$4:$G$494,X$5,'VS×ケイパビリティ関係'!$E$4:$E$494,"支援")&gt;0,"○",""))</f>
        <v/>
      </c>
      <c r="Y36" s="98">
        <f>IF(COUNTIFS('VS×ケイパビリティ関係'!$F$4:$F$494,$B36,'VS×ケイパビリティ関係'!$G$4:$G$494,Y$5,'VS×ケイパビリティ関係'!$E$4:$E$494,"主")&gt;0,"●",IF(COUNTIFS('VS×ケイパビリティ関係'!$F$4:$F$494,$B36,'VS×ケイパビリティ関係'!$G$4:$G$494,Y$5,'VS×ケイパビリティ関係'!$E$4:$E$494,"支援")&gt;0,"○",""))</f>
        <v/>
      </c>
      <c r="Z36" s="98">
        <f>IF(COUNTIFS('VS×ケイパビリティ関係'!$F$4:$F$494,$B36,'VS×ケイパビリティ関係'!$G$4:$G$494,Z$5,'VS×ケイパビリティ関係'!$E$4:$E$494,"主")&gt;0,"●",IF(COUNTIFS('VS×ケイパビリティ関係'!$F$4:$F$494,$B36,'VS×ケイパビリティ関係'!$G$4:$G$494,Z$5,'VS×ケイパビリティ関係'!$E$4:$E$494,"支援")&gt;0,"○",""))</f>
        <v/>
      </c>
      <c r="AA36" s="98">
        <f>IF(COUNTIFS('VS×ケイパビリティ関係'!$F$4:$F$494,$B36,'VS×ケイパビリティ関係'!$G$4:$G$494,AA$5,'VS×ケイパビリティ関係'!$E$4:$E$494,"主")&gt;0,"●",IF(COUNTIFS('VS×ケイパビリティ関係'!$F$4:$F$494,$B36,'VS×ケイパビリティ関係'!$G$4:$G$494,AA$5,'VS×ケイパビリティ関係'!$E$4:$E$494,"支援")&gt;0,"○",""))</f>
        <v/>
      </c>
      <c r="AB36" s="98">
        <f>IF(COUNTIFS('VS×ケイパビリティ関係'!$F$4:$F$494,$B36,'VS×ケイパビリティ関係'!$G$4:$G$494,AB$5,'VS×ケイパビリティ関係'!$E$4:$E$494,"主")&gt;0,"●",IF(COUNTIFS('VS×ケイパビリティ関係'!$F$4:$F$494,$B36,'VS×ケイパビリティ関係'!$G$4:$G$494,AB$5,'VS×ケイパビリティ関係'!$E$4:$E$494,"支援")&gt;0,"○",""))</f>
        <v/>
      </c>
      <c r="AC36" s="98">
        <f>IF(COUNTIFS('VS×ケイパビリティ関係'!$F$4:$F$494,$B36,'VS×ケイパビリティ関係'!$G$4:$G$494,AC$5,'VS×ケイパビリティ関係'!$E$4:$E$494,"主")&gt;0,"●",IF(COUNTIFS('VS×ケイパビリティ関係'!$F$4:$F$494,$B36,'VS×ケイパビリティ関係'!$G$4:$G$494,AC$5,'VS×ケイパビリティ関係'!$E$4:$E$494,"支援")&gt;0,"○",""))</f>
        <v/>
      </c>
      <c r="AD36" s="98">
        <f>IF(COUNTIFS('VS×ケイパビリティ関係'!$F$4:$F$494,$B36,'VS×ケイパビリティ関係'!$G$4:$G$494,AD$5,'VS×ケイパビリティ関係'!$E$4:$E$494,"主")&gt;0,"●",IF(COUNTIFS('VS×ケイパビリティ関係'!$F$4:$F$494,$B36,'VS×ケイパビリティ関係'!$G$4:$G$494,AD$5,'VS×ケイパビリティ関係'!$E$4:$E$494,"支援")&gt;0,"○",""))</f>
        <v/>
      </c>
      <c r="AE36" s="98">
        <f>IF(COUNTIFS('VS×ケイパビリティ関係'!$F$4:$F$494,$B36,'VS×ケイパビリティ関係'!$G$4:$G$494,AE$5,'VS×ケイパビリティ関係'!$E$4:$E$494,"主")&gt;0,"●",IF(COUNTIFS('VS×ケイパビリティ関係'!$F$4:$F$494,$B36,'VS×ケイパビリティ関係'!$G$4:$G$494,AE$5,'VS×ケイパビリティ関係'!$E$4:$E$494,"支援")&gt;0,"○",""))</f>
        <v/>
      </c>
      <c r="AF36" s="98">
        <f>IF(COUNTIFS('VS×ケイパビリティ関係'!$F$4:$F$494,$B36,'VS×ケイパビリティ関係'!$G$4:$G$494,AF$5,'VS×ケイパビリティ関係'!$E$4:$E$494,"主")&gt;0,"●",IF(COUNTIFS('VS×ケイパビリティ関係'!$F$4:$F$494,$B36,'VS×ケイパビリティ関係'!$G$4:$G$494,AF$5,'VS×ケイパビリティ関係'!$E$4:$E$494,"支援")&gt;0,"○",""))</f>
        <v/>
      </c>
      <c r="AG36" s="98">
        <f>IF(COUNTIFS('VS×ケイパビリティ関係'!$F$4:$F$494,$B36,'VS×ケイパビリティ関係'!$G$4:$G$494,AG$5,'VS×ケイパビリティ関係'!$E$4:$E$494,"主")&gt;0,"●",IF(COUNTIFS('VS×ケイパビリティ関係'!$F$4:$F$494,$B36,'VS×ケイパビリティ関係'!$G$4:$G$494,AG$5,'VS×ケイパビリティ関係'!$E$4:$E$494,"支援")&gt;0,"○",""))</f>
        <v/>
      </c>
      <c r="AH36" s="98">
        <f>IF(COUNTIFS('VS×ケイパビリティ関係'!$F$4:$F$494,$B36,'VS×ケイパビリティ関係'!$G$4:$G$494,AH$5,'VS×ケイパビリティ関係'!$E$4:$E$494,"主")&gt;0,"●",IF(COUNTIFS('VS×ケイパビリティ関係'!$F$4:$F$494,$B36,'VS×ケイパビリティ関係'!$G$4:$G$494,AH$5,'VS×ケイパビリティ関係'!$E$4:$E$494,"支援")&gt;0,"○",""))</f>
        <v/>
      </c>
      <c r="AI36" s="98">
        <f>IF(COUNTIFS('VS×ケイパビリティ関係'!$F$4:$F$494,$B36,'VS×ケイパビリティ関係'!$G$4:$G$494,AI$5,'VS×ケイパビリティ関係'!$E$4:$E$494,"主")&gt;0,"●",IF(COUNTIFS('VS×ケイパビリティ関係'!$F$4:$F$494,$B36,'VS×ケイパビリティ関係'!$G$4:$G$494,AI$5,'VS×ケイパビリティ関係'!$E$4:$E$494,"支援")&gt;0,"○",""))</f>
        <v/>
      </c>
      <c r="AJ36" s="98">
        <f>IF(COUNTIFS('VS×ケイパビリティ関係'!$F$4:$F$494,$B36,'VS×ケイパビリティ関係'!$G$4:$G$494,AJ$5,'VS×ケイパビリティ関係'!$E$4:$E$494,"主")&gt;0,"●",IF(COUNTIFS('VS×ケイパビリティ関係'!$F$4:$F$494,$B36,'VS×ケイパビリティ関係'!$G$4:$G$494,AJ$5,'VS×ケイパビリティ関係'!$E$4:$E$494,"支援")&gt;0,"○",""))</f>
        <v/>
      </c>
      <c r="AK36" s="98">
        <f>IF(COUNTIFS('VS×ケイパビリティ関係'!$F$4:$F$494,$B36,'VS×ケイパビリティ関係'!$G$4:$G$494,AK$5,'VS×ケイパビリティ関係'!$E$4:$E$494,"主")&gt;0,"●",IF(COUNTIFS('VS×ケイパビリティ関係'!$F$4:$F$494,$B36,'VS×ケイパビリティ関係'!$G$4:$G$494,AK$5,'VS×ケイパビリティ関係'!$E$4:$E$494,"支援")&gt;0,"○",""))</f>
        <v/>
      </c>
      <c r="AL36" s="98">
        <f>IF(COUNTIFS('VS×ケイパビリティ関係'!$F$4:$F$494,$B36,'VS×ケイパビリティ関係'!$G$4:$G$494,AL$5,'VS×ケイパビリティ関係'!$E$4:$E$494,"主")&gt;0,"●",IF(COUNTIFS('VS×ケイパビリティ関係'!$F$4:$F$494,$B36,'VS×ケイパビリティ関係'!$G$4:$G$494,AL$5,'VS×ケイパビリティ関係'!$E$4:$E$494,"支援")&gt;0,"○",""))</f>
        <v/>
      </c>
      <c r="AM36" s="98">
        <f>IF(COUNTIFS('VS×ケイパビリティ関係'!$F$4:$F$494,$B36,'VS×ケイパビリティ関係'!$G$4:$G$494,AM$5,'VS×ケイパビリティ関係'!$E$4:$E$494,"主")&gt;0,"●",IF(COUNTIFS('VS×ケイパビリティ関係'!$F$4:$F$494,$B36,'VS×ケイパビリティ関係'!$G$4:$G$494,AM$5,'VS×ケイパビリティ関係'!$E$4:$E$494,"支援")&gt;0,"○",""))</f>
        <v/>
      </c>
      <c r="AN36" s="98">
        <f>IF(COUNTIFS('VS×ケイパビリティ関係'!$F$4:$F$494,$B36,'VS×ケイパビリティ関係'!$G$4:$G$494,AN$5,'VS×ケイパビリティ関係'!$E$4:$E$494,"主")&gt;0,"●",IF(COUNTIFS('VS×ケイパビリティ関係'!$F$4:$F$494,$B36,'VS×ケイパビリティ関係'!$G$4:$G$494,AN$5,'VS×ケイパビリティ関係'!$E$4:$E$494,"支援")&gt;0,"○",""))</f>
        <v/>
      </c>
      <c r="AO36" s="98">
        <f>IF(COUNTIFS('VS×ケイパビリティ関係'!$F$4:$F$494,$B36,'VS×ケイパビリティ関係'!$G$4:$G$494,AO$5,'VS×ケイパビリティ関係'!$E$4:$E$494,"主")&gt;0,"●",IF(COUNTIFS('VS×ケイパビリティ関係'!$F$4:$F$494,$B36,'VS×ケイパビリティ関係'!$G$4:$G$494,AO$5,'VS×ケイパビリティ関係'!$E$4:$E$494,"支援")&gt;0,"○",""))</f>
        <v/>
      </c>
      <c r="AP36" s="98">
        <f>IF(COUNTIFS('VS×ケイパビリティ関係'!$F$4:$F$494,$B36,'VS×ケイパビリティ関係'!$G$4:$G$494,AP$5,'VS×ケイパビリティ関係'!$E$4:$E$494,"主")&gt;0,"●",IF(COUNTIFS('VS×ケイパビリティ関係'!$F$4:$F$494,$B36,'VS×ケイパビリティ関係'!$G$4:$G$494,AP$5,'VS×ケイパビリティ関係'!$E$4:$E$494,"支援")&gt;0,"○",""))</f>
        <v/>
      </c>
      <c r="AQ36" s="98">
        <f>IF(COUNTIFS('VS×ケイパビリティ関係'!$F$4:$F$494,$B36,'VS×ケイパビリティ関係'!$G$4:$G$494,AQ$5,'VS×ケイパビリティ関係'!$E$4:$E$494,"主")&gt;0,"●",IF(COUNTIFS('VS×ケイパビリティ関係'!$F$4:$F$494,$B36,'VS×ケイパビリティ関係'!$G$4:$G$494,AQ$5,'VS×ケイパビリティ関係'!$E$4:$E$494,"支援")&gt;0,"○",""))</f>
        <v/>
      </c>
      <c r="AR36" s="98">
        <f>IF(COUNTIFS('VS×ケイパビリティ関係'!$F$4:$F$494,$B36,'VS×ケイパビリティ関係'!$G$4:$G$494,AR$5,'VS×ケイパビリティ関係'!$E$4:$E$494,"主")&gt;0,"●",IF(COUNTIFS('VS×ケイパビリティ関係'!$F$4:$F$494,$B36,'VS×ケイパビリティ関係'!$G$4:$G$494,AR$5,'VS×ケイパビリティ関係'!$E$4:$E$494,"支援")&gt;0,"○",""))</f>
        <v/>
      </c>
      <c r="AS36" s="98">
        <f>IF(COUNTIFS('VS×ケイパビリティ関係'!$F$4:$F$494,$B36,'VS×ケイパビリティ関係'!$G$4:$G$494,AS$5,'VS×ケイパビリティ関係'!$E$4:$E$494,"主")&gt;0,"●",IF(COUNTIFS('VS×ケイパビリティ関係'!$F$4:$F$494,$B36,'VS×ケイパビリティ関係'!$G$4:$G$494,AS$5,'VS×ケイパビリティ関係'!$E$4:$E$494,"支援")&gt;0,"○",""))</f>
        <v/>
      </c>
      <c r="AT36" s="98">
        <f>IF(COUNTIFS('VS×ケイパビリティ関係'!$F$4:$F$494,$B36,'VS×ケイパビリティ関係'!$G$4:$G$494,AT$5,'VS×ケイパビリティ関係'!$E$4:$E$494,"主")&gt;0,"●",IF(COUNTIFS('VS×ケイパビリティ関係'!$F$4:$F$494,$B36,'VS×ケイパビリティ関係'!$G$4:$G$494,AT$5,'VS×ケイパビリティ関係'!$E$4:$E$494,"支援")&gt;0,"○",""))</f>
        <v/>
      </c>
      <c r="AU36" s="98">
        <f>IF(COUNTIFS('VS×ケイパビリティ関係'!$F$4:$F$494,$B36,'VS×ケイパビリティ関係'!$G$4:$G$494,AU$5,'VS×ケイパビリティ関係'!$E$4:$E$494,"主")&gt;0,"●",IF(COUNTIFS('VS×ケイパビリティ関係'!$F$4:$F$494,$B36,'VS×ケイパビリティ関係'!$G$4:$G$494,AU$5,'VS×ケイパビリティ関係'!$E$4:$E$494,"支援")&gt;0,"○",""))</f>
        <v/>
      </c>
      <c r="AV36" s="98">
        <f>IF(COUNTIFS('VS×ケイパビリティ関係'!$F$4:$F$494,$B36,'VS×ケイパビリティ関係'!$G$4:$G$494,AV$5,'VS×ケイパビリティ関係'!$E$4:$E$494,"主")&gt;0,"●",IF(COUNTIFS('VS×ケイパビリティ関係'!$F$4:$F$494,$B36,'VS×ケイパビリティ関係'!$G$4:$G$494,AV$5,'VS×ケイパビリティ関係'!$E$4:$E$494,"支援")&gt;0,"○",""))</f>
        <v/>
      </c>
      <c r="AW36" s="98">
        <f>IF(COUNTIFS('VS×ケイパビリティ関係'!$F$4:$F$494,$B36,'VS×ケイパビリティ関係'!$G$4:$G$494,AW$5,'VS×ケイパビリティ関係'!$E$4:$E$494,"主")&gt;0,"●",IF(COUNTIFS('VS×ケイパビリティ関係'!$F$4:$F$494,$B36,'VS×ケイパビリティ関係'!$G$4:$G$494,AW$5,'VS×ケイパビリティ関係'!$E$4:$E$494,"支援")&gt;0,"○",""))</f>
        <v/>
      </c>
      <c r="AX36" s="98">
        <f>IF(COUNTIFS('VS×ケイパビリティ関係'!$F$4:$F$494,$B36,'VS×ケイパビリティ関係'!$G$4:$G$494,AX$5,'VS×ケイパビリティ関係'!$E$4:$E$494,"主")&gt;0,"●",IF(COUNTIFS('VS×ケイパビリティ関係'!$F$4:$F$494,$B36,'VS×ケイパビリティ関係'!$G$4:$G$494,AX$5,'VS×ケイパビリティ関係'!$E$4:$E$494,"支援")&gt;0,"○",""))</f>
        <v/>
      </c>
      <c r="AY36" s="98">
        <f>IF(COUNTIFS('VS×ケイパビリティ関係'!$F$4:$F$494,$B36,'VS×ケイパビリティ関係'!$G$4:$G$494,AY$5,'VS×ケイパビリティ関係'!$E$4:$E$494,"主")&gt;0,"●",IF(COUNTIFS('VS×ケイパビリティ関係'!$F$4:$F$494,$B36,'VS×ケイパビリティ関係'!$G$4:$G$494,AY$5,'VS×ケイパビリティ関係'!$E$4:$E$494,"支援")&gt;0,"○",""))</f>
        <v/>
      </c>
      <c r="AZ36" s="98">
        <f>IF(COUNTIFS('VS×ケイパビリティ関係'!$F$4:$F$494,$B36,'VS×ケイパビリティ関係'!$G$4:$G$494,AZ$5,'VS×ケイパビリティ関係'!$E$4:$E$494,"主")&gt;0,"●",IF(COUNTIFS('VS×ケイパビリティ関係'!$F$4:$F$494,$B36,'VS×ケイパビリティ関係'!$G$4:$G$494,AZ$5,'VS×ケイパビリティ関係'!$E$4:$E$494,"支援")&gt;0,"○",""))</f>
        <v/>
      </c>
      <c r="BA36" s="98">
        <f>IF(COUNTIFS('VS×ケイパビリティ関係'!$F$4:$F$494,$B36,'VS×ケイパビリティ関係'!$G$4:$G$494,BA$5,'VS×ケイパビリティ関係'!$E$4:$E$494,"主")&gt;0,"●",IF(COUNTIFS('VS×ケイパビリティ関係'!$F$4:$F$494,$B36,'VS×ケイパビリティ関係'!$G$4:$G$494,BA$5,'VS×ケイパビリティ関係'!$E$4:$E$494,"支援")&gt;0,"○",""))</f>
        <v/>
      </c>
      <c r="BB36" s="98">
        <f>IF(COUNTIFS('VS×ケイパビリティ関係'!$F$4:$F$494,$B36,'VS×ケイパビリティ関係'!$G$4:$G$494,BB$5,'VS×ケイパビリティ関係'!$E$4:$E$494,"主")&gt;0,"●",IF(COUNTIFS('VS×ケイパビリティ関係'!$F$4:$F$494,$B36,'VS×ケイパビリティ関係'!$G$4:$G$494,BB$5,'VS×ケイパビリティ関係'!$E$4:$E$494,"支援")&gt;0,"○",""))</f>
        <v/>
      </c>
      <c r="BC36" s="98">
        <f>IF(COUNTIFS('VS×ケイパビリティ関係'!$F$4:$F$494,$B36,'VS×ケイパビリティ関係'!$G$4:$G$494,BC$5,'VS×ケイパビリティ関係'!$E$4:$E$494,"主")&gt;0,"●",IF(COUNTIFS('VS×ケイパビリティ関係'!$F$4:$F$494,$B36,'VS×ケイパビリティ関係'!$G$4:$G$494,BC$5,'VS×ケイパビリティ関係'!$E$4:$E$494,"支援")&gt;0,"○",""))</f>
        <v/>
      </c>
      <c r="BD36" s="98">
        <f>IF(COUNTIFS('VS×ケイパビリティ関係'!$F$4:$F$494,$B36,'VS×ケイパビリティ関係'!$G$4:$G$494,BD$5,'VS×ケイパビリティ関係'!$E$4:$E$494,"主")&gt;0,"●",IF(COUNTIFS('VS×ケイパビリティ関係'!$F$4:$F$494,$B36,'VS×ケイパビリティ関係'!$G$4:$G$494,BD$5,'VS×ケイパビリティ関係'!$E$4:$E$494,"支援")&gt;0,"○",""))</f>
        <v/>
      </c>
      <c r="BE36" s="98">
        <f>COUNTIF(D36:BD36,"●")</f>
        <v/>
      </c>
      <c r="BF36" s="98">
        <f>COUNTIF(D36:BD36,"○")</f>
        <v/>
      </c>
    </row>
    <row r="37" ht="15" customHeight="1" s="80">
      <c r="A37" s="116" t="inlineStr">
        <is>
          <t>09 市販後</t>
        </is>
      </c>
      <c r="B37" s="98" t="inlineStr">
        <is>
          <t>09-01</t>
        </is>
      </c>
      <c r="C37" s="100" t="inlineStr">
        <is>
          <t>安全性監視（ファーマコビジランス）</t>
        </is>
      </c>
      <c r="D37" s="98">
        <f>IF(COUNTIFS('VS×ケイパビリティ関係'!$F$4:$F$494,$B37,'VS×ケイパビリティ関係'!$G$4:$G$494,D$5,'VS×ケイパビリティ関係'!$E$4:$E$494,"主")&gt;0,"●",IF(COUNTIFS('VS×ケイパビリティ関係'!$F$4:$F$494,$B37,'VS×ケイパビリティ関係'!$G$4:$G$494,D$5,'VS×ケイパビリティ関係'!$E$4:$E$494,"支援")&gt;0,"○",""))</f>
        <v/>
      </c>
      <c r="E37" s="98">
        <f>IF(COUNTIFS('VS×ケイパビリティ関係'!$F$4:$F$494,$B37,'VS×ケイパビリティ関係'!$G$4:$G$494,E$5,'VS×ケイパビリティ関係'!$E$4:$E$494,"主")&gt;0,"●",IF(COUNTIFS('VS×ケイパビリティ関係'!$F$4:$F$494,$B37,'VS×ケイパビリティ関係'!$G$4:$G$494,E$5,'VS×ケイパビリティ関係'!$E$4:$E$494,"支援")&gt;0,"○",""))</f>
        <v/>
      </c>
      <c r="F37" s="98">
        <f>IF(COUNTIFS('VS×ケイパビリティ関係'!$F$4:$F$494,$B37,'VS×ケイパビリティ関係'!$G$4:$G$494,F$5,'VS×ケイパビリティ関係'!$E$4:$E$494,"主")&gt;0,"●",IF(COUNTIFS('VS×ケイパビリティ関係'!$F$4:$F$494,$B37,'VS×ケイパビリティ関係'!$G$4:$G$494,F$5,'VS×ケイパビリティ関係'!$E$4:$E$494,"支援")&gt;0,"○",""))</f>
        <v/>
      </c>
      <c r="G37" s="98">
        <f>IF(COUNTIFS('VS×ケイパビリティ関係'!$F$4:$F$494,$B37,'VS×ケイパビリティ関係'!$G$4:$G$494,G$5,'VS×ケイパビリティ関係'!$E$4:$E$494,"主")&gt;0,"●",IF(COUNTIFS('VS×ケイパビリティ関係'!$F$4:$F$494,$B37,'VS×ケイパビリティ関係'!$G$4:$G$494,G$5,'VS×ケイパビリティ関係'!$E$4:$E$494,"支援")&gt;0,"○",""))</f>
        <v/>
      </c>
      <c r="H37" s="98">
        <f>IF(COUNTIFS('VS×ケイパビリティ関係'!$F$4:$F$494,$B37,'VS×ケイパビリティ関係'!$G$4:$G$494,H$5,'VS×ケイパビリティ関係'!$E$4:$E$494,"主")&gt;0,"●",IF(COUNTIFS('VS×ケイパビリティ関係'!$F$4:$F$494,$B37,'VS×ケイパビリティ関係'!$G$4:$G$494,H$5,'VS×ケイパビリティ関係'!$E$4:$E$494,"支援")&gt;0,"○",""))</f>
        <v/>
      </c>
      <c r="I37" s="98">
        <f>IF(COUNTIFS('VS×ケイパビリティ関係'!$F$4:$F$494,$B37,'VS×ケイパビリティ関係'!$G$4:$G$494,I$5,'VS×ケイパビリティ関係'!$E$4:$E$494,"主")&gt;0,"●",IF(COUNTIFS('VS×ケイパビリティ関係'!$F$4:$F$494,$B37,'VS×ケイパビリティ関係'!$G$4:$G$494,I$5,'VS×ケイパビリティ関係'!$E$4:$E$494,"支援")&gt;0,"○",""))</f>
        <v/>
      </c>
      <c r="J37" s="98">
        <f>IF(COUNTIFS('VS×ケイパビリティ関係'!$F$4:$F$494,$B37,'VS×ケイパビリティ関係'!$G$4:$G$494,J$5,'VS×ケイパビリティ関係'!$E$4:$E$494,"主")&gt;0,"●",IF(COUNTIFS('VS×ケイパビリティ関係'!$F$4:$F$494,$B37,'VS×ケイパビリティ関係'!$G$4:$G$494,J$5,'VS×ケイパビリティ関係'!$E$4:$E$494,"支援")&gt;0,"○",""))</f>
        <v/>
      </c>
      <c r="K37" s="98">
        <f>IF(COUNTIFS('VS×ケイパビリティ関係'!$F$4:$F$494,$B37,'VS×ケイパビリティ関係'!$G$4:$G$494,K$5,'VS×ケイパビリティ関係'!$E$4:$E$494,"主")&gt;0,"●",IF(COUNTIFS('VS×ケイパビリティ関係'!$F$4:$F$494,$B37,'VS×ケイパビリティ関係'!$G$4:$G$494,K$5,'VS×ケイパビリティ関係'!$E$4:$E$494,"支援")&gt;0,"○",""))</f>
        <v/>
      </c>
      <c r="L37" s="98">
        <f>IF(COUNTIFS('VS×ケイパビリティ関係'!$F$4:$F$494,$B37,'VS×ケイパビリティ関係'!$G$4:$G$494,L$5,'VS×ケイパビリティ関係'!$E$4:$E$494,"主")&gt;0,"●",IF(COUNTIFS('VS×ケイパビリティ関係'!$F$4:$F$494,$B37,'VS×ケイパビリティ関係'!$G$4:$G$494,L$5,'VS×ケイパビリティ関係'!$E$4:$E$494,"支援")&gt;0,"○",""))</f>
        <v/>
      </c>
      <c r="M37" s="98">
        <f>IF(COUNTIFS('VS×ケイパビリティ関係'!$F$4:$F$494,$B37,'VS×ケイパビリティ関係'!$G$4:$G$494,M$5,'VS×ケイパビリティ関係'!$E$4:$E$494,"主")&gt;0,"●",IF(COUNTIFS('VS×ケイパビリティ関係'!$F$4:$F$494,$B37,'VS×ケイパビリティ関係'!$G$4:$G$494,M$5,'VS×ケイパビリティ関係'!$E$4:$E$494,"支援")&gt;0,"○",""))</f>
        <v/>
      </c>
      <c r="N37" s="98">
        <f>IF(COUNTIFS('VS×ケイパビリティ関係'!$F$4:$F$494,$B37,'VS×ケイパビリティ関係'!$G$4:$G$494,N$5,'VS×ケイパビリティ関係'!$E$4:$E$494,"主")&gt;0,"●",IF(COUNTIFS('VS×ケイパビリティ関係'!$F$4:$F$494,$B37,'VS×ケイパビリティ関係'!$G$4:$G$494,N$5,'VS×ケイパビリティ関係'!$E$4:$E$494,"支援")&gt;0,"○",""))</f>
        <v/>
      </c>
      <c r="O37" s="98">
        <f>IF(COUNTIFS('VS×ケイパビリティ関係'!$F$4:$F$494,$B37,'VS×ケイパビリティ関係'!$G$4:$G$494,O$5,'VS×ケイパビリティ関係'!$E$4:$E$494,"主")&gt;0,"●",IF(COUNTIFS('VS×ケイパビリティ関係'!$F$4:$F$494,$B37,'VS×ケイパビリティ関係'!$G$4:$G$494,O$5,'VS×ケイパビリティ関係'!$E$4:$E$494,"支援")&gt;0,"○",""))</f>
        <v/>
      </c>
      <c r="P37" s="98">
        <f>IF(COUNTIFS('VS×ケイパビリティ関係'!$F$4:$F$494,$B37,'VS×ケイパビリティ関係'!$G$4:$G$494,P$5,'VS×ケイパビリティ関係'!$E$4:$E$494,"主")&gt;0,"●",IF(COUNTIFS('VS×ケイパビリティ関係'!$F$4:$F$494,$B37,'VS×ケイパビリティ関係'!$G$4:$G$494,P$5,'VS×ケイパビリティ関係'!$E$4:$E$494,"支援")&gt;0,"○",""))</f>
        <v/>
      </c>
      <c r="Q37" s="98">
        <f>IF(COUNTIFS('VS×ケイパビリティ関係'!$F$4:$F$494,$B37,'VS×ケイパビリティ関係'!$G$4:$G$494,Q$5,'VS×ケイパビリティ関係'!$E$4:$E$494,"主")&gt;0,"●",IF(COUNTIFS('VS×ケイパビリティ関係'!$F$4:$F$494,$B37,'VS×ケイパビリティ関係'!$G$4:$G$494,Q$5,'VS×ケイパビリティ関係'!$E$4:$E$494,"支援")&gt;0,"○",""))</f>
        <v/>
      </c>
      <c r="R37" s="98">
        <f>IF(COUNTIFS('VS×ケイパビリティ関係'!$F$4:$F$494,$B37,'VS×ケイパビリティ関係'!$G$4:$G$494,R$5,'VS×ケイパビリティ関係'!$E$4:$E$494,"主")&gt;0,"●",IF(COUNTIFS('VS×ケイパビリティ関係'!$F$4:$F$494,$B37,'VS×ケイパビリティ関係'!$G$4:$G$494,R$5,'VS×ケイパビリティ関係'!$E$4:$E$494,"支援")&gt;0,"○",""))</f>
        <v/>
      </c>
      <c r="S37" s="98">
        <f>IF(COUNTIFS('VS×ケイパビリティ関係'!$F$4:$F$494,$B37,'VS×ケイパビリティ関係'!$G$4:$G$494,S$5,'VS×ケイパビリティ関係'!$E$4:$E$494,"主")&gt;0,"●",IF(COUNTIFS('VS×ケイパビリティ関係'!$F$4:$F$494,$B37,'VS×ケイパビリティ関係'!$G$4:$G$494,S$5,'VS×ケイパビリティ関係'!$E$4:$E$494,"支援")&gt;0,"○",""))</f>
        <v/>
      </c>
      <c r="T37" s="98">
        <f>IF(COUNTIFS('VS×ケイパビリティ関係'!$F$4:$F$494,$B37,'VS×ケイパビリティ関係'!$G$4:$G$494,T$5,'VS×ケイパビリティ関係'!$E$4:$E$494,"主")&gt;0,"●",IF(COUNTIFS('VS×ケイパビリティ関係'!$F$4:$F$494,$B37,'VS×ケイパビリティ関係'!$G$4:$G$494,T$5,'VS×ケイパビリティ関係'!$E$4:$E$494,"支援")&gt;0,"○",""))</f>
        <v/>
      </c>
      <c r="U37" s="98">
        <f>IF(COUNTIFS('VS×ケイパビリティ関係'!$F$4:$F$494,$B37,'VS×ケイパビリティ関係'!$G$4:$G$494,U$5,'VS×ケイパビリティ関係'!$E$4:$E$494,"主")&gt;0,"●",IF(COUNTIFS('VS×ケイパビリティ関係'!$F$4:$F$494,$B37,'VS×ケイパビリティ関係'!$G$4:$G$494,U$5,'VS×ケイパビリティ関係'!$E$4:$E$494,"支援")&gt;0,"○",""))</f>
        <v/>
      </c>
      <c r="V37" s="98">
        <f>IF(COUNTIFS('VS×ケイパビリティ関係'!$F$4:$F$494,$B37,'VS×ケイパビリティ関係'!$G$4:$G$494,V$5,'VS×ケイパビリティ関係'!$E$4:$E$494,"主")&gt;0,"●",IF(COUNTIFS('VS×ケイパビリティ関係'!$F$4:$F$494,$B37,'VS×ケイパビリティ関係'!$G$4:$G$494,V$5,'VS×ケイパビリティ関係'!$E$4:$E$494,"支援")&gt;0,"○",""))</f>
        <v/>
      </c>
      <c r="W37" s="98">
        <f>IF(COUNTIFS('VS×ケイパビリティ関係'!$F$4:$F$494,$B37,'VS×ケイパビリティ関係'!$G$4:$G$494,W$5,'VS×ケイパビリティ関係'!$E$4:$E$494,"主")&gt;0,"●",IF(COUNTIFS('VS×ケイパビリティ関係'!$F$4:$F$494,$B37,'VS×ケイパビリティ関係'!$G$4:$G$494,W$5,'VS×ケイパビリティ関係'!$E$4:$E$494,"支援")&gt;0,"○",""))</f>
        <v/>
      </c>
      <c r="X37" s="98">
        <f>IF(COUNTIFS('VS×ケイパビリティ関係'!$F$4:$F$494,$B37,'VS×ケイパビリティ関係'!$G$4:$G$494,X$5,'VS×ケイパビリティ関係'!$E$4:$E$494,"主")&gt;0,"●",IF(COUNTIFS('VS×ケイパビリティ関係'!$F$4:$F$494,$B37,'VS×ケイパビリティ関係'!$G$4:$G$494,X$5,'VS×ケイパビリティ関係'!$E$4:$E$494,"支援")&gt;0,"○",""))</f>
        <v/>
      </c>
      <c r="Y37" s="98">
        <f>IF(COUNTIFS('VS×ケイパビリティ関係'!$F$4:$F$494,$B37,'VS×ケイパビリティ関係'!$G$4:$G$494,Y$5,'VS×ケイパビリティ関係'!$E$4:$E$494,"主")&gt;0,"●",IF(COUNTIFS('VS×ケイパビリティ関係'!$F$4:$F$494,$B37,'VS×ケイパビリティ関係'!$G$4:$G$494,Y$5,'VS×ケイパビリティ関係'!$E$4:$E$494,"支援")&gt;0,"○",""))</f>
        <v/>
      </c>
      <c r="Z37" s="98">
        <f>IF(COUNTIFS('VS×ケイパビリティ関係'!$F$4:$F$494,$B37,'VS×ケイパビリティ関係'!$G$4:$G$494,Z$5,'VS×ケイパビリティ関係'!$E$4:$E$494,"主")&gt;0,"●",IF(COUNTIFS('VS×ケイパビリティ関係'!$F$4:$F$494,$B37,'VS×ケイパビリティ関係'!$G$4:$G$494,Z$5,'VS×ケイパビリティ関係'!$E$4:$E$494,"支援")&gt;0,"○",""))</f>
        <v/>
      </c>
      <c r="AA37" s="98">
        <f>IF(COUNTIFS('VS×ケイパビリティ関係'!$F$4:$F$494,$B37,'VS×ケイパビリティ関係'!$G$4:$G$494,AA$5,'VS×ケイパビリティ関係'!$E$4:$E$494,"主")&gt;0,"●",IF(COUNTIFS('VS×ケイパビリティ関係'!$F$4:$F$494,$B37,'VS×ケイパビリティ関係'!$G$4:$G$494,AA$5,'VS×ケイパビリティ関係'!$E$4:$E$494,"支援")&gt;0,"○",""))</f>
        <v/>
      </c>
      <c r="AB37" s="98">
        <f>IF(COUNTIFS('VS×ケイパビリティ関係'!$F$4:$F$494,$B37,'VS×ケイパビリティ関係'!$G$4:$G$494,AB$5,'VS×ケイパビリティ関係'!$E$4:$E$494,"主")&gt;0,"●",IF(COUNTIFS('VS×ケイパビリティ関係'!$F$4:$F$494,$B37,'VS×ケイパビリティ関係'!$G$4:$G$494,AB$5,'VS×ケイパビリティ関係'!$E$4:$E$494,"支援")&gt;0,"○",""))</f>
        <v/>
      </c>
      <c r="AC37" s="98">
        <f>IF(COUNTIFS('VS×ケイパビリティ関係'!$F$4:$F$494,$B37,'VS×ケイパビリティ関係'!$G$4:$G$494,AC$5,'VS×ケイパビリティ関係'!$E$4:$E$494,"主")&gt;0,"●",IF(COUNTIFS('VS×ケイパビリティ関係'!$F$4:$F$494,$B37,'VS×ケイパビリティ関係'!$G$4:$G$494,AC$5,'VS×ケイパビリティ関係'!$E$4:$E$494,"支援")&gt;0,"○",""))</f>
        <v/>
      </c>
      <c r="AD37" s="98">
        <f>IF(COUNTIFS('VS×ケイパビリティ関係'!$F$4:$F$494,$B37,'VS×ケイパビリティ関係'!$G$4:$G$494,AD$5,'VS×ケイパビリティ関係'!$E$4:$E$494,"主")&gt;0,"●",IF(COUNTIFS('VS×ケイパビリティ関係'!$F$4:$F$494,$B37,'VS×ケイパビリティ関係'!$G$4:$G$494,AD$5,'VS×ケイパビリティ関係'!$E$4:$E$494,"支援")&gt;0,"○",""))</f>
        <v/>
      </c>
      <c r="AE37" s="98">
        <f>IF(COUNTIFS('VS×ケイパビリティ関係'!$F$4:$F$494,$B37,'VS×ケイパビリティ関係'!$G$4:$G$494,AE$5,'VS×ケイパビリティ関係'!$E$4:$E$494,"主")&gt;0,"●",IF(COUNTIFS('VS×ケイパビリティ関係'!$F$4:$F$494,$B37,'VS×ケイパビリティ関係'!$G$4:$G$494,AE$5,'VS×ケイパビリティ関係'!$E$4:$E$494,"支援")&gt;0,"○",""))</f>
        <v/>
      </c>
      <c r="AF37" s="98">
        <f>IF(COUNTIFS('VS×ケイパビリティ関係'!$F$4:$F$494,$B37,'VS×ケイパビリティ関係'!$G$4:$G$494,AF$5,'VS×ケイパビリティ関係'!$E$4:$E$494,"主")&gt;0,"●",IF(COUNTIFS('VS×ケイパビリティ関係'!$F$4:$F$494,$B37,'VS×ケイパビリティ関係'!$G$4:$G$494,AF$5,'VS×ケイパビリティ関係'!$E$4:$E$494,"支援")&gt;0,"○",""))</f>
        <v/>
      </c>
      <c r="AG37" s="98">
        <f>IF(COUNTIFS('VS×ケイパビリティ関係'!$F$4:$F$494,$B37,'VS×ケイパビリティ関係'!$G$4:$G$494,AG$5,'VS×ケイパビリティ関係'!$E$4:$E$494,"主")&gt;0,"●",IF(COUNTIFS('VS×ケイパビリティ関係'!$F$4:$F$494,$B37,'VS×ケイパビリティ関係'!$G$4:$G$494,AG$5,'VS×ケイパビリティ関係'!$E$4:$E$494,"支援")&gt;0,"○",""))</f>
        <v/>
      </c>
      <c r="AH37" s="98">
        <f>IF(COUNTIFS('VS×ケイパビリティ関係'!$F$4:$F$494,$B37,'VS×ケイパビリティ関係'!$G$4:$G$494,AH$5,'VS×ケイパビリティ関係'!$E$4:$E$494,"主")&gt;0,"●",IF(COUNTIFS('VS×ケイパビリティ関係'!$F$4:$F$494,$B37,'VS×ケイパビリティ関係'!$G$4:$G$494,AH$5,'VS×ケイパビリティ関係'!$E$4:$E$494,"支援")&gt;0,"○",""))</f>
        <v/>
      </c>
      <c r="AI37" s="98">
        <f>IF(COUNTIFS('VS×ケイパビリティ関係'!$F$4:$F$494,$B37,'VS×ケイパビリティ関係'!$G$4:$G$494,AI$5,'VS×ケイパビリティ関係'!$E$4:$E$494,"主")&gt;0,"●",IF(COUNTIFS('VS×ケイパビリティ関係'!$F$4:$F$494,$B37,'VS×ケイパビリティ関係'!$G$4:$G$494,AI$5,'VS×ケイパビリティ関係'!$E$4:$E$494,"支援")&gt;0,"○",""))</f>
        <v/>
      </c>
      <c r="AJ37" s="98">
        <f>IF(COUNTIFS('VS×ケイパビリティ関係'!$F$4:$F$494,$B37,'VS×ケイパビリティ関係'!$G$4:$G$494,AJ$5,'VS×ケイパビリティ関係'!$E$4:$E$494,"主")&gt;0,"●",IF(COUNTIFS('VS×ケイパビリティ関係'!$F$4:$F$494,$B37,'VS×ケイパビリティ関係'!$G$4:$G$494,AJ$5,'VS×ケイパビリティ関係'!$E$4:$E$494,"支援")&gt;0,"○",""))</f>
        <v/>
      </c>
      <c r="AK37" s="98">
        <f>IF(COUNTIFS('VS×ケイパビリティ関係'!$F$4:$F$494,$B37,'VS×ケイパビリティ関係'!$G$4:$G$494,AK$5,'VS×ケイパビリティ関係'!$E$4:$E$494,"主")&gt;0,"●",IF(COUNTIFS('VS×ケイパビリティ関係'!$F$4:$F$494,$B37,'VS×ケイパビリティ関係'!$G$4:$G$494,AK$5,'VS×ケイパビリティ関係'!$E$4:$E$494,"支援")&gt;0,"○",""))</f>
        <v/>
      </c>
      <c r="AL37" s="98">
        <f>IF(COUNTIFS('VS×ケイパビリティ関係'!$F$4:$F$494,$B37,'VS×ケイパビリティ関係'!$G$4:$G$494,AL$5,'VS×ケイパビリティ関係'!$E$4:$E$494,"主")&gt;0,"●",IF(COUNTIFS('VS×ケイパビリティ関係'!$F$4:$F$494,$B37,'VS×ケイパビリティ関係'!$G$4:$G$494,AL$5,'VS×ケイパビリティ関係'!$E$4:$E$494,"支援")&gt;0,"○",""))</f>
        <v/>
      </c>
      <c r="AM37" s="98">
        <f>IF(COUNTIFS('VS×ケイパビリティ関係'!$F$4:$F$494,$B37,'VS×ケイパビリティ関係'!$G$4:$G$494,AM$5,'VS×ケイパビリティ関係'!$E$4:$E$494,"主")&gt;0,"●",IF(COUNTIFS('VS×ケイパビリティ関係'!$F$4:$F$494,$B37,'VS×ケイパビリティ関係'!$G$4:$G$494,AM$5,'VS×ケイパビリティ関係'!$E$4:$E$494,"支援")&gt;0,"○",""))</f>
        <v/>
      </c>
      <c r="AN37" s="98">
        <f>IF(COUNTIFS('VS×ケイパビリティ関係'!$F$4:$F$494,$B37,'VS×ケイパビリティ関係'!$G$4:$G$494,AN$5,'VS×ケイパビリティ関係'!$E$4:$E$494,"主")&gt;0,"●",IF(COUNTIFS('VS×ケイパビリティ関係'!$F$4:$F$494,$B37,'VS×ケイパビリティ関係'!$G$4:$G$494,AN$5,'VS×ケイパビリティ関係'!$E$4:$E$494,"支援")&gt;0,"○",""))</f>
        <v/>
      </c>
      <c r="AO37" s="98">
        <f>IF(COUNTIFS('VS×ケイパビリティ関係'!$F$4:$F$494,$B37,'VS×ケイパビリティ関係'!$G$4:$G$494,AO$5,'VS×ケイパビリティ関係'!$E$4:$E$494,"主")&gt;0,"●",IF(COUNTIFS('VS×ケイパビリティ関係'!$F$4:$F$494,$B37,'VS×ケイパビリティ関係'!$G$4:$G$494,AO$5,'VS×ケイパビリティ関係'!$E$4:$E$494,"支援")&gt;0,"○",""))</f>
        <v/>
      </c>
      <c r="AP37" s="98">
        <f>IF(COUNTIFS('VS×ケイパビリティ関係'!$F$4:$F$494,$B37,'VS×ケイパビリティ関係'!$G$4:$G$494,AP$5,'VS×ケイパビリティ関係'!$E$4:$E$494,"主")&gt;0,"●",IF(COUNTIFS('VS×ケイパビリティ関係'!$F$4:$F$494,$B37,'VS×ケイパビリティ関係'!$G$4:$G$494,AP$5,'VS×ケイパビリティ関係'!$E$4:$E$494,"支援")&gt;0,"○",""))</f>
        <v/>
      </c>
      <c r="AQ37" s="98">
        <f>IF(COUNTIFS('VS×ケイパビリティ関係'!$F$4:$F$494,$B37,'VS×ケイパビリティ関係'!$G$4:$G$494,AQ$5,'VS×ケイパビリティ関係'!$E$4:$E$494,"主")&gt;0,"●",IF(COUNTIFS('VS×ケイパビリティ関係'!$F$4:$F$494,$B37,'VS×ケイパビリティ関係'!$G$4:$G$494,AQ$5,'VS×ケイパビリティ関係'!$E$4:$E$494,"支援")&gt;0,"○",""))</f>
        <v/>
      </c>
      <c r="AR37" s="98">
        <f>IF(COUNTIFS('VS×ケイパビリティ関係'!$F$4:$F$494,$B37,'VS×ケイパビリティ関係'!$G$4:$G$494,AR$5,'VS×ケイパビリティ関係'!$E$4:$E$494,"主")&gt;0,"●",IF(COUNTIFS('VS×ケイパビリティ関係'!$F$4:$F$494,$B37,'VS×ケイパビリティ関係'!$G$4:$G$494,AR$5,'VS×ケイパビリティ関係'!$E$4:$E$494,"支援")&gt;0,"○",""))</f>
        <v/>
      </c>
      <c r="AS37" s="98">
        <f>IF(COUNTIFS('VS×ケイパビリティ関係'!$F$4:$F$494,$B37,'VS×ケイパビリティ関係'!$G$4:$G$494,AS$5,'VS×ケイパビリティ関係'!$E$4:$E$494,"主")&gt;0,"●",IF(COUNTIFS('VS×ケイパビリティ関係'!$F$4:$F$494,$B37,'VS×ケイパビリティ関係'!$G$4:$G$494,AS$5,'VS×ケイパビリティ関係'!$E$4:$E$494,"支援")&gt;0,"○",""))</f>
        <v/>
      </c>
      <c r="AT37" s="98">
        <f>IF(COUNTIFS('VS×ケイパビリティ関係'!$F$4:$F$494,$B37,'VS×ケイパビリティ関係'!$G$4:$G$494,AT$5,'VS×ケイパビリティ関係'!$E$4:$E$494,"主")&gt;0,"●",IF(COUNTIFS('VS×ケイパビリティ関係'!$F$4:$F$494,$B37,'VS×ケイパビリティ関係'!$G$4:$G$494,AT$5,'VS×ケイパビリティ関係'!$E$4:$E$494,"支援")&gt;0,"○",""))</f>
        <v/>
      </c>
      <c r="AU37" s="98">
        <f>IF(COUNTIFS('VS×ケイパビリティ関係'!$F$4:$F$494,$B37,'VS×ケイパビリティ関係'!$G$4:$G$494,AU$5,'VS×ケイパビリティ関係'!$E$4:$E$494,"主")&gt;0,"●",IF(COUNTIFS('VS×ケイパビリティ関係'!$F$4:$F$494,$B37,'VS×ケイパビリティ関係'!$G$4:$G$494,AU$5,'VS×ケイパビリティ関係'!$E$4:$E$494,"支援")&gt;0,"○",""))</f>
        <v/>
      </c>
      <c r="AV37" s="98">
        <f>IF(COUNTIFS('VS×ケイパビリティ関係'!$F$4:$F$494,$B37,'VS×ケイパビリティ関係'!$G$4:$G$494,AV$5,'VS×ケイパビリティ関係'!$E$4:$E$494,"主")&gt;0,"●",IF(COUNTIFS('VS×ケイパビリティ関係'!$F$4:$F$494,$B37,'VS×ケイパビリティ関係'!$G$4:$G$494,AV$5,'VS×ケイパビリティ関係'!$E$4:$E$494,"支援")&gt;0,"○",""))</f>
        <v/>
      </c>
      <c r="AW37" s="98">
        <f>IF(COUNTIFS('VS×ケイパビリティ関係'!$F$4:$F$494,$B37,'VS×ケイパビリティ関係'!$G$4:$G$494,AW$5,'VS×ケイパビリティ関係'!$E$4:$E$494,"主")&gt;0,"●",IF(COUNTIFS('VS×ケイパビリティ関係'!$F$4:$F$494,$B37,'VS×ケイパビリティ関係'!$G$4:$G$494,AW$5,'VS×ケイパビリティ関係'!$E$4:$E$494,"支援")&gt;0,"○",""))</f>
        <v/>
      </c>
      <c r="AX37" s="98">
        <f>IF(COUNTIFS('VS×ケイパビリティ関係'!$F$4:$F$494,$B37,'VS×ケイパビリティ関係'!$G$4:$G$494,AX$5,'VS×ケイパビリティ関係'!$E$4:$E$494,"主")&gt;0,"●",IF(COUNTIFS('VS×ケイパビリティ関係'!$F$4:$F$494,$B37,'VS×ケイパビリティ関係'!$G$4:$G$494,AX$5,'VS×ケイパビリティ関係'!$E$4:$E$494,"支援")&gt;0,"○",""))</f>
        <v/>
      </c>
      <c r="AY37" s="98">
        <f>IF(COUNTIFS('VS×ケイパビリティ関係'!$F$4:$F$494,$B37,'VS×ケイパビリティ関係'!$G$4:$G$494,AY$5,'VS×ケイパビリティ関係'!$E$4:$E$494,"主")&gt;0,"●",IF(COUNTIFS('VS×ケイパビリティ関係'!$F$4:$F$494,$B37,'VS×ケイパビリティ関係'!$G$4:$G$494,AY$5,'VS×ケイパビリティ関係'!$E$4:$E$494,"支援")&gt;0,"○",""))</f>
        <v/>
      </c>
      <c r="AZ37" s="98">
        <f>IF(COUNTIFS('VS×ケイパビリティ関係'!$F$4:$F$494,$B37,'VS×ケイパビリティ関係'!$G$4:$G$494,AZ$5,'VS×ケイパビリティ関係'!$E$4:$E$494,"主")&gt;0,"●",IF(COUNTIFS('VS×ケイパビリティ関係'!$F$4:$F$494,$B37,'VS×ケイパビリティ関係'!$G$4:$G$494,AZ$5,'VS×ケイパビリティ関係'!$E$4:$E$494,"支援")&gt;0,"○",""))</f>
        <v/>
      </c>
      <c r="BA37" s="98">
        <f>IF(COUNTIFS('VS×ケイパビリティ関係'!$F$4:$F$494,$B37,'VS×ケイパビリティ関係'!$G$4:$G$494,BA$5,'VS×ケイパビリティ関係'!$E$4:$E$494,"主")&gt;0,"●",IF(COUNTIFS('VS×ケイパビリティ関係'!$F$4:$F$494,$B37,'VS×ケイパビリティ関係'!$G$4:$G$494,BA$5,'VS×ケイパビリティ関係'!$E$4:$E$494,"支援")&gt;0,"○",""))</f>
        <v/>
      </c>
      <c r="BB37" s="98">
        <f>IF(COUNTIFS('VS×ケイパビリティ関係'!$F$4:$F$494,$B37,'VS×ケイパビリティ関係'!$G$4:$G$494,BB$5,'VS×ケイパビリティ関係'!$E$4:$E$494,"主")&gt;0,"●",IF(COUNTIFS('VS×ケイパビリティ関係'!$F$4:$F$494,$B37,'VS×ケイパビリティ関係'!$G$4:$G$494,BB$5,'VS×ケイパビリティ関係'!$E$4:$E$494,"支援")&gt;0,"○",""))</f>
        <v/>
      </c>
      <c r="BC37" s="98">
        <f>IF(COUNTIFS('VS×ケイパビリティ関係'!$F$4:$F$494,$B37,'VS×ケイパビリティ関係'!$G$4:$G$494,BC$5,'VS×ケイパビリティ関係'!$E$4:$E$494,"主")&gt;0,"●",IF(COUNTIFS('VS×ケイパビリティ関係'!$F$4:$F$494,$B37,'VS×ケイパビリティ関係'!$G$4:$G$494,BC$5,'VS×ケイパビリティ関係'!$E$4:$E$494,"支援")&gt;0,"○",""))</f>
        <v/>
      </c>
      <c r="BD37" s="98">
        <f>IF(COUNTIFS('VS×ケイパビリティ関係'!$F$4:$F$494,$B37,'VS×ケイパビリティ関係'!$G$4:$G$494,BD$5,'VS×ケイパビリティ関係'!$E$4:$E$494,"主")&gt;0,"●",IF(COUNTIFS('VS×ケイパビリティ関係'!$F$4:$F$494,$B37,'VS×ケイパビリティ関係'!$G$4:$G$494,BD$5,'VS×ケイパビリティ関係'!$E$4:$E$494,"支援")&gt;0,"○",""))</f>
        <v/>
      </c>
      <c r="BE37" s="98">
        <f>COUNTIF(D37:BD37,"●")</f>
        <v/>
      </c>
      <c r="BF37" s="98">
        <f>COUNTIF(D37:BD37,"○")</f>
        <v/>
      </c>
    </row>
    <row r="38" ht="26.25" customHeight="1" s="80">
      <c r="A38" s="116" t="n"/>
      <c r="B38" s="98" t="inlineStr">
        <is>
          <t>09-02</t>
        </is>
      </c>
      <c r="C38" s="100" t="inlineStr">
        <is>
          <t>市販後要求・コミットメント（PMR／PMC）</t>
        </is>
      </c>
      <c r="D38" s="98">
        <f>IF(COUNTIFS('VS×ケイパビリティ関係'!$F$4:$F$494,$B38,'VS×ケイパビリティ関係'!$G$4:$G$494,D$5,'VS×ケイパビリティ関係'!$E$4:$E$494,"主")&gt;0,"●",IF(COUNTIFS('VS×ケイパビリティ関係'!$F$4:$F$494,$B38,'VS×ケイパビリティ関係'!$G$4:$G$494,D$5,'VS×ケイパビリティ関係'!$E$4:$E$494,"支援")&gt;0,"○",""))</f>
        <v/>
      </c>
      <c r="E38" s="98">
        <f>IF(COUNTIFS('VS×ケイパビリティ関係'!$F$4:$F$494,$B38,'VS×ケイパビリティ関係'!$G$4:$G$494,E$5,'VS×ケイパビリティ関係'!$E$4:$E$494,"主")&gt;0,"●",IF(COUNTIFS('VS×ケイパビリティ関係'!$F$4:$F$494,$B38,'VS×ケイパビリティ関係'!$G$4:$G$494,E$5,'VS×ケイパビリティ関係'!$E$4:$E$494,"支援")&gt;0,"○",""))</f>
        <v/>
      </c>
      <c r="F38" s="98">
        <f>IF(COUNTIFS('VS×ケイパビリティ関係'!$F$4:$F$494,$B38,'VS×ケイパビリティ関係'!$G$4:$G$494,F$5,'VS×ケイパビリティ関係'!$E$4:$E$494,"主")&gt;0,"●",IF(COUNTIFS('VS×ケイパビリティ関係'!$F$4:$F$494,$B38,'VS×ケイパビリティ関係'!$G$4:$G$494,F$5,'VS×ケイパビリティ関係'!$E$4:$E$494,"支援")&gt;0,"○",""))</f>
        <v/>
      </c>
      <c r="G38" s="98">
        <f>IF(COUNTIFS('VS×ケイパビリティ関係'!$F$4:$F$494,$B38,'VS×ケイパビリティ関係'!$G$4:$G$494,G$5,'VS×ケイパビリティ関係'!$E$4:$E$494,"主")&gt;0,"●",IF(COUNTIFS('VS×ケイパビリティ関係'!$F$4:$F$494,$B38,'VS×ケイパビリティ関係'!$G$4:$G$494,G$5,'VS×ケイパビリティ関係'!$E$4:$E$494,"支援")&gt;0,"○",""))</f>
        <v/>
      </c>
      <c r="H38" s="98">
        <f>IF(COUNTIFS('VS×ケイパビリティ関係'!$F$4:$F$494,$B38,'VS×ケイパビリティ関係'!$G$4:$G$494,H$5,'VS×ケイパビリティ関係'!$E$4:$E$494,"主")&gt;0,"●",IF(COUNTIFS('VS×ケイパビリティ関係'!$F$4:$F$494,$B38,'VS×ケイパビリティ関係'!$G$4:$G$494,H$5,'VS×ケイパビリティ関係'!$E$4:$E$494,"支援")&gt;0,"○",""))</f>
        <v/>
      </c>
      <c r="I38" s="98">
        <f>IF(COUNTIFS('VS×ケイパビリティ関係'!$F$4:$F$494,$B38,'VS×ケイパビリティ関係'!$G$4:$G$494,I$5,'VS×ケイパビリティ関係'!$E$4:$E$494,"主")&gt;0,"●",IF(COUNTIFS('VS×ケイパビリティ関係'!$F$4:$F$494,$B38,'VS×ケイパビリティ関係'!$G$4:$G$494,I$5,'VS×ケイパビリティ関係'!$E$4:$E$494,"支援")&gt;0,"○",""))</f>
        <v/>
      </c>
      <c r="J38" s="98">
        <f>IF(COUNTIFS('VS×ケイパビリティ関係'!$F$4:$F$494,$B38,'VS×ケイパビリティ関係'!$G$4:$G$494,J$5,'VS×ケイパビリティ関係'!$E$4:$E$494,"主")&gt;0,"●",IF(COUNTIFS('VS×ケイパビリティ関係'!$F$4:$F$494,$B38,'VS×ケイパビリティ関係'!$G$4:$G$494,J$5,'VS×ケイパビリティ関係'!$E$4:$E$494,"支援")&gt;0,"○",""))</f>
        <v/>
      </c>
      <c r="K38" s="98">
        <f>IF(COUNTIFS('VS×ケイパビリティ関係'!$F$4:$F$494,$B38,'VS×ケイパビリティ関係'!$G$4:$G$494,K$5,'VS×ケイパビリティ関係'!$E$4:$E$494,"主")&gt;0,"●",IF(COUNTIFS('VS×ケイパビリティ関係'!$F$4:$F$494,$B38,'VS×ケイパビリティ関係'!$G$4:$G$494,K$5,'VS×ケイパビリティ関係'!$E$4:$E$494,"支援")&gt;0,"○",""))</f>
        <v/>
      </c>
      <c r="L38" s="98">
        <f>IF(COUNTIFS('VS×ケイパビリティ関係'!$F$4:$F$494,$B38,'VS×ケイパビリティ関係'!$G$4:$G$494,L$5,'VS×ケイパビリティ関係'!$E$4:$E$494,"主")&gt;0,"●",IF(COUNTIFS('VS×ケイパビリティ関係'!$F$4:$F$494,$B38,'VS×ケイパビリティ関係'!$G$4:$G$494,L$5,'VS×ケイパビリティ関係'!$E$4:$E$494,"支援")&gt;0,"○",""))</f>
        <v/>
      </c>
      <c r="M38" s="98">
        <f>IF(COUNTIFS('VS×ケイパビリティ関係'!$F$4:$F$494,$B38,'VS×ケイパビリティ関係'!$G$4:$G$494,M$5,'VS×ケイパビリティ関係'!$E$4:$E$494,"主")&gt;0,"●",IF(COUNTIFS('VS×ケイパビリティ関係'!$F$4:$F$494,$B38,'VS×ケイパビリティ関係'!$G$4:$G$494,M$5,'VS×ケイパビリティ関係'!$E$4:$E$494,"支援")&gt;0,"○",""))</f>
        <v/>
      </c>
      <c r="N38" s="98">
        <f>IF(COUNTIFS('VS×ケイパビリティ関係'!$F$4:$F$494,$B38,'VS×ケイパビリティ関係'!$G$4:$G$494,N$5,'VS×ケイパビリティ関係'!$E$4:$E$494,"主")&gt;0,"●",IF(COUNTIFS('VS×ケイパビリティ関係'!$F$4:$F$494,$B38,'VS×ケイパビリティ関係'!$G$4:$G$494,N$5,'VS×ケイパビリティ関係'!$E$4:$E$494,"支援")&gt;0,"○",""))</f>
        <v/>
      </c>
      <c r="O38" s="98">
        <f>IF(COUNTIFS('VS×ケイパビリティ関係'!$F$4:$F$494,$B38,'VS×ケイパビリティ関係'!$G$4:$G$494,O$5,'VS×ケイパビリティ関係'!$E$4:$E$494,"主")&gt;0,"●",IF(COUNTIFS('VS×ケイパビリティ関係'!$F$4:$F$494,$B38,'VS×ケイパビリティ関係'!$G$4:$G$494,O$5,'VS×ケイパビリティ関係'!$E$4:$E$494,"支援")&gt;0,"○",""))</f>
        <v/>
      </c>
      <c r="P38" s="98">
        <f>IF(COUNTIFS('VS×ケイパビリティ関係'!$F$4:$F$494,$B38,'VS×ケイパビリティ関係'!$G$4:$G$494,P$5,'VS×ケイパビリティ関係'!$E$4:$E$494,"主")&gt;0,"●",IF(COUNTIFS('VS×ケイパビリティ関係'!$F$4:$F$494,$B38,'VS×ケイパビリティ関係'!$G$4:$G$494,P$5,'VS×ケイパビリティ関係'!$E$4:$E$494,"支援")&gt;0,"○",""))</f>
        <v/>
      </c>
      <c r="Q38" s="98">
        <f>IF(COUNTIFS('VS×ケイパビリティ関係'!$F$4:$F$494,$B38,'VS×ケイパビリティ関係'!$G$4:$G$494,Q$5,'VS×ケイパビリティ関係'!$E$4:$E$494,"主")&gt;0,"●",IF(COUNTIFS('VS×ケイパビリティ関係'!$F$4:$F$494,$B38,'VS×ケイパビリティ関係'!$G$4:$G$494,Q$5,'VS×ケイパビリティ関係'!$E$4:$E$494,"支援")&gt;0,"○",""))</f>
        <v/>
      </c>
      <c r="R38" s="98">
        <f>IF(COUNTIFS('VS×ケイパビリティ関係'!$F$4:$F$494,$B38,'VS×ケイパビリティ関係'!$G$4:$G$494,R$5,'VS×ケイパビリティ関係'!$E$4:$E$494,"主")&gt;0,"●",IF(COUNTIFS('VS×ケイパビリティ関係'!$F$4:$F$494,$B38,'VS×ケイパビリティ関係'!$G$4:$G$494,R$5,'VS×ケイパビリティ関係'!$E$4:$E$494,"支援")&gt;0,"○",""))</f>
        <v/>
      </c>
      <c r="S38" s="98">
        <f>IF(COUNTIFS('VS×ケイパビリティ関係'!$F$4:$F$494,$B38,'VS×ケイパビリティ関係'!$G$4:$G$494,S$5,'VS×ケイパビリティ関係'!$E$4:$E$494,"主")&gt;0,"●",IF(COUNTIFS('VS×ケイパビリティ関係'!$F$4:$F$494,$B38,'VS×ケイパビリティ関係'!$G$4:$G$494,S$5,'VS×ケイパビリティ関係'!$E$4:$E$494,"支援")&gt;0,"○",""))</f>
        <v/>
      </c>
      <c r="T38" s="98">
        <f>IF(COUNTIFS('VS×ケイパビリティ関係'!$F$4:$F$494,$B38,'VS×ケイパビリティ関係'!$G$4:$G$494,T$5,'VS×ケイパビリティ関係'!$E$4:$E$494,"主")&gt;0,"●",IF(COUNTIFS('VS×ケイパビリティ関係'!$F$4:$F$494,$B38,'VS×ケイパビリティ関係'!$G$4:$G$494,T$5,'VS×ケイパビリティ関係'!$E$4:$E$494,"支援")&gt;0,"○",""))</f>
        <v/>
      </c>
      <c r="U38" s="98">
        <f>IF(COUNTIFS('VS×ケイパビリティ関係'!$F$4:$F$494,$B38,'VS×ケイパビリティ関係'!$G$4:$G$494,U$5,'VS×ケイパビリティ関係'!$E$4:$E$494,"主")&gt;0,"●",IF(COUNTIFS('VS×ケイパビリティ関係'!$F$4:$F$494,$B38,'VS×ケイパビリティ関係'!$G$4:$G$494,U$5,'VS×ケイパビリティ関係'!$E$4:$E$494,"支援")&gt;0,"○",""))</f>
        <v/>
      </c>
      <c r="V38" s="98">
        <f>IF(COUNTIFS('VS×ケイパビリティ関係'!$F$4:$F$494,$B38,'VS×ケイパビリティ関係'!$G$4:$G$494,V$5,'VS×ケイパビリティ関係'!$E$4:$E$494,"主")&gt;0,"●",IF(COUNTIFS('VS×ケイパビリティ関係'!$F$4:$F$494,$B38,'VS×ケイパビリティ関係'!$G$4:$G$494,V$5,'VS×ケイパビリティ関係'!$E$4:$E$494,"支援")&gt;0,"○",""))</f>
        <v/>
      </c>
      <c r="W38" s="98">
        <f>IF(COUNTIFS('VS×ケイパビリティ関係'!$F$4:$F$494,$B38,'VS×ケイパビリティ関係'!$G$4:$G$494,W$5,'VS×ケイパビリティ関係'!$E$4:$E$494,"主")&gt;0,"●",IF(COUNTIFS('VS×ケイパビリティ関係'!$F$4:$F$494,$B38,'VS×ケイパビリティ関係'!$G$4:$G$494,W$5,'VS×ケイパビリティ関係'!$E$4:$E$494,"支援")&gt;0,"○",""))</f>
        <v/>
      </c>
      <c r="X38" s="98">
        <f>IF(COUNTIFS('VS×ケイパビリティ関係'!$F$4:$F$494,$B38,'VS×ケイパビリティ関係'!$G$4:$G$494,X$5,'VS×ケイパビリティ関係'!$E$4:$E$494,"主")&gt;0,"●",IF(COUNTIFS('VS×ケイパビリティ関係'!$F$4:$F$494,$B38,'VS×ケイパビリティ関係'!$G$4:$G$494,X$5,'VS×ケイパビリティ関係'!$E$4:$E$494,"支援")&gt;0,"○",""))</f>
        <v/>
      </c>
      <c r="Y38" s="98">
        <f>IF(COUNTIFS('VS×ケイパビリティ関係'!$F$4:$F$494,$B38,'VS×ケイパビリティ関係'!$G$4:$G$494,Y$5,'VS×ケイパビリティ関係'!$E$4:$E$494,"主")&gt;0,"●",IF(COUNTIFS('VS×ケイパビリティ関係'!$F$4:$F$494,$B38,'VS×ケイパビリティ関係'!$G$4:$G$494,Y$5,'VS×ケイパビリティ関係'!$E$4:$E$494,"支援")&gt;0,"○",""))</f>
        <v/>
      </c>
      <c r="Z38" s="98">
        <f>IF(COUNTIFS('VS×ケイパビリティ関係'!$F$4:$F$494,$B38,'VS×ケイパビリティ関係'!$G$4:$G$494,Z$5,'VS×ケイパビリティ関係'!$E$4:$E$494,"主")&gt;0,"●",IF(COUNTIFS('VS×ケイパビリティ関係'!$F$4:$F$494,$B38,'VS×ケイパビリティ関係'!$G$4:$G$494,Z$5,'VS×ケイパビリティ関係'!$E$4:$E$494,"支援")&gt;0,"○",""))</f>
        <v/>
      </c>
      <c r="AA38" s="98">
        <f>IF(COUNTIFS('VS×ケイパビリティ関係'!$F$4:$F$494,$B38,'VS×ケイパビリティ関係'!$G$4:$G$494,AA$5,'VS×ケイパビリティ関係'!$E$4:$E$494,"主")&gt;0,"●",IF(COUNTIFS('VS×ケイパビリティ関係'!$F$4:$F$494,$B38,'VS×ケイパビリティ関係'!$G$4:$G$494,AA$5,'VS×ケイパビリティ関係'!$E$4:$E$494,"支援")&gt;0,"○",""))</f>
        <v/>
      </c>
      <c r="AB38" s="98">
        <f>IF(COUNTIFS('VS×ケイパビリティ関係'!$F$4:$F$494,$B38,'VS×ケイパビリティ関係'!$G$4:$G$494,AB$5,'VS×ケイパビリティ関係'!$E$4:$E$494,"主")&gt;0,"●",IF(COUNTIFS('VS×ケイパビリティ関係'!$F$4:$F$494,$B38,'VS×ケイパビリティ関係'!$G$4:$G$494,AB$5,'VS×ケイパビリティ関係'!$E$4:$E$494,"支援")&gt;0,"○",""))</f>
        <v/>
      </c>
      <c r="AC38" s="98">
        <f>IF(COUNTIFS('VS×ケイパビリティ関係'!$F$4:$F$494,$B38,'VS×ケイパビリティ関係'!$G$4:$G$494,AC$5,'VS×ケイパビリティ関係'!$E$4:$E$494,"主")&gt;0,"●",IF(COUNTIFS('VS×ケイパビリティ関係'!$F$4:$F$494,$B38,'VS×ケイパビリティ関係'!$G$4:$G$494,AC$5,'VS×ケイパビリティ関係'!$E$4:$E$494,"支援")&gt;0,"○",""))</f>
        <v/>
      </c>
      <c r="AD38" s="98">
        <f>IF(COUNTIFS('VS×ケイパビリティ関係'!$F$4:$F$494,$B38,'VS×ケイパビリティ関係'!$G$4:$G$494,AD$5,'VS×ケイパビリティ関係'!$E$4:$E$494,"主")&gt;0,"●",IF(COUNTIFS('VS×ケイパビリティ関係'!$F$4:$F$494,$B38,'VS×ケイパビリティ関係'!$G$4:$G$494,AD$5,'VS×ケイパビリティ関係'!$E$4:$E$494,"支援")&gt;0,"○",""))</f>
        <v/>
      </c>
      <c r="AE38" s="98">
        <f>IF(COUNTIFS('VS×ケイパビリティ関係'!$F$4:$F$494,$B38,'VS×ケイパビリティ関係'!$G$4:$G$494,AE$5,'VS×ケイパビリティ関係'!$E$4:$E$494,"主")&gt;0,"●",IF(COUNTIFS('VS×ケイパビリティ関係'!$F$4:$F$494,$B38,'VS×ケイパビリティ関係'!$G$4:$G$494,AE$5,'VS×ケイパビリティ関係'!$E$4:$E$494,"支援")&gt;0,"○",""))</f>
        <v/>
      </c>
      <c r="AF38" s="98">
        <f>IF(COUNTIFS('VS×ケイパビリティ関係'!$F$4:$F$494,$B38,'VS×ケイパビリティ関係'!$G$4:$G$494,AF$5,'VS×ケイパビリティ関係'!$E$4:$E$494,"主")&gt;0,"●",IF(COUNTIFS('VS×ケイパビリティ関係'!$F$4:$F$494,$B38,'VS×ケイパビリティ関係'!$G$4:$G$494,AF$5,'VS×ケイパビリティ関係'!$E$4:$E$494,"支援")&gt;0,"○",""))</f>
        <v/>
      </c>
      <c r="AG38" s="98">
        <f>IF(COUNTIFS('VS×ケイパビリティ関係'!$F$4:$F$494,$B38,'VS×ケイパビリティ関係'!$G$4:$G$494,AG$5,'VS×ケイパビリティ関係'!$E$4:$E$494,"主")&gt;0,"●",IF(COUNTIFS('VS×ケイパビリティ関係'!$F$4:$F$494,$B38,'VS×ケイパビリティ関係'!$G$4:$G$494,AG$5,'VS×ケイパビリティ関係'!$E$4:$E$494,"支援")&gt;0,"○",""))</f>
        <v/>
      </c>
      <c r="AH38" s="98">
        <f>IF(COUNTIFS('VS×ケイパビリティ関係'!$F$4:$F$494,$B38,'VS×ケイパビリティ関係'!$G$4:$G$494,AH$5,'VS×ケイパビリティ関係'!$E$4:$E$494,"主")&gt;0,"●",IF(COUNTIFS('VS×ケイパビリティ関係'!$F$4:$F$494,$B38,'VS×ケイパビリティ関係'!$G$4:$G$494,AH$5,'VS×ケイパビリティ関係'!$E$4:$E$494,"支援")&gt;0,"○",""))</f>
        <v/>
      </c>
      <c r="AI38" s="98">
        <f>IF(COUNTIFS('VS×ケイパビリティ関係'!$F$4:$F$494,$B38,'VS×ケイパビリティ関係'!$G$4:$G$494,AI$5,'VS×ケイパビリティ関係'!$E$4:$E$494,"主")&gt;0,"●",IF(COUNTIFS('VS×ケイパビリティ関係'!$F$4:$F$494,$B38,'VS×ケイパビリティ関係'!$G$4:$G$494,AI$5,'VS×ケイパビリティ関係'!$E$4:$E$494,"支援")&gt;0,"○",""))</f>
        <v/>
      </c>
      <c r="AJ38" s="98">
        <f>IF(COUNTIFS('VS×ケイパビリティ関係'!$F$4:$F$494,$B38,'VS×ケイパビリティ関係'!$G$4:$G$494,AJ$5,'VS×ケイパビリティ関係'!$E$4:$E$494,"主")&gt;0,"●",IF(COUNTIFS('VS×ケイパビリティ関係'!$F$4:$F$494,$B38,'VS×ケイパビリティ関係'!$G$4:$G$494,AJ$5,'VS×ケイパビリティ関係'!$E$4:$E$494,"支援")&gt;0,"○",""))</f>
        <v/>
      </c>
      <c r="AK38" s="98">
        <f>IF(COUNTIFS('VS×ケイパビリティ関係'!$F$4:$F$494,$B38,'VS×ケイパビリティ関係'!$G$4:$G$494,AK$5,'VS×ケイパビリティ関係'!$E$4:$E$494,"主")&gt;0,"●",IF(COUNTIFS('VS×ケイパビリティ関係'!$F$4:$F$494,$B38,'VS×ケイパビリティ関係'!$G$4:$G$494,AK$5,'VS×ケイパビリティ関係'!$E$4:$E$494,"支援")&gt;0,"○",""))</f>
        <v/>
      </c>
      <c r="AL38" s="98">
        <f>IF(COUNTIFS('VS×ケイパビリティ関係'!$F$4:$F$494,$B38,'VS×ケイパビリティ関係'!$G$4:$G$494,AL$5,'VS×ケイパビリティ関係'!$E$4:$E$494,"主")&gt;0,"●",IF(COUNTIFS('VS×ケイパビリティ関係'!$F$4:$F$494,$B38,'VS×ケイパビリティ関係'!$G$4:$G$494,AL$5,'VS×ケイパビリティ関係'!$E$4:$E$494,"支援")&gt;0,"○",""))</f>
        <v/>
      </c>
      <c r="AM38" s="98">
        <f>IF(COUNTIFS('VS×ケイパビリティ関係'!$F$4:$F$494,$B38,'VS×ケイパビリティ関係'!$G$4:$G$494,AM$5,'VS×ケイパビリティ関係'!$E$4:$E$494,"主")&gt;0,"●",IF(COUNTIFS('VS×ケイパビリティ関係'!$F$4:$F$494,$B38,'VS×ケイパビリティ関係'!$G$4:$G$494,AM$5,'VS×ケイパビリティ関係'!$E$4:$E$494,"支援")&gt;0,"○",""))</f>
        <v/>
      </c>
      <c r="AN38" s="98">
        <f>IF(COUNTIFS('VS×ケイパビリティ関係'!$F$4:$F$494,$B38,'VS×ケイパビリティ関係'!$G$4:$G$494,AN$5,'VS×ケイパビリティ関係'!$E$4:$E$494,"主")&gt;0,"●",IF(COUNTIFS('VS×ケイパビリティ関係'!$F$4:$F$494,$B38,'VS×ケイパビリティ関係'!$G$4:$G$494,AN$5,'VS×ケイパビリティ関係'!$E$4:$E$494,"支援")&gt;0,"○",""))</f>
        <v/>
      </c>
      <c r="AO38" s="98">
        <f>IF(COUNTIFS('VS×ケイパビリティ関係'!$F$4:$F$494,$B38,'VS×ケイパビリティ関係'!$G$4:$G$494,AO$5,'VS×ケイパビリティ関係'!$E$4:$E$494,"主")&gt;0,"●",IF(COUNTIFS('VS×ケイパビリティ関係'!$F$4:$F$494,$B38,'VS×ケイパビリティ関係'!$G$4:$G$494,AO$5,'VS×ケイパビリティ関係'!$E$4:$E$494,"支援")&gt;0,"○",""))</f>
        <v/>
      </c>
      <c r="AP38" s="98">
        <f>IF(COUNTIFS('VS×ケイパビリティ関係'!$F$4:$F$494,$B38,'VS×ケイパビリティ関係'!$G$4:$G$494,AP$5,'VS×ケイパビリティ関係'!$E$4:$E$494,"主")&gt;0,"●",IF(COUNTIFS('VS×ケイパビリティ関係'!$F$4:$F$494,$B38,'VS×ケイパビリティ関係'!$G$4:$G$494,AP$5,'VS×ケイパビリティ関係'!$E$4:$E$494,"支援")&gt;0,"○",""))</f>
        <v/>
      </c>
      <c r="AQ38" s="98">
        <f>IF(COUNTIFS('VS×ケイパビリティ関係'!$F$4:$F$494,$B38,'VS×ケイパビリティ関係'!$G$4:$G$494,AQ$5,'VS×ケイパビリティ関係'!$E$4:$E$494,"主")&gt;0,"●",IF(COUNTIFS('VS×ケイパビリティ関係'!$F$4:$F$494,$B38,'VS×ケイパビリティ関係'!$G$4:$G$494,AQ$5,'VS×ケイパビリティ関係'!$E$4:$E$494,"支援")&gt;0,"○",""))</f>
        <v/>
      </c>
      <c r="AR38" s="98">
        <f>IF(COUNTIFS('VS×ケイパビリティ関係'!$F$4:$F$494,$B38,'VS×ケイパビリティ関係'!$G$4:$G$494,AR$5,'VS×ケイパビリティ関係'!$E$4:$E$494,"主")&gt;0,"●",IF(COUNTIFS('VS×ケイパビリティ関係'!$F$4:$F$494,$B38,'VS×ケイパビリティ関係'!$G$4:$G$494,AR$5,'VS×ケイパビリティ関係'!$E$4:$E$494,"支援")&gt;0,"○",""))</f>
        <v/>
      </c>
      <c r="AS38" s="98">
        <f>IF(COUNTIFS('VS×ケイパビリティ関係'!$F$4:$F$494,$B38,'VS×ケイパビリティ関係'!$G$4:$G$494,AS$5,'VS×ケイパビリティ関係'!$E$4:$E$494,"主")&gt;0,"●",IF(COUNTIFS('VS×ケイパビリティ関係'!$F$4:$F$494,$B38,'VS×ケイパビリティ関係'!$G$4:$G$494,AS$5,'VS×ケイパビリティ関係'!$E$4:$E$494,"支援")&gt;0,"○",""))</f>
        <v/>
      </c>
      <c r="AT38" s="98">
        <f>IF(COUNTIFS('VS×ケイパビリティ関係'!$F$4:$F$494,$B38,'VS×ケイパビリティ関係'!$G$4:$G$494,AT$5,'VS×ケイパビリティ関係'!$E$4:$E$494,"主")&gt;0,"●",IF(COUNTIFS('VS×ケイパビリティ関係'!$F$4:$F$494,$B38,'VS×ケイパビリティ関係'!$G$4:$G$494,AT$5,'VS×ケイパビリティ関係'!$E$4:$E$494,"支援")&gt;0,"○",""))</f>
        <v/>
      </c>
      <c r="AU38" s="98">
        <f>IF(COUNTIFS('VS×ケイパビリティ関係'!$F$4:$F$494,$B38,'VS×ケイパビリティ関係'!$G$4:$G$494,AU$5,'VS×ケイパビリティ関係'!$E$4:$E$494,"主")&gt;0,"●",IF(COUNTIFS('VS×ケイパビリティ関係'!$F$4:$F$494,$B38,'VS×ケイパビリティ関係'!$G$4:$G$494,AU$5,'VS×ケイパビリティ関係'!$E$4:$E$494,"支援")&gt;0,"○",""))</f>
        <v/>
      </c>
      <c r="AV38" s="98">
        <f>IF(COUNTIFS('VS×ケイパビリティ関係'!$F$4:$F$494,$B38,'VS×ケイパビリティ関係'!$G$4:$G$494,AV$5,'VS×ケイパビリティ関係'!$E$4:$E$494,"主")&gt;0,"●",IF(COUNTIFS('VS×ケイパビリティ関係'!$F$4:$F$494,$B38,'VS×ケイパビリティ関係'!$G$4:$G$494,AV$5,'VS×ケイパビリティ関係'!$E$4:$E$494,"支援")&gt;0,"○",""))</f>
        <v/>
      </c>
      <c r="AW38" s="98">
        <f>IF(COUNTIFS('VS×ケイパビリティ関係'!$F$4:$F$494,$B38,'VS×ケイパビリティ関係'!$G$4:$G$494,AW$5,'VS×ケイパビリティ関係'!$E$4:$E$494,"主")&gt;0,"●",IF(COUNTIFS('VS×ケイパビリティ関係'!$F$4:$F$494,$B38,'VS×ケイパビリティ関係'!$G$4:$G$494,AW$5,'VS×ケイパビリティ関係'!$E$4:$E$494,"支援")&gt;0,"○",""))</f>
        <v/>
      </c>
      <c r="AX38" s="98">
        <f>IF(COUNTIFS('VS×ケイパビリティ関係'!$F$4:$F$494,$B38,'VS×ケイパビリティ関係'!$G$4:$G$494,AX$5,'VS×ケイパビリティ関係'!$E$4:$E$494,"主")&gt;0,"●",IF(COUNTIFS('VS×ケイパビリティ関係'!$F$4:$F$494,$B38,'VS×ケイパビリティ関係'!$G$4:$G$494,AX$5,'VS×ケイパビリティ関係'!$E$4:$E$494,"支援")&gt;0,"○",""))</f>
        <v/>
      </c>
      <c r="AY38" s="98">
        <f>IF(COUNTIFS('VS×ケイパビリティ関係'!$F$4:$F$494,$B38,'VS×ケイパビリティ関係'!$G$4:$G$494,AY$5,'VS×ケイパビリティ関係'!$E$4:$E$494,"主")&gt;0,"●",IF(COUNTIFS('VS×ケイパビリティ関係'!$F$4:$F$494,$B38,'VS×ケイパビリティ関係'!$G$4:$G$494,AY$5,'VS×ケイパビリティ関係'!$E$4:$E$494,"支援")&gt;0,"○",""))</f>
        <v/>
      </c>
      <c r="AZ38" s="98">
        <f>IF(COUNTIFS('VS×ケイパビリティ関係'!$F$4:$F$494,$B38,'VS×ケイパビリティ関係'!$G$4:$G$494,AZ$5,'VS×ケイパビリティ関係'!$E$4:$E$494,"主")&gt;0,"●",IF(COUNTIFS('VS×ケイパビリティ関係'!$F$4:$F$494,$B38,'VS×ケイパビリティ関係'!$G$4:$G$494,AZ$5,'VS×ケイパビリティ関係'!$E$4:$E$494,"支援")&gt;0,"○",""))</f>
        <v/>
      </c>
      <c r="BA38" s="98">
        <f>IF(COUNTIFS('VS×ケイパビリティ関係'!$F$4:$F$494,$B38,'VS×ケイパビリティ関係'!$G$4:$G$494,BA$5,'VS×ケイパビリティ関係'!$E$4:$E$494,"主")&gt;0,"●",IF(COUNTIFS('VS×ケイパビリティ関係'!$F$4:$F$494,$B38,'VS×ケイパビリティ関係'!$G$4:$G$494,BA$5,'VS×ケイパビリティ関係'!$E$4:$E$494,"支援")&gt;0,"○",""))</f>
        <v/>
      </c>
      <c r="BB38" s="98">
        <f>IF(COUNTIFS('VS×ケイパビリティ関係'!$F$4:$F$494,$B38,'VS×ケイパビリティ関係'!$G$4:$G$494,BB$5,'VS×ケイパビリティ関係'!$E$4:$E$494,"主")&gt;0,"●",IF(COUNTIFS('VS×ケイパビリティ関係'!$F$4:$F$494,$B38,'VS×ケイパビリティ関係'!$G$4:$G$494,BB$5,'VS×ケイパビリティ関係'!$E$4:$E$494,"支援")&gt;0,"○",""))</f>
        <v/>
      </c>
      <c r="BC38" s="98">
        <f>IF(COUNTIFS('VS×ケイパビリティ関係'!$F$4:$F$494,$B38,'VS×ケイパビリティ関係'!$G$4:$G$494,BC$5,'VS×ケイパビリティ関係'!$E$4:$E$494,"主")&gt;0,"●",IF(COUNTIFS('VS×ケイパビリティ関係'!$F$4:$F$494,$B38,'VS×ケイパビリティ関係'!$G$4:$G$494,BC$5,'VS×ケイパビリティ関係'!$E$4:$E$494,"支援")&gt;0,"○",""))</f>
        <v/>
      </c>
      <c r="BD38" s="98">
        <f>IF(COUNTIFS('VS×ケイパビリティ関係'!$F$4:$F$494,$B38,'VS×ケイパビリティ関係'!$G$4:$G$494,BD$5,'VS×ケイパビリティ関係'!$E$4:$E$494,"主")&gt;0,"●",IF(COUNTIFS('VS×ケイパビリティ関係'!$F$4:$F$494,$B38,'VS×ケイパビリティ関係'!$G$4:$G$494,BD$5,'VS×ケイパビリティ関係'!$E$4:$E$494,"支援")&gt;0,"○",""))</f>
        <v/>
      </c>
      <c r="BE38" s="98">
        <f>COUNTIF(D38:BD38,"●")</f>
        <v/>
      </c>
      <c r="BF38" s="98">
        <f>COUNTIF(D38:BD38,"○")</f>
        <v/>
      </c>
    </row>
    <row r="39" ht="15" customHeight="1" s="80">
      <c r="A39" s="116" t="n"/>
      <c r="B39" s="98" t="inlineStr">
        <is>
          <t>09-03</t>
        </is>
      </c>
      <c r="C39" s="100" t="inlineStr">
        <is>
          <t>ライフサイクル管理</t>
        </is>
      </c>
      <c r="D39" s="98">
        <f>IF(COUNTIFS('VS×ケイパビリティ関係'!$F$4:$F$494,$B39,'VS×ケイパビリティ関係'!$G$4:$G$494,D$5,'VS×ケイパビリティ関係'!$E$4:$E$494,"主")&gt;0,"●",IF(COUNTIFS('VS×ケイパビリティ関係'!$F$4:$F$494,$B39,'VS×ケイパビリティ関係'!$G$4:$G$494,D$5,'VS×ケイパビリティ関係'!$E$4:$E$494,"支援")&gt;0,"○",""))</f>
        <v/>
      </c>
      <c r="E39" s="98">
        <f>IF(COUNTIFS('VS×ケイパビリティ関係'!$F$4:$F$494,$B39,'VS×ケイパビリティ関係'!$G$4:$G$494,E$5,'VS×ケイパビリティ関係'!$E$4:$E$494,"主")&gt;0,"●",IF(COUNTIFS('VS×ケイパビリティ関係'!$F$4:$F$494,$B39,'VS×ケイパビリティ関係'!$G$4:$G$494,E$5,'VS×ケイパビリティ関係'!$E$4:$E$494,"支援")&gt;0,"○",""))</f>
        <v/>
      </c>
      <c r="F39" s="98">
        <f>IF(COUNTIFS('VS×ケイパビリティ関係'!$F$4:$F$494,$B39,'VS×ケイパビリティ関係'!$G$4:$G$494,F$5,'VS×ケイパビリティ関係'!$E$4:$E$494,"主")&gt;0,"●",IF(COUNTIFS('VS×ケイパビリティ関係'!$F$4:$F$494,$B39,'VS×ケイパビリティ関係'!$G$4:$G$494,F$5,'VS×ケイパビリティ関係'!$E$4:$E$494,"支援")&gt;0,"○",""))</f>
        <v/>
      </c>
      <c r="G39" s="98">
        <f>IF(COUNTIFS('VS×ケイパビリティ関係'!$F$4:$F$494,$B39,'VS×ケイパビリティ関係'!$G$4:$G$494,G$5,'VS×ケイパビリティ関係'!$E$4:$E$494,"主")&gt;0,"●",IF(COUNTIFS('VS×ケイパビリティ関係'!$F$4:$F$494,$B39,'VS×ケイパビリティ関係'!$G$4:$G$494,G$5,'VS×ケイパビリティ関係'!$E$4:$E$494,"支援")&gt;0,"○",""))</f>
        <v/>
      </c>
      <c r="H39" s="98">
        <f>IF(COUNTIFS('VS×ケイパビリティ関係'!$F$4:$F$494,$B39,'VS×ケイパビリティ関係'!$G$4:$G$494,H$5,'VS×ケイパビリティ関係'!$E$4:$E$494,"主")&gt;0,"●",IF(COUNTIFS('VS×ケイパビリティ関係'!$F$4:$F$494,$B39,'VS×ケイパビリティ関係'!$G$4:$G$494,H$5,'VS×ケイパビリティ関係'!$E$4:$E$494,"支援")&gt;0,"○",""))</f>
        <v/>
      </c>
      <c r="I39" s="98">
        <f>IF(COUNTIFS('VS×ケイパビリティ関係'!$F$4:$F$494,$B39,'VS×ケイパビリティ関係'!$G$4:$G$494,I$5,'VS×ケイパビリティ関係'!$E$4:$E$494,"主")&gt;0,"●",IF(COUNTIFS('VS×ケイパビリティ関係'!$F$4:$F$494,$B39,'VS×ケイパビリティ関係'!$G$4:$G$494,I$5,'VS×ケイパビリティ関係'!$E$4:$E$494,"支援")&gt;0,"○",""))</f>
        <v/>
      </c>
      <c r="J39" s="98">
        <f>IF(COUNTIFS('VS×ケイパビリティ関係'!$F$4:$F$494,$B39,'VS×ケイパビリティ関係'!$G$4:$G$494,J$5,'VS×ケイパビリティ関係'!$E$4:$E$494,"主")&gt;0,"●",IF(COUNTIFS('VS×ケイパビリティ関係'!$F$4:$F$494,$B39,'VS×ケイパビリティ関係'!$G$4:$G$494,J$5,'VS×ケイパビリティ関係'!$E$4:$E$494,"支援")&gt;0,"○",""))</f>
        <v/>
      </c>
      <c r="K39" s="98">
        <f>IF(COUNTIFS('VS×ケイパビリティ関係'!$F$4:$F$494,$B39,'VS×ケイパビリティ関係'!$G$4:$G$494,K$5,'VS×ケイパビリティ関係'!$E$4:$E$494,"主")&gt;0,"●",IF(COUNTIFS('VS×ケイパビリティ関係'!$F$4:$F$494,$B39,'VS×ケイパビリティ関係'!$G$4:$G$494,K$5,'VS×ケイパビリティ関係'!$E$4:$E$494,"支援")&gt;0,"○",""))</f>
        <v/>
      </c>
      <c r="L39" s="98">
        <f>IF(COUNTIFS('VS×ケイパビリティ関係'!$F$4:$F$494,$B39,'VS×ケイパビリティ関係'!$G$4:$G$494,L$5,'VS×ケイパビリティ関係'!$E$4:$E$494,"主")&gt;0,"●",IF(COUNTIFS('VS×ケイパビリティ関係'!$F$4:$F$494,$B39,'VS×ケイパビリティ関係'!$G$4:$G$494,L$5,'VS×ケイパビリティ関係'!$E$4:$E$494,"支援")&gt;0,"○",""))</f>
        <v/>
      </c>
      <c r="M39" s="98">
        <f>IF(COUNTIFS('VS×ケイパビリティ関係'!$F$4:$F$494,$B39,'VS×ケイパビリティ関係'!$G$4:$G$494,M$5,'VS×ケイパビリティ関係'!$E$4:$E$494,"主")&gt;0,"●",IF(COUNTIFS('VS×ケイパビリティ関係'!$F$4:$F$494,$B39,'VS×ケイパビリティ関係'!$G$4:$G$494,M$5,'VS×ケイパビリティ関係'!$E$4:$E$494,"支援")&gt;0,"○",""))</f>
        <v/>
      </c>
      <c r="N39" s="98">
        <f>IF(COUNTIFS('VS×ケイパビリティ関係'!$F$4:$F$494,$B39,'VS×ケイパビリティ関係'!$G$4:$G$494,N$5,'VS×ケイパビリティ関係'!$E$4:$E$494,"主")&gt;0,"●",IF(COUNTIFS('VS×ケイパビリティ関係'!$F$4:$F$494,$B39,'VS×ケイパビリティ関係'!$G$4:$G$494,N$5,'VS×ケイパビリティ関係'!$E$4:$E$494,"支援")&gt;0,"○",""))</f>
        <v/>
      </c>
      <c r="O39" s="98">
        <f>IF(COUNTIFS('VS×ケイパビリティ関係'!$F$4:$F$494,$B39,'VS×ケイパビリティ関係'!$G$4:$G$494,O$5,'VS×ケイパビリティ関係'!$E$4:$E$494,"主")&gt;0,"●",IF(COUNTIFS('VS×ケイパビリティ関係'!$F$4:$F$494,$B39,'VS×ケイパビリティ関係'!$G$4:$G$494,O$5,'VS×ケイパビリティ関係'!$E$4:$E$494,"支援")&gt;0,"○",""))</f>
        <v/>
      </c>
      <c r="P39" s="98">
        <f>IF(COUNTIFS('VS×ケイパビリティ関係'!$F$4:$F$494,$B39,'VS×ケイパビリティ関係'!$G$4:$G$494,P$5,'VS×ケイパビリティ関係'!$E$4:$E$494,"主")&gt;0,"●",IF(COUNTIFS('VS×ケイパビリティ関係'!$F$4:$F$494,$B39,'VS×ケイパビリティ関係'!$G$4:$G$494,P$5,'VS×ケイパビリティ関係'!$E$4:$E$494,"支援")&gt;0,"○",""))</f>
        <v/>
      </c>
      <c r="Q39" s="98">
        <f>IF(COUNTIFS('VS×ケイパビリティ関係'!$F$4:$F$494,$B39,'VS×ケイパビリティ関係'!$G$4:$G$494,Q$5,'VS×ケイパビリティ関係'!$E$4:$E$494,"主")&gt;0,"●",IF(COUNTIFS('VS×ケイパビリティ関係'!$F$4:$F$494,$B39,'VS×ケイパビリティ関係'!$G$4:$G$494,Q$5,'VS×ケイパビリティ関係'!$E$4:$E$494,"支援")&gt;0,"○",""))</f>
        <v/>
      </c>
      <c r="R39" s="98">
        <f>IF(COUNTIFS('VS×ケイパビリティ関係'!$F$4:$F$494,$B39,'VS×ケイパビリティ関係'!$G$4:$G$494,R$5,'VS×ケイパビリティ関係'!$E$4:$E$494,"主")&gt;0,"●",IF(COUNTIFS('VS×ケイパビリティ関係'!$F$4:$F$494,$B39,'VS×ケイパビリティ関係'!$G$4:$G$494,R$5,'VS×ケイパビリティ関係'!$E$4:$E$494,"支援")&gt;0,"○",""))</f>
        <v/>
      </c>
      <c r="S39" s="98">
        <f>IF(COUNTIFS('VS×ケイパビリティ関係'!$F$4:$F$494,$B39,'VS×ケイパビリティ関係'!$G$4:$G$494,S$5,'VS×ケイパビリティ関係'!$E$4:$E$494,"主")&gt;0,"●",IF(COUNTIFS('VS×ケイパビリティ関係'!$F$4:$F$494,$B39,'VS×ケイパビリティ関係'!$G$4:$G$494,S$5,'VS×ケイパビリティ関係'!$E$4:$E$494,"支援")&gt;0,"○",""))</f>
        <v/>
      </c>
      <c r="T39" s="98">
        <f>IF(COUNTIFS('VS×ケイパビリティ関係'!$F$4:$F$494,$B39,'VS×ケイパビリティ関係'!$G$4:$G$494,T$5,'VS×ケイパビリティ関係'!$E$4:$E$494,"主")&gt;0,"●",IF(COUNTIFS('VS×ケイパビリティ関係'!$F$4:$F$494,$B39,'VS×ケイパビリティ関係'!$G$4:$G$494,T$5,'VS×ケイパビリティ関係'!$E$4:$E$494,"支援")&gt;0,"○",""))</f>
        <v/>
      </c>
      <c r="U39" s="98">
        <f>IF(COUNTIFS('VS×ケイパビリティ関係'!$F$4:$F$494,$B39,'VS×ケイパビリティ関係'!$G$4:$G$494,U$5,'VS×ケイパビリティ関係'!$E$4:$E$494,"主")&gt;0,"●",IF(COUNTIFS('VS×ケイパビリティ関係'!$F$4:$F$494,$B39,'VS×ケイパビリティ関係'!$G$4:$G$494,U$5,'VS×ケイパビリティ関係'!$E$4:$E$494,"支援")&gt;0,"○",""))</f>
        <v/>
      </c>
      <c r="V39" s="98">
        <f>IF(COUNTIFS('VS×ケイパビリティ関係'!$F$4:$F$494,$B39,'VS×ケイパビリティ関係'!$G$4:$G$494,V$5,'VS×ケイパビリティ関係'!$E$4:$E$494,"主")&gt;0,"●",IF(COUNTIFS('VS×ケイパビリティ関係'!$F$4:$F$494,$B39,'VS×ケイパビリティ関係'!$G$4:$G$494,V$5,'VS×ケイパビリティ関係'!$E$4:$E$494,"支援")&gt;0,"○",""))</f>
        <v/>
      </c>
      <c r="W39" s="98">
        <f>IF(COUNTIFS('VS×ケイパビリティ関係'!$F$4:$F$494,$B39,'VS×ケイパビリティ関係'!$G$4:$G$494,W$5,'VS×ケイパビリティ関係'!$E$4:$E$494,"主")&gt;0,"●",IF(COUNTIFS('VS×ケイパビリティ関係'!$F$4:$F$494,$B39,'VS×ケイパビリティ関係'!$G$4:$G$494,W$5,'VS×ケイパビリティ関係'!$E$4:$E$494,"支援")&gt;0,"○",""))</f>
        <v/>
      </c>
      <c r="X39" s="98">
        <f>IF(COUNTIFS('VS×ケイパビリティ関係'!$F$4:$F$494,$B39,'VS×ケイパビリティ関係'!$G$4:$G$494,X$5,'VS×ケイパビリティ関係'!$E$4:$E$494,"主")&gt;0,"●",IF(COUNTIFS('VS×ケイパビリティ関係'!$F$4:$F$494,$B39,'VS×ケイパビリティ関係'!$G$4:$G$494,X$5,'VS×ケイパビリティ関係'!$E$4:$E$494,"支援")&gt;0,"○",""))</f>
        <v/>
      </c>
      <c r="Y39" s="98">
        <f>IF(COUNTIFS('VS×ケイパビリティ関係'!$F$4:$F$494,$B39,'VS×ケイパビリティ関係'!$G$4:$G$494,Y$5,'VS×ケイパビリティ関係'!$E$4:$E$494,"主")&gt;0,"●",IF(COUNTIFS('VS×ケイパビリティ関係'!$F$4:$F$494,$B39,'VS×ケイパビリティ関係'!$G$4:$G$494,Y$5,'VS×ケイパビリティ関係'!$E$4:$E$494,"支援")&gt;0,"○",""))</f>
        <v/>
      </c>
      <c r="Z39" s="98">
        <f>IF(COUNTIFS('VS×ケイパビリティ関係'!$F$4:$F$494,$B39,'VS×ケイパビリティ関係'!$G$4:$G$494,Z$5,'VS×ケイパビリティ関係'!$E$4:$E$494,"主")&gt;0,"●",IF(COUNTIFS('VS×ケイパビリティ関係'!$F$4:$F$494,$B39,'VS×ケイパビリティ関係'!$G$4:$G$494,Z$5,'VS×ケイパビリティ関係'!$E$4:$E$494,"支援")&gt;0,"○",""))</f>
        <v/>
      </c>
      <c r="AA39" s="98">
        <f>IF(COUNTIFS('VS×ケイパビリティ関係'!$F$4:$F$494,$B39,'VS×ケイパビリティ関係'!$G$4:$G$494,AA$5,'VS×ケイパビリティ関係'!$E$4:$E$494,"主")&gt;0,"●",IF(COUNTIFS('VS×ケイパビリティ関係'!$F$4:$F$494,$B39,'VS×ケイパビリティ関係'!$G$4:$G$494,AA$5,'VS×ケイパビリティ関係'!$E$4:$E$494,"支援")&gt;0,"○",""))</f>
        <v/>
      </c>
      <c r="AB39" s="98">
        <f>IF(COUNTIFS('VS×ケイパビリティ関係'!$F$4:$F$494,$B39,'VS×ケイパビリティ関係'!$G$4:$G$494,AB$5,'VS×ケイパビリティ関係'!$E$4:$E$494,"主")&gt;0,"●",IF(COUNTIFS('VS×ケイパビリティ関係'!$F$4:$F$494,$B39,'VS×ケイパビリティ関係'!$G$4:$G$494,AB$5,'VS×ケイパビリティ関係'!$E$4:$E$494,"支援")&gt;0,"○",""))</f>
        <v/>
      </c>
      <c r="AC39" s="98">
        <f>IF(COUNTIFS('VS×ケイパビリティ関係'!$F$4:$F$494,$B39,'VS×ケイパビリティ関係'!$G$4:$G$494,AC$5,'VS×ケイパビリティ関係'!$E$4:$E$494,"主")&gt;0,"●",IF(COUNTIFS('VS×ケイパビリティ関係'!$F$4:$F$494,$B39,'VS×ケイパビリティ関係'!$G$4:$G$494,AC$5,'VS×ケイパビリティ関係'!$E$4:$E$494,"支援")&gt;0,"○",""))</f>
        <v/>
      </c>
      <c r="AD39" s="98">
        <f>IF(COUNTIFS('VS×ケイパビリティ関係'!$F$4:$F$494,$B39,'VS×ケイパビリティ関係'!$G$4:$G$494,AD$5,'VS×ケイパビリティ関係'!$E$4:$E$494,"主")&gt;0,"●",IF(COUNTIFS('VS×ケイパビリティ関係'!$F$4:$F$494,$B39,'VS×ケイパビリティ関係'!$G$4:$G$494,AD$5,'VS×ケイパビリティ関係'!$E$4:$E$494,"支援")&gt;0,"○",""))</f>
        <v/>
      </c>
      <c r="AE39" s="98">
        <f>IF(COUNTIFS('VS×ケイパビリティ関係'!$F$4:$F$494,$B39,'VS×ケイパビリティ関係'!$G$4:$G$494,AE$5,'VS×ケイパビリティ関係'!$E$4:$E$494,"主")&gt;0,"●",IF(COUNTIFS('VS×ケイパビリティ関係'!$F$4:$F$494,$B39,'VS×ケイパビリティ関係'!$G$4:$G$494,AE$5,'VS×ケイパビリティ関係'!$E$4:$E$494,"支援")&gt;0,"○",""))</f>
        <v/>
      </c>
      <c r="AF39" s="98">
        <f>IF(COUNTIFS('VS×ケイパビリティ関係'!$F$4:$F$494,$B39,'VS×ケイパビリティ関係'!$G$4:$G$494,AF$5,'VS×ケイパビリティ関係'!$E$4:$E$494,"主")&gt;0,"●",IF(COUNTIFS('VS×ケイパビリティ関係'!$F$4:$F$494,$B39,'VS×ケイパビリティ関係'!$G$4:$G$494,AF$5,'VS×ケイパビリティ関係'!$E$4:$E$494,"支援")&gt;0,"○",""))</f>
        <v/>
      </c>
      <c r="AG39" s="98">
        <f>IF(COUNTIFS('VS×ケイパビリティ関係'!$F$4:$F$494,$B39,'VS×ケイパビリティ関係'!$G$4:$G$494,AG$5,'VS×ケイパビリティ関係'!$E$4:$E$494,"主")&gt;0,"●",IF(COUNTIFS('VS×ケイパビリティ関係'!$F$4:$F$494,$B39,'VS×ケイパビリティ関係'!$G$4:$G$494,AG$5,'VS×ケイパビリティ関係'!$E$4:$E$494,"支援")&gt;0,"○",""))</f>
        <v/>
      </c>
      <c r="AH39" s="98">
        <f>IF(COUNTIFS('VS×ケイパビリティ関係'!$F$4:$F$494,$B39,'VS×ケイパビリティ関係'!$G$4:$G$494,AH$5,'VS×ケイパビリティ関係'!$E$4:$E$494,"主")&gt;0,"●",IF(COUNTIFS('VS×ケイパビリティ関係'!$F$4:$F$494,$B39,'VS×ケイパビリティ関係'!$G$4:$G$494,AH$5,'VS×ケイパビリティ関係'!$E$4:$E$494,"支援")&gt;0,"○",""))</f>
        <v/>
      </c>
      <c r="AI39" s="98">
        <f>IF(COUNTIFS('VS×ケイパビリティ関係'!$F$4:$F$494,$B39,'VS×ケイパビリティ関係'!$G$4:$G$494,AI$5,'VS×ケイパビリティ関係'!$E$4:$E$494,"主")&gt;0,"●",IF(COUNTIFS('VS×ケイパビリティ関係'!$F$4:$F$494,$B39,'VS×ケイパビリティ関係'!$G$4:$G$494,AI$5,'VS×ケイパビリティ関係'!$E$4:$E$494,"支援")&gt;0,"○",""))</f>
        <v/>
      </c>
      <c r="AJ39" s="98">
        <f>IF(COUNTIFS('VS×ケイパビリティ関係'!$F$4:$F$494,$B39,'VS×ケイパビリティ関係'!$G$4:$G$494,AJ$5,'VS×ケイパビリティ関係'!$E$4:$E$494,"主")&gt;0,"●",IF(COUNTIFS('VS×ケイパビリティ関係'!$F$4:$F$494,$B39,'VS×ケイパビリティ関係'!$G$4:$G$494,AJ$5,'VS×ケイパビリティ関係'!$E$4:$E$494,"支援")&gt;0,"○",""))</f>
        <v/>
      </c>
      <c r="AK39" s="98">
        <f>IF(COUNTIFS('VS×ケイパビリティ関係'!$F$4:$F$494,$B39,'VS×ケイパビリティ関係'!$G$4:$G$494,AK$5,'VS×ケイパビリティ関係'!$E$4:$E$494,"主")&gt;0,"●",IF(COUNTIFS('VS×ケイパビリティ関係'!$F$4:$F$494,$B39,'VS×ケイパビリティ関係'!$G$4:$G$494,AK$5,'VS×ケイパビリティ関係'!$E$4:$E$494,"支援")&gt;0,"○",""))</f>
        <v/>
      </c>
      <c r="AL39" s="98">
        <f>IF(COUNTIFS('VS×ケイパビリティ関係'!$F$4:$F$494,$B39,'VS×ケイパビリティ関係'!$G$4:$G$494,AL$5,'VS×ケイパビリティ関係'!$E$4:$E$494,"主")&gt;0,"●",IF(COUNTIFS('VS×ケイパビリティ関係'!$F$4:$F$494,$B39,'VS×ケイパビリティ関係'!$G$4:$G$494,AL$5,'VS×ケイパビリティ関係'!$E$4:$E$494,"支援")&gt;0,"○",""))</f>
        <v/>
      </c>
      <c r="AM39" s="98">
        <f>IF(COUNTIFS('VS×ケイパビリティ関係'!$F$4:$F$494,$B39,'VS×ケイパビリティ関係'!$G$4:$G$494,AM$5,'VS×ケイパビリティ関係'!$E$4:$E$494,"主")&gt;0,"●",IF(COUNTIFS('VS×ケイパビリティ関係'!$F$4:$F$494,$B39,'VS×ケイパビリティ関係'!$G$4:$G$494,AM$5,'VS×ケイパビリティ関係'!$E$4:$E$494,"支援")&gt;0,"○",""))</f>
        <v/>
      </c>
      <c r="AN39" s="98">
        <f>IF(COUNTIFS('VS×ケイパビリティ関係'!$F$4:$F$494,$B39,'VS×ケイパビリティ関係'!$G$4:$G$494,AN$5,'VS×ケイパビリティ関係'!$E$4:$E$494,"主")&gt;0,"●",IF(COUNTIFS('VS×ケイパビリティ関係'!$F$4:$F$494,$B39,'VS×ケイパビリティ関係'!$G$4:$G$494,AN$5,'VS×ケイパビリティ関係'!$E$4:$E$494,"支援")&gt;0,"○",""))</f>
        <v/>
      </c>
      <c r="AO39" s="98">
        <f>IF(COUNTIFS('VS×ケイパビリティ関係'!$F$4:$F$494,$B39,'VS×ケイパビリティ関係'!$G$4:$G$494,AO$5,'VS×ケイパビリティ関係'!$E$4:$E$494,"主")&gt;0,"●",IF(COUNTIFS('VS×ケイパビリティ関係'!$F$4:$F$494,$B39,'VS×ケイパビリティ関係'!$G$4:$G$494,AO$5,'VS×ケイパビリティ関係'!$E$4:$E$494,"支援")&gt;0,"○",""))</f>
        <v/>
      </c>
      <c r="AP39" s="98">
        <f>IF(COUNTIFS('VS×ケイパビリティ関係'!$F$4:$F$494,$B39,'VS×ケイパビリティ関係'!$G$4:$G$494,AP$5,'VS×ケイパビリティ関係'!$E$4:$E$494,"主")&gt;0,"●",IF(COUNTIFS('VS×ケイパビリティ関係'!$F$4:$F$494,$B39,'VS×ケイパビリティ関係'!$G$4:$G$494,AP$5,'VS×ケイパビリティ関係'!$E$4:$E$494,"支援")&gt;0,"○",""))</f>
        <v/>
      </c>
      <c r="AQ39" s="98">
        <f>IF(COUNTIFS('VS×ケイパビリティ関係'!$F$4:$F$494,$B39,'VS×ケイパビリティ関係'!$G$4:$G$494,AQ$5,'VS×ケイパビリティ関係'!$E$4:$E$494,"主")&gt;0,"●",IF(COUNTIFS('VS×ケイパビリティ関係'!$F$4:$F$494,$B39,'VS×ケイパビリティ関係'!$G$4:$G$494,AQ$5,'VS×ケイパビリティ関係'!$E$4:$E$494,"支援")&gt;0,"○",""))</f>
        <v/>
      </c>
      <c r="AR39" s="98">
        <f>IF(COUNTIFS('VS×ケイパビリティ関係'!$F$4:$F$494,$B39,'VS×ケイパビリティ関係'!$G$4:$G$494,AR$5,'VS×ケイパビリティ関係'!$E$4:$E$494,"主")&gt;0,"●",IF(COUNTIFS('VS×ケイパビリティ関係'!$F$4:$F$494,$B39,'VS×ケイパビリティ関係'!$G$4:$G$494,AR$5,'VS×ケイパビリティ関係'!$E$4:$E$494,"支援")&gt;0,"○",""))</f>
        <v/>
      </c>
      <c r="AS39" s="98">
        <f>IF(COUNTIFS('VS×ケイパビリティ関係'!$F$4:$F$494,$B39,'VS×ケイパビリティ関係'!$G$4:$G$494,AS$5,'VS×ケイパビリティ関係'!$E$4:$E$494,"主")&gt;0,"●",IF(COUNTIFS('VS×ケイパビリティ関係'!$F$4:$F$494,$B39,'VS×ケイパビリティ関係'!$G$4:$G$494,AS$5,'VS×ケイパビリティ関係'!$E$4:$E$494,"支援")&gt;0,"○",""))</f>
        <v/>
      </c>
      <c r="AT39" s="98">
        <f>IF(COUNTIFS('VS×ケイパビリティ関係'!$F$4:$F$494,$B39,'VS×ケイパビリティ関係'!$G$4:$G$494,AT$5,'VS×ケイパビリティ関係'!$E$4:$E$494,"主")&gt;0,"●",IF(COUNTIFS('VS×ケイパビリティ関係'!$F$4:$F$494,$B39,'VS×ケイパビリティ関係'!$G$4:$G$494,AT$5,'VS×ケイパビリティ関係'!$E$4:$E$494,"支援")&gt;0,"○",""))</f>
        <v/>
      </c>
      <c r="AU39" s="98">
        <f>IF(COUNTIFS('VS×ケイパビリティ関係'!$F$4:$F$494,$B39,'VS×ケイパビリティ関係'!$G$4:$G$494,AU$5,'VS×ケイパビリティ関係'!$E$4:$E$494,"主")&gt;0,"●",IF(COUNTIFS('VS×ケイパビリティ関係'!$F$4:$F$494,$B39,'VS×ケイパビリティ関係'!$G$4:$G$494,AU$5,'VS×ケイパビリティ関係'!$E$4:$E$494,"支援")&gt;0,"○",""))</f>
        <v/>
      </c>
      <c r="AV39" s="98">
        <f>IF(COUNTIFS('VS×ケイパビリティ関係'!$F$4:$F$494,$B39,'VS×ケイパビリティ関係'!$G$4:$G$494,AV$5,'VS×ケイパビリティ関係'!$E$4:$E$494,"主")&gt;0,"●",IF(COUNTIFS('VS×ケイパビリティ関係'!$F$4:$F$494,$B39,'VS×ケイパビリティ関係'!$G$4:$G$494,AV$5,'VS×ケイパビリティ関係'!$E$4:$E$494,"支援")&gt;0,"○",""))</f>
        <v/>
      </c>
      <c r="AW39" s="98">
        <f>IF(COUNTIFS('VS×ケイパビリティ関係'!$F$4:$F$494,$B39,'VS×ケイパビリティ関係'!$G$4:$G$494,AW$5,'VS×ケイパビリティ関係'!$E$4:$E$494,"主")&gt;0,"●",IF(COUNTIFS('VS×ケイパビリティ関係'!$F$4:$F$494,$B39,'VS×ケイパビリティ関係'!$G$4:$G$494,AW$5,'VS×ケイパビリティ関係'!$E$4:$E$494,"支援")&gt;0,"○",""))</f>
        <v/>
      </c>
      <c r="AX39" s="98">
        <f>IF(COUNTIFS('VS×ケイパビリティ関係'!$F$4:$F$494,$B39,'VS×ケイパビリティ関係'!$G$4:$G$494,AX$5,'VS×ケイパビリティ関係'!$E$4:$E$494,"主")&gt;0,"●",IF(COUNTIFS('VS×ケイパビリティ関係'!$F$4:$F$494,$B39,'VS×ケイパビリティ関係'!$G$4:$G$494,AX$5,'VS×ケイパビリティ関係'!$E$4:$E$494,"支援")&gt;0,"○",""))</f>
        <v/>
      </c>
      <c r="AY39" s="98">
        <f>IF(COUNTIFS('VS×ケイパビリティ関係'!$F$4:$F$494,$B39,'VS×ケイパビリティ関係'!$G$4:$G$494,AY$5,'VS×ケイパビリティ関係'!$E$4:$E$494,"主")&gt;0,"●",IF(COUNTIFS('VS×ケイパビリティ関係'!$F$4:$F$494,$B39,'VS×ケイパビリティ関係'!$G$4:$G$494,AY$5,'VS×ケイパビリティ関係'!$E$4:$E$494,"支援")&gt;0,"○",""))</f>
        <v/>
      </c>
      <c r="AZ39" s="98">
        <f>IF(COUNTIFS('VS×ケイパビリティ関係'!$F$4:$F$494,$B39,'VS×ケイパビリティ関係'!$G$4:$G$494,AZ$5,'VS×ケイパビリティ関係'!$E$4:$E$494,"主")&gt;0,"●",IF(COUNTIFS('VS×ケイパビリティ関係'!$F$4:$F$494,$B39,'VS×ケイパビリティ関係'!$G$4:$G$494,AZ$5,'VS×ケイパビリティ関係'!$E$4:$E$494,"支援")&gt;0,"○",""))</f>
        <v/>
      </c>
      <c r="BA39" s="98">
        <f>IF(COUNTIFS('VS×ケイパビリティ関係'!$F$4:$F$494,$B39,'VS×ケイパビリティ関係'!$G$4:$G$494,BA$5,'VS×ケイパビリティ関係'!$E$4:$E$494,"主")&gt;0,"●",IF(COUNTIFS('VS×ケイパビリティ関係'!$F$4:$F$494,$B39,'VS×ケイパビリティ関係'!$G$4:$G$494,BA$5,'VS×ケイパビリティ関係'!$E$4:$E$494,"支援")&gt;0,"○",""))</f>
        <v/>
      </c>
      <c r="BB39" s="98">
        <f>IF(COUNTIFS('VS×ケイパビリティ関係'!$F$4:$F$494,$B39,'VS×ケイパビリティ関係'!$G$4:$G$494,BB$5,'VS×ケイパビリティ関係'!$E$4:$E$494,"主")&gt;0,"●",IF(COUNTIFS('VS×ケイパビリティ関係'!$F$4:$F$494,$B39,'VS×ケイパビリティ関係'!$G$4:$G$494,BB$5,'VS×ケイパビリティ関係'!$E$4:$E$494,"支援")&gt;0,"○",""))</f>
        <v/>
      </c>
      <c r="BC39" s="98">
        <f>IF(COUNTIFS('VS×ケイパビリティ関係'!$F$4:$F$494,$B39,'VS×ケイパビリティ関係'!$G$4:$G$494,BC$5,'VS×ケイパビリティ関係'!$E$4:$E$494,"主")&gt;0,"●",IF(COUNTIFS('VS×ケイパビリティ関係'!$F$4:$F$494,$B39,'VS×ケイパビリティ関係'!$G$4:$G$494,BC$5,'VS×ケイパビリティ関係'!$E$4:$E$494,"支援")&gt;0,"○",""))</f>
        <v/>
      </c>
      <c r="BD39" s="98">
        <f>IF(COUNTIFS('VS×ケイパビリティ関係'!$F$4:$F$494,$B39,'VS×ケイパビリティ関係'!$G$4:$G$494,BD$5,'VS×ケイパビリティ関係'!$E$4:$E$494,"主")&gt;0,"●",IF(COUNTIFS('VS×ケイパビリティ関係'!$F$4:$F$494,$B39,'VS×ケイパビリティ関係'!$G$4:$G$494,BD$5,'VS×ケイパビリティ関係'!$E$4:$E$494,"支援")&gt;0,"○",""))</f>
        <v/>
      </c>
      <c r="BE39" s="98">
        <f>COUNTIF(D39:BD39,"●")</f>
        <v/>
      </c>
      <c r="BF39" s="98">
        <f>COUNTIF(D39:BD39,"○")</f>
        <v/>
      </c>
    </row>
  </sheetData>
  <mergeCells count="18">
    <mergeCell ref="BE4:BE6"/>
    <mergeCell ref="A4:A6"/>
    <mergeCell ref="P4:T4"/>
    <mergeCell ref="AS4:AV4"/>
    <mergeCell ref="B4:B6"/>
    <mergeCell ref="AE4:AH4"/>
    <mergeCell ref="AW4:BA4"/>
    <mergeCell ref="AI4:AL4"/>
    <mergeCell ref="AO4:AR4"/>
    <mergeCell ref="D4:F4"/>
    <mergeCell ref="AA4:AD4"/>
    <mergeCell ref="BF4:BF6"/>
    <mergeCell ref="L4:O4"/>
    <mergeCell ref="U4:Z4"/>
    <mergeCell ref="AM4:AN4"/>
    <mergeCell ref="BB4:BD4"/>
    <mergeCell ref="C4:C6"/>
    <mergeCell ref="G4:K4"/>
  </mergeCells>
  <conditionalFormatting sqref="D7:BD39">
    <cfRule type="cellIs" rank="0" priority="2" equalAverage="0" operator="equal" aboveAverage="0" dxfId="10" text="" percent="0" bottom="0">
      <formula>"●"</formula>
    </cfRule>
    <cfRule type="cellIs" rank="0" priority="3" equalAverage="0" operator="equal" aboveAverage="0" dxfId="11" text="" percent="0" bottom="0">
      <formula>"○"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001F3A5F"/>
    <outlinePr summaryBelow="1" summaryRight="1"/>
    <pageSetUpPr fitToPage="0"/>
  </sheetPr>
  <dimension ref="A1:M9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79" min="1" max="1"/>
    <col width="12" customWidth="1" style="79" min="2" max="2"/>
    <col width="24" customWidth="1" style="79" min="3" max="4"/>
    <col width="48" customWidth="1" style="79" min="5" max="5"/>
    <col width="12" customWidth="1" style="79" min="6" max="6"/>
    <col width="11" customWidth="1" style="79" min="7" max="8"/>
    <col width="12" customWidth="1" style="79" min="9" max="10"/>
    <col width="22" customWidth="1" style="79" min="11" max="11"/>
    <col width="9" customWidth="1" style="79" min="12" max="13"/>
  </cols>
  <sheetData>
    <row r="1" ht="17.35" customHeight="1" s="80">
      <c r="A1" s="139" t="inlineStr">
        <is>
          <t>情報オブジェクト（正本：用語集と分類）</t>
        </is>
      </c>
    </row>
    <row r="2" ht="15" customHeight="1" s="80">
      <c r="A2" s="140" t="inlineStr">
        <is>
          <t>1行1オブジェクト。業務上ひとまとまりで管理される情報の単位（状態の違いは属性として扱う）。名称・分類・オーナーはこのシートで編集する。灰色の列は数式（編集しない）。分類の定義は解説書5章。</t>
        </is>
      </c>
    </row>
    <row r="3" ht="30" customHeight="1" s="80">
      <c r="A3" s="141" t="inlineStr">
        <is>
          <t>ID</t>
        </is>
      </c>
      <c r="B3" s="141" t="inlineStr">
        <is>
          <t>領域</t>
        </is>
      </c>
      <c r="C3" s="141" t="inlineStr">
        <is>
          <t>情報オブジェクト</t>
        </is>
      </c>
      <c r="D3" s="141" t="inlineStr">
        <is>
          <t>英語名</t>
        </is>
      </c>
      <c r="E3" s="141" t="inlineStr">
        <is>
          <t>説明</t>
        </is>
      </c>
      <c r="F3" s="141" t="inlineStr">
        <is>
          <t>データ種別</t>
        </is>
      </c>
      <c r="G3" s="141" t="inlineStr">
        <is>
          <t>規制区分</t>
        </is>
      </c>
      <c r="H3" s="143" t="inlineStr">
        <is>
          <t>電子記録の規制対象</t>
        </is>
      </c>
      <c r="I3" s="141" t="inlineStr">
        <is>
          <t>個人情報</t>
        </is>
      </c>
      <c r="J3" s="141" t="inlineStr">
        <is>
          <t>オーナー
ケイパビリティL2 ID</t>
        </is>
      </c>
      <c r="K3" s="143" t="inlineStr">
        <is>
          <t>オーナー
ケイパビリティL2</t>
        </is>
      </c>
      <c r="L3" s="143" t="inlineStr">
        <is>
          <t>作成する
ケイパビリティL2の数</t>
        </is>
      </c>
      <c r="M3" s="143" t="inlineStr">
        <is>
          <t>利用する
ケイパビリティL2の数</t>
        </is>
      </c>
    </row>
    <row r="4" ht="26.85" customHeight="1" s="80">
      <c r="A4" s="146" t="inlineStr">
        <is>
          <t>COM-01</t>
        </is>
      </c>
      <c r="B4" s="132" t="inlineStr">
        <is>
          <t>共通・マスタ</t>
        </is>
      </c>
      <c r="C4" s="133" t="inlineStr">
        <is>
          <t>製品マスタ</t>
        </is>
      </c>
      <c r="D4" s="134" t="inlineStr">
        <is>
          <t>Product Master</t>
        </is>
      </c>
      <c r="E4" s="135" t="inlineStr">
        <is>
          <t>開発コードから、承認後の製品名・NDC・GTINまでを一貫して管理する製品の基本情報</t>
        </is>
      </c>
      <c r="F4" s="132" t="inlineStr">
        <is>
          <t>マスタ</t>
        </is>
      </c>
      <c r="G4" s="132" t="inlineStr">
        <is>
          <t>薬事</t>
        </is>
      </c>
      <c r="H4" s="136">
        <f>IF(G4="非GxP","—","対象候補")</f>
        <v/>
      </c>
      <c r="I4" s="132" t="inlineStr">
        <is>
          <t>なし</t>
        </is>
      </c>
      <c r="J4" s="146" t="inlineStr">
        <is>
          <t>C13-01</t>
        </is>
      </c>
      <c r="K4" s="137">
        <f>IFERROR(INDEX(ケイパビリティマップ!$E:$E,MATCH(J4,ケイパビリティマップ!$A:$A,0)),"（IDなし）")</f>
        <v/>
      </c>
      <c r="L4" s="149">
        <f>COUNTIF('ケイパビリティ×情報オブジェクト'!D$6:D$58,"C")</f>
        <v/>
      </c>
      <c r="M4" s="149">
        <f>COUNTIF('ケイパビリティ×情報オブジェクト'!D$6:D$58,"R")</f>
        <v/>
      </c>
    </row>
    <row r="5" ht="26.85" customHeight="1" s="80">
      <c r="A5" s="146" t="inlineStr">
        <is>
          <t>COM-02</t>
        </is>
      </c>
      <c r="B5" s="132" t="inlineStr">
        <is>
          <t>共通・マスタ</t>
        </is>
      </c>
      <c r="C5" s="133" t="inlineStr">
        <is>
          <t>開発判定記録</t>
        </is>
      </c>
      <c r="D5" s="134" t="inlineStr">
        <is>
          <t>Governance Decision</t>
        </is>
      </c>
      <c r="E5" s="135" t="inlineStr">
        <is>
          <t>DC決定・Go/No-Goなど、段階移行の判断とその根拠資料</t>
        </is>
      </c>
      <c r="F5" s="132" t="inlineStr">
        <is>
          <t>トランザクション</t>
        </is>
      </c>
      <c r="G5" s="132" t="inlineStr">
        <is>
          <t>非GxP</t>
        </is>
      </c>
      <c r="H5" s="136">
        <f>IF(G5="非GxP","—","対象候補")</f>
        <v/>
      </c>
      <c r="I5" s="132" t="inlineStr">
        <is>
          <t>なし</t>
        </is>
      </c>
      <c r="J5" s="146" t="inlineStr">
        <is>
          <t>C01-01</t>
        </is>
      </c>
      <c r="K5" s="137">
        <f>IFERROR(INDEX(ケイパビリティマップ!$E:$E,MATCH(J5,ケイパビリティマップ!$A:$A,0)),"（IDなし）")</f>
        <v/>
      </c>
      <c r="L5" s="149">
        <f>COUNTIF('ケイパビリティ×情報オブジェクト'!E$6:E$58,"C")</f>
        <v/>
      </c>
      <c r="M5" s="149">
        <f>COUNTIF('ケイパビリティ×情報オブジェクト'!E$6:E$58,"R")</f>
        <v/>
      </c>
    </row>
    <row r="6" ht="15" customHeight="1" s="80">
      <c r="A6" s="146" t="inlineStr">
        <is>
          <t>COM-03</t>
        </is>
      </c>
      <c r="B6" s="132" t="inlineStr">
        <is>
          <t>共通・マスタ</t>
        </is>
      </c>
      <c r="C6" s="133" t="inlineStr">
        <is>
          <t>特許・独占期間</t>
        </is>
      </c>
      <c r="D6" s="134" t="inlineStr">
        <is>
          <t>IP &amp; Exclusivity</t>
        </is>
      </c>
      <c r="E6" s="135" t="inlineStr">
        <is>
          <t>物質特許・FTO調査、Orphan 7年／生物製剤12年の独占期間</t>
        </is>
      </c>
      <c r="F6" s="132" t="inlineStr">
        <is>
          <t>マスタ</t>
        </is>
      </c>
      <c r="G6" s="132" t="inlineStr">
        <is>
          <t>非GxP</t>
        </is>
      </c>
      <c r="H6" s="136">
        <f>IF(G6="非GxP","—","対象候補")</f>
        <v/>
      </c>
      <c r="I6" s="132" t="inlineStr">
        <is>
          <t>なし</t>
        </is>
      </c>
      <c r="J6" s="146" t="inlineStr">
        <is>
          <t>C01-02</t>
        </is>
      </c>
      <c r="K6" s="137">
        <f>IFERROR(INDEX(ケイパビリティマップ!$E:$E,MATCH(J6,ケイパビリティマップ!$A:$A,0)),"（IDなし）")</f>
        <v/>
      </c>
      <c r="L6" s="149">
        <f>COUNTIF('ケイパビリティ×情報オブジェクト'!F$6:F$58,"C")</f>
        <v/>
      </c>
      <c r="M6" s="149">
        <f>COUNTIF('ケイパビリティ×情報オブジェクト'!F$6:F$58,"R")</f>
        <v/>
      </c>
    </row>
    <row r="7" ht="26.85" customHeight="1" s="80">
      <c r="A7" s="146" t="inlineStr">
        <is>
          <t>COM-04</t>
        </is>
      </c>
      <c r="B7" s="132" t="inlineStr">
        <is>
          <t>共通・マスタ</t>
        </is>
      </c>
      <c r="C7" s="133" t="inlineStr">
        <is>
          <t>取引先・施設マスタ</t>
        </is>
      </c>
      <c r="D7" s="134" t="inlineStr">
        <is>
          <t>Partner &amp; Site Master</t>
        </is>
      </c>
      <c r="E7" s="135" t="inlineStr">
        <is>
          <t>CRO・CDMO・受託試験機関・実施医療機関・流通業者など外部組織の基本情報</t>
        </is>
      </c>
      <c r="F7" s="132" t="inlineStr">
        <is>
          <t>マスタ</t>
        </is>
      </c>
      <c r="G7" s="132" t="inlineStr">
        <is>
          <t>非GxP</t>
        </is>
      </c>
      <c r="H7" s="136">
        <f>IF(G7="非GxP","—","対象候補")</f>
        <v/>
      </c>
      <c r="I7" s="132" t="inlineStr">
        <is>
          <t>なし</t>
        </is>
      </c>
      <c r="J7" s="146" t="inlineStr">
        <is>
          <t>C01-03</t>
        </is>
      </c>
      <c r="K7" s="137">
        <f>IFERROR(INDEX(ケイパビリティマップ!$E:$E,MATCH(J7,ケイパビリティマップ!$A:$A,0)),"（IDなし）")</f>
        <v/>
      </c>
      <c r="L7" s="149">
        <f>COUNTIF('ケイパビリティ×情報オブジェクト'!G$6:G$58,"C")</f>
        <v/>
      </c>
      <c r="M7" s="149">
        <f>COUNTIF('ケイパビリティ×情報オブジェクト'!G$6:G$58,"R")</f>
        <v/>
      </c>
    </row>
    <row r="8" ht="26.85" customHeight="1" s="80">
      <c r="A8" s="146" t="inlineStr">
        <is>
          <t>COM-05</t>
        </is>
      </c>
      <c r="B8" s="132" t="inlineStr">
        <is>
          <t>共通・マスタ</t>
        </is>
      </c>
      <c r="C8" s="133" t="inlineStr">
        <is>
          <t>契約</t>
        </is>
      </c>
      <c r="D8" s="134" t="inlineStr">
        <is>
          <t>Contract</t>
        </is>
      </c>
      <c r="E8" s="135" t="inlineStr">
        <is>
          <t>CRO・CDMO・実施医療機関・流通業者・ハブ事業者などとの契約</t>
        </is>
      </c>
      <c r="F8" s="132" t="inlineStr">
        <is>
          <t>トランザクション</t>
        </is>
      </c>
      <c r="G8" s="132" t="inlineStr">
        <is>
          <t>GCP・GMP</t>
        </is>
      </c>
      <c r="H8" s="136">
        <f>IF(G8="非GxP","—","対象候補")</f>
        <v/>
      </c>
      <c r="I8" s="132" t="inlineStr">
        <is>
          <t>なし</t>
        </is>
      </c>
      <c r="J8" s="146" t="inlineStr">
        <is>
          <t>C01-03</t>
        </is>
      </c>
      <c r="K8" s="137">
        <f>IFERROR(INDEX(ケイパビリティマップ!$E:$E,MATCH(J8,ケイパビリティマップ!$A:$A,0)),"（IDなし）")</f>
        <v/>
      </c>
      <c r="L8" s="149">
        <f>COUNTIF('ケイパビリティ×情報オブジェクト'!H$6:H$58,"C")</f>
        <v/>
      </c>
      <c r="M8" s="149">
        <f>COUNTIF('ケイパビリティ×情報オブジェクト'!H$6:H$58,"R")</f>
        <v/>
      </c>
    </row>
    <row r="9" ht="26.85" customHeight="1" s="80">
      <c r="A9" s="146" t="inlineStr">
        <is>
          <t>COM-06</t>
        </is>
      </c>
      <c r="B9" s="132" t="inlineStr">
        <is>
          <t>共通・マスタ</t>
        </is>
      </c>
      <c r="C9" s="133" t="inlineStr">
        <is>
          <t>適応症</t>
        </is>
      </c>
      <c r="D9" s="134" t="inlineStr">
        <is>
          <t>Indication</t>
        </is>
      </c>
      <c r="E9" s="135" t="inlineStr">
        <is>
          <t>製品が対象とする疾患・適応。Orphan指定・臨床試験・承認・表示が共通して参照する単位</t>
        </is>
      </c>
      <c r="F9" s="132" t="inlineStr">
        <is>
          <t>マスタ</t>
        </is>
      </c>
      <c r="G9" s="132" t="inlineStr">
        <is>
          <t>薬事</t>
        </is>
      </c>
      <c r="H9" s="136">
        <f>IF(G9="非GxP","—","対象候補")</f>
        <v/>
      </c>
      <c r="I9" s="132" t="inlineStr">
        <is>
          <t>なし</t>
        </is>
      </c>
      <c r="J9" s="146" t="inlineStr">
        <is>
          <t>C01-01</t>
        </is>
      </c>
      <c r="K9" s="137">
        <f>IFERROR(INDEX(ケイパビリティマップ!$E:$E,MATCH(J9,ケイパビリティマップ!$A:$A,0)),"（IDなし）")</f>
        <v/>
      </c>
      <c r="L9" s="149">
        <f>COUNTIF('ケイパビリティ×情報オブジェクト'!I$6:I$58,"C")</f>
        <v/>
      </c>
      <c r="M9" s="149">
        <f>COUNTIF('ケイパビリティ×情報オブジェクト'!I$6:I$58,"R")</f>
        <v/>
      </c>
    </row>
    <row r="10" ht="26.85" customHeight="1" s="80">
      <c r="A10" s="146" t="inlineStr">
        <is>
          <t>RES-01</t>
        </is>
      </c>
      <c r="B10" s="132" t="inlineStr">
        <is>
          <t>研究</t>
        </is>
      </c>
      <c r="C10" s="133" t="inlineStr">
        <is>
          <t>疾患知見</t>
        </is>
      </c>
      <c r="D10" s="134" t="inlineStr">
        <is>
          <t>Disease Knowledge</t>
        </is>
      </c>
      <c r="E10" s="135" t="inlineStr">
        <is>
          <t>病態・アンメットニーズ・患者の声（患者団体・専門医から得た知見を含む）</t>
        </is>
      </c>
      <c r="F10" s="132" t="inlineStr">
        <is>
          <t>分析・評価</t>
        </is>
      </c>
      <c r="G10" s="132" t="inlineStr">
        <is>
          <t>非GxP</t>
        </is>
      </c>
      <c r="H10" s="136">
        <f>IF(G10="非GxP","—","対象候補")</f>
        <v/>
      </c>
      <c r="I10" s="132" t="inlineStr">
        <is>
          <t>なし</t>
        </is>
      </c>
      <c r="J10" s="146" t="inlineStr">
        <is>
          <t>C10-01</t>
        </is>
      </c>
      <c r="K10" s="137">
        <f>IFERROR(INDEX(ケイパビリティマップ!$E:$E,MATCH(J10,ケイパビリティマップ!$A:$A,0)),"（IDなし）")</f>
        <v/>
      </c>
      <c r="L10" s="149">
        <f>COUNTIF('ケイパビリティ×情報オブジェクト'!J$6:J$58,"C")</f>
        <v/>
      </c>
      <c r="M10" s="149">
        <f>COUNTIF('ケイパビリティ×情報オブジェクト'!J$6:J$58,"R")</f>
        <v/>
      </c>
    </row>
    <row r="11" ht="26.85" customHeight="1" s="80">
      <c r="A11" s="146" t="inlineStr">
        <is>
          <t>RES-02</t>
        </is>
      </c>
      <c r="B11" s="132" t="inlineStr">
        <is>
          <t>研究</t>
        </is>
      </c>
      <c r="C11" s="133" t="inlineStr">
        <is>
          <t>遺伝子・オミクスデータ</t>
        </is>
      </c>
      <c r="D11" s="134" t="inlineStr">
        <is>
          <t>Genomic &amp; Omics Data</t>
        </is>
      </c>
      <c r="E11" s="135" t="inlineStr">
        <is>
          <t>患者ゲノム・検体由来のデータ、原因遺伝子の解析結果</t>
        </is>
      </c>
      <c r="F11" s="132" t="inlineStr">
        <is>
          <t>測定データ</t>
        </is>
      </c>
      <c r="G11" s="132" t="inlineStr">
        <is>
          <t>非GxP</t>
        </is>
      </c>
      <c r="H11" s="136">
        <f>IF(G11="非GxP","—","対象候補")</f>
        <v/>
      </c>
      <c r="I11" s="132" t="inlineStr">
        <is>
          <t>患者（仮名化）</t>
        </is>
      </c>
      <c r="J11" s="146" t="inlineStr">
        <is>
          <t>C02-01</t>
        </is>
      </c>
      <c r="K11" s="137">
        <f>IFERROR(INDEX(ケイパビリティマップ!$E:$E,MATCH(J11,ケイパビリティマップ!$A:$A,0)),"（IDなし）")</f>
        <v/>
      </c>
      <c r="L11" s="149">
        <f>COUNTIF('ケイパビリティ×情報オブジェクト'!K$6:K$58,"C")</f>
        <v/>
      </c>
      <c r="M11" s="149">
        <f>COUNTIF('ケイパビリティ×情報オブジェクト'!K$6:K$58,"R")</f>
        <v/>
      </c>
    </row>
    <row r="12" ht="26.85" customHeight="1" s="80">
      <c r="A12" s="146" t="inlineStr">
        <is>
          <t>RES-03</t>
        </is>
      </c>
      <c r="B12" s="132" t="inlineStr">
        <is>
          <t>研究</t>
        </is>
      </c>
      <c r="C12" s="133" t="inlineStr">
        <is>
          <t>標的</t>
        </is>
      </c>
      <c r="D12" s="134" t="inlineStr">
        <is>
          <t>Target</t>
        </is>
      </c>
      <c r="E12" s="135" t="inlineStr">
        <is>
          <t>標的分子。仮説・検証状況・モダリティ適合性・選定結果を属性に持つ</t>
        </is>
      </c>
      <c r="F12" s="132" t="inlineStr">
        <is>
          <t>マスタ</t>
        </is>
      </c>
      <c r="G12" s="132" t="inlineStr">
        <is>
          <t>非GxP</t>
        </is>
      </c>
      <c r="H12" s="136">
        <f>IF(G12="非GxP","—","対象候補")</f>
        <v/>
      </c>
      <c r="I12" s="132" t="inlineStr">
        <is>
          <t>なし</t>
        </is>
      </c>
      <c r="J12" s="146" t="inlineStr">
        <is>
          <t>C02-01</t>
        </is>
      </c>
      <c r="K12" s="137">
        <f>IFERROR(INDEX(ケイパビリティマップ!$E:$E,MATCH(J12,ケイパビリティマップ!$A:$A,0)),"（IDなし）")</f>
        <v/>
      </c>
      <c r="L12" s="149">
        <f>COUNTIF('ケイパビリティ×情報オブジェクト'!L$6:L$58,"C")</f>
        <v/>
      </c>
      <c r="M12" s="149">
        <f>COUNTIF('ケイパビリティ×情報オブジェクト'!L$6:L$58,"R")</f>
        <v/>
      </c>
    </row>
    <row r="13" ht="15" customHeight="1" s="80">
      <c r="A13" s="146" t="inlineStr">
        <is>
          <t>RES-04</t>
        </is>
      </c>
      <c r="B13" s="132" t="inlineStr">
        <is>
          <t>研究</t>
        </is>
      </c>
      <c r="C13" s="133" t="inlineStr">
        <is>
          <t>抗原・試薬</t>
        </is>
      </c>
      <c r="D13" s="134" t="inlineStr">
        <is>
          <t>Antigen &amp; Reagent</t>
        </is>
      </c>
      <c r="E13" s="135" t="inlineStr">
        <is>
          <t>抗体取得・評価に用いる抗原タンパク・細胞・試薬</t>
        </is>
      </c>
      <c r="F13" s="132" t="inlineStr">
        <is>
          <t>マスタ</t>
        </is>
      </c>
      <c r="G13" s="132" t="inlineStr">
        <is>
          <t>非GxP</t>
        </is>
      </c>
      <c r="H13" s="136">
        <f>IF(G13="非GxP","—","対象候補")</f>
        <v/>
      </c>
      <c r="I13" s="132" t="inlineStr">
        <is>
          <t>なし</t>
        </is>
      </c>
      <c r="J13" s="146" t="inlineStr">
        <is>
          <t>C02-02</t>
        </is>
      </c>
      <c r="K13" s="137">
        <f>IFERROR(INDEX(ケイパビリティマップ!$E:$E,MATCH(J13,ケイパビリティマップ!$A:$A,0)),"（IDなし）")</f>
        <v/>
      </c>
      <c r="L13" s="149">
        <f>COUNTIF('ケイパビリティ×情報オブジェクト'!M$6:M$58,"C")</f>
        <v/>
      </c>
      <c r="M13" s="149">
        <f>COUNTIF('ケイパビリティ×情報オブジェクト'!M$6:M$58,"R")</f>
        <v/>
      </c>
    </row>
    <row r="14" ht="15" customHeight="1" s="80">
      <c r="A14" s="146" t="inlineStr">
        <is>
          <t>RES-05</t>
        </is>
      </c>
      <c r="B14" s="132" t="inlineStr">
        <is>
          <t>研究</t>
        </is>
      </c>
      <c r="C14" s="133" t="inlineStr">
        <is>
          <t>アッセイ（評価系）</t>
        </is>
      </c>
      <c r="D14" s="134" t="inlineStr">
        <is>
          <t>Assay</t>
        </is>
      </c>
      <c r="E14" s="135" t="inlineStr">
        <is>
          <t>結合性・機能・開発適性などの評価方法</t>
        </is>
      </c>
      <c r="F14" s="132" t="inlineStr">
        <is>
          <t>定義・仕様</t>
        </is>
      </c>
      <c r="G14" s="132" t="inlineStr">
        <is>
          <t>非GxP</t>
        </is>
      </c>
      <c r="H14" s="136">
        <f>IF(G14="非GxP","—","対象候補")</f>
        <v/>
      </c>
      <c r="I14" s="132" t="inlineStr">
        <is>
          <t>なし</t>
        </is>
      </c>
      <c r="J14" s="146" t="inlineStr">
        <is>
          <t>C02-02</t>
        </is>
      </c>
      <c r="K14" s="137">
        <f>IFERROR(INDEX(ケイパビリティマップ!$E:$E,MATCH(J14,ケイパビリティマップ!$A:$A,0)),"（IDなし）")</f>
        <v/>
      </c>
      <c r="L14" s="149">
        <f>COUNTIF('ケイパビリティ×情報オブジェクト'!N$6:N$58,"C")</f>
        <v/>
      </c>
      <c r="M14" s="149">
        <f>COUNTIF('ケイパビリティ×情報オブジェクト'!N$6:N$58,"R")</f>
        <v/>
      </c>
    </row>
    <row r="15" ht="26.85" customHeight="1" s="80">
      <c r="A15" s="146" t="inlineStr">
        <is>
          <t>RES-06</t>
        </is>
      </c>
      <c r="B15" s="132" t="inlineStr">
        <is>
          <t>研究</t>
        </is>
      </c>
      <c r="C15" s="133" t="inlineStr">
        <is>
          <t>抗体分子</t>
        </is>
      </c>
      <c r="D15" s="134" t="inlineStr">
        <is>
          <t>Antibody Molecule</t>
        </is>
      </c>
      <c r="E15" s="135" t="inlineStr">
        <is>
          <t>配列・クローン。ヒット→リード→最適化→候補品と状態が遷移する中心エンティティ</t>
        </is>
      </c>
      <c r="F15" s="132" t="inlineStr">
        <is>
          <t>マスタ</t>
        </is>
      </c>
      <c r="G15" s="132" t="inlineStr">
        <is>
          <t>非GxP</t>
        </is>
      </c>
      <c r="H15" s="136">
        <f>IF(G15="非GxP","—","対象候補")</f>
        <v/>
      </c>
      <c r="I15" s="132" t="inlineStr">
        <is>
          <t>なし</t>
        </is>
      </c>
      <c r="J15" s="146" t="inlineStr">
        <is>
          <t>C02-02</t>
        </is>
      </c>
      <c r="K15" s="137">
        <f>IFERROR(INDEX(ケイパビリティマップ!$E:$E,MATCH(J15,ケイパビリティマップ!$A:$A,0)),"（IDなし）")</f>
        <v/>
      </c>
      <c r="L15" s="149">
        <f>COUNTIF('ケイパビリティ×情報オブジェクト'!O$6:O$58,"C")</f>
        <v/>
      </c>
      <c r="M15" s="149">
        <f>COUNTIF('ケイパビリティ×情報オブジェクト'!O$6:O$58,"R")</f>
        <v/>
      </c>
    </row>
    <row r="16" ht="15" customHeight="1" s="80">
      <c r="A16" s="146" t="inlineStr">
        <is>
          <t>RES-07</t>
        </is>
      </c>
      <c r="B16" s="132" t="inlineStr">
        <is>
          <t>研究</t>
        </is>
      </c>
      <c r="C16" s="133" t="inlineStr">
        <is>
          <t>研究実験データ</t>
        </is>
      </c>
      <c r="D16" s="134" t="inlineStr">
        <is>
          <t>Research Assay Result</t>
        </is>
      </c>
      <c r="E16" s="135" t="inlineStr">
        <is>
          <t>標的検証・スクリーニング・機能評価・開発適性評価の結果</t>
        </is>
      </c>
      <c r="F16" s="132" t="inlineStr">
        <is>
          <t>測定データ</t>
        </is>
      </c>
      <c r="G16" s="132" t="inlineStr">
        <is>
          <t>非GxP</t>
        </is>
      </c>
      <c r="H16" s="136">
        <f>IF(G16="非GxP","—","対象候補")</f>
        <v/>
      </c>
      <c r="I16" s="132" t="inlineStr">
        <is>
          <t>なし</t>
        </is>
      </c>
      <c r="J16" s="146" t="inlineStr">
        <is>
          <t>C02-02</t>
        </is>
      </c>
      <c r="K16" s="137">
        <f>IFERROR(INDEX(ケイパビリティマップ!$E:$E,MATCH(J16,ケイパビリティマップ!$A:$A,0)),"（IDなし）")</f>
        <v/>
      </c>
      <c r="L16" s="149">
        <f>COUNTIF('ケイパビリティ×情報オブジェクト'!P$6:P$58,"C")</f>
        <v/>
      </c>
      <c r="M16" s="149">
        <f>COUNTIF('ケイパビリティ×情報オブジェクト'!P$6:P$58,"R")</f>
        <v/>
      </c>
    </row>
    <row r="17" ht="15" customHeight="1" s="80">
      <c r="A17" s="146" t="inlineStr">
        <is>
          <t>RES-08</t>
        </is>
      </c>
      <c r="B17" s="132" t="inlineStr">
        <is>
          <t>研究</t>
        </is>
      </c>
      <c r="C17" s="133" t="inlineStr">
        <is>
          <t>疾患モデル</t>
        </is>
      </c>
      <c r="D17" s="134" t="inlineStr">
        <is>
          <t>Disease Model</t>
        </is>
      </c>
      <c r="E17" s="135" t="inlineStr">
        <is>
          <t>遺伝子改変動物・患者由来細胞など</t>
        </is>
      </c>
      <c r="F17" s="132" t="inlineStr">
        <is>
          <t>マスタ</t>
        </is>
      </c>
      <c r="G17" s="132" t="inlineStr">
        <is>
          <t>非GxP</t>
        </is>
      </c>
      <c r="H17" s="136">
        <f>IF(G17="非GxP","—","対象候補")</f>
        <v/>
      </c>
      <c r="I17" s="132" t="inlineStr">
        <is>
          <t>なし</t>
        </is>
      </c>
      <c r="J17" s="146" t="inlineStr">
        <is>
          <t>C02-04</t>
        </is>
      </c>
      <c r="K17" s="137">
        <f>IFERROR(INDEX(ケイパビリティマップ!$E:$E,MATCH(J17,ケイパビリティマップ!$A:$A,0)),"（IDなし）")</f>
        <v/>
      </c>
      <c r="L17" s="149">
        <f>COUNTIF('ケイパビリティ×情報オブジェクト'!Q$6:Q$58,"C")</f>
        <v/>
      </c>
      <c r="M17" s="149">
        <f>COUNTIF('ケイパビリティ×情報オブジェクト'!Q$6:Q$58,"R")</f>
        <v/>
      </c>
    </row>
    <row r="18" ht="15" customHeight="1" s="80">
      <c r="A18" s="146" t="inlineStr">
        <is>
          <t>RES-09</t>
        </is>
      </c>
      <c r="B18" s="132" t="inlineStr">
        <is>
          <t>研究</t>
        </is>
      </c>
      <c r="C18" s="133" t="inlineStr">
        <is>
          <t>in vivo薬効データ</t>
        </is>
      </c>
      <c r="D18" s="134" t="inlineStr">
        <is>
          <t>In Vivo Efficacy Data</t>
        </is>
      </c>
      <c r="E18" s="135" t="inlineStr">
        <is>
          <t>疾患モデルでの薬効評価結果</t>
        </is>
      </c>
      <c r="F18" s="132" t="inlineStr">
        <is>
          <t>測定データ</t>
        </is>
      </c>
      <c r="G18" s="132" t="inlineStr">
        <is>
          <t>非GxP</t>
        </is>
      </c>
      <c r="H18" s="136">
        <f>IF(G18="非GxP","—","対象候補")</f>
        <v/>
      </c>
      <c r="I18" s="132" t="inlineStr">
        <is>
          <t>なし</t>
        </is>
      </c>
      <c r="J18" s="146" t="inlineStr">
        <is>
          <t>C02-04</t>
        </is>
      </c>
      <c r="K18" s="137">
        <f>IFERROR(INDEX(ケイパビリティマップ!$E:$E,MATCH(J18,ケイパビリティマップ!$A:$A,0)),"（IDなし）")</f>
        <v/>
      </c>
      <c r="L18" s="149">
        <f>COUNTIF('ケイパビリティ×情報オブジェクト'!R$6:R$58,"C")</f>
        <v/>
      </c>
      <c r="M18" s="149">
        <f>COUNTIF('ケイパビリティ×情報オブジェクト'!R$6:R$58,"R")</f>
        <v/>
      </c>
    </row>
    <row r="19" ht="26.85" customHeight="1" s="80">
      <c r="A19" s="146" t="inlineStr">
        <is>
          <t>RES-10</t>
        </is>
      </c>
      <c r="B19" s="132" t="inlineStr">
        <is>
          <t>研究</t>
        </is>
      </c>
      <c r="C19" s="133" t="inlineStr">
        <is>
          <t>免疫原性リスク評価</t>
        </is>
      </c>
      <c r="D19" s="134" t="inlineStr">
        <is>
          <t>Immunogenicity Risk Assessment</t>
        </is>
      </c>
      <c r="E19" s="135" t="inlineStr">
        <is>
          <t>in silico／in vitroでの免疫原性予測</t>
        </is>
      </c>
      <c r="F19" s="132" t="inlineStr">
        <is>
          <t>分析・評価</t>
        </is>
      </c>
      <c r="G19" s="132" t="inlineStr">
        <is>
          <t>非GxP</t>
        </is>
      </c>
      <c r="H19" s="136">
        <f>IF(G19="非GxP","—","対象候補")</f>
        <v/>
      </c>
      <c r="I19" s="132" t="inlineStr">
        <is>
          <t>なし</t>
        </is>
      </c>
      <c r="J19" s="146" t="inlineStr">
        <is>
          <t>C02-05</t>
        </is>
      </c>
      <c r="K19" s="137">
        <f>IFERROR(INDEX(ケイパビリティマップ!$E:$E,MATCH(J19,ケイパビリティマップ!$A:$A,0)),"（IDなし）")</f>
        <v/>
      </c>
      <c r="L19" s="149">
        <f>COUNTIF('ケイパビリティ×情報オブジェクト'!S$6:S$58,"C")</f>
        <v/>
      </c>
      <c r="M19" s="149">
        <f>COUNTIF('ケイパビリティ×情報オブジェクト'!S$6:S$58,"R")</f>
        <v/>
      </c>
    </row>
    <row r="20" ht="26.85" customHeight="1" s="80">
      <c r="A20" s="146" t="inlineStr">
        <is>
          <t>RES-11</t>
        </is>
      </c>
      <c r="B20" s="132" t="inlineStr">
        <is>
          <t>研究</t>
        </is>
      </c>
      <c r="C20" s="133" t="inlineStr">
        <is>
          <t>目標製品プロファイル（TPP）</t>
        </is>
      </c>
      <c r="D20" s="134" t="inlineStr">
        <is>
          <t>Target Product Profile</t>
        </is>
      </c>
      <c r="E20" s="135" t="inlineStr">
        <is>
          <t>目指す適応・用法・有効性・安全性・剤形</t>
        </is>
      </c>
      <c r="F20" s="132" t="inlineStr">
        <is>
          <t>定義・仕様</t>
        </is>
      </c>
      <c r="G20" s="132" t="inlineStr">
        <is>
          <t>非GxP</t>
        </is>
      </c>
      <c r="H20" s="136">
        <f>IF(G20="非GxP","—","対象候補")</f>
        <v/>
      </c>
      <c r="I20" s="132" t="inlineStr">
        <is>
          <t>なし</t>
        </is>
      </c>
      <c r="J20" s="146" t="inlineStr">
        <is>
          <t>C01-01</t>
        </is>
      </c>
      <c r="K20" s="137">
        <f>IFERROR(INDEX(ケイパビリティマップ!$E:$E,MATCH(J20,ケイパビリティマップ!$A:$A,0)),"（IDなし）")</f>
        <v/>
      </c>
      <c r="L20" s="149">
        <f>COUNTIF('ケイパビリティ×情報オブジェクト'!T$6:T$58,"C")</f>
        <v/>
      </c>
      <c r="M20" s="149">
        <f>COUNTIF('ケイパビリティ×情報オブジェクト'!T$6:T$58,"R")</f>
        <v/>
      </c>
    </row>
    <row r="21" ht="15" customHeight="1" s="80">
      <c r="A21" s="146" t="inlineStr">
        <is>
          <t>RES-12</t>
        </is>
      </c>
      <c r="B21" s="132" t="inlineStr">
        <is>
          <t>研究</t>
        </is>
      </c>
      <c r="C21" s="133" t="inlineStr">
        <is>
          <t>疫学データ</t>
        </is>
      </c>
      <c r="D21" s="134" t="inlineStr">
        <is>
          <t>Epidemiology Data</t>
        </is>
      </c>
      <c r="E21" s="135" t="inlineStr">
        <is>
          <t>米国の患者数（20万人未満の根拠）・有病率</t>
        </is>
      </c>
      <c r="F21" s="132" t="inlineStr">
        <is>
          <t>分析・評価</t>
        </is>
      </c>
      <c r="G21" s="132" t="inlineStr">
        <is>
          <t>非GxP</t>
        </is>
      </c>
      <c r="H21" s="136">
        <f>IF(G21="非GxP","—","対象候補")</f>
        <v/>
      </c>
      <c r="I21" s="132" t="inlineStr">
        <is>
          <t>なし</t>
        </is>
      </c>
      <c r="J21" s="146" t="inlineStr">
        <is>
          <t>C05-02</t>
        </is>
      </c>
      <c r="K21" s="137">
        <f>IFERROR(INDEX(ケイパビリティマップ!$E:$E,MATCH(J21,ケイパビリティマップ!$A:$A,0)),"（IDなし）")</f>
        <v/>
      </c>
      <c r="L21" s="149">
        <f>COUNTIF('ケイパビリティ×情報オブジェクト'!U$6:U$58,"C")</f>
        <v/>
      </c>
      <c r="M21" s="149">
        <f>COUNTIF('ケイパビリティ×情報オブジェクト'!U$6:U$58,"R")</f>
        <v/>
      </c>
    </row>
    <row r="22" ht="15" customHeight="1" s="80">
      <c r="A22" s="146" t="inlineStr">
        <is>
          <t>NCL-01</t>
        </is>
      </c>
      <c r="B22" s="132" t="inlineStr">
        <is>
          <t>非臨床</t>
        </is>
      </c>
      <c r="C22" s="133" t="inlineStr">
        <is>
          <t>非臨床試験計画</t>
        </is>
      </c>
      <c r="D22" s="134" t="inlineStr">
        <is>
          <t>Nonclinical Study Plan</t>
        </is>
      </c>
      <c r="E22" s="135" t="inlineStr">
        <is>
          <t>試験計画書（GLP試験を含む）</t>
        </is>
      </c>
      <c r="F22" s="132" t="inlineStr">
        <is>
          <t>文書</t>
        </is>
      </c>
      <c r="G22" s="132" t="inlineStr">
        <is>
          <t>GLP</t>
        </is>
      </c>
      <c r="H22" s="136">
        <f>IF(G22="非GxP","—","対象候補")</f>
        <v/>
      </c>
      <c r="I22" s="132" t="inlineStr">
        <is>
          <t>なし</t>
        </is>
      </c>
      <c r="J22" s="146" t="inlineStr">
        <is>
          <t>C03-02</t>
        </is>
      </c>
      <c r="K22" s="137">
        <f>IFERROR(INDEX(ケイパビリティマップ!$E:$E,MATCH(J22,ケイパビリティマップ!$A:$A,0)),"（IDなし）")</f>
        <v/>
      </c>
      <c r="L22" s="149">
        <f>COUNTIF('ケイパビリティ×情報オブジェクト'!V$6:V$58,"C")</f>
        <v/>
      </c>
      <c r="M22" s="149">
        <f>COUNTIF('ケイパビリティ×情報オブジェクト'!V$6:V$58,"R")</f>
        <v/>
      </c>
    </row>
    <row r="23" ht="15" customHeight="1" s="80">
      <c r="A23" s="146" t="inlineStr">
        <is>
          <t>NCL-02</t>
        </is>
      </c>
      <c r="B23" s="132" t="inlineStr">
        <is>
          <t>非臨床</t>
        </is>
      </c>
      <c r="C23" s="133" t="inlineStr">
        <is>
          <t>非臨床試験データ</t>
        </is>
      </c>
      <c r="D23" s="134" t="inlineStr">
        <is>
          <t>Nonclinical Study Data</t>
        </is>
      </c>
      <c r="E23" s="135" t="inlineStr">
        <is>
          <t>薬理・PK・毒性試験の生データと結果</t>
        </is>
      </c>
      <c r="F23" s="132" t="inlineStr">
        <is>
          <t>測定データ</t>
        </is>
      </c>
      <c r="G23" s="132" t="inlineStr">
        <is>
          <t>GLP</t>
        </is>
      </c>
      <c r="H23" s="136">
        <f>IF(G23="非GxP","—","対象候補")</f>
        <v/>
      </c>
      <c r="I23" s="132" t="inlineStr">
        <is>
          <t>なし</t>
        </is>
      </c>
      <c r="J23" s="146" t="inlineStr">
        <is>
          <t>C03-02</t>
        </is>
      </c>
      <c r="K23" s="137">
        <f>IFERROR(INDEX(ケイパビリティマップ!$E:$E,MATCH(J23,ケイパビリティマップ!$A:$A,0)),"（IDなし）")</f>
        <v/>
      </c>
      <c r="L23" s="149">
        <f>COUNTIF('ケイパビリティ×情報オブジェクト'!W$6:W$58,"C")</f>
        <v/>
      </c>
      <c r="M23" s="149">
        <f>COUNTIF('ケイパビリティ×情報オブジェクト'!W$6:W$58,"R")</f>
        <v/>
      </c>
    </row>
    <row r="24" ht="15" customHeight="1" s="80">
      <c r="A24" s="146" t="inlineStr">
        <is>
          <t>NCL-03</t>
        </is>
      </c>
      <c r="B24" s="132" t="inlineStr">
        <is>
          <t>非臨床</t>
        </is>
      </c>
      <c r="C24" s="133" t="inlineStr">
        <is>
          <t>非臨床試験報告書</t>
        </is>
      </c>
      <c r="D24" s="134" t="inlineStr">
        <is>
          <t>Nonclinical Study Report</t>
        </is>
      </c>
      <c r="E24" s="135" t="inlineStr">
        <is>
          <t>MoA・動物種選定根拠を含む試験報告書</t>
        </is>
      </c>
      <c r="F24" s="132" t="inlineStr">
        <is>
          <t>文書</t>
        </is>
      </c>
      <c r="G24" s="132" t="inlineStr">
        <is>
          <t>GLP</t>
        </is>
      </c>
      <c r="H24" s="136">
        <f>IF(G24="非GxP","—","対象候補")</f>
        <v/>
      </c>
      <c r="I24" s="132" t="inlineStr">
        <is>
          <t>なし</t>
        </is>
      </c>
      <c r="J24" s="146" t="inlineStr">
        <is>
          <t>C03-02</t>
        </is>
      </c>
      <c r="K24" s="137">
        <f>IFERROR(INDEX(ケイパビリティマップ!$E:$E,MATCH(J24,ケイパビリティマップ!$A:$A,0)),"（IDなし）")</f>
        <v/>
      </c>
      <c r="L24" s="149">
        <f>COUNTIF('ケイパビリティ×情報オブジェクト'!X$6:X$58,"C")</f>
        <v/>
      </c>
      <c r="M24" s="149">
        <f>COUNTIF('ケイパビリティ×情報オブジェクト'!X$6:X$58,"R")</f>
        <v/>
      </c>
    </row>
    <row r="25" ht="15" customHeight="1" s="80">
      <c r="A25" s="146" t="inlineStr">
        <is>
          <t>NCL-04</t>
        </is>
      </c>
      <c r="B25" s="132" t="inlineStr">
        <is>
          <t>非臨床</t>
        </is>
      </c>
      <c r="C25" s="133" t="inlineStr">
        <is>
          <t>生体試料分析法</t>
        </is>
      </c>
      <c r="D25" s="134" t="inlineStr">
        <is>
          <t>Bioanalytical Method</t>
        </is>
      </c>
      <c r="E25" s="135" t="inlineStr">
        <is>
          <t>PK/TK・ADAの測定法（リガンド結合法）。臨床でも使用</t>
        </is>
      </c>
      <c r="F25" s="132" t="inlineStr">
        <is>
          <t>定義・仕様</t>
        </is>
      </c>
      <c r="G25" s="132" t="inlineStr">
        <is>
          <t>GLP・GCP</t>
        </is>
      </c>
      <c r="H25" s="136">
        <f>IF(G25="非GxP","—","対象候補")</f>
        <v/>
      </c>
      <c r="I25" s="132" t="inlineStr">
        <is>
          <t>なし</t>
        </is>
      </c>
      <c r="J25" s="146" t="inlineStr">
        <is>
          <t>C03-03</t>
        </is>
      </c>
      <c r="K25" s="137">
        <f>IFERROR(INDEX(ケイパビリティマップ!$E:$E,MATCH(J25,ケイパビリティマップ!$A:$A,0)),"（IDなし）")</f>
        <v/>
      </c>
      <c r="L25" s="149">
        <f>COUNTIF('ケイパビリティ×情報オブジェクト'!Y$6:Y$58,"C")</f>
        <v/>
      </c>
      <c r="M25" s="149">
        <f>COUNTIF('ケイパビリティ×情報オブジェクト'!Y$6:Y$58,"R")</f>
        <v/>
      </c>
    </row>
    <row r="26" ht="26.85" customHeight="1" s="80">
      <c r="A26" s="146" t="inlineStr">
        <is>
          <t>CMC-01</t>
        </is>
      </c>
      <c r="B26" s="132" t="inlineStr">
        <is>
          <t>CMC開発</t>
        </is>
      </c>
      <c r="C26" s="133" t="inlineStr">
        <is>
          <t>発現ベクター・細胞株</t>
        </is>
      </c>
      <c r="D26" s="134" t="inlineStr">
        <is>
          <t>Vector &amp; Cell Line</t>
        </is>
      </c>
      <c r="E26" s="135" t="inlineStr">
        <is>
          <t>発現ベクター、候補クローン、生産細胞株と由来記録</t>
        </is>
      </c>
      <c r="F26" s="132" t="inlineStr">
        <is>
          <t>マスタ</t>
        </is>
      </c>
      <c r="G26" s="132" t="inlineStr">
        <is>
          <t>非GxP</t>
        </is>
      </c>
      <c r="H26" s="136">
        <f>IF(G26="非GxP","—","対象候補")</f>
        <v/>
      </c>
      <c r="I26" s="132" t="inlineStr">
        <is>
          <t>なし</t>
        </is>
      </c>
      <c r="J26" s="146" t="inlineStr">
        <is>
          <t>C04-01</t>
        </is>
      </c>
      <c r="K26" s="137">
        <f>IFERROR(INDEX(ケイパビリティマップ!$E:$E,MATCH(J26,ケイパビリティマップ!$A:$A,0)),"（IDなし）")</f>
        <v/>
      </c>
      <c r="L26" s="149">
        <f>COUNTIF('ケイパビリティ×情報オブジェクト'!Z$6:Z$58,"C")</f>
        <v/>
      </c>
      <c r="M26" s="149">
        <f>COUNTIF('ケイパビリティ×情報オブジェクト'!Z$6:Z$58,"R")</f>
        <v/>
      </c>
    </row>
    <row r="27" ht="26.85" customHeight="1" s="80">
      <c r="A27" s="146" t="inlineStr">
        <is>
          <t>CMC-02</t>
        </is>
      </c>
      <c r="B27" s="132" t="inlineStr">
        <is>
          <t>CMC開発</t>
        </is>
      </c>
      <c r="C27" s="133" t="inlineStr">
        <is>
          <t>セルバンク</t>
        </is>
      </c>
      <c r="D27" s="134" t="inlineStr">
        <is>
          <t>Cell Bank</t>
        </is>
      </c>
      <c r="E27" s="135" t="inlineStr">
        <is>
          <t>MCB／WCB。在庫・使用履歴を含む</t>
        </is>
      </c>
      <c r="F27" s="132" t="inlineStr">
        <is>
          <t>マスタ</t>
        </is>
      </c>
      <c r="G27" s="132" t="inlineStr">
        <is>
          <t>GMP</t>
        </is>
      </c>
      <c r="H27" s="136">
        <f>IF(G27="非GxP","—","対象候補")</f>
        <v/>
      </c>
      <c r="I27" s="132" t="inlineStr">
        <is>
          <t>なし</t>
        </is>
      </c>
      <c r="J27" s="146" t="inlineStr">
        <is>
          <t>C04-01</t>
        </is>
      </c>
      <c r="K27" s="137">
        <f>IFERROR(INDEX(ケイパビリティマップ!$E:$E,MATCH(J27,ケイパビリティマップ!$A:$A,0)),"（IDなし）")</f>
        <v/>
      </c>
      <c r="L27" s="149">
        <f>COUNTIF('ケイパビリティ×情報オブジェクト'!AA$6:AA$58,"C")</f>
        <v/>
      </c>
      <c r="M27" s="149">
        <f>COUNTIF('ケイパビリティ×情報オブジェクト'!AA$6:AA$58,"R")</f>
        <v/>
      </c>
    </row>
    <row r="28" ht="15" customHeight="1" s="80">
      <c r="A28" s="146" t="inlineStr">
        <is>
          <t>CMC-03</t>
        </is>
      </c>
      <c r="B28" s="132" t="inlineStr">
        <is>
          <t>CMC開発</t>
        </is>
      </c>
      <c r="C28" s="133" t="inlineStr">
        <is>
          <t>プロセス定義</t>
        </is>
      </c>
      <c r="D28" s="134" t="inlineStr">
        <is>
          <t>Process Definition</t>
        </is>
      </c>
      <c r="E28" s="135" t="inlineStr">
        <is>
          <t>培養・精製工程、工程パラメータと許容範囲、製造規模</t>
        </is>
      </c>
      <c r="F28" s="132" t="inlineStr">
        <is>
          <t>定義・仕様</t>
        </is>
      </c>
      <c r="G28" s="132" t="inlineStr">
        <is>
          <t>GMP</t>
        </is>
      </c>
      <c r="H28" s="136">
        <f>IF(G28="非GxP","—","対象候補")</f>
        <v/>
      </c>
      <c r="I28" s="132" t="inlineStr">
        <is>
          <t>なし</t>
        </is>
      </c>
      <c r="J28" s="146" t="inlineStr">
        <is>
          <t>C04-02</t>
        </is>
      </c>
      <c r="K28" s="137">
        <f>IFERROR(INDEX(ケイパビリティマップ!$E:$E,MATCH(J28,ケイパビリティマップ!$A:$A,0)),"（IDなし）")</f>
        <v/>
      </c>
      <c r="L28" s="149">
        <f>COUNTIF('ケイパビリティ×情報オブジェクト'!AB$6:AB$58,"C")</f>
        <v/>
      </c>
      <c r="M28" s="149">
        <f>COUNTIF('ケイパビリティ×情報オブジェクト'!AB$6:AB$58,"R")</f>
        <v/>
      </c>
    </row>
    <row r="29" ht="15" customHeight="1" s="80">
      <c r="A29" s="146" t="inlineStr">
        <is>
          <t>CMC-04</t>
        </is>
      </c>
      <c r="B29" s="132" t="inlineStr">
        <is>
          <t>CMC開発</t>
        </is>
      </c>
      <c r="C29" s="133" t="inlineStr">
        <is>
          <t>プロセス開発データ</t>
        </is>
      </c>
      <c r="D29" s="134" t="inlineStr">
        <is>
          <t>Process Development Data</t>
        </is>
      </c>
      <c r="E29" s="135" t="inlineStr">
        <is>
          <t>開発ラン・実験計画法（DoE）の結果</t>
        </is>
      </c>
      <c r="F29" s="132" t="inlineStr">
        <is>
          <t>測定データ</t>
        </is>
      </c>
      <c r="G29" s="132" t="inlineStr">
        <is>
          <t>非GxP</t>
        </is>
      </c>
      <c r="H29" s="136">
        <f>IF(G29="非GxP","—","対象候補")</f>
        <v/>
      </c>
      <c r="I29" s="132" t="inlineStr">
        <is>
          <t>なし</t>
        </is>
      </c>
      <c r="J29" s="146" t="inlineStr">
        <is>
          <t>C04-02</t>
        </is>
      </c>
      <c r="K29" s="137">
        <f>IFERROR(INDEX(ケイパビリティマップ!$E:$E,MATCH(J29,ケイパビリティマップ!$A:$A,0)),"（IDなし）")</f>
        <v/>
      </c>
      <c r="L29" s="149">
        <f>COUNTIF('ケイパビリティ×情報オブジェクト'!AC$6:AC$58,"C")</f>
        <v/>
      </c>
      <c r="M29" s="149">
        <f>COUNTIF('ケイパビリティ×情報オブジェクト'!AC$6:AC$58,"R")</f>
        <v/>
      </c>
    </row>
    <row r="30" ht="15" customHeight="1" s="80">
      <c r="A30" s="146" t="inlineStr">
        <is>
          <t>CMC-05</t>
        </is>
      </c>
      <c r="B30" s="132" t="inlineStr">
        <is>
          <t>CMC開発</t>
        </is>
      </c>
      <c r="C30" s="133" t="inlineStr">
        <is>
          <t>処方・製剤仕様</t>
        </is>
      </c>
      <c r="D30" s="134" t="inlineStr">
        <is>
          <t>Formulation &amp; Presentation</t>
        </is>
      </c>
      <c r="E30" s="135" t="inlineStr">
        <is>
          <t>処方、剤形・容器、投与デバイスの仕様</t>
        </is>
      </c>
      <c r="F30" s="132" t="inlineStr">
        <is>
          <t>定義・仕様</t>
        </is>
      </c>
      <c r="G30" s="132" t="inlineStr">
        <is>
          <t>GMP・QMSR</t>
        </is>
      </c>
      <c r="H30" s="136">
        <f>IF(G30="非GxP","—","対象候補")</f>
        <v/>
      </c>
      <c r="I30" s="132" t="inlineStr">
        <is>
          <t>なし</t>
        </is>
      </c>
      <c r="J30" s="146" t="inlineStr">
        <is>
          <t>C04-03</t>
        </is>
      </c>
      <c r="K30" s="137">
        <f>IFERROR(INDEX(ケイパビリティマップ!$E:$E,MATCH(J30,ケイパビリティマップ!$A:$A,0)),"（IDなし）")</f>
        <v/>
      </c>
      <c r="L30" s="149">
        <f>COUNTIF('ケイパビリティ×情報オブジェクト'!AD$6:AD$58,"C")</f>
        <v/>
      </c>
      <c r="M30" s="149">
        <f>COUNTIF('ケイパビリティ×情報オブジェクト'!AD$6:AD$58,"R")</f>
        <v/>
      </c>
    </row>
    <row r="31" ht="15" customHeight="1" s="80">
      <c r="A31" s="146" t="inlineStr">
        <is>
          <t>CMC-06</t>
        </is>
      </c>
      <c r="B31" s="132" t="inlineStr">
        <is>
          <t>CMC開発</t>
        </is>
      </c>
      <c r="C31" s="133" t="inlineStr">
        <is>
          <t>重要品質特性（CQA）</t>
        </is>
      </c>
      <c r="D31" s="134" t="inlineStr">
        <is>
          <t>Critical Quality Attribute</t>
        </is>
      </c>
      <c r="E31" s="135" t="inlineStr">
        <is>
          <t>品質に影響する特性とそのリスク評価</t>
        </is>
      </c>
      <c r="F31" s="132" t="inlineStr">
        <is>
          <t>定義・仕様</t>
        </is>
      </c>
      <c r="G31" s="132" t="inlineStr">
        <is>
          <t>GMP</t>
        </is>
      </c>
      <c r="H31" s="136">
        <f>IF(G31="非GxP","—","対象候補")</f>
        <v/>
      </c>
      <c r="I31" s="132" t="inlineStr">
        <is>
          <t>なし</t>
        </is>
      </c>
      <c r="J31" s="146" t="inlineStr">
        <is>
          <t>C04-04</t>
        </is>
      </c>
      <c r="K31" s="137">
        <f>IFERROR(INDEX(ケイパビリティマップ!$E:$E,MATCH(J31,ケイパビリティマップ!$A:$A,0)),"（IDなし）")</f>
        <v/>
      </c>
      <c r="L31" s="149">
        <f>COUNTIF('ケイパビリティ×情報オブジェクト'!AE$6:AE$58,"C")</f>
        <v/>
      </c>
      <c r="M31" s="149">
        <f>COUNTIF('ケイパビリティ×情報オブジェクト'!AE$6:AE$58,"R")</f>
        <v/>
      </c>
    </row>
    <row r="32" ht="26.85" customHeight="1" s="80">
      <c r="A32" s="146" t="inlineStr">
        <is>
          <t>CMC-07</t>
        </is>
      </c>
      <c r="B32" s="132" t="inlineStr">
        <is>
          <t>CMC開発</t>
        </is>
      </c>
      <c r="C32" s="133" t="inlineStr">
        <is>
          <t>分析法</t>
        </is>
      </c>
      <c r="D32" s="134" t="inlineStr">
        <is>
          <t>Analytical Method</t>
        </is>
      </c>
      <c r="E32" s="135" t="inlineStr">
        <is>
          <t>構造・純度・糖鎖・電荷・生物活性の試験法とバリデーション状態</t>
        </is>
      </c>
      <c r="F32" s="132" t="inlineStr">
        <is>
          <t>定義・仕様</t>
        </is>
      </c>
      <c r="G32" s="132" t="inlineStr">
        <is>
          <t>GMP</t>
        </is>
      </c>
      <c r="H32" s="136">
        <f>IF(G32="非GxP","—","対象候補")</f>
        <v/>
      </c>
      <c r="I32" s="132" t="inlineStr">
        <is>
          <t>なし</t>
        </is>
      </c>
      <c r="J32" s="146" t="inlineStr">
        <is>
          <t>C04-04</t>
        </is>
      </c>
      <c r="K32" s="137">
        <f>IFERROR(INDEX(ケイパビリティマップ!$E:$E,MATCH(J32,ケイパビリティマップ!$A:$A,0)),"（IDなし）")</f>
        <v/>
      </c>
      <c r="L32" s="149">
        <f>COUNTIF('ケイパビリティ×情報オブジェクト'!AF$6:AF$58,"C")</f>
        <v/>
      </c>
      <c r="M32" s="149">
        <f>COUNTIF('ケイパビリティ×情報オブジェクト'!AF$6:AF$58,"R")</f>
        <v/>
      </c>
    </row>
    <row r="33" ht="15" customHeight="1" s="80">
      <c r="A33" s="146" t="inlineStr">
        <is>
          <t>CMC-08</t>
        </is>
      </c>
      <c r="B33" s="132" t="inlineStr">
        <is>
          <t>CMC開発</t>
        </is>
      </c>
      <c r="C33" s="133" t="inlineStr">
        <is>
          <t>標準物質</t>
        </is>
      </c>
      <c r="D33" s="134" t="inlineStr">
        <is>
          <t>Reference Standard</t>
        </is>
      </c>
      <c r="E33" s="135" t="inlineStr">
        <is>
          <t>試験の基準となる物質とその特性</t>
        </is>
      </c>
      <c r="F33" s="132" t="inlineStr">
        <is>
          <t>マスタ</t>
        </is>
      </c>
      <c r="G33" s="132" t="inlineStr">
        <is>
          <t>GMP</t>
        </is>
      </c>
      <c r="H33" s="136">
        <f>IF(G33="非GxP","—","対象候補")</f>
        <v/>
      </c>
      <c r="I33" s="132" t="inlineStr">
        <is>
          <t>なし</t>
        </is>
      </c>
      <c r="J33" s="146" t="inlineStr">
        <is>
          <t>C04-04</t>
        </is>
      </c>
      <c r="K33" s="137">
        <f>IFERROR(INDEX(ケイパビリティマップ!$E:$E,MATCH(J33,ケイパビリティマップ!$A:$A,0)),"（IDなし）")</f>
        <v/>
      </c>
      <c r="L33" s="149">
        <f>COUNTIF('ケイパビリティ×情報オブジェクト'!AG$6:AG$58,"C")</f>
        <v/>
      </c>
      <c r="M33" s="149">
        <f>COUNTIF('ケイパビリティ×情報オブジェクト'!AG$6:AG$58,"R")</f>
        <v/>
      </c>
    </row>
    <row r="34" ht="15" customHeight="1" s="80">
      <c r="A34" s="146" t="inlineStr">
        <is>
          <t>CMC-09</t>
        </is>
      </c>
      <c r="B34" s="132" t="inlineStr">
        <is>
          <t>CMC開発</t>
        </is>
      </c>
      <c r="C34" s="133" t="inlineStr">
        <is>
          <t>規格</t>
        </is>
      </c>
      <c r="D34" s="134" t="inlineStr">
        <is>
          <t>Specification</t>
        </is>
      </c>
      <c r="E34" s="135" t="inlineStr">
        <is>
          <t>原薬・製剤の規格項目と判定基準</t>
        </is>
      </c>
      <c r="F34" s="132" t="inlineStr">
        <is>
          <t>定義・仕様</t>
        </is>
      </c>
      <c r="G34" s="132" t="inlineStr">
        <is>
          <t>GMP</t>
        </is>
      </c>
      <c r="H34" s="136">
        <f>IF(G34="非GxP","—","対象候補")</f>
        <v/>
      </c>
      <c r="I34" s="132" t="inlineStr">
        <is>
          <t>なし</t>
        </is>
      </c>
      <c r="J34" s="146" t="inlineStr">
        <is>
          <t>C04-04</t>
        </is>
      </c>
      <c r="K34" s="137">
        <f>IFERROR(INDEX(ケイパビリティマップ!$E:$E,MATCH(J34,ケイパビリティマップ!$A:$A,0)),"（IDなし）")</f>
        <v/>
      </c>
      <c r="L34" s="149">
        <f>COUNTIF('ケイパビリティ×情報オブジェクト'!AH$6:AH$58,"C")</f>
        <v/>
      </c>
      <c r="M34" s="149">
        <f>COUNTIF('ケイパビリティ×情報オブジェクト'!AH$6:AH$58,"R")</f>
        <v/>
      </c>
    </row>
    <row r="35" ht="15" customHeight="1" s="80">
      <c r="A35" s="146" t="inlineStr">
        <is>
          <t>CMC-10</t>
        </is>
      </c>
      <c r="B35" s="132" t="inlineStr">
        <is>
          <t>CMC開発</t>
        </is>
      </c>
      <c r="C35" s="133" t="inlineStr">
        <is>
          <t>管理戦略</t>
        </is>
      </c>
      <c r="D35" s="134" t="inlineStr">
        <is>
          <t>Control Strategy</t>
        </is>
      </c>
      <c r="E35" s="135" t="inlineStr">
        <is>
          <t>CQAを保証するための工程管理・試験の組合せ</t>
        </is>
      </c>
      <c r="F35" s="132" t="inlineStr">
        <is>
          <t>定義・仕様</t>
        </is>
      </c>
      <c r="G35" s="132" t="inlineStr">
        <is>
          <t>GMP</t>
        </is>
      </c>
      <c r="H35" s="136">
        <f>IF(G35="非GxP","—","対象候補")</f>
        <v/>
      </c>
      <c r="I35" s="132" t="inlineStr">
        <is>
          <t>なし</t>
        </is>
      </c>
      <c r="J35" s="146" t="inlineStr">
        <is>
          <t>C04-02</t>
        </is>
      </c>
      <c r="K35" s="137">
        <f>IFERROR(INDEX(ケイパビリティマップ!$E:$E,MATCH(J35,ケイパビリティマップ!$A:$A,0)),"（IDなし）")</f>
        <v/>
      </c>
      <c r="L35" s="149">
        <f>COUNTIF('ケイパビリティ×情報オブジェクト'!AI$6:AI$58,"C")</f>
        <v/>
      </c>
      <c r="M35" s="149">
        <f>COUNTIF('ケイパビリティ×情報オブジェクト'!AI$6:AI$58,"R")</f>
        <v/>
      </c>
    </row>
    <row r="36" ht="15" customHeight="1" s="80">
      <c r="A36" s="146" t="inlineStr">
        <is>
          <t>CMC-11</t>
        </is>
      </c>
      <c r="B36" s="132" t="inlineStr">
        <is>
          <t>CMC開発</t>
        </is>
      </c>
      <c r="C36" s="133" t="inlineStr">
        <is>
          <t>安定性データ</t>
        </is>
      </c>
      <c r="D36" s="134" t="inlineStr">
        <is>
          <t>Stability Data</t>
        </is>
      </c>
      <c r="E36" s="135" t="inlineStr">
        <is>
          <t>安定性試験の計画と結果（開発・治験薬・商用）</t>
        </is>
      </c>
      <c r="F36" s="132" t="inlineStr">
        <is>
          <t>測定データ</t>
        </is>
      </c>
      <c r="G36" s="132" t="inlineStr">
        <is>
          <t>GMP</t>
        </is>
      </c>
      <c r="H36" s="136">
        <f>IF(G36="非GxP","—","対象候補")</f>
        <v/>
      </c>
      <c r="I36" s="132" t="inlineStr">
        <is>
          <t>なし</t>
        </is>
      </c>
      <c r="J36" s="146" t="inlineStr">
        <is>
          <t>C08-01</t>
        </is>
      </c>
      <c r="K36" s="137">
        <f>IFERROR(INDEX(ケイパビリティマップ!$E:$E,MATCH(J36,ケイパビリティマップ!$A:$A,0)),"（IDなし）")</f>
        <v/>
      </c>
      <c r="L36" s="149">
        <f>COUNTIF('ケイパビリティ×情報オブジェクト'!AJ$6:AJ$58,"C")</f>
        <v/>
      </c>
      <c r="M36" s="149">
        <f>COUNTIF('ケイパビリティ×情報オブジェクト'!AJ$6:AJ$58,"R")</f>
        <v/>
      </c>
    </row>
    <row r="37" ht="26.85" customHeight="1" s="80">
      <c r="A37" s="146" t="inlineStr">
        <is>
          <t>CMC-12</t>
        </is>
      </c>
      <c r="B37" s="132" t="inlineStr">
        <is>
          <t>CMC開発</t>
        </is>
      </c>
      <c r="C37" s="133" t="inlineStr">
        <is>
          <t>CMC技術報告書</t>
        </is>
      </c>
      <c r="D37" s="134" t="inlineStr">
        <is>
          <t>CMC Technical Report</t>
        </is>
      </c>
      <c r="E37" s="135" t="inlineStr">
        <is>
          <t>セルバンク試験・ウイルスクリアランス・分析法バリデーション・同等性評価・技術移転などの報告書</t>
        </is>
      </c>
      <c r="F37" s="132" t="inlineStr">
        <is>
          <t>文書</t>
        </is>
      </c>
      <c r="G37" s="132" t="inlineStr">
        <is>
          <t>GMP</t>
        </is>
      </c>
      <c r="H37" s="136">
        <f>IF(G37="非GxP","—","対象候補")</f>
        <v/>
      </c>
      <c r="I37" s="132" t="inlineStr">
        <is>
          <t>なし</t>
        </is>
      </c>
      <c r="J37" s="146" t="inlineStr">
        <is>
          <t>C04-04</t>
        </is>
      </c>
      <c r="K37" s="137">
        <f>IFERROR(INDEX(ケイパビリティマップ!$E:$E,MATCH(J37,ケイパビリティマップ!$A:$A,0)),"（IDなし）")</f>
        <v/>
      </c>
      <c r="L37" s="149">
        <f>COUNTIF('ケイパビリティ×情報オブジェクト'!AK$6:AK$58,"C")</f>
        <v/>
      </c>
      <c r="M37" s="149">
        <f>COUNTIF('ケイパビリティ×情報オブジェクト'!AK$6:AK$58,"R")</f>
        <v/>
      </c>
    </row>
    <row r="38" ht="15" customHeight="1" s="80">
      <c r="A38" s="146" t="inlineStr">
        <is>
          <t>CMC-13</t>
        </is>
      </c>
      <c r="B38" s="132" t="inlineStr">
        <is>
          <t>CMC開発</t>
        </is>
      </c>
      <c r="C38" s="133" t="inlineStr">
        <is>
          <t>マスターバッチレコード</t>
        </is>
      </c>
      <c r="D38" s="134" t="inlineStr">
        <is>
          <t>Master Batch Record</t>
        </is>
      </c>
      <c r="E38" s="135" t="inlineStr">
        <is>
          <t>製造所で使う製造指図の原本</t>
        </is>
      </c>
      <c r="F38" s="132" t="inlineStr">
        <is>
          <t>定義・仕様</t>
        </is>
      </c>
      <c r="G38" s="132" t="inlineStr">
        <is>
          <t>GMP</t>
        </is>
      </c>
      <c r="H38" s="136">
        <f>IF(G38="非GxP","—","対象候補")</f>
        <v/>
      </c>
      <c r="I38" s="132" t="inlineStr">
        <is>
          <t>なし</t>
        </is>
      </c>
      <c r="J38" s="146" t="inlineStr">
        <is>
          <t>C04-05</t>
        </is>
      </c>
      <c r="K38" s="137">
        <f>IFERROR(INDEX(ケイパビリティマップ!$E:$E,MATCH(J38,ケイパビリティマップ!$A:$A,0)),"（IDなし）")</f>
        <v/>
      </c>
      <c r="L38" s="149">
        <f>COUNTIF('ケイパビリティ×情報オブジェクト'!AL$6:AL$58,"C")</f>
        <v/>
      </c>
      <c r="M38" s="149">
        <f>COUNTIF('ケイパビリティ×情報オブジェクト'!AL$6:AL$58,"R")</f>
        <v/>
      </c>
    </row>
    <row r="39" ht="26.85" customHeight="1" s="80">
      <c r="A39" s="146" t="inlineStr">
        <is>
          <t>MFG-01</t>
        </is>
      </c>
      <c r="B39" s="132" t="inlineStr">
        <is>
          <t>製造・品質</t>
        </is>
      </c>
      <c r="C39" s="133" t="inlineStr">
        <is>
          <t>生産計画</t>
        </is>
      </c>
      <c r="D39" s="134" t="inlineStr">
        <is>
          <t>Production Plan</t>
        </is>
      </c>
      <c r="E39" s="135" t="inlineStr">
        <is>
          <t>原薬・製剤の生産スケジュール</t>
        </is>
      </c>
      <c r="F39" s="132" t="inlineStr">
        <is>
          <t>トランザクション</t>
        </is>
      </c>
      <c r="G39" s="132" t="inlineStr">
        <is>
          <t>非GxP</t>
        </is>
      </c>
      <c r="H39" s="136">
        <f>IF(G39="非GxP","—","対象候補")</f>
        <v/>
      </c>
      <c r="I39" s="132" t="inlineStr">
        <is>
          <t>なし</t>
        </is>
      </c>
      <c r="J39" s="146" t="inlineStr">
        <is>
          <t>C07-01</t>
        </is>
      </c>
      <c r="K39" s="137">
        <f>IFERROR(INDEX(ケイパビリティマップ!$E:$E,MATCH(J39,ケイパビリティマップ!$A:$A,0)),"（IDなし）")</f>
        <v/>
      </c>
      <c r="L39" s="149">
        <f>COUNTIF('ケイパビリティ×情報オブジェクト'!AM$6:AM$58,"C")</f>
        <v/>
      </c>
      <c r="M39" s="149">
        <f>COUNTIF('ケイパビリティ×情報オブジェクト'!AM$6:AM$58,"R")</f>
        <v/>
      </c>
    </row>
    <row r="40" ht="15" customHeight="1" s="80">
      <c r="A40" s="146" t="inlineStr">
        <is>
          <t>MFG-02</t>
        </is>
      </c>
      <c r="B40" s="132" t="inlineStr">
        <is>
          <t>製造・品質</t>
        </is>
      </c>
      <c r="C40" s="133" t="inlineStr">
        <is>
          <t>原材料・資材</t>
        </is>
      </c>
      <c r="D40" s="134" t="inlineStr">
        <is>
          <t>Material</t>
        </is>
      </c>
      <c r="E40" s="135" t="inlineStr">
        <is>
          <t>培地・レジン・容器などの原材料・資材とそのロット</t>
        </is>
      </c>
      <c r="F40" s="132" t="inlineStr">
        <is>
          <t>マスタ</t>
        </is>
      </c>
      <c r="G40" s="132" t="inlineStr">
        <is>
          <t>GMP</t>
        </is>
      </c>
      <c r="H40" s="136">
        <f>IF(G40="非GxP","—","対象候補")</f>
        <v/>
      </c>
      <c r="I40" s="132" t="inlineStr">
        <is>
          <t>なし</t>
        </is>
      </c>
      <c r="J40" s="146" t="inlineStr">
        <is>
          <t>C07-01</t>
        </is>
      </c>
      <c r="K40" s="137">
        <f>IFERROR(INDEX(ケイパビリティマップ!$E:$E,MATCH(J40,ケイパビリティマップ!$A:$A,0)),"（IDなし）")</f>
        <v/>
      </c>
      <c r="L40" s="149">
        <f>COUNTIF('ケイパビリティ×情報オブジェクト'!AN$6:AN$58,"C")</f>
        <v/>
      </c>
      <c r="M40" s="149">
        <f>COUNTIF('ケイパビリティ×情報オブジェクト'!AN$6:AN$58,"R")</f>
        <v/>
      </c>
    </row>
    <row r="41" ht="26.85" customHeight="1" s="80">
      <c r="A41" s="146" t="inlineStr">
        <is>
          <t>MFG-03</t>
        </is>
      </c>
      <c r="B41" s="132" t="inlineStr">
        <is>
          <t>製造・品質</t>
        </is>
      </c>
      <c r="C41" s="133" t="inlineStr">
        <is>
          <t>バッチ記録</t>
        </is>
      </c>
      <c r="D41" s="134" t="inlineStr">
        <is>
          <t>Executed Batch Record</t>
        </is>
      </c>
      <c r="E41" s="135" t="inlineStr">
        <is>
          <t>実行された製造記録（培養・精製・充填・包装）</t>
        </is>
      </c>
      <c r="F41" s="132" t="inlineStr">
        <is>
          <t>トランザクション</t>
        </is>
      </c>
      <c r="G41" s="132" t="inlineStr">
        <is>
          <t>GMP</t>
        </is>
      </c>
      <c r="H41" s="136">
        <f>IF(G41="非GxP","—","対象候補")</f>
        <v/>
      </c>
      <c r="I41" s="132" t="inlineStr">
        <is>
          <t>なし</t>
        </is>
      </c>
      <c r="J41" s="146" t="inlineStr">
        <is>
          <t>C07-01</t>
        </is>
      </c>
      <c r="K41" s="137">
        <f>IFERROR(INDEX(ケイパビリティマップ!$E:$E,MATCH(J41,ケイパビリティマップ!$A:$A,0)),"（IDなし）")</f>
        <v/>
      </c>
      <c r="L41" s="149">
        <f>COUNTIF('ケイパビリティ×情報オブジェクト'!AO$6:AO$58,"C")</f>
        <v/>
      </c>
      <c r="M41" s="149">
        <f>COUNTIF('ケイパビリティ×情報オブジェクト'!AO$6:AO$58,"R")</f>
        <v/>
      </c>
    </row>
    <row r="42" ht="26.85" customHeight="1" s="80">
      <c r="A42" s="146" t="inlineStr">
        <is>
          <t>MFG-04</t>
        </is>
      </c>
      <c r="B42" s="132" t="inlineStr">
        <is>
          <t>製造・品質</t>
        </is>
      </c>
      <c r="C42" s="133" t="inlineStr">
        <is>
          <t>ロット</t>
        </is>
      </c>
      <c r="D42" s="134" t="inlineStr">
        <is>
          <t>Lot</t>
        </is>
      </c>
      <c r="E42" s="135" t="inlineStr">
        <is>
          <t>原薬・製剤・製品のロットと系譜（治験薬・PPQロットを含む）</t>
        </is>
      </c>
      <c r="F42" s="132" t="inlineStr">
        <is>
          <t>トランザクション</t>
        </is>
      </c>
      <c r="G42" s="132" t="inlineStr">
        <is>
          <t>GMP</t>
        </is>
      </c>
      <c r="H42" s="136">
        <f>IF(G42="非GxP","—","対象候補")</f>
        <v/>
      </c>
      <c r="I42" s="132" t="inlineStr">
        <is>
          <t>なし</t>
        </is>
      </c>
      <c r="J42" s="146" t="inlineStr">
        <is>
          <t>C07-01</t>
        </is>
      </c>
      <c r="K42" s="137">
        <f>IFERROR(INDEX(ケイパビリティマップ!$E:$E,MATCH(J42,ケイパビリティマップ!$A:$A,0)),"（IDなし）")</f>
        <v/>
      </c>
      <c r="L42" s="149">
        <f>COUNTIF('ケイパビリティ×情報オブジェクト'!AP$6:AP$58,"C")</f>
        <v/>
      </c>
      <c r="M42" s="149">
        <f>COUNTIF('ケイパビリティ×情報オブジェクト'!AP$6:AP$58,"R")</f>
        <v/>
      </c>
    </row>
    <row r="43" ht="15" customHeight="1" s="80">
      <c r="A43" s="146" t="inlineStr">
        <is>
          <t>MFG-05</t>
        </is>
      </c>
      <c r="B43" s="132" t="inlineStr">
        <is>
          <t>製造・品質</t>
        </is>
      </c>
      <c r="C43" s="133" t="inlineStr">
        <is>
          <t>工程データ</t>
        </is>
      </c>
      <c r="D43" s="134" t="inlineStr">
        <is>
          <t>Process Data</t>
        </is>
      </c>
      <c r="E43" s="135" t="inlineStr">
        <is>
          <t>バイオリアクター等の運転・監視データ</t>
        </is>
      </c>
      <c r="F43" s="132" t="inlineStr">
        <is>
          <t>測定データ</t>
        </is>
      </c>
      <c r="G43" s="132" t="inlineStr">
        <is>
          <t>GMP</t>
        </is>
      </c>
      <c r="H43" s="136">
        <f>IF(G43="非GxP","—","対象候補")</f>
        <v/>
      </c>
      <c r="I43" s="132" t="inlineStr">
        <is>
          <t>なし</t>
        </is>
      </c>
      <c r="J43" s="146" t="inlineStr">
        <is>
          <t>C07-02</t>
        </is>
      </c>
      <c r="K43" s="137">
        <f>IFERROR(INDEX(ケイパビリティマップ!$E:$E,MATCH(J43,ケイパビリティマップ!$A:$A,0)),"（IDなし）")</f>
        <v/>
      </c>
      <c r="L43" s="149">
        <f>COUNTIF('ケイパビリティ×情報オブジェクト'!AQ$6:AQ$58,"C")</f>
        <v/>
      </c>
      <c r="M43" s="149">
        <f>COUNTIF('ケイパビリティ×情報オブジェクト'!AQ$6:AQ$58,"R")</f>
        <v/>
      </c>
    </row>
    <row r="44" ht="15" customHeight="1" s="80">
      <c r="A44" s="146" t="inlineStr">
        <is>
          <t>MFG-06</t>
        </is>
      </c>
      <c r="B44" s="132" t="inlineStr">
        <is>
          <t>製造・品質</t>
        </is>
      </c>
      <c r="C44" s="133" t="inlineStr">
        <is>
          <t>試験成績</t>
        </is>
      </c>
      <c r="D44" s="134" t="inlineStr">
        <is>
          <t>QC Test Result</t>
        </is>
      </c>
      <c r="E44" s="135" t="inlineStr">
        <is>
          <t>工程内試験・規格試験の結果、試験成績書（CoA）</t>
        </is>
      </c>
      <c r="F44" s="132" t="inlineStr">
        <is>
          <t>測定データ</t>
        </is>
      </c>
      <c r="G44" s="132" t="inlineStr">
        <is>
          <t>GMP</t>
        </is>
      </c>
      <c r="H44" s="136">
        <f>IF(G44="非GxP","—","対象候補")</f>
        <v/>
      </c>
      <c r="I44" s="132" t="inlineStr">
        <is>
          <t>なし</t>
        </is>
      </c>
      <c r="J44" s="146" t="inlineStr">
        <is>
          <t>C08-01</t>
        </is>
      </c>
      <c r="K44" s="137">
        <f>IFERROR(INDEX(ケイパビリティマップ!$E:$E,MATCH(J44,ケイパビリティマップ!$A:$A,0)),"（IDなし）")</f>
        <v/>
      </c>
      <c r="L44" s="149">
        <f>COUNTIF('ケイパビリティ×情報オブジェクト'!AR$6:AR$58,"C")</f>
        <v/>
      </c>
      <c r="M44" s="149">
        <f>COUNTIF('ケイパビリティ×情報オブジェクト'!AR$6:AR$58,"R")</f>
        <v/>
      </c>
    </row>
    <row r="45" ht="26.85" customHeight="1" s="80">
      <c r="A45" s="146" t="inlineStr">
        <is>
          <t>MFG-07</t>
        </is>
      </c>
      <c r="B45" s="132" t="inlineStr">
        <is>
          <t>製造・品質</t>
        </is>
      </c>
      <c r="C45" s="133" t="inlineStr">
        <is>
          <t>逸脱・CAPA</t>
        </is>
      </c>
      <c r="D45" s="134" t="inlineStr">
        <is>
          <t>Deviation &amp; CAPA</t>
        </is>
      </c>
      <c r="E45" s="135" t="inlineStr">
        <is>
          <t>逸脱、原因調査、是正・予防措置（温度逸脱を含む）</t>
        </is>
      </c>
      <c r="F45" s="132" t="inlineStr">
        <is>
          <t>トランザクション</t>
        </is>
      </c>
      <c r="G45" s="132" t="inlineStr">
        <is>
          <t>GMP</t>
        </is>
      </c>
      <c r="H45" s="136">
        <f>IF(G45="非GxP","—","対象候補")</f>
        <v/>
      </c>
      <c r="I45" s="132" t="inlineStr">
        <is>
          <t>なし</t>
        </is>
      </c>
      <c r="J45" s="146" t="inlineStr">
        <is>
          <t>C08-02</t>
        </is>
      </c>
      <c r="K45" s="137">
        <f>IFERROR(INDEX(ケイパビリティマップ!$E:$E,MATCH(J45,ケイパビリティマップ!$A:$A,0)),"（IDなし）")</f>
        <v/>
      </c>
      <c r="L45" s="149">
        <f>COUNTIF('ケイパビリティ×情報オブジェクト'!AS$6:AS$58,"C")</f>
        <v/>
      </c>
      <c r="M45" s="149">
        <f>COUNTIF('ケイパビリティ×情報オブジェクト'!AS$6:AS$58,"R")</f>
        <v/>
      </c>
    </row>
    <row r="46" ht="26.85" customHeight="1" s="80">
      <c r="A46" s="146" t="inlineStr">
        <is>
          <t>MFG-08</t>
        </is>
      </c>
      <c r="B46" s="132" t="inlineStr">
        <is>
          <t>製造・品質</t>
        </is>
      </c>
      <c r="C46" s="133" t="inlineStr">
        <is>
          <t>変更管理記録</t>
        </is>
      </c>
      <c r="D46" s="134" t="inlineStr">
        <is>
          <t>Change Control</t>
        </is>
      </c>
      <c r="E46" s="135" t="inlineStr">
        <is>
          <t>変更の評価と、21 CFR 601.12の報告区分の判定</t>
        </is>
      </c>
      <c r="F46" s="132" t="inlineStr">
        <is>
          <t>トランザクション</t>
        </is>
      </c>
      <c r="G46" s="132" t="inlineStr">
        <is>
          <t>GMP</t>
        </is>
      </c>
      <c r="H46" s="136">
        <f>IF(G46="非GxP","—","対象候補")</f>
        <v/>
      </c>
      <c r="I46" s="132" t="inlineStr">
        <is>
          <t>なし</t>
        </is>
      </c>
      <c r="J46" s="146" t="inlineStr">
        <is>
          <t>C08-02</t>
        </is>
      </c>
      <c r="K46" s="137">
        <f>IFERROR(INDEX(ケイパビリティマップ!$E:$E,MATCH(J46,ケイパビリティマップ!$A:$A,0)),"（IDなし）")</f>
        <v/>
      </c>
      <c r="L46" s="149">
        <f>COUNTIF('ケイパビリティ×情報オブジェクト'!AT$6:AT$58,"C")</f>
        <v/>
      </c>
      <c r="M46" s="149">
        <f>COUNTIF('ケイパビリティ×情報オブジェクト'!AT$6:AT$58,"R")</f>
        <v/>
      </c>
    </row>
    <row r="47" ht="26.85" customHeight="1" s="80">
      <c r="A47" s="146" t="inlineStr">
        <is>
          <t>MFG-09</t>
        </is>
      </c>
      <c r="B47" s="132" t="inlineStr">
        <is>
          <t>製造・品質</t>
        </is>
      </c>
      <c r="C47" s="133" t="inlineStr">
        <is>
          <t>出荷判定記録</t>
        </is>
      </c>
      <c r="D47" s="134" t="inlineStr">
        <is>
          <t>Lot Disposition</t>
        </is>
      </c>
      <c r="E47" s="135" t="inlineStr">
        <is>
          <t>品質部門によるロットの出荷可否判定</t>
        </is>
      </c>
      <c r="F47" s="132" t="inlineStr">
        <is>
          <t>トランザクション</t>
        </is>
      </c>
      <c r="G47" s="132" t="inlineStr">
        <is>
          <t>GMP</t>
        </is>
      </c>
      <c r="H47" s="136">
        <f>IF(G47="非GxP","—","対象候補")</f>
        <v/>
      </c>
      <c r="I47" s="132" t="inlineStr">
        <is>
          <t>なし</t>
        </is>
      </c>
      <c r="J47" s="146" t="inlineStr">
        <is>
          <t>C08-02</t>
        </is>
      </c>
      <c r="K47" s="137">
        <f>IFERROR(INDEX(ケイパビリティマップ!$E:$E,MATCH(J47,ケイパビリティマップ!$A:$A,0)),"（IDなし）")</f>
        <v/>
      </c>
      <c r="L47" s="149">
        <f>COUNTIF('ケイパビリティ×情報オブジェクト'!AU$6:AU$58,"C")</f>
        <v/>
      </c>
      <c r="M47" s="149">
        <f>COUNTIF('ケイパビリティ×情報オブジェクト'!AU$6:AU$58,"R")</f>
        <v/>
      </c>
    </row>
    <row r="48" ht="15" customHeight="1" s="80">
      <c r="A48" s="146" t="inlineStr">
        <is>
          <t>MFG-10</t>
        </is>
      </c>
      <c r="B48" s="132" t="inlineStr">
        <is>
          <t>製造・品質</t>
        </is>
      </c>
      <c r="C48" s="133" t="inlineStr">
        <is>
          <t>バリデーション計画・報告</t>
        </is>
      </c>
      <c r="D48" s="134" t="inlineStr">
        <is>
          <t>Validation Plan &amp; Report</t>
        </is>
      </c>
      <c r="E48" s="135" t="inlineStr">
        <is>
          <t>設備・洗浄・プロセス（PPQ）のバリデーション</t>
        </is>
      </c>
      <c r="F48" s="132" t="inlineStr">
        <is>
          <t>文書</t>
        </is>
      </c>
      <c r="G48" s="132" t="inlineStr">
        <is>
          <t>GMP</t>
        </is>
      </c>
      <c r="H48" s="136">
        <f>IF(G48="非GxP","—","対象候補")</f>
        <v/>
      </c>
      <c r="I48" s="132" t="inlineStr">
        <is>
          <t>なし</t>
        </is>
      </c>
      <c r="J48" s="146" t="inlineStr">
        <is>
          <t>C08-03</t>
        </is>
      </c>
      <c r="K48" s="137">
        <f>IFERROR(INDEX(ケイパビリティマップ!$E:$E,MATCH(J48,ケイパビリティマップ!$A:$A,0)),"（IDなし）")</f>
        <v/>
      </c>
      <c r="L48" s="149">
        <f>COUNTIF('ケイパビリティ×情報オブジェクト'!AV$6:AV$58,"C")</f>
        <v/>
      </c>
      <c r="M48" s="149">
        <f>COUNTIF('ケイパビリティ×情報オブジェクト'!AV$6:AV$58,"R")</f>
        <v/>
      </c>
    </row>
    <row r="49" ht="22.35" customHeight="1" s="80">
      <c r="A49" s="146" t="inlineStr">
        <is>
          <t>MFG-11</t>
        </is>
      </c>
      <c r="B49" s="132" t="inlineStr">
        <is>
          <t>製造・品質</t>
        </is>
      </c>
      <c r="C49" s="133" t="inlineStr">
        <is>
          <t>設備・環境モニタリングデータ</t>
        </is>
      </c>
      <c r="D49" s="134" t="inlineStr">
        <is>
          <t>Equipment &amp; Environmental Monitoring</t>
        </is>
      </c>
      <c r="E49" s="135" t="inlineStr">
        <is>
          <t>無菌環境・設備の監視データ</t>
        </is>
      </c>
      <c r="F49" s="132" t="inlineStr">
        <is>
          <t>測定データ</t>
        </is>
      </c>
      <c r="G49" s="132" t="inlineStr">
        <is>
          <t>GMP</t>
        </is>
      </c>
      <c r="H49" s="136">
        <f>IF(G49="非GxP","—","対象候補")</f>
        <v/>
      </c>
      <c r="I49" s="132" t="inlineStr">
        <is>
          <t>なし</t>
        </is>
      </c>
      <c r="J49" s="146" t="inlineStr">
        <is>
          <t>C07-04</t>
        </is>
      </c>
      <c r="K49" s="137">
        <f>IFERROR(INDEX(ケイパビリティマップ!$E:$E,MATCH(J49,ケイパビリティマップ!$A:$A,0)),"（IDなし）")</f>
        <v/>
      </c>
      <c r="L49" s="149">
        <f>COUNTIF('ケイパビリティ×情報オブジェクト'!AW$6:AW$58,"C")</f>
        <v/>
      </c>
      <c r="M49" s="149">
        <f>COUNTIF('ケイパビリティ×情報オブジェクト'!AW$6:AW$58,"R")</f>
        <v/>
      </c>
    </row>
    <row r="50" ht="26.85" customHeight="1" s="80">
      <c r="A50" s="146" t="inlineStr">
        <is>
          <t>MFG-12</t>
        </is>
      </c>
      <c r="B50" s="132" t="inlineStr">
        <is>
          <t>製造・品質</t>
        </is>
      </c>
      <c r="C50" s="133" t="inlineStr">
        <is>
          <t>年次製品照査（APR）</t>
        </is>
      </c>
      <c r="D50" s="134" t="inlineStr">
        <is>
          <t>Annual Product Review</t>
        </is>
      </c>
      <c r="E50" s="135" t="inlineStr">
        <is>
          <t>年次の品質傾向レビュー</t>
        </is>
      </c>
      <c r="F50" s="132" t="inlineStr">
        <is>
          <t>文書</t>
        </is>
      </c>
      <c r="G50" s="132" t="inlineStr">
        <is>
          <t>GMP</t>
        </is>
      </c>
      <c r="H50" s="136">
        <f>IF(G50="非GxP","—","対象候補")</f>
        <v/>
      </c>
      <c r="I50" s="132" t="inlineStr">
        <is>
          <t>なし</t>
        </is>
      </c>
      <c r="J50" s="146" t="inlineStr">
        <is>
          <t>C08-02</t>
        </is>
      </c>
      <c r="K50" s="137">
        <f>IFERROR(INDEX(ケイパビリティマップ!$E:$E,MATCH(J50,ケイパビリティマップ!$A:$A,0)),"（IDなし）")</f>
        <v/>
      </c>
      <c r="L50" s="149">
        <f>COUNTIF('ケイパビリティ×情報オブジェクト'!AX$6:AX$58,"C")</f>
        <v/>
      </c>
      <c r="M50" s="149">
        <f>COUNTIF('ケイパビリティ×情報オブジェクト'!AX$6:AX$58,"R")</f>
        <v/>
      </c>
    </row>
    <row r="51" ht="15" customHeight="1" s="80">
      <c r="A51" s="146" t="inlineStr">
        <is>
          <t>MFG-13</t>
        </is>
      </c>
      <c r="B51" s="132" t="inlineStr">
        <is>
          <t>製造・品質</t>
        </is>
      </c>
      <c r="C51" s="133" t="inlineStr">
        <is>
          <t>包装表示（アートワーク）</t>
        </is>
      </c>
      <c r="D51" s="134" t="inlineStr">
        <is>
          <t>Label Artwork</t>
        </is>
      </c>
      <c r="E51" s="135" t="inlineStr">
        <is>
          <t>治験薬・商用製品のラベル・包装デザイン</t>
        </is>
      </c>
      <c r="F51" s="132" t="inlineStr">
        <is>
          <t>定義・仕様</t>
        </is>
      </c>
      <c r="G51" s="132" t="inlineStr">
        <is>
          <t>GMP・GCP</t>
        </is>
      </c>
      <c r="H51" s="136">
        <f>IF(G51="非GxP","—","対象候補")</f>
        <v/>
      </c>
      <c r="I51" s="132" t="inlineStr">
        <is>
          <t>なし</t>
        </is>
      </c>
      <c r="J51" s="146" t="inlineStr">
        <is>
          <t>C06-03</t>
        </is>
      </c>
      <c r="K51" s="137">
        <f>IFERROR(INDEX(ケイパビリティマップ!$E:$E,MATCH(J51,ケイパビリティマップ!$A:$A,0)),"（IDなし）")</f>
        <v/>
      </c>
      <c r="L51" s="149">
        <f>COUNTIF('ケイパビリティ×情報オブジェクト'!AY$6:AY$58,"C")</f>
        <v/>
      </c>
      <c r="M51" s="149">
        <f>COUNTIF('ケイパビリティ×情報オブジェクト'!AY$6:AY$58,"R")</f>
        <v/>
      </c>
    </row>
    <row r="52" ht="26.85" customHeight="1" s="80">
      <c r="A52" s="146" t="inlineStr">
        <is>
          <t>CLN-01</t>
        </is>
      </c>
      <c r="B52" s="132" t="inlineStr">
        <is>
          <t>臨床</t>
        </is>
      </c>
      <c r="C52" s="133" t="inlineStr">
        <is>
          <t>自然歴データ</t>
        </is>
      </c>
      <c r="D52" s="134" t="inlineStr">
        <is>
          <t>Natural History Data</t>
        </is>
      </c>
      <c r="E52" s="135" t="inlineStr">
        <is>
          <t>疾患の自然経過データ。外部対照・評価項目設定の基礎</t>
        </is>
      </c>
      <c r="F52" s="132" t="inlineStr">
        <is>
          <t>測定データ</t>
        </is>
      </c>
      <c r="G52" s="132" t="inlineStr">
        <is>
          <t>非GxP</t>
        </is>
      </c>
      <c r="H52" s="136">
        <f>IF(G52="非GxP","—","対象候補")</f>
        <v/>
      </c>
      <c r="I52" s="132" t="inlineStr">
        <is>
          <t>患者（仮名化）</t>
        </is>
      </c>
      <c r="J52" s="146" t="inlineStr">
        <is>
          <t>C05-02</t>
        </is>
      </c>
      <c r="K52" s="137">
        <f>IFERROR(INDEX(ケイパビリティマップ!$E:$E,MATCH(J52,ケイパビリティマップ!$A:$A,0)),"（IDなし）")</f>
        <v/>
      </c>
      <c r="L52" s="149">
        <f>COUNTIF('ケイパビリティ×情報オブジェクト'!AZ$6:AZ$58,"C")</f>
        <v/>
      </c>
      <c r="M52" s="149">
        <f>COUNTIF('ケイパビリティ×情報オブジェクト'!AZ$6:AZ$58,"R")</f>
        <v/>
      </c>
    </row>
    <row r="53" ht="26.85" customHeight="1" s="80">
      <c r="A53" s="146" t="inlineStr">
        <is>
          <t>CLN-02</t>
        </is>
      </c>
      <c r="B53" s="132" t="inlineStr">
        <is>
          <t>臨床</t>
        </is>
      </c>
      <c r="C53" s="133" t="inlineStr">
        <is>
          <t>患者レジストリデータ</t>
        </is>
      </c>
      <c r="D53" s="134" t="inlineStr">
        <is>
          <t>Patient Registry Data</t>
        </is>
      </c>
      <c r="E53" s="135" t="inlineStr">
        <is>
          <t>患者団体等と構築するレジストリ。市販後の長期追跡にも使用（個人情報を含む）</t>
        </is>
      </c>
      <c r="F53" s="132" t="inlineStr">
        <is>
          <t>測定データ</t>
        </is>
      </c>
      <c r="G53" s="132" t="inlineStr">
        <is>
          <t>PV</t>
        </is>
      </c>
      <c r="H53" s="136">
        <f>IF(G53="非GxP","—","対象候補")</f>
        <v/>
      </c>
      <c r="I53" s="132" t="inlineStr">
        <is>
          <t>患者</t>
        </is>
      </c>
      <c r="J53" s="146" t="inlineStr">
        <is>
          <t>C05-02</t>
        </is>
      </c>
      <c r="K53" s="137">
        <f>IFERROR(INDEX(ケイパビリティマップ!$E:$E,MATCH(J53,ケイパビリティマップ!$A:$A,0)),"（IDなし）")</f>
        <v/>
      </c>
      <c r="L53" s="149">
        <f>COUNTIF('ケイパビリティ×情報オブジェクト'!BA$6:BA$58,"C")</f>
        <v/>
      </c>
      <c r="M53" s="149">
        <f>COUNTIF('ケイパビリティ×情報オブジェクト'!BA$6:BA$58,"R")</f>
        <v/>
      </c>
    </row>
    <row r="54" ht="26.85" customHeight="1" s="80">
      <c r="A54" s="146" t="inlineStr">
        <is>
          <t>CLN-03</t>
        </is>
      </c>
      <c r="B54" s="132" t="inlineStr">
        <is>
          <t>臨床</t>
        </is>
      </c>
      <c r="C54" s="133" t="inlineStr">
        <is>
          <t>候補患者情報</t>
        </is>
      </c>
      <c r="D54" s="134" t="inlineStr">
        <is>
          <t>Patient Identification</t>
        </is>
      </c>
      <c r="E54" s="135" t="inlineStr">
        <is>
          <t>診断・遺伝子検査結果に基づく候補患者の情報（個人情報を含む）</t>
        </is>
      </c>
      <c r="F54" s="132" t="inlineStr">
        <is>
          <t>トランザクション</t>
        </is>
      </c>
      <c r="G54" s="132" t="inlineStr">
        <is>
          <t>非GxP</t>
        </is>
      </c>
      <c r="H54" s="136">
        <f>IF(G54="非GxP","—","対象候補")</f>
        <v/>
      </c>
      <c r="I54" s="132" t="inlineStr">
        <is>
          <t>患者</t>
        </is>
      </c>
      <c r="J54" s="146" t="inlineStr">
        <is>
          <t>C05-03</t>
        </is>
      </c>
      <c r="K54" s="137">
        <f>IFERROR(INDEX(ケイパビリティマップ!$E:$E,MATCH(J54,ケイパビリティマップ!$A:$A,0)),"（IDなし）")</f>
        <v/>
      </c>
      <c r="L54" s="149">
        <f>COUNTIF('ケイパビリティ×情報オブジェクト'!BB$6:BB$58,"C")</f>
        <v/>
      </c>
      <c r="M54" s="149">
        <f>COUNTIF('ケイパビリティ×情報オブジェクト'!BB$6:BB$58,"R")</f>
        <v/>
      </c>
    </row>
    <row r="55" ht="26.85" customHeight="1" s="80">
      <c r="A55" s="146" t="inlineStr">
        <is>
          <t>CLN-04</t>
        </is>
      </c>
      <c r="B55" s="132" t="inlineStr">
        <is>
          <t>臨床</t>
        </is>
      </c>
      <c r="C55" s="133" t="inlineStr">
        <is>
          <t>臨床評価指標・バイオマーカー定義</t>
        </is>
      </c>
      <c r="D55" s="134" t="inlineStr">
        <is>
          <t>COA &amp; Biomarker Definition</t>
        </is>
      </c>
      <c r="E55" s="135" t="inlineStr">
        <is>
          <t>臨床アウトカム評価（COA）・バイオマーカーの定義と検証結果</t>
        </is>
      </c>
      <c r="F55" s="132" t="inlineStr">
        <is>
          <t>定義・仕様</t>
        </is>
      </c>
      <c r="G55" s="132" t="inlineStr">
        <is>
          <t>非GxP</t>
        </is>
      </c>
      <c r="H55" s="136">
        <f>IF(G55="非GxP","—","対象候補")</f>
        <v/>
      </c>
      <c r="I55" s="132" t="inlineStr">
        <is>
          <t>なし</t>
        </is>
      </c>
      <c r="J55" s="146" t="inlineStr">
        <is>
          <t>C05-01</t>
        </is>
      </c>
      <c r="K55" s="137">
        <f>IFERROR(INDEX(ケイパビリティマップ!$E:$E,MATCH(J55,ケイパビリティマップ!$A:$A,0)),"（IDなし）")</f>
        <v/>
      </c>
      <c r="L55" s="149">
        <f>COUNTIF('ケイパビリティ×情報オブジェクト'!BC$6:BC$58,"C")</f>
        <v/>
      </c>
      <c r="M55" s="149">
        <f>COUNTIF('ケイパビリティ×情報オブジェクト'!BC$6:BC$58,"R")</f>
        <v/>
      </c>
    </row>
    <row r="56" ht="26.85" customHeight="1" s="80">
      <c r="A56" s="146" t="inlineStr">
        <is>
          <t>CLN-05</t>
        </is>
      </c>
      <c r="B56" s="132" t="inlineStr">
        <is>
          <t>臨床</t>
        </is>
      </c>
      <c r="C56" s="133" t="inlineStr">
        <is>
          <t>治験実施計画書</t>
        </is>
      </c>
      <c r="D56" s="134" t="inlineStr">
        <is>
          <t>Clinical Protocol</t>
        </is>
      </c>
      <c r="E56" s="135" t="inlineStr">
        <is>
          <t>試験デザイン・評価項目・症例数（市販後試験を含む）</t>
        </is>
      </c>
      <c r="F56" s="132" t="inlineStr">
        <is>
          <t>文書</t>
        </is>
      </c>
      <c r="G56" s="132" t="inlineStr">
        <is>
          <t>GCP</t>
        </is>
      </c>
      <c r="H56" s="136">
        <f>IF(G56="非GxP","—","対象候補")</f>
        <v/>
      </c>
      <c r="I56" s="132" t="inlineStr">
        <is>
          <t>なし</t>
        </is>
      </c>
      <c r="J56" s="146" t="inlineStr">
        <is>
          <t>C05-01</t>
        </is>
      </c>
      <c r="K56" s="137">
        <f>IFERROR(INDEX(ケイパビリティマップ!$E:$E,MATCH(J56,ケイパビリティマップ!$A:$A,0)),"（IDなし）")</f>
        <v/>
      </c>
      <c r="L56" s="149">
        <f>COUNTIF('ケイパビリティ×情報オブジェクト'!BD$6:BD$58,"C")</f>
        <v/>
      </c>
      <c r="M56" s="149">
        <f>COUNTIF('ケイパビリティ×情報オブジェクト'!BD$6:BD$58,"R")</f>
        <v/>
      </c>
    </row>
    <row r="57" ht="26.85" customHeight="1" s="80">
      <c r="A57" s="146" t="inlineStr">
        <is>
          <t>CLN-06</t>
        </is>
      </c>
      <c r="B57" s="132" t="inlineStr">
        <is>
          <t>臨床</t>
        </is>
      </c>
      <c r="C57" s="133" t="inlineStr">
        <is>
          <t>治験薬概要書（IB）</t>
        </is>
      </c>
      <c r="D57" s="134" t="inlineStr">
        <is>
          <t>Investigator's Brochure</t>
        </is>
      </c>
      <c r="E57" s="135" t="inlineStr">
        <is>
          <t>非臨床・臨床の知見をまとめた治験責任医師向け資料</t>
        </is>
      </c>
      <c r="F57" s="132" t="inlineStr">
        <is>
          <t>文書</t>
        </is>
      </c>
      <c r="G57" s="132" t="inlineStr">
        <is>
          <t>GCP</t>
        </is>
      </c>
      <c r="H57" s="136">
        <f>IF(G57="非GxP","—","対象候補")</f>
        <v/>
      </c>
      <c r="I57" s="132" t="inlineStr">
        <is>
          <t>なし</t>
        </is>
      </c>
      <c r="J57" s="146" t="inlineStr">
        <is>
          <t>C05-01</t>
        </is>
      </c>
      <c r="K57" s="137">
        <f>IFERROR(INDEX(ケイパビリティマップ!$E:$E,MATCH(J57,ケイパビリティマップ!$A:$A,0)),"（IDなし）")</f>
        <v/>
      </c>
      <c r="L57" s="149">
        <f>COUNTIF('ケイパビリティ×情報オブジェクト'!BE$6:BE$58,"C")</f>
        <v/>
      </c>
      <c r="M57" s="149">
        <f>COUNTIF('ケイパビリティ×情報オブジェクト'!BE$6:BE$58,"R")</f>
        <v/>
      </c>
    </row>
    <row r="58" ht="26.85" customHeight="1" s="80">
      <c r="A58" s="146" t="inlineStr">
        <is>
          <t>CLN-07</t>
        </is>
      </c>
      <c r="B58" s="132" t="inlineStr">
        <is>
          <t>臨床</t>
        </is>
      </c>
      <c r="C58" s="133" t="inlineStr">
        <is>
          <t>試験実施体制</t>
        </is>
      </c>
      <c r="D58" s="134" t="inlineStr">
        <is>
          <t>Study Site &amp; Start-up</t>
        </is>
      </c>
      <c r="E58" s="135" t="inlineStr">
        <is>
          <t>実施医療機関・治験責任医師・IRB承認・施設の立ち上げ状況</t>
        </is>
      </c>
      <c r="F58" s="132" t="inlineStr">
        <is>
          <t>トランザクション</t>
        </is>
      </c>
      <c r="G58" s="132" t="inlineStr">
        <is>
          <t>GCP</t>
        </is>
      </c>
      <c r="H58" s="136">
        <f>IF(G58="非GxP","—","対象候補")</f>
        <v/>
      </c>
      <c r="I58" s="132" t="inlineStr">
        <is>
          <t>医療従事者</t>
        </is>
      </c>
      <c r="J58" s="146" t="inlineStr">
        <is>
          <t>C05-04</t>
        </is>
      </c>
      <c r="K58" s="137">
        <f>IFERROR(INDEX(ケイパビリティマップ!$E:$E,MATCH(J58,ケイパビリティマップ!$A:$A,0)),"（IDなし）")</f>
        <v/>
      </c>
      <c r="L58" s="149">
        <f>COUNTIF('ケイパビリティ×情報オブジェクト'!BF$6:BF$58,"C")</f>
        <v/>
      </c>
      <c r="M58" s="149">
        <f>COUNTIF('ケイパビリティ×情報オブジェクト'!BF$6:BF$58,"R")</f>
        <v/>
      </c>
    </row>
    <row r="59" ht="26.85" customHeight="1" s="80">
      <c r="A59" s="146" t="inlineStr">
        <is>
          <t>CLN-08</t>
        </is>
      </c>
      <c r="B59" s="132" t="inlineStr">
        <is>
          <t>臨床</t>
        </is>
      </c>
      <c r="C59" s="133" t="inlineStr">
        <is>
          <t>試験登録情報</t>
        </is>
      </c>
      <c r="D59" s="134" t="inlineStr">
        <is>
          <t>Trial Registration</t>
        </is>
      </c>
      <c r="E59" s="135" t="inlineStr">
        <is>
          <t>ClinicalTrials.govへの登録・結果報告</t>
        </is>
      </c>
      <c r="F59" s="132" t="inlineStr">
        <is>
          <t>トランザクション</t>
        </is>
      </c>
      <c r="G59" s="132" t="inlineStr">
        <is>
          <t>GCP・薬事</t>
        </is>
      </c>
      <c r="H59" s="136">
        <f>IF(G59="非GxP","—","対象候補")</f>
        <v/>
      </c>
      <c r="I59" s="132" t="inlineStr">
        <is>
          <t>なし</t>
        </is>
      </c>
      <c r="J59" s="146" t="inlineStr">
        <is>
          <t>C05-04</t>
        </is>
      </c>
      <c r="K59" s="137">
        <f>IFERROR(INDEX(ケイパビリティマップ!$E:$E,MATCH(J59,ケイパビリティマップ!$A:$A,0)),"（IDなし）")</f>
        <v/>
      </c>
      <c r="L59" s="149">
        <f>COUNTIF('ケイパビリティ×情報オブジェクト'!BG$6:BG$58,"C")</f>
        <v/>
      </c>
      <c r="M59" s="149">
        <f>COUNTIF('ケイパビリティ×情報オブジェクト'!BG$6:BG$58,"R")</f>
        <v/>
      </c>
    </row>
    <row r="60" ht="26.85" customHeight="1" s="80">
      <c r="A60" s="146" t="inlineStr">
        <is>
          <t>CLN-09</t>
        </is>
      </c>
      <c r="B60" s="132" t="inlineStr">
        <is>
          <t>臨床</t>
        </is>
      </c>
      <c r="C60" s="133" t="inlineStr">
        <is>
          <t>症例データ</t>
        </is>
      </c>
      <c r="D60" s="134" t="inlineStr">
        <is>
          <t>Subject &amp; Case Data</t>
        </is>
      </c>
      <c r="E60" s="135" t="inlineStr">
        <is>
          <t>被験者の登録・投与・評価データ（EDC。個人情報は仮名化）</t>
        </is>
      </c>
      <c r="F60" s="132" t="inlineStr">
        <is>
          <t>測定データ</t>
        </is>
      </c>
      <c r="G60" s="132" t="inlineStr">
        <is>
          <t>GCP</t>
        </is>
      </c>
      <c r="H60" s="136">
        <f>IF(G60="非GxP","—","対象候補")</f>
        <v/>
      </c>
      <c r="I60" s="132" t="inlineStr">
        <is>
          <t>患者（仮名化）</t>
        </is>
      </c>
      <c r="J60" s="146" t="inlineStr">
        <is>
          <t>C05-05</t>
        </is>
      </c>
      <c r="K60" s="137">
        <f>IFERROR(INDEX(ケイパビリティマップ!$E:$E,MATCH(J60,ケイパビリティマップ!$A:$A,0)),"（IDなし）")</f>
        <v/>
      </c>
      <c r="L60" s="149">
        <f>COUNTIF('ケイパビリティ×情報オブジェクト'!BH$6:BH$58,"C")</f>
        <v/>
      </c>
      <c r="M60" s="149">
        <f>COUNTIF('ケイパビリティ×情報オブジェクト'!BH$6:BH$58,"R")</f>
        <v/>
      </c>
    </row>
    <row r="61" ht="26.85" customHeight="1" s="80">
      <c r="A61" s="146" t="inlineStr">
        <is>
          <t>CLN-10</t>
        </is>
      </c>
      <c r="B61" s="132" t="inlineStr">
        <is>
          <t>臨床</t>
        </is>
      </c>
      <c r="C61" s="133" t="inlineStr">
        <is>
          <t>臨床検体分析データ</t>
        </is>
      </c>
      <c r="D61" s="134" t="inlineStr">
        <is>
          <t>Clinical Bioanalytical Data</t>
        </is>
      </c>
      <c r="E61" s="135" t="inlineStr">
        <is>
          <t>PK・ADA・バイオマーカーの測定結果</t>
        </is>
      </c>
      <c r="F61" s="132" t="inlineStr">
        <is>
          <t>測定データ</t>
        </is>
      </c>
      <c r="G61" s="132" t="inlineStr">
        <is>
          <t>GCP</t>
        </is>
      </c>
      <c r="H61" s="136">
        <f>IF(G61="非GxP","—","対象候補")</f>
        <v/>
      </c>
      <c r="I61" s="132" t="inlineStr">
        <is>
          <t>患者（仮名化）</t>
        </is>
      </c>
      <c r="J61" s="146" t="inlineStr">
        <is>
          <t>C03-03</t>
        </is>
      </c>
      <c r="K61" s="137">
        <f>IFERROR(INDEX(ケイパビリティマップ!$E:$E,MATCH(J61,ケイパビリティマップ!$A:$A,0)),"（IDなし）")</f>
        <v/>
      </c>
      <c r="L61" s="149">
        <f>COUNTIF('ケイパビリティ×情報オブジェクト'!BI$6:BI$58,"C")</f>
        <v/>
      </c>
      <c r="M61" s="149">
        <f>COUNTIF('ケイパビリティ×情報オブジェクト'!BI$6:BI$58,"R")</f>
        <v/>
      </c>
    </row>
    <row r="62" ht="26.85" customHeight="1" s="80">
      <c r="A62" s="146" t="inlineStr">
        <is>
          <t>CLN-11</t>
        </is>
      </c>
      <c r="B62" s="132" t="inlineStr">
        <is>
          <t>臨床</t>
        </is>
      </c>
      <c r="C62" s="133" t="inlineStr">
        <is>
          <t>臨床データセット</t>
        </is>
      </c>
      <c r="D62" s="134" t="inlineStr">
        <is>
          <t>Clinical Dataset</t>
        </is>
      </c>
      <c r="E62" s="135" t="inlineStr">
        <is>
          <t>固定済みデータ（SDTM／ADaM）</t>
        </is>
      </c>
      <c r="F62" s="132" t="inlineStr">
        <is>
          <t>測定データ</t>
        </is>
      </c>
      <c r="G62" s="132" t="inlineStr">
        <is>
          <t>GCP</t>
        </is>
      </c>
      <c r="H62" s="136">
        <f>IF(G62="非GxP","—","対象候補")</f>
        <v/>
      </c>
      <c r="I62" s="132" t="inlineStr">
        <is>
          <t>患者（仮名化）</t>
        </is>
      </c>
      <c r="J62" s="146" t="inlineStr">
        <is>
          <t>C05-05</t>
        </is>
      </c>
      <c r="K62" s="137">
        <f>IFERROR(INDEX(ケイパビリティマップ!$E:$E,MATCH(J62,ケイパビリティマップ!$A:$A,0)),"（IDなし）")</f>
        <v/>
      </c>
      <c r="L62" s="149">
        <f>COUNTIF('ケイパビリティ×情報オブジェクト'!BJ$6:BJ$58,"C")</f>
        <v/>
      </c>
      <c r="M62" s="149">
        <f>COUNTIF('ケイパビリティ×情報オブジェクト'!BJ$6:BJ$58,"R")</f>
        <v/>
      </c>
    </row>
    <row r="63" ht="26.85" customHeight="1" s="80">
      <c r="A63" s="146" t="inlineStr">
        <is>
          <t>CLN-12</t>
        </is>
      </c>
      <c r="B63" s="132" t="inlineStr">
        <is>
          <t>臨床</t>
        </is>
      </c>
      <c r="C63" s="133" t="inlineStr">
        <is>
          <t>統計解析結果</t>
        </is>
      </c>
      <c r="D63" s="134" t="inlineStr">
        <is>
          <t>Statistical Output</t>
        </is>
      </c>
      <c r="E63" s="135" t="inlineStr">
        <is>
          <t>図表・リスト（TLF）</t>
        </is>
      </c>
      <c r="F63" s="132" t="inlineStr">
        <is>
          <t>分析・評価</t>
        </is>
      </c>
      <c r="G63" s="132" t="inlineStr">
        <is>
          <t>GCP</t>
        </is>
      </c>
      <c r="H63" s="136">
        <f>IF(G63="非GxP","—","対象候補")</f>
        <v/>
      </c>
      <c r="I63" s="132" t="inlineStr">
        <is>
          <t>なし</t>
        </is>
      </c>
      <c r="J63" s="146" t="inlineStr">
        <is>
          <t>C05-05</t>
        </is>
      </c>
      <c r="K63" s="137">
        <f>IFERROR(INDEX(ケイパビリティマップ!$E:$E,MATCH(J63,ケイパビリティマップ!$A:$A,0)),"（IDなし）")</f>
        <v/>
      </c>
      <c r="L63" s="149">
        <f>COUNTIF('ケイパビリティ×情報オブジェクト'!BK$6:BK$58,"C")</f>
        <v/>
      </c>
      <c r="M63" s="149">
        <f>COUNTIF('ケイパビリティ×情報オブジェクト'!BK$6:BK$58,"R")</f>
        <v/>
      </c>
    </row>
    <row r="64" ht="26.85" customHeight="1" s="80">
      <c r="A64" s="146" t="inlineStr">
        <is>
          <t>CLN-13</t>
        </is>
      </c>
      <c r="B64" s="132" t="inlineStr">
        <is>
          <t>臨床</t>
        </is>
      </c>
      <c r="C64" s="133" t="inlineStr">
        <is>
          <t>総括報告書（CSR）</t>
        </is>
      </c>
      <c r="D64" s="134" t="inlineStr">
        <is>
          <t>Clinical Study Report</t>
        </is>
      </c>
      <c r="E64" s="135" t="inlineStr">
        <is>
          <t>試験ごとの総括報告書</t>
        </is>
      </c>
      <c r="F64" s="132" t="inlineStr">
        <is>
          <t>文書</t>
        </is>
      </c>
      <c r="G64" s="132" t="inlineStr">
        <is>
          <t>GCP</t>
        </is>
      </c>
      <c r="H64" s="136">
        <f>IF(G64="非GxP","—","対象候補")</f>
        <v/>
      </c>
      <c r="I64" s="132" t="inlineStr">
        <is>
          <t>なし</t>
        </is>
      </c>
      <c r="J64" s="146" t="inlineStr">
        <is>
          <t>C05-05</t>
        </is>
      </c>
      <c r="K64" s="137">
        <f>IFERROR(INDEX(ケイパビリティマップ!$E:$E,MATCH(J64,ケイパビリティマップ!$A:$A,0)),"（IDなし）")</f>
        <v/>
      </c>
      <c r="L64" s="149">
        <f>COUNTIF('ケイパビリティ×情報オブジェクト'!BL$6:BL$58,"C")</f>
        <v/>
      </c>
      <c r="M64" s="149">
        <f>COUNTIF('ケイパビリティ×情報オブジェクト'!BL$6:BL$58,"R")</f>
        <v/>
      </c>
    </row>
    <row r="65" ht="26.85" customHeight="1" s="80">
      <c r="A65" s="146" t="inlineStr">
        <is>
          <t>CLN-14</t>
        </is>
      </c>
      <c r="B65" s="132" t="inlineStr">
        <is>
          <t>臨床</t>
        </is>
      </c>
      <c r="C65" s="133" t="inlineStr">
        <is>
          <t>統合解析</t>
        </is>
      </c>
      <c r="D65" s="134" t="inlineStr">
        <is>
          <t>Integrated Analysis</t>
        </is>
      </c>
      <c r="E65" s="135" t="inlineStr">
        <is>
          <t>統合安全性・統合有効性・曝露反応・免疫原性の統合解析</t>
        </is>
      </c>
      <c r="F65" s="132" t="inlineStr">
        <is>
          <t>分析・評価</t>
        </is>
      </c>
      <c r="G65" s="132" t="inlineStr">
        <is>
          <t>GCP</t>
        </is>
      </c>
      <c r="H65" s="136">
        <f>IF(G65="非GxP","—","対象候補")</f>
        <v/>
      </c>
      <c r="I65" s="132" t="inlineStr">
        <is>
          <t>なし</t>
        </is>
      </c>
      <c r="J65" s="146" t="inlineStr">
        <is>
          <t>C05-05</t>
        </is>
      </c>
      <c r="K65" s="137">
        <f>IFERROR(INDEX(ケイパビリティマップ!$E:$E,MATCH(J65,ケイパビリティマップ!$A:$A,0)),"（IDなし）")</f>
        <v/>
      </c>
      <c r="L65" s="149">
        <f>COUNTIF('ケイパビリティ×情報オブジェクト'!BM$6:BM$58,"C")</f>
        <v/>
      </c>
      <c r="M65" s="149">
        <f>COUNTIF('ケイパビリティ×情報オブジェクト'!BM$6:BM$58,"R")</f>
        <v/>
      </c>
    </row>
    <row r="66" ht="26.85" customHeight="1" s="80">
      <c r="A66" s="146" t="inlineStr">
        <is>
          <t>CLN-15</t>
        </is>
      </c>
      <c r="B66" s="132" t="inlineStr">
        <is>
          <t>臨床</t>
        </is>
      </c>
      <c r="C66" s="133" t="inlineStr">
        <is>
          <t>ベネフィット・リスク評価</t>
        </is>
      </c>
      <c r="D66" s="134" t="inlineStr">
        <is>
          <t>Benefit-Risk Assessment</t>
        </is>
      </c>
      <c r="E66" s="135" t="inlineStr">
        <is>
          <t>承認判断・価格設定の根拠となる評価</t>
        </is>
      </c>
      <c r="F66" s="132" t="inlineStr">
        <is>
          <t>分析・評価</t>
        </is>
      </c>
      <c r="G66" s="132" t="inlineStr">
        <is>
          <t>薬事</t>
        </is>
      </c>
      <c r="H66" s="136">
        <f>IF(G66="非GxP","—","対象候補")</f>
        <v/>
      </c>
      <c r="I66" s="132" t="inlineStr">
        <is>
          <t>なし</t>
        </is>
      </c>
      <c r="J66" s="146" t="inlineStr">
        <is>
          <t>C09-02</t>
        </is>
      </c>
      <c r="K66" s="137">
        <f>IFERROR(INDEX(ケイパビリティマップ!$E:$E,MATCH(J66,ケイパビリティマップ!$A:$A,0)),"（IDなし）")</f>
        <v/>
      </c>
      <c r="L66" s="149">
        <f>COUNTIF('ケイパビリティ×情報オブジェクト'!BN$6:BN$58,"C")</f>
        <v/>
      </c>
      <c r="M66" s="149">
        <f>COUNTIF('ケイパビリティ×情報オブジェクト'!BN$6:BN$58,"R")</f>
        <v/>
      </c>
    </row>
    <row r="67" ht="26.85" customHeight="1" s="80">
      <c r="A67" s="146" t="inlineStr">
        <is>
          <t>CLN-16</t>
        </is>
      </c>
      <c r="B67" s="132" t="inlineStr">
        <is>
          <t>臨床</t>
        </is>
      </c>
      <c r="C67" s="133" t="inlineStr">
        <is>
          <t>治験薬供給記録</t>
        </is>
      </c>
      <c r="D67" s="134" t="inlineStr">
        <is>
          <t>Clinical Supply Record</t>
        </is>
      </c>
      <c r="E67" s="135" t="inlineStr">
        <is>
          <t>治験薬の割付・出荷・施設在庫（IRT）</t>
        </is>
      </c>
      <c r="F67" s="132" t="inlineStr">
        <is>
          <t>トランザクション</t>
        </is>
      </c>
      <c r="G67" s="132" t="inlineStr">
        <is>
          <t>GMP・GCP</t>
        </is>
      </c>
      <c r="H67" s="136">
        <f>IF(G67="非GxP","—","対象候補")</f>
        <v/>
      </c>
      <c r="I67" s="132" t="inlineStr">
        <is>
          <t>なし</t>
        </is>
      </c>
      <c r="J67" s="146" t="inlineStr">
        <is>
          <t>C05-06</t>
        </is>
      </c>
      <c r="K67" s="137">
        <f>IFERROR(INDEX(ケイパビリティマップ!$E:$E,MATCH(J67,ケイパビリティマップ!$A:$A,0)),"（IDなし）")</f>
        <v/>
      </c>
      <c r="L67" s="149">
        <f>COUNTIF('ケイパビリティ×情報オブジェクト'!BO$6:BO$58,"C")</f>
        <v/>
      </c>
      <c r="M67" s="149">
        <f>COUNTIF('ケイパビリティ×情報オブジェクト'!BO$6:BO$58,"R")</f>
        <v/>
      </c>
    </row>
    <row r="68" ht="26.85" customHeight="1" s="80">
      <c r="A68" s="146" t="inlineStr">
        <is>
          <t>CLN-17</t>
        </is>
      </c>
      <c r="B68" s="132" t="inlineStr">
        <is>
          <t>臨床</t>
        </is>
      </c>
      <c r="C68" s="133" t="inlineStr">
        <is>
          <t>PK/PDモデル・解析結果</t>
        </is>
      </c>
      <c r="D68" s="134" t="inlineStr">
        <is>
          <t>PK/PD Model</t>
        </is>
      </c>
      <c r="E68" s="135" t="inlineStr">
        <is>
          <t>ヒトPK予測・初回投与量根拠・母集団PK・曝露反応モデル</t>
        </is>
      </c>
      <c r="F68" s="132" t="inlineStr">
        <is>
          <t>分析・評価</t>
        </is>
      </c>
      <c r="G68" s="132" t="inlineStr">
        <is>
          <t>GCP</t>
        </is>
      </c>
      <c r="H68" s="136">
        <f>IF(G68="非GxP","—","対象候補")</f>
        <v/>
      </c>
      <c r="I68" s="132" t="inlineStr">
        <is>
          <t>なし</t>
        </is>
      </c>
      <c r="J68" s="146" t="inlineStr">
        <is>
          <t>C03-04</t>
        </is>
      </c>
      <c r="K68" s="137">
        <f>IFERROR(INDEX(ケイパビリティマップ!$E:$E,MATCH(J68,ケイパビリティマップ!$A:$A,0)),"（IDなし）")</f>
        <v/>
      </c>
      <c r="L68" s="149">
        <f>COUNTIF('ケイパビリティ×情報オブジェクト'!BP$6:BP$58,"C")</f>
        <v/>
      </c>
      <c r="M68" s="149">
        <f>COUNTIF('ケイパビリティ×情報オブジェクト'!BP$6:BP$58,"R")</f>
        <v/>
      </c>
    </row>
    <row r="69" ht="39.55" customHeight="1" s="80">
      <c r="A69" s="146" t="inlineStr">
        <is>
          <t>CLN-18</t>
        </is>
      </c>
      <c r="B69" s="132" t="inlineStr">
        <is>
          <t>臨床</t>
        </is>
      </c>
      <c r="C69" s="133" t="inlineStr">
        <is>
          <t>臨床試験</t>
        </is>
      </c>
      <c r="D69" s="134" t="inlineStr">
        <is>
          <t>Clinical Study</t>
        </is>
      </c>
      <c r="E69" s="135" t="inlineStr">
        <is>
          <t>個々の臨床試験・研究（自然歴研究・市販後試験を含む）。試験番号・相・状態を持ち、実施計画書・症例データ・治験薬供給を束ねる</t>
        </is>
      </c>
      <c r="F69" s="132" t="inlineStr">
        <is>
          <t>マスタ</t>
        </is>
      </c>
      <c r="G69" s="132" t="inlineStr">
        <is>
          <t>GCP</t>
        </is>
      </c>
      <c r="H69" s="136">
        <f>IF(G69="非GxP","—","対象候補")</f>
        <v/>
      </c>
      <c r="I69" s="132" t="inlineStr">
        <is>
          <t>なし</t>
        </is>
      </c>
      <c r="J69" s="146" t="inlineStr">
        <is>
          <t>C05-04</t>
        </is>
      </c>
      <c r="K69" s="137">
        <f>IFERROR(INDEX(ケイパビリティマップ!$E:$E,MATCH(J69,ケイパビリティマップ!$A:$A,0)),"（IDなし）")</f>
        <v/>
      </c>
      <c r="L69" s="149">
        <f>COUNTIF('ケイパビリティ×情報オブジェクト'!BQ$6:BQ$58,"C")</f>
        <v/>
      </c>
      <c r="M69" s="149">
        <f>COUNTIF('ケイパビリティ×情報オブジェクト'!BQ$6:BQ$58,"R")</f>
        <v/>
      </c>
    </row>
    <row r="70" ht="39.55" customHeight="1" s="80">
      <c r="A70" s="146" t="inlineStr">
        <is>
          <t>CLN-19</t>
        </is>
      </c>
      <c r="B70" s="132" t="inlineStr">
        <is>
          <t>臨床</t>
        </is>
      </c>
      <c r="C70" s="133" t="inlineStr">
        <is>
          <t>患者・被験者</t>
        </is>
      </c>
      <c r="D70" s="134" t="inlineStr">
        <is>
          <t>Patient / Subject</t>
        </is>
      </c>
      <c r="E70" s="135" t="inlineStr">
        <is>
          <t>レジストリ参加者・候補患者・被験者・治療中の患者を同一人物として識別する情報。試験・レジストリ・患者支援・有害事象をつなぐ（個人情報を含む）</t>
        </is>
      </c>
      <c r="F70" s="132" t="inlineStr">
        <is>
          <t>マスタ</t>
        </is>
      </c>
      <c r="G70" s="132" t="inlineStr">
        <is>
          <t>GCP・PV</t>
        </is>
      </c>
      <c r="H70" s="136">
        <f>IF(G70="非GxP","—","対象候補")</f>
        <v/>
      </c>
      <c r="I70" s="132" t="inlineStr">
        <is>
          <t>患者</t>
        </is>
      </c>
      <c r="J70" s="146" t="inlineStr">
        <is>
          <t>C13-01</t>
        </is>
      </c>
      <c r="K70" s="137">
        <f>IFERROR(INDEX(ケイパビリティマップ!$E:$E,MATCH(J70,ケイパビリティマップ!$A:$A,0)),"（IDなし）")</f>
        <v/>
      </c>
      <c r="L70" s="149">
        <f>COUNTIF('ケイパビリティ×情報オブジェクト'!BR$6:BR$58,"C")</f>
        <v/>
      </c>
      <c r="M70" s="149">
        <f>COUNTIF('ケイパビリティ×情報オブジェクト'!BR$6:BR$58,"R")</f>
        <v/>
      </c>
    </row>
    <row r="71" ht="26.85" customHeight="1" s="80">
      <c r="A71" s="146" t="inlineStr">
        <is>
          <t>REG-01</t>
        </is>
      </c>
      <c r="B71" s="132" t="inlineStr">
        <is>
          <t>薬事</t>
        </is>
      </c>
      <c r="C71" s="133" t="inlineStr">
        <is>
          <t>当局コミュニケーション記録</t>
        </is>
      </c>
      <c r="D71" s="134" t="inlineStr">
        <is>
          <t>Health Authority Interaction</t>
        </is>
      </c>
      <c r="E71" s="135" t="inlineStr">
        <is>
          <t>FDAとの会議資料・議事録・照会（IR）・回答・通知</t>
        </is>
      </c>
      <c r="F71" s="132" t="inlineStr">
        <is>
          <t>トランザクション</t>
        </is>
      </c>
      <c r="G71" s="132" t="inlineStr">
        <is>
          <t>薬事</t>
        </is>
      </c>
      <c r="H71" s="136">
        <f>IF(G71="非GxP","—","対象候補")</f>
        <v/>
      </c>
      <c r="I71" s="132" t="inlineStr">
        <is>
          <t>なし</t>
        </is>
      </c>
      <c r="J71" s="146" t="inlineStr">
        <is>
          <t>C06-01</t>
        </is>
      </c>
      <c r="K71" s="137">
        <f>IFERROR(INDEX(ケイパビリティマップ!$E:$E,MATCH(J71,ケイパビリティマップ!$A:$A,0)),"（IDなし）")</f>
        <v/>
      </c>
      <c r="L71" s="149">
        <f>COUNTIF('ケイパビリティ×情報オブジェクト'!BS$6:BS$58,"C")</f>
        <v/>
      </c>
      <c r="M71" s="149">
        <f>COUNTIF('ケイパビリティ×情報オブジェクト'!BS$6:BS$58,"R")</f>
        <v/>
      </c>
    </row>
    <row r="72" ht="26.85" customHeight="1" s="80">
      <c r="A72" s="146" t="inlineStr">
        <is>
          <t>REG-02</t>
        </is>
      </c>
      <c r="B72" s="132" t="inlineStr">
        <is>
          <t>薬事</t>
        </is>
      </c>
      <c r="C72" s="133" t="inlineStr">
        <is>
          <t>指定・インセンティブ</t>
        </is>
      </c>
      <c r="D72" s="134" t="inlineStr">
        <is>
          <t>Designation &amp; Incentive</t>
        </is>
      </c>
      <c r="E72" s="135" t="inlineStr">
        <is>
          <t>Orphan Drug、希少小児疾患、Fast Track、Breakthrough Therapy、優先審査バウチャー</t>
        </is>
      </c>
      <c r="F72" s="132" t="inlineStr">
        <is>
          <t>トランザクション</t>
        </is>
      </c>
      <c r="G72" s="132" t="inlineStr">
        <is>
          <t>薬事</t>
        </is>
      </c>
      <c r="H72" s="136">
        <f>IF(G72="非GxP","—","対象候補")</f>
        <v/>
      </c>
      <c r="I72" s="132" t="inlineStr">
        <is>
          <t>なし</t>
        </is>
      </c>
      <c r="J72" s="146" t="inlineStr">
        <is>
          <t>C06-01</t>
        </is>
      </c>
      <c r="K72" s="137">
        <f>IFERROR(INDEX(ケイパビリティマップ!$E:$E,MATCH(J72,ケイパビリティマップ!$A:$A,0)),"（IDなし）")</f>
        <v/>
      </c>
      <c r="L72" s="149">
        <f>COUNTIF('ケイパビリティ×情報オブジェクト'!BT$6:BT$58,"C")</f>
        <v/>
      </c>
      <c r="M72" s="149">
        <f>COUNTIF('ケイパビリティ×情報オブジェクト'!BT$6:BT$58,"R")</f>
        <v/>
      </c>
    </row>
    <row r="73" ht="15" customHeight="1" s="80">
      <c r="A73" s="146" t="inlineStr">
        <is>
          <t>REG-03</t>
        </is>
      </c>
      <c r="B73" s="132" t="inlineStr">
        <is>
          <t>薬事</t>
        </is>
      </c>
      <c r="C73" s="133" t="inlineStr">
        <is>
          <t>IND</t>
        </is>
      </c>
      <c r="D73" s="134" t="inlineStr">
        <is>
          <t>IND</t>
        </is>
      </c>
      <c r="E73" s="135" t="inlineStr">
        <is>
          <t>IND申請と、その後の修正・年次報告</t>
        </is>
      </c>
      <c r="F73" s="132" t="inlineStr">
        <is>
          <t>文書</t>
        </is>
      </c>
      <c r="G73" s="132" t="inlineStr">
        <is>
          <t>薬事</t>
        </is>
      </c>
      <c r="H73" s="136">
        <f>IF(G73="非GxP","—","対象候補")</f>
        <v/>
      </c>
      <c r="I73" s="132" t="inlineStr">
        <is>
          <t>なし</t>
        </is>
      </c>
      <c r="J73" s="146" t="inlineStr">
        <is>
          <t>C06-02</t>
        </is>
      </c>
      <c r="K73" s="137">
        <f>IFERROR(INDEX(ケイパビリティマップ!$E:$E,MATCH(J73,ケイパビリティマップ!$A:$A,0)),"（IDなし）")</f>
        <v/>
      </c>
      <c r="L73" s="149">
        <f>COUNTIF('ケイパビリティ×情報オブジェクト'!BU$6:BU$58,"C")</f>
        <v/>
      </c>
      <c r="M73" s="149">
        <f>COUNTIF('ケイパビリティ×情報オブジェクト'!BU$6:BU$58,"R")</f>
        <v/>
      </c>
    </row>
    <row r="74" ht="15" customHeight="1" s="80">
      <c r="A74" s="146" t="inlineStr">
        <is>
          <t>REG-04</t>
        </is>
      </c>
      <c r="B74" s="132" t="inlineStr">
        <is>
          <t>薬事</t>
        </is>
      </c>
      <c r="C74" s="133" t="inlineStr">
        <is>
          <t>申請資料</t>
        </is>
      </c>
      <c r="D74" s="134" t="inlineStr">
        <is>
          <t>Submission Dossier</t>
        </is>
      </c>
      <c r="E74" s="135" t="inlineStr">
        <is>
          <t>BLA（eCTD Module 1〜5）と補足申請（sBLA・製法変更）</t>
        </is>
      </c>
      <c r="F74" s="132" t="inlineStr">
        <is>
          <t>文書</t>
        </is>
      </c>
      <c r="G74" s="132" t="inlineStr">
        <is>
          <t>薬事</t>
        </is>
      </c>
      <c r="H74" s="136">
        <f>IF(G74="非GxP","—","対象候補")</f>
        <v/>
      </c>
      <c r="I74" s="132" t="inlineStr">
        <is>
          <t>なし</t>
        </is>
      </c>
      <c r="J74" s="146" t="inlineStr">
        <is>
          <t>C06-02</t>
        </is>
      </c>
      <c r="K74" s="137">
        <f>IFERROR(INDEX(ケイパビリティマップ!$E:$E,MATCH(J74,ケイパビリティマップ!$A:$A,0)),"（IDなし）")</f>
        <v/>
      </c>
      <c r="L74" s="149">
        <f>COUNTIF('ケイパビリティ×情報オブジェクト'!BV$6:BV$58,"C")</f>
        <v/>
      </c>
      <c r="M74" s="149">
        <f>COUNTIF('ケイパビリティ×情報オブジェクト'!BV$6:BV$58,"R")</f>
        <v/>
      </c>
    </row>
    <row r="75" ht="26.85" customHeight="1" s="80">
      <c r="A75" s="146" t="inlineStr">
        <is>
          <t>REG-05</t>
        </is>
      </c>
      <c r="B75" s="132" t="inlineStr">
        <is>
          <t>薬事</t>
        </is>
      </c>
      <c r="C75" s="133" t="inlineStr">
        <is>
          <t>承認・許可</t>
        </is>
      </c>
      <c r="D75" s="134" t="inlineStr">
        <is>
          <t>License &amp; Approval</t>
        </is>
      </c>
      <c r="E75" s="135" t="inlineStr">
        <is>
          <t>BLA承認通知、承認条件、審査完了通知（CRL）</t>
        </is>
      </c>
      <c r="F75" s="132" t="inlineStr">
        <is>
          <t>トランザクション</t>
        </is>
      </c>
      <c r="G75" s="132" t="inlineStr">
        <is>
          <t>薬事</t>
        </is>
      </c>
      <c r="H75" s="136">
        <f>IF(G75="非GxP","—","対象候補")</f>
        <v/>
      </c>
      <c r="I75" s="132" t="inlineStr">
        <is>
          <t>なし</t>
        </is>
      </c>
      <c r="J75" s="146" t="inlineStr">
        <is>
          <t>C06-02</t>
        </is>
      </c>
      <c r="K75" s="137">
        <f>IFERROR(INDEX(ケイパビリティマップ!$E:$E,MATCH(J75,ケイパビリティマップ!$A:$A,0)),"（IDなし）")</f>
        <v/>
      </c>
      <c r="L75" s="149">
        <f>COUNTIF('ケイパビリティ×情報オブジェクト'!BW$6:BW$58,"C")</f>
        <v/>
      </c>
      <c r="M75" s="149">
        <f>COUNTIF('ケイパビリティ×情報オブジェクト'!BW$6:BW$58,"R")</f>
        <v/>
      </c>
    </row>
    <row r="76" ht="15" customHeight="1" s="80">
      <c r="A76" s="146" t="inlineStr">
        <is>
          <t>REG-06</t>
        </is>
      </c>
      <c r="B76" s="132" t="inlineStr">
        <is>
          <t>薬事</t>
        </is>
      </c>
      <c r="C76" s="133" t="inlineStr">
        <is>
          <t>表示（USPI）</t>
        </is>
      </c>
      <c r="D76" s="134" t="inlineStr">
        <is>
          <t>Labeling</t>
        </is>
      </c>
      <c r="E76" s="135" t="inlineStr">
        <is>
          <t>添付文書（USPI）・患者向け資料</t>
        </is>
      </c>
      <c r="F76" s="132" t="inlineStr">
        <is>
          <t>定義・仕様</t>
        </is>
      </c>
      <c r="G76" s="132" t="inlineStr">
        <is>
          <t>薬事</t>
        </is>
      </c>
      <c r="H76" s="136">
        <f>IF(G76="非GxP","—","対象候補")</f>
        <v/>
      </c>
      <c r="I76" s="132" t="inlineStr">
        <is>
          <t>なし</t>
        </is>
      </c>
      <c r="J76" s="146" t="inlineStr">
        <is>
          <t>C06-03</t>
        </is>
      </c>
      <c r="K76" s="137">
        <f>IFERROR(INDEX(ケイパビリティマップ!$E:$E,MATCH(J76,ケイパビリティマップ!$A:$A,0)),"（IDなし）")</f>
        <v/>
      </c>
      <c r="L76" s="149">
        <f>COUNTIF('ケイパビリティ×情報オブジェクト'!BX$6:BX$58,"C")</f>
        <v/>
      </c>
      <c r="M76" s="149">
        <f>COUNTIF('ケイパビリティ×情報オブジェクト'!BX$6:BX$58,"R")</f>
        <v/>
      </c>
    </row>
    <row r="77" ht="26.85" customHeight="1" s="80">
      <c r="A77" s="146" t="inlineStr">
        <is>
          <t>REG-07</t>
        </is>
      </c>
      <c r="B77" s="132" t="inlineStr">
        <is>
          <t>薬事</t>
        </is>
      </c>
      <c r="C77" s="133" t="inlineStr">
        <is>
          <t>市販後要求・コミットメント（PMR／PMC）</t>
        </is>
      </c>
      <c r="D77" s="134" t="inlineStr">
        <is>
          <t>PMR/PMC</t>
        </is>
      </c>
      <c r="E77" s="135" t="inlineStr">
        <is>
          <t>承認時に合意した市販後の試験・調査とその状況</t>
        </is>
      </c>
      <c r="F77" s="132" t="inlineStr">
        <is>
          <t>トランザクション</t>
        </is>
      </c>
      <c r="G77" s="132" t="inlineStr">
        <is>
          <t>薬事</t>
        </is>
      </c>
      <c r="H77" s="136">
        <f>IF(G77="非GxP","—","対象候補")</f>
        <v/>
      </c>
      <c r="I77" s="132" t="inlineStr">
        <is>
          <t>なし</t>
        </is>
      </c>
      <c r="J77" s="146" t="inlineStr">
        <is>
          <t>C06-04</t>
        </is>
      </c>
      <c r="K77" s="137">
        <f>IFERROR(INDEX(ケイパビリティマップ!$E:$E,MATCH(J77,ケイパビリティマップ!$A:$A,0)),"（IDなし）")</f>
        <v/>
      </c>
      <c r="L77" s="149">
        <f>COUNTIF('ケイパビリティ×情報オブジェクト'!BY$6:BY$58,"C")</f>
        <v/>
      </c>
      <c r="M77" s="149">
        <f>COUNTIF('ケイパビリティ×情報オブジェクト'!BY$6:BY$58,"R")</f>
        <v/>
      </c>
    </row>
    <row r="78" ht="26.85" customHeight="1" s="80">
      <c r="A78" s="146" t="inlineStr">
        <is>
          <t>REG-08</t>
        </is>
      </c>
      <c r="B78" s="132" t="inlineStr">
        <is>
          <t>薬事</t>
        </is>
      </c>
      <c r="C78" s="133" t="inlineStr">
        <is>
          <t>REMS</t>
        </is>
      </c>
      <c r="D78" s="134" t="inlineStr">
        <is>
          <t>REMS</t>
        </is>
      </c>
      <c r="E78" s="135" t="inlineStr">
        <is>
          <t>リスク評価・緩和戦略とその評価報告</t>
        </is>
      </c>
      <c r="F78" s="132" t="inlineStr">
        <is>
          <t>文書</t>
        </is>
      </c>
      <c r="G78" s="132" t="inlineStr">
        <is>
          <t>薬事・PV</t>
        </is>
      </c>
      <c r="H78" s="136">
        <f>IF(G78="非GxP","—","対象候補")</f>
        <v/>
      </c>
      <c r="I78" s="132" t="inlineStr">
        <is>
          <t>なし</t>
        </is>
      </c>
      <c r="J78" s="146" t="inlineStr">
        <is>
          <t>C09-02</t>
        </is>
      </c>
      <c r="K78" s="137">
        <f>IFERROR(INDEX(ケイパビリティマップ!$E:$E,MATCH(J78,ケイパビリティマップ!$A:$A,0)),"（IDなし）")</f>
        <v/>
      </c>
      <c r="L78" s="149">
        <f>COUNTIF('ケイパビリティ×情報オブジェクト'!BZ$6:BZ$58,"C")</f>
        <v/>
      </c>
      <c r="M78" s="149">
        <f>COUNTIF('ケイパビリティ×情報オブジェクト'!BZ$6:BZ$58,"R")</f>
        <v/>
      </c>
    </row>
    <row r="79" ht="26.85" customHeight="1" s="80">
      <c r="A79" s="146" t="inlineStr">
        <is>
          <t>REG-09</t>
        </is>
      </c>
      <c r="B79" s="132" t="inlineStr">
        <is>
          <t>薬事</t>
        </is>
      </c>
      <c r="C79" s="133" t="inlineStr">
        <is>
          <t>査察記録</t>
        </is>
      </c>
      <c r="D79" s="134" t="inlineStr">
        <is>
          <t>Inspection Record</t>
        </is>
      </c>
      <c r="E79" s="135" t="inlineStr">
        <is>
          <t>承認前査察（PLI）・BIMO査察の記録と指摘事項</t>
        </is>
      </c>
      <c r="F79" s="132" t="inlineStr">
        <is>
          <t>トランザクション</t>
        </is>
      </c>
      <c r="G79" s="132" t="inlineStr">
        <is>
          <t>GMP・GCP</t>
        </is>
      </c>
      <c r="H79" s="136">
        <f>IF(G79="非GxP","—","対象候補")</f>
        <v/>
      </c>
      <c r="I79" s="132" t="inlineStr">
        <is>
          <t>なし</t>
        </is>
      </c>
      <c r="J79" s="146" t="inlineStr">
        <is>
          <t>C08-04</t>
        </is>
      </c>
      <c r="K79" s="137">
        <f>IFERROR(INDEX(ケイパビリティマップ!$E:$E,MATCH(J79,ケイパビリティマップ!$A:$A,0)),"（IDなし）")</f>
        <v/>
      </c>
      <c r="L79" s="149">
        <f>COUNTIF('ケイパビリティ×情報オブジェクト'!CA$6:CA$58,"C")</f>
        <v/>
      </c>
      <c r="M79" s="149">
        <f>COUNTIF('ケイパビリティ×情報オブジェクト'!CA$6:CA$58,"R")</f>
        <v/>
      </c>
    </row>
    <row r="80" ht="26.85" customHeight="1" s="80">
      <c r="A80" s="146" t="inlineStr">
        <is>
          <t>REG-10</t>
        </is>
      </c>
      <c r="B80" s="132" t="inlineStr">
        <is>
          <t>薬事</t>
        </is>
      </c>
      <c r="C80" s="133" t="inlineStr">
        <is>
          <t>当局年次報告</t>
        </is>
      </c>
      <c r="D80" s="134" t="inlineStr">
        <is>
          <t>Annual Report to FDA</t>
        </is>
      </c>
      <c r="E80" s="135" t="inlineStr">
        <is>
          <t>PMR／PMC年次状況報告などの定期提出物</t>
        </is>
      </c>
      <c r="F80" s="132" t="inlineStr">
        <is>
          <t>文書</t>
        </is>
      </c>
      <c r="G80" s="132" t="inlineStr">
        <is>
          <t>薬事</t>
        </is>
      </c>
      <c r="H80" s="136">
        <f>IF(G80="非GxP","—","対象候補")</f>
        <v/>
      </c>
      <c r="I80" s="132" t="inlineStr">
        <is>
          <t>なし</t>
        </is>
      </c>
      <c r="J80" s="146" t="inlineStr">
        <is>
          <t>C06-04</t>
        </is>
      </c>
      <c r="K80" s="137">
        <f>IFERROR(INDEX(ケイパビリティマップ!$E:$E,MATCH(J80,ケイパビリティマップ!$A:$A,0)),"（IDなし）")</f>
        <v/>
      </c>
      <c r="L80" s="149">
        <f>COUNTIF('ケイパビリティ×情報オブジェクト'!CB$6:CB$58,"C")</f>
        <v/>
      </c>
      <c r="M80" s="149">
        <f>COUNTIF('ケイパビリティ×情報オブジェクト'!CB$6:CB$58,"R")</f>
        <v/>
      </c>
    </row>
    <row r="81" ht="26.85" customHeight="1" s="80">
      <c r="A81" s="146" t="inlineStr">
        <is>
          <t>SAF-01</t>
        </is>
      </c>
      <c r="B81" s="132" t="inlineStr">
        <is>
          <t>安全性</t>
        </is>
      </c>
      <c r="C81" s="133" t="inlineStr">
        <is>
          <t>有害事象症例</t>
        </is>
      </c>
      <c r="D81" s="134" t="inlineStr">
        <is>
          <t>Adverse Event Case</t>
        </is>
      </c>
      <c r="E81" s="135" t="inlineStr">
        <is>
          <t>治験中・市販後の有害事象の個別症例（ICSR。個人情報を含む）</t>
        </is>
      </c>
      <c r="F81" s="132" t="inlineStr">
        <is>
          <t>トランザクション</t>
        </is>
      </c>
      <c r="G81" s="132" t="inlineStr">
        <is>
          <t>GCP・PV</t>
        </is>
      </c>
      <c r="H81" s="136">
        <f>IF(G81="非GxP","—","対象候補")</f>
        <v/>
      </c>
      <c r="I81" s="132" t="inlineStr">
        <is>
          <t>患者</t>
        </is>
      </c>
      <c r="J81" s="146" t="inlineStr">
        <is>
          <t>C09-01</t>
        </is>
      </c>
      <c r="K81" s="137">
        <f>IFERROR(INDEX(ケイパビリティマップ!$E:$E,MATCH(J81,ケイパビリティマップ!$A:$A,0)),"（IDなし）")</f>
        <v/>
      </c>
      <c r="L81" s="149">
        <f>COUNTIF('ケイパビリティ×情報オブジェクト'!CC$6:CC$58,"C")</f>
        <v/>
      </c>
      <c r="M81" s="149">
        <f>COUNTIF('ケイパビリティ×情報オブジェクト'!CC$6:CC$58,"R")</f>
        <v/>
      </c>
    </row>
    <row r="82" ht="26.85" customHeight="1" s="80">
      <c r="A82" s="146" t="inlineStr">
        <is>
          <t>SAF-02</t>
        </is>
      </c>
      <c r="B82" s="132" t="inlineStr">
        <is>
          <t>安全性</t>
        </is>
      </c>
      <c r="C82" s="133" t="inlineStr">
        <is>
          <t>安全性シグナル評価</t>
        </is>
      </c>
      <c r="D82" s="134" t="inlineStr">
        <is>
          <t>Safety Signal Assessment</t>
        </is>
      </c>
      <c r="E82" s="135" t="inlineStr">
        <is>
          <t>シグナル検出・評価の結果</t>
        </is>
      </c>
      <c r="F82" s="132" t="inlineStr">
        <is>
          <t>分析・評価</t>
        </is>
      </c>
      <c r="G82" s="132" t="inlineStr">
        <is>
          <t>PV</t>
        </is>
      </c>
      <c r="H82" s="136">
        <f>IF(G82="非GxP","—","対象候補")</f>
        <v/>
      </c>
      <c r="I82" s="132" t="inlineStr">
        <is>
          <t>なし</t>
        </is>
      </c>
      <c r="J82" s="146" t="inlineStr">
        <is>
          <t>C09-02</t>
        </is>
      </c>
      <c r="K82" s="137">
        <f>IFERROR(INDEX(ケイパビリティマップ!$E:$E,MATCH(J82,ケイパビリティマップ!$A:$A,0)),"（IDなし）")</f>
        <v/>
      </c>
      <c r="L82" s="149">
        <f>COUNTIF('ケイパビリティ×情報オブジェクト'!CD$6:CD$58,"C")</f>
        <v/>
      </c>
      <c r="M82" s="149">
        <f>COUNTIF('ケイパビリティ×情報オブジェクト'!CD$6:CD$58,"R")</f>
        <v/>
      </c>
    </row>
    <row r="83" ht="15" customHeight="1" s="80">
      <c r="A83" s="146" t="inlineStr">
        <is>
          <t>SAF-03</t>
        </is>
      </c>
      <c r="B83" s="132" t="inlineStr">
        <is>
          <t>安全性</t>
        </is>
      </c>
      <c r="C83" s="133" t="inlineStr">
        <is>
          <t>安全性報告</t>
        </is>
      </c>
      <c r="D83" s="134" t="inlineStr">
        <is>
          <t>Safety Report</t>
        </is>
      </c>
      <c r="E83" s="135" t="inlineStr">
        <is>
          <t>15日アラート報告・定期報告</t>
        </is>
      </c>
      <c r="F83" s="132" t="inlineStr">
        <is>
          <t>文書</t>
        </is>
      </c>
      <c r="G83" s="132" t="inlineStr">
        <is>
          <t>PV</t>
        </is>
      </c>
      <c r="H83" s="136">
        <f>IF(G83="非GxP","—","対象候補")</f>
        <v/>
      </c>
      <c r="I83" s="132" t="inlineStr">
        <is>
          <t>なし</t>
        </is>
      </c>
      <c r="J83" s="146" t="inlineStr">
        <is>
          <t>C09-01</t>
        </is>
      </c>
      <c r="K83" s="137">
        <f>IFERROR(INDEX(ケイパビリティマップ!$E:$E,MATCH(J83,ケイパビリティマップ!$A:$A,0)),"（IDなし）")</f>
        <v/>
      </c>
      <c r="L83" s="149">
        <f>COUNTIF('ケイパビリティ×情報オブジェクト'!CE$6:CE$58,"C")</f>
        <v/>
      </c>
      <c r="M83" s="149">
        <f>COUNTIF('ケイパビリティ×情報オブジェクト'!CE$6:CE$58,"R")</f>
        <v/>
      </c>
    </row>
    <row r="84" ht="26.85" customHeight="1" s="80">
      <c r="A84" s="146" t="inlineStr">
        <is>
          <t>MKT-01</t>
        </is>
      </c>
      <c r="B84" s="132" t="inlineStr">
        <is>
          <t>市場アクセス・商業</t>
        </is>
      </c>
      <c r="C84" s="133" t="inlineStr">
        <is>
          <t>価格</t>
        </is>
      </c>
      <c r="D84" s="134" t="inlineStr">
        <is>
          <t>Price</t>
        </is>
      </c>
      <c r="E84" s="135" t="inlineStr">
        <is>
          <t>WACと価格改定履歴</t>
        </is>
      </c>
      <c r="F84" s="132" t="inlineStr">
        <is>
          <t>マスタ</t>
        </is>
      </c>
      <c r="G84" s="132" t="inlineStr">
        <is>
          <t>非GxP</t>
        </is>
      </c>
      <c r="H84" s="136">
        <f>IF(G84="非GxP","—","対象候補")</f>
        <v/>
      </c>
      <c r="I84" s="132" t="inlineStr">
        <is>
          <t>なし</t>
        </is>
      </c>
      <c r="J84" s="146" t="inlineStr">
        <is>
          <t>C11-01</t>
        </is>
      </c>
      <c r="K84" s="137">
        <f>IFERROR(INDEX(ケイパビリティマップ!$E:$E,MATCH(J84,ケイパビリティマップ!$A:$A,0)),"（IDなし）")</f>
        <v/>
      </c>
      <c r="L84" s="149">
        <f>COUNTIF('ケイパビリティ×情報オブジェクト'!CF$6:CF$58,"C")</f>
        <v/>
      </c>
      <c r="M84" s="149">
        <f>COUNTIF('ケイパビリティ×情報オブジェクト'!CF$6:CF$58,"R")</f>
        <v/>
      </c>
    </row>
    <row r="85" ht="26.85" customHeight="1" s="80">
      <c r="A85" s="146" t="inlineStr">
        <is>
          <t>MKT-02</t>
        </is>
      </c>
      <c r="B85" s="132" t="inlineStr">
        <is>
          <t>市場アクセス・商業</t>
        </is>
      </c>
      <c r="C85" s="133" t="inlineStr">
        <is>
          <t>保険者契約</t>
        </is>
      </c>
      <c r="D85" s="134" t="inlineStr">
        <is>
          <t>Payer Contract</t>
        </is>
      </c>
      <c r="E85" s="135" t="inlineStr">
        <is>
          <t>Medicaid薬剤リベート契約、PBM・民間保険との契約（成果連動型を含む）</t>
        </is>
      </c>
      <c r="F85" s="132" t="inlineStr">
        <is>
          <t>トランザクション</t>
        </is>
      </c>
      <c r="G85" s="132" t="inlineStr">
        <is>
          <t>非GxP</t>
        </is>
      </c>
      <c r="H85" s="136">
        <f>IF(G85="非GxP","—","対象候補")</f>
        <v/>
      </c>
      <c r="I85" s="132" t="inlineStr">
        <is>
          <t>なし</t>
        </is>
      </c>
      <c r="J85" s="146" t="inlineStr">
        <is>
          <t>C11-01</t>
        </is>
      </c>
      <c r="K85" s="137">
        <f>IFERROR(INDEX(ケイパビリティマップ!$E:$E,MATCH(J85,ケイパビリティマップ!$A:$A,0)),"（IDなし）")</f>
        <v/>
      </c>
      <c r="L85" s="149">
        <f>COUNTIF('ケイパビリティ×情報オブジェクト'!CG$6:CG$58,"C")</f>
        <v/>
      </c>
      <c r="M85" s="149">
        <f>COUNTIF('ケイパビリティ×情報オブジェクト'!CG$6:CG$58,"R")</f>
        <v/>
      </c>
    </row>
    <row r="86" ht="26.85" customHeight="1" s="80">
      <c r="A86" s="146" t="inlineStr">
        <is>
          <t>MKT-03</t>
        </is>
      </c>
      <c r="B86" s="132" t="inlineStr">
        <is>
          <t>市場アクセス・商業</t>
        </is>
      </c>
      <c r="C86" s="133" t="inlineStr">
        <is>
          <t>償還コード</t>
        </is>
      </c>
      <c r="D86" s="134" t="inlineStr">
        <is>
          <t>Reimbursement Code</t>
        </is>
      </c>
      <c r="E86" s="135" t="inlineStr">
        <is>
          <t>HCPCSコードなどの償還情報</t>
        </is>
      </c>
      <c r="F86" s="132" t="inlineStr">
        <is>
          <t>マスタ</t>
        </is>
      </c>
      <c r="G86" s="132" t="inlineStr">
        <is>
          <t>非GxP</t>
        </is>
      </c>
      <c r="H86" s="136">
        <f>IF(G86="非GxP","—","対象候補")</f>
        <v/>
      </c>
      <c r="I86" s="132" t="inlineStr">
        <is>
          <t>なし</t>
        </is>
      </c>
      <c r="J86" s="146" t="inlineStr">
        <is>
          <t>C11-02</t>
        </is>
      </c>
      <c r="K86" s="137">
        <f>IFERROR(INDEX(ケイパビリティマップ!$E:$E,MATCH(J86,ケイパビリティマップ!$A:$A,0)),"（IDなし）")</f>
        <v/>
      </c>
      <c r="L86" s="149">
        <f>COUNTIF('ケイパビリティ×情報オブジェクト'!CH$6:CH$58,"C")</f>
        <v/>
      </c>
      <c r="M86" s="149">
        <f>COUNTIF('ケイパビリティ×情報オブジェクト'!CH$6:CH$58,"R")</f>
        <v/>
      </c>
    </row>
    <row r="87" ht="26.85" customHeight="1" s="80">
      <c r="A87" s="146" t="inlineStr">
        <is>
          <t>MKT-04</t>
        </is>
      </c>
      <c r="B87" s="132" t="inlineStr">
        <is>
          <t>市場アクセス・商業</t>
        </is>
      </c>
      <c r="C87" s="133" t="inlineStr">
        <is>
          <t>患者支援ケース</t>
        </is>
      </c>
      <c r="D87" s="134" t="inlineStr">
        <is>
          <t>Patient Services Case</t>
        </is>
      </c>
      <c r="E87" s="135" t="inlineStr">
        <is>
          <t>ハブ経由の患者登録・保険確認・治療開始状況（個人情報を含む）</t>
        </is>
      </c>
      <c r="F87" s="132" t="inlineStr">
        <is>
          <t>トランザクション</t>
        </is>
      </c>
      <c r="G87" s="132" t="inlineStr">
        <is>
          <t>非GxP</t>
        </is>
      </c>
      <c r="H87" s="136">
        <f>IF(G87="非GxP","—","対象候補")</f>
        <v/>
      </c>
      <c r="I87" s="132" t="inlineStr">
        <is>
          <t>患者</t>
        </is>
      </c>
      <c r="J87" s="146" t="inlineStr">
        <is>
          <t>C10-04</t>
        </is>
      </c>
      <c r="K87" s="137">
        <f>IFERROR(INDEX(ケイパビリティマップ!$E:$E,MATCH(J87,ケイパビリティマップ!$A:$A,0)),"（IDなし）")</f>
        <v/>
      </c>
      <c r="L87" s="149">
        <f>COUNTIF('ケイパビリティ×情報オブジェクト'!CI$6:CI$58,"C")</f>
        <v/>
      </c>
      <c r="M87" s="149">
        <f>COUNTIF('ケイパビリティ×情報オブジェクト'!CI$6:CI$58,"R")</f>
        <v/>
      </c>
    </row>
    <row r="88" ht="26.85" customHeight="1" s="80">
      <c r="A88" s="146" t="inlineStr">
        <is>
          <t>MKT-05</t>
        </is>
      </c>
      <c r="B88" s="132" t="inlineStr">
        <is>
          <t>市場アクセス・商業</t>
        </is>
      </c>
      <c r="C88" s="133" t="inlineStr">
        <is>
          <t>販促・医療情報資材</t>
        </is>
      </c>
      <c r="D88" s="134" t="inlineStr">
        <is>
          <t>Promotional &amp; Medical Material</t>
        </is>
      </c>
      <c r="E88" s="135" t="inlineStr">
        <is>
          <t>販促資材（Form FDA 2253）・疾患啓発資材</t>
        </is>
      </c>
      <c r="F88" s="132" t="inlineStr">
        <is>
          <t>文書</t>
        </is>
      </c>
      <c r="G88" s="132" t="inlineStr">
        <is>
          <t>薬事</t>
        </is>
      </c>
      <c r="H88" s="136">
        <f>IF(G88="非GxP","—","対象候補")</f>
        <v/>
      </c>
      <c r="I88" s="132" t="inlineStr">
        <is>
          <t>なし</t>
        </is>
      </c>
      <c r="J88" s="146" t="inlineStr">
        <is>
          <t>C11-03</t>
        </is>
      </c>
      <c r="K88" s="137">
        <f>IFERROR(INDEX(ケイパビリティマップ!$E:$E,MATCH(J88,ケイパビリティマップ!$A:$A,0)),"（IDなし）")</f>
        <v/>
      </c>
      <c r="L88" s="149">
        <f>COUNTIF('ケイパビリティ×情報オブジェクト'!CJ$6:CJ$58,"C")</f>
        <v/>
      </c>
      <c r="M88" s="149">
        <f>COUNTIF('ケイパビリティ×情報オブジェクト'!CJ$6:CJ$58,"R")</f>
        <v/>
      </c>
    </row>
    <row r="89" ht="26.85" customHeight="1" s="80">
      <c r="A89" s="146" t="inlineStr">
        <is>
          <t>MKT-06</t>
        </is>
      </c>
      <c r="B89" s="132" t="inlineStr">
        <is>
          <t>市場アクセス・商業</t>
        </is>
      </c>
      <c r="C89" s="133" t="inlineStr">
        <is>
          <t>医療機関・医療従事者マスタ</t>
        </is>
      </c>
      <c r="D89" s="134" t="inlineStr">
        <is>
          <t>HCP/HCO Master</t>
        </is>
      </c>
      <c r="E89" s="135" t="inlineStr">
        <is>
          <t>専門施設ネットワーク・専門医の情報</t>
        </is>
      </c>
      <c r="F89" s="132" t="inlineStr">
        <is>
          <t>マスタ</t>
        </is>
      </c>
      <c r="G89" s="132" t="inlineStr">
        <is>
          <t>非GxP</t>
        </is>
      </c>
      <c r="H89" s="136">
        <f>IF(G89="非GxP","—","対象候補")</f>
        <v/>
      </c>
      <c r="I89" s="132" t="inlineStr">
        <is>
          <t>医療従事者</t>
        </is>
      </c>
      <c r="J89" s="146" t="inlineStr">
        <is>
          <t>C10-03</t>
        </is>
      </c>
      <c r="K89" s="137">
        <f>IFERROR(INDEX(ケイパビリティマップ!$E:$E,MATCH(J89,ケイパビリティマップ!$A:$A,0)),"（IDなし）")</f>
        <v/>
      </c>
      <c r="L89" s="149">
        <f>COUNTIF('ケイパビリティ×情報オブジェクト'!CK$6:CK$58,"C")</f>
        <v/>
      </c>
      <c r="M89" s="149">
        <f>COUNTIF('ケイパビリティ×情報オブジェクト'!CK$6:CK$58,"R")</f>
        <v/>
      </c>
    </row>
    <row r="90" ht="26.85" customHeight="1" s="80">
      <c r="A90" s="146" t="inlineStr">
        <is>
          <t>MKT-07</t>
        </is>
      </c>
      <c r="B90" s="132" t="inlineStr">
        <is>
          <t>市場アクセス・商業</t>
        </is>
      </c>
      <c r="C90" s="133" t="inlineStr">
        <is>
          <t>教育記録</t>
        </is>
      </c>
      <c r="D90" s="134" t="inlineStr">
        <is>
          <t>Field Training Record</t>
        </is>
      </c>
      <c r="E90" s="135" t="inlineStr">
        <is>
          <t>MSL・営業担当の教育記録</t>
        </is>
      </c>
      <c r="F90" s="132" t="inlineStr">
        <is>
          <t>トランザクション</t>
        </is>
      </c>
      <c r="G90" s="132" t="inlineStr">
        <is>
          <t>非GxP</t>
        </is>
      </c>
      <c r="H90" s="136">
        <f>IF(G90="非GxP","—","対象候補")</f>
        <v/>
      </c>
      <c r="I90" s="132" t="inlineStr">
        <is>
          <t>従業員</t>
        </is>
      </c>
      <c r="J90" s="146" t="inlineStr">
        <is>
          <t>C11-04</t>
        </is>
      </c>
      <c r="K90" s="137">
        <f>IFERROR(INDEX(ケイパビリティマップ!$E:$E,MATCH(J90,ケイパビリティマップ!$A:$A,0)),"（IDなし）")</f>
        <v/>
      </c>
      <c r="L90" s="149">
        <f>COUNTIF('ケイパビリティ×情報オブジェクト'!CL$6:CL$58,"C")</f>
        <v/>
      </c>
      <c r="M90" s="149">
        <f>COUNTIF('ケイパビリティ×情報オブジェクト'!CL$6:CL$58,"R")</f>
        <v/>
      </c>
    </row>
    <row r="91" ht="26.85" customHeight="1" s="80">
      <c r="A91" s="146" t="inlineStr">
        <is>
          <t>MKT-08</t>
        </is>
      </c>
      <c r="B91" s="132" t="inlineStr">
        <is>
          <t>市場アクセス・商業</t>
        </is>
      </c>
      <c r="C91" s="133" t="inlineStr">
        <is>
          <t>政府価格報告</t>
        </is>
      </c>
      <c r="D91" s="134" t="inlineStr">
        <is>
          <t>Government Price Reporting</t>
        </is>
      </c>
      <c r="E91" s="135" t="inlineStr">
        <is>
          <t>AMP・Best Price・ASPなどの報告データ</t>
        </is>
      </c>
      <c r="F91" s="132" t="inlineStr">
        <is>
          <t>トランザクション</t>
        </is>
      </c>
      <c r="G91" s="132" t="inlineStr">
        <is>
          <t>非GxP</t>
        </is>
      </c>
      <c r="H91" s="136">
        <f>IF(G91="非GxP","—","対象候補")</f>
        <v/>
      </c>
      <c r="I91" s="132" t="inlineStr">
        <is>
          <t>なし</t>
        </is>
      </c>
      <c r="J91" s="146" t="inlineStr">
        <is>
          <t>C11-02</t>
        </is>
      </c>
      <c r="K91" s="137">
        <f>IFERROR(INDEX(ケイパビリティマップ!$E:$E,MATCH(J91,ケイパビリティマップ!$A:$A,0)),"（IDなし）")</f>
        <v/>
      </c>
      <c r="L91" s="149">
        <f>COUNTIF('ケイパビリティ×情報オブジェクト'!CM$6:CM$58,"C")</f>
        <v/>
      </c>
      <c r="M91" s="149">
        <f>COUNTIF('ケイパビリティ×情報オブジェクト'!CM$6:CM$58,"R")</f>
        <v/>
      </c>
    </row>
    <row r="92" ht="26.85" customHeight="1" s="80">
      <c r="A92" s="146" t="inlineStr">
        <is>
          <t>MKT-09</t>
        </is>
      </c>
      <c r="B92" s="132" t="inlineStr">
        <is>
          <t>市場アクセス・商業</t>
        </is>
      </c>
      <c r="C92" s="133" t="inlineStr">
        <is>
          <t>Medicare価格交渉対象判定</t>
        </is>
      </c>
      <c r="D92" s="134" t="inlineStr">
        <is>
          <t>IRA Negotiation Status</t>
        </is>
      </c>
      <c r="E92" s="135" t="inlineStr">
        <is>
          <t>IRAの交渉対象・除外要件の判定と記録</t>
        </is>
      </c>
      <c r="F92" s="132" t="inlineStr">
        <is>
          <t>分析・評価</t>
        </is>
      </c>
      <c r="G92" s="132" t="inlineStr">
        <is>
          <t>非GxP</t>
        </is>
      </c>
      <c r="H92" s="136">
        <f>IF(G92="非GxP","—","対象候補")</f>
        <v/>
      </c>
      <c r="I92" s="132" t="inlineStr">
        <is>
          <t>なし</t>
        </is>
      </c>
      <c r="J92" s="146" t="inlineStr">
        <is>
          <t>C11-02</t>
        </is>
      </c>
      <c r="K92" s="137">
        <f>IFERROR(INDEX(ケイパビリティマップ!$E:$E,MATCH(J92,ケイパビリティマップ!$A:$A,0)),"（IDなし）")</f>
        <v/>
      </c>
      <c r="L92" s="149">
        <f>COUNTIF('ケイパビリティ×情報オブジェクト'!CN$6:CN$58,"C")</f>
        <v/>
      </c>
      <c r="M92" s="149">
        <f>COUNTIF('ケイパビリティ×情報オブジェクト'!CN$6:CN$58,"R")</f>
        <v/>
      </c>
    </row>
    <row r="93" ht="26.85" customHeight="1" s="80">
      <c r="A93" s="146" t="inlineStr">
        <is>
          <t>SCM-01</t>
        </is>
      </c>
      <c r="B93" s="132" t="inlineStr">
        <is>
          <t>供給・流通</t>
        </is>
      </c>
      <c r="C93" s="133" t="inlineStr">
        <is>
          <t>需給計画</t>
        </is>
      </c>
      <c r="D93" s="134" t="inlineStr">
        <is>
          <t>Demand &amp; Supply Plan</t>
        </is>
      </c>
      <c r="E93" s="135" t="inlineStr">
        <is>
          <t>需要予測・在庫計画（患者単位の需要を含む）</t>
        </is>
      </c>
      <c r="F93" s="132" t="inlineStr">
        <is>
          <t>トランザクション</t>
        </is>
      </c>
      <c r="G93" s="132" t="inlineStr">
        <is>
          <t>非GxP</t>
        </is>
      </c>
      <c r="H93" s="136">
        <f>IF(G93="非GxP","—","対象候補")</f>
        <v/>
      </c>
      <c r="I93" s="132" t="inlineStr">
        <is>
          <t>なし</t>
        </is>
      </c>
      <c r="J93" s="146" t="inlineStr">
        <is>
          <t>C12-01</t>
        </is>
      </c>
      <c r="K93" s="137">
        <f>IFERROR(INDEX(ケイパビリティマップ!$E:$E,MATCH(J93,ケイパビリティマップ!$A:$A,0)),"（IDなし）")</f>
        <v/>
      </c>
      <c r="L93" s="149">
        <f>COUNTIF('ケイパビリティ×情報オブジェクト'!CO$6:CO$58,"C")</f>
        <v/>
      </c>
      <c r="M93" s="149">
        <f>COUNTIF('ケイパビリティ×情報オブジェクト'!CO$6:CO$58,"R")</f>
        <v/>
      </c>
    </row>
    <row r="94" ht="26.85" customHeight="1" s="80">
      <c r="A94" s="146" t="inlineStr">
        <is>
          <t>SCM-02</t>
        </is>
      </c>
      <c r="B94" s="132" t="inlineStr">
        <is>
          <t>供給・流通</t>
        </is>
      </c>
      <c r="C94" s="133" t="inlineStr">
        <is>
          <t>在庫</t>
        </is>
      </c>
      <c r="D94" s="134" t="inlineStr">
        <is>
          <t>Inventory</t>
        </is>
      </c>
      <c r="E94" s="135" t="inlineStr">
        <is>
          <t>製品・原薬の在庫（拠点別）</t>
        </is>
      </c>
      <c r="F94" s="132" t="inlineStr">
        <is>
          <t>トランザクション</t>
        </is>
      </c>
      <c r="G94" s="132" t="inlineStr">
        <is>
          <t>GMP・流通</t>
        </is>
      </c>
      <c r="H94" s="136">
        <f>IF(G94="非GxP","—","対象候補")</f>
        <v/>
      </c>
      <c r="I94" s="132" t="inlineStr">
        <is>
          <t>なし</t>
        </is>
      </c>
      <c r="J94" s="146" t="inlineStr">
        <is>
          <t>C12-01</t>
        </is>
      </c>
      <c r="K94" s="137">
        <f>IFERROR(INDEX(ケイパビリティマップ!$E:$E,MATCH(J94,ケイパビリティマップ!$A:$A,0)),"（IDなし）")</f>
        <v/>
      </c>
      <c r="L94" s="149">
        <f>COUNTIF('ケイパビリティ×情報オブジェクト'!CP$6:CP$58,"C")</f>
        <v/>
      </c>
      <c r="M94" s="149">
        <f>COUNTIF('ケイパビリティ×情報オブジェクト'!CP$6:CP$58,"R")</f>
        <v/>
      </c>
    </row>
    <row r="95" ht="26.85" customHeight="1" s="80">
      <c r="A95" s="146" t="inlineStr">
        <is>
          <t>SCM-03</t>
        </is>
      </c>
      <c r="B95" s="132" t="inlineStr">
        <is>
          <t>供給・流通</t>
        </is>
      </c>
      <c r="C95" s="133" t="inlineStr">
        <is>
          <t>受注・出荷</t>
        </is>
      </c>
      <c r="D95" s="134" t="inlineStr">
        <is>
          <t>Order &amp; Shipment</t>
        </is>
      </c>
      <c r="E95" s="135" t="inlineStr">
        <is>
          <t>受注、出荷、配送、納品</t>
        </is>
      </c>
      <c r="F95" s="132" t="inlineStr">
        <is>
          <t>トランザクション</t>
        </is>
      </c>
      <c r="G95" s="132" t="inlineStr">
        <is>
          <t>GMP・流通</t>
        </is>
      </c>
      <c r="H95" s="136">
        <f>IF(G95="非GxP","—","対象候補")</f>
        <v/>
      </c>
      <c r="I95" s="132" t="inlineStr">
        <is>
          <t>なし</t>
        </is>
      </c>
      <c r="J95" s="146" t="inlineStr">
        <is>
          <t>C12-01</t>
        </is>
      </c>
      <c r="K95" s="137">
        <f>IFERROR(INDEX(ケイパビリティマップ!$E:$E,MATCH(J95,ケイパビリティマップ!$A:$A,0)),"（IDなし）")</f>
        <v/>
      </c>
      <c r="L95" s="149">
        <f>COUNTIF('ケイパビリティ×情報オブジェクト'!CQ$6:CQ$58,"C")</f>
        <v/>
      </c>
      <c r="M95" s="149">
        <f>COUNTIF('ケイパビリティ×情報オブジェクト'!CQ$6:CQ$58,"R")</f>
        <v/>
      </c>
    </row>
    <row r="96" ht="15" customHeight="1" s="80">
      <c r="A96" s="146" t="inlineStr">
        <is>
          <t>SCM-04</t>
        </is>
      </c>
      <c r="B96" s="132" t="inlineStr">
        <is>
          <t>供給・流通</t>
        </is>
      </c>
      <c r="C96" s="133" t="inlineStr">
        <is>
          <t>温度記録</t>
        </is>
      </c>
      <c r="D96" s="134" t="inlineStr">
        <is>
          <t>Temperature Log</t>
        </is>
      </c>
      <c r="E96" s="135" t="inlineStr">
        <is>
          <t>保管・輸送中の温度データ</t>
        </is>
      </c>
      <c r="F96" s="132" t="inlineStr">
        <is>
          <t>測定データ</t>
        </is>
      </c>
      <c r="G96" s="132" t="inlineStr">
        <is>
          <t>GMP・流通</t>
        </is>
      </c>
      <c r="H96" s="136">
        <f>IF(G96="非GxP","—","対象候補")</f>
        <v/>
      </c>
      <c r="I96" s="132" t="inlineStr">
        <is>
          <t>なし</t>
        </is>
      </c>
      <c r="J96" s="146" t="inlineStr">
        <is>
          <t>C12-03</t>
        </is>
      </c>
      <c r="K96" s="137">
        <f>IFERROR(INDEX(ケイパビリティマップ!$E:$E,MATCH(J96,ケイパビリティマップ!$A:$A,0)),"（IDなし）")</f>
        <v/>
      </c>
      <c r="L96" s="149">
        <f>COUNTIF('ケイパビリティ×情報オブジェクト'!CR$6:CR$58,"C")</f>
        <v/>
      </c>
      <c r="M96" s="149">
        <f>COUNTIF('ケイパビリティ×情報オブジェクト'!CR$6:CR$58,"R")</f>
        <v/>
      </c>
    </row>
    <row r="97" ht="26.85" customHeight="1" s="80">
      <c r="A97" s="146" t="inlineStr">
        <is>
          <t>SCM-05</t>
        </is>
      </c>
      <c r="B97" s="132" t="inlineStr">
        <is>
          <t>供給・流通</t>
        </is>
      </c>
      <c r="C97" s="133" t="inlineStr">
        <is>
          <t>製品識別子・取引情報（DSCSA）</t>
        </is>
      </c>
      <c r="D97" s="134" t="inlineStr">
        <is>
          <t>Serialization &amp; Transaction Data</t>
        </is>
      </c>
      <c r="E97" s="135" t="inlineStr">
        <is>
          <t>シリアル番号、取引情報の電子的な記録・交換</t>
        </is>
      </c>
      <c r="F97" s="132" t="inlineStr">
        <is>
          <t>トランザクション</t>
        </is>
      </c>
      <c r="G97" s="132" t="inlineStr">
        <is>
          <t>流通</t>
        </is>
      </c>
      <c r="H97" s="136">
        <f>IF(G97="非GxP","—","対象候補")</f>
        <v/>
      </c>
      <c r="I97" s="132" t="inlineStr">
        <is>
          <t>なし</t>
        </is>
      </c>
      <c r="J97" s="146" t="inlineStr">
        <is>
          <t>C12-04</t>
        </is>
      </c>
      <c r="K97" s="137">
        <f>IFERROR(INDEX(ケイパビリティマップ!$E:$E,MATCH(J97,ケイパビリティマップ!$A:$A,0)),"（IDなし）")</f>
        <v/>
      </c>
      <c r="L97" s="149">
        <f>COUNTIF('ケイパビリティ×情報オブジェクト'!CS$6:CS$58,"C")</f>
        <v/>
      </c>
      <c r="M97" s="149">
        <f>COUNTIF('ケイパビリティ×情報オブジェクト'!CS$6:CS$58,"R")</f>
        <v/>
      </c>
    </row>
    <row r="98" ht="26.85" customHeight="1" s="80">
      <c r="A98" s="146" t="inlineStr">
        <is>
          <t>SCM-06</t>
        </is>
      </c>
      <c r="B98" s="132" t="inlineStr">
        <is>
          <t>供給・流通</t>
        </is>
      </c>
      <c r="C98" s="133" t="inlineStr">
        <is>
          <t>回収記録</t>
        </is>
      </c>
      <c r="D98" s="134" t="inlineStr">
        <is>
          <t>Recall Record</t>
        </is>
      </c>
      <c r="E98" s="135" t="inlineStr">
        <is>
          <t>回収の範囲・実施状況</t>
        </is>
      </c>
      <c r="F98" s="132" t="inlineStr">
        <is>
          <t>トランザクション</t>
        </is>
      </c>
      <c r="G98" s="132" t="inlineStr">
        <is>
          <t>GMP・薬事</t>
        </is>
      </c>
      <c r="H98" s="136">
        <f>IF(G98="非GxP","—","対象候補")</f>
        <v/>
      </c>
      <c r="I98" s="132" t="inlineStr">
        <is>
          <t>なし</t>
        </is>
      </c>
      <c r="J98" s="146" t="inlineStr">
        <is>
          <t>C12-05</t>
        </is>
      </c>
      <c r="K98" s="137">
        <f>IFERROR(INDEX(ケイパビリティマップ!$E:$E,MATCH(J98,ケイパビリティマップ!$A:$A,0)),"（IDなし）")</f>
        <v/>
      </c>
      <c r="L98" s="149">
        <f>COUNTIF('ケイパビリティ×情報オブジェクト'!CT$6:CT$58,"C")</f>
        <v/>
      </c>
      <c r="M98" s="149">
        <f>COUNTIF('ケイパビリティ×情報オブジェクト'!CT$6:CT$58,"R")</f>
        <v/>
      </c>
    </row>
    <row r="99" ht="15" customHeight="1" s="80">
      <c r="A99" s="146" t="inlineStr">
        <is>
          <t>SCM-07</t>
        </is>
      </c>
      <c r="B99" s="132" t="inlineStr">
        <is>
          <t>供給・流通</t>
        </is>
      </c>
      <c r="C99" s="133" t="inlineStr">
        <is>
          <t>供給継続計画</t>
        </is>
      </c>
      <c r="D99" s="134" t="inlineStr">
        <is>
          <t>Supply Continuity Plan</t>
        </is>
      </c>
      <c r="E99" s="135" t="inlineStr">
        <is>
          <t>供給リスクと対応策、FDAへの事前通知</t>
        </is>
      </c>
      <c r="F99" s="132" t="inlineStr">
        <is>
          <t>文書</t>
        </is>
      </c>
      <c r="G99" s="132" t="inlineStr">
        <is>
          <t>薬事</t>
        </is>
      </c>
      <c r="H99" s="136">
        <f>IF(G99="非GxP","—","対象候補")</f>
        <v/>
      </c>
      <c r="I99" s="132" t="inlineStr">
        <is>
          <t>なし</t>
        </is>
      </c>
      <c r="J99" s="146" t="inlineStr">
        <is>
          <t>C12-05</t>
        </is>
      </c>
      <c r="K99" s="137">
        <f>IFERROR(INDEX(ケイパビリティマップ!$E:$E,MATCH(J99,ケイパビリティマップ!$A:$A,0)),"（IDなし）")</f>
        <v/>
      </c>
      <c r="L99" s="149">
        <f>COUNTIF('ケイパビリティ×情報オブジェクト'!CU$6:CU$58,"C")</f>
        <v/>
      </c>
      <c r="M99" s="149">
        <f>COUNTIF('ケイパビリティ×情報オブジェクト'!CU$6:CU$58,"R")</f>
        <v/>
      </c>
    </row>
  </sheetData>
  <autoFilter ref="A3:M99"/>
  <dataValidations count="2">
    <dataValidation sqref="F4:F99" showDropDown="0" showInputMessage="0" showErrorMessage="0" allowBlank="1" type="list" errorStyle="stop" operator="between">
      <formula1>"マスタ,定義・仕様,トランザクション,測定データ,分析・評価,文書"</formula1>
      <formula2>0</formula2>
    </dataValidation>
    <dataValidation sqref="I4:I99" showDropDown="0" showInputMessage="0" showErrorMessage="0" allowBlank="1" type="list" errorStyle="stop" operator="between">
      <formula1>"患者,患者（仮名化）,医療従事者,従業員,なし"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tabColor rgb="002E8B57"/>
    <outlinePr summaryBelow="1" summaryRight="1"/>
    <pageSetUpPr/>
  </sheetPr>
  <dimension ref="A1:CW60"/>
  <sheetViews>
    <sheetView zoomScale="10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style="80" min="1" max="1"/>
    <col width="8" customWidth="1" style="80" min="2" max="2"/>
    <col width="28" customWidth="1" style="80" min="3" max="3"/>
    <col width="4.6" customWidth="1" style="80" min="4" max="4"/>
    <col width="4.6" customWidth="1" style="80" min="5" max="5"/>
    <col width="4.6" customWidth="1" style="80" min="6" max="6"/>
    <col width="4.6" customWidth="1" style="80" min="7" max="7"/>
    <col width="4.6" customWidth="1" style="80" min="8" max="8"/>
    <col width="4.6" customWidth="1" style="80" min="9" max="9"/>
    <col width="4.6" customWidth="1" style="80" min="10" max="10"/>
    <col width="4.6" customWidth="1" style="80" min="11" max="11"/>
    <col width="4.6" customWidth="1" style="80" min="12" max="12"/>
    <col width="4.6" customWidth="1" style="80" min="13" max="13"/>
    <col width="4.6" customWidth="1" style="80" min="14" max="14"/>
    <col width="4.6" customWidth="1" style="80" min="15" max="15"/>
    <col width="4.6" customWidth="1" style="80" min="16" max="16"/>
    <col width="4.6" customWidth="1" style="80" min="17" max="17"/>
    <col width="4.6" customWidth="1" style="80" min="18" max="18"/>
    <col width="4.6" customWidth="1" style="80" min="19" max="19"/>
    <col width="4.6" customWidth="1" style="80" min="20" max="20"/>
    <col width="4.6" customWidth="1" style="80" min="21" max="21"/>
    <col width="4.6" customWidth="1" style="80" min="22" max="22"/>
    <col width="4.6" customWidth="1" style="80" min="23" max="23"/>
    <col width="4.6" customWidth="1" style="80" min="24" max="24"/>
    <col width="4.6" customWidth="1" style="80" min="25" max="25"/>
    <col width="4.6" customWidth="1" style="80" min="26" max="26"/>
    <col width="4.6" customWidth="1" style="80" min="27" max="27"/>
    <col width="4.6" customWidth="1" style="80" min="28" max="28"/>
    <col width="4.6" customWidth="1" style="80" min="29" max="29"/>
    <col width="4.6" customWidth="1" style="80" min="30" max="30"/>
    <col width="4.6" customWidth="1" style="80" min="31" max="31"/>
    <col width="4.6" customWidth="1" style="80" min="32" max="32"/>
    <col width="4.6" customWidth="1" style="80" min="33" max="33"/>
    <col width="4.6" customWidth="1" style="80" min="34" max="34"/>
    <col width="4.6" customWidth="1" style="80" min="35" max="35"/>
    <col width="4.6" customWidth="1" style="80" min="36" max="36"/>
    <col width="4.6" customWidth="1" style="80" min="37" max="37"/>
    <col width="4.6" customWidth="1" style="80" min="38" max="38"/>
    <col width="4.6" customWidth="1" style="80" min="39" max="39"/>
    <col width="4.6" customWidth="1" style="80" min="40" max="40"/>
    <col width="4.6" customWidth="1" style="80" min="41" max="41"/>
    <col width="4.6" customWidth="1" style="80" min="42" max="42"/>
    <col width="4.6" customWidth="1" style="80" min="43" max="43"/>
    <col width="4.6" customWidth="1" style="80" min="44" max="44"/>
    <col width="4.6" customWidth="1" style="80" min="45" max="45"/>
    <col width="4.6" customWidth="1" style="80" min="46" max="46"/>
    <col width="4.6" customWidth="1" style="80" min="47" max="47"/>
    <col width="4.6" customWidth="1" style="80" min="48" max="48"/>
    <col width="4.6" customWidth="1" style="80" min="49" max="49"/>
    <col width="4.6" customWidth="1" style="80" min="50" max="50"/>
    <col width="4.6" customWidth="1" style="80" min="51" max="51"/>
    <col width="4.6" customWidth="1" style="80" min="52" max="52"/>
    <col width="4.6" customWidth="1" style="80" min="53" max="53"/>
    <col width="4.6" customWidth="1" style="80" min="54" max="54"/>
    <col width="4.6" customWidth="1" style="80" min="55" max="55"/>
    <col width="4.6" customWidth="1" style="80" min="56" max="56"/>
    <col width="4.6" customWidth="1" style="80" min="57" max="57"/>
    <col width="4.6" customWidth="1" style="80" min="58" max="58"/>
    <col width="4.6" customWidth="1" style="80" min="59" max="59"/>
    <col width="4.6" customWidth="1" style="80" min="60" max="60"/>
    <col width="4.6" customWidth="1" style="80" min="61" max="61"/>
    <col width="4.6" customWidth="1" style="80" min="62" max="62"/>
    <col width="4.6" customWidth="1" style="80" min="63" max="63"/>
    <col width="4.6" customWidth="1" style="80" min="64" max="64"/>
    <col width="4.6" customWidth="1" style="80" min="65" max="65"/>
    <col width="4.6" customWidth="1" style="80" min="66" max="66"/>
    <col width="4.6" customWidth="1" style="80" min="67" max="67"/>
    <col width="4.6" customWidth="1" style="80" min="68" max="68"/>
    <col width="4.6" customWidth="1" style="80" min="69" max="69"/>
    <col width="4.6" customWidth="1" style="80" min="70" max="70"/>
    <col width="4.6" customWidth="1" style="80" min="71" max="71"/>
    <col width="4.6" customWidth="1" style="80" min="72" max="72"/>
    <col width="4.6" customWidth="1" style="80" min="73" max="73"/>
    <col width="4.6" customWidth="1" style="80" min="74" max="74"/>
    <col width="4.6" customWidth="1" style="80" min="75" max="75"/>
    <col width="4.6" customWidth="1" style="80" min="76" max="76"/>
    <col width="4.6" customWidth="1" style="80" min="77" max="77"/>
    <col width="4.6" customWidth="1" style="80" min="78" max="78"/>
    <col width="4.6" customWidth="1" style="80" min="79" max="79"/>
    <col width="4.6" customWidth="1" style="80" min="80" max="80"/>
    <col width="4.6" customWidth="1" style="80" min="81" max="81"/>
    <col width="4.6" customWidth="1" style="80" min="82" max="82"/>
    <col width="4.6" customWidth="1" style="80" min="83" max="83"/>
    <col width="4.6" customWidth="1" style="80" min="84" max="84"/>
    <col width="4.6" customWidth="1" style="80" min="85" max="85"/>
    <col width="4.6" customWidth="1" style="80" min="86" max="86"/>
    <col width="4.6" customWidth="1" style="80" min="87" max="87"/>
    <col width="4.6" customWidth="1" style="80" min="88" max="88"/>
    <col width="4.6" customWidth="1" style="80" min="89" max="89"/>
    <col width="4.6" customWidth="1" style="80" min="90" max="90"/>
    <col width="4.6" customWidth="1" style="80" min="91" max="91"/>
    <col width="4.6" customWidth="1" style="80" min="92" max="92"/>
    <col width="4.6" customWidth="1" style="80" min="93" max="93"/>
    <col width="4.6" customWidth="1" style="80" min="94" max="94"/>
    <col width="4.6" customWidth="1" style="80" min="95" max="95"/>
    <col width="4.6" customWidth="1" style="80" min="96" max="96"/>
    <col width="4.6" customWidth="1" style="80" min="97" max="97"/>
    <col width="4.6" customWidth="1" style="80" min="98" max="98"/>
    <col width="4.6" customWidth="1" style="80" min="99" max="99"/>
    <col width="7.5" customWidth="1" style="80" min="100" max="100"/>
    <col width="7.5" customWidth="1" style="80" min="101" max="101"/>
  </cols>
  <sheetData>
    <row r="1" ht="21.6" customHeight="1" s="80">
      <c r="A1" s="139" t="inlineStr">
        <is>
          <t>ケイパビリティ×情報オブジェクト（正本：行＝ケイパビリティL2 × 列＝情報オブジェクト）</t>
        </is>
      </c>
    </row>
    <row r="2" ht="15" customHeight="1" s="80">
      <c r="A2" s="140" t="inlineStr">
        <is>
          <t>C＝作成・更新（その能力の中で生み出す／維持する情報。オーナーのL2は必ずC）　R＝利用（その能力が入力として参照する情報）　空欄＝関係なし</t>
        </is>
      </c>
    </row>
    <row r="4" ht="29.85" customHeight="1" s="80">
      <c r="A4" s="141" t="inlineStr">
        <is>
          <t>ケイパビリティL1</t>
        </is>
      </c>
      <c r="B4" s="141" t="inlineStr">
        <is>
          <t>L2 ID</t>
        </is>
      </c>
      <c r="C4" s="141" t="inlineStr">
        <is>
          <t>ケイパビリティL2</t>
        </is>
      </c>
      <c r="D4" s="150" t="inlineStr">
        <is>
          <t>共通・マスタ</t>
        </is>
      </c>
      <c r="J4" s="150" t="inlineStr">
        <is>
          <t>研究</t>
        </is>
      </c>
      <c r="V4" s="150" t="inlineStr">
        <is>
          <t>非臨床</t>
        </is>
      </c>
      <c r="Z4" s="150" t="inlineStr">
        <is>
          <t>CMC開発</t>
        </is>
      </c>
      <c r="AM4" s="150" t="inlineStr">
        <is>
          <t>製造・品質</t>
        </is>
      </c>
      <c r="AZ4" s="150" t="inlineStr">
        <is>
          <t>臨床</t>
        </is>
      </c>
      <c r="BS4" s="150" t="inlineStr">
        <is>
          <t>薬事</t>
        </is>
      </c>
      <c r="CC4" s="150" t="inlineStr">
        <is>
          <t>安全性</t>
        </is>
      </c>
      <c r="CF4" s="150" t="inlineStr">
        <is>
          <t>市場アクセス・商業</t>
        </is>
      </c>
      <c r="CO4" s="150" t="inlineStr">
        <is>
          <t>供給・流通</t>
        </is>
      </c>
      <c r="CV4" s="143" t="inlineStr">
        <is>
          <t>Cの数</t>
        </is>
      </c>
      <c r="CW4" s="143" t="inlineStr">
        <is>
          <t>Rの数</t>
        </is>
      </c>
    </row>
    <row r="5" ht="214.5" customHeight="1" s="80">
      <c r="D5" s="151">
        <f>情報オブジェクト!C4</f>
        <v/>
      </c>
      <c r="E5" s="151">
        <f>情報オブジェクト!C5</f>
        <v/>
      </c>
      <c r="F5" s="151">
        <f>情報オブジェクト!C6</f>
        <v/>
      </c>
      <c r="G5" s="151">
        <f>情報オブジェクト!C7</f>
        <v/>
      </c>
      <c r="H5" s="151">
        <f>情報オブジェクト!C8</f>
        <v/>
      </c>
      <c r="I5" s="151">
        <f>情報オブジェクト!C9</f>
        <v/>
      </c>
      <c r="J5" s="151">
        <f>情報オブジェクト!C10</f>
        <v/>
      </c>
      <c r="K5" s="151">
        <f>情報オブジェクト!C11</f>
        <v/>
      </c>
      <c r="L5" s="151">
        <f>情報オブジェクト!C12</f>
        <v/>
      </c>
      <c r="M5" s="151">
        <f>情報オブジェクト!C13</f>
        <v/>
      </c>
      <c r="N5" s="151">
        <f>情報オブジェクト!C14</f>
        <v/>
      </c>
      <c r="O5" s="151">
        <f>情報オブジェクト!C15</f>
        <v/>
      </c>
      <c r="P5" s="151">
        <f>情報オブジェクト!C16</f>
        <v/>
      </c>
      <c r="Q5" s="151">
        <f>情報オブジェクト!C17</f>
        <v/>
      </c>
      <c r="R5" s="151">
        <f>情報オブジェクト!C18</f>
        <v/>
      </c>
      <c r="S5" s="151">
        <f>情報オブジェクト!C19</f>
        <v/>
      </c>
      <c r="T5" s="151">
        <f>情報オブジェクト!C20</f>
        <v/>
      </c>
      <c r="U5" s="151">
        <f>情報オブジェクト!C21</f>
        <v/>
      </c>
      <c r="V5" s="151">
        <f>情報オブジェクト!C22</f>
        <v/>
      </c>
      <c r="W5" s="151">
        <f>情報オブジェクト!C23</f>
        <v/>
      </c>
      <c r="X5" s="151">
        <f>情報オブジェクト!C24</f>
        <v/>
      </c>
      <c r="Y5" s="151">
        <f>情報オブジェクト!C25</f>
        <v/>
      </c>
      <c r="Z5" s="151">
        <f>情報オブジェクト!C26</f>
        <v/>
      </c>
      <c r="AA5" s="151">
        <f>情報オブジェクト!C27</f>
        <v/>
      </c>
      <c r="AB5" s="151">
        <f>情報オブジェクト!C28</f>
        <v/>
      </c>
      <c r="AC5" s="151">
        <f>情報オブジェクト!C29</f>
        <v/>
      </c>
      <c r="AD5" s="151">
        <f>情報オブジェクト!C30</f>
        <v/>
      </c>
      <c r="AE5" s="151">
        <f>情報オブジェクト!C31</f>
        <v/>
      </c>
      <c r="AF5" s="151">
        <f>情報オブジェクト!C32</f>
        <v/>
      </c>
      <c r="AG5" s="151">
        <f>情報オブジェクト!C33</f>
        <v/>
      </c>
      <c r="AH5" s="151">
        <f>情報オブジェクト!C34</f>
        <v/>
      </c>
      <c r="AI5" s="151">
        <f>情報オブジェクト!C35</f>
        <v/>
      </c>
      <c r="AJ5" s="151">
        <f>情報オブジェクト!C36</f>
        <v/>
      </c>
      <c r="AK5" s="151">
        <f>情報オブジェクト!C37</f>
        <v/>
      </c>
      <c r="AL5" s="151">
        <f>情報オブジェクト!C38</f>
        <v/>
      </c>
      <c r="AM5" s="151">
        <f>情報オブジェクト!C39</f>
        <v/>
      </c>
      <c r="AN5" s="151">
        <f>情報オブジェクト!C40</f>
        <v/>
      </c>
      <c r="AO5" s="151">
        <f>情報オブジェクト!C41</f>
        <v/>
      </c>
      <c r="AP5" s="151">
        <f>情報オブジェクト!C42</f>
        <v/>
      </c>
      <c r="AQ5" s="151">
        <f>情報オブジェクト!C43</f>
        <v/>
      </c>
      <c r="AR5" s="151">
        <f>情報オブジェクト!C44</f>
        <v/>
      </c>
      <c r="AS5" s="151">
        <f>情報オブジェクト!C45</f>
        <v/>
      </c>
      <c r="AT5" s="151">
        <f>情報オブジェクト!C46</f>
        <v/>
      </c>
      <c r="AU5" s="151">
        <f>情報オブジェクト!C47</f>
        <v/>
      </c>
      <c r="AV5" s="151">
        <f>情報オブジェクト!C48</f>
        <v/>
      </c>
      <c r="AW5" s="151">
        <f>情報オブジェクト!C49</f>
        <v/>
      </c>
      <c r="AX5" s="151">
        <f>情報オブジェクト!C50</f>
        <v/>
      </c>
      <c r="AY5" s="151">
        <f>情報オブジェクト!C51</f>
        <v/>
      </c>
      <c r="AZ5" s="151">
        <f>情報オブジェクト!C52</f>
        <v/>
      </c>
      <c r="BA5" s="151">
        <f>情報オブジェクト!C53</f>
        <v/>
      </c>
      <c r="BB5" s="151">
        <f>情報オブジェクト!C54</f>
        <v/>
      </c>
      <c r="BC5" s="151">
        <f>情報オブジェクト!C55</f>
        <v/>
      </c>
      <c r="BD5" s="151">
        <f>情報オブジェクト!C56</f>
        <v/>
      </c>
      <c r="BE5" s="151">
        <f>情報オブジェクト!C57</f>
        <v/>
      </c>
      <c r="BF5" s="151">
        <f>情報オブジェクト!C58</f>
        <v/>
      </c>
      <c r="BG5" s="151">
        <f>情報オブジェクト!C59</f>
        <v/>
      </c>
      <c r="BH5" s="151">
        <f>情報オブジェクト!C60</f>
        <v/>
      </c>
      <c r="BI5" s="151">
        <f>情報オブジェクト!C61</f>
        <v/>
      </c>
      <c r="BJ5" s="151">
        <f>情報オブジェクト!C62</f>
        <v/>
      </c>
      <c r="BK5" s="151">
        <f>情報オブジェクト!C63</f>
        <v/>
      </c>
      <c r="BL5" s="151">
        <f>情報オブジェクト!C64</f>
        <v/>
      </c>
      <c r="BM5" s="151">
        <f>情報オブジェクト!C65</f>
        <v/>
      </c>
      <c r="BN5" s="151">
        <f>情報オブジェクト!C66</f>
        <v/>
      </c>
      <c r="BO5" s="151">
        <f>情報オブジェクト!C67</f>
        <v/>
      </c>
      <c r="BP5" s="151">
        <f>情報オブジェクト!C68</f>
        <v/>
      </c>
      <c r="BQ5" s="151">
        <f>情報オブジェクト!C69</f>
        <v/>
      </c>
      <c r="BR5" s="151">
        <f>情報オブジェクト!C70</f>
        <v/>
      </c>
      <c r="BS5" s="151">
        <f>情報オブジェクト!C71</f>
        <v/>
      </c>
      <c r="BT5" s="151">
        <f>情報オブジェクト!C72</f>
        <v/>
      </c>
      <c r="BU5" s="151">
        <f>情報オブジェクト!C73</f>
        <v/>
      </c>
      <c r="BV5" s="151">
        <f>情報オブジェクト!C74</f>
        <v/>
      </c>
      <c r="BW5" s="151">
        <f>情報オブジェクト!C75</f>
        <v/>
      </c>
      <c r="BX5" s="151">
        <f>情報オブジェクト!C76</f>
        <v/>
      </c>
      <c r="BY5" s="151">
        <f>情報オブジェクト!C77</f>
        <v/>
      </c>
      <c r="BZ5" s="151">
        <f>情報オブジェクト!C78</f>
        <v/>
      </c>
      <c r="CA5" s="151">
        <f>情報オブジェクト!C79</f>
        <v/>
      </c>
      <c r="CB5" s="151">
        <f>情報オブジェクト!C80</f>
        <v/>
      </c>
      <c r="CC5" s="151">
        <f>情報オブジェクト!C81</f>
        <v/>
      </c>
      <c r="CD5" s="151">
        <f>情報オブジェクト!C82</f>
        <v/>
      </c>
      <c r="CE5" s="151">
        <f>情報オブジェクト!C83</f>
        <v/>
      </c>
      <c r="CF5" s="151">
        <f>情報オブジェクト!C84</f>
        <v/>
      </c>
      <c r="CG5" s="151">
        <f>情報オブジェクト!C85</f>
        <v/>
      </c>
      <c r="CH5" s="151">
        <f>情報オブジェクト!C86</f>
        <v/>
      </c>
      <c r="CI5" s="151">
        <f>情報オブジェクト!C87</f>
        <v/>
      </c>
      <c r="CJ5" s="151">
        <f>情報オブジェクト!C88</f>
        <v/>
      </c>
      <c r="CK5" s="151">
        <f>情報オブジェクト!C89</f>
        <v/>
      </c>
      <c r="CL5" s="151">
        <f>情報オブジェクト!C90</f>
        <v/>
      </c>
      <c r="CM5" s="151">
        <f>情報オブジェクト!C91</f>
        <v/>
      </c>
      <c r="CN5" s="151">
        <f>情報オブジェクト!C92</f>
        <v/>
      </c>
      <c r="CO5" s="151">
        <f>情報オブジェクト!C93</f>
        <v/>
      </c>
      <c r="CP5" s="151">
        <f>情報オブジェクト!C94</f>
        <v/>
      </c>
      <c r="CQ5" s="151">
        <f>情報オブジェクト!C95</f>
        <v/>
      </c>
      <c r="CR5" s="151">
        <f>情報オブジェクト!C96</f>
        <v/>
      </c>
      <c r="CS5" s="151">
        <f>情報オブジェクト!C97</f>
        <v/>
      </c>
      <c r="CT5" s="151">
        <f>情報オブジェクト!C98</f>
        <v/>
      </c>
      <c r="CU5" s="151">
        <f>情報オブジェクト!C99</f>
        <v/>
      </c>
    </row>
    <row r="6">
      <c r="A6" s="152" t="inlineStr">
        <is>
          <t>C01 戦略・ガバナンス</t>
        </is>
      </c>
      <c r="B6" s="146" t="inlineStr">
        <is>
          <t>C01-01</t>
        </is>
      </c>
      <c r="C6" s="153">
        <f>IFERROR(INDEX(ケイパビリティマップ!$E:$E,MATCH(B6,ケイパビリティマップ!$A:$A,0)),"（IDなし）")</f>
        <v/>
      </c>
      <c r="D6" s="154" t="inlineStr">
        <is>
          <t>C</t>
        </is>
      </c>
      <c r="E6" s="154" t="inlineStr">
        <is>
          <t>C</t>
        </is>
      </c>
      <c r="F6" s="154" t="inlineStr">
        <is>
          <t>R</t>
        </is>
      </c>
      <c r="G6" s="154" t="n"/>
      <c r="H6" s="154" t="n"/>
      <c r="I6" s="154" t="inlineStr">
        <is>
          <t>C</t>
        </is>
      </c>
      <c r="J6" s="154" t="n"/>
      <c r="K6" s="154" t="n"/>
      <c r="L6" s="154" t="n"/>
      <c r="M6" s="154" t="n"/>
      <c r="N6" s="154" t="n"/>
      <c r="O6" s="154" t="n"/>
      <c r="P6" s="154" t="inlineStr">
        <is>
          <t>R</t>
        </is>
      </c>
      <c r="Q6" s="154" t="n"/>
      <c r="R6" s="154" t="inlineStr">
        <is>
          <t>R</t>
        </is>
      </c>
      <c r="S6" s="154" t="inlineStr">
        <is>
          <t>R</t>
        </is>
      </c>
      <c r="T6" s="154" t="inlineStr">
        <is>
          <t>C</t>
        </is>
      </c>
      <c r="U6" s="154" t="inlineStr">
        <is>
          <t>R</t>
        </is>
      </c>
      <c r="V6" s="154" t="n"/>
      <c r="W6" s="154" t="n"/>
      <c r="X6" s="154" t="n"/>
      <c r="Y6" s="154" t="n"/>
      <c r="Z6" s="154" t="n"/>
      <c r="AA6" s="154" t="n"/>
      <c r="AB6" s="154" t="n"/>
      <c r="AC6" s="154" t="n"/>
      <c r="AD6" s="154" t="n"/>
      <c r="AE6" s="154" t="n"/>
      <c r="AF6" s="154" t="n"/>
      <c r="AG6" s="154" t="n"/>
      <c r="AH6" s="154" t="n"/>
      <c r="AI6" s="154" t="n"/>
      <c r="AJ6" s="154" t="n"/>
      <c r="AK6" s="154" t="n"/>
      <c r="AL6" s="154" t="n"/>
      <c r="AM6" s="154" t="n"/>
      <c r="AN6" s="154" t="n"/>
      <c r="AO6" s="154" t="n"/>
      <c r="AP6" s="154" t="n"/>
      <c r="AQ6" s="154" t="n"/>
      <c r="AR6" s="154" t="n"/>
      <c r="AS6" s="154" t="n"/>
      <c r="AT6" s="154" t="n"/>
      <c r="AU6" s="154" t="n"/>
      <c r="AV6" s="154" t="n"/>
      <c r="AW6" s="154" t="n"/>
      <c r="AX6" s="154" t="n"/>
      <c r="AY6" s="154" t="n"/>
      <c r="AZ6" s="154" t="n"/>
      <c r="BA6" s="154" t="n"/>
      <c r="BB6" s="154" t="n"/>
      <c r="BC6" s="154" t="n"/>
      <c r="BD6" s="154" t="n"/>
      <c r="BE6" s="154" t="n"/>
      <c r="BF6" s="154" t="n"/>
      <c r="BG6" s="154" t="n"/>
      <c r="BH6" s="154" t="n"/>
      <c r="BI6" s="154" t="n"/>
      <c r="BJ6" s="154" t="n"/>
      <c r="BK6" s="154" t="n"/>
      <c r="BL6" s="154" t="n"/>
      <c r="BM6" s="154" t="n"/>
      <c r="BN6" s="154" t="n"/>
      <c r="BO6" s="154" t="n"/>
      <c r="BP6" s="154" t="n"/>
      <c r="BQ6" s="154" t="n"/>
      <c r="BR6" s="154" t="n"/>
      <c r="BS6" s="154" t="n"/>
      <c r="BT6" s="154" t="n"/>
      <c r="BU6" s="154" t="n"/>
      <c r="BV6" s="154" t="n"/>
      <c r="BW6" s="154" t="n"/>
      <c r="BX6" s="154" t="n"/>
      <c r="BY6" s="154" t="n"/>
      <c r="BZ6" s="154" t="n"/>
      <c r="CA6" s="154" t="n"/>
      <c r="CB6" s="154" t="n"/>
      <c r="CC6" s="154" t="n"/>
      <c r="CD6" s="154" t="n"/>
      <c r="CE6" s="154" t="n"/>
      <c r="CF6" s="154" t="n"/>
      <c r="CG6" s="154" t="n"/>
      <c r="CH6" s="154" t="n"/>
      <c r="CI6" s="154" t="n"/>
      <c r="CJ6" s="154" t="n"/>
      <c r="CK6" s="154" t="n"/>
      <c r="CL6" s="154" t="n"/>
      <c r="CM6" s="154" t="n"/>
      <c r="CN6" s="154" t="n"/>
      <c r="CO6" s="154" t="n"/>
      <c r="CP6" s="154" t="n"/>
      <c r="CQ6" s="154" t="n"/>
      <c r="CR6" s="154" t="n"/>
      <c r="CS6" s="154" t="n"/>
      <c r="CT6" s="154" t="n"/>
      <c r="CU6" s="154" t="n"/>
      <c r="CV6" s="149">
        <f>COUNTIF(D6:CU6,"C")</f>
        <v/>
      </c>
      <c r="CW6" s="149">
        <f>COUNTIF(D6:CU6,"R")</f>
        <v/>
      </c>
    </row>
    <row r="7">
      <c r="A7" s="152" t="n"/>
      <c r="B7" s="146" t="inlineStr">
        <is>
          <t>C01-02</t>
        </is>
      </c>
      <c r="C7" s="153">
        <f>IFERROR(INDEX(ケイパビリティマップ!$E:$E,MATCH(B7,ケイパビリティマップ!$A:$A,0)),"（IDなし）")</f>
        <v/>
      </c>
      <c r="D7" s="154" t="n"/>
      <c r="E7" s="154" t="n"/>
      <c r="F7" s="154" t="inlineStr">
        <is>
          <t>C</t>
        </is>
      </c>
      <c r="G7" s="154" t="n"/>
      <c r="H7" s="154" t="n"/>
      <c r="I7" s="154" t="n"/>
      <c r="J7" s="154" t="n"/>
      <c r="K7" s="154" t="n"/>
      <c r="L7" s="154" t="n"/>
      <c r="M7" s="154" t="n"/>
      <c r="N7" s="154" t="n"/>
      <c r="O7" s="154" t="inlineStr">
        <is>
          <t>R</t>
        </is>
      </c>
      <c r="P7" s="154" t="n"/>
      <c r="Q7" s="154" t="n"/>
      <c r="R7" s="154" t="n"/>
      <c r="S7" s="154" t="n"/>
      <c r="T7" s="154" t="n"/>
      <c r="U7" s="154" t="n"/>
      <c r="V7" s="154" t="n"/>
      <c r="W7" s="154" t="n"/>
      <c r="X7" s="154" t="n"/>
      <c r="Y7" s="154" t="n"/>
      <c r="Z7" s="154" t="n"/>
      <c r="AA7" s="154" t="n"/>
      <c r="AB7" s="154" t="n"/>
      <c r="AC7" s="154" t="n"/>
      <c r="AD7" s="154" t="n"/>
      <c r="AE7" s="154" t="n"/>
      <c r="AF7" s="154" t="n"/>
      <c r="AG7" s="154" t="n"/>
      <c r="AH7" s="154" t="n"/>
      <c r="AI7" s="154" t="n"/>
      <c r="AJ7" s="154" t="n"/>
      <c r="AK7" s="154" t="n"/>
      <c r="AL7" s="154" t="n"/>
      <c r="AM7" s="154" t="n"/>
      <c r="AN7" s="154" t="n"/>
      <c r="AO7" s="154" t="n"/>
      <c r="AP7" s="154" t="n"/>
      <c r="AQ7" s="154" t="n"/>
      <c r="AR7" s="154" t="n"/>
      <c r="AS7" s="154" t="n"/>
      <c r="AT7" s="154" t="n"/>
      <c r="AU7" s="154" t="n"/>
      <c r="AV7" s="154" t="n"/>
      <c r="AW7" s="154" t="n"/>
      <c r="AX7" s="154" t="n"/>
      <c r="AY7" s="154" t="n"/>
      <c r="AZ7" s="154" t="n"/>
      <c r="BA7" s="154" t="n"/>
      <c r="BB7" s="154" t="n"/>
      <c r="BC7" s="154" t="n"/>
      <c r="BD7" s="154" t="n"/>
      <c r="BE7" s="154" t="n"/>
      <c r="BF7" s="154" t="n"/>
      <c r="BG7" s="154" t="n"/>
      <c r="BH7" s="154" t="n"/>
      <c r="BI7" s="154" t="n"/>
      <c r="BJ7" s="154" t="n"/>
      <c r="BK7" s="154" t="n"/>
      <c r="BL7" s="154" t="n"/>
      <c r="BM7" s="154" t="n"/>
      <c r="BN7" s="154" t="n"/>
      <c r="BO7" s="154" t="n"/>
      <c r="BP7" s="154" t="n"/>
      <c r="BQ7" s="154" t="n"/>
      <c r="BR7" s="154" t="n"/>
      <c r="BS7" s="154" t="n"/>
      <c r="BT7" s="154" t="inlineStr">
        <is>
          <t>R</t>
        </is>
      </c>
      <c r="BU7" s="154" t="n"/>
      <c r="BV7" s="154" t="n"/>
      <c r="BW7" s="154" t="inlineStr">
        <is>
          <t>R</t>
        </is>
      </c>
      <c r="BX7" s="154" t="n"/>
      <c r="BY7" s="154" t="n"/>
      <c r="BZ7" s="154" t="n"/>
      <c r="CA7" s="154" t="n"/>
      <c r="CB7" s="154" t="n"/>
      <c r="CC7" s="154" t="n"/>
      <c r="CD7" s="154" t="n"/>
      <c r="CE7" s="154" t="n"/>
      <c r="CF7" s="154" t="n"/>
      <c r="CG7" s="154" t="n"/>
      <c r="CH7" s="154" t="n"/>
      <c r="CI7" s="154" t="n"/>
      <c r="CJ7" s="154" t="n"/>
      <c r="CK7" s="154" t="n"/>
      <c r="CL7" s="154" t="n"/>
      <c r="CM7" s="154" t="n"/>
      <c r="CN7" s="154" t="n"/>
      <c r="CO7" s="154" t="n"/>
      <c r="CP7" s="154" t="n"/>
      <c r="CQ7" s="154" t="n"/>
      <c r="CR7" s="154" t="n"/>
      <c r="CS7" s="154" t="n"/>
      <c r="CT7" s="154" t="n"/>
      <c r="CU7" s="154" t="n"/>
      <c r="CV7" s="149">
        <f>COUNTIF(D7:CU7,"C")</f>
        <v/>
      </c>
      <c r="CW7" s="149">
        <f>COUNTIF(D7:CU7,"R")</f>
        <v/>
      </c>
    </row>
    <row r="8">
      <c r="A8" s="152" t="n"/>
      <c r="B8" s="146" t="inlineStr">
        <is>
          <t>C01-03</t>
        </is>
      </c>
      <c r="C8" s="153">
        <f>IFERROR(INDEX(ケイパビリティマップ!$E:$E,MATCH(B8,ケイパビリティマップ!$A:$A,0)),"（IDなし）")</f>
        <v/>
      </c>
      <c r="D8" s="154" t="n"/>
      <c r="E8" s="154" t="n"/>
      <c r="F8" s="154" t="n"/>
      <c r="G8" s="154" t="inlineStr">
        <is>
          <t>C</t>
        </is>
      </c>
      <c r="H8" s="154" t="inlineStr">
        <is>
          <t>C</t>
        </is>
      </c>
      <c r="I8" s="154" t="n"/>
      <c r="J8" s="154" t="n"/>
      <c r="K8" s="154" t="n"/>
      <c r="L8" s="154" t="n"/>
      <c r="M8" s="154" t="n"/>
      <c r="N8" s="154" t="n"/>
      <c r="O8" s="154" t="n"/>
      <c r="P8" s="154" t="n"/>
      <c r="Q8" s="154" t="n"/>
      <c r="R8" s="154" t="n"/>
      <c r="S8" s="154" t="n"/>
      <c r="T8" s="154" t="n"/>
      <c r="U8" s="154" t="n"/>
      <c r="V8" s="154" t="n"/>
      <c r="W8" s="154" t="n"/>
      <c r="X8" s="154" t="n"/>
      <c r="Y8" s="154" t="n"/>
      <c r="Z8" s="154" t="n"/>
      <c r="AA8" s="154" t="n"/>
      <c r="AB8" s="154" t="n"/>
      <c r="AC8" s="154" t="n"/>
      <c r="AD8" s="154" t="n"/>
      <c r="AE8" s="154" t="n"/>
      <c r="AF8" s="154" t="n"/>
      <c r="AG8" s="154" t="n"/>
      <c r="AH8" s="154" t="n"/>
      <c r="AI8" s="154" t="n"/>
      <c r="AJ8" s="154" t="n"/>
      <c r="AK8" s="154" t="n"/>
      <c r="AL8" s="154" t="n"/>
      <c r="AM8" s="154" t="n"/>
      <c r="AN8" s="154" t="n"/>
      <c r="AO8" s="154" t="n"/>
      <c r="AP8" s="154" t="n"/>
      <c r="AQ8" s="154" t="n"/>
      <c r="AR8" s="154" t="n"/>
      <c r="AS8" s="154" t="n"/>
      <c r="AT8" s="154" t="n"/>
      <c r="AU8" s="154" t="n"/>
      <c r="AV8" s="154" t="n"/>
      <c r="AW8" s="154" t="n"/>
      <c r="AX8" s="154" t="n"/>
      <c r="AY8" s="154" t="n"/>
      <c r="AZ8" s="154" t="n"/>
      <c r="BA8" s="154" t="n"/>
      <c r="BB8" s="154" t="n"/>
      <c r="BC8" s="154" t="n"/>
      <c r="BD8" s="154" t="n"/>
      <c r="BE8" s="154" t="n"/>
      <c r="BF8" s="154" t="n"/>
      <c r="BG8" s="154" t="n"/>
      <c r="BH8" s="154" t="n"/>
      <c r="BI8" s="154" t="n"/>
      <c r="BJ8" s="154" t="n"/>
      <c r="BK8" s="154" t="n"/>
      <c r="BL8" s="154" t="n"/>
      <c r="BM8" s="154" t="n"/>
      <c r="BN8" s="154" t="n"/>
      <c r="BO8" s="154" t="n"/>
      <c r="BP8" s="154" t="n"/>
      <c r="BQ8" s="154" t="n"/>
      <c r="BR8" s="154" t="n"/>
      <c r="BS8" s="154" t="n"/>
      <c r="BT8" s="154" t="n"/>
      <c r="BU8" s="154" t="n"/>
      <c r="BV8" s="154" t="n"/>
      <c r="BW8" s="154" t="n"/>
      <c r="BX8" s="154" t="n"/>
      <c r="BY8" s="154" t="n"/>
      <c r="BZ8" s="154" t="n"/>
      <c r="CA8" s="154" t="n"/>
      <c r="CB8" s="154" t="n"/>
      <c r="CC8" s="154" t="n"/>
      <c r="CD8" s="154" t="n"/>
      <c r="CE8" s="154" t="n"/>
      <c r="CF8" s="154" t="n"/>
      <c r="CG8" s="154" t="n"/>
      <c r="CH8" s="154" t="n"/>
      <c r="CI8" s="154" t="n"/>
      <c r="CJ8" s="154" t="n"/>
      <c r="CK8" s="154" t="n"/>
      <c r="CL8" s="154" t="n"/>
      <c r="CM8" s="154" t="n"/>
      <c r="CN8" s="154" t="n"/>
      <c r="CO8" s="154" t="n"/>
      <c r="CP8" s="154" t="n"/>
      <c r="CQ8" s="154" t="n"/>
      <c r="CR8" s="154" t="n"/>
      <c r="CS8" s="154" t="n"/>
      <c r="CT8" s="154" t="n"/>
      <c r="CU8" s="154" t="n"/>
      <c r="CV8" s="149">
        <f>COUNTIF(D8:CU8,"C")</f>
        <v/>
      </c>
      <c r="CW8" s="149">
        <f>COUNTIF(D8:CU8,"R")</f>
        <v/>
      </c>
    </row>
    <row r="9">
      <c r="A9" s="152" t="inlineStr">
        <is>
          <t>C02 研究（創薬）</t>
        </is>
      </c>
      <c r="B9" s="146" t="inlineStr">
        <is>
          <t>C02-01</t>
        </is>
      </c>
      <c r="C9" s="153">
        <f>IFERROR(INDEX(ケイパビリティマップ!$E:$E,MATCH(B9,ケイパビリティマップ!$A:$A,0)),"（IDなし）")</f>
        <v/>
      </c>
      <c r="D9" s="154" t="n"/>
      <c r="E9" s="154" t="inlineStr">
        <is>
          <t>C</t>
        </is>
      </c>
      <c r="F9" s="154" t="inlineStr">
        <is>
          <t>R</t>
        </is>
      </c>
      <c r="G9" s="154" t="n"/>
      <c r="H9" s="154" t="n"/>
      <c r="I9" s="154" t="inlineStr">
        <is>
          <t>C</t>
        </is>
      </c>
      <c r="J9" s="154" t="inlineStr">
        <is>
          <t>R</t>
        </is>
      </c>
      <c r="K9" s="154" t="inlineStr">
        <is>
          <t>C</t>
        </is>
      </c>
      <c r="L9" s="154" t="inlineStr">
        <is>
          <t>C</t>
        </is>
      </c>
      <c r="M9" s="154" t="n"/>
      <c r="N9" s="154" t="n"/>
      <c r="O9" s="154" t="n"/>
      <c r="P9" s="154" t="inlineStr">
        <is>
          <t>C</t>
        </is>
      </c>
      <c r="Q9" s="154" t="n"/>
      <c r="R9" s="154" t="n"/>
      <c r="S9" s="154" t="n"/>
      <c r="T9" s="154" t="inlineStr">
        <is>
          <t>C</t>
        </is>
      </c>
      <c r="U9" s="154" t="n"/>
      <c r="V9" s="154" t="n"/>
      <c r="W9" s="154" t="n"/>
      <c r="X9" s="154" t="n"/>
      <c r="Y9" s="154" t="n"/>
      <c r="Z9" s="154" t="n"/>
      <c r="AA9" s="154" t="n"/>
      <c r="AB9" s="154" t="n"/>
      <c r="AC9" s="154" t="n"/>
      <c r="AD9" s="154" t="n"/>
      <c r="AE9" s="154" t="n"/>
      <c r="AF9" s="154" t="n"/>
      <c r="AG9" s="154" t="n"/>
      <c r="AH9" s="154" t="n"/>
      <c r="AI9" s="154" t="n"/>
      <c r="AJ9" s="154" t="n"/>
      <c r="AK9" s="154" t="n"/>
      <c r="AL9" s="154" t="n"/>
      <c r="AM9" s="154" t="n"/>
      <c r="AN9" s="154" t="n"/>
      <c r="AO9" s="154" t="n"/>
      <c r="AP9" s="154" t="n"/>
      <c r="AQ9" s="154" t="n"/>
      <c r="AR9" s="154" t="n"/>
      <c r="AS9" s="154" t="n"/>
      <c r="AT9" s="154" t="n"/>
      <c r="AU9" s="154" t="n"/>
      <c r="AV9" s="154" t="n"/>
      <c r="AW9" s="154" t="n"/>
      <c r="AX9" s="154" t="n"/>
      <c r="AY9" s="154" t="n"/>
      <c r="AZ9" s="154" t="n"/>
      <c r="BA9" s="154" t="n"/>
      <c r="BB9" s="154" t="n"/>
      <c r="BC9" s="154" t="n"/>
      <c r="BD9" s="154" t="n"/>
      <c r="BE9" s="154" t="n"/>
      <c r="BF9" s="154" t="n"/>
      <c r="BG9" s="154" t="n"/>
      <c r="BH9" s="154" t="n"/>
      <c r="BI9" s="154" t="n"/>
      <c r="BJ9" s="154" t="n"/>
      <c r="BK9" s="154" t="n"/>
      <c r="BL9" s="154" t="n"/>
      <c r="BM9" s="154" t="n"/>
      <c r="BN9" s="154" t="n"/>
      <c r="BO9" s="154" t="n"/>
      <c r="BP9" s="154" t="n"/>
      <c r="BQ9" s="154" t="n"/>
      <c r="BR9" s="154" t="n"/>
      <c r="BS9" s="154" t="n"/>
      <c r="BT9" s="154" t="n"/>
      <c r="BU9" s="154" t="n"/>
      <c r="BV9" s="154" t="n"/>
      <c r="BW9" s="154" t="n"/>
      <c r="BX9" s="154" t="n"/>
      <c r="BY9" s="154" t="n"/>
      <c r="BZ9" s="154" t="n"/>
      <c r="CA9" s="154" t="n"/>
      <c r="CB9" s="154" t="n"/>
      <c r="CC9" s="154" t="n"/>
      <c r="CD9" s="154" t="n"/>
      <c r="CE9" s="154" t="n"/>
      <c r="CF9" s="154" t="n"/>
      <c r="CG9" s="154" t="n"/>
      <c r="CH9" s="154" t="n"/>
      <c r="CI9" s="154" t="n"/>
      <c r="CJ9" s="154" t="n"/>
      <c r="CK9" s="154" t="n"/>
      <c r="CL9" s="154" t="n"/>
      <c r="CM9" s="154" t="n"/>
      <c r="CN9" s="154" t="n"/>
      <c r="CO9" s="154" t="n"/>
      <c r="CP9" s="154" t="n"/>
      <c r="CQ9" s="154" t="n"/>
      <c r="CR9" s="154" t="n"/>
      <c r="CS9" s="154" t="n"/>
      <c r="CT9" s="154" t="n"/>
      <c r="CU9" s="154" t="n"/>
      <c r="CV9" s="149">
        <f>COUNTIF(D9:CU9,"C")</f>
        <v/>
      </c>
      <c r="CW9" s="149">
        <f>COUNTIF(D9:CU9,"R")</f>
        <v/>
      </c>
    </row>
    <row r="10">
      <c r="A10" s="152" t="n"/>
      <c r="B10" s="146" t="inlineStr">
        <is>
          <t>C02-02</t>
        </is>
      </c>
      <c r="C10" s="153">
        <f>IFERROR(INDEX(ケイパビリティマップ!$E:$E,MATCH(B10,ケイパビリティマップ!$A:$A,0)),"（IDなし）")</f>
        <v/>
      </c>
      <c r="D10" s="154" t="n"/>
      <c r="E10" s="154" t="inlineStr">
        <is>
          <t>C</t>
        </is>
      </c>
      <c r="F10" s="154" t="n"/>
      <c r="G10" s="154" t="n"/>
      <c r="H10" s="154" t="n"/>
      <c r="I10" s="154" t="n"/>
      <c r="J10" s="154" t="n"/>
      <c r="K10" s="154" t="n"/>
      <c r="L10" s="154" t="inlineStr">
        <is>
          <t>R</t>
        </is>
      </c>
      <c r="M10" s="154" t="inlineStr">
        <is>
          <t>C</t>
        </is>
      </c>
      <c r="N10" s="154" t="inlineStr">
        <is>
          <t>C</t>
        </is>
      </c>
      <c r="O10" s="154" t="inlineStr">
        <is>
          <t>C</t>
        </is>
      </c>
      <c r="P10" s="154" t="inlineStr">
        <is>
          <t>C</t>
        </is>
      </c>
      <c r="Q10" s="154" t="n"/>
      <c r="R10" s="154" t="n"/>
      <c r="S10" s="154" t="n"/>
      <c r="T10" s="154" t="n"/>
      <c r="U10" s="154" t="n"/>
      <c r="V10" s="154" t="n"/>
      <c r="W10" s="154" t="n"/>
      <c r="X10" s="154" t="n"/>
      <c r="Y10" s="154" t="n"/>
      <c r="Z10" s="154" t="n"/>
      <c r="AA10" s="154" t="n"/>
      <c r="AB10" s="154" t="n"/>
      <c r="AC10" s="154" t="n"/>
      <c r="AD10" s="154" t="n"/>
      <c r="AE10" s="154" t="n"/>
      <c r="AF10" s="154" t="n"/>
      <c r="AG10" s="154" t="n"/>
      <c r="AH10" s="154" t="n"/>
      <c r="AI10" s="154" t="n"/>
      <c r="AJ10" s="154" t="n"/>
      <c r="AK10" s="154" t="n"/>
      <c r="AL10" s="154" t="n"/>
      <c r="AM10" s="154" t="n"/>
      <c r="AN10" s="154" t="n"/>
      <c r="AO10" s="154" t="n"/>
      <c r="AP10" s="154" t="n"/>
      <c r="AQ10" s="154" t="n"/>
      <c r="AR10" s="154" t="n"/>
      <c r="AS10" s="154" t="n"/>
      <c r="AT10" s="154" t="n"/>
      <c r="AU10" s="154" t="n"/>
      <c r="AV10" s="154" t="n"/>
      <c r="AW10" s="154" t="n"/>
      <c r="AX10" s="154" t="n"/>
      <c r="AY10" s="154" t="n"/>
      <c r="AZ10" s="154" t="n"/>
      <c r="BA10" s="154" t="n"/>
      <c r="BB10" s="154" t="n"/>
      <c r="BC10" s="154" t="n"/>
      <c r="BD10" s="154" t="n"/>
      <c r="BE10" s="154" t="n"/>
      <c r="BF10" s="154" t="n"/>
      <c r="BG10" s="154" t="n"/>
      <c r="BH10" s="154" t="n"/>
      <c r="BI10" s="154" t="n"/>
      <c r="BJ10" s="154" t="n"/>
      <c r="BK10" s="154" t="n"/>
      <c r="BL10" s="154" t="n"/>
      <c r="BM10" s="154" t="n"/>
      <c r="BN10" s="154" t="n"/>
      <c r="BO10" s="154" t="n"/>
      <c r="BP10" s="154" t="n"/>
      <c r="BQ10" s="154" t="n"/>
      <c r="BR10" s="154" t="n"/>
      <c r="BS10" s="154" t="n"/>
      <c r="BT10" s="154" t="n"/>
      <c r="BU10" s="154" t="n"/>
      <c r="BV10" s="154" t="n"/>
      <c r="BW10" s="154" t="n"/>
      <c r="BX10" s="154" t="n"/>
      <c r="BY10" s="154" t="n"/>
      <c r="BZ10" s="154" t="n"/>
      <c r="CA10" s="154" t="n"/>
      <c r="CB10" s="154" t="n"/>
      <c r="CC10" s="154" t="n"/>
      <c r="CD10" s="154" t="n"/>
      <c r="CE10" s="154" t="n"/>
      <c r="CF10" s="154" t="n"/>
      <c r="CG10" s="154" t="n"/>
      <c r="CH10" s="154" t="n"/>
      <c r="CI10" s="154" t="n"/>
      <c r="CJ10" s="154" t="n"/>
      <c r="CK10" s="154" t="n"/>
      <c r="CL10" s="154" t="n"/>
      <c r="CM10" s="154" t="n"/>
      <c r="CN10" s="154" t="n"/>
      <c r="CO10" s="154" t="n"/>
      <c r="CP10" s="154" t="n"/>
      <c r="CQ10" s="154" t="n"/>
      <c r="CR10" s="154" t="n"/>
      <c r="CS10" s="154" t="n"/>
      <c r="CT10" s="154" t="n"/>
      <c r="CU10" s="154" t="n"/>
      <c r="CV10" s="149">
        <f>COUNTIF(D10:CU10,"C")</f>
        <v/>
      </c>
      <c r="CW10" s="149">
        <f>COUNTIF(D10:CU10,"R")</f>
        <v/>
      </c>
    </row>
    <row r="11">
      <c r="A11" s="152" t="n"/>
      <c r="B11" s="146" t="inlineStr">
        <is>
          <t>C02-03</t>
        </is>
      </c>
      <c r="C11" s="153">
        <f>IFERROR(INDEX(ケイパビリティマップ!$E:$E,MATCH(B11,ケイパビリティマップ!$A:$A,0)),"（IDなし）")</f>
        <v/>
      </c>
      <c r="D11" s="154" t="n"/>
      <c r="E11" s="154" t="n"/>
      <c r="F11" s="154" t="n"/>
      <c r="G11" s="154" t="n"/>
      <c r="H11" s="154" t="n"/>
      <c r="I11" s="154" t="n"/>
      <c r="J11" s="154" t="n"/>
      <c r="K11" s="154" t="n"/>
      <c r="L11" s="154" t="n"/>
      <c r="M11" s="154" t="n"/>
      <c r="N11" s="154" t="n"/>
      <c r="O11" s="154" t="inlineStr">
        <is>
          <t>C</t>
        </is>
      </c>
      <c r="P11" s="154" t="n"/>
      <c r="Q11" s="154" t="n"/>
      <c r="R11" s="154" t="n"/>
      <c r="S11" s="154" t="n"/>
      <c r="T11" s="154" t="n"/>
      <c r="U11" s="154" t="n"/>
      <c r="V11" s="154" t="n"/>
      <c r="W11" s="154" t="n"/>
      <c r="X11" s="154" t="n"/>
      <c r="Y11" s="154" t="n"/>
      <c r="Z11" s="154" t="n"/>
      <c r="AA11" s="154" t="n"/>
      <c r="AB11" s="154" t="n"/>
      <c r="AC11" s="154" t="n"/>
      <c r="AD11" s="154" t="n"/>
      <c r="AE11" s="154" t="n"/>
      <c r="AF11" s="154" t="n"/>
      <c r="AG11" s="154" t="n"/>
      <c r="AH11" s="154" t="n"/>
      <c r="AI11" s="154" t="n"/>
      <c r="AJ11" s="154" t="n"/>
      <c r="AK11" s="154" t="n"/>
      <c r="AL11" s="154" t="n"/>
      <c r="AM11" s="154" t="n"/>
      <c r="AN11" s="154" t="n"/>
      <c r="AO11" s="154" t="n"/>
      <c r="AP11" s="154" t="n"/>
      <c r="AQ11" s="154" t="n"/>
      <c r="AR11" s="154" t="n"/>
      <c r="AS11" s="154" t="n"/>
      <c r="AT11" s="154" t="n"/>
      <c r="AU11" s="154" t="n"/>
      <c r="AV11" s="154" t="n"/>
      <c r="AW11" s="154" t="n"/>
      <c r="AX11" s="154" t="n"/>
      <c r="AY11" s="154" t="n"/>
      <c r="AZ11" s="154" t="n"/>
      <c r="BA11" s="154" t="n"/>
      <c r="BB11" s="154" t="n"/>
      <c r="BC11" s="154" t="n"/>
      <c r="BD11" s="154" t="n"/>
      <c r="BE11" s="154" t="n"/>
      <c r="BF11" s="154" t="n"/>
      <c r="BG11" s="154" t="n"/>
      <c r="BH11" s="154" t="n"/>
      <c r="BI11" s="154" t="n"/>
      <c r="BJ11" s="154" t="n"/>
      <c r="BK11" s="154" t="n"/>
      <c r="BL11" s="154" t="n"/>
      <c r="BM11" s="154" t="n"/>
      <c r="BN11" s="154" t="n"/>
      <c r="BO11" s="154" t="n"/>
      <c r="BP11" s="154" t="n"/>
      <c r="BQ11" s="154" t="n"/>
      <c r="BR11" s="154" t="n"/>
      <c r="BS11" s="154" t="n"/>
      <c r="BT11" s="154" t="n"/>
      <c r="BU11" s="154" t="n"/>
      <c r="BV11" s="154" t="n"/>
      <c r="BW11" s="154" t="n"/>
      <c r="BX11" s="154" t="n"/>
      <c r="BY11" s="154" t="n"/>
      <c r="BZ11" s="154" t="n"/>
      <c r="CA11" s="154" t="n"/>
      <c r="CB11" s="154" t="n"/>
      <c r="CC11" s="154" t="n"/>
      <c r="CD11" s="154" t="n"/>
      <c r="CE11" s="154" t="n"/>
      <c r="CF11" s="154" t="n"/>
      <c r="CG11" s="154" t="n"/>
      <c r="CH11" s="154" t="n"/>
      <c r="CI11" s="154" t="n"/>
      <c r="CJ11" s="154" t="n"/>
      <c r="CK11" s="154" t="n"/>
      <c r="CL11" s="154" t="n"/>
      <c r="CM11" s="154" t="n"/>
      <c r="CN11" s="154" t="n"/>
      <c r="CO11" s="154" t="n"/>
      <c r="CP11" s="154" t="n"/>
      <c r="CQ11" s="154" t="n"/>
      <c r="CR11" s="154" t="n"/>
      <c r="CS11" s="154" t="n"/>
      <c r="CT11" s="154" t="n"/>
      <c r="CU11" s="154" t="n"/>
      <c r="CV11" s="149">
        <f>COUNTIF(D11:CU11,"C")</f>
        <v/>
      </c>
      <c r="CW11" s="149">
        <f>COUNTIF(D11:CU11,"R")</f>
        <v/>
      </c>
    </row>
    <row r="12">
      <c r="A12" s="152" t="n"/>
      <c r="B12" s="146" t="inlineStr">
        <is>
          <t>C02-04</t>
        </is>
      </c>
      <c r="C12" s="153">
        <f>IFERROR(INDEX(ケイパビリティマップ!$E:$E,MATCH(B12,ケイパビリティマップ!$A:$A,0)),"（IDなし）")</f>
        <v/>
      </c>
      <c r="D12" s="154" t="n"/>
      <c r="E12" s="154" t="n"/>
      <c r="F12" s="154" t="n"/>
      <c r="G12" s="154" t="n"/>
      <c r="H12" s="154" t="n"/>
      <c r="I12" s="154" t="n"/>
      <c r="J12" s="154" t="n"/>
      <c r="K12" s="154" t="inlineStr">
        <is>
          <t>R</t>
        </is>
      </c>
      <c r="L12" s="154" t="n"/>
      <c r="M12" s="154" t="n"/>
      <c r="N12" s="154" t="n"/>
      <c r="O12" s="154" t="inlineStr">
        <is>
          <t>R</t>
        </is>
      </c>
      <c r="P12" s="154" t="n"/>
      <c r="Q12" s="154" t="inlineStr">
        <is>
          <t>C</t>
        </is>
      </c>
      <c r="R12" s="154" t="inlineStr">
        <is>
          <t>C</t>
        </is>
      </c>
      <c r="S12" s="154" t="n"/>
      <c r="T12" s="154" t="n"/>
      <c r="U12" s="154" t="n"/>
      <c r="V12" s="154" t="n"/>
      <c r="W12" s="154" t="n"/>
      <c r="X12" s="154" t="n"/>
      <c r="Y12" s="154" t="n"/>
      <c r="Z12" s="154" t="n"/>
      <c r="AA12" s="154" t="n"/>
      <c r="AB12" s="154" t="n"/>
      <c r="AC12" s="154" t="n"/>
      <c r="AD12" s="154" t="n"/>
      <c r="AE12" s="154" t="n"/>
      <c r="AF12" s="154" t="n"/>
      <c r="AG12" s="154" t="n"/>
      <c r="AH12" s="154" t="n"/>
      <c r="AI12" s="154" t="n"/>
      <c r="AJ12" s="154" t="n"/>
      <c r="AK12" s="154" t="n"/>
      <c r="AL12" s="154" t="n"/>
      <c r="AM12" s="154" t="n"/>
      <c r="AN12" s="154" t="n"/>
      <c r="AO12" s="154" t="n"/>
      <c r="AP12" s="154" t="n"/>
      <c r="AQ12" s="154" t="n"/>
      <c r="AR12" s="154" t="n"/>
      <c r="AS12" s="154" t="n"/>
      <c r="AT12" s="154" t="n"/>
      <c r="AU12" s="154" t="n"/>
      <c r="AV12" s="154" t="n"/>
      <c r="AW12" s="154" t="n"/>
      <c r="AX12" s="154" t="n"/>
      <c r="AY12" s="154" t="n"/>
      <c r="AZ12" s="154" t="n"/>
      <c r="BA12" s="154" t="n"/>
      <c r="BB12" s="154" t="n"/>
      <c r="BC12" s="154" t="n"/>
      <c r="BD12" s="154" t="n"/>
      <c r="BE12" s="154" t="n"/>
      <c r="BF12" s="154" t="n"/>
      <c r="BG12" s="154" t="n"/>
      <c r="BH12" s="154" t="n"/>
      <c r="BI12" s="154" t="n"/>
      <c r="BJ12" s="154" t="n"/>
      <c r="BK12" s="154" t="n"/>
      <c r="BL12" s="154" t="n"/>
      <c r="BM12" s="154" t="n"/>
      <c r="BN12" s="154" t="n"/>
      <c r="BO12" s="154" t="n"/>
      <c r="BP12" s="154" t="n"/>
      <c r="BQ12" s="154" t="n"/>
      <c r="BR12" s="154" t="n"/>
      <c r="BS12" s="154" t="n"/>
      <c r="BT12" s="154" t="n"/>
      <c r="BU12" s="154" t="n"/>
      <c r="BV12" s="154" t="n"/>
      <c r="BW12" s="154" t="n"/>
      <c r="BX12" s="154" t="n"/>
      <c r="BY12" s="154" t="n"/>
      <c r="BZ12" s="154" t="n"/>
      <c r="CA12" s="154" t="n"/>
      <c r="CB12" s="154" t="n"/>
      <c r="CC12" s="154" t="n"/>
      <c r="CD12" s="154" t="n"/>
      <c r="CE12" s="154" t="n"/>
      <c r="CF12" s="154" t="n"/>
      <c r="CG12" s="154" t="n"/>
      <c r="CH12" s="154" t="n"/>
      <c r="CI12" s="154" t="n"/>
      <c r="CJ12" s="154" t="n"/>
      <c r="CK12" s="154" t="n"/>
      <c r="CL12" s="154" t="n"/>
      <c r="CM12" s="154" t="n"/>
      <c r="CN12" s="154" t="n"/>
      <c r="CO12" s="154" t="n"/>
      <c r="CP12" s="154" t="n"/>
      <c r="CQ12" s="154" t="n"/>
      <c r="CR12" s="154" t="n"/>
      <c r="CS12" s="154" t="n"/>
      <c r="CT12" s="154" t="n"/>
      <c r="CU12" s="154" t="n"/>
      <c r="CV12" s="149">
        <f>COUNTIF(D12:CU12,"C")</f>
        <v/>
      </c>
      <c r="CW12" s="149">
        <f>COUNTIF(D12:CU12,"R")</f>
        <v/>
      </c>
    </row>
    <row r="13">
      <c r="A13" s="152" t="n"/>
      <c r="B13" s="146" t="inlineStr">
        <is>
          <t>C02-05</t>
        </is>
      </c>
      <c r="C13" s="153">
        <f>IFERROR(INDEX(ケイパビリティマップ!$E:$E,MATCH(B13,ケイパビリティマップ!$A:$A,0)),"（IDなし）")</f>
        <v/>
      </c>
      <c r="D13" s="154" t="n"/>
      <c r="E13" s="154" t="n"/>
      <c r="F13" s="154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inlineStr">
        <is>
          <t>R</t>
        </is>
      </c>
      <c r="P13" s="154" t="inlineStr">
        <is>
          <t>C</t>
        </is>
      </c>
      <c r="Q13" s="154" t="n"/>
      <c r="R13" s="154" t="n"/>
      <c r="S13" s="154" t="inlineStr">
        <is>
          <t>C</t>
        </is>
      </c>
      <c r="T13" s="154" t="n"/>
      <c r="U13" s="154" t="n"/>
      <c r="V13" s="154" t="n"/>
      <c r="W13" s="154" t="n"/>
      <c r="X13" s="154" t="n"/>
      <c r="Y13" s="154" t="n"/>
      <c r="Z13" s="154" t="n"/>
      <c r="AA13" s="154" t="n"/>
      <c r="AB13" s="154" t="n"/>
      <c r="AC13" s="154" t="n"/>
      <c r="AD13" s="154" t="n"/>
      <c r="AE13" s="154" t="n"/>
      <c r="AF13" s="154" t="n"/>
      <c r="AG13" s="154" t="n"/>
      <c r="AH13" s="154" t="n"/>
      <c r="AI13" s="154" t="n"/>
      <c r="AJ13" s="154" t="n"/>
      <c r="AK13" s="154" t="n"/>
      <c r="AL13" s="154" t="n"/>
      <c r="AM13" s="154" t="n"/>
      <c r="AN13" s="154" t="n"/>
      <c r="AO13" s="154" t="n"/>
      <c r="AP13" s="154" t="n"/>
      <c r="AQ13" s="154" t="n"/>
      <c r="AR13" s="154" t="n"/>
      <c r="AS13" s="154" t="n"/>
      <c r="AT13" s="154" t="n"/>
      <c r="AU13" s="154" t="n"/>
      <c r="AV13" s="154" t="n"/>
      <c r="AW13" s="154" t="n"/>
      <c r="AX13" s="154" t="n"/>
      <c r="AY13" s="154" t="n"/>
      <c r="AZ13" s="154" t="n"/>
      <c r="BA13" s="154" t="n"/>
      <c r="BB13" s="154" t="n"/>
      <c r="BC13" s="154" t="n"/>
      <c r="BD13" s="154" t="n"/>
      <c r="BE13" s="154" t="n"/>
      <c r="BF13" s="154" t="n"/>
      <c r="BG13" s="154" t="n"/>
      <c r="BH13" s="154" t="n"/>
      <c r="BI13" s="154" t="n"/>
      <c r="BJ13" s="154" t="n"/>
      <c r="BK13" s="154" t="n"/>
      <c r="BL13" s="154" t="n"/>
      <c r="BM13" s="154" t="n"/>
      <c r="BN13" s="154" t="n"/>
      <c r="BO13" s="154" t="n"/>
      <c r="BP13" s="154" t="n"/>
      <c r="BQ13" s="154" t="n"/>
      <c r="BR13" s="154" t="n"/>
      <c r="BS13" s="154" t="n"/>
      <c r="BT13" s="154" t="n"/>
      <c r="BU13" s="154" t="n"/>
      <c r="BV13" s="154" t="n"/>
      <c r="BW13" s="154" t="n"/>
      <c r="BX13" s="154" t="n"/>
      <c r="BY13" s="154" t="n"/>
      <c r="BZ13" s="154" t="n"/>
      <c r="CA13" s="154" t="n"/>
      <c r="CB13" s="154" t="n"/>
      <c r="CC13" s="154" t="n"/>
      <c r="CD13" s="154" t="n"/>
      <c r="CE13" s="154" t="n"/>
      <c r="CF13" s="154" t="n"/>
      <c r="CG13" s="154" t="n"/>
      <c r="CH13" s="154" t="n"/>
      <c r="CI13" s="154" t="n"/>
      <c r="CJ13" s="154" t="n"/>
      <c r="CK13" s="154" t="n"/>
      <c r="CL13" s="154" t="n"/>
      <c r="CM13" s="154" t="n"/>
      <c r="CN13" s="154" t="n"/>
      <c r="CO13" s="154" t="n"/>
      <c r="CP13" s="154" t="n"/>
      <c r="CQ13" s="154" t="n"/>
      <c r="CR13" s="154" t="n"/>
      <c r="CS13" s="154" t="n"/>
      <c r="CT13" s="154" t="n"/>
      <c r="CU13" s="154" t="n"/>
      <c r="CV13" s="149">
        <f>COUNTIF(D13:CU13,"C")</f>
        <v/>
      </c>
      <c r="CW13" s="149">
        <f>COUNTIF(D13:CU13,"R")</f>
        <v/>
      </c>
    </row>
    <row r="14">
      <c r="A14" s="152" t="inlineStr">
        <is>
          <t>C03 非臨床・臨床薬理</t>
        </is>
      </c>
      <c r="B14" s="146" t="inlineStr">
        <is>
          <t>C03-01</t>
        </is>
      </c>
      <c r="C14" s="153">
        <f>IFERROR(INDEX(ケイパビリティマップ!$E:$E,MATCH(B14,ケイパビリティマップ!$A:$A,0)),"（IDなし）")</f>
        <v/>
      </c>
      <c r="D14" s="154" t="n"/>
      <c r="E14" s="154" t="n"/>
      <c r="F14" s="154" t="n"/>
      <c r="G14" s="154" t="n"/>
      <c r="H14" s="154" t="n"/>
      <c r="I14" s="154" t="n"/>
      <c r="J14" s="154" t="n"/>
      <c r="K14" s="154" t="n"/>
      <c r="L14" s="154" t="n"/>
      <c r="M14" s="154" t="n"/>
      <c r="N14" s="154" t="n"/>
      <c r="O14" s="154" t="inlineStr">
        <is>
          <t>R</t>
        </is>
      </c>
      <c r="P14" s="154" t="inlineStr">
        <is>
          <t>R</t>
        </is>
      </c>
      <c r="Q14" s="154" t="inlineStr">
        <is>
          <t>R</t>
        </is>
      </c>
      <c r="R14" s="154" t="n"/>
      <c r="S14" s="154" t="n"/>
      <c r="T14" s="154" t="n"/>
      <c r="U14" s="154" t="n"/>
      <c r="V14" s="154" t="inlineStr">
        <is>
          <t>R</t>
        </is>
      </c>
      <c r="W14" s="154" t="inlineStr">
        <is>
          <t>C</t>
        </is>
      </c>
      <c r="X14" s="154" t="inlineStr">
        <is>
          <t>C</t>
        </is>
      </c>
      <c r="Y14" s="154" t="n"/>
      <c r="Z14" s="154" t="n"/>
      <c r="AA14" s="154" t="n"/>
      <c r="AB14" s="154" t="n"/>
      <c r="AC14" s="154" t="n"/>
      <c r="AD14" s="154" t="n"/>
      <c r="AE14" s="154" t="n"/>
      <c r="AF14" s="154" t="n"/>
      <c r="AG14" s="154" t="n"/>
      <c r="AH14" s="154" t="n"/>
      <c r="AI14" s="154" t="n"/>
      <c r="AJ14" s="154" t="n"/>
      <c r="AK14" s="154" t="n"/>
      <c r="AL14" s="154" t="n"/>
      <c r="AM14" s="154" t="n"/>
      <c r="AN14" s="154" t="n"/>
      <c r="AO14" s="154" t="n"/>
      <c r="AP14" s="154" t="n"/>
      <c r="AQ14" s="154" t="n"/>
      <c r="AR14" s="154" t="n"/>
      <c r="AS14" s="154" t="n"/>
      <c r="AT14" s="154" t="n"/>
      <c r="AU14" s="154" t="n"/>
      <c r="AV14" s="154" t="n"/>
      <c r="AW14" s="154" t="n"/>
      <c r="AX14" s="154" t="n"/>
      <c r="AY14" s="154" t="n"/>
      <c r="AZ14" s="154" t="n"/>
      <c r="BA14" s="154" t="n"/>
      <c r="BB14" s="154" t="n"/>
      <c r="BC14" s="154" t="n"/>
      <c r="BD14" s="154" t="n"/>
      <c r="BE14" s="154" t="n"/>
      <c r="BF14" s="154" t="n"/>
      <c r="BG14" s="154" t="n"/>
      <c r="BH14" s="154" t="n"/>
      <c r="BI14" s="154" t="n"/>
      <c r="BJ14" s="154" t="n"/>
      <c r="BK14" s="154" t="n"/>
      <c r="BL14" s="154" t="n"/>
      <c r="BM14" s="154" t="n"/>
      <c r="BN14" s="154" t="n"/>
      <c r="BO14" s="154" t="n"/>
      <c r="BP14" s="154" t="n"/>
      <c r="BQ14" s="154" t="n"/>
      <c r="BR14" s="154" t="n"/>
      <c r="BS14" s="154" t="n"/>
      <c r="BT14" s="154" t="n"/>
      <c r="BU14" s="154" t="n"/>
      <c r="BV14" s="154" t="n"/>
      <c r="BW14" s="154" t="n"/>
      <c r="BX14" s="154" t="n"/>
      <c r="BY14" s="154" t="n"/>
      <c r="BZ14" s="154" t="n"/>
      <c r="CA14" s="154" t="n"/>
      <c r="CB14" s="154" t="n"/>
      <c r="CC14" s="154" t="n"/>
      <c r="CD14" s="154" t="n"/>
      <c r="CE14" s="154" t="n"/>
      <c r="CF14" s="154" t="n"/>
      <c r="CG14" s="154" t="n"/>
      <c r="CH14" s="154" t="n"/>
      <c r="CI14" s="154" t="n"/>
      <c r="CJ14" s="154" t="n"/>
      <c r="CK14" s="154" t="n"/>
      <c r="CL14" s="154" t="n"/>
      <c r="CM14" s="154" t="n"/>
      <c r="CN14" s="154" t="n"/>
      <c r="CO14" s="154" t="n"/>
      <c r="CP14" s="154" t="n"/>
      <c r="CQ14" s="154" t="n"/>
      <c r="CR14" s="154" t="n"/>
      <c r="CS14" s="154" t="n"/>
      <c r="CT14" s="154" t="n"/>
      <c r="CU14" s="154" t="n"/>
      <c r="CV14" s="149">
        <f>COUNTIF(D14:CU14,"C")</f>
        <v/>
      </c>
      <c r="CW14" s="149">
        <f>COUNTIF(D14:CU14,"R")</f>
        <v/>
      </c>
    </row>
    <row r="15">
      <c r="A15" s="152" t="n"/>
      <c r="B15" s="146" t="inlineStr">
        <is>
          <t>C03-02</t>
        </is>
      </c>
      <c r="C15" s="153">
        <f>IFERROR(INDEX(ケイパビリティマップ!$E:$E,MATCH(B15,ケイパビリティマップ!$A:$A,0)),"（IDなし）")</f>
        <v/>
      </c>
      <c r="D15" s="154" t="n"/>
      <c r="E15" s="154" t="n"/>
      <c r="F15" s="154" t="n"/>
      <c r="G15" s="154" t="n"/>
      <c r="H15" s="154" t="n"/>
      <c r="I15" s="154" t="n"/>
      <c r="J15" s="154" t="n"/>
      <c r="K15" s="154" t="n"/>
      <c r="L15" s="154" t="n"/>
      <c r="M15" s="154" t="n"/>
      <c r="N15" s="154" t="n"/>
      <c r="O15" s="154" t="inlineStr">
        <is>
          <t>R</t>
        </is>
      </c>
      <c r="P15" s="154" t="inlineStr">
        <is>
          <t>R</t>
        </is>
      </c>
      <c r="Q15" s="154" t="n"/>
      <c r="R15" s="154" t="n"/>
      <c r="S15" s="154" t="n"/>
      <c r="T15" s="154" t="n"/>
      <c r="U15" s="154" t="n"/>
      <c r="V15" s="154" t="inlineStr">
        <is>
          <t>C</t>
        </is>
      </c>
      <c r="W15" s="154" t="inlineStr">
        <is>
          <t>C</t>
        </is>
      </c>
      <c r="X15" s="154" t="inlineStr">
        <is>
          <t>C</t>
        </is>
      </c>
      <c r="Y15" s="154" t="n"/>
      <c r="Z15" s="154" t="n"/>
      <c r="AA15" s="154" t="n"/>
      <c r="AB15" s="154" t="n"/>
      <c r="AC15" s="154" t="n"/>
      <c r="AD15" s="154" t="n"/>
      <c r="AE15" s="154" t="n"/>
      <c r="AF15" s="154" t="n"/>
      <c r="AG15" s="154" t="n"/>
      <c r="AH15" s="154" t="n"/>
      <c r="AI15" s="154" t="n"/>
      <c r="AJ15" s="154" t="n"/>
      <c r="AK15" s="154" t="n"/>
      <c r="AL15" s="154" t="n"/>
      <c r="AM15" s="154" t="n"/>
      <c r="AN15" s="154" t="n"/>
      <c r="AO15" s="154" t="n"/>
      <c r="AP15" s="154" t="inlineStr">
        <is>
          <t>R</t>
        </is>
      </c>
      <c r="AQ15" s="154" t="n"/>
      <c r="AR15" s="154" t="n"/>
      <c r="AS15" s="154" t="n"/>
      <c r="AT15" s="154" t="n"/>
      <c r="AU15" s="154" t="n"/>
      <c r="AV15" s="154" t="n"/>
      <c r="AW15" s="154" t="n"/>
      <c r="AX15" s="154" t="n"/>
      <c r="AY15" s="154" t="n"/>
      <c r="AZ15" s="154" t="n"/>
      <c r="BA15" s="154" t="n"/>
      <c r="BB15" s="154" t="n"/>
      <c r="BC15" s="154" t="n"/>
      <c r="BD15" s="154" t="n"/>
      <c r="BE15" s="154" t="n"/>
      <c r="BF15" s="154" t="n"/>
      <c r="BG15" s="154" t="n"/>
      <c r="BH15" s="154" t="n"/>
      <c r="BI15" s="154" t="n"/>
      <c r="BJ15" s="154" t="n"/>
      <c r="BK15" s="154" t="n"/>
      <c r="BL15" s="154" t="n"/>
      <c r="BM15" s="154" t="n"/>
      <c r="BN15" s="154" t="n"/>
      <c r="BO15" s="154" t="n"/>
      <c r="BP15" s="154" t="n"/>
      <c r="BQ15" s="154" t="n"/>
      <c r="BR15" s="154" t="n"/>
      <c r="BS15" s="154" t="n"/>
      <c r="BT15" s="154" t="n"/>
      <c r="BU15" s="154" t="n"/>
      <c r="BV15" s="154" t="n"/>
      <c r="BW15" s="154" t="n"/>
      <c r="BX15" s="154" t="n"/>
      <c r="BY15" s="154" t="n"/>
      <c r="BZ15" s="154" t="n"/>
      <c r="CA15" s="154" t="n"/>
      <c r="CB15" s="154" t="n"/>
      <c r="CC15" s="154" t="n"/>
      <c r="CD15" s="154" t="n"/>
      <c r="CE15" s="154" t="n"/>
      <c r="CF15" s="154" t="n"/>
      <c r="CG15" s="154" t="n"/>
      <c r="CH15" s="154" t="n"/>
      <c r="CI15" s="154" t="n"/>
      <c r="CJ15" s="154" t="n"/>
      <c r="CK15" s="154" t="n"/>
      <c r="CL15" s="154" t="n"/>
      <c r="CM15" s="154" t="n"/>
      <c r="CN15" s="154" t="n"/>
      <c r="CO15" s="154" t="n"/>
      <c r="CP15" s="154" t="n"/>
      <c r="CQ15" s="154" t="n"/>
      <c r="CR15" s="154" t="n"/>
      <c r="CS15" s="154" t="n"/>
      <c r="CT15" s="154" t="n"/>
      <c r="CU15" s="154" t="n"/>
      <c r="CV15" s="149">
        <f>COUNTIF(D15:CU15,"C")</f>
        <v/>
      </c>
      <c r="CW15" s="149">
        <f>COUNTIF(D15:CU15,"R")</f>
        <v/>
      </c>
    </row>
    <row r="16">
      <c r="A16" s="152" t="n"/>
      <c r="B16" s="146" t="inlineStr">
        <is>
          <t>C03-03</t>
        </is>
      </c>
      <c r="C16" s="153">
        <f>IFERROR(INDEX(ケイパビリティマップ!$E:$E,MATCH(B16,ケイパビリティマップ!$A:$A,0)),"（IDなし）")</f>
        <v/>
      </c>
      <c r="D16" s="154" t="n"/>
      <c r="E16" s="154" t="n"/>
      <c r="F16" s="154" t="n"/>
      <c r="G16" s="154" t="n"/>
      <c r="H16" s="154" t="n"/>
      <c r="I16" s="154" t="n"/>
      <c r="J16" s="154" t="n"/>
      <c r="K16" s="154" t="n"/>
      <c r="L16" s="154" t="n"/>
      <c r="M16" s="154" t="n"/>
      <c r="N16" s="154" t="n"/>
      <c r="O16" s="154" t="inlineStr">
        <is>
          <t>R</t>
        </is>
      </c>
      <c r="P16" s="154" t="n"/>
      <c r="Q16" s="154" t="n"/>
      <c r="R16" s="154" t="n"/>
      <c r="S16" s="154" t="n"/>
      <c r="T16" s="154" t="n"/>
      <c r="U16" s="154" t="n"/>
      <c r="V16" s="154" t="inlineStr">
        <is>
          <t>R</t>
        </is>
      </c>
      <c r="W16" s="154" t="inlineStr">
        <is>
          <t>C</t>
        </is>
      </c>
      <c r="X16" s="154" t="n"/>
      <c r="Y16" s="154" t="inlineStr">
        <is>
          <t>C</t>
        </is>
      </c>
      <c r="Z16" s="154" t="n"/>
      <c r="AA16" s="154" t="n"/>
      <c r="AB16" s="154" t="n"/>
      <c r="AC16" s="154" t="n"/>
      <c r="AD16" s="154" t="n"/>
      <c r="AE16" s="154" t="n"/>
      <c r="AF16" s="154" t="n"/>
      <c r="AG16" s="154" t="n"/>
      <c r="AH16" s="154" t="n"/>
      <c r="AI16" s="154" t="n"/>
      <c r="AJ16" s="154" t="n"/>
      <c r="AK16" s="154" t="n"/>
      <c r="AL16" s="154" t="n"/>
      <c r="AM16" s="154" t="n"/>
      <c r="AN16" s="154" t="n"/>
      <c r="AO16" s="154" t="n"/>
      <c r="AP16" s="154" t="n"/>
      <c r="AQ16" s="154" t="n"/>
      <c r="AR16" s="154" t="n"/>
      <c r="AS16" s="154" t="n"/>
      <c r="AT16" s="154" t="n"/>
      <c r="AU16" s="154" t="n"/>
      <c r="AV16" s="154" t="n"/>
      <c r="AW16" s="154" t="n"/>
      <c r="AX16" s="154" t="n"/>
      <c r="AY16" s="154" t="n"/>
      <c r="AZ16" s="154" t="n"/>
      <c r="BA16" s="154" t="n"/>
      <c r="BB16" s="154" t="n"/>
      <c r="BC16" s="154" t="n"/>
      <c r="BD16" s="154" t="n"/>
      <c r="BE16" s="154" t="n"/>
      <c r="BF16" s="154" t="n"/>
      <c r="BG16" s="154" t="n"/>
      <c r="BH16" s="154" t="inlineStr">
        <is>
          <t>R</t>
        </is>
      </c>
      <c r="BI16" s="154" t="inlineStr">
        <is>
          <t>C</t>
        </is>
      </c>
      <c r="BJ16" s="154" t="n"/>
      <c r="BK16" s="154" t="n"/>
      <c r="BL16" s="154" t="n"/>
      <c r="BM16" s="154" t="n"/>
      <c r="BN16" s="154" t="n"/>
      <c r="BO16" s="154" t="n"/>
      <c r="BP16" s="154" t="n"/>
      <c r="BQ16" s="154" t="n"/>
      <c r="BR16" s="154" t="n"/>
      <c r="BS16" s="154" t="n"/>
      <c r="BT16" s="154" t="n"/>
      <c r="BU16" s="154" t="n"/>
      <c r="BV16" s="154" t="n"/>
      <c r="BW16" s="154" t="n"/>
      <c r="BX16" s="154" t="n"/>
      <c r="BY16" s="154" t="n"/>
      <c r="BZ16" s="154" t="n"/>
      <c r="CA16" s="154" t="n"/>
      <c r="CB16" s="154" t="n"/>
      <c r="CC16" s="154" t="n"/>
      <c r="CD16" s="154" t="n"/>
      <c r="CE16" s="154" t="n"/>
      <c r="CF16" s="154" t="n"/>
      <c r="CG16" s="154" t="n"/>
      <c r="CH16" s="154" t="n"/>
      <c r="CI16" s="154" t="n"/>
      <c r="CJ16" s="154" t="n"/>
      <c r="CK16" s="154" t="n"/>
      <c r="CL16" s="154" t="n"/>
      <c r="CM16" s="154" t="n"/>
      <c r="CN16" s="154" t="n"/>
      <c r="CO16" s="154" t="n"/>
      <c r="CP16" s="154" t="n"/>
      <c r="CQ16" s="154" t="n"/>
      <c r="CR16" s="154" t="n"/>
      <c r="CS16" s="154" t="n"/>
      <c r="CT16" s="154" t="n"/>
      <c r="CU16" s="154" t="n"/>
      <c r="CV16" s="149">
        <f>COUNTIF(D16:CU16,"C")</f>
        <v/>
      </c>
      <c r="CW16" s="149">
        <f>COUNTIF(D16:CU16,"R")</f>
        <v/>
      </c>
    </row>
    <row r="17">
      <c r="A17" s="152" t="n"/>
      <c r="B17" s="146" t="inlineStr">
        <is>
          <t>C03-04</t>
        </is>
      </c>
      <c r="C17" s="153">
        <f>IFERROR(INDEX(ケイパビリティマップ!$E:$E,MATCH(B17,ケイパビリティマップ!$A:$A,0)),"（IDなし）")</f>
        <v/>
      </c>
      <c r="D17" s="154" t="n"/>
      <c r="E17" s="154" t="n"/>
      <c r="F17" s="154" t="n"/>
      <c r="G17" s="154" t="n"/>
      <c r="H17" s="154" t="n"/>
      <c r="I17" s="154" t="n"/>
      <c r="J17" s="154" t="n"/>
      <c r="K17" s="154" t="n"/>
      <c r="L17" s="154" t="n"/>
      <c r="M17" s="154" t="n"/>
      <c r="N17" s="154" t="n"/>
      <c r="O17" s="154" t="n"/>
      <c r="P17" s="154" t="n"/>
      <c r="Q17" s="154" t="n"/>
      <c r="R17" s="154" t="n"/>
      <c r="S17" s="154" t="n"/>
      <c r="T17" s="154" t="n"/>
      <c r="U17" s="154" t="n"/>
      <c r="V17" s="154" t="n"/>
      <c r="W17" s="154" t="inlineStr">
        <is>
          <t>R</t>
        </is>
      </c>
      <c r="X17" s="154" t="inlineStr">
        <is>
          <t>R</t>
        </is>
      </c>
      <c r="Y17" s="154" t="n"/>
      <c r="Z17" s="154" t="n"/>
      <c r="AA17" s="154" t="n"/>
      <c r="AB17" s="154" t="n"/>
      <c r="AC17" s="154" t="n"/>
      <c r="AD17" s="154" t="n"/>
      <c r="AE17" s="154" t="n"/>
      <c r="AF17" s="154" t="n"/>
      <c r="AG17" s="154" t="n"/>
      <c r="AH17" s="154" t="n"/>
      <c r="AI17" s="154" t="n"/>
      <c r="AJ17" s="154" t="n"/>
      <c r="AK17" s="154" t="n"/>
      <c r="AL17" s="154" t="n"/>
      <c r="AM17" s="154" t="n"/>
      <c r="AN17" s="154" t="n"/>
      <c r="AO17" s="154" t="n"/>
      <c r="AP17" s="154" t="n"/>
      <c r="AQ17" s="154" t="n"/>
      <c r="AR17" s="154" t="n"/>
      <c r="AS17" s="154" t="n"/>
      <c r="AT17" s="154" t="n"/>
      <c r="AU17" s="154" t="n"/>
      <c r="AV17" s="154" t="n"/>
      <c r="AW17" s="154" t="n"/>
      <c r="AX17" s="154" t="n"/>
      <c r="AY17" s="154" t="n"/>
      <c r="AZ17" s="154" t="n"/>
      <c r="BA17" s="154" t="n"/>
      <c r="BB17" s="154" t="n"/>
      <c r="BC17" s="154" t="n"/>
      <c r="BD17" s="154" t="n"/>
      <c r="BE17" s="154" t="n"/>
      <c r="BF17" s="154" t="n"/>
      <c r="BG17" s="154" t="n"/>
      <c r="BH17" s="154" t="n"/>
      <c r="BI17" s="154" t="inlineStr">
        <is>
          <t>R</t>
        </is>
      </c>
      <c r="BJ17" s="154" t="inlineStr">
        <is>
          <t>R</t>
        </is>
      </c>
      <c r="BK17" s="154" t="n"/>
      <c r="BL17" s="154" t="n"/>
      <c r="BM17" s="154" t="inlineStr">
        <is>
          <t>C</t>
        </is>
      </c>
      <c r="BN17" s="154" t="n"/>
      <c r="BO17" s="154" t="n"/>
      <c r="BP17" s="154" t="inlineStr">
        <is>
          <t>C</t>
        </is>
      </c>
      <c r="BQ17" s="154" t="n"/>
      <c r="BR17" s="154" t="n"/>
      <c r="BS17" s="154" t="n"/>
      <c r="BT17" s="154" t="n"/>
      <c r="BU17" s="154" t="n"/>
      <c r="BV17" s="154" t="n"/>
      <c r="BW17" s="154" t="n"/>
      <c r="BX17" s="154" t="n"/>
      <c r="BY17" s="154" t="n"/>
      <c r="BZ17" s="154" t="n"/>
      <c r="CA17" s="154" t="n"/>
      <c r="CB17" s="154" t="n"/>
      <c r="CC17" s="154" t="n"/>
      <c r="CD17" s="154" t="n"/>
      <c r="CE17" s="154" t="n"/>
      <c r="CF17" s="154" t="n"/>
      <c r="CG17" s="154" t="n"/>
      <c r="CH17" s="154" t="n"/>
      <c r="CI17" s="154" t="n"/>
      <c r="CJ17" s="154" t="n"/>
      <c r="CK17" s="154" t="n"/>
      <c r="CL17" s="154" t="n"/>
      <c r="CM17" s="154" t="n"/>
      <c r="CN17" s="154" t="n"/>
      <c r="CO17" s="154" t="n"/>
      <c r="CP17" s="154" t="n"/>
      <c r="CQ17" s="154" t="n"/>
      <c r="CR17" s="154" t="n"/>
      <c r="CS17" s="154" t="n"/>
      <c r="CT17" s="154" t="n"/>
      <c r="CU17" s="154" t="n"/>
      <c r="CV17" s="149">
        <f>COUNTIF(D17:CU17,"C")</f>
        <v/>
      </c>
      <c r="CW17" s="149">
        <f>COUNTIF(D17:CU17,"R")</f>
        <v/>
      </c>
    </row>
    <row r="18">
      <c r="A18" s="152" t="inlineStr">
        <is>
          <t>C04 CMC開発</t>
        </is>
      </c>
      <c r="B18" s="146" t="inlineStr">
        <is>
          <t>C04-01</t>
        </is>
      </c>
      <c r="C18" s="153">
        <f>IFERROR(INDEX(ケイパビリティマップ!$E:$E,MATCH(B18,ケイパビリティマップ!$A:$A,0)),"（IDなし）")</f>
        <v/>
      </c>
      <c r="D18" s="154" t="n"/>
      <c r="E18" s="154" t="n"/>
      <c r="F18" s="154" t="n"/>
      <c r="G18" s="154" t="n"/>
      <c r="H18" s="154" t="n"/>
      <c r="I18" s="154" t="n"/>
      <c r="J18" s="154" t="n"/>
      <c r="K18" s="154" t="n"/>
      <c r="L18" s="154" t="n"/>
      <c r="M18" s="154" t="n"/>
      <c r="N18" s="154" t="n"/>
      <c r="O18" s="154" t="inlineStr">
        <is>
          <t>R</t>
        </is>
      </c>
      <c r="P18" s="154" t="n"/>
      <c r="Q18" s="154" t="n"/>
      <c r="R18" s="154" t="n"/>
      <c r="S18" s="154" t="n"/>
      <c r="T18" s="154" t="n"/>
      <c r="U18" s="154" t="n"/>
      <c r="V18" s="154" t="n"/>
      <c r="W18" s="154" t="n"/>
      <c r="X18" s="154" t="n"/>
      <c r="Y18" s="154" t="n"/>
      <c r="Z18" s="154" t="inlineStr">
        <is>
          <t>C</t>
        </is>
      </c>
      <c r="AA18" s="154" t="inlineStr">
        <is>
          <t>C</t>
        </is>
      </c>
      <c r="AB18" s="154" t="n"/>
      <c r="AC18" s="154" t="inlineStr">
        <is>
          <t>C</t>
        </is>
      </c>
      <c r="AD18" s="154" t="n"/>
      <c r="AE18" s="154" t="n"/>
      <c r="AF18" s="154" t="n"/>
      <c r="AG18" s="154" t="n"/>
      <c r="AH18" s="154" t="n"/>
      <c r="AI18" s="154" t="n"/>
      <c r="AJ18" s="154" t="n"/>
      <c r="AK18" s="154" t="inlineStr">
        <is>
          <t>C</t>
        </is>
      </c>
      <c r="AL18" s="154" t="n"/>
      <c r="AM18" s="154" t="n"/>
      <c r="AN18" s="154" t="n"/>
      <c r="AO18" s="154" t="inlineStr">
        <is>
          <t>C</t>
        </is>
      </c>
      <c r="AP18" s="154" t="n"/>
      <c r="AQ18" s="154" t="n"/>
      <c r="AR18" s="154" t="n"/>
      <c r="AS18" s="154" t="n"/>
      <c r="AT18" s="154" t="n"/>
      <c r="AU18" s="154" t="n"/>
      <c r="AV18" s="154" t="n"/>
      <c r="AW18" s="154" t="n"/>
      <c r="AX18" s="154" t="n"/>
      <c r="AY18" s="154" t="n"/>
      <c r="AZ18" s="154" t="n"/>
      <c r="BA18" s="154" t="n"/>
      <c r="BB18" s="154" t="n"/>
      <c r="BC18" s="154" t="n"/>
      <c r="BD18" s="154" t="n"/>
      <c r="BE18" s="154" t="n"/>
      <c r="BF18" s="154" t="n"/>
      <c r="BG18" s="154" t="n"/>
      <c r="BH18" s="154" t="n"/>
      <c r="BI18" s="154" t="n"/>
      <c r="BJ18" s="154" t="n"/>
      <c r="BK18" s="154" t="n"/>
      <c r="BL18" s="154" t="n"/>
      <c r="BM18" s="154" t="n"/>
      <c r="BN18" s="154" t="n"/>
      <c r="BO18" s="154" t="n"/>
      <c r="BP18" s="154" t="n"/>
      <c r="BQ18" s="154" t="n"/>
      <c r="BR18" s="154" t="n"/>
      <c r="BS18" s="154" t="n"/>
      <c r="BT18" s="154" t="n"/>
      <c r="BU18" s="154" t="n"/>
      <c r="BV18" s="154" t="n"/>
      <c r="BW18" s="154" t="n"/>
      <c r="BX18" s="154" t="n"/>
      <c r="BY18" s="154" t="n"/>
      <c r="BZ18" s="154" t="n"/>
      <c r="CA18" s="154" t="n"/>
      <c r="CB18" s="154" t="n"/>
      <c r="CC18" s="154" t="n"/>
      <c r="CD18" s="154" t="n"/>
      <c r="CE18" s="154" t="n"/>
      <c r="CF18" s="154" t="n"/>
      <c r="CG18" s="154" t="n"/>
      <c r="CH18" s="154" t="n"/>
      <c r="CI18" s="154" t="n"/>
      <c r="CJ18" s="154" t="n"/>
      <c r="CK18" s="154" t="n"/>
      <c r="CL18" s="154" t="n"/>
      <c r="CM18" s="154" t="n"/>
      <c r="CN18" s="154" t="n"/>
      <c r="CO18" s="154" t="n"/>
      <c r="CP18" s="154" t="n"/>
      <c r="CQ18" s="154" t="n"/>
      <c r="CR18" s="154" t="n"/>
      <c r="CS18" s="154" t="n"/>
      <c r="CT18" s="154" t="n"/>
      <c r="CU18" s="154" t="n"/>
      <c r="CV18" s="149">
        <f>COUNTIF(D18:CU18,"C")</f>
        <v/>
      </c>
      <c r="CW18" s="149">
        <f>COUNTIF(D18:CU18,"R")</f>
        <v/>
      </c>
    </row>
    <row r="19">
      <c r="A19" s="152" t="n"/>
      <c r="B19" s="146" t="inlineStr">
        <is>
          <t>C04-02</t>
        </is>
      </c>
      <c r="C19" s="153">
        <f>IFERROR(INDEX(ケイパビリティマップ!$E:$E,MATCH(B19,ケイパビリティマップ!$A:$A,0)),"（IDなし）")</f>
        <v/>
      </c>
      <c r="D19" s="154" t="n"/>
      <c r="E19" s="154" t="n"/>
      <c r="F19" s="154" t="n"/>
      <c r="G19" s="154" t="n"/>
      <c r="H19" s="154" t="n"/>
      <c r="I19" s="154" t="n"/>
      <c r="J19" s="154" t="n"/>
      <c r="K19" s="154" t="n"/>
      <c r="L19" s="154" t="n"/>
      <c r="M19" s="154" t="n"/>
      <c r="N19" s="154" t="n"/>
      <c r="O19" s="154" t="n"/>
      <c r="P19" s="154" t="n"/>
      <c r="Q19" s="154" t="n"/>
      <c r="R19" s="154" t="n"/>
      <c r="S19" s="154" t="n"/>
      <c r="T19" s="154" t="n"/>
      <c r="U19" s="154" t="n"/>
      <c r="V19" s="154" t="n"/>
      <c r="W19" s="154" t="n"/>
      <c r="X19" s="154" t="n"/>
      <c r="Y19" s="154" t="n"/>
      <c r="Z19" s="154" t="inlineStr">
        <is>
          <t>R</t>
        </is>
      </c>
      <c r="AA19" s="154" t="n"/>
      <c r="AB19" s="154" t="inlineStr">
        <is>
          <t>C</t>
        </is>
      </c>
      <c r="AC19" s="154" t="inlineStr">
        <is>
          <t>C</t>
        </is>
      </c>
      <c r="AD19" s="154" t="n"/>
      <c r="AE19" s="154" t="inlineStr">
        <is>
          <t>R</t>
        </is>
      </c>
      <c r="AF19" s="154" t="n"/>
      <c r="AG19" s="154" t="n"/>
      <c r="AH19" s="154" t="inlineStr">
        <is>
          <t>R</t>
        </is>
      </c>
      <c r="AI19" s="154" t="inlineStr">
        <is>
          <t>C</t>
        </is>
      </c>
      <c r="AJ19" s="154" t="n"/>
      <c r="AK19" s="154" t="inlineStr">
        <is>
          <t>C</t>
        </is>
      </c>
      <c r="AL19" s="154" t="n"/>
      <c r="AM19" s="154" t="n"/>
      <c r="AN19" s="154" t="n"/>
      <c r="AO19" s="154" t="n"/>
      <c r="AP19" s="154" t="n"/>
      <c r="AQ19" s="154" t="n"/>
      <c r="AR19" s="154" t="n"/>
      <c r="AS19" s="154" t="n"/>
      <c r="AT19" s="154" t="n"/>
      <c r="AU19" s="154" t="n"/>
      <c r="AV19" s="154" t="n"/>
      <c r="AW19" s="154" t="n"/>
      <c r="AX19" s="154" t="n"/>
      <c r="AY19" s="154" t="n"/>
      <c r="AZ19" s="154" t="n"/>
      <c r="BA19" s="154" t="n"/>
      <c r="BB19" s="154" t="n"/>
      <c r="BC19" s="154" t="n"/>
      <c r="BD19" s="154" t="n"/>
      <c r="BE19" s="154" t="n"/>
      <c r="BF19" s="154" t="n"/>
      <c r="BG19" s="154" t="n"/>
      <c r="BH19" s="154" t="n"/>
      <c r="BI19" s="154" t="n"/>
      <c r="BJ19" s="154" t="n"/>
      <c r="BK19" s="154" t="n"/>
      <c r="BL19" s="154" t="n"/>
      <c r="BM19" s="154" t="n"/>
      <c r="BN19" s="154" t="n"/>
      <c r="BO19" s="154" t="n"/>
      <c r="BP19" s="154" t="n"/>
      <c r="BQ19" s="154" t="n"/>
      <c r="BR19" s="154" t="n"/>
      <c r="BS19" s="154" t="n"/>
      <c r="BT19" s="154" t="n"/>
      <c r="BU19" s="154" t="n"/>
      <c r="BV19" s="154" t="n"/>
      <c r="BW19" s="154" t="n"/>
      <c r="BX19" s="154" t="n"/>
      <c r="BY19" s="154" t="n"/>
      <c r="BZ19" s="154" t="n"/>
      <c r="CA19" s="154" t="n"/>
      <c r="CB19" s="154" t="n"/>
      <c r="CC19" s="154" t="n"/>
      <c r="CD19" s="154" t="n"/>
      <c r="CE19" s="154" t="n"/>
      <c r="CF19" s="154" t="n"/>
      <c r="CG19" s="154" t="n"/>
      <c r="CH19" s="154" t="n"/>
      <c r="CI19" s="154" t="n"/>
      <c r="CJ19" s="154" t="n"/>
      <c r="CK19" s="154" t="n"/>
      <c r="CL19" s="154" t="n"/>
      <c r="CM19" s="154" t="n"/>
      <c r="CN19" s="154" t="n"/>
      <c r="CO19" s="154" t="n"/>
      <c r="CP19" s="154" t="n"/>
      <c r="CQ19" s="154" t="n"/>
      <c r="CR19" s="154" t="n"/>
      <c r="CS19" s="154" t="n"/>
      <c r="CT19" s="154" t="n"/>
      <c r="CU19" s="154" t="n"/>
      <c r="CV19" s="149">
        <f>COUNTIF(D19:CU19,"C")</f>
        <v/>
      </c>
      <c r="CW19" s="149">
        <f>COUNTIF(D19:CU19,"R")</f>
        <v/>
      </c>
    </row>
    <row r="20">
      <c r="A20" s="152" t="n"/>
      <c r="B20" s="146" t="inlineStr">
        <is>
          <t>C04-03</t>
        </is>
      </c>
      <c r="C20" s="153">
        <f>IFERROR(INDEX(ケイパビリティマップ!$E:$E,MATCH(B20,ケイパビリティマップ!$A:$A,0)),"（IDなし）")</f>
        <v/>
      </c>
      <c r="D20" s="154" t="n"/>
      <c r="E20" s="154" t="n"/>
      <c r="F20" s="154" t="n"/>
      <c r="G20" s="154" t="n"/>
      <c r="H20" s="154" t="n"/>
      <c r="I20" s="154" t="n"/>
      <c r="J20" s="154" t="n"/>
      <c r="K20" s="154" t="n"/>
      <c r="L20" s="154" t="n"/>
      <c r="M20" s="154" t="n"/>
      <c r="N20" s="154" t="n"/>
      <c r="O20" s="154" t="n"/>
      <c r="P20" s="154" t="inlineStr">
        <is>
          <t>R</t>
        </is>
      </c>
      <c r="Q20" s="154" t="n"/>
      <c r="R20" s="154" t="n"/>
      <c r="S20" s="154" t="n"/>
      <c r="T20" s="154" t="n"/>
      <c r="U20" s="154" t="n"/>
      <c r="V20" s="154" t="n"/>
      <c r="W20" s="154" t="n"/>
      <c r="X20" s="154" t="n"/>
      <c r="Y20" s="154" t="n"/>
      <c r="Z20" s="154" t="n"/>
      <c r="AA20" s="154" t="n"/>
      <c r="AB20" s="154" t="n"/>
      <c r="AC20" s="154" t="n"/>
      <c r="AD20" s="154" t="inlineStr">
        <is>
          <t>C</t>
        </is>
      </c>
      <c r="AE20" s="154" t="n"/>
      <c r="AF20" s="154" t="inlineStr">
        <is>
          <t>R</t>
        </is>
      </c>
      <c r="AG20" s="154" t="n"/>
      <c r="AH20" s="154" t="n"/>
      <c r="AI20" s="154" t="n"/>
      <c r="AJ20" s="154" t="inlineStr">
        <is>
          <t>C</t>
        </is>
      </c>
      <c r="AK20" s="154" t="n"/>
      <c r="AL20" s="154" t="n"/>
      <c r="AM20" s="154" t="n"/>
      <c r="AN20" s="154" t="n"/>
      <c r="AO20" s="154" t="n"/>
      <c r="AP20" s="154" t="n"/>
      <c r="AQ20" s="154" t="n"/>
      <c r="AR20" s="154" t="n"/>
      <c r="AS20" s="154" t="n"/>
      <c r="AT20" s="154" t="n"/>
      <c r="AU20" s="154" t="n"/>
      <c r="AV20" s="154" t="n"/>
      <c r="AW20" s="154" t="n"/>
      <c r="AX20" s="154" t="n"/>
      <c r="AY20" s="154" t="n"/>
      <c r="AZ20" s="154" t="n"/>
      <c r="BA20" s="154" t="n"/>
      <c r="BB20" s="154" t="n"/>
      <c r="BC20" s="154" t="n"/>
      <c r="BD20" s="154" t="n"/>
      <c r="BE20" s="154" t="n"/>
      <c r="BF20" s="154" t="n"/>
      <c r="BG20" s="154" t="n"/>
      <c r="BH20" s="154" t="n"/>
      <c r="BI20" s="154" t="n"/>
      <c r="BJ20" s="154" t="n"/>
      <c r="BK20" s="154" t="n"/>
      <c r="BL20" s="154" t="n"/>
      <c r="BM20" s="154" t="n"/>
      <c r="BN20" s="154" t="n"/>
      <c r="BO20" s="154" t="n"/>
      <c r="BP20" s="154" t="n"/>
      <c r="BQ20" s="154" t="n"/>
      <c r="BR20" s="154" t="n"/>
      <c r="BS20" s="154" t="n"/>
      <c r="BT20" s="154" t="n"/>
      <c r="BU20" s="154" t="n"/>
      <c r="BV20" s="154" t="n"/>
      <c r="BW20" s="154" t="n"/>
      <c r="BX20" s="154" t="n"/>
      <c r="BY20" s="154" t="n"/>
      <c r="BZ20" s="154" t="n"/>
      <c r="CA20" s="154" t="n"/>
      <c r="CB20" s="154" t="n"/>
      <c r="CC20" s="154" t="n"/>
      <c r="CD20" s="154" t="n"/>
      <c r="CE20" s="154" t="n"/>
      <c r="CF20" s="154" t="n"/>
      <c r="CG20" s="154" t="n"/>
      <c r="CH20" s="154" t="n"/>
      <c r="CI20" s="154" t="n"/>
      <c r="CJ20" s="154" t="n"/>
      <c r="CK20" s="154" t="n"/>
      <c r="CL20" s="154" t="n"/>
      <c r="CM20" s="154" t="n"/>
      <c r="CN20" s="154" t="n"/>
      <c r="CO20" s="154" t="n"/>
      <c r="CP20" s="154" t="n"/>
      <c r="CQ20" s="154" t="n"/>
      <c r="CR20" s="154" t="n"/>
      <c r="CS20" s="154" t="n"/>
      <c r="CT20" s="154" t="n"/>
      <c r="CU20" s="154" t="n"/>
      <c r="CV20" s="149">
        <f>COUNTIF(D20:CU20,"C")</f>
        <v/>
      </c>
      <c r="CW20" s="149">
        <f>COUNTIF(D20:CU20,"R")</f>
        <v/>
      </c>
    </row>
    <row r="21">
      <c r="A21" s="152" t="n"/>
      <c r="B21" s="146" t="inlineStr">
        <is>
          <t>C04-04</t>
        </is>
      </c>
      <c r="C21" s="153">
        <f>IFERROR(INDEX(ケイパビリティマップ!$E:$E,MATCH(B21,ケイパビリティマップ!$A:$A,0)),"（IDなし）")</f>
        <v/>
      </c>
      <c r="D21" s="154" t="n"/>
      <c r="E21" s="154" t="n"/>
      <c r="F21" s="154" t="n"/>
      <c r="G21" s="154" t="n"/>
      <c r="H21" s="154" t="n"/>
      <c r="I21" s="154" t="n"/>
      <c r="J21" s="154" t="n"/>
      <c r="K21" s="154" t="n"/>
      <c r="L21" s="154" t="n"/>
      <c r="M21" s="154" t="n"/>
      <c r="N21" s="154" t="n"/>
      <c r="O21" s="154" t="inlineStr">
        <is>
          <t>R</t>
        </is>
      </c>
      <c r="P21" s="154" t="n"/>
      <c r="Q21" s="154" t="n"/>
      <c r="R21" s="154" t="n"/>
      <c r="S21" s="154" t="n"/>
      <c r="T21" s="154" t="n"/>
      <c r="U21" s="154" t="n"/>
      <c r="V21" s="154" t="n"/>
      <c r="W21" s="154" t="n"/>
      <c r="X21" s="154" t="n"/>
      <c r="Y21" s="154" t="n"/>
      <c r="Z21" s="154" t="n"/>
      <c r="AA21" s="154" t="n"/>
      <c r="AB21" s="154" t="inlineStr">
        <is>
          <t>R</t>
        </is>
      </c>
      <c r="AC21" s="154" t="inlineStr">
        <is>
          <t>R</t>
        </is>
      </c>
      <c r="AD21" s="154" t="n"/>
      <c r="AE21" s="154" t="inlineStr">
        <is>
          <t>C</t>
        </is>
      </c>
      <c r="AF21" s="154" t="inlineStr">
        <is>
          <t>C</t>
        </is>
      </c>
      <c r="AG21" s="154" t="inlineStr">
        <is>
          <t>C</t>
        </is>
      </c>
      <c r="AH21" s="154" t="inlineStr">
        <is>
          <t>C</t>
        </is>
      </c>
      <c r="AI21" s="154" t="n"/>
      <c r="AJ21" s="154" t="inlineStr">
        <is>
          <t>R</t>
        </is>
      </c>
      <c r="AK21" s="154" t="inlineStr">
        <is>
          <t>C</t>
        </is>
      </c>
      <c r="AL21" s="154" t="n"/>
      <c r="AM21" s="154" t="n"/>
      <c r="AN21" s="154" t="n"/>
      <c r="AO21" s="154" t="n"/>
      <c r="AP21" s="154" t="inlineStr">
        <is>
          <t>R</t>
        </is>
      </c>
      <c r="AQ21" s="154" t="n"/>
      <c r="AR21" s="154" t="inlineStr">
        <is>
          <t>R</t>
        </is>
      </c>
      <c r="AS21" s="154" t="n"/>
      <c r="AT21" s="154" t="n"/>
      <c r="AU21" s="154" t="n"/>
      <c r="AV21" s="154" t="n"/>
      <c r="AW21" s="154" t="n"/>
      <c r="AX21" s="154" t="n"/>
      <c r="AY21" s="154" t="n"/>
      <c r="AZ21" s="154" t="n"/>
      <c r="BA21" s="154" t="n"/>
      <c r="BB21" s="154" t="n"/>
      <c r="BC21" s="154" t="n"/>
      <c r="BD21" s="154" t="n"/>
      <c r="BE21" s="154" t="n"/>
      <c r="BF21" s="154" t="n"/>
      <c r="BG21" s="154" t="n"/>
      <c r="BH21" s="154" t="n"/>
      <c r="BI21" s="154" t="n"/>
      <c r="BJ21" s="154" t="n"/>
      <c r="BK21" s="154" t="n"/>
      <c r="BL21" s="154" t="n"/>
      <c r="BM21" s="154" t="n"/>
      <c r="BN21" s="154" t="n"/>
      <c r="BO21" s="154" t="n"/>
      <c r="BP21" s="154" t="n"/>
      <c r="BQ21" s="154" t="n"/>
      <c r="BR21" s="154" t="n"/>
      <c r="BS21" s="154" t="n"/>
      <c r="BT21" s="154" t="n"/>
      <c r="BU21" s="154" t="n"/>
      <c r="BV21" s="154" t="n"/>
      <c r="BW21" s="154" t="n"/>
      <c r="BX21" s="154" t="n"/>
      <c r="BY21" s="154" t="n"/>
      <c r="BZ21" s="154" t="n"/>
      <c r="CA21" s="154" t="n"/>
      <c r="CB21" s="154" t="n"/>
      <c r="CC21" s="154" t="n"/>
      <c r="CD21" s="154" t="n"/>
      <c r="CE21" s="154" t="n"/>
      <c r="CF21" s="154" t="n"/>
      <c r="CG21" s="154" t="n"/>
      <c r="CH21" s="154" t="n"/>
      <c r="CI21" s="154" t="n"/>
      <c r="CJ21" s="154" t="n"/>
      <c r="CK21" s="154" t="n"/>
      <c r="CL21" s="154" t="n"/>
      <c r="CM21" s="154" t="n"/>
      <c r="CN21" s="154" t="n"/>
      <c r="CO21" s="154" t="n"/>
      <c r="CP21" s="154" t="n"/>
      <c r="CQ21" s="154" t="n"/>
      <c r="CR21" s="154" t="n"/>
      <c r="CS21" s="154" t="n"/>
      <c r="CT21" s="154" t="n"/>
      <c r="CU21" s="154" t="n"/>
      <c r="CV21" s="149">
        <f>COUNTIF(D21:CU21,"C")</f>
        <v/>
      </c>
      <c r="CW21" s="149">
        <f>COUNTIF(D21:CU21,"R")</f>
        <v/>
      </c>
    </row>
    <row r="22">
      <c r="A22" s="152" t="n"/>
      <c r="B22" s="146" t="inlineStr">
        <is>
          <t>C04-05</t>
        </is>
      </c>
      <c r="C22" s="153">
        <f>IFERROR(INDEX(ケイパビリティマップ!$E:$E,MATCH(B22,ケイパビリティマップ!$A:$A,0)),"（IDなし）")</f>
        <v/>
      </c>
      <c r="D22" s="154" t="n"/>
      <c r="E22" s="154" t="n"/>
      <c r="F22" s="154" t="n"/>
      <c r="G22" s="154" t="n"/>
      <c r="H22" s="154" t="n"/>
      <c r="I22" s="154" t="n"/>
      <c r="J22" s="154" t="n"/>
      <c r="K22" s="154" t="n"/>
      <c r="L22" s="154" t="n"/>
      <c r="M22" s="154" t="n"/>
      <c r="N22" s="154" t="n"/>
      <c r="O22" s="154" t="n"/>
      <c r="P22" s="154" t="n"/>
      <c r="Q22" s="154" t="n"/>
      <c r="R22" s="154" t="n"/>
      <c r="S22" s="154" t="n"/>
      <c r="T22" s="154" t="n"/>
      <c r="U22" s="154" t="inlineStr">
        <is>
          <t>R</t>
        </is>
      </c>
      <c r="V22" s="154" t="n"/>
      <c r="W22" s="154" t="n"/>
      <c r="X22" s="154" t="n"/>
      <c r="Y22" s="154" t="n"/>
      <c r="Z22" s="154" t="n"/>
      <c r="AA22" s="154" t="inlineStr">
        <is>
          <t>R</t>
        </is>
      </c>
      <c r="AB22" s="154" t="inlineStr">
        <is>
          <t>C</t>
        </is>
      </c>
      <c r="AC22" s="154" t="n"/>
      <c r="AD22" s="154" t="n"/>
      <c r="AE22" s="154" t="n"/>
      <c r="AF22" s="154" t="inlineStr">
        <is>
          <t>R</t>
        </is>
      </c>
      <c r="AG22" s="154" t="n"/>
      <c r="AH22" s="154" t="n"/>
      <c r="AI22" s="154" t="inlineStr">
        <is>
          <t>R</t>
        </is>
      </c>
      <c r="AJ22" s="154" t="n"/>
      <c r="AK22" s="154" t="inlineStr">
        <is>
          <t>C</t>
        </is>
      </c>
      <c r="AL22" s="154" t="inlineStr">
        <is>
          <t>C</t>
        </is>
      </c>
      <c r="AM22" s="154" t="n"/>
      <c r="AN22" s="154" t="n"/>
      <c r="AO22" s="154" t="n"/>
      <c r="AP22" s="154" t="n"/>
      <c r="AQ22" s="154" t="n"/>
      <c r="AR22" s="154" t="n"/>
      <c r="AS22" s="154" t="n"/>
      <c r="AT22" s="154" t="n"/>
      <c r="AU22" s="154" t="n"/>
      <c r="AV22" s="154" t="n"/>
      <c r="AW22" s="154" t="n"/>
      <c r="AX22" s="154" t="n"/>
      <c r="AY22" s="154" t="n"/>
      <c r="AZ22" s="154" t="n"/>
      <c r="BA22" s="154" t="n"/>
      <c r="BB22" s="154" t="n"/>
      <c r="BC22" s="154" t="n"/>
      <c r="BD22" s="154" t="n"/>
      <c r="BE22" s="154" t="n"/>
      <c r="BF22" s="154" t="n"/>
      <c r="BG22" s="154" t="n"/>
      <c r="BH22" s="154" t="n"/>
      <c r="BI22" s="154" t="n"/>
      <c r="BJ22" s="154" t="n"/>
      <c r="BK22" s="154" t="n"/>
      <c r="BL22" s="154" t="n"/>
      <c r="BM22" s="154" t="n"/>
      <c r="BN22" s="154" t="n"/>
      <c r="BO22" s="154" t="n"/>
      <c r="BP22" s="154" t="n"/>
      <c r="BQ22" s="154" t="n"/>
      <c r="BR22" s="154" t="n"/>
      <c r="BS22" s="154" t="n"/>
      <c r="BT22" s="154" t="n"/>
      <c r="BU22" s="154" t="n"/>
      <c r="BV22" s="154" t="n"/>
      <c r="BW22" s="154" t="n"/>
      <c r="BX22" s="154" t="n"/>
      <c r="BY22" s="154" t="n"/>
      <c r="BZ22" s="154" t="n"/>
      <c r="CA22" s="154" t="n"/>
      <c r="CB22" s="154" t="n"/>
      <c r="CC22" s="154" t="n"/>
      <c r="CD22" s="154" t="n"/>
      <c r="CE22" s="154" t="n"/>
      <c r="CF22" s="154" t="n"/>
      <c r="CG22" s="154" t="n"/>
      <c r="CH22" s="154" t="n"/>
      <c r="CI22" s="154" t="n"/>
      <c r="CJ22" s="154" t="n"/>
      <c r="CK22" s="154" t="n"/>
      <c r="CL22" s="154" t="n"/>
      <c r="CM22" s="154" t="n"/>
      <c r="CN22" s="154" t="n"/>
      <c r="CO22" s="154" t="n"/>
      <c r="CP22" s="154" t="n"/>
      <c r="CQ22" s="154" t="n"/>
      <c r="CR22" s="154" t="n"/>
      <c r="CS22" s="154" t="n"/>
      <c r="CT22" s="154" t="n"/>
      <c r="CU22" s="154" t="n"/>
      <c r="CV22" s="149">
        <f>COUNTIF(D22:CU22,"C")</f>
        <v/>
      </c>
      <c r="CW22" s="149">
        <f>COUNTIF(D22:CU22,"R")</f>
        <v/>
      </c>
    </row>
    <row r="23">
      <c r="A23" s="152" t="inlineStr">
        <is>
          <t>C05 臨床開発</t>
        </is>
      </c>
      <c r="B23" s="146" t="inlineStr">
        <is>
          <t>C05-01</t>
        </is>
      </c>
      <c r="C23" s="153">
        <f>IFERROR(INDEX(ケイパビリティマップ!$E:$E,MATCH(B23,ケイパビリティマップ!$A:$A,0)),"（IDなし）")</f>
        <v/>
      </c>
      <c r="D23" s="154" t="n"/>
      <c r="E23" s="154" t="n"/>
      <c r="F23" s="154" t="n"/>
      <c r="G23" s="154" t="n"/>
      <c r="H23" s="154" t="n"/>
      <c r="I23" s="154" t="inlineStr">
        <is>
          <t>R</t>
        </is>
      </c>
      <c r="J23" s="154" t="inlineStr">
        <is>
          <t>R</t>
        </is>
      </c>
      <c r="K23" s="154" t="n"/>
      <c r="L23" s="154" t="n"/>
      <c r="M23" s="154" t="n"/>
      <c r="N23" s="154" t="n"/>
      <c r="O23" s="154" t="n"/>
      <c r="P23" s="154" t="n"/>
      <c r="Q23" s="154" t="n"/>
      <c r="R23" s="154" t="n"/>
      <c r="S23" s="154" t="n"/>
      <c r="T23" s="154" t="n"/>
      <c r="U23" s="154" t="n"/>
      <c r="V23" s="154" t="n"/>
      <c r="W23" s="154" t="n"/>
      <c r="X23" s="154" t="n"/>
      <c r="Y23" s="154" t="n"/>
      <c r="Z23" s="154" t="n"/>
      <c r="AA23" s="154" t="n"/>
      <c r="AB23" s="154" t="n"/>
      <c r="AC23" s="154" t="n"/>
      <c r="AD23" s="154" t="n"/>
      <c r="AE23" s="154" t="n"/>
      <c r="AF23" s="154" t="n"/>
      <c r="AG23" s="154" t="n"/>
      <c r="AH23" s="154" t="n"/>
      <c r="AI23" s="154" t="n"/>
      <c r="AJ23" s="154" t="n"/>
      <c r="AK23" s="154" t="n"/>
      <c r="AL23" s="154" t="n"/>
      <c r="AM23" s="154" t="n"/>
      <c r="AN23" s="154" t="n"/>
      <c r="AO23" s="154" t="n"/>
      <c r="AP23" s="154" t="n"/>
      <c r="AQ23" s="154" t="n"/>
      <c r="AR23" s="154" t="n"/>
      <c r="AS23" s="154" t="n"/>
      <c r="AT23" s="154" t="n"/>
      <c r="AU23" s="154" t="n"/>
      <c r="AV23" s="154" t="n"/>
      <c r="AW23" s="154" t="n"/>
      <c r="AX23" s="154" t="n"/>
      <c r="AY23" s="154" t="n"/>
      <c r="AZ23" s="154" t="inlineStr">
        <is>
          <t>R</t>
        </is>
      </c>
      <c r="BA23" s="154" t="n"/>
      <c r="BB23" s="154" t="n"/>
      <c r="BC23" s="154" t="inlineStr">
        <is>
          <t>C</t>
        </is>
      </c>
      <c r="BD23" s="154" t="inlineStr">
        <is>
          <t>C</t>
        </is>
      </c>
      <c r="BE23" s="154" t="inlineStr">
        <is>
          <t>C</t>
        </is>
      </c>
      <c r="BF23" s="154" t="n"/>
      <c r="BG23" s="154" t="n"/>
      <c r="BH23" s="154" t="n"/>
      <c r="BI23" s="154" t="n"/>
      <c r="BJ23" s="154" t="n"/>
      <c r="BK23" s="154" t="n"/>
      <c r="BL23" s="154" t="n"/>
      <c r="BM23" s="154" t="n"/>
      <c r="BN23" s="154" t="n"/>
      <c r="BO23" s="154" t="n"/>
      <c r="BP23" s="154" t="inlineStr">
        <is>
          <t>R</t>
        </is>
      </c>
      <c r="BQ23" s="154" t="inlineStr">
        <is>
          <t>C</t>
        </is>
      </c>
      <c r="BR23" s="154" t="n"/>
      <c r="BS23" s="154" t="inlineStr">
        <is>
          <t>R</t>
        </is>
      </c>
      <c r="BT23" s="154" t="n"/>
      <c r="BU23" s="154" t="n"/>
      <c r="BV23" s="154" t="n"/>
      <c r="BW23" s="154" t="n"/>
      <c r="BX23" s="154" t="n"/>
      <c r="BY23" s="154" t="n"/>
      <c r="BZ23" s="154" t="n"/>
      <c r="CA23" s="154" t="n"/>
      <c r="CB23" s="154" t="n"/>
      <c r="CC23" s="154" t="n"/>
      <c r="CD23" s="154" t="n"/>
      <c r="CE23" s="154" t="n"/>
      <c r="CF23" s="154" t="n"/>
      <c r="CG23" s="154" t="n"/>
      <c r="CH23" s="154" t="n"/>
      <c r="CI23" s="154" t="n"/>
      <c r="CJ23" s="154" t="n"/>
      <c r="CK23" s="154" t="n"/>
      <c r="CL23" s="154" t="n"/>
      <c r="CM23" s="154" t="n"/>
      <c r="CN23" s="154" t="n"/>
      <c r="CO23" s="154" t="n"/>
      <c r="CP23" s="154" t="n"/>
      <c r="CQ23" s="154" t="n"/>
      <c r="CR23" s="154" t="n"/>
      <c r="CS23" s="154" t="n"/>
      <c r="CT23" s="154" t="n"/>
      <c r="CU23" s="154" t="n"/>
      <c r="CV23" s="149">
        <f>COUNTIF(D23:CU23,"C")</f>
        <v/>
      </c>
      <c r="CW23" s="149">
        <f>COUNTIF(D23:CU23,"R")</f>
        <v/>
      </c>
    </row>
    <row r="24">
      <c r="A24" s="152" t="n"/>
      <c r="B24" s="146" t="inlineStr">
        <is>
          <t>C05-02</t>
        </is>
      </c>
      <c r="C24" s="153">
        <f>IFERROR(INDEX(ケイパビリティマップ!$E:$E,MATCH(B24,ケイパビリティマップ!$A:$A,0)),"（IDなし）")</f>
        <v/>
      </c>
      <c r="D24" s="154" t="n"/>
      <c r="E24" s="154" t="n"/>
      <c r="F24" s="154" t="n"/>
      <c r="G24" s="154" t="n"/>
      <c r="H24" s="154" t="n"/>
      <c r="I24" s="154" t="inlineStr">
        <is>
          <t>R</t>
        </is>
      </c>
      <c r="J24" s="154" t="inlineStr">
        <is>
          <t>R</t>
        </is>
      </c>
      <c r="K24" s="154" t="n"/>
      <c r="L24" s="154" t="n"/>
      <c r="M24" s="154" t="n"/>
      <c r="N24" s="154" t="n"/>
      <c r="O24" s="154" t="n"/>
      <c r="P24" s="154" t="n"/>
      <c r="Q24" s="154" t="n"/>
      <c r="R24" s="154" t="n"/>
      <c r="S24" s="154" t="n"/>
      <c r="T24" s="154" t="n"/>
      <c r="U24" s="154" t="inlineStr">
        <is>
          <t>C</t>
        </is>
      </c>
      <c r="V24" s="154" t="n"/>
      <c r="W24" s="154" t="n"/>
      <c r="X24" s="154" t="n"/>
      <c r="Y24" s="154" t="n"/>
      <c r="Z24" s="154" t="n"/>
      <c r="AA24" s="154" t="n"/>
      <c r="AB24" s="154" t="n"/>
      <c r="AC24" s="154" t="n"/>
      <c r="AD24" s="154" t="n"/>
      <c r="AE24" s="154" t="n"/>
      <c r="AF24" s="154" t="n"/>
      <c r="AG24" s="154" t="n"/>
      <c r="AH24" s="154" t="n"/>
      <c r="AI24" s="154" t="n"/>
      <c r="AJ24" s="154" t="n"/>
      <c r="AK24" s="154" t="n"/>
      <c r="AL24" s="154" t="n"/>
      <c r="AM24" s="154" t="n"/>
      <c r="AN24" s="154" t="n"/>
      <c r="AO24" s="154" t="n"/>
      <c r="AP24" s="154" t="n"/>
      <c r="AQ24" s="154" t="n"/>
      <c r="AR24" s="154" t="n"/>
      <c r="AS24" s="154" t="n"/>
      <c r="AT24" s="154" t="n"/>
      <c r="AU24" s="154" t="n"/>
      <c r="AV24" s="154" t="n"/>
      <c r="AW24" s="154" t="n"/>
      <c r="AX24" s="154" t="n"/>
      <c r="AY24" s="154" t="n"/>
      <c r="AZ24" s="154" t="inlineStr">
        <is>
          <t>C</t>
        </is>
      </c>
      <c r="BA24" s="154" t="inlineStr">
        <is>
          <t>C</t>
        </is>
      </c>
      <c r="BB24" s="154" t="n"/>
      <c r="BC24" s="154" t="n"/>
      <c r="BD24" s="154" t="n"/>
      <c r="BE24" s="154" t="n"/>
      <c r="BF24" s="154" t="n"/>
      <c r="BG24" s="154" t="n"/>
      <c r="BH24" s="154" t="n"/>
      <c r="BI24" s="154" t="n"/>
      <c r="BJ24" s="154" t="n"/>
      <c r="BK24" s="154" t="n"/>
      <c r="BL24" s="154" t="n"/>
      <c r="BM24" s="154" t="n"/>
      <c r="BN24" s="154" t="n"/>
      <c r="BO24" s="154" t="n"/>
      <c r="BP24" s="154" t="n"/>
      <c r="BQ24" s="154" t="inlineStr">
        <is>
          <t>C</t>
        </is>
      </c>
      <c r="BR24" s="154" t="inlineStr">
        <is>
          <t>C</t>
        </is>
      </c>
      <c r="BS24" s="154" t="n"/>
      <c r="BT24" s="154" t="n"/>
      <c r="BU24" s="154" t="n"/>
      <c r="BV24" s="154" t="n"/>
      <c r="BW24" s="154" t="n"/>
      <c r="BX24" s="154" t="n"/>
      <c r="BY24" s="154" t="n"/>
      <c r="BZ24" s="154" t="n"/>
      <c r="CA24" s="154" t="n"/>
      <c r="CB24" s="154" t="n"/>
      <c r="CC24" s="154" t="n"/>
      <c r="CD24" s="154" t="n"/>
      <c r="CE24" s="154" t="n"/>
      <c r="CF24" s="154" t="n"/>
      <c r="CG24" s="154" t="n"/>
      <c r="CH24" s="154" t="n"/>
      <c r="CI24" s="154" t="n"/>
      <c r="CJ24" s="154" t="n"/>
      <c r="CK24" s="154" t="n"/>
      <c r="CL24" s="154" t="n"/>
      <c r="CM24" s="154" t="n"/>
      <c r="CN24" s="154" t="n"/>
      <c r="CO24" s="154" t="n"/>
      <c r="CP24" s="154" t="n"/>
      <c r="CQ24" s="154" t="n"/>
      <c r="CR24" s="154" t="n"/>
      <c r="CS24" s="154" t="n"/>
      <c r="CT24" s="154" t="n"/>
      <c r="CU24" s="154" t="n"/>
      <c r="CV24" s="149">
        <f>COUNTIF(D24:CU24,"C")</f>
        <v/>
      </c>
      <c r="CW24" s="149">
        <f>COUNTIF(D24:CU24,"R")</f>
        <v/>
      </c>
    </row>
    <row r="25">
      <c r="A25" s="152" t="n"/>
      <c r="B25" s="146" t="inlineStr">
        <is>
          <t>C05-03</t>
        </is>
      </c>
      <c r="C25" s="153">
        <f>IFERROR(INDEX(ケイパビリティマップ!$E:$E,MATCH(B25,ケイパビリティマップ!$A:$A,0)),"（IDなし）")</f>
        <v/>
      </c>
      <c r="D25" s="154" t="n"/>
      <c r="E25" s="154" t="n"/>
      <c r="F25" s="154" t="n"/>
      <c r="G25" s="154" t="n"/>
      <c r="H25" s="154" t="n"/>
      <c r="I25" s="154" t="n"/>
      <c r="J25" s="154" t="n"/>
      <c r="K25" s="154" t="inlineStr">
        <is>
          <t>R</t>
        </is>
      </c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154" t="n"/>
      <c r="U25" s="154" t="n"/>
      <c r="V25" s="154" t="n"/>
      <c r="W25" s="154" t="n"/>
      <c r="X25" s="154" t="n"/>
      <c r="Y25" s="154" t="n"/>
      <c r="Z25" s="154" t="n"/>
      <c r="AA25" s="154" t="n"/>
      <c r="AB25" s="154" t="n"/>
      <c r="AC25" s="154" t="n"/>
      <c r="AD25" s="154" t="n"/>
      <c r="AE25" s="154" t="n"/>
      <c r="AF25" s="154" t="n"/>
      <c r="AG25" s="154" t="n"/>
      <c r="AH25" s="154" t="n"/>
      <c r="AI25" s="154" t="n"/>
      <c r="AJ25" s="154" t="n"/>
      <c r="AK25" s="154" t="n"/>
      <c r="AL25" s="154" t="n"/>
      <c r="AM25" s="154" t="n"/>
      <c r="AN25" s="154" t="n"/>
      <c r="AO25" s="154" t="n"/>
      <c r="AP25" s="154" t="n"/>
      <c r="AQ25" s="154" t="n"/>
      <c r="AR25" s="154" t="n"/>
      <c r="AS25" s="154" t="n"/>
      <c r="AT25" s="154" t="n"/>
      <c r="AU25" s="154" t="n"/>
      <c r="AV25" s="154" t="n"/>
      <c r="AW25" s="154" t="n"/>
      <c r="AX25" s="154" t="n"/>
      <c r="AY25" s="154" t="n"/>
      <c r="AZ25" s="154" t="n"/>
      <c r="BA25" s="154" t="inlineStr">
        <is>
          <t>R</t>
        </is>
      </c>
      <c r="BB25" s="154" t="inlineStr">
        <is>
          <t>C</t>
        </is>
      </c>
      <c r="BC25" s="154" t="n"/>
      <c r="BD25" s="154" t="n"/>
      <c r="BE25" s="154" t="n"/>
      <c r="BF25" s="154" t="n"/>
      <c r="BG25" s="154" t="n"/>
      <c r="BH25" s="154" t="n"/>
      <c r="BI25" s="154" t="n"/>
      <c r="BJ25" s="154" t="n"/>
      <c r="BK25" s="154" t="n"/>
      <c r="BL25" s="154" t="n"/>
      <c r="BM25" s="154" t="n"/>
      <c r="BN25" s="154" t="n"/>
      <c r="BO25" s="154" t="n"/>
      <c r="BP25" s="154" t="n"/>
      <c r="BQ25" s="154" t="n"/>
      <c r="BR25" s="154" t="inlineStr">
        <is>
          <t>C</t>
        </is>
      </c>
      <c r="BS25" s="154" t="n"/>
      <c r="BT25" s="154" t="n"/>
      <c r="BU25" s="154" t="n"/>
      <c r="BV25" s="154" t="n"/>
      <c r="BW25" s="154" t="n"/>
      <c r="BX25" s="154" t="n"/>
      <c r="BY25" s="154" t="n"/>
      <c r="BZ25" s="154" t="n"/>
      <c r="CA25" s="154" t="n"/>
      <c r="CB25" s="154" t="n"/>
      <c r="CC25" s="154" t="n"/>
      <c r="CD25" s="154" t="n"/>
      <c r="CE25" s="154" t="n"/>
      <c r="CF25" s="154" t="n"/>
      <c r="CG25" s="154" t="n"/>
      <c r="CH25" s="154" t="n"/>
      <c r="CI25" s="154" t="n"/>
      <c r="CJ25" s="154" t="n"/>
      <c r="CK25" s="154" t="n"/>
      <c r="CL25" s="154" t="n"/>
      <c r="CM25" s="154" t="n"/>
      <c r="CN25" s="154" t="n"/>
      <c r="CO25" s="154" t="n"/>
      <c r="CP25" s="154" t="n"/>
      <c r="CQ25" s="154" t="n"/>
      <c r="CR25" s="154" t="n"/>
      <c r="CS25" s="154" t="n"/>
      <c r="CT25" s="154" t="n"/>
      <c r="CU25" s="154" t="n"/>
      <c r="CV25" s="149">
        <f>COUNTIF(D25:CU25,"C")</f>
        <v/>
      </c>
      <c r="CW25" s="149">
        <f>COUNTIF(D25:CU25,"R")</f>
        <v/>
      </c>
    </row>
    <row r="26">
      <c r="A26" s="152" t="n"/>
      <c r="B26" s="146" t="inlineStr">
        <is>
          <t>C05-04</t>
        </is>
      </c>
      <c r="C26" s="153">
        <f>IFERROR(INDEX(ケイパビリティマップ!$E:$E,MATCH(B26,ケイパビリティマップ!$A:$A,0)),"（IDなし）")</f>
        <v/>
      </c>
      <c r="D26" s="154" t="n"/>
      <c r="E26" s="154" t="n"/>
      <c r="F26" s="154" t="n"/>
      <c r="G26" s="154" t="inlineStr">
        <is>
          <t>R</t>
        </is>
      </c>
      <c r="H26" s="154" t="inlineStr">
        <is>
          <t>C</t>
        </is>
      </c>
      <c r="I26" s="154" t="n"/>
      <c r="J26" s="154" t="n"/>
      <c r="K26" s="154" t="n"/>
      <c r="L26" s="154" t="n"/>
      <c r="M26" s="154" t="n"/>
      <c r="N26" s="154" t="n"/>
      <c r="O26" s="154" t="n"/>
      <c r="P26" s="154" t="n"/>
      <c r="Q26" s="154" t="n"/>
      <c r="R26" s="154" t="n"/>
      <c r="S26" s="154" t="n"/>
      <c r="T26" s="154" t="n"/>
      <c r="U26" s="154" t="n"/>
      <c r="V26" s="154" t="n"/>
      <c r="W26" s="154" t="n"/>
      <c r="X26" s="154" t="n"/>
      <c r="Y26" s="154" t="n"/>
      <c r="Z26" s="154" t="n"/>
      <c r="AA26" s="154" t="n"/>
      <c r="AB26" s="154" t="n"/>
      <c r="AC26" s="154" t="n"/>
      <c r="AD26" s="154" t="n"/>
      <c r="AE26" s="154" t="n"/>
      <c r="AF26" s="154" t="n"/>
      <c r="AG26" s="154" t="n"/>
      <c r="AH26" s="154" t="n"/>
      <c r="AI26" s="154" t="n"/>
      <c r="AJ26" s="154" t="n"/>
      <c r="AK26" s="154" t="n"/>
      <c r="AL26" s="154" t="n"/>
      <c r="AM26" s="154" t="n"/>
      <c r="AN26" s="154" t="n"/>
      <c r="AO26" s="154" t="n"/>
      <c r="AP26" s="154" t="n"/>
      <c r="AQ26" s="154" t="n"/>
      <c r="AR26" s="154" t="n"/>
      <c r="AS26" s="154" t="n"/>
      <c r="AT26" s="154" t="n"/>
      <c r="AU26" s="154" t="n"/>
      <c r="AV26" s="154" t="n"/>
      <c r="AW26" s="154" t="n"/>
      <c r="AX26" s="154" t="n"/>
      <c r="AY26" s="154" t="n"/>
      <c r="AZ26" s="154" t="n"/>
      <c r="BA26" s="154" t="n"/>
      <c r="BB26" s="154" t="inlineStr">
        <is>
          <t>R</t>
        </is>
      </c>
      <c r="BC26" s="154" t="n"/>
      <c r="BD26" s="154" t="inlineStr">
        <is>
          <t>C</t>
        </is>
      </c>
      <c r="BE26" s="154" t="n"/>
      <c r="BF26" s="154" t="inlineStr">
        <is>
          <t>C</t>
        </is>
      </c>
      <c r="BG26" s="154" t="inlineStr">
        <is>
          <t>C</t>
        </is>
      </c>
      <c r="BH26" s="154" t="inlineStr">
        <is>
          <t>C</t>
        </is>
      </c>
      <c r="BI26" s="154" t="inlineStr">
        <is>
          <t>C</t>
        </is>
      </c>
      <c r="BJ26" s="154" t="n"/>
      <c r="BK26" s="154" t="n"/>
      <c r="BL26" s="154" t="inlineStr">
        <is>
          <t>C</t>
        </is>
      </c>
      <c r="BM26" s="154" t="n"/>
      <c r="BN26" s="154" t="n"/>
      <c r="BO26" s="154" t="inlineStr">
        <is>
          <t>R</t>
        </is>
      </c>
      <c r="BP26" s="154" t="n"/>
      <c r="BQ26" s="154" t="inlineStr">
        <is>
          <t>C</t>
        </is>
      </c>
      <c r="BR26" s="154" t="inlineStr">
        <is>
          <t>C</t>
        </is>
      </c>
      <c r="BS26" s="154" t="n"/>
      <c r="BT26" s="154" t="n"/>
      <c r="BU26" s="154" t="n"/>
      <c r="BV26" s="154" t="inlineStr">
        <is>
          <t>C</t>
        </is>
      </c>
      <c r="BW26" s="154" t="n"/>
      <c r="BX26" s="154" t="n"/>
      <c r="BY26" s="154" t="inlineStr">
        <is>
          <t>R</t>
        </is>
      </c>
      <c r="BZ26" s="154" t="n"/>
      <c r="CA26" s="154" t="n"/>
      <c r="CB26" s="154" t="n"/>
      <c r="CC26" s="154" t="inlineStr">
        <is>
          <t>C</t>
        </is>
      </c>
      <c r="CD26" s="154" t="n"/>
      <c r="CE26" s="154" t="n"/>
      <c r="CF26" s="154" t="n"/>
      <c r="CG26" s="154" t="n"/>
      <c r="CH26" s="154" t="n"/>
      <c r="CI26" s="154" t="n"/>
      <c r="CJ26" s="154" t="n"/>
      <c r="CK26" s="154" t="n"/>
      <c r="CL26" s="154" t="n"/>
      <c r="CM26" s="154" t="n"/>
      <c r="CN26" s="154" t="n"/>
      <c r="CO26" s="154" t="n"/>
      <c r="CP26" s="154" t="n"/>
      <c r="CQ26" s="154" t="n"/>
      <c r="CR26" s="154" t="n"/>
      <c r="CS26" s="154" t="n"/>
      <c r="CT26" s="154" t="n"/>
      <c r="CU26" s="154" t="n"/>
      <c r="CV26" s="149">
        <f>COUNTIF(D26:CU26,"C")</f>
        <v/>
      </c>
      <c r="CW26" s="149">
        <f>COUNTIF(D26:CU26,"R")</f>
        <v/>
      </c>
    </row>
    <row r="27">
      <c r="A27" s="152" t="n"/>
      <c r="B27" s="146" t="inlineStr">
        <is>
          <t>C05-05</t>
        </is>
      </c>
      <c r="C27" s="153">
        <f>IFERROR(INDEX(ケイパビリティマップ!$E:$E,MATCH(B27,ケイパビリティマップ!$A:$A,0)),"（IDなし）")</f>
        <v/>
      </c>
      <c r="D27" s="154" t="n"/>
      <c r="E27" s="154" t="n"/>
      <c r="F27" s="154" t="n"/>
      <c r="G27" s="154" t="n"/>
      <c r="H27" s="154" t="n"/>
      <c r="I27" s="154" t="n"/>
      <c r="J27" s="154" t="n"/>
      <c r="K27" s="154" t="n"/>
      <c r="L27" s="154" t="n"/>
      <c r="M27" s="154" t="n"/>
      <c r="N27" s="154" t="n"/>
      <c r="O27" s="154" t="n"/>
      <c r="P27" s="154" t="n"/>
      <c r="Q27" s="154" t="n"/>
      <c r="R27" s="154" t="n"/>
      <c r="S27" s="154" t="n"/>
      <c r="T27" s="154" t="n"/>
      <c r="U27" s="154" t="n"/>
      <c r="V27" s="154" t="n"/>
      <c r="W27" s="154" t="n"/>
      <c r="X27" s="154" t="inlineStr">
        <is>
          <t>R</t>
        </is>
      </c>
      <c r="Y27" s="154" t="n"/>
      <c r="Z27" s="154" t="n"/>
      <c r="AA27" s="154" t="n"/>
      <c r="AB27" s="154" t="n"/>
      <c r="AC27" s="154" t="n"/>
      <c r="AD27" s="154" t="n"/>
      <c r="AE27" s="154" t="n"/>
      <c r="AF27" s="154" t="n"/>
      <c r="AG27" s="154" t="n"/>
      <c r="AH27" s="154" t="inlineStr">
        <is>
          <t>R</t>
        </is>
      </c>
      <c r="AI27" s="154" t="n"/>
      <c r="AJ27" s="154" t="n"/>
      <c r="AK27" s="154" t="n"/>
      <c r="AL27" s="154" t="n"/>
      <c r="AM27" s="154" t="n"/>
      <c r="AN27" s="154" t="n"/>
      <c r="AO27" s="154" t="n"/>
      <c r="AP27" s="154" t="n"/>
      <c r="AQ27" s="154" t="n"/>
      <c r="AR27" s="154" t="n"/>
      <c r="AS27" s="154" t="n"/>
      <c r="AT27" s="154" t="n"/>
      <c r="AU27" s="154" t="n"/>
      <c r="AV27" s="154" t="n"/>
      <c r="AW27" s="154" t="n"/>
      <c r="AX27" s="154" t="n"/>
      <c r="AY27" s="154" t="n"/>
      <c r="AZ27" s="154" t="inlineStr">
        <is>
          <t>R</t>
        </is>
      </c>
      <c r="BA27" s="154" t="n"/>
      <c r="BB27" s="154" t="n"/>
      <c r="BC27" s="154" t="n"/>
      <c r="BD27" s="154" t="n"/>
      <c r="BE27" s="154" t="inlineStr">
        <is>
          <t>C</t>
        </is>
      </c>
      <c r="BF27" s="154" t="n"/>
      <c r="BG27" s="154" t="n"/>
      <c r="BH27" s="154" t="inlineStr">
        <is>
          <t>C</t>
        </is>
      </c>
      <c r="BI27" s="154" t="inlineStr">
        <is>
          <t>R</t>
        </is>
      </c>
      <c r="BJ27" s="154" t="inlineStr">
        <is>
          <t>C</t>
        </is>
      </c>
      <c r="BK27" s="154" t="inlineStr">
        <is>
          <t>C</t>
        </is>
      </c>
      <c r="BL27" s="154" t="inlineStr">
        <is>
          <t>C</t>
        </is>
      </c>
      <c r="BM27" s="154" t="inlineStr">
        <is>
          <t>C</t>
        </is>
      </c>
      <c r="BN27" s="154" t="n"/>
      <c r="BO27" s="154" t="n"/>
      <c r="BP27" s="154" t="n"/>
      <c r="BQ27" s="154" t="inlineStr">
        <is>
          <t>R</t>
        </is>
      </c>
      <c r="BR27" s="154" t="n"/>
      <c r="BS27" s="154" t="n"/>
      <c r="BT27" s="154" t="n"/>
      <c r="BU27" s="154" t="n"/>
      <c r="BV27" s="154" t="n"/>
      <c r="BW27" s="154" t="n"/>
      <c r="BX27" s="154" t="n"/>
      <c r="BY27" s="154" t="n"/>
      <c r="BZ27" s="154" t="n"/>
      <c r="CA27" s="154" t="n"/>
      <c r="CB27" s="154" t="n"/>
      <c r="CC27" s="154" t="inlineStr">
        <is>
          <t>R</t>
        </is>
      </c>
      <c r="CD27" s="154" t="n"/>
      <c r="CE27" s="154" t="n"/>
      <c r="CF27" s="154" t="n"/>
      <c r="CG27" s="154" t="n"/>
      <c r="CH27" s="154" t="n"/>
      <c r="CI27" s="154" t="n"/>
      <c r="CJ27" s="154" t="n"/>
      <c r="CK27" s="154" t="n"/>
      <c r="CL27" s="154" t="n"/>
      <c r="CM27" s="154" t="n"/>
      <c r="CN27" s="154" t="n"/>
      <c r="CO27" s="154" t="n"/>
      <c r="CP27" s="154" t="n"/>
      <c r="CQ27" s="154" t="n"/>
      <c r="CR27" s="154" t="n"/>
      <c r="CS27" s="154" t="n"/>
      <c r="CT27" s="154" t="n"/>
      <c r="CU27" s="154" t="n"/>
      <c r="CV27" s="149">
        <f>COUNTIF(D27:CU27,"C")</f>
        <v/>
      </c>
      <c r="CW27" s="149">
        <f>COUNTIF(D27:CU27,"R")</f>
        <v/>
      </c>
    </row>
    <row r="28">
      <c r="A28" s="152" t="n"/>
      <c r="B28" s="146" t="inlineStr">
        <is>
          <t>C05-06</t>
        </is>
      </c>
      <c r="C28" s="153">
        <f>IFERROR(INDEX(ケイパビリティマップ!$E:$E,MATCH(B28,ケイパビリティマップ!$A:$A,0)),"（IDなし）")</f>
        <v/>
      </c>
      <c r="D28" s="154" t="n"/>
      <c r="E28" s="154" t="n"/>
      <c r="F28" s="154" t="n"/>
      <c r="G28" s="154" t="n"/>
      <c r="H28" s="154" t="n"/>
      <c r="I28" s="154" t="n"/>
      <c r="J28" s="154" t="n"/>
      <c r="K28" s="154" t="n"/>
      <c r="L28" s="154" t="n"/>
      <c r="M28" s="154" t="n"/>
      <c r="N28" s="154" t="n"/>
      <c r="O28" s="154" t="n"/>
      <c r="P28" s="154" t="n"/>
      <c r="Q28" s="154" t="n"/>
      <c r="R28" s="154" t="n"/>
      <c r="S28" s="154" t="n"/>
      <c r="T28" s="154" t="n"/>
      <c r="U28" s="154" t="n"/>
      <c r="V28" s="154" t="n"/>
      <c r="W28" s="154" t="n"/>
      <c r="X28" s="154" t="n"/>
      <c r="Y28" s="154" t="n"/>
      <c r="Z28" s="154" t="n"/>
      <c r="AA28" s="154" t="n"/>
      <c r="AB28" s="154" t="n"/>
      <c r="AC28" s="154" t="n"/>
      <c r="AD28" s="154" t="n"/>
      <c r="AE28" s="154" t="n"/>
      <c r="AF28" s="154" t="n"/>
      <c r="AG28" s="154" t="n"/>
      <c r="AH28" s="154" t="n"/>
      <c r="AI28" s="154" t="n"/>
      <c r="AJ28" s="154" t="n"/>
      <c r="AK28" s="154" t="n"/>
      <c r="AL28" s="154" t="n"/>
      <c r="AM28" s="154" t="n"/>
      <c r="AN28" s="154" t="n"/>
      <c r="AO28" s="154" t="n"/>
      <c r="AP28" s="154" t="inlineStr">
        <is>
          <t>R</t>
        </is>
      </c>
      <c r="AQ28" s="154" t="n"/>
      <c r="AR28" s="154" t="n"/>
      <c r="AS28" s="154" t="n"/>
      <c r="AT28" s="154" t="n"/>
      <c r="AU28" s="154" t="n"/>
      <c r="AV28" s="154" t="n"/>
      <c r="AW28" s="154" t="n"/>
      <c r="AX28" s="154" t="n"/>
      <c r="AY28" s="154" t="inlineStr">
        <is>
          <t>C</t>
        </is>
      </c>
      <c r="AZ28" s="154" t="n"/>
      <c r="BA28" s="154" t="n"/>
      <c r="BB28" s="154" t="n"/>
      <c r="BC28" s="154" t="n"/>
      <c r="BD28" s="154" t="inlineStr">
        <is>
          <t>R</t>
        </is>
      </c>
      <c r="BE28" s="154" t="n"/>
      <c r="BF28" s="154" t="n"/>
      <c r="BG28" s="154" t="n"/>
      <c r="BH28" s="154" t="n"/>
      <c r="BI28" s="154" t="n"/>
      <c r="BJ28" s="154" t="n"/>
      <c r="BK28" s="154" t="n"/>
      <c r="BL28" s="154" t="n"/>
      <c r="BM28" s="154" t="n"/>
      <c r="BN28" s="154" t="n"/>
      <c r="BO28" s="154" t="inlineStr">
        <is>
          <t>C</t>
        </is>
      </c>
      <c r="BP28" s="154" t="n"/>
      <c r="BQ28" s="154" t="n"/>
      <c r="BR28" s="154" t="n"/>
      <c r="BS28" s="154" t="n"/>
      <c r="BT28" s="154" t="n"/>
      <c r="BU28" s="154" t="n"/>
      <c r="BV28" s="154" t="n"/>
      <c r="BW28" s="154" t="n"/>
      <c r="BX28" s="154" t="n"/>
      <c r="BY28" s="154" t="n"/>
      <c r="BZ28" s="154" t="n"/>
      <c r="CA28" s="154" t="n"/>
      <c r="CB28" s="154" t="n"/>
      <c r="CC28" s="154" t="n"/>
      <c r="CD28" s="154" t="n"/>
      <c r="CE28" s="154" t="n"/>
      <c r="CF28" s="154" t="n"/>
      <c r="CG28" s="154" t="n"/>
      <c r="CH28" s="154" t="n"/>
      <c r="CI28" s="154" t="n"/>
      <c r="CJ28" s="154" t="n"/>
      <c r="CK28" s="154" t="n"/>
      <c r="CL28" s="154" t="n"/>
      <c r="CM28" s="154" t="n"/>
      <c r="CN28" s="154" t="n"/>
      <c r="CO28" s="154" t="n"/>
      <c r="CP28" s="154" t="n"/>
      <c r="CQ28" s="154" t="n"/>
      <c r="CR28" s="154" t="n"/>
      <c r="CS28" s="154" t="n"/>
      <c r="CT28" s="154" t="n"/>
      <c r="CU28" s="154" t="n"/>
      <c r="CV28" s="149">
        <f>COUNTIF(D28:CU28,"C")</f>
        <v/>
      </c>
      <c r="CW28" s="149">
        <f>COUNTIF(D28:CU28,"R")</f>
        <v/>
      </c>
    </row>
    <row r="29">
      <c r="A29" s="152" t="inlineStr">
        <is>
          <t>C06 薬事</t>
        </is>
      </c>
      <c r="B29" s="146" t="inlineStr">
        <is>
          <t>C06-01</t>
        </is>
      </c>
      <c r="C29" s="153">
        <f>IFERROR(INDEX(ケイパビリティマップ!$E:$E,MATCH(B29,ケイパビリティマップ!$A:$A,0)),"（IDなし）")</f>
        <v/>
      </c>
      <c r="D29" s="154" t="inlineStr">
        <is>
          <t>C</t>
        </is>
      </c>
      <c r="E29" s="154" t="inlineStr">
        <is>
          <t>C</t>
        </is>
      </c>
      <c r="F29" s="154" t="n"/>
      <c r="G29" s="154" t="n"/>
      <c r="H29" s="154" t="n"/>
      <c r="I29" s="154" t="inlineStr">
        <is>
          <t>R</t>
        </is>
      </c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inlineStr">
        <is>
          <t>R</t>
        </is>
      </c>
      <c r="V29" s="154" t="n"/>
      <c r="W29" s="154" t="n"/>
      <c r="X29" s="154" t="inlineStr">
        <is>
          <t>R</t>
        </is>
      </c>
      <c r="Y29" s="154" t="n"/>
      <c r="Z29" s="154" t="n"/>
      <c r="AA29" s="154" t="n"/>
      <c r="AB29" s="154" t="n"/>
      <c r="AC29" s="154" t="n"/>
      <c r="AD29" s="154" t="n"/>
      <c r="AE29" s="154" t="n"/>
      <c r="AF29" s="154" t="n"/>
      <c r="AG29" s="154" t="n"/>
      <c r="AH29" s="154" t="n"/>
      <c r="AI29" s="154" t="n"/>
      <c r="AJ29" s="154" t="n"/>
      <c r="AK29" s="154" t="inlineStr">
        <is>
          <t>R</t>
        </is>
      </c>
      <c r="AL29" s="154" t="n"/>
      <c r="AM29" s="154" t="n"/>
      <c r="AN29" s="154" t="n"/>
      <c r="AO29" s="154" t="n"/>
      <c r="AP29" s="154" t="n"/>
      <c r="AQ29" s="154" t="n"/>
      <c r="AR29" s="154" t="n"/>
      <c r="AS29" s="154" t="n"/>
      <c r="AT29" s="154" t="n"/>
      <c r="AU29" s="154" t="n"/>
      <c r="AV29" s="154" t="n"/>
      <c r="AW29" s="154" t="n"/>
      <c r="AX29" s="154" t="n"/>
      <c r="AY29" s="154" t="n"/>
      <c r="AZ29" s="154" t="inlineStr">
        <is>
          <t>R</t>
        </is>
      </c>
      <c r="BA29" s="154" t="n"/>
      <c r="BB29" s="154" t="n"/>
      <c r="BC29" s="154" t="inlineStr">
        <is>
          <t>R</t>
        </is>
      </c>
      <c r="BD29" s="154" t="n"/>
      <c r="BE29" s="154" t="inlineStr">
        <is>
          <t>R</t>
        </is>
      </c>
      <c r="BF29" s="154" t="n"/>
      <c r="BG29" s="154" t="n"/>
      <c r="BH29" s="154" t="inlineStr">
        <is>
          <t>R</t>
        </is>
      </c>
      <c r="BI29" s="154" t="inlineStr">
        <is>
          <t>R</t>
        </is>
      </c>
      <c r="BJ29" s="154" t="n"/>
      <c r="BK29" s="154" t="n"/>
      <c r="BL29" s="154" t="inlineStr">
        <is>
          <t>R</t>
        </is>
      </c>
      <c r="BM29" s="154" t="inlineStr">
        <is>
          <t>R</t>
        </is>
      </c>
      <c r="BN29" s="154" t="inlineStr">
        <is>
          <t>R</t>
        </is>
      </c>
      <c r="BO29" s="154" t="n"/>
      <c r="BP29" s="154" t="n"/>
      <c r="BQ29" s="154" t="n"/>
      <c r="BR29" s="154" t="n"/>
      <c r="BS29" s="154" t="inlineStr">
        <is>
          <t>C</t>
        </is>
      </c>
      <c r="BT29" s="154" t="inlineStr">
        <is>
          <t>C</t>
        </is>
      </c>
      <c r="BU29" s="154" t="inlineStr">
        <is>
          <t>R</t>
        </is>
      </c>
      <c r="BV29" s="154" t="inlineStr">
        <is>
          <t>C</t>
        </is>
      </c>
      <c r="BW29" s="154" t="inlineStr">
        <is>
          <t>C</t>
        </is>
      </c>
      <c r="BX29" s="154" t="n"/>
      <c r="BY29" s="154" t="n"/>
      <c r="BZ29" s="154" t="n"/>
      <c r="CA29" s="154" t="n"/>
      <c r="CB29" s="154" t="n"/>
      <c r="CC29" s="154" t="n"/>
      <c r="CD29" s="154" t="n"/>
      <c r="CE29" s="154" t="n"/>
      <c r="CF29" s="154" t="n"/>
      <c r="CG29" s="154" t="n"/>
      <c r="CH29" s="154" t="n"/>
      <c r="CI29" s="154" t="n"/>
      <c r="CJ29" s="154" t="n"/>
      <c r="CK29" s="154" t="n"/>
      <c r="CL29" s="154" t="n"/>
      <c r="CM29" s="154" t="n"/>
      <c r="CN29" s="154" t="n"/>
      <c r="CO29" s="154" t="n"/>
      <c r="CP29" s="154" t="n"/>
      <c r="CQ29" s="154" t="n"/>
      <c r="CR29" s="154" t="n"/>
      <c r="CS29" s="154" t="n"/>
      <c r="CT29" s="154" t="n"/>
      <c r="CU29" s="154" t="n"/>
      <c r="CV29" s="149">
        <f>COUNTIF(D29:CU29,"C")</f>
        <v/>
      </c>
      <c r="CW29" s="149">
        <f>COUNTIF(D29:CU29,"R")</f>
        <v/>
      </c>
    </row>
    <row r="30">
      <c r="A30" s="152" t="n"/>
      <c r="B30" s="146" t="inlineStr">
        <is>
          <t>C06-02</t>
        </is>
      </c>
      <c r="C30" s="153">
        <f>IFERROR(INDEX(ケイパビリティマップ!$E:$E,MATCH(B30,ケイパビリティマップ!$A:$A,0)),"（IDなし）")</f>
        <v/>
      </c>
      <c r="D30" s="154" t="n"/>
      <c r="E30" s="154" t="n"/>
      <c r="F30" s="154" t="n"/>
      <c r="G30" s="154" t="n"/>
      <c r="H30" s="154" t="n"/>
      <c r="I30" s="154" t="inlineStr">
        <is>
          <t>C</t>
        </is>
      </c>
      <c r="J30" s="154" t="n"/>
      <c r="K30" s="154" t="n"/>
      <c r="L30" s="154" t="n"/>
      <c r="M30" s="154" t="n"/>
      <c r="N30" s="154" t="n"/>
      <c r="O30" s="154" t="n"/>
      <c r="P30" s="154" t="n"/>
      <c r="Q30" s="154" t="n"/>
      <c r="R30" s="154" t="n"/>
      <c r="S30" s="154" t="n"/>
      <c r="T30" s="154" t="n"/>
      <c r="U30" s="154" t="n"/>
      <c r="V30" s="154" t="n"/>
      <c r="W30" s="154" t="n"/>
      <c r="X30" s="154" t="inlineStr">
        <is>
          <t>R</t>
        </is>
      </c>
      <c r="Y30" s="154" t="n"/>
      <c r="Z30" s="154" t="n"/>
      <c r="AA30" s="154" t="n"/>
      <c r="AB30" s="154" t="inlineStr">
        <is>
          <t>R</t>
        </is>
      </c>
      <c r="AC30" s="154" t="n"/>
      <c r="AD30" s="154" t="inlineStr">
        <is>
          <t>R</t>
        </is>
      </c>
      <c r="AE30" s="154" t="n"/>
      <c r="AF30" s="154" t="n"/>
      <c r="AG30" s="154" t="n"/>
      <c r="AH30" s="154" t="inlineStr">
        <is>
          <t>R</t>
        </is>
      </c>
      <c r="AI30" s="154" t="inlineStr">
        <is>
          <t>R</t>
        </is>
      </c>
      <c r="AJ30" s="154" t="inlineStr">
        <is>
          <t>R</t>
        </is>
      </c>
      <c r="AK30" s="154" t="inlineStr">
        <is>
          <t>R</t>
        </is>
      </c>
      <c r="AL30" s="154" t="n"/>
      <c r="AM30" s="154" t="n"/>
      <c r="AN30" s="154" t="n"/>
      <c r="AO30" s="154" t="n"/>
      <c r="AP30" s="154" t="n"/>
      <c r="AQ30" s="154" t="n"/>
      <c r="AR30" s="154" t="n"/>
      <c r="AS30" s="154" t="n"/>
      <c r="AT30" s="154" t="n"/>
      <c r="AU30" s="154" t="n"/>
      <c r="AV30" s="154" t="inlineStr">
        <is>
          <t>R</t>
        </is>
      </c>
      <c r="AW30" s="154" t="n"/>
      <c r="AX30" s="154" t="n"/>
      <c r="AY30" s="154" t="n"/>
      <c r="AZ30" s="154" t="n"/>
      <c r="BA30" s="154" t="n"/>
      <c r="BB30" s="154" t="n"/>
      <c r="BC30" s="154" t="n"/>
      <c r="BD30" s="154" t="inlineStr">
        <is>
          <t>R</t>
        </is>
      </c>
      <c r="BE30" s="154" t="inlineStr">
        <is>
          <t>R</t>
        </is>
      </c>
      <c r="BF30" s="154" t="n"/>
      <c r="BG30" s="154" t="n"/>
      <c r="BH30" s="154" t="n"/>
      <c r="BI30" s="154" t="n"/>
      <c r="BJ30" s="154" t="n"/>
      <c r="BK30" s="154" t="n"/>
      <c r="BL30" s="154" t="inlineStr">
        <is>
          <t>R</t>
        </is>
      </c>
      <c r="BM30" s="154" t="inlineStr">
        <is>
          <t>R</t>
        </is>
      </c>
      <c r="BN30" s="154" t="inlineStr">
        <is>
          <t>R</t>
        </is>
      </c>
      <c r="BO30" s="154" t="n"/>
      <c r="BP30" s="154" t="n"/>
      <c r="BQ30" s="154" t="n"/>
      <c r="BR30" s="154" t="n"/>
      <c r="BS30" s="154" t="n"/>
      <c r="BT30" s="154" t="inlineStr">
        <is>
          <t>R</t>
        </is>
      </c>
      <c r="BU30" s="154" t="inlineStr">
        <is>
          <t>C</t>
        </is>
      </c>
      <c r="BV30" s="154" t="inlineStr">
        <is>
          <t>C</t>
        </is>
      </c>
      <c r="BW30" s="154" t="inlineStr">
        <is>
          <t>C</t>
        </is>
      </c>
      <c r="BX30" s="154" t="inlineStr">
        <is>
          <t>C</t>
        </is>
      </c>
      <c r="BY30" s="154" t="n"/>
      <c r="BZ30" s="154" t="n"/>
      <c r="CA30" s="154" t="n"/>
      <c r="CB30" s="154" t="n"/>
      <c r="CC30" s="154" t="n"/>
      <c r="CD30" s="154" t="n"/>
      <c r="CE30" s="154" t="n"/>
      <c r="CF30" s="154" t="n"/>
      <c r="CG30" s="154" t="n"/>
      <c r="CH30" s="154" t="n"/>
      <c r="CI30" s="154" t="n"/>
      <c r="CJ30" s="154" t="n"/>
      <c r="CK30" s="154" t="n"/>
      <c r="CL30" s="154" t="n"/>
      <c r="CM30" s="154" t="n"/>
      <c r="CN30" s="154" t="n"/>
      <c r="CO30" s="154" t="n"/>
      <c r="CP30" s="154" t="n"/>
      <c r="CQ30" s="154" t="n"/>
      <c r="CR30" s="154" t="n"/>
      <c r="CS30" s="154" t="n"/>
      <c r="CT30" s="154" t="n"/>
      <c r="CU30" s="154" t="n"/>
      <c r="CV30" s="149">
        <f>COUNTIF(D30:CU30,"C")</f>
        <v/>
      </c>
      <c r="CW30" s="149">
        <f>COUNTIF(D30:CU30,"R")</f>
        <v/>
      </c>
    </row>
    <row r="31">
      <c r="A31" s="152" t="n"/>
      <c r="B31" s="146" t="inlineStr">
        <is>
          <t>C06-03</t>
        </is>
      </c>
      <c r="C31" s="153">
        <f>IFERROR(INDEX(ケイパビリティマップ!$E:$E,MATCH(B31,ケイパビリティマップ!$A:$A,0)),"（IDなし）")</f>
        <v/>
      </c>
      <c r="D31" s="154" t="n"/>
      <c r="E31" s="154" t="n"/>
      <c r="F31" s="154" t="n"/>
      <c r="G31" s="154" t="n"/>
      <c r="H31" s="154" t="n"/>
      <c r="I31" s="154" t="n"/>
      <c r="J31" s="154" t="n"/>
      <c r="K31" s="154" t="n"/>
      <c r="L31" s="154" t="n"/>
      <c r="M31" s="154" t="n"/>
      <c r="N31" s="154" t="n"/>
      <c r="O31" s="154" t="n"/>
      <c r="P31" s="154" t="n"/>
      <c r="Q31" s="154" t="n"/>
      <c r="R31" s="154" t="n"/>
      <c r="S31" s="154" t="n"/>
      <c r="T31" s="154" t="n"/>
      <c r="U31" s="154" t="n"/>
      <c r="V31" s="154" t="n"/>
      <c r="W31" s="154" t="n"/>
      <c r="X31" s="154" t="n"/>
      <c r="Y31" s="154" t="n"/>
      <c r="Z31" s="154" t="n"/>
      <c r="AA31" s="154" t="n"/>
      <c r="AB31" s="154" t="n"/>
      <c r="AC31" s="154" t="n"/>
      <c r="AD31" s="154" t="n"/>
      <c r="AE31" s="154" t="n"/>
      <c r="AF31" s="154" t="n"/>
      <c r="AG31" s="154" t="n"/>
      <c r="AH31" s="154" t="n"/>
      <c r="AI31" s="154" t="n"/>
      <c r="AJ31" s="154" t="n"/>
      <c r="AK31" s="154" t="n"/>
      <c r="AL31" s="154" t="n"/>
      <c r="AM31" s="154" t="n"/>
      <c r="AN31" s="154" t="n"/>
      <c r="AO31" s="154" t="n"/>
      <c r="AP31" s="154" t="n"/>
      <c r="AQ31" s="154" t="n"/>
      <c r="AR31" s="154" t="n"/>
      <c r="AS31" s="154" t="n"/>
      <c r="AT31" s="154" t="n"/>
      <c r="AU31" s="154" t="n"/>
      <c r="AV31" s="154" t="n"/>
      <c r="AW31" s="154" t="n"/>
      <c r="AX31" s="154" t="n"/>
      <c r="AY31" s="154" t="inlineStr">
        <is>
          <t>C</t>
        </is>
      </c>
      <c r="AZ31" s="154" t="n"/>
      <c r="BA31" s="154" t="n"/>
      <c r="BB31" s="154" t="n"/>
      <c r="BC31" s="154" t="n"/>
      <c r="BD31" s="154" t="n"/>
      <c r="BE31" s="154" t="n"/>
      <c r="BF31" s="154" t="n"/>
      <c r="BG31" s="154" t="n"/>
      <c r="BH31" s="154" t="n"/>
      <c r="BI31" s="154" t="n"/>
      <c r="BJ31" s="154" t="n"/>
      <c r="BK31" s="154" t="n"/>
      <c r="BL31" s="154" t="n"/>
      <c r="BM31" s="154" t="inlineStr">
        <is>
          <t>R</t>
        </is>
      </c>
      <c r="BN31" s="154" t="n"/>
      <c r="BO31" s="154" t="n"/>
      <c r="BP31" s="154" t="n"/>
      <c r="BQ31" s="154" t="n"/>
      <c r="BR31" s="154" t="n"/>
      <c r="BS31" s="154" t="n"/>
      <c r="BT31" s="154" t="n"/>
      <c r="BU31" s="154" t="n"/>
      <c r="BV31" s="154" t="n"/>
      <c r="BW31" s="154" t="n"/>
      <c r="BX31" s="154" t="inlineStr">
        <is>
          <t>C</t>
        </is>
      </c>
      <c r="BY31" s="154" t="n"/>
      <c r="BZ31" s="154" t="n"/>
      <c r="CA31" s="154" t="n"/>
      <c r="CB31" s="154" t="n"/>
      <c r="CC31" s="154" t="n"/>
      <c r="CD31" s="154" t="n"/>
      <c r="CE31" s="154" t="n"/>
      <c r="CF31" s="154" t="n"/>
      <c r="CG31" s="154" t="n"/>
      <c r="CH31" s="154" t="n"/>
      <c r="CI31" s="154" t="n"/>
      <c r="CJ31" s="154" t="n"/>
      <c r="CK31" s="154" t="n"/>
      <c r="CL31" s="154" t="n"/>
      <c r="CM31" s="154" t="n"/>
      <c r="CN31" s="154" t="n"/>
      <c r="CO31" s="154" t="n"/>
      <c r="CP31" s="154" t="n"/>
      <c r="CQ31" s="154" t="n"/>
      <c r="CR31" s="154" t="n"/>
      <c r="CS31" s="154" t="n"/>
      <c r="CT31" s="154" t="n"/>
      <c r="CU31" s="154" t="n"/>
      <c r="CV31" s="149">
        <f>COUNTIF(D31:CU31,"C")</f>
        <v/>
      </c>
      <c r="CW31" s="149">
        <f>COUNTIF(D31:CU31,"R")</f>
        <v/>
      </c>
    </row>
    <row r="32">
      <c r="A32" s="152" t="n"/>
      <c r="B32" s="146" t="inlineStr">
        <is>
          <t>C06-04</t>
        </is>
      </c>
      <c r="C32" s="153">
        <f>IFERROR(INDEX(ケイパビリティマップ!$E:$E,MATCH(B32,ケイパビリティマップ!$A:$A,0)),"（IDなし）")</f>
        <v/>
      </c>
      <c r="D32" s="154" t="n"/>
      <c r="E32" s="154" t="n"/>
      <c r="F32" s="154" t="n"/>
      <c r="G32" s="154" t="n"/>
      <c r="H32" s="154" t="n"/>
      <c r="I32" s="154" t="n"/>
      <c r="J32" s="154" t="n"/>
      <c r="K32" s="154" t="n"/>
      <c r="L32" s="154" t="n"/>
      <c r="M32" s="154" t="n"/>
      <c r="N32" s="154" t="n"/>
      <c r="O32" s="154" t="n"/>
      <c r="P32" s="154" t="n"/>
      <c r="Q32" s="154" t="n"/>
      <c r="R32" s="154" t="n"/>
      <c r="S32" s="154" t="n"/>
      <c r="T32" s="154" t="n"/>
      <c r="U32" s="154" t="n"/>
      <c r="V32" s="154" t="n"/>
      <c r="W32" s="154" t="n"/>
      <c r="X32" s="154" t="n"/>
      <c r="Y32" s="154" t="n"/>
      <c r="Z32" s="154" t="n"/>
      <c r="AA32" s="154" t="n"/>
      <c r="AB32" s="154" t="n"/>
      <c r="AC32" s="154" t="n"/>
      <c r="AD32" s="154" t="n"/>
      <c r="AE32" s="154" t="n"/>
      <c r="AF32" s="154" t="n"/>
      <c r="AG32" s="154" t="n"/>
      <c r="AH32" s="154" t="n"/>
      <c r="AI32" s="154" t="n"/>
      <c r="AJ32" s="154" t="n"/>
      <c r="AK32" s="154" t="inlineStr">
        <is>
          <t>R</t>
        </is>
      </c>
      <c r="AL32" s="154" t="n"/>
      <c r="AM32" s="154" t="n"/>
      <c r="AN32" s="154" t="n"/>
      <c r="AO32" s="154" t="n"/>
      <c r="AP32" s="154" t="n"/>
      <c r="AQ32" s="154" t="n"/>
      <c r="AR32" s="154" t="n"/>
      <c r="AS32" s="154" t="n"/>
      <c r="AT32" s="154" t="inlineStr">
        <is>
          <t>R</t>
        </is>
      </c>
      <c r="AU32" s="154" t="n"/>
      <c r="AV32" s="154" t="n"/>
      <c r="AW32" s="154" t="n"/>
      <c r="AX32" s="154" t="inlineStr">
        <is>
          <t>R</t>
        </is>
      </c>
      <c r="AY32" s="154" t="n"/>
      <c r="AZ32" s="154" t="n"/>
      <c r="BA32" s="154" t="n"/>
      <c r="BB32" s="154" t="n"/>
      <c r="BC32" s="154" t="n"/>
      <c r="BD32" s="154" t="n"/>
      <c r="BE32" s="154" t="n"/>
      <c r="BF32" s="154" t="n"/>
      <c r="BG32" s="154" t="n"/>
      <c r="BH32" s="154" t="n"/>
      <c r="BI32" s="154" t="n"/>
      <c r="BJ32" s="154" t="n"/>
      <c r="BK32" s="154" t="n"/>
      <c r="BL32" s="154" t="n"/>
      <c r="BM32" s="154" t="n"/>
      <c r="BN32" s="154" t="inlineStr">
        <is>
          <t>R</t>
        </is>
      </c>
      <c r="BO32" s="154" t="n"/>
      <c r="BP32" s="154" t="n"/>
      <c r="BQ32" s="154" t="n"/>
      <c r="BR32" s="154" t="n"/>
      <c r="BS32" s="154" t="n"/>
      <c r="BT32" s="154" t="n"/>
      <c r="BU32" s="154" t="n"/>
      <c r="BV32" s="154" t="inlineStr">
        <is>
          <t>C</t>
        </is>
      </c>
      <c r="BW32" s="154" t="inlineStr">
        <is>
          <t>C</t>
        </is>
      </c>
      <c r="BX32" s="154" t="n"/>
      <c r="BY32" s="154" t="inlineStr">
        <is>
          <t>C</t>
        </is>
      </c>
      <c r="BZ32" s="154" t="inlineStr">
        <is>
          <t>C</t>
        </is>
      </c>
      <c r="CA32" s="154" t="n"/>
      <c r="CB32" s="154" t="inlineStr">
        <is>
          <t>C</t>
        </is>
      </c>
      <c r="CC32" s="154" t="n"/>
      <c r="CD32" s="154" t="inlineStr">
        <is>
          <t>R</t>
        </is>
      </c>
      <c r="CE32" s="154" t="n"/>
      <c r="CF32" s="154" t="n"/>
      <c r="CG32" s="154" t="n"/>
      <c r="CH32" s="154" t="n"/>
      <c r="CI32" s="154" t="n"/>
      <c r="CJ32" s="154" t="n"/>
      <c r="CK32" s="154" t="n"/>
      <c r="CL32" s="154" t="n"/>
      <c r="CM32" s="154" t="n"/>
      <c r="CN32" s="154" t="n"/>
      <c r="CO32" s="154" t="n"/>
      <c r="CP32" s="154" t="n"/>
      <c r="CQ32" s="154" t="n"/>
      <c r="CR32" s="154" t="n"/>
      <c r="CS32" s="154" t="n"/>
      <c r="CT32" s="154" t="n"/>
      <c r="CU32" s="154" t="n"/>
      <c r="CV32" s="149">
        <f>COUNTIF(D32:CU32,"C")</f>
        <v/>
      </c>
      <c r="CW32" s="149">
        <f>COUNTIF(D32:CU32,"R")</f>
        <v/>
      </c>
    </row>
    <row r="33">
      <c r="A33" s="152" t="inlineStr">
        <is>
          <t>C07 製造</t>
        </is>
      </c>
      <c r="B33" s="146" t="inlineStr">
        <is>
          <t>C07-01</t>
        </is>
      </c>
      <c r="C33" s="153">
        <f>IFERROR(INDEX(ケイパビリティマップ!$E:$E,MATCH(B33,ケイパビリティマップ!$A:$A,0)),"（IDなし）")</f>
        <v/>
      </c>
      <c r="D33" s="154" t="n"/>
      <c r="E33" s="154" t="n"/>
      <c r="F33" s="154" t="n"/>
      <c r="G33" s="154" t="n"/>
      <c r="H33" s="154" t="n"/>
      <c r="I33" s="154" t="n"/>
      <c r="J33" s="154" t="n"/>
      <c r="K33" s="154" t="n"/>
      <c r="L33" s="154" t="n"/>
      <c r="M33" s="154" t="n"/>
      <c r="N33" s="154" t="n"/>
      <c r="O33" s="154" t="n"/>
      <c r="P33" s="154" t="n"/>
      <c r="Q33" s="154" t="n"/>
      <c r="R33" s="154" t="n"/>
      <c r="S33" s="154" t="n"/>
      <c r="T33" s="154" t="n"/>
      <c r="U33" s="154" t="n"/>
      <c r="V33" s="154" t="n"/>
      <c r="W33" s="154" t="n"/>
      <c r="X33" s="154" t="n"/>
      <c r="Y33" s="154" t="n"/>
      <c r="Z33" s="154" t="n"/>
      <c r="AA33" s="154" t="n"/>
      <c r="AB33" s="154" t="n"/>
      <c r="AC33" s="154" t="n"/>
      <c r="AD33" s="154" t="n"/>
      <c r="AE33" s="154" t="n"/>
      <c r="AF33" s="154" t="n"/>
      <c r="AG33" s="154" t="n"/>
      <c r="AH33" s="154" t="n"/>
      <c r="AI33" s="154" t="n"/>
      <c r="AJ33" s="154" t="n"/>
      <c r="AK33" s="154" t="n"/>
      <c r="AL33" s="154" t="n"/>
      <c r="AM33" s="154" t="inlineStr">
        <is>
          <t>C</t>
        </is>
      </c>
      <c r="AN33" s="154" t="inlineStr">
        <is>
          <t>C</t>
        </is>
      </c>
      <c r="AO33" s="154" t="inlineStr">
        <is>
          <t>C</t>
        </is>
      </c>
      <c r="AP33" s="154" t="inlineStr">
        <is>
          <t>C</t>
        </is>
      </c>
      <c r="AQ33" s="154" t="n"/>
      <c r="AR33" s="154" t="n"/>
      <c r="AS33" s="154" t="n"/>
      <c r="AT33" s="154" t="n"/>
      <c r="AU33" s="154" t="n"/>
      <c r="AV33" s="154" t="n"/>
      <c r="AW33" s="154" t="n"/>
      <c r="AX33" s="154" t="n"/>
      <c r="AY33" s="154" t="n"/>
      <c r="AZ33" s="154" t="n"/>
      <c r="BA33" s="154" t="n"/>
      <c r="BB33" s="154" t="n"/>
      <c r="BC33" s="154" t="n"/>
      <c r="BD33" s="154" t="n"/>
      <c r="BE33" s="154" t="n"/>
      <c r="BF33" s="154" t="n"/>
      <c r="BG33" s="154" t="n"/>
      <c r="BH33" s="154" t="n"/>
      <c r="BI33" s="154" t="n"/>
      <c r="BJ33" s="154" t="n"/>
      <c r="BK33" s="154" t="n"/>
      <c r="BL33" s="154" t="n"/>
      <c r="BM33" s="154" t="n"/>
      <c r="BN33" s="154" t="n"/>
      <c r="BO33" s="154" t="n"/>
      <c r="BP33" s="154" t="n"/>
      <c r="BQ33" s="154" t="n"/>
      <c r="BR33" s="154" t="n"/>
      <c r="BS33" s="154" t="n"/>
      <c r="BT33" s="154" t="n"/>
      <c r="BU33" s="154" t="n"/>
      <c r="BV33" s="154" t="n"/>
      <c r="BW33" s="154" t="n"/>
      <c r="BX33" s="154" t="n"/>
      <c r="BY33" s="154" t="n"/>
      <c r="BZ33" s="154" t="n"/>
      <c r="CA33" s="154" t="n"/>
      <c r="CB33" s="154" t="n"/>
      <c r="CC33" s="154" t="n"/>
      <c r="CD33" s="154" t="n"/>
      <c r="CE33" s="154" t="n"/>
      <c r="CF33" s="154" t="n"/>
      <c r="CG33" s="154" t="n"/>
      <c r="CH33" s="154" t="n"/>
      <c r="CI33" s="154" t="n"/>
      <c r="CJ33" s="154" t="n"/>
      <c r="CK33" s="154" t="n"/>
      <c r="CL33" s="154" t="n"/>
      <c r="CM33" s="154" t="n"/>
      <c r="CN33" s="154" t="n"/>
      <c r="CO33" s="154" t="inlineStr">
        <is>
          <t>R</t>
        </is>
      </c>
      <c r="CP33" s="154" t="inlineStr">
        <is>
          <t>R</t>
        </is>
      </c>
      <c r="CQ33" s="154" t="n"/>
      <c r="CR33" s="154" t="n"/>
      <c r="CS33" s="154" t="n"/>
      <c r="CT33" s="154" t="n"/>
      <c r="CU33" s="154" t="n"/>
      <c r="CV33" s="149">
        <f>COUNTIF(D33:CU33,"C")</f>
        <v/>
      </c>
      <c r="CW33" s="149">
        <f>COUNTIF(D33:CU33,"R")</f>
        <v/>
      </c>
    </row>
    <row r="34">
      <c r="A34" s="152" t="n"/>
      <c r="B34" s="146" t="inlineStr">
        <is>
          <t>C07-02</t>
        </is>
      </c>
      <c r="C34" s="153">
        <f>IFERROR(INDEX(ケイパビリティマップ!$E:$E,MATCH(B34,ケイパビリティマップ!$A:$A,0)),"（IDなし）")</f>
        <v/>
      </c>
      <c r="D34" s="154" t="n"/>
      <c r="E34" s="154" t="n"/>
      <c r="F34" s="154" t="n"/>
      <c r="G34" s="154" t="n"/>
      <c r="H34" s="154" t="n"/>
      <c r="I34" s="154" t="n"/>
      <c r="J34" s="154" t="n"/>
      <c r="K34" s="154" t="n"/>
      <c r="L34" s="154" t="n"/>
      <c r="M34" s="154" t="n"/>
      <c r="N34" s="154" t="n"/>
      <c r="O34" s="154" t="n"/>
      <c r="P34" s="154" t="n"/>
      <c r="Q34" s="154" t="n"/>
      <c r="R34" s="154" t="n"/>
      <c r="S34" s="154" t="n"/>
      <c r="T34" s="154" t="n"/>
      <c r="U34" s="154" t="n"/>
      <c r="V34" s="154" t="n"/>
      <c r="W34" s="154" t="n"/>
      <c r="X34" s="154" t="n"/>
      <c r="Y34" s="154" t="n"/>
      <c r="Z34" s="154" t="n"/>
      <c r="AA34" s="154" t="inlineStr">
        <is>
          <t>R</t>
        </is>
      </c>
      <c r="AB34" s="154" t="n"/>
      <c r="AC34" s="154" t="n"/>
      <c r="AD34" s="154" t="n"/>
      <c r="AE34" s="154" t="n"/>
      <c r="AF34" s="154" t="n"/>
      <c r="AG34" s="154" t="n"/>
      <c r="AH34" s="154" t="n"/>
      <c r="AI34" s="154" t="n"/>
      <c r="AJ34" s="154" t="n"/>
      <c r="AK34" s="154" t="n"/>
      <c r="AL34" s="154" t="inlineStr">
        <is>
          <t>R</t>
        </is>
      </c>
      <c r="AM34" s="154" t="inlineStr">
        <is>
          <t>R</t>
        </is>
      </c>
      <c r="AN34" s="154" t="inlineStr">
        <is>
          <t>R</t>
        </is>
      </c>
      <c r="AO34" s="154" t="inlineStr">
        <is>
          <t>C</t>
        </is>
      </c>
      <c r="AP34" s="154" t="inlineStr">
        <is>
          <t>C</t>
        </is>
      </c>
      <c r="AQ34" s="154" t="inlineStr">
        <is>
          <t>C</t>
        </is>
      </c>
      <c r="AR34" s="154" t="n"/>
      <c r="AS34" s="154" t="n"/>
      <c r="AT34" s="154" t="n"/>
      <c r="AU34" s="154" t="n"/>
      <c r="AV34" s="154" t="n"/>
      <c r="AW34" s="154" t="n"/>
      <c r="AX34" s="154" t="n"/>
      <c r="AY34" s="154" t="n"/>
      <c r="AZ34" s="154" t="n"/>
      <c r="BA34" s="154" t="n"/>
      <c r="BB34" s="154" t="n"/>
      <c r="BC34" s="154" t="n"/>
      <c r="BD34" s="154" t="n"/>
      <c r="BE34" s="154" t="n"/>
      <c r="BF34" s="154" t="n"/>
      <c r="BG34" s="154" t="n"/>
      <c r="BH34" s="154" t="n"/>
      <c r="BI34" s="154" t="n"/>
      <c r="BJ34" s="154" t="n"/>
      <c r="BK34" s="154" t="n"/>
      <c r="BL34" s="154" t="n"/>
      <c r="BM34" s="154" t="n"/>
      <c r="BN34" s="154" t="n"/>
      <c r="BO34" s="154" t="n"/>
      <c r="BP34" s="154" t="n"/>
      <c r="BQ34" s="154" t="n"/>
      <c r="BR34" s="154" t="n"/>
      <c r="BS34" s="154" t="n"/>
      <c r="BT34" s="154" t="n"/>
      <c r="BU34" s="154" t="n"/>
      <c r="BV34" s="154" t="n"/>
      <c r="BW34" s="154" t="n"/>
      <c r="BX34" s="154" t="n"/>
      <c r="BY34" s="154" t="n"/>
      <c r="BZ34" s="154" t="n"/>
      <c r="CA34" s="154" t="n"/>
      <c r="CB34" s="154" t="n"/>
      <c r="CC34" s="154" t="n"/>
      <c r="CD34" s="154" t="n"/>
      <c r="CE34" s="154" t="n"/>
      <c r="CF34" s="154" t="n"/>
      <c r="CG34" s="154" t="n"/>
      <c r="CH34" s="154" t="n"/>
      <c r="CI34" s="154" t="n"/>
      <c r="CJ34" s="154" t="n"/>
      <c r="CK34" s="154" t="n"/>
      <c r="CL34" s="154" t="n"/>
      <c r="CM34" s="154" t="n"/>
      <c r="CN34" s="154" t="n"/>
      <c r="CO34" s="154" t="n"/>
      <c r="CP34" s="154" t="inlineStr">
        <is>
          <t>C</t>
        </is>
      </c>
      <c r="CQ34" s="154" t="n"/>
      <c r="CR34" s="154" t="n"/>
      <c r="CS34" s="154" t="n"/>
      <c r="CT34" s="154" t="n"/>
      <c r="CU34" s="154" t="n"/>
      <c r="CV34" s="149">
        <f>COUNTIF(D34:CU34,"C")</f>
        <v/>
      </c>
      <c r="CW34" s="149">
        <f>COUNTIF(D34:CU34,"R")</f>
        <v/>
      </c>
    </row>
    <row r="35">
      <c r="A35" s="152" t="n"/>
      <c r="B35" s="146" t="inlineStr">
        <is>
          <t>C07-03</t>
        </is>
      </c>
      <c r="C35" s="153">
        <f>IFERROR(INDEX(ケイパビリティマップ!$E:$E,MATCH(B35,ケイパビリティマップ!$A:$A,0)),"（IDなし）")</f>
        <v/>
      </c>
      <c r="D35" s="154" t="inlineStr">
        <is>
          <t>R</t>
        </is>
      </c>
      <c r="E35" s="154" t="n"/>
      <c r="F35" s="154" t="n"/>
      <c r="G35" s="154" t="n"/>
      <c r="H35" s="154" t="n"/>
      <c r="I35" s="154" t="n"/>
      <c r="J35" s="154" t="n"/>
      <c r="K35" s="154" t="n"/>
      <c r="L35" s="154" t="n"/>
      <c r="M35" s="154" t="n"/>
      <c r="N35" s="154" t="n"/>
      <c r="O35" s="154" t="n"/>
      <c r="P35" s="154" t="n"/>
      <c r="Q35" s="154" t="n"/>
      <c r="R35" s="154" t="n"/>
      <c r="S35" s="154" t="n"/>
      <c r="T35" s="154" t="n"/>
      <c r="U35" s="154" t="n"/>
      <c r="V35" s="154" t="n"/>
      <c r="W35" s="154" t="n"/>
      <c r="X35" s="154" t="n"/>
      <c r="Y35" s="154" t="n"/>
      <c r="Z35" s="154" t="n"/>
      <c r="AA35" s="154" t="inlineStr">
        <is>
          <t>R</t>
        </is>
      </c>
      <c r="AB35" s="154" t="n"/>
      <c r="AC35" s="154" t="n"/>
      <c r="AD35" s="154" t="inlineStr">
        <is>
          <t>R</t>
        </is>
      </c>
      <c r="AE35" s="154" t="n"/>
      <c r="AF35" s="154" t="n"/>
      <c r="AG35" s="154" t="n"/>
      <c r="AH35" s="154" t="n"/>
      <c r="AI35" s="154" t="n"/>
      <c r="AJ35" s="154" t="n"/>
      <c r="AK35" s="154" t="n"/>
      <c r="AL35" s="154" t="inlineStr">
        <is>
          <t>R</t>
        </is>
      </c>
      <c r="AM35" s="154" t="n"/>
      <c r="AN35" s="154" t="inlineStr">
        <is>
          <t>R</t>
        </is>
      </c>
      <c r="AO35" s="154" t="inlineStr">
        <is>
          <t>C</t>
        </is>
      </c>
      <c r="AP35" s="154" t="inlineStr">
        <is>
          <t>C</t>
        </is>
      </c>
      <c r="AQ35" s="154" t="n"/>
      <c r="AR35" s="154" t="n"/>
      <c r="AS35" s="154" t="n"/>
      <c r="AT35" s="154" t="n"/>
      <c r="AU35" s="154" t="n"/>
      <c r="AV35" s="154" t="n"/>
      <c r="AW35" s="154" t="inlineStr">
        <is>
          <t>C</t>
        </is>
      </c>
      <c r="AX35" s="154" t="n"/>
      <c r="AY35" s="154" t="inlineStr">
        <is>
          <t>R</t>
        </is>
      </c>
      <c r="AZ35" s="154" t="n"/>
      <c r="BA35" s="154" t="n"/>
      <c r="BB35" s="154" t="n"/>
      <c r="BC35" s="154" t="n"/>
      <c r="BD35" s="154" t="n"/>
      <c r="BE35" s="154" t="n"/>
      <c r="BF35" s="154" t="n"/>
      <c r="BG35" s="154" t="n"/>
      <c r="BH35" s="154" t="n"/>
      <c r="BI35" s="154" t="n"/>
      <c r="BJ35" s="154" t="n"/>
      <c r="BK35" s="154" t="n"/>
      <c r="BL35" s="154" t="n"/>
      <c r="BM35" s="154" t="n"/>
      <c r="BN35" s="154" t="n"/>
      <c r="BO35" s="154" t="n"/>
      <c r="BP35" s="154" t="n"/>
      <c r="BQ35" s="154" t="n"/>
      <c r="BR35" s="154" t="n"/>
      <c r="BS35" s="154" t="n"/>
      <c r="BT35" s="154" t="n"/>
      <c r="BU35" s="154" t="n"/>
      <c r="BV35" s="154" t="n"/>
      <c r="BW35" s="154" t="n"/>
      <c r="BX35" s="154" t="n"/>
      <c r="BY35" s="154" t="n"/>
      <c r="BZ35" s="154" t="n"/>
      <c r="CA35" s="154" t="n"/>
      <c r="CB35" s="154" t="n"/>
      <c r="CC35" s="154" t="n"/>
      <c r="CD35" s="154" t="n"/>
      <c r="CE35" s="154" t="n"/>
      <c r="CF35" s="154" t="n"/>
      <c r="CG35" s="154" t="n"/>
      <c r="CH35" s="154" t="n"/>
      <c r="CI35" s="154" t="n"/>
      <c r="CJ35" s="154" t="n"/>
      <c r="CK35" s="154" t="n"/>
      <c r="CL35" s="154" t="n"/>
      <c r="CM35" s="154" t="n"/>
      <c r="CN35" s="154" t="n"/>
      <c r="CO35" s="154" t="n"/>
      <c r="CP35" s="154" t="n"/>
      <c r="CQ35" s="154" t="n"/>
      <c r="CR35" s="154" t="n"/>
      <c r="CS35" s="154" t="inlineStr">
        <is>
          <t>C</t>
        </is>
      </c>
      <c r="CT35" s="154" t="n"/>
      <c r="CU35" s="154" t="n"/>
      <c r="CV35" s="149">
        <f>COUNTIF(D35:CU35,"C")</f>
        <v/>
      </c>
      <c r="CW35" s="149">
        <f>COUNTIF(D35:CU35,"R")</f>
        <v/>
      </c>
    </row>
    <row r="36">
      <c r="A36" s="152" t="n"/>
      <c r="B36" s="146" t="inlineStr">
        <is>
          <t>C07-04</t>
        </is>
      </c>
      <c r="C36" s="153">
        <f>IFERROR(INDEX(ケイパビリティマップ!$E:$E,MATCH(B36,ケイパビリティマップ!$A:$A,0)),"（IDなし）")</f>
        <v/>
      </c>
      <c r="D36" s="154" t="n"/>
      <c r="E36" s="154" t="n"/>
      <c r="F36" s="154" t="n"/>
      <c r="G36" s="154" t="n"/>
      <c r="H36" s="154" t="n"/>
      <c r="I36" s="154" t="n"/>
      <c r="J36" s="154" t="n"/>
      <c r="K36" s="154" t="n"/>
      <c r="L36" s="154" t="n"/>
      <c r="M36" s="154" t="n"/>
      <c r="N36" s="154" t="n"/>
      <c r="O36" s="154" t="n"/>
      <c r="P36" s="154" t="n"/>
      <c r="Q36" s="154" t="n"/>
      <c r="R36" s="154" t="n"/>
      <c r="S36" s="154" t="n"/>
      <c r="T36" s="154" t="n"/>
      <c r="U36" s="154" t="n"/>
      <c r="V36" s="154" t="n"/>
      <c r="W36" s="154" t="n"/>
      <c r="X36" s="154" t="n"/>
      <c r="Y36" s="154" t="n"/>
      <c r="Z36" s="154" t="n"/>
      <c r="AA36" s="154" t="n"/>
      <c r="AB36" s="154" t="n"/>
      <c r="AC36" s="154" t="n"/>
      <c r="AD36" s="154" t="n"/>
      <c r="AE36" s="154" t="n"/>
      <c r="AF36" s="154" t="n"/>
      <c r="AG36" s="154" t="n"/>
      <c r="AH36" s="154" t="n"/>
      <c r="AI36" s="154" t="n"/>
      <c r="AJ36" s="154" t="n"/>
      <c r="AK36" s="154" t="n"/>
      <c r="AL36" s="154" t="n"/>
      <c r="AM36" s="154" t="n"/>
      <c r="AN36" s="154" t="n"/>
      <c r="AO36" s="154" t="n"/>
      <c r="AP36" s="154" t="n"/>
      <c r="AQ36" s="154" t="n"/>
      <c r="AR36" s="154" t="n"/>
      <c r="AS36" s="154" t="n"/>
      <c r="AT36" s="154" t="n"/>
      <c r="AU36" s="154" t="n"/>
      <c r="AV36" s="154" t="n"/>
      <c r="AW36" s="154" t="inlineStr">
        <is>
          <t>C</t>
        </is>
      </c>
      <c r="AX36" s="154" t="n"/>
      <c r="AY36" s="154" t="n"/>
      <c r="AZ36" s="154" t="n"/>
      <c r="BA36" s="154" t="n"/>
      <c r="BB36" s="154" t="n"/>
      <c r="BC36" s="154" t="n"/>
      <c r="BD36" s="154" t="n"/>
      <c r="BE36" s="154" t="n"/>
      <c r="BF36" s="154" t="n"/>
      <c r="BG36" s="154" t="n"/>
      <c r="BH36" s="154" t="n"/>
      <c r="BI36" s="154" t="n"/>
      <c r="BJ36" s="154" t="n"/>
      <c r="BK36" s="154" t="n"/>
      <c r="BL36" s="154" t="n"/>
      <c r="BM36" s="154" t="n"/>
      <c r="BN36" s="154" t="n"/>
      <c r="BO36" s="154" t="n"/>
      <c r="BP36" s="154" t="n"/>
      <c r="BQ36" s="154" t="n"/>
      <c r="BR36" s="154" t="n"/>
      <c r="BS36" s="154" t="n"/>
      <c r="BT36" s="154" t="n"/>
      <c r="BU36" s="154" t="n"/>
      <c r="BV36" s="154" t="n"/>
      <c r="BW36" s="154" t="n"/>
      <c r="BX36" s="154" t="n"/>
      <c r="BY36" s="154" t="n"/>
      <c r="BZ36" s="154" t="n"/>
      <c r="CA36" s="154" t="n"/>
      <c r="CB36" s="154" t="n"/>
      <c r="CC36" s="154" t="n"/>
      <c r="CD36" s="154" t="n"/>
      <c r="CE36" s="154" t="n"/>
      <c r="CF36" s="154" t="n"/>
      <c r="CG36" s="154" t="n"/>
      <c r="CH36" s="154" t="n"/>
      <c r="CI36" s="154" t="n"/>
      <c r="CJ36" s="154" t="n"/>
      <c r="CK36" s="154" t="n"/>
      <c r="CL36" s="154" t="n"/>
      <c r="CM36" s="154" t="n"/>
      <c r="CN36" s="154" t="n"/>
      <c r="CO36" s="154" t="n"/>
      <c r="CP36" s="154" t="n"/>
      <c r="CQ36" s="154" t="n"/>
      <c r="CR36" s="154" t="n"/>
      <c r="CS36" s="154" t="n"/>
      <c r="CT36" s="154" t="n"/>
      <c r="CU36" s="154" t="n"/>
      <c r="CV36" s="149">
        <f>COUNTIF(D36:CU36,"C")</f>
        <v/>
      </c>
      <c r="CW36" s="149">
        <f>COUNTIF(D36:CU36,"R")</f>
        <v/>
      </c>
    </row>
    <row r="37">
      <c r="A37" s="152" t="inlineStr">
        <is>
          <t>C08 品質</t>
        </is>
      </c>
      <c r="B37" s="146" t="inlineStr">
        <is>
          <t>C08-01</t>
        </is>
      </c>
      <c r="C37" s="153">
        <f>IFERROR(INDEX(ケイパビリティマップ!$E:$E,MATCH(B37,ケイパビリティマップ!$A:$A,0)),"（IDなし）")</f>
        <v/>
      </c>
      <c r="D37" s="154" t="n"/>
      <c r="E37" s="154" t="n"/>
      <c r="F37" s="154" t="n"/>
      <c r="G37" s="154" t="n"/>
      <c r="H37" s="154" t="n"/>
      <c r="I37" s="154" t="n"/>
      <c r="J37" s="154" t="n"/>
      <c r="K37" s="154" t="n"/>
      <c r="L37" s="154" t="n"/>
      <c r="M37" s="154" t="n"/>
      <c r="N37" s="154" t="n"/>
      <c r="O37" s="154" t="n"/>
      <c r="P37" s="154" t="n"/>
      <c r="Q37" s="154" t="n"/>
      <c r="R37" s="154" t="n"/>
      <c r="S37" s="154" t="n"/>
      <c r="T37" s="154" t="n"/>
      <c r="U37" s="154" t="n"/>
      <c r="V37" s="154" t="n"/>
      <c r="W37" s="154" t="n"/>
      <c r="X37" s="154" t="n"/>
      <c r="Y37" s="154" t="n"/>
      <c r="Z37" s="154" t="n"/>
      <c r="AA37" s="154" t="n"/>
      <c r="AB37" s="154" t="n"/>
      <c r="AC37" s="154" t="n"/>
      <c r="AD37" s="154" t="n"/>
      <c r="AE37" s="154" t="n"/>
      <c r="AF37" s="154" t="inlineStr">
        <is>
          <t>R</t>
        </is>
      </c>
      <c r="AG37" s="154" t="inlineStr">
        <is>
          <t>R</t>
        </is>
      </c>
      <c r="AH37" s="154" t="inlineStr">
        <is>
          <t>R</t>
        </is>
      </c>
      <c r="AI37" s="154" t="n"/>
      <c r="AJ37" s="154" t="inlineStr">
        <is>
          <t>C</t>
        </is>
      </c>
      <c r="AK37" s="154" t="n"/>
      <c r="AL37" s="154" t="n"/>
      <c r="AM37" s="154" t="n"/>
      <c r="AN37" s="154" t="n"/>
      <c r="AO37" s="154" t="n"/>
      <c r="AP37" s="154" t="inlineStr">
        <is>
          <t>R</t>
        </is>
      </c>
      <c r="AQ37" s="154" t="n"/>
      <c r="AR37" s="154" t="inlineStr">
        <is>
          <t>C</t>
        </is>
      </c>
      <c r="AS37" s="154" t="inlineStr">
        <is>
          <t>R</t>
        </is>
      </c>
      <c r="AT37" s="154" t="inlineStr">
        <is>
          <t>R</t>
        </is>
      </c>
      <c r="AU37" s="154" t="inlineStr">
        <is>
          <t>C</t>
        </is>
      </c>
      <c r="AV37" s="154" t="n"/>
      <c r="AW37" s="154" t="n"/>
      <c r="AX37" s="154" t="inlineStr">
        <is>
          <t>C</t>
        </is>
      </c>
      <c r="AY37" s="154" t="n"/>
      <c r="AZ37" s="154" t="n"/>
      <c r="BA37" s="154" t="n"/>
      <c r="BB37" s="154" t="n"/>
      <c r="BC37" s="154" t="n"/>
      <c r="BD37" s="154" t="n"/>
      <c r="BE37" s="154" t="n"/>
      <c r="BF37" s="154" t="n"/>
      <c r="BG37" s="154" t="n"/>
      <c r="BH37" s="154" t="n"/>
      <c r="BI37" s="154" t="n"/>
      <c r="BJ37" s="154" t="n"/>
      <c r="BK37" s="154" t="n"/>
      <c r="BL37" s="154" t="n"/>
      <c r="BM37" s="154" t="n"/>
      <c r="BN37" s="154" t="n"/>
      <c r="BO37" s="154" t="n"/>
      <c r="BP37" s="154" t="n"/>
      <c r="BQ37" s="154" t="n"/>
      <c r="BR37" s="154" t="n"/>
      <c r="BS37" s="154" t="n"/>
      <c r="BT37" s="154" t="n"/>
      <c r="BU37" s="154" t="n"/>
      <c r="BV37" s="154" t="n"/>
      <c r="BW37" s="154" t="n"/>
      <c r="BX37" s="154" t="n"/>
      <c r="BY37" s="154" t="n"/>
      <c r="BZ37" s="154" t="n"/>
      <c r="CA37" s="154" t="n"/>
      <c r="CB37" s="154" t="n"/>
      <c r="CC37" s="154" t="n"/>
      <c r="CD37" s="154" t="n"/>
      <c r="CE37" s="154" t="n"/>
      <c r="CF37" s="154" t="n"/>
      <c r="CG37" s="154" t="n"/>
      <c r="CH37" s="154" t="n"/>
      <c r="CI37" s="154" t="n"/>
      <c r="CJ37" s="154" t="n"/>
      <c r="CK37" s="154" t="n"/>
      <c r="CL37" s="154" t="n"/>
      <c r="CM37" s="154" t="n"/>
      <c r="CN37" s="154" t="n"/>
      <c r="CO37" s="154" t="n"/>
      <c r="CP37" s="154" t="n"/>
      <c r="CQ37" s="154" t="n"/>
      <c r="CR37" s="154" t="n"/>
      <c r="CS37" s="154" t="n"/>
      <c r="CT37" s="154" t="n"/>
      <c r="CU37" s="154" t="n"/>
      <c r="CV37" s="149">
        <f>COUNTIF(D37:CU37,"C")</f>
        <v/>
      </c>
      <c r="CW37" s="149">
        <f>COUNTIF(D37:CU37,"R")</f>
        <v/>
      </c>
    </row>
    <row r="38">
      <c r="A38" s="152" t="n"/>
      <c r="B38" s="146" t="inlineStr">
        <is>
          <t>C08-02</t>
        </is>
      </c>
      <c r="C38" s="153">
        <f>IFERROR(INDEX(ケイパビリティマップ!$E:$E,MATCH(B38,ケイパビリティマップ!$A:$A,0)),"（IDなし）")</f>
        <v/>
      </c>
      <c r="D38" s="154" t="n"/>
      <c r="E38" s="154" t="n"/>
      <c r="F38" s="154" t="n"/>
      <c r="G38" s="154" t="n"/>
      <c r="H38" s="154" t="n"/>
      <c r="I38" s="154" t="n"/>
      <c r="J38" s="154" t="n"/>
      <c r="K38" s="154" t="n"/>
      <c r="L38" s="154" t="n"/>
      <c r="M38" s="154" t="n"/>
      <c r="N38" s="154" t="n"/>
      <c r="O38" s="154" t="n"/>
      <c r="P38" s="154" t="n"/>
      <c r="Q38" s="154" t="n"/>
      <c r="R38" s="154" t="n"/>
      <c r="S38" s="154" t="n"/>
      <c r="T38" s="154" t="n"/>
      <c r="U38" s="154" t="n"/>
      <c r="V38" s="154" t="n"/>
      <c r="W38" s="154" t="n"/>
      <c r="X38" s="154" t="n"/>
      <c r="Y38" s="154" t="n"/>
      <c r="Z38" s="154" t="n"/>
      <c r="AA38" s="154" t="n"/>
      <c r="AB38" s="154" t="n"/>
      <c r="AC38" s="154" t="n"/>
      <c r="AD38" s="154" t="n"/>
      <c r="AE38" s="154" t="n"/>
      <c r="AF38" s="154" t="inlineStr">
        <is>
          <t>R</t>
        </is>
      </c>
      <c r="AG38" s="154" t="inlineStr">
        <is>
          <t>R</t>
        </is>
      </c>
      <c r="AH38" s="154" t="inlineStr">
        <is>
          <t>R</t>
        </is>
      </c>
      <c r="AI38" s="154" t="n"/>
      <c r="AJ38" s="154" t="inlineStr">
        <is>
          <t>C</t>
        </is>
      </c>
      <c r="AK38" s="154" t="n"/>
      <c r="AL38" s="154" t="n"/>
      <c r="AM38" s="154" t="n"/>
      <c r="AN38" s="154" t="n"/>
      <c r="AO38" s="154" t="inlineStr">
        <is>
          <t>R</t>
        </is>
      </c>
      <c r="AP38" s="154" t="inlineStr">
        <is>
          <t>R</t>
        </is>
      </c>
      <c r="AQ38" s="154" t="n"/>
      <c r="AR38" s="154" t="inlineStr">
        <is>
          <t>C</t>
        </is>
      </c>
      <c r="AS38" s="154" t="inlineStr">
        <is>
          <t>C</t>
        </is>
      </c>
      <c r="AT38" s="154" t="inlineStr">
        <is>
          <t>C</t>
        </is>
      </c>
      <c r="AU38" s="154" t="inlineStr">
        <is>
          <t>C</t>
        </is>
      </c>
      <c r="AV38" s="154" t="n"/>
      <c r="AW38" s="154" t="n"/>
      <c r="AX38" s="154" t="inlineStr">
        <is>
          <t>C</t>
        </is>
      </c>
      <c r="AY38" s="154" t="n"/>
      <c r="AZ38" s="154" t="n"/>
      <c r="BA38" s="154" t="n"/>
      <c r="BB38" s="154" t="n"/>
      <c r="BC38" s="154" t="n"/>
      <c r="BD38" s="154" t="n"/>
      <c r="BE38" s="154" t="n"/>
      <c r="BF38" s="154" t="n"/>
      <c r="BG38" s="154" t="n"/>
      <c r="BH38" s="154" t="n"/>
      <c r="BI38" s="154" t="n"/>
      <c r="BJ38" s="154" t="n"/>
      <c r="BK38" s="154" t="n"/>
      <c r="BL38" s="154" t="n"/>
      <c r="BM38" s="154" t="n"/>
      <c r="BN38" s="154" t="n"/>
      <c r="BO38" s="154" t="n"/>
      <c r="BP38" s="154" t="n"/>
      <c r="BQ38" s="154" t="n"/>
      <c r="BR38" s="154" t="n"/>
      <c r="BS38" s="154" t="n"/>
      <c r="BT38" s="154" t="n"/>
      <c r="BU38" s="154" t="n"/>
      <c r="BV38" s="154" t="inlineStr">
        <is>
          <t>C</t>
        </is>
      </c>
      <c r="BW38" s="154" t="n"/>
      <c r="BX38" s="154" t="n"/>
      <c r="BY38" s="154" t="n"/>
      <c r="BZ38" s="154" t="n"/>
      <c r="CA38" s="154" t="n"/>
      <c r="CB38" s="154" t="n"/>
      <c r="CC38" s="154" t="n"/>
      <c r="CD38" s="154" t="n"/>
      <c r="CE38" s="154" t="n"/>
      <c r="CF38" s="154" t="n"/>
      <c r="CG38" s="154" t="n"/>
      <c r="CH38" s="154" t="n"/>
      <c r="CI38" s="154" t="n"/>
      <c r="CJ38" s="154" t="n"/>
      <c r="CK38" s="154" t="n"/>
      <c r="CL38" s="154" t="n"/>
      <c r="CM38" s="154" t="n"/>
      <c r="CN38" s="154" t="n"/>
      <c r="CO38" s="154" t="n"/>
      <c r="CP38" s="154" t="n"/>
      <c r="CQ38" s="154" t="n"/>
      <c r="CR38" s="154" t="n"/>
      <c r="CS38" s="154" t="n"/>
      <c r="CT38" s="154" t="n"/>
      <c r="CU38" s="154" t="n"/>
      <c r="CV38" s="149">
        <f>COUNTIF(D38:CU38,"C")</f>
        <v/>
      </c>
      <c r="CW38" s="149">
        <f>COUNTIF(D38:CU38,"R")</f>
        <v/>
      </c>
    </row>
    <row r="39">
      <c r="A39" s="152" t="n"/>
      <c r="B39" s="146" t="inlineStr">
        <is>
          <t>C08-03</t>
        </is>
      </c>
      <c r="C39" s="153">
        <f>IFERROR(INDEX(ケイパビリティマップ!$E:$E,MATCH(B39,ケイパビリティマップ!$A:$A,0)),"（IDなし）")</f>
        <v/>
      </c>
      <c r="D39" s="154" t="n"/>
      <c r="E39" s="154" t="n"/>
      <c r="F39" s="154" t="n"/>
      <c r="G39" s="154" t="n"/>
      <c r="H39" s="154" t="n"/>
      <c r="I39" s="154" t="n"/>
      <c r="J39" s="154" t="n"/>
      <c r="K39" s="154" t="n"/>
      <c r="L39" s="154" t="n"/>
      <c r="M39" s="154" t="n"/>
      <c r="N39" s="154" t="n"/>
      <c r="O39" s="154" t="n"/>
      <c r="P39" s="154" t="n"/>
      <c r="Q39" s="154" t="n"/>
      <c r="R39" s="154" t="n"/>
      <c r="S39" s="154" t="n"/>
      <c r="T39" s="154" t="n"/>
      <c r="U39" s="154" t="n"/>
      <c r="V39" s="154" t="n"/>
      <c r="W39" s="154" t="n"/>
      <c r="X39" s="154" t="n"/>
      <c r="Y39" s="154" t="n"/>
      <c r="Z39" s="154" t="n"/>
      <c r="AA39" s="154" t="inlineStr">
        <is>
          <t>R</t>
        </is>
      </c>
      <c r="AB39" s="154" t="n"/>
      <c r="AC39" s="154" t="n"/>
      <c r="AD39" s="154" t="n"/>
      <c r="AE39" s="154" t="n"/>
      <c r="AF39" s="154" t="n"/>
      <c r="AG39" s="154" t="n"/>
      <c r="AH39" s="154" t="n"/>
      <c r="AI39" s="154" t="inlineStr">
        <is>
          <t>R</t>
        </is>
      </c>
      <c r="AJ39" s="154" t="n"/>
      <c r="AK39" s="154" t="n"/>
      <c r="AL39" s="154" t="inlineStr">
        <is>
          <t>R</t>
        </is>
      </c>
      <c r="AM39" s="154" t="n"/>
      <c r="AN39" s="154" t="inlineStr">
        <is>
          <t>R</t>
        </is>
      </c>
      <c r="AO39" s="154" t="inlineStr">
        <is>
          <t>C</t>
        </is>
      </c>
      <c r="AP39" s="154" t="inlineStr">
        <is>
          <t>C</t>
        </is>
      </c>
      <c r="AQ39" s="154" t="inlineStr">
        <is>
          <t>C</t>
        </is>
      </c>
      <c r="AR39" s="154" t="inlineStr">
        <is>
          <t>C</t>
        </is>
      </c>
      <c r="AS39" s="154" t="n"/>
      <c r="AT39" s="154" t="n"/>
      <c r="AU39" s="154" t="n"/>
      <c r="AV39" s="154" t="inlineStr">
        <is>
          <t>C</t>
        </is>
      </c>
      <c r="AW39" s="154" t="n"/>
      <c r="AX39" s="154" t="n"/>
      <c r="AY39" s="154" t="n"/>
      <c r="AZ39" s="154" t="n"/>
      <c r="BA39" s="154" t="n"/>
      <c r="BB39" s="154" t="n"/>
      <c r="BC39" s="154" t="n"/>
      <c r="BD39" s="154" t="n"/>
      <c r="BE39" s="154" t="n"/>
      <c r="BF39" s="154" t="n"/>
      <c r="BG39" s="154" t="n"/>
      <c r="BH39" s="154" t="n"/>
      <c r="BI39" s="154" t="n"/>
      <c r="BJ39" s="154" t="n"/>
      <c r="BK39" s="154" t="n"/>
      <c r="BL39" s="154" t="n"/>
      <c r="BM39" s="154" t="n"/>
      <c r="BN39" s="154" t="n"/>
      <c r="BO39" s="154" t="n"/>
      <c r="BP39" s="154" t="n"/>
      <c r="BQ39" s="154" t="n"/>
      <c r="BR39" s="154" t="n"/>
      <c r="BS39" s="154" t="n"/>
      <c r="BT39" s="154" t="n"/>
      <c r="BU39" s="154" t="n"/>
      <c r="BV39" s="154" t="n"/>
      <c r="BW39" s="154" t="n"/>
      <c r="BX39" s="154" t="n"/>
      <c r="BY39" s="154" t="n"/>
      <c r="BZ39" s="154" t="n"/>
      <c r="CA39" s="154" t="n"/>
      <c r="CB39" s="154" t="n"/>
      <c r="CC39" s="154" t="n"/>
      <c r="CD39" s="154" t="n"/>
      <c r="CE39" s="154" t="n"/>
      <c r="CF39" s="154" t="n"/>
      <c r="CG39" s="154" t="n"/>
      <c r="CH39" s="154" t="n"/>
      <c r="CI39" s="154" t="n"/>
      <c r="CJ39" s="154" t="n"/>
      <c r="CK39" s="154" t="n"/>
      <c r="CL39" s="154" t="n"/>
      <c r="CM39" s="154" t="n"/>
      <c r="CN39" s="154" t="n"/>
      <c r="CO39" s="154" t="n"/>
      <c r="CP39" s="154" t="n"/>
      <c r="CQ39" s="154" t="n"/>
      <c r="CR39" s="154" t="n"/>
      <c r="CS39" s="154" t="n"/>
      <c r="CT39" s="154" t="n"/>
      <c r="CU39" s="154" t="n"/>
      <c r="CV39" s="149">
        <f>COUNTIF(D39:CU39,"C")</f>
        <v/>
      </c>
      <c r="CW39" s="149">
        <f>COUNTIF(D39:CU39,"R")</f>
        <v/>
      </c>
    </row>
    <row r="40">
      <c r="A40" s="152" t="n"/>
      <c r="B40" s="146" t="inlineStr">
        <is>
          <t>C08-04</t>
        </is>
      </c>
      <c r="C40" s="153">
        <f>IFERROR(INDEX(ケイパビリティマップ!$E:$E,MATCH(B40,ケイパビリティマップ!$A:$A,0)),"（IDなし）")</f>
        <v/>
      </c>
      <c r="D40" s="154" t="n"/>
      <c r="E40" s="154" t="n"/>
      <c r="F40" s="154" t="n"/>
      <c r="G40" s="154" t="n"/>
      <c r="H40" s="154" t="n"/>
      <c r="I40" s="154" t="n"/>
      <c r="J40" s="154" t="n"/>
      <c r="K40" s="154" t="n"/>
      <c r="L40" s="154" t="n"/>
      <c r="M40" s="154" t="n"/>
      <c r="N40" s="154" t="n"/>
      <c r="O40" s="154" t="n"/>
      <c r="P40" s="154" t="n"/>
      <c r="Q40" s="154" t="n"/>
      <c r="R40" s="154" t="n"/>
      <c r="S40" s="154" t="n"/>
      <c r="T40" s="154" t="n"/>
      <c r="U40" s="154" t="n"/>
      <c r="V40" s="154" t="n"/>
      <c r="W40" s="154" t="n"/>
      <c r="X40" s="154" t="n"/>
      <c r="Y40" s="154" t="n"/>
      <c r="Z40" s="154" t="n"/>
      <c r="AA40" s="154" t="n"/>
      <c r="AB40" s="154" t="n"/>
      <c r="AC40" s="154" t="n"/>
      <c r="AD40" s="154" t="n"/>
      <c r="AE40" s="154" t="n"/>
      <c r="AF40" s="154" t="n"/>
      <c r="AG40" s="154" t="n"/>
      <c r="AH40" s="154" t="n"/>
      <c r="AI40" s="154" t="n"/>
      <c r="AJ40" s="154" t="n"/>
      <c r="AK40" s="154" t="inlineStr">
        <is>
          <t>R</t>
        </is>
      </c>
      <c r="AL40" s="154" t="n"/>
      <c r="AM40" s="154" t="n"/>
      <c r="AN40" s="154" t="n"/>
      <c r="AO40" s="154" t="inlineStr">
        <is>
          <t>R</t>
        </is>
      </c>
      <c r="AP40" s="154" t="n"/>
      <c r="AQ40" s="154" t="n"/>
      <c r="AR40" s="154" t="n"/>
      <c r="AS40" s="154" t="n"/>
      <c r="AT40" s="154" t="n"/>
      <c r="AU40" s="154" t="n"/>
      <c r="AV40" s="154" t="inlineStr">
        <is>
          <t>R</t>
        </is>
      </c>
      <c r="AW40" s="154" t="n"/>
      <c r="AX40" s="154" t="n"/>
      <c r="AY40" s="154" t="n"/>
      <c r="AZ40" s="154" t="n"/>
      <c r="BA40" s="154" t="n"/>
      <c r="BB40" s="154" t="n"/>
      <c r="BC40" s="154" t="n"/>
      <c r="BD40" s="154" t="n"/>
      <c r="BE40" s="154" t="n"/>
      <c r="BF40" s="154" t="inlineStr">
        <is>
          <t>R</t>
        </is>
      </c>
      <c r="BG40" s="154" t="n"/>
      <c r="BH40" s="154" t="inlineStr">
        <is>
          <t>R</t>
        </is>
      </c>
      <c r="BI40" s="154" t="n"/>
      <c r="BJ40" s="154" t="n"/>
      <c r="BK40" s="154" t="n"/>
      <c r="BL40" s="154" t="n"/>
      <c r="BM40" s="154" t="n"/>
      <c r="BN40" s="154" t="n"/>
      <c r="BO40" s="154" t="n"/>
      <c r="BP40" s="154" t="n"/>
      <c r="BQ40" s="154" t="inlineStr">
        <is>
          <t>R</t>
        </is>
      </c>
      <c r="BR40" s="154" t="n"/>
      <c r="BS40" s="154" t="n"/>
      <c r="BT40" s="154" t="n"/>
      <c r="BU40" s="154" t="n"/>
      <c r="BV40" s="154" t="n"/>
      <c r="BW40" s="154" t="n"/>
      <c r="BX40" s="154" t="n"/>
      <c r="BY40" s="154" t="n"/>
      <c r="BZ40" s="154" t="n"/>
      <c r="CA40" s="154" t="inlineStr">
        <is>
          <t>C</t>
        </is>
      </c>
      <c r="CB40" s="154" t="n"/>
      <c r="CC40" s="154" t="n"/>
      <c r="CD40" s="154" t="n"/>
      <c r="CE40" s="154" t="n"/>
      <c r="CF40" s="154" t="n"/>
      <c r="CG40" s="154" t="n"/>
      <c r="CH40" s="154" t="n"/>
      <c r="CI40" s="154" t="n"/>
      <c r="CJ40" s="154" t="n"/>
      <c r="CK40" s="154" t="n"/>
      <c r="CL40" s="154" t="n"/>
      <c r="CM40" s="154" t="n"/>
      <c r="CN40" s="154" t="n"/>
      <c r="CO40" s="154" t="n"/>
      <c r="CP40" s="154" t="n"/>
      <c r="CQ40" s="154" t="n"/>
      <c r="CR40" s="154" t="n"/>
      <c r="CS40" s="154" t="n"/>
      <c r="CT40" s="154" t="n"/>
      <c r="CU40" s="154" t="n"/>
      <c r="CV40" s="149">
        <f>COUNTIF(D40:CU40,"C")</f>
        <v/>
      </c>
      <c r="CW40" s="149">
        <f>COUNTIF(D40:CU40,"R")</f>
        <v/>
      </c>
    </row>
    <row r="41">
      <c r="A41" s="152" t="inlineStr">
        <is>
          <t>C09 ファーマコビジランス（安全性）</t>
        </is>
      </c>
      <c r="B41" s="146" t="inlineStr">
        <is>
          <t>C09-01</t>
        </is>
      </c>
      <c r="C41" s="153">
        <f>IFERROR(INDEX(ケイパビリティマップ!$E:$E,MATCH(B41,ケイパビリティマップ!$A:$A,0)),"（IDなし）")</f>
        <v/>
      </c>
      <c r="D41" s="154" t="n"/>
      <c r="E41" s="154" t="n"/>
      <c r="F41" s="154" t="n"/>
      <c r="G41" s="154" t="n"/>
      <c r="H41" s="154" t="n"/>
      <c r="I41" s="154" t="n"/>
      <c r="J41" s="154" t="n"/>
      <c r="K41" s="154" t="n"/>
      <c r="L41" s="154" t="n"/>
      <c r="M41" s="154" t="n"/>
      <c r="N41" s="154" t="n"/>
      <c r="O41" s="154" t="n"/>
      <c r="P41" s="154" t="n"/>
      <c r="Q41" s="154" t="n"/>
      <c r="R41" s="154" t="n"/>
      <c r="S41" s="154" t="n"/>
      <c r="T41" s="154" t="n"/>
      <c r="U41" s="154" t="n"/>
      <c r="V41" s="154" t="n"/>
      <c r="W41" s="154" t="n"/>
      <c r="X41" s="154" t="n"/>
      <c r="Y41" s="154" t="n"/>
      <c r="Z41" s="154" t="n"/>
      <c r="AA41" s="154" t="n"/>
      <c r="AB41" s="154" t="n"/>
      <c r="AC41" s="154" t="n"/>
      <c r="AD41" s="154" t="n"/>
      <c r="AE41" s="154" t="n"/>
      <c r="AF41" s="154" t="n"/>
      <c r="AG41" s="154" t="n"/>
      <c r="AH41" s="154" t="n"/>
      <c r="AI41" s="154" t="n"/>
      <c r="AJ41" s="154" t="n"/>
      <c r="AK41" s="154" t="n"/>
      <c r="AL41" s="154" t="n"/>
      <c r="AM41" s="154" t="n"/>
      <c r="AN41" s="154" t="n"/>
      <c r="AO41" s="154" t="n"/>
      <c r="AP41" s="154" t="n"/>
      <c r="AQ41" s="154" t="n"/>
      <c r="AR41" s="154" t="n"/>
      <c r="AS41" s="154" t="n"/>
      <c r="AT41" s="154" t="n"/>
      <c r="AU41" s="154" t="n"/>
      <c r="AV41" s="154" t="n"/>
      <c r="AW41" s="154" t="n"/>
      <c r="AX41" s="154" t="n"/>
      <c r="AY41" s="154" t="n"/>
      <c r="AZ41" s="154" t="n"/>
      <c r="BA41" s="154" t="n"/>
      <c r="BB41" s="154" t="n"/>
      <c r="BC41" s="154" t="n"/>
      <c r="BD41" s="154" t="n"/>
      <c r="BE41" s="154" t="n"/>
      <c r="BF41" s="154" t="n"/>
      <c r="BG41" s="154" t="n"/>
      <c r="BH41" s="154" t="n"/>
      <c r="BI41" s="154" t="n"/>
      <c r="BJ41" s="154" t="n"/>
      <c r="BK41" s="154" t="n"/>
      <c r="BL41" s="154" t="n"/>
      <c r="BM41" s="154" t="n"/>
      <c r="BN41" s="154" t="n"/>
      <c r="BO41" s="154" t="n"/>
      <c r="BP41" s="154" t="n"/>
      <c r="BQ41" s="154" t="n"/>
      <c r="BR41" s="154" t="inlineStr">
        <is>
          <t>R</t>
        </is>
      </c>
      <c r="BS41" s="154" t="n"/>
      <c r="BT41" s="154" t="n"/>
      <c r="BU41" s="154" t="n"/>
      <c r="BV41" s="154" t="n"/>
      <c r="BW41" s="154" t="n"/>
      <c r="BX41" s="154" t="n"/>
      <c r="BY41" s="154" t="n"/>
      <c r="BZ41" s="154" t="n"/>
      <c r="CA41" s="154" t="n"/>
      <c r="CB41" s="154" t="n"/>
      <c r="CC41" s="154" t="inlineStr">
        <is>
          <t>C</t>
        </is>
      </c>
      <c r="CD41" s="154" t="inlineStr">
        <is>
          <t>R</t>
        </is>
      </c>
      <c r="CE41" s="154" t="inlineStr">
        <is>
          <t>C</t>
        </is>
      </c>
      <c r="CF41" s="154" t="n"/>
      <c r="CG41" s="154" t="n"/>
      <c r="CH41" s="154" t="n"/>
      <c r="CI41" s="154" t="inlineStr">
        <is>
          <t>R</t>
        </is>
      </c>
      <c r="CJ41" s="154" t="n"/>
      <c r="CK41" s="154" t="n"/>
      <c r="CL41" s="154" t="n"/>
      <c r="CM41" s="154" t="n"/>
      <c r="CN41" s="154" t="n"/>
      <c r="CO41" s="154" t="n"/>
      <c r="CP41" s="154" t="n"/>
      <c r="CQ41" s="154" t="n"/>
      <c r="CR41" s="154" t="n"/>
      <c r="CS41" s="154" t="n"/>
      <c r="CT41" s="154" t="n"/>
      <c r="CU41" s="154" t="n"/>
      <c r="CV41" s="149">
        <f>COUNTIF(D41:CU41,"C")</f>
        <v/>
      </c>
      <c r="CW41" s="149">
        <f>COUNTIF(D41:CU41,"R")</f>
        <v/>
      </c>
    </row>
    <row r="42">
      <c r="A42" s="152" t="n"/>
      <c r="B42" s="146" t="inlineStr">
        <is>
          <t>C09-02</t>
        </is>
      </c>
      <c r="C42" s="153">
        <f>IFERROR(INDEX(ケイパビリティマップ!$E:$E,MATCH(B42,ケイパビリティマップ!$A:$A,0)),"（IDなし）")</f>
        <v/>
      </c>
      <c r="D42" s="154" t="n"/>
      <c r="E42" s="154" t="n"/>
      <c r="F42" s="154" t="n"/>
      <c r="G42" s="154" t="n"/>
      <c r="H42" s="154" t="n"/>
      <c r="I42" s="154" t="n"/>
      <c r="J42" s="154" t="n"/>
      <c r="K42" s="154" t="n"/>
      <c r="L42" s="154" t="n"/>
      <c r="M42" s="154" t="n"/>
      <c r="N42" s="154" t="n"/>
      <c r="O42" s="154" t="n"/>
      <c r="P42" s="154" t="n"/>
      <c r="Q42" s="154" t="n"/>
      <c r="R42" s="154" t="n"/>
      <c r="S42" s="154" t="n"/>
      <c r="T42" s="154" t="n"/>
      <c r="U42" s="154" t="n"/>
      <c r="V42" s="154" t="n"/>
      <c r="W42" s="154" t="n"/>
      <c r="X42" s="154" t="n"/>
      <c r="Y42" s="154" t="n"/>
      <c r="Z42" s="154" t="n"/>
      <c r="AA42" s="154" t="n"/>
      <c r="AB42" s="154" t="n"/>
      <c r="AC42" s="154" t="n"/>
      <c r="AD42" s="154" t="n"/>
      <c r="AE42" s="154" t="n"/>
      <c r="AF42" s="154" t="n"/>
      <c r="AG42" s="154" t="n"/>
      <c r="AH42" s="154" t="n"/>
      <c r="AI42" s="154" t="n"/>
      <c r="AJ42" s="154" t="n"/>
      <c r="AK42" s="154" t="n"/>
      <c r="AL42" s="154" t="n"/>
      <c r="AM42" s="154" t="n"/>
      <c r="AN42" s="154" t="n"/>
      <c r="AO42" s="154" t="n"/>
      <c r="AP42" s="154" t="n"/>
      <c r="AQ42" s="154" t="n"/>
      <c r="AR42" s="154" t="n"/>
      <c r="AS42" s="154" t="n"/>
      <c r="AT42" s="154" t="n"/>
      <c r="AU42" s="154" t="n"/>
      <c r="AV42" s="154" t="n"/>
      <c r="AW42" s="154" t="n"/>
      <c r="AX42" s="154" t="n"/>
      <c r="AY42" s="154" t="n"/>
      <c r="AZ42" s="154" t="n"/>
      <c r="BA42" s="154" t="inlineStr">
        <is>
          <t>R</t>
        </is>
      </c>
      <c r="BB42" s="154" t="n"/>
      <c r="BC42" s="154" t="n"/>
      <c r="BD42" s="154" t="n"/>
      <c r="BE42" s="154" t="n"/>
      <c r="BF42" s="154" t="n"/>
      <c r="BG42" s="154" t="n"/>
      <c r="BH42" s="154" t="n"/>
      <c r="BI42" s="154" t="n"/>
      <c r="BJ42" s="154" t="n"/>
      <c r="BK42" s="154" t="n"/>
      <c r="BL42" s="154" t="inlineStr">
        <is>
          <t>R</t>
        </is>
      </c>
      <c r="BM42" s="154" t="inlineStr">
        <is>
          <t>R</t>
        </is>
      </c>
      <c r="BN42" s="154" t="inlineStr">
        <is>
          <t>C</t>
        </is>
      </c>
      <c r="BO42" s="154" t="n"/>
      <c r="BP42" s="154" t="n"/>
      <c r="BQ42" s="154" t="n"/>
      <c r="BR42" s="154" t="n"/>
      <c r="BS42" s="154" t="n"/>
      <c r="BT42" s="154" t="n"/>
      <c r="BU42" s="154" t="n"/>
      <c r="BV42" s="154" t="n"/>
      <c r="BW42" s="154" t="n"/>
      <c r="BX42" s="154" t="n"/>
      <c r="BY42" s="154" t="inlineStr">
        <is>
          <t>C</t>
        </is>
      </c>
      <c r="BZ42" s="154" t="inlineStr">
        <is>
          <t>C</t>
        </is>
      </c>
      <c r="CA42" s="154" t="n"/>
      <c r="CB42" s="154" t="n"/>
      <c r="CC42" s="154" t="inlineStr">
        <is>
          <t>R</t>
        </is>
      </c>
      <c r="CD42" s="154" t="inlineStr">
        <is>
          <t>C</t>
        </is>
      </c>
      <c r="CE42" s="154" t="n"/>
      <c r="CF42" s="154" t="n"/>
      <c r="CG42" s="154" t="n"/>
      <c r="CH42" s="154" t="n"/>
      <c r="CI42" s="154" t="n"/>
      <c r="CJ42" s="154" t="n"/>
      <c r="CK42" s="154" t="n"/>
      <c r="CL42" s="154" t="n"/>
      <c r="CM42" s="154" t="n"/>
      <c r="CN42" s="154" t="n"/>
      <c r="CO42" s="154" t="n"/>
      <c r="CP42" s="154" t="n"/>
      <c r="CQ42" s="154" t="n"/>
      <c r="CR42" s="154" t="n"/>
      <c r="CS42" s="154" t="n"/>
      <c r="CT42" s="154" t="n"/>
      <c r="CU42" s="154" t="n"/>
      <c r="CV42" s="149">
        <f>COUNTIF(D42:CU42,"C")</f>
        <v/>
      </c>
      <c r="CW42" s="149">
        <f>COUNTIF(D42:CU42,"R")</f>
        <v/>
      </c>
    </row>
    <row r="43">
      <c r="A43" s="152" t="inlineStr">
        <is>
          <t>C10 メディカル・患者エンゲージメント</t>
        </is>
      </c>
      <c r="B43" s="146" t="inlineStr">
        <is>
          <t>C10-01</t>
        </is>
      </c>
      <c r="C43" s="153">
        <f>IFERROR(INDEX(ケイパビリティマップ!$E:$E,MATCH(B43,ケイパビリティマップ!$A:$A,0)),"（IDなし）")</f>
        <v/>
      </c>
      <c r="D43" s="154" t="n"/>
      <c r="E43" s="154" t="n"/>
      <c r="F43" s="154" t="n"/>
      <c r="G43" s="154" t="n"/>
      <c r="H43" s="154" t="n"/>
      <c r="I43" s="154" t="n"/>
      <c r="J43" s="154" t="inlineStr">
        <is>
          <t>C</t>
        </is>
      </c>
      <c r="K43" s="154" t="n"/>
      <c r="L43" s="154" t="n"/>
      <c r="M43" s="154" t="n"/>
      <c r="N43" s="154" t="n"/>
      <c r="O43" s="154" t="n"/>
      <c r="P43" s="154" t="n"/>
      <c r="Q43" s="154" t="n"/>
      <c r="R43" s="154" t="n"/>
      <c r="S43" s="154" t="n"/>
      <c r="T43" s="154" t="n"/>
      <c r="U43" s="154" t="n"/>
      <c r="V43" s="154" t="n"/>
      <c r="W43" s="154" t="n"/>
      <c r="X43" s="154" t="n"/>
      <c r="Y43" s="154" t="n"/>
      <c r="Z43" s="154" t="n"/>
      <c r="AA43" s="154" t="n"/>
      <c r="AB43" s="154" t="n"/>
      <c r="AC43" s="154" t="n"/>
      <c r="AD43" s="154" t="n"/>
      <c r="AE43" s="154" t="n"/>
      <c r="AF43" s="154" t="n"/>
      <c r="AG43" s="154" t="n"/>
      <c r="AH43" s="154" t="n"/>
      <c r="AI43" s="154" t="n"/>
      <c r="AJ43" s="154" t="n"/>
      <c r="AK43" s="154" t="n"/>
      <c r="AL43" s="154" t="n"/>
      <c r="AM43" s="154" t="n"/>
      <c r="AN43" s="154" t="n"/>
      <c r="AO43" s="154" t="n"/>
      <c r="AP43" s="154" t="n"/>
      <c r="AQ43" s="154" t="n"/>
      <c r="AR43" s="154" t="n"/>
      <c r="AS43" s="154" t="n"/>
      <c r="AT43" s="154" t="n"/>
      <c r="AU43" s="154" t="n"/>
      <c r="AV43" s="154" t="n"/>
      <c r="AW43" s="154" t="n"/>
      <c r="AX43" s="154" t="n"/>
      <c r="AY43" s="154" t="n"/>
      <c r="AZ43" s="154" t="n"/>
      <c r="BA43" s="154" t="n"/>
      <c r="BB43" s="154" t="n"/>
      <c r="BC43" s="154" t="n"/>
      <c r="BD43" s="154" t="n"/>
      <c r="BE43" s="154" t="n"/>
      <c r="BF43" s="154" t="n"/>
      <c r="BG43" s="154" t="n"/>
      <c r="BH43" s="154" t="n"/>
      <c r="BI43" s="154" t="n"/>
      <c r="BJ43" s="154" t="n"/>
      <c r="BK43" s="154" t="n"/>
      <c r="BL43" s="154" t="n"/>
      <c r="BM43" s="154" t="n"/>
      <c r="BN43" s="154" t="n"/>
      <c r="BO43" s="154" t="n"/>
      <c r="BP43" s="154" t="n"/>
      <c r="BQ43" s="154" t="n"/>
      <c r="BR43" s="154" t="n"/>
      <c r="BS43" s="154" t="n"/>
      <c r="BT43" s="154" t="n"/>
      <c r="BU43" s="154" t="n"/>
      <c r="BV43" s="154" t="n"/>
      <c r="BW43" s="154" t="n"/>
      <c r="BX43" s="154" t="n"/>
      <c r="BY43" s="154" t="n"/>
      <c r="BZ43" s="154" t="n"/>
      <c r="CA43" s="154" t="n"/>
      <c r="CB43" s="154" t="n"/>
      <c r="CC43" s="154" t="n"/>
      <c r="CD43" s="154" t="n"/>
      <c r="CE43" s="154" t="n"/>
      <c r="CF43" s="154" t="n"/>
      <c r="CG43" s="154" t="n"/>
      <c r="CH43" s="154" t="n"/>
      <c r="CI43" s="154" t="n"/>
      <c r="CJ43" s="154" t="n"/>
      <c r="CK43" s="154" t="n"/>
      <c r="CL43" s="154" t="n"/>
      <c r="CM43" s="154" t="n"/>
      <c r="CN43" s="154" t="n"/>
      <c r="CO43" s="154" t="n"/>
      <c r="CP43" s="154" t="n"/>
      <c r="CQ43" s="154" t="n"/>
      <c r="CR43" s="154" t="n"/>
      <c r="CS43" s="154" t="n"/>
      <c r="CT43" s="154" t="n"/>
      <c r="CU43" s="154" t="n"/>
      <c r="CV43" s="149">
        <f>COUNTIF(D43:CU43,"C")</f>
        <v/>
      </c>
      <c r="CW43" s="149">
        <f>COUNTIF(D43:CU43,"R")</f>
        <v/>
      </c>
    </row>
    <row r="44">
      <c r="A44" s="152" t="n"/>
      <c r="B44" s="146" t="inlineStr">
        <is>
          <t>C10-02</t>
        </is>
      </c>
      <c r="C44" s="153">
        <f>IFERROR(INDEX(ケイパビリティマップ!$E:$E,MATCH(B44,ケイパビリティマップ!$A:$A,0)),"（IDなし）")</f>
        <v/>
      </c>
      <c r="D44" s="154" t="n"/>
      <c r="E44" s="154" t="n"/>
      <c r="F44" s="154" t="n"/>
      <c r="G44" s="154" t="n"/>
      <c r="H44" s="154" t="n"/>
      <c r="I44" s="154" t="n"/>
      <c r="J44" s="154" t="n"/>
      <c r="K44" s="154" t="n"/>
      <c r="L44" s="154" t="n"/>
      <c r="M44" s="154" t="n"/>
      <c r="N44" s="154" t="n"/>
      <c r="O44" s="154" t="n"/>
      <c r="P44" s="154" t="n"/>
      <c r="Q44" s="154" t="n"/>
      <c r="R44" s="154" t="n"/>
      <c r="S44" s="154" t="n"/>
      <c r="T44" s="154" t="n"/>
      <c r="U44" s="154" t="n"/>
      <c r="V44" s="154" t="n"/>
      <c r="W44" s="154" t="n"/>
      <c r="X44" s="154" t="n"/>
      <c r="Y44" s="154" t="n"/>
      <c r="Z44" s="154" t="n"/>
      <c r="AA44" s="154" t="n"/>
      <c r="AB44" s="154" t="n"/>
      <c r="AC44" s="154" t="n"/>
      <c r="AD44" s="154" t="n"/>
      <c r="AE44" s="154" t="n"/>
      <c r="AF44" s="154" t="n"/>
      <c r="AG44" s="154" t="n"/>
      <c r="AH44" s="154" t="n"/>
      <c r="AI44" s="154" t="n"/>
      <c r="AJ44" s="154" t="n"/>
      <c r="AK44" s="154" t="n"/>
      <c r="AL44" s="154" t="n"/>
      <c r="AM44" s="154" t="n"/>
      <c r="AN44" s="154" t="n"/>
      <c r="AO44" s="154" t="n"/>
      <c r="AP44" s="154" t="n"/>
      <c r="AQ44" s="154" t="n"/>
      <c r="AR44" s="154" t="n"/>
      <c r="AS44" s="154" t="n"/>
      <c r="AT44" s="154" t="n"/>
      <c r="AU44" s="154" t="n"/>
      <c r="AV44" s="154" t="n"/>
      <c r="AW44" s="154" t="n"/>
      <c r="AX44" s="154" t="n"/>
      <c r="AY44" s="154" t="n"/>
      <c r="AZ44" s="154" t="n"/>
      <c r="BA44" s="154" t="n"/>
      <c r="BB44" s="154" t="n"/>
      <c r="BC44" s="154" t="n"/>
      <c r="BD44" s="154" t="n"/>
      <c r="BE44" s="154" t="n"/>
      <c r="BF44" s="154" t="n"/>
      <c r="BG44" s="154" t="n"/>
      <c r="BH44" s="154" t="n"/>
      <c r="BI44" s="154" t="n"/>
      <c r="BJ44" s="154" t="n"/>
      <c r="BK44" s="154" t="n"/>
      <c r="BL44" s="154" t="n"/>
      <c r="BM44" s="154" t="n"/>
      <c r="BN44" s="154" t="n"/>
      <c r="BO44" s="154" t="n"/>
      <c r="BP44" s="154" t="n"/>
      <c r="BQ44" s="154" t="n"/>
      <c r="BR44" s="154" t="n"/>
      <c r="BS44" s="154" t="n"/>
      <c r="BT44" s="154" t="n"/>
      <c r="BU44" s="154" t="n"/>
      <c r="BV44" s="154" t="n"/>
      <c r="BW44" s="154" t="n"/>
      <c r="BX44" s="154" t="n"/>
      <c r="BY44" s="154" t="n"/>
      <c r="BZ44" s="154" t="n"/>
      <c r="CA44" s="154" t="n"/>
      <c r="CB44" s="154" t="n"/>
      <c r="CC44" s="154" t="n"/>
      <c r="CD44" s="154" t="n"/>
      <c r="CE44" s="154" t="n"/>
      <c r="CF44" s="154" t="n"/>
      <c r="CG44" s="154" t="n"/>
      <c r="CH44" s="154" t="n"/>
      <c r="CI44" s="154" t="n"/>
      <c r="CJ44" s="154" t="n"/>
      <c r="CK44" s="154" t="n"/>
      <c r="CL44" s="154" t="n"/>
      <c r="CM44" s="154" t="n"/>
      <c r="CN44" s="154" t="n"/>
      <c r="CO44" s="154" t="n"/>
      <c r="CP44" s="154" t="n"/>
      <c r="CQ44" s="154" t="n"/>
      <c r="CR44" s="154" t="n"/>
      <c r="CS44" s="154" t="n"/>
      <c r="CT44" s="154" t="n"/>
      <c r="CU44" s="154" t="n"/>
      <c r="CV44" s="149">
        <f>COUNTIF(D44:CU44,"C")</f>
        <v/>
      </c>
      <c r="CW44" s="149">
        <f>COUNTIF(D44:CU44,"R")</f>
        <v/>
      </c>
    </row>
    <row r="45">
      <c r="A45" s="152" t="n"/>
      <c r="B45" s="146" t="inlineStr">
        <is>
          <t>C10-03</t>
        </is>
      </c>
      <c r="C45" s="153">
        <f>IFERROR(INDEX(ケイパビリティマップ!$E:$E,MATCH(B45,ケイパビリティマップ!$A:$A,0)),"（IDなし）")</f>
        <v/>
      </c>
      <c r="D45" s="154" t="n"/>
      <c r="E45" s="154" t="n"/>
      <c r="F45" s="154" t="n"/>
      <c r="G45" s="154" t="n"/>
      <c r="H45" s="154" t="n"/>
      <c r="I45" s="154" t="n"/>
      <c r="J45" s="154" t="n"/>
      <c r="K45" s="154" t="n"/>
      <c r="L45" s="154" t="n"/>
      <c r="M45" s="154" t="n"/>
      <c r="N45" s="154" t="n"/>
      <c r="O45" s="154" t="n"/>
      <c r="P45" s="154" t="n"/>
      <c r="Q45" s="154" t="n"/>
      <c r="R45" s="154" t="n"/>
      <c r="S45" s="154" t="n"/>
      <c r="T45" s="154" t="n"/>
      <c r="U45" s="154" t="n"/>
      <c r="V45" s="154" t="n"/>
      <c r="W45" s="154" t="n"/>
      <c r="X45" s="154" t="n"/>
      <c r="Y45" s="154" t="n"/>
      <c r="Z45" s="154" t="n"/>
      <c r="AA45" s="154" t="n"/>
      <c r="AB45" s="154" t="n"/>
      <c r="AC45" s="154" t="n"/>
      <c r="AD45" s="154" t="n"/>
      <c r="AE45" s="154" t="n"/>
      <c r="AF45" s="154" t="n"/>
      <c r="AG45" s="154" t="n"/>
      <c r="AH45" s="154" t="n"/>
      <c r="AI45" s="154" t="n"/>
      <c r="AJ45" s="154" t="n"/>
      <c r="AK45" s="154" t="n"/>
      <c r="AL45" s="154" t="n"/>
      <c r="AM45" s="154" t="n"/>
      <c r="AN45" s="154" t="n"/>
      <c r="AO45" s="154" t="n"/>
      <c r="AP45" s="154" t="n"/>
      <c r="AQ45" s="154" t="n"/>
      <c r="AR45" s="154" t="n"/>
      <c r="AS45" s="154" t="n"/>
      <c r="AT45" s="154" t="n"/>
      <c r="AU45" s="154" t="n"/>
      <c r="AV45" s="154" t="n"/>
      <c r="AW45" s="154" t="n"/>
      <c r="AX45" s="154" t="n"/>
      <c r="AY45" s="154" t="n"/>
      <c r="AZ45" s="154" t="n"/>
      <c r="BA45" s="154" t="n"/>
      <c r="BB45" s="154" t="inlineStr">
        <is>
          <t>R</t>
        </is>
      </c>
      <c r="BC45" s="154" t="n"/>
      <c r="BD45" s="154" t="n"/>
      <c r="BE45" s="154" t="n"/>
      <c r="BF45" s="154" t="n"/>
      <c r="BG45" s="154" t="n"/>
      <c r="BH45" s="154" t="n"/>
      <c r="BI45" s="154" t="n"/>
      <c r="BJ45" s="154" t="n"/>
      <c r="BK45" s="154" t="n"/>
      <c r="BL45" s="154" t="n"/>
      <c r="BM45" s="154" t="n"/>
      <c r="BN45" s="154" t="n"/>
      <c r="BO45" s="154" t="n"/>
      <c r="BP45" s="154" t="n"/>
      <c r="BQ45" s="154" t="n"/>
      <c r="BR45" s="154" t="n"/>
      <c r="BS45" s="154" t="n"/>
      <c r="BT45" s="154" t="n"/>
      <c r="BU45" s="154" t="n"/>
      <c r="BV45" s="154" t="n"/>
      <c r="BW45" s="154" t="n"/>
      <c r="BX45" s="154" t="n"/>
      <c r="BY45" s="154" t="n"/>
      <c r="BZ45" s="154" t="n"/>
      <c r="CA45" s="154" t="n"/>
      <c r="CB45" s="154" t="n"/>
      <c r="CC45" s="154" t="n"/>
      <c r="CD45" s="154" t="n"/>
      <c r="CE45" s="154" t="n"/>
      <c r="CF45" s="154" t="n"/>
      <c r="CG45" s="154" t="n"/>
      <c r="CH45" s="154" t="n"/>
      <c r="CI45" s="154" t="n"/>
      <c r="CJ45" s="154" t="inlineStr">
        <is>
          <t>C</t>
        </is>
      </c>
      <c r="CK45" s="154" t="inlineStr">
        <is>
          <t>C</t>
        </is>
      </c>
      <c r="CL45" s="154" t="n"/>
      <c r="CM45" s="154" t="n"/>
      <c r="CN45" s="154" t="n"/>
      <c r="CO45" s="154" t="n"/>
      <c r="CP45" s="154" t="n"/>
      <c r="CQ45" s="154" t="n"/>
      <c r="CR45" s="154" t="n"/>
      <c r="CS45" s="154" t="n"/>
      <c r="CT45" s="154" t="n"/>
      <c r="CU45" s="154" t="n"/>
      <c r="CV45" s="149">
        <f>COUNTIF(D45:CU45,"C")</f>
        <v/>
      </c>
      <c r="CW45" s="149">
        <f>COUNTIF(D45:CU45,"R")</f>
        <v/>
      </c>
    </row>
    <row r="46">
      <c r="A46" s="152" t="n"/>
      <c r="B46" s="146" t="inlineStr">
        <is>
          <t>C10-04</t>
        </is>
      </c>
      <c r="C46" s="153">
        <f>IFERROR(INDEX(ケイパビリティマップ!$E:$E,MATCH(B46,ケイパビリティマップ!$A:$A,0)),"（IDなし）")</f>
        <v/>
      </c>
      <c r="D46" s="154" t="n"/>
      <c r="E46" s="154" t="n"/>
      <c r="F46" s="154" t="n"/>
      <c r="G46" s="154" t="n"/>
      <c r="H46" s="154" t="inlineStr">
        <is>
          <t>C</t>
        </is>
      </c>
      <c r="I46" s="154" t="n"/>
      <c r="J46" s="154" t="n"/>
      <c r="K46" s="154" t="n"/>
      <c r="L46" s="154" t="n"/>
      <c r="M46" s="154" t="n"/>
      <c r="N46" s="154" t="n"/>
      <c r="O46" s="154" t="n"/>
      <c r="P46" s="154" t="n"/>
      <c r="Q46" s="154" t="n"/>
      <c r="R46" s="154" t="n"/>
      <c r="S46" s="154" t="n"/>
      <c r="T46" s="154" t="n"/>
      <c r="U46" s="154" t="n"/>
      <c r="V46" s="154" t="n"/>
      <c r="W46" s="154" t="n"/>
      <c r="X46" s="154" t="n"/>
      <c r="Y46" s="154" t="n"/>
      <c r="Z46" s="154" t="n"/>
      <c r="AA46" s="154" t="n"/>
      <c r="AB46" s="154" t="n"/>
      <c r="AC46" s="154" t="n"/>
      <c r="AD46" s="154" t="n"/>
      <c r="AE46" s="154" t="n"/>
      <c r="AF46" s="154" t="n"/>
      <c r="AG46" s="154" t="n"/>
      <c r="AH46" s="154" t="n"/>
      <c r="AI46" s="154" t="n"/>
      <c r="AJ46" s="154" t="n"/>
      <c r="AK46" s="154" t="n"/>
      <c r="AL46" s="154" t="n"/>
      <c r="AM46" s="154" t="n"/>
      <c r="AN46" s="154" t="n"/>
      <c r="AO46" s="154" t="n"/>
      <c r="AP46" s="154" t="n"/>
      <c r="AQ46" s="154" t="n"/>
      <c r="AR46" s="154" t="n"/>
      <c r="AS46" s="154" t="n"/>
      <c r="AT46" s="154" t="n"/>
      <c r="AU46" s="154" t="n"/>
      <c r="AV46" s="154" t="n"/>
      <c r="AW46" s="154" t="n"/>
      <c r="AX46" s="154" t="n"/>
      <c r="AY46" s="154" t="n"/>
      <c r="AZ46" s="154" t="n"/>
      <c r="BA46" s="154" t="n"/>
      <c r="BB46" s="154" t="n"/>
      <c r="BC46" s="154" t="n"/>
      <c r="BD46" s="154" t="n"/>
      <c r="BE46" s="154" t="n"/>
      <c r="BF46" s="154" t="n"/>
      <c r="BG46" s="154" t="n"/>
      <c r="BH46" s="154" t="n"/>
      <c r="BI46" s="154" t="n"/>
      <c r="BJ46" s="154" t="n"/>
      <c r="BK46" s="154" t="n"/>
      <c r="BL46" s="154" t="n"/>
      <c r="BM46" s="154" t="n"/>
      <c r="BN46" s="154" t="n"/>
      <c r="BO46" s="154" t="n"/>
      <c r="BP46" s="154" t="n"/>
      <c r="BQ46" s="154" t="n"/>
      <c r="BR46" s="154" t="n"/>
      <c r="BS46" s="154" t="n"/>
      <c r="BT46" s="154" t="n"/>
      <c r="BU46" s="154" t="n"/>
      <c r="BV46" s="154" t="n"/>
      <c r="BW46" s="154" t="n"/>
      <c r="BX46" s="154" t="n"/>
      <c r="BY46" s="154" t="n"/>
      <c r="BZ46" s="154" t="n"/>
      <c r="CA46" s="154" t="n"/>
      <c r="CB46" s="154" t="n"/>
      <c r="CC46" s="154" t="n"/>
      <c r="CD46" s="154" t="n"/>
      <c r="CE46" s="154" t="n"/>
      <c r="CF46" s="154" t="n"/>
      <c r="CG46" s="154" t="inlineStr">
        <is>
          <t>R</t>
        </is>
      </c>
      <c r="CH46" s="154" t="inlineStr">
        <is>
          <t>R</t>
        </is>
      </c>
      <c r="CI46" s="154" t="inlineStr">
        <is>
          <t>C</t>
        </is>
      </c>
      <c r="CJ46" s="154" t="n"/>
      <c r="CK46" s="154" t="n"/>
      <c r="CL46" s="154" t="n"/>
      <c r="CM46" s="154" t="n"/>
      <c r="CN46" s="154" t="n"/>
      <c r="CO46" s="154" t="n"/>
      <c r="CP46" s="154" t="n"/>
      <c r="CQ46" s="154" t="n"/>
      <c r="CR46" s="154" t="n"/>
      <c r="CS46" s="154" t="n"/>
      <c r="CT46" s="154" t="n"/>
      <c r="CU46" s="154" t="n"/>
      <c r="CV46" s="149">
        <f>COUNTIF(D46:CU46,"C")</f>
        <v/>
      </c>
      <c r="CW46" s="149">
        <f>COUNTIF(D46:CU46,"R")</f>
        <v/>
      </c>
    </row>
    <row r="47">
      <c r="A47" s="152" t="inlineStr">
        <is>
          <t>C11 市場アクセス・商業</t>
        </is>
      </c>
      <c r="B47" s="146" t="inlineStr">
        <is>
          <t>C11-01</t>
        </is>
      </c>
      <c r="C47" s="153">
        <f>IFERROR(INDEX(ケイパビリティマップ!$E:$E,MATCH(B47,ケイパビリティマップ!$A:$A,0)),"（IDなし）")</f>
        <v/>
      </c>
      <c r="D47" s="154" t="n"/>
      <c r="E47" s="154" t="n"/>
      <c r="F47" s="154" t="n"/>
      <c r="G47" s="154" t="n"/>
      <c r="H47" s="154" t="n"/>
      <c r="I47" s="154" t="n"/>
      <c r="J47" s="154" t="n"/>
      <c r="K47" s="154" t="n"/>
      <c r="L47" s="154" t="n"/>
      <c r="M47" s="154" t="n"/>
      <c r="N47" s="154" t="n"/>
      <c r="O47" s="154" t="n"/>
      <c r="P47" s="154" t="n"/>
      <c r="Q47" s="154" t="n"/>
      <c r="R47" s="154" t="n"/>
      <c r="S47" s="154" t="n"/>
      <c r="T47" s="154" t="n"/>
      <c r="U47" s="154" t="inlineStr">
        <is>
          <t>R</t>
        </is>
      </c>
      <c r="V47" s="154" t="n"/>
      <c r="W47" s="154" t="n"/>
      <c r="X47" s="154" t="n"/>
      <c r="Y47" s="154" t="n"/>
      <c r="Z47" s="154" t="n"/>
      <c r="AA47" s="154" t="n"/>
      <c r="AB47" s="154" t="n"/>
      <c r="AC47" s="154" t="n"/>
      <c r="AD47" s="154" t="n"/>
      <c r="AE47" s="154" t="n"/>
      <c r="AF47" s="154" t="n"/>
      <c r="AG47" s="154" t="n"/>
      <c r="AH47" s="154" t="n"/>
      <c r="AI47" s="154" t="n"/>
      <c r="AJ47" s="154" t="n"/>
      <c r="AK47" s="154" t="n"/>
      <c r="AL47" s="154" t="n"/>
      <c r="AM47" s="154" t="n"/>
      <c r="AN47" s="154" t="n"/>
      <c r="AO47" s="154" t="n"/>
      <c r="AP47" s="154" t="n"/>
      <c r="AQ47" s="154" t="n"/>
      <c r="AR47" s="154" t="n"/>
      <c r="AS47" s="154" t="n"/>
      <c r="AT47" s="154" t="n"/>
      <c r="AU47" s="154" t="n"/>
      <c r="AV47" s="154" t="n"/>
      <c r="AW47" s="154" t="n"/>
      <c r="AX47" s="154" t="n"/>
      <c r="AY47" s="154" t="n"/>
      <c r="AZ47" s="154" t="n"/>
      <c r="BA47" s="154" t="n"/>
      <c r="BB47" s="154" t="n"/>
      <c r="BC47" s="154" t="n"/>
      <c r="BD47" s="154" t="n"/>
      <c r="BE47" s="154" t="n"/>
      <c r="BF47" s="154" t="n"/>
      <c r="BG47" s="154" t="n"/>
      <c r="BH47" s="154" t="n"/>
      <c r="BI47" s="154" t="n"/>
      <c r="BJ47" s="154" t="n"/>
      <c r="BK47" s="154" t="n"/>
      <c r="BL47" s="154" t="n"/>
      <c r="BM47" s="154" t="n"/>
      <c r="BN47" s="154" t="inlineStr">
        <is>
          <t>R</t>
        </is>
      </c>
      <c r="BO47" s="154" t="n"/>
      <c r="BP47" s="154" t="n"/>
      <c r="BQ47" s="154" t="n"/>
      <c r="BR47" s="154" t="n"/>
      <c r="BS47" s="154" t="n"/>
      <c r="BT47" s="154" t="n"/>
      <c r="BU47" s="154" t="n"/>
      <c r="BV47" s="154" t="n"/>
      <c r="BW47" s="154" t="n"/>
      <c r="BX47" s="154" t="inlineStr">
        <is>
          <t>R</t>
        </is>
      </c>
      <c r="BY47" s="154" t="n"/>
      <c r="BZ47" s="154" t="n"/>
      <c r="CA47" s="154" t="n"/>
      <c r="CB47" s="154" t="n"/>
      <c r="CC47" s="154" t="n"/>
      <c r="CD47" s="154" t="n"/>
      <c r="CE47" s="154" t="n"/>
      <c r="CF47" s="154" t="inlineStr">
        <is>
          <t>C</t>
        </is>
      </c>
      <c r="CG47" s="154" t="inlineStr">
        <is>
          <t>C</t>
        </is>
      </c>
      <c r="CH47" s="154" t="n"/>
      <c r="CI47" s="154" t="n"/>
      <c r="CJ47" s="154" t="n"/>
      <c r="CK47" s="154" t="n"/>
      <c r="CL47" s="154" t="n"/>
      <c r="CM47" s="154" t="n"/>
      <c r="CN47" s="154" t="n"/>
      <c r="CO47" s="154" t="n"/>
      <c r="CP47" s="154" t="n"/>
      <c r="CQ47" s="154" t="n"/>
      <c r="CR47" s="154" t="n"/>
      <c r="CS47" s="154" t="n"/>
      <c r="CT47" s="154" t="n"/>
      <c r="CU47" s="154" t="n"/>
      <c r="CV47" s="149">
        <f>COUNTIF(D47:CU47,"C")</f>
        <v/>
      </c>
      <c r="CW47" s="149">
        <f>COUNTIF(D47:CU47,"R")</f>
        <v/>
      </c>
    </row>
    <row r="48">
      <c r="A48" s="152" t="n"/>
      <c r="B48" s="146" t="inlineStr">
        <is>
          <t>C11-02</t>
        </is>
      </c>
      <c r="C48" s="153">
        <f>IFERROR(INDEX(ケイパビリティマップ!$E:$E,MATCH(B48,ケイパビリティマップ!$A:$A,0)),"（IDなし）")</f>
        <v/>
      </c>
      <c r="D48" s="154" t="n"/>
      <c r="E48" s="154" t="n"/>
      <c r="F48" s="154" t="n"/>
      <c r="G48" s="154" t="n"/>
      <c r="H48" s="154" t="n"/>
      <c r="I48" s="154" t="inlineStr">
        <is>
          <t>R</t>
        </is>
      </c>
      <c r="J48" s="154" t="n"/>
      <c r="K48" s="154" t="n"/>
      <c r="L48" s="154" t="n"/>
      <c r="M48" s="154" t="n"/>
      <c r="N48" s="154" t="n"/>
      <c r="O48" s="154" t="n"/>
      <c r="P48" s="154" t="n"/>
      <c r="Q48" s="154" t="n"/>
      <c r="R48" s="154" t="n"/>
      <c r="S48" s="154" t="n"/>
      <c r="T48" s="154" t="n"/>
      <c r="U48" s="154" t="n"/>
      <c r="V48" s="154" t="n"/>
      <c r="W48" s="154" t="n"/>
      <c r="X48" s="154" t="n"/>
      <c r="Y48" s="154" t="n"/>
      <c r="Z48" s="154" t="n"/>
      <c r="AA48" s="154" t="n"/>
      <c r="AB48" s="154" t="n"/>
      <c r="AC48" s="154" t="n"/>
      <c r="AD48" s="154" t="n"/>
      <c r="AE48" s="154" t="n"/>
      <c r="AF48" s="154" t="n"/>
      <c r="AG48" s="154" t="n"/>
      <c r="AH48" s="154" t="n"/>
      <c r="AI48" s="154" t="n"/>
      <c r="AJ48" s="154" t="n"/>
      <c r="AK48" s="154" t="n"/>
      <c r="AL48" s="154" t="n"/>
      <c r="AM48" s="154" t="n"/>
      <c r="AN48" s="154" t="n"/>
      <c r="AO48" s="154" t="n"/>
      <c r="AP48" s="154" t="n"/>
      <c r="AQ48" s="154" t="n"/>
      <c r="AR48" s="154" t="n"/>
      <c r="AS48" s="154" t="n"/>
      <c r="AT48" s="154" t="n"/>
      <c r="AU48" s="154" t="n"/>
      <c r="AV48" s="154" t="n"/>
      <c r="AW48" s="154" t="n"/>
      <c r="AX48" s="154" t="n"/>
      <c r="AY48" s="154" t="n"/>
      <c r="AZ48" s="154" t="n"/>
      <c r="BA48" s="154" t="n"/>
      <c r="BB48" s="154" t="n"/>
      <c r="BC48" s="154" t="n"/>
      <c r="BD48" s="154" t="n"/>
      <c r="BE48" s="154" t="n"/>
      <c r="BF48" s="154" t="n"/>
      <c r="BG48" s="154" t="n"/>
      <c r="BH48" s="154" t="n"/>
      <c r="BI48" s="154" t="n"/>
      <c r="BJ48" s="154" t="n"/>
      <c r="BK48" s="154" t="n"/>
      <c r="BL48" s="154" t="n"/>
      <c r="BM48" s="154" t="n"/>
      <c r="BN48" s="154" t="n"/>
      <c r="BO48" s="154" t="n"/>
      <c r="BP48" s="154" t="n"/>
      <c r="BQ48" s="154" t="n"/>
      <c r="BR48" s="154" t="n"/>
      <c r="BS48" s="154" t="n"/>
      <c r="BT48" s="154" t="inlineStr">
        <is>
          <t>R</t>
        </is>
      </c>
      <c r="BU48" s="154" t="n"/>
      <c r="BV48" s="154" t="n"/>
      <c r="BW48" s="154" t="inlineStr">
        <is>
          <t>R</t>
        </is>
      </c>
      <c r="BX48" s="154" t="inlineStr">
        <is>
          <t>R</t>
        </is>
      </c>
      <c r="BY48" s="154" t="n"/>
      <c r="BZ48" s="154" t="n"/>
      <c r="CA48" s="154" t="n"/>
      <c r="CB48" s="154" t="n"/>
      <c r="CC48" s="154" t="n"/>
      <c r="CD48" s="154" t="n"/>
      <c r="CE48" s="154" t="n"/>
      <c r="CF48" s="154" t="inlineStr">
        <is>
          <t>R</t>
        </is>
      </c>
      <c r="CG48" s="154" t="inlineStr">
        <is>
          <t>C</t>
        </is>
      </c>
      <c r="CH48" s="154" t="inlineStr">
        <is>
          <t>C</t>
        </is>
      </c>
      <c r="CI48" s="154" t="n"/>
      <c r="CJ48" s="154" t="n"/>
      <c r="CK48" s="154" t="n"/>
      <c r="CL48" s="154" t="n"/>
      <c r="CM48" s="154" t="inlineStr">
        <is>
          <t>C</t>
        </is>
      </c>
      <c r="CN48" s="154" t="inlineStr">
        <is>
          <t>C</t>
        </is>
      </c>
      <c r="CO48" s="154" t="n"/>
      <c r="CP48" s="154" t="n"/>
      <c r="CQ48" s="154" t="n"/>
      <c r="CR48" s="154" t="n"/>
      <c r="CS48" s="154" t="n"/>
      <c r="CT48" s="154" t="n"/>
      <c r="CU48" s="154" t="n"/>
      <c r="CV48" s="149">
        <f>COUNTIF(D48:CU48,"C")</f>
        <v/>
      </c>
      <c r="CW48" s="149">
        <f>COUNTIF(D48:CU48,"R")</f>
        <v/>
      </c>
    </row>
    <row r="49">
      <c r="A49" s="152" t="n"/>
      <c r="B49" s="146" t="inlineStr">
        <is>
          <t>C11-03</t>
        </is>
      </c>
      <c r="C49" s="153">
        <f>IFERROR(INDEX(ケイパビリティマップ!$E:$E,MATCH(B49,ケイパビリティマップ!$A:$A,0)),"（IDなし）")</f>
        <v/>
      </c>
      <c r="D49" s="154" t="n"/>
      <c r="E49" s="154" t="n"/>
      <c r="F49" s="154" t="n"/>
      <c r="G49" s="154" t="n"/>
      <c r="H49" s="154" t="n"/>
      <c r="I49" s="154" t="n"/>
      <c r="J49" s="154" t="n"/>
      <c r="K49" s="154" t="n"/>
      <c r="L49" s="154" t="n"/>
      <c r="M49" s="154" t="n"/>
      <c r="N49" s="154" t="n"/>
      <c r="O49" s="154" t="n"/>
      <c r="P49" s="154" t="n"/>
      <c r="Q49" s="154" t="n"/>
      <c r="R49" s="154" t="n"/>
      <c r="S49" s="154" t="n"/>
      <c r="T49" s="154" t="n"/>
      <c r="U49" s="154" t="n"/>
      <c r="V49" s="154" t="n"/>
      <c r="W49" s="154" t="n"/>
      <c r="X49" s="154" t="n"/>
      <c r="Y49" s="154" t="n"/>
      <c r="Z49" s="154" t="n"/>
      <c r="AA49" s="154" t="n"/>
      <c r="AB49" s="154" t="n"/>
      <c r="AC49" s="154" t="n"/>
      <c r="AD49" s="154" t="n"/>
      <c r="AE49" s="154" t="n"/>
      <c r="AF49" s="154" t="n"/>
      <c r="AG49" s="154" t="n"/>
      <c r="AH49" s="154" t="n"/>
      <c r="AI49" s="154" t="n"/>
      <c r="AJ49" s="154" t="n"/>
      <c r="AK49" s="154" t="n"/>
      <c r="AL49" s="154" t="n"/>
      <c r="AM49" s="154" t="n"/>
      <c r="AN49" s="154" t="n"/>
      <c r="AO49" s="154" t="n"/>
      <c r="AP49" s="154" t="n"/>
      <c r="AQ49" s="154" t="n"/>
      <c r="AR49" s="154" t="n"/>
      <c r="AS49" s="154" t="n"/>
      <c r="AT49" s="154" t="n"/>
      <c r="AU49" s="154" t="n"/>
      <c r="AV49" s="154" t="n"/>
      <c r="AW49" s="154" t="n"/>
      <c r="AX49" s="154" t="n"/>
      <c r="AY49" s="154" t="n"/>
      <c r="AZ49" s="154" t="n"/>
      <c r="BA49" s="154" t="n"/>
      <c r="BB49" s="154" t="n"/>
      <c r="BC49" s="154" t="n"/>
      <c r="BD49" s="154" t="n"/>
      <c r="BE49" s="154" t="n"/>
      <c r="BF49" s="154" t="n"/>
      <c r="BG49" s="154" t="n"/>
      <c r="BH49" s="154" t="n"/>
      <c r="BI49" s="154" t="n"/>
      <c r="BJ49" s="154" t="n"/>
      <c r="BK49" s="154" t="n"/>
      <c r="BL49" s="154" t="n"/>
      <c r="BM49" s="154" t="n"/>
      <c r="BN49" s="154" t="n"/>
      <c r="BO49" s="154" t="n"/>
      <c r="BP49" s="154" t="n"/>
      <c r="BQ49" s="154" t="n"/>
      <c r="BR49" s="154" t="n"/>
      <c r="BS49" s="154" t="n"/>
      <c r="BT49" s="154" t="n"/>
      <c r="BU49" s="154" t="n"/>
      <c r="BV49" s="154" t="n"/>
      <c r="BW49" s="154" t="n"/>
      <c r="BX49" s="154" t="inlineStr">
        <is>
          <t>R</t>
        </is>
      </c>
      <c r="BY49" s="154" t="n"/>
      <c r="BZ49" s="154" t="n"/>
      <c r="CA49" s="154" t="n"/>
      <c r="CB49" s="154" t="n"/>
      <c r="CC49" s="154" t="n"/>
      <c r="CD49" s="154" t="n"/>
      <c r="CE49" s="154" t="n"/>
      <c r="CF49" s="154" t="n"/>
      <c r="CG49" s="154" t="n"/>
      <c r="CH49" s="154" t="n"/>
      <c r="CI49" s="154" t="n"/>
      <c r="CJ49" s="154" t="inlineStr">
        <is>
          <t>C</t>
        </is>
      </c>
      <c r="CK49" s="154" t="n"/>
      <c r="CL49" s="154" t="n"/>
      <c r="CM49" s="154" t="n"/>
      <c r="CN49" s="154" t="n"/>
      <c r="CO49" s="154" t="n"/>
      <c r="CP49" s="154" t="n"/>
      <c r="CQ49" s="154" t="n"/>
      <c r="CR49" s="154" t="n"/>
      <c r="CS49" s="154" t="n"/>
      <c r="CT49" s="154" t="n"/>
      <c r="CU49" s="154" t="n"/>
      <c r="CV49" s="149">
        <f>COUNTIF(D49:CU49,"C")</f>
        <v/>
      </c>
      <c r="CW49" s="149">
        <f>COUNTIF(D49:CU49,"R")</f>
        <v/>
      </c>
    </row>
    <row r="50">
      <c r="A50" s="152" t="n"/>
      <c r="B50" s="146" t="inlineStr">
        <is>
          <t>C11-04</t>
        </is>
      </c>
      <c r="C50" s="153">
        <f>IFERROR(INDEX(ケイパビリティマップ!$E:$E,MATCH(B50,ケイパビリティマップ!$A:$A,0)),"（IDなし）")</f>
        <v/>
      </c>
      <c r="D50" s="154" t="n"/>
      <c r="E50" s="154" t="n"/>
      <c r="F50" s="154" t="n"/>
      <c r="G50" s="154" t="n"/>
      <c r="H50" s="154" t="n"/>
      <c r="I50" s="154" t="n"/>
      <c r="J50" s="154" t="n"/>
      <c r="K50" s="154" t="n"/>
      <c r="L50" s="154" t="n"/>
      <c r="M50" s="154" t="n"/>
      <c r="N50" s="154" t="n"/>
      <c r="O50" s="154" t="n"/>
      <c r="P50" s="154" t="n"/>
      <c r="Q50" s="154" t="n"/>
      <c r="R50" s="154" t="n"/>
      <c r="S50" s="154" t="n"/>
      <c r="T50" s="154" t="n"/>
      <c r="U50" s="154" t="n"/>
      <c r="V50" s="154" t="n"/>
      <c r="W50" s="154" t="n"/>
      <c r="X50" s="154" t="n"/>
      <c r="Y50" s="154" t="n"/>
      <c r="Z50" s="154" t="n"/>
      <c r="AA50" s="154" t="n"/>
      <c r="AB50" s="154" t="n"/>
      <c r="AC50" s="154" t="n"/>
      <c r="AD50" s="154" t="n"/>
      <c r="AE50" s="154" t="n"/>
      <c r="AF50" s="154" t="n"/>
      <c r="AG50" s="154" t="n"/>
      <c r="AH50" s="154" t="n"/>
      <c r="AI50" s="154" t="n"/>
      <c r="AJ50" s="154" t="n"/>
      <c r="AK50" s="154" t="n"/>
      <c r="AL50" s="154" t="n"/>
      <c r="AM50" s="154" t="n"/>
      <c r="AN50" s="154" t="n"/>
      <c r="AO50" s="154" t="n"/>
      <c r="AP50" s="154" t="n"/>
      <c r="AQ50" s="154" t="n"/>
      <c r="AR50" s="154" t="n"/>
      <c r="AS50" s="154" t="n"/>
      <c r="AT50" s="154" t="n"/>
      <c r="AU50" s="154" t="n"/>
      <c r="AV50" s="154" t="n"/>
      <c r="AW50" s="154" t="n"/>
      <c r="AX50" s="154" t="n"/>
      <c r="AY50" s="154" t="n"/>
      <c r="AZ50" s="154" t="n"/>
      <c r="BA50" s="154" t="n"/>
      <c r="BB50" s="154" t="n"/>
      <c r="BC50" s="154" t="n"/>
      <c r="BD50" s="154" t="n"/>
      <c r="BE50" s="154" t="n"/>
      <c r="BF50" s="154" t="n"/>
      <c r="BG50" s="154" t="n"/>
      <c r="BH50" s="154" t="n"/>
      <c r="BI50" s="154" t="n"/>
      <c r="BJ50" s="154" t="n"/>
      <c r="BK50" s="154" t="n"/>
      <c r="BL50" s="154" t="n"/>
      <c r="BM50" s="154" t="n"/>
      <c r="BN50" s="154" t="n"/>
      <c r="BO50" s="154" t="n"/>
      <c r="BP50" s="154" t="n"/>
      <c r="BQ50" s="154" t="n"/>
      <c r="BR50" s="154" t="n"/>
      <c r="BS50" s="154" t="n"/>
      <c r="BT50" s="154" t="n"/>
      <c r="BU50" s="154" t="n"/>
      <c r="BV50" s="154" t="n"/>
      <c r="BW50" s="154" t="n"/>
      <c r="BX50" s="154" t="inlineStr">
        <is>
          <t>R</t>
        </is>
      </c>
      <c r="BY50" s="154" t="n"/>
      <c r="BZ50" s="154" t="n"/>
      <c r="CA50" s="154" t="n"/>
      <c r="CB50" s="154" t="n"/>
      <c r="CC50" s="154" t="n"/>
      <c r="CD50" s="154" t="n"/>
      <c r="CE50" s="154" t="n"/>
      <c r="CF50" s="154" t="n"/>
      <c r="CG50" s="154" t="n"/>
      <c r="CH50" s="154" t="n"/>
      <c r="CI50" s="154" t="n"/>
      <c r="CJ50" s="154" t="inlineStr">
        <is>
          <t>R</t>
        </is>
      </c>
      <c r="CK50" s="154" t="n"/>
      <c r="CL50" s="154" t="inlineStr">
        <is>
          <t>C</t>
        </is>
      </c>
      <c r="CM50" s="154" t="n"/>
      <c r="CN50" s="154" t="n"/>
      <c r="CO50" s="154" t="n"/>
      <c r="CP50" s="154" t="n"/>
      <c r="CQ50" s="154" t="n"/>
      <c r="CR50" s="154" t="n"/>
      <c r="CS50" s="154" t="n"/>
      <c r="CT50" s="154" t="n"/>
      <c r="CU50" s="154" t="n"/>
      <c r="CV50" s="149">
        <f>COUNTIF(D50:CU50,"C")</f>
        <v/>
      </c>
      <c r="CW50" s="149">
        <f>COUNTIF(D50:CU50,"R")</f>
        <v/>
      </c>
    </row>
    <row r="51">
      <c r="A51" s="152" t="inlineStr">
        <is>
          <t>C12 サプライチェーン</t>
        </is>
      </c>
      <c r="B51" s="146" t="inlineStr">
        <is>
          <t>C12-01</t>
        </is>
      </c>
      <c r="C51" s="153">
        <f>IFERROR(INDEX(ケイパビリティマップ!$E:$E,MATCH(B51,ケイパビリティマップ!$A:$A,0)),"（IDなし）")</f>
        <v/>
      </c>
      <c r="D51" s="154" t="n"/>
      <c r="E51" s="154" t="n"/>
      <c r="F51" s="154" t="n"/>
      <c r="G51" s="154" t="n"/>
      <c r="H51" s="154" t="inlineStr">
        <is>
          <t>R</t>
        </is>
      </c>
      <c r="I51" s="154" t="n"/>
      <c r="J51" s="154" t="n"/>
      <c r="K51" s="154" t="n"/>
      <c r="L51" s="154" t="n"/>
      <c r="M51" s="154" t="n"/>
      <c r="N51" s="154" t="n"/>
      <c r="O51" s="154" t="n"/>
      <c r="P51" s="154" t="n"/>
      <c r="Q51" s="154" t="n"/>
      <c r="R51" s="154" t="n"/>
      <c r="S51" s="154" t="n"/>
      <c r="T51" s="154" t="n"/>
      <c r="U51" s="154" t="n"/>
      <c r="V51" s="154" t="n"/>
      <c r="W51" s="154" t="n"/>
      <c r="X51" s="154" t="n"/>
      <c r="Y51" s="154" t="n"/>
      <c r="Z51" s="154" t="n"/>
      <c r="AA51" s="154" t="n"/>
      <c r="AB51" s="154" t="n"/>
      <c r="AC51" s="154" t="n"/>
      <c r="AD51" s="154" t="n"/>
      <c r="AE51" s="154" t="n"/>
      <c r="AF51" s="154" t="n"/>
      <c r="AG51" s="154" t="n"/>
      <c r="AH51" s="154" t="n"/>
      <c r="AI51" s="154" t="n"/>
      <c r="AJ51" s="154" t="n"/>
      <c r="AK51" s="154" t="n"/>
      <c r="AL51" s="154" t="n"/>
      <c r="AM51" s="154" t="n"/>
      <c r="AN51" s="154" t="n"/>
      <c r="AO51" s="154" t="n"/>
      <c r="AP51" s="154" t="n"/>
      <c r="AQ51" s="154" t="n"/>
      <c r="AR51" s="154" t="n"/>
      <c r="AS51" s="154" t="n"/>
      <c r="AT51" s="154" t="n"/>
      <c r="AU51" s="154" t="inlineStr">
        <is>
          <t>R</t>
        </is>
      </c>
      <c r="AV51" s="154" t="n"/>
      <c r="AW51" s="154" t="n"/>
      <c r="AX51" s="154" t="n"/>
      <c r="AY51" s="154" t="n"/>
      <c r="AZ51" s="154" t="n"/>
      <c r="BA51" s="154" t="n"/>
      <c r="BB51" s="154" t="n"/>
      <c r="BC51" s="154" t="n"/>
      <c r="BD51" s="154" t="n"/>
      <c r="BE51" s="154" t="n"/>
      <c r="BF51" s="154" t="n"/>
      <c r="BG51" s="154" t="n"/>
      <c r="BH51" s="154" t="n"/>
      <c r="BI51" s="154" t="n"/>
      <c r="BJ51" s="154" t="n"/>
      <c r="BK51" s="154" t="n"/>
      <c r="BL51" s="154" t="n"/>
      <c r="BM51" s="154" t="n"/>
      <c r="BN51" s="154" t="n"/>
      <c r="BO51" s="154" t="n"/>
      <c r="BP51" s="154" t="n"/>
      <c r="BQ51" s="154" t="n"/>
      <c r="BR51" s="154" t="inlineStr">
        <is>
          <t>R</t>
        </is>
      </c>
      <c r="BS51" s="154" t="n"/>
      <c r="BT51" s="154" t="n"/>
      <c r="BU51" s="154" t="n"/>
      <c r="BV51" s="154" t="n"/>
      <c r="BW51" s="154" t="inlineStr">
        <is>
          <t>R</t>
        </is>
      </c>
      <c r="BX51" s="154" t="n"/>
      <c r="BY51" s="154" t="n"/>
      <c r="BZ51" s="154" t="n"/>
      <c r="CA51" s="154" t="n"/>
      <c r="CB51" s="154" t="n"/>
      <c r="CC51" s="154" t="n"/>
      <c r="CD51" s="154" t="n"/>
      <c r="CE51" s="154" t="n"/>
      <c r="CF51" s="154" t="n"/>
      <c r="CG51" s="154" t="n"/>
      <c r="CH51" s="154" t="n"/>
      <c r="CI51" s="154" t="inlineStr">
        <is>
          <t>R</t>
        </is>
      </c>
      <c r="CJ51" s="154" t="n"/>
      <c r="CK51" s="154" t="n"/>
      <c r="CL51" s="154" t="n"/>
      <c r="CM51" s="154" t="n"/>
      <c r="CN51" s="154" t="n"/>
      <c r="CO51" s="154" t="inlineStr">
        <is>
          <t>C</t>
        </is>
      </c>
      <c r="CP51" s="154" t="inlineStr">
        <is>
          <t>C</t>
        </is>
      </c>
      <c r="CQ51" s="154" t="inlineStr">
        <is>
          <t>C</t>
        </is>
      </c>
      <c r="CR51" s="154" t="n"/>
      <c r="CS51" s="154" t="n"/>
      <c r="CT51" s="154" t="n"/>
      <c r="CU51" s="154" t="n"/>
      <c r="CV51" s="149">
        <f>COUNTIF(D51:CU51,"C")</f>
        <v/>
      </c>
      <c r="CW51" s="149">
        <f>COUNTIF(D51:CU51,"R")</f>
        <v/>
      </c>
    </row>
    <row r="52">
      <c r="A52" s="152" t="n"/>
      <c r="B52" s="146" t="inlineStr">
        <is>
          <t>C12-02</t>
        </is>
      </c>
      <c r="C52" s="153">
        <f>IFERROR(INDEX(ケイパビリティマップ!$E:$E,MATCH(B52,ケイパビリティマップ!$A:$A,0)),"（IDなし）")</f>
        <v/>
      </c>
      <c r="D52" s="154" t="n"/>
      <c r="E52" s="154" t="n"/>
      <c r="F52" s="154" t="n"/>
      <c r="G52" s="154" t="inlineStr">
        <is>
          <t>C</t>
        </is>
      </c>
      <c r="H52" s="154" t="inlineStr">
        <is>
          <t>C</t>
        </is>
      </c>
      <c r="I52" s="154" t="n"/>
      <c r="J52" s="154" t="n"/>
      <c r="K52" s="154" t="n"/>
      <c r="L52" s="154" t="n"/>
      <c r="M52" s="154" t="n"/>
      <c r="N52" s="154" t="n"/>
      <c r="O52" s="154" t="n"/>
      <c r="P52" s="154" t="n"/>
      <c r="Q52" s="154" t="n"/>
      <c r="R52" s="154" t="n"/>
      <c r="S52" s="154" t="n"/>
      <c r="T52" s="154" t="n"/>
      <c r="U52" s="154" t="n"/>
      <c r="V52" s="154" t="n"/>
      <c r="W52" s="154" t="n"/>
      <c r="X52" s="154" t="n"/>
      <c r="Y52" s="154" t="n"/>
      <c r="Z52" s="154" t="n"/>
      <c r="AA52" s="154" t="n"/>
      <c r="AB52" s="154" t="n"/>
      <c r="AC52" s="154" t="n"/>
      <c r="AD52" s="154" t="n"/>
      <c r="AE52" s="154" t="n"/>
      <c r="AF52" s="154" t="n"/>
      <c r="AG52" s="154" t="n"/>
      <c r="AH52" s="154" t="n"/>
      <c r="AI52" s="154" t="n"/>
      <c r="AJ52" s="154" t="n"/>
      <c r="AK52" s="154" t="n"/>
      <c r="AL52" s="154" t="n"/>
      <c r="AM52" s="154" t="n"/>
      <c r="AN52" s="154" t="n"/>
      <c r="AO52" s="154" t="n"/>
      <c r="AP52" s="154" t="n"/>
      <c r="AQ52" s="154" t="n"/>
      <c r="AR52" s="154" t="n"/>
      <c r="AS52" s="154" t="n"/>
      <c r="AT52" s="154" t="n"/>
      <c r="AU52" s="154" t="n"/>
      <c r="AV52" s="154" t="n"/>
      <c r="AW52" s="154" t="n"/>
      <c r="AX52" s="154" t="n"/>
      <c r="AY52" s="154" t="n"/>
      <c r="AZ52" s="154" t="n"/>
      <c r="BA52" s="154" t="n"/>
      <c r="BB52" s="154" t="n"/>
      <c r="BC52" s="154" t="n"/>
      <c r="BD52" s="154" t="n"/>
      <c r="BE52" s="154" t="n"/>
      <c r="BF52" s="154" t="n"/>
      <c r="BG52" s="154" t="n"/>
      <c r="BH52" s="154" t="n"/>
      <c r="BI52" s="154" t="n"/>
      <c r="BJ52" s="154" t="n"/>
      <c r="BK52" s="154" t="n"/>
      <c r="BL52" s="154" t="n"/>
      <c r="BM52" s="154" t="n"/>
      <c r="BN52" s="154" t="n"/>
      <c r="BO52" s="154" t="n"/>
      <c r="BP52" s="154" t="n"/>
      <c r="BQ52" s="154" t="n"/>
      <c r="BR52" s="154" t="n"/>
      <c r="BS52" s="154" t="n"/>
      <c r="BT52" s="154" t="n"/>
      <c r="BU52" s="154" t="n"/>
      <c r="BV52" s="154" t="n"/>
      <c r="BW52" s="154" t="n"/>
      <c r="BX52" s="154" t="n"/>
      <c r="BY52" s="154" t="n"/>
      <c r="BZ52" s="154" t="n"/>
      <c r="CA52" s="154" t="n"/>
      <c r="CB52" s="154" t="n"/>
      <c r="CC52" s="154" t="n"/>
      <c r="CD52" s="154" t="n"/>
      <c r="CE52" s="154" t="n"/>
      <c r="CF52" s="154" t="n"/>
      <c r="CG52" s="154" t="n"/>
      <c r="CH52" s="154" t="n"/>
      <c r="CI52" s="154" t="n"/>
      <c r="CJ52" s="154" t="n"/>
      <c r="CK52" s="154" t="n"/>
      <c r="CL52" s="154" t="n"/>
      <c r="CM52" s="154" t="n"/>
      <c r="CN52" s="154" t="n"/>
      <c r="CO52" s="154" t="n"/>
      <c r="CP52" s="154" t="n"/>
      <c r="CQ52" s="154" t="inlineStr">
        <is>
          <t>C</t>
        </is>
      </c>
      <c r="CR52" s="154" t="n"/>
      <c r="CS52" s="154" t="n"/>
      <c r="CT52" s="154" t="n"/>
      <c r="CU52" s="154" t="n"/>
      <c r="CV52" s="149">
        <f>COUNTIF(D52:CU52,"C")</f>
        <v/>
      </c>
      <c r="CW52" s="149">
        <f>COUNTIF(D52:CU52,"R")</f>
        <v/>
      </c>
    </row>
    <row r="53">
      <c r="A53" s="152" t="n"/>
      <c r="B53" s="146" t="inlineStr">
        <is>
          <t>C12-03</t>
        </is>
      </c>
      <c r="C53" s="153">
        <f>IFERROR(INDEX(ケイパビリティマップ!$E:$E,MATCH(B53,ケイパビリティマップ!$A:$A,0)),"（IDなし）")</f>
        <v/>
      </c>
      <c r="D53" s="154" t="n"/>
      <c r="E53" s="154" t="n"/>
      <c r="F53" s="154" t="n"/>
      <c r="G53" s="154" t="n"/>
      <c r="H53" s="154" t="n"/>
      <c r="I53" s="154" t="n"/>
      <c r="J53" s="154" t="n"/>
      <c r="K53" s="154" t="n"/>
      <c r="L53" s="154" t="n"/>
      <c r="M53" s="154" t="n"/>
      <c r="N53" s="154" t="n"/>
      <c r="O53" s="154" t="n"/>
      <c r="P53" s="154" t="n"/>
      <c r="Q53" s="154" t="n"/>
      <c r="R53" s="154" t="n"/>
      <c r="S53" s="154" t="n"/>
      <c r="T53" s="154" t="n"/>
      <c r="U53" s="154" t="n"/>
      <c r="V53" s="154" t="n"/>
      <c r="W53" s="154" t="n"/>
      <c r="X53" s="154" t="n"/>
      <c r="Y53" s="154" t="n"/>
      <c r="Z53" s="154" t="n"/>
      <c r="AA53" s="154" t="n"/>
      <c r="AB53" s="154" t="n"/>
      <c r="AC53" s="154" t="n"/>
      <c r="AD53" s="154" t="n"/>
      <c r="AE53" s="154" t="n"/>
      <c r="AF53" s="154" t="n"/>
      <c r="AG53" s="154" t="n"/>
      <c r="AH53" s="154" t="n"/>
      <c r="AI53" s="154" t="n"/>
      <c r="AJ53" s="154" t="n"/>
      <c r="AK53" s="154" t="n"/>
      <c r="AL53" s="154" t="n"/>
      <c r="AM53" s="154" t="n"/>
      <c r="AN53" s="154" t="n"/>
      <c r="AO53" s="154" t="n"/>
      <c r="AP53" s="154" t="n"/>
      <c r="AQ53" s="154" t="n"/>
      <c r="AR53" s="154" t="n"/>
      <c r="AS53" s="154" t="inlineStr">
        <is>
          <t>C</t>
        </is>
      </c>
      <c r="AT53" s="154" t="n"/>
      <c r="AU53" s="154" t="inlineStr">
        <is>
          <t>R</t>
        </is>
      </c>
      <c r="AV53" s="154" t="n"/>
      <c r="AW53" s="154" t="n"/>
      <c r="AX53" s="154" t="n"/>
      <c r="AY53" s="154" t="n"/>
      <c r="AZ53" s="154" t="n"/>
      <c r="BA53" s="154" t="n"/>
      <c r="BB53" s="154" t="n"/>
      <c r="BC53" s="154" t="n"/>
      <c r="BD53" s="154" t="n"/>
      <c r="BE53" s="154" t="n"/>
      <c r="BF53" s="154" t="n"/>
      <c r="BG53" s="154" t="n"/>
      <c r="BH53" s="154" t="n"/>
      <c r="BI53" s="154" t="n"/>
      <c r="BJ53" s="154" t="n"/>
      <c r="BK53" s="154" t="n"/>
      <c r="BL53" s="154" t="n"/>
      <c r="BM53" s="154" t="n"/>
      <c r="BN53" s="154" t="n"/>
      <c r="BO53" s="154" t="n"/>
      <c r="BP53" s="154" t="n"/>
      <c r="BQ53" s="154" t="n"/>
      <c r="BR53" s="154" t="n"/>
      <c r="BS53" s="154" t="n"/>
      <c r="BT53" s="154" t="n"/>
      <c r="BU53" s="154" t="n"/>
      <c r="BV53" s="154" t="n"/>
      <c r="BW53" s="154" t="n"/>
      <c r="BX53" s="154" t="n"/>
      <c r="BY53" s="154" t="n"/>
      <c r="BZ53" s="154" t="n"/>
      <c r="CA53" s="154" t="n"/>
      <c r="CB53" s="154" t="n"/>
      <c r="CC53" s="154" t="n"/>
      <c r="CD53" s="154" t="n"/>
      <c r="CE53" s="154" t="n"/>
      <c r="CF53" s="154" t="n"/>
      <c r="CG53" s="154" t="n"/>
      <c r="CH53" s="154" t="n"/>
      <c r="CI53" s="154" t="n"/>
      <c r="CJ53" s="154" t="n"/>
      <c r="CK53" s="154" t="n"/>
      <c r="CL53" s="154" t="n"/>
      <c r="CM53" s="154" t="n"/>
      <c r="CN53" s="154" t="n"/>
      <c r="CO53" s="154" t="n"/>
      <c r="CP53" s="154" t="inlineStr">
        <is>
          <t>C</t>
        </is>
      </c>
      <c r="CQ53" s="154" t="inlineStr">
        <is>
          <t>C</t>
        </is>
      </c>
      <c r="CR53" s="154" t="inlineStr">
        <is>
          <t>C</t>
        </is>
      </c>
      <c r="CS53" s="154" t="n"/>
      <c r="CT53" s="154" t="n"/>
      <c r="CU53" s="154" t="n"/>
      <c r="CV53" s="149">
        <f>COUNTIF(D53:CU53,"C")</f>
        <v/>
      </c>
      <c r="CW53" s="149">
        <f>COUNTIF(D53:CU53,"R")</f>
        <v/>
      </c>
    </row>
    <row r="54">
      <c r="A54" s="152" t="n"/>
      <c r="B54" s="146" t="inlineStr">
        <is>
          <t>C12-04</t>
        </is>
      </c>
      <c r="C54" s="153">
        <f>IFERROR(INDEX(ケイパビリティマップ!$E:$E,MATCH(B54,ケイパビリティマップ!$A:$A,0)),"（IDなし）")</f>
        <v/>
      </c>
      <c r="D54" s="154" t="n"/>
      <c r="E54" s="154" t="n"/>
      <c r="F54" s="154" t="n"/>
      <c r="G54" s="154" t="n"/>
      <c r="H54" s="154" t="n"/>
      <c r="I54" s="154" t="n"/>
      <c r="J54" s="154" t="n"/>
      <c r="K54" s="154" t="n"/>
      <c r="L54" s="154" t="n"/>
      <c r="M54" s="154" t="n"/>
      <c r="N54" s="154" t="n"/>
      <c r="O54" s="154" t="n"/>
      <c r="P54" s="154" t="n"/>
      <c r="Q54" s="154" t="n"/>
      <c r="R54" s="154" t="n"/>
      <c r="S54" s="154" t="n"/>
      <c r="T54" s="154" t="n"/>
      <c r="U54" s="154" t="n"/>
      <c r="V54" s="154" t="n"/>
      <c r="W54" s="154" t="n"/>
      <c r="X54" s="154" t="n"/>
      <c r="Y54" s="154" t="n"/>
      <c r="Z54" s="154" t="n"/>
      <c r="AA54" s="154" t="n"/>
      <c r="AB54" s="154" t="n"/>
      <c r="AC54" s="154" t="n"/>
      <c r="AD54" s="154" t="n"/>
      <c r="AE54" s="154" t="n"/>
      <c r="AF54" s="154" t="n"/>
      <c r="AG54" s="154" t="n"/>
      <c r="AH54" s="154" t="n"/>
      <c r="AI54" s="154" t="n"/>
      <c r="AJ54" s="154" t="n"/>
      <c r="AK54" s="154" t="n"/>
      <c r="AL54" s="154" t="n"/>
      <c r="AM54" s="154" t="n"/>
      <c r="AN54" s="154" t="n"/>
      <c r="AO54" s="154" t="n"/>
      <c r="AP54" s="154" t="n"/>
      <c r="AQ54" s="154" t="n"/>
      <c r="AR54" s="154" t="n"/>
      <c r="AS54" s="154" t="n"/>
      <c r="AT54" s="154" t="n"/>
      <c r="AU54" s="154" t="n"/>
      <c r="AV54" s="154" t="n"/>
      <c r="AW54" s="154" t="n"/>
      <c r="AX54" s="154" t="n"/>
      <c r="AY54" s="154" t="n"/>
      <c r="AZ54" s="154" t="n"/>
      <c r="BA54" s="154" t="n"/>
      <c r="BB54" s="154" t="n"/>
      <c r="BC54" s="154" t="n"/>
      <c r="BD54" s="154" t="n"/>
      <c r="BE54" s="154" t="n"/>
      <c r="BF54" s="154" t="n"/>
      <c r="BG54" s="154" t="n"/>
      <c r="BH54" s="154" t="n"/>
      <c r="BI54" s="154" t="n"/>
      <c r="BJ54" s="154" t="n"/>
      <c r="BK54" s="154" t="n"/>
      <c r="BL54" s="154" t="n"/>
      <c r="BM54" s="154" t="n"/>
      <c r="BN54" s="154" t="n"/>
      <c r="BO54" s="154" t="n"/>
      <c r="BP54" s="154" t="n"/>
      <c r="BQ54" s="154" t="n"/>
      <c r="BR54" s="154" t="n"/>
      <c r="BS54" s="154" t="n"/>
      <c r="BT54" s="154" t="n"/>
      <c r="BU54" s="154" t="n"/>
      <c r="BV54" s="154" t="n"/>
      <c r="BW54" s="154" t="n"/>
      <c r="BX54" s="154" t="n"/>
      <c r="BY54" s="154" t="n"/>
      <c r="BZ54" s="154" t="n"/>
      <c r="CA54" s="154" t="n"/>
      <c r="CB54" s="154" t="n"/>
      <c r="CC54" s="154" t="n"/>
      <c r="CD54" s="154" t="n"/>
      <c r="CE54" s="154" t="n"/>
      <c r="CF54" s="154" t="n"/>
      <c r="CG54" s="154" t="n"/>
      <c r="CH54" s="154" t="n"/>
      <c r="CI54" s="154" t="n"/>
      <c r="CJ54" s="154" t="n"/>
      <c r="CK54" s="154" t="n"/>
      <c r="CL54" s="154" t="n"/>
      <c r="CM54" s="154" t="n"/>
      <c r="CN54" s="154" t="n"/>
      <c r="CO54" s="154" t="n"/>
      <c r="CP54" s="154" t="n"/>
      <c r="CQ54" s="154" t="inlineStr">
        <is>
          <t>R</t>
        </is>
      </c>
      <c r="CR54" s="154" t="n"/>
      <c r="CS54" s="154" t="inlineStr">
        <is>
          <t>C</t>
        </is>
      </c>
      <c r="CT54" s="154" t="n"/>
      <c r="CU54" s="154" t="n"/>
      <c r="CV54" s="149">
        <f>COUNTIF(D54:CU54,"C")</f>
        <v/>
      </c>
      <c r="CW54" s="149">
        <f>COUNTIF(D54:CU54,"R")</f>
        <v/>
      </c>
    </row>
    <row r="55">
      <c r="A55" s="152" t="n"/>
      <c r="B55" s="146" t="inlineStr">
        <is>
          <t>C12-05</t>
        </is>
      </c>
      <c r="C55" s="153">
        <f>IFERROR(INDEX(ケイパビリティマップ!$E:$E,MATCH(B55,ケイパビリティマップ!$A:$A,0)),"（IDなし）")</f>
        <v/>
      </c>
      <c r="D55" s="154" t="n"/>
      <c r="E55" s="154" t="n"/>
      <c r="F55" s="154" t="n"/>
      <c r="G55" s="154" t="n"/>
      <c r="H55" s="154" t="n"/>
      <c r="I55" s="154" t="n"/>
      <c r="J55" s="154" t="n"/>
      <c r="K55" s="154" t="n"/>
      <c r="L55" s="154" t="n"/>
      <c r="M55" s="154" t="n"/>
      <c r="N55" s="154" t="n"/>
      <c r="O55" s="154" t="n"/>
      <c r="P55" s="154" t="n"/>
      <c r="Q55" s="154" t="n"/>
      <c r="R55" s="154" t="n"/>
      <c r="S55" s="154" t="n"/>
      <c r="T55" s="154" t="n"/>
      <c r="U55" s="154" t="n"/>
      <c r="V55" s="154" t="n"/>
      <c r="W55" s="154" t="n"/>
      <c r="X55" s="154" t="n"/>
      <c r="Y55" s="154" t="n"/>
      <c r="Z55" s="154" t="n"/>
      <c r="AA55" s="154" t="n"/>
      <c r="AB55" s="154" t="n"/>
      <c r="AC55" s="154" t="n"/>
      <c r="AD55" s="154" t="n"/>
      <c r="AE55" s="154" t="n"/>
      <c r="AF55" s="154" t="n"/>
      <c r="AG55" s="154" t="n"/>
      <c r="AH55" s="154" t="n"/>
      <c r="AI55" s="154" t="n"/>
      <c r="AJ55" s="154" t="n"/>
      <c r="AK55" s="154" t="n"/>
      <c r="AL55" s="154" t="n"/>
      <c r="AM55" s="154" t="inlineStr">
        <is>
          <t>R</t>
        </is>
      </c>
      <c r="AN55" s="154" t="n"/>
      <c r="AO55" s="154" t="n"/>
      <c r="AP55" s="154" t="n"/>
      <c r="AQ55" s="154" t="n"/>
      <c r="AR55" s="154" t="n"/>
      <c r="AS55" s="154" t="inlineStr">
        <is>
          <t>R</t>
        </is>
      </c>
      <c r="AT55" s="154" t="n"/>
      <c r="AU55" s="154" t="n"/>
      <c r="AV55" s="154" t="n"/>
      <c r="AW55" s="154" t="n"/>
      <c r="AX55" s="154" t="n"/>
      <c r="AY55" s="154" t="n"/>
      <c r="AZ55" s="154" t="n"/>
      <c r="BA55" s="154" t="n"/>
      <c r="BB55" s="154" t="n"/>
      <c r="BC55" s="154" t="n"/>
      <c r="BD55" s="154" t="n"/>
      <c r="BE55" s="154" t="n"/>
      <c r="BF55" s="154" t="n"/>
      <c r="BG55" s="154" t="n"/>
      <c r="BH55" s="154" t="n"/>
      <c r="BI55" s="154" t="n"/>
      <c r="BJ55" s="154" t="n"/>
      <c r="BK55" s="154" t="n"/>
      <c r="BL55" s="154" t="n"/>
      <c r="BM55" s="154" t="n"/>
      <c r="BN55" s="154" t="n"/>
      <c r="BO55" s="154" t="n"/>
      <c r="BP55" s="154" t="n"/>
      <c r="BQ55" s="154" t="n"/>
      <c r="BR55" s="154" t="n"/>
      <c r="BS55" s="154" t="inlineStr">
        <is>
          <t>C</t>
        </is>
      </c>
      <c r="BT55" s="154" t="n"/>
      <c r="BU55" s="154" t="n"/>
      <c r="BV55" s="154" t="n"/>
      <c r="BW55" s="154" t="n"/>
      <c r="BX55" s="154" t="n"/>
      <c r="BY55" s="154" t="n"/>
      <c r="BZ55" s="154" t="n"/>
      <c r="CA55" s="154" t="n"/>
      <c r="CB55" s="154" t="n"/>
      <c r="CC55" s="154" t="n"/>
      <c r="CD55" s="154" t="inlineStr">
        <is>
          <t>R</t>
        </is>
      </c>
      <c r="CE55" s="154" t="n"/>
      <c r="CF55" s="154" t="n"/>
      <c r="CG55" s="154" t="n"/>
      <c r="CH55" s="154" t="n"/>
      <c r="CI55" s="154" t="n"/>
      <c r="CJ55" s="154" t="n"/>
      <c r="CK55" s="154" t="n"/>
      <c r="CL55" s="154" t="n"/>
      <c r="CM55" s="154" t="n"/>
      <c r="CN55" s="154" t="n"/>
      <c r="CO55" s="154" t="inlineStr">
        <is>
          <t>R</t>
        </is>
      </c>
      <c r="CP55" s="154" t="inlineStr">
        <is>
          <t>R</t>
        </is>
      </c>
      <c r="CQ55" s="154" t="n"/>
      <c r="CR55" s="154" t="n"/>
      <c r="CS55" s="154" t="inlineStr">
        <is>
          <t>R</t>
        </is>
      </c>
      <c r="CT55" s="154" t="inlineStr">
        <is>
          <t>C</t>
        </is>
      </c>
      <c r="CU55" s="154" t="inlineStr">
        <is>
          <t>C</t>
        </is>
      </c>
      <c r="CV55" s="149">
        <f>COUNTIF(D55:CU55,"C")</f>
        <v/>
      </c>
      <c r="CW55" s="149">
        <f>COUNTIF(D55:CU55,"R")</f>
        <v/>
      </c>
    </row>
    <row r="56">
      <c r="A56" s="152" t="inlineStr">
        <is>
          <t>C13 共通基盤</t>
        </is>
      </c>
      <c r="B56" s="146" t="inlineStr">
        <is>
          <t>C13-01</t>
        </is>
      </c>
      <c r="C56" s="153">
        <f>IFERROR(INDEX(ケイパビリティマップ!$E:$E,MATCH(B56,ケイパビリティマップ!$A:$A,0)),"（IDなし）")</f>
        <v/>
      </c>
      <c r="D56" s="154" t="inlineStr">
        <is>
          <t>C</t>
        </is>
      </c>
      <c r="E56" s="154" t="n"/>
      <c r="F56" s="154" t="n"/>
      <c r="G56" s="154" t="n"/>
      <c r="H56" s="154" t="n"/>
      <c r="I56" s="154" t="n"/>
      <c r="J56" s="154" t="n"/>
      <c r="K56" s="154" t="n"/>
      <c r="L56" s="154" t="n"/>
      <c r="M56" s="154" t="n"/>
      <c r="N56" s="154" t="n"/>
      <c r="O56" s="154" t="n"/>
      <c r="P56" s="154" t="n"/>
      <c r="Q56" s="154" t="n"/>
      <c r="R56" s="154" t="n"/>
      <c r="S56" s="154" t="n"/>
      <c r="T56" s="154" t="n"/>
      <c r="U56" s="154" t="n"/>
      <c r="V56" s="154" t="n"/>
      <c r="W56" s="154" t="n"/>
      <c r="X56" s="154" t="n"/>
      <c r="Y56" s="154" t="n"/>
      <c r="Z56" s="154" t="n"/>
      <c r="AA56" s="154" t="n"/>
      <c r="AB56" s="154" t="n"/>
      <c r="AC56" s="154" t="n"/>
      <c r="AD56" s="154" t="n"/>
      <c r="AE56" s="154" t="n"/>
      <c r="AF56" s="154" t="n"/>
      <c r="AG56" s="154" t="n"/>
      <c r="AH56" s="154" t="n"/>
      <c r="AI56" s="154" t="n"/>
      <c r="AJ56" s="154" t="n"/>
      <c r="AK56" s="154" t="n"/>
      <c r="AL56" s="154" t="n"/>
      <c r="AM56" s="154" t="n"/>
      <c r="AN56" s="154" t="n"/>
      <c r="AO56" s="154" t="n"/>
      <c r="AP56" s="154" t="n"/>
      <c r="AQ56" s="154" t="n"/>
      <c r="AR56" s="154" t="n"/>
      <c r="AS56" s="154" t="n"/>
      <c r="AT56" s="154" t="n"/>
      <c r="AU56" s="154" t="n"/>
      <c r="AV56" s="154" t="n"/>
      <c r="AW56" s="154" t="n"/>
      <c r="AX56" s="154" t="n"/>
      <c r="AY56" s="154" t="n"/>
      <c r="AZ56" s="154" t="n"/>
      <c r="BA56" s="154" t="n"/>
      <c r="BB56" s="154" t="n"/>
      <c r="BC56" s="154" t="n"/>
      <c r="BD56" s="154" t="n"/>
      <c r="BE56" s="154" t="n"/>
      <c r="BF56" s="154" t="n"/>
      <c r="BG56" s="154" t="n"/>
      <c r="BH56" s="154" t="n"/>
      <c r="BI56" s="154" t="n"/>
      <c r="BJ56" s="154" t="n"/>
      <c r="BK56" s="154" t="n"/>
      <c r="BL56" s="154" t="n"/>
      <c r="BM56" s="154" t="n"/>
      <c r="BN56" s="154" t="n"/>
      <c r="BO56" s="154" t="n"/>
      <c r="BP56" s="154" t="n"/>
      <c r="BQ56" s="154" t="n"/>
      <c r="BR56" s="154" t="inlineStr">
        <is>
          <t>C</t>
        </is>
      </c>
      <c r="BS56" s="154" t="n"/>
      <c r="BT56" s="154" t="n"/>
      <c r="BU56" s="154" t="n"/>
      <c r="BV56" s="154" t="n"/>
      <c r="BW56" s="154" t="n"/>
      <c r="BX56" s="154" t="n"/>
      <c r="BY56" s="154" t="n"/>
      <c r="BZ56" s="154" t="n"/>
      <c r="CA56" s="154" t="n"/>
      <c r="CB56" s="154" t="n"/>
      <c r="CC56" s="154" t="n"/>
      <c r="CD56" s="154" t="n"/>
      <c r="CE56" s="154" t="n"/>
      <c r="CF56" s="154" t="n"/>
      <c r="CG56" s="154" t="n"/>
      <c r="CH56" s="154" t="n"/>
      <c r="CI56" s="154" t="n"/>
      <c r="CJ56" s="154" t="n"/>
      <c r="CK56" s="154" t="n"/>
      <c r="CL56" s="154" t="n"/>
      <c r="CM56" s="154" t="n"/>
      <c r="CN56" s="154" t="n"/>
      <c r="CO56" s="154" t="n"/>
      <c r="CP56" s="154" t="n"/>
      <c r="CQ56" s="154" t="n"/>
      <c r="CR56" s="154" t="n"/>
      <c r="CS56" s="154" t="n"/>
      <c r="CT56" s="154" t="n"/>
      <c r="CU56" s="154" t="n"/>
      <c r="CV56" s="149">
        <f>COUNTIF(D56:CU56,"C")</f>
        <v/>
      </c>
      <c r="CW56" s="149">
        <f>COUNTIF(D56:CU56,"R")</f>
        <v/>
      </c>
    </row>
    <row r="57">
      <c r="A57" s="152" t="n"/>
      <c r="B57" s="146" t="inlineStr">
        <is>
          <t>C13-02</t>
        </is>
      </c>
      <c r="C57" s="153">
        <f>IFERROR(INDEX(ケイパビリティマップ!$E:$E,MATCH(B57,ケイパビリティマップ!$A:$A,0)),"（IDなし）")</f>
        <v/>
      </c>
      <c r="D57" s="154" t="n"/>
      <c r="E57" s="154" t="n"/>
      <c r="F57" s="154" t="n"/>
      <c r="G57" s="154" t="n"/>
      <c r="H57" s="154" t="n"/>
      <c r="I57" s="154" t="n"/>
      <c r="J57" s="154" t="n"/>
      <c r="K57" s="154" t="n"/>
      <c r="L57" s="154" t="n"/>
      <c r="M57" s="154" t="n"/>
      <c r="N57" s="154" t="n"/>
      <c r="O57" s="154" t="n"/>
      <c r="P57" s="154" t="n"/>
      <c r="Q57" s="154" t="n"/>
      <c r="R57" s="154" t="n"/>
      <c r="S57" s="154" t="n"/>
      <c r="T57" s="154" t="n"/>
      <c r="U57" s="154" t="n"/>
      <c r="V57" s="154" t="n"/>
      <c r="W57" s="154" t="n"/>
      <c r="X57" s="154" t="n"/>
      <c r="Y57" s="154" t="n"/>
      <c r="Z57" s="154" t="n"/>
      <c r="AA57" s="154" t="n"/>
      <c r="AB57" s="154" t="n"/>
      <c r="AC57" s="154" t="n"/>
      <c r="AD57" s="154" t="n"/>
      <c r="AE57" s="154" t="n"/>
      <c r="AF57" s="154" t="n"/>
      <c r="AG57" s="154" t="n"/>
      <c r="AH57" s="154" t="n"/>
      <c r="AI57" s="154" t="n"/>
      <c r="AJ57" s="154" t="n"/>
      <c r="AK57" s="154" t="n"/>
      <c r="AL57" s="154" t="n"/>
      <c r="AM57" s="154" t="n"/>
      <c r="AN57" s="154" t="n"/>
      <c r="AO57" s="154" t="n"/>
      <c r="AP57" s="154" t="n"/>
      <c r="AQ57" s="154" t="n"/>
      <c r="AR57" s="154" t="n"/>
      <c r="AS57" s="154" t="n"/>
      <c r="AT57" s="154" t="n"/>
      <c r="AU57" s="154" t="n"/>
      <c r="AV57" s="154" t="n"/>
      <c r="AW57" s="154" t="n"/>
      <c r="AX57" s="154" t="n"/>
      <c r="AY57" s="154" t="n"/>
      <c r="AZ57" s="154" t="n"/>
      <c r="BA57" s="154" t="n"/>
      <c r="BB57" s="154" t="n"/>
      <c r="BC57" s="154" t="n"/>
      <c r="BD57" s="154" t="n"/>
      <c r="BE57" s="154" t="n"/>
      <c r="BF57" s="154" t="n"/>
      <c r="BG57" s="154" t="n"/>
      <c r="BH57" s="154" t="n"/>
      <c r="BI57" s="154" t="n"/>
      <c r="BJ57" s="154" t="n"/>
      <c r="BK57" s="154" t="n"/>
      <c r="BL57" s="154" t="n"/>
      <c r="BM57" s="154" t="n"/>
      <c r="BN57" s="154" t="n"/>
      <c r="BO57" s="154" t="n"/>
      <c r="BP57" s="154" t="n"/>
      <c r="BQ57" s="154" t="n"/>
      <c r="BR57" s="154" t="n"/>
      <c r="BS57" s="154" t="n"/>
      <c r="BT57" s="154" t="n"/>
      <c r="BU57" s="154" t="n"/>
      <c r="BV57" s="154" t="n"/>
      <c r="BW57" s="154" t="n"/>
      <c r="BX57" s="154" t="n"/>
      <c r="BY57" s="154" t="n"/>
      <c r="BZ57" s="154" t="n"/>
      <c r="CA57" s="154" t="n"/>
      <c r="CB57" s="154" t="n"/>
      <c r="CC57" s="154" t="n"/>
      <c r="CD57" s="154" t="n"/>
      <c r="CE57" s="154" t="n"/>
      <c r="CF57" s="154" t="n"/>
      <c r="CG57" s="154" t="n"/>
      <c r="CH57" s="154" t="n"/>
      <c r="CI57" s="154" t="n"/>
      <c r="CJ57" s="154" t="n"/>
      <c r="CK57" s="154" t="n"/>
      <c r="CL57" s="154" t="n"/>
      <c r="CM57" s="154" t="n"/>
      <c r="CN57" s="154" t="n"/>
      <c r="CO57" s="154" t="n"/>
      <c r="CP57" s="154" t="n"/>
      <c r="CQ57" s="154" t="n"/>
      <c r="CR57" s="154" t="n"/>
      <c r="CS57" s="154" t="n"/>
      <c r="CT57" s="154" t="n"/>
      <c r="CU57" s="154" t="n"/>
      <c r="CV57" s="149">
        <f>COUNTIF(D57:CU57,"C")</f>
        <v/>
      </c>
      <c r="CW57" s="149">
        <f>COUNTIF(D57:CU57,"R")</f>
        <v/>
      </c>
    </row>
    <row r="58">
      <c r="A58" s="152" t="n"/>
      <c r="B58" s="146" t="inlineStr">
        <is>
          <t>C13-03</t>
        </is>
      </c>
      <c r="C58" s="153">
        <f>IFERROR(INDEX(ケイパビリティマップ!$E:$E,MATCH(B58,ケイパビリティマップ!$A:$A,0)),"（IDなし）")</f>
        <v/>
      </c>
      <c r="D58" s="154" t="n"/>
      <c r="E58" s="154" t="n"/>
      <c r="F58" s="154" t="n"/>
      <c r="G58" s="154" t="n"/>
      <c r="H58" s="154" t="n"/>
      <c r="I58" s="154" t="n"/>
      <c r="J58" s="154" t="n"/>
      <c r="K58" s="154" t="n"/>
      <c r="L58" s="154" t="n"/>
      <c r="M58" s="154" t="n"/>
      <c r="N58" s="154" t="n"/>
      <c r="O58" s="154" t="n"/>
      <c r="P58" s="154" t="n"/>
      <c r="Q58" s="154" t="n"/>
      <c r="R58" s="154" t="n"/>
      <c r="S58" s="154" t="n"/>
      <c r="T58" s="154" t="n"/>
      <c r="U58" s="154" t="n"/>
      <c r="V58" s="154" t="n"/>
      <c r="W58" s="154" t="n"/>
      <c r="X58" s="154" t="n"/>
      <c r="Y58" s="154" t="n"/>
      <c r="Z58" s="154" t="n"/>
      <c r="AA58" s="154" t="n"/>
      <c r="AB58" s="154" t="n"/>
      <c r="AC58" s="154" t="n"/>
      <c r="AD58" s="154" t="n"/>
      <c r="AE58" s="154" t="n"/>
      <c r="AF58" s="154" t="n"/>
      <c r="AG58" s="154" t="n"/>
      <c r="AH58" s="154" t="n"/>
      <c r="AI58" s="154" t="n"/>
      <c r="AJ58" s="154" t="n"/>
      <c r="AK58" s="154" t="n"/>
      <c r="AL58" s="154" t="n"/>
      <c r="AM58" s="154" t="n"/>
      <c r="AN58" s="154" t="n"/>
      <c r="AO58" s="154" t="n"/>
      <c r="AP58" s="154" t="n"/>
      <c r="AQ58" s="154" t="n"/>
      <c r="AR58" s="154" t="n"/>
      <c r="AS58" s="154" t="n"/>
      <c r="AT58" s="154" t="n"/>
      <c r="AU58" s="154" t="n"/>
      <c r="AV58" s="154" t="n"/>
      <c r="AW58" s="154" t="n"/>
      <c r="AX58" s="154" t="n"/>
      <c r="AY58" s="154" t="n"/>
      <c r="AZ58" s="154" t="n"/>
      <c r="BA58" s="154" t="n"/>
      <c r="BB58" s="154" t="n"/>
      <c r="BC58" s="154" t="n"/>
      <c r="BD58" s="154" t="n"/>
      <c r="BE58" s="154" t="n"/>
      <c r="BF58" s="154" t="n"/>
      <c r="BG58" s="154" t="n"/>
      <c r="BH58" s="154" t="n"/>
      <c r="BI58" s="154" t="n"/>
      <c r="BJ58" s="154" t="n"/>
      <c r="BK58" s="154" t="n"/>
      <c r="BL58" s="154" t="n"/>
      <c r="BM58" s="154" t="n"/>
      <c r="BN58" s="154" t="n"/>
      <c r="BO58" s="154" t="n"/>
      <c r="BP58" s="154" t="n"/>
      <c r="BQ58" s="154" t="n"/>
      <c r="BR58" s="154" t="n"/>
      <c r="BS58" s="154" t="n"/>
      <c r="BT58" s="154" t="n"/>
      <c r="BU58" s="154" t="n"/>
      <c r="BV58" s="154" t="n"/>
      <c r="BW58" s="154" t="n"/>
      <c r="BX58" s="154" t="n"/>
      <c r="BY58" s="154" t="n"/>
      <c r="BZ58" s="154" t="n"/>
      <c r="CA58" s="154" t="n"/>
      <c r="CB58" s="154" t="n"/>
      <c r="CC58" s="154" t="n"/>
      <c r="CD58" s="154" t="n"/>
      <c r="CE58" s="154" t="n"/>
      <c r="CF58" s="154" t="n"/>
      <c r="CG58" s="154" t="n"/>
      <c r="CH58" s="154" t="n"/>
      <c r="CI58" s="154" t="n"/>
      <c r="CJ58" s="154" t="n"/>
      <c r="CK58" s="154" t="n"/>
      <c r="CL58" s="154" t="n"/>
      <c r="CM58" s="154" t="n"/>
      <c r="CN58" s="154" t="n"/>
      <c r="CO58" s="154" t="n"/>
      <c r="CP58" s="154" t="n"/>
      <c r="CQ58" s="154" t="n"/>
      <c r="CR58" s="154" t="n"/>
      <c r="CS58" s="154" t="n"/>
      <c r="CT58" s="154" t="n"/>
      <c r="CU58" s="154" t="n"/>
      <c r="CV58" s="149">
        <f>COUNTIF(D58:CU58,"C")</f>
        <v/>
      </c>
      <c r="CW58" s="149">
        <f>COUNTIF(D58:CU58,"R")</f>
        <v/>
      </c>
    </row>
    <row r="59">
      <c r="C59" s="152" t="inlineStr">
        <is>
          <t>Cの数</t>
        </is>
      </c>
      <c r="D59" s="149">
        <f>COUNTIF(D$6:D$58,"C")</f>
        <v/>
      </c>
      <c r="E59" s="149">
        <f>COUNTIF(E$6:E$58,"C")</f>
        <v/>
      </c>
      <c r="F59" s="149">
        <f>COUNTIF(F$6:F$58,"C")</f>
        <v/>
      </c>
      <c r="G59" s="149">
        <f>COUNTIF(G$6:G$58,"C")</f>
        <v/>
      </c>
      <c r="H59" s="149">
        <f>COUNTIF(H$6:H$58,"C")</f>
        <v/>
      </c>
      <c r="I59" s="149">
        <f>COUNTIF(I$6:I$58,"C")</f>
        <v/>
      </c>
      <c r="J59" s="149">
        <f>COUNTIF(J$6:J$58,"C")</f>
        <v/>
      </c>
      <c r="K59" s="149">
        <f>COUNTIF(K$6:K$58,"C")</f>
        <v/>
      </c>
      <c r="L59" s="149">
        <f>COUNTIF(L$6:L$58,"C")</f>
        <v/>
      </c>
      <c r="M59" s="149">
        <f>COUNTIF(M$6:M$58,"C")</f>
        <v/>
      </c>
      <c r="N59" s="149">
        <f>COUNTIF(N$6:N$58,"C")</f>
        <v/>
      </c>
      <c r="O59" s="149">
        <f>COUNTIF(O$6:O$58,"C")</f>
        <v/>
      </c>
      <c r="P59" s="149">
        <f>COUNTIF(P$6:P$58,"C")</f>
        <v/>
      </c>
      <c r="Q59" s="149">
        <f>COUNTIF(Q$6:Q$58,"C")</f>
        <v/>
      </c>
      <c r="R59" s="149">
        <f>COUNTIF(R$6:R$58,"C")</f>
        <v/>
      </c>
      <c r="S59" s="149">
        <f>COUNTIF(S$6:S$58,"C")</f>
        <v/>
      </c>
      <c r="T59" s="149">
        <f>COUNTIF(T$6:T$58,"C")</f>
        <v/>
      </c>
      <c r="U59" s="149">
        <f>COUNTIF(U$6:U$58,"C")</f>
        <v/>
      </c>
      <c r="V59" s="149">
        <f>COUNTIF(V$6:V$58,"C")</f>
        <v/>
      </c>
      <c r="W59" s="149">
        <f>COUNTIF(W$6:W$58,"C")</f>
        <v/>
      </c>
      <c r="X59" s="149">
        <f>COUNTIF(X$6:X$58,"C")</f>
        <v/>
      </c>
      <c r="Y59" s="149">
        <f>COUNTIF(Y$6:Y$58,"C")</f>
        <v/>
      </c>
      <c r="Z59" s="149">
        <f>COUNTIF(Z$6:Z$58,"C")</f>
        <v/>
      </c>
      <c r="AA59" s="149">
        <f>COUNTIF(AA$6:AA$58,"C")</f>
        <v/>
      </c>
      <c r="AB59" s="149">
        <f>COUNTIF(AB$6:AB$58,"C")</f>
        <v/>
      </c>
      <c r="AC59" s="149">
        <f>COUNTIF(AC$6:AC$58,"C")</f>
        <v/>
      </c>
      <c r="AD59" s="149">
        <f>COUNTIF(AD$6:AD$58,"C")</f>
        <v/>
      </c>
      <c r="AE59" s="149">
        <f>COUNTIF(AE$6:AE$58,"C")</f>
        <v/>
      </c>
      <c r="AF59" s="149">
        <f>COUNTIF(AF$6:AF$58,"C")</f>
        <v/>
      </c>
      <c r="AG59" s="149">
        <f>COUNTIF(AG$6:AG$58,"C")</f>
        <v/>
      </c>
      <c r="AH59" s="149">
        <f>COUNTIF(AH$6:AH$58,"C")</f>
        <v/>
      </c>
      <c r="AI59" s="149">
        <f>COUNTIF(AI$6:AI$58,"C")</f>
        <v/>
      </c>
      <c r="AJ59" s="149">
        <f>COUNTIF(AJ$6:AJ$58,"C")</f>
        <v/>
      </c>
      <c r="AK59" s="149">
        <f>COUNTIF(AK$6:AK$58,"C")</f>
        <v/>
      </c>
      <c r="AL59" s="149">
        <f>COUNTIF(AL$6:AL$58,"C")</f>
        <v/>
      </c>
      <c r="AM59" s="149">
        <f>COUNTIF(AM$6:AM$58,"C")</f>
        <v/>
      </c>
      <c r="AN59" s="149">
        <f>COUNTIF(AN$6:AN$58,"C")</f>
        <v/>
      </c>
      <c r="AO59" s="149">
        <f>COUNTIF(AO$6:AO$58,"C")</f>
        <v/>
      </c>
      <c r="AP59" s="149">
        <f>COUNTIF(AP$6:AP$58,"C")</f>
        <v/>
      </c>
      <c r="AQ59" s="149">
        <f>COUNTIF(AQ$6:AQ$58,"C")</f>
        <v/>
      </c>
      <c r="AR59" s="149">
        <f>COUNTIF(AR$6:AR$58,"C")</f>
        <v/>
      </c>
      <c r="AS59" s="149">
        <f>COUNTIF(AS$6:AS$58,"C")</f>
        <v/>
      </c>
      <c r="AT59" s="149">
        <f>COUNTIF(AT$6:AT$58,"C")</f>
        <v/>
      </c>
      <c r="AU59" s="149">
        <f>COUNTIF(AU$6:AU$58,"C")</f>
        <v/>
      </c>
      <c r="AV59" s="149">
        <f>COUNTIF(AV$6:AV$58,"C")</f>
        <v/>
      </c>
      <c r="AW59" s="149">
        <f>COUNTIF(AW$6:AW$58,"C")</f>
        <v/>
      </c>
      <c r="AX59" s="149">
        <f>COUNTIF(AX$6:AX$58,"C")</f>
        <v/>
      </c>
      <c r="AY59" s="149">
        <f>COUNTIF(AY$6:AY$58,"C")</f>
        <v/>
      </c>
      <c r="AZ59" s="149">
        <f>COUNTIF(AZ$6:AZ$58,"C")</f>
        <v/>
      </c>
      <c r="BA59" s="149">
        <f>COUNTIF(BA$6:BA$58,"C")</f>
        <v/>
      </c>
      <c r="BB59" s="149">
        <f>COUNTIF(BB$6:BB$58,"C")</f>
        <v/>
      </c>
      <c r="BC59" s="149">
        <f>COUNTIF(BC$6:BC$58,"C")</f>
        <v/>
      </c>
      <c r="BD59" s="149">
        <f>COUNTIF(BD$6:BD$58,"C")</f>
        <v/>
      </c>
      <c r="BE59" s="149">
        <f>COUNTIF(BE$6:BE$58,"C")</f>
        <v/>
      </c>
      <c r="BF59" s="149">
        <f>COUNTIF(BF$6:BF$58,"C")</f>
        <v/>
      </c>
      <c r="BG59" s="149">
        <f>COUNTIF(BG$6:BG$58,"C")</f>
        <v/>
      </c>
      <c r="BH59" s="149">
        <f>COUNTIF(BH$6:BH$58,"C")</f>
        <v/>
      </c>
      <c r="BI59" s="149">
        <f>COUNTIF(BI$6:BI$58,"C")</f>
        <v/>
      </c>
      <c r="BJ59" s="149">
        <f>COUNTIF(BJ$6:BJ$58,"C")</f>
        <v/>
      </c>
      <c r="BK59" s="149">
        <f>COUNTIF(BK$6:BK$58,"C")</f>
        <v/>
      </c>
      <c r="BL59" s="149">
        <f>COUNTIF(BL$6:BL$58,"C")</f>
        <v/>
      </c>
      <c r="BM59" s="149">
        <f>COUNTIF(BM$6:BM$58,"C")</f>
        <v/>
      </c>
      <c r="BN59" s="149">
        <f>COUNTIF(BN$6:BN$58,"C")</f>
        <v/>
      </c>
      <c r="BO59" s="149">
        <f>COUNTIF(BO$6:BO$58,"C")</f>
        <v/>
      </c>
      <c r="BP59" s="149">
        <f>COUNTIF(BP$6:BP$58,"C")</f>
        <v/>
      </c>
      <c r="BQ59" s="149">
        <f>COUNTIF(BQ$6:BQ$58,"C")</f>
        <v/>
      </c>
      <c r="BR59" s="149">
        <f>COUNTIF(BR$6:BR$58,"C")</f>
        <v/>
      </c>
      <c r="BS59" s="149">
        <f>COUNTIF(BS$6:BS$58,"C")</f>
        <v/>
      </c>
      <c r="BT59" s="149">
        <f>COUNTIF(BT$6:BT$58,"C")</f>
        <v/>
      </c>
      <c r="BU59" s="149">
        <f>COUNTIF(BU$6:BU$58,"C")</f>
        <v/>
      </c>
      <c r="BV59" s="149">
        <f>COUNTIF(BV$6:BV$58,"C")</f>
        <v/>
      </c>
      <c r="BW59" s="149">
        <f>COUNTIF(BW$6:BW$58,"C")</f>
        <v/>
      </c>
      <c r="BX59" s="149">
        <f>COUNTIF(BX$6:BX$58,"C")</f>
        <v/>
      </c>
      <c r="BY59" s="149">
        <f>COUNTIF(BY$6:BY$58,"C")</f>
        <v/>
      </c>
      <c r="BZ59" s="149">
        <f>COUNTIF(BZ$6:BZ$58,"C")</f>
        <v/>
      </c>
      <c r="CA59" s="149">
        <f>COUNTIF(CA$6:CA$58,"C")</f>
        <v/>
      </c>
      <c r="CB59" s="149">
        <f>COUNTIF(CB$6:CB$58,"C")</f>
        <v/>
      </c>
      <c r="CC59" s="149">
        <f>COUNTIF(CC$6:CC$58,"C")</f>
        <v/>
      </c>
      <c r="CD59" s="149">
        <f>COUNTIF(CD$6:CD$58,"C")</f>
        <v/>
      </c>
      <c r="CE59" s="149">
        <f>COUNTIF(CE$6:CE$58,"C")</f>
        <v/>
      </c>
      <c r="CF59" s="149">
        <f>COUNTIF(CF$6:CF$58,"C")</f>
        <v/>
      </c>
      <c r="CG59" s="149">
        <f>COUNTIF(CG$6:CG$58,"C")</f>
        <v/>
      </c>
      <c r="CH59" s="149">
        <f>COUNTIF(CH$6:CH$58,"C")</f>
        <v/>
      </c>
      <c r="CI59" s="149">
        <f>COUNTIF(CI$6:CI$58,"C")</f>
        <v/>
      </c>
      <c r="CJ59" s="149">
        <f>COUNTIF(CJ$6:CJ$58,"C")</f>
        <v/>
      </c>
      <c r="CK59" s="149">
        <f>COUNTIF(CK$6:CK$58,"C")</f>
        <v/>
      </c>
      <c r="CL59" s="149">
        <f>COUNTIF(CL$6:CL$58,"C")</f>
        <v/>
      </c>
      <c r="CM59" s="149">
        <f>COUNTIF(CM$6:CM$58,"C")</f>
        <v/>
      </c>
      <c r="CN59" s="149">
        <f>COUNTIF(CN$6:CN$58,"C")</f>
        <v/>
      </c>
      <c r="CO59" s="149">
        <f>COUNTIF(CO$6:CO$58,"C")</f>
        <v/>
      </c>
      <c r="CP59" s="149">
        <f>COUNTIF(CP$6:CP$58,"C")</f>
        <v/>
      </c>
      <c r="CQ59" s="149">
        <f>COUNTIF(CQ$6:CQ$58,"C")</f>
        <v/>
      </c>
      <c r="CR59" s="149">
        <f>COUNTIF(CR$6:CR$58,"C")</f>
        <v/>
      </c>
      <c r="CS59" s="149">
        <f>COUNTIF(CS$6:CS$58,"C")</f>
        <v/>
      </c>
      <c r="CT59" s="149">
        <f>COUNTIF(CT$6:CT$58,"C")</f>
        <v/>
      </c>
      <c r="CU59" s="149">
        <f>COUNTIF(CU$6:CU$58,"C")</f>
        <v/>
      </c>
    </row>
    <row r="60">
      <c r="C60" s="152" t="inlineStr">
        <is>
          <t>Rの数</t>
        </is>
      </c>
      <c r="D60" s="149">
        <f>COUNTIF(D$6:D$58,"R")</f>
        <v/>
      </c>
      <c r="E60" s="149">
        <f>COUNTIF(E$6:E$58,"R")</f>
        <v/>
      </c>
      <c r="F60" s="149">
        <f>COUNTIF(F$6:F$58,"R")</f>
        <v/>
      </c>
      <c r="G60" s="149">
        <f>COUNTIF(G$6:G$58,"R")</f>
        <v/>
      </c>
      <c r="H60" s="149">
        <f>COUNTIF(H$6:H$58,"R")</f>
        <v/>
      </c>
      <c r="I60" s="149">
        <f>COUNTIF(I$6:I$58,"R")</f>
        <v/>
      </c>
      <c r="J60" s="149">
        <f>COUNTIF(J$6:J$58,"R")</f>
        <v/>
      </c>
      <c r="K60" s="149">
        <f>COUNTIF(K$6:K$58,"R")</f>
        <v/>
      </c>
      <c r="L60" s="149">
        <f>COUNTIF(L$6:L$58,"R")</f>
        <v/>
      </c>
      <c r="M60" s="149">
        <f>COUNTIF(M$6:M$58,"R")</f>
        <v/>
      </c>
      <c r="N60" s="149">
        <f>COUNTIF(N$6:N$58,"R")</f>
        <v/>
      </c>
      <c r="O60" s="149">
        <f>COUNTIF(O$6:O$58,"R")</f>
        <v/>
      </c>
      <c r="P60" s="149">
        <f>COUNTIF(P$6:P$58,"R")</f>
        <v/>
      </c>
      <c r="Q60" s="149">
        <f>COUNTIF(Q$6:Q$58,"R")</f>
        <v/>
      </c>
      <c r="R60" s="149">
        <f>COUNTIF(R$6:R$58,"R")</f>
        <v/>
      </c>
      <c r="S60" s="149">
        <f>COUNTIF(S$6:S$58,"R")</f>
        <v/>
      </c>
      <c r="T60" s="149">
        <f>COUNTIF(T$6:T$58,"R")</f>
        <v/>
      </c>
      <c r="U60" s="149">
        <f>COUNTIF(U$6:U$58,"R")</f>
        <v/>
      </c>
      <c r="V60" s="149">
        <f>COUNTIF(V$6:V$58,"R")</f>
        <v/>
      </c>
      <c r="W60" s="149">
        <f>COUNTIF(W$6:W$58,"R")</f>
        <v/>
      </c>
      <c r="X60" s="149">
        <f>COUNTIF(X$6:X$58,"R")</f>
        <v/>
      </c>
      <c r="Y60" s="149">
        <f>COUNTIF(Y$6:Y$58,"R")</f>
        <v/>
      </c>
      <c r="Z60" s="149">
        <f>COUNTIF(Z$6:Z$58,"R")</f>
        <v/>
      </c>
      <c r="AA60" s="149">
        <f>COUNTIF(AA$6:AA$58,"R")</f>
        <v/>
      </c>
      <c r="AB60" s="149">
        <f>COUNTIF(AB$6:AB$58,"R")</f>
        <v/>
      </c>
      <c r="AC60" s="149">
        <f>COUNTIF(AC$6:AC$58,"R")</f>
        <v/>
      </c>
      <c r="AD60" s="149">
        <f>COUNTIF(AD$6:AD$58,"R")</f>
        <v/>
      </c>
      <c r="AE60" s="149">
        <f>COUNTIF(AE$6:AE$58,"R")</f>
        <v/>
      </c>
      <c r="AF60" s="149">
        <f>COUNTIF(AF$6:AF$58,"R")</f>
        <v/>
      </c>
      <c r="AG60" s="149">
        <f>COUNTIF(AG$6:AG$58,"R")</f>
        <v/>
      </c>
      <c r="AH60" s="149">
        <f>COUNTIF(AH$6:AH$58,"R")</f>
        <v/>
      </c>
      <c r="AI60" s="149">
        <f>COUNTIF(AI$6:AI$58,"R")</f>
        <v/>
      </c>
      <c r="AJ60" s="149">
        <f>COUNTIF(AJ$6:AJ$58,"R")</f>
        <v/>
      </c>
      <c r="AK60" s="149">
        <f>COUNTIF(AK$6:AK$58,"R")</f>
        <v/>
      </c>
      <c r="AL60" s="149">
        <f>COUNTIF(AL$6:AL$58,"R")</f>
        <v/>
      </c>
      <c r="AM60" s="149">
        <f>COUNTIF(AM$6:AM$58,"R")</f>
        <v/>
      </c>
      <c r="AN60" s="149">
        <f>COUNTIF(AN$6:AN$58,"R")</f>
        <v/>
      </c>
      <c r="AO60" s="149">
        <f>COUNTIF(AO$6:AO$58,"R")</f>
        <v/>
      </c>
      <c r="AP60" s="149">
        <f>COUNTIF(AP$6:AP$58,"R")</f>
        <v/>
      </c>
      <c r="AQ60" s="149">
        <f>COUNTIF(AQ$6:AQ$58,"R")</f>
        <v/>
      </c>
      <c r="AR60" s="149">
        <f>COUNTIF(AR$6:AR$58,"R")</f>
        <v/>
      </c>
      <c r="AS60" s="149">
        <f>COUNTIF(AS$6:AS$58,"R")</f>
        <v/>
      </c>
      <c r="AT60" s="149">
        <f>COUNTIF(AT$6:AT$58,"R")</f>
        <v/>
      </c>
      <c r="AU60" s="149">
        <f>COUNTIF(AU$6:AU$58,"R")</f>
        <v/>
      </c>
      <c r="AV60" s="149">
        <f>COUNTIF(AV$6:AV$58,"R")</f>
        <v/>
      </c>
      <c r="AW60" s="149">
        <f>COUNTIF(AW$6:AW$58,"R")</f>
        <v/>
      </c>
      <c r="AX60" s="149">
        <f>COUNTIF(AX$6:AX$58,"R")</f>
        <v/>
      </c>
      <c r="AY60" s="149">
        <f>COUNTIF(AY$6:AY$58,"R")</f>
        <v/>
      </c>
      <c r="AZ60" s="149">
        <f>COUNTIF(AZ$6:AZ$58,"R")</f>
        <v/>
      </c>
      <c r="BA60" s="149">
        <f>COUNTIF(BA$6:BA$58,"R")</f>
        <v/>
      </c>
      <c r="BB60" s="149">
        <f>COUNTIF(BB$6:BB$58,"R")</f>
        <v/>
      </c>
      <c r="BC60" s="149">
        <f>COUNTIF(BC$6:BC$58,"R")</f>
        <v/>
      </c>
      <c r="BD60" s="149">
        <f>COUNTIF(BD$6:BD$58,"R")</f>
        <v/>
      </c>
      <c r="BE60" s="149">
        <f>COUNTIF(BE$6:BE$58,"R")</f>
        <v/>
      </c>
      <c r="BF60" s="149">
        <f>COUNTIF(BF$6:BF$58,"R")</f>
        <v/>
      </c>
      <c r="BG60" s="149">
        <f>COUNTIF(BG$6:BG$58,"R")</f>
        <v/>
      </c>
      <c r="BH60" s="149">
        <f>COUNTIF(BH$6:BH$58,"R")</f>
        <v/>
      </c>
      <c r="BI60" s="149">
        <f>COUNTIF(BI$6:BI$58,"R")</f>
        <v/>
      </c>
      <c r="BJ60" s="149">
        <f>COUNTIF(BJ$6:BJ$58,"R")</f>
        <v/>
      </c>
      <c r="BK60" s="149">
        <f>COUNTIF(BK$6:BK$58,"R")</f>
        <v/>
      </c>
      <c r="BL60" s="149">
        <f>COUNTIF(BL$6:BL$58,"R")</f>
        <v/>
      </c>
      <c r="BM60" s="149">
        <f>COUNTIF(BM$6:BM$58,"R")</f>
        <v/>
      </c>
      <c r="BN60" s="149">
        <f>COUNTIF(BN$6:BN$58,"R")</f>
        <v/>
      </c>
      <c r="BO60" s="149">
        <f>COUNTIF(BO$6:BO$58,"R")</f>
        <v/>
      </c>
      <c r="BP60" s="149">
        <f>COUNTIF(BP$6:BP$58,"R")</f>
        <v/>
      </c>
      <c r="BQ60" s="149">
        <f>COUNTIF(BQ$6:BQ$58,"R")</f>
        <v/>
      </c>
      <c r="BR60" s="149">
        <f>COUNTIF(BR$6:BR$58,"R")</f>
        <v/>
      </c>
      <c r="BS60" s="149">
        <f>COUNTIF(BS$6:BS$58,"R")</f>
        <v/>
      </c>
      <c r="BT60" s="149">
        <f>COUNTIF(BT$6:BT$58,"R")</f>
        <v/>
      </c>
      <c r="BU60" s="149">
        <f>COUNTIF(BU$6:BU$58,"R")</f>
        <v/>
      </c>
      <c r="BV60" s="149">
        <f>COUNTIF(BV$6:BV$58,"R")</f>
        <v/>
      </c>
      <c r="BW60" s="149">
        <f>COUNTIF(BW$6:BW$58,"R")</f>
        <v/>
      </c>
      <c r="BX60" s="149">
        <f>COUNTIF(BX$6:BX$58,"R")</f>
        <v/>
      </c>
      <c r="BY60" s="149">
        <f>COUNTIF(BY$6:BY$58,"R")</f>
        <v/>
      </c>
      <c r="BZ60" s="149">
        <f>COUNTIF(BZ$6:BZ$58,"R")</f>
        <v/>
      </c>
      <c r="CA60" s="149">
        <f>COUNTIF(CA$6:CA$58,"R")</f>
        <v/>
      </c>
      <c r="CB60" s="149">
        <f>COUNTIF(CB$6:CB$58,"R")</f>
        <v/>
      </c>
      <c r="CC60" s="149">
        <f>COUNTIF(CC$6:CC$58,"R")</f>
        <v/>
      </c>
      <c r="CD60" s="149">
        <f>COUNTIF(CD$6:CD$58,"R")</f>
        <v/>
      </c>
      <c r="CE60" s="149">
        <f>COUNTIF(CE$6:CE$58,"R")</f>
        <v/>
      </c>
      <c r="CF60" s="149">
        <f>COUNTIF(CF$6:CF$58,"R")</f>
        <v/>
      </c>
      <c r="CG60" s="149">
        <f>COUNTIF(CG$6:CG$58,"R")</f>
        <v/>
      </c>
      <c r="CH60" s="149">
        <f>COUNTIF(CH$6:CH$58,"R")</f>
        <v/>
      </c>
      <c r="CI60" s="149">
        <f>COUNTIF(CI$6:CI$58,"R")</f>
        <v/>
      </c>
      <c r="CJ60" s="149">
        <f>COUNTIF(CJ$6:CJ$58,"R")</f>
        <v/>
      </c>
      <c r="CK60" s="149">
        <f>COUNTIF(CK$6:CK$58,"R")</f>
        <v/>
      </c>
      <c r="CL60" s="149">
        <f>COUNTIF(CL$6:CL$58,"R")</f>
        <v/>
      </c>
      <c r="CM60" s="149">
        <f>COUNTIF(CM$6:CM$58,"R")</f>
        <v/>
      </c>
      <c r="CN60" s="149">
        <f>COUNTIF(CN$6:CN$58,"R")</f>
        <v/>
      </c>
      <c r="CO60" s="149">
        <f>COUNTIF(CO$6:CO$58,"R")</f>
        <v/>
      </c>
      <c r="CP60" s="149">
        <f>COUNTIF(CP$6:CP$58,"R")</f>
        <v/>
      </c>
      <c r="CQ60" s="149">
        <f>COUNTIF(CQ$6:CQ$58,"R")</f>
        <v/>
      </c>
      <c r="CR60" s="149">
        <f>COUNTIF(CR$6:CR$58,"R")</f>
        <v/>
      </c>
      <c r="CS60" s="149">
        <f>COUNTIF(CS$6:CS$58,"R")</f>
        <v/>
      </c>
      <c r="CT60" s="149">
        <f>COUNTIF(CT$6:CT$58,"R")</f>
        <v/>
      </c>
      <c r="CU60" s="149">
        <f>COUNTIF(CU$6:CU$58,"R")</f>
        <v/>
      </c>
    </row>
  </sheetData>
  <mergeCells count="15">
    <mergeCell ref="B4:B5"/>
    <mergeCell ref="CF4:CN4"/>
    <mergeCell ref="D4:I4"/>
    <mergeCell ref="A4:A5"/>
    <mergeCell ref="C4:C5"/>
    <mergeCell ref="V4:Y4"/>
    <mergeCell ref="AM4:AY4"/>
    <mergeCell ref="CW4:CW5"/>
    <mergeCell ref="CO4:CU4"/>
    <mergeCell ref="CV4:CV5"/>
    <mergeCell ref="Z4:AL4"/>
    <mergeCell ref="AZ4:BR4"/>
    <mergeCell ref="J4:U4"/>
    <mergeCell ref="CC4:CE4"/>
    <mergeCell ref="BS4:CB4"/>
  </mergeCells>
  <conditionalFormatting sqref="D6:CU58">
    <cfRule type="cellIs" priority="1" operator="equal" dxfId="13">
      <formula>"C"</formula>
    </cfRule>
  </conditionalFormatting>
  <dataValidations count="1">
    <dataValidation sqref="D6:CU58" showDropDown="0" showInputMessage="0" showErrorMessage="0" allowBlank="1" type="list">
      <formula1>"C,R"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 filterMode="0">
    <tabColor rgb="001F3A5F"/>
    <outlinePr summaryBelow="1" summaryRight="1"/>
    <pageSetUpPr fitToPage="0"/>
  </sheetPr>
  <dimension ref="A1:H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79" min="1" max="2"/>
    <col width="24" customWidth="1" style="79" min="3" max="3"/>
    <col width="26" customWidth="1" style="79" min="4" max="4"/>
    <col width="56" customWidth="1" style="79" min="5" max="5"/>
    <col width="14" customWidth="1" style="79" min="6" max="6"/>
    <col width="11" customWidth="1" style="79" min="7" max="8"/>
  </cols>
  <sheetData>
    <row r="1" ht="17.35" customHeight="1" s="80">
      <c r="A1" s="139" t="inlineStr">
        <is>
          <t>アプリケーション（正本：種類の単位）</t>
        </is>
      </c>
    </row>
    <row r="2" ht="15" customHeight="1" s="80">
      <c r="A2" s="140" t="inlineStr">
        <is>
          <t>1行1種類。製品名ではなく、機能のまとまり（種類）で定義する。現状のシステム名との対応は別の工程で行う。灰色の列は数式（編集しない）。規制区分がGxP・薬事・流通・PVに当たるものは、コンピュータ化システムバリデーションの対象候補。</t>
        </is>
      </c>
    </row>
    <row r="3" ht="30" customHeight="1" s="80">
      <c r="A3" s="141" t="inlineStr">
        <is>
          <t>ID</t>
        </is>
      </c>
      <c r="B3" s="141" t="inlineStr">
        <is>
          <t>領域</t>
        </is>
      </c>
      <c r="C3" s="141" t="inlineStr">
        <is>
          <t>アプリケーション種類</t>
        </is>
      </c>
      <c r="D3" s="141" t="inlineStr">
        <is>
          <t>略称・通称</t>
        </is>
      </c>
      <c r="E3" s="141" t="inlineStr">
        <is>
          <t>主な機能</t>
        </is>
      </c>
      <c r="F3" s="141" t="inlineStr">
        <is>
          <t>規制区分</t>
        </is>
      </c>
      <c r="G3" s="143" t="inlineStr">
        <is>
          <t>主に支える
ケイパビリティ数</t>
        </is>
      </c>
      <c r="H3" s="143" t="inlineStr">
        <is>
          <t>部分的に支える
ケイパビリティ数</t>
        </is>
      </c>
    </row>
    <row r="4" ht="15" customHeight="1" s="80">
      <c r="A4" s="146" t="inlineStr">
        <is>
          <t>APP-01</t>
        </is>
      </c>
      <c r="B4" s="132" t="inlineStr">
        <is>
          <t>研究</t>
        </is>
      </c>
      <c r="C4" s="133" t="inlineStr">
        <is>
          <t>電子実験ノート</t>
        </is>
      </c>
      <c r="D4" s="135" t="inlineStr">
        <is>
          <t>ELN</t>
        </is>
      </c>
      <c r="E4" s="135" t="inlineStr">
        <is>
          <t>研究・プロセス開発の実験計画・記録・結果を管理する</t>
        </is>
      </c>
      <c r="F4" s="132" t="inlineStr">
        <is>
          <t>非GxP</t>
        </is>
      </c>
      <c r="G4" s="149">
        <f>COUNTIF('ケイパビリティ×アプリケーション'!D$6:D$58,"●")</f>
        <v/>
      </c>
      <c r="H4" s="149">
        <f>COUNTIF('ケイパビリティ×アプリケーション'!D$6:D$58,"○")</f>
        <v/>
      </c>
    </row>
    <row r="5" ht="26.85" customHeight="1" s="80">
      <c r="A5" s="146" t="inlineStr">
        <is>
          <t>APP-02</t>
        </is>
      </c>
      <c r="B5" s="132" t="inlineStr">
        <is>
          <t>研究</t>
        </is>
      </c>
      <c r="C5" s="133" t="inlineStr">
        <is>
          <t>生物学的物質登録</t>
        </is>
      </c>
      <c r="D5" s="135" t="inlineStr">
        <is>
          <t>バイオレジストリ</t>
        </is>
      </c>
      <c r="E5" s="135" t="inlineStr">
        <is>
          <t>標的・抗原・抗体分子・細胞株などの物質を一意に登録し、系譜と状態を管理する</t>
        </is>
      </c>
      <c r="F5" s="132" t="inlineStr">
        <is>
          <t>非GxP</t>
        </is>
      </c>
      <c r="G5" s="149">
        <f>COUNTIF('ケイパビリティ×アプリケーション'!E$6:E$58,"●")</f>
        <v/>
      </c>
      <c r="H5" s="149">
        <f>COUNTIF('ケイパビリティ×アプリケーション'!E$6:E$58,"○")</f>
        <v/>
      </c>
    </row>
    <row r="6" ht="15" customHeight="1" s="80">
      <c r="A6" s="146" t="inlineStr">
        <is>
          <t>APP-03</t>
        </is>
      </c>
      <c r="B6" s="132" t="inlineStr">
        <is>
          <t>研究</t>
        </is>
      </c>
      <c r="C6" s="133" t="inlineStr">
        <is>
          <t>科学データ解析基盤</t>
        </is>
      </c>
      <c r="D6" s="135" t="inlineStr">
        <is>
          <t>バイオインフォマティクス基盤</t>
        </is>
      </c>
      <c r="E6" s="135" t="inlineStr">
        <is>
          <t>ゲノム・オミクス・スクリーニングデータの解析と、in silico予測を行う</t>
        </is>
      </c>
      <c r="F6" s="132" t="inlineStr">
        <is>
          <t>非GxP</t>
        </is>
      </c>
      <c r="G6" s="149">
        <f>COUNTIF('ケイパビリティ×アプリケーション'!F$6:F$58,"●")</f>
        <v/>
      </c>
      <c r="H6" s="149">
        <f>COUNTIF('ケイパビリティ×アプリケーション'!F$6:F$58,"○")</f>
        <v/>
      </c>
    </row>
    <row r="7" ht="15" customHeight="1" s="80">
      <c r="A7" s="146" t="inlineStr">
        <is>
          <t>APP-04</t>
        </is>
      </c>
      <c r="B7" s="132" t="inlineStr">
        <is>
          <t>非臨床</t>
        </is>
      </c>
      <c r="C7" s="133" t="inlineStr">
        <is>
          <t>非臨床試験管理</t>
        </is>
      </c>
      <c r="D7" s="135" t="inlineStr">
        <is>
          <t>毒性試験管理（SEND対応）</t>
        </is>
      </c>
      <c r="E7" s="135" t="inlineStr">
        <is>
          <t>GLP試験の計画・実施・データ収集と、SEND形式のデータ作成を行う</t>
        </is>
      </c>
      <c r="F7" s="132" t="inlineStr">
        <is>
          <t>GLP</t>
        </is>
      </c>
      <c r="G7" s="149">
        <f>COUNTIF('ケイパビリティ×アプリケーション'!G$6:G$58,"●")</f>
        <v/>
      </c>
      <c r="H7" s="149">
        <f>COUNTIF('ケイパビリティ×アプリケーション'!G$6:G$58,"○")</f>
        <v/>
      </c>
    </row>
    <row r="8" ht="15" customHeight="1" s="80">
      <c r="A8" s="146" t="inlineStr">
        <is>
          <t>APP-05</t>
        </is>
      </c>
      <c r="B8" s="132" t="inlineStr">
        <is>
          <t>臨床</t>
        </is>
      </c>
      <c r="C8" s="133" t="inlineStr">
        <is>
          <t>PK/PD解析・モデリング</t>
        </is>
      </c>
      <c r="D8" s="135" t="inlineStr">
        <is>
          <t>ファーマコメトリクス環境</t>
        </is>
      </c>
      <c r="E8" s="135" t="inlineStr">
        <is>
          <t>PK/PD解析、母集団PK、曝露反応モデルを実行する</t>
        </is>
      </c>
      <c r="F8" s="132" t="inlineStr">
        <is>
          <t>GCP</t>
        </is>
      </c>
      <c r="G8" s="149">
        <f>COUNTIF('ケイパビリティ×アプリケーション'!H$6:H$58,"●")</f>
        <v/>
      </c>
      <c r="H8" s="149">
        <f>COUNTIF('ケイパビリティ×アプリケーション'!H$6:H$58,"○")</f>
        <v/>
      </c>
    </row>
    <row r="9" ht="15" customHeight="1" s="80">
      <c r="A9" s="146" t="inlineStr">
        <is>
          <t>APP-06</t>
        </is>
      </c>
      <c r="B9" s="132" t="inlineStr">
        <is>
          <t>臨床</t>
        </is>
      </c>
      <c r="C9" s="133" t="inlineStr">
        <is>
          <t>臨床試験管理</t>
        </is>
      </c>
      <c r="D9" s="135" t="inlineStr">
        <is>
          <t>CTMS</t>
        </is>
      </c>
      <c r="E9" s="135" t="inlineStr">
        <is>
          <t>試験・施設・進捗・モニタリング・予算を管理する</t>
        </is>
      </c>
      <c r="F9" s="132" t="inlineStr">
        <is>
          <t>GCP</t>
        </is>
      </c>
      <c r="G9" s="149">
        <f>COUNTIF('ケイパビリティ×アプリケーション'!I$6:I$58,"●")</f>
        <v/>
      </c>
      <c r="H9" s="149">
        <f>COUNTIF('ケイパビリティ×アプリケーション'!I$6:I$58,"○")</f>
        <v/>
      </c>
    </row>
    <row r="10" ht="15" customHeight="1" s="80">
      <c r="A10" s="146" t="inlineStr">
        <is>
          <t>APP-07</t>
        </is>
      </c>
      <c r="B10" s="132" t="inlineStr">
        <is>
          <t>臨床</t>
        </is>
      </c>
      <c r="C10" s="133" t="inlineStr">
        <is>
          <t>臨床データ収集</t>
        </is>
      </c>
      <c r="D10" s="135" t="inlineStr">
        <is>
          <t>EDC（eCOA／ePRO含む）</t>
        </is>
      </c>
      <c r="E10" s="135" t="inlineStr">
        <is>
          <t>症例データと患者報告アウトカムを電子的に収集する</t>
        </is>
      </c>
      <c r="F10" s="132" t="inlineStr">
        <is>
          <t>GCP</t>
        </is>
      </c>
      <c r="G10" s="149">
        <f>COUNTIF('ケイパビリティ×アプリケーション'!J$6:J$58,"●")</f>
        <v/>
      </c>
      <c r="H10" s="149">
        <f>COUNTIF('ケイパビリティ×アプリケーション'!J$6:J$58,"○")</f>
        <v/>
      </c>
    </row>
    <row r="11" ht="15" customHeight="1" s="80">
      <c r="A11" s="146" t="inlineStr">
        <is>
          <t>APP-08</t>
        </is>
      </c>
      <c r="B11" s="132" t="inlineStr">
        <is>
          <t>臨床</t>
        </is>
      </c>
      <c r="C11" s="133" t="inlineStr">
        <is>
          <t>無作為化・治験薬供給</t>
        </is>
      </c>
      <c r="D11" s="135" t="inlineStr">
        <is>
          <t>IRT</t>
        </is>
      </c>
      <c r="E11" s="135" t="inlineStr">
        <is>
          <t>無作為化、治験薬の割付・出荷・施設在庫を管理する</t>
        </is>
      </c>
      <c r="F11" s="132" t="inlineStr">
        <is>
          <t>GCP・GMP</t>
        </is>
      </c>
      <c r="G11" s="149">
        <f>COUNTIF('ケイパビリティ×アプリケーション'!K$6:K$58,"●")</f>
        <v/>
      </c>
      <c r="H11" s="149">
        <f>COUNTIF('ケイパビリティ×アプリケーション'!K$6:K$58,"○")</f>
        <v/>
      </c>
    </row>
    <row r="12" ht="15" customHeight="1" s="80">
      <c r="A12" s="146" t="inlineStr">
        <is>
          <t>APP-09</t>
        </is>
      </c>
      <c r="B12" s="132" t="inlineStr">
        <is>
          <t>臨床</t>
        </is>
      </c>
      <c r="C12" s="133" t="inlineStr">
        <is>
          <t>電子治験マスターファイル</t>
        </is>
      </c>
      <c r="D12" s="135" t="inlineStr">
        <is>
          <t>eTMF</t>
        </is>
      </c>
      <c r="E12" s="135" t="inlineStr">
        <is>
          <t>治験の必須文書を収集・保管する</t>
        </is>
      </c>
      <c r="F12" s="132" t="inlineStr">
        <is>
          <t>GCP</t>
        </is>
      </c>
      <c r="G12" s="149">
        <f>COUNTIF('ケイパビリティ×アプリケーション'!L$6:L$58,"●")</f>
        <v/>
      </c>
      <c r="H12" s="149">
        <f>COUNTIF('ケイパビリティ×アプリケーション'!L$6:L$58,"○")</f>
        <v/>
      </c>
    </row>
    <row r="13" ht="15" customHeight="1" s="80">
      <c r="A13" s="146" t="inlineStr">
        <is>
          <t>APP-10</t>
        </is>
      </c>
      <c r="B13" s="132" t="inlineStr">
        <is>
          <t>臨床</t>
        </is>
      </c>
      <c r="C13" s="133" t="inlineStr">
        <is>
          <t>統計解析環境</t>
        </is>
      </c>
      <c r="D13" s="135" t="inlineStr">
        <is>
          <t>SCE</t>
        </is>
      </c>
      <c r="E13" s="135" t="inlineStr">
        <is>
          <t>臨床データセット（SDTM／ADaM）の作成と統計解析を行う</t>
        </is>
      </c>
      <c r="F13" s="132" t="inlineStr">
        <is>
          <t>GCP</t>
        </is>
      </c>
      <c r="G13" s="149">
        <f>COUNTIF('ケイパビリティ×アプリケーション'!M$6:M$58,"●")</f>
        <v/>
      </c>
      <c r="H13" s="149">
        <f>COUNTIF('ケイパビリティ×アプリケーション'!M$6:M$58,"○")</f>
        <v/>
      </c>
    </row>
    <row r="14" ht="26.85" customHeight="1" s="80">
      <c r="A14" s="146" t="inlineStr">
        <is>
          <t>APP-11</t>
        </is>
      </c>
      <c r="B14" s="132" t="inlineStr">
        <is>
          <t>臨床</t>
        </is>
      </c>
      <c r="C14" s="133" t="inlineStr">
        <is>
          <t>患者レジストリ・RWD基盤</t>
        </is>
      </c>
      <c r="D14" s="135" t="inlineStr">
        <is>
          <t>レジストリ／RWDプラットフォーム</t>
        </is>
      </c>
      <c r="E14" s="135" t="inlineStr">
        <is>
          <t>患者レジストリ・自然歴・リアルワールドデータを収集・管理する</t>
        </is>
      </c>
      <c r="F14" s="132" t="inlineStr">
        <is>
          <t>非GxP・PV</t>
        </is>
      </c>
      <c r="G14" s="149">
        <f>COUNTIF('ケイパビリティ×アプリケーション'!N$6:N$58,"●")</f>
        <v/>
      </c>
      <c r="H14" s="149">
        <f>COUNTIF('ケイパビリティ×アプリケーション'!N$6:N$58,"○")</f>
        <v/>
      </c>
    </row>
    <row r="15" ht="15" customHeight="1" s="80">
      <c r="A15" s="146" t="inlineStr">
        <is>
          <t>APP-12</t>
        </is>
      </c>
      <c r="B15" s="132" t="inlineStr">
        <is>
          <t>薬事</t>
        </is>
      </c>
      <c r="C15" s="133" t="inlineStr">
        <is>
          <t>薬事情報管理</t>
        </is>
      </c>
      <c r="D15" s="135" t="inlineStr">
        <is>
          <t>RIM</t>
        </is>
      </c>
      <c r="E15" s="135" t="inlineStr">
        <is>
          <t>当局とのやり取り、申請・承認・指定・約束事項、表示の版を管理する</t>
        </is>
      </c>
      <c r="F15" s="132" t="inlineStr">
        <is>
          <t>薬事</t>
        </is>
      </c>
      <c r="G15" s="149">
        <f>COUNTIF('ケイパビリティ×アプリケーション'!O$6:O$58,"●")</f>
        <v/>
      </c>
      <c r="H15" s="149">
        <f>COUNTIF('ケイパビリティ×アプリケーション'!O$6:O$58,"○")</f>
        <v/>
      </c>
    </row>
    <row r="16" ht="15" customHeight="1" s="80">
      <c r="A16" s="146" t="inlineStr">
        <is>
          <t>APP-13</t>
        </is>
      </c>
      <c r="B16" s="132" t="inlineStr">
        <is>
          <t>薬事</t>
        </is>
      </c>
      <c r="C16" s="133" t="inlineStr">
        <is>
          <t>申請出版</t>
        </is>
      </c>
      <c r="D16" s="135" t="inlineStr">
        <is>
          <t>eCTD出版</t>
        </is>
      </c>
      <c r="E16" s="135" t="inlineStr">
        <is>
          <t>申請資料をeCTD形式に編集し、FDAへ提出する</t>
        </is>
      </c>
      <c r="F16" s="132" t="inlineStr">
        <is>
          <t>薬事</t>
        </is>
      </c>
      <c r="G16" s="149">
        <f>COUNTIF('ケイパビリティ×アプリケーション'!P$6:P$58,"●")</f>
        <v/>
      </c>
      <c r="H16" s="149">
        <f>COUNTIF('ケイパビリティ×アプリケーション'!P$6:P$58,"○")</f>
        <v/>
      </c>
    </row>
    <row r="17" ht="15" customHeight="1" s="80">
      <c r="A17" s="146" t="inlineStr">
        <is>
          <t>APP-14</t>
        </is>
      </c>
      <c r="B17" s="132" t="inlineStr">
        <is>
          <t>安全性</t>
        </is>
      </c>
      <c r="C17" s="133" t="inlineStr">
        <is>
          <t>安全性データベース</t>
        </is>
      </c>
      <c r="D17" s="135" t="inlineStr">
        <is>
          <t>安全性DB（ICSR）</t>
        </is>
      </c>
      <c r="E17" s="135" t="inlineStr">
        <is>
          <t>有害事象症例の収集・評価・当局報告を行う</t>
        </is>
      </c>
      <c r="F17" s="132" t="inlineStr">
        <is>
          <t>PV</t>
        </is>
      </c>
      <c r="G17" s="149">
        <f>COUNTIF('ケイパビリティ×アプリケーション'!Q$6:Q$58,"●")</f>
        <v/>
      </c>
      <c r="H17" s="149">
        <f>COUNTIF('ケイパビリティ×アプリケーション'!Q$6:Q$58,"○")</f>
        <v/>
      </c>
    </row>
    <row r="18" ht="15" customHeight="1" s="80">
      <c r="A18" s="146" t="inlineStr">
        <is>
          <t>APP-15</t>
        </is>
      </c>
      <c r="B18" s="132" t="inlineStr">
        <is>
          <t>安全性</t>
        </is>
      </c>
      <c r="C18" s="133" t="inlineStr">
        <is>
          <t>シグナル検出</t>
        </is>
      </c>
      <c r="D18" s="135" t="inlineStr">
        <is>
          <t>シグナル管理</t>
        </is>
      </c>
      <c r="E18" s="135" t="inlineStr">
        <is>
          <t>安全性データからシグナルを検出・評価し、リスク管理につなげる</t>
        </is>
      </c>
      <c r="F18" s="132" t="inlineStr">
        <is>
          <t>PV</t>
        </is>
      </c>
      <c r="G18" s="149">
        <f>COUNTIF('ケイパビリティ×アプリケーション'!R$6:R$58,"●")</f>
        <v/>
      </c>
      <c r="H18" s="149">
        <f>COUNTIF('ケイパビリティ×アプリケーション'!R$6:R$58,"○")</f>
        <v/>
      </c>
    </row>
    <row r="19" ht="15" customHeight="1" s="80">
      <c r="A19" s="146" t="inlineStr">
        <is>
          <t>APP-16</t>
        </is>
      </c>
      <c r="B19" s="132" t="inlineStr">
        <is>
          <t>製造</t>
        </is>
      </c>
      <c r="C19" s="133" t="inlineStr">
        <is>
          <t>製造実行システム</t>
        </is>
      </c>
      <c r="D19" s="135" t="inlineStr">
        <is>
          <t>MES（電子バッチ記録）</t>
        </is>
      </c>
      <c r="E19" s="135" t="inlineStr">
        <is>
          <t>製造指図（MBR）を管理し、製造を指図・記録する</t>
        </is>
      </c>
      <c r="F19" s="132" t="inlineStr">
        <is>
          <t>GMP</t>
        </is>
      </c>
      <c r="G19" s="149">
        <f>COUNTIF('ケイパビリティ×アプリケーション'!S$6:S$58,"●")</f>
        <v/>
      </c>
      <c r="H19" s="149">
        <f>COUNTIF('ケイパビリティ×アプリケーション'!S$6:S$58,"○")</f>
        <v/>
      </c>
    </row>
    <row r="20" ht="15" customHeight="1" s="80">
      <c r="A20" s="146" t="inlineStr">
        <is>
          <t>APP-17</t>
        </is>
      </c>
      <c r="B20" s="132" t="inlineStr">
        <is>
          <t>製造</t>
        </is>
      </c>
      <c r="C20" s="133" t="inlineStr">
        <is>
          <t>工程データ管理</t>
        </is>
      </c>
      <c r="D20" s="135" t="inlineStr">
        <is>
          <t>プロセスヒストリアン</t>
        </is>
      </c>
      <c r="E20" s="135" t="inlineStr">
        <is>
          <t>バイオリアクター等の運転・監視データを収集・保存する</t>
        </is>
      </c>
      <c r="F20" s="132" t="inlineStr">
        <is>
          <t>GMP</t>
        </is>
      </c>
      <c r="G20" s="149">
        <f>COUNTIF('ケイパビリティ×アプリケーション'!T$6:T$58,"●")</f>
        <v/>
      </c>
      <c r="H20" s="149">
        <f>COUNTIF('ケイパビリティ×アプリケーション'!T$6:T$58,"○")</f>
        <v/>
      </c>
    </row>
    <row r="21" ht="15" customHeight="1" s="80">
      <c r="A21" s="146" t="inlineStr">
        <is>
          <t>APP-18</t>
        </is>
      </c>
      <c r="B21" s="132" t="inlineStr">
        <is>
          <t>製造</t>
        </is>
      </c>
      <c r="C21" s="133" t="inlineStr">
        <is>
          <t>設備・環境管理</t>
        </is>
      </c>
      <c r="D21" s="135" t="inlineStr">
        <is>
          <t>CMMS／環境モニタリング</t>
        </is>
      </c>
      <c r="E21" s="135" t="inlineStr">
        <is>
          <t>設備の保全・校正と、無菌環境のモニタリングを管理する</t>
        </is>
      </c>
      <c r="F21" s="132" t="inlineStr">
        <is>
          <t>GMP</t>
        </is>
      </c>
      <c r="G21" s="149">
        <f>COUNTIF('ケイパビリティ×アプリケーション'!U$6:U$58,"●")</f>
        <v/>
      </c>
      <c r="H21" s="149">
        <f>COUNTIF('ケイパビリティ×アプリケーション'!U$6:U$58,"○")</f>
        <v/>
      </c>
    </row>
    <row r="22" ht="15" customHeight="1" s="80">
      <c r="A22" s="146" t="inlineStr">
        <is>
          <t>APP-19</t>
        </is>
      </c>
      <c r="B22" s="132" t="inlineStr">
        <is>
          <t>製造</t>
        </is>
      </c>
      <c r="C22" s="133" t="inlineStr">
        <is>
          <t>ラベル・アートワーク管理</t>
        </is>
      </c>
      <c r="D22" s="135" t="inlineStr">
        <is>
          <t>アートワーク管理</t>
        </is>
      </c>
      <c r="E22" s="135" t="inlineStr">
        <is>
          <t>治験薬・商用製品のラベルと包装デザインの作成・承認・版を管理する</t>
        </is>
      </c>
      <c r="F22" s="132" t="inlineStr">
        <is>
          <t>GMP・GCP</t>
        </is>
      </c>
      <c r="G22" s="149">
        <f>COUNTIF('ケイパビリティ×アプリケーション'!V$6:V$58,"●")</f>
        <v/>
      </c>
      <c r="H22" s="149">
        <f>COUNTIF('ケイパビリティ×アプリケーション'!V$6:V$58,"○")</f>
        <v/>
      </c>
    </row>
    <row r="23" ht="15" customHeight="1" s="80">
      <c r="A23" s="146" t="inlineStr">
        <is>
          <t>APP-20</t>
        </is>
      </c>
      <c r="B23" s="132" t="inlineStr">
        <is>
          <t>品質</t>
        </is>
      </c>
      <c r="C23" s="133" t="inlineStr">
        <is>
          <t>品質マネジメントシステム</t>
        </is>
      </c>
      <c r="D23" s="135" t="inlineStr">
        <is>
          <t>eQMS</t>
        </is>
      </c>
      <c r="E23" s="135" t="inlineStr">
        <is>
          <t>逸脱・CAPA・変更管理・監査・苦情・回収・供給者管理を管理する</t>
        </is>
      </c>
      <c r="F23" s="132" t="inlineStr">
        <is>
          <t>GMP・GCP・GLP</t>
        </is>
      </c>
      <c r="G23" s="149">
        <f>COUNTIF('ケイパビリティ×アプリケーション'!W$6:W$58,"●")</f>
        <v/>
      </c>
      <c r="H23" s="149">
        <f>COUNTIF('ケイパビリティ×アプリケーション'!W$6:W$58,"○")</f>
        <v/>
      </c>
    </row>
    <row r="24" ht="26.85" customHeight="1" s="80">
      <c r="A24" s="146" t="inlineStr">
        <is>
          <t>APP-21</t>
        </is>
      </c>
      <c r="B24" s="132" t="inlineStr">
        <is>
          <t>品質</t>
        </is>
      </c>
      <c r="C24" s="133" t="inlineStr">
        <is>
          <t>バリデーション管理</t>
        </is>
      </c>
      <c r="D24" s="135" t="inlineStr">
        <is>
          <t>バリデーションライフサイクル管理</t>
        </is>
      </c>
      <c r="E24" s="135" t="inlineStr">
        <is>
          <t>設備・プロセス・洗浄・コンピュータ化システムのバリデーションの計画・実行・記録を電子的に行う</t>
        </is>
      </c>
      <c r="F24" s="132" t="inlineStr">
        <is>
          <t>GMP</t>
        </is>
      </c>
      <c r="G24" s="149">
        <f>COUNTIF('ケイパビリティ×アプリケーション'!X$6:X$58,"●")</f>
        <v/>
      </c>
      <c r="H24" s="149">
        <f>COUNTIF('ケイパビリティ×アプリケーション'!X$6:X$58,"○")</f>
        <v/>
      </c>
    </row>
    <row r="25" ht="26.85" customHeight="1" s="80">
      <c r="A25" s="146" t="inlineStr">
        <is>
          <t>APP-22</t>
        </is>
      </c>
      <c r="B25" s="132" t="inlineStr">
        <is>
          <t>品質</t>
        </is>
      </c>
      <c r="C25" s="133" t="inlineStr">
        <is>
          <t>試験室情報管理</t>
        </is>
      </c>
      <c r="D25" s="135" t="inlineStr">
        <is>
          <t>LIMS</t>
        </is>
      </c>
      <c r="E25" s="135" t="inlineStr">
        <is>
          <t>検体・試験・結果・規格判定・安定性試験を管理する（生体試料分析、品質管理試験）</t>
        </is>
      </c>
      <c r="F25" s="132" t="inlineStr">
        <is>
          <t>GMP・GLP・GCP</t>
        </is>
      </c>
      <c r="G25" s="149">
        <f>COUNTIF('ケイパビリティ×アプリケーション'!Y$6:Y$58,"●")</f>
        <v/>
      </c>
      <c r="H25" s="149">
        <f>COUNTIF('ケイパビリティ×アプリケーション'!Y$6:Y$58,"○")</f>
        <v/>
      </c>
    </row>
    <row r="26" ht="15" customHeight="1" s="80">
      <c r="A26" s="146" t="inlineStr">
        <is>
          <t>APP-23</t>
        </is>
      </c>
      <c r="B26" s="132" t="inlineStr">
        <is>
          <t>供給</t>
        </is>
      </c>
      <c r="C26" s="133" t="inlineStr">
        <is>
          <t>需給計画</t>
        </is>
      </c>
      <c r="D26" s="135" t="inlineStr">
        <is>
          <t>APS／S&amp;OP</t>
        </is>
      </c>
      <c r="E26" s="135" t="inlineStr">
        <is>
          <t>需要予測・供給計画・在庫計画を立てる</t>
        </is>
      </c>
      <c r="F26" s="132" t="inlineStr">
        <is>
          <t>非GxP</t>
        </is>
      </c>
      <c r="G26" s="149">
        <f>COUNTIF('ケイパビリティ×アプリケーション'!Z$6:Z$58,"●")</f>
        <v/>
      </c>
      <c r="H26" s="149">
        <f>COUNTIF('ケイパビリティ×アプリケーション'!Z$6:Z$58,"○")</f>
        <v/>
      </c>
    </row>
    <row r="27" ht="15" customHeight="1" s="80">
      <c r="A27" s="146" t="inlineStr">
        <is>
          <t>APP-24</t>
        </is>
      </c>
      <c r="B27" s="132" t="inlineStr">
        <is>
          <t>供給</t>
        </is>
      </c>
      <c r="C27" s="133" t="inlineStr">
        <is>
          <t>倉庫・物流管理</t>
        </is>
      </c>
      <c r="D27" s="135" t="inlineStr">
        <is>
          <t>WMS／TMS（温度監視含む）</t>
        </is>
      </c>
      <c r="E27" s="135" t="inlineStr">
        <is>
          <t>保管・輸送と、輸送中の温度データを管理する</t>
        </is>
      </c>
      <c r="F27" s="132" t="inlineStr">
        <is>
          <t>GMP・流通</t>
        </is>
      </c>
      <c r="G27" s="149">
        <f>COUNTIF('ケイパビリティ×アプリケーション'!AA$6:AA$58,"●")</f>
        <v/>
      </c>
      <c r="H27" s="149">
        <f>COUNTIF('ケイパビリティ×アプリケーション'!AA$6:AA$58,"○")</f>
        <v/>
      </c>
    </row>
    <row r="28" ht="15" customHeight="1" s="80">
      <c r="A28" s="146" t="inlineStr">
        <is>
          <t>APP-25</t>
        </is>
      </c>
      <c r="B28" s="132" t="inlineStr">
        <is>
          <t>供給</t>
        </is>
      </c>
      <c r="C28" s="133" t="inlineStr">
        <is>
          <t>シリアライゼーション</t>
        </is>
      </c>
      <c r="D28" s="135" t="inlineStr">
        <is>
          <t>DSCSA対応システム</t>
        </is>
      </c>
      <c r="E28" s="135" t="inlineStr">
        <is>
          <t>製品識別子の付番と、取引情報の電子的な記録・交換を行う</t>
        </is>
      </c>
      <c r="F28" s="132" t="inlineStr">
        <is>
          <t>流通</t>
        </is>
      </c>
      <c r="G28" s="149">
        <f>COUNTIF('ケイパビリティ×アプリケーション'!AB$6:AB$58,"●")</f>
        <v/>
      </c>
      <c r="H28" s="149">
        <f>COUNTIF('ケイパビリティ×アプリケーション'!AB$6:AB$58,"○")</f>
        <v/>
      </c>
    </row>
    <row r="29" ht="26.85" customHeight="1" s="80">
      <c r="A29" s="146" t="inlineStr">
        <is>
          <t>APP-26</t>
        </is>
      </c>
      <c r="B29" s="132" t="inlineStr">
        <is>
          <t>商業</t>
        </is>
      </c>
      <c r="C29" s="133" t="inlineStr">
        <is>
          <t>顧客関係管理</t>
        </is>
      </c>
      <c r="D29" s="135" t="inlineStr">
        <is>
          <t>CRM</t>
        </is>
      </c>
      <c r="E29" s="135" t="inlineStr">
        <is>
          <t>医療機関・医療従事者・患者団体との関係と、MSL・営業の活動を管理する</t>
        </is>
      </c>
      <c r="F29" s="132" t="inlineStr">
        <is>
          <t>非GxP</t>
        </is>
      </c>
      <c r="G29" s="149">
        <f>COUNTIF('ケイパビリティ×アプリケーション'!AC$6:AC$58,"●")</f>
        <v/>
      </c>
      <c r="H29" s="149">
        <f>COUNTIF('ケイパビリティ×アプリケーション'!AC$6:AC$58,"○")</f>
        <v/>
      </c>
    </row>
    <row r="30" ht="15" customHeight="1" s="80">
      <c r="A30" s="146" t="inlineStr">
        <is>
          <t>APP-27</t>
        </is>
      </c>
      <c r="B30" s="132" t="inlineStr">
        <is>
          <t>商業</t>
        </is>
      </c>
      <c r="C30" s="133" t="inlineStr">
        <is>
          <t>患者支援（ハブ）</t>
        </is>
      </c>
      <c r="D30" s="135" t="inlineStr">
        <is>
          <t>ハブサービスシステム</t>
        </is>
      </c>
      <c r="E30" s="135" t="inlineStr">
        <is>
          <t>患者の登録・保険確認・自己負担支援・治療開始を管理する</t>
        </is>
      </c>
      <c r="F30" s="132" t="inlineStr">
        <is>
          <t>非GxP</t>
        </is>
      </c>
      <c r="G30" s="149">
        <f>COUNTIF('ケイパビリティ×アプリケーション'!AD$6:AD$58,"●")</f>
        <v/>
      </c>
      <c r="H30" s="149">
        <f>COUNTIF('ケイパビリティ×アプリケーション'!AD$6:AD$58,"○")</f>
        <v/>
      </c>
    </row>
    <row r="31" ht="26.85" customHeight="1" s="80">
      <c r="A31" s="146" t="inlineStr">
        <is>
          <t>APP-28</t>
        </is>
      </c>
      <c r="B31" s="132" t="inlineStr">
        <is>
          <t>商業</t>
        </is>
      </c>
      <c r="C31" s="133" t="inlineStr">
        <is>
          <t>価格・契約・政府価格報告</t>
        </is>
      </c>
      <c r="D31" s="135" t="inlineStr">
        <is>
          <t>GTN／リベート管理</t>
        </is>
      </c>
      <c r="E31" s="135" t="inlineStr">
        <is>
          <t>価格、保険者契約、リベート、政府価格報告（AMP・Best Price・ASP）を管理する</t>
        </is>
      </c>
      <c r="F31" s="132" t="inlineStr">
        <is>
          <t>非GxP</t>
        </is>
      </c>
      <c r="G31" s="149">
        <f>COUNTIF('ケイパビリティ×アプリケーション'!AE$6:AE$58,"●")</f>
        <v/>
      </c>
      <c r="H31" s="149">
        <f>COUNTIF('ケイパビリティ×アプリケーション'!AE$6:AE$58,"○")</f>
        <v/>
      </c>
    </row>
    <row r="32" ht="26.85" customHeight="1" s="80">
      <c r="A32" s="146" t="inlineStr">
        <is>
          <t>APP-29</t>
        </is>
      </c>
      <c r="B32" s="132" t="inlineStr">
        <is>
          <t>商業</t>
        </is>
      </c>
      <c r="C32" s="133" t="inlineStr">
        <is>
          <t>販促資材審査</t>
        </is>
      </c>
      <c r="D32" s="135" t="inlineStr">
        <is>
          <t>MLRレビュー</t>
        </is>
      </c>
      <c r="E32" s="135" t="inlineStr">
        <is>
          <t>販促・医療情報資材の医学・法務・薬事の審査と承認、FDAへの提出を管理する</t>
        </is>
      </c>
      <c r="F32" s="132" t="inlineStr">
        <is>
          <t>薬事</t>
        </is>
      </c>
      <c r="G32" s="149">
        <f>COUNTIF('ケイパビリティ×アプリケーション'!AF$6:AF$58,"●")</f>
        <v/>
      </c>
      <c r="H32" s="149">
        <f>COUNTIF('ケイパビリティ×アプリケーション'!AF$6:AF$58,"○")</f>
        <v/>
      </c>
    </row>
    <row r="33" ht="15" customHeight="1" s="80">
      <c r="A33" s="146" t="inlineStr">
        <is>
          <t>APP-30</t>
        </is>
      </c>
      <c r="B33" s="132" t="inlineStr">
        <is>
          <t>共通</t>
        </is>
      </c>
      <c r="C33" s="133" t="inlineStr">
        <is>
          <t>ERP</t>
        </is>
      </c>
      <c r="D33" s="135" t="inlineStr">
        <is>
          <t>ERP</t>
        </is>
      </c>
      <c r="E33" s="135" t="inlineStr">
        <is>
          <t>財務・購買・在庫・受注・出荷を一元管理する基幹システム</t>
        </is>
      </c>
      <c r="F33" s="132" t="inlineStr">
        <is>
          <t>GMP・流通</t>
        </is>
      </c>
      <c r="G33" s="149">
        <f>COUNTIF('ケイパビリティ×アプリケーション'!AG$6:AG$58,"●")</f>
        <v/>
      </c>
      <c r="H33" s="149">
        <f>COUNTIF('ケイパビリティ×アプリケーション'!AG$6:AG$58,"○")</f>
        <v/>
      </c>
    </row>
    <row r="34" ht="26.85" customHeight="1" s="80">
      <c r="A34" s="146" t="inlineStr">
        <is>
          <t>APP-31</t>
        </is>
      </c>
      <c r="B34" s="132" t="inlineStr">
        <is>
          <t>共通</t>
        </is>
      </c>
      <c r="C34" s="133" t="inlineStr">
        <is>
          <t>マスタデータ管理</t>
        </is>
      </c>
      <c r="D34" s="135" t="inlineStr">
        <is>
          <t>MDM</t>
        </is>
      </c>
      <c r="E34" s="135" t="inlineStr">
        <is>
          <t>製品・取引先・医療機関などのマスタを統合し、段階をまたぐ一貫した識別子を管理する</t>
        </is>
      </c>
      <c r="F34" s="132" t="inlineStr">
        <is>
          <t>非GxP</t>
        </is>
      </c>
      <c r="G34" s="149">
        <f>COUNTIF('ケイパビリティ×アプリケーション'!AH$6:AH$58,"●")</f>
        <v/>
      </c>
      <c r="H34" s="149">
        <f>COUNTIF('ケイパビリティ×アプリケーション'!AH$6:AH$58,"○")</f>
        <v/>
      </c>
    </row>
    <row r="35" ht="15" customHeight="1" s="80">
      <c r="A35" s="146" t="inlineStr">
        <is>
          <t>APP-32</t>
        </is>
      </c>
      <c r="B35" s="132" t="inlineStr">
        <is>
          <t>共通</t>
        </is>
      </c>
      <c r="C35" s="133" t="inlineStr">
        <is>
          <t>GxP文書管理</t>
        </is>
      </c>
      <c r="D35" s="135" t="inlineStr">
        <is>
          <t>eDMS</t>
        </is>
      </c>
      <c r="E35" s="135" t="inlineStr">
        <is>
          <t>SOP・報告書・申請用文書を版管理し、承認と電子署名を行う</t>
        </is>
      </c>
      <c r="F35" s="132" t="inlineStr">
        <is>
          <t>GxP全般</t>
        </is>
      </c>
      <c r="G35" s="149">
        <f>COUNTIF('ケイパビリティ×アプリケーション'!AI$6:AI$58,"●")</f>
        <v/>
      </c>
      <c r="H35" s="149">
        <f>COUNTIF('ケイパビリティ×アプリケーション'!AI$6:AI$58,"○")</f>
        <v/>
      </c>
    </row>
    <row r="36" ht="15" customHeight="1" s="80">
      <c r="A36" s="146" t="inlineStr">
        <is>
          <t>APP-33</t>
        </is>
      </c>
      <c r="B36" s="132" t="inlineStr">
        <is>
          <t>共通</t>
        </is>
      </c>
      <c r="C36" s="133" t="inlineStr">
        <is>
          <t>教育管理</t>
        </is>
      </c>
      <c r="D36" s="135" t="inlineStr">
        <is>
          <t>LMS</t>
        </is>
      </c>
      <c r="E36" s="135" t="inlineStr">
        <is>
          <t>教育の計画・実施・記録と、資格認定を管理する</t>
        </is>
      </c>
      <c r="F36" s="132" t="inlineStr">
        <is>
          <t>GxP全般</t>
        </is>
      </c>
      <c r="G36" s="149">
        <f>COUNTIF('ケイパビリティ×アプリケーション'!AJ$6:AJ$58,"●")</f>
        <v/>
      </c>
      <c r="H36" s="149">
        <f>COUNTIF('ケイパビリティ×アプリケーション'!AJ$6:AJ$58,"○")</f>
        <v/>
      </c>
    </row>
    <row r="37" ht="15" customHeight="1" s="80">
      <c r="A37" s="146" t="inlineStr">
        <is>
          <t>APP-34</t>
        </is>
      </c>
      <c r="B37" s="132" t="inlineStr">
        <is>
          <t>共通</t>
        </is>
      </c>
      <c r="C37" s="133" t="inlineStr">
        <is>
          <t>データ・分析基盤</t>
        </is>
      </c>
      <c r="D37" s="135" t="inlineStr">
        <is>
          <t>データレイク／DWH／BI</t>
        </is>
      </c>
      <c r="E37" s="135" t="inlineStr">
        <is>
          <t>領域をまたいでデータを集約し、分析・可視化・AI活用に使う</t>
        </is>
      </c>
      <c r="F37" s="132" t="inlineStr">
        <is>
          <t>非GxP</t>
        </is>
      </c>
      <c r="G37" s="149">
        <f>COUNTIF('ケイパビリティ×アプリケーション'!AK$6:AK$58,"●")</f>
        <v/>
      </c>
      <c r="H37" s="149">
        <f>COUNTIF('ケイパビリティ×アプリケーション'!AK$6:AK$58,"○")</f>
        <v/>
      </c>
    </row>
    <row r="38" ht="26.85" customHeight="1" s="80">
      <c r="A38" s="146" t="inlineStr">
        <is>
          <t>APP-35</t>
        </is>
      </c>
      <c r="B38" s="132" t="inlineStr">
        <is>
          <t>共通</t>
        </is>
      </c>
      <c r="C38" s="133" t="inlineStr">
        <is>
          <t>ポートフォリオ・プロジェクト管理</t>
        </is>
      </c>
      <c r="D38" s="135" t="inlineStr">
        <is>
          <t>PPM</t>
        </is>
      </c>
      <c r="E38" s="135" t="inlineStr">
        <is>
          <t>開発品のポートフォリオ、開発計画、資源配分、段階移行の判断を管理する</t>
        </is>
      </c>
      <c r="F38" s="132" t="inlineStr">
        <is>
          <t>非GxP</t>
        </is>
      </c>
      <c r="G38" s="149">
        <f>COUNTIF('ケイパビリティ×アプリケーション'!AL$6:AL$58,"●")</f>
        <v/>
      </c>
      <c r="H38" s="149">
        <f>COUNTIF('ケイパビリティ×アプリケーション'!AL$6:AL$58,"○")</f>
        <v/>
      </c>
    </row>
    <row r="39" ht="26.85" customHeight="1" s="80">
      <c r="A39" s="146" t="inlineStr">
        <is>
          <t>APP-36</t>
        </is>
      </c>
      <c r="B39" s="132" t="inlineStr">
        <is>
          <t>共通</t>
        </is>
      </c>
      <c r="C39" s="133" t="inlineStr">
        <is>
          <t>契約管理</t>
        </is>
      </c>
      <c r="D39" s="135" t="inlineStr">
        <is>
          <t>CLM</t>
        </is>
      </c>
      <c r="E39" s="135" t="inlineStr">
        <is>
          <t>CRO・CDMO・医療機関・流通業者などとの契約の作成・承認・履行を管理する</t>
        </is>
      </c>
      <c r="F39" s="132" t="inlineStr">
        <is>
          <t>非GxP</t>
        </is>
      </c>
      <c r="G39" s="149">
        <f>COUNTIF('ケイパビリティ×アプリケーション'!AM$6:AM$58,"●")</f>
        <v/>
      </c>
      <c r="H39" s="149">
        <f>COUNTIF('ケイパビリティ×アプリケーション'!AM$6:AM$58,"○")</f>
        <v/>
      </c>
    </row>
    <row r="40" ht="15" customHeight="1" s="80">
      <c r="A40" s="146" t="inlineStr">
        <is>
          <t>APP-37</t>
        </is>
      </c>
      <c r="B40" s="132" t="inlineStr">
        <is>
          <t>共通</t>
        </is>
      </c>
      <c r="C40" s="133" t="inlineStr">
        <is>
          <t>知財管理</t>
        </is>
      </c>
      <c r="D40" s="135" t="inlineStr">
        <is>
          <t>IPMS</t>
        </is>
      </c>
      <c r="E40" s="135" t="inlineStr">
        <is>
          <t>特許の出願・権利化・期限と、独占期間を管理する</t>
        </is>
      </c>
      <c r="F40" s="132" t="inlineStr">
        <is>
          <t>非GxP</t>
        </is>
      </c>
      <c r="G40" s="149">
        <f>COUNTIF('ケイパビリティ×アプリケーション'!AN$6:AN$58,"●")</f>
        <v/>
      </c>
      <c r="H40" s="149">
        <f>COUNTIF('ケイパビリティ×アプリケーション'!AN$6:AN$58,"○")</f>
        <v/>
      </c>
    </row>
  </sheetData>
  <autoFilter ref="A3:H4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002E8B57"/>
    <outlinePr summaryBelow="1" summaryRight="1"/>
    <pageSetUpPr fitToPage="0"/>
  </sheetPr>
  <dimension ref="A1:AP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8" customWidth="1" style="79" min="1" max="1"/>
    <col width="8" customWidth="1" style="79" min="2" max="2"/>
    <col width="28" customWidth="1" style="79" min="3" max="3"/>
    <col width="4.6" customWidth="1" style="79" min="4" max="40"/>
    <col width="7.5" customWidth="1" style="79" min="41" max="42"/>
  </cols>
  <sheetData>
    <row r="1" ht="21.6" customHeight="1" s="80">
      <c r="A1" s="139" t="inlineStr">
        <is>
          <t>ケイパビリティ×アプリケーション（正本：行＝ケイパビリティL2 × 列＝アプリケーション種類）</t>
        </is>
      </c>
    </row>
    <row r="2" ht="15" customHeight="1" s="80">
      <c r="A2" s="140" t="inlineStr">
        <is>
          <t>●＝主に支える（その能力の中核の業務を実行するシステム）　○＝部分的に支える（一部の業務やデータの受け渡しで使う）　空欄＝関係なし。このシートに直接記入する。右端と最下行の数は数式。</t>
        </is>
      </c>
    </row>
    <row r="4" ht="29.85" customHeight="1" s="80">
      <c r="A4" s="141" t="inlineStr">
        <is>
          <t>ケイパビリティL1</t>
        </is>
      </c>
      <c r="B4" s="141" t="inlineStr">
        <is>
          <t>L2 ID</t>
        </is>
      </c>
      <c r="C4" s="141" t="inlineStr">
        <is>
          <t>ケイパビリティL2</t>
        </is>
      </c>
      <c r="D4" s="150" t="inlineStr">
        <is>
          <t>研究</t>
        </is>
      </c>
      <c r="G4" s="150" t="inlineStr">
        <is>
          <t>非臨床</t>
        </is>
      </c>
      <c r="H4" s="150" t="inlineStr">
        <is>
          <t>臨床</t>
        </is>
      </c>
      <c r="O4" s="150" t="inlineStr">
        <is>
          <t>薬事</t>
        </is>
      </c>
      <c r="Q4" s="150" t="inlineStr">
        <is>
          <t>安全性</t>
        </is>
      </c>
      <c r="S4" s="150" t="inlineStr">
        <is>
          <t>製造</t>
        </is>
      </c>
      <c r="W4" s="150" t="inlineStr">
        <is>
          <t>品質</t>
        </is>
      </c>
      <c r="Z4" s="150" t="inlineStr">
        <is>
          <t>供給</t>
        </is>
      </c>
      <c r="AC4" s="150" t="inlineStr">
        <is>
          <t>商業</t>
        </is>
      </c>
      <c r="AG4" s="150" t="inlineStr">
        <is>
          <t>共通</t>
        </is>
      </c>
      <c r="AO4" s="143" t="inlineStr">
        <is>
          <t>●の数</t>
        </is>
      </c>
      <c r="AP4" s="143" t="inlineStr">
        <is>
          <t>○の数</t>
        </is>
      </c>
    </row>
    <row r="5" ht="214.5" customHeight="1" s="80">
      <c r="D5" s="151">
        <f>アプリケーション!C4</f>
        <v/>
      </c>
      <c r="E5" s="151">
        <f>アプリケーション!C5</f>
        <v/>
      </c>
      <c r="F5" s="151">
        <f>アプリケーション!C6</f>
        <v/>
      </c>
      <c r="G5" s="151">
        <f>アプリケーション!C7</f>
        <v/>
      </c>
      <c r="H5" s="151">
        <f>アプリケーション!C8</f>
        <v/>
      </c>
      <c r="I5" s="151">
        <f>アプリケーション!C9</f>
        <v/>
      </c>
      <c r="J5" s="151">
        <f>アプリケーション!C10</f>
        <v/>
      </c>
      <c r="K5" s="151">
        <f>アプリケーション!C11</f>
        <v/>
      </c>
      <c r="L5" s="151">
        <f>アプリケーション!C12</f>
        <v/>
      </c>
      <c r="M5" s="151">
        <f>アプリケーション!C13</f>
        <v/>
      </c>
      <c r="N5" s="151">
        <f>アプリケーション!C14</f>
        <v/>
      </c>
      <c r="O5" s="151">
        <f>アプリケーション!C15</f>
        <v/>
      </c>
      <c r="P5" s="151">
        <f>アプリケーション!C16</f>
        <v/>
      </c>
      <c r="Q5" s="151">
        <f>アプリケーション!C17</f>
        <v/>
      </c>
      <c r="R5" s="151">
        <f>アプリケーション!C18</f>
        <v/>
      </c>
      <c r="S5" s="151">
        <f>アプリケーション!C19</f>
        <v/>
      </c>
      <c r="T5" s="151">
        <f>アプリケーション!C20</f>
        <v/>
      </c>
      <c r="U5" s="151">
        <f>アプリケーション!C21</f>
        <v/>
      </c>
      <c r="V5" s="151">
        <f>アプリケーション!C22</f>
        <v/>
      </c>
      <c r="W5" s="151">
        <f>アプリケーション!C23</f>
        <v/>
      </c>
      <c r="X5" s="151">
        <f>アプリケーション!C24</f>
        <v/>
      </c>
      <c r="Y5" s="151">
        <f>アプリケーション!C25</f>
        <v/>
      </c>
      <c r="Z5" s="151">
        <f>アプリケーション!C26</f>
        <v/>
      </c>
      <c r="AA5" s="151">
        <f>アプリケーション!C27</f>
        <v/>
      </c>
      <c r="AB5" s="151">
        <f>アプリケーション!C28</f>
        <v/>
      </c>
      <c r="AC5" s="151">
        <f>アプリケーション!C29</f>
        <v/>
      </c>
      <c r="AD5" s="151">
        <f>アプリケーション!C30</f>
        <v/>
      </c>
      <c r="AE5" s="151">
        <f>アプリケーション!C31</f>
        <v/>
      </c>
      <c r="AF5" s="151">
        <f>アプリケーション!C32</f>
        <v/>
      </c>
      <c r="AG5" s="151">
        <f>アプリケーション!C33</f>
        <v/>
      </c>
      <c r="AH5" s="151">
        <f>アプリケーション!C34</f>
        <v/>
      </c>
      <c r="AI5" s="151">
        <f>アプリケーション!C35</f>
        <v/>
      </c>
      <c r="AJ5" s="151">
        <f>アプリケーション!C36</f>
        <v/>
      </c>
      <c r="AK5" s="151">
        <f>アプリケーション!C37</f>
        <v/>
      </c>
      <c r="AL5" s="151">
        <f>アプリケーション!C38</f>
        <v/>
      </c>
      <c r="AM5" s="151">
        <f>アプリケーション!C39</f>
        <v/>
      </c>
      <c r="AN5" s="151">
        <f>アプリケーション!C40</f>
        <v/>
      </c>
    </row>
    <row r="6" ht="15" customHeight="1" s="80">
      <c r="A6" s="152" t="inlineStr">
        <is>
          <t>C01 戦略・ガバナンス</t>
        </is>
      </c>
      <c r="B6" s="146" t="inlineStr">
        <is>
          <t>C01-01</t>
        </is>
      </c>
      <c r="C6" s="153">
        <f>IFERROR(INDEX(ケイパビリティマップ!$E:$E,MATCH(B6,ケイパビリティマップ!$A:$A,0)),"（IDなし）")</f>
        <v/>
      </c>
      <c r="D6" s="154" t="n"/>
      <c r="E6" s="154" t="n"/>
      <c r="F6" s="154" t="n"/>
      <c r="G6" s="154" t="n"/>
      <c r="H6" s="154" t="n"/>
      <c r="I6" s="154" t="n"/>
      <c r="J6" s="154" t="n"/>
      <c r="K6" s="154" t="n"/>
      <c r="L6" s="154" t="n"/>
      <c r="M6" s="154" t="n"/>
      <c r="N6" s="154" t="n"/>
      <c r="O6" s="154" t="n"/>
      <c r="P6" s="154" t="n"/>
      <c r="Q6" s="154" t="n"/>
      <c r="R6" s="154" t="n"/>
      <c r="S6" s="154" t="n"/>
      <c r="T6" s="154" t="n"/>
      <c r="U6" s="154" t="n"/>
      <c r="V6" s="154" t="n"/>
      <c r="W6" s="154" t="n"/>
      <c r="X6" s="154" t="n"/>
      <c r="Y6" s="154" t="n"/>
      <c r="Z6" s="154" t="n"/>
      <c r="AA6" s="154" t="n"/>
      <c r="AB6" s="154" t="n"/>
      <c r="AC6" s="154" t="n"/>
      <c r="AD6" s="154" t="n"/>
      <c r="AE6" s="154" t="n"/>
      <c r="AF6" s="154" t="n"/>
      <c r="AG6" s="154" t="n"/>
      <c r="AH6" s="154" t="n"/>
      <c r="AI6" s="154" t="n"/>
      <c r="AJ6" s="154" t="n"/>
      <c r="AK6" s="154" t="inlineStr">
        <is>
          <t>○</t>
        </is>
      </c>
      <c r="AL6" s="154" t="inlineStr">
        <is>
          <t>●</t>
        </is>
      </c>
      <c r="AM6" s="154" t="n"/>
      <c r="AN6" s="154" t="n"/>
      <c r="AO6" s="149">
        <f>COUNTIF(D6:AN6,"●")</f>
        <v/>
      </c>
      <c r="AP6" s="149">
        <f>COUNTIF(D6:AN6,"○")</f>
        <v/>
      </c>
    </row>
    <row r="7" ht="15" customHeight="1" s="80">
      <c r="A7" s="152" t="n"/>
      <c r="B7" s="146" t="inlineStr">
        <is>
          <t>C01-02</t>
        </is>
      </c>
      <c r="C7" s="153">
        <f>IFERROR(INDEX(ケイパビリティマップ!$E:$E,MATCH(B7,ケイパビリティマップ!$A:$A,0)),"（IDなし）")</f>
        <v/>
      </c>
      <c r="D7" s="154" t="n"/>
      <c r="E7" s="154" t="n"/>
      <c r="F7" s="154" t="n"/>
      <c r="G7" s="154" t="n"/>
      <c r="H7" s="154" t="n"/>
      <c r="I7" s="154" t="n"/>
      <c r="J7" s="154" t="n"/>
      <c r="K7" s="154" t="n"/>
      <c r="L7" s="154" t="n"/>
      <c r="M7" s="154" t="n"/>
      <c r="N7" s="154" t="n"/>
      <c r="O7" s="154" t="inlineStr">
        <is>
          <t>○</t>
        </is>
      </c>
      <c r="P7" s="154" t="n"/>
      <c r="Q7" s="154" t="n"/>
      <c r="R7" s="154" t="n"/>
      <c r="S7" s="154" t="n"/>
      <c r="T7" s="154" t="n"/>
      <c r="U7" s="154" t="n"/>
      <c r="V7" s="154" t="n"/>
      <c r="W7" s="154" t="n"/>
      <c r="X7" s="154" t="n"/>
      <c r="Y7" s="154" t="n"/>
      <c r="Z7" s="154" t="n"/>
      <c r="AA7" s="154" t="n"/>
      <c r="AB7" s="154" t="n"/>
      <c r="AC7" s="154" t="n"/>
      <c r="AD7" s="154" t="n"/>
      <c r="AE7" s="154" t="n"/>
      <c r="AF7" s="154" t="n"/>
      <c r="AG7" s="154" t="n"/>
      <c r="AH7" s="154" t="n"/>
      <c r="AI7" s="154" t="n"/>
      <c r="AJ7" s="154" t="n"/>
      <c r="AK7" s="154" t="n"/>
      <c r="AL7" s="154" t="n"/>
      <c r="AM7" s="154" t="n"/>
      <c r="AN7" s="154" t="inlineStr">
        <is>
          <t>●</t>
        </is>
      </c>
      <c r="AO7" s="149">
        <f>COUNTIF(D7:AN7,"●")</f>
        <v/>
      </c>
      <c r="AP7" s="149">
        <f>COUNTIF(D7:AN7,"○")</f>
        <v/>
      </c>
    </row>
    <row r="8" ht="15" customHeight="1" s="80">
      <c r="A8" s="152" t="n"/>
      <c r="B8" s="146" t="inlineStr">
        <is>
          <t>C01-03</t>
        </is>
      </c>
      <c r="C8" s="153">
        <f>IFERROR(INDEX(ケイパビリティマップ!$E:$E,MATCH(B8,ケイパビリティマップ!$A:$A,0)),"（IDなし）")</f>
        <v/>
      </c>
      <c r="D8" s="154" t="n"/>
      <c r="E8" s="154" t="n"/>
      <c r="F8" s="154" t="n"/>
      <c r="G8" s="154" t="n"/>
      <c r="H8" s="154" t="n"/>
      <c r="I8" s="154" t="n"/>
      <c r="J8" s="154" t="n"/>
      <c r="K8" s="154" t="n"/>
      <c r="L8" s="154" t="n"/>
      <c r="M8" s="154" t="n"/>
      <c r="N8" s="154" t="n"/>
      <c r="O8" s="154" t="n"/>
      <c r="P8" s="154" t="n"/>
      <c r="Q8" s="154" t="n"/>
      <c r="R8" s="154" t="n"/>
      <c r="S8" s="154" t="n"/>
      <c r="T8" s="154" t="n"/>
      <c r="U8" s="154" t="n"/>
      <c r="V8" s="154" t="n"/>
      <c r="W8" s="154" t="inlineStr">
        <is>
          <t>○</t>
        </is>
      </c>
      <c r="X8" s="154" t="n"/>
      <c r="Y8" s="154" t="n"/>
      <c r="Z8" s="154" t="n"/>
      <c r="AA8" s="154" t="n"/>
      <c r="AB8" s="154" t="n"/>
      <c r="AC8" s="154" t="n"/>
      <c r="AD8" s="154" t="n"/>
      <c r="AE8" s="154" t="n"/>
      <c r="AF8" s="154" t="n"/>
      <c r="AG8" s="154" t="inlineStr">
        <is>
          <t>○</t>
        </is>
      </c>
      <c r="AH8" s="154" t="n"/>
      <c r="AI8" s="154" t="n"/>
      <c r="AJ8" s="154" t="n"/>
      <c r="AK8" s="154" t="n"/>
      <c r="AL8" s="154" t="n"/>
      <c r="AM8" s="154" t="inlineStr">
        <is>
          <t>●</t>
        </is>
      </c>
      <c r="AN8" s="154" t="n"/>
      <c r="AO8" s="149">
        <f>COUNTIF(D8:AN8,"●")</f>
        <v/>
      </c>
      <c r="AP8" s="149">
        <f>COUNTIF(D8:AN8,"○")</f>
        <v/>
      </c>
    </row>
    <row r="9" ht="15" customHeight="1" s="80">
      <c r="A9" s="152" t="inlineStr">
        <is>
          <t>C02 研究（創薬）</t>
        </is>
      </c>
      <c r="B9" s="146" t="inlineStr">
        <is>
          <t>C02-01</t>
        </is>
      </c>
      <c r="C9" s="153">
        <f>IFERROR(INDEX(ケイパビリティマップ!$E:$E,MATCH(B9,ケイパビリティマップ!$A:$A,0)),"（IDなし）")</f>
        <v/>
      </c>
      <c r="D9" s="154" t="inlineStr">
        <is>
          <t>●</t>
        </is>
      </c>
      <c r="E9" s="154" t="n"/>
      <c r="F9" s="154" t="inlineStr">
        <is>
          <t>●</t>
        </is>
      </c>
      <c r="G9" s="154" t="n"/>
      <c r="H9" s="154" t="n"/>
      <c r="I9" s="154" t="n"/>
      <c r="J9" s="154" t="n"/>
      <c r="K9" s="154" t="n"/>
      <c r="L9" s="154" t="n"/>
      <c r="M9" s="154" t="n"/>
      <c r="N9" s="154" t="inlineStr">
        <is>
          <t>○</t>
        </is>
      </c>
      <c r="O9" s="154" t="n"/>
      <c r="P9" s="154" t="n"/>
      <c r="Q9" s="154" t="n"/>
      <c r="R9" s="154" t="n"/>
      <c r="S9" s="154" t="n"/>
      <c r="T9" s="154" t="n"/>
      <c r="U9" s="154" t="n"/>
      <c r="V9" s="154" t="n"/>
      <c r="W9" s="154" t="n"/>
      <c r="X9" s="154" t="n"/>
      <c r="Y9" s="154" t="n"/>
      <c r="Z9" s="154" t="n"/>
      <c r="AA9" s="154" t="n"/>
      <c r="AB9" s="154" t="n"/>
      <c r="AC9" s="154" t="n"/>
      <c r="AD9" s="154" t="n"/>
      <c r="AE9" s="154" t="n"/>
      <c r="AF9" s="154" t="n"/>
      <c r="AG9" s="154" t="n"/>
      <c r="AH9" s="154" t="n"/>
      <c r="AI9" s="154" t="n"/>
      <c r="AJ9" s="154" t="n"/>
      <c r="AK9" s="154" t="n"/>
      <c r="AL9" s="154" t="n"/>
      <c r="AM9" s="154" t="n"/>
      <c r="AN9" s="154" t="n"/>
      <c r="AO9" s="149">
        <f>COUNTIF(D9:AN9,"●")</f>
        <v/>
      </c>
      <c r="AP9" s="149">
        <f>COUNTIF(D9:AN9,"○")</f>
        <v/>
      </c>
    </row>
    <row r="10" ht="15" customHeight="1" s="80">
      <c r="A10" s="152" t="n"/>
      <c r="B10" s="146" t="inlineStr">
        <is>
          <t>C02-02</t>
        </is>
      </c>
      <c r="C10" s="153">
        <f>IFERROR(INDEX(ケイパビリティマップ!$E:$E,MATCH(B10,ケイパビリティマップ!$A:$A,0)),"（IDなし）")</f>
        <v/>
      </c>
      <c r="D10" s="154" t="inlineStr">
        <is>
          <t>●</t>
        </is>
      </c>
      <c r="E10" s="154" t="inlineStr">
        <is>
          <t>●</t>
        </is>
      </c>
      <c r="F10" s="154" t="inlineStr">
        <is>
          <t>○</t>
        </is>
      </c>
      <c r="G10" s="154" t="n"/>
      <c r="H10" s="154" t="n"/>
      <c r="I10" s="154" t="n"/>
      <c r="J10" s="154" t="n"/>
      <c r="K10" s="154" t="n"/>
      <c r="L10" s="154" t="n"/>
      <c r="M10" s="154" t="n"/>
      <c r="N10" s="154" t="n"/>
      <c r="O10" s="154" t="n"/>
      <c r="P10" s="154" t="n"/>
      <c r="Q10" s="154" t="n"/>
      <c r="R10" s="154" t="n"/>
      <c r="S10" s="154" t="n"/>
      <c r="T10" s="154" t="n"/>
      <c r="U10" s="154" t="n"/>
      <c r="V10" s="154" t="n"/>
      <c r="W10" s="154" t="n"/>
      <c r="X10" s="154" t="n"/>
      <c r="Y10" s="154" t="n"/>
      <c r="Z10" s="154" t="n"/>
      <c r="AA10" s="154" t="n"/>
      <c r="AB10" s="154" t="n"/>
      <c r="AC10" s="154" t="n"/>
      <c r="AD10" s="154" t="n"/>
      <c r="AE10" s="154" t="n"/>
      <c r="AF10" s="154" t="n"/>
      <c r="AG10" s="154" t="n"/>
      <c r="AH10" s="154" t="n"/>
      <c r="AI10" s="154" t="n"/>
      <c r="AJ10" s="154" t="n"/>
      <c r="AK10" s="154" t="n"/>
      <c r="AL10" s="154" t="n"/>
      <c r="AM10" s="154" t="n"/>
      <c r="AN10" s="154" t="n"/>
      <c r="AO10" s="149">
        <f>COUNTIF(D10:AN10,"●")</f>
        <v/>
      </c>
      <c r="AP10" s="149">
        <f>COUNTIF(D10:AN10,"○")</f>
        <v/>
      </c>
    </row>
    <row r="11" ht="15" customHeight="1" s="80">
      <c r="A11" s="152" t="n"/>
      <c r="B11" s="146" t="inlineStr">
        <is>
          <t>C02-03</t>
        </is>
      </c>
      <c r="C11" s="153">
        <f>IFERROR(INDEX(ケイパビリティマップ!$E:$E,MATCH(B11,ケイパビリティマップ!$A:$A,0)),"（IDなし）")</f>
        <v/>
      </c>
      <c r="D11" s="154" t="inlineStr">
        <is>
          <t>●</t>
        </is>
      </c>
      <c r="E11" s="154" t="inlineStr">
        <is>
          <t>●</t>
        </is>
      </c>
      <c r="F11" s="154" t="inlineStr">
        <is>
          <t>○</t>
        </is>
      </c>
      <c r="G11" s="154" t="n"/>
      <c r="H11" s="154" t="n"/>
      <c r="I11" s="154" t="n"/>
      <c r="J11" s="154" t="n"/>
      <c r="K11" s="154" t="n"/>
      <c r="L11" s="154" t="n"/>
      <c r="M11" s="154" t="n"/>
      <c r="N11" s="154" t="n"/>
      <c r="O11" s="154" t="n"/>
      <c r="P11" s="154" t="n"/>
      <c r="Q11" s="154" t="n"/>
      <c r="R11" s="154" t="n"/>
      <c r="S11" s="154" t="n"/>
      <c r="T11" s="154" t="n"/>
      <c r="U11" s="154" t="n"/>
      <c r="V11" s="154" t="n"/>
      <c r="W11" s="154" t="n"/>
      <c r="X11" s="154" t="n"/>
      <c r="Y11" s="154" t="n"/>
      <c r="Z11" s="154" t="n"/>
      <c r="AA11" s="154" t="n"/>
      <c r="AB11" s="154" t="n"/>
      <c r="AC11" s="154" t="n"/>
      <c r="AD11" s="154" t="n"/>
      <c r="AE11" s="154" t="n"/>
      <c r="AF11" s="154" t="n"/>
      <c r="AG11" s="154" t="n"/>
      <c r="AH11" s="154" t="n"/>
      <c r="AI11" s="154" t="n"/>
      <c r="AJ11" s="154" t="n"/>
      <c r="AK11" s="154" t="n"/>
      <c r="AL11" s="154" t="n"/>
      <c r="AM11" s="154" t="n"/>
      <c r="AN11" s="154" t="n"/>
      <c r="AO11" s="149">
        <f>COUNTIF(D11:AN11,"●")</f>
        <v/>
      </c>
      <c r="AP11" s="149">
        <f>COUNTIF(D11:AN11,"○")</f>
        <v/>
      </c>
    </row>
    <row r="12" ht="15" customHeight="1" s="80">
      <c r="A12" s="152" t="n"/>
      <c r="B12" s="146" t="inlineStr">
        <is>
          <t>C02-04</t>
        </is>
      </c>
      <c r="C12" s="153">
        <f>IFERROR(INDEX(ケイパビリティマップ!$E:$E,MATCH(B12,ケイパビリティマップ!$A:$A,0)),"（IDなし）")</f>
        <v/>
      </c>
      <c r="D12" s="154" t="inlineStr">
        <is>
          <t>●</t>
        </is>
      </c>
      <c r="E12" s="154" t="n"/>
      <c r="F12" s="154" t="inlineStr">
        <is>
          <t>○</t>
        </is>
      </c>
      <c r="G12" s="154" t="n"/>
      <c r="H12" s="154" t="n"/>
      <c r="I12" s="154" t="n"/>
      <c r="J12" s="154" t="n"/>
      <c r="K12" s="154" t="n"/>
      <c r="L12" s="154" t="n"/>
      <c r="M12" s="154" t="n"/>
      <c r="N12" s="154" t="n"/>
      <c r="O12" s="154" t="n"/>
      <c r="P12" s="154" t="n"/>
      <c r="Q12" s="154" t="n"/>
      <c r="R12" s="154" t="n"/>
      <c r="S12" s="154" t="n"/>
      <c r="T12" s="154" t="n"/>
      <c r="U12" s="154" t="n"/>
      <c r="V12" s="154" t="n"/>
      <c r="W12" s="154" t="n"/>
      <c r="X12" s="154" t="n"/>
      <c r="Y12" s="154" t="n"/>
      <c r="Z12" s="154" t="n"/>
      <c r="AA12" s="154" t="n"/>
      <c r="AB12" s="154" t="n"/>
      <c r="AC12" s="154" t="n"/>
      <c r="AD12" s="154" t="n"/>
      <c r="AE12" s="154" t="n"/>
      <c r="AF12" s="154" t="n"/>
      <c r="AG12" s="154" t="n"/>
      <c r="AH12" s="154" t="n"/>
      <c r="AI12" s="154" t="n"/>
      <c r="AJ12" s="154" t="n"/>
      <c r="AK12" s="154" t="n"/>
      <c r="AL12" s="154" t="n"/>
      <c r="AM12" s="154" t="n"/>
      <c r="AN12" s="154" t="n"/>
      <c r="AO12" s="149">
        <f>COUNTIF(D12:AN12,"●")</f>
        <v/>
      </c>
      <c r="AP12" s="149">
        <f>COUNTIF(D12:AN12,"○")</f>
        <v/>
      </c>
    </row>
    <row r="13" ht="15" customHeight="1" s="80">
      <c r="A13" s="152" t="n"/>
      <c r="B13" s="146" t="inlineStr">
        <is>
          <t>C02-05</t>
        </is>
      </c>
      <c r="C13" s="153">
        <f>IFERROR(INDEX(ケイパビリティマップ!$E:$E,MATCH(B13,ケイパビリティマップ!$A:$A,0)),"（IDなし）")</f>
        <v/>
      </c>
      <c r="D13" s="154" t="inlineStr">
        <is>
          <t>●</t>
        </is>
      </c>
      <c r="E13" s="154" t="n"/>
      <c r="F13" s="154" t="inlineStr">
        <is>
          <t>●</t>
        </is>
      </c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  <c r="V13" s="154" t="n"/>
      <c r="W13" s="154" t="n"/>
      <c r="X13" s="154" t="n"/>
      <c r="Y13" s="154" t="n"/>
      <c r="Z13" s="154" t="n"/>
      <c r="AA13" s="154" t="n"/>
      <c r="AB13" s="154" t="n"/>
      <c r="AC13" s="154" t="n"/>
      <c r="AD13" s="154" t="n"/>
      <c r="AE13" s="154" t="n"/>
      <c r="AF13" s="154" t="n"/>
      <c r="AG13" s="154" t="n"/>
      <c r="AH13" s="154" t="n"/>
      <c r="AI13" s="154" t="n"/>
      <c r="AJ13" s="154" t="n"/>
      <c r="AK13" s="154" t="n"/>
      <c r="AL13" s="154" t="n"/>
      <c r="AM13" s="154" t="n"/>
      <c r="AN13" s="154" t="n"/>
      <c r="AO13" s="149">
        <f>COUNTIF(D13:AN13,"●")</f>
        <v/>
      </c>
      <c r="AP13" s="149">
        <f>COUNTIF(D13:AN13,"○")</f>
        <v/>
      </c>
    </row>
    <row r="14" ht="15" customHeight="1" s="80">
      <c r="A14" s="152" t="inlineStr">
        <is>
          <t>C03 非臨床・臨床薬理</t>
        </is>
      </c>
      <c r="B14" s="146" t="inlineStr">
        <is>
          <t>C03-01</t>
        </is>
      </c>
      <c r="C14" s="153">
        <f>IFERROR(INDEX(ケイパビリティマップ!$E:$E,MATCH(B14,ケイパビリティマップ!$A:$A,0)),"（IDなし）")</f>
        <v/>
      </c>
      <c r="D14" s="154" t="inlineStr">
        <is>
          <t>○</t>
        </is>
      </c>
      <c r="E14" s="154" t="n"/>
      <c r="F14" s="154" t="n"/>
      <c r="G14" s="154" t="inlineStr">
        <is>
          <t>●</t>
        </is>
      </c>
      <c r="H14" s="154" t="n"/>
      <c r="I14" s="154" t="n"/>
      <c r="J14" s="154" t="n"/>
      <c r="K14" s="154" t="n"/>
      <c r="L14" s="154" t="n"/>
      <c r="M14" s="154" t="n"/>
      <c r="N14" s="154" t="n"/>
      <c r="O14" s="154" t="n"/>
      <c r="P14" s="154" t="n"/>
      <c r="Q14" s="154" t="n"/>
      <c r="R14" s="154" t="n"/>
      <c r="S14" s="154" t="n"/>
      <c r="T14" s="154" t="n"/>
      <c r="U14" s="154" t="n"/>
      <c r="V14" s="154" t="n"/>
      <c r="W14" s="154" t="n"/>
      <c r="X14" s="154" t="n"/>
      <c r="Y14" s="154" t="n"/>
      <c r="Z14" s="154" t="n"/>
      <c r="AA14" s="154" t="n"/>
      <c r="AB14" s="154" t="n"/>
      <c r="AC14" s="154" t="n"/>
      <c r="AD14" s="154" t="n"/>
      <c r="AE14" s="154" t="n"/>
      <c r="AF14" s="154" t="n"/>
      <c r="AG14" s="154" t="n"/>
      <c r="AH14" s="154" t="n"/>
      <c r="AI14" s="154" t="n"/>
      <c r="AJ14" s="154" t="n"/>
      <c r="AK14" s="154" t="n"/>
      <c r="AL14" s="154" t="n"/>
      <c r="AM14" s="154" t="n"/>
      <c r="AN14" s="154" t="n"/>
      <c r="AO14" s="149">
        <f>COUNTIF(D14:AN14,"●")</f>
        <v/>
      </c>
      <c r="AP14" s="149">
        <f>COUNTIF(D14:AN14,"○")</f>
        <v/>
      </c>
    </row>
    <row r="15" ht="15" customHeight="1" s="80">
      <c r="A15" s="152" t="n"/>
      <c r="B15" s="146" t="inlineStr">
        <is>
          <t>C03-02</t>
        </is>
      </c>
      <c r="C15" s="153">
        <f>IFERROR(INDEX(ケイパビリティマップ!$E:$E,MATCH(B15,ケイパビリティマップ!$A:$A,0)),"（IDなし）")</f>
        <v/>
      </c>
      <c r="D15" s="154" t="n"/>
      <c r="E15" s="154" t="n"/>
      <c r="F15" s="154" t="n"/>
      <c r="G15" s="154" t="inlineStr">
        <is>
          <t>●</t>
        </is>
      </c>
      <c r="H15" s="154" t="n"/>
      <c r="I15" s="154" t="n"/>
      <c r="J15" s="154" t="n"/>
      <c r="K15" s="154" t="n"/>
      <c r="L15" s="154" t="n"/>
      <c r="M15" s="154" t="n"/>
      <c r="N15" s="154" t="n"/>
      <c r="O15" s="154" t="n"/>
      <c r="P15" s="154" t="n"/>
      <c r="Q15" s="154" t="n"/>
      <c r="R15" s="154" t="n"/>
      <c r="S15" s="154" t="n"/>
      <c r="T15" s="154" t="n"/>
      <c r="U15" s="154" t="n"/>
      <c r="V15" s="154" t="n"/>
      <c r="W15" s="154" t="n"/>
      <c r="X15" s="154" t="n"/>
      <c r="Y15" s="154" t="n"/>
      <c r="Z15" s="154" t="n"/>
      <c r="AA15" s="154" t="n"/>
      <c r="AB15" s="154" t="n"/>
      <c r="AC15" s="154" t="n"/>
      <c r="AD15" s="154" t="n"/>
      <c r="AE15" s="154" t="n"/>
      <c r="AF15" s="154" t="n"/>
      <c r="AG15" s="154" t="n"/>
      <c r="AH15" s="154" t="n"/>
      <c r="AI15" s="154" t="inlineStr">
        <is>
          <t>○</t>
        </is>
      </c>
      <c r="AJ15" s="154" t="n"/>
      <c r="AK15" s="154" t="n"/>
      <c r="AL15" s="154" t="n"/>
      <c r="AM15" s="154" t="n"/>
      <c r="AN15" s="154" t="n"/>
      <c r="AO15" s="149">
        <f>COUNTIF(D15:AN15,"●")</f>
        <v/>
      </c>
      <c r="AP15" s="149">
        <f>COUNTIF(D15:AN15,"○")</f>
        <v/>
      </c>
    </row>
    <row r="16" ht="15" customHeight="1" s="80">
      <c r="A16" s="152" t="n"/>
      <c r="B16" s="146" t="inlineStr">
        <is>
          <t>C03-03</t>
        </is>
      </c>
      <c r="C16" s="153">
        <f>IFERROR(INDEX(ケイパビリティマップ!$E:$E,MATCH(B16,ケイパビリティマップ!$A:$A,0)),"（IDなし）")</f>
        <v/>
      </c>
      <c r="D16" s="154" t="n"/>
      <c r="E16" s="154" t="n"/>
      <c r="F16" s="154" t="n"/>
      <c r="G16" s="154" t="n"/>
      <c r="H16" s="154" t="n"/>
      <c r="I16" s="154" t="n"/>
      <c r="J16" s="154" t="n"/>
      <c r="K16" s="154" t="n"/>
      <c r="L16" s="154" t="n"/>
      <c r="M16" s="154" t="n"/>
      <c r="N16" s="154" t="n"/>
      <c r="O16" s="154" t="n"/>
      <c r="P16" s="154" t="n"/>
      <c r="Q16" s="154" t="n"/>
      <c r="R16" s="154" t="n"/>
      <c r="S16" s="154" t="n"/>
      <c r="T16" s="154" t="n"/>
      <c r="U16" s="154" t="n"/>
      <c r="V16" s="154" t="n"/>
      <c r="W16" s="154" t="n"/>
      <c r="X16" s="154" t="n"/>
      <c r="Y16" s="154" t="inlineStr">
        <is>
          <t>●</t>
        </is>
      </c>
      <c r="Z16" s="154" t="n"/>
      <c r="AA16" s="154" t="n"/>
      <c r="AB16" s="154" t="n"/>
      <c r="AC16" s="154" t="n"/>
      <c r="AD16" s="154" t="n"/>
      <c r="AE16" s="154" t="n"/>
      <c r="AF16" s="154" t="n"/>
      <c r="AG16" s="154" t="n"/>
      <c r="AH16" s="154" t="n"/>
      <c r="AI16" s="154" t="n"/>
      <c r="AJ16" s="154" t="n"/>
      <c r="AK16" s="154" t="n"/>
      <c r="AL16" s="154" t="n"/>
      <c r="AM16" s="154" t="n"/>
      <c r="AN16" s="154" t="n"/>
      <c r="AO16" s="149">
        <f>COUNTIF(D16:AN16,"●")</f>
        <v/>
      </c>
      <c r="AP16" s="149">
        <f>COUNTIF(D16:AN16,"○")</f>
        <v/>
      </c>
    </row>
    <row r="17" ht="15" customHeight="1" s="80">
      <c r="A17" s="152" t="n"/>
      <c r="B17" s="146" t="inlineStr">
        <is>
          <t>C03-04</t>
        </is>
      </c>
      <c r="C17" s="153">
        <f>IFERROR(INDEX(ケイパビリティマップ!$E:$E,MATCH(B17,ケイパビリティマップ!$A:$A,0)),"（IDなし）")</f>
        <v/>
      </c>
      <c r="D17" s="154" t="n"/>
      <c r="E17" s="154" t="n"/>
      <c r="F17" s="154" t="n"/>
      <c r="G17" s="154" t="n"/>
      <c r="H17" s="154" t="inlineStr">
        <is>
          <t>●</t>
        </is>
      </c>
      <c r="I17" s="154" t="n"/>
      <c r="J17" s="154" t="n"/>
      <c r="K17" s="154" t="n"/>
      <c r="L17" s="154" t="n"/>
      <c r="M17" s="154" t="inlineStr">
        <is>
          <t>○</t>
        </is>
      </c>
      <c r="N17" s="154" t="n"/>
      <c r="O17" s="154" t="n"/>
      <c r="P17" s="154" t="n"/>
      <c r="Q17" s="154" t="n"/>
      <c r="R17" s="154" t="n"/>
      <c r="S17" s="154" t="n"/>
      <c r="T17" s="154" t="n"/>
      <c r="U17" s="154" t="n"/>
      <c r="V17" s="154" t="n"/>
      <c r="W17" s="154" t="n"/>
      <c r="X17" s="154" t="n"/>
      <c r="Y17" s="154" t="n"/>
      <c r="Z17" s="154" t="n"/>
      <c r="AA17" s="154" t="n"/>
      <c r="AB17" s="154" t="n"/>
      <c r="AC17" s="154" t="n"/>
      <c r="AD17" s="154" t="n"/>
      <c r="AE17" s="154" t="n"/>
      <c r="AF17" s="154" t="n"/>
      <c r="AG17" s="154" t="n"/>
      <c r="AH17" s="154" t="n"/>
      <c r="AI17" s="154" t="n"/>
      <c r="AJ17" s="154" t="n"/>
      <c r="AK17" s="154" t="n"/>
      <c r="AL17" s="154" t="n"/>
      <c r="AM17" s="154" t="n"/>
      <c r="AN17" s="154" t="n"/>
      <c r="AO17" s="149">
        <f>COUNTIF(D17:AN17,"●")</f>
        <v/>
      </c>
      <c r="AP17" s="149">
        <f>COUNTIF(D17:AN17,"○")</f>
        <v/>
      </c>
    </row>
    <row r="18" ht="15" customHeight="1" s="80">
      <c r="A18" s="152" t="inlineStr">
        <is>
          <t>C04 CMC開発</t>
        </is>
      </c>
      <c r="B18" s="146" t="inlineStr">
        <is>
          <t>C04-01</t>
        </is>
      </c>
      <c r="C18" s="153">
        <f>IFERROR(INDEX(ケイパビリティマップ!$E:$E,MATCH(B18,ケイパビリティマップ!$A:$A,0)),"（IDなし）")</f>
        <v/>
      </c>
      <c r="D18" s="154" t="inlineStr">
        <is>
          <t>●</t>
        </is>
      </c>
      <c r="E18" s="154" t="inlineStr">
        <is>
          <t>○</t>
        </is>
      </c>
      <c r="F18" s="154" t="n"/>
      <c r="G18" s="154" t="n"/>
      <c r="H18" s="154" t="n"/>
      <c r="I18" s="154" t="n"/>
      <c r="J18" s="154" t="n"/>
      <c r="K18" s="154" t="n"/>
      <c r="L18" s="154" t="n"/>
      <c r="M18" s="154" t="n"/>
      <c r="N18" s="154" t="n"/>
      <c r="O18" s="154" t="n"/>
      <c r="P18" s="154" t="n"/>
      <c r="Q18" s="154" t="n"/>
      <c r="R18" s="154" t="n"/>
      <c r="S18" s="154" t="n"/>
      <c r="T18" s="154" t="n"/>
      <c r="U18" s="154" t="n"/>
      <c r="V18" s="154" t="n"/>
      <c r="W18" s="154" t="n"/>
      <c r="X18" s="154" t="n"/>
      <c r="Y18" s="154" t="inlineStr">
        <is>
          <t>○</t>
        </is>
      </c>
      <c r="Z18" s="154" t="n"/>
      <c r="AA18" s="154" t="n"/>
      <c r="AB18" s="154" t="n"/>
      <c r="AC18" s="154" t="n"/>
      <c r="AD18" s="154" t="n"/>
      <c r="AE18" s="154" t="n"/>
      <c r="AF18" s="154" t="n"/>
      <c r="AG18" s="154" t="n"/>
      <c r="AH18" s="154" t="n"/>
      <c r="AI18" s="154" t="n"/>
      <c r="AJ18" s="154" t="n"/>
      <c r="AK18" s="154" t="n"/>
      <c r="AL18" s="154" t="n"/>
      <c r="AM18" s="154" t="n"/>
      <c r="AN18" s="154" t="n"/>
      <c r="AO18" s="149">
        <f>COUNTIF(D18:AN18,"●")</f>
        <v/>
      </c>
      <c r="AP18" s="149">
        <f>COUNTIF(D18:AN18,"○")</f>
        <v/>
      </c>
    </row>
    <row r="19" ht="15" customHeight="1" s="80">
      <c r="A19" s="152" t="n"/>
      <c r="B19" s="146" t="inlineStr">
        <is>
          <t>C04-02</t>
        </is>
      </c>
      <c r="C19" s="153">
        <f>IFERROR(INDEX(ケイパビリティマップ!$E:$E,MATCH(B19,ケイパビリティマップ!$A:$A,0)),"（IDなし）")</f>
        <v/>
      </c>
      <c r="D19" s="154" t="inlineStr">
        <is>
          <t>●</t>
        </is>
      </c>
      <c r="E19" s="154" t="n"/>
      <c r="F19" s="154" t="n"/>
      <c r="G19" s="154" t="n"/>
      <c r="H19" s="154" t="n"/>
      <c r="I19" s="154" t="n"/>
      <c r="J19" s="154" t="n"/>
      <c r="K19" s="154" t="n"/>
      <c r="L19" s="154" t="n"/>
      <c r="M19" s="154" t="n"/>
      <c r="N19" s="154" t="n"/>
      <c r="O19" s="154" t="n"/>
      <c r="P19" s="154" t="n"/>
      <c r="Q19" s="154" t="n"/>
      <c r="R19" s="154" t="n"/>
      <c r="S19" s="154" t="n"/>
      <c r="T19" s="154" t="inlineStr">
        <is>
          <t>○</t>
        </is>
      </c>
      <c r="U19" s="154" t="n"/>
      <c r="V19" s="154" t="n"/>
      <c r="W19" s="154" t="n"/>
      <c r="X19" s="154" t="n"/>
      <c r="Y19" s="154" t="n"/>
      <c r="Z19" s="154" t="n"/>
      <c r="AA19" s="154" t="n"/>
      <c r="AB19" s="154" t="n"/>
      <c r="AC19" s="154" t="n"/>
      <c r="AD19" s="154" t="n"/>
      <c r="AE19" s="154" t="n"/>
      <c r="AF19" s="154" t="n"/>
      <c r="AG19" s="154" t="n"/>
      <c r="AH19" s="154" t="n"/>
      <c r="AI19" s="154" t="n"/>
      <c r="AJ19" s="154" t="n"/>
      <c r="AK19" s="154" t="inlineStr">
        <is>
          <t>○</t>
        </is>
      </c>
      <c r="AL19" s="154" t="n"/>
      <c r="AM19" s="154" t="n"/>
      <c r="AN19" s="154" t="n"/>
      <c r="AO19" s="149">
        <f>COUNTIF(D19:AN19,"●")</f>
        <v/>
      </c>
      <c r="AP19" s="149">
        <f>COUNTIF(D19:AN19,"○")</f>
        <v/>
      </c>
    </row>
    <row r="20" ht="15" customHeight="1" s="80">
      <c r="A20" s="152" t="n"/>
      <c r="B20" s="146" t="inlineStr">
        <is>
          <t>C04-03</t>
        </is>
      </c>
      <c r="C20" s="153">
        <f>IFERROR(INDEX(ケイパビリティマップ!$E:$E,MATCH(B20,ケイパビリティマップ!$A:$A,0)),"（IDなし）")</f>
        <v/>
      </c>
      <c r="D20" s="154" t="inlineStr">
        <is>
          <t>●</t>
        </is>
      </c>
      <c r="E20" s="154" t="n"/>
      <c r="F20" s="154" t="n"/>
      <c r="G20" s="154" t="n"/>
      <c r="H20" s="154" t="n"/>
      <c r="I20" s="154" t="n"/>
      <c r="J20" s="154" t="n"/>
      <c r="K20" s="154" t="n"/>
      <c r="L20" s="154" t="n"/>
      <c r="M20" s="154" t="n"/>
      <c r="N20" s="154" t="n"/>
      <c r="O20" s="154" t="n"/>
      <c r="P20" s="154" t="n"/>
      <c r="Q20" s="154" t="n"/>
      <c r="R20" s="154" t="n"/>
      <c r="S20" s="154" t="n"/>
      <c r="T20" s="154" t="n"/>
      <c r="U20" s="154" t="n"/>
      <c r="V20" s="154" t="n"/>
      <c r="W20" s="154" t="inlineStr">
        <is>
          <t>○</t>
        </is>
      </c>
      <c r="X20" s="154" t="n"/>
      <c r="Y20" s="154" t="n"/>
      <c r="Z20" s="154" t="n"/>
      <c r="AA20" s="154" t="n"/>
      <c r="AB20" s="154" t="n"/>
      <c r="AC20" s="154" t="n"/>
      <c r="AD20" s="154" t="n"/>
      <c r="AE20" s="154" t="n"/>
      <c r="AF20" s="154" t="n"/>
      <c r="AG20" s="154" t="n"/>
      <c r="AH20" s="154" t="n"/>
      <c r="AI20" s="154" t="n"/>
      <c r="AJ20" s="154" t="n"/>
      <c r="AK20" s="154" t="n"/>
      <c r="AL20" s="154" t="n"/>
      <c r="AM20" s="154" t="n"/>
      <c r="AN20" s="154" t="n"/>
      <c r="AO20" s="149">
        <f>COUNTIF(D20:AN20,"●")</f>
        <v/>
      </c>
      <c r="AP20" s="149">
        <f>COUNTIF(D20:AN20,"○")</f>
        <v/>
      </c>
    </row>
    <row r="21" ht="15" customHeight="1" s="80">
      <c r="A21" s="152" t="n"/>
      <c r="B21" s="146" t="inlineStr">
        <is>
          <t>C04-04</t>
        </is>
      </c>
      <c r="C21" s="153">
        <f>IFERROR(INDEX(ケイパビリティマップ!$E:$E,MATCH(B21,ケイパビリティマップ!$A:$A,0)),"（IDなし）")</f>
        <v/>
      </c>
      <c r="D21" s="154" t="inlineStr">
        <is>
          <t>●</t>
        </is>
      </c>
      <c r="E21" s="154" t="n"/>
      <c r="F21" s="154" t="n"/>
      <c r="G21" s="154" t="n"/>
      <c r="H21" s="154" t="n"/>
      <c r="I21" s="154" t="n"/>
      <c r="J21" s="154" t="n"/>
      <c r="K21" s="154" t="n"/>
      <c r="L21" s="154" t="n"/>
      <c r="M21" s="154" t="n"/>
      <c r="N21" s="154" t="n"/>
      <c r="O21" s="154" t="n"/>
      <c r="P21" s="154" t="n"/>
      <c r="Q21" s="154" t="n"/>
      <c r="R21" s="154" t="n"/>
      <c r="S21" s="154" t="n"/>
      <c r="T21" s="154" t="n"/>
      <c r="U21" s="154" t="n"/>
      <c r="V21" s="154" t="n"/>
      <c r="W21" s="154" t="n"/>
      <c r="X21" s="154" t="n"/>
      <c r="Y21" s="154" t="inlineStr">
        <is>
          <t>●</t>
        </is>
      </c>
      <c r="Z21" s="154" t="n"/>
      <c r="AA21" s="154" t="n"/>
      <c r="AB21" s="154" t="n"/>
      <c r="AC21" s="154" t="n"/>
      <c r="AD21" s="154" t="n"/>
      <c r="AE21" s="154" t="n"/>
      <c r="AF21" s="154" t="n"/>
      <c r="AG21" s="154" t="n"/>
      <c r="AH21" s="154" t="n"/>
      <c r="AI21" s="154" t="n"/>
      <c r="AJ21" s="154" t="n"/>
      <c r="AK21" s="154" t="n"/>
      <c r="AL21" s="154" t="n"/>
      <c r="AM21" s="154" t="n"/>
      <c r="AN21" s="154" t="n"/>
      <c r="AO21" s="149">
        <f>COUNTIF(D21:AN21,"●")</f>
        <v/>
      </c>
      <c r="AP21" s="149">
        <f>COUNTIF(D21:AN21,"○")</f>
        <v/>
      </c>
    </row>
    <row r="22" ht="15" customHeight="1" s="80">
      <c r="A22" s="152" t="n"/>
      <c r="B22" s="146" t="inlineStr">
        <is>
          <t>C04-05</t>
        </is>
      </c>
      <c r="C22" s="153">
        <f>IFERROR(INDEX(ケイパビリティマップ!$E:$E,MATCH(B22,ケイパビリティマップ!$A:$A,0)),"（IDなし）")</f>
        <v/>
      </c>
      <c r="D22" s="154" t="n"/>
      <c r="E22" s="154" t="n"/>
      <c r="F22" s="154" t="n"/>
      <c r="G22" s="154" t="n"/>
      <c r="H22" s="154" t="n"/>
      <c r="I22" s="154" t="n"/>
      <c r="J22" s="154" t="n"/>
      <c r="K22" s="154" t="n"/>
      <c r="L22" s="154" t="n"/>
      <c r="M22" s="154" t="n"/>
      <c r="N22" s="154" t="n"/>
      <c r="O22" s="154" t="n"/>
      <c r="P22" s="154" t="n"/>
      <c r="Q22" s="154" t="n"/>
      <c r="R22" s="154" t="n"/>
      <c r="S22" s="154" t="inlineStr">
        <is>
          <t>●</t>
        </is>
      </c>
      <c r="T22" s="154" t="n"/>
      <c r="U22" s="154" t="n"/>
      <c r="V22" s="154" t="n"/>
      <c r="W22" s="154" t="n"/>
      <c r="X22" s="154" t="n"/>
      <c r="Y22" s="154" t="n"/>
      <c r="Z22" s="154" t="n"/>
      <c r="AA22" s="154" t="n"/>
      <c r="AB22" s="154" t="n"/>
      <c r="AC22" s="154" t="n"/>
      <c r="AD22" s="154" t="n"/>
      <c r="AE22" s="154" t="n"/>
      <c r="AF22" s="154" t="n"/>
      <c r="AG22" s="154" t="n"/>
      <c r="AH22" s="154" t="n"/>
      <c r="AI22" s="154" t="inlineStr">
        <is>
          <t>○</t>
        </is>
      </c>
      <c r="AJ22" s="154" t="n"/>
      <c r="AK22" s="154" t="n"/>
      <c r="AL22" s="154" t="n"/>
      <c r="AM22" s="154" t="n"/>
      <c r="AN22" s="154" t="n"/>
      <c r="AO22" s="149">
        <f>COUNTIF(D22:AN22,"●")</f>
        <v/>
      </c>
      <c r="AP22" s="149">
        <f>COUNTIF(D22:AN22,"○")</f>
        <v/>
      </c>
    </row>
    <row r="23" ht="15" customHeight="1" s="80">
      <c r="A23" s="152" t="inlineStr">
        <is>
          <t>C05 臨床開発</t>
        </is>
      </c>
      <c r="B23" s="146" t="inlineStr">
        <is>
          <t>C05-01</t>
        </is>
      </c>
      <c r="C23" s="153">
        <f>IFERROR(INDEX(ケイパビリティマップ!$E:$E,MATCH(B23,ケイパビリティマップ!$A:$A,0)),"（IDなし）")</f>
        <v/>
      </c>
      <c r="D23" s="154" t="n"/>
      <c r="E23" s="154" t="n"/>
      <c r="F23" s="154" t="n"/>
      <c r="G23" s="154" t="n"/>
      <c r="H23" s="154" t="n"/>
      <c r="I23" s="154" t="inlineStr">
        <is>
          <t>○</t>
        </is>
      </c>
      <c r="J23" s="154" t="n"/>
      <c r="K23" s="154" t="n"/>
      <c r="L23" s="154" t="n"/>
      <c r="M23" s="154" t="inlineStr">
        <is>
          <t>○</t>
        </is>
      </c>
      <c r="N23" s="154" t="n"/>
      <c r="O23" s="154" t="n"/>
      <c r="P23" s="154" t="n"/>
      <c r="Q23" s="154" t="n"/>
      <c r="R23" s="154" t="n"/>
      <c r="S23" s="154" t="n"/>
      <c r="T23" s="154" t="n"/>
      <c r="U23" s="154" t="n"/>
      <c r="V23" s="154" t="n"/>
      <c r="W23" s="154" t="n"/>
      <c r="X23" s="154" t="n"/>
      <c r="Y23" s="154" t="n"/>
      <c r="Z23" s="154" t="n"/>
      <c r="AA23" s="154" t="n"/>
      <c r="AB23" s="154" t="n"/>
      <c r="AC23" s="154" t="n"/>
      <c r="AD23" s="154" t="n"/>
      <c r="AE23" s="154" t="n"/>
      <c r="AF23" s="154" t="n"/>
      <c r="AG23" s="154" t="n"/>
      <c r="AH23" s="154" t="n"/>
      <c r="AI23" s="154" t="inlineStr">
        <is>
          <t>●</t>
        </is>
      </c>
      <c r="AJ23" s="154" t="n"/>
      <c r="AK23" s="154" t="n"/>
      <c r="AL23" s="154" t="n"/>
      <c r="AM23" s="154" t="n"/>
      <c r="AN23" s="154" t="n"/>
      <c r="AO23" s="149">
        <f>COUNTIF(D23:AN23,"●")</f>
        <v/>
      </c>
      <c r="AP23" s="149">
        <f>COUNTIF(D23:AN23,"○")</f>
        <v/>
      </c>
    </row>
    <row r="24" ht="15" customHeight="1" s="80">
      <c r="A24" s="152" t="n"/>
      <c r="B24" s="146" t="inlineStr">
        <is>
          <t>C05-02</t>
        </is>
      </c>
      <c r="C24" s="153">
        <f>IFERROR(INDEX(ケイパビリティマップ!$E:$E,MATCH(B24,ケイパビリティマップ!$A:$A,0)),"（IDなし）")</f>
        <v/>
      </c>
      <c r="D24" s="154" t="n"/>
      <c r="E24" s="154" t="n"/>
      <c r="F24" s="154" t="n"/>
      <c r="G24" s="154" t="n"/>
      <c r="H24" s="154" t="n"/>
      <c r="I24" s="154" t="n"/>
      <c r="J24" s="154" t="n"/>
      <c r="K24" s="154" t="n"/>
      <c r="L24" s="154" t="n"/>
      <c r="M24" s="154" t="n"/>
      <c r="N24" s="154" t="inlineStr">
        <is>
          <t>●</t>
        </is>
      </c>
      <c r="O24" s="154" t="n"/>
      <c r="P24" s="154" t="n"/>
      <c r="Q24" s="154" t="n"/>
      <c r="R24" s="154" t="n"/>
      <c r="S24" s="154" t="n"/>
      <c r="T24" s="154" t="n"/>
      <c r="U24" s="154" t="n"/>
      <c r="V24" s="154" t="n"/>
      <c r="W24" s="154" t="n"/>
      <c r="X24" s="154" t="n"/>
      <c r="Y24" s="154" t="n"/>
      <c r="Z24" s="154" t="n"/>
      <c r="AA24" s="154" t="n"/>
      <c r="AB24" s="154" t="n"/>
      <c r="AC24" s="154" t="n"/>
      <c r="AD24" s="154" t="n"/>
      <c r="AE24" s="154" t="n"/>
      <c r="AF24" s="154" t="n"/>
      <c r="AG24" s="154" t="n"/>
      <c r="AH24" s="154" t="n"/>
      <c r="AI24" s="154" t="n"/>
      <c r="AJ24" s="154" t="n"/>
      <c r="AK24" s="154" t="inlineStr">
        <is>
          <t>○</t>
        </is>
      </c>
      <c r="AL24" s="154" t="n"/>
      <c r="AM24" s="154" t="n"/>
      <c r="AN24" s="154" t="n"/>
      <c r="AO24" s="149">
        <f>COUNTIF(D24:AN24,"●")</f>
        <v/>
      </c>
      <c r="AP24" s="149">
        <f>COUNTIF(D24:AN24,"○")</f>
        <v/>
      </c>
    </row>
    <row r="25" ht="15" customHeight="1" s="80">
      <c r="A25" s="152" t="n"/>
      <c r="B25" s="146" t="inlineStr">
        <is>
          <t>C05-03</t>
        </is>
      </c>
      <c r="C25" s="153">
        <f>IFERROR(INDEX(ケイパビリティマップ!$E:$E,MATCH(B25,ケイパビリティマップ!$A:$A,0)),"（IDなし）")</f>
        <v/>
      </c>
      <c r="D25" s="154" t="n"/>
      <c r="E25" s="154" t="n"/>
      <c r="F25" s="154" t="n"/>
      <c r="G25" s="154" t="n"/>
      <c r="H25" s="154" t="n"/>
      <c r="I25" s="154" t="n"/>
      <c r="J25" s="154" t="n"/>
      <c r="K25" s="154" t="n"/>
      <c r="L25" s="154" t="n"/>
      <c r="M25" s="154" t="n"/>
      <c r="N25" s="154" t="inlineStr">
        <is>
          <t>●</t>
        </is>
      </c>
      <c r="O25" s="154" t="n"/>
      <c r="P25" s="154" t="n"/>
      <c r="Q25" s="154" t="n"/>
      <c r="R25" s="154" t="n"/>
      <c r="S25" s="154" t="n"/>
      <c r="T25" s="154" t="n"/>
      <c r="U25" s="154" t="n"/>
      <c r="V25" s="154" t="n"/>
      <c r="W25" s="154" t="n"/>
      <c r="X25" s="154" t="n"/>
      <c r="Y25" s="154" t="n"/>
      <c r="Z25" s="154" t="n"/>
      <c r="AA25" s="154" t="n"/>
      <c r="AB25" s="154" t="n"/>
      <c r="AC25" s="154" t="inlineStr">
        <is>
          <t>○</t>
        </is>
      </c>
      <c r="AD25" s="154" t="n"/>
      <c r="AE25" s="154" t="n"/>
      <c r="AF25" s="154" t="n"/>
      <c r="AG25" s="154" t="n"/>
      <c r="AH25" s="154" t="n"/>
      <c r="AI25" s="154" t="n"/>
      <c r="AJ25" s="154" t="n"/>
      <c r="AK25" s="154" t="n"/>
      <c r="AL25" s="154" t="n"/>
      <c r="AM25" s="154" t="n"/>
      <c r="AN25" s="154" t="n"/>
      <c r="AO25" s="149">
        <f>COUNTIF(D25:AN25,"●")</f>
        <v/>
      </c>
      <c r="AP25" s="149">
        <f>COUNTIF(D25:AN25,"○")</f>
        <v/>
      </c>
    </row>
    <row r="26" ht="15" customHeight="1" s="80">
      <c r="A26" s="152" t="n"/>
      <c r="B26" s="146" t="inlineStr">
        <is>
          <t>C05-04</t>
        </is>
      </c>
      <c r="C26" s="153">
        <f>IFERROR(INDEX(ケイパビリティマップ!$E:$E,MATCH(B26,ケイパビリティマップ!$A:$A,0)),"（IDなし）")</f>
        <v/>
      </c>
      <c r="D26" s="154" t="n"/>
      <c r="E26" s="154" t="n"/>
      <c r="F26" s="154" t="n"/>
      <c r="G26" s="154" t="n"/>
      <c r="H26" s="154" t="n"/>
      <c r="I26" s="154" t="inlineStr">
        <is>
          <t>●</t>
        </is>
      </c>
      <c r="J26" s="154" t="inlineStr">
        <is>
          <t>○</t>
        </is>
      </c>
      <c r="K26" s="154" t="n"/>
      <c r="L26" s="154" t="inlineStr">
        <is>
          <t>●</t>
        </is>
      </c>
      <c r="M26" s="154" t="n"/>
      <c r="N26" s="154" t="n"/>
      <c r="O26" s="154" t="n"/>
      <c r="P26" s="154" t="n"/>
      <c r="Q26" s="154" t="n"/>
      <c r="R26" s="154" t="n"/>
      <c r="S26" s="154" t="n"/>
      <c r="T26" s="154" t="n"/>
      <c r="U26" s="154" t="n"/>
      <c r="V26" s="154" t="n"/>
      <c r="W26" s="154" t="n"/>
      <c r="X26" s="154" t="n"/>
      <c r="Y26" s="154" t="n"/>
      <c r="Z26" s="154" t="n"/>
      <c r="AA26" s="154" t="n"/>
      <c r="AB26" s="154" t="n"/>
      <c r="AC26" s="154" t="n"/>
      <c r="AD26" s="154" t="n"/>
      <c r="AE26" s="154" t="n"/>
      <c r="AF26" s="154" t="n"/>
      <c r="AG26" s="154" t="n"/>
      <c r="AH26" s="154" t="n"/>
      <c r="AI26" s="154" t="n"/>
      <c r="AJ26" s="154" t="n"/>
      <c r="AK26" s="154" t="n"/>
      <c r="AL26" s="154" t="n"/>
      <c r="AM26" s="154" t="n"/>
      <c r="AN26" s="154" t="n"/>
      <c r="AO26" s="149">
        <f>COUNTIF(D26:AN26,"●")</f>
        <v/>
      </c>
      <c r="AP26" s="149">
        <f>COUNTIF(D26:AN26,"○")</f>
        <v/>
      </c>
    </row>
    <row r="27" ht="15" customHeight="1" s="80">
      <c r="A27" s="152" t="n"/>
      <c r="B27" s="146" t="inlineStr">
        <is>
          <t>C05-05</t>
        </is>
      </c>
      <c r="C27" s="153">
        <f>IFERROR(INDEX(ケイパビリティマップ!$E:$E,MATCH(B27,ケイパビリティマップ!$A:$A,0)),"（IDなし）")</f>
        <v/>
      </c>
      <c r="D27" s="154" t="n"/>
      <c r="E27" s="154" t="n"/>
      <c r="F27" s="154" t="n"/>
      <c r="G27" s="154" t="n"/>
      <c r="H27" s="154" t="n"/>
      <c r="I27" s="154" t="n"/>
      <c r="J27" s="154" t="inlineStr">
        <is>
          <t>●</t>
        </is>
      </c>
      <c r="K27" s="154" t="n"/>
      <c r="L27" s="154" t="n"/>
      <c r="M27" s="154" t="inlineStr">
        <is>
          <t>●</t>
        </is>
      </c>
      <c r="N27" s="154" t="n"/>
      <c r="O27" s="154" t="n"/>
      <c r="P27" s="154" t="n"/>
      <c r="Q27" s="154" t="n"/>
      <c r="R27" s="154" t="n"/>
      <c r="S27" s="154" t="n"/>
      <c r="T27" s="154" t="n"/>
      <c r="U27" s="154" t="n"/>
      <c r="V27" s="154" t="n"/>
      <c r="W27" s="154" t="n"/>
      <c r="X27" s="154" t="n"/>
      <c r="Y27" s="154" t="n"/>
      <c r="Z27" s="154" t="n"/>
      <c r="AA27" s="154" t="n"/>
      <c r="AB27" s="154" t="n"/>
      <c r="AC27" s="154" t="n"/>
      <c r="AD27" s="154" t="n"/>
      <c r="AE27" s="154" t="n"/>
      <c r="AF27" s="154" t="n"/>
      <c r="AG27" s="154" t="n"/>
      <c r="AH27" s="154" t="n"/>
      <c r="AI27" s="154" t="n"/>
      <c r="AJ27" s="154" t="n"/>
      <c r="AK27" s="154" t="n"/>
      <c r="AL27" s="154" t="n"/>
      <c r="AM27" s="154" t="n"/>
      <c r="AN27" s="154" t="n"/>
      <c r="AO27" s="149">
        <f>COUNTIF(D27:AN27,"●")</f>
        <v/>
      </c>
      <c r="AP27" s="149">
        <f>COUNTIF(D27:AN27,"○")</f>
        <v/>
      </c>
    </row>
    <row r="28" ht="15" customHeight="1" s="80">
      <c r="A28" s="152" t="n"/>
      <c r="B28" s="146" t="inlineStr">
        <is>
          <t>C05-06</t>
        </is>
      </c>
      <c r="C28" s="153">
        <f>IFERROR(INDEX(ケイパビリティマップ!$E:$E,MATCH(B28,ケイパビリティマップ!$A:$A,0)),"（IDなし）")</f>
        <v/>
      </c>
      <c r="D28" s="154" t="n"/>
      <c r="E28" s="154" t="n"/>
      <c r="F28" s="154" t="n"/>
      <c r="G28" s="154" t="n"/>
      <c r="H28" s="154" t="n"/>
      <c r="I28" s="154" t="n"/>
      <c r="J28" s="154" t="n"/>
      <c r="K28" s="154" t="inlineStr">
        <is>
          <t>●</t>
        </is>
      </c>
      <c r="L28" s="154" t="n"/>
      <c r="M28" s="154" t="n"/>
      <c r="N28" s="154" t="n"/>
      <c r="O28" s="154" t="n"/>
      <c r="P28" s="154" t="n"/>
      <c r="Q28" s="154" t="n"/>
      <c r="R28" s="154" t="n"/>
      <c r="S28" s="154" t="n"/>
      <c r="T28" s="154" t="n"/>
      <c r="U28" s="154" t="n"/>
      <c r="V28" s="154" t="inlineStr">
        <is>
          <t>○</t>
        </is>
      </c>
      <c r="W28" s="154" t="n"/>
      <c r="X28" s="154" t="n"/>
      <c r="Y28" s="154" t="n"/>
      <c r="Z28" s="154" t="n"/>
      <c r="AA28" s="154" t="n"/>
      <c r="AB28" s="154" t="n"/>
      <c r="AC28" s="154" t="n"/>
      <c r="AD28" s="154" t="n"/>
      <c r="AE28" s="154" t="n"/>
      <c r="AF28" s="154" t="n"/>
      <c r="AG28" s="154" t="inlineStr">
        <is>
          <t>○</t>
        </is>
      </c>
      <c r="AH28" s="154" t="n"/>
      <c r="AI28" s="154" t="n"/>
      <c r="AJ28" s="154" t="n"/>
      <c r="AK28" s="154" t="n"/>
      <c r="AL28" s="154" t="n"/>
      <c r="AM28" s="154" t="n"/>
      <c r="AN28" s="154" t="n"/>
      <c r="AO28" s="149">
        <f>COUNTIF(D28:AN28,"●")</f>
        <v/>
      </c>
      <c r="AP28" s="149">
        <f>COUNTIF(D28:AN28,"○")</f>
        <v/>
      </c>
    </row>
    <row r="29" ht="15" customHeight="1" s="80">
      <c r="A29" s="152" t="inlineStr">
        <is>
          <t>C06 薬事</t>
        </is>
      </c>
      <c r="B29" s="146" t="inlineStr">
        <is>
          <t>C06-01</t>
        </is>
      </c>
      <c r="C29" s="153">
        <f>IFERROR(INDEX(ケイパビリティマップ!$E:$E,MATCH(B29,ケイパビリティマップ!$A:$A,0)),"（IDなし）")</f>
        <v/>
      </c>
      <c r="D29" s="154" t="n"/>
      <c r="E29" s="154" t="n"/>
      <c r="F29" s="154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inlineStr">
        <is>
          <t>●</t>
        </is>
      </c>
      <c r="P29" s="154" t="n"/>
      <c r="Q29" s="154" t="n"/>
      <c r="R29" s="154" t="n"/>
      <c r="S29" s="154" t="n"/>
      <c r="T29" s="154" t="n"/>
      <c r="U29" s="154" t="n"/>
      <c r="V29" s="154" t="n"/>
      <c r="W29" s="154" t="n"/>
      <c r="X29" s="154" t="n"/>
      <c r="Y29" s="154" t="n"/>
      <c r="Z29" s="154" t="n"/>
      <c r="AA29" s="154" t="n"/>
      <c r="AB29" s="154" t="n"/>
      <c r="AC29" s="154" t="n"/>
      <c r="AD29" s="154" t="n"/>
      <c r="AE29" s="154" t="n"/>
      <c r="AF29" s="154" t="n"/>
      <c r="AG29" s="154" t="n"/>
      <c r="AH29" s="154" t="n"/>
      <c r="AI29" s="154" t="n"/>
      <c r="AJ29" s="154" t="n"/>
      <c r="AK29" s="154" t="n"/>
      <c r="AL29" s="154" t="n"/>
      <c r="AM29" s="154" t="n"/>
      <c r="AN29" s="154" t="n"/>
      <c r="AO29" s="149">
        <f>COUNTIF(D29:AN29,"●")</f>
        <v/>
      </c>
      <c r="AP29" s="149">
        <f>COUNTIF(D29:AN29,"○")</f>
        <v/>
      </c>
    </row>
    <row r="30" ht="15" customHeight="1" s="80">
      <c r="A30" s="152" t="n"/>
      <c r="B30" s="146" t="inlineStr">
        <is>
          <t>C06-02</t>
        </is>
      </c>
      <c r="C30" s="153">
        <f>IFERROR(INDEX(ケイパビリティマップ!$E:$E,MATCH(B30,ケイパビリティマップ!$A:$A,0)),"（IDなし）")</f>
        <v/>
      </c>
      <c r="D30" s="154" t="n"/>
      <c r="E30" s="154" t="n"/>
      <c r="F30" s="154" t="n"/>
      <c r="G30" s="154" t="n"/>
      <c r="H30" s="154" t="n"/>
      <c r="I30" s="154" t="n"/>
      <c r="J30" s="154" t="n"/>
      <c r="K30" s="154" t="n"/>
      <c r="L30" s="154" t="n"/>
      <c r="M30" s="154" t="n"/>
      <c r="N30" s="154" t="n"/>
      <c r="O30" s="154" t="inlineStr">
        <is>
          <t>○</t>
        </is>
      </c>
      <c r="P30" s="154" t="inlineStr">
        <is>
          <t>●</t>
        </is>
      </c>
      <c r="Q30" s="154" t="n"/>
      <c r="R30" s="154" t="n"/>
      <c r="S30" s="154" t="n"/>
      <c r="T30" s="154" t="n"/>
      <c r="U30" s="154" t="n"/>
      <c r="V30" s="154" t="n"/>
      <c r="W30" s="154" t="n"/>
      <c r="X30" s="154" t="n"/>
      <c r="Y30" s="154" t="n"/>
      <c r="Z30" s="154" t="n"/>
      <c r="AA30" s="154" t="n"/>
      <c r="AB30" s="154" t="n"/>
      <c r="AC30" s="154" t="n"/>
      <c r="AD30" s="154" t="n"/>
      <c r="AE30" s="154" t="n"/>
      <c r="AF30" s="154" t="n"/>
      <c r="AG30" s="154" t="n"/>
      <c r="AH30" s="154" t="n"/>
      <c r="AI30" s="154" t="inlineStr">
        <is>
          <t>●</t>
        </is>
      </c>
      <c r="AJ30" s="154" t="n"/>
      <c r="AK30" s="154" t="n"/>
      <c r="AL30" s="154" t="n"/>
      <c r="AM30" s="154" t="n"/>
      <c r="AN30" s="154" t="n"/>
      <c r="AO30" s="149">
        <f>COUNTIF(D30:AN30,"●")</f>
        <v/>
      </c>
      <c r="AP30" s="149">
        <f>COUNTIF(D30:AN30,"○")</f>
        <v/>
      </c>
    </row>
    <row r="31" ht="15" customHeight="1" s="80">
      <c r="A31" s="152" t="n"/>
      <c r="B31" s="146" t="inlineStr">
        <is>
          <t>C06-03</t>
        </is>
      </c>
      <c r="C31" s="153">
        <f>IFERROR(INDEX(ケイパビリティマップ!$E:$E,MATCH(B31,ケイパビリティマップ!$A:$A,0)),"（IDなし）")</f>
        <v/>
      </c>
      <c r="D31" s="154" t="n"/>
      <c r="E31" s="154" t="n"/>
      <c r="F31" s="154" t="n"/>
      <c r="G31" s="154" t="n"/>
      <c r="H31" s="154" t="n"/>
      <c r="I31" s="154" t="n"/>
      <c r="J31" s="154" t="n"/>
      <c r="K31" s="154" t="n"/>
      <c r="L31" s="154" t="n"/>
      <c r="M31" s="154" t="n"/>
      <c r="N31" s="154" t="n"/>
      <c r="O31" s="154" t="inlineStr">
        <is>
          <t>●</t>
        </is>
      </c>
      <c r="P31" s="154" t="n"/>
      <c r="Q31" s="154" t="n"/>
      <c r="R31" s="154" t="n"/>
      <c r="S31" s="154" t="n"/>
      <c r="T31" s="154" t="n"/>
      <c r="U31" s="154" t="n"/>
      <c r="V31" s="154" t="inlineStr">
        <is>
          <t>●</t>
        </is>
      </c>
      <c r="W31" s="154" t="n"/>
      <c r="X31" s="154" t="n"/>
      <c r="Y31" s="154" t="n"/>
      <c r="Z31" s="154" t="n"/>
      <c r="AA31" s="154" t="n"/>
      <c r="AB31" s="154" t="n"/>
      <c r="AC31" s="154" t="n"/>
      <c r="AD31" s="154" t="n"/>
      <c r="AE31" s="154" t="n"/>
      <c r="AF31" s="154" t="n"/>
      <c r="AG31" s="154" t="n"/>
      <c r="AH31" s="154" t="n"/>
      <c r="AI31" s="154" t="inlineStr">
        <is>
          <t>○</t>
        </is>
      </c>
      <c r="AJ31" s="154" t="n"/>
      <c r="AK31" s="154" t="n"/>
      <c r="AL31" s="154" t="n"/>
      <c r="AM31" s="154" t="n"/>
      <c r="AN31" s="154" t="n"/>
      <c r="AO31" s="149">
        <f>COUNTIF(D31:AN31,"●")</f>
        <v/>
      </c>
      <c r="AP31" s="149">
        <f>COUNTIF(D31:AN31,"○")</f>
        <v/>
      </c>
    </row>
    <row r="32" ht="15" customHeight="1" s="80">
      <c r="A32" s="152" t="n"/>
      <c r="B32" s="146" t="inlineStr">
        <is>
          <t>C06-04</t>
        </is>
      </c>
      <c r="C32" s="153">
        <f>IFERROR(INDEX(ケイパビリティマップ!$E:$E,MATCH(B32,ケイパビリティマップ!$A:$A,0)),"（IDなし）")</f>
        <v/>
      </c>
      <c r="D32" s="154" t="n"/>
      <c r="E32" s="154" t="n"/>
      <c r="F32" s="154" t="n"/>
      <c r="G32" s="154" t="n"/>
      <c r="H32" s="154" t="n"/>
      <c r="I32" s="154" t="n"/>
      <c r="J32" s="154" t="n"/>
      <c r="K32" s="154" t="n"/>
      <c r="L32" s="154" t="n"/>
      <c r="M32" s="154" t="n"/>
      <c r="N32" s="154" t="n"/>
      <c r="O32" s="154" t="inlineStr">
        <is>
          <t>●</t>
        </is>
      </c>
      <c r="P32" s="154" t="n"/>
      <c r="Q32" s="154" t="inlineStr">
        <is>
          <t>○</t>
        </is>
      </c>
      <c r="R32" s="154" t="n"/>
      <c r="S32" s="154" t="n"/>
      <c r="T32" s="154" t="n"/>
      <c r="U32" s="154" t="n"/>
      <c r="V32" s="154" t="n"/>
      <c r="W32" s="154" t="n"/>
      <c r="X32" s="154" t="n"/>
      <c r="Y32" s="154" t="n"/>
      <c r="Z32" s="154" t="n"/>
      <c r="AA32" s="154" t="n"/>
      <c r="AB32" s="154" t="n"/>
      <c r="AC32" s="154" t="n"/>
      <c r="AD32" s="154" t="n"/>
      <c r="AE32" s="154" t="n"/>
      <c r="AF32" s="154" t="n"/>
      <c r="AG32" s="154" t="n"/>
      <c r="AH32" s="154" t="n"/>
      <c r="AI32" s="154" t="n"/>
      <c r="AJ32" s="154" t="n"/>
      <c r="AK32" s="154" t="n"/>
      <c r="AL32" s="154" t="n"/>
      <c r="AM32" s="154" t="n"/>
      <c r="AN32" s="154" t="n"/>
      <c r="AO32" s="149">
        <f>COUNTIF(D32:AN32,"●")</f>
        <v/>
      </c>
      <c r="AP32" s="149">
        <f>COUNTIF(D32:AN32,"○")</f>
        <v/>
      </c>
    </row>
    <row r="33" ht="15" customHeight="1" s="80">
      <c r="A33" s="152" t="inlineStr">
        <is>
          <t>C07 製造</t>
        </is>
      </c>
      <c r="B33" s="146" t="inlineStr">
        <is>
          <t>C07-01</t>
        </is>
      </c>
      <c r="C33" s="153">
        <f>IFERROR(INDEX(ケイパビリティマップ!$E:$E,MATCH(B33,ケイパビリティマップ!$A:$A,0)),"（IDなし）")</f>
        <v/>
      </c>
      <c r="D33" s="154" t="n"/>
      <c r="E33" s="154" t="n"/>
      <c r="F33" s="154" t="n"/>
      <c r="G33" s="154" t="n"/>
      <c r="H33" s="154" t="n"/>
      <c r="I33" s="154" t="n"/>
      <c r="J33" s="154" t="n"/>
      <c r="K33" s="154" t="n"/>
      <c r="L33" s="154" t="n"/>
      <c r="M33" s="154" t="n"/>
      <c r="N33" s="154" t="n"/>
      <c r="O33" s="154" t="n"/>
      <c r="P33" s="154" t="n"/>
      <c r="Q33" s="154" t="n"/>
      <c r="R33" s="154" t="n"/>
      <c r="S33" s="154" t="inlineStr">
        <is>
          <t>●</t>
        </is>
      </c>
      <c r="T33" s="154" t="n"/>
      <c r="U33" s="154" t="n"/>
      <c r="V33" s="154" t="n"/>
      <c r="W33" s="154" t="n"/>
      <c r="X33" s="154" t="n"/>
      <c r="Y33" s="154" t="n"/>
      <c r="Z33" s="154" t="inlineStr">
        <is>
          <t>○</t>
        </is>
      </c>
      <c r="AA33" s="154" t="n"/>
      <c r="AB33" s="154" t="n"/>
      <c r="AC33" s="154" t="n"/>
      <c r="AD33" s="154" t="n"/>
      <c r="AE33" s="154" t="n"/>
      <c r="AF33" s="154" t="n"/>
      <c r="AG33" s="154" t="inlineStr">
        <is>
          <t>●</t>
        </is>
      </c>
      <c r="AH33" s="154" t="n"/>
      <c r="AI33" s="154" t="n"/>
      <c r="AJ33" s="154" t="n"/>
      <c r="AK33" s="154" t="n"/>
      <c r="AL33" s="154" t="n"/>
      <c r="AM33" s="154" t="n"/>
      <c r="AN33" s="154" t="n"/>
      <c r="AO33" s="149">
        <f>COUNTIF(D33:AN33,"●")</f>
        <v/>
      </c>
      <c r="AP33" s="149">
        <f>COUNTIF(D33:AN33,"○")</f>
        <v/>
      </c>
    </row>
    <row r="34" ht="15" customHeight="1" s="80">
      <c r="A34" s="152" t="n"/>
      <c r="B34" s="146" t="inlineStr">
        <is>
          <t>C07-02</t>
        </is>
      </c>
      <c r="C34" s="153">
        <f>IFERROR(INDEX(ケイパビリティマップ!$E:$E,MATCH(B34,ケイパビリティマップ!$A:$A,0)),"（IDなし）")</f>
        <v/>
      </c>
      <c r="D34" s="154" t="n"/>
      <c r="E34" s="154" t="n"/>
      <c r="F34" s="154" t="n"/>
      <c r="G34" s="154" t="n"/>
      <c r="H34" s="154" t="n"/>
      <c r="I34" s="154" t="n"/>
      <c r="J34" s="154" t="n"/>
      <c r="K34" s="154" t="n"/>
      <c r="L34" s="154" t="n"/>
      <c r="M34" s="154" t="n"/>
      <c r="N34" s="154" t="n"/>
      <c r="O34" s="154" t="n"/>
      <c r="P34" s="154" t="n"/>
      <c r="Q34" s="154" t="n"/>
      <c r="R34" s="154" t="n"/>
      <c r="S34" s="154" t="inlineStr">
        <is>
          <t>●</t>
        </is>
      </c>
      <c r="T34" s="154" t="inlineStr">
        <is>
          <t>●</t>
        </is>
      </c>
      <c r="U34" s="154" t="n"/>
      <c r="V34" s="154" t="n"/>
      <c r="W34" s="154" t="n"/>
      <c r="X34" s="154" t="n"/>
      <c r="Y34" s="154" t="n"/>
      <c r="Z34" s="154" t="n"/>
      <c r="AA34" s="154" t="n"/>
      <c r="AB34" s="154" t="n"/>
      <c r="AC34" s="154" t="n"/>
      <c r="AD34" s="154" t="n"/>
      <c r="AE34" s="154" t="n"/>
      <c r="AF34" s="154" t="n"/>
      <c r="AG34" s="154" t="n"/>
      <c r="AH34" s="154" t="n"/>
      <c r="AI34" s="154" t="n"/>
      <c r="AJ34" s="154" t="n"/>
      <c r="AK34" s="154" t="n"/>
      <c r="AL34" s="154" t="n"/>
      <c r="AM34" s="154" t="n"/>
      <c r="AN34" s="154" t="n"/>
      <c r="AO34" s="149">
        <f>COUNTIF(D34:AN34,"●")</f>
        <v/>
      </c>
      <c r="AP34" s="149">
        <f>COUNTIF(D34:AN34,"○")</f>
        <v/>
      </c>
    </row>
    <row r="35" ht="15" customHeight="1" s="80">
      <c r="A35" s="152" t="n"/>
      <c r="B35" s="146" t="inlineStr">
        <is>
          <t>C07-03</t>
        </is>
      </c>
      <c r="C35" s="153">
        <f>IFERROR(INDEX(ケイパビリティマップ!$E:$E,MATCH(B35,ケイパビリティマップ!$A:$A,0)),"（IDなし）")</f>
        <v/>
      </c>
      <c r="D35" s="154" t="n"/>
      <c r="E35" s="154" t="n"/>
      <c r="F35" s="154" t="n"/>
      <c r="G35" s="154" t="n"/>
      <c r="H35" s="154" t="n"/>
      <c r="I35" s="154" t="n"/>
      <c r="J35" s="154" t="n"/>
      <c r="K35" s="154" t="n"/>
      <c r="L35" s="154" t="n"/>
      <c r="M35" s="154" t="n"/>
      <c r="N35" s="154" t="n"/>
      <c r="O35" s="154" t="n"/>
      <c r="P35" s="154" t="n"/>
      <c r="Q35" s="154" t="n"/>
      <c r="R35" s="154" t="n"/>
      <c r="S35" s="154" t="inlineStr">
        <is>
          <t>●</t>
        </is>
      </c>
      <c r="T35" s="154" t="inlineStr">
        <is>
          <t>○</t>
        </is>
      </c>
      <c r="U35" s="154" t="inlineStr">
        <is>
          <t>○</t>
        </is>
      </c>
      <c r="V35" s="154" t="n"/>
      <c r="W35" s="154" t="n"/>
      <c r="X35" s="154" t="n"/>
      <c r="Y35" s="154" t="n"/>
      <c r="Z35" s="154" t="n"/>
      <c r="AA35" s="154" t="n"/>
      <c r="AB35" s="154" t="inlineStr">
        <is>
          <t>○</t>
        </is>
      </c>
      <c r="AC35" s="154" t="n"/>
      <c r="AD35" s="154" t="n"/>
      <c r="AE35" s="154" t="n"/>
      <c r="AF35" s="154" t="n"/>
      <c r="AG35" s="154" t="n"/>
      <c r="AH35" s="154" t="n"/>
      <c r="AI35" s="154" t="n"/>
      <c r="AJ35" s="154" t="n"/>
      <c r="AK35" s="154" t="n"/>
      <c r="AL35" s="154" t="n"/>
      <c r="AM35" s="154" t="n"/>
      <c r="AN35" s="154" t="n"/>
      <c r="AO35" s="149">
        <f>COUNTIF(D35:AN35,"●")</f>
        <v/>
      </c>
      <c r="AP35" s="149">
        <f>COUNTIF(D35:AN35,"○")</f>
        <v/>
      </c>
    </row>
    <row r="36" ht="15" customHeight="1" s="80">
      <c r="A36" s="152" t="n"/>
      <c r="B36" s="146" t="inlineStr">
        <is>
          <t>C07-04</t>
        </is>
      </c>
      <c r="C36" s="153">
        <f>IFERROR(INDEX(ケイパビリティマップ!$E:$E,MATCH(B36,ケイパビリティマップ!$A:$A,0)),"（IDなし）")</f>
        <v/>
      </c>
      <c r="D36" s="154" t="n"/>
      <c r="E36" s="154" t="n"/>
      <c r="F36" s="154" t="n"/>
      <c r="G36" s="154" t="n"/>
      <c r="H36" s="154" t="n"/>
      <c r="I36" s="154" t="n"/>
      <c r="J36" s="154" t="n"/>
      <c r="K36" s="154" t="n"/>
      <c r="L36" s="154" t="n"/>
      <c r="M36" s="154" t="n"/>
      <c r="N36" s="154" t="n"/>
      <c r="O36" s="154" t="n"/>
      <c r="P36" s="154" t="n"/>
      <c r="Q36" s="154" t="n"/>
      <c r="R36" s="154" t="n"/>
      <c r="S36" s="154" t="n"/>
      <c r="T36" s="154" t="n"/>
      <c r="U36" s="154" t="inlineStr">
        <is>
          <t>●</t>
        </is>
      </c>
      <c r="V36" s="154" t="n"/>
      <c r="W36" s="154" t="n"/>
      <c r="X36" s="154" t="n"/>
      <c r="Y36" s="154" t="n"/>
      <c r="Z36" s="154" t="n"/>
      <c r="AA36" s="154" t="n"/>
      <c r="AB36" s="154" t="n"/>
      <c r="AC36" s="154" t="n"/>
      <c r="AD36" s="154" t="n"/>
      <c r="AE36" s="154" t="n"/>
      <c r="AF36" s="154" t="n"/>
      <c r="AG36" s="154" t="n"/>
      <c r="AH36" s="154" t="n"/>
      <c r="AI36" s="154" t="n"/>
      <c r="AJ36" s="154" t="n"/>
      <c r="AK36" s="154" t="n"/>
      <c r="AL36" s="154" t="n"/>
      <c r="AM36" s="154" t="n"/>
      <c r="AN36" s="154" t="n"/>
      <c r="AO36" s="149">
        <f>COUNTIF(D36:AN36,"●")</f>
        <v/>
      </c>
      <c r="AP36" s="149">
        <f>COUNTIF(D36:AN36,"○")</f>
        <v/>
      </c>
    </row>
    <row r="37" ht="15" customHeight="1" s="80">
      <c r="A37" s="152" t="inlineStr">
        <is>
          <t>C08 品質</t>
        </is>
      </c>
      <c r="B37" s="146" t="inlineStr">
        <is>
          <t>C08-01</t>
        </is>
      </c>
      <c r="C37" s="153">
        <f>IFERROR(INDEX(ケイパビリティマップ!$E:$E,MATCH(B37,ケイパビリティマップ!$A:$A,0)),"（IDなし）")</f>
        <v/>
      </c>
      <c r="D37" s="154" t="n"/>
      <c r="E37" s="154" t="n"/>
      <c r="F37" s="154" t="n"/>
      <c r="G37" s="154" t="n"/>
      <c r="H37" s="154" t="n"/>
      <c r="I37" s="154" t="n"/>
      <c r="J37" s="154" t="n"/>
      <c r="K37" s="154" t="n"/>
      <c r="L37" s="154" t="n"/>
      <c r="M37" s="154" t="n"/>
      <c r="N37" s="154" t="n"/>
      <c r="O37" s="154" t="n"/>
      <c r="P37" s="154" t="n"/>
      <c r="Q37" s="154" t="n"/>
      <c r="R37" s="154" t="n"/>
      <c r="S37" s="154" t="n"/>
      <c r="T37" s="154" t="n"/>
      <c r="U37" s="154" t="n"/>
      <c r="V37" s="154" t="n"/>
      <c r="W37" s="154" t="n"/>
      <c r="X37" s="154" t="n"/>
      <c r="Y37" s="154" t="inlineStr">
        <is>
          <t>●</t>
        </is>
      </c>
      <c r="Z37" s="154" t="n"/>
      <c r="AA37" s="154" t="n"/>
      <c r="AB37" s="154" t="n"/>
      <c r="AC37" s="154" t="n"/>
      <c r="AD37" s="154" t="n"/>
      <c r="AE37" s="154" t="n"/>
      <c r="AF37" s="154" t="n"/>
      <c r="AG37" s="154" t="n"/>
      <c r="AH37" s="154" t="n"/>
      <c r="AI37" s="154" t="n"/>
      <c r="AJ37" s="154" t="n"/>
      <c r="AK37" s="154" t="n"/>
      <c r="AL37" s="154" t="n"/>
      <c r="AM37" s="154" t="n"/>
      <c r="AN37" s="154" t="n"/>
      <c r="AO37" s="149">
        <f>COUNTIF(D37:AN37,"●")</f>
        <v/>
      </c>
      <c r="AP37" s="149">
        <f>COUNTIF(D37:AN37,"○")</f>
        <v/>
      </c>
    </row>
    <row r="38" ht="15" customHeight="1" s="80">
      <c r="A38" s="152" t="n"/>
      <c r="B38" s="146" t="inlineStr">
        <is>
          <t>C08-02</t>
        </is>
      </c>
      <c r="C38" s="153">
        <f>IFERROR(INDEX(ケイパビリティマップ!$E:$E,MATCH(B38,ケイパビリティマップ!$A:$A,0)),"（IDなし）")</f>
        <v/>
      </c>
      <c r="D38" s="154" t="n"/>
      <c r="E38" s="154" t="n"/>
      <c r="F38" s="154" t="n"/>
      <c r="G38" s="154" t="n"/>
      <c r="H38" s="154" t="n"/>
      <c r="I38" s="154" t="n"/>
      <c r="J38" s="154" t="n"/>
      <c r="K38" s="154" t="n"/>
      <c r="L38" s="154" t="n"/>
      <c r="M38" s="154" t="n"/>
      <c r="N38" s="154" t="n"/>
      <c r="O38" s="154" t="n"/>
      <c r="P38" s="154" t="n"/>
      <c r="Q38" s="154" t="n"/>
      <c r="R38" s="154" t="n"/>
      <c r="S38" s="154" t="inlineStr">
        <is>
          <t>○</t>
        </is>
      </c>
      <c r="T38" s="154" t="n"/>
      <c r="U38" s="154" t="n"/>
      <c r="V38" s="154" t="n"/>
      <c r="W38" s="154" t="inlineStr">
        <is>
          <t>●</t>
        </is>
      </c>
      <c r="X38" s="154" t="n"/>
      <c r="Y38" s="154" t="inlineStr">
        <is>
          <t>○</t>
        </is>
      </c>
      <c r="Z38" s="154" t="n"/>
      <c r="AA38" s="154" t="n"/>
      <c r="AB38" s="154" t="n"/>
      <c r="AC38" s="154" t="n"/>
      <c r="AD38" s="154" t="n"/>
      <c r="AE38" s="154" t="n"/>
      <c r="AF38" s="154" t="n"/>
      <c r="AG38" s="154" t="inlineStr">
        <is>
          <t>○</t>
        </is>
      </c>
      <c r="AH38" s="154" t="n"/>
      <c r="AI38" s="154" t="n"/>
      <c r="AJ38" s="154" t="n"/>
      <c r="AK38" s="154" t="n"/>
      <c r="AL38" s="154" t="n"/>
      <c r="AM38" s="154" t="n"/>
      <c r="AN38" s="154" t="n"/>
      <c r="AO38" s="149">
        <f>COUNTIF(D38:AN38,"●")</f>
        <v/>
      </c>
      <c r="AP38" s="149">
        <f>COUNTIF(D38:AN38,"○")</f>
        <v/>
      </c>
    </row>
    <row r="39" ht="15" customHeight="1" s="80">
      <c r="A39" s="152" t="n"/>
      <c r="B39" s="146" t="inlineStr">
        <is>
          <t>C08-03</t>
        </is>
      </c>
      <c r="C39" s="153">
        <f>IFERROR(INDEX(ケイパビリティマップ!$E:$E,MATCH(B39,ケイパビリティマップ!$A:$A,0)),"（IDなし）")</f>
        <v/>
      </c>
      <c r="D39" s="154" t="n"/>
      <c r="E39" s="154" t="n"/>
      <c r="F39" s="154" t="n"/>
      <c r="G39" s="154" t="n"/>
      <c r="H39" s="154" t="n"/>
      <c r="I39" s="154" t="n"/>
      <c r="J39" s="154" t="n"/>
      <c r="K39" s="154" t="n"/>
      <c r="L39" s="154" t="n"/>
      <c r="M39" s="154" t="n"/>
      <c r="N39" s="154" t="n"/>
      <c r="O39" s="154" t="n"/>
      <c r="P39" s="154" t="n"/>
      <c r="Q39" s="154" t="n"/>
      <c r="R39" s="154" t="n"/>
      <c r="S39" s="154" t="n"/>
      <c r="T39" s="154" t="n"/>
      <c r="U39" s="154" t="n"/>
      <c r="V39" s="154" t="n"/>
      <c r="W39" s="154" t="n"/>
      <c r="X39" s="154" t="inlineStr">
        <is>
          <t>●</t>
        </is>
      </c>
      <c r="Y39" s="154" t="n"/>
      <c r="Z39" s="154" t="n"/>
      <c r="AA39" s="154" t="n"/>
      <c r="AB39" s="154" t="n"/>
      <c r="AC39" s="154" t="n"/>
      <c r="AD39" s="154" t="n"/>
      <c r="AE39" s="154" t="n"/>
      <c r="AF39" s="154" t="n"/>
      <c r="AG39" s="154" t="n"/>
      <c r="AH39" s="154" t="n"/>
      <c r="AI39" s="154" t="inlineStr">
        <is>
          <t>○</t>
        </is>
      </c>
      <c r="AJ39" s="154" t="n"/>
      <c r="AK39" s="154" t="n"/>
      <c r="AL39" s="154" t="n"/>
      <c r="AM39" s="154" t="n"/>
      <c r="AN39" s="154" t="n"/>
      <c r="AO39" s="149">
        <f>COUNTIF(D39:AN39,"●")</f>
        <v/>
      </c>
      <c r="AP39" s="149">
        <f>COUNTIF(D39:AN39,"○")</f>
        <v/>
      </c>
    </row>
    <row r="40" ht="15" customHeight="1" s="80">
      <c r="A40" s="152" t="n"/>
      <c r="B40" s="146" t="inlineStr">
        <is>
          <t>C08-04</t>
        </is>
      </c>
      <c r="C40" s="153">
        <f>IFERROR(INDEX(ケイパビリティマップ!$E:$E,MATCH(B40,ケイパビリティマップ!$A:$A,0)),"（IDなし）")</f>
        <v/>
      </c>
      <c r="D40" s="154" t="n"/>
      <c r="E40" s="154" t="n"/>
      <c r="F40" s="154" t="n"/>
      <c r="G40" s="154" t="n"/>
      <c r="H40" s="154" t="n"/>
      <c r="I40" s="154" t="n"/>
      <c r="J40" s="154" t="n"/>
      <c r="K40" s="154" t="n"/>
      <c r="L40" s="154" t="n"/>
      <c r="M40" s="154" t="n"/>
      <c r="N40" s="154" t="n"/>
      <c r="O40" s="154" t="n"/>
      <c r="P40" s="154" t="n"/>
      <c r="Q40" s="154" t="n"/>
      <c r="R40" s="154" t="n"/>
      <c r="S40" s="154" t="n"/>
      <c r="T40" s="154" t="n"/>
      <c r="U40" s="154" t="n"/>
      <c r="V40" s="154" t="n"/>
      <c r="W40" s="154" t="inlineStr">
        <is>
          <t>●</t>
        </is>
      </c>
      <c r="X40" s="154" t="n"/>
      <c r="Y40" s="154" t="n"/>
      <c r="Z40" s="154" t="n"/>
      <c r="AA40" s="154" t="n"/>
      <c r="AB40" s="154" t="n"/>
      <c r="AC40" s="154" t="n"/>
      <c r="AD40" s="154" t="n"/>
      <c r="AE40" s="154" t="n"/>
      <c r="AF40" s="154" t="n"/>
      <c r="AG40" s="154" t="n"/>
      <c r="AH40" s="154" t="n"/>
      <c r="AI40" s="154" t="inlineStr">
        <is>
          <t>○</t>
        </is>
      </c>
      <c r="AJ40" s="154" t="inlineStr">
        <is>
          <t>○</t>
        </is>
      </c>
      <c r="AK40" s="154" t="n"/>
      <c r="AL40" s="154" t="n"/>
      <c r="AM40" s="154" t="n"/>
      <c r="AN40" s="154" t="n"/>
      <c r="AO40" s="149">
        <f>COUNTIF(D40:AN40,"●")</f>
        <v/>
      </c>
      <c r="AP40" s="149">
        <f>COUNTIF(D40:AN40,"○")</f>
        <v/>
      </c>
    </row>
    <row r="41" ht="15" customHeight="1" s="80">
      <c r="A41" s="152" t="inlineStr">
        <is>
          <t>C09 ファーマコビジランス（安全性）</t>
        </is>
      </c>
      <c r="B41" s="146" t="inlineStr">
        <is>
          <t>C09-01</t>
        </is>
      </c>
      <c r="C41" s="153">
        <f>IFERROR(INDEX(ケイパビリティマップ!$E:$E,MATCH(B41,ケイパビリティマップ!$A:$A,0)),"（IDなし）")</f>
        <v/>
      </c>
      <c r="D41" s="154" t="n"/>
      <c r="E41" s="154" t="n"/>
      <c r="F41" s="154" t="n"/>
      <c r="G41" s="154" t="n"/>
      <c r="H41" s="154" t="n"/>
      <c r="I41" s="154" t="n"/>
      <c r="J41" s="154" t="n"/>
      <c r="K41" s="154" t="n"/>
      <c r="L41" s="154" t="n"/>
      <c r="M41" s="154" t="n"/>
      <c r="N41" s="154" t="n"/>
      <c r="O41" s="154" t="n"/>
      <c r="P41" s="154" t="n"/>
      <c r="Q41" s="154" t="inlineStr">
        <is>
          <t>●</t>
        </is>
      </c>
      <c r="R41" s="154" t="n"/>
      <c r="S41" s="154" t="n"/>
      <c r="T41" s="154" t="n"/>
      <c r="U41" s="154" t="n"/>
      <c r="V41" s="154" t="n"/>
      <c r="W41" s="154" t="n"/>
      <c r="X41" s="154" t="n"/>
      <c r="Y41" s="154" t="n"/>
      <c r="Z41" s="154" t="n"/>
      <c r="AA41" s="154" t="n"/>
      <c r="AB41" s="154" t="n"/>
      <c r="AC41" s="154" t="n"/>
      <c r="AD41" s="154" t="n"/>
      <c r="AE41" s="154" t="n"/>
      <c r="AF41" s="154" t="n"/>
      <c r="AG41" s="154" t="n"/>
      <c r="AH41" s="154" t="n"/>
      <c r="AI41" s="154" t="n"/>
      <c r="AJ41" s="154" t="n"/>
      <c r="AK41" s="154" t="n"/>
      <c r="AL41" s="154" t="n"/>
      <c r="AM41" s="154" t="n"/>
      <c r="AN41" s="154" t="n"/>
      <c r="AO41" s="149">
        <f>COUNTIF(D41:AN41,"●")</f>
        <v/>
      </c>
      <c r="AP41" s="149">
        <f>COUNTIF(D41:AN41,"○")</f>
        <v/>
      </c>
    </row>
    <row r="42" ht="15" customHeight="1" s="80">
      <c r="A42" s="152" t="n"/>
      <c r="B42" s="146" t="inlineStr">
        <is>
          <t>C09-02</t>
        </is>
      </c>
      <c r="C42" s="153">
        <f>IFERROR(INDEX(ケイパビリティマップ!$E:$E,MATCH(B42,ケイパビリティマップ!$A:$A,0)),"（IDなし）")</f>
        <v/>
      </c>
      <c r="D42" s="154" t="n"/>
      <c r="E42" s="154" t="n"/>
      <c r="F42" s="154" t="n"/>
      <c r="G42" s="154" t="n"/>
      <c r="H42" s="154" t="n"/>
      <c r="I42" s="154" t="n"/>
      <c r="J42" s="154" t="n"/>
      <c r="K42" s="154" t="n"/>
      <c r="L42" s="154" t="n"/>
      <c r="M42" s="154" t="n"/>
      <c r="N42" s="154" t="inlineStr">
        <is>
          <t>○</t>
        </is>
      </c>
      <c r="O42" s="154" t="n"/>
      <c r="P42" s="154" t="n"/>
      <c r="Q42" s="154" t="inlineStr">
        <is>
          <t>○</t>
        </is>
      </c>
      <c r="R42" s="154" t="inlineStr">
        <is>
          <t>●</t>
        </is>
      </c>
      <c r="S42" s="154" t="n"/>
      <c r="T42" s="154" t="n"/>
      <c r="U42" s="154" t="n"/>
      <c r="V42" s="154" t="n"/>
      <c r="W42" s="154" t="n"/>
      <c r="X42" s="154" t="n"/>
      <c r="Y42" s="154" t="n"/>
      <c r="Z42" s="154" t="n"/>
      <c r="AA42" s="154" t="n"/>
      <c r="AB42" s="154" t="n"/>
      <c r="AC42" s="154" t="n"/>
      <c r="AD42" s="154" t="n"/>
      <c r="AE42" s="154" t="n"/>
      <c r="AF42" s="154" t="n"/>
      <c r="AG42" s="154" t="n"/>
      <c r="AH42" s="154" t="n"/>
      <c r="AI42" s="154" t="n"/>
      <c r="AJ42" s="154" t="n"/>
      <c r="AK42" s="154" t="n"/>
      <c r="AL42" s="154" t="n"/>
      <c r="AM42" s="154" t="n"/>
      <c r="AN42" s="154" t="n"/>
      <c r="AO42" s="149">
        <f>COUNTIF(D42:AN42,"●")</f>
        <v/>
      </c>
      <c r="AP42" s="149">
        <f>COUNTIF(D42:AN42,"○")</f>
        <v/>
      </c>
    </row>
    <row r="43" ht="15" customHeight="1" s="80">
      <c r="A43" s="152" t="inlineStr">
        <is>
          <t>C10 メディカル・患者エンゲージメント</t>
        </is>
      </c>
      <c r="B43" s="146" t="inlineStr">
        <is>
          <t>C10-01</t>
        </is>
      </c>
      <c r="C43" s="153">
        <f>IFERROR(INDEX(ケイパビリティマップ!$E:$E,MATCH(B43,ケイパビリティマップ!$A:$A,0)),"（IDなし）")</f>
        <v/>
      </c>
      <c r="D43" s="154" t="n"/>
      <c r="E43" s="154" t="n"/>
      <c r="F43" s="154" t="n"/>
      <c r="G43" s="154" t="n"/>
      <c r="H43" s="154" t="n"/>
      <c r="I43" s="154" t="n"/>
      <c r="J43" s="154" t="n"/>
      <c r="K43" s="154" t="n"/>
      <c r="L43" s="154" t="n"/>
      <c r="M43" s="154" t="n"/>
      <c r="N43" s="154" t="n"/>
      <c r="O43" s="154" t="n"/>
      <c r="P43" s="154" t="n"/>
      <c r="Q43" s="154" t="n"/>
      <c r="R43" s="154" t="n"/>
      <c r="S43" s="154" t="n"/>
      <c r="T43" s="154" t="n"/>
      <c r="U43" s="154" t="n"/>
      <c r="V43" s="154" t="n"/>
      <c r="W43" s="154" t="n"/>
      <c r="X43" s="154" t="n"/>
      <c r="Y43" s="154" t="n"/>
      <c r="Z43" s="154" t="n"/>
      <c r="AA43" s="154" t="n"/>
      <c r="AB43" s="154" t="n"/>
      <c r="AC43" s="154" t="inlineStr">
        <is>
          <t>●</t>
        </is>
      </c>
      <c r="AD43" s="154" t="n"/>
      <c r="AE43" s="154" t="n"/>
      <c r="AF43" s="154" t="n"/>
      <c r="AG43" s="154" t="n"/>
      <c r="AH43" s="154" t="n"/>
      <c r="AI43" s="154" t="n"/>
      <c r="AJ43" s="154" t="n"/>
      <c r="AK43" s="154" t="n"/>
      <c r="AL43" s="154" t="n"/>
      <c r="AM43" s="154" t="n"/>
      <c r="AN43" s="154" t="n"/>
      <c r="AO43" s="149">
        <f>COUNTIF(D43:AN43,"●")</f>
        <v/>
      </c>
      <c r="AP43" s="149">
        <f>COUNTIF(D43:AN43,"○")</f>
        <v/>
      </c>
    </row>
    <row r="44" ht="15" customHeight="1" s="80">
      <c r="A44" s="152" t="n"/>
      <c r="B44" s="146" t="inlineStr">
        <is>
          <t>C10-02</t>
        </is>
      </c>
      <c r="C44" s="153">
        <f>IFERROR(INDEX(ケイパビリティマップ!$E:$E,MATCH(B44,ケイパビリティマップ!$A:$A,0)),"（IDなし）")</f>
        <v/>
      </c>
      <c r="D44" s="154" t="n"/>
      <c r="E44" s="154" t="n"/>
      <c r="F44" s="154" t="n"/>
      <c r="G44" s="154" t="n"/>
      <c r="H44" s="154" t="n"/>
      <c r="I44" s="154" t="n"/>
      <c r="J44" s="154" t="n"/>
      <c r="K44" s="154" t="n"/>
      <c r="L44" s="154" t="n"/>
      <c r="M44" s="154" t="n"/>
      <c r="N44" s="154" t="n"/>
      <c r="O44" s="154" t="n"/>
      <c r="P44" s="154" t="n"/>
      <c r="Q44" s="154" t="n"/>
      <c r="R44" s="154" t="n"/>
      <c r="S44" s="154" t="n"/>
      <c r="T44" s="154" t="n"/>
      <c r="U44" s="154" t="n"/>
      <c r="V44" s="154" t="n"/>
      <c r="W44" s="154" t="n"/>
      <c r="X44" s="154" t="n"/>
      <c r="Y44" s="154" t="n"/>
      <c r="Z44" s="154" t="n"/>
      <c r="AA44" s="154" t="n"/>
      <c r="AB44" s="154" t="n"/>
      <c r="AC44" s="154" t="inlineStr">
        <is>
          <t>●</t>
        </is>
      </c>
      <c r="AD44" s="154" t="n"/>
      <c r="AE44" s="154" t="n"/>
      <c r="AF44" s="154" t="inlineStr">
        <is>
          <t>○</t>
        </is>
      </c>
      <c r="AG44" s="154" t="n"/>
      <c r="AH44" s="154" t="n"/>
      <c r="AI44" s="154" t="n"/>
      <c r="AJ44" s="154" t="n"/>
      <c r="AK44" s="154" t="n"/>
      <c r="AL44" s="154" t="n"/>
      <c r="AM44" s="154" t="n"/>
      <c r="AN44" s="154" t="n"/>
      <c r="AO44" s="149">
        <f>COUNTIF(D44:AN44,"●")</f>
        <v/>
      </c>
      <c r="AP44" s="149">
        <f>COUNTIF(D44:AN44,"○")</f>
        <v/>
      </c>
    </row>
    <row r="45" ht="15" customHeight="1" s="80">
      <c r="A45" s="152" t="n"/>
      <c r="B45" s="146" t="inlineStr">
        <is>
          <t>C10-03</t>
        </is>
      </c>
      <c r="C45" s="153">
        <f>IFERROR(INDEX(ケイパビリティマップ!$E:$E,MATCH(B45,ケイパビリティマップ!$A:$A,0)),"（IDなし）")</f>
        <v/>
      </c>
      <c r="D45" s="154" t="n"/>
      <c r="E45" s="154" t="n"/>
      <c r="F45" s="154" t="n"/>
      <c r="G45" s="154" t="n"/>
      <c r="H45" s="154" t="n"/>
      <c r="I45" s="154" t="n"/>
      <c r="J45" s="154" t="n"/>
      <c r="K45" s="154" t="n"/>
      <c r="L45" s="154" t="n"/>
      <c r="M45" s="154" t="n"/>
      <c r="N45" s="154" t="n"/>
      <c r="O45" s="154" t="n"/>
      <c r="P45" s="154" t="n"/>
      <c r="Q45" s="154" t="n"/>
      <c r="R45" s="154" t="n"/>
      <c r="S45" s="154" t="n"/>
      <c r="T45" s="154" t="n"/>
      <c r="U45" s="154" t="n"/>
      <c r="V45" s="154" t="n"/>
      <c r="W45" s="154" t="n"/>
      <c r="X45" s="154" t="n"/>
      <c r="Y45" s="154" t="n"/>
      <c r="Z45" s="154" t="n"/>
      <c r="AA45" s="154" t="n"/>
      <c r="AB45" s="154" t="n"/>
      <c r="AC45" s="154" t="inlineStr">
        <is>
          <t>●</t>
        </is>
      </c>
      <c r="AD45" s="154" t="n"/>
      <c r="AE45" s="154" t="n"/>
      <c r="AF45" s="154" t="inlineStr">
        <is>
          <t>○</t>
        </is>
      </c>
      <c r="AG45" s="154" t="n"/>
      <c r="AH45" s="154" t="inlineStr">
        <is>
          <t>○</t>
        </is>
      </c>
      <c r="AI45" s="154" t="n"/>
      <c r="AJ45" s="154" t="n"/>
      <c r="AK45" s="154" t="n"/>
      <c r="AL45" s="154" t="n"/>
      <c r="AM45" s="154" t="n"/>
      <c r="AN45" s="154" t="n"/>
      <c r="AO45" s="149">
        <f>COUNTIF(D45:AN45,"●")</f>
        <v/>
      </c>
      <c r="AP45" s="149">
        <f>COUNTIF(D45:AN45,"○")</f>
        <v/>
      </c>
    </row>
    <row r="46" ht="15" customHeight="1" s="80">
      <c r="A46" s="152" t="n"/>
      <c r="B46" s="146" t="inlineStr">
        <is>
          <t>C10-04</t>
        </is>
      </c>
      <c r="C46" s="153">
        <f>IFERROR(INDEX(ケイパビリティマップ!$E:$E,MATCH(B46,ケイパビリティマップ!$A:$A,0)),"（IDなし）")</f>
        <v/>
      </c>
      <c r="D46" s="154" t="n"/>
      <c r="E46" s="154" t="n"/>
      <c r="F46" s="154" t="n"/>
      <c r="G46" s="154" t="n"/>
      <c r="H46" s="154" t="n"/>
      <c r="I46" s="154" t="n"/>
      <c r="J46" s="154" t="n"/>
      <c r="K46" s="154" t="n"/>
      <c r="L46" s="154" t="n"/>
      <c r="M46" s="154" t="n"/>
      <c r="N46" s="154" t="n"/>
      <c r="O46" s="154" t="n"/>
      <c r="P46" s="154" t="n"/>
      <c r="Q46" s="154" t="inlineStr">
        <is>
          <t>○</t>
        </is>
      </c>
      <c r="R46" s="154" t="n"/>
      <c r="S46" s="154" t="n"/>
      <c r="T46" s="154" t="n"/>
      <c r="U46" s="154" t="n"/>
      <c r="V46" s="154" t="n"/>
      <c r="W46" s="154" t="n"/>
      <c r="X46" s="154" t="n"/>
      <c r="Y46" s="154" t="n"/>
      <c r="Z46" s="154" t="n"/>
      <c r="AA46" s="154" t="n"/>
      <c r="AB46" s="154" t="n"/>
      <c r="AC46" s="154" t="n"/>
      <c r="AD46" s="154" t="inlineStr">
        <is>
          <t>●</t>
        </is>
      </c>
      <c r="AE46" s="154" t="n"/>
      <c r="AF46" s="154" t="n"/>
      <c r="AG46" s="154" t="n"/>
      <c r="AH46" s="154" t="n"/>
      <c r="AI46" s="154" t="n"/>
      <c r="AJ46" s="154" t="n"/>
      <c r="AK46" s="154" t="n"/>
      <c r="AL46" s="154" t="n"/>
      <c r="AM46" s="154" t="n"/>
      <c r="AN46" s="154" t="n"/>
      <c r="AO46" s="149">
        <f>COUNTIF(D46:AN46,"●")</f>
        <v/>
      </c>
      <c r="AP46" s="149">
        <f>COUNTIF(D46:AN46,"○")</f>
        <v/>
      </c>
    </row>
    <row r="47" ht="15" customHeight="1" s="80">
      <c r="A47" s="152" t="inlineStr">
        <is>
          <t>C11 市場アクセス・商業</t>
        </is>
      </c>
      <c r="B47" s="146" t="inlineStr">
        <is>
          <t>C11-01</t>
        </is>
      </c>
      <c r="C47" s="153">
        <f>IFERROR(INDEX(ケイパビリティマップ!$E:$E,MATCH(B47,ケイパビリティマップ!$A:$A,0)),"（IDなし）")</f>
        <v/>
      </c>
      <c r="D47" s="154" t="n"/>
      <c r="E47" s="154" t="n"/>
      <c r="F47" s="154" t="n"/>
      <c r="G47" s="154" t="n"/>
      <c r="H47" s="154" t="n"/>
      <c r="I47" s="154" t="n"/>
      <c r="J47" s="154" t="n"/>
      <c r="K47" s="154" t="n"/>
      <c r="L47" s="154" t="n"/>
      <c r="M47" s="154" t="n"/>
      <c r="N47" s="154" t="n"/>
      <c r="O47" s="154" t="n"/>
      <c r="P47" s="154" t="n"/>
      <c r="Q47" s="154" t="n"/>
      <c r="R47" s="154" t="n"/>
      <c r="S47" s="154" t="n"/>
      <c r="T47" s="154" t="n"/>
      <c r="U47" s="154" t="n"/>
      <c r="V47" s="154" t="n"/>
      <c r="W47" s="154" t="n"/>
      <c r="X47" s="154" t="n"/>
      <c r="Y47" s="154" t="n"/>
      <c r="Z47" s="154" t="n"/>
      <c r="AA47" s="154" t="n"/>
      <c r="AB47" s="154" t="n"/>
      <c r="AC47" s="154" t="n"/>
      <c r="AD47" s="154" t="n"/>
      <c r="AE47" s="154" t="inlineStr">
        <is>
          <t>●</t>
        </is>
      </c>
      <c r="AF47" s="154" t="n"/>
      <c r="AG47" s="154" t="n"/>
      <c r="AH47" s="154" t="n"/>
      <c r="AI47" s="154" t="n"/>
      <c r="AJ47" s="154" t="n"/>
      <c r="AK47" s="154" t="n"/>
      <c r="AL47" s="154" t="n"/>
      <c r="AM47" s="154" t="inlineStr">
        <is>
          <t>○</t>
        </is>
      </c>
      <c r="AN47" s="154" t="n"/>
      <c r="AO47" s="149">
        <f>COUNTIF(D47:AN47,"●")</f>
        <v/>
      </c>
      <c r="AP47" s="149">
        <f>COUNTIF(D47:AN47,"○")</f>
        <v/>
      </c>
    </row>
    <row r="48" ht="15" customHeight="1" s="80">
      <c r="A48" s="152" t="n"/>
      <c r="B48" s="146" t="inlineStr">
        <is>
          <t>C11-02</t>
        </is>
      </c>
      <c r="C48" s="153">
        <f>IFERROR(INDEX(ケイパビリティマップ!$E:$E,MATCH(B48,ケイパビリティマップ!$A:$A,0)),"（IDなし）")</f>
        <v/>
      </c>
      <c r="D48" s="154" t="n"/>
      <c r="E48" s="154" t="n"/>
      <c r="F48" s="154" t="n"/>
      <c r="G48" s="154" t="n"/>
      <c r="H48" s="154" t="n"/>
      <c r="I48" s="154" t="n"/>
      <c r="J48" s="154" t="n"/>
      <c r="K48" s="154" t="n"/>
      <c r="L48" s="154" t="n"/>
      <c r="M48" s="154" t="n"/>
      <c r="N48" s="154" t="n"/>
      <c r="O48" s="154" t="n"/>
      <c r="P48" s="154" t="n"/>
      <c r="Q48" s="154" t="n"/>
      <c r="R48" s="154" t="n"/>
      <c r="S48" s="154" t="n"/>
      <c r="T48" s="154" t="n"/>
      <c r="U48" s="154" t="n"/>
      <c r="V48" s="154" t="n"/>
      <c r="W48" s="154" t="n"/>
      <c r="X48" s="154" t="n"/>
      <c r="Y48" s="154" t="n"/>
      <c r="Z48" s="154" t="n"/>
      <c r="AA48" s="154" t="n"/>
      <c r="AB48" s="154" t="n"/>
      <c r="AC48" s="154" t="n"/>
      <c r="AD48" s="154" t="n"/>
      <c r="AE48" s="154" t="inlineStr">
        <is>
          <t>●</t>
        </is>
      </c>
      <c r="AF48" s="154" t="n"/>
      <c r="AG48" s="154" t="n"/>
      <c r="AH48" s="154" t="n"/>
      <c r="AI48" s="154" t="n"/>
      <c r="AJ48" s="154" t="n"/>
      <c r="AK48" s="154" t="n"/>
      <c r="AL48" s="154" t="n"/>
      <c r="AM48" s="154" t="n"/>
      <c r="AN48" s="154" t="n"/>
      <c r="AO48" s="149">
        <f>COUNTIF(D48:AN48,"●")</f>
        <v/>
      </c>
      <c r="AP48" s="149">
        <f>COUNTIF(D48:AN48,"○")</f>
        <v/>
      </c>
    </row>
    <row r="49" ht="15" customHeight="1" s="80">
      <c r="A49" s="152" t="n"/>
      <c r="B49" s="146" t="inlineStr">
        <is>
          <t>C11-03</t>
        </is>
      </c>
      <c r="C49" s="153">
        <f>IFERROR(INDEX(ケイパビリティマップ!$E:$E,MATCH(B49,ケイパビリティマップ!$A:$A,0)),"（IDなし）")</f>
        <v/>
      </c>
      <c r="D49" s="154" t="n"/>
      <c r="E49" s="154" t="n"/>
      <c r="F49" s="154" t="n"/>
      <c r="G49" s="154" t="n"/>
      <c r="H49" s="154" t="n"/>
      <c r="I49" s="154" t="n"/>
      <c r="J49" s="154" t="n"/>
      <c r="K49" s="154" t="n"/>
      <c r="L49" s="154" t="n"/>
      <c r="M49" s="154" t="n"/>
      <c r="N49" s="154" t="n"/>
      <c r="O49" s="154" t="n"/>
      <c r="P49" s="154" t="n"/>
      <c r="Q49" s="154" t="n"/>
      <c r="R49" s="154" t="n"/>
      <c r="S49" s="154" t="n"/>
      <c r="T49" s="154" t="n"/>
      <c r="U49" s="154" t="n"/>
      <c r="V49" s="154" t="n"/>
      <c r="W49" s="154" t="n"/>
      <c r="X49" s="154" t="n"/>
      <c r="Y49" s="154" t="n"/>
      <c r="Z49" s="154" t="n"/>
      <c r="AA49" s="154" t="n"/>
      <c r="AB49" s="154" t="n"/>
      <c r="AC49" s="154" t="inlineStr">
        <is>
          <t>○</t>
        </is>
      </c>
      <c r="AD49" s="154" t="n"/>
      <c r="AE49" s="154" t="n"/>
      <c r="AF49" s="154" t="inlineStr">
        <is>
          <t>●</t>
        </is>
      </c>
      <c r="AG49" s="154" t="n"/>
      <c r="AH49" s="154" t="n"/>
      <c r="AI49" s="154" t="n"/>
      <c r="AJ49" s="154" t="n"/>
      <c r="AK49" s="154" t="n"/>
      <c r="AL49" s="154" t="n"/>
      <c r="AM49" s="154" t="n"/>
      <c r="AN49" s="154" t="n"/>
      <c r="AO49" s="149">
        <f>COUNTIF(D49:AN49,"●")</f>
        <v/>
      </c>
      <c r="AP49" s="149">
        <f>COUNTIF(D49:AN49,"○")</f>
        <v/>
      </c>
    </row>
    <row r="50" ht="15" customHeight="1" s="80">
      <c r="A50" s="152" t="n"/>
      <c r="B50" s="146" t="inlineStr">
        <is>
          <t>C11-04</t>
        </is>
      </c>
      <c r="C50" s="153">
        <f>IFERROR(INDEX(ケイパビリティマップ!$E:$E,MATCH(B50,ケイパビリティマップ!$A:$A,0)),"（IDなし）")</f>
        <v/>
      </c>
      <c r="D50" s="154" t="n"/>
      <c r="E50" s="154" t="n"/>
      <c r="F50" s="154" t="n"/>
      <c r="G50" s="154" t="n"/>
      <c r="H50" s="154" t="n"/>
      <c r="I50" s="154" t="n"/>
      <c r="J50" s="154" t="n"/>
      <c r="K50" s="154" t="n"/>
      <c r="L50" s="154" t="n"/>
      <c r="M50" s="154" t="n"/>
      <c r="N50" s="154" t="n"/>
      <c r="O50" s="154" t="n"/>
      <c r="P50" s="154" t="n"/>
      <c r="Q50" s="154" t="n"/>
      <c r="R50" s="154" t="n"/>
      <c r="S50" s="154" t="n"/>
      <c r="T50" s="154" t="n"/>
      <c r="U50" s="154" t="n"/>
      <c r="V50" s="154" t="n"/>
      <c r="W50" s="154" t="n"/>
      <c r="X50" s="154" t="n"/>
      <c r="Y50" s="154" t="n"/>
      <c r="Z50" s="154" t="n"/>
      <c r="AA50" s="154" t="n"/>
      <c r="AB50" s="154" t="n"/>
      <c r="AC50" s="154" t="inlineStr">
        <is>
          <t>●</t>
        </is>
      </c>
      <c r="AD50" s="154" t="n"/>
      <c r="AE50" s="154" t="n"/>
      <c r="AF50" s="154" t="n"/>
      <c r="AG50" s="154" t="n"/>
      <c r="AH50" s="154" t="inlineStr">
        <is>
          <t>○</t>
        </is>
      </c>
      <c r="AI50" s="154" t="n"/>
      <c r="AJ50" s="154" t="n"/>
      <c r="AK50" s="154" t="n"/>
      <c r="AL50" s="154" t="n"/>
      <c r="AM50" s="154" t="n"/>
      <c r="AN50" s="154" t="n"/>
      <c r="AO50" s="149">
        <f>COUNTIF(D50:AN50,"●")</f>
        <v/>
      </c>
      <c r="AP50" s="149">
        <f>COUNTIF(D50:AN50,"○")</f>
        <v/>
      </c>
    </row>
    <row r="51" ht="15" customHeight="1" s="80">
      <c r="A51" s="152" t="inlineStr">
        <is>
          <t>C12 サプライチェーン</t>
        </is>
      </c>
      <c r="B51" s="146" t="inlineStr">
        <is>
          <t>C12-01</t>
        </is>
      </c>
      <c r="C51" s="153">
        <f>IFERROR(INDEX(ケイパビリティマップ!$E:$E,MATCH(B51,ケイパビリティマップ!$A:$A,0)),"（IDなし）")</f>
        <v/>
      </c>
      <c r="D51" s="154" t="n"/>
      <c r="E51" s="154" t="n"/>
      <c r="F51" s="154" t="n"/>
      <c r="G51" s="154" t="n"/>
      <c r="H51" s="154" t="n"/>
      <c r="I51" s="154" t="n"/>
      <c r="J51" s="154" t="n"/>
      <c r="K51" s="154" t="n"/>
      <c r="L51" s="154" t="n"/>
      <c r="M51" s="154" t="n"/>
      <c r="N51" s="154" t="n"/>
      <c r="O51" s="154" t="n"/>
      <c r="P51" s="154" t="n"/>
      <c r="Q51" s="154" t="n"/>
      <c r="R51" s="154" t="n"/>
      <c r="S51" s="154" t="n"/>
      <c r="T51" s="154" t="n"/>
      <c r="U51" s="154" t="n"/>
      <c r="V51" s="154" t="n"/>
      <c r="W51" s="154" t="n"/>
      <c r="X51" s="154" t="n"/>
      <c r="Y51" s="154" t="n"/>
      <c r="Z51" s="154" t="inlineStr">
        <is>
          <t>●</t>
        </is>
      </c>
      <c r="AA51" s="154" t="n"/>
      <c r="AB51" s="154" t="n"/>
      <c r="AC51" s="154" t="n"/>
      <c r="AD51" s="154" t="n"/>
      <c r="AE51" s="154" t="n"/>
      <c r="AF51" s="154" t="n"/>
      <c r="AG51" s="154" t="inlineStr">
        <is>
          <t>●</t>
        </is>
      </c>
      <c r="AH51" s="154" t="n"/>
      <c r="AI51" s="154" t="n"/>
      <c r="AJ51" s="154" t="n"/>
      <c r="AK51" s="154" t="n"/>
      <c r="AL51" s="154" t="n"/>
      <c r="AM51" s="154" t="n"/>
      <c r="AN51" s="154" t="n"/>
      <c r="AO51" s="149">
        <f>COUNTIF(D51:AN51,"●")</f>
        <v/>
      </c>
      <c r="AP51" s="149">
        <f>COUNTIF(D51:AN51,"○")</f>
        <v/>
      </c>
    </row>
    <row r="52" ht="15" customHeight="1" s="80">
      <c r="A52" s="152" t="n"/>
      <c r="B52" s="146" t="inlineStr">
        <is>
          <t>C12-02</t>
        </is>
      </c>
      <c r="C52" s="153">
        <f>IFERROR(INDEX(ケイパビリティマップ!$E:$E,MATCH(B52,ケイパビリティマップ!$A:$A,0)),"（IDなし）")</f>
        <v/>
      </c>
      <c r="D52" s="154" t="n"/>
      <c r="E52" s="154" t="n"/>
      <c r="F52" s="154" t="n"/>
      <c r="G52" s="154" t="n"/>
      <c r="H52" s="154" t="n"/>
      <c r="I52" s="154" t="n"/>
      <c r="J52" s="154" t="n"/>
      <c r="K52" s="154" t="n"/>
      <c r="L52" s="154" t="n"/>
      <c r="M52" s="154" t="n"/>
      <c r="N52" s="154" t="n"/>
      <c r="O52" s="154" t="n"/>
      <c r="P52" s="154" t="n"/>
      <c r="Q52" s="154" t="n"/>
      <c r="R52" s="154" t="n"/>
      <c r="S52" s="154" t="n"/>
      <c r="T52" s="154" t="n"/>
      <c r="U52" s="154" t="n"/>
      <c r="V52" s="154" t="n"/>
      <c r="W52" s="154" t="n"/>
      <c r="X52" s="154" t="n"/>
      <c r="Y52" s="154" t="n"/>
      <c r="Z52" s="154" t="n"/>
      <c r="AA52" s="154" t="n"/>
      <c r="AB52" s="154" t="n"/>
      <c r="AC52" s="154" t="n"/>
      <c r="AD52" s="154" t="n"/>
      <c r="AE52" s="154" t="inlineStr">
        <is>
          <t>○</t>
        </is>
      </c>
      <c r="AF52" s="154" t="n"/>
      <c r="AG52" s="154" t="inlineStr">
        <is>
          <t>●</t>
        </is>
      </c>
      <c r="AH52" s="154" t="inlineStr">
        <is>
          <t>○</t>
        </is>
      </c>
      <c r="AI52" s="154" t="n"/>
      <c r="AJ52" s="154" t="n"/>
      <c r="AK52" s="154" t="n"/>
      <c r="AL52" s="154" t="n"/>
      <c r="AM52" s="154" t="n"/>
      <c r="AN52" s="154" t="n"/>
      <c r="AO52" s="149">
        <f>COUNTIF(D52:AN52,"●")</f>
        <v/>
      </c>
      <c r="AP52" s="149">
        <f>COUNTIF(D52:AN52,"○")</f>
        <v/>
      </c>
    </row>
    <row r="53" ht="15" customHeight="1" s="80">
      <c r="A53" s="152" t="n"/>
      <c r="B53" s="146" t="inlineStr">
        <is>
          <t>C12-03</t>
        </is>
      </c>
      <c r="C53" s="153">
        <f>IFERROR(INDEX(ケイパビリティマップ!$E:$E,MATCH(B53,ケイパビリティマップ!$A:$A,0)),"（IDなし）")</f>
        <v/>
      </c>
      <c r="D53" s="154" t="n"/>
      <c r="E53" s="154" t="n"/>
      <c r="F53" s="154" t="n"/>
      <c r="G53" s="154" t="n"/>
      <c r="H53" s="154" t="n"/>
      <c r="I53" s="154" t="n"/>
      <c r="J53" s="154" t="n"/>
      <c r="K53" s="154" t="n"/>
      <c r="L53" s="154" t="n"/>
      <c r="M53" s="154" t="n"/>
      <c r="N53" s="154" t="n"/>
      <c r="O53" s="154" t="n"/>
      <c r="P53" s="154" t="n"/>
      <c r="Q53" s="154" t="n"/>
      <c r="R53" s="154" t="n"/>
      <c r="S53" s="154" t="n"/>
      <c r="T53" s="154" t="n"/>
      <c r="U53" s="154" t="n"/>
      <c r="V53" s="154" t="n"/>
      <c r="W53" s="154" t="n"/>
      <c r="X53" s="154" t="n"/>
      <c r="Y53" s="154" t="n"/>
      <c r="Z53" s="154" t="n"/>
      <c r="AA53" s="154" t="inlineStr">
        <is>
          <t>●</t>
        </is>
      </c>
      <c r="AB53" s="154" t="n"/>
      <c r="AC53" s="154" t="n"/>
      <c r="AD53" s="154" t="n"/>
      <c r="AE53" s="154" t="n"/>
      <c r="AF53" s="154" t="n"/>
      <c r="AG53" s="154" t="n"/>
      <c r="AH53" s="154" t="n"/>
      <c r="AI53" s="154" t="n"/>
      <c r="AJ53" s="154" t="n"/>
      <c r="AK53" s="154" t="n"/>
      <c r="AL53" s="154" t="n"/>
      <c r="AM53" s="154" t="n"/>
      <c r="AN53" s="154" t="n"/>
      <c r="AO53" s="149">
        <f>COUNTIF(D53:AN53,"●")</f>
        <v/>
      </c>
      <c r="AP53" s="149">
        <f>COUNTIF(D53:AN53,"○")</f>
        <v/>
      </c>
    </row>
    <row r="54" ht="15" customHeight="1" s="80">
      <c r="A54" s="152" t="n"/>
      <c r="B54" s="146" t="inlineStr">
        <is>
          <t>C12-04</t>
        </is>
      </c>
      <c r="C54" s="153">
        <f>IFERROR(INDEX(ケイパビリティマップ!$E:$E,MATCH(B54,ケイパビリティマップ!$A:$A,0)),"（IDなし）")</f>
        <v/>
      </c>
      <c r="D54" s="154" t="n"/>
      <c r="E54" s="154" t="n"/>
      <c r="F54" s="154" t="n"/>
      <c r="G54" s="154" t="n"/>
      <c r="H54" s="154" t="n"/>
      <c r="I54" s="154" t="n"/>
      <c r="J54" s="154" t="n"/>
      <c r="K54" s="154" t="n"/>
      <c r="L54" s="154" t="n"/>
      <c r="M54" s="154" t="n"/>
      <c r="N54" s="154" t="n"/>
      <c r="O54" s="154" t="n"/>
      <c r="P54" s="154" t="n"/>
      <c r="Q54" s="154" t="n"/>
      <c r="R54" s="154" t="n"/>
      <c r="S54" s="154" t="n"/>
      <c r="T54" s="154" t="n"/>
      <c r="U54" s="154" t="n"/>
      <c r="V54" s="154" t="n"/>
      <c r="W54" s="154" t="n"/>
      <c r="X54" s="154" t="n"/>
      <c r="Y54" s="154" t="n"/>
      <c r="Z54" s="154" t="n"/>
      <c r="AA54" s="154" t="n"/>
      <c r="AB54" s="154" t="inlineStr">
        <is>
          <t>●</t>
        </is>
      </c>
      <c r="AC54" s="154" t="n"/>
      <c r="AD54" s="154" t="n"/>
      <c r="AE54" s="154" t="n"/>
      <c r="AF54" s="154" t="n"/>
      <c r="AG54" s="154" t="n"/>
      <c r="AH54" s="154" t="n"/>
      <c r="AI54" s="154" t="n"/>
      <c r="AJ54" s="154" t="n"/>
      <c r="AK54" s="154" t="n"/>
      <c r="AL54" s="154" t="n"/>
      <c r="AM54" s="154" t="n"/>
      <c r="AN54" s="154" t="n"/>
      <c r="AO54" s="149">
        <f>COUNTIF(D54:AN54,"●")</f>
        <v/>
      </c>
      <c r="AP54" s="149">
        <f>COUNTIF(D54:AN54,"○")</f>
        <v/>
      </c>
    </row>
    <row r="55" ht="15" customHeight="1" s="80">
      <c r="A55" s="152" t="n"/>
      <c r="B55" s="146" t="inlineStr">
        <is>
          <t>C12-05</t>
        </is>
      </c>
      <c r="C55" s="153">
        <f>IFERROR(INDEX(ケイパビリティマップ!$E:$E,MATCH(B55,ケイパビリティマップ!$A:$A,0)),"（IDなし）")</f>
        <v/>
      </c>
      <c r="D55" s="154" t="n"/>
      <c r="E55" s="154" t="n"/>
      <c r="F55" s="154" t="n"/>
      <c r="G55" s="154" t="n"/>
      <c r="H55" s="154" t="n"/>
      <c r="I55" s="154" t="n"/>
      <c r="J55" s="154" t="n"/>
      <c r="K55" s="154" t="n"/>
      <c r="L55" s="154" t="n"/>
      <c r="M55" s="154" t="n"/>
      <c r="N55" s="154" t="n"/>
      <c r="O55" s="154" t="n"/>
      <c r="P55" s="154" t="n"/>
      <c r="Q55" s="154" t="n"/>
      <c r="R55" s="154" t="n"/>
      <c r="S55" s="154" t="n"/>
      <c r="T55" s="154" t="n"/>
      <c r="U55" s="154" t="n"/>
      <c r="V55" s="154" t="n"/>
      <c r="W55" s="154" t="inlineStr">
        <is>
          <t>●</t>
        </is>
      </c>
      <c r="X55" s="154" t="n"/>
      <c r="Y55" s="154" t="n"/>
      <c r="Z55" s="154" t="inlineStr">
        <is>
          <t>○</t>
        </is>
      </c>
      <c r="AA55" s="154" t="n"/>
      <c r="AB55" s="154" t="inlineStr">
        <is>
          <t>○</t>
        </is>
      </c>
      <c r="AC55" s="154" t="n"/>
      <c r="AD55" s="154" t="n"/>
      <c r="AE55" s="154" t="n"/>
      <c r="AF55" s="154" t="n"/>
      <c r="AG55" s="154" t="inlineStr">
        <is>
          <t>○</t>
        </is>
      </c>
      <c r="AH55" s="154" t="n"/>
      <c r="AI55" s="154" t="n"/>
      <c r="AJ55" s="154" t="n"/>
      <c r="AK55" s="154" t="n"/>
      <c r="AL55" s="154" t="n"/>
      <c r="AM55" s="154" t="n"/>
      <c r="AN55" s="154" t="n"/>
      <c r="AO55" s="149">
        <f>COUNTIF(D55:AN55,"●")</f>
        <v/>
      </c>
      <c r="AP55" s="149">
        <f>COUNTIF(D55:AN55,"○")</f>
        <v/>
      </c>
    </row>
    <row r="56" ht="15" customHeight="1" s="80">
      <c r="A56" s="152" t="inlineStr">
        <is>
          <t>C13 共通基盤</t>
        </is>
      </c>
      <c r="B56" s="146" t="inlineStr">
        <is>
          <t>C13-01</t>
        </is>
      </c>
      <c r="C56" s="153">
        <f>IFERROR(INDEX(ケイパビリティマップ!$E:$E,MATCH(B56,ケイパビリティマップ!$A:$A,0)),"（IDなし）")</f>
        <v/>
      </c>
      <c r="D56" s="154" t="n"/>
      <c r="E56" s="154" t="n"/>
      <c r="F56" s="154" t="n"/>
      <c r="G56" s="154" t="n"/>
      <c r="H56" s="154" t="n"/>
      <c r="I56" s="154" t="n"/>
      <c r="J56" s="154" t="n"/>
      <c r="K56" s="154" t="n"/>
      <c r="L56" s="154" t="n"/>
      <c r="M56" s="154" t="n"/>
      <c r="N56" s="154" t="n"/>
      <c r="O56" s="154" t="n"/>
      <c r="P56" s="154" t="n"/>
      <c r="Q56" s="154" t="n"/>
      <c r="R56" s="154" t="n"/>
      <c r="S56" s="154" t="n"/>
      <c r="T56" s="154" t="n"/>
      <c r="U56" s="154" t="n"/>
      <c r="V56" s="154" t="n"/>
      <c r="W56" s="154" t="n"/>
      <c r="X56" s="154" t="n"/>
      <c r="Y56" s="154" t="n"/>
      <c r="Z56" s="154" t="n"/>
      <c r="AA56" s="154" t="n"/>
      <c r="AB56" s="154" t="n"/>
      <c r="AC56" s="154" t="n"/>
      <c r="AD56" s="154" t="n"/>
      <c r="AE56" s="154" t="n"/>
      <c r="AF56" s="154" t="n"/>
      <c r="AG56" s="154" t="n"/>
      <c r="AH56" s="154" t="inlineStr">
        <is>
          <t>●</t>
        </is>
      </c>
      <c r="AI56" s="154" t="n"/>
      <c r="AJ56" s="154" t="n"/>
      <c r="AK56" s="154" t="inlineStr">
        <is>
          <t>●</t>
        </is>
      </c>
      <c r="AL56" s="154" t="n"/>
      <c r="AM56" s="154" t="n"/>
      <c r="AN56" s="154" t="n"/>
      <c r="AO56" s="149">
        <f>COUNTIF(D56:AN56,"●")</f>
        <v/>
      </c>
      <c r="AP56" s="149">
        <f>COUNTIF(D56:AN56,"○")</f>
        <v/>
      </c>
    </row>
    <row r="57" ht="15" customHeight="1" s="80">
      <c r="A57" s="152" t="n"/>
      <c r="B57" s="146" t="inlineStr">
        <is>
          <t>C13-02</t>
        </is>
      </c>
      <c r="C57" s="153">
        <f>IFERROR(INDEX(ケイパビリティマップ!$E:$E,MATCH(B57,ケイパビリティマップ!$A:$A,0)),"（IDなし）")</f>
        <v/>
      </c>
      <c r="D57" s="154" t="n"/>
      <c r="E57" s="154" t="n"/>
      <c r="F57" s="154" t="n"/>
      <c r="G57" s="154" t="n"/>
      <c r="H57" s="154" t="n"/>
      <c r="I57" s="154" t="n"/>
      <c r="J57" s="154" t="n"/>
      <c r="K57" s="154" t="n"/>
      <c r="L57" s="154" t="inlineStr">
        <is>
          <t>○</t>
        </is>
      </c>
      <c r="M57" s="154" t="n"/>
      <c r="N57" s="154" t="n"/>
      <c r="O57" s="154" t="n"/>
      <c r="P57" s="154" t="n"/>
      <c r="Q57" s="154" t="n"/>
      <c r="R57" s="154" t="n"/>
      <c r="S57" s="154" t="n"/>
      <c r="T57" s="154" t="n"/>
      <c r="U57" s="154" t="n"/>
      <c r="V57" s="154" t="n"/>
      <c r="W57" s="154" t="n"/>
      <c r="X57" s="154" t="n"/>
      <c r="Y57" s="154" t="n"/>
      <c r="Z57" s="154" t="n"/>
      <c r="AA57" s="154" t="n"/>
      <c r="AB57" s="154" t="n"/>
      <c r="AC57" s="154" t="n"/>
      <c r="AD57" s="154" t="n"/>
      <c r="AE57" s="154" t="n"/>
      <c r="AF57" s="154" t="n"/>
      <c r="AG57" s="154" t="n"/>
      <c r="AH57" s="154" t="n"/>
      <c r="AI57" s="154" t="inlineStr">
        <is>
          <t>●</t>
        </is>
      </c>
      <c r="AJ57" s="154" t="n"/>
      <c r="AK57" s="154" t="n"/>
      <c r="AL57" s="154" t="n"/>
      <c r="AM57" s="154" t="n"/>
      <c r="AN57" s="154" t="n"/>
      <c r="AO57" s="149">
        <f>COUNTIF(D57:AN57,"●")</f>
        <v/>
      </c>
      <c r="AP57" s="149">
        <f>COUNTIF(D57:AN57,"○")</f>
        <v/>
      </c>
    </row>
    <row r="58" ht="15" customHeight="1" s="80">
      <c r="A58" s="152" t="n"/>
      <c r="B58" s="146" t="inlineStr">
        <is>
          <t>C13-03</t>
        </is>
      </c>
      <c r="C58" s="153">
        <f>IFERROR(INDEX(ケイパビリティマップ!$E:$E,MATCH(B58,ケイパビリティマップ!$A:$A,0)),"（IDなし）")</f>
        <v/>
      </c>
      <c r="D58" s="154" t="n"/>
      <c r="E58" s="154" t="n"/>
      <c r="F58" s="154" t="n"/>
      <c r="G58" s="154" t="n"/>
      <c r="H58" s="154" t="n"/>
      <c r="I58" s="154" t="n"/>
      <c r="J58" s="154" t="n"/>
      <c r="K58" s="154" t="n"/>
      <c r="L58" s="154" t="n"/>
      <c r="M58" s="154" t="n"/>
      <c r="N58" s="154" t="n"/>
      <c r="O58" s="154" t="n"/>
      <c r="P58" s="154" t="n"/>
      <c r="Q58" s="154" t="n"/>
      <c r="R58" s="154" t="n"/>
      <c r="S58" s="154" t="n"/>
      <c r="T58" s="154" t="n"/>
      <c r="U58" s="154" t="n"/>
      <c r="V58" s="154" t="n"/>
      <c r="W58" s="154" t="n"/>
      <c r="X58" s="154" t="n"/>
      <c r="Y58" s="154" t="n"/>
      <c r="Z58" s="154" t="n"/>
      <c r="AA58" s="154" t="n"/>
      <c r="AB58" s="154" t="n"/>
      <c r="AC58" s="154" t="n"/>
      <c r="AD58" s="154" t="n"/>
      <c r="AE58" s="154" t="n"/>
      <c r="AF58" s="154" t="n"/>
      <c r="AG58" s="154" t="n"/>
      <c r="AH58" s="154" t="n"/>
      <c r="AI58" s="154" t="n"/>
      <c r="AJ58" s="154" t="inlineStr">
        <is>
          <t>●</t>
        </is>
      </c>
      <c r="AK58" s="154" t="n"/>
      <c r="AL58" s="154" t="n"/>
      <c r="AM58" s="154" t="n"/>
      <c r="AN58" s="154" t="n"/>
      <c r="AO58" s="149">
        <f>COUNTIF(D58:AN58,"●")</f>
        <v/>
      </c>
      <c r="AP58" s="149">
        <f>COUNTIF(D58:AN58,"○")</f>
        <v/>
      </c>
    </row>
    <row r="59" ht="15" customHeight="1" s="80">
      <c r="C59" s="152" t="inlineStr">
        <is>
          <t>●の数</t>
        </is>
      </c>
      <c r="D59" s="149">
        <f>COUNTIF(D6:D58,"●")</f>
        <v/>
      </c>
      <c r="E59" s="149">
        <f>COUNTIF(E6:E58,"●")</f>
        <v/>
      </c>
      <c r="F59" s="149">
        <f>COUNTIF(F6:F58,"●")</f>
        <v/>
      </c>
      <c r="G59" s="149">
        <f>COUNTIF(G6:G58,"●")</f>
        <v/>
      </c>
      <c r="H59" s="149">
        <f>COUNTIF(H6:H58,"●")</f>
        <v/>
      </c>
      <c r="I59" s="149">
        <f>COUNTIF(I6:I58,"●")</f>
        <v/>
      </c>
      <c r="J59" s="149">
        <f>COUNTIF(J6:J58,"●")</f>
        <v/>
      </c>
      <c r="K59" s="149">
        <f>COUNTIF(K6:K58,"●")</f>
        <v/>
      </c>
      <c r="L59" s="149">
        <f>COUNTIF(L6:L58,"●")</f>
        <v/>
      </c>
      <c r="M59" s="149">
        <f>COUNTIF(M6:M58,"●")</f>
        <v/>
      </c>
      <c r="N59" s="149">
        <f>COUNTIF(N6:N58,"●")</f>
        <v/>
      </c>
      <c r="O59" s="149">
        <f>COUNTIF(O6:O58,"●")</f>
        <v/>
      </c>
      <c r="P59" s="149">
        <f>COUNTIF(P6:P58,"●")</f>
        <v/>
      </c>
      <c r="Q59" s="149">
        <f>COUNTIF(Q6:Q58,"●")</f>
        <v/>
      </c>
      <c r="R59" s="149">
        <f>COUNTIF(R6:R58,"●")</f>
        <v/>
      </c>
      <c r="S59" s="149">
        <f>COUNTIF(S6:S58,"●")</f>
        <v/>
      </c>
      <c r="T59" s="149">
        <f>COUNTIF(T6:T58,"●")</f>
        <v/>
      </c>
      <c r="U59" s="149">
        <f>COUNTIF(U6:U58,"●")</f>
        <v/>
      </c>
      <c r="V59" s="149">
        <f>COUNTIF(V6:V58,"●")</f>
        <v/>
      </c>
      <c r="W59" s="149">
        <f>COUNTIF(W6:W58,"●")</f>
        <v/>
      </c>
      <c r="X59" s="149">
        <f>COUNTIF(X6:X58,"●")</f>
        <v/>
      </c>
      <c r="Y59" s="149">
        <f>COUNTIF(Y6:Y58,"●")</f>
        <v/>
      </c>
      <c r="Z59" s="149">
        <f>COUNTIF(Z6:Z58,"●")</f>
        <v/>
      </c>
      <c r="AA59" s="149">
        <f>COUNTIF(AA6:AA58,"●")</f>
        <v/>
      </c>
      <c r="AB59" s="149">
        <f>COUNTIF(AB6:AB58,"●")</f>
        <v/>
      </c>
      <c r="AC59" s="149">
        <f>COUNTIF(AC6:AC58,"●")</f>
        <v/>
      </c>
      <c r="AD59" s="149">
        <f>COUNTIF(AD6:AD58,"●")</f>
        <v/>
      </c>
      <c r="AE59" s="149">
        <f>COUNTIF(AE6:AE58,"●")</f>
        <v/>
      </c>
      <c r="AF59" s="149">
        <f>COUNTIF(AF6:AF58,"●")</f>
        <v/>
      </c>
      <c r="AG59" s="149">
        <f>COUNTIF(AG6:AG58,"●")</f>
        <v/>
      </c>
      <c r="AH59" s="149">
        <f>COUNTIF(AH6:AH58,"●")</f>
        <v/>
      </c>
      <c r="AI59" s="149">
        <f>COUNTIF(AI6:AI58,"●")</f>
        <v/>
      </c>
      <c r="AJ59" s="149">
        <f>COUNTIF(AJ6:AJ58,"●")</f>
        <v/>
      </c>
      <c r="AK59" s="149">
        <f>COUNTIF(AK6:AK58,"●")</f>
        <v/>
      </c>
      <c r="AL59" s="149">
        <f>COUNTIF(AL6:AL58,"●")</f>
        <v/>
      </c>
      <c r="AM59" s="149">
        <f>COUNTIF(AM6:AM58,"●")</f>
        <v/>
      </c>
      <c r="AN59" s="149">
        <f>COUNTIF(AN6:AN58,"●")</f>
        <v/>
      </c>
    </row>
    <row r="60" ht="15" customHeight="1" s="80">
      <c r="C60" s="152" t="inlineStr">
        <is>
          <t>○の数</t>
        </is>
      </c>
      <c r="D60" s="149">
        <f>COUNTIF(D6:D58,"○")</f>
        <v/>
      </c>
      <c r="E60" s="149">
        <f>COUNTIF(E6:E58,"○")</f>
        <v/>
      </c>
      <c r="F60" s="149">
        <f>COUNTIF(F6:F58,"○")</f>
        <v/>
      </c>
      <c r="G60" s="149">
        <f>COUNTIF(G6:G58,"○")</f>
        <v/>
      </c>
      <c r="H60" s="149">
        <f>COUNTIF(H6:H58,"○")</f>
        <v/>
      </c>
      <c r="I60" s="149">
        <f>COUNTIF(I6:I58,"○")</f>
        <v/>
      </c>
      <c r="J60" s="149">
        <f>COUNTIF(J6:J58,"○")</f>
        <v/>
      </c>
      <c r="K60" s="149">
        <f>COUNTIF(K6:K58,"○")</f>
        <v/>
      </c>
      <c r="L60" s="149">
        <f>COUNTIF(L6:L58,"○")</f>
        <v/>
      </c>
      <c r="M60" s="149">
        <f>COUNTIF(M6:M58,"○")</f>
        <v/>
      </c>
      <c r="N60" s="149">
        <f>COUNTIF(N6:N58,"○")</f>
        <v/>
      </c>
      <c r="O60" s="149">
        <f>COUNTIF(O6:O58,"○")</f>
        <v/>
      </c>
      <c r="P60" s="149">
        <f>COUNTIF(P6:P58,"○")</f>
        <v/>
      </c>
      <c r="Q60" s="149">
        <f>COUNTIF(Q6:Q58,"○")</f>
        <v/>
      </c>
      <c r="R60" s="149">
        <f>COUNTIF(R6:R58,"○")</f>
        <v/>
      </c>
      <c r="S60" s="149">
        <f>COUNTIF(S6:S58,"○")</f>
        <v/>
      </c>
      <c r="T60" s="149">
        <f>COUNTIF(T6:T58,"○")</f>
        <v/>
      </c>
      <c r="U60" s="149">
        <f>COUNTIF(U6:U58,"○")</f>
        <v/>
      </c>
      <c r="V60" s="149">
        <f>COUNTIF(V6:V58,"○")</f>
        <v/>
      </c>
      <c r="W60" s="149">
        <f>COUNTIF(W6:W58,"○")</f>
        <v/>
      </c>
      <c r="X60" s="149">
        <f>COUNTIF(X6:X58,"○")</f>
        <v/>
      </c>
      <c r="Y60" s="149">
        <f>COUNTIF(Y6:Y58,"○")</f>
        <v/>
      </c>
      <c r="Z60" s="149">
        <f>COUNTIF(Z6:Z58,"○")</f>
        <v/>
      </c>
      <c r="AA60" s="149">
        <f>COUNTIF(AA6:AA58,"○")</f>
        <v/>
      </c>
      <c r="AB60" s="149">
        <f>COUNTIF(AB6:AB58,"○")</f>
        <v/>
      </c>
      <c r="AC60" s="149">
        <f>COUNTIF(AC6:AC58,"○")</f>
        <v/>
      </c>
      <c r="AD60" s="149">
        <f>COUNTIF(AD6:AD58,"○")</f>
        <v/>
      </c>
      <c r="AE60" s="149">
        <f>COUNTIF(AE6:AE58,"○")</f>
        <v/>
      </c>
      <c r="AF60" s="149">
        <f>COUNTIF(AF6:AF58,"○")</f>
        <v/>
      </c>
      <c r="AG60" s="149">
        <f>COUNTIF(AG6:AG58,"○")</f>
        <v/>
      </c>
      <c r="AH60" s="149">
        <f>COUNTIF(AH6:AH58,"○")</f>
        <v/>
      </c>
      <c r="AI60" s="149">
        <f>COUNTIF(AI6:AI58,"○")</f>
        <v/>
      </c>
      <c r="AJ60" s="149">
        <f>COUNTIF(AJ6:AJ58,"○")</f>
        <v/>
      </c>
      <c r="AK60" s="149">
        <f>COUNTIF(AK6:AK58,"○")</f>
        <v/>
      </c>
      <c r="AL60" s="149">
        <f>COUNTIF(AL6:AL58,"○")</f>
        <v/>
      </c>
      <c r="AM60" s="149">
        <f>COUNTIF(AM6:AM58,"○")</f>
        <v/>
      </c>
      <c r="AN60" s="149">
        <f>COUNTIF(AN6:AN58,"○")</f>
        <v/>
      </c>
    </row>
  </sheetData>
  <mergeCells count="14">
    <mergeCell ref="H4:N4"/>
    <mergeCell ref="B4:B5"/>
    <mergeCell ref="S4:V4"/>
    <mergeCell ref="C4:C5"/>
    <mergeCell ref="A4:A5"/>
    <mergeCell ref="AG4:AN4"/>
    <mergeCell ref="D4:F4"/>
    <mergeCell ref="AP4:AP5"/>
    <mergeCell ref="AC4:AF4"/>
    <mergeCell ref="W4:Y4"/>
    <mergeCell ref="Z4:AB4"/>
    <mergeCell ref="AO4:AO5"/>
    <mergeCell ref="O4:P4"/>
    <mergeCell ref="Q4:R4"/>
  </mergeCells>
  <conditionalFormatting sqref="D6:AN58">
    <cfRule type="cellIs" rank="0" priority="2" equalAverage="0" operator="equal" aboveAverage="0" dxfId="13" text="" percent="0" bottom="0">
      <formula>"●"</formula>
    </cfRule>
  </conditionalFormatting>
  <dataValidations count="1">
    <dataValidation sqref="D6:AN58" showDropDown="0" showInputMessage="0" showErrorMessage="0" allowBlank="1" type="list" errorStyle="stop" operator="between">
      <formula1>"●,○"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tabColor rgb="002E8B57"/>
    <outlinePr summaryBelow="1" summaryRight="1"/>
    <pageSetUpPr/>
  </sheetPr>
  <dimension ref="A1:CW4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style="80" min="1" max="1"/>
    <col width="8" customWidth="1" style="80" min="2" max="2"/>
    <col width="28" customWidth="1" style="80" min="3" max="3"/>
    <col width="4.6" customWidth="1" style="80" min="4" max="4"/>
    <col width="4.6" customWidth="1" style="80" min="5" max="5"/>
    <col width="4.6" customWidth="1" style="80" min="6" max="6"/>
    <col width="4.6" customWidth="1" style="80" min="7" max="7"/>
    <col width="4.6" customWidth="1" style="80" min="8" max="8"/>
    <col width="4.6" customWidth="1" style="80" min="9" max="9"/>
    <col width="4.6" customWidth="1" style="80" min="10" max="10"/>
    <col width="4.6" customWidth="1" style="80" min="11" max="11"/>
    <col width="4.6" customWidth="1" style="80" min="12" max="12"/>
    <col width="4.6" customWidth="1" style="80" min="13" max="13"/>
    <col width="4.6" customWidth="1" style="80" min="14" max="14"/>
    <col width="4.6" customWidth="1" style="80" min="15" max="15"/>
    <col width="4.6" customWidth="1" style="80" min="16" max="16"/>
    <col width="4.6" customWidth="1" style="80" min="17" max="17"/>
    <col width="4.6" customWidth="1" style="80" min="18" max="18"/>
    <col width="4.6" customWidth="1" style="80" min="19" max="19"/>
    <col width="4.6" customWidth="1" style="80" min="20" max="20"/>
    <col width="4.6" customWidth="1" style="80" min="21" max="21"/>
    <col width="4.6" customWidth="1" style="80" min="22" max="22"/>
    <col width="4.6" customWidth="1" style="80" min="23" max="23"/>
    <col width="4.6" customWidth="1" style="80" min="24" max="24"/>
    <col width="4.6" customWidth="1" style="80" min="25" max="25"/>
    <col width="4.6" customWidth="1" style="80" min="26" max="26"/>
    <col width="4.6" customWidth="1" style="80" min="27" max="27"/>
    <col width="4.6" customWidth="1" style="80" min="28" max="28"/>
    <col width="4.6" customWidth="1" style="80" min="29" max="29"/>
    <col width="4.6" customWidth="1" style="80" min="30" max="30"/>
    <col width="4.6" customWidth="1" style="80" min="31" max="31"/>
    <col width="4.6" customWidth="1" style="80" min="32" max="32"/>
    <col width="4.6" customWidth="1" style="80" min="33" max="33"/>
    <col width="4.6" customWidth="1" style="80" min="34" max="34"/>
    <col width="4.6" customWidth="1" style="80" min="35" max="35"/>
    <col width="4.6" customWidth="1" style="80" min="36" max="36"/>
    <col width="4.6" customWidth="1" style="80" min="37" max="37"/>
    <col width="4.6" customWidth="1" style="80" min="38" max="38"/>
    <col width="4.6" customWidth="1" style="80" min="39" max="39"/>
    <col width="4.6" customWidth="1" style="80" min="40" max="40"/>
    <col width="4.6" customWidth="1" style="80" min="41" max="41"/>
    <col width="4.6" customWidth="1" style="80" min="42" max="42"/>
    <col width="4.6" customWidth="1" style="80" min="43" max="43"/>
    <col width="4.6" customWidth="1" style="80" min="44" max="44"/>
    <col width="4.6" customWidth="1" style="80" min="45" max="45"/>
    <col width="4.6" customWidth="1" style="80" min="46" max="46"/>
    <col width="4.6" customWidth="1" style="80" min="47" max="47"/>
    <col width="4.6" customWidth="1" style="80" min="48" max="48"/>
    <col width="4.6" customWidth="1" style="80" min="49" max="49"/>
    <col width="4.6" customWidth="1" style="80" min="50" max="50"/>
    <col width="4.6" customWidth="1" style="80" min="51" max="51"/>
    <col width="4.6" customWidth="1" style="80" min="52" max="52"/>
    <col width="4.6" customWidth="1" style="80" min="53" max="53"/>
    <col width="4.6" customWidth="1" style="80" min="54" max="54"/>
    <col width="4.6" customWidth="1" style="80" min="55" max="55"/>
    <col width="4.6" customWidth="1" style="80" min="56" max="56"/>
    <col width="4.6" customWidth="1" style="80" min="57" max="57"/>
    <col width="4.6" customWidth="1" style="80" min="58" max="58"/>
    <col width="4.6" customWidth="1" style="80" min="59" max="59"/>
    <col width="4.6" customWidth="1" style="80" min="60" max="60"/>
    <col width="4.6" customWidth="1" style="80" min="61" max="61"/>
    <col width="4.6" customWidth="1" style="80" min="62" max="62"/>
    <col width="4.6" customWidth="1" style="80" min="63" max="63"/>
    <col width="4.6" customWidth="1" style="80" min="64" max="64"/>
    <col width="4.6" customWidth="1" style="80" min="65" max="65"/>
    <col width="4.6" customWidth="1" style="80" min="66" max="66"/>
    <col width="4.6" customWidth="1" style="80" min="67" max="67"/>
    <col width="4.6" customWidth="1" style="80" min="68" max="68"/>
    <col width="4.6" customWidth="1" style="80" min="69" max="69"/>
    <col width="4.6" customWidth="1" style="80" min="70" max="70"/>
    <col width="4.6" customWidth="1" style="80" min="71" max="71"/>
    <col width="4.6" customWidth="1" style="80" min="72" max="72"/>
    <col width="4.6" customWidth="1" style="80" min="73" max="73"/>
    <col width="4.6" customWidth="1" style="80" min="74" max="74"/>
    <col width="4.6" customWidth="1" style="80" min="75" max="75"/>
    <col width="4.6" customWidth="1" style="80" min="76" max="76"/>
    <col width="4.6" customWidth="1" style="80" min="77" max="77"/>
    <col width="4.6" customWidth="1" style="80" min="78" max="78"/>
    <col width="4.6" customWidth="1" style="80" min="79" max="79"/>
    <col width="4.6" customWidth="1" style="80" min="80" max="80"/>
    <col width="4.6" customWidth="1" style="80" min="81" max="81"/>
    <col width="4.6" customWidth="1" style="80" min="82" max="82"/>
    <col width="4.6" customWidth="1" style="80" min="83" max="83"/>
    <col width="4.6" customWidth="1" style="80" min="84" max="84"/>
    <col width="4.6" customWidth="1" style="80" min="85" max="85"/>
    <col width="4.6" customWidth="1" style="80" min="86" max="86"/>
    <col width="4.6" customWidth="1" style="80" min="87" max="87"/>
    <col width="4.6" customWidth="1" style="80" min="88" max="88"/>
    <col width="4.6" customWidth="1" style="80" min="89" max="89"/>
    <col width="4.6" customWidth="1" style="80" min="90" max="90"/>
    <col width="4.6" customWidth="1" style="80" min="91" max="91"/>
    <col width="4.6" customWidth="1" style="80" min="92" max="92"/>
    <col width="4.6" customWidth="1" style="80" min="93" max="93"/>
    <col width="4.6" customWidth="1" style="80" min="94" max="94"/>
    <col width="4.6" customWidth="1" style="80" min="95" max="95"/>
    <col width="4.6" customWidth="1" style="80" min="96" max="96"/>
    <col width="4.6" customWidth="1" style="80" min="97" max="97"/>
    <col width="4.6" customWidth="1" style="80" min="98" max="98"/>
    <col width="4.6" customWidth="1" style="80" min="99" max="99"/>
    <col width="7.5" customWidth="1" style="80" min="100" max="100"/>
    <col width="7.5" customWidth="1" style="80" min="101" max="101"/>
  </cols>
  <sheetData>
    <row r="1" ht="21.6" customHeight="1" s="80">
      <c r="A1" s="139" t="inlineStr">
        <is>
          <t>アプリケーション×情報オブジェクト（行＝アプリケーション × 列＝情報オブジェクト）</t>
        </is>
      </c>
    </row>
    <row r="2" ht="15" customHeight="1" s="80">
      <c r="A2" s="140" t="inlineStr">
        <is>
          <t>C＝作成・更新　R＝利用　空欄＝関係なし。ケイパビリティ経由で導出：アプリが●（主に支える）のL2で、そのL2がC／Rの情報オブジェクトを割り当て（CとRが重なる場合はC）</t>
        </is>
      </c>
    </row>
    <row r="4" ht="29.85" customHeight="1" s="80">
      <c r="A4" s="141" t="inlineStr">
        <is>
          <t>領域</t>
        </is>
      </c>
      <c r="B4" s="141" t="inlineStr">
        <is>
          <t>ID</t>
        </is>
      </c>
      <c r="C4" s="141" t="inlineStr">
        <is>
          <t>アプリケーション種類</t>
        </is>
      </c>
      <c r="D4" s="150" t="inlineStr">
        <is>
          <t>共通・マスタ</t>
        </is>
      </c>
      <c r="J4" s="150" t="inlineStr">
        <is>
          <t>研究</t>
        </is>
      </c>
      <c r="V4" s="150" t="inlineStr">
        <is>
          <t>非臨床</t>
        </is>
      </c>
      <c r="Z4" s="150" t="inlineStr">
        <is>
          <t>CMC開発</t>
        </is>
      </c>
      <c r="AM4" s="150" t="inlineStr">
        <is>
          <t>製造・品質</t>
        </is>
      </c>
      <c r="AZ4" s="150" t="inlineStr">
        <is>
          <t>臨床</t>
        </is>
      </c>
      <c r="BS4" s="150" t="inlineStr">
        <is>
          <t>薬事</t>
        </is>
      </c>
      <c r="CC4" s="150" t="inlineStr">
        <is>
          <t>安全性</t>
        </is>
      </c>
      <c r="CF4" s="150" t="inlineStr">
        <is>
          <t>市場アクセス・商業</t>
        </is>
      </c>
      <c r="CO4" s="150" t="inlineStr">
        <is>
          <t>供給・流通</t>
        </is>
      </c>
      <c r="CV4" s="143" t="inlineStr">
        <is>
          <t>Cの数</t>
        </is>
      </c>
      <c r="CW4" s="143" t="inlineStr">
        <is>
          <t>Rの数</t>
        </is>
      </c>
    </row>
    <row r="5" ht="214.5" customHeight="1" s="80">
      <c r="D5" s="151">
        <f>情報オブジェクト!C4</f>
        <v/>
      </c>
      <c r="E5" s="151">
        <f>情報オブジェクト!C5</f>
        <v/>
      </c>
      <c r="F5" s="151">
        <f>情報オブジェクト!C6</f>
        <v/>
      </c>
      <c r="G5" s="151">
        <f>情報オブジェクト!C7</f>
        <v/>
      </c>
      <c r="H5" s="151">
        <f>情報オブジェクト!C8</f>
        <v/>
      </c>
      <c r="I5" s="151">
        <f>情報オブジェクト!C9</f>
        <v/>
      </c>
      <c r="J5" s="151">
        <f>情報オブジェクト!C10</f>
        <v/>
      </c>
      <c r="K5" s="151">
        <f>情報オブジェクト!C11</f>
        <v/>
      </c>
      <c r="L5" s="151">
        <f>情報オブジェクト!C12</f>
        <v/>
      </c>
      <c r="M5" s="151">
        <f>情報オブジェクト!C13</f>
        <v/>
      </c>
      <c r="N5" s="151">
        <f>情報オブジェクト!C14</f>
        <v/>
      </c>
      <c r="O5" s="151">
        <f>情報オブジェクト!C15</f>
        <v/>
      </c>
      <c r="P5" s="151">
        <f>情報オブジェクト!C16</f>
        <v/>
      </c>
      <c r="Q5" s="151">
        <f>情報オブジェクト!C17</f>
        <v/>
      </c>
      <c r="R5" s="151">
        <f>情報オブジェクト!C18</f>
        <v/>
      </c>
      <c r="S5" s="151">
        <f>情報オブジェクト!C19</f>
        <v/>
      </c>
      <c r="T5" s="151">
        <f>情報オブジェクト!C20</f>
        <v/>
      </c>
      <c r="U5" s="151">
        <f>情報オブジェクト!C21</f>
        <v/>
      </c>
      <c r="V5" s="151">
        <f>情報オブジェクト!C22</f>
        <v/>
      </c>
      <c r="W5" s="151">
        <f>情報オブジェクト!C23</f>
        <v/>
      </c>
      <c r="X5" s="151">
        <f>情報オブジェクト!C24</f>
        <v/>
      </c>
      <c r="Y5" s="151">
        <f>情報オブジェクト!C25</f>
        <v/>
      </c>
      <c r="Z5" s="151">
        <f>情報オブジェクト!C26</f>
        <v/>
      </c>
      <c r="AA5" s="151">
        <f>情報オブジェクト!C27</f>
        <v/>
      </c>
      <c r="AB5" s="151">
        <f>情報オブジェクト!C28</f>
        <v/>
      </c>
      <c r="AC5" s="151">
        <f>情報オブジェクト!C29</f>
        <v/>
      </c>
      <c r="AD5" s="151">
        <f>情報オブジェクト!C30</f>
        <v/>
      </c>
      <c r="AE5" s="151">
        <f>情報オブジェクト!C31</f>
        <v/>
      </c>
      <c r="AF5" s="151">
        <f>情報オブジェクト!C32</f>
        <v/>
      </c>
      <c r="AG5" s="151">
        <f>情報オブジェクト!C33</f>
        <v/>
      </c>
      <c r="AH5" s="151">
        <f>情報オブジェクト!C34</f>
        <v/>
      </c>
      <c r="AI5" s="151">
        <f>情報オブジェクト!C35</f>
        <v/>
      </c>
      <c r="AJ5" s="151">
        <f>情報オブジェクト!C36</f>
        <v/>
      </c>
      <c r="AK5" s="151">
        <f>情報オブジェクト!C37</f>
        <v/>
      </c>
      <c r="AL5" s="151">
        <f>情報オブジェクト!C38</f>
        <v/>
      </c>
      <c r="AM5" s="151">
        <f>情報オブジェクト!C39</f>
        <v/>
      </c>
      <c r="AN5" s="151">
        <f>情報オブジェクト!C40</f>
        <v/>
      </c>
      <c r="AO5" s="151">
        <f>情報オブジェクト!C41</f>
        <v/>
      </c>
      <c r="AP5" s="151">
        <f>情報オブジェクト!C42</f>
        <v/>
      </c>
      <c r="AQ5" s="151">
        <f>情報オブジェクト!C43</f>
        <v/>
      </c>
      <c r="AR5" s="151">
        <f>情報オブジェクト!C44</f>
        <v/>
      </c>
      <c r="AS5" s="151">
        <f>情報オブジェクト!C45</f>
        <v/>
      </c>
      <c r="AT5" s="151">
        <f>情報オブジェクト!C46</f>
        <v/>
      </c>
      <c r="AU5" s="151">
        <f>情報オブジェクト!C47</f>
        <v/>
      </c>
      <c r="AV5" s="151">
        <f>情報オブジェクト!C48</f>
        <v/>
      </c>
      <c r="AW5" s="151">
        <f>情報オブジェクト!C49</f>
        <v/>
      </c>
      <c r="AX5" s="151">
        <f>情報オブジェクト!C50</f>
        <v/>
      </c>
      <c r="AY5" s="151">
        <f>情報オブジェクト!C51</f>
        <v/>
      </c>
      <c r="AZ5" s="151">
        <f>情報オブジェクト!C52</f>
        <v/>
      </c>
      <c r="BA5" s="151">
        <f>情報オブジェクト!C53</f>
        <v/>
      </c>
      <c r="BB5" s="151">
        <f>情報オブジェクト!C54</f>
        <v/>
      </c>
      <c r="BC5" s="151">
        <f>情報オブジェクト!C55</f>
        <v/>
      </c>
      <c r="BD5" s="151">
        <f>情報オブジェクト!C56</f>
        <v/>
      </c>
      <c r="BE5" s="151">
        <f>情報オブジェクト!C57</f>
        <v/>
      </c>
      <c r="BF5" s="151">
        <f>情報オブジェクト!C58</f>
        <v/>
      </c>
      <c r="BG5" s="151">
        <f>情報オブジェクト!C59</f>
        <v/>
      </c>
      <c r="BH5" s="151">
        <f>情報オブジェクト!C60</f>
        <v/>
      </c>
      <c r="BI5" s="151">
        <f>情報オブジェクト!C61</f>
        <v/>
      </c>
      <c r="BJ5" s="151">
        <f>情報オブジェクト!C62</f>
        <v/>
      </c>
      <c r="BK5" s="151">
        <f>情報オブジェクト!C63</f>
        <v/>
      </c>
      <c r="BL5" s="151">
        <f>情報オブジェクト!C64</f>
        <v/>
      </c>
      <c r="BM5" s="151">
        <f>情報オブジェクト!C65</f>
        <v/>
      </c>
      <c r="BN5" s="151">
        <f>情報オブジェクト!C66</f>
        <v/>
      </c>
      <c r="BO5" s="151">
        <f>情報オブジェクト!C67</f>
        <v/>
      </c>
      <c r="BP5" s="151">
        <f>情報オブジェクト!C68</f>
        <v/>
      </c>
      <c r="BQ5" s="151">
        <f>情報オブジェクト!C69</f>
        <v/>
      </c>
      <c r="BR5" s="151">
        <f>情報オブジェクト!C70</f>
        <v/>
      </c>
      <c r="BS5" s="151">
        <f>情報オブジェクト!C71</f>
        <v/>
      </c>
      <c r="BT5" s="151">
        <f>情報オブジェクト!C72</f>
        <v/>
      </c>
      <c r="BU5" s="151">
        <f>情報オブジェクト!C73</f>
        <v/>
      </c>
      <c r="BV5" s="151">
        <f>情報オブジェクト!C74</f>
        <v/>
      </c>
      <c r="BW5" s="151">
        <f>情報オブジェクト!C75</f>
        <v/>
      </c>
      <c r="BX5" s="151">
        <f>情報オブジェクト!C76</f>
        <v/>
      </c>
      <c r="BY5" s="151">
        <f>情報オブジェクト!C77</f>
        <v/>
      </c>
      <c r="BZ5" s="151">
        <f>情報オブジェクト!C78</f>
        <v/>
      </c>
      <c r="CA5" s="151">
        <f>情報オブジェクト!C79</f>
        <v/>
      </c>
      <c r="CB5" s="151">
        <f>情報オブジェクト!C80</f>
        <v/>
      </c>
      <c r="CC5" s="151">
        <f>情報オブジェクト!C81</f>
        <v/>
      </c>
      <c r="CD5" s="151">
        <f>情報オブジェクト!C82</f>
        <v/>
      </c>
      <c r="CE5" s="151">
        <f>情報オブジェクト!C83</f>
        <v/>
      </c>
      <c r="CF5" s="151">
        <f>情報オブジェクト!C84</f>
        <v/>
      </c>
      <c r="CG5" s="151">
        <f>情報オブジェクト!C85</f>
        <v/>
      </c>
      <c r="CH5" s="151">
        <f>情報オブジェクト!C86</f>
        <v/>
      </c>
      <c r="CI5" s="151">
        <f>情報オブジェクト!C87</f>
        <v/>
      </c>
      <c r="CJ5" s="151">
        <f>情報オブジェクト!C88</f>
        <v/>
      </c>
      <c r="CK5" s="151">
        <f>情報オブジェクト!C89</f>
        <v/>
      </c>
      <c r="CL5" s="151">
        <f>情報オブジェクト!C90</f>
        <v/>
      </c>
      <c r="CM5" s="151">
        <f>情報オブジェクト!C91</f>
        <v/>
      </c>
      <c r="CN5" s="151">
        <f>情報オブジェクト!C92</f>
        <v/>
      </c>
      <c r="CO5" s="151">
        <f>情報オブジェクト!C93</f>
        <v/>
      </c>
      <c r="CP5" s="151">
        <f>情報オブジェクト!C94</f>
        <v/>
      </c>
      <c r="CQ5" s="151">
        <f>情報オブジェクト!C95</f>
        <v/>
      </c>
      <c r="CR5" s="151">
        <f>情報オブジェクト!C96</f>
        <v/>
      </c>
      <c r="CS5" s="151">
        <f>情報オブジェクト!C97</f>
        <v/>
      </c>
      <c r="CT5" s="151">
        <f>情報オブジェクト!C98</f>
        <v/>
      </c>
      <c r="CU5" s="151">
        <f>情報オブジェクト!C99</f>
        <v/>
      </c>
    </row>
    <row r="6">
      <c r="A6" s="152" t="inlineStr">
        <is>
          <t>研究</t>
        </is>
      </c>
      <c r="B6" s="146" t="inlineStr">
        <is>
          <t>APP-01</t>
        </is>
      </c>
      <c r="C6" s="153">
        <f>IFERROR(INDEX(アプリケーション!$C:$C,MATCH(B6,アプリケーション!$A:$A,0)),"（IDなし）")</f>
        <v/>
      </c>
      <c r="D6" s="154" t="n"/>
      <c r="E6" s="154" t="inlineStr">
        <is>
          <t>C</t>
        </is>
      </c>
      <c r="F6" s="154" t="inlineStr">
        <is>
          <t>R</t>
        </is>
      </c>
      <c r="G6" s="154" t="n"/>
      <c r="H6" s="154" t="n"/>
      <c r="I6" s="154" t="inlineStr">
        <is>
          <t>C</t>
        </is>
      </c>
      <c r="J6" s="154" t="inlineStr">
        <is>
          <t>R</t>
        </is>
      </c>
      <c r="K6" s="154" t="inlineStr">
        <is>
          <t>C</t>
        </is>
      </c>
      <c r="L6" s="154" t="inlineStr">
        <is>
          <t>C</t>
        </is>
      </c>
      <c r="M6" s="154" t="inlineStr">
        <is>
          <t>C</t>
        </is>
      </c>
      <c r="N6" s="154" t="inlineStr">
        <is>
          <t>C</t>
        </is>
      </c>
      <c r="O6" s="154" t="inlineStr">
        <is>
          <t>C</t>
        </is>
      </c>
      <c r="P6" s="154" t="inlineStr">
        <is>
          <t>C</t>
        </is>
      </c>
      <c r="Q6" s="154" t="inlineStr">
        <is>
          <t>C</t>
        </is>
      </c>
      <c r="R6" s="154" t="inlineStr">
        <is>
          <t>C</t>
        </is>
      </c>
      <c r="S6" s="154" t="inlineStr">
        <is>
          <t>C</t>
        </is>
      </c>
      <c r="T6" s="154" t="inlineStr">
        <is>
          <t>C</t>
        </is>
      </c>
      <c r="U6" s="154" t="n"/>
      <c r="V6" s="154" t="n"/>
      <c r="W6" s="154" t="n"/>
      <c r="X6" s="154" t="n"/>
      <c r="Y6" s="154" t="n"/>
      <c r="Z6" s="154" t="inlineStr">
        <is>
          <t>C</t>
        </is>
      </c>
      <c r="AA6" s="154" t="inlineStr">
        <is>
          <t>C</t>
        </is>
      </c>
      <c r="AB6" s="154" t="inlineStr">
        <is>
          <t>C</t>
        </is>
      </c>
      <c r="AC6" s="154" t="inlineStr">
        <is>
          <t>C</t>
        </is>
      </c>
      <c r="AD6" s="154" t="inlineStr">
        <is>
          <t>C</t>
        </is>
      </c>
      <c r="AE6" s="154" t="inlineStr">
        <is>
          <t>C</t>
        </is>
      </c>
      <c r="AF6" s="154" t="inlineStr">
        <is>
          <t>C</t>
        </is>
      </c>
      <c r="AG6" s="154" t="inlineStr">
        <is>
          <t>C</t>
        </is>
      </c>
      <c r="AH6" s="154" t="inlineStr">
        <is>
          <t>C</t>
        </is>
      </c>
      <c r="AI6" s="154" t="inlineStr">
        <is>
          <t>C</t>
        </is>
      </c>
      <c r="AJ6" s="154" t="inlineStr">
        <is>
          <t>C</t>
        </is>
      </c>
      <c r="AK6" s="154" t="inlineStr">
        <is>
          <t>C</t>
        </is>
      </c>
      <c r="AL6" s="154" t="n"/>
      <c r="AM6" s="154" t="n"/>
      <c r="AN6" s="154" t="n"/>
      <c r="AO6" s="154" t="inlineStr">
        <is>
          <t>C</t>
        </is>
      </c>
      <c r="AP6" s="154" t="inlineStr">
        <is>
          <t>R</t>
        </is>
      </c>
      <c r="AQ6" s="154" t="n"/>
      <c r="AR6" s="154" t="inlineStr">
        <is>
          <t>R</t>
        </is>
      </c>
      <c r="AS6" s="154" t="n"/>
      <c r="AT6" s="154" t="n"/>
      <c r="AU6" s="154" t="n"/>
      <c r="AV6" s="154" t="n"/>
      <c r="AW6" s="154" t="n"/>
      <c r="AX6" s="154" t="n"/>
      <c r="AY6" s="154" t="n"/>
      <c r="AZ6" s="154" t="n"/>
      <c r="BA6" s="154" t="n"/>
      <c r="BB6" s="154" t="n"/>
      <c r="BC6" s="154" t="n"/>
      <c r="BD6" s="154" t="n"/>
      <c r="BE6" s="154" t="n"/>
      <c r="BF6" s="154" t="n"/>
      <c r="BG6" s="154" t="n"/>
      <c r="BH6" s="154" t="n"/>
      <c r="BI6" s="154" t="n"/>
      <c r="BJ6" s="154" t="n"/>
      <c r="BK6" s="154" t="n"/>
      <c r="BL6" s="154" t="n"/>
      <c r="BM6" s="154" t="n"/>
      <c r="BN6" s="154" t="n"/>
      <c r="BO6" s="154" t="n"/>
      <c r="BP6" s="154" t="n"/>
      <c r="BQ6" s="154" t="n"/>
      <c r="BR6" s="154" t="n"/>
      <c r="BS6" s="154" t="n"/>
      <c r="BT6" s="154" t="n"/>
      <c r="BU6" s="154" t="n"/>
      <c r="BV6" s="154" t="n"/>
      <c r="BW6" s="154" t="n"/>
      <c r="BX6" s="154" t="n"/>
      <c r="BY6" s="154" t="n"/>
      <c r="BZ6" s="154" t="n"/>
      <c r="CA6" s="154" t="n"/>
      <c r="CB6" s="154" t="n"/>
      <c r="CC6" s="154" t="n"/>
      <c r="CD6" s="154" t="n"/>
      <c r="CE6" s="154" t="n"/>
      <c r="CF6" s="154" t="n"/>
      <c r="CG6" s="154" t="n"/>
      <c r="CH6" s="154" t="n"/>
      <c r="CI6" s="154" t="n"/>
      <c r="CJ6" s="154" t="n"/>
      <c r="CK6" s="154" t="n"/>
      <c r="CL6" s="154" t="n"/>
      <c r="CM6" s="154" t="n"/>
      <c r="CN6" s="154" t="n"/>
      <c r="CO6" s="154" t="n"/>
      <c r="CP6" s="154" t="n"/>
      <c r="CQ6" s="154" t="n"/>
      <c r="CR6" s="154" t="n"/>
      <c r="CS6" s="154" t="n"/>
      <c r="CT6" s="154" t="n"/>
      <c r="CU6" s="154" t="n"/>
      <c r="CV6" s="149">
        <f>COUNTIF(D6:CU6,"C")</f>
        <v/>
      </c>
      <c r="CW6" s="149">
        <f>COUNTIF(D6:CU6,"R")</f>
        <v/>
      </c>
    </row>
    <row r="7">
      <c r="A7" s="152" t="n"/>
      <c r="B7" s="146" t="inlineStr">
        <is>
          <t>APP-02</t>
        </is>
      </c>
      <c r="C7" s="153">
        <f>IFERROR(INDEX(アプリケーション!$C:$C,MATCH(B7,アプリケーション!$A:$A,0)),"（IDなし）")</f>
        <v/>
      </c>
      <c r="D7" s="154" t="n"/>
      <c r="E7" s="154" t="inlineStr">
        <is>
          <t>C</t>
        </is>
      </c>
      <c r="F7" s="154" t="n"/>
      <c r="G7" s="154" t="n"/>
      <c r="H7" s="154" t="n"/>
      <c r="I7" s="154" t="n"/>
      <c r="J7" s="154" t="n"/>
      <c r="K7" s="154" t="n"/>
      <c r="L7" s="154" t="inlineStr">
        <is>
          <t>R</t>
        </is>
      </c>
      <c r="M7" s="154" t="inlineStr">
        <is>
          <t>C</t>
        </is>
      </c>
      <c r="N7" s="154" t="inlineStr">
        <is>
          <t>C</t>
        </is>
      </c>
      <c r="O7" s="154" t="inlineStr">
        <is>
          <t>C</t>
        </is>
      </c>
      <c r="P7" s="154" t="inlineStr">
        <is>
          <t>C</t>
        </is>
      </c>
      <c r="Q7" s="154" t="n"/>
      <c r="R7" s="154" t="n"/>
      <c r="S7" s="154" t="n"/>
      <c r="T7" s="154" t="n"/>
      <c r="U7" s="154" t="n"/>
      <c r="V7" s="154" t="n"/>
      <c r="W7" s="154" t="n"/>
      <c r="X7" s="154" t="n"/>
      <c r="Y7" s="154" t="n"/>
      <c r="Z7" s="154" t="n"/>
      <c r="AA7" s="154" t="n"/>
      <c r="AB7" s="154" t="n"/>
      <c r="AC7" s="154" t="n"/>
      <c r="AD7" s="154" t="n"/>
      <c r="AE7" s="154" t="n"/>
      <c r="AF7" s="154" t="n"/>
      <c r="AG7" s="154" t="n"/>
      <c r="AH7" s="154" t="n"/>
      <c r="AI7" s="154" t="n"/>
      <c r="AJ7" s="154" t="n"/>
      <c r="AK7" s="154" t="n"/>
      <c r="AL7" s="154" t="n"/>
      <c r="AM7" s="154" t="n"/>
      <c r="AN7" s="154" t="n"/>
      <c r="AO7" s="154" t="n"/>
      <c r="AP7" s="154" t="n"/>
      <c r="AQ7" s="154" t="n"/>
      <c r="AR7" s="154" t="n"/>
      <c r="AS7" s="154" t="n"/>
      <c r="AT7" s="154" t="n"/>
      <c r="AU7" s="154" t="n"/>
      <c r="AV7" s="154" t="n"/>
      <c r="AW7" s="154" t="n"/>
      <c r="AX7" s="154" t="n"/>
      <c r="AY7" s="154" t="n"/>
      <c r="AZ7" s="154" t="n"/>
      <c r="BA7" s="154" t="n"/>
      <c r="BB7" s="154" t="n"/>
      <c r="BC7" s="154" t="n"/>
      <c r="BD7" s="154" t="n"/>
      <c r="BE7" s="154" t="n"/>
      <c r="BF7" s="154" t="n"/>
      <c r="BG7" s="154" t="n"/>
      <c r="BH7" s="154" t="n"/>
      <c r="BI7" s="154" t="n"/>
      <c r="BJ7" s="154" t="n"/>
      <c r="BK7" s="154" t="n"/>
      <c r="BL7" s="154" t="n"/>
      <c r="BM7" s="154" t="n"/>
      <c r="BN7" s="154" t="n"/>
      <c r="BO7" s="154" t="n"/>
      <c r="BP7" s="154" t="n"/>
      <c r="BQ7" s="154" t="n"/>
      <c r="BR7" s="154" t="n"/>
      <c r="BS7" s="154" t="n"/>
      <c r="BT7" s="154" t="n"/>
      <c r="BU7" s="154" t="n"/>
      <c r="BV7" s="154" t="n"/>
      <c r="BW7" s="154" t="n"/>
      <c r="BX7" s="154" t="n"/>
      <c r="BY7" s="154" t="n"/>
      <c r="BZ7" s="154" t="n"/>
      <c r="CA7" s="154" t="n"/>
      <c r="CB7" s="154" t="n"/>
      <c r="CC7" s="154" t="n"/>
      <c r="CD7" s="154" t="n"/>
      <c r="CE7" s="154" t="n"/>
      <c r="CF7" s="154" t="n"/>
      <c r="CG7" s="154" t="n"/>
      <c r="CH7" s="154" t="n"/>
      <c r="CI7" s="154" t="n"/>
      <c r="CJ7" s="154" t="n"/>
      <c r="CK7" s="154" t="n"/>
      <c r="CL7" s="154" t="n"/>
      <c r="CM7" s="154" t="n"/>
      <c r="CN7" s="154" t="n"/>
      <c r="CO7" s="154" t="n"/>
      <c r="CP7" s="154" t="n"/>
      <c r="CQ7" s="154" t="n"/>
      <c r="CR7" s="154" t="n"/>
      <c r="CS7" s="154" t="n"/>
      <c r="CT7" s="154" t="n"/>
      <c r="CU7" s="154" t="n"/>
      <c r="CV7" s="149">
        <f>COUNTIF(D7:CU7,"C")</f>
        <v/>
      </c>
      <c r="CW7" s="149">
        <f>COUNTIF(D7:CU7,"R")</f>
        <v/>
      </c>
    </row>
    <row r="8">
      <c r="A8" s="152" t="n"/>
      <c r="B8" s="146" t="inlineStr">
        <is>
          <t>APP-03</t>
        </is>
      </c>
      <c r="C8" s="153">
        <f>IFERROR(INDEX(アプリケーション!$C:$C,MATCH(B8,アプリケーション!$A:$A,0)),"（IDなし）")</f>
        <v/>
      </c>
      <c r="D8" s="154" t="n"/>
      <c r="E8" s="154" t="inlineStr">
        <is>
          <t>C</t>
        </is>
      </c>
      <c r="F8" s="154" t="inlineStr">
        <is>
          <t>R</t>
        </is>
      </c>
      <c r="G8" s="154" t="n"/>
      <c r="H8" s="154" t="n"/>
      <c r="I8" s="154" t="inlineStr">
        <is>
          <t>C</t>
        </is>
      </c>
      <c r="J8" s="154" t="inlineStr">
        <is>
          <t>R</t>
        </is>
      </c>
      <c r="K8" s="154" t="inlineStr">
        <is>
          <t>C</t>
        </is>
      </c>
      <c r="L8" s="154" t="inlineStr">
        <is>
          <t>C</t>
        </is>
      </c>
      <c r="M8" s="154" t="n"/>
      <c r="N8" s="154" t="n"/>
      <c r="O8" s="154" t="inlineStr">
        <is>
          <t>R</t>
        </is>
      </c>
      <c r="P8" s="154" t="inlineStr">
        <is>
          <t>C</t>
        </is>
      </c>
      <c r="Q8" s="154" t="n"/>
      <c r="R8" s="154" t="n"/>
      <c r="S8" s="154" t="inlineStr">
        <is>
          <t>C</t>
        </is>
      </c>
      <c r="T8" s="154" t="inlineStr">
        <is>
          <t>C</t>
        </is>
      </c>
      <c r="U8" s="154" t="n"/>
      <c r="V8" s="154" t="n"/>
      <c r="W8" s="154" t="n"/>
      <c r="X8" s="154" t="n"/>
      <c r="Y8" s="154" t="n"/>
      <c r="Z8" s="154" t="n"/>
      <c r="AA8" s="154" t="n"/>
      <c r="AB8" s="154" t="n"/>
      <c r="AC8" s="154" t="n"/>
      <c r="AD8" s="154" t="n"/>
      <c r="AE8" s="154" t="n"/>
      <c r="AF8" s="154" t="n"/>
      <c r="AG8" s="154" t="n"/>
      <c r="AH8" s="154" t="n"/>
      <c r="AI8" s="154" t="n"/>
      <c r="AJ8" s="154" t="n"/>
      <c r="AK8" s="154" t="n"/>
      <c r="AL8" s="154" t="n"/>
      <c r="AM8" s="154" t="n"/>
      <c r="AN8" s="154" t="n"/>
      <c r="AO8" s="154" t="n"/>
      <c r="AP8" s="154" t="n"/>
      <c r="AQ8" s="154" t="n"/>
      <c r="AR8" s="154" t="n"/>
      <c r="AS8" s="154" t="n"/>
      <c r="AT8" s="154" t="n"/>
      <c r="AU8" s="154" t="n"/>
      <c r="AV8" s="154" t="n"/>
      <c r="AW8" s="154" t="n"/>
      <c r="AX8" s="154" t="n"/>
      <c r="AY8" s="154" t="n"/>
      <c r="AZ8" s="154" t="n"/>
      <c r="BA8" s="154" t="n"/>
      <c r="BB8" s="154" t="n"/>
      <c r="BC8" s="154" t="n"/>
      <c r="BD8" s="154" t="n"/>
      <c r="BE8" s="154" t="n"/>
      <c r="BF8" s="154" t="n"/>
      <c r="BG8" s="154" t="n"/>
      <c r="BH8" s="154" t="n"/>
      <c r="BI8" s="154" t="n"/>
      <c r="BJ8" s="154" t="n"/>
      <c r="BK8" s="154" t="n"/>
      <c r="BL8" s="154" t="n"/>
      <c r="BM8" s="154" t="n"/>
      <c r="BN8" s="154" t="n"/>
      <c r="BO8" s="154" t="n"/>
      <c r="BP8" s="154" t="n"/>
      <c r="BQ8" s="154" t="n"/>
      <c r="BR8" s="154" t="n"/>
      <c r="BS8" s="154" t="n"/>
      <c r="BT8" s="154" t="n"/>
      <c r="BU8" s="154" t="n"/>
      <c r="BV8" s="154" t="n"/>
      <c r="BW8" s="154" t="n"/>
      <c r="BX8" s="154" t="n"/>
      <c r="BY8" s="154" t="n"/>
      <c r="BZ8" s="154" t="n"/>
      <c r="CA8" s="154" t="n"/>
      <c r="CB8" s="154" t="n"/>
      <c r="CC8" s="154" t="n"/>
      <c r="CD8" s="154" t="n"/>
      <c r="CE8" s="154" t="n"/>
      <c r="CF8" s="154" t="n"/>
      <c r="CG8" s="154" t="n"/>
      <c r="CH8" s="154" t="n"/>
      <c r="CI8" s="154" t="n"/>
      <c r="CJ8" s="154" t="n"/>
      <c r="CK8" s="154" t="n"/>
      <c r="CL8" s="154" t="n"/>
      <c r="CM8" s="154" t="n"/>
      <c r="CN8" s="154" t="n"/>
      <c r="CO8" s="154" t="n"/>
      <c r="CP8" s="154" t="n"/>
      <c r="CQ8" s="154" t="n"/>
      <c r="CR8" s="154" t="n"/>
      <c r="CS8" s="154" t="n"/>
      <c r="CT8" s="154" t="n"/>
      <c r="CU8" s="154" t="n"/>
      <c r="CV8" s="149">
        <f>COUNTIF(D8:CU8,"C")</f>
        <v/>
      </c>
      <c r="CW8" s="149">
        <f>COUNTIF(D8:CU8,"R")</f>
        <v/>
      </c>
    </row>
    <row r="9">
      <c r="A9" s="152" t="inlineStr">
        <is>
          <t>非臨床</t>
        </is>
      </c>
      <c r="B9" s="146" t="inlineStr">
        <is>
          <t>APP-04</t>
        </is>
      </c>
      <c r="C9" s="153">
        <f>IFERROR(INDEX(アプリケーション!$C:$C,MATCH(B9,アプリケーション!$A:$A,0)),"（IDなし）")</f>
        <v/>
      </c>
      <c r="D9" s="154" t="n"/>
      <c r="E9" s="154" t="n"/>
      <c r="F9" s="154" t="n"/>
      <c r="G9" s="154" t="n"/>
      <c r="H9" s="154" t="n"/>
      <c r="I9" s="154" t="n"/>
      <c r="J9" s="154" t="n"/>
      <c r="K9" s="154" t="n"/>
      <c r="L9" s="154" t="n"/>
      <c r="M9" s="154" t="n"/>
      <c r="N9" s="154" t="n"/>
      <c r="O9" s="154" t="inlineStr">
        <is>
          <t>R</t>
        </is>
      </c>
      <c r="P9" s="154" t="inlineStr">
        <is>
          <t>R</t>
        </is>
      </c>
      <c r="Q9" s="154" t="inlineStr">
        <is>
          <t>R</t>
        </is>
      </c>
      <c r="R9" s="154" t="n"/>
      <c r="S9" s="154" t="n"/>
      <c r="T9" s="154" t="n"/>
      <c r="U9" s="154" t="n"/>
      <c r="V9" s="154" t="inlineStr">
        <is>
          <t>C</t>
        </is>
      </c>
      <c r="W9" s="154" t="inlineStr">
        <is>
          <t>C</t>
        </is>
      </c>
      <c r="X9" s="154" t="inlineStr">
        <is>
          <t>C</t>
        </is>
      </c>
      <c r="Y9" s="154" t="n"/>
      <c r="Z9" s="154" t="n"/>
      <c r="AA9" s="154" t="n"/>
      <c r="AB9" s="154" t="n"/>
      <c r="AC9" s="154" t="n"/>
      <c r="AD9" s="154" t="n"/>
      <c r="AE9" s="154" t="n"/>
      <c r="AF9" s="154" t="n"/>
      <c r="AG9" s="154" t="n"/>
      <c r="AH9" s="154" t="n"/>
      <c r="AI9" s="154" t="n"/>
      <c r="AJ9" s="154" t="n"/>
      <c r="AK9" s="154" t="n"/>
      <c r="AL9" s="154" t="n"/>
      <c r="AM9" s="154" t="n"/>
      <c r="AN9" s="154" t="n"/>
      <c r="AO9" s="154" t="n"/>
      <c r="AP9" s="154" t="inlineStr">
        <is>
          <t>R</t>
        </is>
      </c>
      <c r="AQ9" s="154" t="n"/>
      <c r="AR9" s="154" t="n"/>
      <c r="AS9" s="154" t="n"/>
      <c r="AT9" s="154" t="n"/>
      <c r="AU9" s="154" t="n"/>
      <c r="AV9" s="154" t="n"/>
      <c r="AW9" s="154" t="n"/>
      <c r="AX9" s="154" t="n"/>
      <c r="AY9" s="154" t="n"/>
      <c r="AZ9" s="154" t="n"/>
      <c r="BA9" s="154" t="n"/>
      <c r="BB9" s="154" t="n"/>
      <c r="BC9" s="154" t="n"/>
      <c r="BD9" s="154" t="n"/>
      <c r="BE9" s="154" t="n"/>
      <c r="BF9" s="154" t="n"/>
      <c r="BG9" s="154" t="n"/>
      <c r="BH9" s="154" t="n"/>
      <c r="BI9" s="154" t="n"/>
      <c r="BJ9" s="154" t="n"/>
      <c r="BK9" s="154" t="n"/>
      <c r="BL9" s="154" t="n"/>
      <c r="BM9" s="154" t="n"/>
      <c r="BN9" s="154" t="n"/>
      <c r="BO9" s="154" t="n"/>
      <c r="BP9" s="154" t="n"/>
      <c r="BQ9" s="154" t="n"/>
      <c r="BR9" s="154" t="n"/>
      <c r="BS9" s="154" t="n"/>
      <c r="BT9" s="154" t="n"/>
      <c r="BU9" s="154" t="n"/>
      <c r="BV9" s="154" t="n"/>
      <c r="BW9" s="154" t="n"/>
      <c r="BX9" s="154" t="n"/>
      <c r="BY9" s="154" t="n"/>
      <c r="BZ9" s="154" t="n"/>
      <c r="CA9" s="154" t="n"/>
      <c r="CB9" s="154" t="n"/>
      <c r="CC9" s="154" t="n"/>
      <c r="CD9" s="154" t="n"/>
      <c r="CE9" s="154" t="n"/>
      <c r="CF9" s="154" t="n"/>
      <c r="CG9" s="154" t="n"/>
      <c r="CH9" s="154" t="n"/>
      <c r="CI9" s="154" t="n"/>
      <c r="CJ9" s="154" t="n"/>
      <c r="CK9" s="154" t="n"/>
      <c r="CL9" s="154" t="n"/>
      <c r="CM9" s="154" t="n"/>
      <c r="CN9" s="154" t="n"/>
      <c r="CO9" s="154" t="n"/>
      <c r="CP9" s="154" t="n"/>
      <c r="CQ9" s="154" t="n"/>
      <c r="CR9" s="154" t="n"/>
      <c r="CS9" s="154" t="n"/>
      <c r="CT9" s="154" t="n"/>
      <c r="CU9" s="154" t="n"/>
      <c r="CV9" s="149">
        <f>COUNTIF(D9:CU9,"C")</f>
        <v/>
      </c>
      <c r="CW9" s="149">
        <f>COUNTIF(D9:CU9,"R")</f>
        <v/>
      </c>
    </row>
    <row r="10">
      <c r="A10" s="152" t="inlineStr">
        <is>
          <t>臨床</t>
        </is>
      </c>
      <c r="B10" s="146" t="inlineStr">
        <is>
          <t>APP-05</t>
        </is>
      </c>
      <c r="C10" s="153">
        <f>IFERROR(INDEX(アプリケーション!$C:$C,MATCH(B10,アプリケーション!$A:$A,0)),"（IDなし）")</f>
        <v/>
      </c>
      <c r="D10" s="154" t="n"/>
      <c r="E10" s="154" t="n"/>
      <c r="F10" s="154" t="n"/>
      <c r="G10" s="154" t="n"/>
      <c r="H10" s="154" t="n"/>
      <c r="I10" s="154" t="n"/>
      <c r="J10" s="154" t="n"/>
      <c r="K10" s="154" t="n"/>
      <c r="L10" s="154" t="n"/>
      <c r="M10" s="154" t="n"/>
      <c r="N10" s="154" t="n"/>
      <c r="O10" s="154" t="n"/>
      <c r="P10" s="154" t="n"/>
      <c r="Q10" s="154" t="n"/>
      <c r="R10" s="154" t="n"/>
      <c r="S10" s="154" t="n"/>
      <c r="T10" s="154" t="n"/>
      <c r="U10" s="154" t="n"/>
      <c r="V10" s="154" t="n"/>
      <c r="W10" s="154" t="inlineStr">
        <is>
          <t>R</t>
        </is>
      </c>
      <c r="X10" s="154" t="inlineStr">
        <is>
          <t>R</t>
        </is>
      </c>
      <c r="Y10" s="154" t="n"/>
      <c r="Z10" s="154" t="n"/>
      <c r="AA10" s="154" t="n"/>
      <c r="AB10" s="154" t="n"/>
      <c r="AC10" s="154" t="n"/>
      <c r="AD10" s="154" t="n"/>
      <c r="AE10" s="154" t="n"/>
      <c r="AF10" s="154" t="n"/>
      <c r="AG10" s="154" t="n"/>
      <c r="AH10" s="154" t="n"/>
      <c r="AI10" s="154" t="n"/>
      <c r="AJ10" s="154" t="n"/>
      <c r="AK10" s="154" t="n"/>
      <c r="AL10" s="154" t="n"/>
      <c r="AM10" s="154" t="n"/>
      <c r="AN10" s="154" t="n"/>
      <c r="AO10" s="154" t="n"/>
      <c r="AP10" s="154" t="n"/>
      <c r="AQ10" s="154" t="n"/>
      <c r="AR10" s="154" t="n"/>
      <c r="AS10" s="154" t="n"/>
      <c r="AT10" s="154" t="n"/>
      <c r="AU10" s="154" t="n"/>
      <c r="AV10" s="154" t="n"/>
      <c r="AW10" s="154" t="n"/>
      <c r="AX10" s="154" t="n"/>
      <c r="AY10" s="154" t="n"/>
      <c r="AZ10" s="154" t="n"/>
      <c r="BA10" s="154" t="n"/>
      <c r="BB10" s="154" t="n"/>
      <c r="BC10" s="154" t="n"/>
      <c r="BD10" s="154" t="n"/>
      <c r="BE10" s="154" t="n"/>
      <c r="BF10" s="154" t="n"/>
      <c r="BG10" s="154" t="n"/>
      <c r="BH10" s="154" t="n"/>
      <c r="BI10" s="154" t="inlineStr">
        <is>
          <t>R</t>
        </is>
      </c>
      <c r="BJ10" s="154" t="inlineStr">
        <is>
          <t>R</t>
        </is>
      </c>
      <c r="BK10" s="154" t="n"/>
      <c r="BL10" s="154" t="n"/>
      <c r="BM10" s="154" t="inlineStr">
        <is>
          <t>C</t>
        </is>
      </c>
      <c r="BN10" s="154" t="n"/>
      <c r="BO10" s="154" t="n"/>
      <c r="BP10" s="154" t="inlineStr">
        <is>
          <t>C</t>
        </is>
      </c>
      <c r="BQ10" s="154" t="n"/>
      <c r="BR10" s="154" t="n"/>
      <c r="BS10" s="154" t="n"/>
      <c r="BT10" s="154" t="n"/>
      <c r="BU10" s="154" t="n"/>
      <c r="BV10" s="154" t="n"/>
      <c r="BW10" s="154" t="n"/>
      <c r="BX10" s="154" t="n"/>
      <c r="BY10" s="154" t="n"/>
      <c r="BZ10" s="154" t="n"/>
      <c r="CA10" s="154" t="n"/>
      <c r="CB10" s="154" t="n"/>
      <c r="CC10" s="154" t="n"/>
      <c r="CD10" s="154" t="n"/>
      <c r="CE10" s="154" t="n"/>
      <c r="CF10" s="154" t="n"/>
      <c r="CG10" s="154" t="n"/>
      <c r="CH10" s="154" t="n"/>
      <c r="CI10" s="154" t="n"/>
      <c r="CJ10" s="154" t="n"/>
      <c r="CK10" s="154" t="n"/>
      <c r="CL10" s="154" t="n"/>
      <c r="CM10" s="154" t="n"/>
      <c r="CN10" s="154" t="n"/>
      <c r="CO10" s="154" t="n"/>
      <c r="CP10" s="154" t="n"/>
      <c r="CQ10" s="154" t="n"/>
      <c r="CR10" s="154" t="n"/>
      <c r="CS10" s="154" t="n"/>
      <c r="CT10" s="154" t="n"/>
      <c r="CU10" s="154" t="n"/>
      <c r="CV10" s="149">
        <f>COUNTIF(D10:CU10,"C")</f>
        <v/>
      </c>
      <c r="CW10" s="149">
        <f>COUNTIF(D10:CU10,"R")</f>
        <v/>
      </c>
    </row>
    <row r="11">
      <c r="A11" s="152" t="n"/>
      <c r="B11" s="146" t="inlineStr">
        <is>
          <t>APP-06</t>
        </is>
      </c>
      <c r="C11" s="153">
        <f>IFERROR(INDEX(アプリケーション!$C:$C,MATCH(B11,アプリケーション!$A:$A,0)),"（IDなし）")</f>
        <v/>
      </c>
      <c r="D11" s="154" t="n"/>
      <c r="E11" s="154" t="n"/>
      <c r="F11" s="154" t="n"/>
      <c r="G11" s="154" t="inlineStr">
        <is>
          <t>R</t>
        </is>
      </c>
      <c r="H11" s="154" t="inlineStr">
        <is>
          <t>C</t>
        </is>
      </c>
      <c r="I11" s="154" t="n"/>
      <c r="J11" s="154" t="n"/>
      <c r="K11" s="154" t="n"/>
      <c r="L11" s="154" t="n"/>
      <c r="M11" s="154" t="n"/>
      <c r="N11" s="154" t="n"/>
      <c r="O11" s="154" t="n"/>
      <c r="P11" s="154" t="n"/>
      <c r="Q11" s="154" t="n"/>
      <c r="R11" s="154" t="n"/>
      <c r="S11" s="154" t="n"/>
      <c r="T11" s="154" t="n"/>
      <c r="U11" s="154" t="n"/>
      <c r="V11" s="154" t="n"/>
      <c r="W11" s="154" t="n"/>
      <c r="X11" s="154" t="n"/>
      <c r="Y11" s="154" t="n"/>
      <c r="Z11" s="154" t="n"/>
      <c r="AA11" s="154" t="n"/>
      <c r="AB11" s="154" t="n"/>
      <c r="AC11" s="154" t="n"/>
      <c r="AD11" s="154" t="n"/>
      <c r="AE11" s="154" t="n"/>
      <c r="AF11" s="154" t="n"/>
      <c r="AG11" s="154" t="n"/>
      <c r="AH11" s="154" t="n"/>
      <c r="AI11" s="154" t="n"/>
      <c r="AJ11" s="154" t="n"/>
      <c r="AK11" s="154" t="n"/>
      <c r="AL11" s="154" t="n"/>
      <c r="AM11" s="154" t="n"/>
      <c r="AN11" s="154" t="n"/>
      <c r="AO11" s="154" t="n"/>
      <c r="AP11" s="154" t="n"/>
      <c r="AQ11" s="154" t="n"/>
      <c r="AR11" s="154" t="n"/>
      <c r="AS11" s="154" t="n"/>
      <c r="AT11" s="154" t="n"/>
      <c r="AU11" s="154" t="n"/>
      <c r="AV11" s="154" t="n"/>
      <c r="AW11" s="154" t="n"/>
      <c r="AX11" s="154" t="n"/>
      <c r="AY11" s="154" t="n"/>
      <c r="AZ11" s="154" t="n"/>
      <c r="BA11" s="154" t="n"/>
      <c r="BB11" s="154" t="inlineStr">
        <is>
          <t>R</t>
        </is>
      </c>
      <c r="BC11" s="154" t="n"/>
      <c r="BD11" s="154" t="inlineStr">
        <is>
          <t>C</t>
        </is>
      </c>
      <c r="BE11" s="154" t="n"/>
      <c r="BF11" s="154" t="inlineStr">
        <is>
          <t>C</t>
        </is>
      </c>
      <c r="BG11" s="154" t="inlineStr">
        <is>
          <t>C</t>
        </is>
      </c>
      <c r="BH11" s="154" t="inlineStr">
        <is>
          <t>C</t>
        </is>
      </c>
      <c r="BI11" s="154" t="inlineStr">
        <is>
          <t>C</t>
        </is>
      </c>
      <c r="BJ11" s="154" t="n"/>
      <c r="BK11" s="154" t="n"/>
      <c r="BL11" s="154" t="inlineStr">
        <is>
          <t>C</t>
        </is>
      </c>
      <c r="BM11" s="154" t="n"/>
      <c r="BN11" s="154" t="n"/>
      <c r="BO11" s="154" t="inlineStr">
        <is>
          <t>R</t>
        </is>
      </c>
      <c r="BP11" s="154" t="n"/>
      <c r="BQ11" s="154" t="inlineStr">
        <is>
          <t>C</t>
        </is>
      </c>
      <c r="BR11" s="154" t="inlineStr">
        <is>
          <t>C</t>
        </is>
      </c>
      <c r="BS11" s="154" t="n"/>
      <c r="BT11" s="154" t="n"/>
      <c r="BU11" s="154" t="n"/>
      <c r="BV11" s="154" t="inlineStr">
        <is>
          <t>C</t>
        </is>
      </c>
      <c r="BW11" s="154" t="n"/>
      <c r="BX11" s="154" t="n"/>
      <c r="BY11" s="154" t="inlineStr">
        <is>
          <t>R</t>
        </is>
      </c>
      <c r="BZ11" s="154" t="n"/>
      <c r="CA11" s="154" t="n"/>
      <c r="CB11" s="154" t="n"/>
      <c r="CC11" s="154" t="inlineStr">
        <is>
          <t>C</t>
        </is>
      </c>
      <c r="CD11" s="154" t="n"/>
      <c r="CE11" s="154" t="n"/>
      <c r="CF11" s="154" t="n"/>
      <c r="CG11" s="154" t="n"/>
      <c r="CH11" s="154" t="n"/>
      <c r="CI11" s="154" t="n"/>
      <c r="CJ11" s="154" t="n"/>
      <c r="CK11" s="154" t="n"/>
      <c r="CL11" s="154" t="n"/>
      <c r="CM11" s="154" t="n"/>
      <c r="CN11" s="154" t="n"/>
      <c r="CO11" s="154" t="n"/>
      <c r="CP11" s="154" t="n"/>
      <c r="CQ11" s="154" t="n"/>
      <c r="CR11" s="154" t="n"/>
      <c r="CS11" s="154" t="n"/>
      <c r="CT11" s="154" t="n"/>
      <c r="CU11" s="154" t="n"/>
      <c r="CV11" s="149">
        <f>COUNTIF(D11:CU11,"C")</f>
        <v/>
      </c>
      <c r="CW11" s="149">
        <f>COUNTIF(D11:CU11,"R")</f>
        <v/>
      </c>
    </row>
    <row r="12">
      <c r="A12" s="152" t="n"/>
      <c r="B12" s="146" t="inlineStr">
        <is>
          <t>APP-07</t>
        </is>
      </c>
      <c r="C12" s="153">
        <f>IFERROR(INDEX(アプリケーション!$C:$C,MATCH(B12,アプリケーション!$A:$A,0)),"（IDなし）")</f>
        <v/>
      </c>
      <c r="D12" s="154" t="n"/>
      <c r="E12" s="154" t="n"/>
      <c r="F12" s="154" t="n"/>
      <c r="G12" s="154" t="n"/>
      <c r="H12" s="154" t="n"/>
      <c r="I12" s="154" t="n"/>
      <c r="J12" s="154" t="n"/>
      <c r="K12" s="154" t="n"/>
      <c r="L12" s="154" t="n"/>
      <c r="M12" s="154" t="n"/>
      <c r="N12" s="154" t="n"/>
      <c r="O12" s="154" t="n"/>
      <c r="P12" s="154" t="n"/>
      <c r="Q12" s="154" t="n"/>
      <c r="R12" s="154" t="n"/>
      <c r="S12" s="154" t="n"/>
      <c r="T12" s="154" t="n"/>
      <c r="U12" s="154" t="n"/>
      <c r="V12" s="154" t="n"/>
      <c r="W12" s="154" t="n"/>
      <c r="X12" s="154" t="inlineStr">
        <is>
          <t>R</t>
        </is>
      </c>
      <c r="Y12" s="154" t="n"/>
      <c r="Z12" s="154" t="n"/>
      <c r="AA12" s="154" t="n"/>
      <c r="AB12" s="154" t="n"/>
      <c r="AC12" s="154" t="n"/>
      <c r="AD12" s="154" t="n"/>
      <c r="AE12" s="154" t="n"/>
      <c r="AF12" s="154" t="n"/>
      <c r="AG12" s="154" t="n"/>
      <c r="AH12" s="154" t="inlineStr">
        <is>
          <t>R</t>
        </is>
      </c>
      <c r="AI12" s="154" t="n"/>
      <c r="AJ12" s="154" t="n"/>
      <c r="AK12" s="154" t="n"/>
      <c r="AL12" s="154" t="n"/>
      <c r="AM12" s="154" t="n"/>
      <c r="AN12" s="154" t="n"/>
      <c r="AO12" s="154" t="n"/>
      <c r="AP12" s="154" t="n"/>
      <c r="AQ12" s="154" t="n"/>
      <c r="AR12" s="154" t="n"/>
      <c r="AS12" s="154" t="n"/>
      <c r="AT12" s="154" t="n"/>
      <c r="AU12" s="154" t="n"/>
      <c r="AV12" s="154" t="n"/>
      <c r="AW12" s="154" t="n"/>
      <c r="AX12" s="154" t="n"/>
      <c r="AY12" s="154" t="n"/>
      <c r="AZ12" s="154" t="inlineStr">
        <is>
          <t>R</t>
        </is>
      </c>
      <c r="BA12" s="154" t="n"/>
      <c r="BB12" s="154" t="n"/>
      <c r="BC12" s="154" t="n"/>
      <c r="BD12" s="154" t="n"/>
      <c r="BE12" s="154" t="inlineStr">
        <is>
          <t>C</t>
        </is>
      </c>
      <c r="BF12" s="154" t="n"/>
      <c r="BG12" s="154" t="n"/>
      <c r="BH12" s="154" t="inlineStr">
        <is>
          <t>C</t>
        </is>
      </c>
      <c r="BI12" s="154" t="inlineStr">
        <is>
          <t>R</t>
        </is>
      </c>
      <c r="BJ12" s="154" t="inlineStr">
        <is>
          <t>C</t>
        </is>
      </c>
      <c r="BK12" s="154" t="inlineStr">
        <is>
          <t>C</t>
        </is>
      </c>
      <c r="BL12" s="154" t="inlineStr">
        <is>
          <t>C</t>
        </is>
      </c>
      <c r="BM12" s="154" t="inlineStr">
        <is>
          <t>C</t>
        </is>
      </c>
      <c r="BN12" s="154" t="n"/>
      <c r="BO12" s="154" t="n"/>
      <c r="BP12" s="154" t="n"/>
      <c r="BQ12" s="154" t="inlineStr">
        <is>
          <t>R</t>
        </is>
      </c>
      <c r="BR12" s="154" t="n"/>
      <c r="BS12" s="154" t="n"/>
      <c r="BT12" s="154" t="n"/>
      <c r="BU12" s="154" t="n"/>
      <c r="BV12" s="154" t="n"/>
      <c r="BW12" s="154" t="n"/>
      <c r="BX12" s="154" t="n"/>
      <c r="BY12" s="154" t="n"/>
      <c r="BZ12" s="154" t="n"/>
      <c r="CA12" s="154" t="n"/>
      <c r="CB12" s="154" t="n"/>
      <c r="CC12" s="154" t="inlineStr">
        <is>
          <t>R</t>
        </is>
      </c>
      <c r="CD12" s="154" t="n"/>
      <c r="CE12" s="154" t="n"/>
      <c r="CF12" s="154" t="n"/>
      <c r="CG12" s="154" t="n"/>
      <c r="CH12" s="154" t="n"/>
      <c r="CI12" s="154" t="n"/>
      <c r="CJ12" s="154" t="n"/>
      <c r="CK12" s="154" t="n"/>
      <c r="CL12" s="154" t="n"/>
      <c r="CM12" s="154" t="n"/>
      <c r="CN12" s="154" t="n"/>
      <c r="CO12" s="154" t="n"/>
      <c r="CP12" s="154" t="n"/>
      <c r="CQ12" s="154" t="n"/>
      <c r="CR12" s="154" t="n"/>
      <c r="CS12" s="154" t="n"/>
      <c r="CT12" s="154" t="n"/>
      <c r="CU12" s="154" t="n"/>
      <c r="CV12" s="149">
        <f>COUNTIF(D12:CU12,"C")</f>
        <v/>
      </c>
      <c r="CW12" s="149">
        <f>COUNTIF(D12:CU12,"R")</f>
        <v/>
      </c>
    </row>
    <row r="13">
      <c r="A13" s="152" t="n"/>
      <c r="B13" s="146" t="inlineStr">
        <is>
          <t>APP-08</t>
        </is>
      </c>
      <c r="C13" s="153">
        <f>IFERROR(INDEX(アプリケーション!$C:$C,MATCH(B13,アプリケーション!$A:$A,0)),"（IDなし）")</f>
        <v/>
      </c>
      <c r="D13" s="154" t="n"/>
      <c r="E13" s="154" t="n"/>
      <c r="F13" s="154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  <c r="V13" s="154" t="n"/>
      <c r="W13" s="154" t="n"/>
      <c r="X13" s="154" t="n"/>
      <c r="Y13" s="154" t="n"/>
      <c r="Z13" s="154" t="n"/>
      <c r="AA13" s="154" t="n"/>
      <c r="AB13" s="154" t="n"/>
      <c r="AC13" s="154" t="n"/>
      <c r="AD13" s="154" t="n"/>
      <c r="AE13" s="154" t="n"/>
      <c r="AF13" s="154" t="n"/>
      <c r="AG13" s="154" t="n"/>
      <c r="AH13" s="154" t="n"/>
      <c r="AI13" s="154" t="n"/>
      <c r="AJ13" s="154" t="n"/>
      <c r="AK13" s="154" t="n"/>
      <c r="AL13" s="154" t="n"/>
      <c r="AM13" s="154" t="n"/>
      <c r="AN13" s="154" t="n"/>
      <c r="AO13" s="154" t="n"/>
      <c r="AP13" s="154" t="inlineStr">
        <is>
          <t>R</t>
        </is>
      </c>
      <c r="AQ13" s="154" t="n"/>
      <c r="AR13" s="154" t="n"/>
      <c r="AS13" s="154" t="n"/>
      <c r="AT13" s="154" t="n"/>
      <c r="AU13" s="154" t="n"/>
      <c r="AV13" s="154" t="n"/>
      <c r="AW13" s="154" t="n"/>
      <c r="AX13" s="154" t="n"/>
      <c r="AY13" s="154" t="inlineStr">
        <is>
          <t>C</t>
        </is>
      </c>
      <c r="AZ13" s="154" t="n"/>
      <c r="BA13" s="154" t="n"/>
      <c r="BB13" s="154" t="n"/>
      <c r="BC13" s="154" t="n"/>
      <c r="BD13" s="154" t="inlineStr">
        <is>
          <t>R</t>
        </is>
      </c>
      <c r="BE13" s="154" t="n"/>
      <c r="BF13" s="154" t="n"/>
      <c r="BG13" s="154" t="n"/>
      <c r="BH13" s="154" t="n"/>
      <c r="BI13" s="154" t="n"/>
      <c r="BJ13" s="154" t="n"/>
      <c r="BK13" s="154" t="n"/>
      <c r="BL13" s="154" t="n"/>
      <c r="BM13" s="154" t="n"/>
      <c r="BN13" s="154" t="n"/>
      <c r="BO13" s="154" t="inlineStr">
        <is>
          <t>C</t>
        </is>
      </c>
      <c r="BP13" s="154" t="n"/>
      <c r="BQ13" s="154" t="n"/>
      <c r="BR13" s="154" t="n"/>
      <c r="BS13" s="154" t="n"/>
      <c r="BT13" s="154" t="n"/>
      <c r="BU13" s="154" t="n"/>
      <c r="BV13" s="154" t="n"/>
      <c r="BW13" s="154" t="n"/>
      <c r="BX13" s="154" t="n"/>
      <c r="BY13" s="154" t="n"/>
      <c r="BZ13" s="154" t="n"/>
      <c r="CA13" s="154" t="n"/>
      <c r="CB13" s="154" t="n"/>
      <c r="CC13" s="154" t="n"/>
      <c r="CD13" s="154" t="n"/>
      <c r="CE13" s="154" t="n"/>
      <c r="CF13" s="154" t="n"/>
      <c r="CG13" s="154" t="n"/>
      <c r="CH13" s="154" t="n"/>
      <c r="CI13" s="154" t="n"/>
      <c r="CJ13" s="154" t="n"/>
      <c r="CK13" s="154" t="n"/>
      <c r="CL13" s="154" t="n"/>
      <c r="CM13" s="154" t="n"/>
      <c r="CN13" s="154" t="n"/>
      <c r="CO13" s="154" t="n"/>
      <c r="CP13" s="154" t="n"/>
      <c r="CQ13" s="154" t="n"/>
      <c r="CR13" s="154" t="n"/>
      <c r="CS13" s="154" t="n"/>
      <c r="CT13" s="154" t="n"/>
      <c r="CU13" s="154" t="n"/>
      <c r="CV13" s="149">
        <f>COUNTIF(D13:CU13,"C")</f>
        <v/>
      </c>
      <c r="CW13" s="149">
        <f>COUNTIF(D13:CU13,"R")</f>
        <v/>
      </c>
    </row>
    <row r="14">
      <c r="A14" s="152" t="n"/>
      <c r="B14" s="146" t="inlineStr">
        <is>
          <t>APP-09</t>
        </is>
      </c>
      <c r="C14" s="153">
        <f>IFERROR(INDEX(アプリケーション!$C:$C,MATCH(B14,アプリケーション!$A:$A,0)),"（IDなし）")</f>
        <v/>
      </c>
      <c r="D14" s="154" t="n"/>
      <c r="E14" s="154" t="n"/>
      <c r="F14" s="154" t="n"/>
      <c r="G14" s="154" t="inlineStr">
        <is>
          <t>R</t>
        </is>
      </c>
      <c r="H14" s="154" t="inlineStr">
        <is>
          <t>C</t>
        </is>
      </c>
      <c r="I14" s="154" t="n"/>
      <c r="J14" s="154" t="n"/>
      <c r="K14" s="154" t="n"/>
      <c r="L14" s="154" t="n"/>
      <c r="M14" s="154" t="n"/>
      <c r="N14" s="154" t="n"/>
      <c r="O14" s="154" t="n"/>
      <c r="P14" s="154" t="n"/>
      <c r="Q14" s="154" t="n"/>
      <c r="R14" s="154" t="n"/>
      <c r="S14" s="154" t="n"/>
      <c r="T14" s="154" t="n"/>
      <c r="U14" s="154" t="n"/>
      <c r="V14" s="154" t="n"/>
      <c r="W14" s="154" t="n"/>
      <c r="X14" s="154" t="n"/>
      <c r="Y14" s="154" t="n"/>
      <c r="Z14" s="154" t="n"/>
      <c r="AA14" s="154" t="n"/>
      <c r="AB14" s="154" t="n"/>
      <c r="AC14" s="154" t="n"/>
      <c r="AD14" s="154" t="n"/>
      <c r="AE14" s="154" t="n"/>
      <c r="AF14" s="154" t="n"/>
      <c r="AG14" s="154" t="n"/>
      <c r="AH14" s="154" t="n"/>
      <c r="AI14" s="154" t="n"/>
      <c r="AJ14" s="154" t="n"/>
      <c r="AK14" s="154" t="n"/>
      <c r="AL14" s="154" t="n"/>
      <c r="AM14" s="154" t="n"/>
      <c r="AN14" s="154" t="n"/>
      <c r="AO14" s="154" t="n"/>
      <c r="AP14" s="154" t="n"/>
      <c r="AQ14" s="154" t="n"/>
      <c r="AR14" s="154" t="n"/>
      <c r="AS14" s="154" t="n"/>
      <c r="AT14" s="154" t="n"/>
      <c r="AU14" s="154" t="n"/>
      <c r="AV14" s="154" t="n"/>
      <c r="AW14" s="154" t="n"/>
      <c r="AX14" s="154" t="n"/>
      <c r="AY14" s="154" t="n"/>
      <c r="AZ14" s="154" t="n"/>
      <c r="BA14" s="154" t="n"/>
      <c r="BB14" s="154" t="inlineStr">
        <is>
          <t>R</t>
        </is>
      </c>
      <c r="BC14" s="154" t="n"/>
      <c r="BD14" s="154" t="inlineStr">
        <is>
          <t>C</t>
        </is>
      </c>
      <c r="BE14" s="154" t="n"/>
      <c r="BF14" s="154" t="inlineStr">
        <is>
          <t>C</t>
        </is>
      </c>
      <c r="BG14" s="154" t="inlineStr">
        <is>
          <t>C</t>
        </is>
      </c>
      <c r="BH14" s="154" t="inlineStr">
        <is>
          <t>C</t>
        </is>
      </c>
      <c r="BI14" s="154" t="inlineStr">
        <is>
          <t>C</t>
        </is>
      </c>
      <c r="BJ14" s="154" t="n"/>
      <c r="BK14" s="154" t="n"/>
      <c r="BL14" s="154" t="inlineStr">
        <is>
          <t>C</t>
        </is>
      </c>
      <c r="BM14" s="154" t="n"/>
      <c r="BN14" s="154" t="n"/>
      <c r="BO14" s="154" t="inlineStr">
        <is>
          <t>R</t>
        </is>
      </c>
      <c r="BP14" s="154" t="n"/>
      <c r="BQ14" s="154" t="inlineStr">
        <is>
          <t>C</t>
        </is>
      </c>
      <c r="BR14" s="154" t="inlineStr">
        <is>
          <t>C</t>
        </is>
      </c>
      <c r="BS14" s="154" t="n"/>
      <c r="BT14" s="154" t="n"/>
      <c r="BU14" s="154" t="n"/>
      <c r="BV14" s="154" t="inlineStr">
        <is>
          <t>C</t>
        </is>
      </c>
      <c r="BW14" s="154" t="n"/>
      <c r="BX14" s="154" t="n"/>
      <c r="BY14" s="154" t="inlineStr">
        <is>
          <t>R</t>
        </is>
      </c>
      <c r="BZ14" s="154" t="n"/>
      <c r="CA14" s="154" t="n"/>
      <c r="CB14" s="154" t="n"/>
      <c r="CC14" s="154" t="inlineStr">
        <is>
          <t>C</t>
        </is>
      </c>
      <c r="CD14" s="154" t="n"/>
      <c r="CE14" s="154" t="n"/>
      <c r="CF14" s="154" t="n"/>
      <c r="CG14" s="154" t="n"/>
      <c r="CH14" s="154" t="n"/>
      <c r="CI14" s="154" t="n"/>
      <c r="CJ14" s="154" t="n"/>
      <c r="CK14" s="154" t="n"/>
      <c r="CL14" s="154" t="n"/>
      <c r="CM14" s="154" t="n"/>
      <c r="CN14" s="154" t="n"/>
      <c r="CO14" s="154" t="n"/>
      <c r="CP14" s="154" t="n"/>
      <c r="CQ14" s="154" t="n"/>
      <c r="CR14" s="154" t="n"/>
      <c r="CS14" s="154" t="n"/>
      <c r="CT14" s="154" t="n"/>
      <c r="CU14" s="154" t="n"/>
      <c r="CV14" s="149">
        <f>COUNTIF(D14:CU14,"C")</f>
        <v/>
      </c>
      <c r="CW14" s="149">
        <f>COUNTIF(D14:CU14,"R")</f>
        <v/>
      </c>
    </row>
    <row r="15">
      <c r="A15" s="152" t="n"/>
      <c r="B15" s="146" t="inlineStr">
        <is>
          <t>APP-10</t>
        </is>
      </c>
      <c r="C15" s="153">
        <f>IFERROR(INDEX(アプリケーション!$C:$C,MATCH(B15,アプリケーション!$A:$A,0)),"（IDなし）")</f>
        <v/>
      </c>
      <c r="D15" s="154" t="n"/>
      <c r="E15" s="154" t="n"/>
      <c r="F15" s="154" t="n"/>
      <c r="G15" s="154" t="n"/>
      <c r="H15" s="154" t="n"/>
      <c r="I15" s="154" t="n"/>
      <c r="J15" s="154" t="n"/>
      <c r="K15" s="154" t="n"/>
      <c r="L15" s="154" t="n"/>
      <c r="M15" s="154" t="n"/>
      <c r="N15" s="154" t="n"/>
      <c r="O15" s="154" t="n"/>
      <c r="P15" s="154" t="n"/>
      <c r="Q15" s="154" t="n"/>
      <c r="R15" s="154" t="n"/>
      <c r="S15" s="154" t="n"/>
      <c r="T15" s="154" t="n"/>
      <c r="U15" s="154" t="n"/>
      <c r="V15" s="154" t="n"/>
      <c r="W15" s="154" t="n"/>
      <c r="X15" s="154" t="inlineStr">
        <is>
          <t>R</t>
        </is>
      </c>
      <c r="Y15" s="154" t="n"/>
      <c r="Z15" s="154" t="n"/>
      <c r="AA15" s="154" t="n"/>
      <c r="AB15" s="154" t="n"/>
      <c r="AC15" s="154" t="n"/>
      <c r="AD15" s="154" t="n"/>
      <c r="AE15" s="154" t="n"/>
      <c r="AF15" s="154" t="n"/>
      <c r="AG15" s="154" t="n"/>
      <c r="AH15" s="154" t="inlineStr">
        <is>
          <t>R</t>
        </is>
      </c>
      <c r="AI15" s="154" t="n"/>
      <c r="AJ15" s="154" t="n"/>
      <c r="AK15" s="154" t="n"/>
      <c r="AL15" s="154" t="n"/>
      <c r="AM15" s="154" t="n"/>
      <c r="AN15" s="154" t="n"/>
      <c r="AO15" s="154" t="n"/>
      <c r="AP15" s="154" t="n"/>
      <c r="AQ15" s="154" t="n"/>
      <c r="AR15" s="154" t="n"/>
      <c r="AS15" s="154" t="n"/>
      <c r="AT15" s="154" t="n"/>
      <c r="AU15" s="154" t="n"/>
      <c r="AV15" s="154" t="n"/>
      <c r="AW15" s="154" t="n"/>
      <c r="AX15" s="154" t="n"/>
      <c r="AY15" s="154" t="n"/>
      <c r="AZ15" s="154" t="inlineStr">
        <is>
          <t>R</t>
        </is>
      </c>
      <c r="BA15" s="154" t="n"/>
      <c r="BB15" s="154" t="n"/>
      <c r="BC15" s="154" t="n"/>
      <c r="BD15" s="154" t="n"/>
      <c r="BE15" s="154" t="inlineStr">
        <is>
          <t>C</t>
        </is>
      </c>
      <c r="BF15" s="154" t="n"/>
      <c r="BG15" s="154" t="n"/>
      <c r="BH15" s="154" t="inlineStr">
        <is>
          <t>C</t>
        </is>
      </c>
      <c r="BI15" s="154" t="inlineStr">
        <is>
          <t>R</t>
        </is>
      </c>
      <c r="BJ15" s="154" t="inlineStr">
        <is>
          <t>C</t>
        </is>
      </c>
      <c r="BK15" s="154" t="inlineStr">
        <is>
          <t>C</t>
        </is>
      </c>
      <c r="BL15" s="154" t="inlineStr">
        <is>
          <t>C</t>
        </is>
      </c>
      <c r="BM15" s="154" t="inlineStr">
        <is>
          <t>C</t>
        </is>
      </c>
      <c r="BN15" s="154" t="n"/>
      <c r="BO15" s="154" t="n"/>
      <c r="BP15" s="154" t="n"/>
      <c r="BQ15" s="154" t="inlineStr">
        <is>
          <t>R</t>
        </is>
      </c>
      <c r="BR15" s="154" t="n"/>
      <c r="BS15" s="154" t="n"/>
      <c r="BT15" s="154" t="n"/>
      <c r="BU15" s="154" t="n"/>
      <c r="BV15" s="154" t="n"/>
      <c r="BW15" s="154" t="n"/>
      <c r="BX15" s="154" t="n"/>
      <c r="BY15" s="154" t="n"/>
      <c r="BZ15" s="154" t="n"/>
      <c r="CA15" s="154" t="n"/>
      <c r="CB15" s="154" t="n"/>
      <c r="CC15" s="154" t="inlineStr">
        <is>
          <t>R</t>
        </is>
      </c>
      <c r="CD15" s="154" t="n"/>
      <c r="CE15" s="154" t="n"/>
      <c r="CF15" s="154" t="n"/>
      <c r="CG15" s="154" t="n"/>
      <c r="CH15" s="154" t="n"/>
      <c r="CI15" s="154" t="n"/>
      <c r="CJ15" s="154" t="n"/>
      <c r="CK15" s="154" t="n"/>
      <c r="CL15" s="154" t="n"/>
      <c r="CM15" s="154" t="n"/>
      <c r="CN15" s="154" t="n"/>
      <c r="CO15" s="154" t="n"/>
      <c r="CP15" s="154" t="n"/>
      <c r="CQ15" s="154" t="n"/>
      <c r="CR15" s="154" t="n"/>
      <c r="CS15" s="154" t="n"/>
      <c r="CT15" s="154" t="n"/>
      <c r="CU15" s="154" t="n"/>
      <c r="CV15" s="149">
        <f>COUNTIF(D15:CU15,"C")</f>
        <v/>
      </c>
      <c r="CW15" s="149">
        <f>COUNTIF(D15:CU15,"R")</f>
        <v/>
      </c>
    </row>
    <row r="16">
      <c r="A16" s="152" t="n"/>
      <c r="B16" s="146" t="inlineStr">
        <is>
          <t>APP-11</t>
        </is>
      </c>
      <c r="C16" s="153">
        <f>IFERROR(INDEX(アプリケーション!$C:$C,MATCH(B16,アプリケーション!$A:$A,0)),"（IDなし）")</f>
        <v/>
      </c>
      <c r="D16" s="154" t="n"/>
      <c r="E16" s="154" t="n"/>
      <c r="F16" s="154" t="n"/>
      <c r="G16" s="154" t="n"/>
      <c r="H16" s="154" t="n"/>
      <c r="I16" s="154" t="inlineStr">
        <is>
          <t>R</t>
        </is>
      </c>
      <c r="J16" s="154" t="inlineStr">
        <is>
          <t>R</t>
        </is>
      </c>
      <c r="K16" s="154" t="inlineStr">
        <is>
          <t>R</t>
        </is>
      </c>
      <c r="L16" s="154" t="n"/>
      <c r="M16" s="154" t="n"/>
      <c r="N16" s="154" t="n"/>
      <c r="O16" s="154" t="n"/>
      <c r="P16" s="154" t="n"/>
      <c r="Q16" s="154" t="n"/>
      <c r="R16" s="154" t="n"/>
      <c r="S16" s="154" t="n"/>
      <c r="T16" s="154" t="n"/>
      <c r="U16" s="154" t="inlineStr">
        <is>
          <t>C</t>
        </is>
      </c>
      <c r="V16" s="154" t="n"/>
      <c r="W16" s="154" t="n"/>
      <c r="X16" s="154" t="n"/>
      <c r="Y16" s="154" t="n"/>
      <c r="Z16" s="154" t="n"/>
      <c r="AA16" s="154" t="n"/>
      <c r="AB16" s="154" t="n"/>
      <c r="AC16" s="154" t="n"/>
      <c r="AD16" s="154" t="n"/>
      <c r="AE16" s="154" t="n"/>
      <c r="AF16" s="154" t="n"/>
      <c r="AG16" s="154" t="n"/>
      <c r="AH16" s="154" t="n"/>
      <c r="AI16" s="154" t="n"/>
      <c r="AJ16" s="154" t="n"/>
      <c r="AK16" s="154" t="n"/>
      <c r="AL16" s="154" t="n"/>
      <c r="AM16" s="154" t="n"/>
      <c r="AN16" s="154" t="n"/>
      <c r="AO16" s="154" t="n"/>
      <c r="AP16" s="154" t="n"/>
      <c r="AQ16" s="154" t="n"/>
      <c r="AR16" s="154" t="n"/>
      <c r="AS16" s="154" t="n"/>
      <c r="AT16" s="154" t="n"/>
      <c r="AU16" s="154" t="n"/>
      <c r="AV16" s="154" t="n"/>
      <c r="AW16" s="154" t="n"/>
      <c r="AX16" s="154" t="n"/>
      <c r="AY16" s="154" t="n"/>
      <c r="AZ16" s="154" t="inlineStr">
        <is>
          <t>C</t>
        </is>
      </c>
      <c r="BA16" s="154" t="inlineStr">
        <is>
          <t>C</t>
        </is>
      </c>
      <c r="BB16" s="154" t="inlineStr">
        <is>
          <t>C</t>
        </is>
      </c>
      <c r="BC16" s="154" t="n"/>
      <c r="BD16" s="154" t="n"/>
      <c r="BE16" s="154" t="n"/>
      <c r="BF16" s="154" t="n"/>
      <c r="BG16" s="154" t="n"/>
      <c r="BH16" s="154" t="n"/>
      <c r="BI16" s="154" t="n"/>
      <c r="BJ16" s="154" t="n"/>
      <c r="BK16" s="154" t="n"/>
      <c r="BL16" s="154" t="n"/>
      <c r="BM16" s="154" t="n"/>
      <c r="BN16" s="154" t="n"/>
      <c r="BO16" s="154" t="n"/>
      <c r="BP16" s="154" t="n"/>
      <c r="BQ16" s="154" t="inlineStr">
        <is>
          <t>C</t>
        </is>
      </c>
      <c r="BR16" s="154" t="inlineStr">
        <is>
          <t>C</t>
        </is>
      </c>
      <c r="BS16" s="154" t="n"/>
      <c r="BT16" s="154" t="n"/>
      <c r="BU16" s="154" t="n"/>
      <c r="BV16" s="154" t="n"/>
      <c r="BW16" s="154" t="n"/>
      <c r="BX16" s="154" t="n"/>
      <c r="BY16" s="154" t="n"/>
      <c r="BZ16" s="154" t="n"/>
      <c r="CA16" s="154" t="n"/>
      <c r="CB16" s="154" t="n"/>
      <c r="CC16" s="154" t="n"/>
      <c r="CD16" s="154" t="n"/>
      <c r="CE16" s="154" t="n"/>
      <c r="CF16" s="154" t="n"/>
      <c r="CG16" s="154" t="n"/>
      <c r="CH16" s="154" t="n"/>
      <c r="CI16" s="154" t="n"/>
      <c r="CJ16" s="154" t="n"/>
      <c r="CK16" s="154" t="n"/>
      <c r="CL16" s="154" t="n"/>
      <c r="CM16" s="154" t="n"/>
      <c r="CN16" s="154" t="n"/>
      <c r="CO16" s="154" t="n"/>
      <c r="CP16" s="154" t="n"/>
      <c r="CQ16" s="154" t="n"/>
      <c r="CR16" s="154" t="n"/>
      <c r="CS16" s="154" t="n"/>
      <c r="CT16" s="154" t="n"/>
      <c r="CU16" s="154" t="n"/>
      <c r="CV16" s="149">
        <f>COUNTIF(D16:CU16,"C")</f>
        <v/>
      </c>
      <c r="CW16" s="149">
        <f>COUNTIF(D16:CU16,"R")</f>
        <v/>
      </c>
    </row>
    <row r="17">
      <c r="A17" s="152" t="inlineStr">
        <is>
          <t>薬事</t>
        </is>
      </c>
      <c r="B17" s="146" t="inlineStr">
        <is>
          <t>APP-12</t>
        </is>
      </c>
      <c r="C17" s="153">
        <f>IFERROR(INDEX(アプリケーション!$C:$C,MATCH(B17,アプリケーション!$A:$A,0)),"（IDなし）")</f>
        <v/>
      </c>
      <c r="D17" s="154" t="inlineStr">
        <is>
          <t>C</t>
        </is>
      </c>
      <c r="E17" s="154" t="inlineStr">
        <is>
          <t>C</t>
        </is>
      </c>
      <c r="F17" s="154" t="n"/>
      <c r="G17" s="154" t="n"/>
      <c r="H17" s="154" t="n"/>
      <c r="I17" s="154" t="inlineStr">
        <is>
          <t>R</t>
        </is>
      </c>
      <c r="J17" s="154" t="n"/>
      <c r="K17" s="154" t="n"/>
      <c r="L17" s="154" t="n"/>
      <c r="M17" s="154" t="n"/>
      <c r="N17" s="154" t="n"/>
      <c r="O17" s="154" t="n"/>
      <c r="P17" s="154" t="n"/>
      <c r="Q17" s="154" t="n"/>
      <c r="R17" s="154" t="n"/>
      <c r="S17" s="154" t="n"/>
      <c r="T17" s="154" t="n"/>
      <c r="U17" s="154" t="inlineStr">
        <is>
          <t>R</t>
        </is>
      </c>
      <c r="V17" s="154" t="n"/>
      <c r="W17" s="154" t="n"/>
      <c r="X17" s="154" t="inlineStr">
        <is>
          <t>R</t>
        </is>
      </c>
      <c r="Y17" s="154" t="n"/>
      <c r="Z17" s="154" t="n"/>
      <c r="AA17" s="154" t="n"/>
      <c r="AB17" s="154" t="n"/>
      <c r="AC17" s="154" t="n"/>
      <c r="AD17" s="154" t="n"/>
      <c r="AE17" s="154" t="n"/>
      <c r="AF17" s="154" t="n"/>
      <c r="AG17" s="154" t="n"/>
      <c r="AH17" s="154" t="n"/>
      <c r="AI17" s="154" t="n"/>
      <c r="AJ17" s="154" t="n"/>
      <c r="AK17" s="154" t="inlineStr">
        <is>
          <t>R</t>
        </is>
      </c>
      <c r="AL17" s="154" t="n"/>
      <c r="AM17" s="154" t="n"/>
      <c r="AN17" s="154" t="n"/>
      <c r="AO17" s="154" t="n"/>
      <c r="AP17" s="154" t="n"/>
      <c r="AQ17" s="154" t="n"/>
      <c r="AR17" s="154" t="n"/>
      <c r="AS17" s="154" t="n"/>
      <c r="AT17" s="154" t="inlineStr">
        <is>
          <t>R</t>
        </is>
      </c>
      <c r="AU17" s="154" t="n"/>
      <c r="AV17" s="154" t="n"/>
      <c r="AW17" s="154" t="n"/>
      <c r="AX17" s="154" t="inlineStr">
        <is>
          <t>R</t>
        </is>
      </c>
      <c r="AY17" s="154" t="inlineStr">
        <is>
          <t>C</t>
        </is>
      </c>
      <c r="AZ17" s="154" t="inlineStr">
        <is>
          <t>R</t>
        </is>
      </c>
      <c r="BA17" s="154" t="n"/>
      <c r="BB17" s="154" t="n"/>
      <c r="BC17" s="154" t="inlineStr">
        <is>
          <t>R</t>
        </is>
      </c>
      <c r="BD17" s="154" t="n"/>
      <c r="BE17" s="154" t="inlineStr">
        <is>
          <t>R</t>
        </is>
      </c>
      <c r="BF17" s="154" t="n"/>
      <c r="BG17" s="154" t="n"/>
      <c r="BH17" s="154" t="inlineStr">
        <is>
          <t>R</t>
        </is>
      </c>
      <c r="BI17" s="154" t="inlineStr">
        <is>
          <t>R</t>
        </is>
      </c>
      <c r="BJ17" s="154" t="n"/>
      <c r="BK17" s="154" t="n"/>
      <c r="BL17" s="154" t="inlineStr">
        <is>
          <t>R</t>
        </is>
      </c>
      <c r="BM17" s="154" t="inlineStr">
        <is>
          <t>R</t>
        </is>
      </c>
      <c r="BN17" s="154" t="inlineStr">
        <is>
          <t>R</t>
        </is>
      </c>
      <c r="BO17" s="154" t="n"/>
      <c r="BP17" s="154" t="n"/>
      <c r="BQ17" s="154" t="n"/>
      <c r="BR17" s="154" t="n"/>
      <c r="BS17" s="154" t="inlineStr">
        <is>
          <t>C</t>
        </is>
      </c>
      <c r="BT17" s="154" t="inlineStr">
        <is>
          <t>C</t>
        </is>
      </c>
      <c r="BU17" s="154" t="inlineStr">
        <is>
          <t>R</t>
        </is>
      </c>
      <c r="BV17" s="154" t="inlineStr">
        <is>
          <t>C</t>
        </is>
      </c>
      <c r="BW17" s="154" t="inlineStr">
        <is>
          <t>C</t>
        </is>
      </c>
      <c r="BX17" s="154" t="inlineStr">
        <is>
          <t>C</t>
        </is>
      </c>
      <c r="BY17" s="154" t="inlineStr">
        <is>
          <t>C</t>
        </is>
      </c>
      <c r="BZ17" s="154" t="inlineStr">
        <is>
          <t>C</t>
        </is>
      </c>
      <c r="CA17" s="154" t="n"/>
      <c r="CB17" s="154" t="inlineStr">
        <is>
          <t>C</t>
        </is>
      </c>
      <c r="CC17" s="154" t="n"/>
      <c r="CD17" s="154" t="inlineStr">
        <is>
          <t>R</t>
        </is>
      </c>
      <c r="CE17" s="154" t="n"/>
      <c r="CF17" s="154" t="n"/>
      <c r="CG17" s="154" t="n"/>
      <c r="CH17" s="154" t="n"/>
      <c r="CI17" s="154" t="n"/>
      <c r="CJ17" s="154" t="n"/>
      <c r="CK17" s="154" t="n"/>
      <c r="CL17" s="154" t="n"/>
      <c r="CM17" s="154" t="n"/>
      <c r="CN17" s="154" t="n"/>
      <c r="CO17" s="154" t="n"/>
      <c r="CP17" s="154" t="n"/>
      <c r="CQ17" s="154" t="n"/>
      <c r="CR17" s="154" t="n"/>
      <c r="CS17" s="154" t="n"/>
      <c r="CT17" s="154" t="n"/>
      <c r="CU17" s="154" t="n"/>
      <c r="CV17" s="149">
        <f>COUNTIF(D17:CU17,"C")</f>
        <v/>
      </c>
      <c r="CW17" s="149">
        <f>COUNTIF(D17:CU17,"R")</f>
        <v/>
      </c>
    </row>
    <row r="18">
      <c r="A18" s="152" t="n"/>
      <c r="B18" s="146" t="inlineStr">
        <is>
          <t>APP-13</t>
        </is>
      </c>
      <c r="C18" s="153">
        <f>IFERROR(INDEX(アプリケーション!$C:$C,MATCH(B18,アプリケーション!$A:$A,0)),"（IDなし）")</f>
        <v/>
      </c>
      <c r="D18" s="154" t="n"/>
      <c r="E18" s="154" t="n"/>
      <c r="F18" s="154" t="n"/>
      <c r="G18" s="154" t="n"/>
      <c r="H18" s="154" t="n"/>
      <c r="I18" s="154" t="inlineStr">
        <is>
          <t>C</t>
        </is>
      </c>
      <c r="J18" s="154" t="n"/>
      <c r="K18" s="154" t="n"/>
      <c r="L18" s="154" t="n"/>
      <c r="M18" s="154" t="n"/>
      <c r="N18" s="154" t="n"/>
      <c r="O18" s="154" t="n"/>
      <c r="P18" s="154" t="n"/>
      <c r="Q18" s="154" t="n"/>
      <c r="R18" s="154" t="n"/>
      <c r="S18" s="154" t="n"/>
      <c r="T18" s="154" t="n"/>
      <c r="U18" s="154" t="n"/>
      <c r="V18" s="154" t="n"/>
      <c r="W18" s="154" t="n"/>
      <c r="X18" s="154" t="inlineStr">
        <is>
          <t>R</t>
        </is>
      </c>
      <c r="Y18" s="154" t="n"/>
      <c r="Z18" s="154" t="n"/>
      <c r="AA18" s="154" t="n"/>
      <c r="AB18" s="154" t="inlineStr">
        <is>
          <t>R</t>
        </is>
      </c>
      <c r="AC18" s="154" t="n"/>
      <c r="AD18" s="154" t="inlineStr">
        <is>
          <t>R</t>
        </is>
      </c>
      <c r="AE18" s="154" t="n"/>
      <c r="AF18" s="154" t="n"/>
      <c r="AG18" s="154" t="n"/>
      <c r="AH18" s="154" t="inlineStr">
        <is>
          <t>R</t>
        </is>
      </c>
      <c r="AI18" s="154" t="inlineStr">
        <is>
          <t>R</t>
        </is>
      </c>
      <c r="AJ18" s="154" t="inlineStr">
        <is>
          <t>R</t>
        </is>
      </c>
      <c r="AK18" s="154" t="inlineStr">
        <is>
          <t>R</t>
        </is>
      </c>
      <c r="AL18" s="154" t="n"/>
      <c r="AM18" s="154" t="n"/>
      <c r="AN18" s="154" t="n"/>
      <c r="AO18" s="154" t="n"/>
      <c r="AP18" s="154" t="n"/>
      <c r="AQ18" s="154" t="n"/>
      <c r="AR18" s="154" t="n"/>
      <c r="AS18" s="154" t="n"/>
      <c r="AT18" s="154" t="n"/>
      <c r="AU18" s="154" t="n"/>
      <c r="AV18" s="154" t="inlineStr">
        <is>
          <t>R</t>
        </is>
      </c>
      <c r="AW18" s="154" t="n"/>
      <c r="AX18" s="154" t="n"/>
      <c r="AY18" s="154" t="n"/>
      <c r="AZ18" s="154" t="n"/>
      <c r="BA18" s="154" t="n"/>
      <c r="BB18" s="154" t="n"/>
      <c r="BC18" s="154" t="n"/>
      <c r="BD18" s="154" t="inlineStr">
        <is>
          <t>R</t>
        </is>
      </c>
      <c r="BE18" s="154" t="inlineStr">
        <is>
          <t>R</t>
        </is>
      </c>
      <c r="BF18" s="154" t="n"/>
      <c r="BG18" s="154" t="n"/>
      <c r="BH18" s="154" t="n"/>
      <c r="BI18" s="154" t="n"/>
      <c r="BJ18" s="154" t="n"/>
      <c r="BK18" s="154" t="n"/>
      <c r="BL18" s="154" t="inlineStr">
        <is>
          <t>R</t>
        </is>
      </c>
      <c r="BM18" s="154" t="inlineStr">
        <is>
          <t>R</t>
        </is>
      </c>
      <c r="BN18" s="154" t="inlineStr">
        <is>
          <t>R</t>
        </is>
      </c>
      <c r="BO18" s="154" t="n"/>
      <c r="BP18" s="154" t="n"/>
      <c r="BQ18" s="154" t="n"/>
      <c r="BR18" s="154" t="n"/>
      <c r="BS18" s="154" t="n"/>
      <c r="BT18" s="154" t="inlineStr">
        <is>
          <t>R</t>
        </is>
      </c>
      <c r="BU18" s="154" t="inlineStr">
        <is>
          <t>C</t>
        </is>
      </c>
      <c r="BV18" s="154" t="inlineStr">
        <is>
          <t>C</t>
        </is>
      </c>
      <c r="BW18" s="154" t="inlineStr">
        <is>
          <t>C</t>
        </is>
      </c>
      <c r="BX18" s="154" t="inlineStr">
        <is>
          <t>C</t>
        </is>
      </c>
      <c r="BY18" s="154" t="n"/>
      <c r="BZ18" s="154" t="n"/>
      <c r="CA18" s="154" t="n"/>
      <c r="CB18" s="154" t="n"/>
      <c r="CC18" s="154" t="n"/>
      <c r="CD18" s="154" t="n"/>
      <c r="CE18" s="154" t="n"/>
      <c r="CF18" s="154" t="n"/>
      <c r="CG18" s="154" t="n"/>
      <c r="CH18" s="154" t="n"/>
      <c r="CI18" s="154" t="n"/>
      <c r="CJ18" s="154" t="n"/>
      <c r="CK18" s="154" t="n"/>
      <c r="CL18" s="154" t="n"/>
      <c r="CM18" s="154" t="n"/>
      <c r="CN18" s="154" t="n"/>
      <c r="CO18" s="154" t="n"/>
      <c r="CP18" s="154" t="n"/>
      <c r="CQ18" s="154" t="n"/>
      <c r="CR18" s="154" t="n"/>
      <c r="CS18" s="154" t="n"/>
      <c r="CT18" s="154" t="n"/>
      <c r="CU18" s="154" t="n"/>
      <c r="CV18" s="149">
        <f>COUNTIF(D18:CU18,"C")</f>
        <v/>
      </c>
      <c r="CW18" s="149">
        <f>COUNTIF(D18:CU18,"R")</f>
        <v/>
      </c>
    </row>
    <row r="19">
      <c r="A19" s="152" t="inlineStr">
        <is>
          <t>安全性</t>
        </is>
      </c>
      <c r="B19" s="146" t="inlineStr">
        <is>
          <t>APP-14</t>
        </is>
      </c>
      <c r="C19" s="153">
        <f>IFERROR(INDEX(アプリケーション!$C:$C,MATCH(B19,アプリケーション!$A:$A,0)),"（IDなし）")</f>
        <v/>
      </c>
      <c r="D19" s="154" t="n"/>
      <c r="E19" s="154" t="n"/>
      <c r="F19" s="154" t="n"/>
      <c r="G19" s="154" t="n"/>
      <c r="H19" s="154" t="n"/>
      <c r="I19" s="154" t="n"/>
      <c r="J19" s="154" t="n"/>
      <c r="K19" s="154" t="n"/>
      <c r="L19" s="154" t="n"/>
      <c r="M19" s="154" t="n"/>
      <c r="N19" s="154" t="n"/>
      <c r="O19" s="154" t="n"/>
      <c r="P19" s="154" t="n"/>
      <c r="Q19" s="154" t="n"/>
      <c r="R19" s="154" t="n"/>
      <c r="S19" s="154" t="n"/>
      <c r="T19" s="154" t="n"/>
      <c r="U19" s="154" t="n"/>
      <c r="V19" s="154" t="n"/>
      <c r="W19" s="154" t="n"/>
      <c r="X19" s="154" t="n"/>
      <c r="Y19" s="154" t="n"/>
      <c r="Z19" s="154" t="n"/>
      <c r="AA19" s="154" t="n"/>
      <c r="AB19" s="154" t="n"/>
      <c r="AC19" s="154" t="n"/>
      <c r="AD19" s="154" t="n"/>
      <c r="AE19" s="154" t="n"/>
      <c r="AF19" s="154" t="n"/>
      <c r="AG19" s="154" t="n"/>
      <c r="AH19" s="154" t="n"/>
      <c r="AI19" s="154" t="n"/>
      <c r="AJ19" s="154" t="n"/>
      <c r="AK19" s="154" t="n"/>
      <c r="AL19" s="154" t="n"/>
      <c r="AM19" s="154" t="n"/>
      <c r="AN19" s="154" t="n"/>
      <c r="AO19" s="154" t="n"/>
      <c r="AP19" s="154" t="n"/>
      <c r="AQ19" s="154" t="n"/>
      <c r="AR19" s="154" t="n"/>
      <c r="AS19" s="154" t="n"/>
      <c r="AT19" s="154" t="n"/>
      <c r="AU19" s="154" t="n"/>
      <c r="AV19" s="154" t="n"/>
      <c r="AW19" s="154" t="n"/>
      <c r="AX19" s="154" t="n"/>
      <c r="AY19" s="154" t="n"/>
      <c r="AZ19" s="154" t="n"/>
      <c r="BA19" s="154" t="n"/>
      <c r="BB19" s="154" t="n"/>
      <c r="BC19" s="154" t="n"/>
      <c r="BD19" s="154" t="n"/>
      <c r="BE19" s="154" t="n"/>
      <c r="BF19" s="154" t="n"/>
      <c r="BG19" s="154" t="n"/>
      <c r="BH19" s="154" t="n"/>
      <c r="BI19" s="154" t="n"/>
      <c r="BJ19" s="154" t="n"/>
      <c r="BK19" s="154" t="n"/>
      <c r="BL19" s="154" t="n"/>
      <c r="BM19" s="154" t="n"/>
      <c r="BN19" s="154" t="n"/>
      <c r="BO19" s="154" t="n"/>
      <c r="BP19" s="154" t="n"/>
      <c r="BQ19" s="154" t="n"/>
      <c r="BR19" s="154" t="inlineStr">
        <is>
          <t>R</t>
        </is>
      </c>
      <c r="BS19" s="154" t="n"/>
      <c r="BT19" s="154" t="n"/>
      <c r="BU19" s="154" t="n"/>
      <c r="BV19" s="154" t="n"/>
      <c r="BW19" s="154" t="n"/>
      <c r="BX19" s="154" t="n"/>
      <c r="BY19" s="154" t="n"/>
      <c r="BZ19" s="154" t="n"/>
      <c r="CA19" s="154" t="n"/>
      <c r="CB19" s="154" t="n"/>
      <c r="CC19" s="154" t="inlineStr">
        <is>
          <t>C</t>
        </is>
      </c>
      <c r="CD19" s="154" t="inlineStr">
        <is>
          <t>R</t>
        </is>
      </c>
      <c r="CE19" s="154" t="inlineStr">
        <is>
          <t>C</t>
        </is>
      </c>
      <c r="CF19" s="154" t="n"/>
      <c r="CG19" s="154" t="n"/>
      <c r="CH19" s="154" t="n"/>
      <c r="CI19" s="154" t="inlineStr">
        <is>
          <t>R</t>
        </is>
      </c>
      <c r="CJ19" s="154" t="n"/>
      <c r="CK19" s="154" t="n"/>
      <c r="CL19" s="154" t="n"/>
      <c r="CM19" s="154" t="n"/>
      <c r="CN19" s="154" t="n"/>
      <c r="CO19" s="154" t="n"/>
      <c r="CP19" s="154" t="n"/>
      <c r="CQ19" s="154" t="n"/>
      <c r="CR19" s="154" t="n"/>
      <c r="CS19" s="154" t="n"/>
      <c r="CT19" s="154" t="n"/>
      <c r="CU19" s="154" t="n"/>
      <c r="CV19" s="149">
        <f>COUNTIF(D19:CU19,"C")</f>
        <v/>
      </c>
      <c r="CW19" s="149">
        <f>COUNTIF(D19:CU19,"R")</f>
        <v/>
      </c>
    </row>
    <row r="20">
      <c r="A20" s="152" t="n"/>
      <c r="B20" s="146" t="inlineStr">
        <is>
          <t>APP-15</t>
        </is>
      </c>
      <c r="C20" s="153">
        <f>IFERROR(INDEX(アプリケーション!$C:$C,MATCH(B20,アプリケーション!$A:$A,0)),"（IDなし）")</f>
        <v/>
      </c>
      <c r="D20" s="154" t="n"/>
      <c r="E20" s="154" t="n"/>
      <c r="F20" s="154" t="n"/>
      <c r="G20" s="154" t="n"/>
      <c r="H20" s="154" t="n"/>
      <c r="I20" s="154" t="n"/>
      <c r="J20" s="154" t="n"/>
      <c r="K20" s="154" t="n"/>
      <c r="L20" s="154" t="n"/>
      <c r="M20" s="154" t="n"/>
      <c r="N20" s="154" t="n"/>
      <c r="O20" s="154" t="n"/>
      <c r="P20" s="154" t="n"/>
      <c r="Q20" s="154" t="n"/>
      <c r="R20" s="154" t="n"/>
      <c r="S20" s="154" t="n"/>
      <c r="T20" s="154" t="n"/>
      <c r="U20" s="154" t="n"/>
      <c r="V20" s="154" t="n"/>
      <c r="W20" s="154" t="n"/>
      <c r="X20" s="154" t="n"/>
      <c r="Y20" s="154" t="n"/>
      <c r="Z20" s="154" t="n"/>
      <c r="AA20" s="154" t="n"/>
      <c r="AB20" s="154" t="n"/>
      <c r="AC20" s="154" t="n"/>
      <c r="AD20" s="154" t="n"/>
      <c r="AE20" s="154" t="n"/>
      <c r="AF20" s="154" t="n"/>
      <c r="AG20" s="154" t="n"/>
      <c r="AH20" s="154" t="n"/>
      <c r="AI20" s="154" t="n"/>
      <c r="AJ20" s="154" t="n"/>
      <c r="AK20" s="154" t="n"/>
      <c r="AL20" s="154" t="n"/>
      <c r="AM20" s="154" t="n"/>
      <c r="AN20" s="154" t="n"/>
      <c r="AO20" s="154" t="n"/>
      <c r="AP20" s="154" t="n"/>
      <c r="AQ20" s="154" t="n"/>
      <c r="AR20" s="154" t="n"/>
      <c r="AS20" s="154" t="n"/>
      <c r="AT20" s="154" t="n"/>
      <c r="AU20" s="154" t="n"/>
      <c r="AV20" s="154" t="n"/>
      <c r="AW20" s="154" t="n"/>
      <c r="AX20" s="154" t="n"/>
      <c r="AY20" s="154" t="n"/>
      <c r="AZ20" s="154" t="n"/>
      <c r="BA20" s="154" t="inlineStr">
        <is>
          <t>R</t>
        </is>
      </c>
      <c r="BB20" s="154" t="n"/>
      <c r="BC20" s="154" t="n"/>
      <c r="BD20" s="154" t="n"/>
      <c r="BE20" s="154" t="n"/>
      <c r="BF20" s="154" t="n"/>
      <c r="BG20" s="154" t="n"/>
      <c r="BH20" s="154" t="n"/>
      <c r="BI20" s="154" t="n"/>
      <c r="BJ20" s="154" t="n"/>
      <c r="BK20" s="154" t="n"/>
      <c r="BL20" s="154" t="inlineStr">
        <is>
          <t>R</t>
        </is>
      </c>
      <c r="BM20" s="154" t="inlineStr">
        <is>
          <t>R</t>
        </is>
      </c>
      <c r="BN20" s="154" t="inlineStr">
        <is>
          <t>C</t>
        </is>
      </c>
      <c r="BO20" s="154" t="n"/>
      <c r="BP20" s="154" t="n"/>
      <c r="BQ20" s="154" t="n"/>
      <c r="BR20" s="154" t="n"/>
      <c r="BS20" s="154" t="n"/>
      <c r="BT20" s="154" t="n"/>
      <c r="BU20" s="154" t="n"/>
      <c r="BV20" s="154" t="n"/>
      <c r="BW20" s="154" t="n"/>
      <c r="BX20" s="154" t="n"/>
      <c r="BY20" s="154" t="inlineStr">
        <is>
          <t>C</t>
        </is>
      </c>
      <c r="BZ20" s="154" t="inlineStr">
        <is>
          <t>C</t>
        </is>
      </c>
      <c r="CA20" s="154" t="n"/>
      <c r="CB20" s="154" t="n"/>
      <c r="CC20" s="154" t="inlineStr">
        <is>
          <t>R</t>
        </is>
      </c>
      <c r="CD20" s="154" t="inlineStr">
        <is>
          <t>C</t>
        </is>
      </c>
      <c r="CE20" s="154" t="n"/>
      <c r="CF20" s="154" t="n"/>
      <c r="CG20" s="154" t="n"/>
      <c r="CH20" s="154" t="n"/>
      <c r="CI20" s="154" t="n"/>
      <c r="CJ20" s="154" t="n"/>
      <c r="CK20" s="154" t="n"/>
      <c r="CL20" s="154" t="n"/>
      <c r="CM20" s="154" t="n"/>
      <c r="CN20" s="154" t="n"/>
      <c r="CO20" s="154" t="n"/>
      <c r="CP20" s="154" t="n"/>
      <c r="CQ20" s="154" t="n"/>
      <c r="CR20" s="154" t="n"/>
      <c r="CS20" s="154" t="n"/>
      <c r="CT20" s="154" t="n"/>
      <c r="CU20" s="154" t="n"/>
      <c r="CV20" s="149">
        <f>COUNTIF(D20:CU20,"C")</f>
        <v/>
      </c>
      <c r="CW20" s="149">
        <f>COUNTIF(D20:CU20,"R")</f>
        <v/>
      </c>
    </row>
    <row r="21">
      <c r="A21" s="152" t="inlineStr">
        <is>
          <t>製造</t>
        </is>
      </c>
      <c r="B21" s="146" t="inlineStr">
        <is>
          <t>APP-16</t>
        </is>
      </c>
      <c r="C21" s="153">
        <f>IFERROR(INDEX(アプリケーション!$C:$C,MATCH(B21,アプリケーション!$A:$A,0)),"（IDなし）")</f>
        <v/>
      </c>
      <c r="D21" s="154" t="inlineStr">
        <is>
          <t>R</t>
        </is>
      </c>
      <c r="E21" s="154" t="n"/>
      <c r="F21" s="154" t="n"/>
      <c r="G21" s="154" t="n"/>
      <c r="H21" s="154" t="n"/>
      <c r="I21" s="154" t="n"/>
      <c r="J21" s="154" t="n"/>
      <c r="K21" s="154" t="n"/>
      <c r="L21" s="154" t="n"/>
      <c r="M21" s="154" t="n"/>
      <c r="N21" s="154" t="n"/>
      <c r="O21" s="154" t="n"/>
      <c r="P21" s="154" t="n"/>
      <c r="Q21" s="154" t="n"/>
      <c r="R21" s="154" t="n"/>
      <c r="S21" s="154" t="n"/>
      <c r="T21" s="154" t="n"/>
      <c r="U21" s="154" t="inlineStr">
        <is>
          <t>R</t>
        </is>
      </c>
      <c r="V21" s="154" t="n"/>
      <c r="W21" s="154" t="n"/>
      <c r="X21" s="154" t="n"/>
      <c r="Y21" s="154" t="n"/>
      <c r="Z21" s="154" t="n"/>
      <c r="AA21" s="154" t="inlineStr">
        <is>
          <t>R</t>
        </is>
      </c>
      <c r="AB21" s="154" t="inlineStr">
        <is>
          <t>C</t>
        </is>
      </c>
      <c r="AC21" s="154" t="n"/>
      <c r="AD21" s="154" t="inlineStr">
        <is>
          <t>R</t>
        </is>
      </c>
      <c r="AE21" s="154" t="n"/>
      <c r="AF21" s="154" t="inlineStr">
        <is>
          <t>R</t>
        </is>
      </c>
      <c r="AG21" s="154" t="n"/>
      <c r="AH21" s="154" t="n"/>
      <c r="AI21" s="154" t="inlineStr">
        <is>
          <t>R</t>
        </is>
      </c>
      <c r="AJ21" s="154" t="n"/>
      <c r="AK21" s="154" t="inlineStr">
        <is>
          <t>C</t>
        </is>
      </c>
      <c r="AL21" s="154" t="inlineStr">
        <is>
          <t>C</t>
        </is>
      </c>
      <c r="AM21" s="154" t="inlineStr">
        <is>
          <t>C</t>
        </is>
      </c>
      <c r="AN21" s="154" t="inlineStr">
        <is>
          <t>C</t>
        </is>
      </c>
      <c r="AO21" s="154" t="inlineStr">
        <is>
          <t>C</t>
        </is>
      </c>
      <c r="AP21" s="154" t="inlineStr">
        <is>
          <t>C</t>
        </is>
      </c>
      <c r="AQ21" s="154" t="inlineStr">
        <is>
          <t>C</t>
        </is>
      </c>
      <c r="AR21" s="154" t="n"/>
      <c r="AS21" s="154" t="n"/>
      <c r="AT21" s="154" t="n"/>
      <c r="AU21" s="154" t="n"/>
      <c r="AV21" s="154" t="n"/>
      <c r="AW21" s="154" t="inlineStr">
        <is>
          <t>C</t>
        </is>
      </c>
      <c r="AX21" s="154" t="n"/>
      <c r="AY21" s="154" t="inlineStr">
        <is>
          <t>R</t>
        </is>
      </c>
      <c r="AZ21" s="154" t="n"/>
      <c r="BA21" s="154" t="n"/>
      <c r="BB21" s="154" t="n"/>
      <c r="BC21" s="154" t="n"/>
      <c r="BD21" s="154" t="n"/>
      <c r="BE21" s="154" t="n"/>
      <c r="BF21" s="154" t="n"/>
      <c r="BG21" s="154" t="n"/>
      <c r="BH21" s="154" t="n"/>
      <c r="BI21" s="154" t="n"/>
      <c r="BJ21" s="154" t="n"/>
      <c r="BK21" s="154" t="n"/>
      <c r="BL21" s="154" t="n"/>
      <c r="BM21" s="154" t="n"/>
      <c r="BN21" s="154" t="n"/>
      <c r="BO21" s="154" t="n"/>
      <c r="BP21" s="154" t="n"/>
      <c r="BQ21" s="154" t="n"/>
      <c r="BR21" s="154" t="n"/>
      <c r="BS21" s="154" t="n"/>
      <c r="BT21" s="154" t="n"/>
      <c r="BU21" s="154" t="n"/>
      <c r="BV21" s="154" t="n"/>
      <c r="BW21" s="154" t="n"/>
      <c r="BX21" s="154" t="n"/>
      <c r="BY21" s="154" t="n"/>
      <c r="BZ21" s="154" t="n"/>
      <c r="CA21" s="154" t="n"/>
      <c r="CB21" s="154" t="n"/>
      <c r="CC21" s="154" t="n"/>
      <c r="CD21" s="154" t="n"/>
      <c r="CE21" s="154" t="n"/>
      <c r="CF21" s="154" t="n"/>
      <c r="CG21" s="154" t="n"/>
      <c r="CH21" s="154" t="n"/>
      <c r="CI21" s="154" t="n"/>
      <c r="CJ21" s="154" t="n"/>
      <c r="CK21" s="154" t="n"/>
      <c r="CL21" s="154" t="n"/>
      <c r="CM21" s="154" t="n"/>
      <c r="CN21" s="154" t="n"/>
      <c r="CO21" s="154" t="inlineStr">
        <is>
          <t>R</t>
        </is>
      </c>
      <c r="CP21" s="154" t="inlineStr">
        <is>
          <t>C</t>
        </is>
      </c>
      <c r="CQ21" s="154" t="n"/>
      <c r="CR21" s="154" t="n"/>
      <c r="CS21" s="154" t="inlineStr">
        <is>
          <t>C</t>
        </is>
      </c>
      <c r="CT21" s="154" t="n"/>
      <c r="CU21" s="154" t="n"/>
      <c r="CV21" s="149">
        <f>COUNTIF(D21:CU21,"C")</f>
        <v/>
      </c>
      <c r="CW21" s="149">
        <f>COUNTIF(D21:CU21,"R")</f>
        <v/>
      </c>
    </row>
    <row r="22">
      <c r="A22" s="152" t="n"/>
      <c r="B22" s="146" t="inlineStr">
        <is>
          <t>APP-17</t>
        </is>
      </c>
      <c r="C22" s="153">
        <f>IFERROR(INDEX(アプリケーション!$C:$C,MATCH(B22,アプリケーション!$A:$A,0)),"（IDなし）")</f>
        <v/>
      </c>
      <c r="D22" s="154" t="n"/>
      <c r="E22" s="154" t="n"/>
      <c r="F22" s="154" t="n"/>
      <c r="G22" s="154" t="n"/>
      <c r="H22" s="154" t="n"/>
      <c r="I22" s="154" t="n"/>
      <c r="J22" s="154" t="n"/>
      <c r="K22" s="154" t="n"/>
      <c r="L22" s="154" t="n"/>
      <c r="M22" s="154" t="n"/>
      <c r="N22" s="154" t="n"/>
      <c r="O22" s="154" t="n"/>
      <c r="P22" s="154" t="n"/>
      <c r="Q22" s="154" t="n"/>
      <c r="R22" s="154" t="n"/>
      <c r="S22" s="154" t="n"/>
      <c r="T22" s="154" t="n"/>
      <c r="U22" s="154" t="n"/>
      <c r="V22" s="154" t="n"/>
      <c r="W22" s="154" t="n"/>
      <c r="X22" s="154" t="n"/>
      <c r="Y22" s="154" t="n"/>
      <c r="Z22" s="154" t="n"/>
      <c r="AA22" s="154" t="inlineStr">
        <is>
          <t>R</t>
        </is>
      </c>
      <c r="AB22" s="154" t="n"/>
      <c r="AC22" s="154" t="n"/>
      <c r="AD22" s="154" t="n"/>
      <c r="AE22" s="154" t="n"/>
      <c r="AF22" s="154" t="n"/>
      <c r="AG22" s="154" t="n"/>
      <c r="AH22" s="154" t="n"/>
      <c r="AI22" s="154" t="n"/>
      <c r="AJ22" s="154" t="n"/>
      <c r="AK22" s="154" t="n"/>
      <c r="AL22" s="154" t="inlineStr">
        <is>
          <t>R</t>
        </is>
      </c>
      <c r="AM22" s="154" t="inlineStr">
        <is>
          <t>R</t>
        </is>
      </c>
      <c r="AN22" s="154" t="inlineStr">
        <is>
          <t>R</t>
        </is>
      </c>
      <c r="AO22" s="154" t="inlineStr">
        <is>
          <t>C</t>
        </is>
      </c>
      <c r="AP22" s="154" t="inlineStr">
        <is>
          <t>C</t>
        </is>
      </c>
      <c r="AQ22" s="154" t="inlineStr">
        <is>
          <t>C</t>
        </is>
      </c>
      <c r="AR22" s="154" t="n"/>
      <c r="AS22" s="154" t="n"/>
      <c r="AT22" s="154" t="n"/>
      <c r="AU22" s="154" t="n"/>
      <c r="AV22" s="154" t="n"/>
      <c r="AW22" s="154" t="n"/>
      <c r="AX22" s="154" t="n"/>
      <c r="AY22" s="154" t="n"/>
      <c r="AZ22" s="154" t="n"/>
      <c r="BA22" s="154" t="n"/>
      <c r="BB22" s="154" t="n"/>
      <c r="BC22" s="154" t="n"/>
      <c r="BD22" s="154" t="n"/>
      <c r="BE22" s="154" t="n"/>
      <c r="BF22" s="154" t="n"/>
      <c r="BG22" s="154" t="n"/>
      <c r="BH22" s="154" t="n"/>
      <c r="BI22" s="154" t="n"/>
      <c r="BJ22" s="154" t="n"/>
      <c r="BK22" s="154" t="n"/>
      <c r="BL22" s="154" t="n"/>
      <c r="BM22" s="154" t="n"/>
      <c r="BN22" s="154" t="n"/>
      <c r="BO22" s="154" t="n"/>
      <c r="BP22" s="154" t="n"/>
      <c r="BQ22" s="154" t="n"/>
      <c r="BR22" s="154" t="n"/>
      <c r="BS22" s="154" t="n"/>
      <c r="BT22" s="154" t="n"/>
      <c r="BU22" s="154" t="n"/>
      <c r="BV22" s="154" t="n"/>
      <c r="BW22" s="154" t="n"/>
      <c r="BX22" s="154" t="n"/>
      <c r="BY22" s="154" t="n"/>
      <c r="BZ22" s="154" t="n"/>
      <c r="CA22" s="154" t="n"/>
      <c r="CB22" s="154" t="n"/>
      <c r="CC22" s="154" t="n"/>
      <c r="CD22" s="154" t="n"/>
      <c r="CE22" s="154" t="n"/>
      <c r="CF22" s="154" t="n"/>
      <c r="CG22" s="154" t="n"/>
      <c r="CH22" s="154" t="n"/>
      <c r="CI22" s="154" t="n"/>
      <c r="CJ22" s="154" t="n"/>
      <c r="CK22" s="154" t="n"/>
      <c r="CL22" s="154" t="n"/>
      <c r="CM22" s="154" t="n"/>
      <c r="CN22" s="154" t="n"/>
      <c r="CO22" s="154" t="n"/>
      <c r="CP22" s="154" t="inlineStr">
        <is>
          <t>C</t>
        </is>
      </c>
      <c r="CQ22" s="154" t="n"/>
      <c r="CR22" s="154" t="n"/>
      <c r="CS22" s="154" t="n"/>
      <c r="CT22" s="154" t="n"/>
      <c r="CU22" s="154" t="n"/>
      <c r="CV22" s="149">
        <f>COUNTIF(D22:CU22,"C")</f>
        <v/>
      </c>
      <c r="CW22" s="149">
        <f>COUNTIF(D22:CU22,"R")</f>
        <v/>
      </c>
    </row>
    <row r="23">
      <c r="A23" s="152" t="n"/>
      <c r="B23" s="146" t="inlineStr">
        <is>
          <t>APP-18</t>
        </is>
      </c>
      <c r="C23" s="153">
        <f>IFERROR(INDEX(アプリケーション!$C:$C,MATCH(B23,アプリケーション!$A:$A,0)),"（IDなし）")</f>
        <v/>
      </c>
      <c r="D23" s="154" t="n"/>
      <c r="E23" s="154" t="n"/>
      <c r="F23" s="154" t="n"/>
      <c r="G23" s="154" t="n"/>
      <c r="H23" s="154" t="n"/>
      <c r="I23" s="154" t="n"/>
      <c r="J23" s="154" t="n"/>
      <c r="K23" s="154" t="n"/>
      <c r="L23" s="154" t="n"/>
      <c r="M23" s="154" t="n"/>
      <c r="N23" s="154" t="n"/>
      <c r="O23" s="154" t="n"/>
      <c r="P23" s="154" t="n"/>
      <c r="Q23" s="154" t="n"/>
      <c r="R23" s="154" t="n"/>
      <c r="S23" s="154" t="n"/>
      <c r="T23" s="154" t="n"/>
      <c r="U23" s="154" t="n"/>
      <c r="V23" s="154" t="n"/>
      <c r="W23" s="154" t="n"/>
      <c r="X23" s="154" t="n"/>
      <c r="Y23" s="154" t="n"/>
      <c r="Z23" s="154" t="n"/>
      <c r="AA23" s="154" t="n"/>
      <c r="AB23" s="154" t="n"/>
      <c r="AC23" s="154" t="n"/>
      <c r="AD23" s="154" t="n"/>
      <c r="AE23" s="154" t="n"/>
      <c r="AF23" s="154" t="n"/>
      <c r="AG23" s="154" t="n"/>
      <c r="AH23" s="154" t="n"/>
      <c r="AI23" s="154" t="n"/>
      <c r="AJ23" s="154" t="n"/>
      <c r="AK23" s="154" t="n"/>
      <c r="AL23" s="154" t="n"/>
      <c r="AM23" s="154" t="n"/>
      <c r="AN23" s="154" t="n"/>
      <c r="AO23" s="154" t="n"/>
      <c r="AP23" s="154" t="n"/>
      <c r="AQ23" s="154" t="n"/>
      <c r="AR23" s="154" t="n"/>
      <c r="AS23" s="154" t="n"/>
      <c r="AT23" s="154" t="n"/>
      <c r="AU23" s="154" t="n"/>
      <c r="AV23" s="154" t="n"/>
      <c r="AW23" s="154" t="inlineStr">
        <is>
          <t>C</t>
        </is>
      </c>
      <c r="AX23" s="154" t="n"/>
      <c r="AY23" s="154" t="n"/>
      <c r="AZ23" s="154" t="n"/>
      <c r="BA23" s="154" t="n"/>
      <c r="BB23" s="154" t="n"/>
      <c r="BC23" s="154" t="n"/>
      <c r="BD23" s="154" t="n"/>
      <c r="BE23" s="154" t="n"/>
      <c r="BF23" s="154" t="n"/>
      <c r="BG23" s="154" t="n"/>
      <c r="BH23" s="154" t="n"/>
      <c r="BI23" s="154" t="n"/>
      <c r="BJ23" s="154" t="n"/>
      <c r="BK23" s="154" t="n"/>
      <c r="BL23" s="154" t="n"/>
      <c r="BM23" s="154" t="n"/>
      <c r="BN23" s="154" t="n"/>
      <c r="BO23" s="154" t="n"/>
      <c r="BP23" s="154" t="n"/>
      <c r="BQ23" s="154" t="n"/>
      <c r="BR23" s="154" t="n"/>
      <c r="BS23" s="154" t="n"/>
      <c r="BT23" s="154" t="n"/>
      <c r="BU23" s="154" t="n"/>
      <c r="BV23" s="154" t="n"/>
      <c r="BW23" s="154" t="n"/>
      <c r="BX23" s="154" t="n"/>
      <c r="BY23" s="154" t="n"/>
      <c r="BZ23" s="154" t="n"/>
      <c r="CA23" s="154" t="n"/>
      <c r="CB23" s="154" t="n"/>
      <c r="CC23" s="154" t="n"/>
      <c r="CD23" s="154" t="n"/>
      <c r="CE23" s="154" t="n"/>
      <c r="CF23" s="154" t="n"/>
      <c r="CG23" s="154" t="n"/>
      <c r="CH23" s="154" t="n"/>
      <c r="CI23" s="154" t="n"/>
      <c r="CJ23" s="154" t="n"/>
      <c r="CK23" s="154" t="n"/>
      <c r="CL23" s="154" t="n"/>
      <c r="CM23" s="154" t="n"/>
      <c r="CN23" s="154" t="n"/>
      <c r="CO23" s="154" t="n"/>
      <c r="CP23" s="154" t="n"/>
      <c r="CQ23" s="154" t="n"/>
      <c r="CR23" s="154" t="n"/>
      <c r="CS23" s="154" t="n"/>
      <c r="CT23" s="154" t="n"/>
      <c r="CU23" s="154" t="n"/>
      <c r="CV23" s="149">
        <f>COUNTIF(D23:CU23,"C")</f>
        <v/>
      </c>
      <c r="CW23" s="149">
        <f>COUNTIF(D23:CU23,"R")</f>
        <v/>
      </c>
    </row>
    <row r="24">
      <c r="A24" s="152" t="n"/>
      <c r="B24" s="146" t="inlineStr">
        <is>
          <t>APP-19</t>
        </is>
      </c>
      <c r="C24" s="153">
        <f>IFERROR(INDEX(アプリケーション!$C:$C,MATCH(B24,アプリケーション!$A:$A,0)),"（IDなし）")</f>
        <v/>
      </c>
      <c r="D24" s="154" t="n"/>
      <c r="E24" s="154" t="n"/>
      <c r="F24" s="154" t="n"/>
      <c r="G24" s="154" t="n"/>
      <c r="H24" s="154" t="n"/>
      <c r="I24" s="154" t="n"/>
      <c r="J24" s="154" t="n"/>
      <c r="K24" s="154" t="n"/>
      <c r="L24" s="154" t="n"/>
      <c r="M24" s="154" t="n"/>
      <c r="N24" s="154" t="n"/>
      <c r="O24" s="154" t="n"/>
      <c r="P24" s="154" t="n"/>
      <c r="Q24" s="154" t="n"/>
      <c r="R24" s="154" t="n"/>
      <c r="S24" s="154" t="n"/>
      <c r="T24" s="154" t="n"/>
      <c r="U24" s="154" t="n"/>
      <c r="V24" s="154" t="n"/>
      <c r="W24" s="154" t="n"/>
      <c r="X24" s="154" t="n"/>
      <c r="Y24" s="154" t="n"/>
      <c r="Z24" s="154" t="n"/>
      <c r="AA24" s="154" t="n"/>
      <c r="AB24" s="154" t="n"/>
      <c r="AC24" s="154" t="n"/>
      <c r="AD24" s="154" t="n"/>
      <c r="AE24" s="154" t="n"/>
      <c r="AF24" s="154" t="n"/>
      <c r="AG24" s="154" t="n"/>
      <c r="AH24" s="154" t="n"/>
      <c r="AI24" s="154" t="n"/>
      <c r="AJ24" s="154" t="n"/>
      <c r="AK24" s="154" t="n"/>
      <c r="AL24" s="154" t="n"/>
      <c r="AM24" s="154" t="n"/>
      <c r="AN24" s="154" t="n"/>
      <c r="AO24" s="154" t="n"/>
      <c r="AP24" s="154" t="n"/>
      <c r="AQ24" s="154" t="n"/>
      <c r="AR24" s="154" t="n"/>
      <c r="AS24" s="154" t="n"/>
      <c r="AT24" s="154" t="n"/>
      <c r="AU24" s="154" t="n"/>
      <c r="AV24" s="154" t="n"/>
      <c r="AW24" s="154" t="n"/>
      <c r="AX24" s="154" t="n"/>
      <c r="AY24" s="154" t="inlineStr">
        <is>
          <t>C</t>
        </is>
      </c>
      <c r="AZ24" s="154" t="n"/>
      <c r="BA24" s="154" t="n"/>
      <c r="BB24" s="154" t="n"/>
      <c r="BC24" s="154" t="n"/>
      <c r="BD24" s="154" t="n"/>
      <c r="BE24" s="154" t="n"/>
      <c r="BF24" s="154" t="n"/>
      <c r="BG24" s="154" t="n"/>
      <c r="BH24" s="154" t="n"/>
      <c r="BI24" s="154" t="n"/>
      <c r="BJ24" s="154" t="n"/>
      <c r="BK24" s="154" t="n"/>
      <c r="BL24" s="154" t="n"/>
      <c r="BM24" s="154" t="inlineStr">
        <is>
          <t>R</t>
        </is>
      </c>
      <c r="BN24" s="154" t="n"/>
      <c r="BO24" s="154" t="n"/>
      <c r="BP24" s="154" t="n"/>
      <c r="BQ24" s="154" t="n"/>
      <c r="BR24" s="154" t="n"/>
      <c r="BS24" s="154" t="n"/>
      <c r="BT24" s="154" t="n"/>
      <c r="BU24" s="154" t="n"/>
      <c r="BV24" s="154" t="n"/>
      <c r="BW24" s="154" t="n"/>
      <c r="BX24" s="154" t="inlineStr">
        <is>
          <t>C</t>
        </is>
      </c>
      <c r="BY24" s="154" t="n"/>
      <c r="BZ24" s="154" t="n"/>
      <c r="CA24" s="154" t="n"/>
      <c r="CB24" s="154" t="n"/>
      <c r="CC24" s="154" t="n"/>
      <c r="CD24" s="154" t="n"/>
      <c r="CE24" s="154" t="n"/>
      <c r="CF24" s="154" t="n"/>
      <c r="CG24" s="154" t="n"/>
      <c r="CH24" s="154" t="n"/>
      <c r="CI24" s="154" t="n"/>
      <c r="CJ24" s="154" t="n"/>
      <c r="CK24" s="154" t="n"/>
      <c r="CL24" s="154" t="n"/>
      <c r="CM24" s="154" t="n"/>
      <c r="CN24" s="154" t="n"/>
      <c r="CO24" s="154" t="n"/>
      <c r="CP24" s="154" t="n"/>
      <c r="CQ24" s="154" t="n"/>
      <c r="CR24" s="154" t="n"/>
      <c r="CS24" s="154" t="n"/>
      <c r="CT24" s="154" t="n"/>
      <c r="CU24" s="154" t="n"/>
      <c r="CV24" s="149">
        <f>COUNTIF(D24:CU24,"C")</f>
        <v/>
      </c>
      <c r="CW24" s="149">
        <f>COUNTIF(D24:CU24,"R")</f>
        <v/>
      </c>
    </row>
    <row r="25">
      <c r="A25" s="152" t="inlineStr">
        <is>
          <t>品質</t>
        </is>
      </c>
      <c r="B25" s="146" t="inlineStr">
        <is>
          <t>APP-20</t>
        </is>
      </c>
      <c r="C25" s="153">
        <f>IFERROR(INDEX(アプリケーション!$C:$C,MATCH(B25,アプリケーション!$A:$A,0)),"（IDなし）")</f>
        <v/>
      </c>
      <c r="D25" s="154" t="n"/>
      <c r="E25" s="154" t="n"/>
      <c r="F25" s="154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154" t="n"/>
      <c r="U25" s="154" t="n"/>
      <c r="V25" s="154" t="n"/>
      <c r="W25" s="154" t="n"/>
      <c r="X25" s="154" t="n"/>
      <c r="Y25" s="154" t="n"/>
      <c r="Z25" s="154" t="n"/>
      <c r="AA25" s="154" t="n"/>
      <c r="AB25" s="154" t="n"/>
      <c r="AC25" s="154" t="n"/>
      <c r="AD25" s="154" t="n"/>
      <c r="AE25" s="154" t="n"/>
      <c r="AF25" s="154" t="inlineStr">
        <is>
          <t>R</t>
        </is>
      </c>
      <c r="AG25" s="154" t="inlineStr">
        <is>
          <t>R</t>
        </is>
      </c>
      <c r="AH25" s="154" t="inlineStr">
        <is>
          <t>R</t>
        </is>
      </c>
      <c r="AI25" s="154" t="n"/>
      <c r="AJ25" s="154" t="inlineStr">
        <is>
          <t>C</t>
        </is>
      </c>
      <c r="AK25" s="154" t="inlineStr">
        <is>
          <t>R</t>
        </is>
      </c>
      <c r="AL25" s="154" t="n"/>
      <c r="AM25" s="154" t="inlineStr">
        <is>
          <t>R</t>
        </is>
      </c>
      <c r="AN25" s="154" t="n"/>
      <c r="AO25" s="154" t="inlineStr">
        <is>
          <t>R</t>
        </is>
      </c>
      <c r="AP25" s="154" t="inlineStr">
        <is>
          <t>R</t>
        </is>
      </c>
      <c r="AQ25" s="154" t="n"/>
      <c r="AR25" s="154" t="inlineStr">
        <is>
          <t>C</t>
        </is>
      </c>
      <c r="AS25" s="154" t="inlineStr">
        <is>
          <t>C</t>
        </is>
      </c>
      <c r="AT25" s="154" t="inlineStr">
        <is>
          <t>C</t>
        </is>
      </c>
      <c r="AU25" s="154" t="inlineStr">
        <is>
          <t>C</t>
        </is>
      </c>
      <c r="AV25" s="154" t="inlineStr">
        <is>
          <t>R</t>
        </is>
      </c>
      <c r="AW25" s="154" t="n"/>
      <c r="AX25" s="154" t="inlineStr">
        <is>
          <t>C</t>
        </is>
      </c>
      <c r="AY25" s="154" t="n"/>
      <c r="AZ25" s="154" t="n"/>
      <c r="BA25" s="154" t="n"/>
      <c r="BB25" s="154" t="n"/>
      <c r="BC25" s="154" t="n"/>
      <c r="BD25" s="154" t="n"/>
      <c r="BE25" s="154" t="n"/>
      <c r="BF25" s="154" t="inlineStr">
        <is>
          <t>R</t>
        </is>
      </c>
      <c r="BG25" s="154" t="n"/>
      <c r="BH25" s="154" t="inlineStr">
        <is>
          <t>R</t>
        </is>
      </c>
      <c r="BI25" s="154" t="n"/>
      <c r="BJ25" s="154" t="n"/>
      <c r="BK25" s="154" t="n"/>
      <c r="BL25" s="154" t="n"/>
      <c r="BM25" s="154" t="n"/>
      <c r="BN25" s="154" t="n"/>
      <c r="BO25" s="154" t="n"/>
      <c r="BP25" s="154" t="n"/>
      <c r="BQ25" s="154" t="inlineStr">
        <is>
          <t>R</t>
        </is>
      </c>
      <c r="BR25" s="154" t="n"/>
      <c r="BS25" s="154" t="inlineStr">
        <is>
          <t>C</t>
        </is>
      </c>
      <c r="BT25" s="154" t="n"/>
      <c r="BU25" s="154" t="n"/>
      <c r="BV25" s="154" t="inlineStr">
        <is>
          <t>C</t>
        </is>
      </c>
      <c r="BW25" s="154" t="n"/>
      <c r="BX25" s="154" t="n"/>
      <c r="BY25" s="154" t="n"/>
      <c r="BZ25" s="154" t="n"/>
      <c r="CA25" s="154" t="inlineStr">
        <is>
          <t>C</t>
        </is>
      </c>
      <c r="CB25" s="154" t="n"/>
      <c r="CC25" s="154" t="n"/>
      <c r="CD25" s="154" t="inlineStr">
        <is>
          <t>R</t>
        </is>
      </c>
      <c r="CE25" s="154" t="n"/>
      <c r="CF25" s="154" t="n"/>
      <c r="CG25" s="154" t="n"/>
      <c r="CH25" s="154" t="n"/>
      <c r="CI25" s="154" t="n"/>
      <c r="CJ25" s="154" t="n"/>
      <c r="CK25" s="154" t="n"/>
      <c r="CL25" s="154" t="n"/>
      <c r="CM25" s="154" t="n"/>
      <c r="CN25" s="154" t="n"/>
      <c r="CO25" s="154" t="inlineStr">
        <is>
          <t>R</t>
        </is>
      </c>
      <c r="CP25" s="154" t="inlineStr">
        <is>
          <t>R</t>
        </is>
      </c>
      <c r="CQ25" s="154" t="n"/>
      <c r="CR25" s="154" t="n"/>
      <c r="CS25" s="154" t="inlineStr">
        <is>
          <t>R</t>
        </is>
      </c>
      <c r="CT25" s="154" t="inlineStr">
        <is>
          <t>C</t>
        </is>
      </c>
      <c r="CU25" s="154" t="inlineStr">
        <is>
          <t>C</t>
        </is>
      </c>
      <c r="CV25" s="149">
        <f>COUNTIF(D25:CU25,"C")</f>
        <v/>
      </c>
      <c r="CW25" s="149">
        <f>COUNTIF(D25:CU25,"R")</f>
        <v/>
      </c>
    </row>
    <row r="26">
      <c r="A26" s="152" t="n"/>
      <c r="B26" s="146" t="inlineStr">
        <is>
          <t>APP-21</t>
        </is>
      </c>
      <c r="C26" s="153">
        <f>IFERROR(INDEX(アプリケーション!$C:$C,MATCH(B26,アプリケーション!$A:$A,0)),"（IDなし）")</f>
        <v/>
      </c>
      <c r="D26" s="154" t="n"/>
      <c r="E26" s="154" t="n"/>
      <c r="F26" s="154" t="n"/>
      <c r="G26" s="154" t="n"/>
      <c r="H26" s="154" t="n"/>
      <c r="I26" s="154" t="n"/>
      <c r="J26" s="154" t="n"/>
      <c r="K26" s="154" t="n"/>
      <c r="L26" s="154" t="n"/>
      <c r="M26" s="154" t="n"/>
      <c r="N26" s="154" t="n"/>
      <c r="O26" s="154" t="n"/>
      <c r="P26" s="154" t="n"/>
      <c r="Q26" s="154" t="n"/>
      <c r="R26" s="154" t="n"/>
      <c r="S26" s="154" t="n"/>
      <c r="T26" s="154" t="n"/>
      <c r="U26" s="154" t="n"/>
      <c r="V26" s="154" t="n"/>
      <c r="W26" s="154" t="n"/>
      <c r="X26" s="154" t="n"/>
      <c r="Y26" s="154" t="n"/>
      <c r="Z26" s="154" t="n"/>
      <c r="AA26" s="154" t="inlineStr">
        <is>
          <t>R</t>
        </is>
      </c>
      <c r="AB26" s="154" t="n"/>
      <c r="AC26" s="154" t="n"/>
      <c r="AD26" s="154" t="n"/>
      <c r="AE26" s="154" t="n"/>
      <c r="AF26" s="154" t="n"/>
      <c r="AG26" s="154" t="n"/>
      <c r="AH26" s="154" t="n"/>
      <c r="AI26" s="154" t="inlineStr">
        <is>
          <t>R</t>
        </is>
      </c>
      <c r="AJ26" s="154" t="n"/>
      <c r="AK26" s="154" t="n"/>
      <c r="AL26" s="154" t="inlineStr">
        <is>
          <t>R</t>
        </is>
      </c>
      <c r="AM26" s="154" t="n"/>
      <c r="AN26" s="154" t="inlineStr">
        <is>
          <t>R</t>
        </is>
      </c>
      <c r="AO26" s="154" t="inlineStr">
        <is>
          <t>C</t>
        </is>
      </c>
      <c r="AP26" s="154" t="inlineStr">
        <is>
          <t>C</t>
        </is>
      </c>
      <c r="AQ26" s="154" t="inlineStr">
        <is>
          <t>C</t>
        </is>
      </c>
      <c r="AR26" s="154" t="inlineStr">
        <is>
          <t>C</t>
        </is>
      </c>
      <c r="AS26" s="154" t="n"/>
      <c r="AT26" s="154" t="n"/>
      <c r="AU26" s="154" t="n"/>
      <c r="AV26" s="154" t="inlineStr">
        <is>
          <t>C</t>
        </is>
      </c>
      <c r="AW26" s="154" t="n"/>
      <c r="AX26" s="154" t="n"/>
      <c r="AY26" s="154" t="n"/>
      <c r="AZ26" s="154" t="n"/>
      <c r="BA26" s="154" t="n"/>
      <c r="BB26" s="154" t="n"/>
      <c r="BC26" s="154" t="n"/>
      <c r="BD26" s="154" t="n"/>
      <c r="BE26" s="154" t="n"/>
      <c r="BF26" s="154" t="n"/>
      <c r="BG26" s="154" t="n"/>
      <c r="BH26" s="154" t="n"/>
      <c r="BI26" s="154" t="n"/>
      <c r="BJ26" s="154" t="n"/>
      <c r="BK26" s="154" t="n"/>
      <c r="BL26" s="154" t="n"/>
      <c r="BM26" s="154" t="n"/>
      <c r="BN26" s="154" t="n"/>
      <c r="BO26" s="154" t="n"/>
      <c r="BP26" s="154" t="n"/>
      <c r="BQ26" s="154" t="n"/>
      <c r="BR26" s="154" t="n"/>
      <c r="BS26" s="154" t="n"/>
      <c r="BT26" s="154" t="n"/>
      <c r="BU26" s="154" t="n"/>
      <c r="BV26" s="154" t="n"/>
      <c r="BW26" s="154" t="n"/>
      <c r="BX26" s="154" t="n"/>
      <c r="BY26" s="154" t="n"/>
      <c r="BZ26" s="154" t="n"/>
      <c r="CA26" s="154" t="n"/>
      <c r="CB26" s="154" t="n"/>
      <c r="CC26" s="154" t="n"/>
      <c r="CD26" s="154" t="n"/>
      <c r="CE26" s="154" t="n"/>
      <c r="CF26" s="154" t="n"/>
      <c r="CG26" s="154" t="n"/>
      <c r="CH26" s="154" t="n"/>
      <c r="CI26" s="154" t="n"/>
      <c r="CJ26" s="154" t="n"/>
      <c r="CK26" s="154" t="n"/>
      <c r="CL26" s="154" t="n"/>
      <c r="CM26" s="154" t="n"/>
      <c r="CN26" s="154" t="n"/>
      <c r="CO26" s="154" t="n"/>
      <c r="CP26" s="154" t="n"/>
      <c r="CQ26" s="154" t="n"/>
      <c r="CR26" s="154" t="n"/>
      <c r="CS26" s="154" t="n"/>
      <c r="CT26" s="154" t="n"/>
      <c r="CU26" s="154" t="n"/>
      <c r="CV26" s="149">
        <f>COUNTIF(D26:CU26,"C")</f>
        <v/>
      </c>
      <c r="CW26" s="149">
        <f>COUNTIF(D26:CU26,"R")</f>
        <v/>
      </c>
    </row>
    <row r="27">
      <c r="A27" s="152" t="n"/>
      <c r="B27" s="146" t="inlineStr">
        <is>
          <t>APP-22</t>
        </is>
      </c>
      <c r="C27" s="153">
        <f>IFERROR(INDEX(アプリケーション!$C:$C,MATCH(B27,アプリケーション!$A:$A,0)),"（IDなし）")</f>
        <v/>
      </c>
      <c r="D27" s="154" t="n"/>
      <c r="E27" s="154" t="n"/>
      <c r="F27" s="154" t="n"/>
      <c r="G27" s="154" t="n"/>
      <c r="H27" s="154" t="n"/>
      <c r="I27" s="154" t="n"/>
      <c r="J27" s="154" t="n"/>
      <c r="K27" s="154" t="n"/>
      <c r="L27" s="154" t="n"/>
      <c r="M27" s="154" t="n"/>
      <c r="N27" s="154" t="n"/>
      <c r="O27" s="154" t="inlineStr">
        <is>
          <t>R</t>
        </is>
      </c>
      <c r="P27" s="154" t="n"/>
      <c r="Q27" s="154" t="n"/>
      <c r="R27" s="154" t="n"/>
      <c r="S27" s="154" t="n"/>
      <c r="T27" s="154" t="n"/>
      <c r="U27" s="154" t="n"/>
      <c r="V27" s="154" t="inlineStr">
        <is>
          <t>R</t>
        </is>
      </c>
      <c r="W27" s="154" t="inlineStr">
        <is>
          <t>C</t>
        </is>
      </c>
      <c r="X27" s="154" t="n"/>
      <c r="Y27" s="154" t="inlineStr">
        <is>
          <t>C</t>
        </is>
      </c>
      <c r="Z27" s="154" t="n"/>
      <c r="AA27" s="154" t="n"/>
      <c r="AB27" s="154" t="inlineStr">
        <is>
          <t>R</t>
        </is>
      </c>
      <c r="AC27" s="154" t="inlineStr">
        <is>
          <t>R</t>
        </is>
      </c>
      <c r="AD27" s="154" t="n"/>
      <c r="AE27" s="154" t="inlineStr">
        <is>
          <t>C</t>
        </is>
      </c>
      <c r="AF27" s="154" t="inlineStr">
        <is>
          <t>C</t>
        </is>
      </c>
      <c r="AG27" s="154" t="inlineStr">
        <is>
          <t>C</t>
        </is>
      </c>
      <c r="AH27" s="154" t="inlineStr">
        <is>
          <t>C</t>
        </is>
      </c>
      <c r="AI27" s="154" t="n"/>
      <c r="AJ27" s="154" t="inlineStr">
        <is>
          <t>C</t>
        </is>
      </c>
      <c r="AK27" s="154" t="inlineStr">
        <is>
          <t>C</t>
        </is>
      </c>
      <c r="AL27" s="154" t="n"/>
      <c r="AM27" s="154" t="n"/>
      <c r="AN27" s="154" t="n"/>
      <c r="AO27" s="154" t="n"/>
      <c r="AP27" s="154" t="inlineStr">
        <is>
          <t>R</t>
        </is>
      </c>
      <c r="AQ27" s="154" t="n"/>
      <c r="AR27" s="154" t="inlineStr">
        <is>
          <t>C</t>
        </is>
      </c>
      <c r="AS27" s="154" t="inlineStr">
        <is>
          <t>R</t>
        </is>
      </c>
      <c r="AT27" s="154" t="inlineStr">
        <is>
          <t>R</t>
        </is>
      </c>
      <c r="AU27" s="154" t="inlineStr">
        <is>
          <t>C</t>
        </is>
      </c>
      <c r="AV27" s="154" t="n"/>
      <c r="AW27" s="154" t="n"/>
      <c r="AX27" s="154" t="inlineStr">
        <is>
          <t>C</t>
        </is>
      </c>
      <c r="AY27" s="154" t="n"/>
      <c r="AZ27" s="154" t="n"/>
      <c r="BA27" s="154" t="n"/>
      <c r="BB27" s="154" t="n"/>
      <c r="BC27" s="154" t="n"/>
      <c r="BD27" s="154" t="n"/>
      <c r="BE27" s="154" t="n"/>
      <c r="BF27" s="154" t="n"/>
      <c r="BG27" s="154" t="n"/>
      <c r="BH27" s="154" t="inlineStr">
        <is>
          <t>R</t>
        </is>
      </c>
      <c r="BI27" s="154" t="inlineStr">
        <is>
          <t>C</t>
        </is>
      </c>
      <c r="BJ27" s="154" t="n"/>
      <c r="BK27" s="154" t="n"/>
      <c r="BL27" s="154" t="n"/>
      <c r="BM27" s="154" t="n"/>
      <c r="BN27" s="154" t="n"/>
      <c r="BO27" s="154" t="n"/>
      <c r="BP27" s="154" t="n"/>
      <c r="BQ27" s="154" t="n"/>
      <c r="BR27" s="154" t="n"/>
      <c r="BS27" s="154" t="n"/>
      <c r="BT27" s="154" t="n"/>
      <c r="BU27" s="154" t="n"/>
      <c r="BV27" s="154" t="n"/>
      <c r="BW27" s="154" t="n"/>
      <c r="BX27" s="154" t="n"/>
      <c r="BY27" s="154" t="n"/>
      <c r="BZ27" s="154" t="n"/>
      <c r="CA27" s="154" t="n"/>
      <c r="CB27" s="154" t="n"/>
      <c r="CC27" s="154" t="n"/>
      <c r="CD27" s="154" t="n"/>
      <c r="CE27" s="154" t="n"/>
      <c r="CF27" s="154" t="n"/>
      <c r="CG27" s="154" t="n"/>
      <c r="CH27" s="154" t="n"/>
      <c r="CI27" s="154" t="n"/>
      <c r="CJ27" s="154" t="n"/>
      <c r="CK27" s="154" t="n"/>
      <c r="CL27" s="154" t="n"/>
      <c r="CM27" s="154" t="n"/>
      <c r="CN27" s="154" t="n"/>
      <c r="CO27" s="154" t="n"/>
      <c r="CP27" s="154" t="n"/>
      <c r="CQ27" s="154" t="n"/>
      <c r="CR27" s="154" t="n"/>
      <c r="CS27" s="154" t="n"/>
      <c r="CT27" s="154" t="n"/>
      <c r="CU27" s="154" t="n"/>
      <c r="CV27" s="149">
        <f>COUNTIF(D27:CU27,"C")</f>
        <v/>
      </c>
      <c r="CW27" s="149">
        <f>COUNTIF(D27:CU27,"R")</f>
        <v/>
      </c>
    </row>
    <row r="28">
      <c r="A28" s="152" t="inlineStr">
        <is>
          <t>供給</t>
        </is>
      </c>
      <c r="B28" s="146" t="inlineStr">
        <is>
          <t>APP-23</t>
        </is>
      </c>
      <c r="C28" s="153">
        <f>IFERROR(INDEX(アプリケーション!$C:$C,MATCH(B28,アプリケーション!$A:$A,0)),"（IDなし）")</f>
        <v/>
      </c>
      <c r="D28" s="154" t="n"/>
      <c r="E28" s="154" t="n"/>
      <c r="F28" s="154" t="n"/>
      <c r="G28" s="154" t="n"/>
      <c r="H28" s="154" t="inlineStr">
        <is>
          <t>R</t>
        </is>
      </c>
      <c r="I28" s="154" t="n"/>
      <c r="J28" s="154" t="n"/>
      <c r="K28" s="154" t="n"/>
      <c r="L28" s="154" t="n"/>
      <c r="M28" s="154" t="n"/>
      <c r="N28" s="154" t="n"/>
      <c r="O28" s="154" t="n"/>
      <c r="P28" s="154" t="n"/>
      <c r="Q28" s="154" t="n"/>
      <c r="R28" s="154" t="n"/>
      <c r="S28" s="154" t="n"/>
      <c r="T28" s="154" t="n"/>
      <c r="U28" s="154" t="n"/>
      <c r="V28" s="154" t="n"/>
      <c r="W28" s="154" t="n"/>
      <c r="X28" s="154" t="n"/>
      <c r="Y28" s="154" t="n"/>
      <c r="Z28" s="154" t="n"/>
      <c r="AA28" s="154" t="n"/>
      <c r="AB28" s="154" t="n"/>
      <c r="AC28" s="154" t="n"/>
      <c r="AD28" s="154" t="n"/>
      <c r="AE28" s="154" t="n"/>
      <c r="AF28" s="154" t="n"/>
      <c r="AG28" s="154" t="n"/>
      <c r="AH28" s="154" t="n"/>
      <c r="AI28" s="154" t="n"/>
      <c r="AJ28" s="154" t="n"/>
      <c r="AK28" s="154" t="n"/>
      <c r="AL28" s="154" t="n"/>
      <c r="AM28" s="154" t="n"/>
      <c r="AN28" s="154" t="n"/>
      <c r="AO28" s="154" t="n"/>
      <c r="AP28" s="154" t="n"/>
      <c r="AQ28" s="154" t="n"/>
      <c r="AR28" s="154" t="n"/>
      <c r="AS28" s="154" t="n"/>
      <c r="AT28" s="154" t="n"/>
      <c r="AU28" s="154" t="inlineStr">
        <is>
          <t>R</t>
        </is>
      </c>
      <c r="AV28" s="154" t="n"/>
      <c r="AW28" s="154" t="n"/>
      <c r="AX28" s="154" t="n"/>
      <c r="AY28" s="154" t="n"/>
      <c r="AZ28" s="154" t="n"/>
      <c r="BA28" s="154" t="n"/>
      <c r="BB28" s="154" t="n"/>
      <c r="BC28" s="154" t="n"/>
      <c r="BD28" s="154" t="n"/>
      <c r="BE28" s="154" t="n"/>
      <c r="BF28" s="154" t="n"/>
      <c r="BG28" s="154" t="n"/>
      <c r="BH28" s="154" t="n"/>
      <c r="BI28" s="154" t="n"/>
      <c r="BJ28" s="154" t="n"/>
      <c r="BK28" s="154" t="n"/>
      <c r="BL28" s="154" t="n"/>
      <c r="BM28" s="154" t="n"/>
      <c r="BN28" s="154" t="n"/>
      <c r="BO28" s="154" t="n"/>
      <c r="BP28" s="154" t="n"/>
      <c r="BQ28" s="154" t="n"/>
      <c r="BR28" s="154" t="inlineStr">
        <is>
          <t>R</t>
        </is>
      </c>
      <c r="BS28" s="154" t="n"/>
      <c r="BT28" s="154" t="n"/>
      <c r="BU28" s="154" t="n"/>
      <c r="BV28" s="154" t="n"/>
      <c r="BW28" s="154" t="inlineStr">
        <is>
          <t>R</t>
        </is>
      </c>
      <c r="BX28" s="154" t="n"/>
      <c r="BY28" s="154" t="n"/>
      <c r="BZ28" s="154" t="n"/>
      <c r="CA28" s="154" t="n"/>
      <c r="CB28" s="154" t="n"/>
      <c r="CC28" s="154" t="n"/>
      <c r="CD28" s="154" t="n"/>
      <c r="CE28" s="154" t="n"/>
      <c r="CF28" s="154" t="n"/>
      <c r="CG28" s="154" t="n"/>
      <c r="CH28" s="154" t="n"/>
      <c r="CI28" s="154" t="inlineStr">
        <is>
          <t>R</t>
        </is>
      </c>
      <c r="CJ28" s="154" t="n"/>
      <c r="CK28" s="154" t="n"/>
      <c r="CL28" s="154" t="n"/>
      <c r="CM28" s="154" t="n"/>
      <c r="CN28" s="154" t="n"/>
      <c r="CO28" s="154" t="inlineStr">
        <is>
          <t>C</t>
        </is>
      </c>
      <c r="CP28" s="154" t="inlineStr">
        <is>
          <t>C</t>
        </is>
      </c>
      <c r="CQ28" s="154" t="inlineStr">
        <is>
          <t>C</t>
        </is>
      </c>
      <c r="CR28" s="154" t="n"/>
      <c r="CS28" s="154" t="n"/>
      <c r="CT28" s="154" t="n"/>
      <c r="CU28" s="154" t="n"/>
      <c r="CV28" s="149">
        <f>COUNTIF(D28:CU28,"C")</f>
        <v/>
      </c>
      <c r="CW28" s="149">
        <f>COUNTIF(D28:CU28,"R")</f>
        <v/>
      </c>
    </row>
    <row r="29">
      <c r="A29" s="152" t="n"/>
      <c r="B29" s="146" t="inlineStr">
        <is>
          <t>APP-24</t>
        </is>
      </c>
      <c r="C29" s="153">
        <f>IFERROR(INDEX(アプリケーション!$C:$C,MATCH(B29,アプリケーション!$A:$A,0)),"（IDなし）")</f>
        <v/>
      </c>
      <c r="D29" s="154" t="n"/>
      <c r="E29" s="154" t="n"/>
      <c r="F29" s="154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  <c r="V29" s="154" t="n"/>
      <c r="W29" s="154" t="n"/>
      <c r="X29" s="154" t="n"/>
      <c r="Y29" s="154" t="n"/>
      <c r="Z29" s="154" t="n"/>
      <c r="AA29" s="154" t="n"/>
      <c r="AB29" s="154" t="n"/>
      <c r="AC29" s="154" t="n"/>
      <c r="AD29" s="154" t="n"/>
      <c r="AE29" s="154" t="n"/>
      <c r="AF29" s="154" t="n"/>
      <c r="AG29" s="154" t="n"/>
      <c r="AH29" s="154" t="n"/>
      <c r="AI29" s="154" t="n"/>
      <c r="AJ29" s="154" t="n"/>
      <c r="AK29" s="154" t="n"/>
      <c r="AL29" s="154" t="n"/>
      <c r="AM29" s="154" t="n"/>
      <c r="AN29" s="154" t="n"/>
      <c r="AO29" s="154" t="n"/>
      <c r="AP29" s="154" t="n"/>
      <c r="AQ29" s="154" t="n"/>
      <c r="AR29" s="154" t="n"/>
      <c r="AS29" s="154" t="inlineStr">
        <is>
          <t>C</t>
        </is>
      </c>
      <c r="AT29" s="154" t="n"/>
      <c r="AU29" s="154" t="inlineStr">
        <is>
          <t>R</t>
        </is>
      </c>
      <c r="AV29" s="154" t="n"/>
      <c r="AW29" s="154" t="n"/>
      <c r="AX29" s="154" t="n"/>
      <c r="AY29" s="154" t="n"/>
      <c r="AZ29" s="154" t="n"/>
      <c r="BA29" s="154" t="n"/>
      <c r="BB29" s="154" t="n"/>
      <c r="BC29" s="154" t="n"/>
      <c r="BD29" s="154" t="n"/>
      <c r="BE29" s="154" t="n"/>
      <c r="BF29" s="154" t="n"/>
      <c r="BG29" s="154" t="n"/>
      <c r="BH29" s="154" t="n"/>
      <c r="BI29" s="154" t="n"/>
      <c r="BJ29" s="154" t="n"/>
      <c r="BK29" s="154" t="n"/>
      <c r="BL29" s="154" t="n"/>
      <c r="BM29" s="154" t="n"/>
      <c r="BN29" s="154" t="n"/>
      <c r="BO29" s="154" t="n"/>
      <c r="BP29" s="154" t="n"/>
      <c r="BQ29" s="154" t="n"/>
      <c r="BR29" s="154" t="n"/>
      <c r="BS29" s="154" t="n"/>
      <c r="BT29" s="154" t="n"/>
      <c r="BU29" s="154" t="n"/>
      <c r="BV29" s="154" t="n"/>
      <c r="BW29" s="154" t="n"/>
      <c r="BX29" s="154" t="n"/>
      <c r="BY29" s="154" t="n"/>
      <c r="BZ29" s="154" t="n"/>
      <c r="CA29" s="154" t="n"/>
      <c r="CB29" s="154" t="n"/>
      <c r="CC29" s="154" t="n"/>
      <c r="CD29" s="154" t="n"/>
      <c r="CE29" s="154" t="n"/>
      <c r="CF29" s="154" t="n"/>
      <c r="CG29" s="154" t="n"/>
      <c r="CH29" s="154" t="n"/>
      <c r="CI29" s="154" t="n"/>
      <c r="CJ29" s="154" t="n"/>
      <c r="CK29" s="154" t="n"/>
      <c r="CL29" s="154" t="n"/>
      <c r="CM29" s="154" t="n"/>
      <c r="CN29" s="154" t="n"/>
      <c r="CO29" s="154" t="n"/>
      <c r="CP29" s="154" t="inlineStr">
        <is>
          <t>C</t>
        </is>
      </c>
      <c r="CQ29" s="154" t="inlineStr">
        <is>
          <t>C</t>
        </is>
      </c>
      <c r="CR29" s="154" t="inlineStr">
        <is>
          <t>C</t>
        </is>
      </c>
      <c r="CS29" s="154" t="n"/>
      <c r="CT29" s="154" t="n"/>
      <c r="CU29" s="154" t="n"/>
      <c r="CV29" s="149">
        <f>COUNTIF(D29:CU29,"C")</f>
        <v/>
      </c>
      <c r="CW29" s="149">
        <f>COUNTIF(D29:CU29,"R")</f>
        <v/>
      </c>
    </row>
    <row r="30">
      <c r="A30" s="152" t="n"/>
      <c r="B30" s="146" t="inlineStr">
        <is>
          <t>APP-25</t>
        </is>
      </c>
      <c r="C30" s="153">
        <f>IFERROR(INDEX(アプリケーション!$C:$C,MATCH(B30,アプリケーション!$A:$A,0)),"（IDなし）")</f>
        <v/>
      </c>
      <c r="D30" s="154" t="n"/>
      <c r="E30" s="154" t="n"/>
      <c r="F30" s="154" t="n"/>
      <c r="G30" s="154" t="n"/>
      <c r="H30" s="154" t="n"/>
      <c r="I30" s="154" t="n"/>
      <c r="J30" s="154" t="n"/>
      <c r="K30" s="154" t="n"/>
      <c r="L30" s="154" t="n"/>
      <c r="M30" s="154" t="n"/>
      <c r="N30" s="154" t="n"/>
      <c r="O30" s="154" t="n"/>
      <c r="P30" s="154" t="n"/>
      <c r="Q30" s="154" t="n"/>
      <c r="R30" s="154" t="n"/>
      <c r="S30" s="154" t="n"/>
      <c r="T30" s="154" t="n"/>
      <c r="U30" s="154" t="n"/>
      <c r="V30" s="154" t="n"/>
      <c r="W30" s="154" t="n"/>
      <c r="X30" s="154" t="n"/>
      <c r="Y30" s="154" t="n"/>
      <c r="Z30" s="154" t="n"/>
      <c r="AA30" s="154" t="n"/>
      <c r="AB30" s="154" t="n"/>
      <c r="AC30" s="154" t="n"/>
      <c r="AD30" s="154" t="n"/>
      <c r="AE30" s="154" t="n"/>
      <c r="AF30" s="154" t="n"/>
      <c r="AG30" s="154" t="n"/>
      <c r="AH30" s="154" t="n"/>
      <c r="AI30" s="154" t="n"/>
      <c r="AJ30" s="154" t="n"/>
      <c r="AK30" s="154" t="n"/>
      <c r="AL30" s="154" t="n"/>
      <c r="AM30" s="154" t="n"/>
      <c r="AN30" s="154" t="n"/>
      <c r="AO30" s="154" t="n"/>
      <c r="AP30" s="154" t="n"/>
      <c r="AQ30" s="154" t="n"/>
      <c r="AR30" s="154" t="n"/>
      <c r="AS30" s="154" t="n"/>
      <c r="AT30" s="154" t="n"/>
      <c r="AU30" s="154" t="n"/>
      <c r="AV30" s="154" t="n"/>
      <c r="AW30" s="154" t="n"/>
      <c r="AX30" s="154" t="n"/>
      <c r="AY30" s="154" t="n"/>
      <c r="AZ30" s="154" t="n"/>
      <c r="BA30" s="154" t="n"/>
      <c r="BB30" s="154" t="n"/>
      <c r="BC30" s="154" t="n"/>
      <c r="BD30" s="154" t="n"/>
      <c r="BE30" s="154" t="n"/>
      <c r="BF30" s="154" t="n"/>
      <c r="BG30" s="154" t="n"/>
      <c r="BH30" s="154" t="n"/>
      <c r="BI30" s="154" t="n"/>
      <c r="BJ30" s="154" t="n"/>
      <c r="BK30" s="154" t="n"/>
      <c r="BL30" s="154" t="n"/>
      <c r="BM30" s="154" t="n"/>
      <c r="BN30" s="154" t="n"/>
      <c r="BO30" s="154" t="n"/>
      <c r="BP30" s="154" t="n"/>
      <c r="BQ30" s="154" t="n"/>
      <c r="BR30" s="154" t="n"/>
      <c r="BS30" s="154" t="n"/>
      <c r="BT30" s="154" t="n"/>
      <c r="BU30" s="154" t="n"/>
      <c r="BV30" s="154" t="n"/>
      <c r="BW30" s="154" t="n"/>
      <c r="BX30" s="154" t="n"/>
      <c r="BY30" s="154" t="n"/>
      <c r="BZ30" s="154" t="n"/>
      <c r="CA30" s="154" t="n"/>
      <c r="CB30" s="154" t="n"/>
      <c r="CC30" s="154" t="n"/>
      <c r="CD30" s="154" t="n"/>
      <c r="CE30" s="154" t="n"/>
      <c r="CF30" s="154" t="n"/>
      <c r="CG30" s="154" t="n"/>
      <c r="CH30" s="154" t="n"/>
      <c r="CI30" s="154" t="n"/>
      <c r="CJ30" s="154" t="n"/>
      <c r="CK30" s="154" t="n"/>
      <c r="CL30" s="154" t="n"/>
      <c r="CM30" s="154" t="n"/>
      <c r="CN30" s="154" t="n"/>
      <c r="CO30" s="154" t="n"/>
      <c r="CP30" s="154" t="n"/>
      <c r="CQ30" s="154" t="inlineStr">
        <is>
          <t>R</t>
        </is>
      </c>
      <c r="CR30" s="154" t="n"/>
      <c r="CS30" s="154" t="inlineStr">
        <is>
          <t>C</t>
        </is>
      </c>
      <c r="CT30" s="154" t="n"/>
      <c r="CU30" s="154" t="n"/>
      <c r="CV30" s="149">
        <f>COUNTIF(D30:CU30,"C")</f>
        <v/>
      </c>
      <c r="CW30" s="149">
        <f>COUNTIF(D30:CU30,"R")</f>
        <v/>
      </c>
    </row>
    <row r="31">
      <c r="A31" s="152" t="inlineStr">
        <is>
          <t>商業</t>
        </is>
      </c>
      <c r="B31" s="146" t="inlineStr">
        <is>
          <t>APP-26</t>
        </is>
      </c>
      <c r="C31" s="153">
        <f>IFERROR(INDEX(アプリケーション!$C:$C,MATCH(B31,アプリケーション!$A:$A,0)),"（IDなし）")</f>
        <v/>
      </c>
      <c r="D31" s="154" t="n"/>
      <c r="E31" s="154" t="n"/>
      <c r="F31" s="154" t="n"/>
      <c r="G31" s="154" t="n"/>
      <c r="H31" s="154" t="n"/>
      <c r="I31" s="154" t="n"/>
      <c r="J31" s="154" t="inlineStr">
        <is>
          <t>C</t>
        </is>
      </c>
      <c r="K31" s="154" t="n"/>
      <c r="L31" s="154" t="n"/>
      <c r="M31" s="154" t="n"/>
      <c r="N31" s="154" t="n"/>
      <c r="O31" s="154" t="n"/>
      <c r="P31" s="154" t="n"/>
      <c r="Q31" s="154" t="n"/>
      <c r="R31" s="154" t="n"/>
      <c r="S31" s="154" t="n"/>
      <c r="T31" s="154" t="n"/>
      <c r="U31" s="154" t="n"/>
      <c r="V31" s="154" t="n"/>
      <c r="W31" s="154" t="n"/>
      <c r="X31" s="154" t="n"/>
      <c r="Y31" s="154" t="n"/>
      <c r="Z31" s="154" t="n"/>
      <c r="AA31" s="154" t="n"/>
      <c r="AB31" s="154" t="n"/>
      <c r="AC31" s="154" t="n"/>
      <c r="AD31" s="154" t="n"/>
      <c r="AE31" s="154" t="n"/>
      <c r="AF31" s="154" t="n"/>
      <c r="AG31" s="154" t="n"/>
      <c r="AH31" s="154" t="n"/>
      <c r="AI31" s="154" t="n"/>
      <c r="AJ31" s="154" t="n"/>
      <c r="AK31" s="154" t="n"/>
      <c r="AL31" s="154" t="n"/>
      <c r="AM31" s="154" t="n"/>
      <c r="AN31" s="154" t="n"/>
      <c r="AO31" s="154" t="n"/>
      <c r="AP31" s="154" t="n"/>
      <c r="AQ31" s="154" t="n"/>
      <c r="AR31" s="154" t="n"/>
      <c r="AS31" s="154" t="n"/>
      <c r="AT31" s="154" t="n"/>
      <c r="AU31" s="154" t="n"/>
      <c r="AV31" s="154" t="n"/>
      <c r="AW31" s="154" t="n"/>
      <c r="AX31" s="154" t="n"/>
      <c r="AY31" s="154" t="n"/>
      <c r="AZ31" s="154" t="n"/>
      <c r="BA31" s="154" t="n"/>
      <c r="BB31" s="154" t="inlineStr">
        <is>
          <t>R</t>
        </is>
      </c>
      <c r="BC31" s="154" t="n"/>
      <c r="BD31" s="154" t="n"/>
      <c r="BE31" s="154" t="n"/>
      <c r="BF31" s="154" t="n"/>
      <c r="BG31" s="154" t="n"/>
      <c r="BH31" s="154" t="n"/>
      <c r="BI31" s="154" t="n"/>
      <c r="BJ31" s="154" t="n"/>
      <c r="BK31" s="154" t="n"/>
      <c r="BL31" s="154" t="n"/>
      <c r="BM31" s="154" t="n"/>
      <c r="BN31" s="154" t="n"/>
      <c r="BO31" s="154" t="n"/>
      <c r="BP31" s="154" t="n"/>
      <c r="BQ31" s="154" t="n"/>
      <c r="BR31" s="154" t="n"/>
      <c r="BS31" s="154" t="n"/>
      <c r="BT31" s="154" t="n"/>
      <c r="BU31" s="154" t="n"/>
      <c r="BV31" s="154" t="n"/>
      <c r="BW31" s="154" t="n"/>
      <c r="BX31" s="154" t="inlineStr">
        <is>
          <t>R</t>
        </is>
      </c>
      <c r="BY31" s="154" t="n"/>
      <c r="BZ31" s="154" t="n"/>
      <c r="CA31" s="154" t="n"/>
      <c r="CB31" s="154" t="n"/>
      <c r="CC31" s="154" t="n"/>
      <c r="CD31" s="154" t="n"/>
      <c r="CE31" s="154" t="n"/>
      <c r="CF31" s="154" t="n"/>
      <c r="CG31" s="154" t="n"/>
      <c r="CH31" s="154" t="n"/>
      <c r="CI31" s="154" t="n"/>
      <c r="CJ31" s="154" t="inlineStr">
        <is>
          <t>C</t>
        </is>
      </c>
      <c r="CK31" s="154" t="inlineStr">
        <is>
          <t>C</t>
        </is>
      </c>
      <c r="CL31" s="154" t="inlineStr">
        <is>
          <t>C</t>
        </is>
      </c>
      <c r="CM31" s="154" t="n"/>
      <c r="CN31" s="154" t="n"/>
      <c r="CO31" s="154" t="n"/>
      <c r="CP31" s="154" t="n"/>
      <c r="CQ31" s="154" t="n"/>
      <c r="CR31" s="154" t="n"/>
      <c r="CS31" s="154" t="n"/>
      <c r="CT31" s="154" t="n"/>
      <c r="CU31" s="154" t="n"/>
      <c r="CV31" s="149">
        <f>COUNTIF(D31:CU31,"C")</f>
        <v/>
      </c>
      <c r="CW31" s="149">
        <f>COUNTIF(D31:CU31,"R")</f>
        <v/>
      </c>
    </row>
    <row r="32">
      <c r="A32" s="152" t="n"/>
      <c r="B32" s="146" t="inlineStr">
        <is>
          <t>APP-27</t>
        </is>
      </c>
      <c r="C32" s="153">
        <f>IFERROR(INDEX(アプリケーション!$C:$C,MATCH(B32,アプリケーション!$A:$A,0)),"（IDなし）")</f>
        <v/>
      </c>
      <c r="D32" s="154" t="n"/>
      <c r="E32" s="154" t="n"/>
      <c r="F32" s="154" t="n"/>
      <c r="G32" s="154" t="n"/>
      <c r="H32" s="154" t="inlineStr">
        <is>
          <t>C</t>
        </is>
      </c>
      <c r="I32" s="154" t="n"/>
      <c r="J32" s="154" t="n"/>
      <c r="K32" s="154" t="n"/>
      <c r="L32" s="154" t="n"/>
      <c r="M32" s="154" t="n"/>
      <c r="N32" s="154" t="n"/>
      <c r="O32" s="154" t="n"/>
      <c r="P32" s="154" t="n"/>
      <c r="Q32" s="154" t="n"/>
      <c r="R32" s="154" t="n"/>
      <c r="S32" s="154" t="n"/>
      <c r="T32" s="154" t="n"/>
      <c r="U32" s="154" t="n"/>
      <c r="V32" s="154" t="n"/>
      <c r="W32" s="154" t="n"/>
      <c r="X32" s="154" t="n"/>
      <c r="Y32" s="154" t="n"/>
      <c r="Z32" s="154" t="n"/>
      <c r="AA32" s="154" t="n"/>
      <c r="AB32" s="154" t="n"/>
      <c r="AC32" s="154" t="n"/>
      <c r="AD32" s="154" t="n"/>
      <c r="AE32" s="154" t="n"/>
      <c r="AF32" s="154" t="n"/>
      <c r="AG32" s="154" t="n"/>
      <c r="AH32" s="154" t="n"/>
      <c r="AI32" s="154" t="n"/>
      <c r="AJ32" s="154" t="n"/>
      <c r="AK32" s="154" t="n"/>
      <c r="AL32" s="154" t="n"/>
      <c r="AM32" s="154" t="n"/>
      <c r="AN32" s="154" t="n"/>
      <c r="AO32" s="154" t="n"/>
      <c r="AP32" s="154" t="n"/>
      <c r="AQ32" s="154" t="n"/>
      <c r="AR32" s="154" t="n"/>
      <c r="AS32" s="154" t="n"/>
      <c r="AT32" s="154" t="n"/>
      <c r="AU32" s="154" t="n"/>
      <c r="AV32" s="154" t="n"/>
      <c r="AW32" s="154" t="n"/>
      <c r="AX32" s="154" t="n"/>
      <c r="AY32" s="154" t="n"/>
      <c r="AZ32" s="154" t="n"/>
      <c r="BA32" s="154" t="n"/>
      <c r="BB32" s="154" t="n"/>
      <c r="BC32" s="154" t="n"/>
      <c r="BD32" s="154" t="n"/>
      <c r="BE32" s="154" t="n"/>
      <c r="BF32" s="154" t="n"/>
      <c r="BG32" s="154" t="n"/>
      <c r="BH32" s="154" t="n"/>
      <c r="BI32" s="154" t="n"/>
      <c r="BJ32" s="154" t="n"/>
      <c r="BK32" s="154" t="n"/>
      <c r="BL32" s="154" t="n"/>
      <c r="BM32" s="154" t="n"/>
      <c r="BN32" s="154" t="n"/>
      <c r="BO32" s="154" t="n"/>
      <c r="BP32" s="154" t="n"/>
      <c r="BQ32" s="154" t="n"/>
      <c r="BR32" s="154" t="n"/>
      <c r="BS32" s="154" t="n"/>
      <c r="BT32" s="154" t="n"/>
      <c r="BU32" s="154" t="n"/>
      <c r="BV32" s="154" t="n"/>
      <c r="BW32" s="154" t="n"/>
      <c r="BX32" s="154" t="n"/>
      <c r="BY32" s="154" t="n"/>
      <c r="BZ32" s="154" t="n"/>
      <c r="CA32" s="154" t="n"/>
      <c r="CB32" s="154" t="n"/>
      <c r="CC32" s="154" t="n"/>
      <c r="CD32" s="154" t="n"/>
      <c r="CE32" s="154" t="n"/>
      <c r="CF32" s="154" t="n"/>
      <c r="CG32" s="154" t="inlineStr">
        <is>
          <t>R</t>
        </is>
      </c>
      <c r="CH32" s="154" t="inlineStr">
        <is>
          <t>R</t>
        </is>
      </c>
      <c r="CI32" s="154" t="inlineStr">
        <is>
          <t>C</t>
        </is>
      </c>
      <c r="CJ32" s="154" t="n"/>
      <c r="CK32" s="154" t="n"/>
      <c r="CL32" s="154" t="n"/>
      <c r="CM32" s="154" t="n"/>
      <c r="CN32" s="154" t="n"/>
      <c r="CO32" s="154" t="n"/>
      <c r="CP32" s="154" t="n"/>
      <c r="CQ32" s="154" t="n"/>
      <c r="CR32" s="154" t="n"/>
      <c r="CS32" s="154" t="n"/>
      <c r="CT32" s="154" t="n"/>
      <c r="CU32" s="154" t="n"/>
      <c r="CV32" s="149">
        <f>COUNTIF(D32:CU32,"C")</f>
        <v/>
      </c>
      <c r="CW32" s="149">
        <f>COUNTIF(D32:CU32,"R")</f>
        <v/>
      </c>
    </row>
    <row r="33">
      <c r="A33" s="152" t="n"/>
      <c r="B33" s="146" t="inlineStr">
        <is>
          <t>APP-28</t>
        </is>
      </c>
      <c r="C33" s="153">
        <f>IFERROR(INDEX(アプリケーション!$C:$C,MATCH(B33,アプリケーション!$A:$A,0)),"（IDなし）")</f>
        <v/>
      </c>
      <c r="D33" s="154" t="n"/>
      <c r="E33" s="154" t="n"/>
      <c r="F33" s="154" t="n"/>
      <c r="G33" s="154" t="n"/>
      <c r="H33" s="154" t="n"/>
      <c r="I33" s="154" t="inlineStr">
        <is>
          <t>R</t>
        </is>
      </c>
      <c r="J33" s="154" t="n"/>
      <c r="K33" s="154" t="n"/>
      <c r="L33" s="154" t="n"/>
      <c r="M33" s="154" t="n"/>
      <c r="N33" s="154" t="n"/>
      <c r="O33" s="154" t="n"/>
      <c r="P33" s="154" t="n"/>
      <c r="Q33" s="154" t="n"/>
      <c r="R33" s="154" t="n"/>
      <c r="S33" s="154" t="n"/>
      <c r="T33" s="154" t="n"/>
      <c r="U33" s="154" t="inlineStr">
        <is>
          <t>R</t>
        </is>
      </c>
      <c r="V33" s="154" t="n"/>
      <c r="W33" s="154" t="n"/>
      <c r="X33" s="154" t="n"/>
      <c r="Y33" s="154" t="n"/>
      <c r="Z33" s="154" t="n"/>
      <c r="AA33" s="154" t="n"/>
      <c r="AB33" s="154" t="n"/>
      <c r="AC33" s="154" t="n"/>
      <c r="AD33" s="154" t="n"/>
      <c r="AE33" s="154" t="n"/>
      <c r="AF33" s="154" t="n"/>
      <c r="AG33" s="154" t="n"/>
      <c r="AH33" s="154" t="n"/>
      <c r="AI33" s="154" t="n"/>
      <c r="AJ33" s="154" t="n"/>
      <c r="AK33" s="154" t="n"/>
      <c r="AL33" s="154" t="n"/>
      <c r="AM33" s="154" t="n"/>
      <c r="AN33" s="154" t="n"/>
      <c r="AO33" s="154" t="n"/>
      <c r="AP33" s="154" t="n"/>
      <c r="AQ33" s="154" t="n"/>
      <c r="AR33" s="154" t="n"/>
      <c r="AS33" s="154" t="n"/>
      <c r="AT33" s="154" t="n"/>
      <c r="AU33" s="154" t="n"/>
      <c r="AV33" s="154" t="n"/>
      <c r="AW33" s="154" t="n"/>
      <c r="AX33" s="154" t="n"/>
      <c r="AY33" s="154" t="n"/>
      <c r="AZ33" s="154" t="n"/>
      <c r="BA33" s="154" t="n"/>
      <c r="BB33" s="154" t="n"/>
      <c r="BC33" s="154" t="n"/>
      <c r="BD33" s="154" t="n"/>
      <c r="BE33" s="154" t="n"/>
      <c r="BF33" s="154" t="n"/>
      <c r="BG33" s="154" t="n"/>
      <c r="BH33" s="154" t="n"/>
      <c r="BI33" s="154" t="n"/>
      <c r="BJ33" s="154" t="n"/>
      <c r="BK33" s="154" t="n"/>
      <c r="BL33" s="154" t="n"/>
      <c r="BM33" s="154" t="n"/>
      <c r="BN33" s="154" t="inlineStr">
        <is>
          <t>R</t>
        </is>
      </c>
      <c r="BO33" s="154" t="n"/>
      <c r="BP33" s="154" t="n"/>
      <c r="BQ33" s="154" t="n"/>
      <c r="BR33" s="154" t="n"/>
      <c r="BS33" s="154" t="n"/>
      <c r="BT33" s="154" t="inlineStr">
        <is>
          <t>R</t>
        </is>
      </c>
      <c r="BU33" s="154" t="n"/>
      <c r="BV33" s="154" t="n"/>
      <c r="BW33" s="154" t="inlineStr">
        <is>
          <t>R</t>
        </is>
      </c>
      <c r="BX33" s="154" t="inlineStr">
        <is>
          <t>R</t>
        </is>
      </c>
      <c r="BY33" s="154" t="n"/>
      <c r="BZ33" s="154" t="n"/>
      <c r="CA33" s="154" t="n"/>
      <c r="CB33" s="154" t="n"/>
      <c r="CC33" s="154" t="n"/>
      <c r="CD33" s="154" t="n"/>
      <c r="CE33" s="154" t="n"/>
      <c r="CF33" s="154" t="inlineStr">
        <is>
          <t>C</t>
        </is>
      </c>
      <c r="CG33" s="154" t="inlineStr">
        <is>
          <t>C</t>
        </is>
      </c>
      <c r="CH33" s="154" t="inlineStr">
        <is>
          <t>C</t>
        </is>
      </c>
      <c r="CI33" s="154" t="n"/>
      <c r="CJ33" s="154" t="n"/>
      <c r="CK33" s="154" t="n"/>
      <c r="CL33" s="154" t="n"/>
      <c r="CM33" s="154" t="inlineStr">
        <is>
          <t>C</t>
        </is>
      </c>
      <c r="CN33" s="154" t="inlineStr">
        <is>
          <t>C</t>
        </is>
      </c>
      <c r="CO33" s="154" t="n"/>
      <c r="CP33" s="154" t="n"/>
      <c r="CQ33" s="154" t="n"/>
      <c r="CR33" s="154" t="n"/>
      <c r="CS33" s="154" t="n"/>
      <c r="CT33" s="154" t="n"/>
      <c r="CU33" s="154" t="n"/>
      <c r="CV33" s="149">
        <f>COUNTIF(D33:CU33,"C")</f>
        <v/>
      </c>
      <c r="CW33" s="149">
        <f>COUNTIF(D33:CU33,"R")</f>
        <v/>
      </c>
    </row>
    <row r="34">
      <c r="A34" s="152" t="n"/>
      <c r="B34" s="146" t="inlineStr">
        <is>
          <t>APP-29</t>
        </is>
      </c>
      <c r="C34" s="153">
        <f>IFERROR(INDEX(アプリケーション!$C:$C,MATCH(B34,アプリケーション!$A:$A,0)),"（IDなし）")</f>
        <v/>
      </c>
      <c r="D34" s="154" t="n"/>
      <c r="E34" s="154" t="n"/>
      <c r="F34" s="154" t="n"/>
      <c r="G34" s="154" t="n"/>
      <c r="H34" s="154" t="n"/>
      <c r="I34" s="154" t="n"/>
      <c r="J34" s="154" t="n"/>
      <c r="K34" s="154" t="n"/>
      <c r="L34" s="154" t="n"/>
      <c r="M34" s="154" t="n"/>
      <c r="N34" s="154" t="n"/>
      <c r="O34" s="154" t="n"/>
      <c r="P34" s="154" t="n"/>
      <c r="Q34" s="154" t="n"/>
      <c r="R34" s="154" t="n"/>
      <c r="S34" s="154" t="n"/>
      <c r="T34" s="154" t="n"/>
      <c r="U34" s="154" t="n"/>
      <c r="V34" s="154" t="n"/>
      <c r="W34" s="154" t="n"/>
      <c r="X34" s="154" t="n"/>
      <c r="Y34" s="154" t="n"/>
      <c r="Z34" s="154" t="n"/>
      <c r="AA34" s="154" t="n"/>
      <c r="AB34" s="154" t="n"/>
      <c r="AC34" s="154" t="n"/>
      <c r="AD34" s="154" t="n"/>
      <c r="AE34" s="154" t="n"/>
      <c r="AF34" s="154" t="n"/>
      <c r="AG34" s="154" t="n"/>
      <c r="AH34" s="154" t="n"/>
      <c r="AI34" s="154" t="n"/>
      <c r="AJ34" s="154" t="n"/>
      <c r="AK34" s="154" t="n"/>
      <c r="AL34" s="154" t="n"/>
      <c r="AM34" s="154" t="n"/>
      <c r="AN34" s="154" t="n"/>
      <c r="AO34" s="154" t="n"/>
      <c r="AP34" s="154" t="n"/>
      <c r="AQ34" s="154" t="n"/>
      <c r="AR34" s="154" t="n"/>
      <c r="AS34" s="154" t="n"/>
      <c r="AT34" s="154" t="n"/>
      <c r="AU34" s="154" t="n"/>
      <c r="AV34" s="154" t="n"/>
      <c r="AW34" s="154" t="n"/>
      <c r="AX34" s="154" t="n"/>
      <c r="AY34" s="154" t="n"/>
      <c r="AZ34" s="154" t="n"/>
      <c r="BA34" s="154" t="n"/>
      <c r="BB34" s="154" t="n"/>
      <c r="BC34" s="154" t="n"/>
      <c r="BD34" s="154" t="n"/>
      <c r="BE34" s="154" t="n"/>
      <c r="BF34" s="154" t="n"/>
      <c r="BG34" s="154" t="n"/>
      <c r="BH34" s="154" t="n"/>
      <c r="BI34" s="154" t="n"/>
      <c r="BJ34" s="154" t="n"/>
      <c r="BK34" s="154" t="n"/>
      <c r="BL34" s="154" t="n"/>
      <c r="BM34" s="154" t="n"/>
      <c r="BN34" s="154" t="n"/>
      <c r="BO34" s="154" t="n"/>
      <c r="BP34" s="154" t="n"/>
      <c r="BQ34" s="154" t="n"/>
      <c r="BR34" s="154" t="n"/>
      <c r="BS34" s="154" t="n"/>
      <c r="BT34" s="154" t="n"/>
      <c r="BU34" s="154" t="n"/>
      <c r="BV34" s="154" t="n"/>
      <c r="BW34" s="154" t="n"/>
      <c r="BX34" s="154" t="inlineStr">
        <is>
          <t>R</t>
        </is>
      </c>
      <c r="BY34" s="154" t="n"/>
      <c r="BZ34" s="154" t="n"/>
      <c r="CA34" s="154" t="n"/>
      <c r="CB34" s="154" t="n"/>
      <c r="CC34" s="154" t="n"/>
      <c r="CD34" s="154" t="n"/>
      <c r="CE34" s="154" t="n"/>
      <c r="CF34" s="154" t="n"/>
      <c r="CG34" s="154" t="n"/>
      <c r="CH34" s="154" t="n"/>
      <c r="CI34" s="154" t="n"/>
      <c r="CJ34" s="154" t="inlineStr">
        <is>
          <t>C</t>
        </is>
      </c>
      <c r="CK34" s="154" t="n"/>
      <c r="CL34" s="154" t="n"/>
      <c r="CM34" s="154" t="n"/>
      <c r="CN34" s="154" t="n"/>
      <c r="CO34" s="154" t="n"/>
      <c r="CP34" s="154" t="n"/>
      <c r="CQ34" s="154" t="n"/>
      <c r="CR34" s="154" t="n"/>
      <c r="CS34" s="154" t="n"/>
      <c r="CT34" s="154" t="n"/>
      <c r="CU34" s="154" t="n"/>
      <c r="CV34" s="149">
        <f>COUNTIF(D34:CU34,"C")</f>
        <v/>
      </c>
      <c r="CW34" s="149">
        <f>COUNTIF(D34:CU34,"R")</f>
        <v/>
      </c>
    </row>
    <row r="35">
      <c r="A35" s="152" t="inlineStr">
        <is>
          <t>共通</t>
        </is>
      </c>
      <c r="B35" s="146" t="inlineStr">
        <is>
          <t>APP-30</t>
        </is>
      </c>
      <c r="C35" s="153">
        <f>IFERROR(INDEX(アプリケーション!$C:$C,MATCH(B35,アプリケーション!$A:$A,0)),"（IDなし）")</f>
        <v/>
      </c>
      <c r="D35" s="154" t="n"/>
      <c r="E35" s="154" t="n"/>
      <c r="F35" s="154" t="n"/>
      <c r="G35" s="154" t="inlineStr">
        <is>
          <t>C</t>
        </is>
      </c>
      <c r="H35" s="154" t="inlineStr">
        <is>
          <t>C</t>
        </is>
      </c>
      <c r="I35" s="154" t="n"/>
      <c r="J35" s="154" t="n"/>
      <c r="K35" s="154" t="n"/>
      <c r="L35" s="154" t="n"/>
      <c r="M35" s="154" t="n"/>
      <c r="N35" s="154" t="n"/>
      <c r="O35" s="154" t="n"/>
      <c r="P35" s="154" t="n"/>
      <c r="Q35" s="154" t="n"/>
      <c r="R35" s="154" t="n"/>
      <c r="S35" s="154" t="n"/>
      <c r="T35" s="154" t="n"/>
      <c r="U35" s="154" t="n"/>
      <c r="V35" s="154" t="n"/>
      <c r="W35" s="154" t="n"/>
      <c r="X35" s="154" t="n"/>
      <c r="Y35" s="154" t="n"/>
      <c r="Z35" s="154" t="n"/>
      <c r="AA35" s="154" t="n"/>
      <c r="AB35" s="154" t="n"/>
      <c r="AC35" s="154" t="n"/>
      <c r="AD35" s="154" t="n"/>
      <c r="AE35" s="154" t="n"/>
      <c r="AF35" s="154" t="n"/>
      <c r="AG35" s="154" t="n"/>
      <c r="AH35" s="154" t="n"/>
      <c r="AI35" s="154" t="n"/>
      <c r="AJ35" s="154" t="n"/>
      <c r="AK35" s="154" t="n"/>
      <c r="AL35" s="154" t="n"/>
      <c r="AM35" s="154" t="inlineStr">
        <is>
          <t>C</t>
        </is>
      </c>
      <c r="AN35" s="154" t="inlineStr">
        <is>
          <t>C</t>
        </is>
      </c>
      <c r="AO35" s="154" t="inlineStr">
        <is>
          <t>C</t>
        </is>
      </c>
      <c r="AP35" s="154" t="inlineStr">
        <is>
          <t>C</t>
        </is>
      </c>
      <c r="AQ35" s="154" t="n"/>
      <c r="AR35" s="154" t="n"/>
      <c r="AS35" s="154" t="n"/>
      <c r="AT35" s="154" t="n"/>
      <c r="AU35" s="154" t="inlineStr">
        <is>
          <t>R</t>
        </is>
      </c>
      <c r="AV35" s="154" t="n"/>
      <c r="AW35" s="154" t="n"/>
      <c r="AX35" s="154" t="n"/>
      <c r="AY35" s="154" t="n"/>
      <c r="AZ35" s="154" t="n"/>
      <c r="BA35" s="154" t="n"/>
      <c r="BB35" s="154" t="n"/>
      <c r="BC35" s="154" t="n"/>
      <c r="BD35" s="154" t="n"/>
      <c r="BE35" s="154" t="n"/>
      <c r="BF35" s="154" t="n"/>
      <c r="BG35" s="154" t="n"/>
      <c r="BH35" s="154" t="n"/>
      <c r="BI35" s="154" t="n"/>
      <c r="BJ35" s="154" t="n"/>
      <c r="BK35" s="154" t="n"/>
      <c r="BL35" s="154" t="n"/>
      <c r="BM35" s="154" t="n"/>
      <c r="BN35" s="154" t="n"/>
      <c r="BO35" s="154" t="n"/>
      <c r="BP35" s="154" t="n"/>
      <c r="BQ35" s="154" t="n"/>
      <c r="BR35" s="154" t="inlineStr">
        <is>
          <t>R</t>
        </is>
      </c>
      <c r="BS35" s="154" t="n"/>
      <c r="BT35" s="154" t="n"/>
      <c r="BU35" s="154" t="n"/>
      <c r="BV35" s="154" t="n"/>
      <c r="BW35" s="154" t="inlineStr">
        <is>
          <t>R</t>
        </is>
      </c>
      <c r="BX35" s="154" t="n"/>
      <c r="BY35" s="154" t="n"/>
      <c r="BZ35" s="154" t="n"/>
      <c r="CA35" s="154" t="n"/>
      <c r="CB35" s="154" t="n"/>
      <c r="CC35" s="154" t="n"/>
      <c r="CD35" s="154" t="n"/>
      <c r="CE35" s="154" t="n"/>
      <c r="CF35" s="154" t="n"/>
      <c r="CG35" s="154" t="n"/>
      <c r="CH35" s="154" t="n"/>
      <c r="CI35" s="154" t="inlineStr">
        <is>
          <t>R</t>
        </is>
      </c>
      <c r="CJ35" s="154" t="n"/>
      <c r="CK35" s="154" t="n"/>
      <c r="CL35" s="154" t="n"/>
      <c r="CM35" s="154" t="n"/>
      <c r="CN35" s="154" t="n"/>
      <c r="CO35" s="154" t="inlineStr">
        <is>
          <t>C</t>
        </is>
      </c>
      <c r="CP35" s="154" t="inlineStr">
        <is>
          <t>C</t>
        </is>
      </c>
      <c r="CQ35" s="154" t="inlineStr">
        <is>
          <t>C</t>
        </is>
      </c>
      <c r="CR35" s="154" t="n"/>
      <c r="CS35" s="154" t="n"/>
      <c r="CT35" s="154" t="n"/>
      <c r="CU35" s="154" t="n"/>
      <c r="CV35" s="149">
        <f>COUNTIF(D35:CU35,"C")</f>
        <v/>
      </c>
      <c r="CW35" s="149">
        <f>COUNTIF(D35:CU35,"R")</f>
        <v/>
      </c>
    </row>
    <row r="36">
      <c r="A36" s="152" t="n"/>
      <c r="B36" s="146" t="inlineStr">
        <is>
          <t>APP-31</t>
        </is>
      </c>
      <c r="C36" s="153">
        <f>IFERROR(INDEX(アプリケーション!$C:$C,MATCH(B36,アプリケーション!$A:$A,0)),"（IDなし）")</f>
        <v/>
      </c>
      <c r="D36" s="154" t="inlineStr">
        <is>
          <t>C</t>
        </is>
      </c>
      <c r="E36" s="154" t="n"/>
      <c r="F36" s="154" t="n"/>
      <c r="G36" s="154" t="n"/>
      <c r="H36" s="154" t="n"/>
      <c r="I36" s="154" t="n"/>
      <c r="J36" s="154" t="n"/>
      <c r="K36" s="154" t="n"/>
      <c r="L36" s="154" t="n"/>
      <c r="M36" s="154" t="n"/>
      <c r="N36" s="154" t="n"/>
      <c r="O36" s="154" t="n"/>
      <c r="P36" s="154" t="n"/>
      <c r="Q36" s="154" t="n"/>
      <c r="R36" s="154" t="n"/>
      <c r="S36" s="154" t="n"/>
      <c r="T36" s="154" t="n"/>
      <c r="U36" s="154" t="n"/>
      <c r="V36" s="154" t="n"/>
      <c r="W36" s="154" t="n"/>
      <c r="X36" s="154" t="n"/>
      <c r="Y36" s="154" t="n"/>
      <c r="Z36" s="154" t="n"/>
      <c r="AA36" s="154" t="n"/>
      <c r="AB36" s="154" t="n"/>
      <c r="AC36" s="154" t="n"/>
      <c r="AD36" s="154" t="n"/>
      <c r="AE36" s="154" t="n"/>
      <c r="AF36" s="154" t="n"/>
      <c r="AG36" s="154" t="n"/>
      <c r="AH36" s="154" t="n"/>
      <c r="AI36" s="154" t="n"/>
      <c r="AJ36" s="154" t="n"/>
      <c r="AK36" s="154" t="n"/>
      <c r="AL36" s="154" t="n"/>
      <c r="AM36" s="154" t="n"/>
      <c r="AN36" s="154" t="n"/>
      <c r="AO36" s="154" t="n"/>
      <c r="AP36" s="154" t="n"/>
      <c r="AQ36" s="154" t="n"/>
      <c r="AR36" s="154" t="n"/>
      <c r="AS36" s="154" t="n"/>
      <c r="AT36" s="154" t="n"/>
      <c r="AU36" s="154" t="n"/>
      <c r="AV36" s="154" t="n"/>
      <c r="AW36" s="154" t="n"/>
      <c r="AX36" s="154" t="n"/>
      <c r="AY36" s="154" t="n"/>
      <c r="AZ36" s="154" t="n"/>
      <c r="BA36" s="154" t="n"/>
      <c r="BB36" s="154" t="n"/>
      <c r="BC36" s="154" t="n"/>
      <c r="BD36" s="154" t="n"/>
      <c r="BE36" s="154" t="n"/>
      <c r="BF36" s="154" t="n"/>
      <c r="BG36" s="154" t="n"/>
      <c r="BH36" s="154" t="n"/>
      <c r="BI36" s="154" t="n"/>
      <c r="BJ36" s="154" t="n"/>
      <c r="BK36" s="154" t="n"/>
      <c r="BL36" s="154" t="n"/>
      <c r="BM36" s="154" t="n"/>
      <c r="BN36" s="154" t="n"/>
      <c r="BO36" s="154" t="n"/>
      <c r="BP36" s="154" t="n"/>
      <c r="BQ36" s="154" t="n"/>
      <c r="BR36" s="154" t="inlineStr">
        <is>
          <t>C</t>
        </is>
      </c>
      <c r="BS36" s="154" t="n"/>
      <c r="BT36" s="154" t="n"/>
      <c r="BU36" s="154" t="n"/>
      <c r="BV36" s="154" t="n"/>
      <c r="BW36" s="154" t="n"/>
      <c r="BX36" s="154" t="n"/>
      <c r="BY36" s="154" t="n"/>
      <c r="BZ36" s="154" t="n"/>
      <c r="CA36" s="154" t="n"/>
      <c r="CB36" s="154" t="n"/>
      <c r="CC36" s="154" t="n"/>
      <c r="CD36" s="154" t="n"/>
      <c r="CE36" s="154" t="n"/>
      <c r="CF36" s="154" t="n"/>
      <c r="CG36" s="154" t="n"/>
      <c r="CH36" s="154" t="n"/>
      <c r="CI36" s="154" t="n"/>
      <c r="CJ36" s="154" t="n"/>
      <c r="CK36" s="154" t="n"/>
      <c r="CL36" s="154" t="n"/>
      <c r="CM36" s="154" t="n"/>
      <c r="CN36" s="154" t="n"/>
      <c r="CO36" s="154" t="n"/>
      <c r="CP36" s="154" t="n"/>
      <c r="CQ36" s="154" t="n"/>
      <c r="CR36" s="154" t="n"/>
      <c r="CS36" s="154" t="n"/>
      <c r="CT36" s="154" t="n"/>
      <c r="CU36" s="154" t="n"/>
      <c r="CV36" s="149">
        <f>COUNTIF(D36:CU36,"C")</f>
        <v/>
      </c>
      <c r="CW36" s="149">
        <f>COUNTIF(D36:CU36,"R")</f>
        <v/>
      </c>
    </row>
    <row r="37">
      <c r="A37" s="152" t="n"/>
      <c r="B37" s="146" t="inlineStr">
        <is>
          <t>APP-32</t>
        </is>
      </c>
      <c r="C37" s="153">
        <f>IFERROR(INDEX(アプリケーション!$C:$C,MATCH(B37,アプリケーション!$A:$A,0)),"（IDなし）")</f>
        <v/>
      </c>
      <c r="D37" s="154" t="n"/>
      <c r="E37" s="154" t="n"/>
      <c r="F37" s="154" t="n"/>
      <c r="G37" s="154" t="n"/>
      <c r="H37" s="154" t="n"/>
      <c r="I37" s="154" t="inlineStr">
        <is>
          <t>C</t>
        </is>
      </c>
      <c r="J37" s="154" t="inlineStr">
        <is>
          <t>R</t>
        </is>
      </c>
      <c r="K37" s="154" t="n"/>
      <c r="L37" s="154" t="n"/>
      <c r="M37" s="154" t="n"/>
      <c r="N37" s="154" t="n"/>
      <c r="O37" s="154" t="n"/>
      <c r="P37" s="154" t="n"/>
      <c r="Q37" s="154" t="n"/>
      <c r="R37" s="154" t="n"/>
      <c r="S37" s="154" t="n"/>
      <c r="T37" s="154" t="n"/>
      <c r="U37" s="154" t="n"/>
      <c r="V37" s="154" t="n"/>
      <c r="W37" s="154" t="n"/>
      <c r="X37" s="154" t="inlineStr">
        <is>
          <t>R</t>
        </is>
      </c>
      <c r="Y37" s="154" t="n"/>
      <c r="Z37" s="154" t="n"/>
      <c r="AA37" s="154" t="n"/>
      <c r="AB37" s="154" t="inlineStr">
        <is>
          <t>R</t>
        </is>
      </c>
      <c r="AC37" s="154" t="n"/>
      <c r="AD37" s="154" t="inlineStr">
        <is>
          <t>R</t>
        </is>
      </c>
      <c r="AE37" s="154" t="n"/>
      <c r="AF37" s="154" t="n"/>
      <c r="AG37" s="154" t="n"/>
      <c r="AH37" s="154" t="inlineStr">
        <is>
          <t>R</t>
        </is>
      </c>
      <c r="AI37" s="154" t="inlineStr">
        <is>
          <t>R</t>
        </is>
      </c>
      <c r="AJ37" s="154" t="inlineStr">
        <is>
          <t>R</t>
        </is>
      </c>
      <c r="AK37" s="154" t="inlineStr">
        <is>
          <t>R</t>
        </is>
      </c>
      <c r="AL37" s="154" t="n"/>
      <c r="AM37" s="154" t="n"/>
      <c r="AN37" s="154" t="n"/>
      <c r="AO37" s="154" t="n"/>
      <c r="AP37" s="154" t="n"/>
      <c r="AQ37" s="154" t="n"/>
      <c r="AR37" s="154" t="n"/>
      <c r="AS37" s="154" t="n"/>
      <c r="AT37" s="154" t="n"/>
      <c r="AU37" s="154" t="n"/>
      <c r="AV37" s="154" t="inlineStr">
        <is>
          <t>R</t>
        </is>
      </c>
      <c r="AW37" s="154" t="n"/>
      <c r="AX37" s="154" t="n"/>
      <c r="AY37" s="154" t="n"/>
      <c r="AZ37" s="154" t="inlineStr">
        <is>
          <t>R</t>
        </is>
      </c>
      <c r="BA37" s="154" t="n"/>
      <c r="BB37" s="154" t="n"/>
      <c r="BC37" s="154" t="inlineStr">
        <is>
          <t>C</t>
        </is>
      </c>
      <c r="BD37" s="154" t="inlineStr">
        <is>
          <t>C</t>
        </is>
      </c>
      <c r="BE37" s="154" t="inlineStr">
        <is>
          <t>C</t>
        </is>
      </c>
      <c r="BF37" s="154" t="n"/>
      <c r="BG37" s="154" t="n"/>
      <c r="BH37" s="154" t="n"/>
      <c r="BI37" s="154" t="n"/>
      <c r="BJ37" s="154" t="n"/>
      <c r="BK37" s="154" t="n"/>
      <c r="BL37" s="154" t="inlineStr">
        <is>
          <t>R</t>
        </is>
      </c>
      <c r="BM37" s="154" t="inlineStr">
        <is>
          <t>R</t>
        </is>
      </c>
      <c r="BN37" s="154" t="inlineStr">
        <is>
          <t>R</t>
        </is>
      </c>
      <c r="BO37" s="154" t="n"/>
      <c r="BP37" s="154" t="inlineStr">
        <is>
          <t>R</t>
        </is>
      </c>
      <c r="BQ37" s="154" t="inlineStr">
        <is>
          <t>C</t>
        </is>
      </c>
      <c r="BR37" s="154" t="n"/>
      <c r="BS37" s="154" t="inlineStr">
        <is>
          <t>R</t>
        </is>
      </c>
      <c r="BT37" s="154" t="inlineStr">
        <is>
          <t>R</t>
        </is>
      </c>
      <c r="BU37" s="154" t="inlineStr">
        <is>
          <t>C</t>
        </is>
      </c>
      <c r="BV37" s="154" t="inlineStr">
        <is>
          <t>C</t>
        </is>
      </c>
      <c r="BW37" s="154" t="inlineStr">
        <is>
          <t>C</t>
        </is>
      </c>
      <c r="BX37" s="154" t="inlineStr">
        <is>
          <t>C</t>
        </is>
      </c>
      <c r="BY37" s="154" t="n"/>
      <c r="BZ37" s="154" t="n"/>
      <c r="CA37" s="154" t="n"/>
      <c r="CB37" s="154" t="n"/>
      <c r="CC37" s="154" t="n"/>
      <c r="CD37" s="154" t="n"/>
      <c r="CE37" s="154" t="n"/>
      <c r="CF37" s="154" t="n"/>
      <c r="CG37" s="154" t="n"/>
      <c r="CH37" s="154" t="n"/>
      <c r="CI37" s="154" t="n"/>
      <c r="CJ37" s="154" t="n"/>
      <c r="CK37" s="154" t="n"/>
      <c r="CL37" s="154" t="n"/>
      <c r="CM37" s="154" t="n"/>
      <c r="CN37" s="154" t="n"/>
      <c r="CO37" s="154" t="n"/>
      <c r="CP37" s="154" t="n"/>
      <c r="CQ37" s="154" t="n"/>
      <c r="CR37" s="154" t="n"/>
      <c r="CS37" s="154" t="n"/>
      <c r="CT37" s="154" t="n"/>
      <c r="CU37" s="154" t="n"/>
      <c r="CV37" s="149">
        <f>COUNTIF(D37:CU37,"C")</f>
        <v/>
      </c>
      <c r="CW37" s="149">
        <f>COUNTIF(D37:CU37,"R")</f>
        <v/>
      </c>
    </row>
    <row r="38">
      <c r="A38" s="152" t="n"/>
      <c r="B38" s="146" t="inlineStr">
        <is>
          <t>APP-33</t>
        </is>
      </c>
      <c r="C38" s="153">
        <f>IFERROR(INDEX(アプリケーション!$C:$C,MATCH(B38,アプリケーション!$A:$A,0)),"（IDなし）")</f>
        <v/>
      </c>
      <c r="D38" s="154" t="n"/>
      <c r="E38" s="154" t="n"/>
      <c r="F38" s="154" t="n"/>
      <c r="G38" s="154" t="n"/>
      <c r="H38" s="154" t="n"/>
      <c r="I38" s="154" t="n"/>
      <c r="J38" s="154" t="n"/>
      <c r="K38" s="154" t="n"/>
      <c r="L38" s="154" t="n"/>
      <c r="M38" s="154" t="n"/>
      <c r="N38" s="154" t="n"/>
      <c r="O38" s="154" t="n"/>
      <c r="P38" s="154" t="n"/>
      <c r="Q38" s="154" t="n"/>
      <c r="R38" s="154" t="n"/>
      <c r="S38" s="154" t="n"/>
      <c r="T38" s="154" t="n"/>
      <c r="U38" s="154" t="n"/>
      <c r="V38" s="154" t="n"/>
      <c r="W38" s="154" t="n"/>
      <c r="X38" s="154" t="n"/>
      <c r="Y38" s="154" t="n"/>
      <c r="Z38" s="154" t="n"/>
      <c r="AA38" s="154" t="n"/>
      <c r="AB38" s="154" t="n"/>
      <c r="AC38" s="154" t="n"/>
      <c r="AD38" s="154" t="n"/>
      <c r="AE38" s="154" t="n"/>
      <c r="AF38" s="154" t="n"/>
      <c r="AG38" s="154" t="n"/>
      <c r="AH38" s="154" t="n"/>
      <c r="AI38" s="154" t="n"/>
      <c r="AJ38" s="154" t="n"/>
      <c r="AK38" s="154" t="n"/>
      <c r="AL38" s="154" t="n"/>
      <c r="AM38" s="154" t="n"/>
      <c r="AN38" s="154" t="n"/>
      <c r="AO38" s="154" t="n"/>
      <c r="AP38" s="154" t="n"/>
      <c r="AQ38" s="154" t="n"/>
      <c r="AR38" s="154" t="n"/>
      <c r="AS38" s="154" t="n"/>
      <c r="AT38" s="154" t="n"/>
      <c r="AU38" s="154" t="n"/>
      <c r="AV38" s="154" t="n"/>
      <c r="AW38" s="154" t="n"/>
      <c r="AX38" s="154" t="n"/>
      <c r="AY38" s="154" t="n"/>
      <c r="AZ38" s="154" t="n"/>
      <c r="BA38" s="154" t="n"/>
      <c r="BB38" s="154" t="n"/>
      <c r="BC38" s="154" t="n"/>
      <c r="BD38" s="154" t="n"/>
      <c r="BE38" s="154" t="n"/>
      <c r="BF38" s="154" t="n"/>
      <c r="BG38" s="154" t="n"/>
      <c r="BH38" s="154" t="n"/>
      <c r="BI38" s="154" t="n"/>
      <c r="BJ38" s="154" t="n"/>
      <c r="BK38" s="154" t="n"/>
      <c r="BL38" s="154" t="n"/>
      <c r="BM38" s="154" t="n"/>
      <c r="BN38" s="154" t="n"/>
      <c r="BO38" s="154" t="n"/>
      <c r="BP38" s="154" t="n"/>
      <c r="BQ38" s="154" t="n"/>
      <c r="BR38" s="154" t="n"/>
      <c r="BS38" s="154" t="n"/>
      <c r="BT38" s="154" t="n"/>
      <c r="BU38" s="154" t="n"/>
      <c r="BV38" s="154" t="n"/>
      <c r="BW38" s="154" t="n"/>
      <c r="BX38" s="154" t="n"/>
      <c r="BY38" s="154" t="n"/>
      <c r="BZ38" s="154" t="n"/>
      <c r="CA38" s="154" t="n"/>
      <c r="CB38" s="154" t="n"/>
      <c r="CC38" s="154" t="n"/>
      <c r="CD38" s="154" t="n"/>
      <c r="CE38" s="154" t="n"/>
      <c r="CF38" s="154" t="n"/>
      <c r="CG38" s="154" t="n"/>
      <c r="CH38" s="154" t="n"/>
      <c r="CI38" s="154" t="n"/>
      <c r="CJ38" s="154" t="n"/>
      <c r="CK38" s="154" t="n"/>
      <c r="CL38" s="154" t="n"/>
      <c r="CM38" s="154" t="n"/>
      <c r="CN38" s="154" t="n"/>
      <c r="CO38" s="154" t="n"/>
      <c r="CP38" s="154" t="n"/>
      <c r="CQ38" s="154" t="n"/>
      <c r="CR38" s="154" t="n"/>
      <c r="CS38" s="154" t="n"/>
      <c r="CT38" s="154" t="n"/>
      <c r="CU38" s="154" t="n"/>
      <c r="CV38" s="149">
        <f>COUNTIF(D38:CU38,"C")</f>
        <v/>
      </c>
      <c r="CW38" s="149">
        <f>COUNTIF(D38:CU38,"R")</f>
        <v/>
      </c>
    </row>
    <row r="39">
      <c r="A39" s="152" t="n"/>
      <c r="B39" s="146" t="inlineStr">
        <is>
          <t>APP-34</t>
        </is>
      </c>
      <c r="C39" s="153">
        <f>IFERROR(INDEX(アプリケーション!$C:$C,MATCH(B39,アプリケーション!$A:$A,0)),"（IDなし）")</f>
        <v/>
      </c>
      <c r="D39" s="154" t="inlineStr">
        <is>
          <t>C</t>
        </is>
      </c>
      <c r="E39" s="154" t="n"/>
      <c r="F39" s="154" t="n"/>
      <c r="G39" s="154" t="n"/>
      <c r="H39" s="154" t="n"/>
      <c r="I39" s="154" t="n"/>
      <c r="J39" s="154" t="n"/>
      <c r="K39" s="154" t="n"/>
      <c r="L39" s="154" t="n"/>
      <c r="M39" s="154" t="n"/>
      <c r="N39" s="154" t="n"/>
      <c r="O39" s="154" t="n"/>
      <c r="P39" s="154" t="n"/>
      <c r="Q39" s="154" t="n"/>
      <c r="R39" s="154" t="n"/>
      <c r="S39" s="154" t="n"/>
      <c r="T39" s="154" t="n"/>
      <c r="U39" s="154" t="n"/>
      <c r="V39" s="154" t="n"/>
      <c r="W39" s="154" t="n"/>
      <c r="X39" s="154" t="n"/>
      <c r="Y39" s="154" t="n"/>
      <c r="Z39" s="154" t="n"/>
      <c r="AA39" s="154" t="n"/>
      <c r="AB39" s="154" t="n"/>
      <c r="AC39" s="154" t="n"/>
      <c r="AD39" s="154" t="n"/>
      <c r="AE39" s="154" t="n"/>
      <c r="AF39" s="154" t="n"/>
      <c r="AG39" s="154" t="n"/>
      <c r="AH39" s="154" t="n"/>
      <c r="AI39" s="154" t="n"/>
      <c r="AJ39" s="154" t="n"/>
      <c r="AK39" s="154" t="n"/>
      <c r="AL39" s="154" t="n"/>
      <c r="AM39" s="154" t="n"/>
      <c r="AN39" s="154" t="n"/>
      <c r="AO39" s="154" t="n"/>
      <c r="AP39" s="154" t="n"/>
      <c r="AQ39" s="154" t="n"/>
      <c r="AR39" s="154" t="n"/>
      <c r="AS39" s="154" t="n"/>
      <c r="AT39" s="154" t="n"/>
      <c r="AU39" s="154" t="n"/>
      <c r="AV39" s="154" t="n"/>
      <c r="AW39" s="154" t="n"/>
      <c r="AX39" s="154" t="n"/>
      <c r="AY39" s="154" t="n"/>
      <c r="AZ39" s="154" t="n"/>
      <c r="BA39" s="154" t="n"/>
      <c r="BB39" s="154" t="n"/>
      <c r="BC39" s="154" t="n"/>
      <c r="BD39" s="154" t="n"/>
      <c r="BE39" s="154" t="n"/>
      <c r="BF39" s="154" t="n"/>
      <c r="BG39" s="154" t="n"/>
      <c r="BH39" s="154" t="n"/>
      <c r="BI39" s="154" t="n"/>
      <c r="BJ39" s="154" t="n"/>
      <c r="BK39" s="154" t="n"/>
      <c r="BL39" s="154" t="n"/>
      <c r="BM39" s="154" t="n"/>
      <c r="BN39" s="154" t="n"/>
      <c r="BO39" s="154" t="n"/>
      <c r="BP39" s="154" t="n"/>
      <c r="BQ39" s="154" t="n"/>
      <c r="BR39" s="154" t="inlineStr">
        <is>
          <t>C</t>
        </is>
      </c>
      <c r="BS39" s="154" t="n"/>
      <c r="BT39" s="154" t="n"/>
      <c r="BU39" s="154" t="n"/>
      <c r="BV39" s="154" t="n"/>
      <c r="BW39" s="154" t="n"/>
      <c r="BX39" s="154" t="n"/>
      <c r="BY39" s="154" t="n"/>
      <c r="BZ39" s="154" t="n"/>
      <c r="CA39" s="154" t="n"/>
      <c r="CB39" s="154" t="n"/>
      <c r="CC39" s="154" t="n"/>
      <c r="CD39" s="154" t="n"/>
      <c r="CE39" s="154" t="n"/>
      <c r="CF39" s="154" t="n"/>
      <c r="CG39" s="154" t="n"/>
      <c r="CH39" s="154" t="n"/>
      <c r="CI39" s="154" t="n"/>
      <c r="CJ39" s="154" t="n"/>
      <c r="CK39" s="154" t="n"/>
      <c r="CL39" s="154" t="n"/>
      <c r="CM39" s="154" t="n"/>
      <c r="CN39" s="154" t="n"/>
      <c r="CO39" s="154" t="n"/>
      <c r="CP39" s="154" t="n"/>
      <c r="CQ39" s="154" t="n"/>
      <c r="CR39" s="154" t="n"/>
      <c r="CS39" s="154" t="n"/>
      <c r="CT39" s="154" t="n"/>
      <c r="CU39" s="154" t="n"/>
      <c r="CV39" s="149">
        <f>COUNTIF(D39:CU39,"C")</f>
        <v/>
      </c>
      <c r="CW39" s="149">
        <f>COUNTIF(D39:CU39,"R")</f>
        <v/>
      </c>
    </row>
    <row r="40">
      <c r="A40" s="152" t="n"/>
      <c r="B40" s="146" t="inlineStr">
        <is>
          <t>APP-35</t>
        </is>
      </c>
      <c r="C40" s="153">
        <f>IFERROR(INDEX(アプリケーション!$C:$C,MATCH(B40,アプリケーション!$A:$A,0)),"（IDなし）")</f>
        <v/>
      </c>
      <c r="D40" s="154" t="inlineStr">
        <is>
          <t>C</t>
        </is>
      </c>
      <c r="E40" s="154" t="inlineStr">
        <is>
          <t>C</t>
        </is>
      </c>
      <c r="F40" s="154" t="inlineStr">
        <is>
          <t>R</t>
        </is>
      </c>
      <c r="G40" s="154" t="n"/>
      <c r="H40" s="154" t="n"/>
      <c r="I40" s="154" t="inlineStr">
        <is>
          <t>C</t>
        </is>
      </c>
      <c r="J40" s="154" t="n"/>
      <c r="K40" s="154" t="n"/>
      <c r="L40" s="154" t="n"/>
      <c r="M40" s="154" t="n"/>
      <c r="N40" s="154" t="n"/>
      <c r="O40" s="154" t="n"/>
      <c r="P40" s="154" t="inlineStr">
        <is>
          <t>R</t>
        </is>
      </c>
      <c r="Q40" s="154" t="n"/>
      <c r="R40" s="154" t="inlineStr">
        <is>
          <t>R</t>
        </is>
      </c>
      <c r="S40" s="154" t="inlineStr">
        <is>
          <t>R</t>
        </is>
      </c>
      <c r="T40" s="154" t="inlineStr">
        <is>
          <t>C</t>
        </is>
      </c>
      <c r="U40" s="154" t="inlineStr">
        <is>
          <t>R</t>
        </is>
      </c>
      <c r="V40" s="154" t="n"/>
      <c r="W40" s="154" t="n"/>
      <c r="X40" s="154" t="n"/>
      <c r="Y40" s="154" t="n"/>
      <c r="Z40" s="154" t="n"/>
      <c r="AA40" s="154" t="n"/>
      <c r="AB40" s="154" t="n"/>
      <c r="AC40" s="154" t="n"/>
      <c r="AD40" s="154" t="n"/>
      <c r="AE40" s="154" t="n"/>
      <c r="AF40" s="154" t="n"/>
      <c r="AG40" s="154" t="n"/>
      <c r="AH40" s="154" t="n"/>
      <c r="AI40" s="154" t="n"/>
      <c r="AJ40" s="154" t="n"/>
      <c r="AK40" s="154" t="n"/>
      <c r="AL40" s="154" t="n"/>
      <c r="AM40" s="154" t="n"/>
      <c r="AN40" s="154" t="n"/>
      <c r="AO40" s="154" t="n"/>
      <c r="AP40" s="154" t="n"/>
      <c r="AQ40" s="154" t="n"/>
      <c r="AR40" s="154" t="n"/>
      <c r="AS40" s="154" t="n"/>
      <c r="AT40" s="154" t="n"/>
      <c r="AU40" s="154" t="n"/>
      <c r="AV40" s="154" t="n"/>
      <c r="AW40" s="154" t="n"/>
      <c r="AX40" s="154" t="n"/>
      <c r="AY40" s="154" t="n"/>
      <c r="AZ40" s="154" t="n"/>
      <c r="BA40" s="154" t="n"/>
      <c r="BB40" s="154" t="n"/>
      <c r="BC40" s="154" t="n"/>
      <c r="BD40" s="154" t="n"/>
      <c r="BE40" s="154" t="n"/>
      <c r="BF40" s="154" t="n"/>
      <c r="BG40" s="154" t="n"/>
      <c r="BH40" s="154" t="n"/>
      <c r="BI40" s="154" t="n"/>
      <c r="BJ40" s="154" t="n"/>
      <c r="BK40" s="154" t="n"/>
      <c r="BL40" s="154" t="n"/>
      <c r="BM40" s="154" t="n"/>
      <c r="BN40" s="154" t="n"/>
      <c r="BO40" s="154" t="n"/>
      <c r="BP40" s="154" t="n"/>
      <c r="BQ40" s="154" t="n"/>
      <c r="BR40" s="154" t="n"/>
      <c r="BS40" s="154" t="n"/>
      <c r="BT40" s="154" t="n"/>
      <c r="BU40" s="154" t="n"/>
      <c r="BV40" s="154" t="n"/>
      <c r="BW40" s="154" t="n"/>
      <c r="BX40" s="154" t="n"/>
      <c r="BY40" s="154" t="n"/>
      <c r="BZ40" s="154" t="n"/>
      <c r="CA40" s="154" t="n"/>
      <c r="CB40" s="154" t="n"/>
      <c r="CC40" s="154" t="n"/>
      <c r="CD40" s="154" t="n"/>
      <c r="CE40" s="154" t="n"/>
      <c r="CF40" s="154" t="n"/>
      <c r="CG40" s="154" t="n"/>
      <c r="CH40" s="154" t="n"/>
      <c r="CI40" s="154" t="n"/>
      <c r="CJ40" s="154" t="n"/>
      <c r="CK40" s="154" t="n"/>
      <c r="CL40" s="154" t="n"/>
      <c r="CM40" s="154" t="n"/>
      <c r="CN40" s="154" t="n"/>
      <c r="CO40" s="154" t="n"/>
      <c r="CP40" s="154" t="n"/>
      <c r="CQ40" s="154" t="n"/>
      <c r="CR40" s="154" t="n"/>
      <c r="CS40" s="154" t="n"/>
      <c r="CT40" s="154" t="n"/>
      <c r="CU40" s="154" t="n"/>
      <c r="CV40" s="149">
        <f>COUNTIF(D40:CU40,"C")</f>
        <v/>
      </c>
      <c r="CW40" s="149">
        <f>COUNTIF(D40:CU40,"R")</f>
        <v/>
      </c>
    </row>
    <row r="41">
      <c r="A41" s="152" t="n"/>
      <c r="B41" s="146" t="inlineStr">
        <is>
          <t>APP-36</t>
        </is>
      </c>
      <c r="C41" s="153">
        <f>IFERROR(INDEX(アプリケーション!$C:$C,MATCH(B41,アプリケーション!$A:$A,0)),"（IDなし）")</f>
        <v/>
      </c>
      <c r="D41" s="154" t="n"/>
      <c r="E41" s="154" t="n"/>
      <c r="F41" s="154" t="n"/>
      <c r="G41" s="154" t="inlineStr">
        <is>
          <t>C</t>
        </is>
      </c>
      <c r="H41" s="154" t="inlineStr">
        <is>
          <t>C</t>
        </is>
      </c>
      <c r="I41" s="154" t="n"/>
      <c r="J41" s="154" t="n"/>
      <c r="K41" s="154" t="n"/>
      <c r="L41" s="154" t="n"/>
      <c r="M41" s="154" t="n"/>
      <c r="N41" s="154" t="n"/>
      <c r="O41" s="154" t="n"/>
      <c r="P41" s="154" t="n"/>
      <c r="Q41" s="154" t="n"/>
      <c r="R41" s="154" t="n"/>
      <c r="S41" s="154" t="n"/>
      <c r="T41" s="154" t="n"/>
      <c r="U41" s="154" t="n"/>
      <c r="V41" s="154" t="n"/>
      <c r="W41" s="154" t="n"/>
      <c r="X41" s="154" t="n"/>
      <c r="Y41" s="154" t="n"/>
      <c r="Z41" s="154" t="n"/>
      <c r="AA41" s="154" t="n"/>
      <c r="AB41" s="154" t="n"/>
      <c r="AC41" s="154" t="n"/>
      <c r="AD41" s="154" t="n"/>
      <c r="AE41" s="154" t="n"/>
      <c r="AF41" s="154" t="n"/>
      <c r="AG41" s="154" t="n"/>
      <c r="AH41" s="154" t="n"/>
      <c r="AI41" s="154" t="n"/>
      <c r="AJ41" s="154" t="n"/>
      <c r="AK41" s="154" t="n"/>
      <c r="AL41" s="154" t="n"/>
      <c r="AM41" s="154" t="n"/>
      <c r="AN41" s="154" t="n"/>
      <c r="AO41" s="154" t="n"/>
      <c r="AP41" s="154" t="n"/>
      <c r="AQ41" s="154" t="n"/>
      <c r="AR41" s="154" t="n"/>
      <c r="AS41" s="154" t="n"/>
      <c r="AT41" s="154" t="n"/>
      <c r="AU41" s="154" t="n"/>
      <c r="AV41" s="154" t="n"/>
      <c r="AW41" s="154" t="n"/>
      <c r="AX41" s="154" t="n"/>
      <c r="AY41" s="154" t="n"/>
      <c r="AZ41" s="154" t="n"/>
      <c r="BA41" s="154" t="n"/>
      <c r="BB41" s="154" t="n"/>
      <c r="BC41" s="154" t="n"/>
      <c r="BD41" s="154" t="n"/>
      <c r="BE41" s="154" t="n"/>
      <c r="BF41" s="154" t="n"/>
      <c r="BG41" s="154" t="n"/>
      <c r="BH41" s="154" t="n"/>
      <c r="BI41" s="154" t="n"/>
      <c r="BJ41" s="154" t="n"/>
      <c r="BK41" s="154" t="n"/>
      <c r="BL41" s="154" t="n"/>
      <c r="BM41" s="154" t="n"/>
      <c r="BN41" s="154" t="n"/>
      <c r="BO41" s="154" t="n"/>
      <c r="BP41" s="154" t="n"/>
      <c r="BQ41" s="154" t="n"/>
      <c r="BR41" s="154" t="n"/>
      <c r="BS41" s="154" t="n"/>
      <c r="BT41" s="154" t="n"/>
      <c r="BU41" s="154" t="n"/>
      <c r="BV41" s="154" t="n"/>
      <c r="BW41" s="154" t="n"/>
      <c r="BX41" s="154" t="n"/>
      <c r="BY41" s="154" t="n"/>
      <c r="BZ41" s="154" t="n"/>
      <c r="CA41" s="154" t="n"/>
      <c r="CB41" s="154" t="n"/>
      <c r="CC41" s="154" t="n"/>
      <c r="CD41" s="154" t="n"/>
      <c r="CE41" s="154" t="n"/>
      <c r="CF41" s="154" t="n"/>
      <c r="CG41" s="154" t="n"/>
      <c r="CH41" s="154" t="n"/>
      <c r="CI41" s="154" t="n"/>
      <c r="CJ41" s="154" t="n"/>
      <c r="CK41" s="154" t="n"/>
      <c r="CL41" s="154" t="n"/>
      <c r="CM41" s="154" t="n"/>
      <c r="CN41" s="154" t="n"/>
      <c r="CO41" s="154" t="n"/>
      <c r="CP41" s="154" t="n"/>
      <c r="CQ41" s="154" t="n"/>
      <c r="CR41" s="154" t="n"/>
      <c r="CS41" s="154" t="n"/>
      <c r="CT41" s="154" t="n"/>
      <c r="CU41" s="154" t="n"/>
      <c r="CV41" s="149">
        <f>COUNTIF(D41:CU41,"C")</f>
        <v/>
      </c>
      <c r="CW41" s="149">
        <f>COUNTIF(D41:CU41,"R")</f>
        <v/>
      </c>
    </row>
    <row r="42">
      <c r="A42" s="152" t="n"/>
      <c r="B42" s="146" t="inlineStr">
        <is>
          <t>APP-37</t>
        </is>
      </c>
      <c r="C42" s="153">
        <f>IFERROR(INDEX(アプリケーション!$C:$C,MATCH(B42,アプリケーション!$A:$A,0)),"（IDなし）")</f>
        <v/>
      </c>
      <c r="D42" s="154" t="n"/>
      <c r="E42" s="154" t="n"/>
      <c r="F42" s="154" t="inlineStr">
        <is>
          <t>C</t>
        </is>
      </c>
      <c r="G42" s="154" t="n"/>
      <c r="H42" s="154" t="n"/>
      <c r="I42" s="154" t="n"/>
      <c r="J42" s="154" t="n"/>
      <c r="K42" s="154" t="n"/>
      <c r="L42" s="154" t="n"/>
      <c r="M42" s="154" t="n"/>
      <c r="N42" s="154" t="n"/>
      <c r="O42" s="154" t="inlineStr">
        <is>
          <t>R</t>
        </is>
      </c>
      <c r="P42" s="154" t="n"/>
      <c r="Q42" s="154" t="n"/>
      <c r="R42" s="154" t="n"/>
      <c r="S42" s="154" t="n"/>
      <c r="T42" s="154" t="n"/>
      <c r="U42" s="154" t="n"/>
      <c r="V42" s="154" t="n"/>
      <c r="W42" s="154" t="n"/>
      <c r="X42" s="154" t="n"/>
      <c r="Y42" s="154" t="n"/>
      <c r="Z42" s="154" t="n"/>
      <c r="AA42" s="154" t="n"/>
      <c r="AB42" s="154" t="n"/>
      <c r="AC42" s="154" t="n"/>
      <c r="AD42" s="154" t="n"/>
      <c r="AE42" s="154" t="n"/>
      <c r="AF42" s="154" t="n"/>
      <c r="AG42" s="154" t="n"/>
      <c r="AH42" s="154" t="n"/>
      <c r="AI42" s="154" t="n"/>
      <c r="AJ42" s="154" t="n"/>
      <c r="AK42" s="154" t="n"/>
      <c r="AL42" s="154" t="n"/>
      <c r="AM42" s="154" t="n"/>
      <c r="AN42" s="154" t="n"/>
      <c r="AO42" s="154" t="n"/>
      <c r="AP42" s="154" t="n"/>
      <c r="AQ42" s="154" t="n"/>
      <c r="AR42" s="154" t="n"/>
      <c r="AS42" s="154" t="n"/>
      <c r="AT42" s="154" t="n"/>
      <c r="AU42" s="154" t="n"/>
      <c r="AV42" s="154" t="n"/>
      <c r="AW42" s="154" t="n"/>
      <c r="AX42" s="154" t="n"/>
      <c r="AY42" s="154" t="n"/>
      <c r="AZ42" s="154" t="n"/>
      <c r="BA42" s="154" t="n"/>
      <c r="BB42" s="154" t="n"/>
      <c r="BC42" s="154" t="n"/>
      <c r="BD42" s="154" t="n"/>
      <c r="BE42" s="154" t="n"/>
      <c r="BF42" s="154" t="n"/>
      <c r="BG42" s="154" t="n"/>
      <c r="BH42" s="154" t="n"/>
      <c r="BI42" s="154" t="n"/>
      <c r="BJ42" s="154" t="n"/>
      <c r="BK42" s="154" t="n"/>
      <c r="BL42" s="154" t="n"/>
      <c r="BM42" s="154" t="n"/>
      <c r="BN42" s="154" t="n"/>
      <c r="BO42" s="154" t="n"/>
      <c r="BP42" s="154" t="n"/>
      <c r="BQ42" s="154" t="n"/>
      <c r="BR42" s="154" t="n"/>
      <c r="BS42" s="154" t="n"/>
      <c r="BT42" s="154" t="inlineStr">
        <is>
          <t>R</t>
        </is>
      </c>
      <c r="BU42" s="154" t="n"/>
      <c r="BV42" s="154" t="n"/>
      <c r="BW42" s="154" t="inlineStr">
        <is>
          <t>R</t>
        </is>
      </c>
      <c r="BX42" s="154" t="n"/>
      <c r="BY42" s="154" t="n"/>
      <c r="BZ42" s="154" t="n"/>
      <c r="CA42" s="154" t="n"/>
      <c r="CB42" s="154" t="n"/>
      <c r="CC42" s="154" t="n"/>
      <c r="CD42" s="154" t="n"/>
      <c r="CE42" s="154" t="n"/>
      <c r="CF42" s="154" t="n"/>
      <c r="CG42" s="154" t="n"/>
      <c r="CH42" s="154" t="n"/>
      <c r="CI42" s="154" t="n"/>
      <c r="CJ42" s="154" t="n"/>
      <c r="CK42" s="154" t="n"/>
      <c r="CL42" s="154" t="n"/>
      <c r="CM42" s="154" t="n"/>
      <c r="CN42" s="154" t="n"/>
      <c r="CO42" s="154" t="n"/>
      <c r="CP42" s="154" t="n"/>
      <c r="CQ42" s="154" t="n"/>
      <c r="CR42" s="154" t="n"/>
      <c r="CS42" s="154" t="n"/>
      <c r="CT42" s="154" t="n"/>
      <c r="CU42" s="154" t="n"/>
      <c r="CV42" s="149">
        <f>COUNTIF(D42:CU42,"C")</f>
        <v/>
      </c>
      <c r="CW42" s="149">
        <f>COUNTIF(D42:CU42,"R")</f>
        <v/>
      </c>
    </row>
    <row r="43">
      <c r="C43" s="152" t="inlineStr">
        <is>
          <t>Cの数</t>
        </is>
      </c>
      <c r="D43" s="149">
        <f>COUNTIF(D$6:D$42,"C")</f>
        <v/>
      </c>
      <c r="E43" s="149">
        <f>COUNTIF(E$6:E$42,"C")</f>
        <v/>
      </c>
      <c r="F43" s="149">
        <f>COUNTIF(F$6:F$42,"C")</f>
        <v/>
      </c>
      <c r="G43" s="149">
        <f>COUNTIF(G$6:G$42,"C")</f>
        <v/>
      </c>
      <c r="H43" s="149">
        <f>COUNTIF(H$6:H$42,"C")</f>
        <v/>
      </c>
      <c r="I43" s="149">
        <f>COUNTIF(I$6:I$42,"C")</f>
        <v/>
      </c>
      <c r="J43" s="149">
        <f>COUNTIF(J$6:J$42,"C")</f>
        <v/>
      </c>
      <c r="K43" s="149">
        <f>COUNTIF(K$6:K$42,"C")</f>
        <v/>
      </c>
      <c r="L43" s="149">
        <f>COUNTIF(L$6:L$42,"C")</f>
        <v/>
      </c>
      <c r="M43" s="149">
        <f>COUNTIF(M$6:M$42,"C")</f>
        <v/>
      </c>
      <c r="N43" s="149">
        <f>COUNTIF(N$6:N$42,"C")</f>
        <v/>
      </c>
      <c r="O43" s="149">
        <f>COUNTIF(O$6:O$42,"C")</f>
        <v/>
      </c>
      <c r="P43" s="149">
        <f>COUNTIF(P$6:P$42,"C")</f>
        <v/>
      </c>
      <c r="Q43" s="149">
        <f>COUNTIF(Q$6:Q$42,"C")</f>
        <v/>
      </c>
      <c r="R43" s="149">
        <f>COUNTIF(R$6:R$42,"C")</f>
        <v/>
      </c>
      <c r="S43" s="149">
        <f>COUNTIF(S$6:S$42,"C")</f>
        <v/>
      </c>
      <c r="T43" s="149">
        <f>COUNTIF(T$6:T$42,"C")</f>
        <v/>
      </c>
      <c r="U43" s="149">
        <f>COUNTIF(U$6:U$42,"C")</f>
        <v/>
      </c>
      <c r="V43" s="149">
        <f>COUNTIF(V$6:V$42,"C")</f>
        <v/>
      </c>
      <c r="W43" s="149">
        <f>COUNTIF(W$6:W$42,"C")</f>
        <v/>
      </c>
      <c r="X43" s="149">
        <f>COUNTIF(X$6:X$42,"C")</f>
        <v/>
      </c>
      <c r="Y43" s="149">
        <f>COUNTIF(Y$6:Y$42,"C")</f>
        <v/>
      </c>
      <c r="Z43" s="149">
        <f>COUNTIF(Z$6:Z$42,"C")</f>
        <v/>
      </c>
      <c r="AA43" s="149">
        <f>COUNTIF(AA$6:AA$42,"C")</f>
        <v/>
      </c>
      <c r="AB43" s="149">
        <f>COUNTIF(AB$6:AB$42,"C")</f>
        <v/>
      </c>
      <c r="AC43" s="149">
        <f>COUNTIF(AC$6:AC$42,"C")</f>
        <v/>
      </c>
      <c r="AD43" s="149">
        <f>COUNTIF(AD$6:AD$42,"C")</f>
        <v/>
      </c>
      <c r="AE43" s="149">
        <f>COUNTIF(AE$6:AE$42,"C")</f>
        <v/>
      </c>
      <c r="AF43" s="149">
        <f>COUNTIF(AF$6:AF$42,"C")</f>
        <v/>
      </c>
      <c r="AG43" s="149">
        <f>COUNTIF(AG$6:AG$42,"C")</f>
        <v/>
      </c>
      <c r="AH43" s="149">
        <f>COUNTIF(AH$6:AH$42,"C")</f>
        <v/>
      </c>
      <c r="AI43" s="149">
        <f>COUNTIF(AI$6:AI$42,"C")</f>
        <v/>
      </c>
      <c r="AJ43" s="149">
        <f>COUNTIF(AJ$6:AJ$42,"C")</f>
        <v/>
      </c>
      <c r="AK43" s="149">
        <f>COUNTIF(AK$6:AK$42,"C")</f>
        <v/>
      </c>
      <c r="AL43" s="149">
        <f>COUNTIF(AL$6:AL$42,"C")</f>
        <v/>
      </c>
      <c r="AM43" s="149">
        <f>COUNTIF(AM$6:AM$42,"C")</f>
        <v/>
      </c>
      <c r="AN43" s="149">
        <f>COUNTIF(AN$6:AN$42,"C")</f>
        <v/>
      </c>
      <c r="AO43" s="149">
        <f>COUNTIF(AO$6:AO$42,"C")</f>
        <v/>
      </c>
      <c r="AP43" s="149">
        <f>COUNTIF(AP$6:AP$42,"C")</f>
        <v/>
      </c>
      <c r="AQ43" s="149">
        <f>COUNTIF(AQ$6:AQ$42,"C")</f>
        <v/>
      </c>
      <c r="AR43" s="149">
        <f>COUNTIF(AR$6:AR$42,"C")</f>
        <v/>
      </c>
      <c r="AS43" s="149">
        <f>COUNTIF(AS$6:AS$42,"C")</f>
        <v/>
      </c>
      <c r="AT43" s="149">
        <f>COUNTIF(AT$6:AT$42,"C")</f>
        <v/>
      </c>
      <c r="AU43" s="149">
        <f>COUNTIF(AU$6:AU$42,"C")</f>
        <v/>
      </c>
      <c r="AV43" s="149">
        <f>COUNTIF(AV$6:AV$42,"C")</f>
        <v/>
      </c>
      <c r="AW43" s="149">
        <f>COUNTIF(AW$6:AW$42,"C")</f>
        <v/>
      </c>
      <c r="AX43" s="149">
        <f>COUNTIF(AX$6:AX$42,"C")</f>
        <v/>
      </c>
      <c r="AY43" s="149">
        <f>COUNTIF(AY$6:AY$42,"C")</f>
        <v/>
      </c>
      <c r="AZ43" s="149">
        <f>COUNTIF(AZ$6:AZ$42,"C")</f>
        <v/>
      </c>
      <c r="BA43" s="149">
        <f>COUNTIF(BA$6:BA$42,"C")</f>
        <v/>
      </c>
      <c r="BB43" s="149">
        <f>COUNTIF(BB$6:BB$42,"C")</f>
        <v/>
      </c>
      <c r="BC43" s="149">
        <f>COUNTIF(BC$6:BC$42,"C")</f>
        <v/>
      </c>
      <c r="BD43" s="149">
        <f>COUNTIF(BD$6:BD$42,"C")</f>
        <v/>
      </c>
      <c r="BE43" s="149">
        <f>COUNTIF(BE$6:BE$42,"C")</f>
        <v/>
      </c>
      <c r="BF43" s="149">
        <f>COUNTIF(BF$6:BF$42,"C")</f>
        <v/>
      </c>
      <c r="BG43" s="149">
        <f>COUNTIF(BG$6:BG$42,"C")</f>
        <v/>
      </c>
      <c r="BH43" s="149">
        <f>COUNTIF(BH$6:BH$42,"C")</f>
        <v/>
      </c>
      <c r="BI43" s="149">
        <f>COUNTIF(BI$6:BI$42,"C")</f>
        <v/>
      </c>
      <c r="BJ43" s="149">
        <f>COUNTIF(BJ$6:BJ$42,"C")</f>
        <v/>
      </c>
      <c r="BK43" s="149">
        <f>COUNTIF(BK$6:BK$42,"C")</f>
        <v/>
      </c>
      <c r="BL43" s="149">
        <f>COUNTIF(BL$6:BL$42,"C")</f>
        <v/>
      </c>
      <c r="BM43" s="149">
        <f>COUNTIF(BM$6:BM$42,"C")</f>
        <v/>
      </c>
      <c r="BN43" s="149">
        <f>COUNTIF(BN$6:BN$42,"C")</f>
        <v/>
      </c>
      <c r="BO43" s="149">
        <f>COUNTIF(BO$6:BO$42,"C")</f>
        <v/>
      </c>
      <c r="BP43" s="149">
        <f>COUNTIF(BP$6:BP$42,"C")</f>
        <v/>
      </c>
      <c r="BQ43" s="149">
        <f>COUNTIF(BQ$6:BQ$42,"C")</f>
        <v/>
      </c>
      <c r="BR43" s="149">
        <f>COUNTIF(BR$6:BR$42,"C")</f>
        <v/>
      </c>
      <c r="BS43" s="149">
        <f>COUNTIF(BS$6:BS$42,"C")</f>
        <v/>
      </c>
      <c r="BT43" s="149">
        <f>COUNTIF(BT$6:BT$42,"C")</f>
        <v/>
      </c>
      <c r="BU43" s="149">
        <f>COUNTIF(BU$6:BU$42,"C")</f>
        <v/>
      </c>
      <c r="BV43" s="149">
        <f>COUNTIF(BV$6:BV$42,"C")</f>
        <v/>
      </c>
      <c r="BW43" s="149">
        <f>COUNTIF(BW$6:BW$42,"C")</f>
        <v/>
      </c>
      <c r="BX43" s="149">
        <f>COUNTIF(BX$6:BX$42,"C")</f>
        <v/>
      </c>
      <c r="BY43" s="149">
        <f>COUNTIF(BY$6:BY$42,"C")</f>
        <v/>
      </c>
      <c r="BZ43" s="149">
        <f>COUNTIF(BZ$6:BZ$42,"C")</f>
        <v/>
      </c>
      <c r="CA43" s="149">
        <f>COUNTIF(CA$6:CA$42,"C")</f>
        <v/>
      </c>
      <c r="CB43" s="149">
        <f>COUNTIF(CB$6:CB$42,"C")</f>
        <v/>
      </c>
      <c r="CC43" s="149">
        <f>COUNTIF(CC$6:CC$42,"C")</f>
        <v/>
      </c>
      <c r="CD43" s="149">
        <f>COUNTIF(CD$6:CD$42,"C")</f>
        <v/>
      </c>
      <c r="CE43" s="149">
        <f>COUNTIF(CE$6:CE$42,"C")</f>
        <v/>
      </c>
      <c r="CF43" s="149">
        <f>COUNTIF(CF$6:CF$42,"C")</f>
        <v/>
      </c>
      <c r="CG43" s="149">
        <f>COUNTIF(CG$6:CG$42,"C")</f>
        <v/>
      </c>
      <c r="CH43" s="149">
        <f>COUNTIF(CH$6:CH$42,"C")</f>
        <v/>
      </c>
      <c r="CI43" s="149">
        <f>COUNTIF(CI$6:CI$42,"C")</f>
        <v/>
      </c>
      <c r="CJ43" s="149">
        <f>COUNTIF(CJ$6:CJ$42,"C")</f>
        <v/>
      </c>
      <c r="CK43" s="149">
        <f>COUNTIF(CK$6:CK$42,"C")</f>
        <v/>
      </c>
      <c r="CL43" s="149">
        <f>COUNTIF(CL$6:CL$42,"C")</f>
        <v/>
      </c>
      <c r="CM43" s="149">
        <f>COUNTIF(CM$6:CM$42,"C")</f>
        <v/>
      </c>
      <c r="CN43" s="149">
        <f>COUNTIF(CN$6:CN$42,"C")</f>
        <v/>
      </c>
      <c r="CO43" s="149">
        <f>COUNTIF(CO$6:CO$42,"C")</f>
        <v/>
      </c>
      <c r="CP43" s="149">
        <f>COUNTIF(CP$6:CP$42,"C")</f>
        <v/>
      </c>
      <c r="CQ43" s="149">
        <f>COUNTIF(CQ$6:CQ$42,"C")</f>
        <v/>
      </c>
      <c r="CR43" s="149">
        <f>COUNTIF(CR$6:CR$42,"C")</f>
        <v/>
      </c>
      <c r="CS43" s="149">
        <f>COUNTIF(CS$6:CS$42,"C")</f>
        <v/>
      </c>
      <c r="CT43" s="149">
        <f>COUNTIF(CT$6:CT$42,"C")</f>
        <v/>
      </c>
      <c r="CU43" s="149">
        <f>COUNTIF(CU$6:CU$42,"C")</f>
        <v/>
      </c>
    </row>
    <row r="44">
      <c r="C44" s="152" t="inlineStr">
        <is>
          <t>Rの数</t>
        </is>
      </c>
      <c r="D44" s="149">
        <f>COUNTIF(D$6:D$42,"R")</f>
        <v/>
      </c>
      <c r="E44" s="149">
        <f>COUNTIF(E$6:E$42,"R")</f>
        <v/>
      </c>
      <c r="F44" s="149">
        <f>COUNTIF(F$6:F$42,"R")</f>
        <v/>
      </c>
      <c r="G44" s="149">
        <f>COUNTIF(G$6:G$42,"R")</f>
        <v/>
      </c>
      <c r="H44" s="149">
        <f>COUNTIF(H$6:H$42,"R")</f>
        <v/>
      </c>
      <c r="I44" s="149">
        <f>COUNTIF(I$6:I$42,"R")</f>
        <v/>
      </c>
      <c r="J44" s="149">
        <f>COUNTIF(J$6:J$42,"R")</f>
        <v/>
      </c>
      <c r="K44" s="149">
        <f>COUNTIF(K$6:K$42,"R")</f>
        <v/>
      </c>
      <c r="L44" s="149">
        <f>COUNTIF(L$6:L$42,"R")</f>
        <v/>
      </c>
      <c r="M44" s="149">
        <f>COUNTIF(M$6:M$42,"R")</f>
        <v/>
      </c>
      <c r="N44" s="149">
        <f>COUNTIF(N$6:N$42,"R")</f>
        <v/>
      </c>
      <c r="O44" s="149">
        <f>COUNTIF(O$6:O$42,"R")</f>
        <v/>
      </c>
      <c r="P44" s="149">
        <f>COUNTIF(P$6:P$42,"R")</f>
        <v/>
      </c>
      <c r="Q44" s="149">
        <f>COUNTIF(Q$6:Q$42,"R")</f>
        <v/>
      </c>
      <c r="R44" s="149">
        <f>COUNTIF(R$6:R$42,"R")</f>
        <v/>
      </c>
      <c r="S44" s="149">
        <f>COUNTIF(S$6:S$42,"R")</f>
        <v/>
      </c>
      <c r="T44" s="149">
        <f>COUNTIF(T$6:T$42,"R")</f>
        <v/>
      </c>
      <c r="U44" s="149">
        <f>COUNTIF(U$6:U$42,"R")</f>
        <v/>
      </c>
      <c r="V44" s="149">
        <f>COUNTIF(V$6:V$42,"R")</f>
        <v/>
      </c>
      <c r="W44" s="149">
        <f>COUNTIF(W$6:W$42,"R")</f>
        <v/>
      </c>
      <c r="X44" s="149">
        <f>COUNTIF(X$6:X$42,"R")</f>
        <v/>
      </c>
      <c r="Y44" s="149">
        <f>COUNTIF(Y$6:Y$42,"R")</f>
        <v/>
      </c>
      <c r="Z44" s="149">
        <f>COUNTIF(Z$6:Z$42,"R")</f>
        <v/>
      </c>
      <c r="AA44" s="149">
        <f>COUNTIF(AA$6:AA$42,"R")</f>
        <v/>
      </c>
      <c r="AB44" s="149">
        <f>COUNTIF(AB$6:AB$42,"R")</f>
        <v/>
      </c>
      <c r="AC44" s="149">
        <f>COUNTIF(AC$6:AC$42,"R")</f>
        <v/>
      </c>
      <c r="AD44" s="149">
        <f>COUNTIF(AD$6:AD$42,"R")</f>
        <v/>
      </c>
      <c r="AE44" s="149">
        <f>COUNTIF(AE$6:AE$42,"R")</f>
        <v/>
      </c>
      <c r="AF44" s="149">
        <f>COUNTIF(AF$6:AF$42,"R")</f>
        <v/>
      </c>
      <c r="AG44" s="149">
        <f>COUNTIF(AG$6:AG$42,"R")</f>
        <v/>
      </c>
      <c r="AH44" s="149">
        <f>COUNTIF(AH$6:AH$42,"R")</f>
        <v/>
      </c>
      <c r="AI44" s="149">
        <f>COUNTIF(AI$6:AI$42,"R")</f>
        <v/>
      </c>
      <c r="AJ44" s="149">
        <f>COUNTIF(AJ$6:AJ$42,"R")</f>
        <v/>
      </c>
      <c r="AK44" s="149">
        <f>COUNTIF(AK$6:AK$42,"R")</f>
        <v/>
      </c>
      <c r="AL44" s="149">
        <f>COUNTIF(AL$6:AL$42,"R")</f>
        <v/>
      </c>
      <c r="AM44" s="149">
        <f>COUNTIF(AM$6:AM$42,"R")</f>
        <v/>
      </c>
      <c r="AN44" s="149">
        <f>COUNTIF(AN$6:AN$42,"R")</f>
        <v/>
      </c>
      <c r="AO44" s="149">
        <f>COUNTIF(AO$6:AO$42,"R")</f>
        <v/>
      </c>
      <c r="AP44" s="149">
        <f>COUNTIF(AP$6:AP$42,"R")</f>
        <v/>
      </c>
      <c r="AQ44" s="149">
        <f>COUNTIF(AQ$6:AQ$42,"R")</f>
        <v/>
      </c>
      <c r="AR44" s="149">
        <f>COUNTIF(AR$6:AR$42,"R")</f>
        <v/>
      </c>
      <c r="AS44" s="149">
        <f>COUNTIF(AS$6:AS$42,"R")</f>
        <v/>
      </c>
      <c r="AT44" s="149">
        <f>COUNTIF(AT$6:AT$42,"R")</f>
        <v/>
      </c>
      <c r="AU44" s="149">
        <f>COUNTIF(AU$6:AU$42,"R")</f>
        <v/>
      </c>
      <c r="AV44" s="149">
        <f>COUNTIF(AV$6:AV$42,"R")</f>
        <v/>
      </c>
      <c r="AW44" s="149">
        <f>COUNTIF(AW$6:AW$42,"R")</f>
        <v/>
      </c>
      <c r="AX44" s="149">
        <f>COUNTIF(AX$6:AX$42,"R")</f>
        <v/>
      </c>
      <c r="AY44" s="149">
        <f>COUNTIF(AY$6:AY$42,"R")</f>
        <v/>
      </c>
      <c r="AZ44" s="149">
        <f>COUNTIF(AZ$6:AZ$42,"R")</f>
        <v/>
      </c>
      <c r="BA44" s="149">
        <f>COUNTIF(BA$6:BA$42,"R")</f>
        <v/>
      </c>
      <c r="BB44" s="149">
        <f>COUNTIF(BB$6:BB$42,"R")</f>
        <v/>
      </c>
      <c r="BC44" s="149">
        <f>COUNTIF(BC$6:BC$42,"R")</f>
        <v/>
      </c>
      <c r="BD44" s="149">
        <f>COUNTIF(BD$6:BD$42,"R")</f>
        <v/>
      </c>
      <c r="BE44" s="149">
        <f>COUNTIF(BE$6:BE$42,"R")</f>
        <v/>
      </c>
      <c r="BF44" s="149">
        <f>COUNTIF(BF$6:BF$42,"R")</f>
        <v/>
      </c>
      <c r="BG44" s="149">
        <f>COUNTIF(BG$6:BG$42,"R")</f>
        <v/>
      </c>
      <c r="BH44" s="149">
        <f>COUNTIF(BH$6:BH$42,"R")</f>
        <v/>
      </c>
      <c r="BI44" s="149">
        <f>COUNTIF(BI$6:BI$42,"R")</f>
        <v/>
      </c>
      <c r="BJ44" s="149">
        <f>COUNTIF(BJ$6:BJ$42,"R")</f>
        <v/>
      </c>
      <c r="BK44" s="149">
        <f>COUNTIF(BK$6:BK$42,"R")</f>
        <v/>
      </c>
      <c r="BL44" s="149">
        <f>COUNTIF(BL$6:BL$42,"R")</f>
        <v/>
      </c>
      <c r="BM44" s="149">
        <f>COUNTIF(BM$6:BM$42,"R")</f>
        <v/>
      </c>
      <c r="BN44" s="149">
        <f>COUNTIF(BN$6:BN$42,"R")</f>
        <v/>
      </c>
      <c r="BO44" s="149">
        <f>COUNTIF(BO$6:BO$42,"R")</f>
        <v/>
      </c>
      <c r="BP44" s="149">
        <f>COUNTIF(BP$6:BP$42,"R")</f>
        <v/>
      </c>
      <c r="BQ44" s="149">
        <f>COUNTIF(BQ$6:BQ$42,"R")</f>
        <v/>
      </c>
      <c r="BR44" s="149">
        <f>COUNTIF(BR$6:BR$42,"R")</f>
        <v/>
      </c>
      <c r="BS44" s="149">
        <f>COUNTIF(BS$6:BS$42,"R")</f>
        <v/>
      </c>
      <c r="BT44" s="149">
        <f>COUNTIF(BT$6:BT$42,"R")</f>
        <v/>
      </c>
      <c r="BU44" s="149">
        <f>COUNTIF(BU$6:BU$42,"R")</f>
        <v/>
      </c>
      <c r="BV44" s="149">
        <f>COUNTIF(BV$6:BV$42,"R")</f>
        <v/>
      </c>
      <c r="BW44" s="149">
        <f>COUNTIF(BW$6:BW$42,"R")</f>
        <v/>
      </c>
      <c r="BX44" s="149">
        <f>COUNTIF(BX$6:BX$42,"R")</f>
        <v/>
      </c>
      <c r="BY44" s="149">
        <f>COUNTIF(BY$6:BY$42,"R")</f>
        <v/>
      </c>
      <c r="BZ44" s="149">
        <f>COUNTIF(BZ$6:BZ$42,"R")</f>
        <v/>
      </c>
      <c r="CA44" s="149">
        <f>COUNTIF(CA$6:CA$42,"R")</f>
        <v/>
      </c>
      <c r="CB44" s="149">
        <f>COUNTIF(CB$6:CB$42,"R")</f>
        <v/>
      </c>
      <c r="CC44" s="149">
        <f>COUNTIF(CC$6:CC$42,"R")</f>
        <v/>
      </c>
      <c r="CD44" s="149">
        <f>COUNTIF(CD$6:CD$42,"R")</f>
        <v/>
      </c>
      <c r="CE44" s="149">
        <f>COUNTIF(CE$6:CE$42,"R")</f>
        <v/>
      </c>
      <c r="CF44" s="149">
        <f>COUNTIF(CF$6:CF$42,"R")</f>
        <v/>
      </c>
      <c r="CG44" s="149">
        <f>COUNTIF(CG$6:CG$42,"R")</f>
        <v/>
      </c>
      <c r="CH44" s="149">
        <f>COUNTIF(CH$6:CH$42,"R")</f>
        <v/>
      </c>
      <c r="CI44" s="149">
        <f>COUNTIF(CI$6:CI$42,"R")</f>
        <v/>
      </c>
      <c r="CJ44" s="149">
        <f>COUNTIF(CJ$6:CJ$42,"R")</f>
        <v/>
      </c>
      <c r="CK44" s="149">
        <f>COUNTIF(CK$6:CK$42,"R")</f>
        <v/>
      </c>
      <c r="CL44" s="149">
        <f>COUNTIF(CL$6:CL$42,"R")</f>
        <v/>
      </c>
      <c r="CM44" s="149">
        <f>COUNTIF(CM$6:CM$42,"R")</f>
        <v/>
      </c>
      <c r="CN44" s="149">
        <f>COUNTIF(CN$6:CN$42,"R")</f>
        <v/>
      </c>
      <c r="CO44" s="149">
        <f>COUNTIF(CO$6:CO$42,"R")</f>
        <v/>
      </c>
      <c r="CP44" s="149">
        <f>COUNTIF(CP$6:CP$42,"R")</f>
        <v/>
      </c>
      <c r="CQ44" s="149">
        <f>COUNTIF(CQ$6:CQ$42,"R")</f>
        <v/>
      </c>
      <c r="CR44" s="149">
        <f>COUNTIF(CR$6:CR$42,"R")</f>
        <v/>
      </c>
      <c r="CS44" s="149">
        <f>COUNTIF(CS$6:CS$42,"R")</f>
        <v/>
      </c>
      <c r="CT44" s="149">
        <f>COUNTIF(CT$6:CT$42,"R")</f>
        <v/>
      </c>
      <c r="CU44" s="149">
        <f>COUNTIF(CU$6:CU$42,"R")</f>
        <v/>
      </c>
    </row>
  </sheetData>
  <mergeCells count="15">
    <mergeCell ref="B4:B5"/>
    <mergeCell ref="CF4:CN4"/>
    <mergeCell ref="D4:I4"/>
    <mergeCell ref="A4:A5"/>
    <mergeCell ref="C4:C5"/>
    <mergeCell ref="V4:Y4"/>
    <mergeCell ref="AM4:AY4"/>
    <mergeCell ref="CW4:CW5"/>
    <mergeCell ref="CO4:CU4"/>
    <mergeCell ref="Z4:AL4"/>
    <mergeCell ref="AZ4:BR4"/>
    <mergeCell ref="J4:U4"/>
    <mergeCell ref="CC4:CE4"/>
    <mergeCell ref="BS4:CB4"/>
    <mergeCell ref="CV4:CV5"/>
  </mergeCells>
  <conditionalFormatting sqref="D6:CU42">
    <cfRule type="cellIs" priority="1" operator="equal" dxfId="13">
      <formula>"C"</formula>
    </cfRule>
  </conditionalFormatting>
  <dataValidations count="1">
    <dataValidation sqref="D6:CU42" showDropDown="0" showInputMessage="0" showErrorMessage="0" allowBlank="1" type="list">
      <formula1>"C,R"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2026-09-19T08:07:48Z</dcterms:created>
  <dcterms:modified xmlns:dcterms="http://purl.org/dc/terms/" xmlns:xsi="http://www.w3.org/2001/XMLSchema-instance" xsi:type="dcterms:W3CDTF">2026-09-20T02:12:36Z</dcterms:modified>
  <cp:revision>0</cp:revision>
</cp:coreProperties>
</file>