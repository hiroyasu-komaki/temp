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リューストリーム" sheetId="1" state="visible" r:id="rId1"/>
    <sheet xmlns:r="http://schemas.openxmlformats.org/officeDocument/2006/relationships" name="ケイパビリティマップ" sheetId="2" state="visible" r:id="rId2"/>
    <sheet xmlns:r="http://schemas.openxmlformats.org/officeDocument/2006/relationships" name="ケイパビリティレベル" sheetId="3" state="visible" r:id="rId3"/>
    <sheet xmlns:r="http://schemas.openxmlformats.org/officeDocument/2006/relationships" name="VS×ケイパビリティ関係" sheetId="4" state="visible" r:id="rId4"/>
    <sheet xmlns:r="http://schemas.openxmlformats.org/officeDocument/2006/relationships" name="VS×ケイパビリティ" sheetId="5" state="visible" r:id="rId5"/>
    <sheet xmlns:r="http://schemas.openxmlformats.org/officeDocument/2006/relationships" name="情報オブジェクト" sheetId="6" state="visible" r:id="rId6"/>
    <sheet xmlns:r="http://schemas.openxmlformats.org/officeDocument/2006/relationships" name="ケイパビリティ×情報オブジェクト" sheetId="7" state="visible" r:id="rId7"/>
    <sheet xmlns:r="http://schemas.openxmlformats.org/officeDocument/2006/relationships" name="アプリケーション" sheetId="8" state="visible" r:id="rId8"/>
    <sheet xmlns:r="http://schemas.openxmlformats.org/officeDocument/2006/relationships" name="ケイパビリティ×アプリケーション" sheetId="9" state="visible" r:id="rId9"/>
    <sheet xmlns:r="http://schemas.openxmlformats.org/officeDocument/2006/relationships" name="アプリケーション×情報オブジェクト" sheetId="10" state="visible" r:id="rId10"/>
  </sheets>
  <definedNames>
    <definedName name="_xlnm._FilterDatabase" localSheetId="0" hidden="1">'バリューストリーム'!$A$3:$L$146</definedName>
    <definedName name="_xlnm._FilterDatabase" localSheetId="1" hidden="1">'ケイパビリティマップ'!$A$3:$J$139</definedName>
    <definedName name="_xlnm._FilterDatabase" localSheetId="2" hidden="1">'ケイパビリティレベル'!$A$10:$I$42</definedName>
    <definedName name="_xlnm._FilterDatabase" localSheetId="3" hidden="1">'VS×ケイパビリティ関係'!$A$3:$G$170</definedName>
    <definedName name="_xlnm._FilterDatabase" localSheetId="5" hidden="1">'情報オブジェクト'!$A$3:$M$63</definedName>
    <definedName name="_xlnm._FilterDatabase" localSheetId="7" hidden="1">'アプリケーション'!$A$3:$H$24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Noto Sans CJK SC"/>
      <charset val="1"/>
      <family val="2"/>
      <b val="1"/>
      <color rgb="FF1F3A5F"/>
      <sz val="14"/>
    </font>
    <font>
      <name val="Noto Sans CJK SC"/>
      <charset val="1"/>
      <family val="2"/>
      <color rgb="FF555555"/>
      <sz val="9"/>
    </font>
    <font>
      <name val="Arial"/>
      <charset val="1"/>
      <family val="0"/>
      <b val="1"/>
      <color rgb="FFFFFFFF"/>
      <sz val="10"/>
    </font>
    <font>
      <name val="Noto Sans CJK SC"/>
      <charset val="1"/>
      <family val="2"/>
      <b val="1"/>
      <color rgb="FFFFFFFF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00000"/>
      <sz val="9"/>
    </font>
    <font>
      <name val="Noto Sans CJK SC"/>
      <charset val="1"/>
      <family val="2"/>
      <color rgb="FF000000"/>
      <sz val="9"/>
    </font>
    <font>
      <name val="Noto Sans CJK SC"/>
      <charset val="1"/>
      <family val="2"/>
      <b val="1"/>
      <color rgb="FF000000"/>
      <sz val="9"/>
    </font>
    <font>
      <name val="Calibri"/>
      <charset val="1"/>
      <family val="2"/>
      <color theme="1"/>
      <sz val="11"/>
    </font>
    <font>
      <name val="Arial"/>
      <charset val="1"/>
      <family val="0"/>
      <b val="1"/>
      <color rgb="FF1F3A5F"/>
      <sz val="14"/>
    </font>
    <font>
      <name val="Arial"/>
      <charset val="1"/>
      <family val="0"/>
      <color rgb="FF555555"/>
      <sz val="9"/>
    </font>
    <font>
      <name val="Arial"/>
      <charset val="1"/>
      <family val="0"/>
      <color rgb="FF6B7785"/>
      <sz val="9"/>
    </font>
    <font>
      <name val="Noto Sans CJK SC"/>
      <charset val="1"/>
      <family val="0"/>
      <b val="1"/>
      <color rgb="FF1F3A5F"/>
      <sz val="14"/>
    </font>
    <font>
      <name val="Noto Sans CJK SC"/>
      <charset val="1"/>
      <family val="0"/>
      <color rgb="FF555555"/>
      <sz val="9"/>
    </font>
    <font>
      <name val="Noto Sans CJK SC"/>
      <charset val="1"/>
      <family val="0"/>
      <b val="1"/>
      <color rgb="FFFFFFFF"/>
      <sz val="10"/>
    </font>
    <font>
      <name val="Noto Sans CJK SC"/>
      <charset val="1"/>
      <family val="0"/>
      <color rgb="FF000000"/>
      <sz val="9"/>
    </font>
    <font>
      <name val="Noto Sans CJK SC"/>
      <charset val="1"/>
      <family val="0"/>
      <b val="1"/>
      <color rgb="FF000000"/>
      <sz val="9"/>
    </font>
    <font>
      <name val="Noto Sans CJK SC"/>
      <charset val="1"/>
      <family val="0"/>
      <b val="1"/>
      <color rgb="FFFFFFFF"/>
      <sz val="8"/>
    </font>
    <font>
      <name val="Arial"/>
      <charset val="1"/>
      <family val="0"/>
      <b val="1"/>
      <color rgb="FF1D6F6A"/>
      <sz val="10"/>
    </font>
  </fonts>
  <fills count="11">
    <fill>
      <patternFill/>
    </fill>
    <fill>
      <patternFill patternType="gray125"/>
    </fill>
    <fill>
      <patternFill patternType="solid">
        <fgColor rgb="FF1F3A5F"/>
        <bgColor rgb="FF1F2E35"/>
      </patternFill>
    </fill>
    <fill>
      <patternFill patternType="solid">
        <fgColor rgb="FF6B7785"/>
        <bgColor rgb="FF3E8A84"/>
      </patternFill>
    </fill>
    <fill>
      <patternFill patternType="solid">
        <fgColor rgb="FFC9D6E3"/>
        <bgColor rgb="FFD0D7DE"/>
      </patternFill>
    </fill>
    <fill>
      <patternFill patternType="solid">
        <fgColor rgb="FFDCE5EE"/>
        <bgColor rgb="FFDCE9F2"/>
      </patternFill>
    </fill>
    <fill>
      <patternFill patternType="solid">
        <fgColor rgb="FFEEF2F7"/>
        <bgColor rgb="FFEEEEEE"/>
      </patternFill>
    </fill>
    <fill>
      <patternFill patternType="solid">
        <fgColor rgb="FFEEEEEE"/>
        <bgColor rgb="FFEEF2F7"/>
      </patternFill>
    </fill>
    <fill>
      <patternFill patternType="solid">
        <fgColor rgb="FF3E8A84"/>
        <bgColor rgb="FF6B7785"/>
      </patternFill>
    </fill>
    <fill>
      <patternFill patternType="solid">
        <fgColor rgb="FF1D6F6A"/>
        <bgColor rgb="FF008080"/>
      </patternFill>
    </fill>
    <fill>
      <patternFill patternType="solid">
        <fgColor rgb="FF2F4F5A"/>
        <bgColor rgb="FF1F3A5F"/>
      </patternFill>
    </fill>
  </fills>
  <borders count="10">
    <border>
      <left/>
      <right/>
      <top/>
      <bottom/>
      <diagonal/>
    </border>
    <border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  <border>
      <left/>
      <right/>
      <top style="thin">
        <color rgb="FFC8CDD3"/>
      </top>
      <bottom style="thin">
        <color rgb="FFC8CDD3"/>
      </bottom>
      <diagonal/>
    </border>
    <border>
      <left/>
      <right style="thin">
        <color rgb="FFC8CDD3"/>
      </right>
      <top style="thin">
        <color rgb="FFC8CDD3"/>
      </top>
      <bottom style="thin">
        <color rgb="FFC8CDD3"/>
      </bottom>
      <diagonal/>
    </border>
    <border>
      <left/>
      <right/>
      <top style="thin">
        <color rgb="FFC8CDD3"/>
      </top>
      <bottom/>
      <diagonal/>
    </border>
    <border>
      <left/>
      <right style="thin">
        <color rgb="FFC8CDD3"/>
      </right>
      <top style="thin">
        <color rgb="FFC8CDD3"/>
      </top>
      <bottom/>
      <diagonal/>
    </border>
    <border>
      <left style="thin">
        <color rgb="FFC8CDD3"/>
      </left>
      <right style="thin">
        <color rgb="FFC8CDD3"/>
      </right>
      <top/>
      <bottom/>
      <diagonal/>
    </border>
    <border>
      <left style="thin">
        <color rgb="FFC8CDD3"/>
      </left>
      <right style="thin">
        <color rgb="FFC8CDD3"/>
      </right>
      <top/>
      <bottom style="thin">
        <color rgb="FFC8CDD3"/>
      </bottom>
      <diagonal/>
    </border>
    <border>
      <left style="thin">
        <color rgb="FFC8CDD3"/>
      </left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8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3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top" wrapText="1"/>
    </xf>
    <xf numFmtId="0" fontId="9" fillId="0" borderId="0" pivotButton="0" quotePrefix="0" xfId="0"/>
    <xf numFmtId="0" fontId="12" fillId="0" borderId="0" applyAlignment="1" pivotButton="0" quotePrefix="0" xfId="0">
      <alignment horizontal="general" vertical="bottom"/>
    </xf>
    <xf numFmtId="0" fontId="3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4" fillId="8" borderId="1" applyAlignment="1" pivotButton="0" quotePrefix="0" xfId="0">
      <alignment horizontal="center" vertical="bottom" textRotation="90" wrapText="1"/>
    </xf>
    <xf numFmtId="0" fontId="6" fillId="0" borderId="1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2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18" fillId="10" borderId="0" applyAlignment="1" pivotButton="0" quotePrefix="0" xfId="0">
      <alignment horizontal="center" vertical="bottom" textRotation="255" wrapText="1"/>
    </xf>
    <xf numFmtId="0" fontId="17" fillId="0" borderId="0" applyAlignment="1" pivotButton="0" quotePrefix="0" xfId="0">
      <alignment horizontal="general" vertical="bottom"/>
    </xf>
    <xf numFmtId="0" fontId="16" fillId="7" borderId="0" applyAlignment="1" pivotButton="0" quotePrefix="0" xfId="0">
      <alignment horizontal="general" vertical="bottom"/>
    </xf>
    <xf numFmtId="0" fontId="19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Arial"/>
        <charset val="1"/>
        <family val="0"/>
        <b val="1"/>
        <color rgb="FFFFFFFF"/>
      </font>
      <fill>
        <patternFill>
          <bgColor rgb="FF1D6F6A"/>
        </patternFill>
      </fill>
    </dxf>
    <dxf>
      <font>
        <name val="Arial"/>
        <charset val="1"/>
        <family val="0"/>
        <color rgb="FF1D6F6A"/>
      </font>
      <fill>
        <patternFill>
          <bgColor rgb="FFCFE6E3"/>
        </patternFill>
      </fill>
    </dxf>
    <dxf>
      <fill>
        <patternFill>
          <bgColor rgb="FFCFE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L146"/>
  <sheetViews>
    <sheetView showGridLines="1" zoomScale="90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.5" customWidth="1" min="2" max="2"/>
    <col width="36" customWidth="1" min="6" max="6"/>
    <col width="44" customWidth="1" min="7" max="7"/>
    <col width="18" customWidth="1" min="8" max="8"/>
    <col width="26" customWidth="1" min="9" max="9"/>
    <col width="10" customWidth="1" min="11" max="11"/>
    <col width="28" customWidth="1" min="12" max="12"/>
  </cols>
  <sheetData>
    <row r="1" ht="21" customHeight="1">
      <c r="A1" s="1" t="inlineStr">
        <is>
          <t>バリューストリーム（L1〜L4）</t>
        </is>
      </c>
    </row>
    <row r="2" ht="15" customHeight="1">
      <c r="A2" s="2" t="inlineStr">
        <is>
          <t>対象：日本の事業会社（正社員中心、新卒・経験者採用、月給制）／日本の法令・制度基準（労基法・安衛法・社会保険・税法ほか）。1行1項目。L1〜L4列の●がその行のレベル。出口はL2、入力・出力情報・関連法令・主な関与者はL4の項目。 入力情報・出力情報はVS定義の過程で得られる正本（直接入力する）。情報オブジェクトはこれを取りまとめて一覧化したもの。★＝日本の制度・雇用慣行に固有の項目。</t>
        </is>
      </c>
    </row>
    <row r="3" ht="30" customHeight="1">
      <c r="A3" s="3" t="inlineStr">
        <is>
          <t>ID</t>
        </is>
      </c>
      <c r="B3" s="3" t="inlineStr">
        <is>
          <t>L1</t>
        </is>
      </c>
      <c r="C3" s="3" t="inlineStr">
        <is>
          <t>L2</t>
        </is>
      </c>
      <c r="D3" s="3" t="inlineStr">
        <is>
          <t>L3</t>
        </is>
      </c>
      <c r="E3" s="3" t="inlineStr">
        <is>
          <t>L4</t>
        </is>
      </c>
      <c r="F3" s="3" t="inlineStr">
        <is>
          <t>VS項目名</t>
        </is>
      </c>
      <c r="G3" s="3" t="inlineStr">
        <is>
          <t>VSの定義</t>
        </is>
      </c>
      <c r="H3" s="4" t="inlineStr">
        <is>
          <t>出口（ゲート）</t>
        </is>
      </c>
      <c r="I3" s="5" t="inlineStr">
        <is>
          <t>入力情報</t>
        </is>
      </c>
      <c r="J3" s="5" t="inlineStr">
        <is>
          <t>出力情報</t>
        </is>
      </c>
      <c r="K3" s="3" t="inlineStr">
        <is>
          <t>関連法令</t>
        </is>
      </c>
      <c r="L3" s="4" t="inlineStr">
        <is>
          <t>主な関与者（社内／外部）</t>
        </is>
      </c>
    </row>
    <row r="4" ht="26.25" customHeight="1">
      <c r="A4" s="6" t="inlineStr">
        <is>
          <t>VS</t>
        </is>
      </c>
      <c r="B4" s="7" t="inlineStr">
        <is>
          <t>●</t>
        </is>
      </c>
      <c r="C4" s="7" t="n"/>
      <c r="D4" s="7" t="n"/>
      <c r="E4" s="7" t="n"/>
      <c r="F4" s="8" t="inlineStr">
        <is>
          <t>Hire-to-Retire</t>
        </is>
      </c>
      <c r="G4" s="9" t="inlineStr">
        <is>
          <t>事業に必要な人材を計画・採用し、入社から育成・評価・処遇・配置を経て退職まで、従業員の雇用ライフサイクル全体を通じて組織に能力を供給し、従業員の成長と働きがいを高める</t>
        </is>
      </c>
      <c r="H4" s="9" t="n"/>
      <c r="I4" s="9" t="n"/>
      <c r="J4" s="9" t="n"/>
      <c r="K4" s="6" t="n"/>
      <c r="L4" s="9" t="n"/>
    </row>
    <row r="5" ht="26.25" customHeight="1">
      <c r="A5" s="10" t="inlineStr">
        <is>
          <t>01</t>
        </is>
      </c>
      <c r="B5" s="11" t="n"/>
      <c r="C5" s="11" t="inlineStr">
        <is>
          <t>●</t>
        </is>
      </c>
      <c r="D5" s="11" t="n"/>
      <c r="E5" s="11" t="n"/>
      <c r="F5" s="12" t="inlineStr">
        <is>
          <t>人員計画・採用</t>
        </is>
      </c>
      <c r="G5" s="13" t="inlineStr">
        <is>
          <t>事業計画から必要な人材を見定め、候補者を集めて公正に選考し、内定の承諾を得るまでの段階</t>
        </is>
      </c>
      <c r="H5" s="13" t="inlineStr">
        <is>
          <t>内定承諾</t>
        </is>
      </c>
      <c r="I5" s="13" t="n"/>
      <c r="J5" s="13" t="n"/>
      <c r="K5" s="10" t="n"/>
      <c r="L5" s="13" t="n"/>
    </row>
    <row r="6" ht="26.25" customHeight="1">
      <c r="A6" s="14" t="inlineStr">
        <is>
          <t>01-01</t>
        </is>
      </c>
      <c r="B6" s="15" t="n"/>
      <c r="C6" s="15" t="n"/>
      <c r="D6" s="15" t="inlineStr">
        <is>
          <t>●</t>
        </is>
      </c>
      <c r="E6" s="15" t="n"/>
      <c r="F6" s="16" t="inlineStr">
        <is>
          <t>人事戦略・要員計画</t>
        </is>
      </c>
      <c r="G6" s="17" t="inlineStr">
        <is>
          <t>経営戦略から人事戦略と要員計画を定め、人件費予算と採用計画に落とし込む</t>
        </is>
      </c>
      <c r="H6" s="17" t="n"/>
      <c r="I6" s="17" t="n"/>
      <c r="J6" s="17" t="n"/>
      <c r="K6" s="14" t="n"/>
      <c r="L6" s="17" t="n"/>
    </row>
    <row r="7" ht="26.25" customHeight="1">
      <c r="A7" s="18" t="inlineStr">
        <is>
          <t>01-01-01</t>
        </is>
      </c>
      <c r="B7" s="19" t="n"/>
      <c r="C7" s="19" t="n"/>
      <c r="D7" s="19" t="n"/>
      <c r="E7" s="19" t="inlineStr">
        <is>
          <t>●</t>
        </is>
      </c>
      <c r="F7" s="20" t="inlineStr">
        <is>
          <t>人事戦略・人的資本KPIの設定</t>
        </is>
      </c>
      <c r="G7" s="20" t="n"/>
      <c r="H7" s="20" t="n"/>
      <c r="I7" s="21" t="inlineStr">
        <is>
          <t>人的資本開示情報</t>
        </is>
      </c>
      <c r="J7" s="22" t="inlineStr">
        <is>
          <t>人事戦略・人的資本KPI</t>
        </is>
      </c>
      <c r="K7" s="23" t="inlineStr">
        <is>
          <t>なし</t>
        </is>
      </c>
      <c r="L7" s="20" t="inlineStr">
        <is>
          <t>経営・人事企画／—</t>
        </is>
      </c>
    </row>
    <row r="8" ht="26.25" customHeight="1">
      <c r="A8" s="18" t="inlineStr">
        <is>
          <t>01-01-02</t>
        </is>
      </c>
      <c r="B8" s="19" t="n"/>
      <c r="C8" s="19" t="n"/>
      <c r="D8" s="19" t="n"/>
      <c r="E8" s="19" t="inlineStr">
        <is>
          <t>●</t>
        </is>
      </c>
      <c r="F8" s="20" t="inlineStr">
        <is>
          <t>要員計画の策定（職種・等級・雇用形態別）</t>
        </is>
      </c>
      <c r="G8" s="20" t="n"/>
      <c r="H8" s="20" t="n"/>
      <c r="I8" s="21" t="inlineStr">
        <is>
          <t>人事戦略・人的資本KPI、組織マスタ、従業員マスタ</t>
        </is>
      </c>
      <c r="J8" s="22" t="inlineStr">
        <is>
          <t>要員計画</t>
        </is>
      </c>
      <c r="K8" s="23" t="inlineStr">
        <is>
          <t>なし</t>
        </is>
      </c>
      <c r="L8" s="20" t="inlineStr">
        <is>
          <t>人事企画・事業部門／—</t>
        </is>
      </c>
    </row>
    <row r="9" ht="26.25" customHeight="1">
      <c r="A9" s="18" t="inlineStr">
        <is>
          <t>01-01-03</t>
        </is>
      </c>
      <c r="B9" s="19" t="n"/>
      <c r="C9" s="19" t="n"/>
      <c r="D9" s="19" t="n"/>
      <c r="E9" s="19" t="inlineStr">
        <is>
          <t>●</t>
        </is>
      </c>
      <c r="F9" s="20" t="inlineStr">
        <is>
          <t>人件費予算の策定</t>
        </is>
      </c>
      <c r="G9" s="20" t="n"/>
      <c r="H9" s="20" t="n"/>
      <c r="I9" s="21" t="inlineStr">
        <is>
          <t>要員計画、報酬テーブル、人件費実績</t>
        </is>
      </c>
      <c r="J9" s="22" t="inlineStr">
        <is>
          <t>人件費予算</t>
        </is>
      </c>
      <c r="K9" s="23" t="inlineStr">
        <is>
          <t>なし</t>
        </is>
      </c>
      <c r="L9" s="20" t="inlineStr">
        <is>
          <t>人事企画・経理／—</t>
        </is>
      </c>
    </row>
    <row r="10" ht="26.25" customHeight="1">
      <c r="A10" s="18" t="inlineStr">
        <is>
          <t>01-01-04</t>
        </is>
      </c>
      <c r="B10" s="19" t="n"/>
      <c r="C10" s="19" t="n"/>
      <c r="D10" s="19" t="n"/>
      <c r="E10" s="19" t="inlineStr">
        <is>
          <t>●</t>
        </is>
      </c>
      <c r="F10" s="20" t="inlineStr">
        <is>
          <t>職務・ポジション要件の定義</t>
        </is>
      </c>
      <c r="G10" s="20" t="n"/>
      <c r="H10" s="20" t="n"/>
      <c r="I10" s="21" t="inlineStr">
        <is>
          <t>要員計画、職務・ポジション</t>
        </is>
      </c>
      <c r="J10" s="22" t="inlineStr">
        <is>
          <t>職務・ポジション</t>
        </is>
      </c>
      <c r="K10" s="23" t="inlineStr">
        <is>
          <t>なし</t>
        </is>
      </c>
      <c r="L10" s="20" t="inlineStr">
        <is>
          <t>人事・配属部門／—</t>
        </is>
      </c>
    </row>
    <row r="11" ht="26.25" customHeight="1">
      <c r="A11" s="18" t="inlineStr">
        <is>
          <t>01-01-05</t>
        </is>
      </c>
      <c r="B11" s="19" t="n"/>
      <c r="C11" s="19" t="n"/>
      <c r="D11" s="19" t="n"/>
      <c r="E11" s="19" t="inlineStr">
        <is>
          <t>●</t>
        </is>
      </c>
      <c r="F11" s="20" t="inlineStr">
        <is>
          <t>採用計画の策定（新卒・経験者別の人数・時期・チャネル）</t>
        </is>
      </c>
      <c r="G11" s="20" t="n"/>
      <c r="H11" s="20" t="n"/>
      <c r="I11" s="21" t="inlineStr">
        <is>
          <t>要員計画、採用チャネル実績</t>
        </is>
      </c>
      <c r="J11" s="22" t="inlineStr">
        <is>
          <t>採用計画</t>
        </is>
      </c>
      <c r="K11" s="23" t="inlineStr">
        <is>
          <t>なし</t>
        </is>
      </c>
      <c r="L11" s="20" t="inlineStr">
        <is>
          <t>採用担当・事業部門／—</t>
        </is>
      </c>
    </row>
    <row r="12" ht="26.25" customHeight="1">
      <c r="A12" s="14" t="inlineStr">
        <is>
          <t>01-02</t>
        </is>
      </c>
      <c r="B12" s="15" t="n"/>
      <c r="C12" s="15" t="n"/>
      <c r="D12" s="15" t="inlineStr">
        <is>
          <t>●</t>
        </is>
      </c>
      <c r="E12" s="15" t="n"/>
      <c r="F12" s="16" t="inlineStr">
        <is>
          <t>母集団形成</t>
        </is>
      </c>
      <c r="G12" s="17" t="inlineStr">
        <is>
          <t>会社の魅力を発信し、求人を公開して、応募者を集める</t>
        </is>
      </c>
      <c r="H12" s="17" t="n"/>
      <c r="I12" s="17" t="n"/>
      <c r="J12" s="17" t="n"/>
      <c r="K12" s="14" t="n"/>
      <c r="L12" s="17" t="n"/>
    </row>
    <row r="13" ht="26.25" customHeight="1">
      <c r="A13" s="18" t="inlineStr">
        <is>
          <t>01-02-01</t>
        </is>
      </c>
      <c r="B13" s="19" t="n"/>
      <c r="C13" s="19" t="n"/>
      <c r="D13" s="19" t="n"/>
      <c r="E13" s="19" t="inlineStr">
        <is>
          <t>●</t>
        </is>
      </c>
      <c r="F13" s="20" t="inlineStr">
        <is>
          <t>採用ブランディング・採用広報</t>
        </is>
      </c>
      <c r="G13" s="20" t="n"/>
      <c r="H13" s="20" t="n"/>
      <c r="I13" s="21" t="inlineStr">
        <is>
          <t>採用計画、人的資本開示情報</t>
        </is>
      </c>
      <c r="J13" s="22" t="inlineStr">
        <is>
          <t>求人票</t>
        </is>
      </c>
      <c r="K13" s="23" t="inlineStr">
        <is>
          <t>職安法</t>
        </is>
      </c>
      <c r="L13" s="20" t="inlineStr">
        <is>
          <t>採用・広報／採用媒体</t>
        </is>
      </c>
    </row>
    <row r="14" ht="26.25" customHeight="1">
      <c r="A14" s="18" t="inlineStr">
        <is>
          <t>01-02-02</t>
        </is>
      </c>
      <c r="B14" s="19" t="n"/>
      <c r="C14" s="19" t="n"/>
      <c r="D14" s="19" t="n"/>
      <c r="E14" s="19" t="inlineStr">
        <is>
          <t>●</t>
        </is>
      </c>
      <c r="F14" s="20" t="inlineStr">
        <is>
          <t>★求人票の作成・公開（業務・就業場所の変更の範囲を含む労働条件の明示）</t>
        </is>
      </c>
      <c r="G14" s="20" t="n"/>
      <c r="H14" s="20" t="n"/>
      <c r="I14" s="21" t="inlineStr">
        <is>
          <t>職務・ポジション、就業規則・人事規程、報酬テーブル</t>
        </is>
      </c>
      <c r="J14" s="22" t="inlineStr">
        <is>
          <t>求人票</t>
        </is>
      </c>
      <c r="K14" s="23" t="inlineStr">
        <is>
          <t>職安法</t>
        </is>
      </c>
      <c r="L14" s="20" t="inlineStr">
        <is>
          <t>採用／求人媒体、ハローワーク</t>
        </is>
      </c>
    </row>
    <row r="15" ht="26.25" customHeight="1">
      <c r="A15" s="18" t="inlineStr">
        <is>
          <t>01-02-03</t>
        </is>
      </c>
      <c r="B15" s="19" t="n"/>
      <c r="C15" s="19" t="n"/>
      <c r="D15" s="19" t="n"/>
      <c r="E15" s="19" t="inlineStr">
        <is>
          <t>●</t>
        </is>
      </c>
      <c r="F15" s="20" t="inlineStr">
        <is>
          <t>★インターンシップ・会社説明会の運営（新卒）</t>
        </is>
      </c>
      <c r="G15" s="20" t="n"/>
      <c r="H15" s="20" t="n"/>
      <c r="I15" s="21" t="inlineStr">
        <is>
          <t>採用計画、求人票</t>
        </is>
      </c>
      <c r="J15" s="22" t="inlineStr">
        <is>
          <t>応募者情報</t>
        </is>
      </c>
      <c r="K15" s="23" t="inlineStr">
        <is>
          <t>職安法・個人情報保護法</t>
        </is>
      </c>
      <c r="L15" s="20" t="inlineStr">
        <is>
          <t>採用・現場社員／大学、就職情報会社</t>
        </is>
      </c>
    </row>
    <row r="16" ht="26.25" customHeight="1">
      <c r="A16" s="18" t="inlineStr">
        <is>
          <t>01-02-04</t>
        </is>
      </c>
      <c r="B16" s="19" t="n"/>
      <c r="C16" s="19" t="n"/>
      <c r="D16" s="19" t="n"/>
      <c r="E16" s="19" t="inlineStr">
        <is>
          <t>●</t>
        </is>
      </c>
      <c r="F16" s="20" t="inlineStr">
        <is>
          <t>人材紹介・リファラル・ダイレクトリクルーティングの活用（経験者）</t>
        </is>
      </c>
      <c r="G16" s="20" t="n"/>
      <c r="H16" s="20" t="n"/>
      <c r="I16" s="21" t="inlineStr">
        <is>
          <t>求人票</t>
        </is>
      </c>
      <c r="J16" s="22" t="inlineStr">
        <is>
          <t>応募者情報、採用チャネル実績</t>
        </is>
      </c>
      <c r="K16" s="23" t="inlineStr">
        <is>
          <t>職安法・個人情報保護法</t>
        </is>
      </c>
      <c r="L16" s="20" t="inlineStr">
        <is>
          <t>採用・現場社員／人材紹介会社</t>
        </is>
      </c>
    </row>
    <row r="17" ht="26.25" customHeight="1">
      <c r="A17" s="14" t="inlineStr">
        <is>
          <t>01-03</t>
        </is>
      </c>
      <c r="B17" s="15" t="n"/>
      <c r="C17" s="15" t="n"/>
      <c r="D17" s="15" t="inlineStr">
        <is>
          <t>●</t>
        </is>
      </c>
      <c r="E17" s="15" t="n"/>
      <c r="F17" s="16" t="inlineStr">
        <is>
          <t>選考</t>
        </is>
      </c>
      <c r="G17" s="17" t="inlineStr">
        <is>
          <t>書類・適性検査・面接で、職務への適性と能力を公正に評価し、採否を決める</t>
        </is>
      </c>
      <c r="H17" s="17" t="n"/>
      <c r="I17" s="17" t="n"/>
      <c r="J17" s="17" t="n"/>
      <c r="K17" s="14" t="n"/>
      <c r="L17" s="17" t="n"/>
    </row>
    <row r="18" ht="26.25" customHeight="1">
      <c r="A18" s="18" t="inlineStr">
        <is>
          <t>01-03-01</t>
        </is>
      </c>
      <c r="B18" s="19" t="n"/>
      <c r="C18" s="19" t="n"/>
      <c r="D18" s="19" t="n"/>
      <c r="E18" s="19" t="inlineStr">
        <is>
          <t>●</t>
        </is>
      </c>
      <c r="F18" s="20" t="inlineStr">
        <is>
          <t>書類選考（エントリーシート・職務経歴書）</t>
        </is>
      </c>
      <c r="G18" s="20" t="n"/>
      <c r="H18" s="20" t="n"/>
      <c r="I18" s="21" t="inlineStr">
        <is>
          <t>応募者情報、職務・ポジション</t>
        </is>
      </c>
      <c r="J18" s="22" t="inlineStr">
        <is>
          <t>選考記録</t>
        </is>
      </c>
      <c r="K18" s="23" t="inlineStr">
        <is>
          <t>職安法・個人情報保護法</t>
        </is>
      </c>
      <c r="L18" s="20" t="inlineStr">
        <is>
          <t>採用・面接官／—</t>
        </is>
      </c>
    </row>
    <row r="19" ht="26.25" customHeight="1">
      <c r="A19" s="18" t="inlineStr">
        <is>
          <t>01-03-02</t>
        </is>
      </c>
      <c r="B19" s="19" t="n"/>
      <c r="C19" s="19" t="n"/>
      <c r="D19" s="19" t="n"/>
      <c r="E19" s="19" t="inlineStr">
        <is>
          <t>●</t>
        </is>
      </c>
      <c r="F19" s="20" t="inlineStr">
        <is>
          <t>適性検査・面接の実施</t>
        </is>
      </c>
      <c r="G19" s="20" t="n"/>
      <c r="H19" s="20" t="n"/>
      <c r="I19" s="21" t="inlineStr">
        <is>
          <t>応募者情報、選考記録</t>
        </is>
      </c>
      <c r="J19" s="22" t="inlineStr">
        <is>
          <t>選考記録</t>
        </is>
      </c>
      <c r="K19" s="23" t="inlineStr">
        <is>
          <t>職安法</t>
        </is>
      </c>
      <c r="L19" s="20" t="inlineStr">
        <is>
          <t>面接官・採用／適性検査会社</t>
        </is>
      </c>
    </row>
    <row r="20" ht="26.25" customHeight="1">
      <c r="A20" s="18" t="inlineStr">
        <is>
          <t>01-03-03</t>
        </is>
      </c>
      <c r="B20" s="19" t="n"/>
      <c r="C20" s="19" t="n"/>
      <c r="D20" s="19" t="n"/>
      <c r="E20" s="19" t="inlineStr">
        <is>
          <t>●</t>
        </is>
      </c>
      <c r="F20" s="20" t="inlineStr">
        <is>
          <t>★公正な採用選考の点検（本人に責任のない事項・思想信条を選考に用いない）</t>
        </is>
      </c>
      <c r="G20" s="20" t="n"/>
      <c r="H20" s="20" t="n"/>
      <c r="I20" s="21" t="inlineStr">
        <is>
          <t>選考記録</t>
        </is>
      </c>
      <c r="J20" s="22" t="inlineStr">
        <is>
          <t>選考記録</t>
        </is>
      </c>
      <c r="K20" s="23" t="inlineStr">
        <is>
          <t>職安法</t>
        </is>
      </c>
      <c r="L20" s="20" t="inlineStr">
        <is>
          <t>採用・面接官／—</t>
        </is>
      </c>
    </row>
    <row r="21" ht="26.25" customHeight="1">
      <c r="A21" s="18" t="inlineStr">
        <is>
          <t>01-03-04</t>
        </is>
      </c>
      <c r="B21" s="19" t="n"/>
      <c r="C21" s="19" t="n"/>
      <c r="D21" s="19" t="n"/>
      <c r="E21" s="19" t="inlineStr">
        <is>
          <t>●</t>
        </is>
      </c>
      <c r="F21" s="20" t="inlineStr">
        <is>
          <t>採否の判定</t>
        </is>
      </c>
      <c r="G21" s="20" t="n"/>
      <c r="H21" s="20" t="n"/>
      <c r="I21" s="21" t="inlineStr">
        <is>
          <t>選考記録、採用計画</t>
        </is>
      </c>
      <c r="J21" s="22" t="inlineStr">
        <is>
          <t>選考記録</t>
        </is>
      </c>
      <c r="K21" s="23" t="inlineStr">
        <is>
          <t>なし</t>
        </is>
      </c>
      <c r="L21" s="20" t="inlineStr">
        <is>
          <t>採用・部門長／—</t>
        </is>
      </c>
    </row>
    <row r="22" ht="26.25" customHeight="1">
      <c r="A22" s="14" t="inlineStr">
        <is>
          <t>01-04</t>
        </is>
      </c>
      <c r="B22" s="15" t="n"/>
      <c r="C22" s="15" t="n"/>
      <c r="D22" s="15" t="inlineStr">
        <is>
          <t>●</t>
        </is>
      </c>
      <c r="E22" s="15" t="n"/>
      <c r="F22" s="16" t="inlineStr">
        <is>
          <t>内定</t>
        </is>
      </c>
      <c r="G22" s="17" t="inlineStr">
        <is>
          <t>処遇条件を決めて内定を出し、承諾を得て入社まで関係を保つ</t>
        </is>
      </c>
      <c r="H22" s="17" t="n"/>
      <c r="I22" s="17" t="n"/>
      <c r="J22" s="17" t="n"/>
      <c r="K22" s="14" t="n"/>
      <c r="L22" s="17" t="n"/>
    </row>
    <row r="23" ht="26.25" customHeight="1">
      <c r="A23" s="18" t="inlineStr">
        <is>
          <t>01-04-01</t>
        </is>
      </c>
      <c r="B23" s="19" t="n"/>
      <c r="C23" s="19" t="n"/>
      <c r="D23" s="19" t="n"/>
      <c r="E23" s="19" t="inlineStr">
        <is>
          <t>●</t>
        </is>
      </c>
      <c r="F23" s="20" t="inlineStr">
        <is>
          <t>処遇条件の決定・オファー提示</t>
        </is>
      </c>
      <c r="G23" s="20" t="n"/>
      <c r="H23" s="20" t="n"/>
      <c r="I23" s="21" t="inlineStr">
        <is>
          <t>選考記録、報酬テーブル、等級制度</t>
        </is>
      </c>
      <c r="J23" s="22" t="inlineStr">
        <is>
          <t>内定・オファー</t>
        </is>
      </c>
      <c r="K23" s="23" t="inlineStr">
        <is>
          <t>職安法</t>
        </is>
      </c>
      <c r="L23" s="20" t="inlineStr">
        <is>
          <t>採用・人事企画／—</t>
        </is>
      </c>
    </row>
    <row r="24" ht="26.25" customHeight="1">
      <c r="A24" s="18" t="inlineStr">
        <is>
          <t>01-04-02</t>
        </is>
      </c>
      <c r="B24" s="19" t="n"/>
      <c r="C24" s="19" t="n"/>
      <c r="D24" s="19" t="n"/>
      <c r="E24" s="19" t="inlineStr">
        <is>
          <t>●</t>
        </is>
      </c>
      <c r="F24" s="20" t="inlineStr">
        <is>
          <t>★内定通知・内定承諾の取得（労働条件の明示を含む）</t>
        </is>
      </c>
      <c r="G24" s="20" t="n"/>
      <c r="H24" s="20" t="n"/>
      <c r="I24" s="21" t="inlineStr">
        <is>
          <t>内定・オファー、就業規則・人事規程</t>
        </is>
      </c>
      <c r="J24" s="22" t="inlineStr">
        <is>
          <t>内定・オファー</t>
        </is>
      </c>
      <c r="K24" s="23" t="inlineStr">
        <is>
          <t>職安法・労基法</t>
        </is>
      </c>
      <c r="L24" s="20" t="inlineStr">
        <is>
          <t>採用／—</t>
        </is>
      </c>
    </row>
    <row r="25" ht="26.25" customHeight="1">
      <c r="A25" s="18" t="inlineStr">
        <is>
          <t>01-04-03</t>
        </is>
      </c>
      <c r="B25" s="19" t="n"/>
      <c r="C25" s="19" t="n"/>
      <c r="D25" s="19" t="n"/>
      <c r="E25" s="19" t="inlineStr">
        <is>
          <t>●</t>
        </is>
      </c>
      <c r="F25" s="20" t="inlineStr">
        <is>
          <t>★内定者フォロー（内定式・内定者研修、辞退の防止）</t>
        </is>
      </c>
      <c r="G25" s="20" t="n"/>
      <c r="H25" s="20" t="n"/>
      <c r="I25" s="21" t="inlineStr">
        <is>
          <t>内定・オファー、応募者情報</t>
        </is>
      </c>
      <c r="J25" s="22" t="inlineStr">
        <is>
          <t>内定・オファー</t>
        </is>
      </c>
      <c r="K25" s="23" t="inlineStr">
        <is>
          <t>なし</t>
        </is>
      </c>
      <c r="L25" s="20" t="inlineStr">
        <is>
          <t>採用・現場社員／—</t>
        </is>
      </c>
    </row>
    <row r="26" ht="26.25" customHeight="1">
      <c r="A26" s="18" t="inlineStr">
        <is>
          <t>01-04-04</t>
        </is>
      </c>
      <c r="B26" s="19" t="n"/>
      <c r="C26" s="19" t="n"/>
      <c r="D26" s="19" t="n"/>
      <c r="E26" s="19" t="inlineStr">
        <is>
          <t>●</t>
        </is>
      </c>
      <c r="F26" s="20" t="inlineStr">
        <is>
          <t>不採用者への通知と応募者情報の返却・廃棄</t>
        </is>
      </c>
      <c r="G26" s="20" t="n"/>
      <c r="H26" s="20" t="n"/>
      <c r="I26" s="21" t="inlineStr">
        <is>
          <t>応募者情報、選考記録</t>
        </is>
      </c>
      <c r="J26" s="22" t="inlineStr">
        <is>
          <t>応募者情報</t>
        </is>
      </c>
      <c r="K26" s="23" t="inlineStr">
        <is>
          <t>個人情報保護法</t>
        </is>
      </c>
      <c r="L26" s="20" t="inlineStr">
        <is>
          <t>採用／—</t>
        </is>
      </c>
    </row>
    <row r="27" ht="26.25" customHeight="1">
      <c r="A27" s="18" t="inlineStr">
        <is>
          <t>01-04-05</t>
        </is>
      </c>
      <c r="B27" s="19" t="n"/>
      <c r="C27" s="19" t="n"/>
      <c r="D27" s="19" t="n"/>
      <c r="E27" s="19" t="inlineStr">
        <is>
          <t>●</t>
        </is>
      </c>
      <c r="F27" s="20" t="inlineStr">
        <is>
          <t>採用活動の振り返り（チャネル別の実績・コスト）</t>
        </is>
      </c>
      <c r="G27" s="20" t="n"/>
      <c r="H27" s="20" t="n"/>
      <c r="I27" s="21" t="inlineStr">
        <is>
          <t>選考記録、採用計画、内定・オファー</t>
        </is>
      </c>
      <c r="J27" s="22" t="inlineStr">
        <is>
          <t>採用チャネル実績</t>
        </is>
      </c>
      <c r="K27" s="23" t="inlineStr">
        <is>
          <t>なし</t>
        </is>
      </c>
      <c r="L27" s="20" t="inlineStr">
        <is>
          <t>採用／—</t>
        </is>
      </c>
    </row>
    <row r="28" ht="26.25" customHeight="1">
      <c r="A28" s="10" t="inlineStr">
        <is>
          <t>02</t>
        </is>
      </c>
      <c r="B28" s="11" t="n"/>
      <c r="C28" s="11" t="inlineStr">
        <is>
          <t>●</t>
        </is>
      </c>
      <c r="D28" s="11" t="n"/>
      <c r="E28" s="11" t="n"/>
      <c r="F28" s="12" t="inlineStr">
        <is>
          <t>入社・オンボーディング</t>
        </is>
      </c>
      <c r="G28" s="13" t="inlineStr">
        <is>
          <t>雇用契約と入社手続きを完了し、受入れ・研修・定着支援を経て本採用に至るまでの段階</t>
        </is>
      </c>
      <c r="H28" s="13" t="inlineStr">
        <is>
          <t>本採用（試用期間終了）</t>
        </is>
      </c>
      <c r="I28" s="13" t="n"/>
      <c r="J28" s="13" t="n"/>
      <c r="K28" s="10" t="n"/>
      <c r="L28" s="13" t="n"/>
    </row>
    <row r="29" ht="26.25" customHeight="1">
      <c r="A29" s="14" t="inlineStr">
        <is>
          <t>02-01</t>
        </is>
      </c>
      <c r="B29" s="15" t="n"/>
      <c r="C29" s="15" t="n"/>
      <c r="D29" s="15" t="inlineStr">
        <is>
          <t>●</t>
        </is>
      </c>
      <c r="E29" s="15" t="n"/>
      <c r="F29" s="16" t="inlineStr">
        <is>
          <t>雇用契約・入社手続き</t>
        </is>
      </c>
      <c r="G29" s="17" t="inlineStr">
        <is>
          <t>雇用契約を結び、入社書類・マイナンバー・社会保険の手続きと従業員情報の登録を行う</t>
        </is>
      </c>
      <c r="H29" s="17" t="n"/>
      <c r="I29" s="17" t="n"/>
      <c r="J29" s="17" t="n"/>
      <c r="K29" s="14" t="n"/>
      <c r="L29" s="17" t="n"/>
    </row>
    <row r="30" ht="26.25" customHeight="1">
      <c r="A30" s="18" t="inlineStr">
        <is>
          <t>02-01-01</t>
        </is>
      </c>
      <c r="B30" s="19" t="n"/>
      <c r="C30" s="19" t="n"/>
      <c r="D30" s="19" t="n"/>
      <c r="E30" s="19" t="inlineStr">
        <is>
          <t>●</t>
        </is>
      </c>
      <c r="F30" s="20" t="inlineStr">
        <is>
          <t>雇用契約の締結・労働条件通知書の交付</t>
        </is>
      </c>
      <c r="G30" s="20" t="n"/>
      <c r="H30" s="20" t="n"/>
      <c r="I30" s="21" t="inlineStr">
        <is>
          <t>内定・オファー、就業規則・人事規程</t>
        </is>
      </c>
      <c r="J30" s="22" t="inlineStr">
        <is>
          <t>雇用契約</t>
        </is>
      </c>
      <c r="K30" s="23" t="inlineStr">
        <is>
          <t>労基法</t>
        </is>
      </c>
      <c r="L30" s="20" t="inlineStr">
        <is>
          <t>人事労務／—</t>
        </is>
      </c>
    </row>
    <row r="31" ht="26.25" customHeight="1">
      <c r="A31" s="18" t="inlineStr">
        <is>
          <t>02-01-02</t>
        </is>
      </c>
      <c r="B31" s="19" t="n"/>
      <c r="C31" s="19" t="n"/>
      <c r="D31" s="19" t="n"/>
      <c r="E31" s="19" t="inlineStr">
        <is>
          <t>●</t>
        </is>
      </c>
      <c r="F31" s="20" t="inlineStr">
        <is>
          <t>入社書類の回収（誓約書・身元保証書・扶養・通勤・口座）</t>
        </is>
      </c>
      <c r="G31" s="20" t="n"/>
      <c r="H31" s="20" t="n"/>
      <c r="I31" s="21" t="inlineStr">
        <is>
          <t>雇用契約</t>
        </is>
      </c>
      <c r="J31" s="22" t="inlineStr">
        <is>
          <t>入社書類、源泉徴収・年末調整情報</t>
        </is>
      </c>
      <c r="K31" s="23" t="inlineStr">
        <is>
          <t>個人情報保護法・税法</t>
        </is>
      </c>
      <c r="L31" s="20" t="inlineStr">
        <is>
          <t>人事労務・入社者／—</t>
        </is>
      </c>
    </row>
    <row r="32" ht="26.25" customHeight="1">
      <c r="A32" s="18" t="inlineStr">
        <is>
          <t>02-01-03</t>
        </is>
      </c>
      <c r="B32" s="19" t="n"/>
      <c r="C32" s="19" t="n"/>
      <c r="D32" s="19" t="n"/>
      <c r="E32" s="19" t="inlineStr">
        <is>
          <t>●</t>
        </is>
      </c>
      <c r="F32" s="20" t="inlineStr">
        <is>
          <t>★マイナンバーの収集・本人確認</t>
        </is>
      </c>
      <c r="G32" s="20" t="n"/>
      <c r="H32" s="20" t="n"/>
      <c r="I32" s="21" t="inlineStr">
        <is>
          <t>入社書類</t>
        </is>
      </c>
      <c r="J32" s="22" t="inlineStr">
        <is>
          <t>マイナンバー</t>
        </is>
      </c>
      <c r="K32" s="23" t="inlineStr">
        <is>
          <t>番号法</t>
        </is>
      </c>
      <c r="L32" s="20" t="inlineStr">
        <is>
          <t>人事労務・入社者／—</t>
        </is>
      </c>
    </row>
    <row r="33" ht="26.25" customHeight="1">
      <c r="A33" s="18" t="inlineStr">
        <is>
          <t>02-01-04</t>
        </is>
      </c>
      <c r="B33" s="19" t="n"/>
      <c r="C33" s="19" t="n"/>
      <c r="D33" s="19" t="n"/>
      <c r="E33" s="19" t="inlineStr">
        <is>
          <t>●</t>
        </is>
      </c>
      <c r="F33" s="20" t="inlineStr">
        <is>
          <t>従業員情報の登録（社員番号・所属・等級）と労働者名簿の作成</t>
        </is>
      </c>
      <c r="G33" s="20" t="n"/>
      <c r="H33" s="20" t="n"/>
      <c r="I33" s="21" t="inlineStr">
        <is>
          <t>雇用契約、入社書類、組織マスタ</t>
        </is>
      </c>
      <c r="J33" s="22" t="inlineStr">
        <is>
          <t>従業員マスタ、労働者名簿、異動・発令履歴</t>
        </is>
      </c>
      <c r="K33" s="23" t="inlineStr">
        <is>
          <t>労基法</t>
        </is>
      </c>
      <c r="L33" s="20" t="inlineStr">
        <is>
          <t>人事労務／—</t>
        </is>
      </c>
    </row>
    <row r="34" ht="26.25" customHeight="1">
      <c r="A34" s="18" t="inlineStr">
        <is>
          <t>02-01-05</t>
        </is>
      </c>
      <c r="B34" s="19" t="n"/>
      <c r="C34" s="19" t="n"/>
      <c r="D34" s="19" t="n"/>
      <c r="E34" s="19" t="inlineStr">
        <is>
          <t>●</t>
        </is>
      </c>
      <c r="F34" s="20" t="inlineStr">
        <is>
          <t>★社会保険・雇用保険の資格取得届（健保・厚年は5日以内、雇用保険は翌月10日まで）</t>
        </is>
      </c>
      <c r="G34" s="20" t="n"/>
      <c r="H34" s="20" t="n"/>
      <c r="I34" s="21" t="inlineStr">
        <is>
          <t>従業員マスタ、マイナンバー、入社書類</t>
        </is>
      </c>
      <c r="J34" s="22" t="inlineStr">
        <is>
          <t>社会保険・雇用保険の資格情報</t>
        </is>
      </c>
      <c r="K34" s="23" t="inlineStr">
        <is>
          <t>社会保険・雇用保険</t>
        </is>
      </c>
      <c r="L34" s="20" t="inlineStr">
        <is>
          <t>人事労務／年金事務所、ハローワーク、健康保険組合</t>
        </is>
      </c>
    </row>
    <row r="35" ht="26.25" customHeight="1">
      <c r="A35" s="18" t="inlineStr">
        <is>
          <t>02-01-06</t>
        </is>
      </c>
      <c r="B35" s="19" t="n"/>
      <c r="C35" s="19" t="n"/>
      <c r="D35" s="19" t="n"/>
      <c r="E35" s="19" t="inlineStr">
        <is>
          <t>●</t>
        </is>
      </c>
      <c r="F35" s="20" t="inlineStr">
        <is>
          <t>給与・勤怠の初期設定（支給項目・通勤手当・勤務形態）</t>
        </is>
      </c>
      <c r="G35" s="20" t="n"/>
      <c r="H35" s="20" t="n"/>
      <c r="I35" s="21" t="inlineStr">
        <is>
          <t>雇用契約、従業員マスタ、入社書類</t>
        </is>
      </c>
      <c r="J35" s="22" t="inlineStr">
        <is>
          <t>従業員マスタ、勤務予定・勤怠記録</t>
        </is>
      </c>
      <c r="K35" s="23" t="inlineStr">
        <is>
          <t>労基法</t>
        </is>
      </c>
      <c r="L35" s="20" t="inlineStr">
        <is>
          <t>人事労務／—</t>
        </is>
      </c>
    </row>
    <row r="36" ht="26.25" customHeight="1">
      <c r="A36" s="14" t="inlineStr">
        <is>
          <t>02-02</t>
        </is>
      </c>
      <c r="B36" s="15" t="n"/>
      <c r="C36" s="15" t="n"/>
      <c r="D36" s="15" t="inlineStr">
        <is>
          <t>●</t>
        </is>
      </c>
      <c r="E36" s="15" t="n"/>
      <c r="F36" s="16" t="inlineStr">
        <is>
          <t>受入れ準備</t>
        </is>
      </c>
      <c r="G36" s="17" t="inlineStr">
        <is>
          <t>配属先・貸与物・アカウントを整え、雇入時の健康診断と安全衛生教育を行う</t>
        </is>
      </c>
      <c r="H36" s="17" t="n"/>
      <c r="I36" s="17" t="n"/>
      <c r="J36" s="17" t="n"/>
      <c r="K36" s="14" t="n"/>
      <c r="L36" s="17" t="n"/>
    </row>
    <row r="37" ht="26.25" customHeight="1">
      <c r="A37" s="18" t="inlineStr">
        <is>
          <t>02-02-01</t>
        </is>
      </c>
      <c r="B37" s="19" t="n"/>
      <c r="C37" s="19" t="n"/>
      <c r="D37" s="19" t="n"/>
      <c r="E37" s="19" t="inlineStr">
        <is>
          <t>●</t>
        </is>
      </c>
      <c r="F37" s="20" t="inlineStr">
        <is>
          <t>配属先の決定・受入れ準備</t>
        </is>
      </c>
      <c r="G37" s="20" t="n"/>
      <c r="H37" s="20" t="n"/>
      <c r="I37" s="21" t="inlineStr">
        <is>
          <t>要員計画、選考記録</t>
        </is>
      </c>
      <c r="J37" s="22" t="inlineStr">
        <is>
          <t>異動・発令履歴、オンボーディング計画</t>
        </is>
      </c>
      <c r="K37" s="23" t="inlineStr">
        <is>
          <t>なし</t>
        </is>
      </c>
      <c r="L37" s="20" t="inlineStr">
        <is>
          <t>人事・配属部門／—</t>
        </is>
      </c>
    </row>
    <row r="38" ht="26.25" customHeight="1">
      <c r="A38" s="18" t="inlineStr">
        <is>
          <t>02-02-02</t>
        </is>
      </c>
      <c r="B38" s="19" t="n"/>
      <c r="C38" s="19" t="n"/>
      <c r="D38" s="19" t="n"/>
      <c r="E38" s="19" t="inlineStr">
        <is>
          <t>●</t>
        </is>
      </c>
      <c r="F38" s="20" t="inlineStr">
        <is>
          <t>PC・社員証などの貸与とアカウントの発行</t>
        </is>
      </c>
      <c r="G38" s="20" t="n"/>
      <c r="H38" s="20" t="n"/>
      <c r="I38" s="21" t="inlineStr">
        <is>
          <t>従業員マスタ</t>
        </is>
      </c>
      <c r="J38" s="22" t="inlineStr">
        <is>
          <t>貸与物・アカウント記録</t>
        </is>
      </c>
      <c r="K38" s="23" t="inlineStr">
        <is>
          <t>なし</t>
        </is>
      </c>
      <c r="L38" s="20" t="inlineStr">
        <is>
          <t>人事・情報システム／—</t>
        </is>
      </c>
    </row>
    <row r="39" ht="26.25" customHeight="1">
      <c r="A39" s="18" t="inlineStr">
        <is>
          <t>02-02-03</t>
        </is>
      </c>
      <c r="B39" s="19" t="n"/>
      <c r="C39" s="19" t="n"/>
      <c r="D39" s="19" t="n"/>
      <c r="E39" s="19" t="inlineStr">
        <is>
          <t>●</t>
        </is>
      </c>
      <c r="F39" s="20" t="inlineStr">
        <is>
          <t>★雇入時の健康診断</t>
        </is>
      </c>
      <c r="G39" s="20" t="n"/>
      <c r="H39" s="20" t="n"/>
      <c r="I39" s="21" t="inlineStr">
        <is>
          <t>従業員マスタ</t>
        </is>
      </c>
      <c r="J39" s="22" t="inlineStr">
        <is>
          <t>健康診断・面接指導記録</t>
        </is>
      </c>
      <c r="K39" s="23" t="inlineStr">
        <is>
          <t>安衛法</t>
        </is>
      </c>
      <c r="L39" s="20" t="inlineStr">
        <is>
          <t>人事・産業医／健診機関</t>
        </is>
      </c>
    </row>
    <row r="40" ht="26.25" customHeight="1">
      <c r="A40" s="18" t="inlineStr">
        <is>
          <t>02-02-04</t>
        </is>
      </c>
      <c r="B40" s="19" t="n"/>
      <c r="C40" s="19" t="n"/>
      <c r="D40" s="19" t="n"/>
      <c r="E40" s="19" t="inlineStr">
        <is>
          <t>●</t>
        </is>
      </c>
      <c r="F40" s="20" t="inlineStr">
        <is>
          <t>★雇入れ時の安全衛生教育</t>
        </is>
      </c>
      <c r="G40" s="20" t="n"/>
      <c r="H40" s="20" t="n"/>
      <c r="I40" s="21" t="inlineStr">
        <is>
          <t>育成体系・研修カタログ</t>
        </is>
      </c>
      <c r="J40" s="22" t="inlineStr">
        <is>
          <t>受講記録</t>
        </is>
      </c>
      <c r="K40" s="23" t="inlineStr">
        <is>
          <t>安衛法</t>
        </is>
      </c>
      <c r="L40" s="20" t="inlineStr">
        <is>
          <t>人事・配属部門／—</t>
        </is>
      </c>
    </row>
    <row r="41" ht="26.25" customHeight="1">
      <c r="A41" s="14" t="inlineStr">
        <is>
          <t>02-03</t>
        </is>
      </c>
      <c r="B41" s="15" t="n"/>
      <c r="C41" s="15" t="n"/>
      <c r="D41" s="15" t="inlineStr">
        <is>
          <t>●</t>
        </is>
      </c>
      <c r="E41" s="15" t="n"/>
      <c r="F41" s="16" t="inlineStr">
        <is>
          <t>オンボーディング・定着</t>
        </is>
      </c>
      <c r="G41" s="17" t="inlineStr">
        <is>
          <t>入社時研修とメンターの支援で早期に立ち上げ、試用期間の評価で本採用を決める</t>
        </is>
      </c>
      <c r="H41" s="17" t="n"/>
      <c r="I41" s="17" t="n"/>
      <c r="J41" s="17" t="n"/>
      <c r="K41" s="14" t="n"/>
      <c r="L41" s="17" t="n"/>
    </row>
    <row r="42" ht="26.25" customHeight="1">
      <c r="A42" s="18" t="inlineStr">
        <is>
          <t>02-03-01</t>
        </is>
      </c>
      <c r="B42" s="19" t="n"/>
      <c r="C42" s="19" t="n"/>
      <c r="D42" s="19" t="n"/>
      <c r="E42" s="19" t="inlineStr">
        <is>
          <t>●</t>
        </is>
      </c>
      <c r="F42" s="20" t="inlineStr">
        <is>
          <t>入社時研修（会社理解・就業規則・コンプライアンス・情報セキュリティ）</t>
        </is>
      </c>
      <c r="G42" s="20" t="n"/>
      <c r="H42" s="20" t="n"/>
      <c r="I42" s="21" t="inlineStr">
        <is>
          <t>育成体系・研修カタログ、就業規則・人事規程</t>
        </is>
      </c>
      <c r="J42" s="22" t="inlineStr">
        <is>
          <t>受講記録</t>
        </is>
      </c>
      <c r="K42" s="23" t="inlineStr">
        <is>
          <t>なし</t>
        </is>
      </c>
      <c r="L42" s="20" t="inlineStr">
        <is>
          <t>人事・研修担当／—</t>
        </is>
      </c>
    </row>
    <row r="43" ht="26.25" customHeight="1">
      <c r="A43" s="18" t="inlineStr">
        <is>
          <t>02-03-02</t>
        </is>
      </c>
      <c r="B43" s="19" t="n"/>
      <c r="C43" s="19" t="n"/>
      <c r="D43" s="19" t="n"/>
      <c r="E43" s="19" t="inlineStr">
        <is>
          <t>●</t>
        </is>
      </c>
      <c r="F43" s="20" t="inlineStr">
        <is>
          <t>★新卒入社者の集合研修とOJT体制の整備</t>
        </is>
      </c>
      <c r="G43" s="20" t="n"/>
      <c r="H43" s="20" t="n"/>
      <c r="I43" s="21" t="inlineStr">
        <is>
          <t>育成体系・研修カタログ</t>
        </is>
      </c>
      <c r="J43" s="22" t="inlineStr">
        <is>
          <t>受講記録、オンボーディング計画</t>
        </is>
      </c>
      <c r="K43" s="23" t="inlineStr">
        <is>
          <t>なし</t>
        </is>
      </c>
      <c r="L43" s="20" t="inlineStr">
        <is>
          <t>人事・配属部門／研修会社</t>
        </is>
      </c>
    </row>
    <row r="44" ht="26.25" customHeight="1">
      <c r="A44" s="18" t="inlineStr">
        <is>
          <t>02-03-03</t>
        </is>
      </c>
      <c r="B44" s="19" t="n"/>
      <c r="C44" s="19" t="n"/>
      <c r="D44" s="19" t="n"/>
      <c r="E44" s="19" t="inlineStr">
        <is>
          <t>●</t>
        </is>
      </c>
      <c r="F44" s="20" t="inlineStr">
        <is>
          <t>オンボーディング計画の作成とメンター・バディの設定</t>
        </is>
      </c>
      <c r="G44" s="20" t="n"/>
      <c r="H44" s="20" t="n"/>
      <c r="I44" s="21" t="inlineStr">
        <is>
          <t>従業員マスタ、職務・ポジション</t>
        </is>
      </c>
      <c r="J44" s="22" t="inlineStr">
        <is>
          <t>オンボーディング計画</t>
        </is>
      </c>
      <c r="K44" s="23" t="inlineStr">
        <is>
          <t>なし</t>
        </is>
      </c>
      <c r="L44" s="20" t="inlineStr">
        <is>
          <t>配属部門・人事／—</t>
        </is>
      </c>
    </row>
    <row r="45" ht="26.25" customHeight="1">
      <c r="A45" s="18" t="inlineStr">
        <is>
          <t>02-03-04</t>
        </is>
      </c>
      <c r="B45" s="19" t="n"/>
      <c r="C45" s="19" t="n"/>
      <c r="D45" s="19" t="n"/>
      <c r="E45" s="19" t="inlineStr">
        <is>
          <t>●</t>
        </is>
      </c>
      <c r="F45" s="20" t="inlineStr">
        <is>
          <t>定着フォロー（入社後の1on1・入社後サーベイ）</t>
        </is>
      </c>
      <c r="G45" s="20" t="n"/>
      <c r="H45" s="20" t="n"/>
      <c r="I45" s="21" t="inlineStr">
        <is>
          <t>オンボーディング計画</t>
        </is>
      </c>
      <c r="J45" s="22" t="inlineStr">
        <is>
          <t>オンボーディング計画、エンゲージメント調査結果</t>
        </is>
      </c>
      <c r="K45" s="23" t="inlineStr">
        <is>
          <t>なし</t>
        </is>
      </c>
      <c r="L45" s="20" t="inlineStr">
        <is>
          <t>上司・メンター・人事／—</t>
        </is>
      </c>
    </row>
    <row r="46" ht="26.25" customHeight="1">
      <c r="A46" s="18" t="inlineStr">
        <is>
          <t>02-03-05</t>
        </is>
      </c>
      <c r="B46" s="19" t="n"/>
      <c r="C46" s="19" t="n"/>
      <c r="D46" s="19" t="n"/>
      <c r="E46" s="19" t="inlineStr">
        <is>
          <t>●</t>
        </is>
      </c>
      <c r="F46" s="20" t="inlineStr">
        <is>
          <t>試用期間の評価・本採用の判定</t>
        </is>
      </c>
      <c r="G46" s="20" t="n"/>
      <c r="H46" s="20" t="n"/>
      <c r="I46" s="21" t="inlineStr">
        <is>
          <t>オンボーディング計画、目標</t>
        </is>
      </c>
      <c r="J46" s="22" t="inlineStr">
        <is>
          <t>人事評価結果、異動・発令履歴</t>
        </is>
      </c>
      <c r="K46" s="23" t="inlineStr">
        <is>
          <t>労基法・労働契約法</t>
        </is>
      </c>
      <c r="L46" s="20" t="inlineStr">
        <is>
          <t>上司・人事／—</t>
        </is>
      </c>
    </row>
    <row r="47" ht="26.25" customHeight="1">
      <c r="A47" s="10" t="inlineStr">
        <is>
          <t>03</t>
        </is>
      </c>
      <c r="B47" s="11" t="n"/>
      <c r="C47" s="11" t="inlineStr">
        <is>
          <t>●</t>
        </is>
      </c>
      <c r="D47" s="11" t="n"/>
      <c r="E47" s="11" t="n"/>
      <c r="F47" s="12" t="inlineStr">
        <is>
          <t>人材育成・能力開発</t>
        </is>
      </c>
      <c r="G47" s="13" t="inlineStr">
        <is>
          <t>求める人材像に向けて育成を計画し、研修・学習とスキル・資格の習得、キャリア開発を進める段階</t>
        </is>
      </c>
      <c r="H47" s="13" t="inlineStr">
        <is>
          <t>必要な能力の習得（スキル・資格の認定）</t>
        </is>
      </c>
      <c r="I47" s="13" t="n"/>
      <c r="J47" s="13" t="n"/>
      <c r="K47" s="10" t="n"/>
      <c r="L47" s="13" t="n"/>
    </row>
    <row r="48" ht="26.25" customHeight="1">
      <c r="A48" s="14" t="inlineStr">
        <is>
          <t>03-01</t>
        </is>
      </c>
      <c r="B48" s="15" t="n"/>
      <c r="C48" s="15" t="n"/>
      <c r="D48" s="15" t="inlineStr">
        <is>
          <t>●</t>
        </is>
      </c>
      <c r="E48" s="15" t="n"/>
      <c r="F48" s="16" t="inlineStr">
        <is>
          <t>育成計画</t>
        </is>
      </c>
      <c r="G48" s="17" t="inlineStr">
        <is>
          <t>求める人材像とスキル体系を定め、全社と個人の育成計画を立てる</t>
        </is>
      </c>
      <c r="H48" s="17" t="n"/>
      <c r="I48" s="17" t="n"/>
      <c r="J48" s="17" t="n"/>
      <c r="K48" s="14" t="n"/>
      <c r="L48" s="17" t="n"/>
    </row>
    <row r="49" ht="26.25" customHeight="1">
      <c r="A49" s="18" t="inlineStr">
        <is>
          <t>03-01-01</t>
        </is>
      </c>
      <c r="B49" s="19" t="n"/>
      <c r="C49" s="19" t="n"/>
      <c r="D49" s="19" t="n"/>
      <c r="E49" s="19" t="inlineStr">
        <is>
          <t>●</t>
        </is>
      </c>
      <c r="F49" s="20" t="inlineStr">
        <is>
          <t>求める人材像・スキル体系の定義</t>
        </is>
      </c>
      <c r="G49" s="20" t="n"/>
      <c r="H49" s="20" t="n"/>
      <c r="I49" s="21" t="inlineStr">
        <is>
          <t>人事戦略・人的資本KPI、職務・ポジション</t>
        </is>
      </c>
      <c r="J49" s="22" t="inlineStr">
        <is>
          <t>スキル・資格情報</t>
        </is>
      </c>
      <c r="K49" s="23" t="inlineStr">
        <is>
          <t>なし</t>
        </is>
      </c>
      <c r="L49" s="20" t="inlineStr">
        <is>
          <t>人事・事業部門／—</t>
        </is>
      </c>
    </row>
    <row r="50" ht="26.25" customHeight="1">
      <c r="A50" s="18" t="inlineStr">
        <is>
          <t>03-01-02</t>
        </is>
      </c>
      <c r="B50" s="19" t="n"/>
      <c r="C50" s="19" t="n"/>
      <c r="D50" s="19" t="n"/>
      <c r="E50" s="19" t="inlineStr">
        <is>
          <t>●</t>
        </is>
      </c>
      <c r="F50" s="20" t="inlineStr">
        <is>
          <t>育成体系・年間研修計画の策定</t>
        </is>
      </c>
      <c r="G50" s="20" t="n"/>
      <c r="H50" s="20" t="n"/>
      <c r="I50" s="21" t="inlineStr">
        <is>
          <t>人事戦略・人的資本KPI、スキル・資格情報</t>
        </is>
      </c>
      <c r="J50" s="22" t="inlineStr">
        <is>
          <t>育成体系・研修カタログ</t>
        </is>
      </c>
      <c r="K50" s="23" t="inlineStr">
        <is>
          <t>なし</t>
        </is>
      </c>
      <c r="L50" s="20" t="inlineStr">
        <is>
          <t>人事・研修担当／—</t>
        </is>
      </c>
    </row>
    <row r="51" ht="26.25" customHeight="1">
      <c r="A51" s="18" t="inlineStr">
        <is>
          <t>03-01-03</t>
        </is>
      </c>
      <c r="B51" s="19" t="n"/>
      <c r="C51" s="19" t="n"/>
      <c r="D51" s="19" t="n"/>
      <c r="E51" s="19" t="inlineStr">
        <is>
          <t>●</t>
        </is>
      </c>
      <c r="F51" s="20" t="inlineStr">
        <is>
          <t>個人別育成計画の作成（上司との合意）</t>
        </is>
      </c>
      <c r="G51" s="20" t="n"/>
      <c r="H51" s="20" t="n"/>
      <c r="I51" s="21" t="inlineStr">
        <is>
          <t>目標、人事評価結果、スキル・資格情報</t>
        </is>
      </c>
      <c r="J51" s="22" t="inlineStr">
        <is>
          <t>キャリア面談記録</t>
        </is>
      </c>
      <c r="K51" s="23" t="inlineStr">
        <is>
          <t>なし</t>
        </is>
      </c>
      <c r="L51" s="20" t="inlineStr">
        <is>
          <t>本人・上司／—</t>
        </is>
      </c>
    </row>
    <row r="52" ht="26.25" customHeight="1">
      <c r="A52" s="14" t="inlineStr">
        <is>
          <t>03-02</t>
        </is>
      </c>
      <c r="B52" s="15" t="n"/>
      <c r="C52" s="15" t="n"/>
      <c r="D52" s="15" t="inlineStr">
        <is>
          <t>●</t>
        </is>
      </c>
      <c r="E52" s="15" t="n"/>
      <c r="F52" s="16" t="inlineStr">
        <is>
          <t>研修・学習</t>
        </is>
      </c>
      <c r="G52" s="17" t="inlineStr">
        <is>
          <t>階層別・職種別・法定の研修と自己啓発で、知識とスキルを身につける</t>
        </is>
      </c>
      <c r="H52" s="17" t="n"/>
      <c r="I52" s="17" t="n"/>
      <c r="J52" s="17" t="n"/>
      <c r="K52" s="14" t="n"/>
      <c r="L52" s="17" t="n"/>
    </row>
    <row r="53" ht="26.25" customHeight="1">
      <c r="A53" s="18" t="inlineStr">
        <is>
          <t>03-02-01</t>
        </is>
      </c>
      <c r="B53" s="19" t="n"/>
      <c r="C53" s="19" t="n"/>
      <c r="D53" s="19" t="n"/>
      <c r="E53" s="19" t="inlineStr">
        <is>
          <t>●</t>
        </is>
      </c>
      <c r="F53" s="20" t="inlineStr">
        <is>
          <t>★階層別研修（若手・中堅・新任管理職・昇格者）</t>
        </is>
      </c>
      <c r="G53" s="20" t="n"/>
      <c r="H53" s="20" t="n"/>
      <c r="I53" s="21" t="inlineStr">
        <is>
          <t>育成体系・研修カタログ、異動・発令履歴</t>
        </is>
      </c>
      <c r="J53" s="22" t="inlineStr">
        <is>
          <t>受講記録</t>
        </is>
      </c>
      <c r="K53" s="23" t="inlineStr">
        <is>
          <t>なし</t>
        </is>
      </c>
      <c r="L53" s="20" t="inlineStr">
        <is>
          <t>人事・研修担当／研修会社</t>
        </is>
      </c>
    </row>
    <row r="54" ht="26.25" customHeight="1">
      <c r="A54" s="18" t="inlineStr">
        <is>
          <t>03-02-02</t>
        </is>
      </c>
      <c r="B54" s="19" t="n"/>
      <c r="C54" s="19" t="n"/>
      <c r="D54" s="19" t="n"/>
      <c r="E54" s="19" t="inlineStr">
        <is>
          <t>●</t>
        </is>
      </c>
      <c r="F54" s="20" t="inlineStr">
        <is>
          <t>職種別・専門研修とOJT</t>
        </is>
      </c>
      <c r="G54" s="20" t="n"/>
      <c r="H54" s="20" t="n"/>
      <c r="I54" s="21" t="inlineStr">
        <is>
          <t>育成体系・研修カタログ</t>
        </is>
      </c>
      <c r="J54" s="22" t="inlineStr">
        <is>
          <t>受講記録</t>
        </is>
      </c>
      <c r="K54" s="23" t="inlineStr">
        <is>
          <t>なし</t>
        </is>
      </c>
      <c r="L54" s="20" t="inlineStr">
        <is>
          <t>事業部門・研修担当／研修会社</t>
        </is>
      </c>
    </row>
    <row r="55" ht="26.25" customHeight="1">
      <c r="A55" s="18" t="inlineStr">
        <is>
          <t>03-02-03</t>
        </is>
      </c>
      <c r="B55" s="19" t="n"/>
      <c r="C55" s="19" t="n"/>
      <c r="D55" s="19" t="n"/>
      <c r="E55" s="19" t="inlineStr">
        <is>
          <t>●</t>
        </is>
      </c>
      <c r="F55" s="20" t="inlineStr">
        <is>
          <t>コンプライアンス・ハラスメント防止・情報セキュリティ研修</t>
        </is>
      </c>
      <c r="G55" s="20" t="n"/>
      <c r="H55" s="20" t="n"/>
      <c r="I55" s="21" t="inlineStr">
        <is>
          <t>就業規則・人事規程、育成体系・研修カタログ</t>
        </is>
      </c>
      <c r="J55" s="22" t="inlineStr">
        <is>
          <t>受講記録</t>
        </is>
      </c>
      <c r="K55" s="23" t="inlineStr">
        <is>
          <t>労働施策総合推進法等</t>
        </is>
      </c>
      <c r="L55" s="20" t="inlineStr">
        <is>
          <t>人事・法務・情報システム／—</t>
        </is>
      </c>
    </row>
    <row r="56" ht="26.25" customHeight="1">
      <c r="A56" s="18" t="inlineStr">
        <is>
          <t>03-02-04</t>
        </is>
      </c>
      <c r="B56" s="19" t="n"/>
      <c r="C56" s="19" t="n"/>
      <c r="D56" s="19" t="n"/>
      <c r="E56" s="19" t="inlineStr">
        <is>
          <t>●</t>
        </is>
      </c>
      <c r="F56" s="20" t="inlineStr">
        <is>
          <t>★作業内容の変更時・職長などの安全衛生教育</t>
        </is>
      </c>
      <c r="G56" s="20" t="n"/>
      <c r="H56" s="20" t="n"/>
      <c r="I56" s="21" t="inlineStr">
        <is>
          <t>育成体系・研修カタログ、異動・発令履歴</t>
        </is>
      </c>
      <c r="J56" s="22" t="inlineStr">
        <is>
          <t>受講記録</t>
        </is>
      </c>
      <c r="K56" s="23" t="inlineStr">
        <is>
          <t>安衛法</t>
        </is>
      </c>
      <c r="L56" s="20" t="inlineStr">
        <is>
          <t>安全衛生担当・事業部門／—</t>
        </is>
      </c>
    </row>
    <row r="57" ht="26.25" customHeight="1">
      <c r="A57" s="18" t="inlineStr">
        <is>
          <t>03-02-05</t>
        </is>
      </c>
      <c r="B57" s="19" t="n"/>
      <c r="C57" s="19" t="n"/>
      <c r="D57" s="19" t="n"/>
      <c r="E57" s="19" t="inlineStr">
        <is>
          <t>●</t>
        </is>
      </c>
      <c r="F57" s="20" t="inlineStr">
        <is>
          <t>自己啓発・eラーニングの提供</t>
        </is>
      </c>
      <c r="G57" s="20" t="n"/>
      <c r="H57" s="20" t="n"/>
      <c r="I57" s="21" t="inlineStr">
        <is>
          <t>育成体系・研修カタログ</t>
        </is>
      </c>
      <c r="J57" s="22" t="inlineStr">
        <is>
          <t>受講記録</t>
        </is>
      </c>
      <c r="K57" s="23" t="inlineStr">
        <is>
          <t>なし</t>
        </is>
      </c>
      <c r="L57" s="20" t="inlineStr">
        <is>
          <t>本人・人事／教育サービス事業者</t>
        </is>
      </c>
    </row>
    <row r="58" ht="26.25" customHeight="1">
      <c r="A58" s="18" t="inlineStr">
        <is>
          <t>03-02-06</t>
        </is>
      </c>
      <c r="B58" s="19" t="n"/>
      <c r="C58" s="19" t="n"/>
      <c r="D58" s="19" t="n"/>
      <c r="E58" s="19" t="inlineStr">
        <is>
          <t>●</t>
        </is>
      </c>
      <c r="F58" s="20" t="inlineStr">
        <is>
          <t>研修効果の測定・改善</t>
        </is>
      </c>
      <c r="G58" s="20" t="n"/>
      <c r="H58" s="20" t="n"/>
      <c r="I58" s="21" t="inlineStr">
        <is>
          <t>受講記録、人事評価結果</t>
        </is>
      </c>
      <c r="J58" s="22" t="inlineStr">
        <is>
          <t>育成体系・研修カタログ</t>
        </is>
      </c>
      <c r="K58" s="23" t="inlineStr">
        <is>
          <t>なし</t>
        </is>
      </c>
      <c r="L58" s="20" t="inlineStr">
        <is>
          <t>人事・研修担当／—</t>
        </is>
      </c>
    </row>
    <row r="59" ht="26.25" customHeight="1">
      <c r="A59" s="14" t="inlineStr">
        <is>
          <t>03-03</t>
        </is>
      </c>
      <c r="B59" s="15" t="n"/>
      <c r="C59" s="15" t="n"/>
      <c r="D59" s="15" t="inlineStr">
        <is>
          <t>●</t>
        </is>
      </c>
      <c r="E59" s="15" t="n"/>
      <c r="F59" s="16" t="inlineStr">
        <is>
          <t>スキル・資格の習得</t>
        </is>
      </c>
      <c r="G59" s="17" t="inlineStr">
        <is>
          <t>スキルを可視化し、資格の取得とリスキリングを進める</t>
        </is>
      </c>
      <c r="H59" s="17" t="n"/>
      <c r="I59" s="17" t="n"/>
      <c r="J59" s="17" t="n"/>
      <c r="K59" s="14" t="n"/>
      <c r="L59" s="17" t="n"/>
    </row>
    <row r="60" ht="26.25" customHeight="1">
      <c r="A60" s="18" t="inlineStr">
        <is>
          <t>03-03-01</t>
        </is>
      </c>
      <c r="B60" s="19" t="n"/>
      <c r="C60" s="19" t="n"/>
      <c r="D60" s="19" t="n"/>
      <c r="E60" s="19" t="inlineStr">
        <is>
          <t>●</t>
        </is>
      </c>
      <c r="F60" s="20" t="inlineStr">
        <is>
          <t>スキルの自己申告・上司評価による可視化</t>
        </is>
      </c>
      <c r="G60" s="20" t="n"/>
      <c r="H60" s="20" t="n"/>
      <c r="I60" s="21" t="inlineStr">
        <is>
          <t>スキル・資格情報</t>
        </is>
      </c>
      <c r="J60" s="22" t="inlineStr">
        <is>
          <t>スキル・資格情報</t>
        </is>
      </c>
      <c r="K60" s="23" t="inlineStr">
        <is>
          <t>なし</t>
        </is>
      </c>
      <c r="L60" s="20" t="inlineStr">
        <is>
          <t>本人・上司／—</t>
        </is>
      </c>
    </row>
    <row r="61" ht="26.25" customHeight="1">
      <c r="A61" s="18" t="inlineStr">
        <is>
          <t>03-03-02</t>
        </is>
      </c>
      <c r="B61" s="19" t="n"/>
      <c r="C61" s="19" t="n"/>
      <c r="D61" s="19" t="n"/>
      <c r="E61" s="19" t="inlineStr">
        <is>
          <t>●</t>
        </is>
      </c>
      <c r="F61" s="20" t="inlineStr">
        <is>
          <t>資格取得の支援と保有資格・法定の選任者の登録</t>
        </is>
      </c>
      <c r="G61" s="20" t="n"/>
      <c r="H61" s="20" t="n"/>
      <c r="I61" s="21" t="inlineStr">
        <is>
          <t>スキル・資格情報</t>
        </is>
      </c>
      <c r="J61" s="22" t="inlineStr">
        <is>
          <t>スキル・資格情報</t>
        </is>
      </c>
      <c r="K61" s="23" t="inlineStr">
        <is>
          <t>各業法</t>
        </is>
      </c>
      <c r="L61" s="20" t="inlineStr">
        <is>
          <t>本人・人事／資格試験機関</t>
        </is>
      </c>
    </row>
    <row r="62" ht="26.25" customHeight="1">
      <c r="A62" s="18" t="inlineStr">
        <is>
          <t>03-03-03</t>
        </is>
      </c>
      <c r="B62" s="19" t="n"/>
      <c r="C62" s="19" t="n"/>
      <c r="D62" s="19" t="n"/>
      <c r="E62" s="19" t="inlineStr">
        <is>
          <t>●</t>
        </is>
      </c>
      <c r="F62" s="20" t="inlineStr">
        <is>
          <t>リスキリング（デジタル人材育成・職種転換）の実施</t>
        </is>
      </c>
      <c r="G62" s="20" t="n"/>
      <c r="H62" s="20" t="n"/>
      <c r="I62" s="21" t="inlineStr">
        <is>
          <t>スキル・資格情報、要員計画</t>
        </is>
      </c>
      <c r="J62" s="22" t="inlineStr">
        <is>
          <t>受講記録、スキル・資格情報</t>
        </is>
      </c>
      <c r="K62" s="23" t="inlineStr">
        <is>
          <t>なし</t>
        </is>
      </c>
      <c r="L62" s="20" t="inlineStr">
        <is>
          <t>人事・事業部門／教育サービス事業者</t>
        </is>
      </c>
    </row>
    <row r="63" ht="26.25" customHeight="1">
      <c r="A63" s="14" t="inlineStr">
        <is>
          <t>03-04</t>
        </is>
      </c>
      <c r="B63" s="15" t="n"/>
      <c r="C63" s="15" t="n"/>
      <c r="D63" s="15" t="inlineStr">
        <is>
          <t>●</t>
        </is>
      </c>
      <c r="E63" s="15" t="n"/>
      <c r="F63" s="16" t="inlineStr">
        <is>
          <t>キャリア開発</t>
        </is>
      </c>
      <c r="G63" s="17" t="inlineStr">
        <is>
          <t>面談と研修で本人のキャリアの希望を明らかにし、自律的な成長を支援する</t>
        </is>
      </c>
      <c r="H63" s="17" t="n"/>
      <c r="I63" s="17" t="n"/>
      <c r="J63" s="17" t="n"/>
      <c r="K63" s="14" t="n"/>
      <c r="L63" s="17" t="n"/>
    </row>
    <row r="64" ht="26.25" customHeight="1">
      <c r="A64" s="18" t="inlineStr">
        <is>
          <t>03-04-01</t>
        </is>
      </c>
      <c r="B64" s="19" t="n"/>
      <c r="C64" s="19" t="n"/>
      <c r="D64" s="19" t="n"/>
      <c r="E64" s="19" t="inlineStr">
        <is>
          <t>●</t>
        </is>
      </c>
      <c r="F64" s="20" t="inlineStr">
        <is>
          <t>★キャリア面談・自己申告</t>
        </is>
      </c>
      <c r="G64" s="20" t="n"/>
      <c r="H64" s="20" t="n"/>
      <c r="I64" s="21" t="inlineStr">
        <is>
          <t>従業員マスタ、スキル・資格情報、人事評価結果</t>
        </is>
      </c>
      <c r="J64" s="22" t="inlineStr">
        <is>
          <t>キャリア面談記録</t>
        </is>
      </c>
      <c r="K64" s="23" t="inlineStr">
        <is>
          <t>なし</t>
        </is>
      </c>
      <c r="L64" s="20" t="inlineStr">
        <is>
          <t>本人・上司・人事／—</t>
        </is>
      </c>
    </row>
    <row r="65" ht="26.25" customHeight="1">
      <c r="A65" s="18" t="inlineStr">
        <is>
          <t>03-04-02</t>
        </is>
      </c>
      <c r="B65" s="19" t="n"/>
      <c r="C65" s="19" t="n"/>
      <c r="D65" s="19" t="n"/>
      <c r="E65" s="19" t="inlineStr">
        <is>
          <t>●</t>
        </is>
      </c>
      <c r="F65" s="20" t="inlineStr">
        <is>
          <t>キャリア研修（年代別・節目の研修）</t>
        </is>
      </c>
      <c r="G65" s="20" t="n"/>
      <c r="H65" s="20" t="n"/>
      <c r="I65" s="21" t="inlineStr">
        <is>
          <t>育成体系・研修カタログ</t>
        </is>
      </c>
      <c r="J65" s="22" t="inlineStr">
        <is>
          <t>受講記録、キャリア面談記録</t>
        </is>
      </c>
      <c r="K65" s="23" t="inlineStr">
        <is>
          <t>なし</t>
        </is>
      </c>
      <c r="L65" s="20" t="inlineStr">
        <is>
          <t>人事／キャリアコンサルタント</t>
        </is>
      </c>
    </row>
    <row r="66" ht="26.25" customHeight="1">
      <c r="A66" s="10" t="inlineStr">
        <is>
          <t>04</t>
        </is>
      </c>
      <c r="B66" s="11" t="n"/>
      <c r="C66" s="11" t="inlineStr">
        <is>
          <t>●</t>
        </is>
      </c>
      <c r="D66" s="11" t="n"/>
      <c r="E66" s="11" t="n"/>
      <c r="F66" s="12" t="inlineStr">
        <is>
          <t>評価・処遇</t>
        </is>
      </c>
      <c r="G66" s="13" t="inlineStr">
        <is>
          <t>目標と評価で成果に報い、給与・社会保険・福利厚生を提供し、労働時間・健康・職場環境を管理する段階（在籍中は毎年繰り返す）</t>
        </is>
      </c>
      <c r="H66" s="13" t="inlineStr">
        <is>
          <t>評価の確定・報酬の支払</t>
        </is>
      </c>
      <c r="I66" s="13" t="n"/>
      <c r="J66" s="13" t="n"/>
      <c r="K66" s="10" t="n"/>
      <c r="L66" s="13" t="n"/>
    </row>
    <row r="67" ht="26.25" customHeight="1">
      <c r="A67" s="14" t="inlineStr">
        <is>
          <t>04-01</t>
        </is>
      </c>
      <c r="B67" s="15" t="n"/>
      <c r="C67" s="15" t="n"/>
      <c r="D67" s="15" t="inlineStr">
        <is>
          <t>●</t>
        </is>
      </c>
      <c r="E67" s="15" t="n"/>
      <c r="F67" s="16" t="inlineStr">
        <is>
          <t>目標設定・評価</t>
        </is>
      </c>
      <c r="G67" s="17" t="inlineStr">
        <is>
          <t>期初に目標を合意し、期中に支援して、期末に評価・調整・フィードバックする</t>
        </is>
      </c>
      <c r="H67" s="17" t="n"/>
      <c r="I67" s="17" t="n"/>
      <c r="J67" s="17" t="n"/>
      <c r="K67" s="14" t="n"/>
      <c r="L67" s="17" t="n"/>
    </row>
    <row r="68" ht="26.25" customHeight="1">
      <c r="A68" s="18" t="inlineStr">
        <is>
          <t>04-01-01</t>
        </is>
      </c>
      <c r="B68" s="19" t="n"/>
      <c r="C68" s="19" t="n"/>
      <c r="D68" s="19" t="n"/>
      <c r="E68" s="19" t="inlineStr">
        <is>
          <t>●</t>
        </is>
      </c>
      <c r="F68" s="20" t="inlineStr">
        <is>
          <t>期初の目標設定（MBO／OKR）と上司との合意</t>
        </is>
      </c>
      <c r="G68" s="20" t="n"/>
      <c r="H68" s="20" t="n"/>
      <c r="I68" s="21" t="inlineStr">
        <is>
          <t>人事戦略・人的資本KPI、職務・ポジション、等級制度</t>
        </is>
      </c>
      <c r="J68" s="22" t="inlineStr">
        <is>
          <t>目標</t>
        </is>
      </c>
      <c r="K68" s="23" t="inlineStr">
        <is>
          <t>なし</t>
        </is>
      </c>
      <c r="L68" s="20" t="inlineStr">
        <is>
          <t>本人・上司／—</t>
        </is>
      </c>
    </row>
    <row r="69" ht="26.25" customHeight="1">
      <c r="A69" s="18" t="inlineStr">
        <is>
          <t>04-01-02</t>
        </is>
      </c>
      <c r="B69" s="19" t="n"/>
      <c r="C69" s="19" t="n"/>
      <c r="D69" s="19" t="n"/>
      <c r="E69" s="19" t="inlineStr">
        <is>
          <t>●</t>
        </is>
      </c>
      <c r="F69" s="20" t="inlineStr">
        <is>
          <t>期中の1on1・フィードバック</t>
        </is>
      </c>
      <c r="G69" s="20" t="n"/>
      <c r="H69" s="20" t="n"/>
      <c r="I69" s="21" t="inlineStr">
        <is>
          <t>目標</t>
        </is>
      </c>
      <c r="J69" s="22" t="inlineStr">
        <is>
          <t>目標</t>
        </is>
      </c>
      <c r="K69" s="23" t="inlineStr">
        <is>
          <t>なし</t>
        </is>
      </c>
      <c r="L69" s="20" t="inlineStr">
        <is>
          <t>本人・上司／—</t>
        </is>
      </c>
    </row>
    <row r="70" ht="26.25" customHeight="1">
      <c r="A70" s="18" t="inlineStr">
        <is>
          <t>04-01-03</t>
        </is>
      </c>
      <c r="B70" s="19" t="n"/>
      <c r="C70" s="19" t="n"/>
      <c r="D70" s="19" t="n"/>
      <c r="E70" s="19" t="inlineStr">
        <is>
          <t>●</t>
        </is>
      </c>
      <c r="F70" s="20" t="inlineStr">
        <is>
          <t>評価者研修の実施</t>
        </is>
      </c>
      <c r="G70" s="20" t="n"/>
      <c r="H70" s="20" t="n"/>
      <c r="I70" s="21" t="inlineStr">
        <is>
          <t>育成体系・研修カタログ、等級制度</t>
        </is>
      </c>
      <c r="J70" s="22" t="inlineStr">
        <is>
          <t>受講記録</t>
        </is>
      </c>
      <c r="K70" s="23" t="inlineStr">
        <is>
          <t>なし</t>
        </is>
      </c>
      <c r="L70" s="20" t="inlineStr">
        <is>
          <t>人事／—</t>
        </is>
      </c>
    </row>
    <row r="71" ht="26.25" customHeight="1">
      <c r="A71" s="18" t="inlineStr">
        <is>
          <t>04-01-04</t>
        </is>
      </c>
      <c r="B71" s="19" t="n"/>
      <c r="C71" s="19" t="n"/>
      <c r="D71" s="19" t="n"/>
      <c r="E71" s="19" t="inlineStr">
        <is>
          <t>●</t>
        </is>
      </c>
      <c r="F71" s="20" t="inlineStr">
        <is>
          <t>自己評価・一次／二次評価の実施</t>
        </is>
      </c>
      <c r="G71" s="20" t="n"/>
      <c r="H71" s="20" t="n"/>
      <c r="I71" s="21" t="inlineStr">
        <is>
          <t>目標、等級制度</t>
        </is>
      </c>
      <c r="J71" s="22" t="inlineStr">
        <is>
          <t>人事評価結果</t>
        </is>
      </c>
      <c r="K71" s="23" t="inlineStr">
        <is>
          <t>なし</t>
        </is>
      </c>
      <c r="L71" s="20" t="inlineStr">
        <is>
          <t>本人・上司・部門長／—</t>
        </is>
      </c>
    </row>
    <row r="72" ht="26.25" customHeight="1">
      <c r="A72" s="18" t="inlineStr">
        <is>
          <t>04-01-05</t>
        </is>
      </c>
      <c r="B72" s="19" t="n"/>
      <c r="C72" s="19" t="n"/>
      <c r="D72" s="19" t="n"/>
      <c r="E72" s="19" t="inlineStr">
        <is>
          <t>●</t>
        </is>
      </c>
      <c r="F72" s="20" t="inlineStr">
        <is>
          <t>評価調整会議（キャリブレーション）と評価の確定</t>
        </is>
      </c>
      <c r="G72" s="20" t="n"/>
      <c r="H72" s="20" t="n"/>
      <c r="I72" s="21" t="inlineStr">
        <is>
          <t>人事評価結果</t>
        </is>
      </c>
      <c r="J72" s="22" t="inlineStr">
        <is>
          <t>人事評価結果</t>
        </is>
      </c>
      <c r="K72" s="23" t="inlineStr">
        <is>
          <t>なし</t>
        </is>
      </c>
      <c r="L72" s="20" t="inlineStr">
        <is>
          <t>部門長・人事／—</t>
        </is>
      </c>
    </row>
    <row r="73" ht="26.25" customHeight="1">
      <c r="A73" s="18" t="inlineStr">
        <is>
          <t>04-01-06</t>
        </is>
      </c>
      <c r="B73" s="19" t="n"/>
      <c r="C73" s="19" t="n"/>
      <c r="D73" s="19" t="n"/>
      <c r="E73" s="19" t="inlineStr">
        <is>
          <t>●</t>
        </is>
      </c>
      <c r="F73" s="20" t="inlineStr">
        <is>
          <t>評価結果のフィードバック面談</t>
        </is>
      </c>
      <c r="G73" s="20" t="n"/>
      <c r="H73" s="20" t="n"/>
      <c r="I73" s="21" t="inlineStr">
        <is>
          <t>人事評価結果</t>
        </is>
      </c>
      <c r="J73" s="22" t="inlineStr">
        <is>
          <t>人事評価結果</t>
        </is>
      </c>
      <c r="K73" s="23" t="inlineStr">
        <is>
          <t>なし</t>
        </is>
      </c>
      <c r="L73" s="20" t="inlineStr">
        <is>
          <t>本人・上司／—</t>
        </is>
      </c>
    </row>
    <row r="74" ht="26.25" customHeight="1">
      <c r="A74" s="14" t="inlineStr">
        <is>
          <t>04-02</t>
        </is>
      </c>
      <c r="B74" s="15" t="n"/>
      <c r="C74" s="15" t="n"/>
      <c r="D74" s="15" t="inlineStr">
        <is>
          <t>●</t>
        </is>
      </c>
      <c r="E74" s="15" t="n"/>
      <c r="F74" s="16" t="inlineStr">
        <is>
          <t>報酬決定</t>
        </is>
      </c>
      <c r="G74" s="17" t="inlineStr">
        <is>
          <t>報酬制度を設計・点検し、評価と原資に基づいて昇給・賞与を決める</t>
        </is>
      </c>
      <c r="H74" s="17" t="n"/>
      <c r="I74" s="17" t="n"/>
      <c r="J74" s="17" t="n"/>
      <c r="K74" s="14" t="n"/>
      <c r="L74" s="17" t="n"/>
    </row>
    <row r="75" ht="26.25" customHeight="1">
      <c r="A75" s="18" t="inlineStr">
        <is>
          <t>04-02-01</t>
        </is>
      </c>
      <c r="B75" s="19" t="n"/>
      <c r="C75" s="19" t="n"/>
      <c r="D75" s="19" t="n"/>
      <c r="E75" s="19" t="inlineStr">
        <is>
          <t>●</t>
        </is>
      </c>
      <c r="F75" s="20" t="inlineStr">
        <is>
          <t>等級・報酬制度の設計・改定（同一労働同一賃金の点検を含む）</t>
        </is>
      </c>
      <c r="G75" s="20" t="n"/>
      <c r="H75" s="20" t="n"/>
      <c r="I75" s="21" t="inlineStr">
        <is>
          <t>等級制度、報酬市場データ、人事戦略・人的資本KPI</t>
        </is>
      </c>
      <c r="J75" s="22" t="inlineStr">
        <is>
          <t>報酬テーブル、等級制度</t>
        </is>
      </c>
      <c r="K75" s="23" t="inlineStr">
        <is>
          <t>パート有期法</t>
        </is>
      </c>
      <c r="L75" s="20" t="inlineStr">
        <is>
          <t>人事企画・経営／報酬コンサルタント</t>
        </is>
      </c>
    </row>
    <row r="76" ht="26.25" customHeight="1">
      <c r="A76" s="18" t="inlineStr">
        <is>
          <t>04-02-02</t>
        </is>
      </c>
      <c r="B76" s="19" t="n"/>
      <c r="C76" s="19" t="n"/>
      <c r="D76" s="19" t="n"/>
      <c r="E76" s="19" t="inlineStr">
        <is>
          <t>●</t>
        </is>
      </c>
      <c r="F76" s="20" t="inlineStr">
        <is>
          <t>★昇給（ベースアップ・定期昇給）の決定</t>
        </is>
      </c>
      <c r="G76" s="20" t="n"/>
      <c r="H76" s="20" t="n"/>
      <c r="I76" s="21" t="inlineStr">
        <is>
          <t>人事評価結果、報酬テーブル、人件費予算</t>
        </is>
      </c>
      <c r="J76" s="22" t="inlineStr">
        <is>
          <t>昇給・賞与決定</t>
        </is>
      </c>
      <c r="K76" s="23" t="inlineStr">
        <is>
          <t>なし</t>
        </is>
      </c>
      <c r="L76" s="20" t="inlineStr">
        <is>
          <t>人事・経営／労働組合</t>
        </is>
      </c>
    </row>
    <row r="77" ht="26.25" customHeight="1">
      <c r="A77" s="18" t="inlineStr">
        <is>
          <t>04-02-03</t>
        </is>
      </c>
      <c r="B77" s="19" t="n"/>
      <c r="C77" s="19" t="n"/>
      <c r="D77" s="19" t="n"/>
      <c r="E77" s="19" t="inlineStr">
        <is>
          <t>●</t>
        </is>
      </c>
      <c r="F77" s="20" t="inlineStr">
        <is>
          <t>★賞与（夏季・冬季）の決定</t>
        </is>
      </c>
      <c r="G77" s="20" t="n"/>
      <c r="H77" s="20" t="n"/>
      <c r="I77" s="21" t="inlineStr">
        <is>
          <t>人事評価結果、報酬テーブル、人件費予算</t>
        </is>
      </c>
      <c r="J77" s="22" t="inlineStr">
        <is>
          <t>昇給・賞与決定</t>
        </is>
      </c>
      <c r="K77" s="23" t="inlineStr">
        <is>
          <t>なし</t>
        </is>
      </c>
      <c r="L77" s="20" t="inlineStr">
        <is>
          <t>人事・経営／労働組合</t>
        </is>
      </c>
    </row>
    <row r="78" ht="26.25" customHeight="1">
      <c r="A78" s="18" t="inlineStr">
        <is>
          <t>04-02-04</t>
        </is>
      </c>
      <c r="B78" s="19" t="n"/>
      <c r="C78" s="19" t="n"/>
      <c r="D78" s="19" t="n"/>
      <c r="E78" s="19" t="inlineStr">
        <is>
          <t>●</t>
        </is>
      </c>
      <c r="F78" s="20" t="inlineStr">
        <is>
          <t>最低賃金・市場の報酬水準の点検</t>
        </is>
      </c>
      <c r="G78" s="20" t="n"/>
      <c r="H78" s="20" t="n"/>
      <c r="I78" s="21" t="inlineStr">
        <is>
          <t>報酬テーブル、報酬市場データ</t>
        </is>
      </c>
      <c r="J78" s="22" t="inlineStr">
        <is>
          <t>報酬テーブル</t>
        </is>
      </c>
      <c r="K78" s="23" t="inlineStr">
        <is>
          <t>最低賃金法</t>
        </is>
      </c>
      <c r="L78" s="20" t="inlineStr">
        <is>
          <t>人事企画／—</t>
        </is>
      </c>
    </row>
    <row r="79" ht="26.25" customHeight="1">
      <c r="A79" s="14" t="inlineStr">
        <is>
          <t>04-03</t>
        </is>
      </c>
      <c r="B79" s="15" t="n"/>
      <c r="C79" s="15" t="n"/>
      <c r="D79" s="15" t="inlineStr">
        <is>
          <t>●</t>
        </is>
      </c>
      <c r="E79" s="15" t="n"/>
      <c r="F79" s="16" t="inlineStr">
        <is>
          <t>勤怠・休暇管理</t>
        </is>
      </c>
      <c r="G79" s="17" t="inlineStr">
        <is>
          <t>労働時間を記録して上限を守り、休暇・休業を管理する</t>
        </is>
      </c>
      <c r="H79" s="17" t="n"/>
      <c r="I79" s="17" t="n"/>
      <c r="J79" s="17" t="n"/>
      <c r="K79" s="14" t="n"/>
      <c r="L79" s="17" t="n"/>
    </row>
    <row r="80" ht="26.25" customHeight="1">
      <c r="A80" s="18" t="inlineStr">
        <is>
          <t>04-03-01</t>
        </is>
      </c>
      <c r="B80" s="19" t="n"/>
      <c r="C80" s="19" t="n"/>
      <c r="D80" s="19" t="n"/>
      <c r="E80" s="19" t="inlineStr">
        <is>
          <t>●</t>
        </is>
      </c>
      <c r="F80" s="20" t="inlineStr">
        <is>
          <t>労働時間の記録と月次の勤怠の締め</t>
        </is>
      </c>
      <c r="G80" s="20" t="n"/>
      <c r="H80" s="20" t="n"/>
      <c r="I80" s="21" t="inlineStr">
        <is>
          <t>勤務予定・勤怠記録</t>
        </is>
      </c>
      <c r="J80" s="22" t="inlineStr">
        <is>
          <t>勤務予定・勤怠記録</t>
        </is>
      </c>
      <c r="K80" s="23" t="inlineStr">
        <is>
          <t>労基法・安衛法</t>
        </is>
      </c>
      <c r="L80" s="20" t="inlineStr">
        <is>
          <t>本人・上司・人事労務／—</t>
        </is>
      </c>
    </row>
    <row r="81" ht="26.25" customHeight="1">
      <c r="A81" s="18" t="inlineStr">
        <is>
          <t>04-03-02</t>
        </is>
      </c>
      <c r="B81" s="19" t="n"/>
      <c r="C81" s="19" t="n"/>
      <c r="D81" s="19" t="n"/>
      <c r="E81" s="19" t="inlineStr">
        <is>
          <t>●</t>
        </is>
      </c>
      <c r="F81" s="20" t="inlineStr">
        <is>
          <t>★36協定の締結・届出</t>
        </is>
      </c>
      <c r="G81" s="20" t="n"/>
      <c r="H81" s="20" t="n"/>
      <c r="I81" s="21" t="inlineStr">
        <is>
          <t>勤務予定・勤怠記録、労使協定・労使協議記録</t>
        </is>
      </c>
      <c r="J81" s="22" t="inlineStr">
        <is>
          <t>労使協定・労使協議記録</t>
        </is>
      </c>
      <c r="K81" s="23" t="inlineStr">
        <is>
          <t>労基法</t>
        </is>
      </c>
      <c r="L81" s="20" t="inlineStr">
        <is>
          <t>人事労務／労働組合（過半数代表）、労働基準監督署</t>
        </is>
      </c>
    </row>
    <row r="82" ht="26.25" customHeight="1">
      <c r="A82" s="18" t="inlineStr">
        <is>
          <t>04-03-03</t>
        </is>
      </c>
      <c r="B82" s="19" t="n"/>
      <c r="C82" s="19" t="n"/>
      <c r="D82" s="19" t="n"/>
      <c r="E82" s="19" t="inlineStr">
        <is>
          <t>●</t>
        </is>
      </c>
      <c r="F82" s="20" t="inlineStr">
        <is>
          <t>★時間外・休日労働の上限管理</t>
        </is>
      </c>
      <c r="G82" s="20" t="n"/>
      <c r="H82" s="20" t="n"/>
      <c r="I82" s="21" t="inlineStr">
        <is>
          <t>勤務予定・勤怠記録、労使協定・労使協議記録</t>
        </is>
      </c>
      <c r="J82" s="22" t="inlineStr">
        <is>
          <t>勤務予定・勤怠記録</t>
        </is>
      </c>
      <c r="K82" s="23" t="inlineStr">
        <is>
          <t>労基法</t>
        </is>
      </c>
      <c r="L82" s="20" t="inlineStr">
        <is>
          <t>上司・人事労務／—</t>
        </is>
      </c>
    </row>
    <row r="83" ht="26.25" customHeight="1">
      <c r="A83" s="18" t="inlineStr">
        <is>
          <t>04-03-04</t>
        </is>
      </c>
      <c r="B83" s="19" t="n"/>
      <c r="C83" s="19" t="n"/>
      <c r="D83" s="19" t="n"/>
      <c r="E83" s="19" t="inlineStr">
        <is>
          <t>●</t>
        </is>
      </c>
      <c r="F83" s="20" t="inlineStr">
        <is>
          <t>★年次有給休暇の付与と年5日取得の管理（年次有給休暇管理簿）</t>
        </is>
      </c>
      <c r="G83" s="20" t="n"/>
      <c r="H83" s="20" t="n"/>
      <c r="I83" s="21" t="inlineStr">
        <is>
          <t>勤務予定・勤怠記録、従業員マスタ</t>
        </is>
      </c>
      <c r="J83" s="22" t="inlineStr">
        <is>
          <t>休暇・休業記録</t>
        </is>
      </c>
      <c r="K83" s="23" t="inlineStr">
        <is>
          <t>労基法</t>
        </is>
      </c>
      <c r="L83" s="20" t="inlineStr">
        <is>
          <t>上司・人事労務／—</t>
        </is>
      </c>
    </row>
    <row r="84" ht="26.25" customHeight="1">
      <c r="A84" s="18" t="inlineStr">
        <is>
          <t>04-03-05</t>
        </is>
      </c>
      <c r="B84" s="19" t="n"/>
      <c r="C84" s="19" t="n"/>
      <c r="D84" s="19" t="n"/>
      <c r="E84" s="19" t="inlineStr">
        <is>
          <t>●</t>
        </is>
      </c>
      <c r="F84" s="20" t="inlineStr">
        <is>
          <t>★産前産後・育児・介護休業と休職の申出受付・管理（個別の周知・意向確認を含む）</t>
        </is>
      </c>
      <c r="G84" s="20" t="n"/>
      <c r="H84" s="20" t="n"/>
      <c r="I84" s="21" t="inlineStr">
        <is>
          <t>従業員マスタ、就業規則・人事規程</t>
        </is>
      </c>
      <c r="J84" s="22" t="inlineStr">
        <is>
          <t>休暇・休業記録</t>
        </is>
      </c>
      <c r="K84" s="23" t="inlineStr">
        <is>
          <t>育介法・労基法</t>
        </is>
      </c>
      <c r="L84" s="20" t="inlineStr">
        <is>
          <t>本人・上司・人事労務／—</t>
        </is>
      </c>
    </row>
    <row r="85" ht="26.25" customHeight="1">
      <c r="A85" s="18" t="inlineStr">
        <is>
          <t>04-03-06</t>
        </is>
      </c>
      <c r="B85" s="19" t="n"/>
      <c r="C85" s="19" t="n"/>
      <c r="D85" s="19" t="n"/>
      <c r="E85" s="19" t="inlineStr">
        <is>
          <t>●</t>
        </is>
      </c>
      <c r="F85" s="20" t="inlineStr">
        <is>
          <t>★柔軟な働き方の制度運用（テレワーク・時差出勤・短時間勤務）</t>
        </is>
      </c>
      <c r="G85" s="20" t="n"/>
      <c r="H85" s="20" t="n"/>
      <c r="I85" s="21" t="inlineStr">
        <is>
          <t>就業規則・人事規程、休暇・休業記録</t>
        </is>
      </c>
      <c r="J85" s="22" t="inlineStr">
        <is>
          <t>勤務予定・勤怠記録</t>
        </is>
      </c>
      <c r="K85" s="23" t="inlineStr">
        <is>
          <t>育介法</t>
        </is>
      </c>
      <c r="L85" s="20" t="inlineStr">
        <is>
          <t>本人・上司・人事／—</t>
        </is>
      </c>
    </row>
    <row r="86" ht="26.25" customHeight="1">
      <c r="A86" s="14" t="inlineStr">
        <is>
          <t>04-04</t>
        </is>
      </c>
      <c r="B86" s="15" t="n"/>
      <c r="C86" s="15" t="n"/>
      <c r="D86" s="15" t="inlineStr">
        <is>
          <t>●</t>
        </is>
      </c>
      <c r="E86" s="15" t="n"/>
      <c r="F86" s="16" t="inlineStr">
        <is>
          <t>給与・社会保険・福利厚生</t>
        </is>
      </c>
      <c r="G86" s="17" t="inlineStr">
        <is>
          <t>給与・賞与を支払い、税・社会保険の手続きを行い、福利厚生と人件費を管理する</t>
        </is>
      </c>
      <c r="H86" s="17" t="n"/>
      <c r="I86" s="17" t="n"/>
      <c r="J86" s="17" t="n"/>
      <c r="K86" s="14" t="n"/>
      <c r="L86" s="17" t="n"/>
    </row>
    <row r="87" ht="26.25" customHeight="1">
      <c r="A87" s="18" t="inlineStr">
        <is>
          <t>04-04-01</t>
        </is>
      </c>
      <c r="B87" s="19" t="n"/>
      <c r="C87" s="19" t="n"/>
      <c r="D87" s="19" t="n"/>
      <c r="E87" s="19" t="inlineStr">
        <is>
          <t>●</t>
        </is>
      </c>
      <c r="F87" s="20" t="inlineStr">
        <is>
          <t>月次給与計算（勤怠・手当・控除の反映）</t>
        </is>
      </c>
      <c r="G87" s="20" t="n"/>
      <c r="H87" s="20" t="n"/>
      <c r="I87" s="21" t="inlineStr">
        <is>
          <t>勤務予定・勤怠記録、従業員マスタ、報酬テーブル、社会保険・雇用保険の資格情報、住民税特別徴収情報</t>
        </is>
      </c>
      <c r="J87" s="22" t="inlineStr">
        <is>
          <t>給与・賞与計算結果、賃金台帳</t>
        </is>
      </c>
      <c r="K87" s="23" t="inlineStr">
        <is>
          <t>労基法・税法</t>
        </is>
      </c>
      <c r="L87" s="20" t="inlineStr">
        <is>
          <t>人事労務／給与計算の委託先</t>
        </is>
      </c>
    </row>
    <row r="88" ht="26.25" customHeight="1">
      <c r="A88" s="18" t="inlineStr">
        <is>
          <t>04-04-02</t>
        </is>
      </c>
      <c r="B88" s="19" t="n"/>
      <c r="C88" s="19" t="n"/>
      <c r="D88" s="19" t="n"/>
      <c r="E88" s="19" t="inlineStr">
        <is>
          <t>●</t>
        </is>
      </c>
      <c r="F88" s="20" t="inlineStr">
        <is>
          <t>給与の支払と給与明細の交付</t>
        </is>
      </c>
      <c r="G88" s="20" t="n"/>
      <c r="H88" s="20" t="n"/>
      <c r="I88" s="21" t="inlineStr">
        <is>
          <t>給与・賞与計算結果</t>
        </is>
      </c>
      <c r="J88" s="22" t="inlineStr">
        <is>
          <t>給与・賞与計算結果</t>
        </is>
      </c>
      <c r="K88" s="23" t="inlineStr">
        <is>
          <t>労基法</t>
        </is>
      </c>
      <c r="L88" s="20" t="inlineStr">
        <is>
          <t>人事労務・経理／銀行</t>
        </is>
      </c>
    </row>
    <row r="89" ht="26.25" customHeight="1">
      <c r="A89" s="18" t="inlineStr">
        <is>
          <t>04-04-03</t>
        </is>
      </c>
      <c r="B89" s="19" t="n"/>
      <c r="C89" s="19" t="n"/>
      <c r="D89" s="19" t="n"/>
      <c r="E89" s="19" t="inlineStr">
        <is>
          <t>●</t>
        </is>
      </c>
      <c r="F89" s="20" t="inlineStr">
        <is>
          <t>賞与の計算・支払と賞与支払届</t>
        </is>
      </c>
      <c r="G89" s="20" t="n"/>
      <c r="H89" s="20" t="n"/>
      <c r="I89" s="21" t="inlineStr">
        <is>
          <t>昇給・賞与決定、社会保険・雇用保険の資格情報</t>
        </is>
      </c>
      <c r="J89" s="22" t="inlineStr">
        <is>
          <t>給与・賞与計算結果、社会保険・労働保険の届出</t>
        </is>
      </c>
      <c r="K89" s="23" t="inlineStr">
        <is>
          <t>社会保険・税法</t>
        </is>
      </c>
      <c r="L89" s="20" t="inlineStr">
        <is>
          <t>人事労務／年金事務所、健康保険組合</t>
        </is>
      </c>
    </row>
    <row r="90" ht="26.25" customHeight="1">
      <c r="A90" s="18" t="inlineStr">
        <is>
          <t>04-04-04</t>
        </is>
      </c>
      <c r="B90" s="19" t="n"/>
      <c r="C90" s="19" t="n"/>
      <c r="D90" s="19" t="n"/>
      <c r="E90" s="19" t="inlineStr">
        <is>
          <t>●</t>
        </is>
      </c>
      <c r="F90" s="20" t="inlineStr">
        <is>
          <t>★年末調整と源泉徴収票・法定調書の作成</t>
        </is>
      </c>
      <c r="G90" s="20" t="n"/>
      <c r="H90" s="20" t="n"/>
      <c r="I90" s="21" t="inlineStr">
        <is>
          <t>源泉徴収・年末調整情報、給与・賞与計算結果、マイナンバー</t>
        </is>
      </c>
      <c r="J90" s="22" t="inlineStr">
        <is>
          <t>源泉徴収・年末調整情報</t>
        </is>
      </c>
      <c r="K90" s="23" t="inlineStr">
        <is>
          <t>税法・番号法</t>
        </is>
      </c>
      <c r="L90" s="20" t="inlineStr">
        <is>
          <t>本人・人事労務／税務署、市区町村</t>
        </is>
      </c>
    </row>
    <row r="91" ht="26.25" customHeight="1">
      <c r="A91" s="18" t="inlineStr">
        <is>
          <t>04-04-05</t>
        </is>
      </c>
      <c r="B91" s="19" t="n"/>
      <c r="C91" s="19" t="n"/>
      <c r="D91" s="19" t="n"/>
      <c r="E91" s="19" t="inlineStr">
        <is>
          <t>●</t>
        </is>
      </c>
      <c r="F91" s="20" t="inlineStr">
        <is>
          <t>★住民税の特別徴収と納付</t>
        </is>
      </c>
      <c r="G91" s="20" t="n"/>
      <c r="H91" s="20" t="n"/>
      <c r="I91" s="21" t="inlineStr">
        <is>
          <t>住民税特別徴収情報</t>
        </is>
      </c>
      <c r="J91" s="22" t="inlineStr">
        <is>
          <t>住民税特別徴収情報</t>
        </is>
      </c>
      <c r="K91" s="23" t="inlineStr">
        <is>
          <t>税法</t>
        </is>
      </c>
      <c r="L91" s="20" t="inlineStr">
        <is>
          <t>人事労務／市区町村</t>
        </is>
      </c>
    </row>
    <row r="92" ht="26.25" customHeight="1">
      <c r="A92" s="18" t="inlineStr">
        <is>
          <t>04-04-06</t>
        </is>
      </c>
      <c r="B92" s="19" t="n"/>
      <c r="C92" s="19" t="n"/>
      <c r="D92" s="19" t="n"/>
      <c r="E92" s="19" t="inlineStr">
        <is>
          <t>●</t>
        </is>
      </c>
      <c r="F92" s="20" t="inlineStr">
        <is>
          <t>★社会保険・労働保険の定例手続き（算定基礎届・月額変更届・年度更新）</t>
        </is>
      </c>
      <c r="G92" s="20" t="n"/>
      <c r="H92" s="20" t="n"/>
      <c r="I92" s="21" t="inlineStr">
        <is>
          <t>給与・賞与計算結果、社会保険・雇用保険の資格情報</t>
        </is>
      </c>
      <c r="J92" s="22" t="inlineStr">
        <is>
          <t>社会保険・労働保険の届出、社会保険・雇用保険の資格情報</t>
        </is>
      </c>
      <c r="K92" s="23" t="inlineStr">
        <is>
          <t>社会保険・雇用保険</t>
        </is>
      </c>
      <c r="L92" s="20" t="inlineStr">
        <is>
          <t>人事労務／年金事務所、健康保険組合、労働局</t>
        </is>
      </c>
    </row>
    <row r="93" ht="26.25" customHeight="1">
      <c r="A93" s="18" t="inlineStr">
        <is>
          <t>04-04-07</t>
        </is>
      </c>
      <c r="B93" s="19" t="n"/>
      <c r="C93" s="19" t="n"/>
      <c r="D93" s="19" t="n"/>
      <c r="E93" s="19" t="inlineStr">
        <is>
          <t>●</t>
        </is>
      </c>
      <c r="F93" s="20" t="inlineStr">
        <is>
          <t>福利厚生制度の運営（住宅・持株会・カフェテリアプランなど）</t>
        </is>
      </c>
      <c r="G93" s="20" t="n"/>
      <c r="H93" s="20" t="n"/>
      <c r="I93" s="21" t="inlineStr">
        <is>
          <t>従業員マスタ</t>
        </is>
      </c>
      <c r="J93" s="22" t="inlineStr">
        <is>
          <t>福利厚生利用情報</t>
        </is>
      </c>
      <c r="K93" s="23" t="inlineStr">
        <is>
          <t>なし</t>
        </is>
      </c>
      <c r="L93" s="20" t="inlineStr">
        <is>
          <t>人事・総務／福利厚生サービス事業者</t>
        </is>
      </c>
    </row>
    <row r="94" ht="26.25" customHeight="1">
      <c r="A94" s="18" t="inlineStr">
        <is>
          <t>04-04-08</t>
        </is>
      </c>
      <c r="B94" s="19" t="n"/>
      <c r="C94" s="19" t="n"/>
      <c r="D94" s="19" t="n"/>
      <c r="E94" s="19" t="inlineStr">
        <is>
          <t>●</t>
        </is>
      </c>
      <c r="F94" s="20" t="inlineStr">
        <is>
          <t>退職金・企業年金の管理（掛金・算定基礎の更新）</t>
        </is>
      </c>
      <c r="G94" s="20" t="n"/>
      <c r="H94" s="20" t="n"/>
      <c r="I94" s="21" t="inlineStr">
        <is>
          <t>従業員マスタ、給与・賞与計算結果</t>
        </is>
      </c>
      <c r="J94" s="22" t="inlineStr">
        <is>
          <t>退職給付情報</t>
        </is>
      </c>
      <c r="K94" s="23" t="inlineStr">
        <is>
          <t>確定給付・確定拠出年金法</t>
        </is>
      </c>
      <c r="L94" s="20" t="inlineStr">
        <is>
          <t>人事／信託銀行、運営管理機関</t>
        </is>
      </c>
    </row>
    <row r="95" ht="26.25" customHeight="1">
      <c r="A95" s="18" t="inlineStr">
        <is>
          <t>04-04-09</t>
        </is>
      </c>
      <c r="B95" s="19" t="n"/>
      <c r="C95" s="19" t="n"/>
      <c r="D95" s="19" t="n"/>
      <c r="E95" s="19" t="inlineStr">
        <is>
          <t>●</t>
        </is>
      </c>
      <c r="F95" s="20" t="inlineStr">
        <is>
          <t>人件費の会計計上と予算実績管理</t>
        </is>
      </c>
      <c r="G95" s="20" t="n"/>
      <c r="H95" s="20" t="n"/>
      <c r="I95" s="21" t="inlineStr">
        <is>
          <t>給与・賞与計算結果、人件費予算</t>
        </is>
      </c>
      <c r="J95" s="22" t="inlineStr">
        <is>
          <t>人件費実績</t>
        </is>
      </c>
      <c r="K95" s="23" t="inlineStr">
        <is>
          <t>税法</t>
        </is>
      </c>
      <c r="L95" s="20" t="inlineStr">
        <is>
          <t>人事・経理／—</t>
        </is>
      </c>
    </row>
    <row r="96" ht="26.25" customHeight="1">
      <c r="A96" s="14" t="inlineStr">
        <is>
          <t>04-05</t>
        </is>
      </c>
      <c r="B96" s="15" t="n"/>
      <c r="C96" s="15" t="n"/>
      <c r="D96" s="15" t="inlineStr">
        <is>
          <t>●</t>
        </is>
      </c>
      <c r="E96" s="15" t="n"/>
      <c r="F96" s="16" t="inlineStr">
        <is>
          <t>健康・安全・職場環境</t>
        </is>
      </c>
      <c r="G96" s="17" t="inlineStr">
        <is>
          <t>健康と安全を守り、相談に応え、働きがいを高める</t>
        </is>
      </c>
      <c r="H96" s="17" t="n"/>
      <c r="I96" s="17" t="n"/>
      <c r="J96" s="17" t="n"/>
      <c r="K96" s="14" t="n"/>
      <c r="L96" s="17" t="n"/>
    </row>
    <row r="97" ht="26.25" customHeight="1">
      <c r="A97" s="18" t="inlineStr">
        <is>
          <t>04-05-01</t>
        </is>
      </c>
      <c r="B97" s="19" t="n"/>
      <c r="C97" s="19" t="n"/>
      <c r="D97" s="19" t="n"/>
      <c r="E97" s="19" t="inlineStr">
        <is>
          <t>●</t>
        </is>
      </c>
      <c r="F97" s="20" t="inlineStr">
        <is>
          <t>★定期健康診断と事後措置（医師の意見に基づく就業判定）</t>
        </is>
      </c>
      <c r="G97" s="20" t="n"/>
      <c r="H97" s="20" t="n"/>
      <c r="I97" s="21" t="inlineStr">
        <is>
          <t>従業員マスタ</t>
        </is>
      </c>
      <c r="J97" s="22" t="inlineStr">
        <is>
          <t>健康診断・面接指導記録</t>
        </is>
      </c>
      <c r="K97" s="23" t="inlineStr">
        <is>
          <t>安衛法</t>
        </is>
      </c>
      <c r="L97" s="20" t="inlineStr">
        <is>
          <t>人事・産業医／健診機関</t>
        </is>
      </c>
    </row>
    <row r="98" ht="26.25" customHeight="1">
      <c r="A98" s="18" t="inlineStr">
        <is>
          <t>04-05-02</t>
        </is>
      </c>
      <c r="B98" s="19" t="n"/>
      <c r="C98" s="19" t="n"/>
      <c r="D98" s="19" t="n"/>
      <c r="E98" s="19" t="inlineStr">
        <is>
          <t>●</t>
        </is>
      </c>
      <c r="F98" s="20" t="inlineStr">
        <is>
          <t>★ストレスチェックの実施と高ストレス者の面接指導</t>
        </is>
      </c>
      <c r="G98" s="20" t="n"/>
      <c r="H98" s="20" t="n"/>
      <c r="I98" s="21" t="inlineStr">
        <is>
          <t>従業員マスタ</t>
        </is>
      </c>
      <c r="J98" s="22" t="inlineStr">
        <is>
          <t>ストレスチェック結果、健康診断・面接指導記録</t>
        </is>
      </c>
      <c r="K98" s="23" t="inlineStr">
        <is>
          <t>安衛法</t>
        </is>
      </c>
      <c r="L98" s="20" t="inlineStr">
        <is>
          <t>産業医・実施事務従事者／外部実施機関</t>
        </is>
      </c>
    </row>
    <row r="99" ht="26.25" customHeight="1">
      <c r="A99" s="18" t="inlineStr">
        <is>
          <t>04-05-03</t>
        </is>
      </c>
      <c r="B99" s="19" t="n"/>
      <c r="C99" s="19" t="n"/>
      <c r="D99" s="19" t="n"/>
      <c r="E99" s="19" t="inlineStr">
        <is>
          <t>●</t>
        </is>
      </c>
      <c r="F99" s="20" t="inlineStr">
        <is>
          <t>★長時間労働者への医師の面接指導</t>
        </is>
      </c>
      <c r="G99" s="20" t="n"/>
      <c r="H99" s="20" t="n"/>
      <c r="I99" s="21" t="inlineStr">
        <is>
          <t>勤務予定・勤怠記録</t>
        </is>
      </c>
      <c r="J99" s="22" t="inlineStr">
        <is>
          <t>健康診断・面接指導記録</t>
        </is>
      </c>
      <c r="K99" s="23" t="inlineStr">
        <is>
          <t>安衛法</t>
        </is>
      </c>
      <c r="L99" s="20" t="inlineStr">
        <is>
          <t>産業医・人事労務／—</t>
        </is>
      </c>
    </row>
    <row r="100" ht="26.25" customHeight="1">
      <c r="A100" s="18" t="inlineStr">
        <is>
          <t>04-05-04</t>
        </is>
      </c>
      <c r="B100" s="19" t="n"/>
      <c r="C100" s="19" t="n"/>
      <c r="D100" s="19" t="n"/>
      <c r="E100" s="19" t="inlineStr">
        <is>
          <t>●</t>
        </is>
      </c>
      <c r="F100" s="20" t="inlineStr">
        <is>
          <t>労働災害の報告と再発防止</t>
        </is>
      </c>
      <c r="G100" s="20" t="n"/>
      <c r="H100" s="20" t="n"/>
      <c r="I100" s="21" t="inlineStr">
        <is>
          <t>勤務予定・勤怠記録</t>
        </is>
      </c>
      <c r="J100" s="22" t="inlineStr">
        <is>
          <t>労働災害記録</t>
        </is>
      </c>
      <c r="K100" s="23" t="inlineStr">
        <is>
          <t>安衛法</t>
        </is>
      </c>
      <c r="L100" s="20" t="inlineStr">
        <is>
          <t>安全衛生担当・人事労務／労働基準監督署</t>
        </is>
      </c>
    </row>
    <row r="101" ht="26.25" customHeight="1">
      <c r="A101" s="18" t="inlineStr">
        <is>
          <t>04-05-05</t>
        </is>
      </c>
      <c r="B101" s="19" t="n"/>
      <c r="C101" s="19" t="n"/>
      <c r="D101" s="19" t="n"/>
      <c r="E101" s="19" t="inlineStr">
        <is>
          <t>●</t>
        </is>
      </c>
      <c r="F101" s="20" t="inlineStr">
        <is>
          <t>相談・通報の受付とハラスメント事案への対応</t>
        </is>
      </c>
      <c r="G101" s="20" t="n"/>
      <c r="H101" s="20" t="n"/>
      <c r="I101" s="21" t="inlineStr">
        <is>
          <t>就業規則・人事規程</t>
        </is>
      </c>
      <c r="J101" s="22" t="inlineStr">
        <is>
          <t>相談・ハラスメント事案記録</t>
        </is>
      </c>
      <c r="K101" s="23" t="inlineStr">
        <is>
          <t>労働施策総合推進法等</t>
        </is>
      </c>
      <c r="L101" s="20" t="inlineStr">
        <is>
          <t>相談窓口・人事・法務／外部相談窓口</t>
        </is>
      </c>
    </row>
    <row r="102" ht="26.25" customHeight="1">
      <c r="A102" s="18" t="inlineStr">
        <is>
          <t>04-05-06</t>
        </is>
      </c>
      <c r="B102" s="19" t="n"/>
      <c r="C102" s="19" t="n"/>
      <c r="D102" s="19" t="n"/>
      <c r="E102" s="19" t="inlineStr">
        <is>
          <t>●</t>
        </is>
      </c>
      <c r="F102" s="20" t="inlineStr">
        <is>
          <t>エンゲージメント調査と職場ごとの改善</t>
        </is>
      </c>
      <c r="G102" s="20" t="n"/>
      <c r="H102" s="20" t="n"/>
      <c r="I102" s="21" t="inlineStr">
        <is>
          <t>従業員マスタ、組織マスタ</t>
        </is>
      </c>
      <c r="J102" s="22" t="inlineStr">
        <is>
          <t>エンゲージメント調査結果</t>
        </is>
      </c>
      <c r="K102" s="23" t="inlineStr">
        <is>
          <t>なし</t>
        </is>
      </c>
      <c r="L102" s="20" t="inlineStr">
        <is>
          <t>人事・上司／サーベイ事業者</t>
        </is>
      </c>
    </row>
    <row r="103" ht="26.25" customHeight="1">
      <c r="A103" s="18" t="inlineStr">
        <is>
          <t>04-05-07</t>
        </is>
      </c>
      <c r="B103" s="19" t="n"/>
      <c r="C103" s="19" t="n"/>
      <c r="D103" s="19" t="n"/>
      <c r="E103" s="19" t="inlineStr">
        <is>
          <t>●</t>
        </is>
      </c>
      <c r="F103" s="20" t="inlineStr">
        <is>
          <t>★就業規則・人事規程の改定と届出・周知（過半数代表の意見聴取）</t>
        </is>
      </c>
      <c r="G103" s="20" t="n"/>
      <c r="H103" s="20" t="n"/>
      <c r="I103" s="21" t="inlineStr">
        <is>
          <t>労使協定・労使協議記録、就業規則・人事規程</t>
        </is>
      </c>
      <c r="J103" s="22" t="inlineStr">
        <is>
          <t>就業規則・人事規程</t>
        </is>
      </c>
      <c r="K103" s="23" t="inlineStr">
        <is>
          <t>労基法</t>
        </is>
      </c>
      <c r="L103" s="20" t="inlineStr">
        <is>
          <t>人事企画／労働組合（過半数代表）、労働基準監督署</t>
        </is>
      </c>
    </row>
    <row r="104" ht="26.25" customHeight="1">
      <c r="A104" s="10" t="inlineStr">
        <is>
          <t>05</t>
        </is>
      </c>
      <c r="B104" s="11" t="n"/>
      <c r="C104" s="11" t="inlineStr">
        <is>
          <t>●</t>
        </is>
      </c>
      <c r="D104" s="11" t="n"/>
      <c r="E104" s="11" t="n"/>
      <c r="F104" s="12" t="inlineStr">
        <is>
          <t>キャリア・配置</t>
        </is>
      </c>
      <c r="G104" s="13" t="inlineStr">
        <is>
          <t>人材を見極め、異動・昇格・後継者育成を通じて最適に配置し、多様な人材の活躍を進める段階</t>
        </is>
      </c>
      <c r="H104" s="13" t="inlineStr">
        <is>
          <t>発令（異動・昇格の確定）</t>
        </is>
      </c>
      <c r="I104" s="13" t="n"/>
      <c r="J104" s="13" t="n"/>
      <c r="K104" s="10" t="n"/>
      <c r="L104" s="13" t="n"/>
    </row>
    <row r="105" ht="26.25" customHeight="1">
      <c r="A105" s="14" t="inlineStr">
        <is>
          <t>05-01</t>
        </is>
      </c>
      <c r="B105" s="15" t="n"/>
      <c r="C105" s="15" t="n"/>
      <c r="D105" s="15" t="inlineStr">
        <is>
          <t>●</t>
        </is>
      </c>
      <c r="E105" s="15" t="n"/>
      <c r="F105" s="16" t="inlineStr">
        <is>
          <t>タレントレビュー</t>
        </is>
      </c>
      <c r="G105" s="17" t="inlineStr">
        <is>
          <t>評価・スキル・キャリア希望を集め、人材を見極めて育成方針を決める</t>
        </is>
      </c>
      <c r="H105" s="17" t="n"/>
      <c r="I105" s="17" t="n"/>
      <c r="J105" s="17" t="n"/>
      <c r="K105" s="14" t="n"/>
      <c r="L105" s="17" t="n"/>
    </row>
    <row r="106" ht="26.25" customHeight="1">
      <c r="A106" s="18" t="inlineStr">
        <is>
          <t>05-01-01</t>
        </is>
      </c>
      <c r="B106" s="19" t="n"/>
      <c r="C106" s="19" t="n"/>
      <c r="D106" s="19" t="n"/>
      <c r="E106" s="19" t="inlineStr">
        <is>
          <t>●</t>
        </is>
      </c>
      <c r="F106" s="20" t="inlineStr">
        <is>
          <t>人材情報の集約（評価・スキル・キャリア希望）</t>
        </is>
      </c>
      <c r="G106" s="20" t="n"/>
      <c r="H106" s="20" t="n"/>
      <c r="I106" s="21" t="inlineStr">
        <is>
          <t>人事評価結果、スキル・資格情報、キャリア面談記録、異動・発令履歴</t>
        </is>
      </c>
      <c r="J106" s="22" t="inlineStr">
        <is>
          <t>タレントレビュー結果</t>
        </is>
      </c>
      <c r="K106" s="23" t="inlineStr">
        <is>
          <t>なし</t>
        </is>
      </c>
      <c r="L106" s="20" t="inlineStr">
        <is>
          <t>人事／—</t>
        </is>
      </c>
    </row>
    <row r="107" ht="26.25" customHeight="1">
      <c r="A107" s="18" t="inlineStr">
        <is>
          <t>05-01-02</t>
        </is>
      </c>
      <c r="B107" s="19" t="n"/>
      <c r="C107" s="19" t="n"/>
      <c r="D107" s="19" t="n"/>
      <c r="E107" s="19" t="inlineStr">
        <is>
          <t>●</t>
        </is>
      </c>
      <c r="F107" s="20" t="inlineStr">
        <is>
          <t>タレントレビュー会議（人材の見極めと育成方針）</t>
        </is>
      </c>
      <c r="G107" s="20" t="n"/>
      <c r="H107" s="20" t="n"/>
      <c r="I107" s="21" t="inlineStr">
        <is>
          <t>タレントレビュー結果</t>
        </is>
      </c>
      <c r="J107" s="22" t="inlineStr">
        <is>
          <t>タレントレビュー結果</t>
        </is>
      </c>
      <c r="K107" s="23" t="inlineStr">
        <is>
          <t>なし</t>
        </is>
      </c>
      <c r="L107" s="20" t="inlineStr">
        <is>
          <t>経営・部門長・人事／—</t>
        </is>
      </c>
    </row>
    <row r="108" ht="26.25" customHeight="1">
      <c r="A108" s="14" t="inlineStr">
        <is>
          <t>05-02</t>
        </is>
      </c>
      <c r="B108" s="15" t="n"/>
      <c r="C108" s="15" t="n"/>
      <c r="D108" s="15" t="inlineStr">
        <is>
          <t>●</t>
        </is>
      </c>
      <c r="E108" s="15" t="n"/>
      <c r="F108" s="16" t="inlineStr">
        <is>
          <t>異動・配置</t>
        </is>
      </c>
      <c r="G108" s="17" t="inlineStr">
        <is>
          <t>定期異動・社内公募・出向で配置を決め、発令する</t>
        </is>
      </c>
      <c r="H108" s="17" t="n"/>
      <c r="I108" s="17" t="n"/>
      <c r="J108" s="17" t="n"/>
      <c r="K108" s="14" t="n"/>
      <c r="L108" s="17" t="n"/>
    </row>
    <row r="109" ht="26.25" customHeight="1">
      <c r="A109" s="18" t="inlineStr">
        <is>
          <t>05-02-01</t>
        </is>
      </c>
      <c r="B109" s="19" t="n"/>
      <c r="C109" s="19" t="n"/>
      <c r="D109" s="19" t="n"/>
      <c r="E109" s="19" t="inlineStr">
        <is>
          <t>●</t>
        </is>
      </c>
      <c r="F109" s="20" t="inlineStr">
        <is>
          <t>★定期異動の計画・調整</t>
        </is>
      </c>
      <c r="G109" s="20" t="n"/>
      <c r="H109" s="20" t="n"/>
      <c r="I109" s="21" t="inlineStr">
        <is>
          <t>タレントレビュー結果、要員計画、キャリア面談記録</t>
        </is>
      </c>
      <c r="J109" s="22" t="inlineStr">
        <is>
          <t>異動計画</t>
        </is>
      </c>
      <c r="K109" s="23" t="inlineStr">
        <is>
          <t>なし</t>
        </is>
      </c>
      <c r="L109" s="20" t="inlineStr">
        <is>
          <t>人事・部門長／—</t>
        </is>
      </c>
    </row>
    <row r="110" ht="26.25" customHeight="1">
      <c r="A110" s="18" t="inlineStr">
        <is>
          <t>05-02-02</t>
        </is>
      </c>
      <c r="B110" s="19" t="n"/>
      <c r="C110" s="19" t="n"/>
      <c r="D110" s="19" t="n"/>
      <c r="E110" s="19" t="inlineStr">
        <is>
          <t>●</t>
        </is>
      </c>
      <c r="F110" s="20" t="inlineStr">
        <is>
          <t>社内公募・FA制度の運営</t>
        </is>
      </c>
      <c r="G110" s="20" t="n"/>
      <c r="H110" s="20" t="n"/>
      <c r="I110" s="21" t="inlineStr">
        <is>
          <t>職務・ポジション、キャリア面談記録</t>
        </is>
      </c>
      <c r="J110" s="22" t="inlineStr">
        <is>
          <t>異動計画</t>
        </is>
      </c>
      <c r="K110" s="23" t="inlineStr">
        <is>
          <t>なし</t>
        </is>
      </c>
      <c r="L110" s="20" t="inlineStr">
        <is>
          <t>人事・本人／—</t>
        </is>
      </c>
    </row>
    <row r="111" ht="26.25" customHeight="1">
      <c r="A111" s="18" t="inlineStr">
        <is>
          <t>05-02-03</t>
        </is>
      </c>
      <c r="B111" s="19" t="n"/>
      <c r="C111" s="19" t="n"/>
      <c r="D111" s="19" t="n"/>
      <c r="E111" s="19" t="inlineStr">
        <is>
          <t>●</t>
        </is>
      </c>
      <c r="F111" s="20" t="inlineStr">
        <is>
          <t>★出向・転籍の手続き（出向契約・本人の同意）</t>
        </is>
      </c>
      <c r="G111" s="20" t="n"/>
      <c r="H111" s="20" t="n"/>
      <c r="I111" s="21" t="inlineStr">
        <is>
          <t>異動計画</t>
        </is>
      </c>
      <c r="J111" s="22" t="inlineStr">
        <is>
          <t>雇用契約、異動・発令履歴</t>
        </is>
      </c>
      <c r="K111" s="23" t="inlineStr">
        <is>
          <t>労働契約法</t>
        </is>
      </c>
      <c r="L111" s="20" t="inlineStr">
        <is>
          <t>人事・本人／出向先</t>
        </is>
      </c>
    </row>
    <row r="112" ht="26.25" customHeight="1">
      <c r="A112" s="18" t="inlineStr">
        <is>
          <t>05-02-04</t>
        </is>
      </c>
      <c r="B112" s="19" t="n"/>
      <c r="C112" s="19" t="n"/>
      <c r="D112" s="19" t="n"/>
      <c r="E112" s="19" t="inlineStr">
        <is>
          <t>●</t>
        </is>
      </c>
      <c r="F112" s="20" t="inlineStr">
        <is>
          <t>組織改編の実施と配置</t>
        </is>
      </c>
      <c r="G112" s="20" t="n"/>
      <c r="H112" s="20" t="n"/>
      <c r="I112" s="21" t="inlineStr">
        <is>
          <t>組織マスタ、要員計画</t>
        </is>
      </c>
      <c r="J112" s="22" t="inlineStr">
        <is>
          <t>組織マスタ、異動計画</t>
        </is>
      </c>
      <c r="K112" s="23" t="inlineStr">
        <is>
          <t>なし</t>
        </is>
      </c>
      <c r="L112" s="20" t="inlineStr">
        <is>
          <t>経営・人事企画／—</t>
        </is>
      </c>
    </row>
    <row r="113" ht="26.25" customHeight="1">
      <c r="A113" s="18" t="inlineStr">
        <is>
          <t>05-02-05</t>
        </is>
      </c>
      <c r="B113" s="19" t="n"/>
      <c r="C113" s="19" t="n"/>
      <c r="D113" s="19" t="n"/>
      <c r="E113" s="19" t="inlineStr">
        <is>
          <t>●</t>
        </is>
      </c>
      <c r="F113" s="20" t="inlineStr">
        <is>
          <t>異動の内示・発令と従業員情報・アカウントの更新</t>
        </is>
      </c>
      <c r="G113" s="20" t="n"/>
      <c r="H113" s="20" t="n"/>
      <c r="I113" s="21" t="inlineStr">
        <is>
          <t>異動計画</t>
        </is>
      </c>
      <c r="J113" s="22" t="inlineStr">
        <is>
          <t>異動・発令履歴、従業員マスタ、貸与物・アカウント記録</t>
        </is>
      </c>
      <c r="K113" s="23" t="inlineStr">
        <is>
          <t>なし</t>
        </is>
      </c>
      <c r="L113" s="20" t="inlineStr">
        <is>
          <t>人事・情報システム／—</t>
        </is>
      </c>
    </row>
    <row r="114" ht="26.25" customHeight="1">
      <c r="A114" s="14" t="inlineStr">
        <is>
          <t>05-03</t>
        </is>
      </c>
      <c r="B114" s="15" t="n"/>
      <c r="C114" s="15" t="n"/>
      <c r="D114" s="15" t="inlineStr">
        <is>
          <t>●</t>
        </is>
      </c>
      <c r="E114" s="15" t="n"/>
      <c r="F114" s="16" t="inlineStr">
        <is>
          <t>昇格・登用</t>
        </is>
      </c>
      <c r="G114" s="17" t="inlineStr">
        <is>
          <t>昇格の候補者を審査し、管理職に登用する</t>
        </is>
      </c>
      <c r="H114" s="17" t="n"/>
      <c r="I114" s="17" t="n"/>
      <c r="J114" s="17" t="n"/>
      <c r="K114" s="14" t="n"/>
      <c r="L114" s="17" t="n"/>
    </row>
    <row r="115" ht="26.25" customHeight="1">
      <c r="A115" s="18" t="inlineStr">
        <is>
          <t>05-03-01</t>
        </is>
      </c>
      <c r="B115" s="19" t="n"/>
      <c r="C115" s="19" t="n"/>
      <c r="D115" s="19" t="n"/>
      <c r="E115" s="19" t="inlineStr">
        <is>
          <t>●</t>
        </is>
      </c>
      <c r="F115" s="20" t="inlineStr">
        <is>
          <t>★昇格候補者の選定と昇格審査（試験・アセスメント）</t>
        </is>
      </c>
      <c r="G115" s="20" t="n"/>
      <c r="H115" s="20" t="n"/>
      <c r="I115" s="21" t="inlineStr">
        <is>
          <t>人事評価結果、タレントレビュー結果、等級制度</t>
        </is>
      </c>
      <c r="J115" s="22" t="inlineStr">
        <is>
          <t>昇格審査記録</t>
        </is>
      </c>
      <c r="K115" s="23" t="inlineStr">
        <is>
          <t>なし</t>
        </is>
      </c>
      <c r="L115" s="20" t="inlineStr">
        <is>
          <t>人事・部門長／アセスメント機関</t>
        </is>
      </c>
    </row>
    <row r="116" ht="26.25" customHeight="1">
      <c r="A116" s="18" t="inlineStr">
        <is>
          <t>05-03-02</t>
        </is>
      </c>
      <c r="B116" s="19" t="n"/>
      <c r="C116" s="19" t="n"/>
      <c r="D116" s="19" t="n"/>
      <c r="E116" s="19" t="inlineStr">
        <is>
          <t>●</t>
        </is>
      </c>
      <c r="F116" s="20" t="inlineStr">
        <is>
          <t>管理職への登用・任命</t>
        </is>
      </c>
      <c r="G116" s="20" t="n"/>
      <c r="H116" s="20" t="n"/>
      <c r="I116" s="21" t="inlineStr">
        <is>
          <t>昇格審査記録</t>
        </is>
      </c>
      <c r="J116" s="22" t="inlineStr">
        <is>
          <t>異動・発令履歴</t>
        </is>
      </c>
      <c r="K116" s="23" t="inlineStr">
        <is>
          <t>なし</t>
        </is>
      </c>
      <c r="L116" s="20" t="inlineStr">
        <is>
          <t>経営・人事／—</t>
        </is>
      </c>
    </row>
    <row r="117" ht="26.25" customHeight="1">
      <c r="A117" s="14" t="inlineStr">
        <is>
          <t>05-04</t>
        </is>
      </c>
      <c r="B117" s="15" t="n"/>
      <c r="C117" s="15" t="n"/>
      <c r="D117" s="15" t="inlineStr">
        <is>
          <t>●</t>
        </is>
      </c>
      <c r="E117" s="15" t="n"/>
      <c r="F117" s="16" t="inlineStr">
        <is>
          <t>後継者・リーダー育成</t>
        </is>
      </c>
      <c r="G117" s="17" t="inlineStr">
        <is>
          <t>重要ポストの後継者を計画し、選抜した人材を育てる</t>
        </is>
      </c>
      <c r="H117" s="17" t="n"/>
      <c r="I117" s="17" t="n"/>
      <c r="J117" s="17" t="n"/>
      <c r="K117" s="14" t="n"/>
      <c r="L117" s="17" t="n"/>
    </row>
    <row r="118" ht="26.25" customHeight="1">
      <c r="A118" s="18" t="inlineStr">
        <is>
          <t>05-04-01</t>
        </is>
      </c>
      <c r="B118" s="19" t="n"/>
      <c r="C118" s="19" t="n"/>
      <c r="D118" s="19" t="n"/>
      <c r="E118" s="19" t="inlineStr">
        <is>
          <t>●</t>
        </is>
      </c>
      <c r="F118" s="20" t="inlineStr">
        <is>
          <t>重要ポストの特定と後継者計画</t>
        </is>
      </c>
      <c r="G118" s="20" t="n"/>
      <c r="H118" s="20" t="n"/>
      <c r="I118" s="21" t="inlineStr">
        <is>
          <t>職務・ポジション、タレントレビュー結果</t>
        </is>
      </c>
      <c r="J118" s="22" t="inlineStr">
        <is>
          <t>後継者計画</t>
        </is>
      </c>
      <c r="K118" s="23" t="inlineStr">
        <is>
          <t>なし</t>
        </is>
      </c>
      <c r="L118" s="20" t="inlineStr">
        <is>
          <t>経営・人事／—</t>
        </is>
      </c>
    </row>
    <row r="119" ht="26.25" customHeight="1">
      <c r="A119" s="18" t="inlineStr">
        <is>
          <t>05-04-02</t>
        </is>
      </c>
      <c r="B119" s="19" t="n"/>
      <c r="C119" s="19" t="n"/>
      <c r="D119" s="19" t="n"/>
      <c r="E119" s="19" t="inlineStr">
        <is>
          <t>●</t>
        </is>
      </c>
      <c r="F119" s="20" t="inlineStr">
        <is>
          <t>選抜型リーダー育成プログラム</t>
        </is>
      </c>
      <c r="G119" s="20" t="n"/>
      <c r="H119" s="20" t="n"/>
      <c r="I119" s="21" t="inlineStr">
        <is>
          <t>後継者計画、育成体系・研修カタログ</t>
        </is>
      </c>
      <c r="J119" s="22" t="inlineStr">
        <is>
          <t>受講記録、後継者計画</t>
        </is>
      </c>
      <c r="K119" s="23" t="inlineStr">
        <is>
          <t>なし</t>
        </is>
      </c>
      <c r="L119" s="20" t="inlineStr">
        <is>
          <t>経営・人事／ビジネススクール</t>
        </is>
      </c>
    </row>
    <row r="120" ht="26.25" customHeight="1">
      <c r="A120" s="14" t="inlineStr">
        <is>
          <t>05-05</t>
        </is>
      </c>
      <c r="B120" s="15" t="n"/>
      <c r="C120" s="15" t="n"/>
      <c r="D120" s="15" t="inlineStr">
        <is>
          <t>●</t>
        </is>
      </c>
      <c r="E120" s="15" t="n"/>
      <c r="F120" s="16" t="inlineStr">
        <is>
          <t>多様な人材の活躍</t>
        </is>
      </c>
      <c r="G120" s="17" t="inlineStr">
        <is>
          <t>女性・障害者・高年齢者などの活躍を進め、法定の計画・報告・公表と人的資本の開示を行う</t>
        </is>
      </c>
      <c r="H120" s="17" t="n"/>
      <c r="I120" s="17" t="n"/>
      <c r="J120" s="17" t="n"/>
      <c r="K120" s="14" t="n"/>
      <c r="L120" s="17" t="n"/>
    </row>
    <row r="121" ht="26.25" customHeight="1">
      <c r="A121" s="18" t="inlineStr">
        <is>
          <t>05-05-01</t>
        </is>
      </c>
      <c r="B121" s="19" t="n"/>
      <c r="C121" s="19" t="n"/>
      <c r="D121" s="19" t="n"/>
      <c r="E121" s="19" t="inlineStr">
        <is>
          <t>●</t>
        </is>
      </c>
      <c r="F121" s="20" t="inlineStr">
        <is>
          <t>★女性活躍推進・次世代育成の行動計画の策定と情報公表（男女の賃金差異・女性管理職比率）</t>
        </is>
      </c>
      <c r="G121" s="20" t="n"/>
      <c r="H121" s="20" t="n"/>
      <c r="I121" s="21" t="inlineStr">
        <is>
          <t>従業員マスタ、給与・賞与計算結果、異動・発令履歴</t>
        </is>
      </c>
      <c r="J121" s="22" t="inlineStr">
        <is>
          <t>ダイバーシティ行動計画・指標</t>
        </is>
      </c>
      <c r="K121" s="23" t="inlineStr">
        <is>
          <t>女性活躍推進法</t>
        </is>
      </c>
      <c r="L121" s="20" t="inlineStr">
        <is>
          <t>人事企画／労働局</t>
        </is>
      </c>
    </row>
    <row r="122" ht="26.25" customHeight="1">
      <c r="A122" s="18" t="inlineStr">
        <is>
          <t>05-05-02</t>
        </is>
      </c>
      <c r="B122" s="19" t="n"/>
      <c r="C122" s="19" t="n"/>
      <c r="D122" s="19" t="n"/>
      <c r="E122" s="19" t="inlineStr">
        <is>
          <t>●</t>
        </is>
      </c>
      <c r="F122" s="20" t="inlineStr">
        <is>
          <t>★障害者雇用の推進と雇用状況報告（法定雇用率）</t>
        </is>
      </c>
      <c r="G122" s="20" t="n"/>
      <c r="H122" s="20" t="n"/>
      <c r="I122" s="21" t="inlineStr">
        <is>
          <t>従業員マスタ</t>
        </is>
      </c>
      <c r="J122" s="22" t="inlineStr">
        <is>
          <t>ダイバーシティ行動計画・指標</t>
        </is>
      </c>
      <c r="K122" s="23" t="inlineStr">
        <is>
          <t>障害者雇用促進法</t>
        </is>
      </c>
      <c r="L122" s="20" t="inlineStr">
        <is>
          <t>人事・配属部門／ハローワーク</t>
        </is>
      </c>
    </row>
    <row r="123" ht="26.25" customHeight="1">
      <c r="A123" s="18" t="inlineStr">
        <is>
          <t>05-05-03</t>
        </is>
      </c>
      <c r="B123" s="19" t="n"/>
      <c r="C123" s="19" t="n"/>
      <c r="D123" s="19" t="n"/>
      <c r="E123" s="19" t="inlineStr">
        <is>
          <t>●</t>
        </is>
      </c>
      <c r="F123" s="20" t="inlineStr">
        <is>
          <t>★男性の育児休業取得率の公表</t>
        </is>
      </c>
      <c r="G123" s="20" t="n"/>
      <c r="H123" s="20" t="n"/>
      <c r="I123" s="21" t="inlineStr">
        <is>
          <t>休暇・休業記録</t>
        </is>
      </c>
      <c r="J123" s="22" t="inlineStr">
        <is>
          <t>ダイバーシティ行動計画・指標</t>
        </is>
      </c>
      <c r="K123" s="23" t="inlineStr">
        <is>
          <t>育介法</t>
        </is>
      </c>
      <c r="L123" s="20" t="inlineStr">
        <is>
          <t>人事企画／—</t>
        </is>
      </c>
    </row>
    <row r="124" ht="26.25" customHeight="1">
      <c r="A124" s="18" t="inlineStr">
        <is>
          <t>05-05-04</t>
        </is>
      </c>
      <c r="B124" s="19" t="n"/>
      <c r="C124" s="19" t="n"/>
      <c r="D124" s="19" t="n"/>
      <c r="E124" s="19" t="inlineStr">
        <is>
          <t>●</t>
        </is>
      </c>
      <c r="F124" s="20" t="inlineStr">
        <is>
          <t>★高年齢者の役割設計と職域開発</t>
        </is>
      </c>
      <c r="G124" s="20" t="n"/>
      <c r="H124" s="20" t="n"/>
      <c r="I124" s="21" t="inlineStr">
        <is>
          <t>従業員マスタ、職務・ポジション</t>
        </is>
      </c>
      <c r="J124" s="22" t="inlineStr">
        <is>
          <t>職務・ポジション</t>
        </is>
      </c>
      <c r="K124" s="23" t="inlineStr">
        <is>
          <t>高年法</t>
        </is>
      </c>
      <c r="L124" s="20" t="inlineStr">
        <is>
          <t>人事・事業部門／—</t>
        </is>
      </c>
    </row>
    <row r="125" ht="26.25" customHeight="1">
      <c r="A125" s="18" t="inlineStr">
        <is>
          <t>05-05-05</t>
        </is>
      </c>
      <c r="B125" s="19" t="n"/>
      <c r="C125" s="19" t="n"/>
      <c r="D125" s="19" t="n"/>
      <c r="E125" s="19" t="inlineStr">
        <is>
          <t>●</t>
        </is>
      </c>
      <c r="F125" s="20" t="inlineStr">
        <is>
          <t>★人的資本情報の開示（有価証券報告書）</t>
        </is>
      </c>
      <c r="G125" s="20" t="n"/>
      <c r="H125" s="20" t="n"/>
      <c r="I125" s="21" t="inlineStr">
        <is>
          <t>ダイバーシティ行動計画・指標、受講記録、エンゲージメント調査結果、人事戦略・人的資本KPI</t>
        </is>
      </c>
      <c r="J125" s="22" t="inlineStr">
        <is>
          <t>人的資本開示情報</t>
        </is>
      </c>
      <c r="K125" s="23" t="inlineStr">
        <is>
          <t>金商法</t>
        </is>
      </c>
      <c r="L125" s="20" t="inlineStr">
        <is>
          <t>人事企画・IR・経理／監査法人</t>
        </is>
      </c>
    </row>
    <row r="126" ht="26.25" customHeight="1">
      <c r="A126" s="10" t="inlineStr">
        <is>
          <t>06</t>
        </is>
      </c>
      <c r="B126" s="11" t="n"/>
      <c r="C126" s="11" t="inlineStr">
        <is>
          <t>●</t>
        </is>
      </c>
      <c r="D126" s="11" t="n"/>
      <c r="E126" s="11" t="n"/>
      <c r="F126" s="12" t="inlineStr">
        <is>
          <t>退職・オフボーディング</t>
        </is>
      </c>
      <c r="G126" s="13" t="inlineStr">
        <is>
          <t>退職の申出・定年・契約満了などから、手続き・精算・引継ぎを行い、雇用関係を円満に終えるまでの段階</t>
        </is>
      </c>
      <c r="H126" s="13" t="inlineStr">
        <is>
          <t>雇用関係の終了（退職後の手続き完了）</t>
        </is>
      </c>
      <c r="I126" s="13" t="n"/>
      <c r="J126" s="13" t="n"/>
      <c r="K126" s="10" t="n"/>
      <c r="L126" s="13" t="n"/>
    </row>
    <row r="127" ht="26.25" customHeight="1">
      <c r="A127" s="14" t="inlineStr">
        <is>
          <t>06-01</t>
        </is>
      </c>
      <c r="B127" s="15" t="n"/>
      <c r="C127" s="15" t="n"/>
      <c r="D127" s="15" t="inlineStr">
        <is>
          <t>●</t>
        </is>
      </c>
      <c r="E127" s="15" t="n"/>
      <c r="F127" s="16" t="inlineStr">
        <is>
          <t>退職の受付</t>
        </is>
      </c>
      <c r="G127" s="17" t="inlineStr">
        <is>
          <t>退職の申出・契約満了・解雇などの退職事由を確定し、理由を把握する</t>
        </is>
      </c>
      <c r="H127" s="17" t="n"/>
      <c r="I127" s="17" t="n"/>
      <c r="J127" s="17" t="n"/>
      <c r="K127" s="14" t="n"/>
      <c r="L127" s="17" t="n"/>
    </row>
    <row r="128" ht="26.25" customHeight="1">
      <c r="A128" s="18" t="inlineStr">
        <is>
          <t>06-01-01</t>
        </is>
      </c>
      <c r="B128" s="19" t="n"/>
      <c r="C128" s="19" t="n"/>
      <c r="D128" s="19" t="n"/>
      <c r="E128" s="19" t="inlineStr">
        <is>
          <t>●</t>
        </is>
      </c>
      <c r="F128" s="20" t="inlineStr">
        <is>
          <t>退職届の受理と退職日・最終出社日の確定</t>
        </is>
      </c>
      <c r="G128" s="20" t="n"/>
      <c r="H128" s="20" t="n"/>
      <c r="I128" s="21" t="inlineStr">
        <is>
          <t>従業員マスタ、休暇・休業記録</t>
        </is>
      </c>
      <c r="J128" s="22" t="inlineStr">
        <is>
          <t>退職情報</t>
        </is>
      </c>
      <c r="K128" s="23" t="inlineStr">
        <is>
          <t>労基法</t>
        </is>
      </c>
      <c r="L128" s="20" t="inlineStr">
        <is>
          <t>本人・上司・人事／—</t>
        </is>
      </c>
    </row>
    <row r="129" ht="26.25" customHeight="1">
      <c r="A129" s="18" t="inlineStr">
        <is>
          <t>06-01-02</t>
        </is>
      </c>
      <c r="B129" s="19" t="n"/>
      <c r="C129" s="19" t="n"/>
      <c r="D129" s="19" t="n"/>
      <c r="E129" s="19" t="inlineStr">
        <is>
          <t>●</t>
        </is>
      </c>
      <c r="F129" s="20" t="inlineStr">
        <is>
          <t>退職面談と退職理由の把握</t>
        </is>
      </c>
      <c r="G129" s="20" t="n"/>
      <c r="H129" s="20" t="n"/>
      <c r="I129" s="21" t="inlineStr">
        <is>
          <t>退職情報</t>
        </is>
      </c>
      <c r="J129" s="22" t="inlineStr">
        <is>
          <t>退職面談記録</t>
        </is>
      </c>
      <c r="K129" s="23" t="inlineStr">
        <is>
          <t>なし</t>
        </is>
      </c>
      <c r="L129" s="20" t="inlineStr">
        <is>
          <t>上司・人事／—</t>
        </is>
      </c>
    </row>
    <row r="130" ht="26.25" customHeight="1">
      <c r="A130" s="18" t="inlineStr">
        <is>
          <t>06-01-03</t>
        </is>
      </c>
      <c r="B130" s="19" t="n"/>
      <c r="C130" s="19" t="n"/>
      <c r="D130" s="19" t="n"/>
      <c r="E130" s="19" t="inlineStr">
        <is>
          <t>●</t>
        </is>
      </c>
      <c r="F130" s="20" t="inlineStr">
        <is>
          <t>★有期契約の更新・雇止めと無期転換の管理</t>
        </is>
      </c>
      <c r="G130" s="20" t="n"/>
      <c r="H130" s="20" t="n"/>
      <c r="I130" s="21" t="inlineStr">
        <is>
          <t>雇用契約</t>
        </is>
      </c>
      <c r="J130" s="22" t="inlineStr">
        <is>
          <t>雇用契約、退職情報</t>
        </is>
      </c>
      <c r="K130" s="23" t="inlineStr">
        <is>
          <t>労働契約法</t>
        </is>
      </c>
      <c r="L130" s="20" t="inlineStr">
        <is>
          <t>人事労務・上司／—</t>
        </is>
      </c>
    </row>
    <row r="131" ht="26.25" customHeight="1">
      <c r="A131" s="18" t="inlineStr">
        <is>
          <t>06-01-04</t>
        </is>
      </c>
      <c r="B131" s="19" t="n"/>
      <c r="C131" s="19" t="n"/>
      <c r="D131" s="19" t="n"/>
      <c r="E131" s="19" t="inlineStr">
        <is>
          <t>●</t>
        </is>
      </c>
      <c r="F131" s="20" t="inlineStr">
        <is>
          <t>懲戒・解雇の手続き（弁明の機会・解雇予告を含む）</t>
        </is>
      </c>
      <c r="G131" s="20" t="n"/>
      <c r="H131" s="20" t="n"/>
      <c r="I131" s="21" t="inlineStr">
        <is>
          <t>相談・ハラスメント事案記録、就業規則・人事規程</t>
        </is>
      </c>
      <c r="J131" s="22" t="inlineStr">
        <is>
          <t>退職情報、相談・ハラスメント事案記録</t>
        </is>
      </c>
      <c r="K131" s="23" t="inlineStr">
        <is>
          <t>労基法・労働契約法</t>
        </is>
      </c>
      <c r="L131" s="20" t="inlineStr">
        <is>
          <t>人事・法務／弁護士</t>
        </is>
      </c>
    </row>
    <row r="132" ht="26.25" customHeight="1">
      <c r="A132" s="14" t="inlineStr">
        <is>
          <t>06-02</t>
        </is>
      </c>
      <c r="B132" s="15" t="n"/>
      <c r="C132" s="15" t="n"/>
      <c r="D132" s="15" t="inlineStr">
        <is>
          <t>●</t>
        </is>
      </c>
      <c r="E132" s="15" t="n"/>
      <c r="F132" s="16" t="inlineStr">
        <is>
          <t>定年・再雇用</t>
        </is>
      </c>
      <c r="G132" s="17" t="inlineStr">
        <is>
          <t>定年到達者の継続雇用の意向を確かめ、再雇用と70歳までの就業機会を確保する</t>
        </is>
      </c>
      <c r="H132" s="17" t="n"/>
      <c r="I132" s="17" t="n"/>
      <c r="J132" s="17" t="n"/>
      <c r="K132" s="14" t="n"/>
      <c r="L132" s="17" t="n"/>
    </row>
    <row r="133" ht="26.25" customHeight="1">
      <c r="A133" s="18" t="inlineStr">
        <is>
          <t>06-02-01</t>
        </is>
      </c>
      <c r="B133" s="19" t="n"/>
      <c r="C133" s="19" t="n"/>
      <c r="D133" s="19" t="n"/>
      <c r="E133" s="19" t="inlineStr">
        <is>
          <t>●</t>
        </is>
      </c>
      <c r="F133" s="20" t="inlineStr">
        <is>
          <t>★定年到達予定者の把握と継続雇用の意向確認</t>
        </is>
      </c>
      <c r="G133" s="20" t="n"/>
      <c r="H133" s="20" t="n"/>
      <c r="I133" s="21" t="inlineStr">
        <is>
          <t>従業員マスタ</t>
        </is>
      </c>
      <c r="J133" s="22" t="inlineStr">
        <is>
          <t>定年・再雇用情報</t>
        </is>
      </c>
      <c r="K133" s="23" t="inlineStr">
        <is>
          <t>高年法</t>
        </is>
      </c>
      <c r="L133" s="20" t="inlineStr">
        <is>
          <t>人事・上司／—</t>
        </is>
      </c>
    </row>
    <row r="134" ht="26.25" customHeight="1">
      <c r="A134" s="18" t="inlineStr">
        <is>
          <t>06-02-02</t>
        </is>
      </c>
      <c r="B134" s="19" t="n"/>
      <c r="C134" s="19" t="n"/>
      <c r="D134" s="19" t="n"/>
      <c r="E134" s="19" t="inlineStr">
        <is>
          <t>●</t>
        </is>
      </c>
      <c r="F134" s="20" t="inlineStr">
        <is>
          <t>★再雇用契約の締結と処遇の決定</t>
        </is>
      </c>
      <c r="G134" s="20" t="n"/>
      <c r="H134" s="20" t="n"/>
      <c r="I134" s="21" t="inlineStr">
        <is>
          <t>定年・再雇用情報、報酬テーブル</t>
        </is>
      </c>
      <c r="J134" s="22" t="inlineStr">
        <is>
          <t>雇用契約、定年・再雇用情報</t>
        </is>
      </c>
      <c r="K134" s="23" t="inlineStr">
        <is>
          <t>高年法・パート有期法</t>
        </is>
      </c>
      <c r="L134" s="20" t="inlineStr">
        <is>
          <t>人事・本人／—</t>
        </is>
      </c>
    </row>
    <row r="135" ht="26.25" customHeight="1">
      <c r="A135" s="18" t="inlineStr">
        <is>
          <t>06-02-03</t>
        </is>
      </c>
      <c r="B135" s="19" t="n"/>
      <c r="C135" s="19" t="n"/>
      <c r="D135" s="19" t="n"/>
      <c r="E135" s="19" t="inlineStr">
        <is>
          <t>●</t>
        </is>
      </c>
      <c r="F135" s="20" t="inlineStr">
        <is>
          <t>★70歳までの就業機会の確保措置の運用</t>
        </is>
      </c>
      <c r="G135" s="20" t="n"/>
      <c r="H135" s="20" t="n"/>
      <c r="I135" s="21" t="inlineStr">
        <is>
          <t>定年・再雇用情報</t>
        </is>
      </c>
      <c r="J135" s="22" t="inlineStr">
        <is>
          <t>定年・再雇用情報</t>
        </is>
      </c>
      <c r="K135" s="23" t="inlineStr">
        <is>
          <t>高年法</t>
        </is>
      </c>
      <c r="L135" s="20" t="inlineStr">
        <is>
          <t>人事／—</t>
        </is>
      </c>
    </row>
    <row r="136" ht="26.25" customHeight="1">
      <c r="A136" s="14" t="inlineStr">
        <is>
          <t>06-03</t>
        </is>
      </c>
      <c r="B136" s="15" t="n"/>
      <c r="C136" s="15" t="n"/>
      <c r="D136" s="15" t="inlineStr">
        <is>
          <t>●</t>
        </is>
      </c>
      <c r="E136" s="15" t="n"/>
      <c r="F136" s="16" t="inlineStr">
        <is>
          <t>退職手続き</t>
        </is>
      </c>
      <c r="G136" s="17" t="inlineStr">
        <is>
          <t>最終給与・退職金を精算し、保険・税の手続きと書類の交付を行う</t>
        </is>
      </c>
      <c r="H136" s="17" t="n"/>
      <c r="I136" s="17" t="n"/>
      <c r="J136" s="17" t="n"/>
      <c r="K136" s="14" t="n"/>
      <c r="L136" s="17" t="n"/>
    </row>
    <row r="137" ht="26.25" customHeight="1">
      <c r="A137" s="18" t="inlineStr">
        <is>
          <t>06-03-01</t>
        </is>
      </c>
      <c r="B137" s="19" t="n"/>
      <c r="C137" s="19" t="n"/>
      <c r="D137" s="19" t="n"/>
      <c r="E137" s="19" t="inlineStr">
        <is>
          <t>●</t>
        </is>
      </c>
      <c r="F137" s="20" t="inlineStr">
        <is>
          <t>最終給与・退職金の精算</t>
        </is>
      </c>
      <c r="G137" s="20" t="n"/>
      <c r="H137" s="20" t="n"/>
      <c r="I137" s="21" t="inlineStr">
        <is>
          <t>退職情報、給与・賞与計算結果、退職給付情報、勤務予定・勤怠記録</t>
        </is>
      </c>
      <c r="J137" s="22" t="inlineStr">
        <is>
          <t>給与・賞与計算結果、退職給付情報</t>
        </is>
      </c>
      <c r="K137" s="23" t="inlineStr">
        <is>
          <t>労基法・税法</t>
        </is>
      </c>
      <c r="L137" s="20" t="inlineStr">
        <is>
          <t>人事労務／信託銀行</t>
        </is>
      </c>
    </row>
    <row r="138" ht="26.25" customHeight="1">
      <c r="A138" s="18" t="inlineStr">
        <is>
          <t>06-03-02</t>
        </is>
      </c>
      <c r="B138" s="19" t="n"/>
      <c r="C138" s="19" t="n"/>
      <c r="D138" s="19" t="n"/>
      <c r="E138" s="19" t="inlineStr">
        <is>
          <t>●</t>
        </is>
      </c>
      <c r="F138" s="20" t="inlineStr">
        <is>
          <t>★社会保険・雇用保険の資格喪失届と離職票の交付</t>
        </is>
      </c>
      <c r="G138" s="20" t="n"/>
      <c r="H138" s="20" t="n"/>
      <c r="I138" s="21" t="inlineStr">
        <is>
          <t>退職情報、社会保険・雇用保険の資格情報、賃金台帳</t>
        </is>
      </c>
      <c r="J138" s="22" t="inlineStr">
        <is>
          <t>資格喪失届・離職票、社会保険・雇用保険の資格情報</t>
        </is>
      </c>
      <c r="K138" s="23" t="inlineStr">
        <is>
          <t>社会保険・雇用保険</t>
        </is>
      </c>
      <c r="L138" s="20" t="inlineStr">
        <is>
          <t>人事労務／年金事務所、ハローワーク</t>
        </is>
      </c>
    </row>
    <row r="139" ht="26.25" customHeight="1">
      <c r="A139" s="18" t="inlineStr">
        <is>
          <t>06-03-03</t>
        </is>
      </c>
      <c r="B139" s="19" t="n"/>
      <c r="C139" s="19" t="n"/>
      <c r="D139" s="19" t="n"/>
      <c r="E139" s="19" t="inlineStr">
        <is>
          <t>●</t>
        </is>
      </c>
      <c r="F139" s="20" t="inlineStr">
        <is>
          <t>源泉徴収票・退職所得の源泉徴収票・退職証明書の交付</t>
        </is>
      </c>
      <c r="G139" s="20" t="n"/>
      <c r="H139" s="20" t="n"/>
      <c r="I139" s="21" t="inlineStr">
        <is>
          <t>給与・賞与計算結果、退職情報</t>
        </is>
      </c>
      <c r="J139" s="22" t="inlineStr">
        <is>
          <t>退職時交付書類</t>
        </is>
      </c>
      <c r="K139" s="23" t="inlineStr">
        <is>
          <t>税法・労基法</t>
        </is>
      </c>
      <c r="L139" s="20" t="inlineStr">
        <is>
          <t>人事労務／—</t>
        </is>
      </c>
    </row>
    <row r="140" ht="26.25" customHeight="1">
      <c r="A140" s="18" t="inlineStr">
        <is>
          <t>06-03-04</t>
        </is>
      </c>
      <c r="B140" s="19" t="n"/>
      <c r="C140" s="19" t="n"/>
      <c r="D140" s="19" t="n"/>
      <c r="E140" s="19" t="inlineStr">
        <is>
          <t>●</t>
        </is>
      </c>
      <c r="F140" s="20" t="inlineStr">
        <is>
          <t>★住民税の特別徴収に係る異動届の提出</t>
        </is>
      </c>
      <c r="G140" s="20" t="n"/>
      <c r="H140" s="20" t="n"/>
      <c r="I140" s="21" t="inlineStr">
        <is>
          <t>住民税特別徴収情報、退職情報</t>
        </is>
      </c>
      <c r="J140" s="22" t="inlineStr">
        <is>
          <t>住民税特別徴収情報</t>
        </is>
      </c>
      <c r="K140" s="23" t="inlineStr">
        <is>
          <t>税法</t>
        </is>
      </c>
      <c r="L140" s="20" t="inlineStr">
        <is>
          <t>人事労務／市区町村</t>
        </is>
      </c>
    </row>
    <row r="141" ht="26.25" customHeight="1">
      <c r="A141" s="14" t="inlineStr">
        <is>
          <t>06-04</t>
        </is>
      </c>
      <c r="B141" s="15" t="n"/>
      <c r="C141" s="15" t="n"/>
      <c r="D141" s="15" t="inlineStr">
        <is>
          <t>●</t>
        </is>
      </c>
      <c r="E141" s="15" t="n"/>
      <c r="F141" s="16" t="inlineStr">
        <is>
          <t>オフボーディング</t>
        </is>
      </c>
      <c r="G141" s="17" t="inlineStr">
        <is>
          <t>引継ぎ・返却・アカウント停止を行い、記録を保管し、退職者との関係を保つ</t>
        </is>
      </c>
      <c r="H141" s="17" t="n"/>
      <c r="I141" s="17" t="n"/>
      <c r="J141" s="17" t="n"/>
      <c r="K141" s="14" t="n"/>
      <c r="L141" s="17" t="n"/>
    </row>
    <row r="142" ht="26.25" customHeight="1">
      <c r="A142" s="18" t="inlineStr">
        <is>
          <t>06-04-01</t>
        </is>
      </c>
      <c r="B142" s="19" t="n"/>
      <c r="C142" s="19" t="n"/>
      <c r="D142" s="19" t="n"/>
      <c r="E142" s="19" t="inlineStr">
        <is>
          <t>●</t>
        </is>
      </c>
      <c r="F142" s="20" t="inlineStr">
        <is>
          <t>業務・ナレッジの引継ぎ</t>
        </is>
      </c>
      <c r="G142" s="20" t="n"/>
      <c r="H142" s="20" t="n"/>
      <c r="I142" s="21" t="inlineStr">
        <is>
          <t>退職情報、職務・ポジション</t>
        </is>
      </c>
      <c r="J142" s="22" t="inlineStr">
        <is>
          <t>引継ぎ記録</t>
        </is>
      </c>
      <c r="K142" s="23" t="inlineStr">
        <is>
          <t>なし</t>
        </is>
      </c>
      <c r="L142" s="20" t="inlineStr">
        <is>
          <t>本人・上司・後任／—</t>
        </is>
      </c>
    </row>
    <row r="143" ht="26.25" customHeight="1">
      <c r="A143" s="18" t="inlineStr">
        <is>
          <t>06-04-02</t>
        </is>
      </c>
      <c r="B143" s="19" t="n"/>
      <c r="C143" s="19" t="n"/>
      <c r="D143" s="19" t="n"/>
      <c r="E143" s="19" t="inlineStr">
        <is>
          <t>●</t>
        </is>
      </c>
      <c r="F143" s="20" t="inlineStr">
        <is>
          <t>貸与物の返却とアカウントの停止</t>
        </is>
      </c>
      <c r="G143" s="20" t="n"/>
      <c r="H143" s="20" t="n"/>
      <c r="I143" s="21" t="inlineStr">
        <is>
          <t>退職情報、貸与物・アカウント記録</t>
        </is>
      </c>
      <c r="J143" s="22" t="inlineStr">
        <is>
          <t>貸与物・アカウント記録</t>
        </is>
      </c>
      <c r="K143" s="23" t="inlineStr">
        <is>
          <t>なし</t>
        </is>
      </c>
      <c r="L143" s="20" t="inlineStr">
        <is>
          <t>人事・情報システム／—</t>
        </is>
      </c>
    </row>
    <row r="144" ht="26.25" customHeight="1">
      <c r="A144" s="18" t="inlineStr">
        <is>
          <t>06-04-03</t>
        </is>
      </c>
      <c r="B144" s="19" t="n"/>
      <c r="C144" s="19" t="n"/>
      <c r="D144" s="19" t="n"/>
      <c r="E144" s="19" t="inlineStr">
        <is>
          <t>●</t>
        </is>
      </c>
      <c r="F144" s="20" t="inlineStr">
        <is>
          <t>秘密保持・競業避止の確認</t>
        </is>
      </c>
      <c r="G144" s="20" t="n"/>
      <c r="H144" s="20" t="n"/>
      <c r="I144" s="21" t="inlineStr">
        <is>
          <t>退職情報、入社書類</t>
        </is>
      </c>
      <c r="J144" s="22" t="inlineStr">
        <is>
          <t>退職時交付書類</t>
        </is>
      </c>
      <c r="K144" s="23" t="inlineStr">
        <is>
          <t>不正競争防止法</t>
        </is>
      </c>
      <c r="L144" s="20" t="inlineStr">
        <is>
          <t>人事・法務／—</t>
        </is>
      </c>
    </row>
    <row r="145" ht="26.25" customHeight="1">
      <c r="A145" s="18" t="inlineStr">
        <is>
          <t>06-04-04</t>
        </is>
      </c>
      <c r="B145" s="19" t="n"/>
      <c r="C145" s="19" t="n"/>
      <c r="D145" s="19" t="n"/>
      <c r="E145" s="19" t="inlineStr">
        <is>
          <t>●</t>
        </is>
      </c>
      <c r="F145" s="20" t="inlineStr">
        <is>
          <t>★退職者の記録の保存と廃棄（法定帳簿・マイナンバーの保存期間の管理）</t>
        </is>
      </c>
      <c r="G145" s="20" t="n"/>
      <c r="H145" s="20" t="n"/>
      <c r="I145" s="21" t="inlineStr">
        <is>
          <t>労働者名簿、賃金台帳、マイナンバー、退職情報</t>
        </is>
      </c>
      <c r="J145" s="22" t="inlineStr">
        <is>
          <t>労働者名簿</t>
        </is>
      </c>
      <c r="K145" s="23" t="inlineStr">
        <is>
          <t>労基法・番号法</t>
        </is>
      </c>
      <c r="L145" s="20" t="inlineStr">
        <is>
          <t>人事労務／—</t>
        </is>
      </c>
    </row>
    <row r="146" ht="26.25" customHeight="1">
      <c r="A146" s="18" t="inlineStr">
        <is>
          <t>06-04-05</t>
        </is>
      </c>
      <c r="B146" s="19" t="n"/>
      <c r="C146" s="19" t="n"/>
      <c r="D146" s="19" t="n"/>
      <c r="E146" s="19" t="inlineStr">
        <is>
          <t>●</t>
        </is>
      </c>
      <c r="F146" s="20" t="inlineStr">
        <is>
          <t>離職分析とアルムナイ・ネットワークの運営</t>
        </is>
      </c>
      <c r="G146" s="20" t="n"/>
      <c r="H146" s="20" t="n"/>
      <c r="I146" s="21" t="inlineStr">
        <is>
          <t>退職面談記録、退職情報</t>
        </is>
      </c>
      <c r="J146" s="22" t="inlineStr">
        <is>
          <t>アルムナイ情報</t>
        </is>
      </c>
      <c r="K146" s="23" t="inlineStr">
        <is>
          <t>個人情報保護法</t>
        </is>
      </c>
      <c r="L146" s="20" t="inlineStr">
        <is>
          <t>人事／—</t>
        </is>
      </c>
    </row>
  </sheetData>
  <autoFilter ref="A3:L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J139"/>
  <sheetViews>
    <sheetView showGridLines="1"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.5" customWidth="1" min="2" max="2"/>
    <col width="30" customWidth="1" min="5" max="5"/>
    <col width="46" customWidth="1" min="6" max="6"/>
    <col width="8" customWidth="1" min="7" max="7"/>
    <col width="30" customWidth="1" min="8" max="8"/>
    <col width="32" customWidth="1" min="9" max="9"/>
    <col width="26" customWidth="1" min="10" max="10"/>
  </cols>
  <sheetData>
    <row r="1" ht="21" customHeight="1">
      <c r="A1" s="1" t="inlineStr">
        <is>
          <t>ビジネス・ケイパビリティマップ（L1〜L3）</t>
        </is>
      </c>
    </row>
    <row r="2" ht="15" customHeight="1">
      <c r="A2" s="2" t="inlineStr">
        <is>
          <t>対象：日本の事業会社（正社員中心、新卒・経験者採用、月給制）／日本の法令・制度基準（労基法・安衛法・社会保険・税法ほか）。1行1項目。L1〜L3列の●がその行のレベル。区分はL1、範囲・アウトカムはL3の項目。★＝日本の制度・雇用慣行に固有、または特に強調する能力。</t>
        </is>
      </c>
    </row>
    <row r="3" ht="30" customHeight="1">
      <c r="A3" s="3" t="inlineStr">
        <is>
          <t>ID</t>
        </is>
      </c>
      <c r="B3" s="3" t="inlineStr">
        <is>
          <t>L1</t>
        </is>
      </c>
      <c r="C3" s="3" t="inlineStr">
        <is>
          <t>L2</t>
        </is>
      </c>
      <c r="D3" s="3" t="inlineStr">
        <is>
          <t>L3</t>
        </is>
      </c>
      <c r="E3" s="4" t="inlineStr">
        <is>
          <t>ケイパビリティ名</t>
        </is>
      </c>
      <c r="F3" s="4" t="inlineStr">
        <is>
          <t>ケイパビリティの定義</t>
        </is>
      </c>
      <c r="G3" s="4" t="inlineStr">
        <is>
          <t>区分</t>
        </is>
      </c>
      <c r="H3" s="4" t="inlineStr">
        <is>
          <t>範囲（含む）</t>
        </is>
      </c>
      <c r="I3" s="4" t="inlineStr">
        <is>
          <t>範囲（含まない）</t>
        </is>
      </c>
      <c r="J3" s="4" t="inlineStr">
        <is>
          <t>アウトカム</t>
        </is>
      </c>
    </row>
    <row r="4" ht="26.25" customHeight="1">
      <c r="A4" s="6" t="inlineStr">
        <is>
          <t>C01</t>
        </is>
      </c>
      <c r="B4" s="7" t="inlineStr">
        <is>
          <t>●</t>
        </is>
      </c>
      <c r="C4" s="7" t="n"/>
      <c r="D4" s="7" t="n"/>
      <c r="E4" s="24" t="inlineStr">
        <is>
          <t>人事戦略・組織設計</t>
        </is>
      </c>
      <c r="F4" s="9" t="inlineStr">
        <is>
          <t>経営戦略を人と組織の方針に落とし込み、要員・人件費・組織・等級の枠組みを定める能力</t>
        </is>
      </c>
      <c r="G4" s="25" t="inlineStr">
        <is>
          <t>戦略</t>
        </is>
      </c>
      <c r="H4" s="9" t="n"/>
      <c r="I4" s="9" t="n"/>
      <c r="J4" s="9" t="n"/>
    </row>
    <row r="5" ht="26.25" customHeight="1">
      <c r="A5" s="10" t="inlineStr">
        <is>
          <t>C01-01</t>
        </is>
      </c>
      <c r="B5" s="11" t="n"/>
      <c r="C5" s="11" t="inlineStr">
        <is>
          <t>●</t>
        </is>
      </c>
      <c r="D5" s="11" t="n"/>
      <c r="E5" s="12" t="inlineStr">
        <is>
          <t>人事戦略・人的資本経営★</t>
        </is>
      </c>
      <c r="F5" s="13" t="inlineStr">
        <is>
          <t>経営戦略と連動した人事戦略と人的資本の指標を定め、人事制度・規程と開示を統制する</t>
        </is>
      </c>
      <c r="G5" s="10" t="n"/>
      <c r="H5" s="26" t="n"/>
      <c r="I5" s="26" t="n"/>
      <c r="J5" s="26" t="n"/>
    </row>
    <row r="6" ht="26.25" customHeight="1">
      <c r="A6" s="14" t="inlineStr">
        <is>
          <t>C01-01-01</t>
        </is>
      </c>
      <c r="B6" s="15" t="n"/>
      <c r="C6" s="15" t="n"/>
      <c r="D6" s="15" t="inlineStr">
        <is>
          <t>●</t>
        </is>
      </c>
      <c r="E6" s="17" t="inlineStr">
        <is>
          <t>人事戦略策定</t>
        </is>
      </c>
      <c r="F6" s="17" t="inlineStr">
        <is>
          <t>経営戦略・事業計画を受けて、人材・組織の方針と重点施策を定める</t>
        </is>
      </c>
      <c r="G6" s="14" t="n"/>
      <c r="H6" s="17" t="inlineStr">
        <is>
          <t>人材ポートフォリオの方針、重点施策、人的資本KPIの設定</t>
        </is>
      </c>
      <c r="I6" s="17" t="inlineStr">
        <is>
          <t>要員数の計画（C01-02-01）</t>
        </is>
      </c>
      <c r="J6" s="17" t="inlineStr">
        <is>
          <t>経営戦略と連動した人事戦略</t>
        </is>
      </c>
    </row>
    <row r="7" ht="26.25" customHeight="1">
      <c r="A7" s="14" t="inlineStr">
        <is>
          <t>C01-01-02</t>
        </is>
      </c>
      <c r="B7" s="15" t="n"/>
      <c r="C7" s="15" t="n"/>
      <c r="D7" s="15" t="inlineStr">
        <is>
          <t>●</t>
        </is>
      </c>
      <c r="E7" s="17" t="inlineStr">
        <is>
          <t>人的資本情報の開示★</t>
        </is>
      </c>
      <c r="F7" s="17" t="inlineStr">
        <is>
          <t>有価証券報告書・統合報告書などで人的資本の方針・指標を開示する</t>
        </is>
      </c>
      <c r="G7" s="14" t="n"/>
      <c r="H7" s="17" t="inlineStr">
        <is>
          <t>人材育成方針・社内環境整備方針、指標と目標、女性管理職比率・男性育休取得率・男女賃金差異の開示</t>
        </is>
      </c>
      <c r="I7" s="17" t="inlineStr">
        <is>
          <t>女性活躍推進法の行動計画策定（C07-04-01）</t>
        </is>
      </c>
      <c r="J7" s="17" t="inlineStr">
        <is>
          <t>投資家・求職者に信頼される人的資本の開示</t>
        </is>
      </c>
    </row>
    <row r="8" ht="26.25" customHeight="1">
      <c r="A8" s="14" t="inlineStr">
        <is>
          <t>C01-01-03</t>
        </is>
      </c>
      <c r="B8" s="15" t="n"/>
      <c r="C8" s="15" t="n"/>
      <c r="D8" s="15" t="inlineStr">
        <is>
          <t>●</t>
        </is>
      </c>
      <c r="E8" s="17" t="inlineStr">
        <is>
          <t>就業規則・人事規程管理★</t>
        </is>
      </c>
      <c r="F8" s="17" t="inlineStr">
        <is>
          <t>就業規則・人事規程を制定・改定し、労働基準監督署への届出と従業員への周知を行う</t>
        </is>
      </c>
      <c r="G8" s="14" t="n"/>
      <c r="H8" s="17" t="inlineStr">
        <is>
          <t>規程の起案・改定、過半数代表の意見聴取、届出、周知</t>
        </is>
      </c>
      <c r="I8" s="17" t="inlineStr">
        <is>
          <t>労使協定の締結（C06-03-01）</t>
        </is>
      </c>
      <c r="J8" s="17" t="inlineStr">
        <is>
          <t>法令に適合し、周知された就業規則</t>
        </is>
      </c>
    </row>
    <row r="9" ht="26.25" customHeight="1">
      <c r="A9" s="10" t="inlineStr">
        <is>
          <t>C01-02</t>
        </is>
      </c>
      <c r="B9" s="11" t="n"/>
      <c r="C9" s="11" t="inlineStr">
        <is>
          <t>●</t>
        </is>
      </c>
      <c r="D9" s="11" t="n"/>
      <c r="E9" s="12" t="inlineStr">
        <is>
          <t>要員計画・人件費管理</t>
        </is>
      </c>
      <c r="F9" s="13" t="inlineStr">
        <is>
          <t>事業計画に必要な人員と人件費を計画し、実績を管理する</t>
        </is>
      </c>
      <c r="G9" s="10" t="n"/>
      <c r="H9" s="26" t="n"/>
      <c r="I9" s="26" t="n"/>
      <c r="J9" s="26" t="n"/>
    </row>
    <row r="10" ht="26.25" customHeight="1">
      <c r="A10" s="14" t="inlineStr">
        <is>
          <t>C01-02-01</t>
        </is>
      </c>
      <c r="B10" s="15" t="n"/>
      <c r="C10" s="15" t="n"/>
      <c r="D10" s="15" t="inlineStr">
        <is>
          <t>●</t>
        </is>
      </c>
      <c r="E10" s="17" t="inlineStr">
        <is>
          <t>要員計画策定</t>
        </is>
      </c>
      <c r="F10" s="17" t="inlineStr">
        <is>
          <t>事業計画から職種・等級・雇用区分別の必要人員と過不足を見積もる</t>
        </is>
      </c>
      <c r="G10" s="14" t="n"/>
      <c r="H10" s="17" t="inlineStr">
        <is>
          <t>必要人員の見積もり、過不足分析、採用・異動・育成での充足方針</t>
        </is>
      </c>
      <c r="I10" s="17" t="inlineStr">
        <is>
          <t>個々の採用計画（C02-01-01）</t>
        </is>
      </c>
      <c r="J10" s="17" t="inlineStr">
        <is>
          <t>事業計画を実現できる要員計画</t>
        </is>
      </c>
    </row>
    <row r="11" ht="26.25" customHeight="1">
      <c r="A11" s="14" t="inlineStr">
        <is>
          <t>C01-02-02</t>
        </is>
      </c>
      <c r="B11" s="15" t="n"/>
      <c r="C11" s="15" t="n"/>
      <c r="D11" s="15" t="inlineStr">
        <is>
          <t>●</t>
        </is>
      </c>
      <c r="E11" s="17" t="inlineStr">
        <is>
          <t>人件費予算・実績管理</t>
        </is>
      </c>
      <c r="F11" s="17" t="inlineStr">
        <is>
          <t>人件費の予算を立て、給与計算の結果から実績を把握する</t>
        </is>
      </c>
      <c r="G11" s="14" t="n"/>
      <c r="H11" s="17" t="inlineStr">
        <is>
          <t>人件費予算、人件費の会計計上、予実管理</t>
        </is>
      </c>
      <c r="I11" s="17" t="inlineStr">
        <is>
          <t>給与計算そのもの（C05-03-01）</t>
        </is>
      </c>
      <c r="J11" s="17" t="inlineStr">
        <is>
          <t>予算内に管理された人件費</t>
        </is>
      </c>
    </row>
    <row r="12" ht="26.25" customHeight="1">
      <c r="A12" s="14" t="inlineStr">
        <is>
          <t>C01-02-03</t>
        </is>
      </c>
      <c r="B12" s="15" t="n"/>
      <c r="C12" s="15" t="n"/>
      <c r="D12" s="15" t="inlineStr">
        <is>
          <t>●</t>
        </is>
      </c>
      <c r="E12" s="17" t="inlineStr">
        <is>
          <t>雇用形態ポートフォリオ管理</t>
        </is>
      </c>
      <c r="F12" s="17" t="inlineStr">
        <is>
          <t>正社員・有期契約・パートタイム・派遣・業務委託の構成を管理する</t>
        </is>
      </c>
      <c r="G12" s="14" t="n"/>
      <c r="H12" s="17" t="inlineStr">
        <is>
          <t>雇用形態別の構成、派遣受入れ期間の管理</t>
        </is>
      </c>
      <c r="I12" s="17" t="inlineStr">
        <is>
          <t>有期契約の更新手続き（C03-01-05）</t>
        </is>
      </c>
      <c r="J12" s="17" t="inlineStr">
        <is>
          <t>事業に合った雇用形態の組み合わせ</t>
        </is>
      </c>
    </row>
    <row r="13" ht="26.25" customHeight="1">
      <c r="A13" s="10" t="inlineStr">
        <is>
          <t>C01-03</t>
        </is>
      </c>
      <c r="B13" s="11" t="n"/>
      <c r="C13" s="11" t="inlineStr">
        <is>
          <t>●</t>
        </is>
      </c>
      <c r="D13" s="11" t="n"/>
      <c r="E13" s="12" t="inlineStr">
        <is>
          <t>組織・職務設計</t>
        </is>
      </c>
      <c r="F13" s="13" t="inlineStr">
        <is>
          <t>組織構造・職務・等級の枠組みを設計する</t>
        </is>
      </c>
      <c r="G13" s="10" t="n"/>
      <c r="H13" s="26" t="n"/>
      <c r="I13" s="26" t="n"/>
      <c r="J13" s="26" t="n"/>
    </row>
    <row r="14" ht="26.25" customHeight="1">
      <c r="A14" s="14" t="inlineStr">
        <is>
          <t>C01-03-01</t>
        </is>
      </c>
      <c r="B14" s="15" t="n"/>
      <c r="C14" s="15" t="n"/>
      <c r="D14" s="15" t="inlineStr">
        <is>
          <t>●</t>
        </is>
      </c>
      <c r="E14" s="17" t="inlineStr">
        <is>
          <t>組織設計・組織改編</t>
        </is>
      </c>
      <c r="F14" s="17" t="inlineStr">
        <is>
          <t>組織構造を設計し、組織改編を計画・実施する</t>
        </is>
      </c>
      <c r="G14" s="14" t="n"/>
      <c r="H14" s="17" t="inlineStr">
        <is>
          <t>組織図、組織改編、組織コード</t>
        </is>
      </c>
      <c r="I14" s="17" t="inlineStr">
        <is>
          <t>異動の発令（C07-01-02）</t>
        </is>
      </c>
      <c r="J14" s="17" t="inlineStr">
        <is>
          <t>事業戦略に合った組織</t>
        </is>
      </c>
    </row>
    <row r="15" ht="26.25" customHeight="1">
      <c r="A15" s="14" t="inlineStr">
        <is>
          <t>C01-03-02</t>
        </is>
      </c>
      <c r="B15" s="15" t="n"/>
      <c r="C15" s="15" t="n"/>
      <c r="D15" s="15" t="inlineStr">
        <is>
          <t>●</t>
        </is>
      </c>
      <c r="E15" s="17" t="inlineStr">
        <is>
          <t>職務・ポジション定義</t>
        </is>
      </c>
      <c r="F15" s="17" t="inlineStr">
        <is>
          <t>職務の役割・責任・要件と、ポジション（定員）を定義する</t>
        </is>
      </c>
      <c r="G15" s="14" t="n"/>
      <c r="H15" s="17" t="inlineStr">
        <is>
          <t>職務記述書、ポジション管理、職務要件</t>
        </is>
      </c>
      <c r="I15" s="17" t="inlineStr">
        <is>
          <t>スキル体系の定義（C04-02-01）</t>
        </is>
      </c>
      <c r="J15" s="17" t="inlineStr">
        <is>
          <t>役割と要件が明確な職務</t>
        </is>
      </c>
    </row>
    <row r="16" ht="26.25" customHeight="1">
      <c r="A16" s="14" t="inlineStr">
        <is>
          <t>C01-03-03</t>
        </is>
      </c>
      <c r="B16" s="15" t="n"/>
      <c r="C16" s="15" t="n"/>
      <c r="D16" s="15" t="inlineStr">
        <is>
          <t>●</t>
        </is>
      </c>
      <c r="E16" s="17" t="inlineStr">
        <is>
          <t>等級制度設計</t>
        </is>
      </c>
      <c r="F16" s="17" t="inlineStr">
        <is>
          <t>職能・職務・役割などに基づく等級制度を設計・改定する</t>
        </is>
      </c>
      <c r="G16" s="14" t="n"/>
      <c r="H16" s="17" t="inlineStr">
        <is>
          <t>等級の定義、等級と報酬・評価の対応</t>
        </is>
      </c>
      <c r="I16" s="17" t="inlineStr">
        <is>
          <t>賃金テーブルの設計（C05-02-01）</t>
        </is>
      </c>
      <c r="J16" s="17" t="inlineStr">
        <is>
          <t>期待役割が明確な等級制度</t>
        </is>
      </c>
    </row>
    <row r="17" ht="26.25" customHeight="1">
      <c r="A17" s="6" t="inlineStr">
        <is>
          <t>C02</t>
        </is>
      </c>
      <c r="B17" s="7" t="inlineStr">
        <is>
          <t>●</t>
        </is>
      </c>
      <c r="C17" s="7" t="n"/>
      <c r="D17" s="7" t="n"/>
      <c r="E17" s="24" t="inlineStr">
        <is>
          <t>タレント獲得</t>
        </is>
      </c>
      <c r="F17" s="9" t="inlineStr">
        <is>
          <t>必要な人材を惹きつけ、公正に選考して採用する能力</t>
        </is>
      </c>
      <c r="G17" s="25" t="inlineStr">
        <is>
          <t>コア</t>
        </is>
      </c>
      <c r="H17" s="9" t="n"/>
      <c r="I17" s="9" t="n"/>
      <c r="J17" s="9" t="n"/>
    </row>
    <row r="18" ht="26.25" customHeight="1">
      <c r="A18" s="10" t="inlineStr">
        <is>
          <t>C02-01</t>
        </is>
      </c>
      <c r="B18" s="11" t="n"/>
      <c r="C18" s="11" t="inlineStr">
        <is>
          <t>●</t>
        </is>
      </c>
      <c r="D18" s="11" t="n"/>
      <c r="E18" s="12" t="inlineStr">
        <is>
          <t>採用計画・採用ブランディング</t>
        </is>
      </c>
      <c r="F18" s="13" t="inlineStr">
        <is>
          <t>採用計画を立て、候補者に選ばれるための発信と採用チャネルを管理する</t>
        </is>
      </c>
      <c r="G18" s="10" t="n"/>
      <c r="H18" s="26" t="n"/>
      <c r="I18" s="26" t="n"/>
      <c r="J18" s="26" t="n"/>
    </row>
    <row r="19" ht="26.25" customHeight="1">
      <c r="A19" s="14" t="inlineStr">
        <is>
          <t>C02-01-01</t>
        </is>
      </c>
      <c r="B19" s="15" t="n"/>
      <c r="C19" s="15" t="n"/>
      <c r="D19" s="15" t="inlineStr">
        <is>
          <t>●</t>
        </is>
      </c>
      <c r="E19" s="17" t="inlineStr">
        <is>
          <t>採用計画策定</t>
        </is>
      </c>
      <c r="F19" s="17" t="inlineStr">
        <is>
          <t>要員計画から新卒・経験者別の採用人数・時期・予算を決める</t>
        </is>
      </c>
      <c r="G19" s="14" t="n"/>
      <c r="H19" s="17" t="inlineStr">
        <is>
          <t>採用人数・時期・予算、職種別の優先順位</t>
        </is>
      </c>
      <c r="I19" s="17" t="inlineStr">
        <is>
          <t>要員計画の策定（C01-02-01）</t>
        </is>
      </c>
      <c r="J19" s="17" t="inlineStr">
        <is>
          <t>要員計画と整合した採用計画</t>
        </is>
      </c>
    </row>
    <row r="20" ht="26.25" customHeight="1">
      <c r="A20" s="14" t="inlineStr">
        <is>
          <t>C02-01-02</t>
        </is>
      </c>
      <c r="B20" s="15" t="n"/>
      <c r="C20" s="15" t="n"/>
      <c r="D20" s="15" t="inlineStr">
        <is>
          <t>●</t>
        </is>
      </c>
      <c r="E20" s="17" t="inlineStr">
        <is>
          <t>採用ブランディング・採用広報</t>
        </is>
      </c>
      <c r="F20" s="17" t="inlineStr">
        <is>
          <t>会社の魅力と働き方を候補者に伝える</t>
        </is>
      </c>
      <c r="G20" s="14" t="n"/>
      <c r="H20" s="17" t="inlineStr">
        <is>
          <t>採用サイト、SNS、説明会資料、社員の発信</t>
        </is>
      </c>
      <c r="I20" s="17" t="inlineStr">
        <is>
          <t>商品・企業広報</t>
        </is>
      </c>
      <c r="J20" s="17" t="inlineStr">
        <is>
          <t>候補者から選ばれる雇用主のブランド</t>
        </is>
      </c>
    </row>
    <row r="21" ht="26.25" customHeight="1">
      <c r="A21" s="14" t="inlineStr">
        <is>
          <t>C02-01-03</t>
        </is>
      </c>
      <c r="B21" s="15" t="n"/>
      <c r="C21" s="15" t="n"/>
      <c r="D21" s="15" t="inlineStr">
        <is>
          <t>●</t>
        </is>
      </c>
      <c r="E21" s="17" t="inlineStr">
        <is>
          <t>採用チャネル管理</t>
        </is>
      </c>
      <c r="F21" s="17" t="inlineStr">
        <is>
          <t>求人媒体・人材紹介・リファラル・ダイレクトリクルーティングを選び、実績を管理する</t>
        </is>
      </c>
      <c r="G21" s="14" t="n"/>
      <c r="H21" s="17" t="inlineStr">
        <is>
          <t>チャネルの選定・契約、チャネル別の実績とコスト</t>
        </is>
      </c>
      <c r="I21" s="17" t="inlineStr">
        <is>
          <t>個々の候補者の選考（C02-03-02）</t>
        </is>
      </c>
      <c r="J21" s="17" t="inlineStr">
        <is>
          <t>費用対効果の高い採用チャネル</t>
        </is>
      </c>
    </row>
    <row r="22" ht="26.25" customHeight="1">
      <c r="A22" s="10" t="inlineStr">
        <is>
          <t>C02-02</t>
        </is>
      </c>
      <c r="B22" s="11" t="n"/>
      <c r="C22" s="11" t="inlineStr">
        <is>
          <t>●</t>
        </is>
      </c>
      <c r="D22" s="11" t="n"/>
      <c r="E22" s="12" t="inlineStr">
        <is>
          <t>新卒採用★</t>
        </is>
      </c>
      <c r="F22" s="13" t="inlineStr">
        <is>
          <t>学生を対象に、インターンシップから内定者フォローまでを一括して行う</t>
        </is>
      </c>
      <c r="G22" s="10" t="n"/>
      <c r="H22" s="26" t="n"/>
      <c r="I22" s="26" t="n"/>
      <c r="J22" s="26" t="n"/>
    </row>
    <row r="23" ht="26.25" customHeight="1">
      <c r="A23" s="14" t="inlineStr">
        <is>
          <t>C02-02-01</t>
        </is>
      </c>
      <c r="B23" s="15" t="n"/>
      <c r="C23" s="15" t="n"/>
      <c r="D23" s="15" t="inlineStr">
        <is>
          <t>●</t>
        </is>
      </c>
      <c r="E23" s="17" t="inlineStr">
        <is>
          <t>インターンシップ・母集団形成★</t>
        </is>
      </c>
      <c r="F23" s="17" t="inlineStr">
        <is>
          <t>インターンシップ・説明会で学生との接点をつくり、応募者を集める</t>
        </is>
      </c>
      <c r="G23" s="14" t="n"/>
      <c r="H23" s="17" t="inlineStr">
        <is>
          <t>インターンシップ、会社説明会、大学との連携</t>
        </is>
      </c>
      <c r="I23" s="17" t="inlineStr">
        <is>
          <t>経験者向けの求人公開（C02-03-01）</t>
        </is>
      </c>
      <c r="J23" s="17" t="inlineStr">
        <is>
          <t>質・量ともに十分な応募者</t>
        </is>
      </c>
    </row>
    <row r="24" ht="26.25" customHeight="1">
      <c r="A24" s="14" t="inlineStr">
        <is>
          <t>C02-02-02</t>
        </is>
      </c>
      <c r="B24" s="15" t="n"/>
      <c r="C24" s="15" t="n"/>
      <c r="D24" s="15" t="inlineStr">
        <is>
          <t>●</t>
        </is>
      </c>
      <c r="E24" s="17" t="inlineStr">
        <is>
          <t>新卒選考運営</t>
        </is>
      </c>
      <c r="F24" s="17" t="inlineStr">
        <is>
          <t>エントリーシート・適性検査・面接で選考する</t>
        </is>
      </c>
      <c r="G24" s="14" t="n"/>
      <c r="H24" s="17" t="inlineStr">
        <is>
          <t>ES、適性検査、グループ討議、面接</t>
        </is>
      </c>
      <c r="I24" s="17" t="inlineStr">
        <is>
          <t>採否の最終判定の基準づくり（C02-04-01）</t>
        </is>
      </c>
      <c r="J24" s="17" t="inlineStr">
        <is>
          <t>基準に沿って選ばれた内定者</t>
        </is>
      </c>
    </row>
    <row r="25" ht="26.25" customHeight="1">
      <c r="A25" s="14" t="inlineStr">
        <is>
          <t>C02-02-03</t>
        </is>
      </c>
      <c r="B25" s="15" t="n"/>
      <c r="C25" s="15" t="n"/>
      <c r="D25" s="15" t="inlineStr">
        <is>
          <t>●</t>
        </is>
      </c>
      <c r="E25" s="17" t="inlineStr">
        <is>
          <t>内定者管理・フォロー★</t>
        </is>
      </c>
      <c r="F25" s="17" t="inlineStr">
        <is>
          <t>内定から入社までの関係を維持し、辞退を防ぐ</t>
        </is>
      </c>
      <c r="G25" s="14" t="n"/>
      <c r="H25" s="17" t="inlineStr">
        <is>
          <t>内定式、内定者研修、内定者との連絡</t>
        </is>
      </c>
      <c r="I25" s="17" t="inlineStr">
        <is>
          <t>入社後の研修（C03-02-01）</t>
        </is>
      </c>
      <c r="J25" s="17" t="inlineStr">
        <is>
          <t>辞退が少なく、準備ができた入社者</t>
        </is>
      </c>
    </row>
    <row r="26" ht="26.25" customHeight="1">
      <c r="A26" s="10" t="inlineStr">
        <is>
          <t>C02-03</t>
        </is>
      </c>
      <c r="B26" s="11" t="n"/>
      <c r="C26" s="11" t="inlineStr">
        <is>
          <t>●</t>
        </is>
      </c>
      <c r="D26" s="11" t="n"/>
      <c r="E26" s="12" t="inlineStr">
        <is>
          <t>経験者採用</t>
        </is>
      </c>
      <c r="F26" s="13" t="inlineStr">
        <is>
          <t>職務に合った経験者を募集・選考し、条件を提示して採用する</t>
        </is>
      </c>
      <c r="G26" s="10" t="n"/>
      <c r="H26" s="26" t="n"/>
      <c r="I26" s="26" t="n"/>
      <c r="J26" s="26" t="n"/>
    </row>
    <row r="27" ht="26.25" customHeight="1">
      <c r="A27" s="14" t="inlineStr">
        <is>
          <t>C02-03-01</t>
        </is>
      </c>
      <c r="B27" s="15" t="n"/>
      <c r="C27" s="15" t="n"/>
      <c r="D27" s="15" t="inlineStr">
        <is>
          <t>●</t>
        </is>
      </c>
      <c r="E27" s="17" t="inlineStr">
        <is>
          <t>求人票作成・求人公開</t>
        </is>
      </c>
      <c r="F27" s="17" t="inlineStr">
        <is>
          <t>職務要件と労働条件を記載した求人票を作り、公開する</t>
        </is>
      </c>
      <c r="G27" s="14" t="n"/>
      <c r="H27" s="17" t="inlineStr">
        <is>
          <t>求人票、労働条件の明示、求人の公開</t>
        </is>
      </c>
      <c r="I27" s="17" t="inlineStr">
        <is>
          <t>労働条件通知書の交付（C03-01-01）</t>
        </is>
      </c>
      <c r="J27" s="17" t="inlineStr">
        <is>
          <t>正確で魅力的な求人</t>
        </is>
      </c>
    </row>
    <row r="28" ht="26.25" customHeight="1">
      <c r="A28" s="14" t="inlineStr">
        <is>
          <t>C02-03-02</t>
        </is>
      </c>
      <c r="B28" s="15" t="n"/>
      <c r="C28" s="15" t="n"/>
      <c r="D28" s="15" t="inlineStr">
        <is>
          <t>●</t>
        </is>
      </c>
      <c r="E28" s="17" t="inlineStr">
        <is>
          <t>候補者選考・面接</t>
        </is>
      </c>
      <c r="F28" s="17" t="inlineStr">
        <is>
          <t>書類選考・適性検査・面接で候補者を評価し、採否を決める</t>
        </is>
      </c>
      <c r="G28" s="14" t="n"/>
      <c r="H28" s="17" t="inlineStr">
        <is>
          <t>書類選考、適性検査、面接、採否の判定</t>
        </is>
      </c>
      <c r="I28" s="17" t="inlineStr">
        <is>
          <t>新卒の選考（C02-02-02）</t>
        </is>
      </c>
      <c r="J28" s="17" t="inlineStr">
        <is>
          <t>職務に合った候補者の選抜</t>
        </is>
      </c>
    </row>
    <row r="29" ht="26.25" customHeight="1">
      <c r="A29" s="14" t="inlineStr">
        <is>
          <t>C02-03-03</t>
        </is>
      </c>
      <c r="B29" s="15" t="n"/>
      <c r="C29" s="15" t="n"/>
      <c r="D29" s="15" t="inlineStr">
        <is>
          <t>●</t>
        </is>
      </c>
      <c r="E29" s="17" t="inlineStr">
        <is>
          <t>条件提示・オファー</t>
        </is>
      </c>
      <c r="F29" s="17" t="inlineStr">
        <is>
          <t>処遇条件を決めてオファーを出し、承諾を得る</t>
        </is>
      </c>
      <c r="G29" s="14" t="n"/>
      <c r="H29" s="17" t="inlineStr">
        <is>
          <t>等級・報酬の決定、オファーレター、条件交渉</t>
        </is>
      </c>
      <c r="I29" s="17" t="inlineStr">
        <is>
          <t>賃金テーブルの設計（C05-02-01）</t>
        </is>
      </c>
      <c r="J29" s="17" t="inlineStr">
        <is>
          <t>承諾されたオファー</t>
        </is>
      </c>
    </row>
    <row r="30" ht="26.25" customHeight="1">
      <c r="A30" s="10" t="inlineStr">
        <is>
          <t>C02-04</t>
        </is>
      </c>
      <c r="B30" s="11" t="n"/>
      <c r="C30" s="11" t="inlineStr">
        <is>
          <t>●</t>
        </is>
      </c>
      <c r="D30" s="11" t="n"/>
      <c r="E30" s="12" t="inlineStr">
        <is>
          <t>採用コンプライアンス★</t>
        </is>
      </c>
      <c r="F30" s="13" t="inlineStr">
        <is>
          <t>採用の過程で公正さと法令順守、応募者の個人情報の保護を確保する</t>
        </is>
      </c>
      <c r="G30" s="10" t="n"/>
      <c r="H30" s="26" t="n"/>
      <c r="I30" s="26" t="n"/>
      <c r="J30" s="26" t="n"/>
    </row>
    <row r="31" ht="26.25" customHeight="1">
      <c r="A31" s="14" t="inlineStr">
        <is>
          <t>C02-04-01</t>
        </is>
      </c>
      <c r="B31" s="15" t="n"/>
      <c r="C31" s="15" t="n"/>
      <c r="D31" s="15" t="inlineStr">
        <is>
          <t>●</t>
        </is>
      </c>
      <c r="E31" s="17" t="inlineStr">
        <is>
          <t>公正な採用選考★</t>
        </is>
      </c>
      <c r="F31" s="17" t="inlineStr">
        <is>
          <t>本人に責任のない事項や思想・信条などを選考に用いず、適性と能力で判断する</t>
        </is>
      </c>
      <c r="G31" s="14" t="n"/>
      <c r="H31" s="17" t="inlineStr">
        <is>
          <t>面接官研修、質問の禁止事項、選考基準の点検</t>
        </is>
      </c>
      <c r="I31" s="17" t="inlineStr">
        <is>
          <t>評価者研修（C05-01-02）</t>
        </is>
      </c>
      <c r="J31" s="17" t="inlineStr">
        <is>
          <t>公正で説明できる選考</t>
        </is>
      </c>
    </row>
    <row r="32" ht="26.25" customHeight="1">
      <c r="A32" s="14" t="inlineStr">
        <is>
          <t>C02-04-02</t>
        </is>
      </c>
      <c r="B32" s="15" t="n"/>
      <c r="C32" s="15" t="n"/>
      <c r="D32" s="15" t="inlineStr">
        <is>
          <t>●</t>
        </is>
      </c>
      <c r="E32" s="17" t="inlineStr">
        <is>
          <t>労働条件の明示★</t>
        </is>
      </c>
      <c r="F32" s="17" t="inlineStr">
        <is>
          <t>求人・内定の時点で労働条件（業務・就業場所の変更の範囲等）を明示する</t>
        </is>
      </c>
      <c r="G32" s="14" t="n"/>
      <c r="H32" s="17" t="inlineStr">
        <is>
          <t>求人時・内定時の明示事項、変更時の明示</t>
        </is>
      </c>
      <c r="I32" s="17" t="inlineStr">
        <is>
          <t>雇用契約の締結（C03-01-01）</t>
        </is>
      </c>
      <c r="J32" s="17" t="inlineStr">
        <is>
          <t>候補者が正しく理解した労働条件</t>
        </is>
      </c>
    </row>
    <row r="33" ht="26.25" customHeight="1">
      <c r="A33" s="14" t="inlineStr">
        <is>
          <t>C02-04-03</t>
        </is>
      </c>
      <c r="B33" s="15" t="n"/>
      <c r="C33" s="15" t="n"/>
      <c r="D33" s="15" t="inlineStr">
        <is>
          <t>●</t>
        </is>
      </c>
      <c r="E33" s="17" t="inlineStr">
        <is>
          <t>応募者個人情報管理</t>
        </is>
      </c>
      <c r="F33" s="17" t="inlineStr">
        <is>
          <t>応募者の個人情報を目的の範囲で扱い、不採用者の情報を返却・廃棄する</t>
        </is>
      </c>
      <c r="G33" s="14" t="n"/>
      <c r="H33" s="17" t="inlineStr">
        <is>
          <t>利用目的の通知、保管期間、返却・廃棄</t>
        </is>
      </c>
      <c r="I33" s="17" t="inlineStr">
        <is>
          <t>従業員の個人情報保護（C09-03-01）</t>
        </is>
      </c>
      <c r="J33" s="17" t="inlineStr">
        <is>
          <t>漏えい・目的外利用のない応募者情報</t>
        </is>
      </c>
    </row>
    <row r="34" ht="26.25" customHeight="1">
      <c r="A34" s="6" t="inlineStr">
        <is>
          <t>C03</t>
        </is>
      </c>
      <c r="B34" s="7" t="inlineStr">
        <is>
          <t>●</t>
        </is>
      </c>
      <c r="C34" s="7" t="n"/>
      <c r="D34" s="7" t="n"/>
      <c r="E34" s="24" t="inlineStr">
        <is>
          <t>入社・雇用管理</t>
        </is>
      </c>
      <c r="F34" s="9" t="inlineStr">
        <is>
          <t>雇用契約を結び、入社手続きを行い、従業員の情報を正確に管理する能力</t>
        </is>
      </c>
      <c r="G34" s="25" t="inlineStr">
        <is>
          <t>コア</t>
        </is>
      </c>
      <c r="H34" s="9" t="n"/>
      <c r="I34" s="9" t="n"/>
      <c r="J34" s="9" t="n"/>
    </row>
    <row r="35" ht="26.25" customHeight="1">
      <c r="A35" s="10" t="inlineStr">
        <is>
          <t>C03-01</t>
        </is>
      </c>
      <c r="B35" s="11" t="n"/>
      <c r="C35" s="11" t="inlineStr">
        <is>
          <t>●</t>
        </is>
      </c>
      <c r="D35" s="11" t="n"/>
      <c r="E35" s="12" t="inlineStr">
        <is>
          <t>雇用契約・入社手続き★</t>
        </is>
      </c>
      <c r="F35" s="13" t="inlineStr">
        <is>
          <t>雇用契約の締結と、社会保険・税・マイナンバーの入社時手続きを行う</t>
        </is>
      </c>
      <c r="G35" s="10" t="n"/>
      <c r="H35" s="26" t="n"/>
      <c r="I35" s="26" t="n"/>
      <c r="J35" s="26" t="n"/>
    </row>
    <row r="36" ht="26.25" customHeight="1">
      <c r="A36" s="14" t="inlineStr">
        <is>
          <t>C03-01-01</t>
        </is>
      </c>
      <c r="B36" s="15" t="n"/>
      <c r="C36" s="15" t="n"/>
      <c r="D36" s="15" t="inlineStr">
        <is>
          <t>●</t>
        </is>
      </c>
      <c r="E36" s="17" t="inlineStr">
        <is>
          <t>雇用契約締結</t>
        </is>
      </c>
      <c r="F36" s="17" t="inlineStr">
        <is>
          <t>労働条件通知書を交付し、雇用契約を締結する</t>
        </is>
      </c>
      <c r="G36" s="14" t="n"/>
      <c r="H36" s="17" t="inlineStr">
        <is>
          <t>労働条件通知書、雇用契約書、電子契約</t>
        </is>
      </c>
      <c r="I36" s="17" t="inlineStr">
        <is>
          <t>求人時の労働条件の明示（C02-04-02）</t>
        </is>
      </c>
      <c r="J36" s="17" t="inlineStr">
        <is>
          <t>双方が合意した雇用契約</t>
        </is>
      </c>
    </row>
    <row r="37" ht="26.25" customHeight="1">
      <c r="A37" s="14" t="inlineStr">
        <is>
          <t>C03-01-02</t>
        </is>
      </c>
      <c r="B37" s="15" t="n"/>
      <c r="C37" s="15" t="n"/>
      <c r="D37" s="15" t="inlineStr">
        <is>
          <t>●</t>
        </is>
      </c>
      <c r="E37" s="17" t="inlineStr">
        <is>
          <t>社会保険・雇用保険の資格取得★</t>
        </is>
      </c>
      <c r="F37" s="17" t="inlineStr">
        <is>
          <t>健康保険・厚生年金・雇用保険の資格取得届を期限内に提出する</t>
        </is>
      </c>
      <c r="G37" s="14" t="n"/>
      <c r="H37" s="17" t="inlineStr">
        <is>
          <t>資格取得届、被扶養者届、電子申請</t>
        </is>
      </c>
      <c r="I37" s="17" t="inlineStr">
        <is>
          <t>定例の届出（C05-04-01）</t>
        </is>
      </c>
      <c r="J37" s="17" t="inlineStr">
        <is>
          <t>入社日から保険の資格がある従業員</t>
        </is>
      </c>
    </row>
    <row r="38" ht="26.25" customHeight="1">
      <c r="A38" s="14" t="inlineStr">
        <is>
          <t>C03-01-03</t>
        </is>
      </c>
      <c r="B38" s="15" t="n"/>
      <c r="C38" s="15" t="n"/>
      <c r="D38" s="15" t="inlineStr">
        <is>
          <t>●</t>
        </is>
      </c>
      <c r="E38" s="17" t="inlineStr">
        <is>
          <t>マイナンバー収集・管理★</t>
        </is>
      </c>
      <c r="F38" s="17" t="inlineStr">
        <is>
          <t>マイナンバーを本人確認とともに収集し、安全に管理する</t>
        </is>
      </c>
      <c r="G38" s="14" t="n"/>
      <c r="H38" s="17" t="inlineStr">
        <is>
          <t>利用目的の通知、本人確認、保管・廃棄</t>
        </is>
      </c>
      <c r="I38" s="17" t="inlineStr">
        <is>
          <t>マイナンバーの安全管理措置全般（C09-03-01）</t>
        </is>
      </c>
      <c r="J38" s="17" t="inlineStr">
        <is>
          <t>適法に収集・管理された特定個人情報</t>
        </is>
      </c>
    </row>
    <row r="39" ht="26.25" customHeight="1">
      <c r="A39" s="14" t="inlineStr">
        <is>
          <t>C03-01-04</t>
        </is>
      </c>
      <c r="B39" s="15" t="n"/>
      <c r="C39" s="15" t="n"/>
      <c r="D39" s="15" t="inlineStr">
        <is>
          <t>●</t>
        </is>
      </c>
      <c r="E39" s="17" t="inlineStr">
        <is>
          <t>入社書類管理</t>
        </is>
      </c>
      <c r="F39" s="17" t="inlineStr">
        <is>
          <t>誓約書・身元保証書・扶養情報などの入社書類を回収・確認する</t>
        </is>
      </c>
      <c r="G39" s="14" t="n"/>
      <c r="H39" s="17" t="inlineStr">
        <is>
          <t>書類の案内・回収・確認・保管</t>
        </is>
      </c>
      <c r="I39" s="17" t="inlineStr">
        <is>
          <t>マイナンバーの収集（C03-01-03）</t>
        </is>
      </c>
      <c r="J39" s="17" t="inlineStr">
        <is>
          <t>不備のない入社書類</t>
        </is>
      </c>
    </row>
    <row r="40" ht="26.25" customHeight="1">
      <c r="A40" s="14" t="inlineStr">
        <is>
          <t>C03-01-05</t>
        </is>
      </c>
      <c r="B40" s="15" t="n"/>
      <c r="C40" s="15" t="n"/>
      <c r="D40" s="15" t="inlineStr">
        <is>
          <t>●</t>
        </is>
      </c>
      <c r="E40" s="17" t="inlineStr">
        <is>
          <t>有期契約の更新・無期転換★</t>
        </is>
      </c>
      <c r="F40" s="17" t="inlineStr">
        <is>
          <t>有期労働契約の更新・雇止めと、無期転換の申込みを管理する</t>
        </is>
      </c>
      <c r="G40" s="14" t="n"/>
      <c r="H40" s="17" t="inlineStr">
        <is>
          <t>契約期間・更新上限の管理、無期転換の申込権の通知</t>
        </is>
      </c>
      <c r="I40" s="17" t="inlineStr">
        <is>
          <t>定年後の再雇用（C08-02-02）</t>
        </is>
      </c>
      <c r="J40" s="17" t="inlineStr">
        <is>
          <t>紛争のない契約更新と無期転換</t>
        </is>
      </c>
    </row>
    <row r="41" ht="26.25" customHeight="1">
      <c r="A41" s="10" t="inlineStr">
        <is>
          <t>C03-02</t>
        </is>
      </c>
      <c r="B41" s="11" t="n"/>
      <c r="C41" s="11" t="inlineStr">
        <is>
          <t>●</t>
        </is>
      </c>
      <c r="D41" s="11" t="n"/>
      <c r="E41" s="12" t="inlineStr">
        <is>
          <t>オンボーディング</t>
        </is>
      </c>
      <c r="F41" s="13" t="inlineStr">
        <is>
          <t>新しく入った従業員が組織に適応し、早く戦力になるよう支援する</t>
        </is>
      </c>
      <c r="G41" s="10" t="n"/>
      <c r="H41" s="26" t="n"/>
      <c r="I41" s="26" t="n"/>
      <c r="J41" s="26" t="n"/>
    </row>
    <row r="42" ht="26.25" customHeight="1">
      <c r="A42" s="14" t="inlineStr">
        <is>
          <t>C03-02-01</t>
        </is>
      </c>
      <c r="B42" s="15" t="n"/>
      <c r="C42" s="15" t="n"/>
      <c r="D42" s="15" t="inlineStr">
        <is>
          <t>●</t>
        </is>
      </c>
      <c r="E42" s="17" t="inlineStr">
        <is>
          <t>入社時研修</t>
        </is>
      </c>
      <c r="F42" s="17" t="inlineStr">
        <is>
          <t>会社・規程・コンプライアンス・業務の基礎を教える</t>
        </is>
      </c>
      <c r="G42" s="14" t="n"/>
      <c r="H42" s="17" t="inlineStr">
        <is>
          <t>入社時研修、新卒集合研修</t>
        </is>
      </c>
      <c r="I42" s="17" t="inlineStr">
        <is>
          <t>階層別研修（C04-01-03）</t>
        </is>
      </c>
      <c r="J42" s="17" t="inlineStr">
        <is>
          <t>基礎を理解した入社者</t>
        </is>
      </c>
    </row>
    <row r="43" ht="26.25" customHeight="1">
      <c r="A43" s="14" t="inlineStr">
        <is>
          <t>C03-02-02</t>
        </is>
      </c>
      <c r="B43" s="15" t="n"/>
      <c r="C43" s="15" t="n"/>
      <c r="D43" s="15" t="inlineStr">
        <is>
          <t>●</t>
        </is>
      </c>
      <c r="E43" s="17" t="inlineStr">
        <is>
          <t>配属・受入れ支援</t>
        </is>
      </c>
      <c r="F43" s="17" t="inlineStr">
        <is>
          <t>配属先を決め、受入れの準備とメンター・バディを整える</t>
        </is>
      </c>
      <c r="G43" s="14" t="n"/>
      <c r="H43" s="17" t="inlineStr">
        <is>
          <t>配属先の決定、受入れ準備、メンター・バディ</t>
        </is>
      </c>
      <c r="I43" s="17" t="inlineStr">
        <is>
          <t>定期異動（C07-01-02）</t>
        </is>
      </c>
      <c r="J43" s="17" t="inlineStr">
        <is>
          <t>迷わず仕事を始められる入社者</t>
        </is>
      </c>
    </row>
    <row r="44" ht="26.25" customHeight="1">
      <c r="A44" s="14" t="inlineStr">
        <is>
          <t>C03-02-03</t>
        </is>
      </c>
      <c r="B44" s="15" t="n"/>
      <c r="C44" s="15" t="n"/>
      <c r="D44" s="15" t="inlineStr">
        <is>
          <t>●</t>
        </is>
      </c>
      <c r="E44" s="17" t="inlineStr">
        <is>
          <t>定着フォロー・試用期間管理</t>
        </is>
      </c>
      <c r="F44" s="17" t="inlineStr">
        <is>
          <t>入社後の面談・サーベイで適応を確認し、試用期間の評価を行う</t>
        </is>
      </c>
      <c r="G44" s="14" t="n"/>
      <c r="H44" s="17" t="inlineStr">
        <is>
          <t>入社後面談、サーベイ、試用期間の評価と本採用の判定</t>
        </is>
      </c>
      <c r="I44" s="17" t="inlineStr">
        <is>
          <t>期末の人事評価（C05-01-02）</t>
        </is>
      </c>
      <c r="J44" s="17" t="inlineStr">
        <is>
          <t>定着し、戦力になった入社者</t>
        </is>
      </c>
    </row>
    <row r="45" ht="26.25" customHeight="1">
      <c r="A45" s="10" t="inlineStr">
        <is>
          <t>C03-03</t>
        </is>
      </c>
      <c r="B45" s="11" t="n"/>
      <c r="C45" s="11" t="inlineStr">
        <is>
          <t>●</t>
        </is>
      </c>
      <c r="D45" s="11" t="n"/>
      <c r="E45" s="12" t="inlineStr">
        <is>
          <t>従業員情報管理★</t>
        </is>
      </c>
      <c r="F45" s="13" t="inlineStr">
        <is>
          <t>従業員の基本情報と、法定の帳簿を正確に管理する</t>
        </is>
      </c>
      <c r="G45" s="10" t="n"/>
      <c r="H45" s="26" t="n"/>
      <c r="I45" s="26" t="n"/>
      <c r="J45" s="26" t="n"/>
    </row>
    <row r="46" ht="26.25" customHeight="1">
      <c r="A46" s="14" t="inlineStr">
        <is>
          <t>C03-03-01</t>
        </is>
      </c>
      <c r="B46" s="15" t="n"/>
      <c r="C46" s="15" t="n"/>
      <c r="D46" s="15" t="inlineStr">
        <is>
          <t>●</t>
        </is>
      </c>
      <c r="E46" s="17" t="inlineStr">
        <is>
          <t>従業員マスタ管理</t>
        </is>
      </c>
      <c r="F46" s="17" t="inlineStr">
        <is>
          <t>社員番号・所属・等級・雇用区分などの基本情報を登録・更新する</t>
        </is>
      </c>
      <c r="G46" s="14" t="n"/>
      <c r="H46" s="17" t="inlineStr">
        <is>
          <t>登録、発令の反映、履歴管理</t>
        </is>
      </c>
      <c r="I46" s="17" t="inlineStr">
        <is>
          <t>組織コードの設計（C01-03-01）</t>
        </is>
      </c>
      <c r="J46" s="17" t="inlineStr">
        <is>
          <t>正確で最新の従業員情報</t>
        </is>
      </c>
    </row>
    <row r="47" ht="26.25" customHeight="1">
      <c r="A47" s="14" t="inlineStr">
        <is>
          <t>C03-03-02</t>
        </is>
      </c>
      <c r="B47" s="15" t="n"/>
      <c r="C47" s="15" t="n"/>
      <c r="D47" s="15" t="inlineStr">
        <is>
          <t>●</t>
        </is>
      </c>
      <c r="E47" s="17" t="inlineStr">
        <is>
          <t>法定帳簿管理★</t>
        </is>
      </c>
      <c r="F47" s="17" t="inlineStr">
        <is>
          <t>労働者名簿・賃金台帳・出勤簿を作成し、法定の期間保存する</t>
        </is>
      </c>
      <c r="G47" s="14" t="n"/>
      <c r="H47" s="17" t="inlineStr">
        <is>
          <t>法定三帳簿、年次有給休暇管理簿、保存期間の管理</t>
        </is>
      </c>
      <c r="I47" s="17" t="inlineStr">
        <is>
          <t>給与計算（C05-03-01）</t>
        </is>
      </c>
      <c r="J47" s="17" t="inlineStr">
        <is>
          <t>監督署の調査に耐える帳簿</t>
        </is>
      </c>
    </row>
    <row r="48" ht="26.25" customHeight="1">
      <c r="A48" s="6" t="inlineStr">
        <is>
          <t>C04</t>
        </is>
      </c>
      <c r="B48" s="7" t="inlineStr">
        <is>
          <t>●</t>
        </is>
      </c>
      <c r="C48" s="7" t="n"/>
      <c r="D48" s="7" t="n"/>
      <c r="E48" s="24" t="inlineStr">
        <is>
          <t>人材育成・能力開発</t>
        </is>
      </c>
      <c r="F48" s="9" t="inlineStr">
        <is>
          <t>従業員が必要な知識・スキルを身につけ、自律的にキャリアを築けるよう支援する能力</t>
        </is>
      </c>
      <c r="G48" s="25" t="inlineStr">
        <is>
          <t>コア</t>
        </is>
      </c>
      <c r="H48" s="9" t="n"/>
      <c r="I48" s="9" t="n"/>
      <c r="J48" s="9" t="n"/>
    </row>
    <row r="49" ht="26.25" customHeight="1">
      <c r="A49" s="10" t="inlineStr">
        <is>
          <t>C04-01</t>
        </is>
      </c>
      <c r="B49" s="11" t="n"/>
      <c r="C49" s="11" t="inlineStr">
        <is>
          <t>●</t>
        </is>
      </c>
      <c r="D49" s="11" t="n"/>
      <c r="E49" s="12" t="inlineStr">
        <is>
          <t>育成体系・研修管理</t>
        </is>
      </c>
      <c r="F49" s="13" t="inlineStr">
        <is>
          <t>育成体系を設計し、研修を企画・運営する</t>
        </is>
      </c>
      <c r="G49" s="10" t="n"/>
      <c r="H49" s="26" t="n"/>
      <c r="I49" s="26" t="n"/>
      <c r="J49" s="26" t="n"/>
    </row>
    <row r="50" ht="26.25" customHeight="1">
      <c r="A50" s="14" t="inlineStr">
        <is>
          <t>C04-01-01</t>
        </is>
      </c>
      <c r="B50" s="15" t="n"/>
      <c r="C50" s="15" t="n"/>
      <c r="D50" s="15" t="inlineStr">
        <is>
          <t>●</t>
        </is>
      </c>
      <c r="E50" s="17" t="inlineStr">
        <is>
          <t>育成体系設計</t>
        </is>
      </c>
      <c r="F50" s="17" t="inlineStr">
        <is>
          <t>求める人材像から、階層別・職種別の育成体系と年間計画を定める</t>
        </is>
      </c>
      <c r="G50" s="14" t="n"/>
      <c r="H50" s="17" t="inlineStr">
        <is>
          <t>育成体系、年間研修計画、研修予算</t>
        </is>
      </c>
      <c r="I50" s="17" t="inlineStr">
        <is>
          <t>スキル体系の定義（C04-02-01）</t>
        </is>
      </c>
      <c r="J50" s="17" t="inlineStr">
        <is>
          <t>人材戦略と整合した育成体系</t>
        </is>
      </c>
    </row>
    <row r="51" ht="26.25" customHeight="1">
      <c r="A51" s="14" t="inlineStr">
        <is>
          <t>C04-01-02</t>
        </is>
      </c>
      <c r="B51" s="15" t="n"/>
      <c r="C51" s="15" t="n"/>
      <c r="D51" s="15" t="inlineStr">
        <is>
          <t>●</t>
        </is>
      </c>
      <c r="E51" s="17" t="inlineStr">
        <is>
          <t>研修企画・運営・効果測定</t>
        </is>
      </c>
      <c r="F51" s="17" t="inlineStr">
        <is>
          <t>研修を企画・実施し、効果を測って改善する</t>
        </is>
      </c>
      <c r="G51" s="14" t="n"/>
      <c r="H51" s="17" t="inlineStr">
        <is>
          <t>研修の企画、講師・外部機関の手配、受講記録、効果測定</t>
        </is>
      </c>
      <c r="I51" s="17" t="inlineStr">
        <is>
          <t>法定・コンプライアンス教育（C04-04）</t>
        </is>
      </c>
      <c r="J51" s="17" t="inlineStr">
        <is>
          <t>効果の出る研修</t>
        </is>
      </c>
    </row>
    <row r="52" ht="26.25" customHeight="1">
      <c r="A52" s="14" t="inlineStr">
        <is>
          <t>C04-01-03</t>
        </is>
      </c>
      <c r="B52" s="15" t="n"/>
      <c r="C52" s="15" t="n"/>
      <c r="D52" s="15" t="inlineStr">
        <is>
          <t>●</t>
        </is>
      </c>
      <c r="E52" s="17" t="inlineStr">
        <is>
          <t>階層別研修★</t>
        </is>
      </c>
      <c r="F52" s="17" t="inlineStr">
        <is>
          <t>新任管理職・昇格者など、階層や節目に応じた研修を行う</t>
        </is>
      </c>
      <c r="G52" s="14" t="n"/>
      <c r="H52" s="17" t="inlineStr">
        <is>
          <t>新入社員・若手・中堅・管理職研修、昇格者研修</t>
        </is>
      </c>
      <c r="I52" s="17" t="inlineStr">
        <is>
          <t>選抜型リーダー育成（C07-03-02）</t>
        </is>
      </c>
      <c r="J52" s="17" t="inlineStr">
        <is>
          <t>役割に必要な力を身につけた従業員</t>
        </is>
      </c>
    </row>
    <row r="53" ht="26.25" customHeight="1">
      <c r="A53" s="10" t="inlineStr">
        <is>
          <t>C04-02</t>
        </is>
      </c>
      <c r="B53" s="11" t="n"/>
      <c r="C53" s="11" t="inlineStr">
        <is>
          <t>●</t>
        </is>
      </c>
      <c r="D53" s="11" t="n"/>
      <c r="E53" s="12" t="inlineStr">
        <is>
          <t>スキル・資格管理</t>
        </is>
      </c>
      <c r="F53" s="13" t="inlineStr">
        <is>
          <t>スキルを定義・可視化し、資格とリスキリングを管理する</t>
        </is>
      </c>
      <c r="G53" s="10" t="n"/>
      <c r="H53" s="26" t="n"/>
      <c r="I53" s="26" t="n"/>
      <c r="J53" s="26" t="n"/>
    </row>
    <row r="54" ht="26.25" customHeight="1">
      <c r="A54" s="14" t="inlineStr">
        <is>
          <t>C04-02-01</t>
        </is>
      </c>
      <c r="B54" s="15" t="n"/>
      <c r="C54" s="15" t="n"/>
      <c r="D54" s="15" t="inlineStr">
        <is>
          <t>●</t>
        </is>
      </c>
      <c r="E54" s="17" t="inlineStr">
        <is>
          <t>スキル定義・可視化</t>
        </is>
      </c>
      <c r="F54" s="17" t="inlineStr">
        <is>
          <t>スキル体系を定め、従業員のスキルを評価・登録する</t>
        </is>
      </c>
      <c r="G54" s="14" t="n"/>
      <c r="H54" s="17" t="inlineStr">
        <is>
          <t>スキル体系、自己申告・上司評価、スキルマップ</t>
        </is>
      </c>
      <c r="I54" s="17" t="inlineStr">
        <is>
          <t>職務要件の定義（C01-03-02）</t>
        </is>
      </c>
      <c r="J54" s="17" t="inlineStr">
        <is>
          <t>見える化された組織のスキル</t>
        </is>
      </c>
    </row>
    <row r="55" ht="26.25" customHeight="1">
      <c r="A55" s="14" t="inlineStr">
        <is>
          <t>C04-02-02</t>
        </is>
      </c>
      <c r="B55" s="15" t="n"/>
      <c r="C55" s="15" t="n"/>
      <c r="D55" s="15" t="inlineStr">
        <is>
          <t>●</t>
        </is>
      </c>
      <c r="E55" s="17" t="inlineStr">
        <is>
          <t>資格取得支援・資格管理</t>
        </is>
      </c>
      <c r="F55" s="17" t="inlineStr">
        <is>
          <t>資格の取得を支援し、業務に必要な資格・法定の選任者を管理する</t>
        </is>
      </c>
      <c r="G55" s="14" t="n"/>
      <c r="H55" s="17" t="inlineStr">
        <is>
          <t>資格取得の奨励・費用補助、資格の登録・期限管理、法定の選任者</t>
        </is>
      </c>
      <c r="I55" s="17" t="inlineStr">
        <is>
          <t>教育の記録（C04-01-02）</t>
        </is>
      </c>
      <c r="J55" s="17" t="inlineStr">
        <is>
          <t>必要な資格を持つ人が必要な業務に就いている状態</t>
        </is>
      </c>
    </row>
    <row r="56" ht="26.25" customHeight="1">
      <c r="A56" s="14" t="inlineStr">
        <is>
          <t>C04-02-03</t>
        </is>
      </c>
      <c r="B56" s="15" t="n"/>
      <c r="C56" s="15" t="n"/>
      <c r="D56" s="15" t="inlineStr">
        <is>
          <t>●</t>
        </is>
      </c>
      <c r="E56" s="17" t="inlineStr">
        <is>
          <t>リスキリング</t>
        </is>
      </c>
      <c r="F56" s="17" t="inlineStr">
        <is>
          <t>事業の変化に合わせて、新しいスキルの習得を計画的に進める</t>
        </is>
      </c>
      <c r="G56" s="14" t="n"/>
      <c r="H56" s="17" t="inlineStr">
        <is>
          <t>デジタル人材育成、職種転換の教育</t>
        </is>
      </c>
      <c r="I56" s="17" t="inlineStr">
        <is>
          <t>自己啓発の支援（C04-03-02）</t>
        </is>
      </c>
      <c r="J56" s="17" t="inlineStr">
        <is>
          <t>変化に対応できる人材</t>
        </is>
      </c>
    </row>
    <row r="57" ht="26.25" customHeight="1">
      <c r="A57" s="10" t="inlineStr">
        <is>
          <t>C04-03</t>
        </is>
      </c>
      <c r="B57" s="11" t="n"/>
      <c r="C57" s="11" t="inlineStr">
        <is>
          <t>●</t>
        </is>
      </c>
      <c r="D57" s="11" t="n"/>
      <c r="E57" s="12" t="inlineStr">
        <is>
          <t>キャリア開発支援</t>
        </is>
      </c>
      <c r="F57" s="13" t="inlineStr">
        <is>
          <t>従業員の自律的なキャリア形成を支援する</t>
        </is>
      </c>
      <c r="G57" s="10" t="n"/>
      <c r="H57" s="26" t="n"/>
      <c r="I57" s="26" t="n"/>
      <c r="J57" s="26" t="n"/>
    </row>
    <row r="58" ht="26.25" customHeight="1">
      <c r="A58" s="14" t="inlineStr">
        <is>
          <t>C04-03-01</t>
        </is>
      </c>
      <c r="B58" s="15" t="n"/>
      <c r="C58" s="15" t="n"/>
      <c r="D58" s="15" t="inlineStr">
        <is>
          <t>●</t>
        </is>
      </c>
      <c r="E58" s="17" t="inlineStr">
        <is>
          <t>キャリア面談・自己申告★</t>
        </is>
      </c>
      <c r="F58" s="17" t="inlineStr">
        <is>
          <t>上司・人事との面談や自己申告で、キャリアの希望と育成計画を合意する</t>
        </is>
      </c>
      <c r="G58" s="14" t="n"/>
      <c r="H58" s="17" t="inlineStr">
        <is>
          <t>キャリア面談、自己申告、個人別育成計画、キャリア研修</t>
        </is>
      </c>
      <c r="I58" s="17" t="inlineStr">
        <is>
          <t>異動の決定（C07-01-02）</t>
        </is>
      </c>
      <c r="J58" s="17" t="inlineStr">
        <is>
          <t>本人と会社が合意した育成計画</t>
        </is>
      </c>
    </row>
    <row r="59" ht="26.25" customHeight="1">
      <c r="A59" s="14" t="inlineStr">
        <is>
          <t>C04-03-02</t>
        </is>
      </c>
      <c r="B59" s="15" t="n"/>
      <c r="C59" s="15" t="n"/>
      <c r="D59" s="15" t="inlineStr">
        <is>
          <t>●</t>
        </is>
      </c>
      <c r="E59" s="17" t="inlineStr">
        <is>
          <t>自己啓発支援</t>
        </is>
      </c>
      <c r="F59" s="17" t="inlineStr">
        <is>
          <t>eラーニングや通信教育、学び直しの機会を提供する</t>
        </is>
      </c>
      <c r="G59" s="14" t="n"/>
      <c r="H59" s="17" t="inlineStr">
        <is>
          <t>eラーニング、通信教育、費用補助</t>
        </is>
      </c>
      <c r="I59" s="17" t="inlineStr">
        <is>
          <t>業務上必要な研修（C04-01-02）</t>
        </is>
      </c>
      <c r="J59" s="17" t="inlineStr">
        <is>
          <t>自ら学ぶ従業員</t>
        </is>
      </c>
    </row>
    <row r="60" ht="26.25" customHeight="1">
      <c r="A60" s="10" t="inlineStr">
        <is>
          <t>C04-04</t>
        </is>
      </c>
      <c r="B60" s="11" t="n"/>
      <c r="C60" s="11" t="inlineStr">
        <is>
          <t>●</t>
        </is>
      </c>
      <c r="D60" s="11" t="n"/>
      <c r="E60" s="12" t="inlineStr">
        <is>
          <t>法定・コンプライアンス教育</t>
        </is>
      </c>
      <c r="F60" s="13" t="inlineStr">
        <is>
          <t>法令や社会の要請で求められる教育を、対象者に確実に行う</t>
        </is>
      </c>
      <c r="G60" s="10" t="n"/>
      <c r="H60" s="26" t="n"/>
      <c r="I60" s="26" t="n"/>
      <c r="J60" s="26" t="n"/>
    </row>
    <row r="61" ht="26.25" customHeight="1">
      <c r="A61" s="14" t="inlineStr">
        <is>
          <t>C04-04-01</t>
        </is>
      </c>
      <c r="B61" s="15" t="n"/>
      <c r="C61" s="15" t="n"/>
      <c r="D61" s="15" t="inlineStr">
        <is>
          <t>●</t>
        </is>
      </c>
      <c r="E61" s="17" t="inlineStr">
        <is>
          <t>コンプライアンス・ハラスメント防止研修</t>
        </is>
      </c>
      <c r="F61" s="17" t="inlineStr">
        <is>
          <t>行動規範・ハラスメント防止・インサイダー取引防止などを教育する</t>
        </is>
      </c>
      <c r="G61" s="14" t="n"/>
      <c r="H61" s="17" t="inlineStr">
        <is>
          <t>全従業員研修、管理職向け研修、受講記録</t>
        </is>
      </c>
      <c r="I61" s="17" t="inlineStr">
        <is>
          <t>相談・ハラスメント事案への対応（C06-03-02）</t>
        </is>
      </c>
      <c r="J61" s="17" t="inlineStr">
        <is>
          <t>ルールを理解し守る従業員</t>
        </is>
      </c>
    </row>
    <row r="62" ht="26.25" customHeight="1">
      <c r="A62" s="14" t="inlineStr">
        <is>
          <t>C04-04-02</t>
        </is>
      </c>
      <c r="B62" s="15" t="n"/>
      <c r="C62" s="15" t="n"/>
      <c r="D62" s="15" t="inlineStr">
        <is>
          <t>●</t>
        </is>
      </c>
      <c r="E62" s="17" t="inlineStr">
        <is>
          <t>安全衛生教育★</t>
        </is>
      </c>
      <c r="F62" s="17" t="inlineStr">
        <is>
          <t>雇入れ時・作業内容の変更時などに安全衛生教育を行う</t>
        </is>
      </c>
      <c r="G62" s="14" t="n"/>
      <c r="H62" s="17" t="inlineStr">
        <is>
          <t>雇入れ時教育、作業変更時教育、職長教育</t>
        </is>
      </c>
      <c r="I62" s="17" t="inlineStr">
        <is>
          <t>労働災害への対応（C06-02-04）</t>
        </is>
      </c>
      <c r="J62" s="17" t="inlineStr">
        <is>
          <t>安全に働ける従業員</t>
        </is>
      </c>
    </row>
    <row r="63" ht="26.25" customHeight="1">
      <c r="A63" s="14" t="inlineStr">
        <is>
          <t>C04-04-03</t>
        </is>
      </c>
      <c r="B63" s="15" t="n"/>
      <c r="C63" s="15" t="n"/>
      <c r="D63" s="15" t="inlineStr">
        <is>
          <t>●</t>
        </is>
      </c>
      <c r="E63" s="17" t="inlineStr">
        <is>
          <t>情報セキュリティ教育</t>
        </is>
      </c>
      <c r="F63" s="17" t="inlineStr">
        <is>
          <t>情報セキュリティと個人情報の取扱いを教育する</t>
        </is>
      </c>
      <c r="G63" s="14" t="n"/>
      <c r="H63" s="17" t="inlineStr">
        <is>
          <t>全従業員研修、標的型メール訓練</t>
        </is>
      </c>
      <c r="I63" s="17" t="inlineStr">
        <is>
          <t>アクセス管理（C09-03-02）</t>
        </is>
      </c>
      <c r="J63" s="17" t="inlineStr">
        <is>
          <t>情報を適切に扱う従業員</t>
        </is>
      </c>
    </row>
    <row r="64" ht="26.25" customHeight="1">
      <c r="A64" s="6" t="inlineStr">
        <is>
          <t>C05</t>
        </is>
      </c>
      <c r="B64" s="7" t="inlineStr">
        <is>
          <t>●</t>
        </is>
      </c>
      <c r="C64" s="7" t="n"/>
      <c r="D64" s="7" t="n"/>
      <c r="E64" s="24" t="inlineStr">
        <is>
          <t>パフォーマンス・報酬管理</t>
        </is>
      </c>
      <c r="F64" s="9" t="inlineStr">
        <is>
          <t>成果と行動を評価し、公正に報い、給与と社会保険・福利厚生を確実に提供する能力</t>
        </is>
      </c>
      <c r="G64" s="25" t="inlineStr">
        <is>
          <t>コア</t>
        </is>
      </c>
      <c r="H64" s="9" t="n"/>
      <c r="I64" s="9" t="n"/>
      <c r="J64" s="9" t="n"/>
    </row>
    <row r="65" ht="26.25" customHeight="1">
      <c r="A65" s="10" t="inlineStr">
        <is>
          <t>C05-01</t>
        </is>
      </c>
      <c r="B65" s="11" t="n"/>
      <c r="C65" s="11" t="inlineStr">
        <is>
          <t>●</t>
        </is>
      </c>
      <c r="D65" s="11" t="n"/>
      <c r="E65" s="12" t="inlineStr">
        <is>
          <t>目標・評価管理</t>
        </is>
      </c>
      <c r="F65" s="13" t="inlineStr">
        <is>
          <t>目標を設定し、成果と行動を評価して、結果を本人に伝える</t>
        </is>
      </c>
      <c r="G65" s="10" t="n"/>
      <c r="H65" s="26" t="n"/>
      <c r="I65" s="26" t="n"/>
      <c r="J65" s="26" t="n"/>
    </row>
    <row r="66" ht="26.25" customHeight="1">
      <c r="A66" s="14" t="inlineStr">
        <is>
          <t>C05-01-01</t>
        </is>
      </c>
      <c r="B66" s="15" t="n"/>
      <c r="C66" s="15" t="n"/>
      <c r="D66" s="15" t="inlineStr">
        <is>
          <t>●</t>
        </is>
      </c>
      <c r="E66" s="17" t="inlineStr">
        <is>
          <t>目標設定・期中フィードバック</t>
        </is>
      </c>
      <c r="F66" s="17" t="inlineStr">
        <is>
          <t>期初に目標を合意し、1on1などで進捗と成長を支援する</t>
        </is>
      </c>
      <c r="G66" s="14" t="n"/>
      <c r="H66" s="17" t="inlineStr">
        <is>
          <t>MBO・OKR、1on1、期中の目標修正</t>
        </is>
      </c>
      <c r="I66" s="17" t="inlineStr">
        <is>
          <t>個人別育成計画（C04-03-01）</t>
        </is>
      </c>
      <c r="J66" s="17" t="inlineStr">
        <is>
          <t>組織の目標とつながった個人の目標</t>
        </is>
      </c>
    </row>
    <row r="67" ht="26.25" customHeight="1">
      <c r="A67" s="14" t="inlineStr">
        <is>
          <t>C05-01-02</t>
        </is>
      </c>
      <c r="B67" s="15" t="n"/>
      <c r="C67" s="15" t="n"/>
      <c r="D67" s="15" t="inlineStr">
        <is>
          <t>●</t>
        </is>
      </c>
      <c r="E67" s="17" t="inlineStr">
        <is>
          <t>評価実施・評価者育成</t>
        </is>
      </c>
      <c r="F67" s="17" t="inlineStr">
        <is>
          <t>自己評価と上司による一次・二次評価を行い、評価者を育成する</t>
        </is>
      </c>
      <c r="G67" s="14" t="n"/>
      <c r="H67" s="17" t="inlineStr">
        <is>
          <t>評価シート、一次・二次評価、評価者研修、試用期間の評価</t>
        </is>
      </c>
      <c r="I67" s="17" t="inlineStr">
        <is>
          <t>採用選考の評価（C02-03-02）</t>
        </is>
      </c>
      <c r="J67" s="17" t="inlineStr">
        <is>
          <t>基準に沿った評価</t>
        </is>
      </c>
    </row>
    <row r="68" ht="26.25" customHeight="1">
      <c r="A68" s="14" t="inlineStr">
        <is>
          <t>C05-01-03</t>
        </is>
      </c>
      <c r="B68" s="15" t="n"/>
      <c r="C68" s="15" t="n"/>
      <c r="D68" s="15" t="inlineStr">
        <is>
          <t>●</t>
        </is>
      </c>
      <c r="E68" s="17" t="inlineStr">
        <is>
          <t>評価調整・フィードバック</t>
        </is>
      </c>
      <c r="F68" s="17" t="inlineStr">
        <is>
          <t>評価を部門間で調整して確定し、本人にフィードバックする</t>
        </is>
      </c>
      <c r="G68" s="14" t="n"/>
      <c r="H68" s="17" t="inlineStr">
        <is>
          <t>評価調整会議、評価確定、フィードバック面談、苦情処理</t>
        </is>
      </c>
      <c r="I68" s="17" t="inlineStr">
        <is>
          <t>報酬の決定（C05-02-02）</t>
        </is>
      </c>
      <c r="J68" s="17" t="inlineStr">
        <is>
          <t>納得感のある評価結果</t>
        </is>
      </c>
    </row>
    <row r="69" ht="26.25" customHeight="1">
      <c r="A69" s="10" t="inlineStr">
        <is>
          <t>C05-02</t>
        </is>
      </c>
      <c r="B69" s="11" t="n"/>
      <c r="C69" s="11" t="inlineStr">
        <is>
          <t>●</t>
        </is>
      </c>
      <c r="D69" s="11" t="n"/>
      <c r="E69" s="12" t="inlineStr">
        <is>
          <t>報酬制度・報酬決定</t>
        </is>
      </c>
      <c r="F69" s="13" t="inlineStr">
        <is>
          <t>報酬制度を設計し、昇給・賞与を決める</t>
        </is>
      </c>
      <c r="G69" s="10" t="n"/>
      <c r="H69" s="26" t="n"/>
      <c r="I69" s="26" t="n"/>
      <c r="J69" s="26" t="n"/>
    </row>
    <row r="70" ht="26.25" customHeight="1">
      <c r="A70" s="14" t="inlineStr">
        <is>
          <t>C05-02-01</t>
        </is>
      </c>
      <c r="B70" s="15" t="n"/>
      <c r="C70" s="15" t="n"/>
      <c r="D70" s="15" t="inlineStr">
        <is>
          <t>●</t>
        </is>
      </c>
      <c r="E70" s="17" t="inlineStr">
        <is>
          <t>報酬制度設計</t>
        </is>
      </c>
      <c r="F70" s="17" t="inlineStr">
        <is>
          <t>基本給・手当・賞与・退職金の制度と賃金テーブルを設計・改定する</t>
        </is>
      </c>
      <c r="G70" s="14" t="n"/>
      <c r="H70" s="17" t="inlineStr">
        <is>
          <t>賃金テーブル、手当、賞与・退職金の算定方式、同一労働同一賃金の点検</t>
        </is>
      </c>
      <c r="I70" s="17" t="inlineStr">
        <is>
          <t>等級制度の設計（C01-03-03）</t>
        </is>
      </c>
      <c r="J70" s="17" t="inlineStr">
        <is>
          <t>公正で競争力のある報酬制度</t>
        </is>
      </c>
    </row>
    <row r="71" ht="26.25" customHeight="1">
      <c r="A71" s="14" t="inlineStr">
        <is>
          <t>C05-02-02</t>
        </is>
      </c>
      <c r="B71" s="15" t="n"/>
      <c r="C71" s="15" t="n"/>
      <c r="D71" s="15" t="inlineStr">
        <is>
          <t>●</t>
        </is>
      </c>
      <c r="E71" s="17" t="inlineStr">
        <is>
          <t>昇給・賞与決定★</t>
        </is>
      </c>
      <c r="F71" s="17" t="inlineStr">
        <is>
          <t>評価と原資に基づいて、昇給（ベースアップ・定期昇給）と賞与の額を決める</t>
        </is>
      </c>
      <c r="G71" s="14" t="n"/>
      <c r="H71" s="17" t="inlineStr">
        <is>
          <t>昇給・賞与の原資、配分、個人別の決定</t>
        </is>
      </c>
      <c r="I71" s="17" t="inlineStr">
        <is>
          <t>給与計算（C05-03-01）</t>
        </is>
      </c>
      <c r="J71" s="17" t="inlineStr">
        <is>
          <t>評価に報いる昇給・賞与</t>
        </is>
      </c>
    </row>
    <row r="72" ht="26.25" customHeight="1">
      <c r="A72" s="14" t="inlineStr">
        <is>
          <t>C05-02-03</t>
        </is>
      </c>
      <c r="B72" s="15" t="n"/>
      <c r="C72" s="15" t="n"/>
      <c r="D72" s="15" t="inlineStr">
        <is>
          <t>●</t>
        </is>
      </c>
      <c r="E72" s="17" t="inlineStr">
        <is>
          <t>報酬水準の点検</t>
        </is>
      </c>
      <c r="F72" s="17" t="inlineStr">
        <is>
          <t>市場の報酬水準と最低賃金を確認し、自社の水準を点検する</t>
        </is>
      </c>
      <c r="G72" s="14" t="n"/>
      <c r="H72" s="17" t="inlineStr">
        <is>
          <t>報酬サーベイ、最低賃金の確認</t>
        </is>
      </c>
      <c r="I72" s="17" t="inlineStr">
        <is>
          <t>—</t>
        </is>
      </c>
      <c r="J72" s="17" t="inlineStr">
        <is>
          <t>市場と法令に照らして適正な報酬水準</t>
        </is>
      </c>
    </row>
    <row r="73" ht="26.25" customHeight="1">
      <c r="A73" s="10" t="inlineStr">
        <is>
          <t>C05-03</t>
        </is>
      </c>
      <c r="B73" s="11" t="n"/>
      <c r="C73" s="11" t="inlineStr">
        <is>
          <t>●</t>
        </is>
      </c>
      <c r="D73" s="11" t="n"/>
      <c r="E73" s="12" t="inlineStr">
        <is>
          <t>給与計算・支払★</t>
        </is>
      </c>
      <c r="F73" s="13" t="inlineStr">
        <is>
          <t>給与・賞与を正確に計算して支払い、税の源泉徴収・年末調整を行う</t>
        </is>
      </c>
      <c r="G73" s="10" t="n"/>
      <c r="H73" s="26" t="n"/>
      <c r="I73" s="26" t="n"/>
      <c r="J73" s="26" t="n"/>
    </row>
    <row r="74" ht="26.25" customHeight="1">
      <c r="A74" s="14" t="inlineStr">
        <is>
          <t>C05-03-01</t>
        </is>
      </c>
      <c r="B74" s="15" t="n"/>
      <c r="C74" s="15" t="n"/>
      <c r="D74" s="15" t="inlineStr">
        <is>
          <t>●</t>
        </is>
      </c>
      <c r="E74" s="17" t="inlineStr">
        <is>
          <t>月次給与計算・支払</t>
        </is>
      </c>
      <c r="F74" s="17" t="inlineStr">
        <is>
          <t>勤怠・手当・控除を反映して給与を計算し、支払って明細を交付する</t>
        </is>
      </c>
      <c r="G74" s="14" t="n"/>
      <c r="H74" s="17" t="inlineStr">
        <is>
          <t>給与計算、振込、給与明細、賃金台帳</t>
        </is>
      </c>
      <c r="I74" s="17" t="inlineStr">
        <is>
          <t>報酬額の決定（C05-02-02）</t>
        </is>
      </c>
      <c r="J74" s="17" t="inlineStr">
        <is>
          <t>正確で期日どおりの給与</t>
        </is>
      </c>
    </row>
    <row r="75" ht="26.25" customHeight="1">
      <c r="A75" s="14" t="inlineStr">
        <is>
          <t>C05-03-02</t>
        </is>
      </c>
      <c r="B75" s="15" t="n"/>
      <c r="C75" s="15" t="n"/>
      <c r="D75" s="15" t="inlineStr">
        <is>
          <t>●</t>
        </is>
      </c>
      <c r="E75" s="17" t="inlineStr">
        <is>
          <t>賞与計算・支払</t>
        </is>
      </c>
      <c r="F75" s="17" t="inlineStr">
        <is>
          <t>賞与を計算・支払い、社会保険の賞与支払届を出す</t>
        </is>
      </c>
      <c r="G75" s="14" t="n"/>
      <c r="H75" s="17" t="inlineStr">
        <is>
          <t>賞与計算、賞与支払届</t>
        </is>
      </c>
      <c r="I75" s="17" t="inlineStr">
        <is>
          <t>賞与額の決定（C05-02-02）</t>
        </is>
      </c>
      <c r="J75" s="17" t="inlineStr">
        <is>
          <t>正確な賞与</t>
        </is>
      </c>
    </row>
    <row r="76" ht="26.25" customHeight="1">
      <c r="A76" s="14" t="inlineStr">
        <is>
          <t>C05-03-03</t>
        </is>
      </c>
      <c r="B76" s="15" t="n"/>
      <c r="C76" s="15" t="n"/>
      <c r="D76" s="15" t="inlineStr">
        <is>
          <t>●</t>
        </is>
      </c>
      <c r="E76" s="17" t="inlineStr">
        <is>
          <t>年末調整・源泉徴収★</t>
        </is>
      </c>
      <c r="F76" s="17" t="inlineStr">
        <is>
          <t>所得税を源泉徴収し、年末調整と源泉徴収票の交付・法定調書の提出を行う</t>
        </is>
      </c>
      <c r="G76" s="14" t="n"/>
      <c r="H76" s="17" t="inlineStr">
        <is>
          <t>扶養控除等申告書、年末調整、源泉徴収票、法定調書</t>
        </is>
      </c>
      <c r="I76" s="17" t="inlineStr">
        <is>
          <t>マイナンバーの収集（C03-01-03）</t>
        </is>
      </c>
      <c r="J76" s="17" t="inlineStr">
        <is>
          <t>正しく精算された所得税</t>
        </is>
      </c>
    </row>
    <row r="77" ht="26.25" customHeight="1">
      <c r="A77" s="14" t="inlineStr">
        <is>
          <t>C05-03-04</t>
        </is>
      </c>
      <c r="B77" s="15" t="n"/>
      <c r="C77" s="15" t="n"/>
      <c r="D77" s="15" t="inlineStr">
        <is>
          <t>●</t>
        </is>
      </c>
      <c r="E77" s="17" t="inlineStr">
        <is>
          <t>住民税特別徴収★</t>
        </is>
      </c>
      <c r="F77" s="17" t="inlineStr">
        <is>
          <t>住民税を給与から特別徴収し、市区町村に納付する</t>
        </is>
      </c>
      <c r="G77" s="14" t="n"/>
      <c r="H77" s="17" t="inlineStr">
        <is>
          <t>特別徴収税額の反映、納付、異動届</t>
        </is>
      </c>
      <c r="I77" s="17" t="inlineStr">
        <is>
          <t>—</t>
        </is>
      </c>
      <c r="J77" s="17" t="inlineStr">
        <is>
          <t>正しく納付された住民税</t>
        </is>
      </c>
    </row>
    <row r="78" ht="26.25" customHeight="1">
      <c r="A78" s="10" t="inlineStr">
        <is>
          <t>C05-04</t>
        </is>
      </c>
      <c r="B78" s="11" t="n"/>
      <c r="C78" s="11" t="inlineStr">
        <is>
          <t>●</t>
        </is>
      </c>
      <c r="D78" s="11" t="n"/>
      <c r="E78" s="12" t="inlineStr">
        <is>
          <t>社会保険・福利厚生</t>
        </is>
      </c>
      <c r="F78" s="13" t="inlineStr">
        <is>
          <t>社会保険・労働保険の定例手続きを行い、福利厚生と退職給付を提供する</t>
        </is>
      </c>
      <c r="G78" s="10" t="n"/>
      <c r="H78" s="26" t="n"/>
      <c r="I78" s="26" t="n"/>
      <c r="J78" s="26" t="n"/>
    </row>
    <row r="79" ht="26.25" customHeight="1">
      <c r="A79" s="14" t="inlineStr">
        <is>
          <t>C05-04-01</t>
        </is>
      </c>
      <c r="B79" s="15" t="n"/>
      <c r="C79" s="15" t="n"/>
      <c r="D79" s="15" t="inlineStr">
        <is>
          <t>●</t>
        </is>
      </c>
      <c r="E79" s="17" t="inlineStr">
        <is>
          <t>社会保険・労働保険の定例手続き★</t>
        </is>
      </c>
      <c r="F79" s="17" t="inlineStr">
        <is>
          <t>算定基礎届・月額変更届・労働保険の年度更新などを行う</t>
        </is>
      </c>
      <c r="G79" s="14" t="n"/>
      <c r="H79" s="17" t="inlineStr">
        <is>
          <t>算定基礎届、月額変更届、年度更新、育児休業等の保険料免除</t>
        </is>
      </c>
      <c r="I79" s="17" t="inlineStr">
        <is>
          <t>資格取得・喪失の届出（C03-01-02／C08-01-02）</t>
        </is>
      </c>
      <c r="J79" s="17" t="inlineStr">
        <is>
          <t>正しい保険料と給付</t>
        </is>
      </c>
    </row>
    <row r="80" ht="26.25" customHeight="1">
      <c r="A80" s="14" t="inlineStr">
        <is>
          <t>C05-04-02</t>
        </is>
      </c>
      <c r="B80" s="15" t="n"/>
      <c r="C80" s="15" t="n"/>
      <c r="D80" s="15" t="inlineStr">
        <is>
          <t>●</t>
        </is>
      </c>
      <c r="E80" s="17" t="inlineStr">
        <is>
          <t>福利厚生制度運営</t>
        </is>
      </c>
      <c r="F80" s="17" t="inlineStr">
        <is>
          <t>住宅・持株会・カフェテリアプランなどの福利厚生を提供する</t>
        </is>
      </c>
      <c r="G80" s="14" t="n"/>
      <c r="H80" s="17" t="inlineStr">
        <is>
          <t>制度の運営、外部サービスの管理</t>
        </is>
      </c>
      <c r="I80" s="17" t="inlineStr">
        <is>
          <t>健康管理（C06-02）</t>
        </is>
      </c>
      <c r="J80" s="17" t="inlineStr">
        <is>
          <t>従業員に活用される福利厚生</t>
        </is>
      </c>
    </row>
    <row r="81" ht="26.25" customHeight="1">
      <c r="A81" s="14" t="inlineStr">
        <is>
          <t>C05-04-03</t>
        </is>
      </c>
      <c r="B81" s="15" t="n"/>
      <c r="C81" s="15" t="n"/>
      <c r="D81" s="15" t="inlineStr">
        <is>
          <t>●</t>
        </is>
      </c>
      <c r="E81" s="17" t="inlineStr">
        <is>
          <t>退職給付管理</t>
        </is>
      </c>
      <c r="F81" s="17" t="inlineStr">
        <is>
          <t>退職金・企業年金（確定給付・確定拠出）を管理する</t>
        </is>
      </c>
      <c r="G81" s="14" t="n"/>
      <c r="H81" s="17" t="inlineStr">
        <is>
          <t>退職金の算定、企業年金の運営、掛金</t>
        </is>
      </c>
      <c r="I81" s="17" t="inlineStr">
        <is>
          <t>退職時の精算（C08-01-03）</t>
        </is>
      </c>
      <c r="J81" s="17" t="inlineStr">
        <is>
          <t>約束どおりに支払われる退職給付</t>
        </is>
      </c>
    </row>
    <row r="82" ht="26.25" customHeight="1">
      <c r="A82" s="6" t="inlineStr">
        <is>
          <t>C06</t>
        </is>
      </c>
      <c r="B82" s="7" t="inlineStr">
        <is>
          <t>●</t>
        </is>
      </c>
      <c r="C82" s="7" t="n"/>
      <c r="D82" s="7" t="n"/>
      <c r="E82" s="24" t="inlineStr">
        <is>
          <t>就業・労務管理</t>
        </is>
      </c>
      <c r="F82" s="9" t="inlineStr">
        <is>
          <t>労働時間・休暇・健康・安全・労使関係を適切に管理し、安心して働ける環境を整える能力</t>
        </is>
      </c>
      <c r="G82" s="25" t="inlineStr">
        <is>
          <t>コア</t>
        </is>
      </c>
      <c r="H82" s="9" t="n"/>
      <c r="I82" s="9" t="n"/>
      <c r="J82" s="9" t="n"/>
    </row>
    <row r="83" ht="26.25" customHeight="1">
      <c r="A83" s="10" t="inlineStr">
        <is>
          <t>C06-01</t>
        </is>
      </c>
      <c r="B83" s="11" t="n"/>
      <c r="C83" s="11" t="inlineStr">
        <is>
          <t>●</t>
        </is>
      </c>
      <c r="D83" s="11" t="n"/>
      <c r="E83" s="12" t="inlineStr">
        <is>
          <t>勤怠・休暇管理★</t>
        </is>
      </c>
      <c r="F83" s="13" t="inlineStr">
        <is>
          <t>労働時間を客観的に記録し、時間外労働と休暇・休業を管理する</t>
        </is>
      </c>
      <c r="G83" s="10" t="n"/>
      <c r="H83" s="26" t="n"/>
      <c r="I83" s="26" t="n"/>
      <c r="J83" s="26" t="n"/>
    </row>
    <row r="84" ht="26.25" customHeight="1">
      <c r="A84" s="14" t="inlineStr">
        <is>
          <t>C06-01-01</t>
        </is>
      </c>
      <c r="B84" s="15" t="n"/>
      <c r="C84" s="15" t="n"/>
      <c r="D84" s="15" t="inlineStr">
        <is>
          <t>●</t>
        </is>
      </c>
      <c r="E84" s="17" t="inlineStr">
        <is>
          <t>勤怠記録・労働時間管理</t>
        </is>
      </c>
      <c r="F84" s="17" t="inlineStr">
        <is>
          <t>出退勤と労働時間を客観的に記録し、月次で締める</t>
        </is>
      </c>
      <c r="G84" s="14" t="n"/>
      <c r="H84" s="17" t="inlineStr">
        <is>
          <t>打刻、勤務予定・シフト、勤怠の締め</t>
        </is>
      </c>
      <c r="I84" s="17" t="inlineStr">
        <is>
          <t>給与計算（C05-03-01）</t>
        </is>
      </c>
      <c r="J84" s="17" t="inlineStr">
        <is>
          <t>正確な労働時間の記録</t>
        </is>
      </c>
    </row>
    <row r="85" ht="26.25" customHeight="1">
      <c r="A85" s="14" t="inlineStr">
        <is>
          <t>C06-01-02</t>
        </is>
      </c>
      <c r="B85" s="15" t="n"/>
      <c r="C85" s="15" t="n"/>
      <c r="D85" s="15" t="inlineStr">
        <is>
          <t>●</t>
        </is>
      </c>
      <c r="E85" s="17" t="inlineStr">
        <is>
          <t>時間外労働の上限管理★</t>
        </is>
      </c>
      <c r="F85" s="17" t="inlineStr">
        <is>
          <t>36協定の範囲で時間外・休日労働を管理し、上限を超えないようにする</t>
        </is>
      </c>
      <c r="G85" s="14" t="n"/>
      <c r="H85" s="17" t="inlineStr">
        <is>
          <t>36協定の管理、上限の監視、警告</t>
        </is>
      </c>
      <c r="I85" s="17" t="inlineStr">
        <is>
          <t>36協定の締結（C06-03-01）</t>
        </is>
      </c>
      <c r="J85" s="17" t="inlineStr">
        <is>
          <t>法定の上限を超えない労働時間</t>
        </is>
      </c>
    </row>
    <row r="86" ht="26.25" customHeight="1">
      <c r="A86" s="14" t="inlineStr">
        <is>
          <t>C06-01-03</t>
        </is>
      </c>
      <c r="B86" s="15" t="n"/>
      <c r="C86" s="15" t="n"/>
      <c r="D86" s="15" t="inlineStr">
        <is>
          <t>●</t>
        </is>
      </c>
      <c r="E86" s="17" t="inlineStr">
        <is>
          <t>年次有給休暇管理★</t>
        </is>
      </c>
      <c r="F86" s="17" t="inlineStr">
        <is>
          <t>有給休暇を付与し、年5日の取得義務を管理する</t>
        </is>
      </c>
      <c r="G86" s="14" t="n"/>
      <c r="H86" s="17" t="inlineStr">
        <is>
          <t>付与、取得管理、年次有給休暇管理簿</t>
        </is>
      </c>
      <c r="I86" s="17" t="inlineStr">
        <is>
          <t>—</t>
        </is>
      </c>
      <c r="J86" s="17" t="inlineStr">
        <is>
          <t>取得義務を満たした有給休暇</t>
        </is>
      </c>
    </row>
    <row r="87" ht="26.25" customHeight="1">
      <c r="A87" s="14" t="inlineStr">
        <is>
          <t>C06-01-04</t>
        </is>
      </c>
      <c r="B87" s="15" t="n"/>
      <c r="C87" s="15" t="n"/>
      <c r="D87" s="15" t="inlineStr">
        <is>
          <t>●</t>
        </is>
      </c>
      <c r="E87" s="17" t="inlineStr">
        <is>
          <t>休業・休職管理★</t>
        </is>
      </c>
      <c r="F87" s="17" t="inlineStr">
        <is>
          <t>産前産後・育児・介護休業や休職の申出を受け付け、復職まで管理する</t>
        </is>
      </c>
      <c r="G87" s="14" t="n"/>
      <c r="H87" s="17" t="inlineStr">
        <is>
          <t>申出の受付、個別の周知・意向確認、休業中の管理、復職</t>
        </is>
      </c>
      <c r="I87" s="17" t="inlineStr">
        <is>
          <t>保険料免除の手続き（C05-04-01）</t>
        </is>
      </c>
      <c r="J87" s="17" t="inlineStr">
        <is>
          <t>安心して休み、復帰できる従業員</t>
        </is>
      </c>
    </row>
    <row r="88" ht="26.25" customHeight="1">
      <c r="A88" s="10" t="inlineStr">
        <is>
          <t>C06-02</t>
        </is>
      </c>
      <c r="B88" s="11" t="n"/>
      <c r="C88" s="11" t="inlineStr">
        <is>
          <t>●</t>
        </is>
      </c>
      <c r="D88" s="11" t="n"/>
      <c r="E88" s="12" t="inlineStr">
        <is>
          <t>健康・安全管理★</t>
        </is>
      </c>
      <c r="F88" s="13" t="inlineStr">
        <is>
          <t>健康診断・ストレスチェック・面接指導を行い、労働災害を防ぐ</t>
        </is>
      </c>
      <c r="G88" s="10" t="n"/>
      <c r="H88" s="26" t="n"/>
      <c r="I88" s="26" t="n"/>
      <c r="J88" s="26" t="n"/>
    </row>
    <row r="89" ht="26.25" customHeight="1">
      <c r="A89" s="14" t="inlineStr">
        <is>
          <t>C06-02-01</t>
        </is>
      </c>
      <c r="B89" s="15" t="n"/>
      <c r="C89" s="15" t="n"/>
      <c r="D89" s="15" t="inlineStr">
        <is>
          <t>●</t>
        </is>
      </c>
      <c r="E89" s="17" t="inlineStr">
        <is>
          <t>健康診断・事後措置★</t>
        </is>
      </c>
      <c r="F89" s="17" t="inlineStr">
        <is>
          <t>雇入時・定期の健康診断を行い、医師の意見に基づく就業上の措置をとる</t>
        </is>
      </c>
      <c r="G89" s="14" t="n"/>
      <c r="H89" s="17" t="inlineStr">
        <is>
          <t>健診の実施、結果の管理、就業判定</t>
        </is>
      </c>
      <c r="I89" s="17" t="inlineStr">
        <is>
          <t>ストレスチェック（C06-02-02）</t>
        </is>
      </c>
      <c r="J89" s="17" t="inlineStr">
        <is>
          <t>健康状態に応じて働ける従業員</t>
        </is>
      </c>
    </row>
    <row r="90" ht="26.25" customHeight="1">
      <c r="A90" s="14" t="inlineStr">
        <is>
          <t>C06-02-02</t>
        </is>
      </c>
      <c r="B90" s="15" t="n"/>
      <c r="C90" s="15" t="n"/>
      <c r="D90" s="15" t="inlineStr">
        <is>
          <t>●</t>
        </is>
      </c>
      <c r="E90" s="17" t="inlineStr">
        <is>
          <t>ストレスチェック★</t>
        </is>
      </c>
      <c r="F90" s="17" t="inlineStr">
        <is>
          <t>ストレスチェックを実施し、高ストレス者に医師の面接指導を行う</t>
        </is>
      </c>
      <c r="G90" s="14" t="n"/>
      <c r="H90" s="17" t="inlineStr">
        <is>
          <t>実施、面接指導、集団分析</t>
        </is>
      </c>
      <c r="I90" s="17" t="inlineStr">
        <is>
          <t>—</t>
        </is>
      </c>
      <c r="J90" s="17" t="inlineStr">
        <is>
          <t>心の不調の予防</t>
        </is>
      </c>
    </row>
    <row r="91" ht="26.25" customHeight="1">
      <c r="A91" s="14" t="inlineStr">
        <is>
          <t>C06-02-03</t>
        </is>
      </c>
      <c r="B91" s="15" t="n"/>
      <c r="C91" s="15" t="n"/>
      <c r="D91" s="15" t="inlineStr">
        <is>
          <t>●</t>
        </is>
      </c>
      <c r="E91" s="17" t="inlineStr">
        <is>
          <t>長時間労働者の面接指導★</t>
        </is>
      </c>
      <c r="F91" s="17" t="inlineStr">
        <is>
          <t>時間外労働が基準を超えた従業員に、医師の面接指導を行う</t>
        </is>
      </c>
      <c r="G91" s="14" t="n"/>
      <c r="H91" s="17" t="inlineStr">
        <is>
          <t>対象者の抽出、面接指導、事後措置</t>
        </is>
      </c>
      <c r="I91" s="17" t="inlineStr">
        <is>
          <t>時間外労働の上限管理（C06-01-02）</t>
        </is>
      </c>
      <c r="J91" s="17" t="inlineStr">
        <is>
          <t>過重労働による健康障害の防止</t>
        </is>
      </c>
    </row>
    <row r="92" ht="26.25" customHeight="1">
      <c r="A92" s="14" t="inlineStr">
        <is>
          <t>C06-02-04</t>
        </is>
      </c>
      <c r="B92" s="15" t="n"/>
      <c r="C92" s="15" t="n"/>
      <c r="D92" s="15" t="inlineStr">
        <is>
          <t>●</t>
        </is>
      </c>
      <c r="E92" s="17" t="inlineStr">
        <is>
          <t>労働災害対応</t>
        </is>
      </c>
      <c r="F92" s="17" t="inlineStr">
        <is>
          <t>労働災害を報告し、原因を調べて再発を防ぐ</t>
        </is>
      </c>
      <c r="G92" s="14" t="n"/>
      <c r="H92" s="17" t="inlineStr">
        <is>
          <t>労災保険の請求支援、労働者死傷病報告、再発防止</t>
        </is>
      </c>
      <c r="I92" s="17" t="inlineStr">
        <is>
          <t>—</t>
        </is>
      </c>
      <c r="J92" s="17" t="inlineStr">
        <is>
          <t>災害が繰り返されない職場</t>
        </is>
      </c>
    </row>
    <row r="93" ht="26.25" customHeight="1">
      <c r="A93" s="10" t="inlineStr">
        <is>
          <t>C06-03</t>
        </is>
      </c>
      <c r="B93" s="11" t="n"/>
      <c r="C93" s="11" t="inlineStr">
        <is>
          <t>●</t>
        </is>
      </c>
      <c r="D93" s="11" t="n"/>
      <c r="E93" s="12" t="inlineStr">
        <is>
          <t>労使関係・従業員対応</t>
        </is>
      </c>
      <c r="F93" s="13" t="inlineStr">
        <is>
          <t>労働組合・過半数代表と協議し、従業員の相談と紛争に対応する</t>
        </is>
      </c>
      <c r="G93" s="10" t="n"/>
      <c r="H93" s="26" t="n"/>
      <c r="I93" s="26" t="n"/>
      <c r="J93" s="26" t="n"/>
    </row>
    <row r="94" ht="26.25" customHeight="1">
      <c r="A94" s="14" t="inlineStr">
        <is>
          <t>C06-03-01</t>
        </is>
      </c>
      <c r="B94" s="15" t="n"/>
      <c r="C94" s="15" t="n"/>
      <c r="D94" s="15" t="inlineStr">
        <is>
          <t>●</t>
        </is>
      </c>
      <c r="E94" s="17" t="inlineStr">
        <is>
          <t>労使協議・労使協定</t>
        </is>
      </c>
      <c r="F94" s="17" t="inlineStr">
        <is>
          <t>労働組合・過半数代表と協議し、36協定などの労使協定を結ぶ</t>
        </is>
      </c>
      <c r="G94" s="14" t="n"/>
      <c r="H94" s="17" t="inlineStr">
        <is>
          <t>団体交渉、労使協議、労使協定の締結・届出</t>
        </is>
      </c>
      <c r="I94" s="17" t="inlineStr">
        <is>
          <t>就業規則の改定（C01-01-03）</t>
        </is>
      </c>
      <c r="J94" s="17" t="inlineStr">
        <is>
          <t>信頼に基づく労使関係</t>
        </is>
      </c>
    </row>
    <row r="95" ht="26.25" customHeight="1">
      <c r="A95" s="14" t="inlineStr">
        <is>
          <t>C06-03-02</t>
        </is>
      </c>
      <c r="B95" s="15" t="n"/>
      <c r="C95" s="15" t="n"/>
      <c r="D95" s="15" t="inlineStr">
        <is>
          <t>●</t>
        </is>
      </c>
      <c r="E95" s="17" t="inlineStr">
        <is>
          <t>相談窓口・ハラスメント対応</t>
        </is>
      </c>
      <c r="F95" s="17" t="inlineStr">
        <is>
          <t>相談・通報を受け付け、事実を確認して対応する</t>
        </is>
      </c>
      <c r="G95" s="14" t="n"/>
      <c r="H95" s="17" t="inlineStr">
        <is>
          <t>相談窓口、内部通報、調査、再発防止</t>
        </is>
      </c>
      <c r="I95" s="17" t="inlineStr">
        <is>
          <t>ハラスメント防止研修（C04-04-01）</t>
        </is>
      </c>
      <c r="J95" s="17" t="inlineStr">
        <is>
          <t>安心して相談できる職場</t>
        </is>
      </c>
    </row>
    <row r="96" ht="26.25" customHeight="1">
      <c r="A96" s="14" t="inlineStr">
        <is>
          <t>C06-03-03</t>
        </is>
      </c>
      <c r="B96" s="15" t="n"/>
      <c r="C96" s="15" t="n"/>
      <c r="D96" s="15" t="inlineStr">
        <is>
          <t>●</t>
        </is>
      </c>
      <c r="E96" s="17" t="inlineStr">
        <is>
          <t>懲戒・紛争対応</t>
        </is>
      </c>
      <c r="F96" s="17" t="inlineStr">
        <is>
          <t>就業規則に基づいて懲戒・解雇を行い、労働紛争に対応する</t>
        </is>
      </c>
      <c r="G96" s="14" t="n"/>
      <c r="H96" s="17" t="inlineStr">
        <is>
          <t>懲戒手続き、解雇予告、労働審判・あっせんへの対応</t>
        </is>
      </c>
      <c r="I96" s="17" t="inlineStr">
        <is>
          <t>退職手続き（C08-01）</t>
        </is>
      </c>
      <c r="J96" s="17" t="inlineStr">
        <is>
          <t>公正で法令に沿った処分</t>
        </is>
      </c>
    </row>
    <row r="97" ht="26.25" customHeight="1">
      <c r="A97" s="10" t="inlineStr">
        <is>
          <t>C06-04</t>
        </is>
      </c>
      <c r="B97" s="11" t="n"/>
      <c r="C97" s="11" t="inlineStr">
        <is>
          <t>●</t>
        </is>
      </c>
      <c r="D97" s="11" t="n"/>
      <c r="E97" s="12" t="inlineStr">
        <is>
          <t>エンゲージメント・働き方</t>
        </is>
      </c>
      <c r="F97" s="13" t="inlineStr">
        <is>
          <t>従業員のエンゲージメントを測って高め、柔軟な働き方を整える</t>
        </is>
      </c>
      <c r="G97" s="10" t="n"/>
      <c r="H97" s="26" t="n"/>
      <c r="I97" s="26" t="n"/>
      <c r="J97" s="26" t="n"/>
    </row>
    <row r="98" ht="26.25" customHeight="1">
      <c r="A98" s="14" t="inlineStr">
        <is>
          <t>C06-04-01</t>
        </is>
      </c>
      <c r="B98" s="15" t="n"/>
      <c r="C98" s="15" t="n"/>
      <c r="D98" s="15" t="inlineStr">
        <is>
          <t>●</t>
        </is>
      </c>
      <c r="E98" s="17" t="inlineStr">
        <is>
          <t>エンゲージメント調査・改善</t>
        </is>
      </c>
      <c r="F98" s="17" t="inlineStr">
        <is>
          <t>エンゲージメント調査を行い、職場ごとに改善を進める</t>
        </is>
      </c>
      <c r="G98" s="14" t="n"/>
      <c r="H98" s="17" t="inlineStr">
        <is>
          <t>サーベイ、パルスサーベイ、改善活動</t>
        </is>
      </c>
      <c r="I98" s="17" t="inlineStr">
        <is>
          <t>ストレスチェック（C06-02-02）</t>
        </is>
      </c>
      <c r="J98" s="17" t="inlineStr">
        <is>
          <t>働きがいのある職場</t>
        </is>
      </c>
    </row>
    <row r="99" ht="26.25" customHeight="1">
      <c r="A99" s="14" t="inlineStr">
        <is>
          <t>C06-04-02</t>
        </is>
      </c>
      <c r="B99" s="15" t="n"/>
      <c r="C99" s="15" t="n"/>
      <c r="D99" s="15" t="inlineStr">
        <is>
          <t>●</t>
        </is>
      </c>
      <c r="E99" s="17" t="inlineStr">
        <is>
          <t>柔軟な働き方の制度運用★</t>
        </is>
      </c>
      <c r="F99" s="17" t="inlineStr">
        <is>
          <t>テレワーク・時差出勤・短時間勤務などの制度を運用する</t>
        </is>
      </c>
      <c r="G99" s="14" t="n"/>
      <c r="H99" s="17" t="inlineStr">
        <is>
          <t>制度の設計・運用、育児・介護中の従業員への措置</t>
        </is>
      </c>
      <c r="I99" s="17" t="inlineStr">
        <is>
          <t>勤怠の記録（C06-01-01）</t>
        </is>
      </c>
      <c r="J99" s="17" t="inlineStr">
        <is>
          <t>事情に合わせて働き続けられる従業員</t>
        </is>
      </c>
    </row>
    <row r="100" ht="26.25" customHeight="1">
      <c r="A100" s="6" t="inlineStr">
        <is>
          <t>C07</t>
        </is>
      </c>
      <c r="B100" s="7" t="inlineStr">
        <is>
          <t>●</t>
        </is>
      </c>
      <c r="C100" s="7" t="n"/>
      <c r="D100" s="7" t="n"/>
      <c r="E100" s="24" t="inlineStr">
        <is>
          <t>タレントマネジメント・配置</t>
        </is>
      </c>
      <c r="F100" s="9" t="inlineStr">
        <is>
          <t>人材を見極めて最適に配置し、次の担い手と多様な人材の活躍を実現する能力</t>
        </is>
      </c>
      <c r="G100" s="25" t="inlineStr">
        <is>
          <t>コア</t>
        </is>
      </c>
      <c r="H100" s="9" t="n"/>
      <c r="I100" s="9" t="n"/>
      <c r="J100" s="9" t="n"/>
    </row>
    <row r="101" ht="26.25" customHeight="1">
      <c r="A101" s="10" t="inlineStr">
        <is>
          <t>C07-01</t>
        </is>
      </c>
      <c r="B101" s="11" t="n"/>
      <c r="C101" s="11" t="inlineStr">
        <is>
          <t>●</t>
        </is>
      </c>
      <c r="D101" s="11" t="n"/>
      <c r="E101" s="12" t="inlineStr">
        <is>
          <t>タレントレビュー・配置</t>
        </is>
      </c>
      <c r="F101" s="13" t="inlineStr">
        <is>
          <t>人材情報を集約して見極め、異動・配置を決める</t>
        </is>
      </c>
      <c r="G101" s="10" t="n"/>
      <c r="H101" s="26" t="n"/>
      <c r="I101" s="26" t="n"/>
      <c r="J101" s="26" t="n"/>
    </row>
    <row r="102" ht="26.25" customHeight="1">
      <c r="A102" s="14" t="inlineStr">
        <is>
          <t>C07-01-01</t>
        </is>
      </c>
      <c r="B102" s="15" t="n"/>
      <c r="C102" s="15" t="n"/>
      <c r="D102" s="15" t="inlineStr">
        <is>
          <t>●</t>
        </is>
      </c>
      <c r="E102" s="17" t="inlineStr">
        <is>
          <t>タレントレビュー</t>
        </is>
      </c>
      <c r="F102" s="17" t="inlineStr">
        <is>
          <t>評価・スキル・キャリア希望を集め、人材の見極めと育成方針を決める</t>
        </is>
      </c>
      <c r="G102" s="14" t="n"/>
      <c r="H102" s="17" t="inlineStr">
        <is>
          <t>人材情報の集約、タレントレビュー会議</t>
        </is>
      </c>
      <c r="I102" s="17" t="inlineStr">
        <is>
          <t>評価の確定（C05-01-03）</t>
        </is>
      </c>
      <c r="J102" s="17" t="inlineStr">
        <is>
          <t>見極められた人材</t>
        </is>
      </c>
    </row>
    <row r="103" ht="26.25" customHeight="1">
      <c r="A103" s="14" t="inlineStr">
        <is>
          <t>C07-01-02</t>
        </is>
      </c>
      <c r="B103" s="15" t="n"/>
      <c r="C103" s="15" t="n"/>
      <c r="D103" s="15" t="inlineStr">
        <is>
          <t>●</t>
        </is>
      </c>
      <c r="E103" s="17" t="inlineStr">
        <is>
          <t>人事異動・定期異動★</t>
        </is>
      </c>
      <c r="F103" s="17" t="inlineStr">
        <is>
          <t>異動計画を立てて調整し、発令する</t>
        </is>
      </c>
      <c r="G103" s="14" t="n"/>
      <c r="H103" s="17" t="inlineStr">
        <is>
          <t>異動計画、調整、内示、発令</t>
        </is>
      </c>
      <c r="I103" s="17" t="inlineStr">
        <is>
          <t>組織改編（C01-03-01）</t>
        </is>
      </c>
      <c r="J103" s="17" t="inlineStr">
        <is>
          <t>事業と本人の成長に合った配置</t>
        </is>
      </c>
    </row>
    <row r="104" ht="26.25" customHeight="1">
      <c r="A104" s="14" t="inlineStr">
        <is>
          <t>C07-01-03</t>
        </is>
      </c>
      <c r="B104" s="15" t="n"/>
      <c r="C104" s="15" t="n"/>
      <c r="D104" s="15" t="inlineStr">
        <is>
          <t>●</t>
        </is>
      </c>
      <c r="E104" s="17" t="inlineStr">
        <is>
          <t>社内公募・FA</t>
        </is>
      </c>
      <c r="F104" s="17" t="inlineStr">
        <is>
          <t>社内公募・FA制度で、本人の意思による異動を実現する</t>
        </is>
      </c>
      <c r="G104" s="14" t="n"/>
      <c r="H104" s="17" t="inlineStr">
        <is>
          <t>公募ポジションの公開、応募、選考</t>
        </is>
      </c>
      <c r="I104" s="17" t="inlineStr">
        <is>
          <t>—</t>
        </is>
      </c>
      <c r="J104" s="17" t="inlineStr">
        <is>
          <t>本人の意思を生かした配置</t>
        </is>
      </c>
    </row>
    <row r="105" ht="26.25" customHeight="1">
      <c r="A105" s="14" t="inlineStr">
        <is>
          <t>C07-01-04</t>
        </is>
      </c>
      <c r="B105" s="15" t="n"/>
      <c r="C105" s="15" t="n"/>
      <c r="D105" s="15" t="inlineStr">
        <is>
          <t>●</t>
        </is>
      </c>
      <c r="E105" s="17" t="inlineStr">
        <is>
          <t>出向・転籍★</t>
        </is>
      </c>
      <c r="F105" s="17" t="inlineStr">
        <is>
          <t>グループ会社などへの出向・転籍を、契約と本人の同意に基づいて行う</t>
        </is>
      </c>
      <c r="G105" s="14" t="n"/>
      <c r="H105" s="17" t="inlineStr">
        <is>
          <t>出向契約、本人の同意、出向中の処遇</t>
        </is>
      </c>
      <c r="I105" s="17" t="inlineStr">
        <is>
          <t>—</t>
        </is>
      </c>
      <c r="J105" s="17" t="inlineStr">
        <is>
          <t>トラブルのない出向・転籍</t>
        </is>
      </c>
    </row>
    <row r="106" ht="26.25" customHeight="1">
      <c r="A106" s="10" t="inlineStr">
        <is>
          <t>C07-02</t>
        </is>
      </c>
      <c r="B106" s="11" t="n"/>
      <c r="C106" s="11" t="inlineStr">
        <is>
          <t>●</t>
        </is>
      </c>
      <c r="D106" s="11" t="n"/>
      <c r="E106" s="12" t="inlineStr">
        <is>
          <t>昇格・登用</t>
        </is>
      </c>
      <c r="F106" s="13" t="inlineStr">
        <is>
          <t>昇格の審査と管理職への登用を行う</t>
        </is>
      </c>
      <c r="G106" s="10" t="n"/>
      <c r="H106" s="26" t="n"/>
      <c r="I106" s="26" t="n"/>
      <c r="J106" s="26" t="n"/>
    </row>
    <row r="107" ht="26.25" customHeight="1">
      <c r="A107" s="14" t="inlineStr">
        <is>
          <t>C07-02-01</t>
        </is>
      </c>
      <c r="B107" s="15" t="n"/>
      <c r="C107" s="15" t="n"/>
      <c r="D107" s="15" t="inlineStr">
        <is>
          <t>●</t>
        </is>
      </c>
      <c r="E107" s="17" t="inlineStr">
        <is>
          <t>昇格審査★</t>
        </is>
      </c>
      <c r="F107" s="17" t="inlineStr">
        <is>
          <t>昇格の候補者を選び、試験・アセスメントで審査する</t>
        </is>
      </c>
      <c r="G107" s="14" t="n"/>
      <c r="H107" s="17" t="inlineStr">
        <is>
          <t>候補者の選定、昇格試験、アセスメント</t>
        </is>
      </c>
      <c r="I107" s="17" t="inlineStr">
        <is>
          <t>評価の確定（C05-01-03）</t>
        </is>
      </c>
      <c r="J107" s="17" t="inlineStr">
        <is>
          <t>基準を満たした昇格者</t>
        </is>
      </c>
    </row>
    <row r="108" ht="26.25" customHeight="1">
      <c r="A108" s="14" t="inlineStr">
        <is>
          <t>C07-02-02</t>
        </is>
      </c>
      <c r="B108" s="15" t="n"/>
      <c r="C108" s="15" t="n"/>
      <c r="D108" s="15" t="inlineStr">
        <is>
          <t>●</t>
        </is>
      </c>
      <c r="E108" s="17" t="inlineStr">
        <is>
          <t>管理職登用</t>
        </is>
      </c>
      <c r="F108" s="17" t="inlineStr">
        <is>
          <t>管理職への登用を決め、役割を任命する</t>
        </is>
      </c>
      <c r="G108" s="14" t="n"/>
      <c r="H108" s="17" t="inlineStr">
        <is>
          <t>登用の決定、任命、登用後の支援</t>
        </is>
      </c>
      <c r="I108" s="17" t="inlineStr">
        <is>
          <t>階層別研修（C04-01-03）</t>
        </is>
      </c>
      <c r="J108" s="17" t="inlineStr">
        <is>
          <t>役割を担える管理職</t>
        </is>
      </c>
    </row>
    <row r="109" ht="26.25" customHeight="1">
      <c r="A109" s="10" t="inlineStr">
        <is>
          <t>C07-03</t>
        </is>
      </c>
      <c r="B109" s="11" t="n"/>
      <c r="C109" s="11" t="inlineStr">
        <is>
          <t>●</t>
        </is>
      </c>
      <c r="D109" s="11" t="n"/>
      <c r="E109" s="12" t="inlineStr">
        <is>
          <t>後継者・リーダー育成</t>
        </is>
      </c>
      <c r="F109" s="13" t="inlineStr">
        <is>
          <t>重要なポストの後継者を計画し、次世代のリーダーを育てる</t>
        </is>
      </c>
      <c r="G109" s="10" t="n"/>
      <c r="H109" s="26" t="n"/>
      <c r="I109" s="26" t="n"/>
      <c r="J109" s="26" t="n"/>
    </row>
    <row r="110" ht="26.25" customHeight="1">
      <c r="A110" s="14" t="inlineStr">
        <is>
          <t>C07-03-01</t>
        </is>
      </c>
      <c r="B110" s="15" t="n"/>
      <c r="C110" s="15" t="n"/>
      <c r="D110" s="15" t="inlineStr">
        <is>
          <t>●</t>
        </is>
      </c>
      <c r="E110" s="17" t="inlineStr">
        <is>
          <t>後継者計画</t>
        </is>
      </c>
      <c r="F110" s="17" t="inlineStr">
        <is>
          <t>重要ポストを特定し、後継候補と準備度を管理する</t>
        </is>
      </c>
      <c r="G110" s="14" t="n"/>
      <c r="H110" s="17" t="inlineStr">
        <is>
          <t>重要ポストの特定、後継候補、準備度</t>
        </is>
      </c>
      <c r="I110" s="17" t="inlineStr">
        <is>
          <t>—</t>
        </is>
      </c>
      <c r="J110" s="17" t="inlineStr">
        <is>
          <t>空席にならない重要ポスト</t>
        </is>
      </c>
    </row>
    <row r="111" ht="26.25" customHeight="1">
      <c r="A111" s="14" t="inlineStr">
        <is>
          <t>C07-03-02</t>
        </is>
      </c>
      <c r="B111" s="15" t="n"/>
      <c r="C111" s="15" t="n"/>
      <c r="D111" s="15" t="inlineStr">
        <is>
          <t>●</t>
        </is>
      </c>
      <c r="E111" s="17" t="inlineStr">
        <is>
          <t>選抜型リーダー育成</t>
        </is>
      </c>
      <c r="F111" s="17" t="inlineStr">
        <is>
          <t>選抜した人材に、経営を担うための育成と経験を与える</t>
        </is>
      </c>
      <c r="G111" s="14" t="n"/>
      <c r="H111" s="17" t="inlineStr">
        <is>
          <t>選抜研修、修羅場経験の配置、メンタリング</t>
        </is>
      </c>
      <c r="I111" s="17" t="inlineStr">
        <is>
          <t>階層別研修（C04-01-03）</t>
        </is>
      </c>
      <c r="J111" s="17" t="inlineStr">
        <is>
          <t>経営を担える次世代リーダー</t>
        </is>
      </c>
    </row>
    <row r="112" ht="26.25" customHeight="1">
      <c r="A112" s="10" t="inlineStr">
        <is>
          <t>C07-04</t>
        </is>
      </c>
      <c r="B112" s="11" t="n"/>
      <c r="C112" s="11" t="inlineStr">
        <is>
          <t>●</t>
        </is>
      </c>
      <c r="D112" s="11" t="n"/>
      <c r="E112" s="12" t="inlineStr">
        <is>
          <t>多様な人材の活躍推進★</t>
        </is>
      </c>
      <c r="F112" s="13" t="inlineStr">
        <is>
          <t>女性・障害者・高年齢者など多様な人材の雇用と活躍を、法令に沿って進める</t>
        </is>
      </c>
      <c r="G112" s="10" t="n"/>
      <c r="H112" s="26" t="n"/>
      <c r="I112" s="26" t="n"/>
      <c r="J112" s="26" t="n"/>
    </row>
    <row r="113" ht="26.25" customHeight="1">
      <c r="A113" s="14" t="inlineStr">
        <is>
          <t>C07-04-01</t>
        </is>
      </c>
      <c r="B113" s="15" t="n"/>
      <c r="C113" s="15" t="n"/>
      <c r="D113" s="15" t="inlineStr">
        <is>
          <t>●</t>
        </is>
      </c>
      <c r="E113" s="17" t="inlineStr">
        <is>
          <t>女性活躍・両立支援の推進★</t>
        </is>
      </c>
      <c r="F113" s="17" t="inlineStr">
        <is>
          <t>女性活躍推進法・次世代法の行動計画を立て、情報を公表する</t>
        </is>
      </c>
      <c r="G113" s="14" t="n"/>
      <c r="H113" s="17" t="inlineStr">
        <is>
          <t>行動計画、男女の賃金差異・女性管理職比率・男性育休取得率の公表</t>
        </is>
      </c>
      <c r="I113" s="17" t="inlineStr">
        <is>
          <t>人的資本の開示（C01-01-02）</t>
        </is>
      </c>
      <c r="J113" s="17" t="inlineStr">
        <is>
          <t>目標を達成した行動計画</t>
        </is>
      </c>
    </row>
    <row r="114" ht="26.25" customHeight="1">
      <c r="A114" s="14" t="inlineStr">
        <is>
          <t>C07-04-02</t>
        </is>
      </c>
      <c r="B114" s="15" t="n"/>
      <c r="C114" s="15" t="n"/>
      <c r="D114" s="15" t="inlineStr">
        <is>
          <t>●</t>
        </is>
      </c>
      <c r="E114" s="17" t="inlineStr">
        <is>
          <t>障害者雇用★</t>
        </is>
      </c>
      <c r="F114" s="17" t="inlineStr">
        <is>
          <t>法定雇用率を満たすよう障害者を雇用し、職場への定着を支援する</t>
        </is>
      </c>
      <c r="G114" s="14" t="n"/>
      <c r="H114" s="17" t="inlineStr">
        <is>
          <t>雇用率の管理、雇用状況報告、合理的配慮</t>
        </is>
      </c>
      <c r="I114" s="17" t="inlineStr">
        <is>
          <t>—</t>
        </is>
      </c>
      <c r="J114" s="17" t="inlineStr">
        <is>
          <t>法定雇用率を満たし、定着した雇用</t>
        </is>
      </c>
    </row>
    <row r="115" ht="26.25" customHeight="1">
      <c r="A115" s="14" t="inlineStr">
        <is>
          <t>C07-04-03</t>
        </is>
      </c>
      <c r="B115" s="15" t="n"/>
      <c r="C115" s="15" t="n"/>
      <c r="D115" s="15" t="inlineStr">
        <is>
          <t>●</t>
        </is>
      </c>
      <c r="E115" s="17" t="inlineStr">
        <is>
          <t>高年齢者の活躍★</t>
        </is>
      </c>
      <c r="F115" s="17" t="inlineStr">
        <is>
          <t>高年齢者が経験を生かして働ける役割と環境を整える</t>
        </is>
      </c>
      <c r="G115" s="14" t="n"/>
      <c r="H115" s="17" t="inlineStr">
        <is>
          <t>役割設計、職域開発</t>
        </is>
      </c>
      <c r="I115" s="17" t="inlineStr">
        <is>
          <t>定年・再雇用の手続き（C08-02）</t>
        </is>
      </c>
      <c r="J115" s="17" t="inlineStr">
        <is>
          <t>経験を生かして働く高年齢者</t>
        </is>
      </c>
    </row>
    <row r="116" ht="26.25" customHeight="1">
      <c r="A116" s="6" t="inlineStr">
        <is>
          <t>C08</t>
        </is>
      </c>
      <c r="B116" s="7" t="inlineStr">
        <is>
          <t>●</t>
        </is>
      </c>
      <c r="C116" s="7" t="n"/>
      <c r="D116" s="7" t="n"/>
      <c r="E116" s="24" t="inlineStr">
        <is>
          <t>退職・雇用終了</t>
        </is>
      </c>
      <c r="F116" s="9" t="inlineStr">
        <is>
          <t>退職の手続きを確実に行い、定年後の雇用とオフボーディングを管理する能力</t>
        </is>
      </c>
      <c r="G116" s="25" t="inlineStr">
        <is>
          <t>コア</t>
        </is>
      </c>
      <c r="H116" s="9" t="n"/>
      <c r="I116" s="9" t="n"/>
      <c r="J116" s="9" t="n"/>
    </row>
    <row r="117" ht="26.25" customHeight="1">
      <c r="A117" s="10" t="inlineStr">
        <is>
          <t>C08-01</t>
        </is>
      </c>
      <c r="B117" s="11" t="n"/>
      <c r="C117" s="11" t="inlineStr">
        <is>
          <t>●</t>
        </is>
      </c>
      <c r="D117" s="11" t="n"/>
      <c r="E117" s="12" t="inlineStr">
        <is>
          <t>退職手続き★</t>
        </is>
      </c>
      <c r="F117" s="13" t="inlineStr">
        <is>
          <t>退職を受け付け、保険・税・給与の手続きと書類の交付を行う</t>
        </is>
      </c>
      <c r="G117" s="10" t="n"/>
      <c r="H117" s="26" t="n"/>
      <c r="I117" s="26" t="n"/>
      <c r="J117" s="26" t="n"/>
    </row>
    <row r="118" ht="26.25" customHeight="1">
      <c r="A118" s="14" t="inlineStr">
        <is>
          <t>C08-01-01</t>
        </is>
      </c>
      <c r="B118" s="15" t="n"/>
      <c r="C118" s="15" t="n"/>
      <c r="D118" s="15" t="inlineStr">
        <is>
          <t>●</t>
        </is>
      </c>
      <c r="E118" s="17" t="inlineStr">
        <is>
          <t>退職の受付</t>
        </is>
      </c>
      <c r="F118" s="17" t="inlineStr">
        <is>
          <t>退職の申出を受け付け、退職日と退職理由を確定する</t>
        </is>
      </c>
      <c r="G118" s="14" t="n"/>
      <c r="H118" s="17" t="inlineStr">
        <is>
          <t>退職届、退職日・最終出社日の確定</t>
        </is>
      </c>
      <c r="I118" s="17" t="inlineStr">
        <is>
          <t>懲戒・解雇（C06-03-03）</t>
        </is>
      </c>
      <c r="J118" s="17" t="inlineStr">
        <is>
          <t>確定した退職日と理由</t>
        </is>
      </c>
    </row>
    <row r="119" ht="26.25" customHeight="1">
      <c r="A119" s="14" t="inlineStr">
        <is>
          <t>C08-01-02</t>
        </is>
      </c>
      <c r="B119" s="15" t="n"/>
      <c r="C119" s="15" t="n"/>
      <c r="D119" s="15" t="inlineStr">
        <is>
          <t>●</t>
        </is>
      </c>
      <c r="E119" s="17" t="inlineStr">
        <is>
          <t>資格喪失・離職票★</t>
        </is>
      </c>
      <c r="F119" s="17" t="inlineStr">
        <is>
          <t>社会保険・雇用保険の資格喪失届を出し、離職票を交付する</t>
        </is>
      </c>
      <c r="G119" s="14" t="n"/>
      <c r="H119" s="17" t="inlineStr">
        <is>
          <t>資格喪失届、離職証明書、離職票の交付</t>
        </is>
      </c>
      <c r="I119" s="17" t="inlineStr">
        <is>
          <t>—</t>
        </is>
      </c>
      <c r="J119" s="17" t="inlineStr">
        <is>
          <t>期限内に完了した資格喪失</t>
        </is>
      </c>
    </row>
    <row r="120" ht="26.25" customHeight="1">
      <c r="A120" s="14" t="inlineStr">
        <is>
          <t>C08-01-03</t>
        </is>
      </c>
      <c r="B120" s="15" t="n"/>
      <c r="C120" s="15" t="n"/>
      <c r="D120" s="15" t="inlineStr">
        <is>
          <t>●</t>
        </is>
      </c>
      <c r="E120" s="17" t="inlineStr">
        <is>
          <t>最終給与・退職金の精算</t>
        </is>
      </c>
      <c r="F120" s="17" t="inlineStr">
        <is>
          <t>最終給与と退職金を計算し、支払う</t>
        </is>
      </c>
      <c r="G120" s="14" t="n"/>
      <c r="H120" s="17" t="inlineStr">
        <is>
          <t>最終給与、有給休暇の扱い、退職金、退職所得の税務</t>
        </is>
      </c>
      <c r="I120" s="17" t="inlineStr">
        <is>
          <t>退職給付制度の管理（C05-04-03）</t>
        </is>
      </c>
      <c r="J120" s="17" t="inlineStr">
        <is>
          <t>正しく精算された給与・退職金</t>
        </is>
      </c>
    </row>
    <row r="121" ht="26.25" customHeight="1">
      <c r="A121" s="14" t="inlineStr">
        <is>
          <t>C08-01-04</t>
        </is>
      </c>
      <c r="B121" s="15" t="n"/>
      <c r="C121" s="15" t="n"/>
      <c r="D121" s="15" t="inlineStr">
        <is>
          <t>●</t>
        </is>
      </c>
      <c r="E121" s="17" t="inlineStr">
        <is>
          <t>退職時の書類交付</t>
        </is>
      </c>
      <c r="F121" s="17" t="inlineStr">
        <is>
          <t>源泉徴収票・退職証明書など、退職者に必要な書類を交付する</t>
        </is>
      </c>
      <c r="G121" s="14" t="n"/>
      <c r="H121" s="17" t="inlineStr">
        <is>
          <t>源泉徴収票、退職所得の源泉徴収票、退職証明書</t>
        </is>
      </c>
      <c r="I121" s="17" t="inlineStr">
        <is>
          <t>—</t>
        </is>
      </c>
      <c r="J121" s="17" t="inlineStr">
        <is>
          <t>必要な書類を受け取った退職者</t>
        </is>
      </c>
    </row>
    <row r="122" ht="26.25" customHeight="1">
      <c r="A122" s="10" t="inlineStr">
        <is>
          <t>C08-02</t>
        </is>
      </c>
      <c r="B122" s="11" t="n"/>
      <c r="C122" s="11" t="inlineStr">
        <is>
          <t>●</t>
        </is>
      </c>
      <c r="D122" s="11" t="n"/>
      <c r="E122" s="12" t="inlineStr">
        <is>
          <t>定年・再雇用★</t>
        </is>
      </c>
      <c r="F122" s="13" t="inlineStr">
        <is>
          <t>定年到達者の継続雇用と、70歳までの就業機会の確保を管理する</t>
        </is>
      </c>
      <c r="G122" s="10" t="n"/>
      <c r="H122" s="26" t="n"/>
      <c r="I122" s="26" t="n"/>
      <c r="J122" s="26" t="n"/>
    </row>
    <row r="123" ht="26.25" customHeight="1">
      <c r="A123" s="14" t="inlineStr">
        <is>
          <t>C08-02-01</t>
        </is>
      </c>
      <c r="B123" s="15" t="n"/>
      <c r="C123" s="15" t="n"/>
      <c r="D123" s="15" t="inlineStr">
        <is>
          <t>●</t>
        </is>
      </c>
      <c r="E123" s="17" t="inlineStr">
        <is>
          <t>定年到達者管理★</t>
        </is>
      </c>
      <c r="F123" s="17" t="inlineStr">
        <is>
          <t>定年到達の予定者を把握し、継続雇用の意向を確認する</t>
        </is>
      </c>
      <c r="G123" s="14" t="n"/>
      <c r="H123" s="17" t="inlineStr">
        <is>
          <t>予定者の抽出、意向確認、面談</t>
        </is>
      </c>
      <c r="I123" s="17" t="inlineStr">
        <is>
          <t>—</t>
        </is>
      </c>
      <c r="J123" s="17" t="inlineStr">
        <is>
          <t>意向が確認された定年予定者</t>
        </is>
      </c>
    </row>
    <row r="124" ht="26.25" customHeight="1">
      <c r="A124" s="14" t="inlineStr">
        <is>
          <t>C08-02-02</t>
        </is>
      </c>
      <c r="B124" s="15" t="n"/>
      <c r="C124" s="15" t="n"/>
      <c r="D124" s="15" t="inlineStr">
        <is>
          <t>●</t>
        </is>
      </c>
      <c r="E124" s="17" t="inlineStr">
        <is>
          <t>継続雇用（再雇用）★</t>
        </is>
      </c>
      <c r="F124" s="17" t="inlineStr">
        <is>
          <t>再雇用契約の条件を決め、70歳までの就業機会の確保措置を運用する</t>
        </is>
      </c>
      <c r="G124" s="14" t="n"/>
      <c r="H124" s="17" t="inlineStr">
        <is>
          <t>再雇用契約、処遇の決定、就業確保措置</t>
        </is>
      </c>
      <c r="I124" s="17" t="inlineStr">
        <is>
          <t>有期契約の更新（C03-01-05）</t>
        </is>
      </c>
      <c r="J124" s="17" t="inlineStr">
        <is>
          <t>希望者全員の65歳までの雇用確保</t>
        </is>
      </c>
    </row>
    <row r="125" ht="26.25" customHeight="1">
      <c r="A125" s="10" t="inlineStr">
        <is>
          <t>C08-03</t>
        </is>
      </c>
      <c r="B125" s="11" t="n"/>
      <c r="C125" s="11" t="inlineStr">
        <is>
          <t>●</t>
        </is>
      </c>
      <c r="D125" s="11" t="n"/>
      <c r="E125" s="12" t="inlineStr">
        <is>
          <t>オフボーディング</t>
        </is>
      </c>
      <c r="F125" s="13" t="inlineStr">
        <is>
          <t>引継ぎ・返却・アカウント停止を行い、退職者と良い関係を保つ</t>
        </is>
      </c>
      <c r="G125" s="10" t="n"/>
      <c r="H125" s="26" t="n"/>
      <c r="I125" s="26" t="n"/>
      <c r="J125" s="26" t="n"/>
    </row>
    <row r="126" ht="26.25" customHeight="1">
      <c r="A126" s="14" t="inlineStr">
        <is>
          <t>C08-03-01</t>
        </is>
      </c>
      <c r="B126" s="15" t="n"/>
      <c r="C126" s="15" t="n"/>
      <c r="D126" s="15" t="inlineStr">
        <is>
          <t>●</t>
        </is>
      </c>
      <c r="E126" s="17" t="inlineStr">
        <is>
          <t>貸与物返却・アカウント停止</t>
        </is>
      </c>
      <c r="F126" s="17" t="inlineStr">
        <is>
          <t>貸与物を回収し、システムのアカウントを停止し、秘密保持を確認する</t>
        </is>
      </c>
      <c r="G126" s="14" t="n"/>
      <c r="H126" s="17" t="inlineStr">
        <is>
          <t>貸与物の回収、アカウント停止、秘密保持の誓約</t>
        </is>
      </c>
      <c r="I126" s="17" t="inlineStr">
        <is>
          <t>アクセス管理の全般（C09-03-02）</t>
        </is>
      </c>
      <c r="J126" s="17" t="inlineStr">
        <is>
          <t>情報が持ち出されない退職</t>
        </is>
      </c>
    </row>
    <row r="127" ht="26.25" customHeight="1">
      <c r="A127" s="14" t="inlineStr">
        <is>
          <t>C08-03-02</t>
        </is>
      </c>
      <c r="B127" s="15" t="n"/>
      <c r="C127" s="15" t="n"/>
      <c r="D127" s="15" t="inlineStr">
        <is>
          <t>●</t>
        </is>
      </c>
      <c r="E127" s="17" t="inlineStr">
        <is>
          <t>業務・ナレッジの引継ぎ</t>
        </is>
      </c>
      <c r="F127" s="17" t="inlineStr">
        <is>
          <t>業務とナレッジを後任に引き継ぐ</t>
        </is>
      </c>
      <c r="G127" s="14" t="n"/>
      <c r="H127" s="17" t="inlineStr">
        <is>
          <t>引継ぎ計画、引継ぎ書</t>
        </is>
      </c>
      <c r="I127" s="17" t="inlineStr">
        <is>
          <t>—</t>
        </is>
      </c>
      <c r="J127" s="17" t="inlineStr">
        <is>
          <t>業務が止まらない退職</t>
        </is>
      </c>
    </row>
    <row r="128" ht="26.25" customHeight="1">
      <c r="A128" s="14" t="inlineStr">
        <is>
          <t>C08-03-03</t>
        </is>
      </c>
      <c r="B128" s="15" t="n"/>
      <c r="C128" s="15" t="n"/>
      <c r="D128" s="15" t="inlineStr">
        <is>
          <t>●</t>
        </is>
      </c>
      <c r="E128" s="17" t="inlineStr">
        <is>
          <t>退職面談・離職分析</t>
        </is>
      </c>
      <c r="F128" s="17" t="inlineStr">
        <is>
          <t>退職理由を聞き取り、離職の傾向を分析する</t>
        </is>
      </c>
      <c r="G128" s="14" t="n"/>
      <c r="H128" s="17" t="inlineStr">
        <is>
          <t>退職面談、離職理由の分析</t>
        </is>
      </c>
      <c r="I128" s="17" t="inlineStr">
        <is>
          <t>エンゲージメント調査（C06-04-01）</t>
        </is>
      </c>
      <c r="J128" s="17" t="inlineStr">
        <is>
          <t>定着策に生かされる退職理由</t>
        </is>
      </c>
    </row>
    <row r="129" ht="26.25" customHeight="1">
      <c r="A129" s="14" t="inlineStr">
        <is>
          <t>C08-03-04</t>
        </is>
      </c>
      <c r="B129" s="15" t="n"/>
      <c r="C129" s="15" t="n"/>
      <c r="D129" s="15" t="inlineStr">
        <is>
          <t>●</t>
        </is>
      </c>
      <c r="E129" s="17" t="inlineStr">
        <is>
          <t>アルムナイ関係管理</t>
        </is>
      </c>
      <c r="F129" s="17" t="inlineStr">
        <is>
          <t>退職者とのつながりを保ち、再入社や協業につなげる</t>
        </is>
      </c>
      <c r="G129" s="14" t="n"/>
      <c r="H129" s="17" t="inlineStr">
        <is>
          <t>アルムナイネットワーク、再入社制度</t>
        </is>
      </c>
      <c r="I129" s="17" t="inlineStr">
        <is>
          <t>—</t>
        </is>
      </c>
      <c r="J129" s="17" t="inlineStr">
        <is>
          <t>会社の応援者である退職者</t>
        </is>
      </c>
    </row>
    <row r="130" ht="26.25" customHeight="1">
      <c r="A130" s="6" t="inlineStr">
        <is>
          <t>C09</t>
        </is>
      </c>
      <c r="B130" s="7" t="inlineStr">
        <is>
          <t>●</t>
        </is>
      </c>
      <c r="C130" s="7" t="n"/>
      <c r="D130" s="7" t="n"/>
      <c r="E130" s="24" t="inlineStr">
        <is>
          <t>人事基盤</t>
        </is>
      </c>
      <c r="F130" s="9" t="inlineStr">
        <is>
          <t>人事データ・人事サービス・人事情報の保護の基盤を提供する能力</t>
        </is>
      </c>
      <c r="G130" s="25" t="inlineStr">
        <is>
          <t>支援</t>
        </is>
      </c>
      <c r="H130" s="9" t="n"/>
      <c r="I130" s="9" t="n"/>
      <c r="J130" s="9" t="n"/>
    </row>
    <row r="131" ht="26.25" customHeight="1">
      <c r="A131" s="10" t="inlineStr">
        <is>
          <t>C09-01</t>
        </is>
      </c>
      <c r="B131" s="11" t="n"/>
      <c r="C131" s="11" t="inlineStr">
        <is>
          <t>●</t>
        </is>
      </c>
      <c r="D131" s="11" t="n"/>
      <c r="E131" s="12" t="inlineStr">
        <is>
          <t>人事データ・分析</t>
        </is>
      </c>
      <c r="F131" s="13" t="inlineStr">
        <is>
          <t>人事データを集約し、分析・報告する</t>
        </is>
      </c>
      <c r="G131" s="10" t="n"/>
      <c r="H131" s="26" t="n"/>
      <c r="I131" s="26" t="n"/>
      <c r="J131" s="26" t="n"/>
    </row>
    <row r="132" ht="26.25" customHeight="1">
      <c r="A132" s="14" t="inlineStr">
        <is>
          <t>C09-01-01</t>
        </is>
      </c>
      <c r="B132" s="15" t="n"/>
      <c r="C132" s="15" t="n"/>
      <c r="D132" s="15" t="inlineStr">
        <is>
          <t>●</t>
        </is>
      </c>
      <c r="E132" s="17" t="inlineStr">
        <is>
          <t>ピープルアナリティクス</t>
        </is>
      </c>
      <c r="F132" s="17" t="inlineStr">
        <is>
          <t>人事データを分析し、離職・活躍・育成効果などの要因を明らかにする</t>
        </is>
      </c>
      <c r="G132" s="14" t="n"/>
      <c r="H132" s="17" t="inlineStr">
        <is>
          <t>分析、予測モデル、施策の効果検証</t>
        </is>
      </c>
      <c r="I132" s="17" t="inlineStr">
        <is>
          <t>—</t>
        </is>
      </c>
      <c r="J132" s="17" t="inlineStr">
        <is>
          <t>データに基づく人事の意思決定</t>
        </is>
      </c>
    </row>
    <row r="133" ht="26.25" customHeight="1">
      <c r="A133" s="14" t="inlineStr">
        <is>
          <t>C09-01-02</t>
        </is>
      </c>
      <c r="B133" s="15" t="n"/>
      <c r="C133" s="15" t="n"/>
      <c r="D133" s="15" t="inlineStr">
        <is>
          <t>●</t>
        </is>
      </c>
      <c r="E133" s="17" t="inlineStr">
        <is>
          <t>人事レポーティング</t>
        </is>
      </c>
      <c r="F133" s="17" t="inlineStr">
        <is>
          <t>人員・人件費・採用・離職などの定型指標を集計・報告する</t>
        </is>
      </c>
      <c r="G133" s="14" t="n"/>
      <c r="H133" s="17" t="inlineStr">
        <is>
          <t>定型レポート、ダッシュボード、行政への報告データ</t>
        </is>
      </c>
      <c r="I133" s="17" t="inlineStr">
        <is>
          <t>人的資本の開示（C01-01-02）</t>
        </is>
      </c>
      <c r="J133" s="17" t="inlineStr">
        <is>
          <t>正確で迅速な人事指標</t>
        </is>
      </c>
    </row>
    <row r="134" ht="26.25" customHeight="1">
      <c r="A134" s="10" t="inlineStr">
        <is>
          <t>C09-02</t>
        </is>
      </c>
      <c r="B134" s="11" t="n"/>
      <c r="C134" s="11" t="inlineStr">
        <is>
          <t>●</t>
        </is>
      </c>
      <c r="D134" s="11" t="n"/>
      <c r="E134" s="12" t="inlineStr">
        <is>
          <t>人事サービス提供</t>
        </is>
      </c>
      <c r="F134" s="13" t="inlineStr">
        <is>
          <t>従業員への人事サービスを効率よく提供し、外部委託を管理する</t>
        </is>
      </c>
      <c r="G134" s="10" t="n"/>
      <c r="H134" s="26" t="n"/>
      <c r="I134" s="26" t="n"/>
      <c r="J134" s="26" t="n"/>
    </row>
    <row r="135" ht="26.25" customHeight="1">
      <c r="A135" s="14" t="inlineStr">
        <is>
          <t>C09-02-01</t>
        </is>
      </c>
      <c r="B135" s="15" t="n"/>
      <c r="C135" s="15" t="n"/>
      <c r="D135" s="15" t="inlineStr">
        <is>
          <t>●</t>
        </is>
      </c>
      <c r="E135" s="17" t="inlineStr">
        <is>
          <t>人事問い合わせ・セルフサービス</t>
        </is>
      </c>
      <c r="F135" s="17" t="inlineStr">
        <is>
          <t>従業員からの問い合わせに答え、手続きをセルフサービスで提供する</t>
        </is>
      </c>
      <c r="G135" s="14" t="n"/>
      <c r="H135" s="17" t="inlineStr">
        <is>
          <t>人事ポータル、FAQ、問い合わせ管理、各種申請</t>
        </is>
      </c>
      <c r="I135" s="17" t="inlineStr">
        <is>
          <t>—</t>
        </is>
      </c>
      <c r="J135" s="17" t="inlineStr">
        <is>
          <t>迷わず手続きできる従業員</t>
        </is>
      </c>
    </row>
    <row r="136" ht="26.25" customHeight="1">
      <c r="A136" s="14" t="inlineStr">
        <is>
          <t>C09-02-02</t>
        </is>
      </c>
      <c r="B136" s="15" t="n"/>
      <c r="C136" s="15" t="n"/>
      <c r="D136" s="15" t="inlineStr">
        <is>
          <t>●</t>
        </is>
      </c>
      <c r="E136" s="17" t="inlineStr">
        <is>
          <t>外部委託先管理</t>
        </is>
      </c>
      <c r="F136" s="17" t="inlineStr">
        <is>
          <t>給与計算・社会保険手続き・健診などの外部委託先を選び、管理する</t>
        </is>
      </c>
      <c r="G136" s="14" t="n"/>
      <c r="H136" s="17" t="inlineStr">
        <is>
          <t>委託先の選定・契約・評価（社労士・給与アウトソーサー・健診機関等）</t>
        </is>
      </c>
      <c r="I136" s="17" t="inlineStr">
        <is>
          <t>—</t>
        </is>
      </c>
      <c r="J136" s="17" t="inlineStr">
        <is>
          <t>品質が保たれた外部委託</t>
        </is>
      </c>
    </row>
    <row r="137" ht="26.25" customHeight="1">
      <c r="A137" s="10" t="inlineStr">
        <is>
          <t>C09-03</t>
        </is>
      </c>
      <c r="B137" s="11" t="n"/>
      <c r="C137" s="11" t="inlineStr">
        <is>
          <t>●</t>
        </is>
      </c>
      <c r="D137" s="11" t="n"/>
      <c r="E137" s="12" t="inlineStr">
        <is>
          <t>人事情報セキュリティ・個人情報保護★</t>
        </is>
      </c>
      <c r="F137" s="13" t="inlineStr">
        <is>
          <t>従業員の個人情報・特定個人情報・健康情報を保護し、アクセスを管理する</t>
        </is>
      </c>
      <c r="G137" s="10" t="n"/>
      <c r="H137" s="26" t="n"/>
      <c r="I137" s="26" t="n"/>
      <c r="J137" s="26" t="n"/>
    </row>
    <row r="138" ht="26.25" customHeight="1">
      <c r="A138" s="14" t="inlineStr">
        <is>
          <t>C09-03-01</t>
        </is>
      </c>
      <c r="B138" s="15" t="n"/>
      <c r="C138" s="15" t="n"/>
      <c r="D138" s="15" t="inlineStr">
        <is>
          <t>●</t>
        </is>
      </c>
      <c r="E138" s="17" t="inlineStr">
        <is>
          <t>個人情報・特定個人情報の保護★</t>
        </is>
      </c>
      <c r="F138" s="17" t="inlineStr">
        <is>
          <t>従業員の個人情報・マイナンバー・健康情報を、区分に応じて保護し、保存期間後に廃棄する</t>
        </is>
      </c>
      <c r="G138" s="14" t="n"/>
      <c r="H138" s="17" t="inlineStr">
        <is>
          <t>安全管理措置、保存期間、廃棄</t>
        </is>
      </c>
      <c r="I138" s="17" t="inlineStr">
        <is>
          <t>応募者の個人情報（C02-04-03）</t>
        </is>
      </c>
      <c r="J138" s="17" t="inlineStr">
        <is>
          <t>漏えいのない人事情報</t>
        </is>
      </c>
    </row>
    <row r="139" ht="26.25" customHeight="1">
      <c r="A139" s="14" t="inlineStr">
        <is>
          <t>C09-03-02</t>
        </is>
      </c>
      <c r="B139" s="15" t="n"/>
      <c r="C139" s="15" t="n"/>
      <c r="D139" s="15" t="inlineStr">
        <is>
          <t>●</t>
        </is>
      </c>
      <c r="E139" s="17" t="inlineStr">
        <is>
          <t>アカウント・アクセス管理</t>
        </is>
      </c>
      <c r="F139" s="17" t="inlineStr">
        <is>
          <t>入社・異動・退職に合わせて、システムのアカウントと権限を付与・変更・停止する</t>
        </is>
      </c>
      <c r="G139" s="14" t="n"/>
      <c r="H139" s="17" t="inlineStr">
        <is>
          <t>アカウントの発行・変更・停止、権限の見直し</t>
        </is>
      </c>
      <c r="I139" s="17" t="inlineStr">
        <is>
          <t>—</t>
        </is>
      </c>
      <c r="J139" s="17" t="inlineStr">
        <is>
          <t>必要な人だけが使えるシステム</t>
        </is>
      </c>
    </row>
  </sheetData>
  <autoFilter ref="A3:J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/>
  </sheetPr>
  <dimension ref="A1:I42"/>
  <sheetViews>
    <sheetView showGridLines="1" zoomScale="9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4" customWidth="1" min="4" max="4"/>
    <col width="30" customWidth="1" min="5" max="5"/>
  </cols>
  <sheetData>
    <row r="1" ht="21" customHeight="1">
      <c r="A1" s="1" t="inlineStr">
        <is>
          <t>ケイパビリティの成熟度レベル（L2ごとの定義）</t>
        </is>
      </c>
    </row>
    <row r="2" ht="15" customHeight="1">
      <c r="A2" s="2" t="inlineStr">
        <is>
          <t>対象：日本の事業会社（正社員中心、新卒・経験者採用、月給制）／日本の法令・制度基準（労基法・安衛法・社会保険・税法ほか）。評価の対象はL2。法令上の最低水準：労働法令・社会保険・税などの法令順守が関わるL2はレベル3が事実上の最低水準。</t>
        </is>
      </c>
    </row>
    <row r="3" ht="15" customHeight="1">
      <c r="A3" s="4" t="inlineStr">
        <is>
          <t>レベル</t>
        </is>
      </c>
      <c r="B3" s="4" t="inlineStr">
        <is>
          <t>名称</t>
        </is>
      </c>
      <c r="C3" s="4" t="inlineStr">
        <is>
          <t>共通定義</t>
        </is>
      </c>
      <c r="D3" s="27" t="n"/>
      <c r="E3" s="27" t="n"/>
      <c r="F3" s="27" t="n"/>
      <c r="G3" s="27" t="n"/>
      <c r="H3" s="27" t="n"/>
      <c r="I3" s="28" t="n"/>
    </row>
    <row r="4" ht="15" customHeight="1">
      <c r="A4" s="19" t="n">
        <v>1</v>
      </c>
      <c r="B4" s="29" t="inlineStr">
        <is>
          <t>初期</t>
        </is>
      </c>
      <c r="C4" s="20" t="inlineStr">
        <is>
          <t>属人的・場当たり的。成果が個人に依存し、再現できない</t>
        </is>
      </c>
      <c r="D4" s="27" t="n"/>
      <c r="E4" s="27" t="n"/>
      <c r="F4" s="27" t="n"/>
      <c r="G4" s="27" t="n"/>
      <c r="H4" s="27" t="n"/>
      <c r="I4" s="28" t="n"/>
    </row>
    <row r="5" ht="15" customHeight="1">
      <c r="A5" s="19" t="n">
        <v>2</v>
      </c>
      <c r="B5" s="29" t="inlineStr">
        <is>
          <t>管理された</t>
        </is>
      </c>
      <c r="C5" s="20" t="inlineStr">
        <is>
          <t>部門・拠点ごとに計画・管理され、再現できる。ただし方法は部門・拠点で異なる</t>
        </is>
      </c>
      <c r="D5" s="27" t="n"/>
      <c r="E5" s="27" t="n"/>
      <c r="F5" s="27" t="n"/>
      <c r="G5" s="27" t="n"/>
      <c r="H5" s="27" t="n"/>
      <c r="I5" s="28" t="n"/>
    </row>
    <row r="6" ht="15" customHeight="1">
      <c r="A6" s="19" t="n">
        <v>3</v>
      </c>
      <c r="B6" s="29" t="inlineStr">
        <is>
          <t>定義された</t>
        </is>
      </c>
      <c r="C6" s="20" t="inlineStr">
        <is>
          <t>全社標準のプロセス・役割・データ定義があり、一貫して運用される</t>
        </is>
      </c>
      <c r="D6" s="27" t="n"/>
      <c r="E6" s="27" t="n"/>
      <c r="F6" s="27" t="n"/>
      <c r="G6" s="27" t="n"/>
      <c r="H6" s="27" t="n"/>
      <c r="I6" s="28" t="n"/>
    </row>
    <row r="7" ht="15" customHeight="1">
      <c r="A7" s="19" t="n">
        <v>4</v>
      </c>
      <c r="B7" s="29" t="inlineStr">
        <is>
          <t>定量的に管理された</t>
        </is>
      </c>
      <c r="C7" s="20" t="inlineStr">
        <is>
          <t>指標で成果・品質を測定し、データに基づいて管理・予測する</t>
        </is>
      </c>
      <c r="D7" s="27" t="n"/>
      <c r="E7" s="27" t="n"/>
      <c r="F7" s="27" t="n"/>
      <c r="G7" s="27" t="n"/>
      <c r="H7" s="27" t="n"/>
      <c r="I7" s="28" t="n"/>
    </row>
    <row r="8" ht="15" customHeight="1">
      <c r="A8" s="19" t="n">
        <v>5</v>
      </c>
      <c r="B8" s="29" t="inlineStr">
        <is>
          <t>最適化された</t>
        </is>
      </c>
      <c r="C8" s="20" t="inlineStr">
        <is>
          <t>継続的な改善と先進的な手法により、変化に先回りし、先進的な水準にある</t>
        </is>
      </c>
      <c r="D8" s="27" t="n"/>
      <c r="E8" s="27" t="n"/>
      <c r="F8" s="27" t="n"/>
      <c r="G8" s="27" t="n"/>
      <c r="H8" s="27" t="n"/>
      <c r="I8" s="28" t="n"/>
    </row>
    <row r="10" ht="30" customHeight="1">
      <c r="A10" s="3" t="inlineStr">
        <is>
          <t>L2 ID</t>
        </is>
      </c>
      <c r="B10" s="4" t="inlineStr">
        <is>
          <t>ケイパビリティL1</t>
        </is>
      </c>
      <c r="C10" s="4" t="inlineStr">
        <is>
          <t>ケイパビリティL2</t>
        </is>
      </c>
      <c r="D10" s="4" t="inlineStr">
        <is>
          <t>法令上の最低水準</t>
        </is>
      </c>
      <c r="E10" s="30" t="inlineStr">
        <is>
          <t>レベル1 初期</t>
        </is>
      </c>
      <c r="F10" s="30" t="inlineStr">
        <is>
          <t>レベル2 管理された</t>
        </is>
      </c>
      <c r="G10" s="30" t="inlineStr">
        <is>
          <t>レベル3 定義された</t>
        </is>
      </c>
      <c r="H10" s="30" t="inlineStr">
        <is>
          <t>レベル4 定量的に管理された</t>
        </is>
      </c>
      <c r="I10" s="30" t="inlineStr">
        <is>
          <t>レベル5 最適化された</t>
        </is>
      </c>
    </row>
    <row r="11" ht="26.25" customHeight="1">
      <c r="A11" s="14" t="inlineStr">
        <is>
          <t>C01-01</t>
        </is>
      </c>
      <c r="B11" s="17" t="inlineStr">
        <is>
          <t>人事戦略・組織設計</t>
        </is>
      </c>
      <c r="C11" s="16" t="inlineStr">
        <is>
          <t>人事戦略・人的資本経営★</t>
        </is>
      </c>
      <c r="D11" s="14" t="inlineStr">
        <is>
          <t>レベル3（労基法・金商法）</t>
        </is>
      </c>
      <c r="E11" s="17" t="inlineStr">
        <is>
          <t>人事方針が明文化されておらず、施策が場当たり的</t>
        </is>
      </c>
      <c r="F11" s="17" t="inlineStr">
        <is>
          <t>人事施策ごとに方針を定めるが、経営戦略との結びつきが弱い</t>
        </is>
      </c>
      <c r="G11" s="17" t="inlineStr">
        <is>
          <t>経営戦略と連動した人事戦略・人的資本KPIを定め、規程と開示を全社で一貫して管理する</t>
        </is>
      </c>
      <c r="H11" s="17" t="inlineStr">
        <is>
          <t>人的資本KPIを定期的に測定し、戦略の達成度に基づいて施策を見直す</t>
        </is>
      </c>
      <c r="I11" s="17" t="inlineStr">
        <is>
          <t>人的資本の投資対効果を分析し、経営の意思決定に人事の視点を先回りして組み込む</t>
        </is>
      </c>
    </row>
    <row r="12" ht="26.25" customHeight="1">
      <c r="A12" s="18" t="inlineStr">
        <is>
          <t>C01-02</t>
        </is>
      </c>
      <c r="B12" s="31" t="n"/>
      <c r="C12" s="29" t="inlineStr">
        <is>
          <t>要員計画・人件費管理</t>
        </is>
      </c>
      <c r="D12" s="18" t="inlineStr">
        <is>
          <t>—</t>
        </is>
      </c>
      <c r="E12" s="20" t="inlineStr">
        <is>
          <t>要員・人件費の計画がなく、欠員が出てから補充する</t>
        </is>
      </c>
      <c r="F12" s="20" t="inlineStr">
        <is>
          <t>部門ごとに要員・人件費の計画を立てるが、方法がばらばら</t>
        </is>
      </c>
      <c r="G12" s="20" t="inlineStr">
        <is>
          <t>全社共通の方法で雇用区分別の要員計画と人件費予算を立て、実績と比較する</t>
        </is>
      </c>
      <c r="H12" s="20" t="inlineStr">
        <is>
          <t>要員・人件費の予実差を指標で管理し、先行して計画を修正する</t>
        </is>
      </c>
      <c r="I12" s="20" t="inlineStr">
        <is>
          <t>事業シナリオに応じた人員構成をシミュレーションし、先回りして人材を確保する</t>
        </is>
      </c>
    </row>
    <row r="13" ht="26.25" customHeight="1">
      <c r="A13" s="18" t="inlineStr">
        <is>
          <t>C01-03</t>
        </is>
      </c>
      <c r="B13" s="31" t="n"/>
      <c r="C13" s="29" t="inlineStr">
        <is>
          <t>組織・職務設計</t>
        </is>
      </c>
      <c r="D13" s="18" t="inlineStr">
        <is>
          <t>—</t>
        </is>
      </c>
      <c r="E13" s="20" t="inlineStr">
        <is>
          <t>組織・職務の定義がなく、担当者が口頭で運用する</t>
        </is>
      </c>
      <c r="F13" s="20" t="inlineStr">
        <is>
          <t>組織図と職務記述を部門ごとに作成する</t>
        </is>
      </c>
      <c r="G13" s="20" t="inlineStr">
        <is>
          <t>全社標準の組織・職務・等級の定義を持ち、変更を一元管理する</t>
        </is>
      </c>
      <c r="H13" s="20" t="inlineStr">
        <is>
          <t>組織・職務の変更の効果（スパン・コスト等）を指標で評価する</t>
        </is>
      </c>
      <c r="I13" s="20" t="inlineStr">
        <is>
          <t>事業の変化に先回りして、組織と職務を柔軟に組み替える</t>
        </is>
      </c>
    </row>
    <row r="14" ht="26.25" customHeight="1">
      <c r="A14" s="14" t="inlineStr">
        <is>
          <t>C02-01</t>
        </is>
      </c>
      <c r="B14" s="17" t="inlineStr">
        <is>
          <t>タレント獲得</t>
        </is>
      </c>
      <c r="C14" s="16" t="inlineStr">
        <is>
          <t>採用計画・採用ブランディング</t>
        </is>
      </c>
      <c r="D14" s="14" t="inlineStr">
        <is>
          <t>—</t>
        </is>
      </c>
      <c r="E14" s="17" t="inlineStr">
        <is>
          <t>欠員が出てから場当たり的に募集する</t>
        </is>
      </c>
      <c r="F14" s="17" t="inlineStr">
        <is>
          <t>年度ごとに採用計画を立てるが、チャネルの効果を振り返らない</t>
        </is>
      </c>
      <c r="G14" s="17" t="inlineStr">
        <is>
          <t>全社標準の採用計画・チャネル管理・採用広報の仕組みを持つ</t>
        </is>
      </c>
      <c r="H14" s="17" t="inlineStr">
        <is>
          <t>チャネル別の応募・内定・定着・コストを指標で管理し、配分を最適化する</t>
        </is>
      </c>
      <c r="I14" s="17" t="inlineStr">
        <is>
          <t>採用市場の変化に先回りし、候補者との長期的な関係を築く</t>
        </is>
      </c>
    </row>
    <row r="15" ht="26.25" customHeight="1">
      <c r="A15" s="18" t="inlineStr">
        <is>
          <t>C02-02</t>
        </is>
      </c>
      <c r="B15" s="31" t="n"/>
      <c r="C15" s="29" t="inlineStr">
        <is>
          <t>新卒採用★</t>
        </is>
      </c>
      <c r="D15" s="18" t="inlineStr">
        <is>
          <t>レベル3（職安法）</t>
        </is>
      </c>
      <c r="E15" s="20" t="inlineStr">
        <is>
          <t>採用担当者の経験に頼って選考する</t>
        </is>
      </c>
      <c r="F15" s="20" t="inlineStr">
        <is>
          <t>年度ごとの採用スケジュールと選考基準がある</t>
        </is>
      </c>
      <c r="G15" s="20" t="inlineStr">
        <is>
          <t>全社標準の選考基準・スケジュール・内定者フォローの仕組みを持つ</t>
        </is>
      </c>
      <c r="H15" s="20" t="inlineStr">
        <is>
          <t>選考段階別の歩留まりと入社後の活躍・定着を指標で検証する</t>
        </is>
      </c>
      <c r="I15" s="20" t="inlineStr">
        <is>
          <t>入社後の活躍データを選考に反映し、採用手法を先回りして改善する</t>
        </is>
      </c>
    </row>
    <row r="16" ht="26.25" customHeight="1">
      <c r="A16" s="18" t="inlineStr">
        <is>
          <t>C02-03</t>
        </is>
      </c>
      <c r="B16" s="31" t="n"/>
      <c r="C16" s="29" t="inlineStr">
        <is>
          <t>経験者採用</t>
        </is>
      </c>
      <c r="D16" s="18" t="inlineStr">
        <is>
          <t>レベル3（職安法）</t>
        </is>
      </c>
      <c r="E16" s="20" t="inlineStr">
        <is>
          <t>部門の個別判断で募集・選考する</t>
        </is>
      </c>
      <c r="F16" s="20" t="inlineStr">
        <is>
          <t>募集ポジションごとに要件と選考手順を定める</t>
        </is>
      </c>
      <c r="G16" s="20" t="inlineStr">
        <is>
          <t>全社標準の求人・選考・オファーの手順と面接官の基準を持つ</t>
        </is>
      </c>
      <c r="H16" s="20" t="inlineStr">
        <is>
          <t>採用までの期間・内定承諾率・入社後の評価を指標で管理する</t>
        </is>
      </c>
      <c r="I16" s="20" t="inlineStr">
        <is>
          <t>外部人材市場の動きに先回りして、候補者プールを常に維持する</t>
        </is>
      </c>
    </row>
    <row r="17" ht="26.25" customHeight="1">
      <c r="A17" s="18" t="inlineStr">
        <is>
          <t>C02-04</t>
        </is>
      </c>
      <c r="B17" s="31" t="n"/>
      <c r="C17" s="29" t="inlineStr">
        <is>
          <t>採用コンプライアンス★</t>
        </is>
      </c>
      <c r="D17" s="18" t="inlineStr">
        <is>
          <t>レベル3（職安法・個人情報保護法）</t>
        </is>
      </c>
      <c r="E17" s="20" t="inlineStr">
        <is>
          <t>面接官が質問してはいけない事項を知らない</t>
        </is>
      </c>
      <c r="F17" s="20" t="inlineStr">
        <is>
          <t>採用担当者が法令を理解しているが、面接官への徹底は不十分</t>
        </is>
      </c>
      <c r="G17" s="20" t="inlineStr">
        <is>
          <t>公正採用の基準・面接官研修・応募者情報の取扱いルールを全社で運用する</t>
        </is>
      </c>
      <c r="H17" s="20" t="inlineStr">
        <is>
          <t>違反の兆候や応募者からの苦情を指標で監視し、再発を防ぐ</t>
        </is>
      </c>
      <c r="I17" s="20" t="inlineStr">
        <is>
          <t>採用のAI活用などの新しい手法についても、公正さを先回りして評価する</t>
        </is>
      </c>
    </row>
    <row r="18" ht="26.25" customHeight="1">
      <c r="A18" s="14" t="inlineStr">
        <is>
          <t>C03-01</t>
        </is>
      </c>
      <c r="B18" s="17" t="inlineStr">
        <is>
          <t>入社・雇用管理</t>
        </is>
      </c>
      <c r="C18" s="16" t="inlineStr">
        <is>
          <t>雇用契約・入社手続き★</t>
        </is>
      </c>
      <c r="D18" s="14" t="inlineStr">
        <is>
          <t>レベル3（労基法・社会保険・番号法）</t>
        </is>
      </c>
      <c r="E18" s="17" t="inlineStr">
        <is>
          <t>手続きが担当者の記憶頼りで、届出の漏れ・遅れがある</t>
        </is>
      </c>
      <c r="F18" s="17" t="inlineStr">
        <is>
          <t>チェックリストで手続きを管理する</t>
        </is>
      </c>
      <c r="G18" s="17" t="inlineStr">
        <is>
          <t>全社標準の手続きと電子申請で、期限内に確実に処理する</t>
        </is>
      </c>
      <c r="H18" s="17" t="inlineStr">
        <is>
          <t>手続きのリードタイムと誤りを指標で管理する</t>
        </is>
      </c>
      <c r="I18" s="17" t="inlineStr">
        <is>
          <t>入社前から自動で手続きが進み、従業員の手間を最小にする</t>
        </is>
      </c>
    </row>
    <row r="19" ht="26.25" customHeight="1">
      <c r="A19" s="18" t="inlineStr">
        <is>
          <t>C03-02</t>
        </is>
      </c>
      <c r="B19" s="31" t="n"/>
      <c r="C19" s="29" t="inlineStr">
        <is>
          <t>オンボーディング</t>
        </is>
      </c>
      <c r="D19" s="18" t="inlineStr">
        <is>
          <t>—</t>
        </is>
      </c>
      <c r="E19" s="20" t="inlineStr">
        <is>
          <t>受入れが配属先任せで、立ち上がりに差がある</t>
        </is>
      </c>
      <c r="F19" s="20" t="inlineStr">
        <is>
          <t>入社時研修と受入れの手順がある</t>
        </is>
      </c>
      <c r="G19" s="20" t="inlineStr">
        <is>
          <t>全社標準のオンボーディング計画（研修・メンター・面談）を運用する</t>
        </is>
      </c>
      <c r="H19" s="20" t="inlineStr">
        <is>
          <t>立ち上がりの期間と早期離職率を指標で管理する</t>
        </is>
      </c>
      <c r="I19" s="20" t="inlineStr">
        <is>
          <t>入社者の経験データから、一人ひとりに合った受入れを先回りして設計する</t>
        </is>
      </c>
    </row>
    <row r="20" ht="26.25" customHeight="1">
      <c r="A20" s="18" t="inlineStr">
        <is>
          <t>C03-03</t>
        </is>
      </c>
      <c r="B20" s="31" t="n"/>
      <c r="C20" s="29" t="inlineStr">
        <is>
          <t>従業員情報管理★</t>
        </is>
      </c>
      <c r="D20" s="18" t="inlineStr">
        <is>
          <t>レベル3（労基法）</t>
        </is>
      </c>
      <c r="E20" s="20" t="inlineStr">
        <is>
          <t>従業員情報が部門やファイルごとに分散している</t>
        </is>
      </c>
      <c r="F20" s="20" t="inlineStr">
        <is>
          <t>人事部門が台帳で従業員情報を管理する</t>
        </is>
      </c>
      <c r="G20" s="20" t="inlineStr">
        <is>
          <t>人事システムで従業員情報を一元管理し、法定帳簿を整える</t>
        </is>
      </c>
      <c r="H20" s="20" t="inlineStr">
        <is>
          <t>データの正確さ・更新の遅れを指標で管理する</t>
        </is>
      </c>
      <c r="I20" s="20" t="inlineStr">
        <is>
          <t>従業員情報を全社の意思決定の基盤として活用する</t>
        </is>
      </c>
    </row>
    <row r="21" ht="26.25" customHeight="1">
      <c r="A21" s="14" t="inlineStr">
        <is>
          <t>C04-01</t>
        </is>
      </c>
      <c r="B21" s="17" t="inlineStr">
        <is>
          <t>人材育成・能力開発</t>
        </is>
      </c>
      <c r="C21" s="16" t="inlineStr">
        <is>
          <t>育成体系・研修管理</t>
        </is>
      </c>
      <c r="D21" s="14" t="inlineStr">
        <is>
          <t>—</t>
        </is>
      </c>
      <c r="E21" s="17" t="inlineStr">
        <is>
          <t>研修が単発で、体系がない</t>
        </is>
      </c>
      <c r="F21" s="17" t="inlineStr">
        <is>
          <t>部門ごとに研修を企画・実施する</t>
        </is>
      </c>
      <c r="G21" s="17" t="inlineStr">
        <is>
          <t>全社の育成体系（階層別・職種別）に沿って研修を計画・運営し、記録する</t>
        </is>
      </c>
      <c r="H21" s="17" t="inlineStr">
        <is>
          <t>研修の受講率・効果・費用を指標で管理する</t>
        </is>
      </c>
      <c r="I21" s="17" t="inlineStr">
        <is>
          <t>事業と人材の変化に先回りして、学びの仕組みを組み替える</t>
        </is>
      </c>
    </row>
    <row r="22" ht="26.25" customHeight="1">
      <c r="A22" s="18" t="inlineStr">
        <is>
          <t>C04-02</t>
        </is>
      </c>
      <c r="B22" s="31" t="n"/>
      <c r="C22" s="29" t="inlineStr">
        <is>
          <t>スキル・資格管理</t>
        </is>
      </c>
      <c r="D22" s="18" t="inlineStr">
        <is>
          <t>—</t>
        </is>
      </c>
      <c r="E22" s="20" t="inlineStr">
        <is>
          <t>誰がどのスキルを持つか把握していない</t>
        </is>
      </c>
      <c r="F22" s="20" t="inlineStr">
        <is>
          <t>部門ごとにスキル表を作る</t>
        </is>
      </c>
      <c r="G22" s="20" t="inlineStr">
        <is>
          <t>全社共通のスキル体系で、スキルと資格を一元管理する</t>
        </is>
      </c>
      <c r="H22" s="20" t="inlineStr">
        <is>
          <t>スキルの過不足を指標で管理し、育成・採用の計画に反映する</t>
        </is>
      </c>
      <c r="I22" s="20" t="inlineStr">
        <is>
          <t>将来必要なスキルを先回りして特定し、計画的に獲得する</t>
        </is>
      </c>
    </row>
    <row r="23" ht="26.25" customHeight="1">
      <c r="A23" s="18" t="inlineStr">
        <is>
          <t>C04-03</t>
        </is>
      </c>
      <c r="B23" s="31" t="n"/>
      <c r="C23" s="29" t="inlineStr">
        <is>
          <t>キャリア開発支援</t>
        </is>
      </c>
      <c r="D23" s="18" t="inlineStr">
        <is>
          <t>—</t>
        </is>
      </c>
      <c r="E23" s="20" t="inlineStr">
        <is>
          <t>キャリアは会社任せで、本人の希望を聞かない</t>
        </is>
      </c>
      <c r="F23" s="20" t="inlineStr">
        <is>
          <t>自己申告制度があるが、活用が限られる</t>
        </is>
      </c>
      <c r="G23" s="20" t="inlineStr">
        <is>
          <t>キャリア面談・キャリア研修・自己啓発支援を全社で運用する</t>
        </is>
      </c>
      <c r="H23" s="20" t="inlineStr">
        <is>
          <t>キャリアの希望と配置の実現度を指標で管理する</t>
        </is>
      </c>
      <c r="I23" s="20" t="inlineStr">
        <is>
          <t>社内外の機会を先回りして示し、自律的なキャリアを後押しする</t>
        </is>
      </c>
    </row>
    <row r="24" ht="26.25" customHeight="1">
      <c r="A24" s="18" t="inlineStr">
        <is>
          <t>C04-04</t>
        </is>
      </c>
      <c r="B24" s="31" t="n"/>
      <c r="C24" s="29" t="inlineStr">
        <is>
          <t>法定・コンプライアンス教育</t>
        </is>
      </c>
      <c r="D24" s="18" t="inlineStr">
        <is>
          <t>レベル3（安衛法・労働施策総合推進法）</t>
        </is>
      </c>
      <c r="E24" s="20" t="inlineStr">
        <is>
          <t>教育の対象者・記録が不明確</t>
        </is>
      </c>
      <c r="F24" s="20" t="inlineStr">
        <is>
          <t>部門ごとに必要な教育を実施する</t>
        </is>
      </c>
      <c r="G24" s="20" t="inlineStr">
        <is>
          <t>対象者・頻度・記録を定めて、全社で確実に実施する</t>
        </is>
      </c>
      <c r="H24" s="20" t="inlineStr">
        <is>
          <t>受講率と違反・事故の発生を指標で管理する</t>
        </is>
      </c>
      <c r="I24" s="20" t="inlineStr">
        <is>
          <t>新しいリスクに先回りして教育内容を更新する</t>
        </is>
      </c>
    </row>
    <row r="25" ht="26.25" customHeight="1">
      <c r="A25" s="14" t="inlineStr">
        <is>
          <t>C05-01</t>
        </is>
      </c>
      <c r="B25" s="17" t="inlineStr">
        <is>
          <t>パフォーマンス・報酬管理</t>
        </is>
      </c>
      <c r="C25" s="16" t="inlineStr">
        <is>
          <t>目標・評価管理</t>
        </is>
      </c>
      <c r="D25" s="14" t="inlineStr">
        <is>
          <t>—</t>
        </is>
      </c>
      <c r="E25" s="17" t="inlineStr">
        <is>
          <t>評価基準がなく、上司の主観で決まる</t>
        </is>
      </c>
      <c r="F25" s="17" t="inlineStr">
        <is>
          <t>部門ごとに評価の方法と時期を決める</t>
        </is>
      </c>
      <c r="G25" s="17" t="inlineStr">
        <is>
          <t>全社標準の目標設定・評価・調整・フィードバックの仕組みを運用する</t>
        </is>
      </c>
      <c r="H25" s="17" t="inlineStr">
        <is>
          <t>評価の分布・納得度を指標で管理し、評価の質を改善する</t>
        </is>
      </c>
      <c r="I25" s="17" t="inlineStr">
        <is>
          <t>継続的なフィードバックで、成長と成果を同時に高める</t>
        </is>
      </c>
    </row>
    <row r="26" ht="26.25" customHeight="1">
      <c r="A26" s="18" t="inlineStr">
        <is>
          <t>C05-02</t>
        </is>
      </c>
      <c r="B26" s="31" t="n"/>
      <c r="C26" s="29" t="inlineStr">
        <is>
          <t>報酬制度・報酬決定</t>
        </is>
      </c>
      <c r="D26" s="18" t="inlineStr">
        <is>
          <t>レベル3（最低賃金法・パート有期法）</t>
        </is>
      </c>
      <c r="E26" s="20" t="inlineStr">
        <is>
          <t>報酬が個別交渉や慣行で決まる</t>
        </is>
      </c>
      <c r="F26" s="20" t="inlineStr">
        <is>
          <t>賃金テーブルがあるが、見直しが不定期</t>
        </is>
      </c>
      <c r="G26" s="20" t="inlineStr">
        <is>
          <t>全社標準の報酬制度で、評価と連動した昇給・賞与を決める</t>
        </is>
      </c>
      <c r="H26" s="20" t="inlineStr">
        <is>
          <t>市場水準・社内の公平性（同一労働同一賃金、男女差異）を指標で管理する</t>
        </is>
      </c>
      <c r="I26" s="20" t="inlineStr">
        <is>
          <t>人材戦略に合わせて報酬を先回りして設計し、競争力を保つ</t>
        </is>
      </c>
    </row>
    <row r="27" ht="26.25" customHeight="1">
      <c r="A27" s="18" t="inlineStr">
        <is>
          <t>C05-03</t>
        </is>
      </c>
      <c r="B27" s="31" t="n"/>
      <c r="C27" s="29" t="inlineStr">
        <is>
          <t>給与計算・支払★</t>
        </is>
      </c>
      <c r="D27" s="18" t="inlineStr">
        <is>
          <t>レベル3（労基法・税法）</t>
        </is>
      </c>
      <c r="E27" s="20" t="inlineStr">
        <is>
          <t>手計算が多く、誤りが起きる</t>
        </is>
      </c>
      <c r="F27" s="20" t="inlineStr">
        <is>
          <t>給与システムで計算するが、確認が人手に頼る</t>
        </is>
      </c>
      <c r="G27" s="20" t="inlineStr">
        <is>
          <t>全社標準の手順とシステムで、正確に期日どおり支払う</t>
        </is>
      </c>
      <c r="H27" s="20" t="inlineStr">
        <is>
          <t>誤りの件数と処理時間を指標で管理する</t>
        </is>
      </c>
      <c r="I27" s="20" t="inlineStr">
        <is>
          <t>勤怠から支払・会計まで自動でつながり、誤りが起きない</t>
        </is>
      </c>
    </row>
    <row r="28" ht="26.25" customHeight="1">
      <c r="A28" s="18" t="inlineStr">
        <is>
          <t>C05-04</t>
        </is>
      </c>
      <c r="B28" s="31" t="n"/>
      <c r="C28" s="29" t="inlineStr">
        <is>
          <t>社会保険・福利厚生</t>
        </is>
      </c>
      <c r="D28" s="18" t="inlineStr">
        <is>
          <t>レベル3（社会保険・雇用保険）</t>
        </is>
      </c>
      <c r="E28" s="20" t="inlineStr">
        <is>
          <t>届出が遅れ、保険料の誤りが起きる</t>
        </is>
      </c>
      <c r="F28" s="20" t="inlineStr">
        <is>
          <t>年間の手続きカレンダーで管理する</t>
        </is>
      </c>
      <c r="G28" s="20" t="inlineStr">
        <is>
          <t>全社標準の手続きと電子申請で、定例の届出を確実に行う</t>
        </is>
      </c>
      <c r="H28" s="20" t="inlineStr">
        <is>
          <t>届出の誤り・遅れと福利厚生の利用率を指標で管理する</t>
        </is>
      </c>
      <c r="I28" s="20" t="inlineStr">
        <is>
          <t>従業員のニーズに先回りして、福利厚生を設計し直す</t>
        </is>
      </c>
    </row>
    <row r="29" ht="26.25" customHeight="1">
      <c r="A29" s="14" t="inlineStr">
        <is>
          <t>C06-01</t>
        </is>
      </c>
      <c r="B29" s="17" t="inlineStr">
        <is>
          <t>就業・労務管理</t>
        </is>
      </c>
      <c r="C29" s="16" t="inlineStr">
        <is>
          <t>勤怠・休暇管理★</t>
        </is>
      </c>
      <c r="D29" s="14" t="inlineStr">
        <is>
          <t>レベル3（労基法・安衛法・育介法）</t>
        </is>
      </c>
      <c r="E29" s="17" t="inlineStr">
        <is>
          <t>労働時間を自己申告だけで把握している</t>
        </is>
      </c>
      <c r="F29" s="17" t="inlineStr">
        <is>
          <t>勤怠システムで記録するが、上限の管理が事後になる</t>
        </is>
      </c>
      <c r="G29" s="17" t="inlineStr">
        <is>
          <t>客観的な記録と、36協定の上限・有給休暇の取得義務を全社で管理する</t>
        </is>
      </c>
      <c r="H29" s="17" t="inlineStr">
        <is>
          <t>長時間労働・休暇取得を指標で監視し、事前に手を打つ</t>
        </is>
      </c>
      <c r="I29" s="17" t="inlineStr">
        <is>
          <t>働き方のデータから、業務と人員配置を先回りして見直す</t>
        </is>
      </c>
    </row>
    <row r="30" ht="26.25" customHeight="1">
      <c r="A30" s="18" t="inlineStr">
        <is>
          <t>C06-02</t>
        </is>
      </c>
      <c r="B30" s="31" t="n"/>
      <c r="C30" s="29" t="inlineStr">
        <is>
          <t>健康・安全管理★</t>
        </is>
      </c>
      <c r="D30" s="18" t="inlineStr">
        <is>
          <t>レベル3（安衛法）</t>
        </is>
      </c>
      <c r="E30" s="20" t="inlineStr">
        <is>
          <t>健康診断の実施・事後措置が不十分</t>
        </is>
      </c>
      <c r="F30" s="20" t="inlineStr">
        <is>
          <t>健康診断は実施するが、事後措置が拠点任せ</t>
        </is>
      </c>
      <c r="G30" s="20" t="inlineStr">
        <is>
          <t>健康診断・ストレスチェック・面接指導・労災対応を全社標準で運用する</t>
        </is>
      </c>
      <c r="H30" s="20" t="inlineStr">
        <is>
          <t>受診率・有所見率・休業災害を指標で管理する</t>
        </is>
      </c>
      <c r="I30" s="20" t="inlineStr">
        <is>
          <t>健康データを活用し、不調や災害を先回りして防ぐ</t>
        </is>
      </c>
    </row>
    <row r="31" ht="26.25" customHeight="1">
      <c r="A31" s="18" t="inlineStr">
        <is>
          <t>C06-03</t>
        </is>
      </c>
      <c r="B31" s="31" t="n"/>
      <c r="C31" s="29" t="inlineStr">
        <is>
          <t>労使関係・従業員対応</t>
        </is>
      </c>
      <c r="D31" s="18" t="inlineStr">
        <is>
          <t>レベル3（労基法・労働施策総合推進法）</t>
        </is>
      </c>
      <c r="E31" s="20" t="inlineStr">
        <is>
          <t>相談窓口がなく、問題が表に出ない</t>
        </is>
      </c>
      <c r="F31" s="20" t="inlineStr">
        <is>
          <t>相談窓口はあるが、対応が担当者任せ</t>
        </is>
      </c>
      <c r="G31" s="20" t="inlineStr">
        <is>
          <t>労使協議・相談対応・懲戒の手順を全社で定め、公正に運用する</t>
        </is>
      </c>
      <c r="H31" s="20" t="inlineStr">
        <is>
          <t>相談件数・対応期間・再発を指標で管理する</t>
        </is>
      </c>
      <c r="I31" s="20" t="inlineStr">
        <is>
          <t>従業員の声から問題を先回りして見つけ、制度を改善する</t>
        </is>
      </c>
    </row>
    <row r="32" ht="26.25" customHeight="1">
      <c r="A32" s="18" t="inlineStr">
        <is>
          <t>C06-04</t>
        </is>
      </c>
      <c r="B32" s="31" t="n"/>
      <c r="C32" s="29" t="inlineStr">
        <is>
          <t>エンゲージメント・働き方</t>
        </is>
      </c>
      <c r="D32" s="18" t="inlineStr">
        <is>
          <t>—</t>
        </is>
      </c>
      <c r="E32" s="20" t="inlineStr">
        <is>
          <t>従業員の声を聞く仕組みがない</t>
        </is>
      </c>
      <c r="F32" s="20" t="inlineStr">
        <is>
          <t>不定期に満足度調査を行う</t>
        </is>
      </c>
      <c r="G32" s="20" t="inlineStr">
        <is>
          <t>定期的なエンゲージメント調査と改善、柔軟な働き方の制度を全社で運用する</t>
        </is>
      </c>
      <c r="H32" s="20" t="inlineStr">
        <is>
          <t>エンゲージメントと離職・生産性の関係を指標で分析する</t>
        </is>
      </c>
      <c r="I32" s="20" t="inlineStr">
        <is>
          <t>データに基づいて職場ごとに先回りして改善する</t>
        </is>
      </c>
    </row>
    <row r="33" ht="26.25" customHeight="1">
      <c r="A33" s="14" t="inlineStr">
        <is>
          <t>C07-01</t>
        </is>
      </c>
      <c r="B33" s="17" t="inlineStr">
        <is>
          <t>タレントマネジメント・配置</t>
        </is>
      </c>
      <c r="C33" s="16" t="inlineStr">
        <is>
          <t>タレントレビュー・配置</t>
        </is>
      </c>
      <c r="D33" s="14" t="inlineStr">
        <is>
          <t>—</t>
        </is>
      </c>
      <c r="E33" s="17" t="inlineStr">
        <is>
          <t>異動が上司の個人的な判断で決まる</t>
        </is>
      </c>
      <c r="F33" s="17" t="inlineStr">
        <is>
          <t>部門ごとに人材の見極めと異動を行う</t>
        </is>
      </c>
      <c r="G33" s="17" t="inlineStr">
        <is>
          <t>全社共通のタレントレビューと異動のルールで配置を決める</t>
        </is>
      </c>
      <c r="H33" s="17" t="inlineStr">
        <is>
          <t>配置後の活躍・定着を指標で検証する</t>
        </is>
      </c>
      <c r="I33" s="17" t="inlineStr">
        <is>
          <t>本人のキャリア希望と事業ニーズを先回りして組み合わせる</t>
        </is>
      </c>
    </row>
    <row r="34" ht="26.25" customHeight="1">
      <c r="A34" s="18" t="inlineStr">
        <is>
          <t>C07-02</t>
        </is>
      </c>
      <c r="B34" s="31" t="n"/>
      <c r="C34" s="29" t="inlineStr">
        <is>
          <t>昇格・登用</t>
        </is>
      </c>
      <c r="D34" s="18" t="inlineStr">
        <is>
          <t>—</t>
        </is>
      </c>
      <c r="E34" s="20" t="inlineStr">
        <is>
          <t>昇格が年功や上司の推薦だけで決まる</t>
        </is>
      </c>
      <c r="F34" s="20" t="inlineStr">
        <is>
          <t>昇格の基準があるが、運用が部門ごと</t>
        </is>
      </c>
      <c r="G34" s="20" t="inlineStr">
        <is>
          <t>全社共通の昇格基準・審査（試験・アセスメント）で決める</t>
        </is>
      </c>
      <c r="H34" s="20" t="inlineStr">
        <is>
          <t>昇格者の登用後の活躍を指標で検証する</t>
        </is>
      </c>
      <c r="I34" s="20" t="inlineStr">
        <is>
          <t>将来の役割から逆算して、登用を先回りして計画する</t>
        </is>
      </c>
    </row>
    <row r="35" ht="26.25" customHeight="1">
      <c r="A35" s="18" t="inlineStr">
        <is>
          <t>C07-03</t>
        </is>
      </c>
      <c r="B35" s="31" t="n"/>
      <c r="C35" s="29" t="inlineStr">
        <is>
          <t>後継者・リーダー育成</t>
        </is>
      </c>
      <c r="D35" s="18" t="inlineStr">
        <is>
          <t>—</t>
        </is>
      </c>
      <c r="E35" s="20" t="inlineStr">
        <is>
          <t>後継者を決めていない</t>
        </is>
      </c>
      <c r="F35" s="20" t="inlineStr">
        <is>
          <t>一部の役員ポストについて後継者を検討する</t>
        </is>
      </c>
      <c r="G35" s="20" t="inlineStr">
        <is>
          <t>重要ポストの後継者計画と選抜型育成を全社で運用する</t>
        </is>
      </c>
      <c r="H35" s="20" t="inlineStr">
        <is>
          <t>後継者の準備度とポストの充足率を指標で管理する</t>
        </is>
      </c>
      <c r="I35" s="20" t="inlineStr">
        <is>
          <t>経営環境に先回りして、リーダー層を計画的に厚くする</t>
        </is>
      </c>
    </row>
    <row r="36" ht="26.25" customHeight="1">
      <c r="A36" s="18" t="inlineStr">
        <is>
          <t>C07-04</t>
        </is>
      </c>
      <c r="B36" s="31" t="n"/>
      <c r="C36" s="29" t="inlineStr">
        <is>
          <t>多様な人材の活躍推進★</t>
        </is>
      </c>
      <c r="D36" s="18" t="inlineStr">
        <is>
          <t>レベル3（女性活躍推進法・障害者雇用促進法・高年法）</t>
        </is>
      </c>
      <c r="E36" s="20" t="inlineStr">
        <is>
          <t>法定の計画・報告が期限直前の対応になる</t>
        </is>
      </c>
      <c r="F36" s="20" t="inlineStr">
        <is>
          <t>法定の計画・報告は行うが、施策が限られる</t>
        </is>
      </c>
      <c r="G36" s="20" t="inlineStr">
        <is>
          <t>行動計画・雇用率・情報公表を全社で管理し、施策を実行する</t>
        </is>
      </c>
      <c r="H36" s="20" t="inlineStr">
        <is>
          <t>多様性の指標と目標の達成度を管理する</t>
        </is>
      </c>
      <c r="I36" s="20" t="inlineStr">
        <is>
          <t>多様性を事業の強みとして先回りして生かす</t>
        </is>
      </c>
    </row>
    <row r="37" ht="26.25" customHeight="1">
      <c r="A37" s="14" t="inlineStr">
        <is>
          <t>C08-01</t>
        </is>
      </c>
      <c r="B37" s="17" t="inlineStr">
        <is>
          <t>退職・雇用終了</t>
        </is>
      </c>
      <c r="C37" s="16" t="inlineStr">
        <is>
          <t>退職手続き★</t>
        </is>
      </c>
      <c r="D37" s="14" t="inlineStr">
        <is>
          <t>レベル3（労基法・社会保険・税法）</t>
        </is>
      </c>
      <c r="E37" s="17" t="inlineStr">
        <is>
          <t>手続きの漏れや書類の交付遅れがある</t>
        </is>
      </c>
      <c r="F37" s="17" t="inlineStr">
        <is>
          <t>チェックリストで手続きを管理する</t>
        </is>
      </c>
      <c r="G37" s="17" t="inlineStr">
        <is>
          <t>全社標準の手続きと電子申請で、期限内に確実に処理する</t>
        </is>
      </c>
      <c r="H37" s="17" t="inlineStr">
        <is>
          <t>手続きの期間・誤りを指標で管理する</t>
        </is>
      </c>
      <c r="I37" s="17" t="inlineStr">
        <is>
          <t>退職の申出から手続きまで自動でつながる</t>
        </is>
      </c>
    </row>
    <row r="38" ht="26.25" customHeight="1">
      <c r="A38" s="18" t="inlineStr">
        <is>
          <t>C08-02</t>
        </is>
      </c>
      <c r="B38" s="31" t="n"/>
      <c r="C38" s="29" t="inlineStr">
        <is>
          <t>定年・再雇用★</t>
        </is>
      </c>
      <c r="D38" s="18" t="inlineStr">
        <is>
          <t>レベル3（高年法）</t>
        </is>
      </c>
      <c r="E38" s="20" t="inlineStr">
        <is>
          <t>定年到達者の把握が遅れる</t>
        </is>
      </c>
      <c r="F38" s="20" t="inlineStr">
        <is>
          <t>定年到達者ごとに再雇用を個別に判断する</t>
        </is>
      </c>
      <c r="G38" s="20" t="inlineStr">
        <is>
          <t>全社標準の手順で意向確認・再雇用契約・処遇を決める</t>
        </is>
      </c>
      <c r="H38" s="20" t="inlineStr">
        <is>
          <t>再雇用者の活躍と処遇の納得度を指標で管理する</t>
        </is>
      </c>
      <c r="I38" s="20" t="inlineStr">
        <is>
          <t>年齢に関係なく役割で処遇する仕組みに先回りして移行する</t>
        </is>
      </c>
    </row>
    <row r="39" ht="26.25" customHeight="1">
      <c r="A39" s="18" t="inlineStr">
        <is>
          <t>C08-03</t>
        </is>
      </c>
      <c r="B39" s="31" t="n"/>
      <c r="C39" s="29" t="inlineStr">
        <is>
          <t>オフボーディング</t>
        </is>
      </c>
      <c r="D39" s="18" t="inlineStr">
        <is>
          <t>—</t>
        </is>
      </c>
      <c r="E39" s="20" t="inlineStr">
        <is>
          <t>引継ぎやアカウント停止が漏れる</t>
        </is>
      </c>
      <c r="F39" s="20" t="inlineStr">
        <is>
          <t>退職時チェックリストで管理する</t>
        </is>
      </c>
      <c r="G39" s="20" t="inlineStr">
        <is>
          <t>全社標準のオフボーディングで、引継ぎ・返却・停止を確実に行う</t>
        </is>
      </c>
      <c r="H39" s="20" t="inlineStr">
        <is>
          <t>離職理由を分析し、定着策に反映する</t>
        </is>
      </c>
      <c r="I39" s="20" t="inlineStr">
        <is>
          <t>アルムナイとの関係を生かして、再入社や協業につなげる</t>
        </is>
      </c>
    </row>
    <row r="40" ht="26.25" customHeight="1">
      <c r="A40" s="14" t="inlineStr">
        <is>
          <t>C09-01</t>
        </is>
      </c>
      <c r="B40" s="17" t="inlineStr">
        <is>
          <t>人事基盤</t>
        </is>
      </c>
      <c r="C40" s="16" t="inlineStr">
        <is>
          <t>人事データ・分析</t>
        </is>
      </c>
      <c r="D40" s="14" t="inlineStr">
        <is>
          <t>—</t>
        </is>
      </c>
      <c r="E40" s="17" t="inlineStr">
        <is>
          <t>人事データの集計が手作業で、時間がかかる</t>
        </is>
      </c>
      <c r="F40" s="17" t="inlineStr">
        <is>
          <t>定型のレポートを定期的に作成する</t>
        </is>
      </c>
      <c r="G40" s="17" t="inlineStr">
        <is>
          <t>全社共通の定義で人事データを集約し、ダッシュボードで提供する</t>
        </is>
      </c>
      <c r="H40" s="17" t="inlineStr">
        <is>
          <t>指標の予測・要因分析で施策の効果を検証する</t>
        </is>
      </c>
      <c r="I40" s="17" t="inlineStr">
        <is>
          <t>データに基づく人事判断が組織の標準になっている</t>
        </is>
      </c>
    </row>
    <row r="41" ht="26.25" customHeight="1">
      <c r="A41" s="18" t="inlineStr">
        <is>
          <t>C09-02</t>
        </is>
      </c>
      <c r="B41" s="31" t="n"/>
      <c r="C41" s="29" t="inlineStr">
        <is>
          <t>人事サービス提供</t>
        </is>
      </c>
      <c r="D41" s="18" t="inlineStr">
        <is>
          <t>—</t>
        </is>
      </c>
      <c r="E41" s="20" t="inlineStr">
        <is>
          <t>問い合わせが担当者個人に集中する</t>
        </is>
      </c>
      <c r="F41" s="20" t="inlineStr">
        <is>
          <t>問い合わせ窓口を設けている</t>
        </is>
      </c>
      <c r="G41" s="20" t="inlineStr">
        <is>
          <t>人事ポータル・セルフサービス・問い合わせ管理を全社で運用する</t>
        </is>
      </c>
      <c r="H41" s="20" t="inlineStr">
        <is>
          <t>問い合わせの件数・解決時間・満足度を指標で管理する</t>
        </is>
      </c>
      <c r="I41" s="20" t="inlineStr">
        <is>
          <t>問い合わせを先回りして減らすよう、制度と情報提供を改善する</t>
        </is>
      </c>
    </row>
    <row r="42" ht="26.25" customHeight="1">
      <c r="A42" s="18" t="inlineStr">
        <is>
          <t>C09-03</t>
        </is>
      </c>
      <c r="B42" s="31" t="n"/>
      <c r="C42" s="29" t="inlineStr">
        <is>
          <t>人事情報セキュリティ・個人情報保護★</t>
        </is>
      </c>
      <c r="D42" s="18" t="inlineStr">
        <is>
          <t>レベル3（個人情報保護法・番号法）</t>
        </is>
      </c>
      <c r="E42" s="20" t="inlineStr">
        <is>
          <t>人事情報のアクセス制限が不十分</t>
        </is>
      </c>
      <c r="F42" s="20" t="inlineStr">
        <is>
          <t>人事部門内でアクセスを制限する</t>
        </is>
      </c>
      <c r="G42" s="20" t="inlineStr">
        <is>
          <t>情報の区分（要配慮・特定個人情報）に応じた保護とアクセス管理を全社で運用する</t>
        </is>
      </c>
      <c r="H42" s="20" t="inlineStr">
        <is>
          <t>アクセスログを監視し、違反を早期に検知する</t>
        </is>
      </c>
      <c r="I42" s="20" t="inlineStr">
        <is>
          <t>新しい技術・規制に先回りして保護の仕組みを更新する</t>
        </is>
      </c>
    </row>
  </sheetData>
  <autoFilter ref="A10:I42"/>
  <mergeCells count="6">
    <mergeCell ref="C3:I3"/>
    <mergeCell ref="C8:I8"/>
    <mergeCell ref="C4:I4"/>
    <mergeCell ref="C6:I6"/>
    <mergeCell ref="C7:I7"/>
    <mergeCell ref="C5:I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6A6A6"/>
    <outlinePr summaryBelow="1" summaryRight="1"/>
    <pageSetUpPr/>
  </sheetPr>
  <dimension ref="A1:G370"/>
  <sheetViews>
    <sheetView showGridLines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3" customWidth="1" min="3" max="3"/>
    <col width="32" customWidth="1" min="4" max="4"/>
    <col width="7" customWidth="1" min="5" max="5"/>
    <col width="9" customWidth="1" min="6" max="6"/>
    <col width="11" customWidth="1" min="7" max="7"/>
  </cols>
  <sheetData>
    <row r="1" ht="21" customHeight="1">
      <c r="A1" s="32" t="inlineStr">
        <is>
          <t>VS×ケイパビリティ関係（正本：VS L4 × ケイパビリティL3）</t>
        </is>
      </c>
    </row>
    <row r="2" ht="15" customHeight="1">
      <c r="A2" s="33" t="inlineStr">
        <is>
          <t>1行1関係。区分は「主」（そのL4の中核）か「支援」（下支え）。マトリクスはこのシートから数式で集計する。関係の追加・変更はこのシートで行う。灰色の列は数式（編集しない）。</t>
        </is>
      </c>
    </row>
    <row r="3" ht="40.5" customHeight="1">
      <c r="A3" s="3" t="inlineStr">
        <is>
          <t>VS L4 ID</t>
        </is>
      </c>
      <c r="B3" s="3" t="inlineStr">
        <is>
          <t>VS L4</t>
        </is>
      </c>
      <c r="C3" s="4" t="inlineStr">
        <is>
          <t>ケイパビリティL3 ID</t>
        </is>
      </c>
      <c r="D3" s="4" t="inlineStr">
        <is>
          <t>ケイパビリティL3</t>
        </is>
      </c>
      <c r="E3" s="4" t="inlineStr">
        <is>
          <t>区分</t>
        </is>
      </c>
      <c r="F3" s="34" t="inlineStr">
        <is>
          <t>VS L3 ID</t>
        </is>
      </c>
      <c r="G3" s="5" t="inlineStr">
        <is>
          <t>ケイパビリティL2 ID</t>
        </is>
      </c>
    </row>
    <row r="4">
      <c r="A4" s="18" t="inlineStr">
        <is>
          <t>01-01-01</t>
        </is>
      </c>
      <c r="B4" s="20" t="inlineStr">
        <is>
          <t>人事戦略・人的資本KPIの設定</t>
        </is>
      </c>
      <c r="C4" s="18" t="inlineStr">
        <is>
          <t>C01-01-01</t>
        </is>
      </c>
      <c r="D4" s="31">
        <f>IFERROR(INDEX(ケイパビリティマップ!$E:$E,MATCH(C4,ケイパビリティマップ!$A:$A,0)),"（IDなし）")</f>
        <v/>
      </c>
      <c r="E4" s="23" t="inlineStr">
        <is>
          <t>主</t>
        </is>
      </c>
      <c r="F4" s="35">
        <f>LEFT(A4,5)</f>
        <v/>
      </c>
      <c r="G4" s="35">
        <f>LEFT(C4,6)</f>
        <v/>
      </c>
    </row>
    <row r="5">
      <c r="A5" s="18" t="inlineStr">
        <is>
          <t>01-01-02</t>
        </is>
      </c>
      <c r="B5" s="20" t="inlineStr">
        <is>
          <t>要員計画の策定（職種・等級・雇用形態別）</t>
        </is>
      </c>
      <c r="C5" s="18" t="inlineStr">
        <is>
          <t>C01-02-01</t>
        </is>
      </c>
      <c r="D5" s="31">
        <f>IFERROR(INDEX(ケイパビリティマップ!$E:$E,MATCH(C5,ケイパビリティマップ!$A:$A,0)),"（IDなし）")</f>
        <v/>
      </c>
      <c r="E5" s="23" t="inlineStr">
        <is>
          <t>主</t>
        </is>
      </c>
      <c r="F5" s="35">
        <f>LEFT(A5,5)</f>
        <v/>
      </c>
      <c r="G5" s="35">
        <f>LEFT(C5,6)</f>
        <v/>
      </c>
    </row>
    <row r="6">
      <c r="A6" s="18" t="inlineStr">
        <is>
          <t>01-01-02</t>
        </is>
      </c>
      <c r="B6" s="20" t="inlineStr">
        <is>
          <t>要員計画の策定（職種・等級・雇用形態別）</t>
        </is>
      </c>
      <c r="C6" s="18" t="inlineStr">
        <is>
          <t>C01-02-03</t>
        </is>
      </c>
      <c r="D6" s="31">
        <f>IFERROR(INDEX(ケイパビリティマップ!$E:$E,MATCH(C6,ケイパビリティマップ!$A:$A,0)),"（IDなし）")</f>
        <v/>
      </c>
      <c r="E6" s="23" t="inlineStr">
        <is>
          <t>支援</t>
        </is>
      </c>
      <c r="F6" s="35">
        <f>LEFT(A6,5)</f>
        <v/>
      </c>
      <c r="G6" s="35">
        <f>LEFT(C6,6)</f>
        <v/>
      </c>
    </row>
    <row r="7">
      <c r="A7" s="18" t="inlineStr">
        <is>
          <t>01-01-03</t>
        </is>
      </c>
      <c r="B7" s="20" t="inlineStr">
        <is>
          <t>人件費予算の策定</t>
        </is>
      </c>
      <c r="C7" s="18" t="inlineStr">
        <is>
          <t>C01-02-02</t>
        </is>
      </c>
      <c r="D7" s="31">
        <f>IFERROR(INDEX(ケイパビリティマップ!$E:$E,MATCH(C7,ケイパビリティマップ!$A:$A,0)),"（IDなし）")</f>
        <v/>
      </c>
      <c r="E7" s="23" t="inlineStr">
        <is>
          <t>主</t>
        </is>
      </c>
      <c r="F7" s="35">
        <f>LEFT(A7,5)</f>
        <v/>
      </c>
      <c r="G7" s="35">
        <f>LEFT(C7,6)</f>
        <v/>
      </c>
    </row>
    <row r="8">
      <c r="A8" s="18" t="inlineStr">
        <is>
          <t>01-01-04</t>
        </is>
      </c>
      <c r="B8" s="20" t="inlineStr">
        <is>
          <t>職務・ポジション要件の定義</t>
        </is>
      </c>
      <c r="C8" s="18" t="inlineStr">
        <is>
          <t>C01-03-02</t>
        </is>
      </c>
      <c r="D8" s="31">
        <f>IFERROR(INDEX(ケイパビリティマップ!$E:$E,MATCH(C8,ケイパビリティマップ!$A:$A,0)),"（IDなし）")</f>
        <v/>
      </c>
      <c r="E8" s="23" t="inlineStr">
        <is>
          <t>主</t>
        </is>
      </c>
      <c r="F8" s="35">
        <f>LEFT(A8,5)</f>
        <v/>
      </c>
      <c r="G8" s="35">
        <f>LEFT(C8,6)</f>
        <v/>
      </c>
    </row>
    <row r="9">
      <c r="A9" s="18" t="inlineStr">
        <is>
          <t>01-01-05</t>
        </is>
      </c>
      <c r="B9" s="20" t="inlineStr">
        <is>
          <t>採用計画の策定（新卒・経験者別の人数・時期・チャネル）</t>
        </is>
      </c>
      <c r="C9" s="18" t="inlineStr">
        <is>
          <t>C02-01-01</t>
        </is>
      </c>
      <c r="D9" s="31">
        <f>IFERROR(INDEX(ケイパビリティマップ!$E:$E,MATCH(C9,ケイパビリティマップ!$A:$A,0)),"（IDなし）")</f>
        <v/>
      </c>
      <c r="E9" s="23" t="inlineStr">
        <is>
          <t>主</t>
        </is>
      </c>
      <c r="F9" s="35">
        <f>LEFT(A9,5)</f>
        <v/>
      </c>
      <c r="G9" s="35">
        <f>LEFT(C9,6)</f>
        <v/>
      </c>
    </row>
    <row r="10">
      <c r="A10" s="18" t="inlineStr">
        <is>
          <t>01-01-05</t>
        </is>
      </c>
      <c r="B10" s="20" t="inlineStr">
        <is>
          <t>採用計画の策定（新卒・経験者別の人数・時期・チャネル）</t>
        </is>
      </c>
      <c r="C10" s="18" t="inlineStr">
        <is>
          <t>C02-01-03</t>
        </is>
      </c>
      <c r="D10" s="31">
        <f>IFERROR(INDEX(ケイパビリティマップ!$E:$E,MATCH(C10,ケイパビリティマップ!$A:$A,0)),"（IDなし）")</f>
        <v/>
      </c>
      <c r="E10" s="23" t="inlineStr">
        <is>
          <t>支援</t>
        </is>
      </c>
      <c r="F10" s="35">
        <f>LEFT(A10,5)</f>
        <v/>
      </c>
      <c r="G10" s="35">
        <f>LEFT(C10,6)</f>
        <v/>
      </c>
    </row>
    <row r="11">
      <c r="A11" s="18" t="inlineStr">
        <is>
          <t>01-02-01</t>
        </is>
      </c>
      <c r="B11" s="20" t="inlineStr">
        <is>
          <t>採用ブランディング・採用広報</t>
        </is>
      </c>
      <c r="C11" s="18" t="inlineStr">
        <is>
          <t>C02-01-02</t>
        </is>
      </c>
      <c r="D11" s="31">
        <f>IFERROR(INDEX(ケイパビリティマップ!$E:$E,MATCH(C11,ケイパビリティマップ!$A:$A,0)),"（IDなし）")</f>
        <v/>
      </c>
      <c r="E11" s="23" t="inlineStr">
        <is>
          <t>主</t>
        </is>
      </c>
      <c r="F11" s="35">
        <f>LEFT(A11,5)</f>
        <v/>
      </c>
      <c r="G11" s="35">
        <f>LEFT(C11,6)</f>
        <v/>
      </c>
    </row>
    <row r="12">
      <c r="A12" s="18" t="inlineStr">
        <is>
          <t>01-02-02</t>
        </is>
      </c>
      <c r="B12" s="20" t="inlineStr">
        <is>
          <t>★求人票の作成・公開（業務・就業場所の変更の範囲を含む労働条件の明示）</t>
        </is>
      </c>
      <c r="C12" s="18" t="inlineStr">
        <is>
          <t>C02-03-01</t>
        </is>
      </c>
      <c r="D12" s="31">
        <f>IFERROR(INDEX(ケイパビリティマップ!$E:$E,MATCH(C12,ケイパビリティマップ!$A:$A,0)),"（IDなし）")</f>
        <v/>
      </c>
      <c r="E12" s="23" t="inlineStr">
        <is>
          <t>主</t>
        </is>
      </c>
      <c r="F12" s="35">
        <f>LEFT(A12,5)</f>
        <v/>
      </c>
      <c r="G12" s="35">
        <f>LEFT(C12,6)</f>
        <v/>
      </c>
    </row>
    <row r="13">
      <c r="A13" s="18" t="inlineStr">
        <is>
          <t>01-02-02</t>
        </is>
      </c>
      <c r="B13" s="20" t="inlineStr">
        <is>
          <t>★求人票の作成・公開（業務・就業場所の変更の範囲を含む労働条件の明示）</t>
        </is>
      </c>
      <c r="C13" s="18" t="inlineStr">
        <is>
          <t>C02-04-02</t>
        </is>
      </c>
      <c r="D13" s="31">
        <f>IFERROR(INDEX(ケイパビリティマップ!$E:$E,MATCH(C13,ケイパビリティマップ!$A:$A,0)),"（IDなし）")</f>
        <v/>
      </c>
      <c r="E13" s="23" t="inlineStr">
        <is>
          <t>支援</t>
        </is>
      </c>
      <c r="F13" s="35">
        <f>LEFT(A13,5)</f>
        <v/>
      </c>
      <c r="G13" s="35">
        <f>LEFT(C13,6)</f>
        <v/>
      </c>
    </row>
    <row r="14">
      <c r="A14" s="18" t="inlineStr">
        <is>
          <t>01-02-03</t>
        </is>
      </c>
      <c r="B14" s="20" t="inlineStr">
        <is>
          <t>★インターンシップ・会社説明会の運営（新卒）</t>
        </is>
      </c>
      <c r="C14" s="18" t="inlineStr">
        <is>
          <t>C02-02-01</t>
        </is>
      </c>
      <c r="D14" s="31">
        <f>IFERROR(INDEX(ケイパビリティマップ!$E:$E,MATCH(C14,ケイパビリティマップ!$A:$A,0)),"（IDなし）")</f>
        <v/>
      </c>
      <c r="E14" s="23" t="inlineStr">
        <is>
          <t>主</t>
        </is>
      </c>
      <c r="F14" s="35">
        <f>LEFT(A14,5)</f>
        <v/>
      </c>
      <c r="G14" s="35">
        <f>LEFT(C14,6)</f>
        <v/>
      </c>
    </row>
    <row r="15">
      <c r="A15" s="18" t="inlineStr">
        <is>
          <t>01-02-03</t>
        </is>
      </c>
      <c r="B15" s="20" t="inlineStr">
        <is>
          <t>★インターンシップ・会社説明会の運営（新卒）</t>
        </is>
      </c>
      <c r="C15" s="18" t="inlineStr">
        <is>
          <t>C02-04-03</t>
        </is>
      </c>
      <c r="D15" s="31">
        <f>IFERROR(INDEX(ケイパビリティマップ!$E:$E,MATCH(C15,ケイパビリティマップ!$A:$A,0)),"（IDなし）")</f>
        <v/>
      </c>
      <c r="E15" s="23" t="inlineStr">
        <is>
          <t>支援</t>
        </is>
      </c>
      <c r="F15" s="35">
        <f>LEFT(A15,5)</f>
        <v/>
      </c>
      <c r="G15" s="35">
        <f>LEFT(C15,6)</f>
        <v/>
      </c>
    </row>
    <row r="16">
      <c r="A16" s="18" t="inlineStr">
        <is>
          <t>01-02-04</t>
        </is>
      </c>
      <c r="B16" s="20" t="inlineStr">
        <is>
          <t>人材紹介・リファラル・ダイレクトリクルーティングの活用（経験者）</t>
        </is>
      </c>
      <c r="C16" s="18" t="inlineStr">
        <is>
          <t>C02-01-03</t>
        </is>
      </c>
      <c r="D16" s="31">
        <f>IFERROR(INDEX(ケイパビリティマップ!$E:$E,MATCH(C16,ケイパビリティマップ!$A:$A,0)),"（IDなし）")</f>
        <v/>
      </c>
      <c r="E16" s="23" t="inlineStr">
        <is>
          <t>主</t>
        </is>
      </c>
      <c r="F16" s="35">
        <f>LEFT(A16,5)</f>
        <v/>
      </c>
      <c r="G16" s="35">
        <f>LEFT(C16,6)</f>
        <v/>
      </c>
    </row>
    <row r="17">
      <c r="A17" s="18" t="inlineStr">
        <is>
          <t>01-02-04</t>
        </is>
      </c>
      <c r="B17" s="20" t="inlineStr">
        <is>
          <t>人材紹介・リファラル・ダイレクトリクルーティングの活用（経験者）</t>
        </is>
      </c>
      <c r="C17" s="18" t="inlineStr">
        <is>
          <t>C02-03-01</t>
        </is>
      </c>
      <c r="D17" s="31">
        <f>IFERROR(INDEX(ケイパビリティマップ!$E:$E,MATCH(C17,ケイパビリティマップ!$A:$A,0)),"（IDなし）")</f>
        <v/>
      </c>
      <c r="E17" s="23" t="inlineStr">
        <is>
          <t>支援</t>
        </is>
      </c>
      <c r="F17" s="35">
        <f>LEFT(A17,5)</f>
        <v/>
      </c>
      <c r="G17" s="35">
        <f>LEFT(C17,6)</f>
        <v/>
      </c>
    </row>
    <row r="18">
      <c r="A18" s="18" t="inlineStr">
        <is>
          <t>01-03-01</t>
        </is>
      </c>
      <c r="B18" s="20" t="inlineStr">
        <is>
          <t>書類選考（エントリーシート・職務経歴書）</t>
        </is>
      </c>
      <c r="C18" s="18" t="inlineStr">
        <is>
          <t>C02-03-02</t>
        </is>
      </c>
      <c r="D18" s="31">
        <f>IFERROR(INDEX(ケイパビリティマップ!$E:$E,MATCH(C18,ケイパビリティマップ!$A:$A,0)),"（IDなし）")</f>
        <v/>
      </c>
      <c r="E18" s="23" t="inlineStr">
        <is>
          <t>主</t>
        </is>
      </c>
      <c r="F18" s="35">
        <f>LEFT(A18,5)</f>
        <v/>
      </c>
      <c r="G18" s="35">
        <f>LEFT(C18,6)</f>
        <v/>
      </c>
    </row>
    <row r="19">
      <c r="A19" s="18" t="inlineStr">
        <is>
          <t>01-03-01</t>
        </is>
      </c>
      <c r="B19" s="20" t="inlineStr">
        <is>
          <t>書類選考（エントリーシート・職務経歴書）</t>
        </is>
      </c>
      <c r="C19" s="18" t="inlineStr">
        <is>
          <t>C02-02-02</t>
        </is>
      </c>
      <c r="D19" s="31">
        <f>IFERROR(INDEX(ケイパビリティマップ!$E:$E,MATCH(C19,ケイパビリティマップ!$A:$A,0)),"（IDなし）")</f>
        <v/>
      </c>
      <c r="E19" s="23" t="inlineStr">
        <is>
          <t>主</t>
        </is>
      </c>
      <c r="F19" s="35">
        <f>LEFT(A19,5)</f>
        <v/>
      </c>
      <c r="G19" s="35">
        <f>LEFT(C19,6)</f>
        <v/>
      </c>
    </row>
    <row r="20">
      <c r="A20" s="18" t="inlineStr">
        <is>
          <t>01-03-02</t>
        </is>
      </c>
      <c r="B20" s="20" t="inlineStr">
        <is>
          <t>適性検査・面接の実施</t>
        </is>
      </c>
      <c r="C20" s="18" t="inlineStr">
        <is>
          <t>C02-03-02</t>
        </is>
      </c>
      <c r="D20" s="31">
        <f>IFERROR(INDEX(ケイパビリティマップ!$E:$E,MATCH(C20,ケイパビリティマップ!$A:$A,0)),"（IDなし）")</f>
        <v/>
      </c>
      <c r="E20" s="23" t="inlineStr">
        <is>
          <t>主</t>
        </is>
      </c>
      <c r="F20" s="35">
        <f>LEFT(A20,5)</f>
        <v/>
      </c>
      <c r="G20" s="35">
        <f>LEFT(C20,6)</f>
        <v/>
      </c>
    </row>
    <row r="21">
      <c r="A21" s="18" t="inlineStr">
        <is>
          <t>01-03-02</t>
        </is>
      </c>
      <c r="B21" s="20" t="inlineStr">
        <is>
          <t>適性検査・面接の実施</t>
        </is>
      </c>
      <c r="C21" s="18" t="inlineStr">
        <is>
          <t>C02-02-02</t>
        </is>
      </c>
      <c r="D21" s="31">
        <f>IFERROR(INDEX(ケイパビリティマップ!$E:$E,MATCH(C21,ケイパビリティマップ!$A:$A,0)),"（IDなし）")</f>
        <v/>
      </c>
      <c r="E21" s="23" t="inlineStr">
        <is>
          <t>主</t>
        </is>
      </c>
      <c r="F21" s="35">
        <f>LEFT(A21,5)</f>
        <v/>
      </c>
      <c r="G21" s="35">
        <f>LEFT(C21,6)</f>
        <v/>
      </c>
    </row>
    <row r="22">
      <c r="A22" s="18" t="inlineStr">
        <is>
          <t>01-03-02</t>
        </is>
      </c>
      <c r="B22" s="20" t="inlineStr">
        <is>
          <t>適性検査・面接の実施</t>
        </is>
      </c>
      <c r="C22" s="18" t="inlineStr">
        <is>
          <t>C02-04-01</t>
        </is>
      </c>
      <c r="D22" s="31">
        <f>IFERROR(INDEX(ケイパビリティマップ!$E:$E,MATCH(C22,ケイパビリティマップ!$A:$A,0)),"（IDなし）")</f>
        <v/>
      </c>
      <c r="E22" s="23" t="inlineStr">
        <is>
          <t>支援</t>
        </is>
      </c>
      <c r="F22" s="35">
        <f>LEFT(A22,5)</f>
        <v/>
      </c>
      <c r="G22" s="35">
        <f>LEFT(C22,6)</f>
        <v/>
      </c>
    </row>
    <row r="23">
      <c r="A23" s="18" t="inlineStr">
        <is>
          <t>01-03-03</t>
        </is>
      </c>
      <c r="B23" s="20" t="inlineStr">
        <is>
          <t>★公正な採用選考の点検（本人に責任のない事項・思想信条を選考に用いない）</t>
        </is>
      </c>
      <c r="C23" s="18" t="inlineStr">
        <is>
          <t>C02-04-01</t>
        </is>
      </c>
      <c r="D23" s="31">
        <f>IFERROR(INDEX(ケイパビリティマップ!$E:$E,MATCH(C23,ケイパビリティマップ!$A:$A,0)),"（IDなし）")</f>
        <v/>
      </c>
      <c r="E23" s="23" t="inlineStr">
        <is>
          <t>主</t>
        </is>
      </c>
      <c r="F23" s="35">
        <f>LEFT(A23,5)</f>
        <v/>
      </c>
      <c r="G23" s="35">
        <f>LEFT(C23,6)</f>
        <v/>
      </c>
    </row>
    <row r="24">
      <c r="A24" s="18" t="inlineStr">
        <is>
          <t>01-03-04</t>
        </is>
      </c>
      <c r="B24" s="20" t="inlineStr">
        <is>
          <t>採否の判定</t>
        </is>
      </c>
      <c r="C24" s="18" t="inlineStr">
        <is>
          <t>C02-03-02</t>
        </is>
      </c>
      <c r="D24" s="31">
        <f>IFERROR(INDEX(ケイパビリティマップ!$E:$E,MATCH(C24,ケイパビリティマップ!$A:$A,0)),"（IDなし）")</f>
        <v/>
      </c>
      <c r="E24" s="23" t="inlineStr">
        <is>
          <t>主</t>
        </is>
      </c>
      <c r="F24" s="35">
        <f>LEFT(A24,5)</f>
        <v/>
      </c>
      <c r="G24" s="35">
        <f>LEFT(C24,6)</f>
        <v/>
      </c>
    </row>
    <row r="25">
      <c r="A25" s="18" t="inlineStr">
        <is>
          <t>01-04-01</t>
        </is>
      </c>
      <c r="B25" s="20" t="inlineStr">
        <is>
          <t>処遇条件の決定・オファー提示</t>
        </is>
      </c>
      <c r="C25" s="18" t="inlineStr">
        <is>
          <t>C02-03-03</t>
        </is>
      </c>
      <c r="D25" s="31">
        <f>IFERROR(INDEX(ケイパビリティマップ!$E:$E,MATCH(C25,ケイパビリティマップ!$A:$A,0)),"（IDなし）")</f>
        <v/>
      </c>
      <c r="E25" s="23" t="inlineStr">
        <is>
          <t>主</t>
        </is>
      </c>
      <c r="F25" s="35">
        <f>LEFT(A25,5)</f>
        <v/>
      </c>
      <c r="G25" s="35">
        <f>LEFT(C25,6)</f>
        <v/>
      </c>
    </row>
    <row r="26">
      <c r="A26" s="18" t="inlineStr">
        <is>
          <t>01-04-01</t>
        </is>
      </c>
      <c r="B26" s="20" t="inlineStr">
        <is>
          <t>処遇条件の決定・オファー提示</t>
        </is>
      </c>
      <c r="C26" s="18" t="inlineStr">
        <is>
          <t>C05-02-01</t>
        </is>
      </c>
      <c r="D26" s="31">
        <f>IFERROR(INDEX(ケイパビリティマップ!$E:$E,MATCH(C26,ケイパビリティマップ!$A:$A,0)),"（IDなし）")</f>
        <v/>
      </c>
      <c r="E26" s="23" t="inlineStr">
        <is>
          <t>支援</t>
        </is>
      </c>
      <c r="F26" s="35">
        <f>LEFT(A26,5)</f>
        <v/>
      </c>
      <c r="G26" s="35">
        <f>LEFT(C26,6)</f>
        <v/>
      </c>
    </row>
    <row r="27">
      <c r="A27" s="18" t="inlineStr">
        <is>
          <t>01-04-02</t>
        </is>
      </c>
      <c r="B27" s="20" t="inlineStr">
        <is>
          <t>★内定通知・内定承諾の取得（労働条件の明示を含む）</t>
        </is>
      </c>
      <c r="C27" s="18" t="inlineStr">
        <is>
          <t>C02-04-02</t>
        </is>
      </c>
      <c r="D27" s="31">
        <f>IFERROR(INDEX(ケイパビリティマップ!$E:$E,MATCH(C27,ケイパビリティマップ!$A:$A,0)),"（IDなし）")</f>
        <v/>
      </c>
      <c r="E27" s="23" t="inlineStr">
        <is>
          <t>主</t>
        </is>
      </c>
      <c r="F27" s="35">
        <f>LEFT(A27,5)</f>
        <v/>
      </c>
      <c r="G27" s="35">
        <f>LEFT(C27,6)</f>
        <v/>
      </c>
    </row>
    <row r="28">
      <c r="A28" s="18" t="inlineStr">
        <is>
          <t>01-04-02</t>
        </is>
      </c>
      <c r="B28" s="20" t="inlineStr">
        <is>
          <t>★内定通知・内定承諾の取得（労働条件の明示を含む）</t>
        </is>
      </c>
      <c r="C28" s="18" t="inlineStr">
        <is>
          <t>C02-03-03</t>
        </is>
      </c>
      <c r="D28" s="31">
        <f>IFERROR(INDEX(ケイパビリティマップ!$E:$E,MATCH(C28,ケイパビリティマップ!$A:$A,0)),"（IDなし）")</f>
        <v/>
      </c>
      <c r="E28" s="23" t="inlineStr">
        <is>
          <t>支援</t>
        </is>
      </c>
      <c r="F28" s="35">
        <f>LEFT(A28,5)</f>
        <v/>
      </c>
      <c r="G28" s="35">
        <f>LEFT(C28,6)</f>
        <v/>
      </c>
    </row>
    <row r="29">
      <c r="A29" s="18" t="inlineStr">
        <is>
          <t>01-04-03</t>
        </is>
      </c>
      <c r="B29" s="20" t="inlineStr">
        <is>
          <t>★内定者フォロー（内定式・内定者研修、辞退の防止）</t>
        </is>
      </c>
      <c r="C29" s="18" t="inlineStr">
        <is>
          <t>C02-02-03</t>
        </is>
      </c>
      <c r="D29" s="31">
        <f>IFERROR(INDEX(ケイパビリティマップ!$E:$E,MATCH(C29,ケイパビリティマップ!$A:$A,0)),"（IDなし）")</f>
        <v/>
      </c>
      <c r="E29" s="23" t="inlineStr">
        <is>
          <t>主</t>
        </is>
      </c>
      <c r="F29" s="35">
        <f>LEFT(A29,5)</f>
        <v/>
      </c>
      <c r="G29" s="35">
        <f>LEFT(C29,6)</f>
        <v/>
      </c>
    </row>
    <row r="30">
      <c r="A30" s="18" t="inlineStr">
        <is>
          <t>01-04-04</t>
        </is>
      </c>
      <c r="B30" s="20" t="inlineStr">
        <is>
          <t>不採用者への通知と応募者情報の返却・廃棄</t>
        </is>
      </c>
      <c r="C30" s="18" t="inlineStr">
        <is>
          <t>C02-04-03</t>
        </is>
      </c>
      <c r="D30" s="31">
        <f>IFERROR(INDEX(ケイパビリティマップ!$E:$E,MATCH(C30,ケイパビリティマップ!$A:$A,0)),"（IDなし）")</f>
        <v/>
      </c>
      <c r="E30" s="23" t="inlineStr">
        <is>
          <t>主</t>
        </is>
      </c>
      <c r="F30" s="35">
        <f>LEFT(A30,5)</f>
        <v/>
      </c>
      <c r="G30" s="35">
        <f>LEFT(C30,6)</f>
        <v/>
      </c>
    </row>
    <row r="31">
      <c r="A31" s="18" t="inlineStr">
        <is>
          <t>01-04-04</t>
        </is>
      </c>
      <c r="B31" s="20" t="inlineStr">
        <is>
          <t>不採用者への通知と応募者情報の返却・廃棄</t>
        </is>
      </c>
      <c r="C31" s="18" t="inlineStr">
        <is>
          <t>C09-03-01</t>
        </is>
      </c>
      <c r="D31" s="31">
        <f>IFERROR(INDEX(ケイパビリティマップ!$E:$E,MATCH(C31,ケイパビリティマップ!$A:$A,0)),"（IDなし）")</f>
        <v/>
      </c>
      <c r="E31" s="23" t="inlineStr">
        <is>
          <t>支援</t>
        </is>
      </c>
      <c r="F31" s="35">
        <f>LEFT(A31,5)</f>
        <v/>
      </c>
      <c r="G31" s="35">
        <f>LEFT(C31,6)</f>
        <v/>
      </c>
    </row>
    <row r="32">
      <c r="A32" s="18" t="inlineStr">
        <is>
          <t>01-04-05</t>
        </is>
      </c>
      <c r="B32" s="20" t="inlineStr">
        <is>
          <t>採用活動の振り返り（チャネル別の実績・コスト）</t>
        </is>
      </c>
      <c r="C32" s="18" t="inlineStr">
        <is>
          <t>C02-01-03</t>
        </is>
      </c>
      <c r="D32" s="31">
        <f>IFERROR(INDEX(ケイパビリティマップ!$E:$E,MATCH(C32,ケイパビリティマップ!$A:$A,0)),"（IDなし）")</f>
        <v/>
      </c>
      <c r="E32" s="23" t="inlineStr">
        <is>
          <t>主</t>
        </is>
      </c>
      <c r="F32" s="35">
        <f>LEFT(A32,5)</f>
        <v/>
      </c>
      <c r="G32" s="35">
        <f>LEFT(C32,6)</f>
        <v/>
      </c>
    </row>
    <row r="33">
      <c r="A33" s="18" t="inlineStr">
        <is>
          <t>01-04-05</t>
        </is>
      </c>
      <c r="B33" s="20" t="inlineStr">
        <is>
          <t>採用活動の振り返り（チャネル別の実績・コスト）</t>
        </is>
      </c>
      <c r="C33" s="18" t="inlineStr">
        <is>
          <t>C09-01-02</t>
        </is>
      </c>
      <c r="D33" s="31">
        <f>IFERROR(INDEX(ケイパビリティマップ!$E:$E,MATCH(C33,ケイパビリティマップ!$A:$A,0)),"（IDなし）")</f>
        <v/>
      </c>
      <c r="E33" s="23" t="inlineStr">
        <is>
          <t>支援</t>
        </is>
      </c>
      <c r="F33" s="35">
        <f>LEFT(A33,5)</f>
        <v/>
      </c>
      <c r="G33" s="35">
        <f>LEFT(C33,6)</f>
        <v/>
      </c>
    </row>
    <row r="34">
      <c r="A34" s="18" t="inlineStr">
        <is>
          <t>02-01-01</t>
        </is>
      </c>
      <c r="B34" s="20" t="inlineStr">
        <is>
          <t>雇用契約の締結・労働条件通知書の交付</t>
        </is>
      </c>
      <c r="C34" s="18" t="inlineStr">
        <is>
          <t>C03-01-01</t>
        </is>
      </c>
      <c r="D34" s="31">
        <f>IFERROR(INDEX(ケイパビリティマップ!$E:$E,MATCH(C34,ケイパビリティマップ!$A:$A,0)),"（IDなし）")</f>
        <v/>
      </c>
      <c r="E34" s="23" t="inlineStr">
        <is>
          <t>主</t>
        </is>
      </c>
      <c r="F34" s="35">
        <f>LEFT(A34,5)</f>
        <v/>
      </c>
      <c r="G34" s="35">
        <f>LEFT(C34,6)</f>
        <v/>
      </c>
    </row>
    <row r="35">
      <c r="A35" s="18" t="inlineStr">
        <is>
          <t>02-01-02</t>
        </is>
      </c>
      <c r="B35" s="20" t="inlineStr">
        <is>
          <t>入社書類の回収（誓約書・身元保証書・扶養・通勤・口座）</t>
        </is>
      </c>
      <c r="C35" s="18" t="inlineStr">
        <is>
          <t>C03-01-04</t>
        </is>
      </c>
      <c r="D35" s="31">
        <f>IFERROR(INDEX(ケイパビリティマップ!$E:$E,MATCH(C35,ケイパビリティマップ!$A:$A,0)),"（IDなし）")</f>
        <v/>
      </c>
      <c r="E35" s="23" t="inlineStr">
        <is>
          <t>主</t>
        </is>
      </c>
      <c r="F35" s="35">
        <f>LEFT(A35,5)</f>
        <v/>
      </c>
      <c r="G35" s="35">
        <f>LEFT(C35,6)</f>
        <v/>
      </c>
    </row>
    <row r="36">
      <c r="A36" s="18" t="inlineStr">
        <is>
          <t>02-01-03</t>
        </is>
      </c>
      <c r="B36" s="20" t="inlineStr">
        <is>
          <t>★マイナンバーの収集・本人確認</t>
        </is>
      </c>
      <c r="C36" s="18" t="inlineStr">
        <is>
          <t>C03-01-03</t>
        </is>
      </c>
      <c r="D36" s="31">
        <f>IFERROR(INDEX(ケイパビリティマップ!$E:$E,MATCH(C36,ケイパビリティマップ!$A:$A,0)),"（IDなし）")</f>
        <v/>
      </c>
      <c r="E36" s="23" t="inlineStr">
        <is>
          <t>主</t>
        </is>
      </c>
      <c r="F36" s="35">
        <f>LEFT(A36,5)</f>
        <v/>
      </c>
      <c r="G36" s="35">
        <f>LEFT(C36,6)</f>
        <v/>
      </c>
    </row>
    <row r="37">
      <c r="A37" s="18" t="inlineStr">
        <is>
          <t>02-01-03</t>
        </is>
      </c>
      <c r="B37" s="20" t="inlineStr">
        <is>
          <t>★マイナンバーの収集・本人確認</t>
        </is>
      </c>
      <c r="C37" s="18" t="inlineStr">
        <is>
          <t>C09-03-01</t>
        </is>
      </c>
      <c r="D37" s="31">
        <f>IFERROR(INDEX(ケイパビリティマップ!$E:$E,MATCH(C37,ケイパビリティマップ!$A:$A,0)),"（IDなし）")</f>
        <v/>
      </c>
      <c r="E37" s="23" t="inlineStr">
        <is>
          <t>支援</t>
        </is>
      </c>
      <c r="F37" s="35">
        <f>LEFT(A37,5)</f>
        <v/>
      </c>
      <c r="G37" s="35">
        <f>LEFT(C37,6)</f>
        <v/>
      </c>
    </row>
    <row r="38">
      <c r="A38" s="18" t="inlineStr">
        <is>
          <t>02-01-04</t>
        </is>
      </c>
      <c r="B38" s="20" t="inlineStr">
        <is>
          <t>従業員情報の登録（社員番号・所属・等級）と労働者名簿の作成</t>
        </is>
      </c>
      <c r="C38" s="18" t="inlineStr">
        <is>
          <t>C03-03-01</t>
        </is>
      </c>
      <c r="D38" s="31">
        <f>IFERROR(INDEX(ケイパビリティマップ!$E:$E,MATCH(C38,ケイパビリティマップ!$A:$A,0)),"（IDなし）")</f>
        <v/>
      </c>
      <c r="E38" s="23" t="inlineStr">
        <is>
          <t>主</t>
        </is>
      </c>
      <c r="F38" s="35">
        <f>LEFT(A38,5)</f>
        <v/>
      </c>
      <c r="G38" s="35">
        <f>LEFT(C38,6)</f>
        <v/>
      </c>
    </row>
    <row r="39">
      <c r="A39" s="18" t="inlineStr">
        <is>
          <t>02-01-04</t>
        </is>
      </c>
      <c r="B39" s="20" t="inlineStr">
        <is>
          <t>従業員情報の登録（社員番号・所属・等級）と労働者名簿の作成</t>
        </is>
      </c>
      <c r="C39" s="18" t="inlineStr">
        <is>
          <t>C03-03-02</t>
        </is>
      </c>
      <c r="D39" s="31">
        <f>IFERROR(INDEX(ケイパビリティマップ!$E:$E,MATCH(C39,ケイパビリティマップ!$A:$A,0)),"（IDなし）")</f>
        <v/>
      </c>
      <c r="E39" s="23" t="inlineStr">
        <is>
          <t>支援</t>
        </is>
      </c>
      <c r="F39" s="35">
        <f>LEFT(A39,5)</f>
        <v/>
      </c>
      <c r="G39" s="35">
        <f>LEFT(C39,6)</f>
        <v/>
      </c>
    </row>
    <row r="40">
      <c r="A40" s="18" t="inlineStr">
        <is>
          <t>02-01-05</t>
        </is>
      </c>
      <c r="B40" s="20" t="inlineStr">
        <is>
          <t>★社会保険・雇用保険の資格取得届（健保・厚年は5日以内、雇用保険は翌月10日まで）</t>
        </is>
      </c>
      <c r="C40" s="18" t="inlineStr">
        <is>
          <t>C03-01-02</t>
        </is>
      </c>
      <c r="D40" s="31">
        <f>IFERROR(INDEX(ケイパビリティマップ!$E:$E,MATCH(C40,ケイパビリティマップ!$A:$A,0)),"（IDなし）")</f>
        <v/>
      </c>
      <c r="E40" s="23" t="inlineStr">
        <is>
          <t>主</t>
        </is>
      </c>
      <c r="F40" s="35">
        <f>LEFT(A40,5)</f>
        <v/>
      </c>
      <c r="G40" s="35">
        <f>LEFT(C40,6)</f>
        <v/>
      </c>
    </row>
    <row r="41">
      <c r="A41" s="18" t="inlineStr">
        <is>
          <t>02-01-06</t>
        </is>
      </c>
      <c r="B41" s="20" t="inlineStr">
        <is>
          <t>給与・勤怠の初期設定（支給項目・通勤手当・勤務形態）</t>
        </is>
      </c>
      <c r="C41" s="18" t="inlineStr">
        <is>
          <t>C05-03-01</t>
        </is>
      </c>
      <c r="D41" s="31">
        <f>IFERROR(INDEX(ケイパビリティマップ!$E:$E,MATCH(C41,ケイパビリティマップ!$A:$A,0)),"（IDなし）")</f>
        <v/>
      </c>
      <c r="E41" s="23" t="inlineStr">
        <is>
          <t>主</t>
        </is>
      </c>
      <c r="F41" s="35">
        <f>LEFT(A41,5)</f>
        <v/>
      </c>
      <c r="G41" s="35">
        <f>LEFT(C41,6)</f>
        <v/>
      </c>
    </row>
    <row r="42">
      <c r="A42" s="18" t="inlineStr">
        <is>
          <t>02-01-06</t>
        </is>
      </c>
      <c r="B42" s="20" t="inlineStr">
        <is>
          <t>給与・勤怠の初期設定（支給項目・通勤手当・勤務形態）</t>
        </is>
      </c>
      <c r="C42" s="18" t="inlineStr">
        <is>
          <t>C06-01-01</t>
        </is>
      </c>
      <c r="D42" s="31">
        <f>IFERROR(INDEX(ケイパビリティマップ!$E:$E,MATCH(C42,ケイパビリティマップ!$A:$A,0)),"（IDなし）")</f>
        <v/>
      </c>
      <c r="E42" s="23" t="inlineStr">
        <is>
          <t>支援</t>
        </is>
      </c>
      <c r="F42" s="35">
        <f>LEFT(A42,5)</f>
        <v/>
      </c>
      <c r="G42" s="35">
        <f>LEFT(C42,6)</f>
        <v/>
      </c>
    </row>
    <row r="43">
      <c r="A43" s="18" t="inlineStr">
        <is>
          <t>02-02-01</t>
        </is>
      </c>
      <c r="B43" s="20" t="inlineStr">
        <is>
          <t>配属先の決定・受入れ準備</t>
        </is>
      </c>
      <c r="C43" s="18" t="inlineStr">
        <is>
          <t>C03-02-02</t>
        </is>
      </c>
      <c r="D43" s="31">
        <f>IFERROR(INDEX(ケイパビリティマップ!$E:$E,MATCH(C43,ケイパビリティマップ!$A:$A,0)),"（IDなし）")</f>
        <v/>
      </c>
      <c r="E43" s="23" t="inlineStr">
        <is>
          <t>主</t>
        </is>
      </c>
      <c r="F43" s="35">
        <f>LEFT(A43,5)</f>
        <v/>
      </c>
      <c r="G43" s="35">
        <f>LEFT(C43,6)</f>
        <v/>
      </c>
    </row>
    <row r="44">
      <c r="A44" s="18" t="inlineStr">
        <is>
          <t>02-02-01</t>
        </is>
      </c>
      <c r="B44" s="20" t="inlineStr">
        <is>
          <t>配属先の決定・受入れ準備</t>
        </is>
      </c>
      <c r="C44" s="18" t="inlineStr">
        <is>
          <t>C07-01-02</t>
        </is>
      </c>
      <c r="D44" s="31">
        <f>IFERROR(INDEX(ケイパビリティマップ!$E:$E,MATCH(C44,ケイパビリティマップ!$A:$A,0)),"（IDなし）")</f>
        <v/>
      </c>
      <c r="E44" s="23" t="inlineStr">
        <is>
          <t>支援</t>
        </is>
      </c>
      <c r="F44" s="35">
        <f>LEFT(A44,5)</f>
        <v/>
      </c>
      <c r="G44" s="35">
        <f>LEFT(C44,6)</f>
        <v/>
      </c>
    </row>
    <row r="45">
      <c r="A45" s="18" t="inlineStr">
        <is>
          <t>02-02-02</t>
        </is>
      </c>
      <c r="B45" s="20" t="inlineStr">
        <is>
          <t>PC・社員証などの貸与とアカウントの発行</t>
        </is>
      </c>
      <c r="C45" s="18" t="inlineStr">
        <is>
          <t>C09-03-02</t>
        </is>
      </c>
      <c r="D45" s="31">
        <f>IFERROR(INDEX(ケイパビリティマップ!$E:$E,MATCH(C45,ケイパビリティマップ!$A:$A,0)),"（IDなし）")</f>
        <v/>
      </c>
      <c r="E45" s="23" t="inlineStr">
        <is>
          <t>主</t>
        </is>
      </c>
      <c r="F45" s="35">
        <f>LEFT(A45,5)</f>
        <v/>
      </c>
      <c r="G45" s="35">
        <f>LEFT(C45,6)</f>
        <v/>
      </c>
    </row>
    <row r="46">
      <c r="A46" s="18" t="inlineStr">
        <is>
          <t>02-02-02</t>
        </is>
      </c>
      <c r="B46" s="20" t="inlineStr">
        <is>
          <t>PC・社員証などの貸与とアカウントの発行</t>
        </is>
      </c>
      <c r="C46" s="18" t="inlineStr">
        <is>
          <t>C03-02-02</t>
        </is>
      </c>
      <c r="D46" s="31">
        <f>IFERROR(INDEX(ケイパビリティマップ!$E:$E,MATCH(C46,ケイパビリティマップ!$A:$A,0)),"（IDなし）")</f>
        <v/>
      </c>
      <c r="E46" s="23" t="inlineStr">
        <is>
          <t>支援</t>
        </is>
      </c>
      <c r="F46" s="35">
        <f>LEFT(A46,5)</f>
        <v/>
      </c>
      <c r="G46" s="35">
        <f>LEFT(C46,6)</f>
        <v/>
      </c>
    </row>
    <row r="47">
      <c r="A47" s="18" t="inlineStr">
        <is>
          <t>02-02-03</t>
        </is>
      </c>
      <c r="B47" s="20" t="inlineStr">
        <is>
          <t>★雇入時の健康診断</t>
        </is>
      </c>
      <c r="C47" s="18" t="inlineStr">
        <is>
          <t>C06-02-01</t>
        </is>
      </c>
      <c r="D47" s="31">
        <f>IFERROR(INDEX(ケイパビリティマップ!$E:$E,MATCH(C47,ケイパビリティマップ!$A:$A,0)),"（IDなし）")</f>
        <v/>
      </c>
      <c r="E47" s="23" t="inlineStr">
        <is>
          <t>主</t>
        </is>
      </c>
      <c r="F47" s="35">
        <f>LEFT(A47,5)</f>
        <v/>
      </c>
      <c r="G47" s="35">
        <f>LEFT(C47,6)</f>
        <v/>
      </c>
    </row>
    <row r="48">
      <c r="A48" s="18" t="inlineStr">
        <is>
          <t>02-02-04</t>
        </is>
      </c>
      <c r="B48" s="20" t="inlineStr">
        <is>
          <t>★雇入れ時の安全衛生教育</t>
        </is>
      </c>
      <c r="C48" s="18" t="inlineStr">
        <is>
          <t>C04-04-02</t>
        </is>
      </c>
      <c r="D48" s="31">
        <f>IFERROR(INDEX(ケイパビリティマップ!$E:$E,MATCH(C48,ケイパビリティマップ!$A:$A,0)),"（IDなし）")</f>
        <v/>
      </c>
      <c r="E48" s="23" t="inlineStr">
        <is>
          <t>主</t>
        </is>
      </c>
      <c r="F48" s="35">
        <f>LEFT(A48,5)</f>
        <v/>
      </c>
      <c r="G48" s="35">
        <f>LEFT(C48,6)</f>
        <v/>
      </c>
    </row>
    <row r="49">
      <c r="A49" s="18" t="inlineStr">
        <is>
          <t>02-03-01</t>
        </is>
      </c>
      <c r="B49" s="20" t="inlineStr">
        <is>
          <t>入社時研修（会社理解・就業規則・コンプライアンス・情報セキュリティ）</t>
        </is>
      </c>
      <c r="C49" s="18" t="inlineStr">
        <is>
          <t>C03-02-01</t>
        </is>
      </c>
      <c r="D49" s="31">
        <f>IFERROR(INDEX(ケイパビリティマップ!$E:$E,MATCH(C49,ケイパビリティマップ!$A:$A,0)),"（IDなし）")</f>
        <v/>
      </c>
      <c r="E49" s="23" t="inlineStr">
        <is>
          <t>主</t>
        </is>
      </c>
      <c r="F49" s="35">
        <f>LEFT(A49,5)</f>
        <v/>
      </c>
      <c r="G49" s="35">
        <f>LEFT(C49,6)</f>
        <v/>
      </c>
    </row>
    <row r="50">
      <c r="A50" s="18" t="inlineStr">
        <is>
          <t>02-03-01</t>
        </is>
      </c>
      <c r="B50" s="20" t="inlineStr">
        <is>
          <t>入社時研修（会社理解・就業規則・コンプライアンス・情報セキュリティ）</t>
        </is>
      </c>
      <c r="C50" s="18" t="inlineStr">
        <is>
          <t>C04-04-01</t>
        </is>
      </c>
      <c r="D50" s="31">
        <f>IFERROR(INDEX(ケイパビリティマップ!$E:$E,MATCH(C50,ケイパビリティマップ!$A:$A,0)),"（IDなし）")</f>
        <v/>
      </c>
      <c r="E50" s="23" t="inlineStr">
        <is>
          <t>支援</t>
        </is>
      </c>
      <c r="F50" s="35">
        <f>LEFT(A50,5)</f>
        <v/>
      </c>
      <c r="G50" s="35">
        <f>LEFT(C50,6)</f>
        <v/>
      </c>
    </row>
    <row r="51">
      <c r="A51" s="18" t="inlineStr">
        <is>
          <t>02-03-01</t>
        </is>
      </c>
      <c r="B51" s="20" t="inlineStr">
        <is>
          <t>入社時研修（会社理解・就業規則・コンプライアンス・情報セキュリティ）</t>
        </is>
      </c>
      <c r="C51" s="18" t="inlineStr">
        <is>
          <t>C04-04-03</t>
        </is>
      </c>
      <c r="D51" s="31">
        <f>IFERROR(INDEX(ケイパビリティマップ!$E:$E,MATCH(C51,ケイパビリティマップ!$A:$A,0)),"（IDなし）")</f>
        <v/>
      </c>
      <c r="E51" s="23" t="inlineStr">
        <is>
          <t>支援</t>
        </is>
      </c>
      <c r="F51" s="35">
        <f>LEFT(A51,5)</f>
        <v/>
      </c>
      <c r="G51" s="35">
        <f>LEFT(C51,6)</f>
        <v/>
      </c>
    </row>
    <row r="52">
      <c r="A52" s="18" t="inlineStr">
        <is>
          <t>02-03-02</t>
        </is>
      </c>
      <c r="B52" s="20" t="inlineStr">
        <is>
          <t>★新卒入社者の集合研修とOJT体制の整備</t>
        </is>
      </c>
      <c r="C52" s="18" t="inlineStr">
        <is>
          <t>C03-02-01</t>
        </is>
      </c>
      <c r="D52" s="31">
        <f>IFERROR(INDEX(ケイパビリティマップ!$E:$E,MATCH(C52,ケイパビリティマップ!$A:$A,0)),"（IDなし）")</f>
        <v/>
      </c>
      <c r="E52" s="23" t="inlineStr">
        <is>
          <t>主</t>
        </is>
      </c>
      <c r="F52" s="35">
        <f>LEFT(A52,5)</f>
        <v/>
      </c>
      <c r="G52" s="35">
        <f>LEFT(C52,6)</f>
        <v/>
      </c>
    </row>
    <row r="53">
      <c r="A53" s="18" t="inlineStr">
        <is>
          <t>02-03-02</t>
        </is>
      </c>
      <c r="B53" s="20" t="inlineStr">
        <is>
          <t>★新卒入社者の集合研修とOJT体制の整備</t>
        </is>
      </c>
      <c r="C53" s="18" t="inlineStr">
        <is>
          <t>C04-01-03</t>
        </is>
      </c>
      <c r="D53" s="31">
        <f>IFERROR(INDEX(ケイパビリティマップ!$E:$E,MATCH(C53,ケイパビリティマップ!$A:$A,0)),"（IDなし）")</f>
        <v/>
      </c>
      <c r="E53" s="23" t="inlineStr">
        <is>
          <t>支援</t>
        </is>
      </c>
      <c r="F53" s="35">
        <f>LEFT(A53,5)</f>
        <v/>
      </c>
      <c r="G53" s="35">
        <f>LEFT(C53,6)</f>
        <v/>
      </c>
    </row>
    <row r="54">
      <c r="A54" s="18" t="inlineStr">
        <is>
          <t>02-03-03</t>
        </is>
      </c>
      <c r="B54" s="20" t="inlineStr">
        <is>
          <t>オンボーディング計画の作成とメンター・バディの設定</t>
        </is>
      </c>
      <c r="C54" s="18" t="inlineStr">
        <is>
          <t>C03-02-02</t>
        </is>
      </c>
      <c r="D54" s="31">
        <f>IFERROR(INDEX(ケイパビリティマップ!$E:$E,MATCH(C54,ケイパビリティマップ!$A:$A,0)),"（IDなし）")</f>
        <v/>
      </c>
      <c r="E54" s="23" t="inlineStr">
        <is>
          <t>主</t>
        </is>
      </c>
      <c r="F54" s="35">
        <f>LEFT(A54,5)</f>
        <v/>
      </c>
      <c r="G54" s="35">
        <f>LEFT(C54,6)</f>
        <v/>
      </c>
    </row>
    <row r="55">
      <c r="A55" s="18" t="inlineStr">
        <is>
          <t>02-03-04</t>
        </is>
      </c>
      <c r="B55" s="20" t="inlineStr">
        <is>
          <t>定着フォロー（入社後の1on1・入社後サーベイ）</t>
        </is>
      </c>
      <c r="C55" s="18" t="inlineStr">
        <is>
          <t>C03-02-03</t>
        </is>
      </c>
      <c r="D55" s="31">
        <f>IFERROR(INDEX(ケイパビリティマップ!$E:$E,MATCH(C55,ケイパビリティマップ!$A:$A,0)),"（IDなし）")</f>
        <v/>
      </c>
      <c r="E55" s="23" t="inlineStr">
        <is>
          <t>主</t>
        </is>
      </c>
      <c r="F55" s="35">
        <f>LEFT(A55,5)</f>
        <v/>
      </c>
      <c r="G55" s="35">
        <f>LEFT(C55,6)</f>
        <v/>
      </c>
    </row>
    <row r="56">
      <c r="A56" s="18" t="inlineStr">
        <is>
          <t>02-03-04</t>
        </is>
      </c>
      <c r="B56" s="20" t="inlineStr">
        <is>
          <t>定着フォロー（入社後の1on1・入社後サーベイ）</t>
        </is>
      </c>
      <c r="C56" s="18" t="inlineStr">
        <is>
          <t>C06-04-01</t>
        </is>
      </c>
      <c r="D56" s="31">
        <f>IFERROR(INDEX(ケイパビリティマップ!$E:$E,MATCH(C56,ケイパビリティマップ!$A:$A,0)),"（IDなし）")</f>
        <v/>
      </c>
      <c r="E56" s="23" t="inlineStr">
        <is>
          <t>支援</t>
        </is>
      </c>
      <c r="F56" s="35">
        <f>LEFT(A56,5)</f>
        <v/>
      </c>
      <c r="G56" s="35">
        <f>LEFT(C56,6)</f>
        <v/>
      </c>
    </row>
    <row r="57">
      <c r="A57" s="18" t="inlineStr">
        <is>
          <t>02-03-05</t>
        </is>
      </c>
      <c r="B57" s="20" t="inlineStr">
        <is>
          <t>試用期間の評価・本採用の判定</t>
        </is>
      </c>
      <c r="C57" s="18" t="inlineStr">
        <is>
          <t>C03-02-03</t>
        </is>
      </c>
      <c r="D57" s="31">
        <f>IFERROR(INDEX(ケイパビリティマップ!$E:$E,MATCH(C57,ケイパビリティマップ!$A:$A,0)),"（IDなし）")</f>
        <v/>
      </c>
      <c r="E57" s="23" t="inlineStr">
        <is>
          <t>主</t>
        </is>
      </c>
      <c r="F57" s="35">
        <f>LEFT(A57,5)</f>
        <v/>
      </c>
      <c r="G57" s="35">
        <f>LEFT(C57,6)</f>
        <v/>
      </c>
    </row>
    <row r="58">
      <c r="A58" s="18" t="inlineStr">
        <is>
          <t>02-03-05</t>
        </is>
      </c>
      <c r="B58" s="20" t="inlineStr">
        <is>
          <t>試用期間の評価・本採用の判定</t>
        </is>
      </c>
      <c r="C58" s="18" t="inlineStr">
        <is>
          <t>C05-01-02</t>
        </is>
      </c>
      <c r="D58" s="31">
        <f>IFERROR(INDEX(ケイパビリティマップ!$E:$E,MATCH(C58,ケイパビリティマップ!$A:$A,0)),"（IDなし）")</f>
        <v/>
      </c>
      <c r="E58" s="23" t="inlineStr">
        <is>
          <t>支援</t>
        </is>
      </c>
      <c r="F58" s="35">
        <f>LEFT(A58,5)</f>
        <v/>
      </c>
      <c r="G58" s="35">
        <f>LEFT(C58,6)</f>
        <v/>
      </c>
    </row>
    <row r="59">
      <c r="A59" s="18" t="inlineStr">
        <is>
          <t>03-01-01</t>
        </is>
      </c>
      <c r="B59" s="20" t="inlineStr">
        <is>
          <t>求める人材像・スキル体系の定義</t>
        </is>
      </c>
      <c r="C59" s="18" t="inlineStr">
        <is>
          <t>C04-02-01</t>
        </is>
      </c>
      <c r="D59" s="31">
        <f>IFERROR(INDEX(ケイパビリティマップ!$E:$E,MATCH(C59,ケイパビリティマップ!$A:$A,0)),"（IDなし）")</f>
        <v/>
      </c>
      <c r="E59" s="23" t="inlineStr">
        <is>
          <t>主</t>
        </is>
      </c>
      <c r="F59" s="35">
        <f>LEFT(A59,5)</f>
        <v/>
      </c>
      <c r="G59" s="35">
        <f>LEFT(C59,6)</f>
        <v/>
      </c>
    </row>
    <row r="60">
      <c r="A60" s="18" t="inlineStr">
        <is>
          <t>03-01-01</t>
        </is>
      </c>
      <c r="B60" s="20" t="inlineStr">
        <is>
          <t>求める人材像・スキル体系の定義</t>
        </is>
      </c>
      <c r="C60" s="18" t="inlineStr">
        <is>
          <t>C04-01-01</t>
        </is>
      </c>
      <c r="D60" s="31">
        <f>IFERROR(INDEX(ケイパビリティマップ!$E:$E,MATCH(C60,ケイパビリティマップ!$A:$A,0)),"（IDなし）")</f>
        <v/>
      </c>
      <c r="E60" s="23" t="inlineStr">
        <is>
          <t>支援</t>
        </is>
      </c>
      <c r="F60" s="35">
        <f>LEFT(A60,5)</f>
        <v/>
      </c>
      <c r="G60" s="35">
        <f>LEFT(C60,6)</f>
        <v/>
      </c>
    </row>
    <row r="61">
      <c r="A61" s="18" t="inlineStr">
        <is>
          <t>03-01-02</t>
        </is>
      </c>
      <c r="B61" s="20" t="inlineStr">
        <is>
          <t>育成体系・年間研修計画の策定</t>
        </is>
      </c>
      <c r="C61" s="18" t="inlineStr">
        <is>
          <t>C04-01-01</t>
        </is>
      </c>
      <c r="D61" s="31">
        <f>IFERROR(INDEX(ケイパビリティマップ!$E:$E,MATCH(C61,ケイパビリティマップ!$A:$A,0)),"（IDなし）")</f>
        <v/>
      </c>
      <c r="E61" s="23" t="inlineStr">
        <is>
          <t>主</t>
        </is>
      </c>
      <c r="F61" s="35">
        <f>LEFT(A61,5)</f>
        <v/>
      </c>
      <c r="G61" s="35">
        <f>LEFT(C61,6)</f>
        <v/>
      </c>
    </row>
    <row r="62">
      <c r="A62" s="18" t="inlineStr">
        <is>
          <t>03-01-03</t>
        </is>
      </c>
      <c r="B62" s="20" t="inlineStr">
        <is>
          <t>個人別育成計画の作成（上司との合意）</t>
        </is>
      </c>
      <c r="C62" s="18" t="inlineStr">
        <is>
          <t>C04-03-01</t>
        </is>
      </c>
      <c r="D62" s="31">
        <f>IFERROR(INDEX(ケイパビリティマップ!$E:$E,MATCH(C62,ケイパビリティマップ!$A:$A,0)),"（IDなし）")</f>
        <v/>
      </c>
      <c r="E62" s="23" t="inlineStr">
        <is>
          <t>主</t>
        </is>
      </c>
      <c r="F62" s="35">
        <f>LEFT(A62,5)</f>
        <v/>
      </c>
      <c r="G62" s="35">
        <f>LEFT(C62,6)</f>
        <v/>
      </c>
    </row>
    <row r="63">
      <c r="A63" s="18" t="inlineStr">
        <is>
          <t>03-01-03</t>
        </is>
      </c>
      <c r="B63" s="20" t="inlineStr">
        <is>
          <t>個人別育成計画の作成（上司との合意）</t>
        </is>
      </c>
      <c r="C63" s="18" t="inlineStr">
        <is>
          <t>C05-01-01</t>
        </is>
      </c>
      <c r="D63" s="31">
        <f>IFERROR(INDEX(ケイパビリティマップ!$E:$E,MATCH(C63,ケイパビリティマップ!$A:$A,0)),"（IDなし）")</f>
        <v/>
      </c>
      <c r="E63" s="23" t="inlineStr">
        <is>
          <t>支援</t>
        </is>
      </c>
      <c r="F63" s="35">
        <f>LEFT(A63,5)</f>
        <v/>
      </c>
      <c r="G63" s="35">
        <f>LEFT(C63,6)</f>
        <v/>
      </c>
    </row>
    <row r="64">
      <c r="A64" s="18" t="inlineStr">
        <is>
          <t>03-02-01</t>
        </is>
      </c>
      <c r="B64" s="20" t="inlineStr">
        <is>
          <t>★階層別研修（若手・中堅・新任管理職・昇格者）</t>
        </is>
      </c>
      <c r="C64" s="18" t="inlineStr">
        <is>
          <t>C04-01-03</t>
        </is>
      </c>
      <c r="D64" s="31">
        <f>IFERROR(INDEX(ケイパビリティマップ!$E:$E,MATCH(C64,ケイパビリティマップ!$A:$A,0)),"（IDなし）")</f>
        <v/>
      </c>
      <c r="E64" s="23" t="inlineStr">
        <is>
          <t>主</t>
        </is>
      </c>
      <c r="F64" s="35">
        <f>LEFT(A64,5)</f>
        <v/>
      </c>
      <c r="G64" s="35">
        <f>LEFT(C64,6)</f>
        <v/>
      </c>
    </row>
    <row r="65">
      <c r="A65" s="18" t="inlineStr">
        <is>
          <t>03-02-02</t>
        </is>
      </c>
      <c r="B65" s="20" t="inlineStr">
        <is>
          <t>職種別・専門研修とOJT</t>
        </is>
      </c>
      <c r="C65" s="18" t="inlineStr">
        <is>
          <t>C04-01-02</t>
        </is>
      </c>
      <c r="D65" s="31">
        <f>IFERROR(INDEX(ケイパビリティマップ!$E:$E,MATCH(C65,ケイパビリティマップ!$A:$A,0)),"（IDなし）")</f>
        <v/>
      </c>
      <c r="E65" s="23" t="inlineStr">
        <is>
          <t>主</t>
        </is>
      </c>
      <c r="F65" s="35">
        <f>LEFT(A65,5)</f>
        <v/>
      </c>
      <c r="G65" s="35">
        <f>LEFT(C65,6)</f>
        <v/>
      </c>
    </row>
    <row r="66">
      <c r="A66" s="18" t="inlineStr">
        <is>
          <t>03-02-03</t>
        </is>
      </c>
      <c r="B66" s="20" t="inlineStr">
        <is>
          <t>コンプライアンス・ハラスメント防止・情報セキュリティ研修</t>
        </is>
      </c>
      <c r="C66" s="18" t="inlineStr">
        <is>
          <t>C04-04-01</t>
        </is>
      </c>
      <c r="D66" s="31">
        <f>IFERROR(INDEX(ケイパビリティマップ!$E:$E,MATCH(C66,ケイパビリティマップ!$A:$A,0)),"（IDなし）")</f>
        <v/>
      </c>
      <c r="E66" s="23" t="inlineStr">
        <is>
          <t>主</t>
        </is>
      </c>
      <c r="F66" s="35">
        <f>LEFT(A66,5)</f>
        <v/>
      </c>
      <c r="G66" s="35">
        <f>LEFT(C66,6)</f>
        <v/>
      </c>
    </row>
    <row r="67">
      <c r="A67" s="18" t="inlineStr">
        <is>
          <t>03-02-03</t>
        </is>
      </c>
      <c r="B67" s="20" t="inlineStr">
        <is>
          <t>コンプライアンス・ハラスメント防止・情報セキュリティ研修</t>
        </is>
      </c>
      <c r="C67" s="18" t="inlineStr">
        <is>
          <t>C04-04-03</t>
        </is>
      </c>
      <c r="D67" s="31">
        <f>IFERROR(INDEX(ケイパビリティマップ!$E:$E,MATCH(C67,ケイパビリティマップ!$A:$A,0)),"（IDなし）")</f>
        <v/>
      </c>
      <c r="E67" s="23" t="inlineStr">
        <is>
          <t>主</t>
        </is>
      </c>
      <c r="F67" s="35">
        <f>LEFT(A67,5)</f>
        <v/>
      </c>
      <c r="G67" s="35">
        <f>LEFT(C67,6)</f>
        <v/>
      </c>
    </row>
    <row r="68">
      <c r="A68" s="18" t="inlineStr">
        <is>
          <t>03-02-04</t>
        </is>
      </c>
      <c r="B68" s="20" t="inlineStr">
        <is>
          <t>★作業内容の変更時・職長などの安全衛生教育</t>
        </is>
      </c>
      <c r="C68" s="18" t="inlineStr">
        <is>
          <t>C04-04-02</t>
        </is>
      </c>
      <c r="D68" s="31">
        <f>IFERROR(INDEX(ケイパビリティマップ!$E:$E,MATCH(C68,ケイパビリティマップ!$A:$A,0)),"（IDなし）")</f>
        <v/>
      </c>
      <c r="E68" s="23" t="inlineStr">
        <is>
          <t>主</t>
        </is>
      </c>
      <c r="F68" s="35">
        <f>LEFT(A68,5)</f>
        <v/>
      </c>
      <c r="G68" s="35">
        <f>LEFT(C68,6)</f>
        <v/>
      </c>
    </row>
    <row r="69">
      <c r="A69" s="18" t="inlineStr">
        <is>
          <t>03-02-05</t>
        </is>
      </c>
      <c r="B69" s="20" t="inlineStr">
        <is>
          <t>自己啓発・eラーニングの提供</t>
        </is>
      </c>
      <c r="C69" s="18" t="inlineStr">
        <is>
          <t>C04-03-02</t>
        </is>
      </c>
      <c r="D69" s="31">
        <f>IFERROR(INDEX(ケイパビリティマップ!$E:$E,MATCH(C69,ケイパビリティマップ!$A:$A,0)),"（IDなし）")</f>
        <v/>
      </c>
      <c r="E69" s="23" t="inlineStr">
        <is>
          <t>主</t>
        </is>
      </c>
      <c r="F69" s="35">
        <f>LEFT(A69,5)</f>
        <v/>
      </c>
      <c r="G69" s="35">
        <f>LEFT(C69,6)</f>
        <v/>
      </c>
    </row>
    <row r="70">
      <c r="A70" s="18" t="inlineStr">
        <is>
          <t>03-02-06</t>
        </is>
      </c>
      <c r="B70" s="20" t="inlineStr">
        <is>
          <t>研修効果の測定・改善</t>
        </is>
      </c>
      <c r="C70" s="18" t="inlineStr">
        <is>
          <t>C04-01-02</t>
        </is>
      </c>
      <c r="D70" s="31">
        <f>IFERROR(INDEX(ケイパビリティマップ!$E:$E,MATCH(C70,ケイパビリティマップ!$A:$A,0)),"（IDなし）")</f>
        <v/>
      </c>
      <c r="E70" s="23" t="inlineStr">
        <is>
          <t>主</t>
        </is>
      </c>
      <c r="F70" s="35">
        <f>LEFT(A70,5)</f>
        <v/>
      </c>
      <c r="G70" s="35">
        <f>LEFT(C70,6)</f>
        <v/>
      </c>
    </row>
    <row r="71">
      <c r="A71" s="18" t="inlineStr">
        <is>
          <t>03-02-06</t>
        </is>
      </c>
      <c r="B71" s="20" t="inlineStr">
        <is>
          <t>研修効果の測定・改善</t>
        </is>
      </c>
      <c r="C71" s="18" t="inlineStr">
        <is>
          <t>C09-01-01</t>
        </is>
      </c>
      <c r="D71" s="31">
        <f>IFERROR(INDEX(ケイパビリティマップ!$E:$E,MATCH(C71,ケイパビリティマップ!$A:$A,0)),"（IDなし）")</f>
        <v/>
      </c>
      <c r="E71" s="23" t="inlineStr">
        <is>
          <t>支援</t>
        </is>
      </c>
      <c r="F71" s="35">
        <f>LEFT(A71,5)</f>
        <v/>
      </c>
      <c r="G71" s="35">
        <f>LEFT(C71,6)</f>
        <v/>
      </c>
    </row>
    <row r="72">
      <c r="A72" s="18" t="inlineStr">
        <is>
          <t>03-03-01</t>
        </is>
      </c>
      <c r="B72" s="20" t="inlineStr">
        <is>
          <t>スキルの自己申告・上司評価による可視化</t>
        </is>
      </c>
      <c r="C72" s="18" t="inlineStr">
        <is>
          <t>C04-02-01</t>
        </is>
      </c>
      <c r="D72" s="31">
        <f>IFERROR(INDEX(ケイパビリティマップ!$E:$E,MATCH(C72,ケイパビリティマップ!$A:$A,0)),"（IDなし）")</f>
        <v/>
      </c>
      <c r="E72" s="23" t="inlineStr">
        <is>
          <t>主</t>
        </is>
      </c>
      <c r="F72" s="35">
        <f>LEFT(A72,5)</f>
        <v/>
      </c>
      <c r="G72" s="35">
        <f>LEFT(C72,6)</f>
        <v/>
      </c>
    </row>
    <row r="73">
      <c r="A73" s="18" t="inlineStr">
        <is>
          <t>03-03-02</t>
        </is>
      </c>
      <c r="B73" s="20" t="inlineStr">
        <is>
          <t>資格取得の支援と保有資格・法定の選任者の登録</t>
        </is>
      </c>
      <c r="C73" s="18" t="inlineStr">
        <is>
          <t>C04-02-02</t>
        </is>
      </c>
      <c r="D73" s="31">
        <f>IFERROR(INDEX(ケイパビリティマップ!$E:$E,MATCH(C73,ケイパビリティマップ!$A:$A,0)),"（IDなし）")</f>
        <v/>
      </c>
      <c r="E73" s="23" t="inlineStr">
        <is>
          <t>主</t>
        </is>
      </c>
      <c r="F73" s="35">
        <f>LEFT(A73,5)</f>
        <v/>
      </c>
      <c r="G73" s="35">
        <f>LEFT(C73,6)</f>
        <v/>
      </c>
    </row>
    <row r="74">
      <c r="A74" s="18" t="inlineStr">
        <is>
          <t>03-03-03</t>
        </is>
      </c>
      <c r="B74" s="20" t="inlineStr">
        <is>
          <t>リスキリング（デジタル人材育成・職種転換）の実施</t>
        </is>
      </c>
      <c r="C74" s="18" t="inlineStr">
        <is>
          <t>C04-02-03</t>
        </is>
      </c>
      <c r="D74" s="31">
        <f>IFERROR(INDEX(ケイパビリティマップ!$E:$E,MATCH(C74,ケイパビリティマップ!$A:$A,0)),"（IDなし）")</f>
        <v/>
      </c>
      <c r="E74" s="23" t="inlineStr">
        <is>
          <t>主</t>
        </is>
      </c>
      <c r="F74" s="35">
        <f>LEFT(A74,5)</f>
        <v/>
      </c>
      <c r="G74" s="35">
        <f>LEFT(C74,6)</f>
        <v/>
      </c>
    </row>
    <row r="75">
      <c r="A75" s="18" t="inlineStr">
        <is>
          <t>03-04-01</t>
        </is>
      </c>
      <c r="B75" s="20" t="inlineStr">
        <is>
          <t>★キャリア面談・自己申告</t>
        </is>
      </c>
      <c r="C75" s="18" t="inlineStr">
        <is>
          <t>C04-03-01</t>
        </is>
      </c>
      <c r="D75" s="31">
        <f>IFERROR(INDEX(ケイパビリティマップ!$E:$E,MATCH(C75,ケイパビリティマップ!$A:$A,0)),"（IDなし）")</f>
        <v/>
      </c>
      <c r="E75" s="23" t="inlineStr">
        <is>
          <t>主</t>
        </is>
      </c>
      <c r="F75" s="35">
        <f>LEFT(A75,5)</f>
        <v/>
      </c>
      <c r="G75" s="35">
        <f>LEFT(C75,6)</f>
        <v/>
      </c>
    </row>
    <row r="76">
      <c r="A76" s="18" t="inlineStr">
        <is>
          <t>03-04-01</t>
        </is>
      </c>
      <c r="B76" s="20" t="inlineStr">
        <is>
          <t>★キャリア面談・自己申告</t>
        </is>
      </c>
      <c r="C76" s="18" t="inlineStr">
        <is>
          <t>C07-01-01</t>
        </is>
      </c>
      <c r="D76" s="31">
        <f>IFERROR(INDEX(ケイパビリティマップ!$E:$E,MATCH(C76,ケイパビリティマップ!$A:$A,0)),"（IDなし）")</f>
        <v/>
      </c>
      <c r="E76" s="23" t="inlineStr">
        <is>
          <t>支援</t>
        </is>
      </c>
      <c r="F76" s="35">
        <f>LEFT(A76,5)</f>
        <v/>
      </c>
      <c r="G76" s="35">
        <f>LEFT(C76,6)</f>
        <v/>
      </c>
    </row>
    <row r="77">
      <c r="A77" s="18" t="inlineStr">
        <is>
          <t>03-04-02</t>
        </is>
      </c>
      <c r="B77" s="20" t="inlineStr">
        <is>
          <t>キャリア研修（年代別・節目の研修）</t>
        </is>
      </c>
      <c r="C77" s="18" t="inlineStr">
        <is>
          <t>C04-03-01</t>
        </is>
      </c>
      <c r="D77" s="31">
        <f>IFERROR(INDEX(ケイパビリティマップ!$E:$E,MATCH(C77,ケイパビリティマップ!$A:$A,0)),"（IDなし）")</f>
        <v/>
      </c>
      <c r="E77" s="23" t="inlineStr">
        <is>
          <t>主</t>
        </is>
      </c>
      <c r="F77" s="35">
        <f>LEFT(A77,5)</f>
        <v/>
      </c>
      <c r="G77" s="35">
        <f>LEFT(C77,6)</f>
        <v/>
      </c>
    </row>
    <row r="78">
      <c r="A78" s="18" t="inlineStr">
        <is>
          <t>04-01-01</t>
        </is>
      </c>
      <c r="B78" s="20" t="inlineStr">
        <is>
          <t>期初の目標設定（MBO／OKR）と上司との合意</t>
        </is>
      </c>
      <c r="C78" s="18" t="inlineStr">
        <is>
          <t>C05-01-01</t>
        </is>
      </c>
      <c r="D78" s="31">
        <f>IFERROR(INDEX(ケイパビリティマップ!$E:$E,MATCH(C78,ケイパビリティマップ!$A:$A,0)),"（IDなし）")</f>
        <v/>
      </c>
      <c r="E78" s="23" t="inlineStr">
        <is>
          <t>主</t>
        </is>
      </c>
      <c r="F78" s="35">
        <f>LEFT(A78,5)</f>
        <v/>
      </c>
      <c r="G78" s="35">
        <f>LEFT(C78,6)</f>
        <v/>
      </c>
    </row>
    <row r="79">
      <c r="A79" s="18" t="inlineStr">
        <is>
          <t>04-01-02</t>
        </is>
      </c>
      <c r="B79" s="20" t="inlineStr">
        <is>
          <t>期中の1on1・フィードバック</t>
        </is>
      </c>
      <c r="C79" s="18" t="inlineStr">
        <is>
          <t>C05-01-01</t>
        </is>
      </c>
      <c r="D79" s="31">
        <f>IFERROR(INDEX(ケイパビリティマップ!$E:$E,MATCH(C79,ケイパビリティマップ!$A:$A,0)),"（IDなし）")</f>
        <v/>
      </c>
      <c r="E79" s="23" t="inlineStr">
        <is>
          <t>主</t>
        </is>
      </c>
      <c r="F79" s="35">
        <f>LEFT(A79,5)</f>
        <v/>
      </c>
      <c r="G79" s="35">
        <f>LEFT(C79,6)</f>
        <v/>
      </c>
    </row>
    <row r="80">
      <c r="A80" s="18" t="inlineStr">
        <is>
          <t>04-01-03</t>
        </is>
      </c>
      <c r="B80" s="20" t="inlineStr">
        <is>
          <t>評価者研修の実施</t>
        </is>
      </c>
      <c r="C80" s="18" t="inlineStr">
        <is>
          <t>C05-01-02</t>
        </is>
      </c>
      <c r="D80" s="31">
        <f>IFERROR(INDEX(ケイパビリティマップ!$E:$E,MATCH(C80,ケイパビリティマップ!$A:$A,0)),"（IDなし）")</f>
        <v/>
      </c>
      <c r="E80" s="23" t="inlineStr">
        <is>
          <t>主</t>
        </is>
      </c>
      <c r="F80" s="35">
        <f>LEFT(A80,5)</f>
        <v/>
      </c>
      <c r="G80" s="35">
        <f>LEFT(C80,6)</f>
        <v/>
      </c>
    </row>
    <row r="81">
      <c r="A81" s="18" t="inlineStr">
        <is>
          <t>04-01-03</t>
        </is>
      </c>
      <c r="B81" s="20" t="inlineStr">
        <is>
          <t>評価者研修の実施</t>
        </is>
      </c>
      <c r="C81" s="18" t="inlineStr">
        <is>
          <t>C04-01-03</t>
        </is>
      </c>
      <c r="D81" s="31">
        <f>IFERROR(INDEX(ケイパビリティマップ!$E:$E,MATCH(C81,ケイパビリティマップ!$A:$A,0)),"（IDなし）")</f>
        <v/>
      </c>
      <c r="E81" s="23" t="inlineStr">
        <is>
          <t>支援</t>
        </is>
      </c>
      <c r="F81" s="35">
        <f>LEFT(A81,5)</f>
        <v/>
      </c>
      <c r="G81" s="35">
        <f>LEFT(C81,6)</f>
        <v/>
      </c>
    </row>
    <row r="82">
      <c r="A82" s="18" t="inlineStr">
        <is>
          <t>04-01-04</t>
        </is>
      </c>
      <c r="B82" s="20" t="inlineStr">
        <is>
          <t>自己評価・一次／二次評価の実施</t>
        </is>
      </c>
      <c r="C82" s="18" t="inlineStr">
        <is>
          <t>C05-01-02</t>
        </is>
      </c>
      <c r="D82" s="31">
        <f>IFERROR(INDEX(ケイパビリティマップ!$E:$E,MATCH(C82,ケイパビリティマップ!$A:$A,0)),"（IDなし）")</f>
        <v/>
      </c>
      <c r="E82" s="23" t="inlineStr">
        <is>
          <t>主</t>
        </is>
      </c>
      <c r="F82" s="35">
        <f>LEFT(A82,5)</f>
        <v/>
      </c>
      <c r="G82" s="35">
        <f>LEFT(C82,6)</f>
        <v/>
      </c>
    </row>
    <row r="83">
      <c r="A83" s="18" t="inlineStr">
        <is>
          <t>04-01-05</t>
        </is>
      </c>
      <c r="B83" s="20" t="inlineStr">
        <is>
          <t>評価調整会議（キャリブレーション）と評価の確定</t>
        </is>
      </c>
      <c r="C83" s="18" t="inlineStr">
        <is>
          <t>C05-01-03</t>
        </is>
      </c>
      <c r="D83" s="31">
        <f>IFERROR(INDEX(ケイパビリティマップ!$E:$E,MATCH(C83,ケイパビリティマップ!$A:$A,0)),"（IDなし）")</f>
        <v/>
      </c>
      <c r="E83" s="23" t="inlineStr">
        <is>
          <t>主</t>
        </is>
      </c>
      <c r="F83" s="35">
        <f>LEFT(A83,5)</f>
        <v/>
      </c>
      <c r="G83" s="35">
        <f>LEFT(C83,6)</f>
        <v/>
      </c>
    </row>
    <row r="84">
      <c r="A84" s="18" t="inlineStr">
        <is>
          <t>04-01-06</t>
        </is>
      </c>
      <c r="B84" s="20" t="inlineStr">
        <is>
          <t>評価結果のフィードバック面談</t>
        </is>
      </c>
      <c r="C84" s="18" t="inlineStr">
        <is>
          <t>C05-01-03</t>
        </is>
      </c>
      <c r="D84" s="31">
        <f>IFERROR(INDEX(ケイパビリティマップ!$E:$E,MATCH(C84,ケイパビリティマップ!$A:$A,0)),"（IDなし）")</f>
        <v/>
      </c>
      <c r="E84" s="23" t="inlineStr">
        <is>
          <t>主</t>
        </is>
      </c>
      <c r="F84" s="35">
        <f>LEFT(A84,5)</f>
        <v/>
      </c>
      <c r="G84" s="35">
        <f>LEFT(C84,6)</f>
        <v/>
      </c>
    </row>
    <row r="85">
      <c r="A85" s="18" t="inlineStr">
        <is>
          <t>04-02-01</t>
        </is>
      </c>
      <c r="B85" s="20" t="inlineStr">
        <is>
          <t>等級・報酬制度の設計・改定（同一労働同一賃金の点検を含む）</t>
        </is>
      </c>
      <c r="C85" s="18" t="inlineStr">
        <is>
          <t>C05-02-01</t>
        </is>
      </c>
      <c r="D85" s="31">
        <f>IFERROR(INDEX(ケイパビリティマップ!$E:$E,MATCH(C85,ケイパビリティマップ!$A:$A,0)),"（IDなし）")</f>
        <v/>
      </c>
      <c r="E85" s="23" t="inlineStr">
        <is>
          <t>主</t>
        </is>
      </c>
      <c r="F85" s="35">
        <f>LEFT(A85,5)</f>
        <v/>
      </c>
      <c r="G85" s="35">
        <f>LEFT(C85,6)</f>
        <v/>
      </c>
    </row>
    <row r="86">
      <c r="A86" s="18" t="inlineStr">
        <is>
          <t>04-02-01</t>
        </is>
      </c>
      <c r="B86" s="20" t="inlineStr">
        <is>
          <t>等級・報酬制度の設計・改定（同一労働同一賃金の点検を含む）</t>
        </is>
      </c>
      <c r="C86" s="18" t="inlineStr">
        <is>
          <t>C01-03-03</t>
        </is>
      </c>
      <c r="D86" s="31">
        <f>IFERROR(INDEX(ケイパビリティマップ!$E:$E,MATCH(C86,ケイパビリティマップ!$A:$A,0)),"（IDなし）")</f>
        <v/>
      </c>
      <c r="E86" s="23" t="inlineStr">
        <is>
          <t>主</t>
        </is>
      </c>
      <c r="F86" s="35">
        <f>LEFT(A86,5)</f>
        <v/>
      </c>
      <c r="G86" s="35">
        <f>LEFT(C86,6)</f>
        <v/>
      </c>
    </row>
    <row r="87">
      <c r="A87" s="18" t="inlineStr">
        <is>
          <t>04-02-02</t>
        </is>
      </c>
      <c r="B87" s="20" t="inlineStr">
        <is>
          <t>★昇給（ベースアップ・定期昇給）の決定</t>
        </is>
      </c>
      <c r="C87" s="18" t="inlineStr">
        <is>
          <t>C05-02-02</t>
        </is>
      </c>
      <c r="D87" s="31">
        <f>IFERROR(INDEX(ケイパビリティマップ!$E:$E,MATCH(C87,ケイパビリティマップ!$A:$A,0)),"（IDなし）")</f>
        <v/>
      </c>
      <c r="E87" s="23" t="inlineStr">
        <is>
          <t>主</t>
        </is>
      </c>
      <c r="F87" s="35">
        <f>LEFT(A87,5)</f>
        <v/>
      </c>
      <c r="G87" s="35">
        <f>LEFT(C87,6)</f>
        <v/>
      </c>
    </row>
    <row r="88">
      <c r="A88" s="18" t="inlineStr">
        <is>
          <t>04-02-02</t>
        </is>
      </c>
      <c r="B88" s="20" t="inlineStr">
        <is>
          <t>★昇給（ベースアップ・定期昇給）の決定</t>
        </is>
      </c>
      <c r="C88" s="18" t="inlineStr">
        <is>
          <t>C06-03-01</t>
        </is>
      </c>
      <c r="D88" s="31">
        <f>IFERROR(INDEX(ケイパビリティマップ!$E:$E,MATCH(C88,ケイパビリティマップ!$A:$A,0)),"（IDなし）")</f>
        <v/>
      </c>
      <c r="E88" s="23" t="inlineStr">
        <is>
          <t>支援</t>
        </is>
      </c>
      <c r="F88" s="35">
        <f>LEFT(A88,5)</f>
        <v/>
      </c>
      <c r="G88" s="35">
        <f>LEFT(C88,6)</f>
        <v/>
      </c>
    </row>
    <row r="89">
      <c r="A89" s="18" t="inlineStr">
        <is>
          <t>04-02-03</t>
        </is>
      </c>
      <c r="B89" s="20" t="inlineStr">
        <is>
          <t>★賞与（夏季・冬季）の決定</t>
        </is>
      </c>
      <c r="C89" s="18" t="inlineStr">
        <is>
          <t>C05-02-02</t>
        </is>
      </c>
      <c r="D89" s="31">
        <f>IFERROR(INDEX(ケイパビリティマップ!$E:$E,MATCH(C89,ケイパビリティマップ!$A:$A,0)),"（IDなし）")</f>
        <v/>
      </c>
      <c r="E89" s="23" t="inlineStr">
        <is>
          <t>主</t>
        </is>
      </c>
      <c r="F89" s="35">
        <f>LEFT(A89,5)</f>
        <v/>
      </c>
      <c r="G89" s="35">
        <f>LEFT(C89,6)</f>
        <v/>
      </c>
    </row>
    <row r="90">
      <c r="A90" s="18" t="inlineStr">
        <is>
          <t>04-02-03</t>
        </is>
      </c>
      <c r="B90" s="20" t="inlineStr">
        <is>
          <t>★賞与（夏季・冬季）の決定</t>
        </is>
      </c>
      <c r="C90" s="18" t="inlineStr">
        <is>
          <t>C06-03-01</t>
        </is>
      </c>
      <c r="D90" s="31">
        <f>IFERROR(INDEX(ケイパビリティマップ!$E:$E,MATCH(C90,ケイパビリティマップ!$A:$A,0)),"（IDなし）")</f>
        <v/>
      </c>
      <c r="E90" s="23" t="inlineStr">
        <is>
          <t>支援</t>
        </is>
      </c>
      <c r="F90" s="35">
        <f>LEFT(A90,5)</f>
        <v/>
      </c>
      <c r="G90" s="35">
        <f>LEFT(C90,6)</f>
        <v/>
      </c>
    </row>
    <row r="91">
      <c r="A91" s="18" t="inlineStr">
        <is>
          <t>04-02-04</t>
        </is>
      </c>
      <c r="B91" s="20" t="inlineStr">
        <is>
          <t>最低賃金・市場の報酬水準の点検</t>
        </is>
      </c>
      <c r="C91" s="18" t="inlineStr">
        <is>
          <t>C05-02-03</t>
        </is>
      </c>
      <c r="D91" s="31">
        <f>IFERROR(INDEX(ケイパビリティマップ!$E:$E,MATCH(C91,ケイパビリティマップ!$A:$A,0)),"（IDなし）")</f>
        <v/>
      </c>
      <c r="E91" s="23" t="inlineStr">
        <is>
          <t>主</t>
        </is>
      </c>
      <c r="F91" s="35">
        <f>LEFT(A91,5)</f>
        <v/>
      </c>
      <c r="G91" s="35">
        <f>LEFT(C91,6)</f>
        <v/>
      </c>
    </row>
    <row r="92">
      <c r="A92" s="18" t="inlineStr">
        <is>
          <t>04-03-01</t>
        </is>
      </c>
      <c r="B92" s="20" t="inlineStr">
        <is>
          <t>労働時間の記録と月次の勤怠の締め</t>
        </is>
      </c>
      <c r="C92" s="18" t="inlineStr">
        <is>
          <t>C06-01-01</t>
        </is>
      </c>
      <c r="D92" s="31">
        <f>IFERROR(INDEX(ケイパビリティマップ!$E:$E,MATCH(C92,ケイパビリティマップ!$A:$A,0)),"（IDなし）")</f>
        <v/>
      </c>
      <c r="E92" s="23" t="inlineStr">
        <is>
          <t>主</t>
        </is>
      </c>
      <c r="F92" s="35">
        <f>LEFT(A92,5)</f>
        <v/>
      </c>
      <c r="G92" s="35">
        <f>LEFT(C92,6)</f>
        <v/>
      </c>
    </row>
    <row r="93">
      <c r="A93" s="18" t="inlineStr">
        <is>
          <t>04-03-02</t>
        </is>
      </c>
      <c r="B93" s="20" t="inlineStr">
        <is>
          <t>★36協定の締結・届出</t>
        </is>
      </c>
      <c r="C93" s="18" t="inlineStr">
        <is>
          <t>C06-03-01</t>
        </is>
      </c>
      <c r="D93" s="31">
        <f>IFERROR(INDEX(ケイパビリティマップ!$E:$E,MATCH(C93,ケイパビリティマップ!$A:$A,0)),"（IDなし）")</f>
        <v/>
      </c>
      <c r="E93" s="23" t="inlineStr">
        <is>
          <t>主</t>
        </is>
      </c>
      <c r="F93" s="35">
        <f>LEFT(A93,5)</f>
        <v/>
      </c>
      <c r="G93" s="35">
        <f>LEFT(C93,6)</f>
        <v/>
      </c>
    </row>
    <row r="94">
      <c r="A94" s="18" t="inlineStr">
        <is>
          <t>04-03-02</t>
        </is>
      </c>
      <c r="B94" s="20" t="inlineStr">
        <is>
          <t>★36協定の締結・届出</t>
        </is>
      </c>
      <c r="C94" s="18" t="inlineStr">
        <is>
          <t>C06-01-02</t>
        </is>
      </c>
      <c r="D94" s="31">
        <f>IFERROR(INDEX(ケイパビリティマップ!$E:$E,MATCH(C94,ケイパビリティマップ!$A:$A,0)),"（IDなし）")</f>
        <v/>
      </c>
      <c r="E94" s="23" t="inlineStr">
        <is>
          <t>支援</t>
        </is>
      </c>
      <c r="F94" s="35">
        <f>LEFT(A94,5)</f>
        <v/>
      </c>
      <c r="G94" s="35">
        <f>LEFT(C94,6)</f>
        <v/>
      </c>
    </row>
    <row r="95">
      <c r="A95" s="18" t="inlineStr">
        <is>
          <t>04-03-03</t>
        </is>
      </c>
      <c r="B95" s="20" t="inlineStr">
        <is>
          <t>★時間外・休日労働の上限管理</t>
        </is>
      </c>
      <c r="C95" s="18" t="inlineStr">
        <is>
          <t>C06-01-02</t>
        </is>
      </c>
      <c r="D95" s="31">
        <f>IFERROR(INDEX(ケイパビリティマップ!$E:$E,MATCH(C95,ケイパビリティマップ!$A:$A,0)),"（IDなし）")</f>
        <v/>
      </c>
      <c r="E95" s="23" t="inlineStr">
        <is>
          <t>主</t>
        </is>
      </c>
      <c r="F95" s="35">
        <f>LEFT(A95,5)</f>
        <v/>
      </c>
      <c r="G95" s="35">
        <f>LEFT(C95,6)</f>
        <v/>
      </c>
    </row>
    <row r="96">
      <c r="A96" s="18" t="inlineStr">
        <is>
          <t>04-03-04</t>
        </is>
      </c>
      <c r="B96" s="20" t="inlineStr">
        <is>
          <t>★年次有給休暇の付与と年5日取得の管理（年次有給休暇管理簿）</t>
        </is>
      </c>
      <c r="C96" s="18" t="inlineStr">
        <is>
          <t>C06-01-03</t>
        </is>
      </c>
      <c r="D96" s="31">
        <f>IFERROR(INDEX(ケイパビリティマップ!$E:$E,MATCH(C96,ケイパビリティマップ!$A:$A,0)),"（IDなし）")</f>
        <v/>
      </c>
      <c r="E96" s="23" t="inlineStr">
        <is>
          <t>主</t>
        </is>
      </c>
      <c r="F96" s="35">
        <f>LEFT(A96,5)</f>
        <v/>
      </c>
      <c r="G96" s="35">
        <f>LEFT(C96,6)</f>
        <v/>
      </c>
    </row>
    <row r="97">
      <c r="A97" s="18" t="inlineStr">
        <is>
          <t>04-03-04</t>
        </is>
      </c>
      <c r="B97" s="20" t="inlineStr">
        <is>
          <t>★年次有給休暇の付与と年5日取得の管理（年次有給休暇管理簿）</t>
        </is>
      </c>
      <c r="C97" s="18" t="inlineStr">
        <is>
          <t>C03-03-02</t>
        </is>
      </c>
      <c r="D97" s="31">
        <f>IFERROR(INDEX(ケイパビリティマップ!$E:$E,MATCH(C97,ケイパビリティマップ!$A:$A,0)),"（IDなし）")</f>
        <v/>
      </c>
      <c r="E97" s="23" t="inlineStr">
        <is>
          <t>支援</t>
        </is>
      </c>
      <c r="F97" s="35">
        <f>LEFT(A97,5)</f>
        <v/>
      </c>
      <c r="G97" s="35">
        <f>LEFT(C97,6)</f>
        <v/>
      </c>
    </row>
    <row r="98">
      <c r="A98" s="18" t="inlineStr">
        <is>
          <t>04-03-05</t>
        </is>
      </c>
      <c r="B98" s="20" t="inlineStr">
        <is>
          <t>★産前産後・育児・介護休業と休職の申出受付・管理（個別の周知・意向確認を含む）</t>
        </is>
      </c>
      <c r="C98" s="18" t="inlineStr">
        <is>
          <t>C06-01-04</t>
        </is>
      </c>
      <c r="D98" s="31">
        <f>IFERROR(INDEX(ケイパビリティマップ!$E:$E,MATCH(C98,ケイパビリティマップ!$A:$A,0)),"（IDなし）")</f>
        <v/>
      </c>
      <c r="E98" s="23" t="inlineStr">
        <is>
          <t>主</t>
        </is>
      </c>
      <c r="F98" s="35">
        <f>LEFT(A98,5)</f>
        <v/>
      </c>
      <c r="G98" s="35">
        <f>LEFT(C98,6)</f>
        <v/>
      </c>
    </row>
    <row r="99">
      <c r="A99" s="18" t="inlineStr">
        <is>
          <t>04-03-05</t>
        </is>
      </c>
      <c r="B99" s="20" t="inlineStr">
        <is>
          <t>★産前産後・育児・介護休業と休職の申出受付・管理（個別の周知・意向確認を含む）</t>
        </is>
      </c>
      <c r="C99" s="18" t="inlineStr">
        <is>
          <t>C05-04-01</t>
        </is>
      </c>
      <c r="D99" s="31">
        <f>IFERROR(INDEX(ケイパビリティマップ!$E:$E,MATCH(C99,ケイパビリティマップ!$A:$A,0)),"（IDなし）")</f>
        <v/>
      </c>
      <c r="E99" s="23" t="inlineStr">
        <is>
          <t>支援</t>
        </is>
      </c>
      <c r="F99" s="35">
        <f>LEFT(A99,5)</f>
        <v/>
      </c>
      <c r="G99" s="35">
        <f>LEFT(C99,6)</f>
        <v/>
      </c>
    </row>
    <row r="100">
      <c r="A100" s="18" t="inlineStr">
        <is>
          <t>04-03-06</t>
        </is>
      </c>
      <c r="B100" s="20" t="inlineStr">
        <is>
          <t>★柔軟な働き方の制度運用（テレワーク・時差出勤・短時間勤務）</t>
        </is>
      </c>
      <c r="C100" s="18" t="inlineStr">
        <is>
          <t>C06-04-02</t>
        </is>
      </c>
      <c r="D100" s="31">
        <f>IFERROR(INDEX(ケイパビリティマップ!$E:$E,MATCH(C100,ケイパビリティマップ!$A:$A,0)),"（IDなし）")</f>
        <v/>
      </c>
      <c r="E100" s="23" t="inlineStr">
        <is>
          <t>主</t>
        </is>
      </c>
      <c r="F100" s="35">
        <f>LEFT(A100,5)</f>
        <v/>
      </c>
      <c r="G100" s="35">
        <f>LEFT(C100,6)</f>
        <v/>
      </c>
    </row>
    <row r="101">
      <c r="A101" s="18" t="inlineStr">
        <is>
          <t>04-04-01</t>
        </is>
      </c>
      <c r="B101" s="20" t="inlineStr">
        <is>
          <t>月次給与計算（勤怠・手当・控除の反映）</t>
        </is>
      </c>
      <c r="C101" s="18" t="inlineStr">
        <is>
          <t>C05-03-01</t>
        </is>
      </c>
      <c r="D101" s="31">
        <f>IFERROR(INDEX(ケイパビリティマップ!$E:$E,MATCH(C101,ケイパビリティマップ!$A:$A,0)),"（IDなし）")</f>
        <v/>
      </c>
      <c r="E101" s="23" t="inlineStr">
        <is>
          <t>主</t>
        </is>
      </c>
      <c r="F101" s="35">
        <f>LEFT(A101,5)</f>
        <v/>
      </c>
      <c r="G101" s="35">
        <f>LEFT(C101,6)</f>
        <v/>
      </c>
    </row>
    <row r="102">
      <c r="A102" s="18" t="inlineStr">
        <is>
          <t>04-04-01</t>
        </is>
      </c>
      <c r="B102" s="20" t="inlineStr">
        <is>
          <t>月次給与計算（勤怠・手当・控除の反映）</t>
        </is>
      </c>
      <c r="C102" s="18" t="inlineStr">
        <is>
          <t>C09-02-02</t>
        </is>
      </c>
      <c r="D102" s="31">
        <f>IFERROR(INDEX(ケイパビリティマップ!$E:$E,MATCH(C102,ケイパビリティマップ!$A:$A,0)),"（IDなし）")</f>
        <v/>
      </c>
      <c r="E102" s="23" t="inlineStr">
        <is>
          <t>支援</t>
        </is>
      </c>
      <c r="F102" s="35">
        <f>LEFT(A102,5)</f>
        <v/>
      </c>
      <c r="G102" s="35">
        <f>LEFT(C102,6)</f>
        <v/>
      </c>
    </row>
    <row r="103">
      <c r="A103" s="18" t="inlineStr">
        <is>
          <t>04-04-02</t>
        </is>
      </c>
      <c r="B103" s="20" t="inlineStr">
        <is>
          <t>給与の支払と給与明細の交付</t>
        </is>
      </c>
      <c r="C103" s="18" t="inlineStr">
        <is>
          <t>C05-03-01</t>
        </is>
      </c>
      <c r="D103" s="31">
        <f>IFERROR(INDEX(ケイパビリティマップ!$E:$E,MATCH(C103,ケイパビリティマップ!$A:$A,0)),"（IDなし）")</f>
        <v/>
      </c>
      <c r="E103" s="23" t="inlineStr">
        <is>
          <t>主</t>
        </is>
      </c>
      <c r="F103" s="35">
        <f>LEFT(A103,5)</f>
        <v/>
      </c>
      <c r="G103" s="35">
        <f>LEFT(C103,6)</f>
        <v/>
      </c>
    </row>
    <row r="104">
      <c r="A104" s="18" t="inlineStr">
        <is>
          <t>04-04-03</t>
        </is>
      </c>
      <c r="B104" s="20" t="inlineStr">
        <is>
          <t>賞与の計算・支払と賞与支払届</t>
        </is>
      </c>
      <c r="C104" s="18" t="inlineStr">
        <is>
          <t>C05-03-02</t>
        </is>
      </c>
      <c r="D104" s="31">
        <f>IFERROR(INDEX(ケイパビリティマップ!$E:$E,MATCH(C104,ケイパビリティマップ!$A:$A,0)),"（IDなし）")</f>
        <v/>
      </c>
      <c r="E104" s="23" t="inlineStr">
        <is>
          <t>主</t>
        </is>
      </c>
      <c r="F104" s="35">
        <f>LEFT(A104,5)</f>
        <v/>
      </c>
      <c r="G104" s="35">
        <f>LEFT(C104,6)</f>
        <v/>
      </c>
    </row>
    <row r="105">
      <c r="A105" s="18" t="inlineStr">
        <is>
          <t>04-04-03</t>
        </is>
      </c>
      <c r="B105" s="20" t="inlineStr">
        <is>
          <t>賞与の計算・支払と賞与支払届</t>
        </is>
      </c>
      <c r="C105" s="18" t="inlineStr">
        <is>
          <t>C05-04-01</t>
        </is>
      </c>
      <c r="D105" s="31">
        <f>IFERROR(INDEX(ケイパビリティマップ!$E:$E,MATCH(C105,ケイパビリティマップ!$A:$A,0)),"（IDなし）")</f>
        <v/>
      </c>
      <c r="E105" s="23" t="inlineStr">
        <is>
          <t>支援</t>
        </is>
      </c>
      <c r="F105" s="35">
        <f>LEFT(A105,5)</f>
        <v/>
      </c>
      <c r="G105" s="35">
        <f>LEFT(C105,6)</f>
        <v/>
      </c>
    </row>
    <row r="106">
      <c r="A106" s="18" t="inlineStr">
        <is>
          <t>04-04-04</t>
        </is>
      </c>
      <c r="B106" s="20" t="inlineStr">
        <is>
          <t>★年末調整と源泉徴収票・法定調書の作成</t>
        </is>
      </c>
      <c r="C106" s="18" t="inlineStr">
        <is>
          <t>C05-03-03</t>
        </is>
      </c>
      <c r="D106" s="31">
        <f>IFERROR(INDEX(ケイパビリティマップ!$E:$E,MATCH(C106,ケイパビリティマップ!$A:$A,0)),"（IDなし）")</f>
        <v/>
      </c>
      <c r="E106" s="23" t="inlineStr">
        <is>
          <t>主</t>
        </is>
      </c>
      <c r="F106" s="35">
        <f>LEFT(A106,5)</f>
        <v/>
      </c>
      <c r="G106" s="35">
        <f>LEFT(C106,6)</f>
        <v/>
      </c>
    </row>
    <row r="107">
      <c r="A107" s="18" t="inlineStr">
        <is>
          <t>04-04-04</t>
        </is>
      </c>
      <c r="B107" s="20" t="inlineStr">
        <is>
          <t>★年末調整と源泉徴収票・法定調書の作成</t>
        </is>
      </c>
      <c r="C107" s="18" t="inlineStr">
        <is>
          <t>C09-02-01</t>
        </is>
      </c>
      <c r="D107" s="31">
        <f>IFERROR(INDEX(ケイパビリティマップ!$E:$E,MATCH(C107,ケイパビリティマップ!$A:$A,0)),"（IDなし）")</f>
        <v/>
      </c>
      <c r="E107" s="23" t="inlineStr">
        <is>
          <t>支援</t>
        </is>
      </c>
      <c r="F107" s="35">
        <f>LEFT(A107,5)</f>
        <v/>
      </c>
      <c r="G107" s="35">
        <f>LEFT(C107,6)</f>
        <v/>
      </c>
    </row>
    <row r="108">
      <c r="A108" s="18" t="inlineStr">
        <is>
          <t>04-04-05</t>
        </is>
      </c>
      <c r="B108" s="20" t="inlineStr">
        <is>
          <t>★住民税の特別徴収と納付</t>
        </is>
      </c>
      <c r="C108" s="18" t="inlineStr">
        <is>
          <t>C05-03-04</t>
        </is>
      </c>
      <c r="D108" s="31">
        <f>IFERROR(INDEX(ケイパビリティマップ!$E:$E,MATCH(C108,ケイパビリティマップ!$A:$A,0)),"（IDなし）")</f>
        <v/>
      </c>
      <c r="E108" s="23" t="inlineStr">
        <is>
          <t>主</t>
        </is>
      </c>
      <c r="F108" s="35">
        <f>LEFT(A108,5)</f>
        <v/>
      </c>
      <c r="G108" s="35">
        <f>LEFT(C108,6)</f>
        <v/>
      </c>
    </row>
    <row r="109">
      <c r="A109" s="18" t="inlineStr">
        <is>
          <t>04-04-06</t>
        </is>
      </c>
      <c r="B109" s="20" t="inlineStr">
        <is>
          <t>★社会保険・労働保険の定例手続き（算定基礎届・月額変更届・年度更新）</t>
        </is>
      </c>
      <c r="C109" s="18" t="inlineStr">
        <is>
          <t>C05-04-01</t>
        </is>
      </c>
      <c r="D109" s="31">
        <f>IFERROR(INDEX(ケイパビリティマップ!$E:$E,MATCH(C109,ケイパビリティマップ!$A:$A,0)),"（IDなし）")</f>
        <v/>
      </c>
      <c r="E109" s="23" t="inlineStr">
        <is>
          <t>主</t>
        </is>
      </c>
      <c r="F109" s="35">
        <f>LEFT(A109,5)</f>
        <v/>
      </c>
      <c r="G109" s="35">
        <f>LEFT(C109,6)</f>
        <v/>
      </c>
    </row>
    <row r="110">
      <c r="A110" s="18" t="inlineStr">
        <is>
          <t>04-04-07</t>
        </is>
      </c>
      <c r="B110" s="20" t="inlineStr">
        <is>
          <t>福利厚生制度の運営（住宅・持株会・カフェテリアプランなど）</t>
        </is>
      </c>
      <c r="C110" s="18" t="inlineStr">
        <is>
          <t>C05-04-02</t>
        </is>
      </c>
      <c r="D110" s="31">
        <f>IFERROR(INDEX(ケイパビリティマップ!$E:$E,MATCH(C110,ケイパビリティマップ!$A:$A,0)),"（IDなし）")</f>
        <v/>
      </c>
      <c r="E110" s="23" t="inlineStr">
        <is>
          <t>主</t>
        </is>
      </c>
      <c r="F110" s="35">
        <f>LEFT(A110,5)</f>
        <v/>
      </c>
      <c r="G110" s="35">
        <f>LEFT(C110,6)</f>
        <v/>
      </c>
    </row>
    <row r="111">
      <c r="A111" s="18" t="inlineStr">
        <is>
          <t>04-04-08</t>
        </is>
      </c>
      <c r="B111" s="20" t="inlineStr">
        <is>
          <t>退職金・企業年金の管理（掛金・算定基礎の更新）</t>
        </is>
      </c>
      <c r="C111" s="18" t="inlineStr">
        <is>
          <t>C05-04-03</t>
        </is>
      </c>
      <c r="D111" s="31">
        <f>IFERROR(INDEX(ケイパビリティマップ!$E:$E,MATCH(C111,ケイパビリティマップ!$A:$A,0)),"（IDなし）")</f>
        <v/>
      </c>
      <c r="E111" s="23" t="inlineStr">
        <is>
          <t>主</t>
        </is>
      </c>
      <c r="F111" s="35">
        <f>LEFT(A111,5)</f>
        <v/>
      </c>
      <c r="G111" s="35">
        <f>LEFT(C111,6)</f>
        <v/>
      </c>
    </row>
    <row r="112">
      <c r="A112" s="18" t="inlineStr">
        <is>
          <t>04-04-09</t>
        </is>
      </c>
      <c r="B112" s="20" t="inlineStr">
        <is>
          <t>人件費の会計計上と予算実績管理</t>
        </is>
      </c>
      <c r="C112" s="18" t="inlineStr">
        <is>
          <t>C01-02-02</t>
        </is>
      </c>
      <c r="D112" s="31">
        <f>IFERROR(INDEX(ケイパビリティマップ!$E:$E,MATCH(C112,ケイパビリティマップ!$A:$A,0)),"（IDなし）")</f>
        <v/>
      </c>
      <c r="E112" s="23" t="inlineStr">
        <is>
          <t>主</t>
        </is>
      </c>
      <c r="F112" s="35">
        <f>LEFT(A112,5)</f>
        <v/>
      </c>
      <c r="G112" s="35">
        <f>LEFT(C112,6)</f>
        <v/>
      </c>
    </row>
    <row r="113">
      <c r="A113" s="18" t="inlineStr">
        <is>
          <t>04-05-01</t>
        </is>
      </c>
      <c r="B113" s="20" t="inlineStr">
        <is>
          <t>★定期健康診断と事後措置（医師の意見に基づく就業判定）</t>
        </is>
      </c>
      <c r="C113" s="18" t="inlineStr">
        <is>
          <t>C06-02-01</t>
        </is>
      </c>
      <c r="D113" s="31">
        <f>IFERROR(INDEX(ケイパビリティマップ!$E:$E,MATCH(C113,ケイパビリティマップ!$A:$A,0)),"（IDなし）")</f>
        <v/>
      </c>
      <c r="E113" s="23" t="inlineStr">
        <is>
          <t>主</t>
        </is>
      </c>
      <c r="F113" s="35">
        <f>LEFT(A113,5)</f>
        <v/>
      </c>
      <c r="G113" s="35">
        <f>LEFT(C113,6)</f>
        <v/>
      </c>
    </row>
    <row r="114">
      <c r="A114" s="18" t="inlineStr">
        <is>
          <t>04-05-02</t>
        </is>
      </c>
      <c r="B114" s="20" t="inlineStr">
        <is>
          <t>★ストレスチェックの実施と高ストレス者の面接指導</t>
        </is>
      </c>
      <c r="C114" s="18" t="inlineStr">
        <is>
          <t>C06-02-02</t>
        </is>
      </c>
      <c r="D114" s="31">
        <f>IFERROR(INDEX(ケイパビリティマップ!$E:$E,MATCH(C114,ケイパビリティマップ!$A:$A,0)),"（IDなし）")</f>
        <v/>
      </c>
      <c r="E114" s="23" t="inlineStr">
        <is>
          <t>主</t>
        </is>
      </c>
      <c r="F114" s="35">
        <f>LEFT(A114,5)</f>
        <v/>
      </c>
      <c r="G114" s="35">
        <f>LEFT(C114,6)</f>
        <v/>
      </c>
    </row>
    <row r="115">
      <c r="A115" s="18" t="inlineStr">
        <is>
          <t>04-05-02</t>
        </is>
      </c>
      <c r="B115" s="20" t="inlineStr">
        <is>
          <t>★ストレスチェックの実施と高ストレス者の面接指導</t>
        </is>
      </c>
      <c r="C115" s="18" t="inlineStr">
        <is>
          <t>C09-03-01</t>
        </is>
      </c>
      <c r="D115" s="31">
        <f>IFERROR(INDEX(ケイパビリティマップ!$E:$E,MATCH(C115,ケイパビリティマップ!$A:$A,0)),"（IDなし）")</f>
        <v/>
      </c>
      <c r="E115" s="23" t="inlineStr">
        <is>
          <t>支援</t>
        </is>
      </c>
      <c r="F115" s="35">
        <f>LEFT(A115,5)</f>
        <v/>
      </c>
      <c r="G115" s="35">
        <f>LEFT(C115,6)</f>
        <v/>
      </c>
    </row>
    <row r="116">
      <c r="A116" s="18" t="inlineStr">
        <is>
          <t>04-05-03</t>
        </is>
      </c>
      <c r="B116" s="20" t="inlineStr">
        <is>
          <t>★長時間労働者への医師の面接指導</t>
        </is>
      </c>
      <c r="C116" s="18" t="inlineStr">
        <is>
          <t>C06-02-03</t>
        </is>
      </c>
      <c r="D116" s="31">
        <f>IFERROR(INDEX(ケイパビリティマップ!$E:$E,MATCH(C116,ケイパビリティマップ!$A:$A,0)),"（IDなし）")</f>
        <v/>
      </c>
      <c r="E116" s="23" t="inlineStr">
        <is>
          <t>主</t>
        </is>
      </c>
      <c r="F116" s="35">
        <f>LEFT(A116,5)</f>
        <v/>
      </c>
      <c r="G116" s="35">
        <f>LEFT(C116,6)</f>
        <v/>
      </c>
    </row>
    <row r="117">
      <c r="A117" s="18" t="inlineStr">
        <is>
          <t>04-05-03</t>
        </is>
      </c>
      <c r="B117" s="20" t="inlineStr">
        <is>
          <t>★長時間労働者への医師の面接指導</t>
        </is>
      </c>
      <c r="C117" s="18" t="inlineStr">
        <is>
          <t>C06-01-02</t>
        </is>
      </c>
      <c r="D117" s="31">
        <f>IFERROR(INDEX(ケイパビリティマップ!$E:$E,MATCH(C117,ケイパビリティマップ!$A:$A,0)),"（IDなし）")</f>
        <v/>
      </c>
      <c r="E117" s="23" t="inlineStr">
        <is>
          <t>支援</t>
        </is>
      </c>
      <c r="F117" s="35">
        <f>LEFT(A117,5)</f>
        <v/>
      </c>
      <c r="G117" s="35">
        <f>LEFT(C117,6)</f>
        <v/>
      </c>
    </row>
    <row r="118">
      <c r="A118" s="18" t="inlineStr">
        <is>
          <t>04-05-04</t>
        </is>
      </c>
      <c r="B118" s="20" t="inlineStr">
        <is>
          <t>労働災害の報告と再発防止</t>
        </is>
      </c>
      <c r="C118" s="18" t="inlineStr">
        <is>
          <t>C06-02-04</t>
        </is>
      </c>
      <c r="D118" s="31">
        <f>IFERROR(INDEX(ケイパビリティマップ!$E:$E,MATCH(C118,ケイパビリティマップ!$A:$A,0)),"（IDなし）")</f>
        <v/>
      </c>
      <c r="E118" s="23" t="inlineStr">
        <is>
          <t>主</t>
        </is>
      </c>
      <c r="F118" s="35">
        <f>LEFT(A118,5)</f>
        <v/>
      </c>
      <c r="G118" s="35">
        <f>LEFT(C118,6)</f>
        <v/>
      </c>
    </row>
    <row r="119">
      <c r="A119" s="18" t="inlineStr">
        <is>
          <t>04-05-05</t>
        </is>
      </c>
      <c r="B119" s="20" t="inlineStr">
        <is>
          <t>相談・通報の受付とハラスメント事案への対応</t>
        </is>
      </c>
      <c r="C119" s="18" t="inlineStr">
        <is>
          <t>C06-03-02</t>
        </is>
      </c>
      <c r="D119" s="31">
        <f>IFERROR(INDEX(ケイパビリティマップ!$E:$E,MATCH(C119,ケイパビリティマップ!$A:$A,0)),"（IDなし）")</f>
        <v/>
      </c>
      <c r="E119" s="23" t="inlineStr">
        <is>
          <t>主</t>
        </is>
      </c>
      <c r="F119" s="35">
        <f>LEFT(A119,5)</f>
        <v/>
      </c>
      <c r="G119" s="35">
        <f>LEFT(C119,6)</f>
        <v/>
      </c>
    </row>
    <row r="120">
      <c r="A120" s="18" t="inlineStr">
        <is>
          <t>04-05-06</t>
        </is>
      </c>
      <c r="B120" s="20" t="inlineStr">
        <is>
          <t>エンゲージメント調査と職場ごとの改善</t>
        </is>
      </c>
      <c r="C120" s="18" t="inlineStr">
        <is>
          <t>C06-04-01</t>
        </is>
      </c>
      <c r="D120" s="31">
        <f>IFERROR(INDEX(ケイパビリティマップ!$E:$E,MATCH(C120,ケイパビリティマップ!$A:$A,0)),"（IDなし）")</f>
        <v/>
      </c>
      <c r="E120" s="23" t="inlineStr">
        <is>
          <t>主</t>
        </is>
      </c>
      <c r="F120" s="35">
        <f>LEFT(A120,5)</f>
        <v/>
      </c>
      <c r="G120" s="35">
        <f>LEFT(C120,6)</f>
        <v/>
      </c>
    </row>
    <row r="121">
      <c r="A121" s="18" t="inlineStr">
        <is>
          <t>04-05-06</t>
        </is>
      </c>
      <c r="B121" s="20" t="inlineStr">
        <is>
          <t>エンゲージメント調査と職場ごとの改善</t>
        </is>
      </c>
      <c r="C121" s="18" t="inlineStr">
        <is>
          <t>C09-01-01</t>
        </is>
      </c>
      <c r="D121" s="31">
        <f>IFERROR(INDEX(ケイパビリティマップ!$E:$E,MATCH(C121,ケイパビリティマップ!$A:$A,0)),"（IDなし）")</f>
        <v/>
      </c>
      <c r="E121" s="23" t="inlineStr">
        <is>
          <t>支援</t>
        </is>
      </c>
      <c r="F121" s="35">
        <f>LEFT(A121,5)</f>
        <v/>
      </c>
      <c r="G121" s="35">
        <f>LEFT(C121,6)</f>
        <v/>
      </c>
    </row>
    <row r="122">
      <c r="A122" s="18" t="inlineStr">
        <is>
          <t>04-05-07</t>
        </is>
      </c>
      <c r="B122" s="20" t="inlineStr">
        <is>
          <t>★就業規則・人事規程の改定と届出・周知（過半数代表の意見聴取）</t>
        </is>
      </c>
      <c r="C122" s="18" t="inlineStr">
        <is>
          <t>C01-01-03</t>
        </is>
      </c>
      <c r="D122" s="31">
        <f>IFERROR(INDEX(ケイパビリティマップ!$E:$E,MATCH(C122,ケイパビリティマップ!$A:$A,0)),"（IDなし）")</f>
        <v/>
      </c>
      <c r="E122" s="23" t="inlineStr">
        <is>
          <t>主</t>
        </is>
      </c>
      <c r="F122" s="35">
        <f>LEFT(A122,5)</f>
        <v/>
      </c>
      <c r="G122" s="35">
        <f>LEFT(C122,6)</f>
        <v/>
      </c>
    </row>
    <row r="123">
      <c r="A123" s="18" t="inlineStr">
        <is>
          <t>04-05-07</t>
        </is>
      </c>
      <c r="B123" s="20" t="inlineStr">
        <is>
          <t>★就業規則・人事規程の改定と届出・周知（過半数代表の意見聴取）</t>
        </is>
      </c>
      <c r="C123" s="18" t="inlineStr">
        <is>
          <t>C06-03-01</t>
        </is>
      </c>
      <c r="D123" s="31">
        <f>IFERROR(INDEX(ケイパビリティマップ!$E:$E,MATCH(C123,ケイパビリティマップ!$A:$A,0)),"（IDなし）")</f>
        <v/>
      </c>
      <c r="E123" s="23" t="inlineStr">
        <is>
          <t>支援</t>
        </is>
      </c>
      <c r="F123" s="35">
        <f>LEFT(A123,5)</f>
        <v/>
      </c>
      <c r="G123" s="35">
        <f>LEFT(C123,6)</f>
        <v/>
      </c>
    </row>
    <row r="124">
      <c r="A124" s="18" t="inlineStr">
        <is>
          <t>05-01-01</t>
        </is>
      </c>
      <c r="B124" s="20" t="inlineStr">
        <is>
          <t>人材情報の集約（評価・スキル・キャリア希望）</t>
        </is>
      </c>
      <c r="C124" s="18" t="inlineStr">
        <is>
          <t>C07-01-01</t>
        </is>
      </c>
      <c r="D124" s="31">
        <f>IFERROR(INDEX(ケイパビリティマップ!$E:$E,MATCH(C124,ケイパビリティマップ!$A:$A,0)),"（IDなし）")</f>
        <v/>
      </c>
      <c r="E124" s="23" t="inlineStr">
        <is>
          <t>主</t>
        </is>
      </c>
      <c r="F124" s="35">
        <f>LEFT(A124,5)</f>
        <v/>
      </c>
      <c r="G124" s="35">
        <f>LEFT(C124,6)</f>
        <v/>
      </c>
    </row>
    <row r="125">
      <c r="A125" s="18" t="inlineStr">
        <is>
          <t>05-01-01</t>
        </is>
      </c>
      <c r="B125" s="20" t="inlineStr">
        <is>
          <t>人材情報の集約（評価・スキル・キャリア希望）</t>
        </is>
      </c>
      <c r="C125" s="18" t="inlineStr">
        <is>
          <t>C09-01-01</t>
        </is>
      </c>
      <c r="D125" s="31">
        <f>IFERROR(INDEX(ケイパビリティマップ!$E:$E,MATCH(C125,ケイパビリティマップ!$A:$A,0)),"（IDなし）")</f>
        <v/>
      </c>
      <c r="E125" s="23" t="inlineStr">
        <is>
          <t>支援</t>
        </is>
      </c>
      <c r="F125" s="35">
        <f>LEFT(A125,5)</f>
        <v/>
      </c>
      <c r="G125" s="35">
        <f>LEFT(C125,6)</f>
        <v/>
      </c>
    </row>
    <row r="126">
      <c r="A126" s="18" t="inlineStr">
        <is>
          <t>05-01-02</t>
        </is>
      </c>
      <c r="B126" s="20" t="inlineStr">
        <is>
          <t>タレントレビュー会議（人材の見極めと育成方針）</t>
        </is>
      </c>
      <c r="C126" s="18" t="inlineStr">
        <is>
          <t>C07-01-01</t>
        </is>
      </c>
      <c r="D126" s="31">
        <f>IFERROR(INDEX(ケイパビリティマップ!$E:$E,MATCH(C126,ケイパビリティマップ!$A:$A,0)),"（IDなし）")</f>
        <v/>
      </c>
      <c r="E126" s="23" t="inlineStr">
        <is>
          <t>主</t>
        </is>
      </c>
      <c r="F126" s="35">
        <f>LEFT(A126,5)</f>
        <v/>
      </c>
      <c r="G126" s="35">
        <f>LEFT(C126,6)</f>
        <v/>
      </c>
    </row>
    <row r="127">
      <c r="A127" s="18" t="inlineStr">
        <is>
          <t>05-02-01</t>
        </is>
      </c>
      <c r="B127" s="20" t="inlineStr">
        <is>
          <t>★定期異動の計画・調整</t>
        </is>
      </c>
      <c r="C127" s="18" t="inlineStr">
        <is>
          <t>C07-01-02</t>
        </is>
      </c>
      <c r="D127" s="31">
        <f>IFERROR(INDEX(ケイパビリティマップ!$E:$E,MATCH(C127,ケイパビリティマップ!$A:$A,0)),"（IDなし）")</f>
        <v/>
      </c>
      <c r="E127" s="23" t="inlineStr">
        <is>
          <t>主</t>
        </is>
      </c>
      <c r="F127" s="35">
        <f>LEFT(A127,5)</f>
        <v/>
      </c>
      <c r="G127" s="35">
        <f>LEFT(C127,6)</f>
        <v/>
      </c>
    </row>
    <row r="128">
      <c r="A128" s="18" t="inlineStr">
        <is>
          <t>05-02-02</t>
        </is>
      </c>
      <c r="B128" s="20" t="inlineStr">
        <is>
          <t>社内公募・FA制度の運営</t>
        </is>
      </c>
      <c r="C128" s="18" t="inlineStr">
        <is>
          <t>C07-01-03</t>
        </is>
      </c>
      <c r="D128" s="31">
        <f>IFERROR(INDEX(ケイパビリティマップ!$E:$E,MATCH(C128,ケイパビリティマップ!$A:$A,0)),"（IDなし）")</f>
        <v/>
      </c>
      <c r="E128" s="23" t="inlineStr">
        <is>
          <t>主</t>
        </is>
      </c>
      <c r="F128" s="35">
        <f>LEFT(A128,5)</f>
        <v/>
      </c>
      <c r="G128" s="35">
        <f>LEFT(C128,6)</f>
        <v/>
      </c>
    </row>
    <row r="129">
      <c r="A129" s="18" t="inlineStr">
        <is>
          <t>05-02-03</t>
        </is>
      </c>
      <c r="B129" s="20" t="inlineStr">
        <is>
          <t>★出向・転籍の手続き（出向契約・本人の同意）</t>
        </is>
      </c>
      <c r="C129" s="18" t="inlineStr">
        <is>
          <t>C07-01-04</t>
        </is>
      </c>
      <c r="D129" s="31">
        <f>IFERROR(INDEX(ケイパビリティマップ!$E:$E,MATCH(C129,ケイパビリティマップ!$A:$A,0)),"（IDなし）")</f>
        <v/>
      </c>
      <c r="E129" s="23" t="inlineStr">
        <is>
          <t>主</t>
        </is>
      </c>
      <c r="F129" s="35">
        <f>LEFT(A129,5)</f>
        <v/>
      </c>
      <c r="G129" s="35">
        <f>LEFT(C129,6)</f>
        <v/>
      </c>
    </row>
    <row r="130">
      <c r="A130" s="18" t="inlineStr">
        <is>
          <t>05-02-03</t>
        </is>
      </c>
      <c r="B130" s="20" t="inlineStr">
        <is>
          <t>★出向・転籍の手続き（出向契約・本人の同意）</t>
        </is>
      </c>
      <c r="C130" s="18" t="inlineStr">
        <is>
          <t>C03-01-01</t>
        </is>
      </c>
      <c r="D130" s="31">
        <f>IFERROR(INDEX(ケイパビリティマップ!$E:$E,MATCH(C130,ケイパビリティマップ!$A:$A,0)),"（IDなし）")</f>
        <v/>
      </c>
      <c r="E130" s="23" t="inlineStr">
        <is>
          <t>支援</t>
        </is>
      </c>
      <c r="F130" s="35">
        <f>LEFT(A130,5)</f>
        <v/>
      </c>
      <c r="G130" s="35">
        <f>LEFT(C130,6)</f>
        <v/>
      </c>
    </row>
    <row r="131">
      <c r="A131" s="18" t="inlineStr">
        <is>
          <t>05-02-04</t>
        </is>
      </c>
      <c r="B131" s="20" t="inlineStr">
        <is>
          <t>組織改編の実施と配置</t>
        </is>
      </c>
      <c r="C131" s="18" t="inlineStr">
        <is>
          <t>C01-03-01</t>
        </is>
      </c>
      <c r="D131" s="31">
        <f>IFERROR(INDEX(ケイパビリティマップ!$E:$E,MATCH(C131,ケイパビリティマップ!$A:$A,0)),"（IDなし）")</f>
        <v/>
      </c>
      <c r="E131" s="23" t="inlineStr">
        <is>
          <t>主</t>
        </is>
      </c>
      <c r="F131" s="35">
        <f>LEFT(A131,5)</f>
        <v/>
      </c>
      <c r="G131" s="35">
        <f>LEFT(C131,6)</f>
        <v/>
      </c>
    </row>
    <row r="132">
      <c r="A132" s="18" t="inlineStr">
        <is>
          <t>05-02-04</t>
        </is>
      </c>
      <c r="B132" s="20" t="inlineStr">
        <is>
          <t>組織改編の実施と配置</t>
        </is>
      </c>
      <c r="C132" s="18" t="inlineStr">
        <is>
          <t>C07-01-02</t>
        </is>
      </c>
      <c r="D132" s="31">
        <f>IFERROR(INDEX(ケイパビリティマップ!$E:$E,MATCH(C132,ケイパビリティマップ!$A:$A,0)),"（IDなし）")</f>
        <v/>
      </c>
      <c r="E132" s="23" t="inlineStr">
        <is>
          <t>支援</t>
        </is>
      </c>
      <c r="F132" s="35">
        <f>LEFT(A132,5)</f>
        <v/>
      </c>
      <c r="G132" s="35">
        <f>LEFT(C132,6)</f>
        <v/>
      </c>
    </row>
    <row r="133">
      <c r="A133" s="18" t="inlineStr">
        <is>
          <t>05-02-05</t>
        </is>
      </c>
      <c r="B133" s="20" t="inlineStr">
        <is>
          <t>異動の内示・発令と従業員情報・アカウントの更新</t>
        </is>
      </c>
      <c r="C133" s="18" t="inlineStr">
        <is>
          <t>C03-03-01</t>
        </is>
      </c>
      <c r="D133" s="31">
        <f>IFERROR(INDEX(ケイパビリティマップ!$E:$E,MATCH(C133,ケイパビリティマップ!$A:$A,0)),"（IDなし）")</f>
        <v/>
      </c>
      <c r="E133" s="23" t="inlineStr">
        <is>
          <t>主</t>
        </is>
      </c>
      <c r="F133" s="35">
        <f>LEFT(A133,5)</f>
        <v/>
      </c>
      <c r="G133" s="35">
        <f>LEFT(C133,6)</f>
        <v/>
      </c>
    </row>
    <row r="134">
      <c r="A134" s="18" t="inlineStr">
        <is>
          <t>05-02-05</t>
        </is>
      </c>
      <c r="B134" s="20" t="inlineStr">
        <is>
          <t>異動の内示・発令と従業員情報・アカウントの更新</t>
        </is>
      </c>
      <c r="C134" s="18" t="inlineStr">
        <is>
          <t>C07-01-02</t>
        </is>
      </c>
      <c r="D134" s="31">
        <f>IFERROR(INDEX(ケイパビリティマップ!$E:$E,MATCH(C134,ケイパビリティマップ!$A:$A,0)),"（IDなし）")</f>
        <v/>
      </c>
      <c r="E134" s="23" t="inlineStr">
        <is>
          <t>支援</t>
        </is>
      </c>
      <c r="F134" s="35">
        <f>LEFT(A134,5)</f>
        <v/>
      </c>
      <c r="G134" s="35">
        <f>LEFT(C134,6)</f>
        <v/>
      </c>
    </row>
    <row r="135">
      <c r="A135" s="18" t="inlineStr">
        <is>
          <t>05-02-05</t>
        </is>
      </c>
      <c r="B135" s="20" t="inlineStr">
        <is>
          <t>異動の内示・発令と従業員情報・アカウントの更新</t>
        </is>
      </c>
      <c r="C135" s="18" t="inlineStr">
        <is>
          <t>C09-03-02</t>
        </is>
      </c>
      <c r="D135" s="31">
        <f>IFERROR(INDEX(ケイパビリティマップ!$E:$E,MATCH(C135,ケイパビリティマップ!$A:$A,0)),"（IDなし）")</f>
        <v/>
      </c>
      <c r="E135" s="23" t="inlineStr">
        <is>
          <t>支援</t>
        </is>
      </c>
      <c r="F135" s="35">
        <f>LEFT(A135,5)</f>
        <v/>
      </c>
      <c r="G135" s="35">
        <f>LEFT(C135,6)</f>
        <v/>
      </c>
    </row>
    <row r="136">
      <c r="A136" s="18" t="inlineStr">
        <is>
          <t>05-03-01</t>
        </is>
      </c>
      <c r="B136" s="20" t="inlineStr">
        <is>
          <t>★昇格候補者の選定と昇格審査（試験・アセスメント）</t>
        </is>
      </c>
      <c r="C136" s="18" t="inlineStr">
        <is>
          <t>C07-02-01</t>
        </is>
      </c>
      <c r="D136" s="31">
        <f>IFERROR(INDEX(ケイパビリティマップ!$E:$E,MATCH(C136,ケイパビリティマップ!$A:$A,0)),"（IDなし）")</f>
        <v/>
      </c>
      <c r="E136" s="23" t="inlineStr">
        <is>
          <t>主</t>
        </is>
      </c>
      <c r="F136" s="35">
        <f>LEFT(A136,5)</f>
        <v/>
      </c>
      <c r="G136" s="35">
        <f>LEFT(C136,6)</f>
        <v/>
      </c>
    </row>
    <row r="137">
      <c r="A137" s="18" t="inlineStr">
        <is>
          <t>05-03-02</t>
        </is>
      </c>
      <c r="B137" s="20" t="inlineStr">
        <is>
          <t>管理職への登用・任命</t>
        </is>
      </c>
      <c r="C137" s="18" t="inlineStr">
        <is>
          <t>C07-02-02</t>
        </is>
      </c>
      <c r="D137" s="31">
        <f>IFERROR(INDEX(ケイパビリティマップ!$E:$E,MATCH(C137,ケイパビリティマップ!$A:$A,0)),"（IDなし）")</f>
        <v/>
      </c>
      <c r="E137" s="23" t="inlineStr">
        <is>
          <t>主</t>
        </is>
      </c>
      <c r="F137" s="35">
        <f>LEFT(A137,5)</f>
        <v/>
      </c>
      <c r="G137" s="35">
        <f>LEFT(C137,6)</f>
        <v/>
      </c>
    </row>
    <row r="138">
      <c r="A138" s="18" t="inlineStr">
        <is>
          <t>05-04-01</t>
        </is>
      </c>
      <c r="B138" s="20" t="inlineStr">
        <is>
          <t>重要ポストの特定と後継者計画</t>
        </is>
      </c>
      <c r="C138" s="18" t="inlineStr">
        <is>
          <t>C07-03-01</t>
        </is>
      </c>
      <c r="D138" s="31">
        <f>IFERROR(INDEX(ケイパビリティマップ!$E:$E,MATCH(C138,ケイパビリティマップ!$A:$A,0)),"（IDなし）")</f>
        <v/>
      </c>
      <c r="E138" s="23" t="inlineStr">
        <is>
          <t>主</t>
        </is>
      </c>
      <c r="F138" s="35">
        <f>LEFT(A138,5)</f>
        <v/>
      </c>
      <c r="G138" s="35">
        <f>LEFT(C138,6)</f>
        <v/>
      </c>
    </row>
    <row r="139">
      <c r="A139" s="18" t="inlineStr">
        <is>
          <t>05-04-02</t>
        </is>
      </c>
      <c r="B139" s="20" t="inlineStr">
        <is>
          <t>選抜型リーダー育成プログラム</t>
        </is>
      </c>
      <c r="C139" s="18" t="inlineStr">
        <is>
          <t>C07-03-02</t>
        </is>
      </c>
      <c r="D139" s="31">
        <f>IFERROR(INDEX(ケイパビリティマップ!$E:$E,MATCH(C139,ケイパビリティマップ!$A:$A,0)),"（IDなし）")</f>
        <v/>
      </c>
      <c r="E139" s="23" t="inlineStr">
        <is>
          <t>主</t>
        </is>
      </c>
      <c r="F139" s="35">
        <f>LEFT(A139,5)</f>
        <v/>
      </c>
      <c r="G139" s="35">
        <f>LEFT(C139,6)</f>
        <v/>
      </c>
    </row>
    <row r="140">
      <c r="A140" s="18" t="inlineStr">
        <is>
          <t>05-04-02</t>
        </is>
      </c>
      <c r="B140" s="20" t="inlineStr">
        <is>
          <t>選抜型リーダー育成プログラム</t>
        </is>
      </c>
      <c r="C140" s="18" t="inlineStr">
        <is>
          <t>C04-01-03</t>
        </is>
      </c>
      <c r="D140" s="31">
        <f>IFERROR(INDEX(ケイパビリティマップ!$E:$E,MATCH(C140,ケイパビリティマップ!$A:$A,0)),"（IDなし）")</f>
        <v/>
      </c>
      <c r="E140" s="23" t="inlineStr">
        <is>
          <t>支援</t>
        </is>
      </c>
      <c r="F140" s="35">
        <f>LEFT(A140,5)</f>
        <v/>
      </c>
      <c r="G140" s="35">
        <f>LEFT(C140,6)</f>
        <v/>
      </c>
    </row>
    <row r="141">
      <c r="A141" s="18" t="inlineStr">
        <is>
          <t>05-05-01</t>
        </is>
      </c>
      <c r="B141" s="20" t="inlineStr">
        <is>
          <t>★女性活躍推進・次世代育成の行動計画の策定と情報公表（男女の賃金差異・女性管理職比率）</t>
        </is>
      </c>
      <c r="C141" s="18" t="inlineStr">
        <is>
          <t>C07-04-01</t>
        </is>
      </c>
      <c r="D141" s="31">
        <f>IFERROR(INDEX(ケイパビリティマップ!$E:$E,MATCH(C141,ケイパビリティマップ!$A:$A,0)),"（IDなし）")</f>
        <v/>
      </c>
      <c r="E141" s="23" t="inlineStr">
        <is>
          <t>主</t>
        </is>
      </c>
      <c r="F141" s="35">
        <f>LEFT(A141,5)</f>
        <v/>
      </c>
      <c r="G141" s="35">
        <f>LEFT(C141,6)</f>
        <v/>
      </c>
    </row>
    <row r="142">
      <c r="A142" s="18" t="inlineStr">
        <is>
          <t>05-05-01</t>
        </is>
      </c>
      <c r="B142" s="20" t="inlineStr">
        <is>
          <t>★女性活躍推進・次世代育成の行動計画の策定と情報公表（男女の賃金差異・女性管理職比率）</t>
        </is>
      </c>
      <c r="C142" s="18" t="inlineStr">
        <is>
          <t>C09-01-02</t>
        </is>
      </c>
      <c r="D142" s="31">
        <f>IFERROR(INDEX(ケイパビリティマップ!$E:$E,MATCH(C142,ケイパビリティマップ!$A:$A,0)),"（IDなし）")</f>
        <v/>
      </c>
      <c r="E142" s="23" t="inlineStr">
        <is>
          <t>支援</t>
        </is>
      </c>
      <c r="F142" s="35">
        <f>LEFT(A142,5)</f>
        <v/>
      </c>
      <c r="G142" s="35">
        <f>LEFT(C142,6)</f>
        <v/>
      </c>
    </row>
    <row r="143">
      <c r="A143" s="18" t="inlineStr">
        <is>
          <t>05-05-02</t>
        </is>
      </c>
      <c r="B143" s="20" t="inlineStr">
        <is>
          <t>★障害者雇用の推進と雇用状況報告（法定雇用率）</t>
        </is>
      </c>
      <c r="C143" s="18" t="inlineStr">
        <is>
          <t>C07-04-02</t>
        </is>
      </c>
      <c r="D143" s="31">
        <f>IFERROR(INDEX(ケイパビリティマップ!$E:$E,MATCH(C143,ケイパビリティマップ!$A:$A,0)),"（IDなし）")</f>
        <v/>
      </c>
      <c r="E143" s="23" t="inlineStr">
        <is>
          <t>主</t>
        </is>
      </c>
      <c r="F143" s="35">
        <f>LEFT(A143,5)</f>
        <v/>
      </c>
      <c r="G143" s="35">
        <f>LEFT(C143,6)</f>
        <v/>
      </c>
    </row>
    <row r="144">
      <c r="A144" s="18" t="inlineStr">
        <is>
          <t>05-05-03</t>
        </is>
      </c>
      <c r="B144" s="20" t="inlineStr">
        <is>
          <t>★男性の育児休業取得率の公表</t>
        </is>
      </c>
      <c r="C144" s="18" t="inlineStr">
        <is>
          <t>C07-04-01</t>
        </is>
      </c>
      <c r="D144" s="31">
        <f>IFERROR(INDEX(ケイパビリティマップ!$E:$E,MATCH(C144,ケイパビリティマップ!$A:$A,0)),"（IDなし）")</f>
        <v/>
      </c>
      <c r="E144" s="23" t="inlineStr">
        <is>
          <t>主</t>
        </is>
      </c>
      <c r="F144" s="35">
        <f>LEFT(A144,5)</f>
        <v/>
      </c>
      <c r="G144" s="35">
        <f>LEFT(C144,6)</f>
        <v/>
      </c>
    </row>
    <row r="145">
      <c r="A145" s="18" t="inlineStr">
        <is>
          <t>05-05-04</t>
        </is>
      </c>
      <c r="B145" s="20" t="inlineStr">
        <is>
          <t>★高年齢者の役割設計と職域開発</t>
        </is>
      </c>
      <c r="C145" s="18" t="inlineStr">
        <is>
          <t>C07-04-03</t>
        </is>
      </c>
      <c r="D145" s="31">
        <f>IFERROR(INDEX(ケイパビリティマップ!$E:$E,MATCH(C145,ケイパビリティマップ!$A:$A,0)),"（IDなし）")</f>
        <v/>
      </c>
      <c r="E145" s="23" t="inlineStr">
        <is>
          <t>主</t>
        </is>
      </c>
      <c r="F145" s="35">
        <f>LEFT(A145,5)</f>
        <v/>
      </c>
      <c r="G145" s="35">
        <f>LEFT(C145,6)</f>
        <v/>
      </c>
    </row>
    <row r="146">
      <c r="A146" s="18" t="inlineStr">
        <is>
          <t>05-05-05</t>
        </is>
      </c>
      <c r="B146" s="20" t="inlineStr">
        <is>
          <t>★人的資本情報の開示（有価証券報告書）</t>
        </is>
      </c>
      <c r="C146" s="18" t="inlineStr">
        <is>
          <t>C01-01-02</t>
        </is>
      </c>
      <c r="D146" s="31">
        <f>IFERROR(INDEX(ケイパビリティマップ!$E:$E,MATCH(C146,ケイパビリティマップ!$A:$A,0)),"（IDなし）")</f>
        <v/>
      </c>
      <c r="E146" s="23" t="inlineStr">
        <is>
          <t>主</t>
        </is>
      </c>
      <c r="F146" s="35">
        <f>LEFT(A146,5)</f>
        <v/>
      </c>
      <c r="G146" s="35">
        <f>LEFT(C146,6)</f>
        <v/>
      </c>
    </row>
    <row r="147">
      <c r="A147" s="18" t="inlineStr">
        <is>
          <t>05-05-05</t>
        </is>
      </c>
      <c r="B147" s="20" t="inlineStr">
        <is>
          <t>★人的資本情報の開示（有価証券報告書）</t>
        </is>
      </c>
      <c r="C147" s="18" t="inlineStr">
        <is>
          <t>C09-01-02</t>
        </is>
      </c>
      <c r="D147" s="31">
        <f>IFERROR(INDEX(ケイパビリティマップ!$E:$E,MATCH(C147,ケイパビリティマップ!$A:$A,0)),"（IDなし）")</f>
        <v/>
      </c>
      <c r="E147" s="23" t="inlineStr">
        <is>
          <t>支援</t>
        </is>
      </c>
      <c r="F147" s="35">
        <f>LEFT(A147,5)</f>
        <v/>
      </c>
      <c r="G147" s="35">
        <f>LEFT(C147,6)</f>
        <v/>
      </c>
    </row>
    <row r="148">
      <c r="A148" s="18" t="inlineStr">
        <is>
          <t>06-01-01</t>
        </is>
      </c>
      <c r="B148" s="20" t="inlineStr">
        <is>
          <t>退職届の受理と退職日・最終出社日の確定</t>
        </is>
      </c>
      <c r="C148" s="18" t="inlineStr">
        <is>
          <t>C08-01-01</t>
        </is>
      </c>
      <c r="D148" s="31">
        <f>IFERROR(INDEX(ケイパビリティマップ!$E:$E,MATCH(C148,ケイパビリティマップ!$A:$A,0)),"（IDなし）")</f>
        <v/>
      </c>
      <c r="E148" s="23" t="inlineStr">
        <is>
          <t>主</t>
        </is>
      </c>
      <c r="F148" s="35">
        <f>LEFT(A148,5)</f>
        <v/>
      </c>
      <c r="G148" s="35">
        <f>LEFT(C148,6)</f>
        <v/>
      </c>
    </row>
    <row r="149">
      <c r="A149" s="18" t="inlineStr">
        <is>
          <t>06-01-02</t>
        </is>
      </c>
      <c r="B149" s="20" t="inlineStr">
        <is>
          <t>退職面談と退職理由の把握</t>
        </is>
      </c>
      <c r="C149" s="18" t="inlineStr">
        <is>
          <t>C08-03-03</t>
        </is>
      </c>
      <c r="D149" s="31">
        <f>IFERROR(INDEX(ケイパビリティマップ!$E:$E,MATCH(C149,ケイパビリティマップ!$A:$A,0)),"（IDなし）")</f>
        <v/>
      </c>
      <c r="E149" s="23" t="inlineStr">
        <is>
          <t>主</t>
        </is>
      </c>
      <c r="F149" s="35">
        <f>LEFT(A149,5)</f>
        <v/>
      </c>
      <c r="G149" s="35">
        <f>LEFT(C149,6)</f>
        <v/>
      </c>
    </row>
    <row r="150">
      <c r="A150" s="18" t="inlineStr">
        <is>
          <t>06-01-03</t>
        </is>
      </c>
      <c r="B150" s="20" t="inlineStr">
        <is>
          <t>★有期契約の更新・雇止めと無期転換の管理</t>
        </is>
      </c>
      <c r="C150" s="18" t="inlineStr">
        <is>
          <t>C03-01-05</t>
        </is>
      </c>
      <c r="D150" s="31">
        <f>IFERROR(INDEX(ケイパビリティマップ!$E:$E,MATCH(C150,ケイパビリティマップ!$A:$A,0)),"（IDなし）")</f>
        <v/>
      </c>
      <c r="E150" s="23" t="inlineStr">
        <is>
          <t>主</t>
        </is>
      </c>
      <c r="F150" s="35">
        <f>LEFT(A150,5)</f>
        <v/>
      </c>
      <c r="G150" s="35">
        <f>LEFT(C150,6)</f>
        <v/>
      </c>
    </row>
    <row r="151">
      <c r="A151" s="18" t="inlineStr">
        <is>
          <t>06-01-04</t>
        </is>
      </c>
      <c r="B151" s="20" t="inlineStr">
        <is>
          <t>懲戒・解雇の手続き（弁明の機会・解雇予告を含む）</t>
        </is>
      </c>
      <c r="C151" s="18" t="inlineStr">
        <is>
          <t>C06-03-03</t>
        </is>
      </c>
      <c r="D151" s="31">
        <f>IFERROR(INDEX(ケイパビリティマップ!$E:$E,MATCH(C151,ケイパビリティマップ!$A:$A,0)),"（IDなし）")</f>
        <v/>
      </c>
      <c r="E151" s="23" t="inlineStr">
        <is>
          <t>主</t>
        </is>
      </c>
      <c r="F151" s="35">
        <f>LEFT(A151,5)</f>
        <v/>
      </c>
      <c r="G151" s="35">
        <f>LEFT(C151,6)</f>
        <v/>
      </c>
    </row>
    <row r="152">
      <c r="A152" s="18" t="inlineStr">
        <is>
          <t>06-02-01</t>
        </is>
      </c>
      <c r="B152" s="20" t="inlineStr">
        <is>
          <t>★定年到達予定者の把握と継続雇用の意向確認</t>
        </is>
      </c>
      <c r="C152" s="18" t="inlineStr">
        <is>
          <t>C08-02-01</t>
        </is>
      </c>
      <c r="D152" s="31">
        <f>IFERROR(INDEX(ケイパビリティマップ!$E:$E,MATCH(C152,ケイパビリティマップ!$A:$A,0)),"（IDなし）")</f>
        <v/>
      </c>
      <c r="E152" s="23" t="inlineStr">
        <is>
          <t>主</t>
        </is>
      </c>
      <c r="F152" s="35">
        <f>LEFT(A152,5)</f>
        <v/>
      </c>
      <c r="G152" s="35">
        <f>LEFT(C152,6)</f>
        <v/>
      </c>
    </row>
    <row r="153">
      <c r="A153" s="18" t="inlineStr">
        <is>
          <t>06-02-02</t>
        </is>
      </c>
      <c r="B153" s="20" t="inlineStr">
        <is>
          <t>★再雇用契約の締結と処遇の決定</t>
        </is>
      </c>
      <c r="C153" s="18" t="inlineStr">
        <is>
          <t>C08-02-02</t>
        </is>
      </c>
      <c r="D153" s="31">
        <f>IFERROR(INDEX(ケイパビリティマップ!$E:$E,MATCH(C153,ケイパビリティマップ!$A:$A,0)),"（IDなし）")</f>
        <v/>
      </c>
      <c r="E153" s="23" t="inlineStr">
        <is>
          <t>主</t>
        </is>
      </c>
      <c r="F153" s="35">
        <f>LEFT(A153,5)</f>
        <v/>
      </c>
      <c r="G153" s="35">
        <f>LEFT(C153,6)</f>
        <v/>
      </c>
    </row>
    <row r="154">
      <c r="A154" s="18" t="inlineStr">
        <is>
          <t>06-02-02</t>
        </is>
      </c>
      <c r="B154" s="20" t="inlineStr">
        <is>
          <t>★再雇用契約の締結と処遇の決定</t>
        </is>
      </c>
      <c r="C154" s="18" t="inlineStr">
        <is>
          <t>C03-01-01</t>
        </is>
      </c>
      <c r="D154" s="31">
        <f>IFERROR(INDEX(ケイパビリティマップ!$E:$E,MATCH(C154,ケイパビリティマップ!$A:$A,0)),"（IDなし）")</f>
        <v/>
      </c>
      <c r="E154" s="23" t="inlineStr">
        <is>
          <t>支援</t>
        </is>
      </c>
      <c r="F154" s="35">
        <f>LEFT(A154,5)</f>
        <v/>
      </c>
      <c r="G154" s="35">
        <f>LEFT(C154,6)</f>
        <v/>
      </c>
    </row>
    <row r="155">
      <c r="A155" s="18" t="inlineStr">
        <is>
          <t>06-02-03</t>
        </is>
      </c>
      <c r="B155" s="20" t="inlineStr">
        <is>
          <t>★70歳までの就業機会の確保措置の運用</t>
        </is>
      </c>
      <c r="C155" s="18" t="inlineStr">
        <is>
          <t>C08-02-02</t>
        </is>
      </c>
      <c r="D155" s="31">
        <f>IFERROR(INDEX(ケイパビリティマップ!$E:$E,MATCH(C155,ケイパビリティマップ!$A:$A,0)),"（IDなし）")</f>
        <v/>
      </c>
      <c r="E155" s="23" t="inlineStr">
        <is>
          <t>主</t>
        </is>
      </c>
      <c r="F155" s="35">
        <f>LEFT(A155,5)</f>
        <v/>
      </c>
      <c r="G155" s="35">
        <f>LEFT(C155,6)</f>
        <v/>
      </c>
    </row>
    <row r="156">
      <c r="A156" s="18" t="inlineStr">
        <is>
          <t>06-02-03</t>
        </is>
      </c>
      <c r="B156" s="20" t="inlineStr">
        <is>
          <t>★70歳までの就業機会の確保措置の運用</t>
        </is>
      </c>
      <c r="C156" s="18" t="inlineStr">
        <is>
          <t>C07-04-03</t>
        </is>
      </c>
      <c r="D156" s="31">
        <f>IFERROR(INDEX(ケイパビリティマップ!$E:$E,MATCH(C156,ケイパビリティマップ!$A:$A,0)),"（IDなし）")</f>
        <v/>
      </c>
      <c r="E156" s="23" t="inlineStr">
        <is>
          <t>支援</t>
        </is>
      </c>
      <c r="F156" s="35">
        <f>LEFT(A156,5)</f>
        <v/>
      </c>
      <c r="G156" s="35">
        <f>LEFT(C156,6)</f>
        <v/>
      </c>
    </row>
    <row r="157">
      <c r="A157" s="18" t="inlineStr">
        <is>
          <t>06-03-01</t>
        </is>
      </c>
      <c r="B157" s="20" t="inlineStr">
        <is>
          <t>最終給与・退職金の精算</t>
        </is>
      </c>
      <c r="C157" s="18" t="inlineStr">
        <is>
          <t>C08-01-03</t>
        </is>
      </c>
      <c r="D157" s="31">
        <f>IFERROR(INDEX(ケイパビリティマップ!$E:$E,MATCH(C157,ケイパビリティマップ!$A:$A,0)),"（IDなし）")</f>
        <v/>
      </c>
      <c r="E157" s="23" t="inlineStr">
        <is>
          <t>主</t>
        </is>
      </c>
      <c r="F157" s="35">
        <f>LEFT(A157,5)</f>
        <v/>
      </c>
      <c r="G157" s="35">
        <f>LEFT(C157,6)</f>
        <v/>
      </c>
    </row>
    <row r="158">
      <c r="A158" s="18" t="inlineStr">
        <is>
          <t>06-03-01</t>
        </is>
      </c>
      <c r="B158" s="20" t="inlineStr">
        <is>
          <t>最終給与・退職金の精算</t>
        </is>
      </c>
      <c r="C158" s="18" t="inlineStr">
        <is>
          <t>C05-04-03</t>
        </is>
      </c>
      <c r="D158" s="31">
        <f>IFERROR(INDEX(ケイパビリティマップ!$E:$E,MATCH(C158,ケイパビリティマップ!$A:$A,0)),"（IDなし）")</f>
        <v/>
      </c>
      <c r="E158" s="23" t="inlineStr">
        <is>
          <t>支援</t>
        </is>
      </c>
      <c r="F158" s="35">
        <f>LEFT(A158,5)</f>
        <v/>
      </c>
      <c r="G158" s="35">
        <f>LEFT(C158,6)</f>
        <v/>
      </c>
    </row>
    <row r="159">
      <c r="A159" s="18" t="inlineStr">
        <is>
          <t>06-03-02</t>
        </is>
      </c>
      <c r="B159" s="20" t="inlineStr">
        <is>
          <t>★社会保険・雇用保険の資格喪失届と離職票の交付</t>
        </is>
      </c>
      <c r="C159" s="18" t="inlineStr">
        <is>
          <t>C08-01-02</t>
        </is>
      </c>
      <c r="D159" s="31">
        <f>IFERROR(INDEX(ケイパビリティマップ!$E:$E,MATCH(C159,ケイパビリティマップ!$A:$A,0)),"（IDなし）")</f>
        <v/>
      </c>
      <c r="E159" s="23" t="inlineStr">
        <is>
          <t>主</t>
        </is>
      </c>
      <c r="F159" s="35">
        <f>LEFT(A159,5)</f>
        <v/>
      </c>
      <c r="G159" s="35">
        <f>LEFT(C159,6)</f>
        <v/>
      </c>
    </row>
    <row r="160">
      <c r="A160" s="18" t="inlineStr">
        <is>
          <t>06-03-03</t>
        </is>
      </c>
      <c r="B160" s="20" t="inlineStr">
        <is>
          <t>源泉徴収票・退職所得の源泉徴収票・退職証明書の交付</t>
        </is>
      </c>
      <c r="C160" s="18" t="inlineStr">
        <is>
          <t>C08-01-04</t>
        </is>
      </c>
      <c r="D160" s="31">
        <f>IFERROR(INDEX(ケイパビリティマップ!$E:$E,MATCH(C160,ケイパビリティマップ!$A:$A,0)),"（IDなし）")</f>
        <v/>
      </c>
      <c r="E160" s="23" t="inlineStr">
        <is>
          <t>主</t>
        </is>
      </c>
      <c r="F160" s="35">
        <f>LEFT(A160,5)</f>
        <v/>
      </c>
      <c r="G160" s="35">
        <f>LEFT(C160,6)</f>
        <v/>
      </c>
    </row>
    <row r="161">
      <c r="A161" s="18" t="inlineStr">
        <is>
          <t>06-03-03</t>
        </is>
      </c>
      <c r="B161" s="20" t="inlineStr">
        <is>
          <t>源泉徴収票・退職所得の源泉徴収票・退職証明書の交付</t>
        </is>
      </c>
      <c r="C161" s="18" t="inlineStr">
        <is>
          <t>C05-03-03</t>
        </is>
      </c>
      <c r="D161" s="31">
        <f>IFERROR(INDEX(ケイパビリティマップ!$E:$E,MATCH(C161,ケイパビリティマップ!$A:$A,0)),"（IDなし）")</f>
        <v/>
      </c>
      <c r="E161" s="23" t="inlineStr">
        <is>
          <t>支援</t>
        </is>
      </c>
      <c r="F161" s="35">
        <f>LEFT(A161,5)</f>
        <v/>
      </c>
      <c r="G161" s="35">
        <f>LEFT(C161,6)</f>
        <v/>
      </c>
    </row>
    <row r="162">
      <c r="A162" s="18" t="inlineStr">
        <is>
          <t>06-03-04</t>
        </is>
      </c>
      <c r="B162" s="20" t="inlineStr">
        <is>
          <t>★住民税の特別徴収に係る異動届の提出</t>
        </is>
      </c>
      <c r="C162" s="18" t="inlineStr">
        <is>
          <t>C05-03-04</t>
        </is>
      </c>
      <c r="D162" s="31">
        <f>IFERROR(INDEX(ケイパビリティマップ!$E:$E,MATCH(C162,ケイパビリティマップ!$A:$A,0)),"（IDなし）")</f>
        <v/>
      </c>
      <c r="E162" s="23" t="inlineStr">
        <is>
          <t>主</t>
        </is>
      </c>
      <c r="F162" s="35">
        <f>LEFT(A162,5)</f>
        <v/>
      </c>
      <c r="G162" s="35">
        <f>LEFT(C162,6)</f>
        <v/>
      </c>
    </row>
    <row r="163">
      <c r="A163" s="18" t="inlineStr">
        <is>
          <t>06-04-01</t>
        </is>
      </c>
      <c r="B163" s="20" t="inlineStr">
        <is>
          <t>業務・ナレッジの引継ぎ</t>
        </is>
      </c>
      <c r="C163" s="18" t="inlineStr">
        <is>
          <t>C08-03-02</t>
        </is>
      </c>
      <c r="D163" s="31">
        <f>IFERROR(INDEX(ケイパビリティマップ!$E:$E,MATCH(C163,ケイパビリティマップ!$A:$A,0)),"（IDなし）")</f>
        <v/>
      </c>
      <c r="E163" s="23" t="inlineStr">
        <is>
          <t>主</t>
        </is>
      </c>
      <c r="F163" s="35">
        <f>LEFT(A163,5)</f>
        <v/>
      </c>
      <c r="G163" s="35">
        <f>LEFT(C163,6)</f>
        <v/>
      </c>
    </row>
    <row r="164">
      <c r="A164" s="18" t="inlineStr">
        <is>
          <t>06-04-02</t>
        </is>
      </c>
      <c r="B164" s="20" t="inlineStr">
        <is>
          <t>貸与物の返却とアカウントの停止</t>
        </is>
      </c>
      <c r="C164" s="18" t="inlineStr">
        <is>
          <t>C08-03-01</t>
        </is>
      </c>
      <c r="D164" s="31">
        <f>IFERROR(INDEX(ケイパビリティマップ!$E:$E,MATCH(C164,ケイパビリティマップ!$A:$A,0)),"（IDなし）")</f>
        <v/>
      </c>
      <c r="E164" s="23" t="inlineStr">
        <is>
          <t>主</t>
        </is>
      </c>
      <c r="F164" s="35">
        <f>LEFT(A164,5)</f>
        <v/>
      </c>
      <c r="G164" s="35">
        <f>LEFT(C164,6)</f>
        <v/>
      </c>
    </row>
    <row r="165">
      <c r="A165" s="18" t="inlineStr">
        <is>
          <t>06-04-02</t>
        </is>
      </c>
      <c r="B165" s="20" t="inlineStr">
        <is>
          <t>貸与物の返却とアカウントの停止</t>
        </is>
      </c>
      <c r="C165" s="18" t="inlineStr">
        <is>
          <t>C09-03-02</t>
        </is>
      </c>
      <c r="D165" s="31">
        <f>IFERROR(INDEX(ケイパビリティマップ!$E:$E,MATCH(C165,ケイパビリティマップ!$A:$A,0)),"（IDなし）")</f>
        <v/>
      </c>
      <c r="E165" s="23" t="inlineStr">
        <is>
          <t>支援</t>
        </is>
      </c>
      <c r="F165" s="35">
        <f>LEFT(A165,5)</f>
        <v/>
      </c>
      <c r="G165" s="35">
        <f>LEFT(C165,6)</f>
        <v/>
      </c>
    </row>
    <row r="166">
      <c r="A166" s="18" t="inlineStr">
        <is>
          <t>06-04-03</t>
        </is>
      </c>
      <c r="B166" s="20" t="inlineStr">
        <is>
          <t>秘密保持・競業避止の確認</t>
        </is>
      </c>
      <c r="C166" s="18" t="inlineStr">
        <is>
          <t>C08-03-01</t>
        </is>
      </c>
      <c r="D166" s="31">
        <f>IFERROR(INDEX(ケイパビリティマップ!$E:$E,MATCH(C166,ケイパビリティマップ!$A:$A,0)),"（IDなし）")</f>
        <v/>
      </c>
      <c r="E166" s="23" t="inlineStr">
        <is>
          <t>主</t>
        </is>
      </c>
      <c r="F166" s="35">
        <f>LEFT(A166,5)</f>
        <v/>
      </c>
      <c r="G166" s="35">
        <f>LEFT(C166,6)</f>
        <v/>
      </c>
    </row>
    <row r="167">
      <c r="A167" s="18" t="inlineStr">
        <is>
          <t>06-04-04</t>
        </is>
      </c>
      <c r="B167" s="20" t="inlineStr">
        <is>
          <t>★退職者の記録の保存と廃棄（法定帳簿・マイナンバーの保存期間の管理）</t>
        </is>
      </c>
      <c r="C167" s="18" t="inlineStr">
        <is>
          <t>C03-03-02</t>
        </is>
      </c>
      <c r="D167" s="31">
        <f>IFERROR(INDEX(ケイパビリティマップ!$E:$E,MATCH(C167,ケイパビリティマップ!$A:$A,0)),"（IDなし）")</f>
        <v/>
      </c>
      <c r="E167" s="23" t="inlineStr">
        <is>
          <t>主</t>
        </is>
      </c>
      <c r="F167" s="35">
        <f>LEFT(A167,5)</f>
        <v/>
      </c>
      <c r="G167" s="35">
        <f>LEFT(C167,6)</f>
        <v/>
      </c>
    </row>
    <row r="168">
      <c r="A168" s="18" t="inlineStr">
        <is>
          <t>06-04-04</t>
        </is>
      </c>
      <c r="B168" s="20" t="inlineStr">
        <is>
          <t>★退職者の記録の保存と廃棄（法定帳簿・マイナンバーの保存期間の管理）</t>
        </is>
      </c>
      <c r="C168" s="18" t="inlineStr">
        <is>
          <t>C09-03-01</t>
        </is>
      </c>
      <c r="D168" s="31">
        <f>IFERROR(INDEX(ケイパビリティマップ!$E:$E,MATCH(C168,ケイパビリティマップ!$A:$A,0)),"（IDなし）")</f>
        <v/>
      </c>
      <c r="E168" s="23" t="inlineStr">
        <is>
          <t>支援</t>
        </is>
      </c>
      <c r="F168" s="35">
        <f>LEFT(A168,5)</f>
        <v/>
      </c>
      <c r="G168" s="35">
        <f>LEFT(C168,6)</f>
        <v/>
      </c>
    </row>
    <row r="169">
      <c r="A169" s="18" t="inlineStr">
        <is>
          <t>06-04-05</t>
        </is>
      </c>
      <c r="B169" s="20" t="inlineStr">
        <is>
          <t>離職分析とアルムナイ・ネットワークの運営</t>
        </is>
      </c>
      <c r="C169" s="18" t="inlineStr">
        <is>
          <t>C08-03-03</t>
        </is>
      </c>
      <c r="D169" s="31">
        <f>IFERROR(INDEX(ケイパビリティマップ!$E:$E,MATCH(C169,ケイパビリティマップ!$A:$A,0)),"（IDなし）")</f>
        <v/>
      </c>
      <c r="E169" s="23" t="inlineStr">
        <is>
          <t>主</t>
        </is>
      </c>
      <c r="F169" s="35">
        <f>LEFT(A169,5)</f>
        <v/>
      </c>
      <c r="G169" s="35">
        <f>LEFT(C169,6)</f>
        <v/>
      </c>
    </row>
    <row r="170">
      <c r="A170" s="18" t="inlineStr">
        <is>
          <t>06-04-05</t>
        </is>
      </c>
      <c r="B170" s="20" t="inlineStr">
        <is>
          <t>離職分析とアルムナイ・ネットワークの運営</t>
        </is>
      </c>
      <c r="C170" s="18" t="inlineStr">
        <is>
          <t>C08-03-04</t>
        </is>
      </c>
      <c r="D170" s="31">
        <f>IFERROR(INDEX(ケイパビリティマップ!$E:$E,MATCH(C170,ケイパビリティマップ!$A:$A,0)),"（IDなし）")</f>
        <v/>
      </c>
      <c r="E170" s="23" t="inlineStr">
        <is>
          <t>主</t>
        </is>
      </c>
      <c r="F170" s="35">
        <f>LEFT(A170,5)</f>
        <v/>
      </c>
      <c r="G170" s="35">
        <f>LEFT(C170,6)</f>
        <v/>
      </c>
    </row>
    <row r="171">
      <c r="A171" s="36" t="n"/>
      <c r="B171" s="36" t="n"/>
      <c r="C171" s="36" t="n"/>
      <c r="D171" s="37">
        <f>IF(C171="","",IFERROR(INDEX(ケイパビリティマップ!$E:$E,MATCH(C171,ケイパビリティマップ!$A:$A,0)),"（IDなし）"))</f>
        <v/>
      </c>
      <c r="E171" s="36" t="n"/>
      <c r="F171" s="37">
        <f>IF(A171="","",LEFT(A171,5))</f>
        <v/>
      </c>
      <c r="G171" s="37">
        <f>IF(C171="","",LEFT(C171,6))</f>
        <v/>
      </c>
    </row>
    <row r="172">
      <c r="A172" s="36" t="n"/>
      <c r="B172" s="36" t="n"/>
      <c r="C172" s="36" t="n"/>
      <c r="D172" s="37">
        <f>IF(C172="","",IFERROR(INDEX(ケイパビリティマップ!$E:$E,MATCH(C172,ケイパビリティマップ!$A:$A,0)),"（IDなし）"))</f>
        <v/>
      </c>
      <c r="E172" s="36" t="n"/>
      <c r="F172" s="37">
        <f>IF(A172="","",LEFT(A172,5))</f>
        <v/>
      </c>
      <c r="G172" s="37">
        <f>IF(C172="","",LEFT(C172,6))</f>
        <v/>
      </c>
    </row>
    <row r="173">
      <c r="A173" s="36" t="n"/>
      <c r="B173" s="36" t="n"/>
      <c r="C173" s="36" t="n"/>
      <c r="D173" s="37">
        <f>IF(C173="","",IFERROR(INDEX(ケイパビリティマップ!$E:$E,MATCH(C173,ケイパビリティマップ!$A:$A,0)),"（IDなし）"))</f>
        <v/>
      </c>
      <c r="E173" s="36" t="n"/>
      <c r="F173" s="37">
        <f>IF(A173="","",LEFT(A173,5))</f>
        <v/>
      </c>
      <c r="G173" s="37">
        <f>IF(C173="","",LEFT(C173,6))</f>
        <v/>
      </c>
    </row>
    <row r="174">
      <c r="A174" s="36" t="n"/>
      <c r="B174" s="36" t="n"/>
      <c r="C174" s="36" t="n"/>
      <c r="D174" s="37">
        <f>IF(C174="","",IFERROR(INDEX(ケイパビリティマップ!$E:$E,MATCH(C174,ケイパビリティマップ!$A:$A,0)),"（IDなし）"))</f>
        <v/>
      </c>
      <c r="E174" s="36" t="n"/>
      <c r="F174" s="37">
        <f>IF(A174="","",LEFT(A174,5))</f>
        <v/>
      </c>
      <c r="G174" s="37">
        <f>IF(C174="","",LEFT(C174,6))</f>
        <v/>
      </c>
    </row>
    <row r="175">
      <c r="A175" s="36" t="n"/>
      <c r="B175" s="36" t="n"/>
      <c r="C175" s="36" t="n"/>
      <c r="D175" s="37">
        <f>IF(C175="","",IFERROR(INDEX(ケイパビリティマップ!$E:$E,MATCH(C175,ケイパビリティマップ!$A:$A,0)),"（IDなし）"))</f>
        <v/>
      </c>
      <c r="E175" s="36" t="n"/>
      <c r="F175" s="37">
        <f>IF(A175="","",LEFT(A175,5))</f>
        <v/>
      </c>
      <c r="G175" s="37">
        <f>IF(C175="","",LEFT(C175,6))</f>
        <v/>
      </c>
    </row>
    <row r="176">
      <c r="A176" s="36" t="n"/>
      <c r="B176" s="36" t="n"/>
      <c r="C176" s="36" t="n"/>
      <c r="D176" s="37">
        <f>IF(C176="","",IFERROR(INDEX(ケイパビリティマップ!$E:$E,MATCH(C176,ケイパビリティマップ!$A:$A,0)),"（IDなし）"))</f>
        <v/>
      </c>
      <c r="E176" s="36" t="n"/>
      <c r="F176" s="37">
        <f>IF(A176="","",LEFT(A176,5))</f>
        <v/>
      </c>
      <c r="G176" s="37">
        <f>IF(C176="","",LEFT(C176,6))</f>
        <v/>
      </c>
    </row>
    <row r="177">
      <c r="A177" s="36" t="n"/>
      <c r="B177" s="36" t="n"/>
      <c r="C177" s="36" t="n"/>
      <c r="D177" s="37">
        <f>IF(C177="","",IFERROR(INDEX(ケイパビリティマップ!$E:$E,MATCH(C177,ケイパビリティマップ!$A:$A,0)),"（IDなし）"))</f>
        <v/>
      </c>
      <c r="E177" s="36" t="n"/>
      <c r="F177" s="37">
        <f>IF(A177="","",LEFT(A177,5))</f>
        <v/>
      </c>
      <c r="G177" s="37">
        <f>IF(C177="","",LEFT(C177,6))</f>
        <v/>
      </c>
    </row>
    <row r="178">
      <c r="A178" s="36" t="n"/>
      <c r="B178" s="36" t="n"/>
      <c r="C178" s="36" t="n"/>
      <c r="D178" s="37">
        <f>IF(C178="","",IFERROR(INDEX(ケイパビリティマップ!$E:$E,MATCH(C178,ケイパビリティマップ!$A:$A,0)),"（IDなし）"))</f>
        <v/>
      </c>
      <c r="E178" s="36" t="n"/>
      <c r="F178" s="37">
        <f>IF(A178="","",LEFT(A178,5))</f>
        <v/>
      </c>
      <c r="G178" s="37">
        <f>IF(C178="","",LEFT(C178,6))</f>
        <v/>
      </c>
    </row>
    <row r="179">
      <c r="A179" s="36" t="n"/>
      <c r="B179" s="36" t="n"/>
      <c r="C179" s="36" t="n"/>
      <c r="D179" s="37">
        <f>IF(C179="","",IFERROR(INDEX(ケイパビリティマップ!$E:$E,MATCH(C179,ケイパビリティマップ!$A:$A,0)),"（IDなし）"))</f>
        <v/>
      </c>
      <c r="E179" s="36" t="n"/>
      <c r="F179" s="37">
        <f>IF(A179="","",LEFT(A179,5))</f>
        <v/>
      </c>
      <c r="G179" s="37">
        <f>IF(C179="","",LEFT(C179,6))</f>
        <v/>
      </c>
    </row>
    <row r="180">
      <c r="A180" s="36" t="n"/>
      <c r="B180" s="36" t="n"/>
      <c r="C180" s="36" t="n"/>
      <c r="D180" s="37">
        <f>IF(C180="","",IFERROR(INDEX(ケイパビリティマップ!$E:$E,MATCH(C180,ケイパビリティマップ!$A:$A,0)),"（IDなし）"))</f>
        <v/>
      </c>
      <c r="E180" s="36" t="n"/>
      <c r="F180" s="37">
        <f>IF(A180="","",LEFT(A180,5))</f>
        <v/>
      </c>
      <c r="G180" s="37">
        <f>IF(C180="","",LEFT(C180,6))</f>
        <v/>
      </c>
    </row>
    <row r="181">
      <c r="A181" s="36" t="n"/>
      <c r="B181" s="36" t="n"/>
      <c r="C181" s="36" t="n"/>
      <c r="D181" s="37">
        <f>IF(C181="","",IFERROR(INDEX(ケイパビリティマップ!$E:$E,MATCH(C181,ケイパビリティマップ!$A:$A,0)),"（IDなし）"))</f>
        <v/>
      </c>
      <c r="E181" s="36" t="n"/>
      <c r="F181" s="37">
        <f>IF(A181="","",LEFT(A181,5))</f>
        <v/>
      </c>
      <c r="G181" s="37">
        <f>IF(C181="","",LEFT(C181,6))</f>
        <v/>
      </c>
    </row>
    <row r="182">
      <c r="A182" s="36" t="n"/>
      <c r="B182" s="36" t="n"/>
      <c r="C182" s="36" t="n"/>
      <c r="D182" s="37">
        <f>IF(C182="","",IFERROR(INDEX(ケイパビリティマップ!$E:$E,MATCH(C182,ケイパビリティマップ!$A:$A,0)),"（IDなし）"))</f>
        <v/>
      </c>
      <c r="E182" s="36" t="n"/>
      <c r="F182" s="37">
        <f>IF(A182="","",LEFT(A182,5))</f>
        <v/>
      </c>
      <c r="G182" s="37">
        <f>IF(C182="","",LEFT(C182,6))</f>
        <v/>
      </c>
    </row>
    <row r="183">
      <c r="A183" s="36" t="n"/>
      <c r="B183" s="36" t="n"/>
      <c r="C183" s="36" t="n"/>
      <c r="D183" s="37">
        <f>IF(C183="","",IFERROR(INDEX(ケイパビリティマップ!$E:$E,MATCH(C183,ケイパビリティマップ!$A:$A,0)),"（IDなし）"))</f>
        <v/>
      </c>
      <c r="E183" s="36" t="n"/>
      <c r="F183" s="37">
        <f>IF(A183="","",LEFT(A183,5))</f>
        <v/>
      </c>
      <c r="G183" s="37">
        <f>IF(C183="","",LEFT(C183,6))</f>
        <v/>
      </c>
    </row>
    <row r="184">
      <c r="A184" s="36" t="n"/>
      <c r="B184" s="36" t="n"/>
      <c r="C184" s="36" t="n"/>
      <c r="D184" s="37">
        <f>IF(C184="","",IFERROR(INDEX(ケイパビリティマップ!$E:$E,MATCH(C184,ケイパビリティマップ!$A:$A,0)),"（IDなし）"))</f>
        <v/>
      </c>
      <c r="E184" s="36" t="n"/>
      <c r="F184" s="37">
        <f>IF(A184="","",LEFT(A184,5))</f>
        <v/>
      </c>
      <c r="G184" s="37">
        <f>IF(C184="","",LEFT(C184,6))</f>
        <v/>
      </c>
    </row>
    <row r="185">
      <c r="A185" s="36" t="n"/>
      <c r="B185" s="36" t="n"/>
      <c r="C185" s="36" t="n"/>
      <c r="D185" s="37">
        <f>IF(C185="","",IFERROR(INDEX(ケイパビリティマップ!$E:$E,MATCH(C185,ケイパビリティマップ!$A:$A,0)),"（IDなし）"))</f>
        <v/>
      </c>
      <c r="E185" s="36" t="n"/>
      <c r="F185" s="37">
        <f>IF(A185="","",LEFT(A185,5))</f>
        <v/>
      </c>
      <c r="G185" s="37">
        <f>IF(C185="","",LEFT(C185,6))</f>
        <v/>
      </c>
    </row>
    <row r="186">
      <c r="A186" s="36" t="n"/>
      <c r="B186" s="36" t="n"/>
      <c r="C186" s="36" t="n"/>
      <c r="D186" s="37">
        <f>IF(C186="","",IFERROR(INDEX(ケイパビリティマップ!$E:$E,MATCH(C186,ケイパビリティマップ!$A:$A,0)),"（IDなし）"))</f>
        <v/>
      </c>
      <c r="E186" s="36" t="n"/>
      <c r="F186" s="37">
        <f>IF(A186="","",LEFT(A186,5))</f>
        <v/>
      </c>
      <c r="G186" s="37">
        <f>IF(C186="","",LEFT(C186,6))</f>
        <v/>
      </c>
    </row>
    <row r="187">
      <c r="A187" s="36" t="n"/>
      <c r="B187" s="36" t="n"/>
      <c r="C187" s="36" t="n"/>
      <c r="D187" s="37">
        <f>IF(C187="","",IFERROR(INDEX(ケイパビリティマップ!$E:$E,MATCH(C187,ケイパビリティマップ!$A:$A,0)),"（IDなし）"))</f>
        <v/>
      </c>
      <c r="E187" s="36" t="n"/>
      <c r="F187" s="37">
        <f>IF(A187="","",LEFT(A187,5))</f>
        <v/>
      </c>
      <c r="G187" s="37">
        <f>IF(C187="","",LEFT(C187,6))</f>
        <v/>
      </c>
    </row>
    <row r="188">
      <c r="A188" s="36" t="n"/>
      <c r="B188" s="36" t="n"/>
      <c r="C188" s="36" t="n"/>
      <c r="D188" s="37">
        <f>IF(C188="","",IFERROR(INDEX(ケイパビリティマップ!$E:$E,MATCH(C188,ケイパビリティマップ!$A:$A,0)),"（IDなし）"))</f>
        <v/>
      </c>
      <c r="E188" s="36" t="n"/>
      <c r="F188" s="37">
        <f>IF(A188="","",LEFT(A188,5))</f>
        <v/>
      </c>
      <c r="G188" s="37">
        <f>IF(C188="","",LEFT(C188,6))</f>
        <v/>
      </c>
    </row>
    <row r="189">
      <c r="A189" s="36" t="n"/>
      <c r="B189" s="36" t="n"/>
      <c r="C189" s="36" t="n"/>
      <c r="D189" s="37">
        <f>IF(C189="","",IFERROR(INDEX(ケイパビリティマップ!$E:$E,MATCH(C189,ケイパビリティマップ!$A:$A,0)),"（IDなし）"))</f>
        <v/>
      </c>
      <c r="E189" s="36" t="n"/>
      <c r="F189" s="37">
        <f>IF(A189="","",LEFT(A189,5))</f>
        <v/>
      </c>
      <c r="G189" s="37">
        <f>IF(C189="","",LEFT(C189,6))</f>
        <v/>
      </c>
    </row>
    <row r="190">
      <c r="A190" s="36" t="n"/>
      <c r="B190" s="36" t="n"/>
      <c r="C190" s="36" t="n"/>
      <c r="D190" s="37">
        <f>IF(C190="","",IFERROR(INDEX(ケイパビリティマップ!$E:$E,MATCH(C190,ケイパビリティマップ!$A:$A,0)),"（IDなし）"))</f>
        <v/>
      </c>
      <c r="E190" s="36" t="n"/>
      <c r="F190" s="37">
        <f>IF(A190="","",LEFT(A190,5))</f>
        <v/>
      </c>
      <c r="G190" s="37">
        <f>IF(C190="","",LEFT(C190,6))</f>
        <v/>
      </c>
    </row>
    <row r="191">
      <c r="A191" s="36" t="n"/>
      <c r="B191" s="36" t="n"/>
      <c r="C191" s="36" t="n"/>
      <c r="D191" s="37">
        <f>IF(C191="","",IFERROR(INDEX(ケイパビリティマップ!$E:$E,MATCH(C191,ケイパビリティマップ!$A:$A,0)),"（IDなし）"))</f>
        <v/>
      </c>
      <c r="E191" s="36" t="n"/>
      <c r="F191" s="37">
        <f>IF(A191="","",LEFT(A191,5))</f>
        <v/>
      </c>
      <c r="G191" s="37">
        <f>IF(C191="","",LEFT(C191,6))</f>
        <v/>
      </c>
    </row>
    <row r="192">
      <c r="A192" s="36" t="n"/>
      <c r="B192" s="36" t="n"/>
      <c r="C192" s="36" t="n"/>
      <c r="D192" s="37">
        <f>IF(C192="","",IFERROR(INDEX(ケイパビリティマップ!$E:$E,MATCH(C192,ケイパビリティマップ!$A:$A,0)),"（IDなし）"))</f>
        <v/>
      </c>
      <c r="E192" s="36" t="n"/>
      <c r="F192" s="37">
        <f>IF(A192="","",LEFT(A192,5))</f>
        <v/>
      </c>
      <c r="G192" s="37">
        <f>IF(C192="","",LEFT(C192,6))</f>
        <v/>
      </c>
    </row>
    <row r="193">
      <c r="A193" s="36" t="n"/>
      <c r="B193" s="36" t="n"/>
      <c r="C193" s="36" t="n"/>
      <c r="D193" s="37">
        <f>IF(C193="","",IFERROR(INDEX(ケイパビリティマップ!$E:$E,MATCH(C193,ケイパビリティマップ!$A:$A,0)),"（IDなし）"))</f>
        <v/>
      </c>
      <c r="E193" s="36" t="n"/>
      <c r="F193" s="37">
        <f>IF(A193="","",LEFT(A193,5))</f>
        <v/>
      </c>
      <c r="G193" s="37">
        <f>IF(C193="","",LEFT(C193,6))</f>
        <v/>
      </c>
    </row>
    <row r="194">
      <c r="A194" s="36" t="n"/>
      <c r="B194" s="36" t="n"/>
      <c r="C194" s="36" t="n"/>
      <c r="D194" s="37">
        <f>IF(C194="","",IFERROR(INDEX(ケイパビリティマップ!$E:$E,MATCH(C194,ケイパビリティマップ!$A:$A,0)),"（IDなし）"))</f>
        <v/>
      </c>
      <c r="E194" s="36" t="n"/>
      <c r="F194" s="37">
        <f>IF(A194="","",LEFT(A194,5))</f>
        <v/>
      </c>
      <c r="G194" s="37">
        <f>IF(C194="","",LEFT(C194,6))</f>
        <v/>
      </c>
    </row>
    <row r="195">
      <c r="A195" s="36" t="n"/>
      <c r="B195" s="36" t="n"/>
      <c r="C195" s="36" t="n"/>
      <c r="D195" s="37">
        <f>IF(C195="","",IFERROR(INDEX(ケイパビリティマップ!$E:$E,MATCH(C195,ケイパビリティマップ!$A:$A,0)),"（IDなし）"))</f>
        <v/>
      </c>
      <c r="E195" s="36" t="n"/>
      <c r="F195" s="37">
        <f>IF(A195="","",LEFT(A195,5))</f>
        <v/>
      </c>
      <c r="G195" s="37">
        <f>IF(C195="","",LEFT(C195,6))</f>
        <v/>
      </c>
    </row>
    <row r="196">
      <c r="A196" s="36" t="n"/>
      <c r="B196" s="36" t="n"/>
      <c r="C196" s="36" t="n"/>
      <c r="D196" s="37">
        <f>IF(C196="","",IFERROR(INDEX(ケイパビリティマップ!$E:$E,MATCH(C196,ケイパビリティマップ!$A:$A,0)),"（IDなし）"))</f>
        <v/>
      </c>
      <c r="E196" s="36" t="n"/>
      <c r="F196" s="37">
        <f>IF(A196="","",LEFT(A196,5))</f>
        <v/>
      </c>
      <c r="G196" s="37">
        <f>IF(C196="","",LEFT(C196,6))</f>
        <v/>
      </c>
    </row>
    <row r="197">
      <c r="A197" s="36" t="n"/>
      <c r="B197" s="36" t="n"/>
      <c r="C197" s="36" t="n"/>
      <c r="D197" s="37">
        <f>IF(C197="","",IFERROR(INDEX(ケイパビリティマップ!$E:$E,MATCH(C197,ケイパビリティマップ!$A:$A,0)),"（IDなし）"))</f>
        <v/>
      </c>
      <c r="E197" s="36" t="n"/>
      <c r="F197" s="37">
        <f>IF(A197="","",LEFT(A197,5))</f>
        <v/>
      </c>
      <c r="G197" s="37">
        <f>IF(C197="","",LEFT(C197,6))</f>
        <v/>
      </c>
    </row>
    <row r="198">
      <c r="A198" s="36" t="n"/>
      <c r="B198" s="36" t="n"/>
      <c r="C198" s="36" t="n"/>
      <c r="D198" s="37">
        <f>IF(C198="","",IFERROR(INDEX(ケイパビリティマップ!$E:$E,MATCH(C198,ケイパビリティマップ!$A:$A,0)),"（IDなし）"))</f>
        <v/>
      </c>
      <c r="E198" s="36" t="n"/>
      <c r="F198" s="37">
        <f>IF(A198="","",LEFT(A198,5))</f>
        <v/>
      </c>
      <c r="G198" s="37">
        <f>IF(C198="","",LEFT(C198,6))</f>
        <v/>
      </c>
    </row>
    <row r="199">
      <c r="A199" s="36" t="n"/>
      <c r="B199" s="36" t="n"/>
      <c r="C199" s="36" t="n"/>
      <c r="D199" s="37">
        <f>IF(C199="","",IFERROR(INDEX(ケイパビリティマップ!$E:$E,MATCH(C199,ケイパビリティマップ!$A:$A,0)),"（IDなし）"))</f>
        <v/>
      </c>
      <c r="E199" s="36" t="n"/>
      <c r="F199" s="37">
        <f>IF(A199="","",LEFT(A199,5))</f>
        <v/>
      </c>
      <c r="G199" s="37">
        <f>IF(C199="","",LEFT(C199,6))</f>
        <v/>
      </c>
    </row>
    <row r="200">
      <c r="A200" s="36" t="n"/>
      <c r="B200" s="36" t="n"/>
      <c r="C200" s="36" t="n"/>
      <c r="D200" s="37">
        <f>IF(C200="","",IFERROR(INDEX(ケイパビリティマップ!$E:$E,MATCH(C200,ケイパビリティマップ!$A:$A,0)),"（IDなし）"))</f>
        <v/>
      </c>
      <c r="E200" s="36" t="n"/>
      <c r="F200" s="37">
        <f>IF(A200="","",LEFT(A200,5))</f>
        <v/>
      </c>
      <c r="G200" s="37">
        <f>IF(C200="","",LEFT(C200,6))</f>
        <v/>
      </c>
    </row>
    <row r="201">
      <c r="A201" s="36" t="n"/>
      <c r="B201" s="36" t="n"/>
      <c r="C201" s="36" t="n"/>
      <c r="D201" s="37">
        <f>IF(C201="","",IFERROR(INDEX(ケイパビリティマップ!$E:$E,MATCH(C201,ケイパビリティマップ!$A:$A,0)),"（IDなし）"))</f>
        <v/>
      </c>
      <c r="E201" s="36" t="n"/>
      <c r="F201" s="37">
        <f>IF(A201="","",LEFT(A201,5))</f>
        <v/>
      </c>
      <c r="G201" s="37">
        <f>IF(C201="","",LEFT(C201,6))</f>
        <v/>
      </c>
    </row>
    <row r="202">
      <c r="A202" s="36" t="n"/>
      <c r="B202" s="36" t="n"/>
      <c r="C202" s="36" t="n"/>
      <c r="D202" s="37">
        <f>IF(C202="","",IFERROR(INDEX(ケイパビリティマップ!$E:$E,MATCH(C202,ケイパビリティマップ!$A:$A,0)),"（IDなし）"))</f>
        <v/>
      </c>
      <c r="E202" s="36" t="n"/>
      <c r="F202" s="37">
        <f>IF(A202="","",LEFT(A202,5))</f>
        <v/>
      </c>
      <c r="G202" s="37">
        <f>IF(C202="","",LEFT(C202,6))</f>
        <v/>
      </c>
    </row>
    <row r="203">
      <c r="A203" s="36" t="n"/>
      <c r="B203" s="36" t="n"/>
      <c r="C203" s="36" t="n"/>
      <c r="D203" s="37">
        <f>IF(C203="","",IFERROR(INDEX(ケイパビリティマップ!$E:$E,MATCH(C203,ケイパビリティマップ!$A:$A,0)),"（IDなし）"))</f>
        <v/>
      </c>
      <c r="E203" s="36" t="n"/>
      <c r="F203" s="37">
        <f>IF(A203="","",LEFT(A203,5))</f>
        <v/>
      </c>
      <c r="G203" s="37">
        <f>IF(C203="","",LEFT(C203,6))</f>
        <v/>
      </c>
    </row>
    <row r="204">
      <c r="A204" s="36" t="n"/>
      <c r="B204" s="36" t="n"/>
      <c r="C204" s="36" t="n"/>
      <c r="D204" s="37">
        <f>IF(C204="","",IFERROR(INDEX(ケイパビリティマップ!$E:$E,MATCH(C204,ケイパビリティマップ!$A:$A,0)),"（IDなし）"))</f>
        <v/>
      </c>
      <c r="E204" s="36" t="n"/>
      <c r="F204" s="37">
        <f>IF(A204="","",LEFT(A204,5))</f>
        <v/>
      </c>
      <c r="G204" s="37">
        <f>IF(C204="","",LEFT(C204,6))</f>
        <v/>
      </c>
    </row>
    <row r="205">
      <c r="A205" s="36" t="n"/>
      <c r="B205" s="36" t="n"/>
      <c r="C205" s="36" t="n"/>
      <c r="D205" s="37">
        <f>IF(C205="","",IFERROR(INDEX(ケイパビリティマップ!$E:$E,MATCH(C205,ケイパビリティマップ!$A:$A,0)),"（IDなし）"))</f>
        <v/>
      </c>
      <c r="E205" s="36" t="n"/>
      <c r="F205" s="37">
        <f>IF(A205="","",LEFT(A205,5))</f>
        <v/>
      </c>
      <c r="G205" s="37">
        <f>IF(C205="","",LEFT(C205,6))</f>
        <v/>
      </c>
    </row>
    <row r="206">
      <c r="A206" s="36" t="n"/>
      <c r="B206" s="36" t="n"/>
      <c r="C206" s="36" t="n"/>
      <c r="D206" s="37">
        <f>IF(C206="","",IFERROR(INDEX(ケイパビリティマップ!$E:$E,MATCH(C206,ケイパビリティマップ!$A:$A,0)),"（IDなし）"))</f>
        <v/>
      </c>
      <c r="E206" s="36" t="n"/>
      <c r="F206" s="37">
        <f>IF(A206="","",LEFT(A206,5))</f>
        <v/>
      </c>
      <c r="G206" s="37">
        <f>IF(C206="","",LEFT(C206,6))</f>
        <v/>
      </c>
    </row>
    <row r="207">
      <c r="A207" s="36" t="n"/>
      <c r="B207" s="36" t="n"/>
      <c r="C207" s="36" t="n"/>
      <c r="D207" s="37">
        <f>IF(C207="","",IFERROR(INDEX(ケイパビリティマップ!$E:$E,MATCH(C207,ケイパビリティマップ!$A:$A,0)),"（IDなし）"))</f>
        <v/>
      </c>
      <c r="E207" s="36" t="n"/>
      <c r="F207" s="37">
        <f>IF(A207="","",LEFT(A207,5))</f>
        <v/>
      </c>
      <c r="G207" s="37">
        <f>IF(C207="","",LEFT(C207,6))</f>
        <v/>
      </c>
    </row>
    <row r="208">
      <c r="A208" s="36" t="n"/>
      <c r="B208" s="36" t="n"/>
      <c r="C208" s="36" t="n"/>
      <c r="D208" s="37">
        <f>IF(C208="","",IFERROR(INDEX(ケイパビリティマップ!$E:$E,MATCH(C208,ケイパビリティマップ!$A:$A,0)),"（IDなし）"))</f>
        <v/>
      </c>
      <c r="E208" s="36" t="n"/>
      <c r="F208" s="37">
        <f>IF(A208="","",LEFT(A208,5))</f>
        <v/>
      </c>
      <c r="G208" s="37">
        <f>IF(C208="","",LEFT(C208,6))</f>
        <v/>
      </c>
    </row>
    <row r="209">
      <c r="A209" s="36" t="n"/>
      <c r="B209" s="36" t="n"/>
      <c r="C209" s="36" t="n"/>
      <c r="D209" s="37">
        <f>IF(C209="","",IFERROR(INDEX(ケイパビリティマップ!$E:$E,MATCH(C209,ケイパビリティマップ!$A:$A,0)),"（IDなし）"))</f>
        <v/>
      </c>
      <c r="E209" s="36" t="n"/>
      <c r="F209" s="37">
        <f>IF(A209="","",LEFT(A209,5))</f>
        <v/>
      </c>
      <c r="G209" s="37">
        <f>IF(C209="","",LEFT(C209,6))</f>
        <v/>
      </c>
    </row>
    <row r="210">
      <c r="A210" s="36" t="n"/>
      <c r="B210" s="36" t="n"/>
      <c r="C210" s="36" t="n"/>
      <c r="D210" s="37">
        <f>IF(C210="","",IFERROR(INDEX(ケイパビリティマップ!$E:$E,MATCH(C210,ケイパビリティマップ!$A:$A,0)),"（IDなし）"))</f>
        <v/>
      </c>
      <c r="E210" s="36" t="n"/>
      <c r="F210" s="37">
        <f>IF(A210="","",LEFT(A210,5))</f>
        <v/>
      </c>
      <c r="G210" s="37">
        <f>IF(C210="","",LEFT(C210,6))</f>
        <v/>
      </c>
    </row>
    <row r="211">
      <c r="A211" s="36" t="n"/>
      <c r="B211" s="36" t="n"/>
      <c r="C211" s="36" t="n"/>
      <c r="D211" s="37">
        <f>IF(C211="","",IFERROR(INDEX(ケイパビリティマップ!$E:$E,MATCH(C211,ケイパビリティマップ!$A:$A,0)),"（IDなし）"))</f>
        <v/>
      </c>
      <c r="E211" s="36" t="n"/>
      <c r="F211" s="37">
        <f>IF(A211="","",LEFT(A211,5))</f>
        <v/>
      </c>
      <c r="G211" s="37">
        <f>IF(C211="","",LEFT(C211,6))</f>
        <v/>
      </c>
    </row>
    <row r="212">
      <c r="A212" s="36" t="n"/>
      <c r="B212" s="36" t="n"/>
      <c r="C212" s="36" t="n"/>
      <c r="D212" s="37">
        <f>IF(C212="","",IFERROR(INDEX(ケイパビリティマップ!$E:$E,MATCH(C212,ケイパビリティマップ!$A:$A,0)),"（IDなし）"))</f>
        <v/>
      </c>
      <c r="E212" s="36" t="n"/>
      <c r="F212" s="37">
        <f>IF(A212="","",LEFT(A212,5))</f>
        <v/>
      </c>
      <c r="G212" s="37">
        <f>IF(C212="","",LEFT(C212,6))</f>
        <v/>
      </c>
    </row>
    <row r="213">
      <c r="A213" s="36" t="n"/>
      <c r="B213" s="36" t="n"/>
      <c r="C213" s="36" t="n"/>
      <c r="D213" s="37">
        <f>IF(C213="","",IFERROR(INDEX(ケイパビリティマップ!$E:$E,MATCH(C213,ケイパビリティマップ!$A:$A,0)),"（IDなし）"))</f>
        <v/>
      </c>
      <c r="E213" s="36" t="n"/>
      <c r="F213" s="37">
        <f>IF(A213="","",LEFT(A213,5))</f>
        <v/>
      </c>
      <c r="G213" s="37">
        <f>IF(C213="","",LEFT(C213,6))</f>
        <v/>
      </c>
    </row>
    <row r="214">
      <c r="A214" s="36" t="n"/>
      <c r="B214" s="36" t="n"/>
      <c r="C214" s="36" t="n"/>
      <c r="D214" s="37">
        <f>IF(C214="","",IFERROR(INDEX(ケイパビリティマップ!$E:$E,MATCH(C214,ケイパビリティマップ!$A:$A,0)),"（IDなし）"))</f>
        <v/>
      </c>
      <c r="E214" s="36" t="n"/>
      <c r="F214" s="37">
        <f>IF(A214="","",LEFT(A214,5))</f>
        <v/>
      </c>
      <c r="G214" s="37">
        <f>IF(C214="","",LEFT(C214,6))</f>
        <v/>
      </c>
    </row>
    <row r="215">
      <c r="A215" s="36" t="n"/>
      <c r="B215" s="36" t="n"/>
      <c r="C215" s="36" t="n"/>
      <c r="D215" s="37">
        <f>IF(C215="","",IFERROR(INDEX(ケイパビリティマップ!$E:$E,MATCH(C215,ケイパビリティマップ!$A:$A,0)),"（IDなし）"))</f>
        <v/>
      </c>
      <c r="E215" s="36" t="n"/>
      <c r="F215" s="37">
        <f>IF(A215="","",LEFT(A215,5))</f>
        <v/>
      </c>
      <c r="G215" s="37">
        <f>IF(C215="","",LEFT(C215,6))</f>
        <v/>
      </c>
    </row>
    <row r="216">
      <c r="A216" s="36" t="n"/>
      <c r="B216" s="36" t="n"/>
      <c r="C216" s="36" t="n"/>
      <c r="D216" s="37">
        <f>IF(C216="","",IFERROR(INDEX(ケイパビリティマップ!$E:$E,MATCH(C216,ケイパビリティマップ!$A:$A,0)),"（IDなし）"))</f>
        <v/>
      </c>
      <c r="E216" s="36" t="n"/>
      <c r="F216" s="37">
        <f>IF(A216="","",LEFT(A216,5))</f>
        <v/>
      </c>
      <c r="G216" s="37">
        <f>IF(C216="","",LEFT(C216,6))</f>
        <v/>
      </c>
    </row>
    <row r="217">
      <c r="A217" s="36" t="n"/>
      <c r="B217" s="36" t="n"/>
      <c r="C217" s="36" t="n"/>
      <c r="D217" s="37">
        <f>IF(C217="","",IFERROR(INDEX(ケイパビリティマップ!$E:$E,MATCH(C217,ケイパビリティマップ!$A:$A,0)),"（IDなし）"))</f>
        <v/>
      </c>
      <c r="E217" s="36" t="n"/>
      <c r="F217" s="37">
        <f>IF(A217="","",LEFT(A217,5))</f>
        <v/>
      </c>
      <c r="G217" s="37">
        <f>IF(C217="","",LEFT(C217,6))</f>
        <v/>
      </c>
    </row>
    <row r="218">
      <c r="A218" s="36" t="n"/>
      <c r="B218" s="36" t="n"/>
      <c r="C218" s="36" t="n"/>
      <c r="D218" s="37">
        <f>IF(C218="","",IFERROR(INDEX(ケイパビリティマップ!$E:$E,MATCH(C218,ケイパビリティマップ!$A:$A,0)),"（IDなし）"))</f>
        <v/>
      </c>
      <c r="E218" s="36" t="n"/>
      <c r="F218" s="37">
        <f>IF(A218="","",LEFT(A218,5))</f>
        <v/>
      </c>
      <c r="G218" s="37">
        <f>IF(C218="","",LEFT(C218,6))</f>
        <v/>
      </c>
    </row>
    <row r="219">
      <c r="A219" s="36" t="n"/>
      <c r="B219" s="36" t="n"/>
      <c r="C219" s="36" t="n"/>
      <c r="D219" s="37">
        <f>IF(C219="","",IFERROR(INDEX(ケイパビリティマップ!$E:$E,MATCH(C219,ケイパビリティマップ!$A:$A,0)),"（IDなし）"))</f>
        <v/>
      </c>
      <c r="E219" s="36" t="n"/>
      <c r="F219" s="37">
        <f>IF(A219="","",LEFT(A219,5))</f>
        <v/>
      </c>
      <c r="G219" s="37">
        <f>IF(C219="","",LEFT(C219,6))</f>
        <v/>
      </c>
    </row>
    <row r="220">
      <c r="A220" s="36" t="n"/>
      <c r="B220" s="36" t="n"/>
      <c r="C220" s="36" t="n"/>
      <c r="D220" s="37">
        <f>IF(C220="","",IFERROR(INDEX(ケイパビリティマップ!$E:$E,MATCH(C220,ケイパビリティマップ!$A:$A,0)),"（IDなし）"))</f>
        <v/>
      </c>
      <c r="E220" s="36" t="n"/>
      <c r="F220" s="37">
        <f>IF(A220="","",LEFT(A220,5))</f>
        <v/>
      </c>
      <c r="G220" s="37">
        <f>IF(C220="","",LEFT(C220,6))</f>
        <v/>
      </c>
    </row>
    <row r="221">
      <c r="A221" s="36" t="n"/>
      <c r="B221" s="36" t="n"/>
      <c r="C221" s="36" t="n"/>
      <c r="D221" s="37">
        <f>IF(C221="","",IFERROR(INDEX(ケイパビリティマップ!$E:$E,MATCH(C221,ケイパビリティマップ!$A:$A,0)),"（IDなし）"))</f>
        <v/>
      </c>
      <c r="E221" s="36" t="n"/>
      <c r="F221" s="37">
        <f>IF(A221="","",LEFT(A221,5))</f>
        <v/>
      </c>
      <c r="G221" s="37">
        <f>IF(C221="","",LEFT(C221,6))</f>
        <v/>
      </c>
    </row>
    <row r="222">
      <c r="A222" s="36" t="n"/>
      <c r="B222" s="36" t="n"/>
      <c r="C222" s="36" t="n"/>
      <c r="D222" s="37">
        <f>IF(C222="","",IFERROR(INDEX(ケイパビリティマップ!$E:$E,MATCH(C222,ケイパビリティマップ!$A:$A,0)),"（IDなし）"))</f>
        <v/>
      </c>
      <c r="E222" s="36" t="n"/>
      <c r="F222" s="37">
        <f>IF(A222="","",LEFT(A222,5))</f>
        <v/>
      </c>
      <c r="G222" s="37">
        <f>IF(C222="","",LEFT(C222,6))</f>
        <v/>
      </c>
    </row>
    <row r="223">
      <c r="A223" s="36" t="n"/>
      <c r="B223" s="36" t="n"/>
      <c r="C223" s="36" t="n"/>
      <c r="D223" s="37">
        <f>IF(C223="","",IFERROR(INDEX(ケイパビリティマップ!$E:$E,MATCH(C223,ケイパビリティマップ!$A:$A,0)),"（IDなし）"))</f>
        <v/>
      </c>
      <c r="E223" s="36" t="n"/>
      <c r="F223" s="37">
        <f>IF(A223="","",LEFT(A223,5))</f>
        <v/>
      </c>
      <c r="G223" s="37">
        <f>IF(C223="","",LEFT(C223,6))</f>
        <v/>
      </c>
    </row>
    <row r="224">
      <c r="A224" s="36" t="n"/>
      <c r="B224" s="36" t="n"/>
      <c r="C224" s="36" t="n"/>
      <c r="D224" s="37">
        <f>IF(C224="","",IFERROR(INDEX(ケイパビリティマップ!$E:$E,MATCH(C224,ケイパビリティマップ!$A:$A,0)),"（IDなし）"))</f>
        <v/>
      </c>
      <c r="E224" s="36" t="n"/>
      <c r="F224" s="37">
        <f>IF(A224="","",LEFT(A224,5))</f>
        <v/>
      </c>
      <c r="G224" s="37">
        <f>IF(C224="","",LEFT(C224,6))</f>
        <v/>
      </c>
    </row>
    <row r="225">
      <c r="A225" s="36" t="n"/>
      <c r="B225" s="36" t="n"/>
      <c r="C225" s="36" t="n"/>
      <c r="D225" s="37">
        <f>IF(C225="","",IFERROR(INDEX(ケイパビリティマップ!$E:$E,MATCH(C225,ケイパビリティマップ!$A:$A,0)),"（IDなし）"))</f>
        <v/>
      </c>
      <c r="E225" s="36" t="n"/>
      <c r="F225" s="37">
        <f>IF(A225="","",LEFT(A225,5))</f>
        <v/>
      </c>
      <c r="G225" s="37">
        <f>IF(C225="","",LEFT(C225,6))</f>
        <v/>
      </c>
    </row>
    <row r="226">
      <c r="A226" s="36" t="n"/>
      <c r="B226" s="36" t="n"/>
      <c r="C226" s="36" t="n"/>
      <c r="D226" s="37">
        <f>IF(C226="","",IFERROR(INDEX(ケイパビリティマップ!$E:$E,MATCH(C226,ケイパビリティマップ!$A:$A,0)),"（IDなし）"))</f>
        <v/>
      </c>
      <c r="E226" s="36" t="n"/>
      <c r="F226" s="37">
        <f>IF(A226="","",LEFT(A226,5))</f>
        <v/>
      </c>
      <c r="G226" s="37">
        <f>IF(C226="","",LEFT(C226,6))</f>
        <v/>
      </c>
    </row>
    <row r="227">
      <c r="A227" s="36" t="n"/>
      <c r="B227" s="36" t="n"/>
      <c r="C227" s="36" t="n"/>
      <c r="D227" s="37">
        <f>IF(C227="","",IFERROR(INDEX(ケイパビリティマップ!$E:$E,MATCH(C227,ケイパビリティマップ!$A:$A,0)),"（IDなし）"))</f>
        <v/>
      </c>
      <c r="E227" s="36" t="n"/>
      <c r="F227" s="37">
        <f>IF(A227="","",LEFT(A227,5))</f>
        <v/>
      </c>
      <c r="G227" s="37">
        <f>IF(C227="","",LEFT(C227,6))</f>
        <v/>
      </c>
    </row>
    <row r="228">
      <c r="A228" s="36" t="n"/>
      <c r="B228" s="36" t="n"/>
      <c r="C228" s="36" t="n"/>
      <c r="D228" s="37">
        <f>IF(C228="","",IFERROR(INDEX(ケイパビリティマップ!$E:$E,MATCH(C228,ケイパビリティマップ!$A:$A,0)),"（IDなし）"))</f>
        <v/>
      </c>
      <c r="E228" s="36" t="n"/>
      <c r="F228" s="37">
        <f>IF(A228="","",LEFT(A228,5))</f>
        <v/>
      </c>
      <c r="G228" s="37">
        <f>IF(C228="","",LEFT(C228,6))</f>
        <v/>
      </c>
    </row>
    <row r="229">
      <c r="A229" s="36" t="n"/>
      <c r="B229" s="36" t="n"/>
      <c r="C229" s="36" t="n"/>
      <c r="D229" s="37">
        <f>IF(C229="","",IFERROR(INDEX(ケイパビリティマップ!$E:$E,MATCH(C229,ケイパビリティマップ!$A:$A,0)),"（IDなし）"))</f>
        <v/>
      </c>
      <c r="E229" s="36" t="n"/>
      <c r="F229" s="37">
        <f>IF(A229="","",LEFT(A229,5))</f>
        <v/>
      </c>
      <c r="G229" s="37">
        <f>IF(C229="","",LEFT(C229,6))</f>
        <v/>
      </c>
    </row>
    <row r="230">
      <c r="A230" s="36" t="n"/>
      <c r="B230" s="36" t="n"/>
      <c r="C230" s="36" t="n"/>
      <c r="D230" s="37">
        <f>IF(C230="","",IFERROR(INDEX(ケイパビリティマップ!$E:$E,MATCH(C230,ケイパビリティマップ!$A:$A,0)),"（IDなし）"))</f>
        <v/>
      </c>
      <c r="E230" s="36" t="n"/>
      <c r="F230" s="37">
        <f>IF(A230="","",LEFT(A230,5))</f>
        <v/>
      </c>
      <c r="G230" s="37">
        <f>IF(C230="","",LEFT(C230,6))</f>
        <v/>
      </c>
    </row>
    <row r="231">
      <c r="A231" s="36" t="n"/>
      <c r="B231" s="36" t="n"/>
      <c r="C231" s="36" t="n"/>
      <c r="D231" s="37">
        <f>IF(C231="","",IFERROR(INDEX(ケイパビリティマップ!$E:$E,MATCH(C231,ケイパビリティマップ!$A:$A,0)),"（IDなし）"))</f>
        <v/>
      </c>
      <c r="E231" s="36" t="n"/>
      <c r="F231" s="37">
        <f>IF(A231="","",LEFT(A231,5))</f>
        <v/>
      </c>
      <c r="G231" s="37">
        <f>IF(C231="","",LEFT(C231,6))</f>
        <v/>
      </c>
    </row>
    <row r="232">
      <c r="A232" s="36" t="n"/>
      <c r="B232" s="36" t="n"/>
      <c r="C232" s="36" t="n"/>
      <c r="D232" s="37">
        <f>IF(C232="","",IFERROR(INDEX(ケイパビリティマップ!$E:$E,MATCH(C232,ケイパビリティマップ!$A:$A,0)),"（IDなし）"))</f>
        <v/>
      </c>
      <c r="E232" s="36" t="n"/>
      <c r="F232" s="37">
        <f>IF(A232="","",LEFT(A232,5))</f>
        <v/>
      </c>
      <c r="G232" s="37">
        <f>IF(C232="","",LEFT(C232,6))</f>
        <v/>
      </c>
    </row>
    <row r="233">
      <c r="A233" s="36" t="n"/>
      <c r="B233" s="36" t="n"/>
      <c r="C233" s="36" t="n"/>
      <c r="D233" s="37">
        <f>IF(C233="","",IFERROR(INDEX(ケイパビリティマップ!$E:$E,MATCH(C233,ケイパビリティマップ!$A:$A,0)),"（IDなし）"))</f>
        <v/>
      </c>
      <c r="E233" s="36" t="n"/>
      <c r="F233" s="37">
        <f>IF(A233="","",LEFT(A233,5))</f>
        <v/>
      </c>
      <c r="G233" s="37">
        <f>IF(C233="","",LEFT(C233,6))</f>
        <v/>
      </c>
    </row>
    <row r="234">
      <c r="A234" s="36" t="n"/>
      <c r="B234" s="36" t="n"/>
      <c r="C234" s="36" t="n"/>
      <c r="D234" s="37">
        <f>IF(C234="","",IFERROR(INDEX(ケイパビリティマップ!$E:$E,MATCH(C234,ケイパビリティマップ!$A:$A,0)),"（IDなし）"))</f>
        <v/>
      </c>
      <c r="E234" s="36" t="n"/>
      <c r="F234" s="37">
        <f>IF(A234="","",LEFT(A234,5))</f>
        <v/>
      </c>
      <c r="G234" s="37">
        <f>IF(C234="","",LEFT(C234,6))</f>
        <v/>
      </c>
    </row>
    <row r="235">
      <c r="A235" s="36" t="n"/>
      <c r="B235" s="36" t="n"/>
      <c r="C235" s="36" t="n"/>
      <c r="D235" s="37">
        <f>IF(C235="","",IFERROR(INDEX(ケイパビリティマップ!$E:$E,MATCH(C235,ケイパビリティマップ!$A:$A,0)),"（IDなし）"))</f>
        <v/>
      </c>
      <c r="E235" s="36" t="n"/>
      <c r="F235" s="37">
        <f>IF(A235="","",LEFT(A235,5))</f>
        <v/>
      </c>
      <c r="G235" s="37">
        <f>IF(C235="","",LEFT(C235,6))</f>
        <v/>
      </c>
    </row>
    <row r="236">
      <c r="A236" s="36" t="n"/>
      <c r="B236" s="36" t="n"/>
      <c r="C236" s="36" t="n"/>
      <c r="D236" s="37">
        <f>IF(C236="","",IFERROR(INDEX(ケイパビリティマップ!$E:$E,MATCH(C236,ケイパビリティマップ!$A:$A,0)),"（IDなし）"))</f>
        <v/>
      </c>
      <c r="E236" s="36" t="n"/>
      <c r="F236" s="37">
        <f>IF(A236="","",LEFT(A236,5))</f>
        <v/>
      </c>
      <c r="G236" s="37">
        <f>IF(C236="","",LEFT(C236,6))</f>
        <v/>
      </c>
    </row>
    <row r="237">
      <c r="A237" s="36" t="n"/>
      <c r="B237" s="36" t="n"/>
      <c r="C237" s="36" t="n"/>
      <c r="D237" s="37">
        <f>IF(C237="","",IFERROR(INDEX(ケイパビリティマップ!$E:$E,MATCH(C237,ケイパビリティマップ!$A:$A,0)),"（IDなし）"))</f>
        <v/>
      </c>
      <c r="E237" s="36" t="n"/>
      <c r="F237" s="37">
        <f>IF(A237="","",LEFT(A237,5))</f>
        <v/>
      </c>
      <c r="G237" s="37">
        <f>IF(C237="","",LEFT(C237,6))</f>
        <v/>
      </c>
    </row>
    <row r="238">
      <c r="A238" s="36" t="n"/>
      <c r="B238" s="36" t="n"/>
      <c r="C238" s="36" t="n"/>
      <c r="D238" s="37">
        <f>IF(C238="","",IFERROR(INDEX(ケイパビリティマップ!$E:$E,MATCH(C238,ケイパビリティマップ!$A:$A,0)),"（IDなし）"))</f>
        <v/>
      </c>
      <c r="E238" s="36" t="n"/>
      <c r="F238" s="37">
        <f>IF(A238="","",LEFT(A238,5))</f>
        <v/>
      </c>
      <c r="G238" s="37">
        <f>IF(C238="","",LEFT(C238,6))</f>
        <v/>
      </c>
    </row>
    <row r="239">
      <c r="A239" s="36" t="n"/>
      <c r="B239" s="36" t="n"/>
      <c r="C239" s="36" t="n"/>
      <c r="D239" s="37">
        <f>IF(C239="","",IFERROR(INDEX(ケイパビリティマップ!$E:$E,MATCH(C239,ケイパビリティマップ!$A:$A,0)),"（IDなし）"))</f>
        <v/>
      </c>
      <c r="E239" s="36" t="n"/>
      <c r="F239" s="37">
        <f>IF(A239="","",LEFT(A239,5))</f>
        <v/>
      </c>
      <c r="G239" s="37">
        <f>IF(C239="","",LEFT(C239,6))</f>
        <v/>
      </c>
    </row>
    <row r="240">
      <c r="A240" s="36" t="n"/>
      <c r="B240" s="36" t="n"/>
      <c r="C240" s="36" t="n"/>
      <c r="D240" s="37">
        <f>IF(C240="","",IFERROR(INDEX(ケイパビリティマップ!$E:$E,MATCH(C240,ケイパビリティマップ!$A:$A,0)),"（IDなし）"))</f>
        <v/>
      </c>
      <c r="E240" s="36" t="n"/>
      <c r="F240" s="37">
        <f>IF(A240="","",LEFT(A240,5))</f>
        <v/>
      </c>
      <c r="G240" s="37">
        <f>IF(C240="","",LEFT(C240,6))</f>
        <v/>
      </c>
    </row>
    <row r="241">
      <c r="A241" s="36" t="n"/>
      <c r="B241" s="36" t="n"/>
      <c r="C241" s="36" t="n"/>
      <c r="D241" s="37">
        <f>IF(C241="","",IFERROR(INDEX(ケイパビリティマップ!$E:$E,MATCH(C241,ケイパビリティマップ!$A:$A,0)),"（IDなし）"))</f>
        <v/>
      </c>
      <c r="E241" s="36" t="n"/>
      <c r="F241" s="37">
        <f>IF(A241="","",LEFT(A241,5))</f>
        <v/>
      </c>
      <c r="G241" s="37">
        <f>IF(C241="","",LEFT(C241,6))</f>
        <v/>
      </c>
    </row>
    <row r="242">
      <c r="A242" s="36" t="n"/>
      <c r="B242" s="36" t="n"/>
      <c r="C242" s="36" t="n"/>
      <c r="D242" s="37">
        <f>IF(C242="","",IFERROR(INDEX(ケイパビリティマップ!$E:$E,MATCH(C242,ケイパビリティマップ!$A:$A,0)),"（IDなし）"))</f>
        <v/>
      </c>
      <c r="E242" s="36" t="n"/>
      <c r="F242" s="37">
        <f>IF(A242="","",LEFT(A242,5))</f>
        <v/>
      </c>
      <c r="G242" s="37">
        <f>IF(C242="","",LEFT(C242,6))</f>
        <v/>
      </c>
    </row>
    <row r="243">
      <c r="A243" s="36" t="n"/>
      <c r="B243" s="36" t="n"/>
      <c r="C243" s="36" t="n"/>
      <c r="D243" s="37">
        <f>IF(C243="","",IFERROR(INDEX(ケイパビリティマップ!$E:$E,MATCH(C243,ケイパビリティマップ!$A:$A,0)),"（IDなし）"))</f>
        <v/>
      </c>
      <c r="E243" s="36" t="n"/>
      <c r="F243" s="37">
        <f>IF(A243="","",LEFT(A243,5))</f>
        <v/>
      </c>
      <c r="G243" s="37">
        <f>IF(C243="","",LEFT(C243,6))</f>
        <v/>
      </c>
    </row>
    <row r="244">
      <c r="A244" s="36" t="n"/>
      <c r="B244" s="36" t="n"/>
      <c r="C244" s="36" t="n"/>
      <c r="D244" s="37">
        <f>IF(C244="","",IFERROR(INDEX(ケイパビリティマップ!$E:$E,MATCH(C244,ケイパビリティマップ!$A:$A,0)),"（IDなし）"))</f>
        <v/>
      </c>
      <c r="E244" s="36" t="n"/>
      <c r="F244" s="37">
        <f>IF(A244="","",LEFT(A244,5))</f>
        <v/>
      </c>
      <c r="G244" s="37">
        <f>IF(C244="","",LEFT(C244,6))</f>
        <v/>
      </c>
    </row>
    <row r="245">
      <c r="A245" s="36" t="n"/>
      <c r="B245" s="36" t="n"/>
      <c r="C245" s="36" t="n"/>
      <c r="D245" s="37">
        <f>IF(C245="","",IFERROR(INDEX(ケイパビリティマップ!$E:$E,MATCH(C245,ケイパビリティマップ!$A:$A,0)),"（IDなし）"))</f>
        <v/>
      </c>
      <c r="E245" s="36" t="n"/>
      <c r="F245" s="37">
        <f>IF(A245="","",LEFT(A245,5))</f>
        <v/>
      </c>
      <c r="G245" s="37">
        <f>IF(C245="","",LEFT(C245,6))</f>
        <v/>
      </c>
    </row>
    <row r="246">
      <c r="A246" s="36" t="n"/>
      <c r="B246" s="36" t="n"/>
      <c r="C246" s="36" t="n"/>
      <c r="D246" s="37">
        <f>IF(C246="","",IFERROR(INDEX(ケイパビリティマップ!$E:$E,MATCH(C246,ケイパビリティマップ!$A:$A,0)),"（IDなし）"))</f>
        <v/>
      </c>
      <c r="E246" s="36" t="n"/>
      <c r="F246" s="37">
        <f>IF(A246="","",LEFT(A246,5))</f>
        <v/>
      </c>
      <c r="G246" s="37">
        <f>IF(C246="","",LEFT(C246,6))</f>
        <v/>
      </c>
    </row>
    <row r="247">
      <c r="A247" s="36" t="n"/>
      <c r="B247" s="36" t="n"/>
      <c r="C247" s="36" t="n"/>
      <c r="D247" s="37">
        <f>IF(C247="","",IFERROR(INDEX(ケイパビリティマップ!$E:$E,MATCH(C247,ケイパビリティマップ!$A:$A,0)),"（IDなし）"))</f>
        <v/>
      </c>
      <c r="E247" s="36" t="n"/>
      <c r="F247" s="37">
        <f>IF(A247="","",LEFT(A247,5))</f>
        <v/>
      </c>
      <c r="G247" s="37">
        <f>IF(C247="","",LEFT(C247,6))</f>
        <v/>
      </c>
    </row>
    <row r="248">
      <c r="A248" s="36" t="n"/>
      <c r="B248" s="36" t="n"/>
      <c r="C248" s="36" t="n"/>
      <c r="D248" s="37">
        <f>IF(C248="","",IFERROR(INDEX(ケイパビリティマップ!$E:$E,MATCH(C248,ケイパビリティマップ!$A:$A,0)),"（IDなし）"))</f>
        <v/>
      </c>
      <c r="E248" s="36" t="n"/>
      <c r="F248" s="37">
        <f>IF(A248="","",LEFT(A248,5))</f>
        <v/>
      </c>
      <c r="G248" s="37">
        <f>IF(C248="","",LEFT(C248,6))</f>
        <v/>
      </c>
    </row>
    <row r="249">
      <c r="A249" s="36" t="n"/>
      <c r="B249" s="36" t="n"/>
      <c r="C249" s="36" t="n"/>
      <c r="D249" s="37">
        <f>IF(C249="","",IFERROR(INDEX(ケイパビリティマップ!$E:$E,MATCH(C249,ケイパビリティマップ!$A:$A,0)),"（IDなし）"))</f>
        <v/>
      </c>
      <c r="E249" s="36" t="n"/>
      <c r="F249" s="37">
        <f>IF(A249="","",LEFT(A249,5))</f>
        <v/>
      </c>
      <c r="G249" s="37">
        <f>IF(C249="","",LEFT(C249,6))</f>
        <v/>
      </c>
    </row>
    <row r="250">
      <c r="A250" s="36" t="n"/>
      <c r="B250" s="36" t="n"/>
      <c r="C250" s="36" t="n"/>
      <c r="D250" s="37">
        <f>IF(C250="","",IFERROR(INDEX(ケイパビリティマップ!$E:$E,MATCH(C250,ケイパビリティマップ!$A:$A,0)),"（IDなし）"))</f>
        <v/>
      </c>
      <c r="E250" s="36" t="n"/>
      <c r="F250" s="37">
        <f>IF(A250="","",LEFT(A250,5))</f>
        <v/>
      </c>
      <c r="G250" s="37">
        <f>IF(C250="","",LEFT(C250,6))</f>
        <v/>
      </c>
    </row>
    <row r="251">
      <c r="A251" s="36" t="n"/>
      <c r="B251" s="36" t="n"/>
      <c r="C251" s="36" t="n"/>
      <c r="D251" s="37">
        <f>IF(C251="","",IFERROR(INDEX(ケイパビリティマップ!$E:$E,MATCH(C251,ケイパビリティマップ!$A:$A,0)),"（IDなし）"))</f>
        <v/>
      </c>
      <c r="E251" s="36" t="n"/>
      <c r="F251" s="37">
        <f>IF(A251="","",LEFT(A251,5))</f>
        <v/>
      </c>
      <c r="G251" s="37">
        <f>IF(C251="","",LEFT(C251,6))</f>
        <v/>
      </c>
    </row>
    <row r="252">
      <c r="A252" s="36" t="n"/>
      <c r="B252" s="36" t="n"/>
      <c r="C252" s="36" t="n"/>
      <c r="D252" s="37">
        <f>IF(C252="","",IFERROR(INDEX(ケイパビリティマップ!$E:$E,MATCH(C252,ケイパビリティマップ!$A:$A,0)),"（IDなし）"))</f>
        <v/>
      </c>
      <c r="E252" s="36" t="n"/>
      <c r="F252" s="37">
        <f>IF(A252="","",LEFT(A252,5))</f>
        <v/>
      </c>
      <c r="G252" s="37">
        <f>IF(C252="","",LEFT(C252,6))</f>
        <v/>
      </c>
    </row>
    <row r="253">
      <c r="A253" s="36" t="n"/>
      <c r="B253" s="36" t="n"/>
      <c r="C253" s="36" t="n"/>
      <c r="D253" s="37">
        <f>IF(C253="","",IFERROR(INDEX(ケイパビリティマップ!$E:$E,MATCH(C253,ケイパビリティマップ!$A:$A,0)),"（IDなし）"))</f>
        <v/>
      </c>
      <c r="E253" s="36" t="n"/>
      <c r="F253" s="37">
        <f>IF(A253="","",LEFT(A253,5))</f>
        <v/>
      </c>
      <c r="G253" s="37">
        <f>IF(C253="","",LEFT(C253,6))</f>
        <v/>
      </c>
    </row>
    <row r="254">
      <c r="A254" s="36" t="n"/>
      <c r="B254" s="36" t="n"/>
      <c r="C254" s="36" t="n"/>
      <c r="D254" s="37">
        <f>IF(C254="","",IFERROR(INDEX(ケイパビリティマップ!$E:$E,MATCH(C254,ケイパビリティマップ!$A:$A,0)),"（IDなし）"))</f>
        <v/>
      </c>
      <c r="E254" s="36" t="n"/>
      <c r="F254" s="37">
        <f>IF(A254="","",LEFT(A254,5))</f>
        <v/>
      </c>
      <c r="G254" s="37">
        <f>IF(C254="","",LEFT(C254,6))</f>
        <v/>
      </c>
    </row>
    <row r="255">
      <c r="A255" s="36" t="n"/>
      <c r="B255" s="36" t="n"/>
      <c r="C255" s="36" t="n"/>
      <c r="D255" s="37">
        <f>IF(C255="","",IFERROR(INDEX(ケイパビリティマップ!$E:$E,MATCH(C255,ケイパビリティマップ!$A:$A,0)),"（IDなし）"))</f>
        <v/>
      </c>
      <c r="E255" s="36" t="n"/>
      <c r="F255" s="37">
        <f>IF(A255="","",LEFT(A255,5))</f>
        <v/>
      </c>
      <c r="G255" s="37">
        <f>IF(C255="","",LEFT(C255,6))</f>
        <v/>
      </c>
    </row>
    <row r="256">
      <c r="A256" s="36" t="n"/>
      <c r="B256" s="36" t="n"/>
      <c r="C256" s="36" t="n"/>
      <c r="D256" s="37">
        <f>IF(C256="","",IFERROR(INDEX(ケイパビリティマップ!$E:$E,MATCH(C256,ケイパビリティマップ!$A:$A,0)),"（IDなし）"))</f>
        <v/>
      </c>
      <c r="E256" s="36" t="n"/>
      <c r="F256" s="37">
        <f>IF(A256="","",LEFT(A256,5))</f>
        <v/>
      </c>
      <c r="G256" s="37">
        <f>IF(C256="","",LEFT(C256,6))</f>
        <v/>
      </c>
    </row>
    <row r="257">
      <c r="A257" s="36" t="n"/>
      <c r="B257" s="36" t="n"/>
      <c r="C257" s="36" t="n"/>
      <c r="D257" s="37">
        <f>IF(C257="","",IFERROR(INDEX(ケイパビリティマップ!$E:$E,MATCH(C257,ケイパビリティマップ!$A:$A,0)),"（IDなし）"))</f>
        <v/>
      </c>
      <c r="E257" s="36" t="n"/>
      <c r="F257" s="37">
        <f>IF(A257="","",LEFT(A257,5))</f>
        <v/>
      </c>
      <c r="G257" s="37">
        <f>IF(C257="","",LEFT(C257,6))</f>
        <v/>
      </c>
    </row>
    <row r="258">
      <c r="A258" s="36" t="n"/>
      <c r="B258" s="36" t="n"/>
      <c r="C258" s="36" t="n"/>
      <c r="D258" s="37">
        <f>IF(C258="","",IFERROR(INDEX(ケイパビリティマップ!$E:$E,MATCH(C258,ケイパビリティマップ!$A:$A,0)),"（IDなし）"))</f>
        <v/>
      </c>
      <c r="E258" s="36" t="n"/>
      <c r="F258" s="37">
        <f>IF(A258="","",LEFT(A258,5))</f>
        <v/>
      </c>
      <c r="G258" s="37">
        <f>IF(C258="","",LEFT(C258,6))</f>
        <v/>
      </c>
    </row>
    <row r="259">
      <c r="A259" s="36" t="n"/>
      <c r="B259" s="36" t="n"/>
      <c r="C259" s="36" t="n"/>
      <c r="D259" s="37">
        <f>IF(C259="","",IFERROR(INDEX(ケイパビリティマップ!$E:$E,MATCH(C259,ケイパビリティマップ!$A:$A,0)),"（IDなし）"))</f>
        <v/>
      </c>
      <c r="E259" s="36" t="n"/>
      <c r="F259" s="37">
        <f>IF(A259="","",LEFT(A259,5))</f>
        <v/>
      </c>
      <c r="G259" s="37">
        <f>IF(C259="","",LEFT(C259,6))</f>
        <v/>
      </c>
    </row>
    <row r="260">
      <c r="A260" s="36" t="n"/>
      <c r="B260" s="36" t="n"/>
      <c r="C260" s="36" t="n"/>
      <c r="D260" s="37">
        <f>IF(C260="","",IFERROR(INDEX(ケイパビリティマップ!$E:$E,MATCH(C260,ケイパビリティマップ!$A:$A,0)),"（IDなし）"))</f>
        <v/>
      </c>
      <c r="E260" s="36" t="n"/>
      <c r="F260" s="37">
        <f>IF(A260="","",LEFT(A260,5))</f>
        <v/>
      </c>
      <c r="G260" s="37">
        <f>IF(C260="","",LEFT(C260,6))</f>
        <v/>
      </c>
    </row>
    <row r="261">
      <c r="A261" s="36" t="n"/>
      <c r="B261" s="36" t="n"/>
      <c r="C261" s="36" t="n"/>
      <c r="D261" s="37">
        <f>IF(C261="","",IFERROR(INDEX(ケイパビリティマップ!$E:$E,MATCH(C261,ケイパビリティマップ!$A:$A,0)),"（IDなし）"))</f>
        <v/>
      </c>
      <c r="E261" s="36" t="n"/>
      <c r="F261" s="37">
        <f>IF(A261="","",LEFT(A261,5))</f>
        <v/>
      </c>
      <c r="G261" s="37">
        <f>IF(C261="","",LEFT(C261,6))</f>
        <v/>
      </c>
    </row>
    <row r="262">
      <c r="A262" s="36" t="n"/>
      <c r="B262" s="36" t="n"/>
      <c r="C262" s="36" t="n"/>
      <c r="D262" s="37">
        <f>IF(C262="","",IFERROR(INDEX(ケイパビリティマップ!$E:$E,MATCH(C262,ケイパビリティマップ!$A:$A,0)),"（IDなし）"))</f>
        <v/>
      </c>
      <c r="E262" s="36" t="n"/>
      <c r="F262" s="37">
        <f>IF(A262="","",LEFT(A262,5))</f>
        <v/>
      </c>
      <c r="G262" s="37">
        <f>IF(C262="","",LEFT(C262,6))</f>
        <v/>
      </c>
    </row>
    <row r="263">
      <c r="A263" s="36" t="n"/>
      <c r="B263" s="36" t="n"/>
      <c r="C263" s="36" t="n"/>
      <c r="D263" s="37">
        <f>IF(C263="","",IFERROR(INDEX(ケイパビリティマップ!$E:$E,MATCH(C263,ケイパビリティマップ!$A:$A,0)),"（IDなし）"))</f>
        <v/>
      </c>
      <c r="E263" s="36" t="n"/>
      <c r="F263" s="37">
        <f>IF(A263="","",LEFT(A263,5))</f>
        <v/>
      </c>
      <c r="G263" s="37">
        <f>IF(C263="","",LEFT(C263,6))</f>
        <v/>
      </c>
    </row>
    <row r="264">
      <c r="A264" s="36" t="n"/>
      <c r="B264" s="36" t="n"/>
      <c r="C264" s="36" t="n"/>
      <c r="D264" s="37">
        <f>IF(C264="","",IFERROR(INDEX(ケイパビリティマップ!$E:$E,MATCH(C264,ケイパビリティマップ!$A:$A,0)),"（IDなし）"))</f>
        <v/>
      </c>
      <c r="E264" s="36" t="n"/>
      <c r="F264" s="37">
        <f>IF(A264="","",LEFT(A264,5))</f>
        <v/>
      </c>
      <c r="G264" s="37">
        <f>IF(C264="","",LEFT(C264,6))</f>
        <v/>
      </c>
    </row>
    <row r="265">
      <c r="A265" s="36" t="n"/>
      <c r="B265" s="36" t="n"/>
      <c r="C265" s="36" t="n"/>
      <c r="D265" s="37">
        <f>IF(C265="","",IFERROR(INDEX(ケイパビリティマップ!$E:$E,MATCH(C265,ケイパビリティマップ!$A:$A,0)),"（IDなし）"))</f>
        <v/>
      </c>
      <c r="E265" s="36" t="n"/>
      <c r="F265" s="37">
        <f>IF(A265="","",LEFT(A265,5))</f>
        <v/>
      </c>
      <c r="G265" s="37">
        <f>IF(C265="","",LEFT(C265,6))</f>
        <v/>
      </c>
    </row>
    <row r="266">
      <c r="A266" s="36" t="n"/>
      <c r="B266" s="36" t="n"/>
      <c r="C266" s="36" t="n"/>
      <c r="D266" s="37">
        <f>IF(C266="","",IFERROR(INDEX(ケイパビリティマップ!$E:$E,MATCH(C266,ケイパビリティマップ!$A:$A,0)),"（IDなし）"))</f>
        <v/>
      </c>
      <c r="E266" s="36" t="n"/>
      <c r="F266" s="37">
        <f>IF(A266="","",LEFT(A266,5))</f>
        <v/>
      </c>
      <c r="G266" s="37">
        <f>IF(C266="","",LEFT(C266,6))</f>
        <v/>
      </c>
    </row>
    <row r="267">
      <c r="A267" s="36" t="n"/>
      <c r="B267" s="36" t="n"/>
      <c r="C267" s="36" t="n"/>
      <c r="D267" s="37">
        <f>IF(C267="","",IFERROR(INDEX(ケイパビリティマップ!$E:$E,MATCH(C267,ケイパビリティマップ!$A:$A,0)),"（IDなし）"))</f>
        <v/>
      </c>
      <c r="E267" s="36" t="n"/>
      <c r="F267" s="37">
        <f>IF(A267="","",LEFT(A267,5))</f>
        <v/>
      </c>
      <c r="G267" s="37">
        <f>IF(C267="","",LEFT(C267,6))</f>
        <v/>
      </c>
    </row>
    <row r="268">
      <c r="A268" s="36" t="n"/>
      <c r="B268" s="36" t="n"/>
      <c r="C268" s="36" t="n"/>
      <c r="D268" s="37">
        <f>IF(C268="","",IFERROR(INDEX(ケイパビリティマップ!$E:$E,MATCH(C268,ケイパビリティマップ!$A:$A,0)),"（IDなし）"))</f>
        <v/>
      </c>
      <c r="E268" s="36" t="n"/>
      <c r="F268" s="37">
        <f>IF(A268="","",LEFT(A268,5))</f>
        <v/>
      </c>
      <c r="G268" s="37">
        <f>IF(C268="","",LEFT(C268,6))</f>
        <v/>
      </c>
    </row>
    <row r="269">
      <c r="A269" s="36" t="n"/>
      <c r="B269" s="36" t="n"/>
      <c r="C269" s="36" t="n"/>
      <c r="D269" s="37">
        <f>IF(C269="","",IFERROR(INDEX(ケイパビリティマップ!$E:$E,MATCH(C269,ケイパビリティマップ!$A:$A,0)),"（IDなし）"))</f>
        <v/>
      </c>
      <c r="E269" s="36" t="n"/>
      <c r="F269" s="37">
        <f>IF(A269="","",LEFT(A269,5))</f>
        <v/>
      </c>
      <c r="G269" s="37">
        <f>IF(C269="","",LEFT(C269,6))</f>
        <v/>
      </c>
    </row>
    <row r="270">
      <c r="A270" s="36" t="n"/>
      <c r="B270" s="36" t="n"/>
      <c r="C270" s="36" t="n"/>
      <c r="D270" s="37">
        <f>IF(C270="","",IFERROR(INDEX(ケイパビリティマップ!$E:$E,MATCH(C270,ケイパビリティマップ!$A:$A,0)),"（IDなし）"))</f>
        <v/>
      </c>
      <c r="E270" s="36" t="n"/>
      <c r="F270" s="37">
        <f>IF(A270="","",LEFT(A270,5))</f>
        <v/>
      </c>
      <c r="G270" s="37">
        <f>IF(C270="","",LEFT(C270,6))</f>
        <v/>
      </c>
    </row>
    <row r="271">
      <c r="A271" s="36" t="n"/>
      <c r="B271" s="36" t="n"/>
      <c r="C271" s="36" t="n"/>
      <c r="D271" s="37">
        <f>IF(C271="","",IFERROR(INDEX(ケイパビリティマップ!$E:$E,MATCH(C271,ケイパビリティマップ!$A:$A,0)),"（IDなし）"))</f>
        <v/>
      </c>
      <c r="E271" s="36" t="n"/>
      <c r="F271" s="37">
        <f>IF(A271="","",LEFT(A271,5))</f>
        <v/>
      </c>
      <c r="G271" s="37">
        <f>IF(C271="","",LEFT(C271,6))</f>
        <v/>
      </c>
    </row>
    <row r="272">
      <c r="A272" s="36" t="n"/>
      <c r="B272" s="36" t="n"/>
      <c r="C272" s="36" t="n"/>
      <c r="D272" s="37">
        <f>IF(C272="","",IFERROR(INDEX(ケイパビリティマップ!$E:$E,MATCH(C272,ケイパビリティマップ!$A:$A,0)),"（IDなし）"))</f>
        <v/>
      </c>
      <c r="E272" s="36" t="n"/>
      <c r="F272" s="37">
        <f>IF(A272="","",LEFT(A272,5))</f>
        <v/>
      </c>
      <c r="G272" s="37">
        <f>IF(C272="","",LEFT(C272,6))</f>
        <v/>
      </c>
    </row>
    <row r="273">
      <c r="A273" s="36" t="n"/>
      <c r="B273" s="36" t="n"/>
      <c r="C273" s="36" t="n"/>
      <c r="D273" s="37">
        <f>IF(C273="","",IFERROR(INDEX(ケイパビリティマップ!$E:$E,MATCH(C273,ケイパビリティマップ!$A:$A,0)),"（IDなし）"))</f>
        <v/>
      </c>
      <c r="E273" s="36" t="n"/>
      <c r="F273" s="37">
        <f>IF(A273="","",LEFT(A273,5))</f>
        <v/>
      </c>
      <c r="G273" s="37">
        <f>IF(C273="","",LEFT(C273,6))</f>
        <v/>
      </c>
    </row>
    <row r="274">
      <c r="A274" s="36" t="n"/>
      <c r="B274" s="36" t="n"/>
      <c r="C274" s="36" t="n"/>
      <c r="D274" s="37">
        <f>IF(C274="","",IFERROR(INDEX(ケイパビリティマップ!$E:$E,MATCH(C274,ケイパビリティマップ!$A:$A,0)),"（IDなし）"))</f>
        <v/>
      </c>
      <c r="E274" s="36" t="n"/>
      <c r="F274" s="37">
        <f>IF(A274="","",LEFT(A274,5))</f>
        <v/>
      </c>
      <c r="G274" s="37">
        <f>IF(C274="","",LEFT(C274,6))</f>
        <v/>
      </c>
    </row>
    <row r="275">
      <c r="A275" s="36" t="n"/>
      <c r="B275" s="36" t="n"/>
      <c r="C275" s="36" t="n"/>
      <c r="D275" s="37">
        <f>IF(C275="","",IFERROR(INDEX(ケイパビリティマップ!$E:$E,MATCH(C275,ケイパビリティマップ!$A:$A,0)),"（IDなし）"))</f>
        <v/>
      </c>
      <c r="E275" s="36" t="n"/>
      <c r="F275" s="37">
        <f>IF(A275="","",LEFT(A275,5))</f>
        <v/>
      </c>
      <c r="G275" s="37">
        <f>IF(C275="","",LEFT(C275,6))</f>
        <v/>
      </c>
    </row>
    <row r="276">
      <c r="A276" s="36" t="n"/>
      <c r="B276" s="36" t="n"/>
      <c r="C276" s="36" t="n"/>
      <c r="D276" s="37">
        <f>IF(C276="","",IFERROR(INDEX(ケイパビリティマップ!$E:$E,MATCH(C276,ケイパビリティマップ!$A:$A,0)),"（IDなし）"))</f>
        <v/>
      </c>
      <c r="E276" s="36" t="n"/>
      <c r="F276" s="37">
        <f>IF(A276="","",LEFT(A276,5))</f>
        <v/>
      </c>
      <c r="G276" s="37">
        <f>IF(C276="","",LEFT(C276,6))</f>
        <v/>
      </c>
    </row>
    <row r="277">
      <c r="A277" s="36" t="n"/>
      <c r="B277" s="36" t="n"/>
      <c r="C277" s="36" t="n"/>
      <c r="D277" s="37">
        <f>IF(C277="","",IFERROR(INDEX(ケイパビリティマップ!$E:$E,MATCH(C277,ケイパビリティマップ!$A:$A,0)),"（IDなし）"))</f>
        <v/>
      </c>
      <c r="E277" s="36" t="n"/>
      <c r="F277" s="37">
        <f>IF(A277="","",LEFT(A277,5))</f>
        <v/>
      </c>
      <c r="G277" s="37">
        <f>IF(C277="","",LEFT(C277,6))</f>
        <v/>
      </c>
    </row>
    <row r="278">
      <c r="A278" s="36" t="n"/>
      <c r="B278" s="36" t="n"/>
      <c r="C278" s="36" t="n"/>
      <c r="D278" s="37">
        <f>IF(C278="","",IFERROR(INDEX(ケイパビリティマップ!$E:$E,MATCH(C278,ケイパビリティマップ!$A:$A,0)),"（IDなし）"))</f>
        <v/>
      </c>
      <c r="E278" s="36" t="n"/>
      <c r="F278" s="37">
        <f>IF(A278="","",LEFT(A278,5))</f>
        <v/>
      </c>
      <c r="G278" s="37">
        <f>IF(C278="","",LEFT(C278,6))</f>
        <v/>
      </c>
    </row>
    <row r="279">
      <c r="A279" s="36" t="n"/>
      <c r="B279" s="36" t="n"/>
      <c r="C279" s="36" t="n"/>
      <c r="D279" s="37">
        <f>IF(C279="","",IFERROR(INDEX(ケイパビリティマップ!$E:$E,MATCH(C279,ケイパビリティマップ!$A:$A,0)),"（IDなし）"))</f>
        <v/>
      </c>
      <c r="E279" s="36" t="n"/>
      <c r="F279" s="37">
        <f>IF(A279="","",LEFT(A279,5))</f>
        <v/>
      </c>
      <c r="G279" s="37">
        <f>IF(C279="","",LEFT(C279,6))</f>
        <v/>
      </c>
    </row>
    <row r="280">
      <c r="A280" s="36" t="n"/>
      <c r="B280" s="36" t="n"/>
      <c r="C280" s="36" t="n"/>
      <c r="D280" s="37">
        <f>IF(C280="","",IFERROR(INDEX(ケイパビリティマップ!$E:$E,MATCH(C280,ケイパビリティマップ!$A:$A,0)),"（IDなし）"))</f>
        <v/>
      </c>
      <c r="E280" s="36" t="n"/>
      <c r="F280" s="37">
        <f>IF(A280="","",LEFT(A280,5))</f>
        <v/>
      </c>
      <c r="G280" s="37">
        <f>IF(C280="","",LEFT(C280,6))</f>
        <v/>
      </c>
    </row>
    <row r="281">
      <c r="A281" s="36" t="n"/>
      <c r="B281" s="36" t="n"/>
      <c r="C281" s="36" t="n"/>
      <c r="D281" s="37">
        <f>IF(C281="","",IFERROR(INDEX(ケイパビリティマップ!$E:$E,MATCH(C281,ケイパビリティマップ!$A:$A,0)),"（IDなし）"))</f>
        <v/>
      </c>
      <c r="E281" s="36" t="n"/>
      <c r="F281" s="37">
        <f>IF(A281="","",LEFT(A281,5))</f>
        <v/>
      </c>
      <c r="G281" s="37">
        <f>IF(C281="","",LEFT(C281,6))</f>
        <v/>
      </c>
    </row>
    <row r="282">
      <c r="A282" s="36" t="n"/>
      <c r="B282" s="36" t="n"/>
      <c r="C282" s="36" t="n"/>
      <c r="D282" s="37">
        <f>IF(C282="","",IFERROR(INDEX(ケイパビリティマップ!$E:$E,MATCH(C282,ケイパビリティマップ!$A:$A,0)),"（IDなし）"))</f>
        <v/>
      </c>
      <c r="E282" s="36" t="n"/>
      <c r="F282" s="37">
        <f>IF(A282="","",LEFT(A282,5))</f>
        <v/>
      </c>
      <c r="G282" s="37">
        <f>IF(C282="","",LEFT(C282,6))</f>
        <v/>
      </c>
    </row>
    <row r="283">
      <c r="A283" s="36" t="n"/>
      <c r="B283" s="36" t="n"/>
      <c r="C283" s="36" t="n"/>
      <c r="D283" s="37">
        <f>IF(C283="","",IFERROR(INDEX(ケイパビリティマップ!$E:$E,MATCH(C283,ケイパビリティマップ!$A:$A,0)),"（IDなし）"))</f>
        <v/>
      </c>
      <c r="E283" s="36" t="n"/>
      <c r="F283" s="37">
        <f>IF(A283="","",LEFT(A283,5))</f>
        <v/>
      </c>
      <c r="G283" s="37">
        <f>IF(C283="","",LEFT(C283,6))</f>
        <v/>
      </c>
    </row>
    <row r="284">
      <c r="A284" s="36" t="n"/>
      <c r="B284" s="36" t="n"/>
      <c r="C284" s="36" t="n"/>
      <c r="D284" s="37">
        <f>IF(C284="","",IFERROR(INDEX(ケイパビリティマップ!$E:$E,MATCH(C284,ケイパビリティマップ!$A:$A,0)),"（IDなし）"))</f>
        <v/>
      </c>
      <c r="E284" s="36" t="n"/>
      <c r="F284" s="37">
        <f>IF(A284="","",LEFT(A284,5))</f>
        <v/>
      </c>
      <c r="G284" s="37">
        <f>IF(C284="","",LEFT(C284,6))</f>
        <v/>
      </c>
    </row>
    <row r="285">
      <c r="A285" s="36" t="n"/>
      <c r="B285" s="36" t="n"/>
      <c r="C285" s="36" t="n"/>
      <c r="D285" s="37">
        <f>IF(C285="","",IFERROR(INDEX(ケイパビリティマップ!$E:$E,MATCH(C285,ケイパビリティマップ!$A:$A,0)),"（IDなし）"))</f>
        <v/>
      </c>
      <c r="E285" s="36" t="n"/>
      <c r="F285" s="37">
        <f>IF(A285="","",LEFT(A285,5))</f>
        <v/>
      </c>
      <c r="G285" s="37">
        <f>IF(C285="","",LEFT(C285,6))</f>
        <v/>
      </c>
    </row>
    <row r="286">
      <c r="A286" s="36" t="n"/>
      <c r="B286" s="36" t="n"/>
      <c r="C286" s="36" t="n"/>
      <c r="D286" s="37">
        <f>IF(C286="","",IFERROR(INDEX(ケイパビリティマップ!$E:$E,MATCH(C286,ケイパビリティマップ!$A:$A,0)),"（IDなし）"))</f>
        <v/>
      </c>
      <c r="E286" s="36" t="n"/>
      <c r="F286" s="37">
        <f>IF(A286="","",LEFT(A286,5))</f>
        <v/>
      </c>
      <c r="G286" s="37">
        <f>IF(C286="","",LEFT(C286,6))</f>
        <v/>
      </c>
    </row>
    <row r="287">
      <c r="A287" s="36" t="n"/>
      <c r="B287" s="36" t="n"/>
      <c r="C287" s="36" t="n"/>
      <c r="D287" s="37">
        <f>IF(C287="","",IFERROR(INDEX(ケイパビリティマップ!$E:$E,MATCH(C287,ケイパビリティマップ!$A:$A,0)),"（IDなし）"))</f>
        <v/>
      </c>
      <c r="E287" s="36" t="n"/>
      <c r="F287" s="37">
        <f>IF(A287="","",LEFT(A287,5))</f>
        <v/>
      </c>
      <c r="G287" s="37">
        <f>IF(C287="","",LEFT(C287,6))</f>
        <v/>
      </c>
    </row>
    <row r="288">
      <c r="A288" s="36" t="n"/>
      <c r="B288" s="36" t="n"/>
      <c r="C288" s="36" t="n"/>
      <c r="D288" s="37">
        <f>IF(C288="","",IFERROR(INDEX(ケイパビリティマップ!$E:$E,MATCH(C288,ケイパビリティマップ!$A:$A,0)),"（IDなし）"))</f>
        <v/>
      </c>
      <c r="E288" s="36" t="n"/>
      <c r="F288" s="37">
        <f>IF(A288="","",LEFT(A288,5))</f>
        <v/>
      </c>
      <c r="G288" s="37">
        <f>IF(C288="","",LEFT(C288,6))</f>
        <v/>
      </c>
    </row>
    <row r="289">
      <c r="A289" s="36" t="n"/>
      <c r="B289" s="36" t="n"/>
      <c r="C289" s="36" t="n"/>
      <c r="D289" s="37">
        <f>IF(C289="","",IFERROR(INDEX(ケイパビリティマップ!$E:$E,MATCH(C289,ケイパビリティマップ!$A:$A,0)),"（IDなし）"))</f>
        <v/>
      </c>
      <c r="E289" s="36" t="n"/>
      <c r="F289" s="37">
        <f>IF(A289="","",LEFT(A289,5))</f>
        <v/>
      </c>
      <c r="G289" s="37">
        <f>IF(C289="","",LEFT(C289,6))</f>
        <v/>
      </c>
    </row>
    <row r="290">
      <c r="A290" s="36" t="n"/>
      <c r="B290" s="36" t="n"/>
      <c r="C290" s="36" t="n"/>
      <c r="D290" s="37">
        <f>IF(C290="","",IFERROR(INDEX(ケイパビリティマップ!$E:$E,MATCH(C290,ケイパビリティマップ!$A:$A,0)),"（IDなし）"))</f>
        <v/>
      </c>
      <c r="E290" s="36" t="n"/>
      <c r="F290" s="37">
        <f>IF(A290="","",LEFT(A290,5))</f>
        <v/>
      </c>
      <c r="G290" s="37">
        <f>IF(C290="","",LEFT(C290,6))</f>
        <v/>
      </c>
    </row>
    <row r="291">
      <c r="A291" s="36" t="n"/>
      <c r="B291" s="36" t="n"/>
      <c r="C291" s="36" t="n"/>
      <c r="D291" s="37">
        <f>IF(C291="","",IFERROR(INDEX(ケイパビリティマップ!$E:$E,MATCH(C291,ケイパビリティマップ!$A:$A,0)),"（IDなし）"))</f>
        <v/>
      </c>
      <c r="E291" s="36" t="n"/>
      <c r="F291" s="37">
        <f>IF(A291="","",LEFT(A291,5))</f>
        <v/>
      </c>
      <c r="G291" s="37">
        <f>IF(C291="","",LEFT(C291,6))</f>
        <v/>
      </c>
    </row>
    <row r="292">
      <c r="A292" s="36" t="n"/>
      <c r="B292" s="36" t="n"/>
      <c r="C292" s="36" t="n"/>
      <c r="D292" s="37">
        <f>IF(C292="","",IFERROR(INDEX(ケイパビリティマップ!$E:$E,MATCH(C292,ケイパビリティマップ!$A:$A,0)),"（IDなし）"))</f>
        <v/>
      </c>
      <c r="E292" s="36" t="n"/>
      <c r="F292" s="37">
        <f>IF(A292="","",LEFT(A292,5))</f>
        <v/>
      </c>
      <c r="G292" s="37">
        <f>IF(C292="","",LEFT(C292,6))</f>
        <v/>
      </c>
    </row>
    <row r="293">
      <c r="A293" s="36" t="n"/>
      <c r="B293" s="36" t="n"/>
      <c r="C293" s="36" t="n"/>
      <c r="D293" s="37">
        <f>IF(C293="","",IFERROR(INDEX(ケイパビリティマップ!$E:$E,MATCH(C293,ケイパビリティマップ!$A:$A,0)),"（IDなし）"))</f>
        <v/>
      </c>
      <c r="E293" s="36" t="n"/>
      <c r="F293" s="37">
        <f>IF(A293="","",LEFT(A293,5))</f>
        <v/>
      </c>
      <c r="G293" s="37">
        <f>IF(C293="","",LEFT(C293,6))</f>
        <v/>
      </c>
    </row>
    <row r="294">
      <c r="A294" s="36" t="n"/>
      <c r="B294" s="36" t="n"/>
      <c r="C294" s="36" t="n"/>
      <c r="D294" s="37">
        <f>IF(C294="","",IFERROR(INDEX(ケイパビリティマップ!$E:$E,MATCH(C294,ケイパビリティマップ!$A:$A,0)),"（IDなし）"))</f>
        <v/>
      </c>
      <c r="E294" s="36" t="n"/>
      <c r="F294" s="37">
        <f>IF(A294="","",LEFT(A294,5))</f>
        <v/>
      </c>
      <c r="G294" s="37">
        <f>IF(C294="","",LEFT(C294,6))</f>
        <v/>
      </c>
    </row>
    <row r="295">
      <c r="A295" s="36" t="n"/>
      <c r="B295" s="36" t="n"/>
      <c r="C295" s="36" t="n"/>
      <c r="D295" s="37">
        <f>IF(C295="","",IFERROR(INDEX(ケイパビリティマップ!$E:$E,MATCH(C295,ケイパビリティマップ!$A:$A,0)),"（IDなし）"))</f>
        <v/>
      </c>
      <c r="E295" s="36" t="n"/>
      <c r="F295" s="37">
        <f>IF(A295="","",LEFT(A295,5))</f>
        <v/>
      </c>
      <c r="G295" s="37">
        <f>IF(C295="","",LEFT(C295,6))</f>
        <v/>
      </c>
    </row>
    <row r="296">
      <c r="A296" s="36" t="n"/>
      <c r="B296" s="36" t="n"/>
      <c r="C296" s="36" t="n"/>
      <c r="D296" s="37">
        <f>IF(C296="","",IFERROR(INDEX(ケイパビリティマップ!$E:$E,MATCH(C296,ケイパビリティマップ!$A:$A,0)),"（IDなし）"))</f>
        <v/>
      </c>
      <c r="E296" s="36" t="n"/>
      <c r="F296" s="37">
        <f>IF(A296="","",LEFT(A296,5))</f>
        <v/>
      </c>
      <c r="G296" s="37">
        <f>IF(C296="","",LEFT(C296,6))</f>
        <v/>
      </c>
    </row>
    <row r="297">
      <c r="A297" s="36" t="n"/>
      <c r="B297" s="36" t="n"/>
      <c r="C297" s="36" t="n"/>
      <c r="D297" s="37">
        <f>IF(C297="","",IFERROR(INDEX(ケイパビリティマップ!$E:$E,MATCH(C297,ケイパビリティマップ!$A:$A,0)),"（IDなし）"))</f>
        <v/>
      </c>
      <c r="E297" s="36" t="n"/>
      <c r="F297" s="37">
        <f>IF(A297="","",LEFT(A297,5))</f>
        <v/>
      </c>
      <c r="G297" s="37">
        <f>IF(C297="","",LEFT(C297,6))</f>
        <v/>
      </c>
    </row>
    <row r="298">
      <c r="A298" s="36" t="n"/>
      <c r="B298" s="36" t="n"/>
      <c r="C298" s="36" t="n"/>
      <c r="D298" s="37">
        <f>IF(C298="","",IFERROR(INDEX(ケイパビリティマップ!$E:$E,MATCH(C298,ケイパビリティマップ!$A:$A,0)),"（IDなし）"))</f>
        <v/>
      </c>
      <c r="E298" s="36" t="n"/>
      <c r="F298" s="37">
        <f>IF(A298="","",LEFT(A298,5))</f>
        <v/>
      </c>
      <c r="G298" s="37">
        <f>IF(C298="","",LEFT(C298,6))</f>
        <v/>
      </c>
    </row>
    <row r="299">
      <c r="A299" s="36" t="n"/>
      <c r="B299" s="36" t="n"/>
      <c r="C299" s="36" t="n"/>
      <c r="D299" s="37">
        <f>IF(C299="","",IFERROR(INDEX(ケイパビリティマップ!$E:$E,MATCH(C299,ケイパビリティマップ!$A:$A,0)),"（IDなし）"))</f>
        <v/>
      </c>
      <c r="E299" s="36" t="n"/>
      <c r="F299" s="37">
        <f>IF(A299="","",LEFT(A299,5))</f>
        <v/>
      </c>
      <c r="G299" s="37">
        <f>IF(C299="","",LEFT(C299,6))</f>
        <v/>
      </c>
    </row>
    <row r="300">
      <c r="A300" s="36" t="n"/>
      <c r="B300" s="36" t="n"/>
      <c r="C300" s="36" t="n"/>
      <c r="D300" s="37">
        <f>IF(C300="","",IFERROR(INDEX(ケイパビリティマップ!$E:$E,MATCH(C300,ケイパビリティマップ!$A:$A,0)),"（IDなし）"))</f>
        <v/>
      </c>
      <c r="E300" s="36" t="n"/>
      <c r="F300" s="37">
        <f>IF(A300="","",LEFT(A300,5))</f>
        <v/>
      </c>
      <c r="G300" s="37">
        <f>IF(C300="","",LEFT(C300,6))</f>
        <v/>
      </c>
    </row>
    <row r="301">
      <c r="A301" s="36" t="n"/>
      <c r="B301" s="36" t="n"/>
      <c r="C301" s="36" t="n"/>
      <c r="D301" s="37">
        <f>IF(C301="","",IFERROR(INDEX(ケイパビリティマップ!$E:$E,MATCH(C301,ケイパビリティマップ!$A:$A,0)),"（IDなし）"))</f>
        <v/>
      </c>
      <c r="E301" s="36" t="n"/>
      <c r="F301" s="37">
        <f>IF(A301="","",LEFT(A301,5))</f>
        <v/>
      </c>
      <c r="G301" s="37">
        <f>IF(C301="","",LEFT(C301,6))</f>
        <v/>
      </c>
    </row>
    <row r="302">
      <c r="A302" s="36" t="n"/>
      <c r="B302" s="36" t="n"/>
      <c r="C302" s="36" t="n"/>
      <c r="D302" s="37">
        <f>IF(C302="","",IFERROR(INDEX(ケイパビリティマップ!$E:$E,MATCH(C302,ケイパビリティマップ!$A:$A,0)),"（IDなし）"))</f>
        <v/>
      </c>
      <c r="E302" s="36" t="n"/>
      <c r="F302" s="37">
        <f>IF(A302="","",LEFT(A302,5))</f>
        <v/>
      </c>
      <c r="G302" s="37">
        <f>IF(C302="","",LEFT(C302,6))</f>
        <v/>
      </c>
    </row>
    <row r="303">
      <c r="A303" s="36" t="n"/>
      <c r="B303" s="36" t="n"/>
      <c r="C303" s="36" t="n"/>
      <c r="D303" s="37">
        <f>IF(C303="","",IFERROR(INDEX(ケイパビリティマップ!$E:$E,MATCH(C303,ケイパビリティマップ!$A:$A,0)),"（IDなし）"))</f>
        <v/>
      </c>
      <c r="E303" s="36" t="n"/>
      <c r="F303" s="37">
        <f>IF(A303="","",LEFT(A303,5))</f>
        <v/>
      </c>
      <c r="G303" s="37">
        <f>IF(C303="","",LEFT(C303,6))</f>
        <v/>
      </c>
    </row>
    <row r="304">
      <c r="A304" s="36" t="n"/>
      <c r="B304" s="36" t="n"/>
      <c r="C304" s="36" t="n"/>
      <c r="D304" s="37">
        <f>IF(C304="","",IFERROR(INDEX(ケイパビリティマップ!$E:$E,MATCH(C304,ケイパビリティマップ!$A:$A,0)),"（IDなし）"))</f>
        <v/>
      </c>
      <c r="E304" s="36" t="n"/>
      <c r="F304" s="37">
        <f>IF(A304="","",LEFT(A304,5))</f>
        <v/>
      </c>
      <c r="G304" s="37">
        <f>IF(C304="","",LEFT(C304,6))</f>
        <v/>
      </c>
    </row>
    <row r="305">
      <c r="A305" s="36" t="n"/>
      <c r="B305" s="36" t="n"/>
      <c r="C305" s="36" t="n"/>
      <c r="D305" s="37">
        <f>IF(C305="","",IFERROR(INDEX(ケイパビリティマップ!$E:$E,MATCH(C305,ケイパビリティマップ!$A:$A,0)),"（IDなし）"))</f>
        <v/>
      </c>
      <c r="E305" s="36" t="n"/>
      <c r="F305" s="37">
        <f>IF(A305="","",LEFT(A305,5))</f>
        <v/>
      </c>
      <c r="G305" s="37">
        <f>IF(C305="","",LEFT(C305,6))</f>
        <v/>
      </c>
    </row>
    <row r="306">
      <c r="A306" s="36" t="n"/>
      <c r="B306" s="36" t="n"/>
      <c r="C306" s="36" t="n"/>
      <c r="D306" s="37">
        <f>IF(C306="","",IFERROR(INDEX(ケイパビリティマップ!$E:$E,MATCH(C306,ケイパビリティマップ!$A:$A,0)),"（IDなし）"))</f>
        <v/>
      </c>
      <c r="E306" s="36" t="n"/>
      <c r="F306" s="37">
        <f>IF(A306="","",LEFT(A306,5))</f>
        <v/>
      </c>
      <c r="G306" s="37">
        <f>IF(C306="","",LEFT(C306,6))</f>
        <v/>
      </c>
    </row>
    <row r="307">
      <c r="A307" s="36" t="n"/>
      <c r="B307" s="36" t="n"/>
      <c r="C307" s="36" t="n"/>
      <c r="D307" s="37">
        <f>IF(C307="","",IFERROR(INDEX(ケイパビリティマップ!$E:$E,MATCH(C307,ケイパビリティマップ!$A:$A,0)),"（IDなし）"))</f>
        <v/>
      </c>
      <c r="E307" s="36" t="n"/>
      <c r="F307" s="37">
        <f>IF(A307="","",LEFT(A307,5))</f>
        <v/>
      </c>
      <c r="G307" s="37">
        <f>IF(C307="","",LEFT(C307,6))</f>
        <v/>
      </c>
    </row>
    <row r="308">
      <c r="A308" s="36" t="n"/>
      <c r="B308" s="36" t="n"/>
      <c r="C308" s="36" t="n"/>
      <c r="D308" s="37">
        <f>IF(C308="","",IFERROR(INDEX(ケイパビリティマップ!$E:$E,MATCH(C308,ケイパビリティマップ!$A:$A,0)),"（IDなし）"))</f>
        <v/>
      </c>
      <c r="E308" s="36" t="n"/>
      <c r="F308" s="37">
        <f>IF(A308="","",LEFT(A308,5))</f>
        <v/>
      </c>
      <c r="G308" s="37">
        <f>IF(C308="","",LEFT(C308,6))</f>
        <v/>
      </c>
    </row>
    <row r="309">
      <c r="A309" s="36" t="n"/>
      <c r="B309" s="36" t="n"/>
      <c r="C309" s="36" t="n"/>
      <c r="D309" s="37">
        <f>IF(C309="","",IFERROR(INDEX(ケイパビリティマップ!$E:$E,MATCH(C309,ケイパビリティマップ!$A:$A,0)),"（IDなし）"))</f>
        <v/>
      </c>
      <c r="E309" s="36" t="n"/>
      <c r="F309" s="37">
        <f>IF(A309="","",LEFT(A309,5))</f>
        <v/>
      </c>
      <c r="G309" s="37">
        <f>IF(C309="","",LEFT(C309,6))</f>
        <v/>
      </c>
    </row>
    <row r="310">
      <c r="A310" s="36" t="n"/>
      <c r="B310" s="36" t="n"/>
      <c r="C310" s="36" t="n"/>
      <c r="D310" s="37">
        <f>IF(C310="","",IFERROR(INDEX(ケイパビリティマップ!$E:$E,MATCH(C310,ケイパビリティマップ!$A:$A,0)),"（IDなし）"))</f>
        <v/>
      </c>
      <c r="E310" s="36" t="n"/>
      <c r="F310" s="37">
        <f>IF(A310="","",LEFT(A310,5))</f>
        <v/>
      </c>
      <c r="G310" s="37">
        <f>IF(C310="","",LEFT(C310,6))</f>
        <v/>
      </c>
    </row>
    <row r="311">
      <c r="A311" s="36" t="n"/>
      <c r="B311" s="36" t="n"/>
      <c r="C311" s="36" t="n"/>
      <c r="D311" s="37">
        <f>IF(C311="","",IFERROR(INDEX(ケイパビリティマップ!$E:$E,MATCH(C311,ケイパビリティマップ!$A:$A,0)),"（IDなし）"))</f>
        <v/>
      </c>
      <c r="E311" s="36" t="n"/>
      <c r="F311" s="37">
        <f>IF(A311="","",LEFT(A311,5))</f>
        <v/>
      </c>
      <c r="G311" s="37">
        <f>IF(C311="","",LEFT(C311,6))</f>
        <v/>
      </c>
    </row>
    <row r="312">
      <c r="A312" s="36" t="n"/>
      <c r="B312" s="36" t="n"/>
      <c r="C312" s="36" t="n"/>
      <c r="D312" s="37">
        <f>IF(C312="","",IFERROR(INDEX(ケイパビリティマップ!$E:$E,MATCH(C312,ケイパビリティマップ!$A:$A,0)),"（IDなし）"))</f>
        <v/>
      </c>
      <c r="E312" s="36" t="n"/>
      <c r="F312" s="37">
        <f>IF(A312="","",LEFT(A312,5))</f>
        <v/>
      </c>
      <c r="G312" s="37">
        <f>IF(C312="","",LEFT(C312,6))</f>
        <v/>
      </c>
    </row>
    <row r="313">
      <c r="A313" s="36" t="n"/>
      <c r="B313" s="36" t="n"/>
      <c r="C313" s="36" t="n"/>
      <c r="D313" s="37">
        <f>IF(C313="","",IFERROR(INDEX(ケイパビリティマップ!$E:$E,MATCH(C313,ケイパビリティマップ!$A:$A,0)),"（IDなし）"))</f>
        <v/>
      </c>
      <c r="E313" s="36" t="n"/>
      <c r="F313" s="37">
        <f>IF(A313="","",LEFT(A313,5))</f>
        <v/>
      </c>
      <c r="G313" s="37">
        <f>IF(C313="","",LEFT(C313,6))</f>
        <v/>
      </c>
    </row>
    <row r="314">
      <c r="A314" s="36" t="n"/>
      <c r="B314" s="36" t="n"/>
      <c r="C314" s="36" t="n"/>
      <c r="D314" s="37">
        <f>IF(C314="","",IFERROR(INDEX(ケイパビリティマップ!$E:$E,MATCH(C314,ケイパビリティマップ!$A:$A,0)),"（IDなし）"))</f>
        <v/>
      </c>
      <c r="E314" s="36" t="n"/>
      <c r="F314" s="37">
        <f>IF(A314="","",LEFT(A314,5))</f>
        <v/>
      </c>
      <c r="G314" s="37">
        <f>IF(C314="","",LEFT(C314,6))</f>
        <v/>
      </c>
    </row>
    <row r="315">
      <c r="A315" s="36" t="n"/>
      <c r="B315" s="36" t="n"/>
      <c r="C315" s="36" t="n"/>
      <c r="D315" s="37">
        <f>IF(C315="","",IFERROR(INDEX(ケイパビリティマップ!$E:$E,MATCH(C315,ケイパビリティマップ!$A:$A,0)),"（IDなし）"))</f>
        <v/>
      </c>
      <c r="E315" s="36" t="n"/>
      <c r="F315" s="37">
        <f>IF(A315="","",LEFT(A315,5))</f>
        <v/>
      </c>
      <c r="G315" s="37">
        <f>IF(C315="","",LEFT(C315,6))</f>
        <v/>
      </c>
    </row>
    <row r="316">
      <c r="A316" s="36" t="n"/>
      <c r="B316" s="36" t="n"/>
      <c r="C316" s="36" t="n"/>
      <c r="D316" s="37">
        <f>IF(C316="","",IFERROR(INDEX(ケイパビリティマップ!$E:$E,MATCH(C316,ケイパビリティマップ!$A:$A,0)),"（IDなし）"))</f>
        <v/>
      </c>
      <c r="E316" s="36" t="n"/>
      <c r="F316" s="37">
        <f>IF(A316="","",LEFT(A316,5))</f>
        <v/>
      </c>
      <c r="G316" s="37">
        <f>IF(C316="","",LEFT(C316,6))</f>
        <v/>
      </c>
    </row>
    <row r="317">
      <c r="A317" s="36" t="n"/>
      <c r="B317" s="36" t="n"/>
      <c r="C317" s="36" t="n"/>
      <c r="D317" s="37">
        <f>IF(C317="","",IFERROR(INDEX(ケイパビリティマップ!$E:$E,MATCH(C317,ケイパビリティマップ!$A:$A,0)),"（IDなし）"))</f>
        <v/>
      </c>
      <c r="E317" s="36" t="n"/>
      <c r="F317" s="37">
        <f>IF(A317="","",LEFT(A317,5))</f>
        <v/>
      </c>
      <c r="G317" s="37">
        <f>IF(C317="","",LEFT(C317,6))</f>
        <v/>
      </c>
    </row>
    <row r="318">
      <c r="A318" s="36" t="n"/>
      <c r="B318" s="36" t="n"/>
      <c r="C318" s="36" t="n"/>
      <c r="D318" s="37">
        <f>IF(C318="","",IFERROR(INDEX(ケイパビリティマップ!$E:$E,MATCH(C318,ケイパビリティマップ!$A:$A,0)),"（IDなし）"))</f>
        <v/>
      </c>
      <c r="E318" s="36" t="n"/>
      <c r="F318" s="37">
        <f>IF(A318="","",LEFT(A318,5))</f>
        <v/>
      </c>
      <c r="G318" s="37">
        <f>IF(C318="","",LEFT(C318,6))</f>
        <v/>
      </c>
    </row>
    <row r="319">
      <c r="A319" s="36" t="n"/>
      <c r="B319" s="36" t="n"/>
      <c r="C319" s="36" t="n"/>
      <c r="D319" s="37">
        <f>IF(C319="","",IFERROR(INDEX(ケイパビリティマップ!$E:$E,MATCH(C319,ケイパビリティマップ!$A:$A,0)),"（IDなし）"))</f>
        <v/>
      </c>
      <c r="E319" s="36" t="n"/>
      <c r="F319" s="37">
        <f>IF(A319="","",LEFT(A319,5))</f>
        <v/>
      </c>
      <c r="G319" s="37">
        <f>IF(C319="","",LEFT(C319,6))</f>
        <v/>
      </c>
    </row>
    <row r="320">
      <c r="A320" s="36" t="n"/>
      <c r="B320" s="36" t="n"/>
      <c r="C320" s="36" t="n"/>
      <c r="D320" s="37">
        <f>IF(C320="","",IFERROR(INDEX(ケイパビリティマップ!$E:$E,MATCH(C320,ケイパビリティマップ!$A:$A,0)),"（IDなし）"))</f>
        <v/>
      </c>
      <c r="E320" s="36" t="n"/>
      <c r="F320" s="37">
        <f>IF(A320="","",LEFT(A320,5))</f>
        <v/>
      </c>
      <c r="G320" s="37">
        <f>IF(C320="","",LEFT(C320,6))</f>
        <v/>
      </c>
    </row>
    <row r="321">
      <c r="A321" s="36" t="n"/>
      <c r="B321" s="36" t="n"/>
      <c r="C321" s="36" t="n"/>
      <c r="D321" s="37">
        <f>IF(C321="","",IFERROR(INDEX(ケイパビリティマップ!$E:$E,MATCH(C321,ケイパビリティマップ!$A:$A,0)),"（IDなし）"))</f>
        <v/>
      </c>
      <c r="E321" s="36" t="n"/>
      <c r="F321" s="37">
        <f>IF(A321="","",LEFT(A321,5))</f>
        <v/>
      </c>
      <c r="G321" s="37">
        <f>IF(C321="","",LEFT(C321,6))</f>
        <v/>
      </c>
    </row>
    <row r="322">
      <c r="A322" s="36" t="n"/>
      <c r="B322" s="36" t="n"/>
      <c r="C322" s="36" t="n"/>
      <c r="D322" s="37">
        <f>IF(C322="","",IFERROR(INDEX(ケイパビリティマップ!$E:$E,MATCH(C322,ケイパビリティマップ!$A:$A,0)),"（IDなし）"))</f>
        <v/>
      </c>
      <c r="E322" s="36" t="n"/>
      <c r="F322" s="37">
        <f>IF(A322="","",LEFT(A322,5))</f>
        <v/>
      </c>
      <c r="G322" s="37">
        <f>IF(C322="","",LEFT(C322,6))</f>
        <v/>
      </c>
    </row>
    <row r="323">
      <c r="A323" s="36" t="n"/>
      <c r="B323" s="36" t="n"/>
      <c r="C323" s="36" t="n"/>
      <c r="D323" s="37">
        <f>IF(C323="","",IFERROR(INDEX(ケイパビリティマップ!$E:$E,MATCH(C323,ケイパビリティマップ!$A:$A,0)),"（IDなし）"))</f>
        <v/>
      </c>
      <c r="E323" s="36" t="n"/>
      <c r="F323" s="37">
        <f>IF(A323="","",LEFT(A323,5))</f>
        <v/>
      </c>
      <c r="G323" s="37">
        <f>IF(C323="","",LEFT(C323,6))</f>
        <v/>
      </c>
    </row>
    <row r="324">
      <c r="A324" s="36" t="n"/>
      <c r="B324" s="36" t="n"/>
      <c r="C324" s="36" t="n"/>
      <c r="D324" s="37">
        <f>IF(C324="","",IFERROR(INDEX(ケイパビリティマップ!$E:$E,MATCH(C324,ケイパビリティマップ!$A:$A,0)),"（IDなし）"))</f>
        <v/>
      </c>
      <c r="E324" s="36" t="n"/>
      <c r="F324" s="37">
        <f>IF(A324="","",LEFT(A324,5))</f>
        <v/>
      </c>
      <c r="G324" s="37">
        <f>IF(C324="","",LEFT(C324,6))</f>
        <v/>
      </c>
    </row>
    <row r="325">
      <c r="A325" s="36" t="n"/>
      <c r="B325" s="36" t="n"/>
      <c r="C325" s="36" t="n"/>
      <c r="D325" s="37">
        <f>IF(C325="","",IFERROR(INDEX(ケイパビリティマップ!$E:$E,MATCH(C325,ケイパビリティマップ!$A:$A,0)),"（IDなし）"))</f>
        <v/>
      </c>
      <c r="E325" s="36" t="n"/>
      <c r="F325" s="37">
        <f>IF(A325="","",LEFT(A325,5))</f>
        <v/>
      </c>
      <c r="G325" s="37">
        <f>IF(C325="","",LEFT(C325,6))</f>
        <v/>
      </c>
    </row>
    <row r="326">
      <c r="A326" s="36" t="n"/>
      <c r="B326" s="36" t="n"/>
      <c r="C326" s="36" t="n"/>
      <c r="D326" s="37">
        <f>IF(C326="","",IFERROR(INDEX(ケイパビリティマップ!$E:$E,MATCH(C326,ケイパビリティマップ!$A:$A,0)),"（IDなし）"))</f>
        <v/>
      </c>
      <c r="E326" s="36" t="n"/>
      <c r="F326" s="37">
        <f>IF(A326="","",LEFT(A326,5))</f>
        <v/>
      </c>
      <c r="G326" s="37">
        <f>IF(C326="","",LEFT(C326,6))</f>
        <v/>
      </c>
    </row>
    <row r="327">
      <c r="A327" s="36" t="n"/>
      <c r="B327" s="36" t="n"/>
      <c r="C327" s="36" t="n"/>
      <c r="D327" s="37">
        <f>IF(C327="","",IFERROR(INDEX(ケイパビリティマップ!$E:$E,MATCH(C327,ケイパビリティマップ!$A:$A,0)),"（IDなし）"))</f>
        <v/>
      </c>
      <c r="E327" s="36" t="n"/>
      <c r="F327" s="37">
        <f>IF(A327="","",LEFT(A327,5))</f>
        <v/>
      </c>
      <c r="G327" s="37">
        <f>IF(C327="","",LEFT(C327,6))</f>
        <v/>
      </c>
    </row>
    <row r="328">
      <c r="A328" s="36" t="n"/>
      <c r="B328" s="36" t="n"/>
      <c r="C328" s="36" t="n"/>
      <c r="D328" s="37">
        <f>IF(C328="","",IFERROR(INDEX(ケイパビリティマップ!$E:$E,MATCH(C328,ケイパビリティマップ!$A:$A,0)),"（IDなし）"))</f>
        <v/>
      </c>
      <c r="E328" s="36" t="n"/>
      <c r="F328" s="37">
        <f>IF(A328="","",LEFT(A328,5))</f>
        <v/>
      </c>
      <c r="G328" s="37">
        <f>IF(C328="","",LEFT(C328,6))</f>
        <v/>
      </c>
    </row>
    <row r="329">
      <c r="A329" s="36" t="n"/>
      <c r="B329" s="36" t="n"/>
      <c r="C329" s="36" t="n"/>
      <c r="D329" s="37">
        <f>IF(C329="","",IFERROR(INDEX(ケイパビリティマップ!$E:$E,MATCH(C329,ケイパビリティマップ!$A:$A,0)),"（IDなし）"))</f>
        <v/>
      </c>
      <c r="E329" s="36" t="n"/>
      <c r="F329" s="37">
        <f>IF(A329="","",LEFT(A329,5))</f>
        <v/>
      </c>
      <c r="G329" s="37">
        <f>IF(C329="","",LEFT(C329,6))</f>
        <v/>
      </c>
    </row>
    <row r="330">
      <c r="A330" s="36" t="n"/>
      <c r="B330" s="36" t="n"/>
      <c r="C330" s="36" t="n"/>
      <c r="D330" s="37">
        <f>IF(C330="","",IFERROR(INDEX(ケイパビリティマップ!$E:$E,MATCH(C330,ケイパビリティマップ!$A:$A,0)),"（IDなし）"))</f>
        <v/>
      </c>
      <c r="E330" s="36" t="n"/>
      <c r="F330" s="37">
        <f>IF(A330="","",LEFT(A330,5))</f>
        <v/>
      </c>
      <c r="G330" s="37">
        <f>IF(C330="","",LEFT(C330,6))</f>
        <v/>
      </c>
    </row>
    <row r="331">
      <c r="A331" s="36" t="n"/>
      <c r="B331" s="36" t="n"/>
      <c r="C331" s="36" t="n"/>
      <c r="D331" s="37">
        <f>IF(C331="","",IFERROR(INDEX(ケイパビリティマップ!$E:$E,MATCH(C331,ケイパビリティマップ!$A:$A,0)),"（IDなし）"))</f>
        <v/>
      </c>
      <c r="E331" s="36" t="n"/>
      <c r="F331" s="37">
        <f>IF(A331="","",LEFT(A331,5))</f>
        <v/>
      </c>
      <c r="G331" s="37">
        <f>IF(C331="","",LEFT(C331,6))</f>
        <v/>
      </c>
    </row>
    <row r="332">
      <c r="A332" s="36" t="n"/>
      <c r="B332" s="36" t="n"/>
      <c r="C332" s="36" t="n"/>
      <c r="D332" s="37">
        <f>IF(C332="","",IFERROR(INDEX(ケイパビリティマップ!$E:$E,MATCH(C332,ケイパビリティマップ!$A:$A,0)),"（IDなし）"))</f>
        <v/>
      </c>
      <c r="E332" s="36" t="n"/>
      <c r="F332" s="37">
        <f>IF(A332="","",LEFT(A332,5))</f>
        <v/>
      </c>
      <c r="G332" s="37">
        <f>IF(C332="","",LEFT(C332,6))</f>
        <v/>
      </c>
    </row>
    <row r="333">
      <c r="A333" s="36" t="n"/>
      <c r="B333" s="36" t="n"/>
      <c r="C333" s="36" t="n"/>
      <c r="D333" s="37">
        <f>IF(C333="","",IFERROR(INDEX(ケイパビリティマップ!$E:$E,MATCH(C333,ケイパビリティマップ!$A:$A,0)),"（IDなし）"))</f>
        <v/>
      </c>
      <c r="E333" s="36" t="n"/>
      <c r="F333" s="37">
        <f>IF(A333="","",LEFT(A333,5))</f>
        <v/>
      </c>
      <c r="G333" s="37">
        <f>IF(C333="","",LEFT(C333,6))</f>
        <v/>
      </c>
    </row>
    <row r="334">
      <c r="A334" s="36" t="n"/>
      <c r="B334" s="36" t="n"/>
      <c r="C334" s="36" t="n"/>
      <c r="D334" s="37">
        <f>IF(C334="","",IFERROR(INDEX(ケイパビリティマップ!$E:$E,MATCH(C334,ケイパビリティマップ!$A:$A,0)),"（IDなし）"))</f>
        <v/>
      </c>
      <c r="E334" s="36" t="n"/>
      <c r="F334" s="37">
        <f>IF(A334="","",LEFT(A334,5))</f>
        <v/>
      </c>
      <c r="G334" s="37">
        <f>IF(C334="","",LEFT(C334,6))</f>
        <v/>
      </c>
    </row>
    <row r="335">
      <c r="A335" s="36" t="n"/>
      <c r="B335" s="36" t="n"/>
      <c r="C335" s="36" t="n"/>
      <c r="D335" s="37">
        <f>IF(C335="","",IFERROR(INDEX(ケイパビリティマップ!$E:$E,MATCH(C335,ケイパビリティマップ!$A:$A,0)),"（IDなし）"))</f>
        <v/>
      </c>
      <c r="E335" s="36" t="n"/>
      <c r="F335" s="37">
        <f>IF(A335="","",LEFT(A335,5))</f>
        <v/>
      </c>
      <c r="G335" s="37">
        <f>IF(C335="","",LEFT(C335,6))</f>
        <v/>
      </c>
    </row>
    <row r="336">
      <c r="A336" s="36" t="n"/>
      <c r="B336" s="36" t="n"/>
      <c r="C336" s="36" t="n"/>
      <c r="D336" s="37">
        <f>IF(C336="","",IFERROR(INDEX(ケイパビリティマップ!$E:$E,MATCH(C336,ケイパビリティマップ!$A:$A,0)),"（IDなし）"))</f>
        <v/>
      </c>
      <c r="E336" s="36" t="n"/>
      <c r="F336" s="37">
        <f>IF(A336="","",LEFT(A336,5))</f>
        <v/>
      </c>
      <c r="G336" s="37">
        <f>IF(C336="","",LEFT(C336,6))</f>
        <v/>
      </c>
    </row>
    <row r="337">
      <c r="A337" s="36" t="n"/>
      <c r="B337" s="36" t="n"/>
      <c r="C337" s="36" t="n"/>
      <c r="D337" s="37">
        <f>IF(C337="","",IFERROR(INDEX(ケイパビリティマップ!$E:$E,MATCH(C337,ケイパビリティマップ!$A:$A,0)),"（IDなし）"))</f>
        <v/>
      </c>
      <c r="E337" s="36" t="n"/>
      <c r="F337" s="37">
        <f>IF(A337="","",LEFT(A337,5))</f>
        <v/>
      </c>
      <c r="G337" s="37">
        <f>IF(C337="","",LEFT(C337,6))</f>
        <v/>
      </c>
    </row>
    <row r="338">
      <c r="A338" s="36" t="n"/>
      <c r="B338" s="36" t="n"/>
      <c r="C338" s="36" t="n"/>
      <c r="D338" s="37">
        <f>IF(C338="","",IFERROR(INDEX(ケイパビリティマップ!$E:$E,MATCH(C338,ケイパビリティマップ!$A:$A,0)),"（IDなし）"))</f>
        <v/>
      </c>
      <c r="E338" s="36" t="n"/>
      <c r="F338" s="37">
        <f>IF(A338="","",LEFT(A338,5))</f>
        <v/>
      </c>
      <c r="G338" s="37">
        <f>IF(C338="","",LEFT(C338,6))</f>
        <v/>
      </c>
    </row>
    <row r="339">
      <c r="A339" s="36" t="n"/>
      <c r="B339" s="36" t="n"/>
      <c r="C339" s="36" t="n"/>
      <c r="D339" s="37">
        <f>IF(C339="","",IFERROR(INDEX(ケイパビリティマップ!$E:$E,MATCH(C339,ケイパビリティマップ!$A:$A,0)),"（IDなし）"))</f>
        <v/>
      </c>
      <c r="E339" s="36" t="n"/>
      <c r="F339" s="37">
        <f>IF(A339="","",LEFT(A339,5))</f>
        <v/>
      </c>
      <c r="G339" s="37">
        <f>IF(C339="","",LEFT(C339,6))</f>
        <v/>
      </c>
    </row>
    <row r="340">
      <c r="A340" s="36" t="n"/>
      <c r="B340" s="36" t="n"/>
      <c r="C340" s="36" t="n"/>
      <c r="D340" s="37">
        <f>IF(C340="","",IFERROR(INDEX(ケイパビリティマップ!$E:$E,MATCH(C340,ケイパビリティマップ!$A:$A,0)),"（IDなし）"))</f>
        <v/>
      </c>
      <c r="E340" s="36" t="n"/>
      <c r="F340" s="37">
        <f>IF(A340="","",LEFT(A340,5))</f>
        <v/>
      </c>
      <c r="G340" s="37">
        <f>IF(C340="","",LEFT(C340,6))</f>
        <v/>
      </c>
    </row>
    <row r="341">
      <c r="A341" s="36" t="n"/>
      <c r="B341" s="36" t="n"/>
      <c r="C341" s="36" t="n"/>
      <c r="D341" s="37">
        <f>IF(C341="","",IFERROR(INDEX(ケイパビリティマップ!$E:$E,MATCH(C341,ケイパビリティマップ!$A:$A,0)),"（IDなし）"))</f>
        <v/>
      </c>
      <c r="E341" s="36" t="n"/>
      <c r="F341" s="37">
        <f>IF(A341="","",LEFT(A341,5))</f>
        <v/>
      </c>
      <c r="G341" s="37">
        <f>IF(C341="","",LEFT(C341,6))</f>
        <v/>
      </c>
    </row>
    <row r="342">
      <c r="A342" s="36" t="n"/>
      <c r="B342" s="36" t="n"/>
      <c r="C342" s="36" t="n"/>
      <c r="D342" s="37">
        <f>IF(C342="","",IFERROR(INDEX(ケイパビリティマップ!$E:$E,MATCH(C342,ケイパビリティマップ!$A:$A,0)),"（IDなし）"))</f>
        <v/>
      </c>
      <c r="E342" s="36" t="n"/>
      <c r="F342" s="37">
        <f>IF(A342="","",LEFT(A342,5))</f>
        <v/>
      </c>
      <c r="G342" s="37">
        <f>IF(C342="","",LEFT(C342,6))</f>
        <v/>
      </c>
    </row>
    <row r="343">
      <c r="A343" s="36" t="n"/>
      <c r="B343" s="36" t="n"/>
      <c r="C343" s="36" t="n"/>
      <c r="D343" s="37">
        <f>IF(C343="","",IFERROR(INDEX(ケイパビリティマップ!$E:$E,MATCH(C343,ケイパビリティマップ!$A:$A,0)),"（IDなし）"))</f>
        <v/>
      </c>
      <c r="E343" s="36" t="n"/>
      <c r="F343" s="37">
        <f>IF(A343="","",LEFT(A343,5))</f>
        <v/>
      </c>
      <c r="G343" s="37">
        <f>IF(C343="","",LEFT(C343,6))</f>
        <v/>
      </c>
    </row>
    <row r="344">
      <c r="A344" s="36" t="n"/>
      <c r="B344" s="36" t="n"/>
      <c r="C344" s="36" t="n"/>
      <c r="D344" s="37">
        <f>IF(C344="","",IFERROR(INDEX(ケイパビリティマップ!$E:$E,MATCH(C344,ケイパビリティマップ!$A:$A,0)),"（IDなし）"))</f>
        <v/>
      </c>
      <c r="E344" s="36" t="n"/>
      <c r="F344" s="37">
        <f>IF(A344="","",LEFT(A344,5))</f>
        <v/>
      </c>
      <c r="G344" s="37">
        <f>IF(C344="","",LEFT(C344,6))</f>
        <v/>
      </c>
    </row>
    <row r="345">
      <c r="A345" s="36" t="n"/>
      <c r="B345" s="36" t="n"/>
      <c r="C345" s="36" t="n"/>
      <c r="D345" s="37">
        <f>IF(C345="","",IFERROR(INDEX(ケイパビリティマップ!$E:$E,MATCH(C345,ケイパビリティマップ!$A:$A,0)),"（IDなし）"))</f>
        <v/>
      </c>
      <c r="E345" s="36" t="n"/>
      <c r="F345" s="37">
        <f>IF(A345="","",LEFT(A345,5))</f>
        <v/>
      </c>
      <c r="G345" s="37">
        <f>IF(C345="","",LEFT(C345,6))</f>
        <v/>
      </c>
    </row>
    <row r="346">
      <c r="A346" s="36" t="n"/>
      <c r="B346" s="36" t="n"/>
      <c r="C346" s="36" t="n"/>
      <c r="D346" s="37">
        <f>IF(C346="","",IFERROR(INDEX(ケイパビリティマップ!$E:$E,MATCH(C346,ケイパビリティマップ!$A:$A,0)),"（IDなし）"))</f>
        <v/>
      </c>
      <c r="E346" s="36" t="n"/>
      <c r="F346" s="37">
        <f>IF(A346="","",LEFT(A346,5))</f>
        <v/>
      </c>
      <c r="G346" s="37">
        <f>IF(C346="","",LEFT(C346,6))</f>
        <v/>
      </c>
    </row>
    <row r="347">
      <c r="A347" s="36" t="n"/>
      <c r="B347" s="36" t="n"/>
      <c r="C347" s="36" t="n"/>
      <c r="D347" s="37">
        <f>IF(C347="","",IFERROR(INDEX(ケイパビリティマップ!$E:$E,MATCH(C347,ケイパビリティマップ!$A:$A,0)),"（IDなし）"))</f>
        <v/>
      </c>
      <c r="E347" s="36" t="n"/>
      <c r="F347" s="37">
        <f>IF(A347="","",LEFT(A347,5))</f>
        <v/>
      </c>
      <c r="G347" s="37">
        <f>IF(C347="","",LEFT(C347,6))</f>
        <v/>
      </c>
    </row>
    <row r="348">
      <c r="A348" s="36" t="n"/>
      <c r="B348" s="36" t="n"/>
      <c r="C348" s="36" t="n"/>
      <c r="D348" s="37">
        <f>IF(C348="","",IFERROR(INDEX(ケイパビリティマップ!$E:$E,MATCH(C348,ケイパビリティマップ!$A:$A,0)),"（IDなし）"))</f>
        <v/>
      </c>
      <c r="E348" s="36" t="n"/>
      <c r="F348" s="37">
        <f>IF(A348="","",LEFT(A348,5))</f>
        <v/>
      </c>
      <c r="G348" s="37">
        <f>IF(C348="","",LEFT(C348,6))</f>
        <v/>
      </c>
    </row>
    <row r="349">
      <c r="A349" s="36" t="n"/>
      <c r="B349" s="36" t="n"/>
      <c r="C349" s="36" t="n"/>
      <c r="D349" s="37">
        <f>IF(C349="","",IFERROR(INDEX(ケイパビリティマップ!$E:$E,MATCH(C349,ケイパビリティマップ!$A:$A,0)),"（IDなし）"))</f>
        <v/>
      </c>
      <c r="E349" s="36" t="n"/>
      <c r="F349" s="37">
        <f>IF(A349="","",LEFT(A349,5))</f>
        <v/>
      </c>
      <c r="G349" s="37">
        <f>IF(C349="","",LEFT(C349,6))</f>
        <v/>
      </c>
    </row>
    <row r="350">
      <c r="A350" s="36" t="n"/>
      <c r="B350" s="36" t="n"/>
      <c r="C350" s="36" t="n"/>
      <c r="D350" s="37">
        <f>IF(C350="","",IFERROR(INDEX(ケイパビリティマップ!$E:$E,MATCH(C350,ケイパビリティマップ!$A:$A,0)),"（IDなし）"))</f>
        <v/>
      </c>
      <c r="E350" s="36" t="n"/>
      <c r="F350" s="37">
        <f>IF(A350="","",LEFT(A350,5))</f>
        <v/>
      </c>
      <c r="G350" s="37">
        <f>IF(C350="","",LEFT(C350,6))</f>
        <v/>
      </c>
    </row>
    <row r="351">
      <c r="A351" s="36" t="n"/>
      <c r="B351" s="36" t="n"/>
      <c r="C351" s="36" t="n"/>
      <c r="D351" s="37">
        <f>IF(C351="","",IFERROR(INDEX(ケイパビリティマップ!$E:$E,MATCH(C351,ケイパビリティマップ!$A:$A,0)),"（IDなし）"))</f>
        <v/>
      </c>
      <c r="E351" s="36" t="n"/>
      <c r="F351" s="37">
        <f>IF(A351="","",LEFT(A351,5))</f>
        <v/>
      </c>
      <c r="G351" s="37">
        <f>IF(C351="","",LEFT(C351,6))</f>
        <v/>
      </c>
    </row>
    <row r="352">
      <c r="A352" s="36" t="n"/>
      <c r="B352" s="36" t="n"/>
      <c r="C352" s="36" t="n"/>
      <c r="D352" s="37">
        <f>IF(C352="","",IFERROR(INDEX(ケイパビリティマップ!$E:$E,MATCH(C352,ケイパビリティマップ!$A:$A,0)),"（IDなし）"))</f>
        <v/>
      </c>
      <c r="E352" s="36" t="n"/>
      <c r="F352" s="37">
        <f>IF(A352="","",LEFT(A352,5))</f>
        <v/>
      </c>
      <c r="G352" s="37">
        <f>IF(C352="","",LEFT(C352,6))</f>
        <v/>
      </c>
    </row>
    <row r="353">
      <c r="A353" s="36" t="n"/>
      <c r="B353" s="36" t="n"/>
      <c r="C353" s="36" t="n"/>
      <c r="D353" s="37">
        <f>IF(C353="","",IFERROR(INDEX(ケイパビリティマップ!$E:$E,MATCH(C353,ケイパビリティマップ!$A:$A,0)),"（IDなし）"))</f>
        <v/>
      </c>
      <c r="E353" s="36" t="n"/>
      <c r="F353" s="37">
        <f>IF(A353="","",LEFT(A353,5))</f>
        <v/>
      </c>
      <c r="G353" s="37">
        <f>IF(C353="","",LEFT(C353,6))</f>
        <v/>
      </c>
    </row>
    <row r="354">
      <c r="A354" s="36" t="n"/>
      <c r="B354" s="36" t="n"/>
      <c r="C354" s="36" t="n"/>
      <c r="D354" s="37">
        <f>IF(C354="","",IFERROR(INDEX(ケイパビリティマップ!$E:$E,MATCH(C354,ケイパビリティマップ!$A:$A,0)),"（IDなし）"))</f>
        <v/>
      </c>
      <c r="E354" s="36" t="n"/>
      <c r="F354" s="37">
        <f>IF(A354="","",LEFT(A354,5))</f>
        <v/>
      </c>
      <c r="G354" s="37">
        <f>IF(C354="","",LEFT(C354,6))</f>
        <v/>
      </c>
    </row>
    <row r="355">
      <c r="A355" s="36" t="n"/>
      <c r="B355" s="36" t="n"/>
      <c r="C355" s="36" t="n"/>
      <c r="D355" s="37">
        <f>IF(C355="","",IFERROR(INDEX(ケイパビリティマップ!$E:$E,MATCH(C355,ケイパビリティマップ!$A:$A,0)),"（IDなし）"))</f>
        <v/>
      </c>
      <c r="E355" s="36" t="n"/>
      <c r="F355" s="37">
        <f>IF(A355="","",LEFT(A355,5))</f>
        <v/>
      </c>
      <c r="G355" s="37">
        <f>IF(C355="","",LEFT(C355,6))</f>
        <v/>
      </c>
    </row>
    <row r="356">
      <c r="A356" s="36" t="n"/>
      <c r="B356" s="36" t="n"/>
      <c r="C356" s="36" t="n"/>
      <c r="D356" s="37">
        <f>IF(C356="","",IFERROR(INDEX(ケイパビリティマップ!$E:$E,MATCH(C356,ケイパビリティマップ!$A:$A,0)),"（IDなし）"))</f>
        <v/>
      </c>
      <c r="E356" s="36" t="n"/>
      <c r="F356" s="37">
        <f>IF(A356="","",LEFT(A356,5))</f>
        <v/>
      </c>
      <c r="G356" s="37">
        <f>IF(C356="","",LEFT(C356,6))</f>
        <v/>
      </c>
    </row>
    <row r="357">
      <c r="A357" s="36" t="n"/>
      <c r="B357" s="36" t="n"/>
      <c r="C357" s="36" t="n"/>
      <c r="D357" s="37">
        <f>IF(C357="","",IFERROR(INDEX(ケイパビリティマップ!$E:$E,MATCH(C357,ケイパビリティマップ!$A:$A,0)),"（IDなし）"))</f>
        <v/>
      </c>
      <c r="E357" s="36" t="n"/>
      <c r="F357" s="37">
        <f>IF(A357="","",LEFT(A357,5))</f>
        <v/>
      </c>
      <c r="G357" s="37">
        <f>IF(C357="","",LEFT(C357,6))</f>
        <v/>
      </c>
    </row>
    <row r="358">
      <c r="A358" s="36" t="n"/>
      <c r="B358" s="36" t="n"/>
      <c r="C358" s="36" t="n"/>
      <c r="D358" s="37">
        <f>IF(C358="","",IFERROR(INDEX(ケイパビリティマップ!$E:$E,MATCH(C358,ケイパビリティマップ!$A:$A,0)),"（IDなし）"))</f>
        <v/>
      </c>
      <c r="E358" s="36" t="n"/>
      <c r="F358" s="37">
        <f>IF(A358="","",LEFT(A358,5))</f>
        <v/>
      </c>
      <c r="G358" s="37">
        <f>IF(C358="","",LEFT(C358,6))</f>
        <v/>
      </c>
    </row>
    <row r="359">
      <c r="A359" s="36" t="n"/>
      <c r="B359" s="36" t="n"/>
      <c r="C359" s="36" t="n"/>
      <c r="D359" s="37">
        <f>IF(C359="","",IFERROR(INDEX(ケイパビリティマップ!$E:$E,MATCH(C359,ケイパビリティマップ!$A:$A,0)),"（IDなし）"))</f>
        <v/>
      </c>
      <c r="E359" s="36" t="n"/>
      <c r="F359" s="37">
        <f>IF(A359="","",LEFT(A359,5))</f>
        <v/>
      </c>
      <c r="G359" s="37">
        <f>IF(C359="","",LEFT(C359,6))</f>
        <v/>
      </c>
    </row>
    <row r="360">
      <c r="A360" s="36" t="n"/>
      <c r="B360" s="36" t="n"/>
      <c r="C360" s="36" t="n"/>
      <c r="D360" s="37">
        <f>IF(C360="","",IFERROR(INDEX(ケイパビリティマップ!$E:$E,MATCH(C360,ケイパビリティマップ!$A:$A,0)),"（IDなし）"))</f>
        <v/>
      </c>
      <c r="E360" s="36" t="n"/>
      <c r="F360" s="37">
        <f>IF(A360="","",LEFT(A360,5))</f>
        <v/>
      </c>
      <c r="G360" s="37">
        <f>IF(C360="","",LEFT(C360,6))</f>
        <v/>
      </c>
    </row>
    <row r="361">
      <c r="A361" s="36" t="n"/>
      <c r="B361" s="36" t="n"/>
      <c r="C361" s="36" t="n"/>
      <c r="D361" s="37">
        <f>IF(C361="","",IFERROR(INDEX(ケイパビリティマップ!$E:$E,MATCH(C361,ケイパビリティマップ!$A:$A,0)),"（IDなし）"))</f>
        <v/>
      </c>
      <c r="E361" s="36" t="n"/>
      <c r="F361" s="37">
        <f>IF(A361="","",LEFT(A361,5))</f>
        <v/>
      </c>
      <c r="G361" s="37">
        <f>IF(C361="","",LEFT(C361,6))</f>
        <v/>
      </c>
    </row>
    <row r="362">
      <c r="A362" s="36" t="n"/>
      <c r="B362" s="36" t="n"/>
      <c r="C362" s="36" t="n"/>
      <c r="D362" s="37">
        <f>IF(C362="","",IFERROR(INDEX(ケイパビリティマップ!$E:$E,MATCH(C362,ケイパビリティマップ!$A:$A,0)),"（IDなし）"))</f>
        <v/>
      </c>
      <c r="E362" s="36" t="n"/>
      <c r="F362" s="37">
        <f>IF(A362="","",LEFT(A362,5))</f>
        <v/>
      </c>
      <c r="G362" s="37">
        <f>IF(C362="","",LEFT(C362,6))</f>
        <v/>
      </c>
    </row>
    <row r="363">
      <c r="A363" s="36" t="n"/>
      <c r="B363" s="36" t="n"/>
      <c r="C363" s="36" t="n"/>
      <c r="D363" s="37">
        <f>IF(C363="","",IFERROR(INDEX(ケイパビリティマップ!$E:$E,MATCH(C363,ケイパビリティマップ!$A:$A,0)),"（IDなし）"))</f>
        <v/>
      </c>
      <c r="E363" s="36" t="n"/>
      <c r="F363" s="37">
        <f>IF(A363="","",LEFT(A363,5))</f>
        <v/>
      </c>
      <c r="G363" s="37">
        <f>IF(C363="","",LEFT(C363,6))</f>
        <v/>
      </c>
    </row>
    <row r="364">
      <c r="A364" s="36" t="n"/>
      <c r="B364" s="36" t="n"/>
      <c r="C364" s="36" t="n"/>
      <c r="D364" s="37">
        <f>IF(C364="","",IFERROR(INDEX(ケイパビリティマップ!$E:$E,MATCH(C364,ケイパビリティマップ!$A:$A,0)),"（IDなし）"))</f>
        <v/>
      </c>
      <c r="E364" s="36" t="n"/>
      <c r="F364" s="37">
        <f>IF(A364="","",LEFT(A364,5))</f>
        <v/>
      </c>
      <c r="G364" s="37">
        <f>IF(C364="","",LEFT(C364,6))</f>
        <v/>
      </c>
    </row>
    <row r="365">
      <c r="A365" s="36" t="n"/>
      <c r="B365" s="36" t="n"/>
      <c r="C365" s="36" t="n"/>
      <c r="D365" s="37">
        <f>IF(C365="","",IFERROR(INDEX(ケイパビリティマップ!$E:$E,MATCH(C365,ケイパビリティマップ!$A:$A,0)),"（IDなし）"))</f>
        <v/>
      </c>
      <c r="E365" s="36" t="n"/>
      <c r="F365" s="37">
        <f>IF(A365="","",LEFT(A365,5))</f>
        <v/>
      </c>
      <c r="G365" s="37">
        <f>IF(C365="","",LEFT(C365,6))</f>
        <v/>
      </c>
    </row>
    <row r="366">
      <c r="A366" s="36" t="n"/>
      <c r="B366" s="36" t="n"/>
      <c r="C366" s="36" t="n"/>
      <c r="D366" s="37">
        <f>IF(C366="","",IFERROR(INDEX(ケイパビリティマップ!$E:$E,MATCH(C366,ケイパビリティマップ!$A:$A,0)),"（IDなし）"))</f>
        <v/>
      </c>
      <c r="E366" s="36" t="n"/>
      <c r="F366" s="37">
        <f>IF(A366="","",LEFT(A366,5))</f>
        <v/>
      </c>
      <c r="G366" s="37">
        <f>IF(C366="","",LEFT(C366,6))</f>
        <v/>
      </c>
    </row>
    <row r="367">
      <c r="A367" s="36" t="n"/>
      <c r="B367" s="36" t="n"/>
      <c r="C367" s="36" t="n"/>
      <c r="D367" s="37">
        <f>IF(C367="","",IFERROR(INDEX(ケイパビリティマップ!$E:$E,MATCH(C367,ケイパビリティマップ!$A:$A,0)),"（IDなし）"))</f>
        <v/>
      </c>
      <c r="E367" s="36" t="n"/>
      <c r="F367" s="37">
        <f>IF(A367="","",LEFT(A367,5))</f>
        <v/>
      </c>
      <c r="G367" s="37">
        <f>IF(C367="","",LEFT(C367,6))</f>
        <v/>
      </c>
    </row>
    <row r="368">
      <c r="A368" s="36" t="n"/>
      <c r="B368" s="36" t="n"/>
      <c r="C368" s="36" t="n"/>
      <c r="D368" s="37">
        <f>IF(C368="","",IFERROR(INDEX(ケイパビリティマップ!$E:$E,MATCH(C368,ケイパビリティマップ!$A:$A,0)),"（IDなし）"))</f>
        <v/>
      </c>
      <c r="E368" s="36" t="n"/>
      <c r="F368" s="37">
        <f>IF(A368="","",LEFT(A368,5))</f>
        <v/>
      </c>
      <c r="G368" s="37">
        <f>IF(C368="","",LEFT(C368,6))</f>
        <v/>
      </c>
    </row>
    <row r="369">
      <c r="A369" s="36" t="n"/>
      <c r="B369" s="36" t="n"/>
      <c r="C369" s="36" t="n"/>
      <c r="D369" s="37">
        <f>IF(C369="","",IFERROR(INDEX(ケイパビリティマップ!$E:$E,MATCH(C369,ケイパビリティマップ!$A:$A,0)),"（IDなし）"))</f>
        <v/>
      </c>
      <c r="E369" s="36" t="n"/>
      <c r="F369" s="37">
        <f>IF(A369="","",LEFT(A369,5))</f>
        <v/>
      </c>
      <c r="G369" s="37">
        <f>IF(C369="","",LEFT(C369,6))</f>
        <v/>
      </c>
    </row>
    <row r="370">
      <c r="A370" s="36" t="n"/>
      <c r="B370" s="36" t="n"/>
      <c r="C370" s="36" t="n"/>
      <c r="D370" s="37">
        <f>IF(C370="","",IFERROR(INDEX(ケイパビリティマップ!$E:$E,MATCH(C370,ケイパビリティマップ!$A:$A,0)),"（IDなし）"))</f>
        <v/>
      </c>
      <c r="E370" s="36" t="n"/>
      <c r="F370" s="37">
        <f>IF(A370="","",LEFT(A370,5))</f>
        <v/>
      </c>
      <c r="G370" s="37">
        <f>IF(C370="","",LEFT(C370,6))</f>
        <v/>
      </c>
    </row>
  </sheetData>
  <autoFilter ref="A3:G170"/>
  <dataValidations count="1">
    <dataValidation sqref="E4:E370" showDropDown="0" showInputMessage="0" showErrorMessage="0" allowBlank="1" type="list">
      <formula1>"主,支援"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8B57"/>
    <outlinePr summaryBelow="1" summaryRight="1"/>
    <pageSetUpPr/>
  </sheetPr>
  <dimension ref="A1:AK31"/>
  <sheetViews>
    <sheetView showGridLines="1" zoomScale="9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30" customWidth="1" min="3" max="3"/>
    <col width="5.52" customWidth="1" min="4" max="4"/>
    <col width="5.52" customWidth="1" min="5" max="5"/>
    <col width="5.52" customWidth="1" min="6" max="6"/>
    <col width="5.52" customWidth="1" min="7" max="7"/>
    <col width="5.52" customWidth="1" min="8" max="8"/>
    <col width="5.52" customWidth="1" min="9" max="9"/>
    <col width="5.52" customWidth="1" min="10" max="10"/>
    <col width="5.52" customWidth="1" min="11" max="11"/>
    <col width="5.52" customWidth="1" min="12" max="12"/>
    <col width="5.52" customWidth="1" min="13" max="13"/>
    <col width="5.52" customWidth="1" min="14" max="14"/>
    <col width="5.52" customWidth="1" min="15" max="15"/>
    <col width="5.52" customWidth="1" min="16" max="16"/>
    <col width="5.52" customWidth="1" min="17" max="17"/>
    <col width="5.52" customWidth="1" min="18" max="18"/>
    <col width="5.52" customWidth="1" min="19" max="19"/>
    <col width="5.52" customWidth="1" min="20" max="20"/>
    <col width="5.52" customWidth="1" min="21" max="21"/>
    <col width="5.52" customWidth="1" min="22" max="22"/>
    <col width="5.52" customWidth="1" min="23" max="23"/>
    <col width="5.52" customWidth="1" min="24" max="24"/>
    <col width="5.52" customWidth="1" min="25" max="25"/>
    <col width="5.52" customWidth="1" min="26" max="26"/>
    <col width="5.52" customWidth="1" min="27" max="27"/>
    <col width="5.52" customWidth="1" min="28" max="28"/>
    <col width="5.52" customWidth="1" min="29" max="29"/>
    <col width="5.52" customWidth="1" min="30" max="30"/>
    <col width="5.52" customWidth="1" min="31" max="31"/>
    <col width="5.52" customWidth="1" min="32" max="32"/>
    <col width="5.52" customWidth="1" min="33" max="33"/>
    <col width="5.52" customWidth="1" min="34" max="34"/>
    <col width="5.52" customWidth="1" min="35" max="35"/>
    <col width="7" customWidth="1" min="36" max="36"/>
    <col width="7" customWidth="1" min="37" max="37"/>
  </cols>
  <sheetData>
    <row r="1" ht="21" customHeight="1">
      <c r="A1" s="1" t="inlineStr">
        <is>
          <t>バリューストリーム×ケイパビリティマップ（行：バリューストリームL3 × 列：ケイパビリティL2）</t>
        </is>
      </c>
    </row>
    <row r="2" ht="15" customHeight="1">
      <c r="A2" s="2" t="inlineStr">
        <is>
          <t>●＝主（配下のL4×L3の関係に「主」が1つ以上）　○＝支援のみ　空欄＝関係なし。各セルは「VS×ケイパビリティ関係」シートから数式で集計（直接入力しない）。</t>
        </is>
      </c>
    </row>
    <row r="4" ht="42" customHeight="1">
      <c r="A4" s="3" t="inlineStr">
        <is>
          <t>VS L2</t>
        </is>
      </c>
      <c r="B4" s="3" t="inlineStr">
        <is>
          <t>L3 ID</t>
        </is>
      </c>
      <c r="C4" s="3" t="inlineStr">
        <is>
          <t>VS L3</t>
        </is>
      </c>
      <c r="D4" s="38" t="inlineStr">
        <is>
          <t>C01 人事戦略・組織設計</t>
        </is>
      </c>
      <c r="E4" s="27" t="n"/>
      <c r="F4" s="28" t="n"/>
      <c r="G4" s="38" t="inlineStr">
        <is>
          <t>C02 タレント獲得</t>
        </is>
      </c>
      <c r="H4" s="27" t="n"/>
      <c r="I4" s="27" t="n"/>
      <c r="J4" s="28" t="n"/>
      <c r="K4" s="38" t="inlineStr">
        <is>
          <t>C03 入社・雇用管理</t>
        </is>
      </c>
      <c r="L4" s="27" t="n"/>
      <c r="M4" s="28" t="n"/>
      <c r="N4" s="38" t="inlineStr">
        <is>
          <t>C04 人材育成・能力開発</t>
        </is>
      </c>
      <c r="O4" s="27" t="n"/>
      <c r="P4" s="27" t="n"/>
      <c r="Q4" s="28" t="n"/>
      <c r="R4" s="38" t="inlineStr">
        <is>
          <t>C05 パフォーマンス・報酬管理</t>
        </is>
      </c>
      <c r="S4" s="27" t="n"/>
      <c r="T4" s="27" t="n"/>
      <c r="U4" s="28" t="n"/>
      <c r="V4" s="38" t="inlineStr">
        <is>
          <t>C06 就業・労務管理</t>
        </is>
      </c>
      <c r="W4" s="27" t="n"/>
      <c r="X4" s="27" t="n"/>
      <c r="Y4" s="28" t="n"/>
      <c r="Z4" s="38" t="inlineStr">
        <is>
          <t>C07 タレントマネジメント・配置</t>
        </is>
      </c>
      <c r="AA4" s="27" t="n"/>
      <c r="AB4" s="27" t="n"/>
      <c r="AC4" s="28" t="n"/>
      <c r="AD4" s="38" t="inlineStr">
        <is>
          <t>C08 退職・雇用終了</t>
        </is>
      </c>
      <c r="AE4" s="27" t="n"/>
      <c r="AF4" s="28" t="n"/>
      <c r="AG4" s="38" t="inlineStr">
        <is>
          <t>C09 人事基盤</t>
        </is>
      </c>
      <c r="AH4" s="27" t="n"/>
      <c r="AI4" s="28" t="n"/>
      <c r="AJ4" s="4" t="inlineStr">
        <is>
          <t>●の数</t>
        </is>
      </c>
      <c r="AK4" s="4" t="inlineStr">
        <is>
          <t>○の数</t>
        </is>
      </c>
    </row>
    <row r="5" ht="23.25" customHeight="1">
      <c r="A5" s="39" t="n"/>
      <c r="B5" s="39" t="n"/>
      <c r="C5" s="39" t="n"/>
      <c r="D5" s="38" t="inlineStr">
        <is>
          <t>C01-01</t>
        </is>
      </c>
      <c r="E5" s="38" t="inlineStr">
        <is>
          <t>C01-02</t>
        </is>
      </c>
      <c r="F5" s="38" t="inlineStr">
        <is>
          <t>C01-03</t>
        </is>
      </c>
      <c r="G5" s="38" t="inlineStr">
        <is>
          <t>C02-01</t>
        </is>
      </c>
      <c r="H5" s="38" t="inlineStr">
        <is>
          <t>C02-02</t>
        </is>
      </c>
      <c r="I5" s="38" t="inlineStr">
        <is>
          <t>C02-03</t>
        </is>
      </c>
      <c r="J5" s="38" t="inlineStr">
        <is>
          <t>C02-04</t>
        </is>
      </c>
      <c r="K5" s="38" t="inlineStr">
        <is>
          <t>C03-01</t>
        </is>
      </c>
      <c r="L5" s="38" t="inlineStr">
        <is>
          <t>C03-02</t>
        </is>
      </c>
      <c r="M5" s="38" t="inlineStr">
        <is>
          <t>C03-03</t>
        </is>
      </c>
      <c r="N5" s="38" t="inlineStr">
        <is>
          <t>C04-01</t>
        </is>
      </c>
      <c r="O5" s="38" t="inlineStr">
        <is>
          <t>C04-02</t>
        </is>
      </c>
      <c r="P5" s="38" t="inlineStr">
        <is>
          <t>C04-03</t>
        </is>
      </c>
      <c r="Q5" s="38" t="inlineStr">
        <is>
          <t>C04-04</t>
        </is>
      </c>
      <c r="R5" s="38" t="inlineStr">
        <is>
          <t>C05-01</t>
        </is>
      </c>
      <c r="S5" s="38" t="inlineStr">
        <is>
          <t>C05-02</t>
        </is>
      </c>
      <c r="T5" s="38" t="inlineStr">
        <is>
          <t>C05-03</t>
        </is>
      </c>
      <c r="U5" s="38" t="inlineStr">
        <is>
          <t>C05-04</t>
        </is>
      </c>
      <c r="V5" s="38" t="inlineStr">
        <is>
          <t>C06-01</t>
        </is>
      </c>
      <c r="W5" s="38" t="inlineStr">
        <is>
          <t>C06-02</t>
        </is>
      </c>
      <c r="X5" s="38" t="inlineStr">
        <is>
          <t>C06-03</t>
        </is>
      </c>
      <c r="Y5" s="38" t="inlineStr">
        <is>
          <t>C06-04</t>
        </is>
      </c>
      <c r="Z5" s="38" t="inlineStr">
        <is>
          <t>C07-01</t>
        </is>
      </c>
      <c r="AA5" s="38" t="inlineStr">
        <is>
          <t>C07-02</t>
        </is>
      </c>
      <c r="AB5" s="38" t="inlineStr">
        <is>
          <t>C07-03</t>
        </is>
      </c>
      <c r="AC5" s="38" t="inlineStr">
        <is>
          <t>C07-04</t>
        </is>
      </c>
      <c r="AD5" s="38" t="inlineStr">
        <is>
          <t>C08-01</t>
        </is>
      </c>
      <c r="AE5" s="38" t="inlineStr">
        <is>
          <t>C08-02</t>
        </is>
      </c>
      <c r="AF5" s="38" t="inlineStr">
        <is>
          <t>C08-03</t>
        </is>
      </c>
      <c r="AG5" s="38" t="inlineStr">
        <is>
          <t>C09-01</t>
        </is>
      </c>
      <c r="AH5" s="38" t="inlineStr">
        <is>
          <t>C09-02</t>
        </is>
      </c>
      <c r="AI5" s="38" t="inlineStr">
        <is>
          <t>C09-03</t>
        </is>
      </c>
      <c r="AJ5" s="39" t="n"/>
      <c r="AK5" s="39" t="n"/>
    </row>
    <row r="6" ht="150" customHeight="1">
      <c r="A6" s="40" t="n"/>
      <c r="B6" s="40" t="n"/>
      <c r="C6" s="40" t="n"/>
      <c r="D6" s="41" t="inlineStr">
        <is>
          <t>人事戦略・人的資本経営★</t>
        </is>
      </c>
      <c r="E6" s="41" t="inlineStr">
        <is>
          <t>要員計画・人件費管理</t>
        </is>
      </c>
      <c r="F6" s="41" t="inlineStr">
        <is>
          <t>組織・職務設計</t>
        </is>
      </c>
      <c r="G6" s="41" t="inlineStr">
        <is>
          <t>採用計画・採用ブランディング</t>
        </is>
      </c>
      <c r="H6" s="41" t="inlineStr">
        <is>
          <t>新卒採用★</t>
        </is>
      </c>
      <c r="I6" s="41" t="inlineStr">
        <is>
          <t>経験者採用</t>
        </is>
      </c>
      <c r="J6" s="41" t="inlineStr">
        <is>
          <t>採用コンプライアンス★</t>
        </is>
      </c>
      <c r="K6" s="41" t="inlineStr">
        <is>
          <t>雇用契約・入社手続き★</t>
        </is>
      </c>
      <c r="L6" s="41" t="inlineStr">
        <is>
          <t>オンボーディング</t>
        </is>
      </c>
      <c r="M6" s="41" t="inlineStr">
        <is>
          <t>従業員情報管理★</t>
        </is>
      </c>
      <c r="N6" s="41" t="inlineStr">
        <is>
          <t>育成体系・研修管理</t>
        </is>
      </c>
      <c r="O6" s="41" t="inlineStr">
        <is>
          <t>スキル・資格管理</t>
        </is>
      </c>
      <c r="P6" s="41" t="inlineStr">
        <is>
          <t>キャリア開発支援</t>
        </is>
      </c>
      <c r="Q6" s="41" t="inlineStr">
        <is>
          <t>法定・コンプライアンス教育</t>
        </is>
      </c>
      <c r="R6" s="41" t="inlineStr">
        <is>
          <t>目標・評価管理</t>
        </is>
      </c>
      <c r="S6" s="41" t="inlineStr">
        <is>
          <t>報酬制度・報酬決定</t>
        </is>
      </c>
      <c r="T6" s="41" t="inlineStr">
        <is>
          <t>給与計算・支払★</t>
        </is>
      </c>
      <c r="U6" s="41" t="inlineStr">
        <is>
          <t>社会保険・福利厚生</t>
        </is>
      </c>
      <c r="V6" s="41" t="inlineStr">
        <is>
          <t>勤怠・休暇管理★</t>
        </is>
      </c>
      <c r="W6" s="41" t="inlineStr">
        <is>
          <t>健康・安全管理★</t>
        </is>
      </c>
      <c r="X6" s="41" t="inlineStr">
        <is>
          <t>労使関係・従業員対応</t>
        </is>
      </c>
      <c r="Y6" s="41" t="inlineStr">
        <is>
          <t>エンゲージメント・働き方</t>
        </is>
      </c>
      <c r="Z6" s="41" t="inlineStr">
        <is>
          <t>タレントレビュー・配置</t>
        </is>
      </c>
      <c r="AA6" s="41" t="inlineStr">
        <is>
          <t>昇格・登用</t>
        </is>
      </c>
      <c r="AB6" s="41" t="inlineStr">
        <is>
          <t>後継者・リーダー育成</t>
        </is>
      </c>
      <c r="AC6" s="41" t="inlineStr">
        <is>
          <t>多様な人材の活躍推進★</t>
        </is>
      </c>
      <c r="AD6" s="41" t="inlineStr">
        <is>
          <t>退職手続き★</t>
        </is>
      </c>
      <c r="AE6" s="41" t="inlineStr">
        <is>
          <t>定年・再雇用★</t>
        </is>
      </c>
      <c r="AF6" s="41" t="inlineStr">
        <is>
          <t>オフボーディング</t>
        </is>
      </c>
      <c r="AG6" s="41" t="inlineStr">
        <is>
          <t>人事データ・分析</t>
        </is>
      </c>
      <c r="AH6" s="41" t="inlineStr">
        <is>
          <t>人事サービス提供</t>
        </is>
      </c>
      <c r="AI6" s="41" t="inlineStr">
        <is>
          <t>人事情報セキュリティ・個人情報保護★</t>
        </is>
      </c>
      <c r="AJ6" s="40" t="n"/>
      <c r="AK6" s="40" t="n"/>
    </row>
    <row r="7">
      <c r="A7" s="42" t="inlineStr">
        <is>
          <t>01 人員計画・採用</t>
        </is>
      </c>
      <c r="B7" s="18" t="inlineStr">
        <is>
          <t>01-01</t>
        </is>
      </c>
      <c r="C7" s="20" t="inlineStr">
        <is>
          <t>人事戦略・要員計画</t>
        </is>
      </c>
      <c r="D7" s="18">
        <f>IF(COUNTIFS('VS×ケイパビリティ関係'!$F$4:$F$370,$B7,'VS×ケイパビリティ関係'!$G$4:$G$370,D$5,'VS×ケイパビリティ関係'!$E$4:$E$370,"主")&gt;0,"●",IF(COUNTIFS('VS×ケイパビリティ関係'!$F$4:$F$370,$B7,'VS×ケイパビリティ関係'!$G$4:$G$370,D$5,'VS×ケイパビリティ関係'!$E$4:$E$370,"支援")&gt;0,"○",""))</f>
        <v/>
      </c>
      <c r="E7" s="18">
        <f>IF(COUNTIFS('VS×ケイパビリティ関係'!$F$4:$F$370,$B7,'VS×ケイパビリティ関係'!$G$4:$G$370,E$5,'VS×ケイパビリティ関係'!$E$4:$E$370,"主")&gt;0,"●",IF(COUNTIFS('VS×ケイパビリティ関係'!$F$4:$F$370,$B7,'VS×ケイパビリティ関係'!$G$4:$G$370,E$5,'VS×ケイパビリティ関係'!$E$4:$E$370,"支援")&gt;0,"○",""))</f>
        <v/>
      </c>
      <c r="F7" s="18">
        <f>IF(COUNTIFS('VS×ケイパビリティ関係'!$F$4:$F$370,$B7,'VS×ケイパビリティ関係'!$G$4:$G$370,F$5,'VS×ケイパビリティ関係'!$E$4:$E$370,"主")&gt;0,"●",IF(COUNTIFS('VS×ケイパビリティ関係'!$F$4:$F$370,$B7,'VS×ケイパビリティ関係'!$G$4:$G$370,F$5,'VS×ケイパビリティ関係'!$E$4:$E$370,"支援")&gt;0,"○",""))</f>
        <v/>
      </c>
      <c r="G7" s="18">
        <f>IF(COUNTIFS('VS×ケイパビリティ関係'!$F$4:$F$370,$B7,'VS×ケイパビリティ関係'!$G$4:$G$370,G$5,'VS×ケイパビリティ関係'!$E$4:$E$370,"主")&gt;0,"●",IF(COUNTIFS('VS×ケイパビリティ関係'!$F$4:$F$370,$B7,'VS×ケイパビリティ関係'!$G$4:$G$370,G$5,'VS×ケイパビリティ関係'!$E$4:$E$370,"支援")&gt;0,"○",""))</f>
        <v/>
      </c>
      <c r="H7" s="18">
        <f>IF(COUNTIFS('VS×ケイパビリティ関係'!$F$4:$F$370,$B7,'VS×ケイパビリティ関係'!$G$4:$G$370,H$5,'VS×ケイパビリティ関係'!$E$4:$E$370,"主")&gt;0,"●",IF(COUNTIFS('VS×ケイパビリティ関係'!$F$4:$F$370,$B7,'VS×ケイパビリティ関係'!$G$4:$G$370,H$5,'VS×ケイパビリティ関係'!$E$4:$E$370,"支援")&gt;0,"○",""))</f>
        <v/>
      </c>
      <c r="I7" s="18">
        <f>IF(COUNTIFS('VS×ケイパビリティ関係'!$F$4:$F$370,$B7,'VS×ケイパビリティ関係'!$G$4:$G$370,I$5,'VS×ケイパビリティ関係'!$E$4:$E$370,"主")&gt;0,"●",IF(COUNTIFS('VS×ケイパビリティ関係'!$F$4:$F$370,$B7,'VS×ケイパビリティ関係'!$G$4:$G$370,I$5,'VS×ケイパビリティ関係'!$E$4:$E$370,"支援")&gt;0,"○",""))</f>
        <v/>
      </c>
      <c r="J7" s="18">
        <f>IF(COUNTIFS('VS×ケイパビリティ関係'!$F$4:$F$370,$B7,'VS×ケイパビリティ関係'!$G$4:$G$370,J$5,'VS×ケイパビリティ関係'!$E$4:$E$370,"主")&gt;0,"●",IF(COUNTIFS('VS×ケイパビリティ関係'!$F$4:$F$370,$B7,'VS×ケイパビリティ関係'!$G$4:$G$370,J$5,'VS×ケイパビリティ関係'!$E$4:$E$370,"支援")&gt;0,"○",""))</f>
        <v/>
      </c>
      <c r="K7" s="18">
        <f>IF(COUNTIFS('VS×ケイパビリティ関係'!$F$4:$F$370,$B7,'VS×ケイパビリティ関係'!$G$4:$G$370,K$5,'VS×ケイパビリティ関係'!$E$4:$E$370,"主")&gt;0,"●",IF(COUNTIFS('VS×ケイパビリティ関係'!$F$4:$F$370,$B7,'VS×ケイパビリティ関係'!$G$4:$G$370,K$5,'VS×ケイパビリティ関係'!$E$4:$E$370,"支援")&gt;0,"○",""))</f>
        <v/>
      </c>
      <c r="L7" s="18">
        <f>IF(COUNTIFS('VS×ケイパビリティ関係'!$F$4:$F$370,$B7,'VS×ケイパビリティ関係'!$G$4:$G$370,L$5,'VS×ケイパビリティ関係'!$E$4:$E$370,"主")&gt;0,"●",IF(COUNTIFS('VS×ケイパビリティ関係'!$F$4:$F$370,$B7,'VS×ケイパビリティ関係'!$G$4:$G$370,L$5,'VS×ケイパビリティ関係'!$E$4:$E$370,"支援")&gt;0,"○",""))</f>
        <v/>
      </c>
      <c r="M7" s="18">
        <f>IF(COUNTIFS('VS×ケイパビリティ関係'!$F$4:$F$370,$B7,'VS×ケイパビリティ関係'!$G$4:$G$370,M$5,'VS×ケイパビリティ関係'!$E$4:$E$370,"主")&gt;0,"●",IF(COUNTIFS('VS×ケイパビリティ関係'!$F$4:$F$370,$B7,'VS×ケイパビリティ関係'!$G$4:$G$370,M$5,'VS×ケイパビリティ関係'!$E$4:$E$370,"支援")&gt;0,"○",""))</f>
        <v/>
      </c>
      <c r="N7" s="18">
        <f>IF(COUNTIFS('VS×ケイパビリティ関係'!$F$4:$F$370,$B7,'VS×ケイパビリティ関係'!$G$4:$G$370,N$5,'VS×ケイパビリティ関係'!$E$4:$E$370,"主")&gt;0,"●",IF(COUNTIFS('VS×ケイパビリティ関係'!$F$4:$F$370,$B7,'VS×ケイパビリティ関係'!$G$4:$G$370,N$5,'VS×ケイパビリティ関係'!$E$4:$E$370,"支援")&gt;0,"○",""))</f>
        <v/>
      </c>
      <c r="O7" s="18">
        <f>IF(COUNTIFS('VS×ケイパビリティ関係'!$F$4:$F$370,$B7,'VS×ケイパビリティ関係'!$G$4:$G$370,O$5,'VS×ケイパビリティ関係'!$E$4:$E$370,"主")&gt;0,"●",IF(COUNTIFS('VS×ケイパビリティ関係'!$F$4:$F$370,$B7,'VS×ケイパビリティ関係'!$G$4:$G$370,O$5,'VS×ケイパビリティ関係'!$E$4:$E$370,"支援")&gt;0,"○",""))</f>
        <v/>
      </c>
      <c r="P7" s="18">
        <f>IF(COUNTIFS('VS×ケイパビリティ関係'!$F$4:$F$370,$B7,'VS×ケイパビリティ関係'!$G$4:$G$370,P$5,'VS×ケイパビリティ関係'!$E$4:$E$370,"主")&gt;0,"●",IF(COUNTIFS('VS×ケイパビリティ関係'!$F$4:$F$370,$B7,'VS×ケイパビリティ関係'!$G$4:$G$370,P$5,'VS×ケイパビリティ関係'!$E$4:$E$370,"支援")&gt;0,"○",""))</f>
        <v/>
      </c>
      <c r="Q7" s="18">
        <f>IF(COUNTIFS('VS×ケイパビリティ関係'!$F$4:$F$370,$B7,'VS×ケイパビリティ関係'!$G$4:$G$370,Q$5,'VS×ケイパビリティ関係'!$E$4:$E$370,"主")&gt;0,"●",IF(COUNTIFS('VS×ケイパビリティ関係'!$F$4:$F$370,$B7,'VS×ケイパビリティ関係'!$G$4:$G$370,Q$5,'VS×ケイパビリティ関係'!$E$4:$E$370,"支援")&gt;0,"○",""))</f>
        <v/>
      </c>
      <c r="R7" s="18">
        <f>IF(COUNTIFS('VS×ケイパビリティ関係'!$F$4:$F$370,$B7,'VS×ケイパビリティ関係'!$G$4:$G$370,R$5,'VS×ケイパビリティ関係'!$E$4:$E$370,"主")&gt;0,"●",IF(COUNTIFS('VS×ケイパビリティ関係'!$F$4:$F$370,$B7,'VS×ケイパビリティ関係'!$G$4:$G$370,R$5,'VS×ケイパビリティ関係'!$E$4:$E$370,"支援")&gt;0,"○",""))</f>
        <v/>
      </c>
      <c r="S7" s="18">
        <f>IF(COUNTIFS('VS×ケイパビリティ関係'!$F$4:$F$370,$B7,'VS×ケイパビリティ関係'!$G$4:$G$370,S$5,'VS×ケイパビリティ関係'!$E$4:$E$370,"主")&gt;0,"●",IF(COUNTIFS('VS×ケイパビリティ関係'!$F$4:$F$370,$B7,'VS×ケイパビリティ関係'!$G$4:$G$370,S$5,'VS×ケイパビリティ関係'!$E$4:$E$370,"支援")&gt;0,"○",""))</f>
        <v/>
      </c>
      <c r="T7" s="18">
        <f>IF(COUNTIFS('VS×ケイパビリティ関係'!$F$4:$F$370,$B7,'VS×ケイパビリティ関係'!$G$4:$G$370,T$5,'VS×ケイパビリティ関係'!$E$4:$E$370,"主")&gt;0,"●",IF(COUNTIFS('VS×ケイパビリティ関係'!$F$4:$F$370,$B7,'VS×ケイパビリティ関係'!$G$4:$G$370,T$5,'VS×ケイパビリティ関係'!$E$4:$E$370,"支援")&gt;0,"○",""))</f>
        <v/>
      </c>
      <c r="U7" s="18">
        <f>IF(COUNTIFS('VS×ケイパビリティ関係'!$F$4:$F$370,$B7,'VS×ケイパビリティ関係'!$G$4:$G$370,U$5,'VS×ケイパビリティ関係'!$E$4:$E$370,"主")&gt;0,"●",IF(COUNTIFS('VS×ケイパビリティ関係'!$F$4:$F$370,$B7,'VS×ケイパビリティ関係'!$G$4:$G$370,U$5,'VS×ケイパビリティ関係'!$E$4:$E$370,"支援")&gt;0,"○",""))</f>
        <v/>
      </c>
      <c r="V7" s="18">
        <f>IF(COUNTIFS('VS×ケイパビリティ関係'!$F$4:$F$370,$B7,'VS×ケイパビリティ関係'!$G$4:$G$370,V$5,'VS×ケイパビリティ関係'!$E$4:$E$370,"主")&gt;0,"●",IF(COUNTIFS('VS×ケイパビリティ関係'!$F$4:$F$370,$B7,'VS×ケイパビリティ関係'!$G$4:$G$370,V$5,'VS×ケイパビリティ関係'!$E$4:$E$370,"支援")&gt;0,"○",""))</f>
        <v/>
      </c>
      <c r="W7" s="18">
        <f>IF(COUNTIFS('VS×ケイパビリティ関係'!$F$4:$F$370,$B7,'VS×ケイパビリティ関係'!$G$4:$G$370,W$5,'VS×ケイパビリティ関係'!$E$4:$E$370,"主")&gt;0,"●",IF(COUNTIFS('VS×ケイパビリティ関係'!$F$4:$F$370,$B7,'VS×ケイパビリティ関係'!$G$4:$G$370,W$5,'VS×ケイパビリティ関係'!$E$4:$E$370,"支援")&gt;0,"○",""))</f>
        <v/>
      </c>
      <c r="X7" s="18">
        <f>IF(COUNTIFS('VS×ケイパビリティ関係'!$F$4:$F$370,$B7,'VS×ケイパビリティ関係'!$G$4:$G$370,X$5,'VS×ケイパビリティ関係'!$E$4:$E$370,"主")&gt;0,"●",IF(COUNTIFS('VS×ケイパビリティ関係'!$F$4:$F$370,$B7,'VS×ケイパビリティ関係'!$G$4:$G$370,X$5,'VS×ケイパビリティ関係'!$E$4:$E$370,"支援")&gt;0,"○",""))</f>
        <v/>
      </c>
      <c r="Y7" s="18">
        <f>IF(COUNTIFS('VS×ケイパビリティ関係'!$F$4:$F$370,$B7,'VS×ケイパビリティ関係'!$G$4:$G$370,Y$5,'VS×ケイパビリティ関係'!$E$4:$E$370,"主")&gt;0,"●",IF(COUNTIFS('VS×ケイパビリティ関係'!$F$4:$F$370,$B7,'VS×ケイパビリティ関係'!$G$4:$G$370,Y$5,'VS×ケイパビリティ関係'!$E$4:$E$370,"支援")&gt;0,"○",""))</f>
        <v/>
      </c>
      <c r="Z7" s="18">
        <f>IF(COUNTIFS('VS×ケイパビリティ関係'!$F$4:$F$370,$B7,'VS×ケイパビリティ関係'!$G$4:$G$370,Z$5,'VS×ケイパビリティ関係'!$E$4:$E$370,"主")&gt;0,"●",IF(COUNTIFS('VS×ケイパビリティ関係'!$F$4:$F$370,$B7,'VS×ケイパビリティ関係'!$G$4:$G$370,Z$5,'VS×ケイパビリティ関係'!$E$4:$E$370,"支援")&gt;0,"○",""))</f>
        <v/>
      </c>
      <c r="AA7" s="18">
        <f>IF(COUNTIFS('VS×ケイパビリティ関係'!$F$4:$F$370,$B7,'VS×ケイパビリティ関係'!$G$4:$G$370,AA$5,'VS×ケイパビリティ関係'!$E$4:$E$370,"主")&gt;0,"●",IF(COUNTIFS('VS×ケイパビリティ関係'!$F$4:$F$370,$B7,'VS×ケイパビリティ関係'!$G$4:$G$370,AA$5,'VS×ケイパビリティ関係'!$E$4:$E$370,"支援")&gt;0,"○",""))</f>
        <v/>
      </c>
      <c r="AB7" s="18">
        <f>IF(COUNTIFS('VS×ケイパビリティ関係'!$F$4:$F$370,$B7,'VS×ケイパビリティ関係'!$G$4:$G$370,AB$5,'VS×ケイパビリティ関係'!$E$4:$E$370,"主")&gt;0,"●",IF(COUNTIFS('VS×ケイパビリティ関係'!$F$4:$F$370,$B7,'VS×ケイパビリティ関係'!$G$4:$G$370,AB$5,'VS×ケイパビリティ関係'!$E$4:$E$370,"支援")&gt;0,"○",""))</f>
        <v/>
      </c>
      <c r="AC7" s="18">
        <f>IF(COUNTIFS('VS×ケイパビリティ関係'!$F$4:$F$370,$B7,'VS×ケイパビリティ関係'!$G$4:$G$370,AC$5,'VS×ケイパビリティ関係'!$E$4:$E$370,"主")&gt;0,"●",IF(COUNTIFS('VS×ケイパビリティ関係'!$F$4:$F$370,$B7,'VS×ケイパビリティ関係'!$G$4:$G$370,AC$5,'VS×ケイパビリティ関係'!$E$4:$E$370,"支援")&gt;0,"○",""))</f>
        <v/>
      </c>
      <c r="AD7" s="18">
        <f>IF(COUNTIFS('VS×ケイパビリティ関係'!$F$4:$F$370,$B7,'VS×ケイパビリティ関係'!$G$4:$G$370,AD$5,'VS×ケイパビリティ関係'!$E$4:$E$370,"主")&gt;0,"●",IF(COUNTIFS('VS×ケイパビリティ関係'!$F$4:$F$370,$B7,'VS×ケイパビリティ関係'!$G$4:$G$370,AD$5,'VS×ケイパビリティ関係'!$E$4:$E$370,"支援")&gt;0,"○",""))</f>
        <v/>
      </c>
      <c r="AE7" s="18">
        <f>IF(COUNTIFS('VS×ケイパビリティ関係'!$F$4:$F$370,$B7,'VS×ケイパビリティ関係'!$G$4:$G$370,AE$5,'VS×ケイパビリティ関係'!$E$4:$E$370,"主")&gt;0,"●",IF(COUNTIFS('VS×ケイパビリティ関係'!$F$4:$F$370,$B7,'VS×ケイパビリティ関係'!$G$4:$G$370,AE$5,'VS×ケイパビリティ関係'!$E$4:$E$370,"支援")&gt;0,"○",""))</f>
        <v/>
      </c>
      <c r="AF7" s="18">
        <f>IF(COUNTIFS('VS×ケイパビリティ関係'!$F$4:$F$370,$B7,'VS×ケイパビリティ関係'!$G$4:$G$370,AF$5,'VS×ケイパビリティ関係'!$E$4:$E$370,"主")&gt;0,"●",IF(COUNTIFS('VS×ケイパビリティ関係'!$F$4:$F$370,$B7,'VS×ケイパビリティ関係'!$G$4:$G$370,AF$5,'VS×ケイパビリティ関係'!$E$4:$E$370,"支援")&gt;0,"○",""))</f>
        <v/>
      </c>
      <c r="AG7" s="18">
        <f>IF(COUNTIFS('VS×ケイパビリティ関係'!$F$4:$F$370,$B7,'VS×ケイパビリティ関係'!$G$4:$G$370,AG$5,'VS×ケイパビリティ関係'!$E$4:$E$370,"主")&gt;0,"●",IF(COUNTIFS('VS×ケイパビリティ関係'!$F$4:$F$370,$B7,'VS×ケイパビリティ関係'!$G$4:$G$370,AG$5,'VS×ケイパビリティ関係'!$E$4:$E$370,"支援")&gt;0,"○",""))</f>
        <v/>
      </c>
      <c r="AH7" s="18">
        <f>IF(COUNTIFS('VS×ケイパビリティ関係'!$F$4:$F$370,$B7,'VS×ケイパビリティ関係'!$G$4:$G$370,AH$5,'VS×ケイパビリティ関係'!$E$4:$E$370,"主")&gt;0,"●",IF(COUNTIFS('VS×ケイパビリティ関係'!$F$4:$F$370,$B7,'VS×ケイパビリティ関係'!$G$4:$G$370,AH$5,'VS×ケイパビリティ関係'!$E$4:$E$370,"支援")&gt;0,"○",""))</f>
        <v/>
      </c>
      <c r="AI7" s="18">
        <f>IF(COUNTIFS('VS×ケイパビリティ関係'!$F$4:$F$370,$B7,'VS×ケイパビリティ関係'!$G$4:$G$370,AI$5,'VS×ケイパビリティ関係'!$E$4:$E$370,"主")&gt;0,"●",IF(COUNTIFS('VS×ケイパビリティ関係'!$F$4:$F$370,$B7,'VS×ケイパビリティ関係'!$G$4:$G$370,AI$5,'VS×ケイパビリティ関係'!$E$4:$E$370,"支援")&gt;0,"○",""))</f>
        <v/>
      </c>
      <c r="AJ7" s="18">
        <f>COUNTIF(D7:AI7,"●")</f>
        <v/>
      </c>
      <c r="AK7" s="18">
        <f>COUNTIF(D7:AI7,"○")</f>
        <v/>
      </c>
    </row>
    <row r="8">
      <c r="A8" s="42" t="n"/>
      <c r="B8" s="18" t="inlineStr">
        <is>
          <t>01-02</t>
        </is>
      </c>
      <c r="C8" s="20" t="inlineStr">
        <is>
          <t>母集団形成</t>
        </is>
      </c>
      <c r="D8" s="18">
        <f>IF(COUNTIFS('VS×ケイパビリティ関係'!$F$4:$F$370,$B8,'VS×ケイパビリティ関係'!$G$4:$G$370,D$5,'VS×ケイパビリティ関係'!$E$4:$E$370,"主")&gt;0,"●",IF(COUNTIFS('VS×ケイパビリティ関係'!$F$4:$F$370,$B8,'VS×ケイパビリティ関係'!$G$4:$G$370,D$5,'VS×ケイパビリティ関係'!$E$4:$E$370,"支援")&gt;0,"○",""))</f>
        <v/>
      </c>
      <c r="E8" s="18">
        <f>IF(COUNTIFS('VS×ケイパビリティ関係'!$F$4:$F$370,$B8,'VS×ケイパビリティ関係'!$G$4:$G$370,E$5,'VS×ケイパビリティ関係'!$E$4:$E$370,"主")&gt;0,"●",IF(COUNTIFS('VS×ケイパビリティ関係'!$F$4:$F$370,$B8,'VS×ケイパビリティ関係'!$G$4:$G$370,E$5,'VS×ケイパビリティ関係'!$E$4:$E$370,"支援")&gt;0,"○",""))</f>
        <v/>
      </c>
      <c r="F8" s="18">
        <f>IF(COUNTIFS('VS×ケイパビリティ関係'!$F$4:$F$370,$B8,'VS×ケイパビリティ関係'!$G$4:$G$370,F$5,'VS×ケイパビリティ関係'!$E$4:$E$370,"主")&gt;0,"●",IF(COUNTIFS('VS×ケイパビリティ関係'!$F$4:$F$370,$B8,'VS×ケイパビリティ関係'!$G$4:$G$370,F$5,'VS×ケイパビリティ関係'!$E$4:$E$370,"支援")&gt;0,"○",""))</f>
        <v/>
      </c>
      <c r="G8" s="18">
        <f>IF(COUNTIFS('VS×ケイパビリティ関係'!$F$4:$F$370,$B8,'VS×ケイパビリティ関係'!$G$4:$G$370,G$5,'VS×ケイパビリティ関係'!$E$4:$E$370,"主")&gt;0,"●",IF(COUNTIFS('VS×ケイパビリティ関係'!$F$4:$F$370,$B8,'VS×ケイパビリティ関係'!$G$4:$G$370,G$5,'VS×ケイパビリティ関係'!$E$4:$E$370,"支援")&gt;0,"○",""))</f>
        <v/>
      </c>
      <c r="H8" s="18">
        <f>IF(COUNTIFS('VS×ケイパビリティ関係'!$F$4:$F$370,$B8,'VS×ケイパビリティ関係'!$G$4:$G$370,H$5,'VS×ケイパビリティ関係'!$E$4:$E$370,"主")&gt;0,"●",IF(COUNTIFS('VS×ケイパビリティ関係'!$F$4:$F$370,$B8,'VS×ケイパビリティ関係'!$G$4:$G$370,H$5,'VS×ケイパビリティ関係'!$E$4:$E$370,"支援")&gt;0,"○",""))</f>
        <v/>
      </c>
      <c r="I8" s="18">
        <f>IF(COUNTIFS('VS×ケイパビリティ関係'!$F$4:$F$370,$B8,'VS×ケイパビリティ関係'!$G$4:$G$370,I$5,'VS×ケイパビリティ関係'!$E$4:$E$370,"主")&gt;0,"●",IF(COUNTIFS('VS×ケイパビリティ関係'!$F$4:$F$370,$B8,'VS×ケイパビリティ関係'!$G$4:$G$370,I$5,'VS×ケイパビリティ関係'!$E$4:$E$370,"支援")&gt;0,"○",""))</f>
        <v/>
      </c>
      <c r="J8" s="18">
        <f>IF(COUNTIFS('VS×ケイパビリティ関係'!$F$4:$F$370,$B8,'VS×ケイパビリティ関係'!$G$4:$G$370,J$5,'VS×ケイパビリティ関係'!$E$4:$E$370,"主")&gt;0,"●",IF(COUNTIFS('VS×ケイパビリティ関係'!$F$4:$F$370,$B8,'VS×ケイパビリティ関係'!$G$4:$G$370,J$5,'VS×ケイパビリティ関係'!$E$4:$E$370,"支援")&gt;0,"○",""))</f>
        <v/>
      </c>
      <c r="K8" s="18">
        <f>IF(COUNTIFS('VS×ケイパビリティ関係'!$F$4:$F$370,$B8,'VS×ケイパビリティ関係'!$G$4:$G$370,K$5,'VS×ケイパビリティ関係'!$E$4:$E$370,"主")&gt;0,"●",IF(COUNTIFS('VS×ケイパビリティ関係'!$F$4:$F$370,$B8,'VS×ケイパビリティ関係'!$G$4:$G$370,K$5,'VS×ケイパビリティ関係'!$E$4:$E$370,"支援")&gt;0,"○",""))</f>
        <v/>
      </c>
      <c r="L8" s="18">
        <f>IF(COUNTIFS('VS×ケイパビリティ関係'!$F$4:$F$370,$B8,'VS×ケイパビリティ関係'!$G$4:$G$370,L$5,'VS×ケイパビリティ関係'!$E$4:$E$370,"主")&gt;0,"●",IF(COUNTIFS('VS×ケイパビリティ関係'!$F$4:$F$370,$B8,'VS×ケイパビリティ関係'!$G$4:$G$370,L$5,'VS×ケイパビリティ関係'!$E$4:$E$370,"支援")&gt;0,"○",""))</f>
        <v/>
      </c>
      <c r="M8" s="18">
        <f>IF(COUNTIFS('VS×ケイパビリティ関係'!$F$4:$F$370,$B8,'VS×ケイパビリティ関係'!$G$4:$G$370,M$5,'VS×ケイパビリティ関係'!$E$4:$E$370,"主")&gt;0,"●",IF(COUNTIFS('VS×ケイパビリティ関係'!$F$4:$F$370,$B8,'VS×ケイパビリティ関係'!$G$4:$G$370,M$5,'VS×ケイパビリティ関係'!$E$4:$E$370,"支援")&gt;0,"○",""))</f>
        <v/>
      </c>
      <c r="N8" s="18">
        <f>IF(COUNTIFS('VS×ケイパビリティ関係'!$F$4:$F$370,$B8,'VS×ケイパビリティ関係'!$G$4:$G$370,N$5,'VS×ケイパビリティ関係'!$E$4:$E$370,"主")&gt;0,"●",IF(COUNTIFS('VS×ケイパビリティ関係'!$F$4:$F$370,$B8,'VS×ケイパビリティ関係'!$G$4:$G$370,N$5,'VS×ケイパビリティ関係'!$E$4:$E$370,"支援")&gt;0,"○",""))</f>
        <v/>
      </c>
      <c r="O8" s="18">
        <f>IF(COUNTIFS('VS×ケイパビリティ関係'!$F$4:$F$370,$B8,'VS×ケイパビリティ関係'!$G$4:$G$370,O$5,'VS×ケイパビリティ関係'!$E$4:$E$370,"主")&gt;0,"●",IF(COUNTIFS('VS×ケイパビリティ関係'!$F$4:$F$370,$B8,'VS×ケイパビリティ関係'!$G$4:$G$370,O$5,'VS×ケイパビリティ関係'!$E$4:$E$370,"支援")&gt;0,"○",""))</f>
        <v/>
      </c>
      <c r="P8" s="18">
        <f>IF(COUNTIFS('VS×ケイパビリティ関係'!$F$4:$F$370,$B8,'VS×ケイパビリティ関係'!$G$4:$G$370,P$5,'VS×ケイパビリティ関係'!$E$4:$E$370,"主")&gt;0,"●",IF(COUNTIFS('VS×ケイパビリティ関係'!$F$4:$F$370,$B8,'VS×ケイパビリティ関係'!$G$4:$G$370,P$5,'VS×ケイパビリティ関係'!$E$4:$E$370,"支援")&gt;0,"○",""))</f>
        <v/>
      </c>
      <c r="Q8" s="18">
        <f>IF(COUNTIFS('VS×ケイパビリティ関係'!$F$4:$F$370,$B8,'VS×ケイパビリティ関係'!$G$4:$G$370,Q$5,'VS×ケイパビリティ関係'!$E$4:$E$370,"主")&gt;0,"●",IF(COUNTIFS('VS×ケイパビリティ関係'!$F$4:$F$370,$B8,'VS×ケイパビリティ関係'!$G$4:$G$370,Q$5,'VS×ケイパビリティ関係'!$E$4:$E$370,"支援")&gt;0,"○",""))</f>
        <v/>
      </c>
      <c r="R8" s="18">
        <f>IF(COUNTIFS('VS×ケイパビリティ関係'!$F$4:$F$370,$B8,'VS×ケイパビリティ関係'!$G$4:$G$370,R$5,'VS×ケイパビリティ関係'!$E$4:$E$370,"主")&gt;0,"●",IF(COUNTIFS('VS×ケイパビリティ関係'!$F$4:$F$370,$B8,'VS×ケイパビリティ関係'!$G$4:$G$370,R$5,'VS×ケイパビリティ関係'!$E$4:$E$370,"支援")&gt;0,"○",""))</f>
        <v/>
      </c>
      <c r="S8" s="18">
        <f>IF(COUNTIFS('VS×ケイパビリティ関係'!$F$4:$F$370,$B8,'VS×ケイパビリティ関係'!$G$4:$G$370,S$5,'VS×ケイパビリティ関係'!$E$4:$E$370,"主")&gt;0,"●",IF(COUNTIFS('VS×ケイパビリティ関係'!$F$4:$F$370,$B8,'VS×ケイパビリティ関係'!$G$4:$G$370,S$5,'VS×ケイパビリティ関係'!$E$4:$E$370,"支援")&gt;0,"○",""))</f>
        <v/>
      </c>
      <c r="T8" s="18">
        <f>IF(COUNTIFS('VS×ケイパビリティ関係'!$F$4:$F$370,$B8,'VS×ケイパビリティ関係'!$G$4:$G$370,T$5,'VS×ケイパビリティ関係'!$E$4:$E$370,"主")&gt;0,"●",IF(COUNTIFS('VS×ケイパビリティ関係'!$F$4:$F$370,$B8,'VS×ケイパビリティ関係'!$G$4:$G$370,T$5,'VS×ケイパビリティ関係'!$E$4:$E$370,"支援")&gt;0,"○",""))</f>
        <v/>
      </c>
      <c r="U8" s="18">
        <f>IF(COUNTIFS('VS×ケイパビリティ関係'!$F$4:$F$370,$B8,'VS×ケイパビリティ関係'!$G$4:$G$370,U$5,'VS×ケイパビリティ関係'!$E$4:$E$370,"主")&gt;0,"●",IF(COUNTIFS('VS×ケイパビリティ関係'!$F$4:$F$370,$B8,'VS×ケイパビリティ関係'!$G$4:$G$370,U$5,'VS×ケイパビリティ関係'!$E$4:$E$370,"支援")&gt;0,"○",""))</f>
        <v/>
      </c>
      <c r="V8" s="18">
        <f>IF(COUNTIFS('VS×ケイパビリティ関係'!$F$4:$F$370,$B8,'VS×ケイパビリティ関係'!$G$4:$G$370,V$5,'VS×ケイパビリティ関係'!$E$4:$E$370,"主")&gt;0,"●",IF(COUNTIFS('VS×ケイパビリティ関係'!$F$4:$F$370,$B8,'VS×ケイパビリティ関係'!$G$4:$G$370,V$5,'VS×ケイパビリティ関係'!$E$4:$E$370,"支援")&gt;0,"○",""))</f>
        <v/>
      </c>
      <c r="W8" s="18">
        <f>IF(COUNTIFS('VS×ケイパビリティ関係'!$F$4:$F$370,$B8,'VS×ケイパビリティ関係'!$G$4:$G$370,W$5,'VS×ケイパビリティ関係'!$E$4:$E$370,"主")&gt;0,"●",IF(COUNTIFS('VS×ケイパビリティ関係'!$F$4:$F$370,$B8,'VS×ケイパビリティ関係'!$G$4:$G$370,W$5,'VS×ケイパビリティ関係'!$E$4:$E$370,"支援")&gt;0,"○",""))</f>
        <v/>
      </c>
      <c r="X8" s="18">
        <f>IF(COUNTIFS('VS×ケイパビリティ関係'!$F$4:$F$370,$B8,'VS×ケイパビリティ関係'!$G$4:$G$370,X$5,'VS×ケイパビリティ関係'!$E$4:$E$370,"主")&gt;0,"●",IF(COUNTIFS('VS×ケイパビリティ関係'!$F$4:$F$370,$B8,'VS×ケイパビリティ関係'!$G$4:$G$370,X$5,'VS×ケイパビリティ関係'!$E$4:$E$370,"支援")&gt;0,"○",""))</f>
        <v/>
      </c>
      <c r="Y8" s="18">
        <f>IF(COUNTIFS('VS×ケイパビリティ関係'!$F$4:$F$370,$B8,'VS×ケイパビリティ関係'!$G$4:$G$370,Y$5,'VS×ケイパビリティ関係'!$E$4:$E$370,"主")&gt;0,"●",IF(COUNTIFS('VS×ケイパビリティ関係'!$F$4:$F$370,$B8,'VS×ケイパビリティ関係'!$G$4:$G$370,Y$5,'VS×ケイパビリティ関係'!$E$4:$E$370,"支援")&gt;0,"○",""))</f>
        <v/>
      </c>
      <c r="Z8" s="18">
        <f>IF(COUNTIFS('VS×ケイパビリティ関係'!$F$4:$F$370,$B8,'VS×ケイパビリティ関係'!$G$4:$G$370,Z$5,'VS×ケイパビリティ関係'!$E$4:$E$370,"主")&gt;0,"●",IF(COUNTIFS('VS×ケイパビリティ関係'!$F$4:$F$370,$B8,'VS×ケイパビリティ関係'!$G$4:$G$370,Z$5,'VS×ケイパビリティ関係'!$E$4:$E$370,"支援")&gt;0,"○",""))</f>
        <v/>
      </c>
      <c r="AA8" s="18">
        <f>IF(COUNTIFS('VS×ケイパビリティ関係'!$F$4:$F$370,$B8,'VS×ケイパビリティ関係'!$G$4:$G$370,AA$5,'VS×ケイパビリティ関係'!$E$4:$E$370,"主")&gt;0,"●",IF(COUNTIFS('VS×ケイパビリティ関係'!$F$4:$F$370,$B8,'VS×ケイパビリティ関係'!$G$4:$G$370,AA$5,'VS×ケイパビリティ関係'!$E$4:$E$370,"支援")&gt;0,"○",""))</f>
        <v/>
      </c>
      <c r="AB8" s="18">
        <f>IF(COUNTIFS('VS×ケイパビリティ関係'!$F$4:$F$370,$B8,'VS×ケイパビリティ関係'!$G$4:$G$370,AB$5,'VS×ケイパビリティ関係'!$E$4:$E$370,"主")&gt;0,"●",IF(COUNTIFS('VS×ケイパビリティ関係'!$F$4:$F$370,$B8,'VS×ケイパビリティ関係'!$G$4:$G$370,AB$5,'VS×ケイパビリティ関係'!$E$4:$E$370,"支援")&gt;0,"○",""))</f>
        <v/>
      </c>
      <c r="AC8" s="18">
        <f>IF(COUNTIFS('VS×ケイパビリティ関係'!$F$4:$F$370,$B8,'VS×ケイパビリティ関係'!$G$4:$G$370,AC$5,'VS×ケイパビリティ関係'!$E$4:$E$370,"主")&gt;0,"●",IF(COUNTIFS('VS×ケイパビリティ関係'!$F$4:$F$370,$B8,'VS×ケイパビリティ関係'!$G$4:$G$370,AC$5,'VS×ケイパビリティ関係'!$E$4:$E$370,"支援")&gt;0,"○",""))</f>
        <v/>
      </c>
      <c r="AD8" s="18">
        <f>IF(COUNTIFS('VS×ケイパビリティ関係'!$F$4:$F$370,$B8,'VS×ケイパビリティ関係'!$G$4:$G$370,AD$5,'VS×ケイパビリティ関係'!$E$4:$E$370,"主")&gt;0,"●",IF(COUNTIFS('VS×ケイパビリティ関係'!$F$4:$F$370,$B8,'VS×ケイパビリティ関係'!$G$4:$G$370,AD$5,'VS×ケイパビリティ関係'!$E$4:$E$370,"支援")&gt;0,"○",""))</f>
        <v/>
      </c>
      <c r="AE8" s="18">
        <f>IF(COUNTIFS('VS×ケイパビリティ関係'!$F$4:$F$370,$B8,'VS×ケイパビリティ関係'!$G$4:$G$370,AE$5,'VS×ケイパビリティ関係'!$E$4:$E$370,"主")&gt;0,"●",IF(COUNTIFS('VS×ケイパビリティ関係'!$F$4:$F$370,$B8,'VS×ケイパビリティ関係'!$G$4:$G$370,AE$5,'VS×ケイパビリティ関係'!$E$4:$E$370,"支援")&gt;0,"○",""))</f>
        <v/>
      </c>
      <c r="AF8" s="18">
        <f>IF(COUNTIFS('VS×ケイパビリティ関係'!$F$4:$F$370,$B8,'VS×ケイパビリティ関係'!$G$4:$G$370,AF$5,'VS×ケイパビリティ関係'!$E$4:$E$370,"主")&gt;0,"●",IF(COUNTIFS('VS×ケイパビリティ関係'!$F$4:$F$370,$B8,'VS×ケイパビリティ関係'!$G$4:$G$370,AF$5,'VS×ケイパビリティ関係'!$E$4:$E$370,"支援")&gt;0,"○",""))</f>
        <v/>
      </c>
      <c r="AG8" s="18">
        <f>IF(COUNTIFS('VS×ケイパビリティ関係'!$F$4:$F$370,$B8,'VS×ケイパビリティ関係'!$G$4:$G$370,AG$5,'VS×ケイパビリティ関係'!$E$4:$E$370,"主")&gt;0,"●",IF(COUNTIFS('VS×ケイパビリティ関係'!$F$4:$F$370,$B8,'VS×ケイパビリティ関係'!$G$4:$G$370,AG$5,'VS×ケイパビリティ関係'!$E$4:$E$370,"支援")&gt;0,"○",""))</f>
        <v/>
      </c>
      <c r="AH8" s="18">
        <f>IF(COUNTIFS('VS×ケイパビリティ関係'!$F$4:$F$370,$B8,'VS×ケイパビリティ関係'!$G$4:$G$370,AH$5,'VS×ケイパビリティ関係'!$E$4:$E$370,"主")&gt;0,"●",IF(COUNTIFS('VS×ケイパビリティ関係'!$F$4:$F$370,$B8,'VS×ケイパビリティ関係'!$G$4:$G$370,AH$5,'VS×ケイパビリティ関係'!$E$4:$E$370,"支援")&gt;0,"○",""))</f>
        <v/>
      </c>
      <c r="AI8" s="18">
        <f>IF(COUNTIFS('VS×ケイパビリティ関係'!$F$4:$F$370,$B8,'VS×ケイパビリティ関係'!$G$4:$G$370,AI$5,'VS×ケイパビリティ関係'!$E$4:$E$370,"主")&gt;0,"●",IF(COUNTIFS('VS×ケイパビリティ関係'!$F$4:$F$370,$B8,'VS×ケイパビリティ関係'!$G$4:$G$370,AI$5,'VS×ケイパビリティ関係'!$E$4:$E$370,"支援")&gt;0,"○",""))</f>
        <v/>
      </c>
      <c r="AJ8" s="18">
        <f>COUNTIF(D8:AI8,"●")</f>
        <v/>
      </c>
      <c r="AK8" s="18">
        <f>COUNTIF(D8:AI8,"○")</f>
        <v/>
      </c>
    </row>
    <row r="9">
      <c r="A9" s="42" t="n"/>
      <c r="B9" s="18" t="inlineStr">
        <is>
          <t>01-03</t>
        </is>
      </c>
      <c r="C9" s="20" t="inlineStr">
        <is>
          <t>選考</t>
        </is>
      </c>
      <c r="D9" s="18">
        <f>IF(COUNTIFS('VS×ケイパビリティ関係'!$F$4:$F$370,$B9,'VS×ケイパビリティ関係'!$G$4:$G$370,D$5,'VS×ケイパビリティ関係'!$E$4:$E$370,"主")&gt;0,"●",IF(COUNTIFS('VS×ケイパビリティ関係'!$F$4:$F$370,$B9,'VS×ケイパビリティ関係'!$G$4:$G$370,D$5,'VS×ケイパビリティ関係'!$E$4:$E$370,"支援")&gt;0,"○",""))</f>
        <v/>
      </c>
      <c r="E9" s="18">
        <f>IF(COUNTIFS('VS×ケイパビリティ関係'!$F$4:$F$370,$B9,'VS×ケイパビリティ関係'!$G$4:$G$370,E$5,'VS×ケイパビリティ関係'!$E$4:$E$370,"主")&gt;0,"●",IF(COUNTIFS('VS×ケイパビリティ関係'!$F$4:$F$370,$B9,'VS×ケイパビリティ関係'!$G$4:$G$370,E$5,'VS×ケイパビリティ関係'!$E$4:$E$370,"支援")&gt;0,"○",""))</f>
        <v/>
      </c>
      <c r="F9" s="18">
        <f>IF(COUNTIFS('VS×ケイパビリティ関係'!$F$4:$F$370,$B9,'VS×ケイパビリティ関係'!$G$4:$G$370,F$5,'VS×ケイパビリティ関係'!$E$4:$E$370,"主")&gt;0,"●",IF(COUNTIFS('VS×ケイパビリティ関係'!$F$4:$F$370,$B9,'VS×ケイパビリティ関係'!$G$4:$G$370,F$5,'VS×ケイパビリティ関係'!$E$4:$E$370,"支援")&gt;0,"○",""))</f>
        <v/>
      </c>
      <c r="G9" s="18">
        <f>IF(COUNTIFS('VS×ケイパビリティ関係'!$F$4:$F$370,$B9,'VS×ケイパビリティ関係'!$G$4:$G$370,G$5,'VS×ケイパビリティ関係'!$E$4:$E$370,"主")&gt;0,"●",IF(COUNTIFS('VS×ケイパビリティ関係'!$F$4:$F$370,$B9,'VS×ケイパビリティ関係'!$G$4:$G$370,G$5,'VS×ケイパビリティ関係'!$E$4:$E$370,"支援")&gt;0,"○",""))</f>
        <v/>
      </c>
      <c r="H9" s="18">
        <f>IF(COUNTIFS('VS×ケイパビリティ関係'!$F$4:$F$370,$B9,'VS×ケイパビリティ関係'!$G$4:$G$370,H$5,'VS×ケイパビリティ関係'!$E$4:$E$370,"主")&gt;0,"●",IF(COUNTIFS('VS×ケイパビリティ関係'!$F$4:$F$370,$B9,'VS×ケイパビリティ関係'!$G$4:$G$370,H$5,'VS×ケイパビリティ関係'!$E$4:$E$370,"支援")&gt;0,"○",""))</f>
        <v/>
      </c>
      <c r="I9" s="18">
        <f>IF(COUNTIFS('VS×ケイパビリティ関係'!$F$4:$F$370,$B9,'VS×ケイパビリティ関係'!$G$4:$G$370,I$5,'VS×ケイパビリティ関係'!$E$4:$E$370,"主")&gt;0,"●",IF(COUNTIFS('VS×ケイパビリティ関係'!$F$4:$F$370,$B9,'VS×ケイパビリティ関係'!$G$4:$G$370,I$5,'VS×ケイパビリティ関係'!$E$4:$E$370,"支援")&gt;0,"○",""))</f>
        <v/>
      </c>
      <c r="J9" s="18">
        <f>IF(COUNTIFS('VS×ケイパビリティ関係'!$F$4:$F$370,$B9,'VS×ケイパビリティ関係'!$G$4:$G$370,J$5,'VS×ケイパビリティ関係'!$E$4:$E$370,"主")&gt;0,"●",IF(COUNTIFS('VS×ケイパビリティ関係'!$F$4:$F$370,$B9,'VS×ケイパビリティ関係'!$G$4:$G$370,J$5,'VS×ケイパビリティ関係'!$E$4:$E$370,"支援")&gt;0,"○",""))</f>
        <v/>
      </c>
      <c r="K9" s="18">
        <f>IF(COUNTIFS('VS×ケイパビリティ関係'!$F$4:$F$370,$B9,'VS×ケイパビリティ関係'!$G$4:$G$370,K$5,'VS×ケイパビリティ関係'!$E$4:$E$370,"主")&gt;0,"●",IF(COUNTIFS('VS×ケイパビリティ関係'!$F$4:$F$370,$B9,'VS×ケイパビリティ関係'!$G$4:$G$370,K$5,'VS×ケイパビリティ関係'!$E$4:$E$370,"支援")&gt;0,"○",""))</f>
        <v/>
      </c>
      <c r="L9" s="18">
        <f>IF(COUNTIFS('VS×ケイパビリティ関係'!$F$4:$F$370,$B9,'VS×ケイパビリティ関係'!$G$4:$G$370,L$5,'VS×ケイパビリティ関係'!$E$4:$E$370,"主")&gt;0,"●",IF(COUNTIFS('VS×ケイパビリティ関係'!$F$4:$F$370,$B9,'VS×ケイパビリティ関係'!$G$4:$G$370,L$5,'VS×ケイパビリティ関係'!$E$4:$E$370,"支援")&gt;0,"○",""))</f>
        <v/>
      </c>
      <c r="M9" s="18">
        <f>IF(COUNTIFS('VS×ケイパビリティ関係'!$F$4:$F$370,$B9,'VS×ケイパビリティ関係'!$G$4:$G$370,M$5,'VS×ケイパビリティ関係'!$E$4:$E$370,"主")&gt;0,"●",IF(COUNTIFS('VS×ケイパビリティ関係'!$F$4:$F$370,$B9,'VS×ケイパビリティ関係'!$G$4:$G$370,M$5,'VS×ケイパビリティ関係'!$E$4:$E$370,"支援")&gt;0,"○",""))</f>
        <v/>
      </c>
      <c r="N9" s="18">
        <f>IF(COUNTIFS('VS×ケイパビリティ関係'!$F$4:$F$370,$B9,'VS×ケイパビリティ関係'!$G$4:$G$370,N$5,'VS×ケイパビリティ関係'!$E$4:$E$370,"主")&gt;0,"●",IF(COUNTIFS('VS×ケイパビリティ関係'!$F$4:$F$370,$B9,'VS×ケイパビリティ関係'!$G$4:$G$370,N$5,'VS×ケイパビリティ関係'!$E$4:$E$370,"支援")&gt;0,"○",""))</f>
        <v/>
      </c>
      <c r="O9" s="18">
        <f>IF(COUNTIFS('VS×ケイパビリティ関係'!$F$4:$F$370,$B9,'VS×ケイパビリティ関係'!$G$4:$G$370,O$5,'VS×ケイパビリティ関係'!$E$4:$E$370,"主")&gt;0,"●",IF(COUNTIFS('VS×ケイパビリティ関係'!$F$4:$F$370,$B9,'VS×ケイパビリティ関係'!$G$4:$G$370,O$5,'VS×ケイパビリティ関係'!$E$4:$E$370,"支援")&gt;0,"○",""))</f>
        <v/>
      </c>
      <c r="P9" s="18">
        <f>IF(COUNTIFS('VS×ケイパビリティ関係'!$F$4:$F$370,$B9,'VS×ケイパビリティ関係'!$G$4:$G$370,P$5,'VS×ケイパビリティ関係'!$E$4:$E$370,"主")&gt;0,"●",IF(COUNTIFS('VS×ケイパビリティ関係'!$F$4:$F$370,$B9,'VS×ケイパビリティ関係'!$G$4:$G$370,P$5,'VS×ケイパビリティ関係'!$E$4:$E$370,"支援")&gt;0,"○",""))</f>
        <v/>
      </c>
      <c r="Q9" s="18">
        <f>IF(COUNTIFS('VS×ケイパビリティ関係'!$F$4:$F$370,$B9,'VS×ケイパビリティ関係'!$G$4:$G$370,Q$5,'VS×ケイパビリティ関係'!$E$4:$E$370,"主")&gt;0,"●",IF(COUNTIFS('VS×ケイパビリティ関係'!$F$4:$F$370,$B9,'VS×ケイパビリティ関係'!$G$4:$G$370,Q$5,'VS×ケイパビリティ関係'!$E$4:$E$370,"支援")&gt;0,"○",""))</f>
        <v/>
      </c>
      <c r="R9" s="18">
        <f>IF(COUNTIFS('VS×ケイパビリティ関係'!$F$4:$F$370,$B9,'VS×ケイパビリティ関係'!$G$4:$G$370,R$5,'VS×ケイパビリティ関係'!$E$4:$E$370,"主")&gt;0,"●",IF(COUNTIFS('VS×ケイパビリティ関係'!$F$4:$F$370,$B9,'VS×ケイパビリティ関係'!$G$4:$G$370,R$5,'VS×ケイパビリティ関係'!$E$4:$E$370,"支援")&gt;0,"○",""))</f>
        <v/>
      </c>
      <c r="S9" s="18">
        <f>IF(COUNTIFS('VS×ケイパビリティ関係'!$F$4:$F$370,$B9,'VS×ケイパビリティ関係'!$G$4:$G$370,S$5,'VS×ケイパビリティ関係'!$E$4:$E$370,"主")&gt;0,"●",IF(COUNTIFS('VS×ケイパビリティ関係'!$F$4:$F$370,$B9,'VS×ケイパビリティ関係'!$G$4:$G$370,S$5,'VS×ケイパビリティ関係'!$E$4:$E$370,"支援")&gt;0,"○",""))</f>
        <v/>
      </c>
      <c r="T9" s="18">
        <f>IF(COUNTIFS('VS×ケイパビリティ関係'!$F$4:$F$370,$B9,'VS×ケイパビリティ関係'!$G$4:$G$370,T$5,'VS×ケイパビリティ関係'!$E$4:$E$370,"主")&gt;0,"●",IF(COUNTIFS('VS×ケイパビリティ関係'!$F$4:$F$370,$B9,'VS×ケイパビリティ関係'!$G$4:$G$370,T$5,'VS×ケイパビリティ関係'!$E$4:$E$370,"支援")&gt;0,"○",""))</f>
        <v/>
      </c>
      <c r="U9" s="18">
        <f>IF(COUNTIFS('VS×ケイパビリティ関係'!$F$4:$F$370,$B9,'VS×ケイパビリティ関係'!$G$4:$G$370,U$5,'VS×ケイパビリティ関係'!$E$4:$E$370,"主")&gt;0,"●",IF(COUNTIFS('VS×ケイパビリティ関係'!$F$4:$F$370,$B9,'VS×ケイパビリティ関係'!$G$4:$G$370,U$5,'VS×ケイパビリティ関係'!$E$4:$E$370,"支援")&gt;0,"○",""))</f>
        <v/>
      </c>
      <c r="V9" s="18">
        <f>IF(COUNTIFS('VS×ケイパビリティ関係'!$F$4:$F$370,$B9,'VS×ケイパビリティ関係'!$G$4:$G$370,V$5,'VS×ケイパビリティ関係'!$E$4:$E$370,"主")&gt;0,"●",IF(COUNTIFS('VS×ケイパビリティ関係'!$F$4:$F$370,$B9,'VS×ケイパビリティ関係'!$G$4:$G$370,V$5,'VS×ケイパビリティ関係'!$E$4:$E$370,"支援")&gt;0,"○",""))</f>
        <v/>
      </c>
      <c r="W9" s="18">
        <f>IF(COUNTIFS('VS×ケイパビリティ関係'!$F$4:$F$370,$B9,'VS×ケイパビリティ関係'!$G$4:$G$370,W$5,'VS×ケイパビリティ関係'!$E$4:$E$370,"主")&gt;0,"●",IF(COUNTIFS('VS×ケイパビリティ関係'!$F$4:$F$370,$B9,'VS×ケイパビリティ関係'!$G$4:$G$370,W$5,'VS×ケイパビリティ関係'!$E$4:$E$370,"支援")&gt;0,"○",""))</f>
        <v/>
      </c>
      <c r="X9" s="18">
        <f>IF(COUNTIFS('VS×ケイパビリティ関係'!$F$4:$F$370,$B9,'VS×ケイパビリティ関係'!$G$4:$G$370,X$5,'VS×ケイパビリティ関係'!$E$4:$E$370,"主")&gt;0,"●",IF(COUNTIFS('VS×ケイパビリティ関係'!$F$4:$F$370,$B9,'VS×ケイパビリティ関係'!$G$4:$G$370,X$5,'VS×ケイパビリティ関係'!$E$4:$E$370,"支援")&gt;0,"○",""))</f>
        <v/>
      </c>
      <c r="Y9" s="18">
        <f>IF(COUNTIFS('VS×ケイパビリティ関係'!$F$4:$F$370,$B9,'VS×ケイパビリティ関係'!$G$4:$G$370,Y$5,'VS×ケイパビリティ関係'!$E$4:$E$370,"主")&gt;0,"●",IF(COUNTIFS('VS×ケイパビリティ関係'!$F$4:$F$370,$B9,'VS×ケイパビリティ関係'!$G$4:$G$370,Y$5,'VS×ケイパビリティ関係'!$E$4:$E$370,"支援")&gt;0,"○",""))</f>
        <v/>
      </c>
      <c r="Z9" s="18">
        <f>IF(COUNTIFS('VS×ケイパビリティ関係'!$F$4:$F$370,$B9,'VS×ケイパビリティ関係'!$G$4:$G$370,Z$5,'VS×ケイパビリティ関係'!$E$4:$E$370,"主")&gt;0,"●",IF(COUNTIFS('VS×ケイパビリティ関係'!$F$4:$F$370,$B9,'VS×ケイパビリティ関係'!$G$4:$G$370,Z$5,'VS×ケイパビリティ関係'!$E$4:$E$370,"支援")&gt;0,"○",""))</f>
        <v/>
      </c>
      <c r="AA9" s="18">
        <f>IF(COUNTIFS('VS×ケイパビリティ関係'!$F$4:$F$370,$B9,'VS×ケイパビリティ関係'!$G$4:$G$370,AA$5,'VS×ケイパビリティ関係'!$E$4:$E$370,"主")&gt;0,"●",IF(COUNTIFS('VS×ケイパビリティ関係'!$F$4:$F$370,$B9,'VS×ケイパビリティ関係'!$G$4:$G$370,AA$5,'VS×ケイパビリティ関係'!$E$4:$E$370,"支援")&gt;0,"○",""))</f>
        <v/>
      </c>
      <c r="AB9" s="18">
        <f>IF(COUNTIFS('VS×ケイパビリティ関係'!$F$4:$F$370,$B9,'VS×ケイパビリティ関係'!$G$4:$G$370,AB$5,'VS×ケイパビリティ関係'!$E$4:$E$370,"主")&gt;0,"●",IF(COUNTIFS('VS×ケイパビリティ関係'!$F$4:$F$370,$B9,'VS×ケイパビリティ関係'!$G$4:$G$370,AB$5,'VS×ケイパビリティ関係'!$E$4:$E$370,"支援")&gt;0,"○",""))</f>
        <v/>
      </c>
      <c r="AC9" s="18">
        <f>IF(COUNTIFS('VS×ケイパビリティ関係'!$F$4:$F$370,$B9,'VS×ケイパビリティ関係'!$G$4:$G$370,AC$5,'VS×ケイパビリティ関係'!$E$4:$E$370,"主")&gt;0,"●",IF(COUNTIFS('VS×ケイパビリティ関係'!$F$4:$F$370,$B9,'VS×ケイパビリティ関係'!$G$4:$G$370,AC$5,'VS×ケイパビリティ関係'!$E$4:$E$370,"支援")&gt;0,"○",""))</f>
        <v/>
      </c>
      <c r="AD9" s="18">
        <f>IF(COUNTIFS('VS×ケイパビリティ関係'!$F$4:$F$370,$B9,'VS×ケイパビリティ関係'!$G$4:$G$370,AD$5,'VS×ケイパビリティ関係'!$E$4:$E$370,"主")&gt;0,"●",IF(COUNTIFS('VS×ケイパビリティ関係'!$F$4:$F$370,$B9,'VS×ケイパビリティ関係'!$G$4:$G$370,AD$5,'VS×ケイパビリティ関係'!$E$4:$E$370,"支援")&gt;0,"○",""))</f>
        <v/>
      </c>
      <c r="AE9" s="18">
        <f>IF(COUNTIFS('VS×ケイパビリティ関係'!$F$4:$F$370,$B9,'VS×ケイパビリティ関係'!$G$4:$G$370,AE$5,'VS×ケイパビリティ関係'!$E$4:$E$370,"主")&gt;0,"●",IF(COUNTIFS('VS×ケイパビリティ関係'!$F$4:$F$370,$B9,'VS×ケイパビリティ関係'!$G$4:$G$370,AE$5,'VS×ケイパビリティ関係'!$E$4:$E$370,"支援")&gt;0,"○",""))</f>
        <v/>
      </c>
      <c r="AF9" s="18">
        <f>IF(COUNTIFS('VS×ケイパビリティ関係'!$F$4:$F$370,$B9,'VS×ケイパビリティ関係'!$G$4:$G$370,AF$5,'VS×ケイパビリティ関係'!$E$4:$E$370,"主")&gt;0,"●",IF(COUNTIFS('VS×ケイパビリティ関係'!$F$4:$F$370,$B9,'VS×ケイパビリティ関係'!$G$4:$G$370,AF$5,'VS×ケイパビリティ関係'!$E$4:$E$370,"支援")&gt;0,"○",""))</f>
        <v/>
      </c>
      <c r="AG9" s="18">
        <f>IF(COUNTIFS('VS×ケイパビリティ関係'!$F$4:$F$370,$B9,'VS×ケイパビリティ関係'!$G$4:$G$370,AG$5,'VS×ケイパビリティ関係'!$E$4:$E$370,"主")&gt;0,"●",IF(COUNTIFS('VS×ケイパビリティ関係'!$F$4:$F$370,$B9,'VS×ケイパビリティ関係'!$G$4:$G$370,AG$5,'VS×ケイパビリティ関係'!$E$4:$E$370,"支援")&gt;0,"○",""))</f>
        <v/>
      </c>
      <c r="AH9" s="18">
        <f>IF(COUNTIFS('VS×ケイパビリティ関係'!$F$4:$F$370,$B9,'VS×ケイパビリティ関係'!$G$4:$G$370,AH$5,'VS×ケイパビリティ関係'!$E$4:$E$370,"主")&gt;0,"●",IF(COUNTIFS('VS×ケイパビリティ関係'!$F$4:$F$370,$B9,'VS×ケイパビリティ関係'!$G$4:$G$370,AH$5,'VS×ケイパビリティ関係'!$E$4:$E$370,"支援")&gt;0,"○",""))</f>
        <v/>
      </c>
      <c r="AI9" s="18">
        <f>IF(COUNTIFS('VS×ケイパビリティ関係'!$F$4:$F$370,$B9,'VS×ケイパビリティ関係'!$G$4:$G$370,AI$5,'VS×ケイパビリティ関係'!$E$4:$E$370,"主")&gt;0,"●",IF(COUNTIFS('VS×ケイパビリティ関係'!$F$4:$F$370,$B9,'VS×ケイパビリティ関係'!$G$4:$G$370,AI$5,'VS×ケイパビリティ関係'!$E$4:$E$370,"支援")&gt;0,"○",""))</f>
        <v/>
      </c>
      <c r="AJ9" s="18">
        <f>COUNTIF(D9:AI9,"●")</f>
        <v/>
      </c>
      <c r="AK9" s="18">
        <f>COUNTIF(D9:AI9,"○")</f>
        <v/>
      </c>
    </row>
    <row r="10">
      <c r="A10" s="42" t="n"/>
      <c r="B10" s="18" t="inlineStr">
        <is>
          <t>01-04</t>
        </is>
      </c>
      <c r="C10" s="20" t="inlineStr">
        <is>
          <t>内定</t>
        </is>
      </c>
      <c r="D10" s="18">
        <f>IF(COUNTIFS('VS×ケイパビリティ関係'!$F$4:$F$370,$B10,'VS×ケイパビリティ関係'!$G$4:$G$370,D$5,'VS×ケイパビリティ関係'!$E$4:$E$370,"主")&gt;0,"●",IF(COUNTIFS('VS×ケイパビリティ関係'!$F$4:$F$370,$B10,'VS×ケイパビリティ関係'!$G$4:$G$370,D$5,'VS×ケイパビリティ関係'!$E$4:$E$370,"支援")&gt;0,"○",""))</f>
        <v/>
      </c>
      <c r="E10" s="18">
        <f>IF(COUNTIFS('VS×ケイパビリティ関係'!$F$4:$F$370,$B10,'VS×ケイパビリティ関係'!$G$4:$G$370,E$5,'VS×ケイパビリティ関係'!$E$4:$E$370,"主")&gt;0,"●",IF(COUNTIFS('VS×ケイパビリティ関係'!$F$4:$F$370,$B10,'VS×ケイパビリティ関係'!$G$4:$G$370,E$5,'VS×ケイパビリティ関係'!$E$4:$E$370,"支援")&gt;0,"○",""))</f>
        <v/>
      </c>
      <c r="F10" s="18">
        <f>IF(COUNTIFS('VS×ケイパビリティ関係'!$F$4:$F$370,$B10,'VS×ケイパビリティ関係'!$G$4:$G$370,F$5,'VS×ケイパビリティ関係'!$E$4:$E$370,"主")&gt;0,"●",IF(COUNTIFS('VS×ケイパビリティ関係'!$F$4:$F$370,$B10,'VS×ケイパビリティ関係'!$G$4:$G$370,F$5,'VS×ケイパビリティ関係'!$E$4:$E$370,"支援")&gt;0,"○",""))</f>
        <v/>
      </c>
      <c r="G10" s="18">
        <f>IF(COUNTIFS('VS×ケイパビリティ関係'!$F$4:$F$370,$B10,'VS×ケイパビリティ関係'!$G$4:$G$370,G$5,'VS×ケイパビリティ関係'!$E$4:$E$370,"主")&gt;0,"●",IF(COUNTIFS('VS×ケイパビリティ関係'!$F$4:$F$370,$B10,'VS×ケイパビリティ関係'!$G$4:$G$370,G$5,'VS×ケイパビリティ関係'!$E$4:$E$370,"支援")&gt;0,"○",""))</f>
        <v/>
      </c>
      <c r="H10" s="18">
        <f>IF(COUNTIFS('VS×ケイパビリティ関係'!$F$4:$F$370,$B10,'VS×ケイパビリティ関係'!$G$4:$G$370,H$5,'VS×ケイパビリティ関係'!$E$4:$E$370,"主")&gt;0,"●",IF(COUNTIFS('VS×ケイパビリティ関係'!$F$4:$F$370,$B10,'VS×ケイパビリティ関係'!$G$4:$G$370,H$5,'VS×ケイパビリティ関係'!$E$4:$E$370,"支援")&gt;0,"○",""))</f>
        <v/>
      </c>
      <c r="I10" s="18">
        <f>IF(COUNTIFS('VS×ケイパビリティ関係'!$F$4:$F$370,$B10,'VS×ケイパビリティ関係'!$G$4:$G$370,I$5,'VS×ケイパビリティ関係'!$E$4:$E$370,"主")&gt;0,"●",IF(COUNTIFS('VS×ケイパビリティ関係'!$F$4:$F$370,$B10,'VS×ケイパビリティ関係'!$G$4:$G$370,I$5,'VS×ケイパビリティ関係'!$E$4:$E$370,"支援")&gt;0,"○",""))</f>
        <v/>
      </c>
      <c r="J10" s="18">
        <f>IF(COUNTIFS('VS×ケイパビリティ関係'!$F$4:$F$370,$B10,'VS×ケイパビリティ関係'!$G$4:$G$370,J$5,'VS×ケイパビリティ関係'!$E$4:$E$370,"主")&gt;0,"●",IF(COUNTIFS('VS×ケイパビリティ関係'!$F$4:$F$370,$B10,'VS×ケイパビリティ関係'!$G$4:$G$370,J$5,'VS×ケイパビリティ関係'!$E$4:$E$370,"支援")&gt;0,"○",""))</f>
        <v/>
      </c>
      <c r="K10" s="18">
        <f>IF(COUNTIFS('VS×ケイパビリティ関係'!$F$4:$F$370,$B10,'VS×ケイパビリティ関係'!$G$4:$G$370,K$5,'VS×ケイパビリティ関係'!$E$4:$E$370,"主")&gt;0,"●",IF(COUNTIFS('VS×ケイパビリティ関係'!$F$4:$F$370,$B10,'VS×ケイパビリティ関係'!$G$4:$G$370,K$5,'VS×ケイパビリティ関係'!$E$4:$E$370,"支援")&gt;0,"○",""))</f>
        <v/>
      </c>
      <c r="L10" s="18">
        <f>IF(COUNTIFS('VS×ケイパビリティ関係'!$F$4:$F$370,$B10,'VS×ケイパビリティ関係'!$G$4:$G$370,L$5,'VS×ケイパビリティ関係'!$E$4:$E$370,"主")&gt;0,"●",IF(COUNTIFS('VS×ケイパビリティ関係'!$F$4:$F$370,$B10,'VS×ケイパビリティ関係'!$G$4:$G$370,L$5,'VS×ケイパビリティ関係'!$E$4:$E$370,"支援")&gt;0,"○",""))</f>
        <v/>
      </c>
      <c r="M10" s="18">
        <f>IF(COUNTIFS('VS×ケイパビリティ関係'!$F$4:$F$370,$B10,'VS×ケイパビリティ関係'!$G$4:$G$370,M$5,'VS×ケイパビリティ関係'!$E$4:$E$370,"主")&gt;0,"●",IF(COUNTIFS('VS×ケイパビリティ関係'!$F$4:$F$370,$B10,'VS×ケイパビリティ関係'!$G$4:$G$370,M$5,'VS×ケイパビリティ関係'!$E$4:$E$370,"支援")&gt;0,"○",""))</f>
        <v/>
      </c>
      <c r="N10" s="18">
        <f>IF(COUNTIFS('VS×ケイパビリティ関係'!$F$4:$F$370,$B10,'VS×ケイパビリティ関係'!$G$4:$G$370,N$5,'VS×ケイパビリティ関係'!$E$4:$E$370,"主")&gt;0,"●",IF(COUNTIFS('VS×ケイパビリティ関係'!$F$4:$F$370,$B10,'VS×ケイパビリティ関係'!$G$4:$G$370,N$5,'VS×ケイパビリティ関係'!$E$4:$E$370,"支援")&gt;0,"○",""))</f>
        <v/>
      </c>
      <c r="O10" s="18">
        <f>IF(COUNTIFS('VS×ケイパビリティ関係'!$F$4:$F$370,$B10,'VS×ケイパビリティ関係'!$G$4:$G$370,O$5,'VS×ケイパビリティ関係'!$E$4:$E$370,"主")&gt;0,"●",IF(COUNTIFS('VS×ケイパビリティ関係'!$F$4:$F$370,$B10,'VS×ケイパビリティ関係'!$G$4:$G$370,O$5,'VS×ケイパビリティ関係'!$E$4:$E$370,"支援")&gt;0,"○",""))</f>
        <v/>
      </c>
      <c r="P10" s="18">
        <f>IF(COUNTIFS('VS×ケイパビリティ関係'!$F$4:$F$370,$B10,'VS×ケイパビリティ関係'!$G$4:$G$370,P$5,'VS×ケイパビリティ関係'!$E$4:$E$370,"主")&gt;0,"●",IF(COUNTIFS('VS×ケイパビリティ関係'!$F$4:$F$370,$B10,'VS×ケイパビリティ関係'!$G$4:$G$370,P$5,'VS×ケイパビリティ関係'!$E$4:$E$370,"支援")&gt;0,"○",""))</f>
        <v/>
      </c>
      <c r="Q10" s="18">
        <f>IF(COUNTIFS('VS×ケイパビリティ関係'!$F$4:$F$370,$B10,'VS×ケイパビリティ関係'!$G$4:$G$370,Q$5,'VS×ケイパビリティ関係'!$E$4:$E$370,"主")&gt;0,"●",IF(COUNTIFS('VS×ケイパビリティ関係'!$F$4:$F$370,$B10,'VS×ケイパビリティ関係'!$G$4:$G$370,Q$5,'VS×ケイパビリティ関係'!$E$4:$E$370,"支援")&gt;0,"○",""))</f>
        <v/>
      </c>
      <c r="R10" s="18">
        <f>IF(COUNTIFS('VS×ケイパビリティ関係'!$F$4:$F$370,$B10,'VS×ケイパビリティ関係'!$G$4:$G$370,R$5,'VS×ケイパビリティ関係'!$E$4:$E$370,"主")&gt;0,"●",IF(COUNTIFS('VS×ケイパビリティ関係'!$F$4:$F$370,$B10,'VS×ケイパビリティ関係'!$G$4:$G$370,R$5,'VS×ケイパビリティ関係'!$E$4:$E$370,"支援")&gt;0,"○",""))</f>
        <v/>
      </c>
      <c r="S10" s="18">
        <f>IF(COUNTIFS('VS×ケイパビリティ関係'!$F$4:$F$370,$B10,'VS×ケイパビリティ関係'!$G$4:$G$370,S$5,'VS×ケイパビリティ関係'!$E$4:$E$370,"主")&gt;0,"●",IF(COUNTIFS('VS×ケイパビリティ関係'!$F$4:$F$370,$B10,'VS×ケイパビリティ関係'!$G$4:$G$370,S$5,'VS×ケイパビリティ関係'!$E$4:$E$370,"支援")&gt;0,"○",""))</f>
        <v/>
      </c>
      <c r="T10" s="18">
        <f>IF(COUNTIFS('VS×ケイパビリティ関係'!$F$4:$F$370,$B10,'VS×ケイパビリティ関係'!$G$4:$G$370,T$5,'VS×ケイパビリティ関係'!$E$4:$E$370,"主")&gt;0,"●",IF(COUNTIFS('VS×ケイパビリティ関係'!$F$4:$F$370,$B10,'VS×ケイパビリティ関係'!$G$4:$G$370,T$5,'VS×ケイパビリティ関係'!$E$4:$E$370,"支援")&gt;0,"○",""))</f>
        <v/>
      </c>
      <c r="U10" s="18">
        <f>IF(COUNTIFS('VS×ケイパビリティ関係'!$F$4:$F$370,$B10,'VS×ケイパビリティ関係'!$G$4:$G$370,U$5,'VS×ケイパビリティ関係'!$E$4:$E$370,"主")&gt;0,"●",IF(COUNTIFS('VS×ケイパビリティ関係'!$F$4:$F$370,$B10,'VS×ケイパビリティ関係'!$G$4:$G$370,U$5,'VS×ケイパビリティ関係'!$E$4:$E$370,"支援")&gt;0,"○",""))</f>
        <v/>
      </c>
      <c r="V10" s="18">
        <f>IF(COUNTIFS('VS×ケイパビリティ関係'!$F$4:$F$370,$B10,'VS×ケイパビリティ関係'!$G$4:$G$370,V$5,'VS×ケイパビリティ関係'!$E$4:$E$370,"主")&gt;0,"●",IF(COUNTIFS('VS×ケイパビリティ関係'!$F$4:$F$370,$B10,'VS×ケイパビリティ関係'!$G$4:$G$370,V$5,'VS×ケイパビリティ関係'!$E$4:$E$370,"支援")&gt;0,"○",""))</f>
        <v/>
      </c>
      <c r="W10" s="18">
        <f>IF(COUNTIFS('VS×ケイパビリティ関係'!$F$4:$F$370,$B10,'VS×ケイパビリティ関係'!$G$4:$G$370,W$5,'VS×ケイパビリティ関係'!$E$4:$E$370,"主")&gt;0,"●",IF(COUNTIFS('VS×ケイパビリティ関係'!$F$4:$F$370,$B10,'VS×ケイパビリティ関係'!$G$4:$G$370,W$5,'VS×ケイパビリティ関係'!$E$4:$E$370,"支援")&gt;0,"○",""))</f>
        <v/>
      </c>
      <c r="X10" s="18">
        <f>IF(COUNTIFS('VS×ケイパビリティ関係'!$F$4:$F$370,$B10,'VS×ケイパビリティ関係'!$G$4:$G$370,X$5,'VS×ケイパビリティ関係'!$E$4:$E$370,"主")&gt;0,"●",IF(COUNTIFS('VS×ケイパビリティ関係'!$F$4:$F$370,$B10,'VS×ケイパビリティ関係'!$G$4:$G$370,X$5,'VS×ケイパビリティ関係'!$E$4:$E$370,"支援")&gt;0,"○",""))</f>
        <v/>
      </c>
      <c r="Y10" s="18">
        <f>IF(COUNTIFS('VS×ケイパビリティ関係'!$F$4:$F$370,$B10,'VS×ケイパビリティ関係'!$G$4:$G$370,Y$5,'VS×ケイパビリティ関係'!$E$4:$E$370,"主")&gt;0,"●",IF(COUNTIFS('VS×ケイパビリティ関係'!$F$4:$F$370,$B10,'VS×ケイパビリティ関係'!$G$4:$G$370,Y$5,'VS×ケイパビリティ関係'!$E$4:$E$370,"支援")&gt;0,"○",""))</f>
        <v/>
      </c>
      <c r="Z10" s="18">
        <f>IF(COUNTIFS('VS×ケイパビリティ関係'!$F$4:$F$370,$B10,'VS×ケイパビリティ関係'!$G$4:$G$370,Z$5,'VS×ケイパビリティ関係'!$E$4:$E$370,"主")&gt;0,"●",IF(COUNTIFS('VS×ケイパビリティ関係'!$F$4:$F$370,$B10,'VS×ケイパビリティ関係'!$G$4:$G$370,Z$5,'VS×ケイパビリティ関係'!$E$4:$E$370,"支援")&gt;0,"○",""))</f>
        <v/>
      </c>
      <c r="AA10" s="18">
        <f>IF(COUNTIFS('VS×ケイパビリティ関係'!$F$4:$F$370,$B10,'VS×ケイパビリティ関係'!$G$4:$G$370,AA$5,'VS×ケイパビリティ関係'!$E$4:$E$370,"主")&gt;0,"●",IF(COUNTIFS('VS×ケイパビリティ関係'!$F$4:$F$370,$B10,'VS×ケイパビリティ関係'!$G$4:$G$370,AA$5,'VS×ケイパビリティ関係'!$E$4:$E$370,"支援")&gt;0,"○",""))</f>
        <v/>
      </c>
      <c r="AB10" s="18">
        <f>IF(COUNTIFS('VS×ケイパビリティ関係'!$F$4:$F$370,$B10,'VS×ケイパビリティ関係'!$G$4:$G$370,AB$5,'VS×ケイパビリティ関係'!$E$4:$E$370,"主")&gt;0,"●",IF(COUNTIFS('VS×ケイパビリティ関係'!$F$4:$F$370,$B10,'VS×ケイパビリティ関係'!$G$4:$G$370,AB$5,'VS×ケイパビリティ関係'!$E$4:$E$370,"支援")&gt;0,"○",""))</f>
        <v/>
      </c>
      <c r="AC10" s="18">
        <f>IF(COUNTIFS('VS×ケイパビリティ関係'!$F$4:$F$370,$B10,'VS×ケイパビリティ関係'!$G$4:$G$370,AC$5,'VS×ケイパビリティ関係'!$E$4:$E$370,"主")&gt;0,"●",IF(COUNTIFS('VS×ケイパビリティ関係'!$F$4:$F$370,$B10,'VS×ケイパビリティ関係'!$G$4:$G$370,AC$5,'VS×ケイパビリティ関係'!$E$4:$E$370,"支援")&gt;0,"○",""))</f>
        <v/>
      </c>
      <c r="AD10" s="18">
        <f>IF(COUNTIFS('VS×ケイパビリティ関係'!$F$4:$F$370,$B10,'VS×ケイパビリティ関係'!$G$4:$G$370,AD$5,'VS×ケイパビリティ関係'!$E$4:$E$370,"主")&gt;0,"●",IF(COUNTIFS('VS×ケイパビリティ関係'!$F$4:$F$370,$B10,'VS×ケイパビリティ関係'!$G$4:$G$370,AD$5,'VS×ケイパビリティ関係'!$E$4:$E$370,"支援")&gt;0,"○",""))</f>
        <v/>
      </c>
      <c r="AE10" s="18">
        <f>IF(COUNTIFS('VS×ケイパビリティ関係'!$F$4:$F$370,$B10,'VS×ケイパビリティ関係'!$G$4:$G$370,AE$5,'VS×ケイパビリティ関係'!$E$4:$E$370,"主")&gt;0,"●",IF(COUNTIFS('VS×ケイパビリティ関係'!$F$4:$F$370,$B10,'VS×ケイパビリティ関係'!$G$4:$G$370,AE$5,'VS×ケイパビリティ関係'!$E$4:$E$370,"支援")&gt;0,"○",""))</f>
        <v/>
      </c>
      <c r="AF10" s="18">
        <f>IF(COUNTIFS('VS×ケイパビリティ関係'!$F$4:$F$370,$B10,'VS×ケイパビリティ関係'!$G$4:$G$370,AF$5,'VS×ケイパビリティ関係'!$E$4:$E$370,"主")&gt;0,"●",IF(COUNTIFS('VS×ケイパビリティ関係'!$F$4:$F$370,$B10,'VS×ケイパビリティ関係'!$G$4:$G$370,AF$5,'VS×ケイパビリティ関係'!$E$4:$E$370,"支援")&gt;0,"○",""))</f>
        <v/>
      </c>
      <c r="AG10" s="18">
        <f>IF(COUNTIFS('VS×ケイパビリティ関係'!$F$4:$F$370,$B10,'VS×ケイパビリティ関係'!$G$4:$G$370,AG$5,'VS×ケイパビリティ関係'!$E$4:$E$370,"主")&gt;0,"●",IF(COUNTIFS('VS×ケイパビリティ関係'!$F$4:$F$370,$B10,'VS×ケイパビリティ関係'!$G$4:$G$370,AG$5,'VS×ケイパビリティ関係'!$E$4:$E$370,"支援")&gt;0,"○",""))</f>
        <v/>
      </c>
      <c r="AH10" s="18">
        <f>IF(COUNTIFS('VS×ケイパビリティ関係'!$F$4:$F$370,$B10,'VS×ケイパビリティ関係'!$G$4:$G$370,AH$5,'VS×ケイパビリティ関係'!$E$4:$E$370,"主")&gt;0,"●",IF(COUNTIFS('VS×ケイパビリティ関係'!$F$4:$F$370,$B10,'VS×ケイパビリティ関係'!$G$4:$G$370,AH$5,'VS×ケイパビリティ関係'!$E$4:$E$370,"支援")&gt;0,"○",""))</f>
        <v/>
      </c>
      <c r="AI10" s="18">
        <f>IF(COUNTIFS('VS×ケイパビリティ関係'!$F$4:$F$370,$B10,'VS×ケイパビリティ関係'!$G$4:$G$370,AI$5,'VS×ケイパビリティ関係'!$E$4:$E$370,"主")&gt;0,"●",IF(COUNTIFS('VS×ケイパビリティ関係'!$F$4:$F$370,$B10,'VS×ケイパビリティ関係'!$G$4:$G$370,AI$5,'VS×ケイパビリティ関係'!$E$4:$E$370,"支援")&gt;0,"○",""))</f>
        <v/>
      </c>
      <c r="AJ10" s="18">
        <f>COUNTIF(D10:AI10,"●")</f>
        <v/>
      </c>
      <c r="AK10" s="18">
        <f>COUNTIF(D10:AI10,"○")</f>
        <v/>
      </c>
    </row>
    <row r="11">
      <c r="A11" s="42" t="inlineStr">
        <is>
          <t>02 入社・オンボーディング</t>
        </is>
      </c>
      <c r="B11" s="18" t="inlineStr">
        <is>
          <t>02-01</t>
        </is>
      </c>
      <c r="C11" s="20" t="inlineStr">
        <is>
          <t>雇用契約・入社手続き</t>
        </is>
      </c>
      <c r="D11" s="18">
        <f>IF(COUNTIFS('VS×ケイパビリティ関係'!$F$4:$F$370,$B11,'VS×ケイパビリティ関係'!$G$4:$G$370,D$5,'VS×ケイパビリティ関係'!$E$4:$E$370,"主")&gt;0,"●",IF(COUNTIFS('VS×ケイパビリティ関係'!$F$4:$F$370,$B11,'VS×ケイパビリティ関係'!$G$4:$G$370,D$5,'VS×ケイパビリティ関係'!$E$4:$E$370,"支援")&gt;0,"○",""))</f>
        <v/>
      </c>
      <c r="E11" s="18">
        <f>IF(COUNTIFS('VS×ケイパビリティ関係'!$F$4:$F$370,$B11,'VS×ケイパビリティ関係'!$G$4:$G$370,E$5,'VS×ケイパビリティ関係'!$E$4:$E$370,"主")&gt;0,"●",IF(COUNTIFS('VS×ケイパビリティ関係'!$F$4:$F$370,$B11,'VS×ケイパビリティ関係'!$G$4:$G$370,E$5,'VS×ケイパビリティ関係'!$E$4:$E$370,"支援")&gt;0,"○",""))</f>
        <v/>
      </c>
      <c r="F11" s="18">
        <f>IF(COUNTIFS('VS×ケイパビリティ関係'!$F$4:$F$370,$B11,'VS×ケイパビリティ関係'!$G$4:$G$370,F$5,'VS×ケイパビリティ関係'!$E$4:$E$370,"主")&gt;0,"●",IF(COUNTIFS('VS×ケイパビリティ関係'!$F$4:$F$370,$B11,'VS×ケイパビリティ関係'!$G$4:$G$370,F$5,'VS×ケイパビリティ関係'!$E$4:$E$370,"支援")&gt;0,"○",""))</f>
        <v/>
      </c>
      <c r="G11" s="18">
        <f>IF(COUNTIFS('VS×ケイパビリティ関係'!$F$4:$F$370,$B11,'VS×ケイパビリティ関係'!$G$4:$G$370,G$5,'VS×ケイパビリティ関係'!$E$4:$E$370,"主")&gt;0,"●",IF(COUNTIFS('VS×ケイパビリティ関係'!$F$4:$F$370,$B11,'VS×ケイパビリティ関係'!$G$4:$G$370,G$5,'VS×ケイパビリティ関係'!$E$4:$E$370,"支援")&gt;0,"○",""))</f>
        <v/>
      </c>
      <c r="H11" s="18">
        <f>IF(COUNTIFS('VS×ケイパビリティ関係'!$F$4:$F$370,$B11,'VS×ケイパビリティ関係'!$G$4:$G$370,H$5,'VS×ケイパビリティ関係'!$E$4:$E$370,"主")&gt;0,"●",IF(COUNTIFS('VS×ケイパビリティ関係'!$F$4:$F$370,$B11,'VS×ケイパビリティ関係'!$G$4:$G$370,H$5,'VS×ケイパビリティ関係'!$E$4:$E$370,"支援")&gt;0,"○",""))</f>
        <v/>
      </c>
      <c r="I11" s="18">
        <f>IF(COUNTIFS('VS×ケイパビリティ関係'!$F$4:$F$370,$B11,'VS×ケイパビリティ関係'!$G$4:$G$370,I$5,'VS×ケイパビリティ関係'!$E$4:$E$370,"主")&gt;0,"●",IF(COUNTIFS('VS×ケイパビリティ関係'!$F$4:$F$370,$B11,'VS×ケイパビリティ関係'!$G$4:$G$370,I$5,'VS×ケイパビリティ関係'!$E$4:$E$370,"支援")&gt;0,"○",""))</f>
        <v/>
      </c>
      <c r="J11" s="18">
        <f>IF(COUNTIFS('VS×ケイパビリティ関係'!$F$4:$F$370,$B11,'VS×ケイパビリティ関係'!$G$4:$G$370,J$5,'VS×ケイパビリティ関係'!$E$4:$E$370,"主")&gt;0,"●",IF(COUNTIFS('VS×ケイパビリティ関係'!$F$4:$F$370,$B11,'VS×ケイパビリティ関係'!$G$4:$G$370,J$5,'VS×ケイパビリティ関係'!$E$4:$E$370,"支援")&gt;0,"○",""))</f>
        <v/>
      </c>
      <c r="K11" s="18">
        <f>IF(COUNTIFS('VS×ケイパビリティ関係'!$F$4:$F$370,$B11,'VS×ケイパビリティ関係'!$G$4:$G$370,K$5,'VS×ケイパビリティ関係'!$E$4:$E$370,"主")&gt;0,"●",IF(COUNTIFS('VS×ケイパビリティ関係'!$F$4:$F$370,$B11,'VS×ケイパビリティ関係'!$G$4:$G$370,K$5,'VS×ケイパビリティ関係'!$E$4:$E$370,"支援")&gt;0,"○",""))</f>
        <v/>
      </c>
      <c r="L11" s="18">
        <f>IF(COUNTIFS('VS×ケイパビリティ関係'!$F$4:$F$370,$B11,'VS×ケイパビリティ関係'!$G$4:$G$370,L$5,'VS×ケイパビリティ関係'!$E$4:$E$370,"主")&gt;0,"●",IF(COUNTIFS('VS×ケイパビリティ関係'!$F$4:$F$370,$B11,'VS×ケイパビリティ関係'!$G$4:$G$370,L$5,'VS×ケイパビリティ関係'!$E$4:$E$370,"支援")&gt;0,"○",""))</f>
        <v/>
      </c>
      <c r="M11" s="18">
        <f>IF(COUNTIFS('VS×ケイパビリティ関係'!$F$4:$F$370,$B11,'VS×ケイパビリティ関係'!$G$4:$G$370,M$5,'VS×ケイパビリティ関係'!$E$4:$E$370,"主")&gt;0,"●",IF(COUNTIFS('VS×ケイパビリティ関係'!$F$4:$F$370,$B11,'VS×ケイパビリティ関係'!$G$4:$G$370,M$5,'VS×ケイパビリティ関係'!$E$4:$E$370,"支援")&gt;0,"○",""))</f>
        <v/>
      </c>
      <c r="N11" s="18">
        <f>IF(COUNTIFS('VS×ケイパビリティ関係'!$F$4:$F$370,$B11,'VS×ケイパビリティ関係'!$G$4:$G$370,N$5,'VS×ケイパビリティ関係'!$E$4:$E$370,"主")&gt;0,"●",IF(COUNTIFS('VS×ケイパビリティ関係'!$F$4:$F$370,$B11,'VS×ケイパビリティ関係'!$G$4:$G$370,N$5,'VS×ケイパビリティ関係'!$E$4:$E$370,"支援")&gt;0,"○",""))</f>
        <v/>
      </c>
      <c r="O11" s="18">
        <f>IF(COUNTIFS('VS×ケイパビリティ関係'!$F$4:$F$370,$B11,'VS×ケイパビリティ関係'!$G$4:$G$370,O$5,'VS×ケイパビリティ関係'!$E$4:$E$370,"主")&gt;0,"●",IF(COUNTIFS('VS×ケイパビリティ関係'!$F$4:$F$370,$B11,'VS×ケイパビリティ関係'!$G$4:$G$370,O$5,'VS×ケイパビリティ関係'!$E$4:$E$370,"支援")&gt;0,"○",""))</f>
        <v/>
      </c>
      <c r="P11" s="18">
        <f>IF(COUNTIFS('VS×ケイパビリティ関係'!$F$4:$F$370,$B11,'VS×ケイパビリティ関係'!$G$4:$G$370,P$5,'VS×ケイパビリティ関係'!$E$4:$E$370,"主")&gt;0,"●",IF(COUNTIFS('VS×ケイパビリティ関係'!$F$4:$F$370,$B11,'VS×ケイパビリティ関係'!$G$4:$G$370,P$5,'VS×ケイパビリティ関係'!$E$4:$E$370,"支援")&gt;0,"○",""))</f>
        <v/>
      </c>
      <c r="Q11" s="18">
        <f>IF(COUNTIFS('VS×ケイパビリティ関係'!$F$4:$F$370,$B11,'VS×ケイパビリティ関係'!$G$4:$G$370,Q$5,'VS×ケイパビリティ関係'!$E$4:$E$370,"主")&gt;0,"●",IF(COUNTIFS('VS×ケイパビリティ関係'!$F$4:$F$370,$B11,'VS×ケイパビリティ関係'!$G$4:$G$370,Q$5,'VS×ケイパビリティ関係'!$E$4:$E$370,"支援")&gt;0,"○",""))</f>
        <v/>
      </c>
      <c r="R11" s="18">
        <f>IF(COUNTIFS('VS×ケイパビリティ関係'!$F$4:$F$370,$B11,'VS×ケイパビリティ関係'!$G$4:$G$370,R$5,'VS×ケイパビリティ関係'!$E$4:$E$370,"主")&gt;0,"●",IF(COUNTIFS('VS×ケイパビリティ関係'!$F$4:$F$370,$B11,'VS×ケイパビリティ関係'!$G$4:$G$370,R$5,'VS×ケイパビリティ関係'!$E$4:$E$370,"支援")&gt;0,"○",""))</f>
        <v/>
      </c>
      <c r="S11" s="18">
        <f>IF(COUNTIFS('VS×ケイパビリティ関係'!$F$4:$F$370,$B11,'VS×ケイパビリティ関係'!$G$4:$G$370,S$5,'VS×ケイパビリティ関係'!$E$4:$E$370,"主")&gt;0,"●",IF(COUNTIFS('VS×ケイパビリティ関係'!$F$4:$F$370,$B11,'VS×ケイパビリティ関係'!$G$4:$G$370,S$5,'VS×ケイパビリティ関係'!$E$4:$E$370,"支援")&gt;0,"○",""))</f>
        <v/>
      </c>
      <c r="T11" s="18">
        <f>IF(COUNTIFS('VS×ケイパビリティ関係'!$F$4:$F$370,$B11,'VS×ケイパビリティ関係'!$G$4:$G$370,T$5,'VS×ケイパビリティ関係'!$E$4:$E$370,"主")&gt;0,"●",IF(COUNTIFS('VS×ケイパビリティ関係'!$F$4:$F$370,$B11,'VS×ケイパビリティ関係'!$G$4:$G$370,T$5,'VS×ケイパビリティ関係'!$E$4:$E$370,"支援")&gt;0,"○",""))</f>
        <v/>
      </c>
      <c r="U11" s="18">
        <f>IF(COUNTIFS('VS×ケイパビリティ関係'!$F$4:$F$370,$B11,'VS×ケイパビリティ関係'!$G$4:$G$370,U$5,'VS×ケイパビリティ関係'!$E$4:$E$370,"主")&gt;0,"●",IF(COUNTIFS('VS×ケイパビリティ関係'!$F$4:$F$370,$B11,'VS×ケイパビリティ関係'!$G$4:$G$370,U$5,'VS×ケイパビリティ関係'!$E$4:$E$370,"支援")&gt;0,"○",""))</f>
        <v/>
      </c>
      <c r="V11" s="18">
        <f>IF(COUNTIFS('VS×ケイパビリティ関係'!$F$4:$F$370,$B11,'VS×ケイパビリティ関係'!$G$4:$G$370,V$5,'VS×ケイパビリティ関係'!$E$4:$E$370,"主")&gt;0,"●",IF(COUNTIFS('VS×ケイパビリティ関係'!$F$4:$F$370,$B11,'VS×ケイパビリティ関係'!$G$4:$G$370,V$5,'VS×ケイパビリティ関係'!$E$4:$E$370,"支援")&gt;0,"○",""))</f>
        <v/>
      </c>
      <c r="W11" s="18">
        <f>IF(COUNTIFS('VS×ケイパビリティ関係'!$F$4:$F$370,$B11,'VS×ケイパビリティ関係'!$G$4:$G$370,W$5,'VS×ケイパビリティ関係'!$E$4:$E$370,"主")&gt;0,"●",IF(COUNTIFS('VS×ケイパビリティ関係'!$F$4:$F$370,$B11,'VS×ケイパビリティ関係'!$G$4:$G$370,W$5,'VS×ケイパビリティ関係'!$E$4:$E$370,"支援")&gt;0,"○",""))</f>
        <v/>
      </c>
      <c r="X11" s="18">
        <f>IF(COUNTIFS('VS×ケイパビリティ関係'!$F$4:$F$370,$B11,'VS×ケイパビリティ関係'!$G$4:$G$370,X$5,'VS×ケイパビリティ関係'!$E$4:$E$370,"主")&gt;0,"●",IF(COUNTIFS('VS×ケイパビリティ関係'!$F$4:$F$370,$B11,'VS×ケイパビリティ関係'!$G$4:$G$370,X$5,'VS×ケイパビリティ関係'!$E$4:$E$370,"支援")&gt;0,"○",""))</f>
        <v/>
      </c>
      <c r="Y11" s="18">
        <f>IF(COUNTIFS('VS×ケイパビリティ関係'!$F$4:$F$370,$B11,'VS×ケイパビリティ関係'!$G$4:$G$370,Y$5,'VS×ケイパビリティ関係'!$E$4:$E$370,"主")&gt;0,"●",IF(COUNTIFS('VS×ケイパビリティ関係'!$F$4:$F$370,$B11,'VS×ケイパビリティ関係'!$G$4:$G$370,Y$5,'VS×ケイパビリティ関係'!$E$4:$E$370,"支援")&gt;0,"○",""))</f>
        <v/>
      </c>
      <c r="Z11" s="18">
        <f>IF(COUNTIFS('VS×ケイパビリティ関係'!$F$4:$F$370,$B11,'VS×ケイパビリティ関係'!$G$4:$G$370,Z$5,'VS×ケイパビリティ関係'!$E$4:$E$370,"主")&gt;0,"●",IF(COUNTIFS('VS×ケイパビリティ関係'!$F$4:$F$370,$B11,'VS×ケイパビリティ関係'!$G$4:$G$370,Z$5,'VS×ケイパビリティ関係'!$E$4:$E$370,"支援")&gt;0,"○",""))</f>
        <v/>
      </c>
      <c r="AA11" s="18">
        <f>IF(COUNTIFS('VS×ケイパビリティ関係'!$F$4:$F$370,$B11,'VS×ケイパビリティ関係'!$G$4:$G$370,AA$5,'VS×ケイパビリティ関係'!$E$4:$E$370,"主")&gt;0,"●",IF(COUNTIFS('VS×ケイパビリティ関係'!$F$4:$F$370,$B11,'VS×ケイパビリティ関係'!$G$4:$G$370,AA$5,'VS×ケイパビリティ関係'!$E$4:$E$370,"支援")&gt;0,"○",""))</f>
        <v/>
      </c>
      <c r="AB11" s="18">
        <f>IF(COUNTIFS('VS×ケイパビリティ関係'!$F$4:$F$370,$B11,'VS×ケイパビリティ関係'!$G$4:$G$370,AB$5,'VS×ケイパビリティ関係'!$E$4:$E$370,"主")&gt;0,"●",IF(COUNTIFS('VS×ケイパビリティ関係'!$F$4:$F$370,$B11,'VS×ケイパビリティ関係'!$G$4:$G$370,AB$5,'VS×ケイパビリティ関係'!$E$4:$E$370,"支援")&gt;0,"○",""))</f>
        <v/>
      </c>
      <c r="AC11" s="18">
        <f>IF(COUNTIFS('VS×ケイパビリティ関係'!$F$4:$F$370,$B11,'VS×ケイパビリティ関係'!$G$4:$G$370,AC$5,'VS×ケイパビリティ関係'!$E$4:$E$370,"主")&gt;0,"●",IF(COUNTIFS('VS×ケイパビリティ関係'!$F$4:$F$370,$B11,'VS×ケイパビリティ関係'!$G$4:$G$370,AC$5,'VS×ケイパビリティ関係'!$E$4:$E$370,"支援")&gt;0,"○",""))</f>
        <v/>
      </c>
      <c r="AD11" s="18">
        <f>IF(COUNTIFS('VS×ケイパビリティ関係'!$F$4:$F$370,$B11,'VS×ケイパビリティ関係'!$G$4:$G$370,AD$5,'VS×ケイパビリティ関係'!$E$4:$E$370,"主")&gt;0,"●",IF(COUNTIFS('VS×ケイパビリティ関係'!$F$4:$F$370,$B11,'VS×ケイパビリティ関係'!$G$4:$G$370,AD$5,'VS×ケイパビリティ関係'!$E$4:$E$370,"支援")&gt;0,"○",""))</f>
        <v/>
      </c>
      <c r="AE11" s="18">
        <f>IF(COUNTIFS('VS×ケイパビリティ関係'!$F$4:$F$370,$B11,'VS×ケイパビリティ関係'!$G$4:$G$370,AE$5,'VS×ケイパビリティ関係'!$E$4:$E$370,"主")&gt;0,"●",IF(COUNTIFS('VS×ケイパビリティ関係'!$F$4:$F$370,$B11,'VS×ケイパビリティ関係'!$G$4:$G$370,AE$5,'VS×ケイパビリティ関係'!$E$4:$E$370,"支援")&gt;0,"○",""))</f>
        <v/>
      </c>
      <c r="AF11" s="18">
        <f>IF(COUNTIFS('VS×ケイパビリティ関係'!$F$4:$F$370,$B11,'VS×ケイパビリティ関係'!$G$4:$G$370,AF$5,'VS×ケイパビリティ関係'!$E$4:$E$370,"主")&gt;0,"●",IF(COUNTIFS('VS×ケイパビリティ関係'!$F$4:$F$370,$B11,'VS×ケイパビリティ関係'!$G$4:$G$370,AF$5,'VS×ケイパビリティ関係'!$E$4:$E$370,"支援")&gt;0,"○",""))</f>
        <v/>
      </c>
      <c r="AG11" s="18">
        <f>IF(COUNTIFS('VS×ケイパビリティ関係'!$F$4:$F$370,$B11,'VS×ケイパビリティ関係'!$G$4:$G$370,AG$5,'VS×ケイパビリティ関係'!$E$4:$E$370,"主")&gt;0,"●",IF(COUNTIFS('VS×ケイパビリティ関係'!$F$4:$F$370,$B11,'VS×ケイパビリティ関係'!$G$4:$G$370,AG$5,'VS×ケイパビリティ関係'!$E$4:$E$370,"支援")&gt;0,"○",""))</f>
        <v/>
      </c>
      <c r="AH11" s="18">
        <f>IF(COUNTIFS('VS×ケイパビリティ関係'!$F$4:$F$370,$B11,'VS×ケイパビリティ関係'!$G$4:$G$370,AH$5,'VS×ケイパビリティ関係'!$E$4:$E$370,"主")&gt;0,"●",IF(COUNTIFS('VS×ケイパビリティ関係'!$F$4:$F$370,$B11,'VS×ケイパビリティ関係'!$G$4:$G$370,AH$5,'VS×ケイパビリティ関係'!$E$4:$E$370,"支援")&gt;0,"○",""))</f>
        <v/>
      </c>
      <c r="AI11" s="18">
        <f>IF(COUNTIFS('VS×ケイパビリティ関係'!$F$4:$F$370,$B11,'VS×ケイパビリティ関係'!$G$4:$G$370,AI$5,'VS×ケイパビリティ関係'!$E$4:$E$370,"主")&gt;0,"●",IF(COUNTIFS('VS×ケイパビリティ関係'!$F$4:$F$370,$B11,'VS×ケイパビリティ関係'!$G$4:$G$370,AI$5,'VS×ケイパビリティ関係'!$E$4:$E$370,"支援")&gt;0,"○",""))</f>
        <v/>
      </c>
      <c r="AJ11" s="18">
        <f>COUNTIF(D11:AI11,"●")</f>
        <v/>
      </c>
      <c r="AK11" s="18">
        <f>COUNTIF(D11:AI11,"○")</f>
        <v/>
      </c>
    </row>
    <row r="12">
      <c r="A12" s="42" t="n"/>
      <c r="B12" s="18" t="inlineStr">
        <is>
          <t>02-02</t>
        </is>
      </c>
      <c r="C12" s="20" t="inlineStr">
        <is>
          <t>受入れ準備</t>
        </is>
      </c>
      <c r="D12" s="18">
        <f>IF(COUNTIFS('VS×ケイパビリティ関係'!$F$4:$F$370,$B12,'VS×ケイパビリティ関係'!$G$4:$G$370,D$5,'VS×ケイパビリティ関係'!$E$4:$E$370,"主")&gt;0,"●",IF(COUNTIFS('VS×ケイパビリティ関係'!$F$4:$F$370,$B12,'VS×ケイパビリティ関係'!$G$4:$G$370,D$5,'VS×ケイパビリティ関係'!$E$4:$E$370,"支援")&gt;0,"○",""))</f>
        <v/>
      </c>
      <c r="E12" s="18">
        <f>IF(COUNTIFS('VS×ケイパビリティ関係'!$F$4:$F$370,$B12,'VS×ケイパビリティ関係'!$G$4:$G$370,E$5,'VS×ケイパビリティ関係'!$E$4:$E$370,"主")&gt;0,"●",IF(COUNTIFS('VS×ケイパビリティ関係'!$F$4:$F$370,$B12,'VS×ケイパビリティ関係'!$G$4:$G$370,E$5,'VS×ケイパビリティ関係'!$E$4:$E$370,"支援")&gt;0,"○",""))</f>
        <v/>
      </c>
      <c r="F12" s="18">
        <f>IF(COUNTIFS('VS×ケイパビリティ関係'!$F$4:$F$370,$B12,'VS×ケイパビリティ関係'!$G$4:$G$370,F$5,'VS×ケイパビリティ関係'!$E$4:$E$370,"主")&gt;0,"●",IF(COUNTIFS('VS×ケイパビリティ関係'!$F$4:$F$370,$B12,'VS×ケイパビリティ関係'!$G$4:$G$370,F$5,'VS×ケイパビリティ関係'!$E$4:$E$370,"支援")&gt;0,"○",""))</f>
        <v/>
      </c>
      <c r="G12" s="18">
        <f>IF(COUNTIFS('VS×ケイパビリティ関係'!$F$4:$F$370,$B12,'VS×ケイパビリティ関係'!$G$4:$G$370,G$5,'VS×ケイパビリティ関係'!$E$4:$E$370,"主")&gt;0,"●",IF(COUNTIFS('VS×ケイパビリティ関係'!$F$4:$F$370,$B12,'VS×ケイパビリティ関係'!$G$4:$G$370,G$5,'VS×ケイパビリティ関係'!$E$4:$E$370,"支援")&gt;0,"○",""))</f>
        <v/>
      </c>
      <c r="H12" s="18">
        <f>IF(COUNTIFS('VS×ケイパビリティ関係'!$F$4:$F$370,$B12,'VS×ケイパビリティ関係'!$G$4:$G$370,H$5,'VS×ケイパビリティ関係'!$E$4:$E$370,"主")&gt;0,"●",IF(COUNTIFS('VS×ケイパビリティ関係'!$F$4:$F$370,$B12,'VS×ケイパビリティ関係'!$G$4:$G$370,H$5,'VS×ケイパビリティ関係'!$E$4:$E$370,"支援")&gt;0,"○",""))</f>
        <v/>
      </c>
      <c r="I12" s="18">
        <f>IF(COUNTIFS('VS×ケイパビリティ関係'!$F$4:$F$370,$B12,'VS×ケイパビリティ関係'!$G$4:$G$370,I$5,'VS×ケイパビリティ関係'!$E$4:$E$370,"主")&gt;0,"●",IF(COUNTIFS('VS×ケイパビリティ関係'!$F$4:$F$370,$B12,'VS×ケイパビリティ関係'!$G$4:$G$370,I$5,'VS×ケイパビリティ関係'!$E$4:$E$370,"支援")&gt;0,"○",""))</f>
        <v/>
      </c>
      <c r="J12" s="18">
        <f>IF(COUNTIFS('VS×ケイパビリティ関係'!$F$4:$F$370,$B12,'VS×ケイパビリティ関係'!$G$4:$G$370,J$5,'VS×ケイパビリティ関係'!$E$4:$E$370,"主")&gt;0,"●",IF(COUNTIFS('VS×ケイパビリティ関係'!$F$4:$F$370,$B12,'VS×ケイパビリティ関係'!$G$4:$G$370,J$5,'VS×ケイパビリティ関係'!$E$4:$E$370,"支援")&gt;0,"○",""))</f>
        <v/>
      </c>
      <c r="K12" s="18">
        <f>IF(COUNTIFS('VS×ケイパビリティ関係'!$F$4:$F$370,$B12,'VS×ケイパビリティ関係'!$G$4:$G$370,K$5,'VS×ケイパビリティ関係'!$E$4:$E$370,"主")&gt;0,"●",IF(COUNTIFS('VS×ケイパビリティ関係'!$F$4:$F$370,$B12,'VS×ケイパビリティ関係'!$G$4:$G$370,K$5,'VS×ケイパビリティ関係'!$E$4:$E$370,"支援")&gt;0,"○",""))</f>
        <v/>
      </c>
      <c r="L12" s="18">
        <f>IF(COUNTIFS('VS×ケイパビリティ関係'!$F$4:$F$370,$B12,'VS×ケイパビリティ関係'!$G$4:$G$370,L$5,'VS×ケイパビリティ関係'!$E$4:$E$370,"主")&gt;0,"●",IF(COUNTIFS('VS×ケイパビリティ関係'!$F$4:$F$370,$B12,'VS×ケイパビリティ関係'!$G$4:$G$370,L$5,'VS×ケイパビリティ関係'!$E$4:$E$370,"支援")&gt;0,"○",""))</f>
        <v/>
      </c>
      <c r="M12" s="18">
        <f>IF(COUNTIFS('VS×ケイパビリティ関係'!$F$4:$F$370,$B12,'VS×ケイパビリティ関係'!$G$4:$G$370,M$5,'VS×ケイパビリティ関係'!$E$4:$E$370,"主")&gt;0,"●",IF(COUNTIFS('VS×ケイパビリティ関係'!$F$4:$F$370,$B12,'VS×ケイパビリティ関係'!$G$4:$G$370,M$5,'VS×ケイパビリティ関係'!$E$4:$E$370,"支援")&gt;0,"○",""))</f>
        <v/>
      </c>
      <c r="N12" s="18">
        <f>IF(COUNTIFS('VS×ケイパビリティ関係'!$F$4:$F$370,$B12,'VS×ケイパビリティ関係'!$G$4:$G$370,N$5,'VS×ケイパビリティ関係'!$E$4:$E$370,"主")&gt;0,"●",IF(COUNTIFS('VS×ケイパビリティ関係'!$F$4:$F$370,$B12,'VS×ケイパビリティ関係'!$G$4:$G$370,N$5,'VS×ケイパビリティ関係'!$E$4:$E$370,"支援")&gt;0,"○",""))</f>
        <v/>
      </c>
      <c r="O12" s="18">
        <f>IF(COUNTIFS('VS×ケイパビリティ関係'!$F$4:$F$370,$B12,'VS×ケイパビリティ関係'!$G$4:$G$370,O$5,'VS×ケイパビリティ関係'!$E$4:$E$370,"主")&gt;0,"●",IF(COUNTIFS('VS×ケイパビリティ関係'!$F$4:$F$370,$B12,'VS×ケイパビリティ関係'!$G$4:$G$370,O$5,'VS×ケイパビリティ関係'!$E$4:$E$370,"支援")&gt;0,"○",""))</f>
        <v/>
      </c>
      <c r="P12" s="18">
        <f>IF(COUNTIFS('VS×ケイパビリティ関係'!$F$4:$F$370,$B12,'VS×ケイパビリティ関係'!$G$4:$G$370,P$5,'VS×ケイパビリティ関係'!$E$4:$E$370,"主")&gt;0,"●",IF(COUNTIFS('VS×ケイパビリティ関係'!$F$4:$F$370,$B12,'VS×ケイパビリティ関係'!$G$4:$G$370,P$5,'VS×ケイパビリティ関係'!$E$4:$E$370,"支援")&gt;0,"○",""))</f>
        <v/>
      </c>
      <c r="Q12" s="18">
        <f>IF(COUNTIFS('VS×ケイパビリティ関係'!$F$4:$F$370,$B12,'VS×ケイパビリティ関係'!$G$4:$G$370,Q$5,'VS×ケイパビリティ関係'!$E$4:$E$370,"主")&gt;0,"●",IF(COUNTIFS('VS×ケイパビリティ関係'!$F$4:$F$370,$B12,'VS×ケイパビリティ関係'!$G$4:$G$370,Q$5,'VS×ケイパビリティ関係'!$E$4:$E$370,"支援")&gt;0,"○",""))</f>
        <v/>
      </c>
      <c r="R12" s="18">
        <f>IF(COUNTIFS('VS×ケイパビリティ関係'!$F$4:$F$370,$B12,'VS×ケイパビリティ関係'!$G$4:$G$370,R$5,'VS×ケイパビリティ関係'!$E$4:$E$370,"主")&gt;0,"●",IF(COUNTIFS('VS×ケイパビリティ関係'!$F$4:$F$370,$B12,'VS×ケイパビリティ関係'!$G$4:$G$370,R$5,'VS×ケイパビリティ関係'!$E$4:$E$370,"支援")&gt;0,"○",""))</f>
        <v/>
      </c>
      <c r="S12" s="18">
        <f>IF(COUNTIFS('VS×ケイパビリティ関係'!$F$4:$F$370,$B12,'VS×ケイパビリティ関係'!$G$4:$G$370,S$5,'VS×ケイパビリティ関係'!$E$4:$E$370,"主")&gt;0,"●",IF(COUNTIFS('VS×ケイパビリティ関係'!$F$4:$F$370,$B12,'VS×ケイパビリティ関係'!$G$4:$G$370,S$5,'VS×ケイパビリティ関係'!$E$4:$E$370,"支援")&gt;0,"○",""))</f>
        <v/>
      </c>
      <c r="T12" s="18">
        <f>IF(COUNTIFS('VS×ケイパビリティ関係'!$F$4:$F$370,$B12,'VS×ケイパビリティ関係'!$G$4:$G$370,T$5,'VS×ケイパビリティ関係'!$E$4:$E$370,"主")&gt;0,"●",IF(COUNTIFS('VS×ケイパビリティ関係'!$F$4:$F$370,$B12,'VS×ケイパビリティ関係'!$G$4:$G$370,T$5,'VS×ケイパビリティ関係'!$E$4:$E$370,"支援")&gt;0,"○",""))</f>
        <v/>
      </c>
      <c r="U12" s="18">
        <f>IF(COUNTIFS('VS×ケイパビリティ関係'!$F$4:$F$370,$B12,'VS×ケイパビリティ関係'!$G$4:$G$370,U$5,'VS×ケイパビリティ関係'!$E$4:$E$370,"主")&gt;0,"●",IF(COUNTIFS('VS×ケイパビリティ関係'!$F$4:$F$370,$B12,'VS×ケイパビリティ関係'!$G$4:$G$370,U$5,'VS×ケイパビリティ関係'!$E$4:$E$370,"支援")&gt;0,"○",""))</f>
        <v/>
      </c>
      <c r="V12" s="18">
        <f>IF(COUNTIFS('VS×ケイパビリティ関係'!$F$4:$F$370,$B12,'VS×ケイパビリティ関係'!$G$4:$G$370,V$5,'VS×ケイパビリティ関係'!$E$4:$E$370,"主")&gt;0,"●",IF(COUNTIFS('VS×ケイパビリティ関係'!$F$4:$F$370,$B12,'VS×ケイパビリティ関係'!$G$4:$G$370,V$5,'VS×ケイパビリティ関係'!$E$4:$E$370,"支援")&gt;0,"○",""))</f>
        <v/>
      </c>
      <c r="W12" s="18">
        <f>IF(COUNTIFS('VS×ケイパビリティ関係'!$F$4:$F$370,$B12,'VS×ケイパビリティ関係'!$G$4:$G$370,W$5,'VS×ケイパビリティ関係'!$E$4:$E$370,"主")&gt;0,"●",IF(COUNTIFS('VS×ケイパビリティ関係'!$F$4:$F$370,$B12,'VS×ケイパビリティ関係'!$G$4:$G$370,W$5,'VS×ケイパビリティ関係'!$E$4:$E$370,"支援")&gt;0,"○",""))</f>
        <v/>
      </c>
      <c r="X12" s="18">
        <f>IF(COUNTIFS('VS×ケイパビリティ関係'!$F$4:$F$370,$B12,'VS×ケイパビリティ関係'!$G$4:$G$370,X$5,'VS×ケイパビリティ関係'!$E$4:$E$370,"主")&gt;0,"●",IF(COUNTIFS('VS×ケイパビリティ関係'!$F$4:$F$370,$B12,'VS×ケイパビリティ関係'!$G$4:$G$370,X$5,'VS×ケイパビリティ関係'!$E$4:$E$370,"支援")&gt;0,"○",""))</f>
        <v/>
      </c>
      <c r="Y12" s="18">
        <f>IF(COUNTIFS('VS×ケイパビリティ関係'!$F$4:$F$370,$B12,'VS×ケイパビリティ関係'!$G$4:$G$370,Y$5,'VS×ケイパビリティ関係'!$E$4:$E$370,"主")&gt;0,"●",IF(COUNTIFS('VS×ケイパビリティ関係'!$F$4:$F$370,$B12,'VS×ケイパビリティ関係'!$G$4:$G$370,Y$5,'VS×ケイパビリティ関係'!$E$4:$E$370,"支援")&gt;0,"○",""))</f>
        <v/>
      </c>
      <c r="Z12" s="18">
        <f>IF(COUNTIFS('VS×ケイパビリティ関係'!$F$4:$F$370,$B12,'VS×ケイパビリティ関係'!$G$4:$G$370,Z$5,'VS×ケイパビリティ関係'!$E$4:$E$370,"主")&gt;0,"●",IF(COUNTIFS('VS×ケイパビリティ関係'!$F$4:$F$370,$B12,'VS×ケイパビリティ関係'!$G$4:$G$370,Z$5,'VS×ケイパビリティ関係'!$E$4:$E$370,"支援")&gt;0,"○",""))</f>
        <v/>
      </c>
      <c r="AA12" s="18">
        <f>IF(COUNTIFS('VS×ケイパビリティ関係'!$F$4:$F$370,$B12,'VS×ケイパビリティ関係'!$G$4:$G$370,AA$5,'VS×ケイパビリティ関係'!$E$4:$E$370,"主")&gt;0,"●",IF(COUNTIFS('VS×ケイパビリティ関係'!$F$4:$F$370,$B12,'VS×ケイパビリティ関係'!$G$4:$G$370,AA$5,'VS×ケイパビリティ関係'!$E$4:$E$370,"支援")&gt;0,"○",""))</f>
        <v/>
      </c>
      <c r="AB12" s="18">
        <f>IF(COUNTIFS('VS×ケイパビリティ関係'!$F$4:$F$370,$B12,'VS×ケイパビリティ関係'!$G$4:$G$370,AB$5,'VS×ケイパビリティ関係'!$E$4:$E$370,"主")&gt;0,"●",IF(COUNTIFS('VS×ケイパビリティ関係'!$F$4:$F$370,$B12,'VS×ケイパビリティ関係'!$G$4:$G$370,AB$5,'VS×ケイパビリティ関係'!$E$4:$E$370,"支援")&gt;0,"○",""))</f>
        <v/>
      </c>
      <c r="AC12" s="18">
        <f>IF(COUNTIFS('VS×ケイパビリティ関係'!$F$4:$F$370,$B12,'VS×ケイパビリティ関係'!$G$4:$G$370,AC$5,'VS×ケイパビリティ関係'!$E$4:$E$370,"主")&gt;0,"●",IF(COUNTIFS('VS×ケイパビリティ関係'!$F$4:$F$370,$B12,'VS×ケイパビリティ関係'!$G$4:$G$370,AC$5,'VS×ケイパビリティ関係'!$E$4:$E$370,"支援")&gt;0,"○",""))</f>
        <v/>
      </c>
      <c r="AD12" s="18">
        <f>IF(COUNTIFS('VS×ケイパビリティ関係'!$F$4:$F$370,$B12,'VS×ケイパビリティ関係'!$G$4:$G$370,AD$5,'VS×ケイパビリティ関係'!$E$4:$E$370,"主")&gt;0,"●",IF(COUNTIFS('VS×ケイパビリティ関係'!$F$4:$F$370,$B12,'VS×ケイパビリティ関係'!$G$4:$G$370,AD$5,'VS×ケイパビリティ関係'!$E$4:$E$370,"支援")&gt;0,"○",""))</f>
        <v/>
      </c>
      <c r="AE12" s="18">
        <f>IF(COUNTIFS('VS×ケイパビリティ関係'!$F$4:$F$370,$B12,'VS×ケイパビリティ関係'!$G$4:$G$370,AE$5,'VS×ケイパビリティ関係'!$E$4:$E$370,"主")&gt;0,"●",IF(COUNTIFS('VS×ケイパビリティ関係'!$F$4:$F$370,$B12,'VS×ケイパビリティ関係'!$G$4:$G$370,AE$5,'VS×ケイパビリティ関係'!$E$4:$E$370,"支援")&gt;0,"○",""))</f>
        <v/>
      </c>
      <c r="AF12" s="18">
        <f>IF(COUNTIFS('VS×ケイパビリティ関係'!$F$4:$F$370,$B12,'VS×ケイパビリティ関係'!$G$4:$G$370,AF$5,'VS×ケイパビリティ関係'!$E$4:$E$370,"主")&gt;0,"●",IF(COUNTIFS('VS×ケイパビリティ関係'!$F$4:$F$370,$B12,'VS×ケイパビリティ関係'!$G$4:$G$370,AF$5,'VS×ケイパビリティ関係'!$E$4:$E$370,"支援")&gt;0,"○",""))</f>
        <v/>
      </c>
      <c r="AG12" s="18">
        <f>IF(COUNTIFS('VS×ケイパビリティ関係'!$F$4:$F$370,$B12,'VS×ケイパビリティ関係'!$G$4:$G$370,AG$5,'VS×ケイパビリティ関係'!$E$4:$E$370,"主")&gt;0,"●",IF(COUNTIFS('VS×ケイパビリティ関係'!$F$4:$F$370,$B12,'VS×ケイパビリティ関係'!$G$4:$G$370,AG$5,'VS×ケイパビリティ関係'!$E$4:$E$370,"支援")&gt;0,"○",""))</f>
        <v/>
      </c>
      <c r="AH12" s="18">
        <f>IF(COUNTIFS('VS×ケイパビリティ関係'!$F$4:$F$370,$B12,'VS×ケイパビリティ関係'!$G$4:$G$370,AH$5,'VS×ケイパビリティ関係'!$E$4:$E$370,"主")&gt;0,"●",IF(COUNTIFS('VS×ケイパビリティ関係'!$F$4:$F$370,$B12,'VS×ケイパビリティ関係'!$G$4:$G$370,AH$5,'VS×ケイパビリティ関係'!$E$4:$E$370,"支援")&gt;0,"○",""))</f>
        <v/>
      </c>
      <c r="AI12" s="18">
        <f>IF(COUNTIFS('VS×ケイパビリティ関係'!$F$4:$F$370,$B12,'VS×ケイパビリティ関係'!$G$4:$G$370,AI$5,'VS×ケイパビリティ関係'!$E$4:$E$370,"主")&gt;0,"●",IF(COUNTIFS('VS×ケイパビリティ関係'!$F$4:$F$370,$B12,'VS×ケイパビリティ関係'!$G$4:$G$370,AI$5,'VS×ケイパビリティ関係'!$E$4:$E$370,"支援")&gt;0,"○",""))</f>
        <v/>
      </c>
      <c r="AJ12" s="18">
        <f>COUNTIF(D12:AI12,"●")</f>
        <v/>
      </c>
      <c r="AK12" s="18">
        <f>COUNTIF(D12:AI12,"○")</f>
        <v/>
      </c>
    </row>
    <row r="13">
      <c r="A13" s="42" t="n"/>
      <c r="B13" s="18" t="inlineStr">
        <is>
          <t>02-03</t>
        </is>
      </c>
      <c r="C13" s="20" t="inlineStr">
        <is>
          <t>オンボーディング・定着</t>
        </is>
      </c>
      <c r="D13" s="18">
        <f>IF(COUNTIFS('VS×ケイパビリティ関係'!$F$4:$F$370,$B13,'VS×ケイパビリティ関係'!$G$4:$G$370,D$5,'VS×ケイパビリティ関係'!$E$4:$E$370,"主")&gt;0,"●",IF(COUNTIFS('VS×ケイパビリティ関係'!$F$4:$F$370,$B13,'VS×ケイパビリティ関係'!$G$4:$G$370,D$5,'VS×ケイパビリティ関係'!$E$4:$E$370,"支援")&gt;0,"○",""))</f>
        <v/>
      </c>
      <c r="E13" s="18">
        <f>IF(COUNTIFS('VS×ケイパビリティ関係'!$F$4:$F$370,$B13,'VS×ケイパビリティ関係'!$G$4:$G$370,E$5,'VS×ケイパビリティ関係'!$E$4:$E$370,"主")&gt;0,"●",IF(COUNTIFS('VS×ケイパビリティ関係'!$F$4:$F$370,$B13,'VS×ケイパビリティ関係'!$G$4:$G$370,E$5,'VS×ケイパビリティ関係'!$E$4:$E$370,"支援")&gt;0,"○",""))</f>
        <v/>
      </c>
      <c r="F13" s="18">
        <f>IF(COUNTIFS('VS×ケイパビリティ関係'!$F$4:$F$370,$B13,'VS×ケイパビリティ関係'!$G$4:$G$370,F$5,'VS×ケイパビリティ関係'!$E$4:$E$370,"主")&gt;0,"●",IF(COUNTIFS('VS×ケイパビリティ関係'!$F$4:$F$370,$B13,'VS×ケイパビリティ関係'!$G$4:$G$370,F$5,'VS×ケイパビリティ関係'!$E$4:$E$370,"支援")&gt;0,"○",""))</f>
        <v/>
      </c>
      <c r="G13" s="18">
        <f>IF(COUNTIFS('VS×ケイパビリティ関係'!$F$4:$F$370,$B13,'VS×ケイパビリティ関係'!$G$4:$G$370,G$5,'VS×ケイパビリティ関係'!$E$4:$E$370,"主")&gt;0,"●",IF(COUNTIFS('VS×ケイパビリティ関係'!$F$4:$F$370,$B13,'VS×ケイパビリティ関係'!$G$4:$G$370,G$5,'VS×ケイパビリティ関係'!$E$4:$E$370,"支援")&gt;0,"○",""))</f>
        <v/>
      </c>
      <c r="H13" s="18">
        <f>IF(COUNTIFS('VS×ケイパビリティ関係'!$F$4:$F$370,$B13,'VS×ケイパビリティ関係'!$G$4:$G$370,H$5,'VS×ケイパビリティ関係'!$E$4:$E$370,"主")&gt;0,"●",IF(COUNTIFS('VS×ケイパビリティ関係'!$F$4:$F$370,$B13,'VS×ケイパビリティ関係'!$G$4:$G$370,H$5,'VS×ケイパビリティ関係'!$E$4:$E$370,"支援")&gt;0,"○",""))</f>
        <v/>
      </c>
      <c r="I13" s="18">
        <f>IF(COUNTIFS('VS×ケイパビリティ関係'!$F$4:$F$370,$B13,'VS×ケイパビリティ関係'!$G$4:$G$370,I$5,'VS×ケイパビリティ関係'!$E$4:$E$370,"主")&gt;0,"●",IF(COUNTIFS('VS×ケイパビリティ関係'!$F$4:$F$370,$B13,'VS×ケイパビリティ関係'!$G$4:$G$370,I$5,'VS×ケイパビリティ関係'!$E$4:$E$370,"支援")&gt;0,"○",""))</f>
        <v/>
      </c>
      <c r="J13" s="18">
        <f>IF(COUNTIFS('VS×ケイパビリティ関係'!$F$4:$F$370,$B13,'VS×ケイパビリティ関係'!$G$4:$G$370,J$5,'VS×ケイパビリティ関係'!$E$4:$E$370,"主")&gt;0,"●",IF(COUNTIFS('VS×ケイパビリティ関係'!$F$4:$F$370,$B13,'VS×ケイパビリティ関係'!$G$4:$G$370,J$5,'VS×ケイパビリティ関係'!$E$4:$E$370,"支援")&gt;0,"○",""))</f>
        <v/>
      </c>
      <c r="K13" s="18">
        <f>IF(COUNTIFS('VS×ケイパビリティ関係'!$F$4:$F$370,$B13,'VS×ケイパビリティ関係'!$G$4:$G$370,K$5,'VS×ケイパビリティ関係'!$E$4:$E$370,"主")&gt;0,"●",IF(COUNTIFS('VS×ケイパビリティ関係'!$F$4:$F$370,$B13,'VS×ケイパビリティ関係'!$G$4:$G$370,K$5,'VS×ケイパビリティ関係'!$E$4:$E$370,"支援")&gt;0,"○",""))</f>
        <v/>
      </c>
      <c r="L13" s="18">
        <f>IF(COUNTIFS('VS×ケイパビリティ関係'!$F$4:$F$370,$B13,'VS×ケイパビリティ関係'!$G$4:$G$370,L$5,'VS×ケイパビリティ関係'!$E$4:$E$370,"主")&gt;0,"●",IF(COUNTIFS('VS×ケイパビリティ関係'!$F$4:$F$370,$B13,'VS×ケイパビリティ関係'!$G$4:$G$370,L$5,'VS×ケイパビリティ関係'!$E$4:$E$370,"支援")&gt;0,"○",""))</f>
        <v/>
      </c>
      <c r="M13" s="18">
        <f>IF(COUNTIFS('VS×ケイパビリティ関係'!$F$4:$F$370,$B13,'VS×ケイパビリティ関係'!$G$4:$G$370,M$5,'VS×ケイパビリティ関係'!$E$4:$E$370,"主")&gt;0,"●",IF(COUNTIFS('VS×ケイパビリティ関係'!$F$4:$F$370,$B13,'VS×ケイパビリティ関係'!$G$4:$G$370,M$5,'VS×ケイパビリティ関係'!$E$4:$E$370,"支援")&gt;0,"○",""))</f>
        <v/>
      </c>
      <c r="N13" s="18">
        <f>IF(COUNTIFS('VS×ケイパビリティ関係'!$F$4:$F$370,$B13,'VS×ケイパビリティ関係'!$G$4:$G$370,N$5,'VS×ケイパビリティ関係'!$E$4:$E$370,"主")&gt;0,"●",IF(COUNTIFS('VS×ケイパビリティ関係'!$F$4:$F$370,$B13,'VS×ケイパビリティ関係'!$G$4:$G$370,N$5,'VS×ケイパビリティ関係'!$E$4:$E$370,"支援")&gt;0,"○",""))</f>
        <v/>
      </c>
      <c r="O13" s="18">
        <f>IF(COUNTIFS('VS×ケイパビリティ関係'!$F$4:$F$370,$B13,'VS×ケイパビリティ関係'!$G$4:$G$370,O$5,'VS×ケイパビリティ関係'!$E$4:$E$370,"主")&gt;0,"●",IF(COUNTIFS('VS×ケイパビリティ関係'!$F$4:$F$370,$B13,'VS×ケイパビリティ関係'!$G$4:$G$370,O$5,'VS×ケイパビリティ関係'!$E$4:$E$370,"支援")&gt;0,"○",""))</f>
        <v/>
      </c>
      <c r="P13" s="18">
        <f>IF(COUNTIFS('VS×ケイパビリティ関係'!$F$4:$F$370,$B13,'VS×ケイパビリティ関係'!$G$4:$G$370,P$5,'VS×ケイパビリティ関係'!$E$4:$E$370,"主")&gt;0,"●",IF(COUNTIFS('VS×ケイパビリティ関係'!$F$4:$F$370,$B13,'VS×ケイパビリティ関係'!$G$4:$G$370,P$5,'VS×ケイパビリティ関係'!$E$4:$E$370,"支援")&gt;0,"○",""))</f>
        <v/>
      </c>
      <c r="Q13" s="18">
        <f>IF(COUNTIFS('VS×ケイパビリティ関係'!$F$4:$F$370,$B13,'VS×ケイパビリティ関係'!$G$4:$G$370,Q$5,'VS×ケイパビリティ関係'!$E$4:$E$370,"主")&gt;0,"●",IF(COUNTIFS('VS×ケイパビリティ関係'!$F$4:$F$370,$B13,'VS×ケイパビリティ関係'!$G$4:$G$370,Q$5,'VS×ケイパビリティ関係'!$E$4:$E$370,"支援")&gt;0,"○",""))</f>
        <v/>
      </c>
      <c r="R13" s="18">
        <f>IF(COUNTIFS('VS×ケイパビリティ関係'!$F$4:$F$370,$B13,'VS×ケイパビリティ関係'!$G$4:$G$370,R$5,'VS×ケイパビリティ関係'!$E$4:$E$370,"主")&gt;0,"●",IF(COUNTIFS('VS×ケイパビリティ関係'!$F$4:$F$370,$B13,'VS×ケイパビリティ関係'!$G$4:$G$370,R$5,'VS×ケイパビリティ関係'!$E$4:$E$370,"支援")&gt;0,"○",""))</f>
        <v/>
      </c>
      <c r="S13" s="18">
        <f>IF(COUNTIFS('VS×ケイパビリティ関係'!$F$4:$F$370,$B13,'VS×ケイパビリティ関係'!$G$4:$G$370,S$5,'VS×ケイパビリティ関係'!$E$4:$E$370,"主")&gt;0,"●",IF(COUNTIFS('VS×ケイパビリティ関係'!$F$4:$F$370,$B13,'VS×ケイパビリティ関係'!$G$4:$G$370,S$5,'VS×ケイパビリティ関係'!$E$4:$E$370,"支援")&gt;0,"○",""))</f>
        <v/>
      </c>
      <c r="T13" s="18">
        <f>IF(COUNTIFS('VS×ケイパビリティ関係'!$F$4:$F$370,$B13,'VS×ケイパビリティ関係'!$G$4:$G$370,T$5,'VS×ケイパビリティ関係'!$E$4:$E$370,"主")&gt;0,"●",IF(COUNTIFS('VS×ケイパビリティ関係'!$F$4:$F$370,$B13,'VS×ケイパビリティ関係'!$G$4:$G$370,T$5,'VS×ケイパビリティ関係'!$E$4:$E$370,"支援")&gt;0,"○",""))</f>
        <v/>
      </c>
      <c r="U13" s="18">
        <f>IF(COUNTIFS('VS×ケイパビリティ関係'!$F$4:$F$370,$B13,'VS×ケイパビリティ関係'!$G$4:$G$370,U$5,'VS×ケイパビリティ関係'!$E$4:$E$370,"主")&gt;0,"●",IF(COUNTIFS('VS×ケイパビリティ関係'!$F$4:$F$370,$B13,'VS×ケイパビリティ関係'!$G$4:$G$370,U$5,'VS×ケイパビリティ関係'!$E$4:$E$370,"支援")&gt;0,"○",""))</f>
        <v/>
      </c>
      <c r="V13" s="18">
        <f>IF(COUNTIFS('VS×ケイパビリティ関係'!$F$4:$F$370,$B13,'VS×ケイパビリティ関係'!$G$4:$G$370,V$5,'VS×ケイパビリティ関係'!$E$4:$E$370,"主")&gt;0,"●",IF(COUNTIFS('VS×ケイパビリティ関係'!$F$4:$F$370,$B13,'VS×ケイパビリティ関係'!$G$4:$G$370,V$5,'VS×ケイパビリティ関係'!$E$4:$E$370,"支援")&gt;0,"○",""))</f>
        <v/>
      </c>
      <c r="W13" s="18">
        <f>IF(COUNTIFS('VS×ケイパビリティ関係'!$F$4:$F$370,$B13,'VS×ケイパビリティ関係'!$G$4:$G$370,W$5,'VS×ケイパビリティ関係'!$E$4:$E$370,"主")&gt;0,"●",IF(COUNTIFS('VS×ケイパビリティ関係'!$F$4:$F$370,$B13,'VS×ケイパビリティ関係'!$G$4:$G$370,W$5,'VS×ケイパビリティ関係'!$E$4:$E$370,"支援")&gt;0,"○",""))</f>
        <v/>
      </c>
      <c r="X13" s="18">
        <f>IF(COUNTIFS('VS×ケイパビリティ関係'!$F$4:$F$370,$B13,'VS×ケイパビリティ関係'!$G$4:$G$370,X$5,'VS×ケイパビリティ関係'!$E$4:$E$370,"主")&gt;0,"●",IF(COUNTIFS('VS×ケイパビリティ関係'!$F$4:$F$370,$B13,'VS×ケイパビリティ関係'!$G$4:$G$370,X$5,'VS×ケイパビリティ関係'!$E$4:$E$370,"支援")&gt;0,"○",""))</f>
        <v/>
      </c>
      <c r="Y13" s="18">
        <f>IF(COUNTIFS('VS×ケイパビリティ関係'!$F$4:$F$370,$B13,'VS×ケイパビリティ関係'!$G$4:$G$370,Y$5,'VS×ケイパビリティ関係'!$E$4:$E$370,"主")&gt;0,"●",IF(COUNTIFS('VS×ケイパビリティ関係'!$F$4:$F$370,$B13,'VS×ケイパビリティ関係'!$G$4:$G$370,Y$5,'VS×ケイパビリティ関係'!$E$4:$E$370,"支援")&gt;0,"○",""))</f>
        <v/>
      </c>
      <c r="Z13" s="18">
        <f>IF(COUNTIFS('VS×ケイパビリティ関係'!$F$4:$F$370,$B13,'VS×ケイパビリティ関係'!$G$4:$G$370,Z$5,'VS×ケイパビリティ関係'!$E$4:$E$370,"主")&gt;0,"●",IF(COUNTIFS('VS×ケイパビリティ関係'!$F$4:$F$370,$B13,'VS×ケイパビリティ関係'!$G$4:$G$370,Z$5,'VS×ケイパビリティ関係'!$E$4:$E$370,"支援")&gt;0,"○",""))</f>
        <v/>
      </c>
      <c r="AA13" s="18">
        <f>IF(COUNTIFS('VS×ケイパビリティ関係'!$F$4:$F$370,$B13,'VS×ケイパビリティ関係'!$G$4:$G$370,AA$5,'VS×ケイパビリティ関係'!$E$4:$E$370,"主")&gt;0,"●",IF(COUNTIFS('VS×ケイパビリティ関係'!$F$4:$F$370,$B13,'VS×ケイパビリティ関係'!$G$4:$G$370,AA$5,'VS×ケイパビリティ関係'!$E$4:$E$370,"支援")&gt;0,"○",""))</f>
        <v/>
      </c>
      <c r="AB13" s="18">
        <f>IF(COUNTIFS('VS×ケイパビリティ関係'!$F$4:$F$370,$B13,'VS×ケイパビリティ関係'!$G$4:$G$370,AB$5,'VS×ケイパビリティ関係'!$E$4:$E$370,"主")&gt;0,"●",IF(COUNTIFS('VS×ケイパビリティ関係'!$F$4:$F$370,$B13,'VS×ケイパビリティ関係'!$G$4:$G$370,AB$5,'VS×ケイパビリティ関係'!$E$4:$E$370,"支援")&gt;0,"○",""))</f>
        <v/>
      </c>
      <c r="AC13" s="18">
        <f>IF(COUNTIFS('VS×ケイパビリティ関係'!$F$4:$F$370,$B13,'VS×ケイパビリティ関係'!$G$4:$G$370,AC$5,'VS×ケイパビリティ関係'!$E$4:$E$370,"主")&gt;0,"●",IF(COUNTIFS('VS×ケイパビリティ関係'!$F$4:$F$370,$B13,'VS×ケイパビリティ関係'!$G$4:$G$370,AC$5,'VS×ケイパビリティ関係'!$E$4:$E$370,"支援")&gt;0,"○",""))</f>
        <v/>
      </c>
      <c r="AD13" s="18">
        <f>IF(COUNTIFS('VS×ケイパビリティ関係'!$F$4:$F$370,$B13,'VS×ケイパビリティ関係'!$G$4:$G$370,AD$5,'VS×ケイパビリティ関係'!$E$4:$E$370,"主")&gt;0,"●",IF(COUNTIFS('VS×ケイパビリティ関係'!$F$4:$F$370,$B13,'VS×ケイパビリティ関係'!$G$4:$G$370,AD$5,'VS×ケイパビリティ関係'!$E$4:$E$370,"支援")&gt;0,"○",""))</f>
        <v/>
      </c>
      <c r="AE13" s="18">
        <f>IF(COUNTIFS('VS×ケイパビリティ関係'!$F$4:$F$370,$B13,'VS×ケイパビリティ関係'!$G$4:$G$370,AE$5,'VS×ケイパビリティ関係'!$E$4:$E$370,"主")&gt;0,"●",IF(COUNTIFS('VS×ケイパビリティ関係'!$F$4:$F$370,$B13,'VS×ケイパビリティ関係'!$G$4:$G$370,AE$5,'VS×ケイパビリティ関係'!$E$4:$E$370,"支援")&gt;0,"○",""))</f>
        <v/>
      </c>
      <c r="AF13" s="18">
        <f>IF(COUNTIFS('VS×ケイパビリティ関係'!$F$4:$F$370,$B13,'VS×ケイパビリティ関係'!$G$4:$G$370,AF$5,'VS×ケイパビリティ関係'!$E$4:$E$370,"主")&gt;0,"●",IF(COUNTIFS('VS×ケイパビリティ関係'!$F$4:$F$370,$B13,'VS×ケイパビリティ関係'!$G$4:$G$370,AF$5,'VS×ケイパビリティ関係'!$E$4:$E$370,"支援")&gt;0,"○",""))</f>
        <v/>
      </c>
      <c r="AG13" s="18">
        <f>IF(COUNTIFS('VS×ケイパビリティ関係'!$F$4:$F$370,$B13,'VS×ケイパビリティ関係'!$G$4:$G$370,AG$5,'VS×ケイパビリティ関係'!$E$4:$E$370,"主")&gt;0,"●",IF(COUNTIFS('VS×ケイパビリティ関係'!$F$4:$F$370,$B13,'VS×ケイパビリティ関係'!$G$4:$G$370,AG$5,'VS×ケイパビリティ関係'!$E$4:$E$370,"支援")&gt;0,"○",""))</f>
        <v/>
      </c>
      <c r="AH13" s="18">
        <f>IF(COUNTIFS('VS×ケイパビリティ関係'!$F$4:$F$370,$B13,'VS×ケイパビリティ関係'!$G$4:$G$370,AH$5,'VS×ケイパビリティ関係'!$E$4:$E$370,"主")&gt;0,"●",IF(COUNTIFS('VS×ケイパビリティ関係'!$F$4:$F$370,$B13,'VS×ケイパビリティ関係'!$G$4:$G$370,AH$5,'VS×ケイパビリティ関係'!$E$4:$E$370,"支援")&gt;0,"○",""))</f>
        <v/>
      </c>
      <c r="AI13" s="18">
        <f>IF(COUNTIFS('VS×ケイパビリティ関係'!$F$4:$F$370,$B13,'VS×ケイパビリティ関係'!$G$4:$G$370,AI$5,'VS×ケイパビリティ関係'!$E$4:$E$370,"主")&gt;0,"●",IF(COUNTIFS('VS×ケイパビリティ関係'!$F$4:$F$370,$B13,'VS×ケイパビリティ関係'!$G$4:$G$370,AI$5,'VS×ケイパビリティ関係'!$E$4:$E$370,"支援")&gt;0,"○",""))</f>
        <v/>
      </c>
      <c r="AJ13" s="18">
        <f>COUNTIF(D13:AI13,"●")</f>
        <v/>
      </c>
      <c r="AK13" s="18">
        <f>COUNTIF(D13:AI13,"○")</f>
        <v/>
      </c>
    </row>
    <row r="14">
      <c r="A14" s="42" t="inlineStr">
        <is>
          <t>03 人材育成・能力開発</t>
        </is>
      </c>
      <c r="B14" s="18" t="inlineStr">
        <is>
          <t>03-01</t>
        </is>
      </c>
      <c r="C14" s="20" t="inlineStr">
        <is>
          <t>育成計画</t>
        </is>
      </c>
      <c r="D14" s="18">
        <f>IF(COUNTIFS('VS×ケイパビリティ関係'!$F$4:$F$370,$B14,'VS×ケイパビリティ関係'!$G$4:$G$370,D$5,'VS×ケイパビリティ関係'!$E$4:$E$370,"主")&gt;0,"●",IF(COUNTIFS('VS×ケイパビリティ関係'!$F$4:$F$370,$B14,'VS×ケイパビリティ関係'!$G$4:$G$370,D$5,'VS×ケイパビリティ関係'!$E$4:$E$370,"支援")&gt;0,"○",""))</f>
        <v/>
      </c>
      <c r="E14" s="18">
        <f>IF(COUNTIFS('VS×ケイパビリティ関係'!$F$4:$F$370,$B14,'VS×ケイパビリティ関係'!$G$4:$G$370,E$5,'VS×ケイパビリティ関係'!$E$4:$E$370,"主")&gt;0,"●",IF(COUNTIFS('VS×ケイパビリティ関係'!$F$4:$F$370,$B14,'VS×ケイパビリティ関係'!$G$4:$G$370,E$5,'VS×ケイパビリティ関係'!$E$4:$E$370,"支援")&gt;0,"○",""))</f>
        <v/>
      </c>
      <c r="F14" s="18">
        <f>IF(COUNTIFS('VS×ケイパビリティ関係'!$F$4:$F$370,$B14,'VS×ケイパビリティ関係'!$G$4:$G$370,F$5,'VS×ケイパビリティ関係'!$E$4:$E$370,"主")&gt;0,"●",IF(COUNTIFS('VS×ケイパビリティ関係'!$F$4:$F$370,$B14,'VS×ケイパビリティ関係'!$G$4:$G$370,F$5,'VS×ケイパビリティ関係'!$E$4:$E$370,"支援")&gt;0,"○",""))</f>
        <v/>
      </c>
      <c r="G14" s="18">
        <f>IF(COUNTIFS('VS×ケイパビリティ関係'!$F$4:$F$370,$B14,'VS×ケイパビリティ関係'!$G$4:$G$370,G$5,'VS×ケイパビリティ関係'!$E$4:$E$370,"主")&gt;0,"●",IF(COUNTIFS('VS×ケイパビリティ関係'!$F$4:$F$370,$B14,'VS×ケイパビリティ関係'!$G$4:$G$370,G$5,'VS×ケイパビリティ関係'!$E$4:$E$370,"支援")&gt;0,"○",""))</f>
        <v/>
      </c>
      <c r="H14" s="18">
        <f>IF(COUNTIFS('VS×ケイパビリティ関係'!$F$4:$F$370,$B14,'VS×ケイパビリティ関係'!$G$4:$G$370,H$5,'VS×ケイパビリティ関係'!$E$4:$E$370,"主")&gt;0,"●",IF(COUNTIFS('VS×ケイパビリティ関係'!$F$4:$F$370,$B14,'VS×ケイパビリティ関係'!$G$4:$G$370,H$5,'VS×ケイパビリティ関係'!$E$4:$E$370,"支援")&gt;0,"○",""))</f>
        <v/>
      </c>
      <c r="I14" s="18">
        <f>IF(COUNTIFS('VS×ケイパビリティ関係'!$F$4:$F$370,$B14,'VS×ケイパビリティ関係'!$G$4:$G$370,I$5,'VS×ケイパビリティ関係'!$E$4:$E$370,"主")&gt;0,"●",IF(COUNTIFS('VS×ケイパビリティ関係'!$F$4:$F$370,$B14,'VS×ケイパビリティ関係'!$G$4:$G$370,I$5,'VS×ケイパビリティ関係'!$E$4:$E$370,"支援")&gt;0,"○",""))</f>
        <v/>
      </c>
      <c r="J14" s="18">
        <f>IF(COUNTIFS('VS×ケイパビリティ関係'!$F$4:$F$370,$B14,'VS×ケイパビリティ関係'!$G$4:$G$370,J$5,'VS×ケイパビリティ関係'!$E$4:$E$370,"主")&gt;0,"●",IF(COUNTIFS('VS×ケイパビリティ関係'!$F$4:$F$370,$B14,'VS×ケイパビリティ関係'!$G$4:$G$370,J$5,'VS×ケイパビリティ関係'!$E$4:$E$370,"支援")&gt;0,"○",""))</f>
        <v/>
      </c>
      <c r="K14" s="18">
        <f>IF(COUNTIFS('VS×ケイパビリティ関係'!$F$4:$F$370,$B14,'VS×ケイパビリティ関係'!$G$4:$G$370,K$5,'VS×ケイパビリティ関係'!$E$4:$E$370,"主")&gt;0,"●",IF(COUNTIFS('VS×ケイパビリティ関係'!$F$4:$F$370,$B14,'VS×ケイパビリティ関係'!$G$4:$G$370,K$5,'VS×ケイパビリティ関係'!$E$4:$E$370,"支援")&gt;0,"○",""))</f>
        <v/>
      </c>
      <c r="L14" s="18">
        <f>IF(COUNTIFS('VS×ケイパビリティ関係'!$F$4:$F$370,$B14,'VS×ケイパビリティ関係'!$G$4:$G$370,L$5,'VS×ケイパビリティ関係'!$E$4:$E$370,"主")&gt;0,"●",IF(COUNTIFS('VS×ケイパビリティ関係'!$F$4:$F$370,$B14,'VS×ケイパビリティ関係'!$G$4:$G$370,L$5,'VS×ケイパビリティ関係'!$E$4:$E$370,"支援")&gt;0,"○",""))</f>
        <v/>
      </c>
      <c r="M14" s="18">
        <f>IF(COUNTIFS('VS×ケイパビリティ関係'!$F$4:$F$370,$B14,'VS×ケイパビリティ関係'!$G$4:$G$370,M$5,'VS×ケイパビリティ関係'!$E$4:$E$370,"主")&gt;0,"●",IF(COUNTIFS('VS×ケイパビリティ関係'!$F$4:$F$370,$B14,'VS×ケイパビリティ関係'!$G$4:$G$370,M$5,'VS×ケイパビリティ関係'!$E$4:$E$370,"支援")&gt;0,"○",""))</f>
        <v/>
      </c>
      <c r="N14" s="18">
        <f>IF(COUNTIFS('VS×ケイパビリティ関係'!$F$4:$F$370,$B14,'VS×ケイパビリティ関係'!$G$4:$G$370,N$5,'VS×ケイパビリティ関係'!$E$4:$E$370,"主")&gt;0,"●",IF(COUNTIFS('VS×ケイパビリティ関係'!$F$4:$F$370,$B14,'VS×ケイパビリティ関係'!$G$4:$G$370,N$5,'VS×ケイパビリティ関係'!$E$4:$E$370,"支援")&gt;0,"○",""))</f>
        <v/>
      </c>
      <c r="O14" s="18">
        <f>IF(COUNTIFS('VS×ケイパビリティ関係'!$F$4:$F$370,$B14,'VS×ケイパビリティ関係'!$G$4:$G$370,O$5,'VS×ケイパビリティ関係'!$E$4:$E$370,"主")&gt;0,"●",IF(COUNTIFS('VS×ケイパビリティ関係'!$F$4:$F$370,$B14,'VS×ケイパビリティ関係'!$G$4:$G$370,O$5,'VS×ケイパビリティ関係'!$E$4:$E$370,"支援")&gt;0,"○",""))</f>
        <v/>
      </c>
      <c r="P14" s="18">
        <f>IF(COUNTIFS('VS×ケイパビリティ関係'!$F$4:$F$370,$B14,'VS×ケイパビリティ関係'!$G$4:$G$370,P$5,'VS×ケイパビリティ関係'!$E$4:$E$370,"主")&gt;0,"●",IF(COUNTIFS('VS×ケイパビリティ関係'!$F$4:$F$370,$B14,'VS×ケイパビリティ関係'!$G$4:$G$370,P$5,'VS×ケイパビリティ関係'!$E$4:$E$370,"支援")&gt;0,"○",""))</f>
        <v/>
      </c>
      <c r="Q14" s="18">
        <f>IF(COUNTIFS('VS×ケイパビリティ関係'!$F$4:$F$370,$B14,'VS×ケイパビリティ関係'!$G$4:$G$370,Q$5,'VS×ケイパビリティ関係'!$E$4:$E$370,"主")&gt;0,"●",IF(COUNTIFS('VS×ケイパビリティ関係'!$F$4:$F$370,$B14,'VS×ケイパビリティ関係'!$G$4:$G$370,Q$5,'VS×ケイパビリティ関係'!$E$4:$E$370,"支援")&gt;0,"○",""))</f>
        <v/>
      </c>
      <c r="R14" s="18">
        <f>IF(COUNTIFS('VS×ケイパビリティ関係'!$F$4:$F$370,$B14,'VS×ケイパビリティ関係'!$G$4:$G$370,R$5,'VS×ケイパビリティ関係'!$E$4:$E$370,"主")&gt;0,"●",IF(COUNTIFS('VS×ケイパビリティ関係'!$F$4:$F$370,$B14,'VS×ケイパビリティ関係'!$G$4:$G$370,R$5,'VS×ケイパビリティ関係'!$E$4:$E$370,"支援")&gt;0,"○",""))</f>
        <v/>
      </c>
      <c r="S14" s="18">
        <f>IF(COUNTIFS('VS×ケイパビリティ関係'!$F$4:$F$370,$B14,'VS×ケイパビリティ関係'!$G$4:$G$370,S$5,'VS×ケイパビリティ関係'!$E$4:$E$370,"主")&gt;0,"●",IF(COUNTIFS('VS×ケイパビリティ関係'!$F$4:$F$370,$B14,'VS×ケイパビリティ関係'!$G$4:$G$370,S$5,'VS×ケイパビリティ関係'!$E$4:$E$370,"支援")&gt;0,"○",""))</f>
        <v/>
      </c>
      <c r="T14" s="18">
        <f>IF(COUNTIFS('VS×ケイパビリティ関係'!$F$4:$F$370,$B14,'VS×ケイパビリティ関係'!$G$4:$G$370,T$5,'VS×ケイパビリティ関係'!$E$4:$E$370,"主")&gt;0,"●",IF(COUNTIFS('VS×ケイパビリティ関係'!$F$4:$F$370,$B14,'VS×ケイパビリティ関係'!$G$4:$G$370,T$5,'VS×ケイパビリティ関係'!$E$4:$E$370,"支援")&gt;0,"○",""))</f>
        <v/>
      </c>
      <c r="U14" s="18">
        <f>IF(COUNTIFS('VS×ケイパビリティ関係'!$F$4:$F$370,$B14,'VS×ケイパビリティ関係'!$G$4:$G$370,U$5,'VS×ケイパビリティ関係'!$E$4:$E$370,"主")&gt;0,"●",IF(COUNTIFS('VS×ケイパビリティ関係'!$F$4:$F$370,$B14,'VS×ケイパビリティ関係'!$G$4:$G$370,U$5,'VS×ケイパビリティ関係'!$E$4:$E$370,"支援")&gt;0,"○",""))</f>
        <v/>
      </c>
      <c r="V14" s="18">
        <f>IF(COUNTIFS('VS×ケイパビリティ関係'!$F$4:$F$370,$B14,'VS×ケイパビリティ関係'!$G$4:$G$370,V$5,'VS×ケイパビリティ関係'!$E$4:$E$370,"主")&gt;0,"●",IF(COUNTIFS('VS×ケイパビリティ関係'!$F$4:$F$370,$B14,'VS×ケイパビリティ関係'!$G$4:$G$370,V$5,'VS×ケイパビリティ関係'!$E$4:$E$370,"支援")&gt;0,"○",""))</f>
        <v/>
      </c>
      <c r="W14" s="18">
        <f>IF(COUNTIFS('VS×ケイパビリティ関係'!$F$4:$F$370,$B14,'VS×ケイパビリティ関係'!$G$4:$G$370,W$5,'VS×ケイパビリティ関係'!$E$4:$E$370,"主")&gt;0,"●",IF(COUNTIFS('VS×ケイパビリティ関係'!$F$4:$F$370,$B14,'VS×ケイパビリティ関係'!$G$4:$G$370,W$5,'VS×ケイパビリティ関係'!$E$4:$E$370,"支援")&gt;0,"○",""))</f>
        <v/>
      </c>
      <c r="X14" s="18">
        <f>IF(COUNTIFS('VS×ケイパビリティ関係'!$F$4:$F$370,$B14,'VS×ケイパビリティ関係'!$G$4:$G$370,X$5,'VS×ケイパビリティ関係'!$E$4:$E$370,"主")&gt;0,"●",IF(COUNTIFS('VS×ケイパビリティ関係'!$F$4:$F$370,$B14,'VS×ケイパビリティ関係'!$G$4:$G$370,X$5,'VS×ケイパビリティ関係'!$E$4:$E$370,"支援")&gt;0,"○",""))</f>
        <v/>
      </c>
      <c r="Y14" s="18">
        <f>IF(COUNTIFS('VS×ケイパビリティ関係'!$F$4:$F$370,$B14,'VS×ケイパビリティ関係'!$G$4:$G$370,Y$5,'VS×ケイパビリティ関係'!$E$4:$E$370,"主")&gt;0,"●",IF(COUNTIFS('VS×ケイパビリティ関係'!$F$4:$F$370,$B14,'VS×ケイパビリティ関係'!$G$4:$G$370,Y$5,'VS×ケイパビリティ関係'!$E$4:$E$370,"支援")&gt;0,"○",""))</f>
        <v/>
      </c>
      <c r="Z14" s="18">
        <f>IF(COUNTIFS('VS×ケイパビリティ関係'!$F$4:$F$370,$B14,'VS×ケイパビリティ関係'!$G$4:$G$370,Z$5,'VS×ケイパビリティ関係'!$E$4:$E$370,"主")&gt;0,"●",IF(COUNTIFS('VS×ケイパビリティ関係'!$F$4:$F$370,$B14,'VS×ケイパビリティ関係'!$G$4:$G$370,Z$5,'VS×ケイパビリティ関係'!$E$4:$E$370,"支援")&gt;0,"○",""))</f>
        <v/>
      </c>
      <c r="AA14" s="18">
        <f>IF(COUNTIFS('VS×ケイパビリティ関係'!$F$4:$F$370,$B14,'VS×ケイパビリティ関係'!$G$4:$G$370,AA$5,'VS×ケイパビリティ関係'!$E$4:$E$370,"主")&gt;0,"●",IF(COUNTIFS('VS×ケイパビリティ関係'!$F$4:$F$370,$B14,'VS×ケイパビリティ関係'!$G$4:$G$370,AA$5,'VS×ケイパビリティ関係'!$E$4:$E$370,"支援")&gt;0,"○",""))</f>
        <v/>
      </c>
      <c r="AB14" s="18">
        <f>IF(COUNTIFS('VS×ケイパビリティ関係'!$F$4:$F$370,$B14,'VS×ケイパビリティ関係'!$G$4:$G$370,AB$5,'VS×ケイパビリティ関係'!$E$4:$E$370,"主")&gt;0,"●",IF(COUNTIFS('VS×ケイパビリティ関係'!$F$4:$F$370,$B14,'VS×ケイパビリティ関係'!$G$4:$G$370,AB$5,'VS×ケイパビリティ関係'!$E$4:$E$370,"支援")&gt;0,"○",""))</f>
        <v/>
      </c>
      <c r="AC14" s="18">
        <f>IF(COUNTIFS('VS×ケイパビリティ関係'!$F$4:$F$370,$B14,'VS×ケイパビリティ関係'!$G$4:$G$370,AC$5,'VS×ケイパビリティ関係'!$E$4:$E$370,"主")&gt;0,"●",IF(COUNTIFS('VS×ケイパビリティ関係'!$F$4:$F$370,$B14,'VS×ケイパビリティ関係'!$G$4:$G$370,AC$5,'VS×ケイパビリティ関係'!$E$4:$E$370,"支援")&gt;0,"○",""))</f>
        <v/>
      </c>
      <c r="AD14" s="18">
        <f>IF(COUNTIFS('VS×ケイパビリティ関係'!$F$4:$F$370,$B14,'VS×ケイパビリティ関係'!$G$4:$G$370,AD$5,'VS×ケイパビリティ関係'!$E$4:$E$370,"主")&gt;0,"●",IF(COUNTIFS('VS×ケイパビリティ関係'!$F$4:$F$370,$B14,'VS×ケイパビリティ関係'!$G$4:$G$370,AD$5,'VS×ケイパビリティ関係'!$E$4:$E$370,"支援")&gt;0,"○",""))</f>
        <v/>
      </c>
      <c r="AE14" s="18">
        <f>IF(COUNTIFS('VS×ケイパビリティ関係'!$F$4:$F$370,$B14,'VS×ケイパビリティ関係'!$G$4:$G$370,AE$5,'VS×ケイパビリティ関係'!$E$4:$E$370,"主")&gt;0,"●",IF(COUNTIFS('VS×ケイパビリティ関係'!$F$4:$F$370,$B14,'VS×ケイパビリティ関係'!$G$4:$G$370,AE$5,'VS×ケイパビリティ関係'!$E$4:$E$370,"支援")&gt;0,"○",""))</f>
        <v/>
      </c>
      <c r="AF14" s="18">
        <f>IF(COUNTIFS('VS×ケイパビリティ関係'!$F$4:$F$370,$B14,'VS×ケイパビリティ関係'!$G$4:$G$370,AF$5,'VS×ケイパビリティ関係'!$E$4:$E$370,"主")&gt;0,"●",IF(COUNTIFS('VS×ケイパビリティ関係'!$F$4:$F$370,$B14,'VS×ケイパビリティ関係'!$G$4:$G$370,AF$5,'VS×ケイパビリティ関係'!$E$4:$E$370,"支援")&gt;0,"○",""))</f>
        <v/>
      </c>
      <c r="AG14" s="18">
        <f>IF(COUNTIFS('VS×ケイパビリティ関係'!$F$4:$F$370,$B14,'VS×ケイパビリティ関係'!$G$4:$G$370,AG$5,'VS×ケイパビリティ関係'!$E$4:$E$370,"主")&gt;0,"●",IF(COUNTIFS('VS×ケイパビリティ関係'!$F$4:$F$370,$B14,'VS×ケイパビリティ関係'!$G$4:$G$370,AG$5,'VS×ケイパビリティ関係'!$E$4:$E$370,"支援")&gt;0,"○",""))</f>
        <v/>
      </c>
      <c r="AH14" s="18">
        <f>IF(COUNTIFS('VS×ケイパビリティ関係'!$F$4:$F$370,$B14,'VS×ケイパビリティ関係'!$G$4:$G$370,AH$5,'VS×ケイパビリティ関係'!$E$4:$E$370,"主")&gt;0,"●",IF(COUNTIFS('VS×ケイパビリティ関係'!$F$4:$F$370,$B14,'VS×ケイパビリティ関係'!$G$4:$G$370,AH$5,'VS×ケイパビリティ関係'!$E$4:$E$370,"支援")&gt;0,"○",""))</f>
        <v/>
      </c>
      <c r="AI14" s="18">
        <f>IF(COUNTIFS('VS×ケイパビリティ関係'!$F$4:$F$370,$B14,'VS×ケイパビリティ関係'!$G$4:$G$370,AI$5,'VS×ケイパビリティ関係'!$E$4:$E$370,"主")&gt;0,"●",IF(COUNTIFS('VS×ケイパビリティ関係'!$F$4:$F$370,$B14,'VS×ケイパビリティ関係'!$G$4:$G$370,AI$5,'VS×ケイパビリティ関係'!$E$4:$E$370,"支援")&gt;0,"○",""))</f>
        <v/>
      </c>
      <c r="AJ14" s="18">
        <f>COUNTIF(D14:AI14,"●")</f>
        <v/>
      </c>
      <c r="AK14" s="18">
        <f>COUNTIF(D14:AI14,"○")</f>
        <v/>
      </c>
    </row>
    <row r="15">
      <c r="A15" s="42" t="n"/>
      <c r="B15" s="18" t="inlineStr">
        <is>
          <t>03-02</t>
        </is>
      </c>
      <c r="C15" s="20" t="inlineStr">
        <is>
          <t>研修・学習</t>
        </is>
      </c>
      <c r="D15" s="18">
        <f>IF(COUNTIFS('VS×ケイパビリティ関係'!$F$4:$F$370,$B15,'VS×ケイパビリティ関係'!$G$4:$G$370,D$5,'VS×ケイパビリティ関係'!$E$4:$E$370,"主")&gt;0,"●",IF(COUNTIFS('VS×ケイパビリティ関係'!$F$4:$F$370,$B15,'VS×ケイパビリティ関係'!$G$4:$G$370,D$5,'VS×ケイパビリティ関係'!$E$4:$E$370,"支援")&gt;0,"○",""))</f>
        <v/>
      </c>
      <c r="E15" s="18">
        <f>IF(COUNTIFS('VS×ケイパビリティ関係'!$F$4:$F$370,$B15,'VS×ケイパビリティ関係'!$G$4:$G$370,E$5,'VS×ケイパビリティ関係'!$E$4:$E$370,"主")&gt;0,"●",IF(COUNTIFS('VS×ケイパビリティ関係'!$F$4:$F$370,$B15,'VS×ケイパビリティ関係'!$G$4:$G$370,E$5,'VS×ケイパビリティ関係'!$E$4:$E$370,"支援")&gt;0,"○",""))</f>
        <v/>
      </c>
      <c r="F15" s="18">
        <f>IF(COUNTIFS('VS×ケイパビリティ関係'!$F$4:$F$370,$B15,'VS×ケイパビリティ関係'!$G$4:$G$370,F$5,'VS×ケイパビリティ関係'!$E$4:$E$370,"主")&gt;0,"●",IF(COUNTIFS('VS×ケイパビリティ関係'!$F$4:$F$370,$B15,'VS×ケイパビリティ関係'!$G$4:$G$370,F$5,'VS×ケイパビリティ関係'!$E$4:$E$370,"支援")&gt;0,"○",""))</f>
        <v/>
      </c>
      <c r="G15" s="18">
        <f>IF(COUNTIFS('VS×ケイパビリティ関係'!$F$4:$F$370,$B15,'VS×ケイパビリティ関係'!$G$4:$G$370,G$5,'VS×ケイパビリティ関係'!$E$4:$E$370,"主")&gt;0,"●",IF(COUNTIFS('VS×ケイパビリティ関係'!$F$4:$F$370,$B15,'VS×ケイパビリティ関係'!$G$4:$G$370,G$5,'VS×ケイパビリティ関係'!$E$4:$E$370,"支援")&gt;0,"○",""))</f>
        <v/>
      </c>
      <c r="H15" s="18">
        <f>IF(COUNTIFS('VS×ケイパビリティ関係'!$F$4:$F$370,$B15,'VS×ケイパビリティ関係'!$G$4:$G$370,H$5,'VS×ケイパビリティ関係'!$E$4:$E$370,"主")&gt;0,"●",IF(COUNTIFS('VS×ケイパビリティ関係'!$F$4:$F$370,$B15,'VS×ケイパビリティ関係'!$G$4:$G$370,H$5,'VS×ケイパビリティ関係'!$E$4:$E$370,"支援")&gt;0,"○",""))</f>
        <v/>
      </c>
      <c r="I15" s="18">
        <f>IF(COUNTIFS('VS×ケイパビリティ関係'!$F$4:$F$370,$B15,'VS×ケイパビリティ関係'!$G$4:$G$370,I$5,'VS×ケイパビリティ関係'!$E$4:$E$370,"主")&gt;0,"●",IF(COUNTIFS('VS×ケイパビリティ関係'!$F$4:$F$370,$B15,'VS×ケイパビリティ関係'!$G$4:$G$370,I$5,'VS×ケイパビリティ関係'!$E$4:$E$370,"支援")&gt;0,"○",""))</f>
        <v/>
      </c>
      <c r="J15" s="18">
        <f>IF(COUNTIFS('VS×ケイパビリティ関係'!$F$4:$F$370,$B15,'VS×ケイパビリティ関係'!$G$4:$G$370,J$5,'VS×ケイパビリティ関係'!$E$4:$E$370,"主")&gt;0,"●",IF(COUNTIFS('VS×ケイパビリティ関係'!$F$4:$F$370,$B15,'VS×ケイパビリティ関係'!$G$4:$G$370,J$5,'VS×ケイパビリティ関係'!$E$4:$E$370,"支援")&gt;0,"○",""))</f>
        <v/>
      </c>
      <c r="K15" s="18">
        <f>IF(COUNTIFS('VS×ケイパビリティ関係'!$F$4:$F$370,$B15,'VS×ケイパビリティ関係'!$G$4:$G$370,K$5,'VS×ケイパビリティ関係'!$E$4:$E$370,"主")&gt;0,"●",IF(COUNTIFS('VS×ケイパビリティ関係'!$F$4:$F$370,$B15,'VS×ケイパビリティ関係'!$G$4:$G$370,K$5,'VS×ケイパビリティ関係'!$E$4:$E$370,"支援")&gt;0,"○",""))</f>
        <v/>
      </c>
      <c r="L15" s="18">
        <f>IF(COUNTIFS('VS×ケイパビリティ関係'!$F$4:$F$370,$B15,'VS×ケイパビリティ関係'!$G$4:$G$370,L$5,'VS×ケイパビリティ関係'!$E$4:$E$370,"主")&gt;0,"●",IF(COUNTIFS('VS×ケイパビリティ関係'!$F$4:$F$370,$B15,'VS×ケイパビリティ関係'!$G$4:$G$370,L$5,'VS×ケイパビリティ関係'!$E$4:$E$370,"支援")&gt;0,"○",""))</f>
        <v/>
      </c>
      <c r="M15" s="18">
        <f>IF(COUNTIFS('VS×ケイパビリティ関係'!$F$4:$F$370,$B15,'VS×ケイパビリティ関係'!$G$4:$G$370,M$5,'VS×ケイパビリティ関係'!$E$4:$E$370,"主")&gt;0,"●",IF(COUNTIFS('VS×ケイパビリティ関係'!$F$4:$F$370,$B15,'VS×ケイパビリティ関係'!$G$4:$G$370,M$5,'VS×ケイパビリティ関係'!$E$4:$E$370,"支援")&gt;0,"○",""))</f>
        <v/>
      </c>
      <c r="N15" s="18">
        <f>IF(COUNTIFS('VS×ケイパビリティ関係'!$F$4:$F$370,$B15,'VS×ケイパビリティ関係'!$G$4:$G$370,N$5,'VS×ケイパビリティ関係'!$E$4:$E$370,"主")&gt;0,"●",IF(COUNTIFS('VS×ケイパビリティ関係'!$F$4:$F$370,$B15,'VS×ケイパビリティ関係'!$G$4:$G$370,N$5,'VS×ケイパビリティ関係'!$E$4:$E$370,"支援")&gt;0,"○",""))</f>
        <v/>
      </c>
      <c r="O15" s="18">
        <f>IF(COUNTIFS('VS×ケイパビリティ関係'!$F$4:$F$370,$B15,'VS×ケイパビリティ関係'!$G$4:$G$370,O$5,'VS×ケイパビリティ関係'!$E$4:$E$370,"主")&gt;0,"●",IF(COUNTIFS('VS×ケイパビリティ関係'!$F$4:$F$370,$B15,'VS×ケイパビリティ関係'!$G$4:$G$370,O$5,'VS×ケイパビリティ関係'!$E$4:$E$370,"支援")&gt;0,"○",""))</f>
        <v/>
      </c>
      <c r="P15" s="18">
        <f>IF(COUNTIFS('VS×ケイパビリティ関係'!$F$4:$F$370,$B15,'VS×ケイパビリティ関係'!$G$4:$G$370,P$5,'VS×ケイパビリティ関係'!$E$4:$E$370,"主")&gt;0,"●",IF(COUNTIFS('VS×ケイパビリティ関係'!$F$4:$F$370,$B15,'VS×ケイパビリティ関係'!$G$4:$G$370,P$5,'VS×ケイパビリティ関係'!$E$4:$E$370,"支援")&gt;0,"○",""))</f>
        <v/>
      </c>
      <c r="Q15" s="18">
        <f>IF(COUNTIFS('VS×ケイパビリティ関係'!$F$4:$F$370,$B15,'VS×ケイパビリティ関係'!$G$4:$G$370,Q$5,'VS×ケイパビリティ関係'!$E$4:$E$370,"主")&gt;0,"●",IF(COUNTIFS('VS×ケイパビリティ関係'!$F$4:$F$370,$B15,'VS×ケイパビリティ関係'!$G$4:$G$370,Q$5,'VS×ケイパビリティ関係'!$E$4:$E$370,"支援")&gt;0,"○",""))</f>
        <v/>
      </c>
      <c r="R15" s="18">
        <f>IF(COUNTIFS('VS×ケイパビリティ関係'!$F$4:$F$370,$B15,'VS×ケイパビリティ関係'!$G$4:$G$370,R$5,'VS×ケイパビリティ関係'!$E$4:$E$370,"主")&gt;0,"●",IF(COUNTIFS('VS×ケイパビリティ関係'!$F$4:$F$370,$B15,'VS×ケイパビリティ関係'!$G$4:$G$370,R$5,'VS×ケイパビリティ関係'!$E$4:$E$370,"支援")&gt;0,"○",""))</f>
        <v/>
      </c>
      <c r="S15" s="18">
        <f>IF(COUNTIFS('VS×ケイパビリティ関係'!$F$4:$F$370,$B15,'VS×ケイパビリティ関係'!$G$4:$G$370,S$5,'VS×ケイパビリティ関係'!$E$4:$E$370,"主")&gt;0,"●",IF(COUNTIFS('VS×ケイパビリティ関係'!$F$4:$F$370,$B15,'VS×ケイパビリティ関係'!$G$4:$G$370,S$5,'VS×ケイパビリティ関係'!$E$4:$E$370,"支援")&gt;0,"○",""))</f>
        <v/>
      </c>
      <c r="T15" s="18">
        <f>IF(COUNTIFS('VS×ケイパビリティ関係'!$F$4:$F$370,$B15,'VS×ケイパビリティ関係'!$G$4:$G$370,T$5,'VS×ケイパビリティ関係'!$E$4:$E$370,"主")&gt;0,"●",IF(COUNTIFS('VS×ケイパビリティ関係'!$F$4:$F$370,$B15,'VS×ケイパビリティ関係'!$G$4:$G$370,T$5,'VS×ケイパビリティ関係'!$E$4:$E$370,"支援")&gt;0,"○",""))</f>
        <v/>
      </c>
      <c r="U15" s="18">
        <f>IF(COUNTIFS('VS×ケイパビリティ関係'!$F$4:$F$370,$B15,'VS×ケイパビリティ関係'!$G$4:$G$370,U$5,'VS×ケイパビリティ関係'!$E$4:$E$370,"主")&gt;0,"●",IF(COUNTIFS('VS×ケイパビリティ関係'!$F$4:$F$370,$B15,'VS×ケイパビリティ関係'!$G$4:$G$370,U$5,'VS×ケイパビリティ関係'!$E$4:$E$370,"支援")&gt;0,"○",""))</f>
        <v/>
      </c>
      <c r="V15" s="18">
        <f>IF(COUNTIFS('VS×ケイパビリティ関係'!$F$4:$F$370,$B15,'VS×ケイパビリティ関係'!$G$4:$G$370,V$5,'VS×ケイパビリティ関係'!$E$4:$E$370,"主")&gt;0,"●",IF(COUNTIFS('VS×ケイパビリティ関係'!$F$4:$F$370,$B15,'VS×ケイパビリティ関係'!$G$4:$G$370,V$5,'VS×ケイパビリティ関係'!$E$4:$E$370,"支援")&gt;0,"○",""))</f>
        <v/>
      </c>
      <c r="W15" s="18">
        <f>IF(COUNTIFS('VS×ケイパビリティ関係'!$F$4:$F$370,$B15,'VS×ケイパビリティ関係'!$G$4:$G$370,W$5,'VS×ケイパビリティ関係'!$E$4:$E$370,"主")&gt;0,"●",IF(COUNTIFS('VS×ケイパビリティ関係'!$F$4:$F$370,$B15,'VS×ケイパビリティ関係'!$G$4:$G$370,W$5,'VS×ケイパビリティ関係'!$E$4:$E$370,"支援")&gt;0,"○",""))</f>
        <v/>
      </c>
      <c r="X15" s="18">
        <f>IF(COUNTIFS('VS×ケイパビリティ関係'!$F$4:$F$370,$B15,'VS×ケイパビリティ関係'!$G$4:$G$370,X$5,'VS×ケイパビリティ関係'!$E$4:$E$370,"主")&gt;0,"●",IF(COUNTIFS('VS×ケイパビリティ関係'!$F$4:$F$370,$B15,'VS×ケイパビリティ関係'!$G$4:$G$370,X$5,'VS×ケイパビリティ関係'!$E$4:$E$370,"支援")&gt;0,"○",""))</f>
        <v/>
      </c>
      <c r="Y15" s="18">
        <f>IF(COUNTIFS('VS×ケイパビリティ関係'!$F$4:$F$370,$B15,'VS×ケイパビリティ関係'!$G$4:$G$370,Y$5,'VS×ケイパビリティ関係'!$E$4:$E$370,"主")&gt;0,"●",IF(COUNTIFS('VS×ケイパビリティ関係'!$F$4:$F$370,$B15,'VS×ケイパビリティ関係'!$G$4:$G$370,Y$5,'VS×ケイパビリティ関係'!$E$4:$E$370,"支援")&gt;0,"○",""))</f>
        <v/>
      </c>
      <c r="Z15" s="18">
        <f>IF(COUNTIFS('VS×ケイパビリティ関係'!$F$4:$F$370,$B15,'VS×ケイパビリティ関係'!$G$4:$G$370,Z$5,'VS×ケイパビリティ関係'!$E$4:$E$370,"主")&gt;0,"●",IF(COUNTIFS('VS×ケイパビリティ関係'!$F$4:$F$370,$B15,'VS×ケイパビリティ関係'!$G$4:$G$370,Z$5,'VS×ケイパビリティ関係'!$E$4:$E$370,"支援")&gt;0,"○",""))</f>
        <v/>
      </c>
      <c r="AA15" s="18">
        <f>IF(COUNTIFS('VS×ケイパビリティ関係'!$F$4:$F$370,$B15,'VS×ケイパビリティ関係'!$G$4:$G$370,AA$5,'VS×ケイパビリティ関係'!$E$4:$E$370,"主")&gt;0,"●",IF(COUNTIFS('VS×ケイパビリティ関係'!$F$4:$F$370,$B15,'VS×ケイパビリティ関係'!$G$4:$G$370,AA$5,'VS×ケイパビリティ関係'!$E$4:$E$370,"支援")&gt;0,"○",""))</f>
        <v/>
      </c>
      <c r="AB15" s="18">
        <f>IF(COUNTIFS('VS×ケイパビリティ関係'!$F$4:$F$370,$B15,'VS×ケイパビリティ関係'!$G$4:$G$370,AB$5,'VS×ケイパビリティ関係'!$E$4:$E$370,"主")&gt;0,"●",IF(COUNTIFS('VS×ケイパビリティ関係'!$F$4:$F$370,$B15,'VS×ケイパビリティ関係'!$G$4:$G$370,AB$5,'VS×ケイパビリティ関係'!$E$4:$E$370,"支援")&gt;0,"○",""))</f>
        <v/>
      </c>
      <c r="AC15" s="18">
        <f>IF(COUNTIFS('VS×ケイパビリティ関係'!$F$4:$F$370,$B15,'VS×ケイパビリティ関係'!$G$4:$G$370,AC$5,'VS×ケイパビリティ関係'!$E$4:$E$370,"主")&gt;0,"●",IF(COUNTIFS('VS×ケイパビリティ関係'!$F$4:$F$370,$B15,'VS×ケイパビリティ関係'!$G$4:$G$370,AC$5,'VS×ケイパビリティ関係'!$E$4:$E$370,"支援")&gt;0,"○",""))</f>
        <v/>
      </c>
      <c r="AD15" s="18">
        <f>IF(COUNTIFS('VS×ケイパビリティ関係'!$F$4:$F$370,$B15,'VS×ケイパビリティ関係'!$G$4:$G$370,AD$5,'VS×ケイパビリティ関係'!$E$4:$E$370,"主")&gt;0,"●",IF(COUNTIFS('VS×ケイパビリティ関係'!$F$4:$F$370,$B15,'VS×ケイパビリティ関係'!$G$4:$G$370,AD$5,'VS×ケイパビリティ関係'!$E$4:$E$370,"支援")&gt;0,"○",""))</f>
        <v/>
      </c>
      <c r="AE15" s="18">
        <f>IF(COUNTIFS('VS×ケイパビリティ関係'!$F$4:$F$370,$B15,'VS×ケイパビリティ関係'!$G$4:$G$370,AE$5,'VS×ケイパビリティ関係'!$E$4:$E$370,"主")&gt;0,"●",IF(COUNTIFS('VS×ケイパビリティ関係'!$F$4:$F$370,$B15,'VS×ケイパビリティ関係'!$G$4:$G$370,AE$5,'VS×ケイパビリティ関係'!$E$4:$E$370,"支援")&gt;0,"○",""))</f>
        <v/>
      </c>
      <c r="AF15" s="18">
        <f>IF(COUNTIFS('VS×ケイパビリティ関係'!$F$4:$F$370,$B15,'VS×ケイパビリティ関係'!$G$4:$G$370,AF$5,'VS×ケイパビリティ関係'!$E$4:$E$370,"主")&gt;0,"●",IF(COUNTIFS('VS×ケイパビリティ関係'!$F$4:$F$370,$B15,'VS×ケイパビリティ関係'!$G$4:$G$370,AF$5,'VS×ケイパビリティ関係'!$E$4:$E$370,"支援")&gt;0,"○",""))</f>
        <v/>
      </c>
      <c r="AG15" s="18">
        <f>IF(COUNTIFS('VS×ケイパビリティ関係'!$F$4:$F$370,$B15,'VS×ケイパビリティ関係'!$G$4:$G$370,AG$5,'VS×ケイパビリティ関係'!$E$4:$E$370,"主")&gt;0,"●",IF(COUNTIFS('VS×ケイパビリティ関係'!$F$4:$F$370,$B15,'VS×ケイパビリティ関係'!$G$4:$G$370,AG$5,'VS×ケイパビリティ関係'!$E$4:$E$370,"支援")&gt;0,"○",""))</f>
        <v/>
      </c>
      <c r="AH15" s="18">
        <f>IF(COUNTIFS('VS×ケイパビリティ関係'!$F$4:$F$370,$B15,'VS×ケイパビリティ関係'!$G$4:$G$370,AH$5,'VS×ケイパビリティ関係'!$E$4:$E$370,"主")&gt;0,"●",IF(COUNTIFS('VS×ケイパビリティ関係'!$F$4:$F$370,$B15,'VS×ケイパビリティ関係'!$G$4:$G$370,AH$5,'VS×ケイパビリティ関係'!$E$4:$E$370,"支援")&gt;0,"○",""))</f>
        <v/>
      </c>
      <c r="AI15" s="18">
        <f>IF(COUNTIFS('VS×ケイパビリティ関係'!$F$4:$F$370,$B15,'VS×ケイパビリティ関係'!$G$4:$G$370,AI$5,'VS×ケイパビリティ関係'!$E$4:$E$370,"主")&gt;0,"●",IF(COUNTIFS('VS×ケイパビリティ関係'!$F$4:$F$370,$B15,'VS×ケイパビリティ関係'!$G$4:$G$370,AI$5,'VS×ケイパビリティ関係'!$E$4:$E$370,"支援")&gt;0,"○",""))</f>
        <v/>
      </c>
      <c r="AJ15" s="18">
        <f>COUNTIF(D15:AI15,"●")</f>
        <v/>
      </c>
      <c r="AK15" s="18">
        <f>COUNTIF(D15:AI15,"○")</f>
        <v/>
      </c>
    </row>
    <row r="16">
      <c r="A16" s="42" t="n"/>
      <c r="B16" s="18" t="inlineStr">
        <is>
          <t>03-03</t>
        </is>
      </c>
      <c r="C16" s="20" t="inlineStr">
        <is>
          <t>スキル・資格の習得</t>
        </is>
      </c>
      <c r="D16" s="18">
        <f>IF(COUNTIFS('VS×ケイパビリティ関係'!$F$4:$F$370,$B16,'VS×ケイパビリティ関係'!$G$4:$G$370,D$5,'VS×ケイパビリティ関係'!$E$4:$E$370,"主")&gt;0,"●",IF(COUNTIFS('VS×ケイパビリティ関係'!$F$4:$F$370,$B16,'VS×ケイパビリティ関係'!$G$4:$G$370,D$5,'VS×ケイパビリティ関係'!$E$4:$E$370,"支援")&gt;0,"○",""))</f>
        <v/>
      </c>
      <c r="E16" s="18">
        <f>IF(COUNTIFS('VS×ケイパビリティ関係'!$F$4:$F$370,$B16,'VS×ケイパビリティ関係'!$G$4:$G$370,E$5,'VS×ケイパビリティ関係'!$E$4:$E$370,"主")&gt;0,"●",IF(COUNTIFS('VS×ケイパビリティ関係'!$F$4:$F$370,$B16,'VS×ケイパビリティ関係'!$G$4:$G$370,E$5,'VS×ケイパビリティ関係'!$E$4:$E$370,"支援")&gt;0,"○",""))</f>
        <v/>
      </c>
      <c r="F16" s="18">
        <f>IF(COUNTIFS('VS×ケイパビリティ関係'!$F$4:$F$370,$B16,'VS×ケイパビリティ関係'!$G$4:$G$370,F$5,'VS×ケイパビリティ関係'!$E$4:$E$370,"主")&gt;0,"●",IF(COUNTIFS('VS×ケイパビリティ関係'!$F$4:$F$370,$B16,'VS×ケイパビリティ関係'!$G$4:$G$370,F$5,'VS×ケイパビリティ関係'!$E$4:$E$370,"支援")&gt;0,"○",""))</f>
        <v/>
      </c>
      <c r="G16" s="18">
        <f>IF(COUNTIFS('VS×ケイパビリティ関係'!$F$4:$F$370,$B16,'VS×ケイパビリティ関係'!$G$4:$G$370,G$5,'VS×ケイパビリティ関係'!$E$4:$E$370,"主")&gt;0,"●",IF(COUNTIFS('VS×ケイパビリティ関係'!$F$4:$F$370,$B16,'VS×ケイパビリティ関係'!$G$4:$G$370,G$5,'VS×ケイパビリティ関係'!$E$4:$E$370,"支援")&gt;0,"○",""))</f>
        <v/>
      </c>
      <c r="H16" s="18">
        <f>IF(COUNTIFS('VS×ケイパビリティ関係'!$F$4:$F$370,$B16,'VS×ケイパビリティ関係'!$G$4:$G$370,H$5,'VS×ケイパビリティ関係'!$E$4:$E$370,"主")&gt;0,"●",IF(COUNTIFS('VS×ケイパビリティ関係'!$F$4:$F$370,$B16,'VS×ケイパビリティ関係'!$G$4:$G$370,H$5,'VS×ケイパビリティ関係'!$E$4:$E$370,"支援")&gt;0,"○",""))</f>
        <v/>
      </c>
      <c r="I16" s="18">
        <f>IF(COUNTIFS('VS×ケイパビリティ関係'!$F$4:$F$370,$B16,'VS×ケイパビリティ関係'!$G$4:$G$370,I$5,'VS×ケイパビリティ関係'!$E$4:$E$370,"主")&gt;0,"●",IF(COUNTIFS('VS×ケイパビリティ関係'!$F$4:$F$370,$B16,'VS×ケイパビリティ関係'!$G$4:$G$370,I$5,'VS×ケイパビリティ関係'!$E$4:$E$370,"支援")&gt;0,"○",""))</f>
        <v/>
      </c>
      <c r="J16" s="18">
        <f>IF(COUNTIFS('VS×ケイパビリティ関係'!$F$4:$F$370,$B16,'VS×ケイパビリティ関係'!$G$4:$G$370,J$5,'VS×ケイパビリティ関係'!$E$4:$E$370,"主")&gt;0,"●",IF(COUNTIFS('VS×ケイパビリティ関係'!$F$4:$F$370,$B16,'VS×ケイパビリティ関係'!$G$4:$G$370,J$5,'VS×ケイパビリティ関係'!$E$4:$E$370,"支援")&gt;0,"○",""))</f>
        <v/>
      </c>
      <c r="K16" s="18">
        <f>IF(COUNTIFS('VS×ケイパビリティ関係'!$F$4:$F$370,$B16,'VS×ケイパビリティ関係'!$G$4:$G$370,K$5,'VS×ケイパビリティ関係'!$E$4:$E$370,"主")&gt;0,"●",IF(COUNTIFS('VS×ケイパビリティ関係'!$F$4:$F$370,$B16,'VS×ケイパビリティ関係'!$G$4:$G$370,K$5,'VS×ケイパビリティ関係'!$E$4:$E$370,"支援")&gt;0,"○",""))</f>
        <v/>
      </c>
      <c r="L16" s="18">
        <f>IF(COUNTIFS('VS×ケイパビリティ関係'!$F$4:$F$370,$B16,'VS×ケイパビリティ関係'!$G$4:$G$370,L$5,'VS×ケイパビリティ関係'!$E$4:$E$370,"主")&gt;0,"●",IF(COUNTIFS('VS×ケイパビリティ関係'!$F$4:$F$370,$B16,'VS×ケイパビリティ関係'!$G$4:$G$370,L$5,'VS×ケイパビリティ関係'!$E$4:$E$370,"支援")&gt;0,"○",""))</f>
        <v/>
      </c>
      <c r="M16" s="18">
        <f>IF(COUNTIFS('VS×ケイパビリティ関係'!$F$4:$F$370,$B16,'VS×ケイパビリティ関係'!$G$4:$G$370,M$5,'VS×ケイパビリティ関係'!$E$4:$E$370,"主")&gt;0,"●",IF(COUNTIFS('VS×ケイパビリティ関係'!$F$4:$F$370,$B16,'VS×ケイパビリティ関係'!$G$4:$G$370,M$5,'VS×ケイパビリティ関係'!$E$4:$E$370,"支援")&gt;0,"○",""))</f>
        <v/>
      </c>
      <c r="N16" s="18">
        <f>IF(COUNTIFS('VS×ケイパビリティ関係'!$F$4:$F$370,$B16,'VS×ケイパビリティ関係'!$G$4:$G$370,N$5,'VS×ケイパビリティ関係'!$E$4:$E$370,"主")&gt;0,"●",IF(COUNTIFS('VS×ケイパビリティ関係'!$F$4:$F$370,$B16,'VS×ケイパビリティ関係'!$G$4:$G$370,N$5,'VS×ケイパビリティ関係'!$E$4:$E$370,"支援")&gt;0,"○",""))</f>
        <v/>
      </c>
      <c r="O16" s="18">
        <f>IF(COUNTIFS('VS×ケイパビリティ関係'!$F$4:$F$370,$B16,'VS×ケイパビリティ関係'!$G$4:$G$370,O$5,'VS×ケイパビリティ関係'!$E$4:$E$370,"主")&gt;0,"●",IF(COUNTIFS('VS×ケイパビリティ関係'!$F$4:$F$370,$B16,'VS×ケイパビリティ関係'!$G$4:$G$370,O$5,'VS×ケイパビリティ関係'!$E$4:$E$370,"支援")&gt;0,"○",""))</f>
        <v/>
      </c>
      <c r="P16" s="18">
        <f>IF(COUNTIFS('VS×ケイパビリティ関係'!$F$4:$F$370,$B16,'VS×ケイパビリティ関係'!$G$4:$G$370,P$5,'VS×ケイパビリティ関係'!$E$4:$E$370,"主")&gt;0,"●",IF(COUNTIFS('VS×ケイパビリティ関係'!$F$4:$F$370,$B16,'VS×ケイパビリティ関係'!$G$4:$G$370,P$5,'VS×ケイパビリティ関係'!$E$4:$E$370,"支援")&gt;0,"○",""))</f>
        <v/>
      </c>
      <c r="Q16" s="18">
        <f>IF(COUNTIFS('VS×ケイパビリティ関係'!$F$4:$F$370,$B16,'VS×ケイパビリティ関係'!$G$4:$G$370,Q$5,'VS×ケイパビリティ関係'!$E$4:$E$370,"主")&gt;0,"●",IF(COUNTIFS('VS×ケイパビリティ関係'!$F$4:$F$370,$B16,'VS×ケイパビリティ関係'!$G$4:$G$370,Q$5,'VS×ケイパビリティ関係'!$E$4:$E$370,"支援")&gt;0,"○",""))</f>
        <v/>
      </c>
      <c r="R16" s="18">
        <f>IF(COUNTIFS('VS×ケイパビリティ関係'!$F$4:$F$370,$B16,'VS×ケイパビリティ関係'!$G$4:$G$370,R$5,'VS×ケイパビリティ関係'!$E$4:$E$370,"主")&gt;0,"●",IF(COUNTIFS('VS×ケイパビリティ関係'!$F$4:$F$370,$B16,'VS×ケイパビリティ関係'!$G$4:$G$370,R$5,'VS×ケイパビリティ関係'!$E$4:$E$370,"支援")&gt;0,"○",""))</f>
        <v/>
      </c>
      <c r="S16" s="18">
        <f>IF(COUNTIFS('VS×ケイパビリティ関係'!$F$4:$F$370,$B16,'VS×ケイパビリティ関係'!$G$4:$G$370,S$5,'VS×ケイパビリティ関係'!$E$4:$E$370,"主")&gt;0,"●",IF(COUNTIFS('VS×ケイパビリティ関係'!$F$4:$F$370,$B16,'VS×ケイパビリティ関係'!$G$4:$G$370,S$5,'VS×ケイパビリティ関係'!$E$4:$E$370,"支援")&gt;0,"○",""))</f>
        <v/>
      </c>
      <c r="T16" s="18">
        <f>IF(COUNTIFS('VS×ケイパビリティ関係'!$F$4:$F$370,$B16,'VS×ケイパビリティ関係'!$G$4:$G$370,T$5,'VS×ケイパビリティ関係'!$E$4:$E$370,"主")&gt;0,"●",IF(COUNTIFS('VS×ケイパビリティ関係'!$F$4:$F$370,$B16,'VS×ケイパビリティ関係'!$G$4:$G$370,T$5,'VS×ケイパビリティ関係'!$E$4:$E$370,"支援")&gt;0,"○",""))</f>
        <v/>
      </c>
      <c r="U16" s="18">
        <f>IF(COUNTIFS('VS×ケイパビリティ関係'!$F$4:$F$370,$B16,'VS×ケイパビリティ関係'!$G$4:$G$370,U$5,'VS×ケイパビリティ関係'!$E$4:$E$370,"主")&gt;0,"●",IF(COUNTIFS('VS×ケイパビリティ関係'!$F$4:$F$370,$B16,'VS×ケイパビリティ関係'!$G$4:$G$370,U$5,'VS×ケイパビリティ関係'!$E$4:$E$370,"支援")&gt;0,"○",""))</f>
        <v/>
      </c>
      <c r="V16" s="18">
        <f>IF(COUNTIFS('VS×ケイパビリティ関係'!$F$4:$F$370,$B16,'VS×ケイパビリティ関係'!$G$4:$G$370,V$5,'VS×ケイパビリティ関係'!$E$4:$E$370,"主")&gt;0,"●",IF(COUNTIFS('VS×ケイパビリティ関係'!$F$4:$F$370,$B16,'VS×ケイパビリティ関係'!$G$4:$G$370,V$5,'VS×ケイパビリティ関係'!$E$4:$E$370,"支援")&gt;0,"○",""))</f>
        <v/>
      </c>
      <c r="W16" s="18">
        <f>IF(COUNTIFS('VS×ケイパビリティ関係'!$F$4:$F$370,$B16,'VS×ケイパビリティ関係'!$G$4:$G$370,W$5,'VS×ケイパビリティ関係'!$E$4:$E$370,"主")&gt;0,"●",IF(COUNTIFS('VS×ケイパビリティ関係'!$F$4:$F$370,$B16,'VS×ケイパビリティ関係'!$G$4:$G$370,W$5,'VS×ケイパビリティ関係'!$E$4:$E$370,"支援")&gt;0,"○",""))</f>
        <v/>
      </c>
      <c r="X16" s="18">
        <f>IF(COUNTIFS('VS×ケイパビリティ関係'!$F$4:$F$370,$B16,'VS×ケイパビリティ関係'!$G$4:$G$370,X$5,'VS×ケイパビリティ関係'!$E$4:$E$370,"主")&gt;0,"●",IF(COUNTIFS('VS×ケイパビリティ関係'!$F$4:$F$370,$B16,'VS×ケイパビリティ関係'!$G$4:$G$370,X$5,'VS×ケイパビリティ関係'!$E$4:$E$370,"支援")&gt;0,"○",""))</f>
        <v/>
      </c>
      <c r="Y16" s="18">
        <f>IF(COUNTIFS('VS×ケイパビリティ関係'!$F$4:$F$370,$B16,'VS×ケイパビリティ関係'!$G$4:$G$370,Y$5,'VS×ケイパビリティ関係'!$E$4:$E$370,"主")&gt;0,"●",IF(COUNTIFS('VS×ケイパビリティ関係'!$F$4:$F$370,$B16,'VS×ケイパビリティ関係'!$G$4:$G$370,Y$5,'VS×ケイパビリティ関係'!$E$4:$E$370,"支援")&gt;0,"○",""))</f>
        <v/>
      </c>
      <c r="Z16" s="18">
        <f>IF(COUNTIFS('VS×ケイパビリティ関係'!$F$4:$F$370,$B16,'VS×ケイパビリティ関係'!$G$4:$G$370,Z$5,'VS×ケイパビリティ関係'!$E$4:$E$370,"主")&gt;0,"●",IF(COUNTIFS('VS×ケイパビリティ関係'!$F$4:$F$370,$B16,'VS×ケイパビリティ関係'!$G$4:$G$370,Z$5,'VS×ケイパビリティ関係'!$E$4:$E$370,"支援")&gt;0,"○",""))</f>
        <v/>
      </c>
      <c r="AA16" s="18">
        <f>IF(COUNTIFS('VS×ケイパビリティ関係'!$F$4:$F$370,$B16,'VS×ケイパビリティ関係'!$G$4:$G$370,AA$5,'VS×ケイパビリティ関係'!$E$4:$E$370,"主")&gt;0,"●",IF(COUNTIFS('VS×ケイパビリティ関係'!$F$4:$F$370,$B16,'VS×ケイパビリティ関係'!$G$4:$G$370,AA$5,'VS×ケイパビリティ関係'!$E$4:$E$370,"支援")&gt;0,"○",""))</f>
        <v/>
      </c>
      <c r="AB16" s="18">
        <f>IF(COUNTIFS('VS×ケイパビリティ関係'!$F$4:$F$370,$B16,'VS×ケイパビリティ関係'!$G$4:$G$370,AB$5,'VS×ケイパビリティ関係'!$E$4:$E$370,"主")&gt;0,"●",IF(COUNTIFS('VS×ケイパビリティ関係'!$F$4:$F$370,$B16,'VS×ケイパビリティ関係'!$G$4:$G$370,AB$5,'VS×ケイパビリティ関係'!$E$4:$E$370,"支援")&gt;0,"○",""))</f>
        <v/>
      </c>
      <c r="AC16" s="18">
        <f>IF(COUNTIFS('VS×ケイパビリティ関係'!$F$4:$F$370,$B16,'VS×ケイパビリティ関係'!$G$4:$G$370,AC$5,'VS×ケイパビリティ関係'!$E$4:$E$370,"主")&gt;0,"●",IF(COUNTIFS('VS×ケイパビリティ関係'!$F$4:$F$370,$B16,'VS×ケイパビリティ関係'!$G$4:$G$370,AC$5,'VS×ケイパビリティ関係'!$E$4:$E$370,"支援")&gt;0,"○",""))</f>
        <v/>
      </c>
      <c r="AD16" s="18">
        <f>IF(COUNTIFS('VS×ケイパビリティ関係'!$F$4:$F$370,$B16,'VS×ケイパビリティ関係'!$G$4:$G$370,AD$5,'VS×ケイパビリティ関係'!$E$4:$E$370,"主")&gt;0,"●",IF(COUNTIFS('VS×ケイパビリティ関係'!$F$4:$F$370,$B16,'VS×ケイパビリティ関係'!$G$4:$G$370,AD$5,'VS×ケイパビリティ関係'!$E$4:$E$370,"支援")&gt;0,"○",""))</f>
        <v/>
      </c>
      <c r="AE16" s="18">
        <f>IF(COUNTIFS('VS×ケイパビリティ関係'!$F$4:$F$370,$B16,'VS×ケイパビリティ関係'!$G$4:$G$370,AE$5,'VS×ケイパビリティ関係'!$E$4:$E$370,"主")&gt;0,"●",IF(COUNTIFS('VS×ケイパビリティ関係'!$F$4:$F$370,$B16,'VS×ケイパビリティ関係'!$G$4:$G$370,AE$5,'VS×ケイパビリティ関係'!$E$4:$E$370,"支援")&gt;0,"○",""))</f>
        <v/>
      </c>
      <c r="AF16" s="18">
        <f>IF(COUNTIFS('VS×ケイパビリティ関係'!$F$4:$F$370,$B16,'VS×ケイパビリティ関係'!$G$4:$G$370,AF$5,'VS×ケイパビリティ関係'!$E$4:$E$370,"主")&gt;0,"●",IF(COUNTIFS('VS×ケイパビリティ関係'!$F$4:$F$370,$B16,'VS×ケイパビリティ関係'!$G$4:$G$370,AF$5,'VS×ケイパビリティ関係'!$E$4:$E$370,"支援")&gt;0,"○",""))</f>
        <v/>
      </c>
      <c r="AG16" s="18">
        <f>IF(COUNTIFS('VS×ケイパビリティ関係'!$F$4:$F$370,$B16,'VS×ケイパビリティ関係'!$G$4:$G$370,AG$5,'VS×ケイパビリティ関係'!$E$4:$E$370,"主")&gt;0,"●",IF(COUNTIFS('VS×ケイパビリティ関係'!$F$4:$F$370,$B16,'VS×ケイパビリティ関係'!$G$4:$G$370,AG$5,'VS×ケイパビリティ関係'!$E$4:$E$370,"支援")&gt;0,"○",""))</f>
        <v/>
      </c>
      <c r="AH16" s="18">
        <f>IF(COUNTIFS('VS×ケイパビリティ関係'!$F$4:$F$370,$B16,'VS×ケイパビリティ関係'!$G$4:$G$370,AH$5,'VS×ケイパビリティ関係'!$E$4:$E$370,"主")&gt;0,"●",IF(COUNTIFS('VS×ケイパビリティ関係'!$F$4:$F$370,$B16,'VS×ケイパビリティ関係'!$G$4:$G$370,AH$5,'VS×ケイパビリティ関係'!$E$4:$E$370,"支援")&gt;0,"○",""))</f>
        <v/>
      </c>
      <c r="AI16" s="18">
        <f>IF(COUNTIFS('VS×ケイパビリティ関係'!$F$4:$F$370,$B16,'VS×ケイパビリティ関係'!$G$4:$G$370,AI$5,'VS×ケイパビリティ関係'!$E$4:$E$370,"主")&gt;0,"●",IF(COUNTIFS('VS×ケイパビリティ関係'!$F$4:$F$370,$B16,'VS×ケイパビリティ関係'!$G$4:$G$370,AI$5,'VS×ケイパビリティ関係'!$E$4:$E$370,"支援")&gt;0,"○",""))</f>
        <v/>
      </c>
      <c r="AJ16" s="18">
        <f>COUNTIF(D16:AI16,"●")</f>
        <v/>
      </c>
      <c r="AK16" s="18">
        <f>COUNTIF(D16:AI16,"○")</f>
        <v/>
      </c>
    </row>
    <row r="17">
      <c r="A17" s="42" t="n"/>
      <c r="B17" s="18" t="inlineStr">
        <is>
          <t>03-04</t>
        </is>
      </c>
      <c r="C17" s="20" t="inlineStr">
        <is>
          <t>キャリア開発</t>
        </is>
      </c>
      <c r="D17" s="18">
        <f>IF(COUNTIFS('VS×ケイパビリティ関係'!$F$4:$F$370,$B17,'VS×ケイパビリティ関係'!$G$4:$G$370,D$5,'VS×ケイパビリティ関係'!$E$4:$E$370,"主")&gt;0,"●",IF(COUNTIFS('VS×ケイパビリティ関係'!$F$4:$F$370,$B17,'VS×ケイパビリティ関係'!$G$4:$G$370,D$5,'VS×ケイパビリティ関係'!$E$4:$E$370,"支援")&gt;0,"○",""))</f>
        <v/>
      </c>
      <c r="E17" s="18">
        <f>IF(COUNTIFS('VS×ケイパビリティ関係'!$F$4:$F$370,$B17,'VS×ケイパビリティ関係'!$G$4:$G$370,E$5,'VS×ケイパビリティ関係'!$E$4:$E$370,"主")&gt;0,"●",IF(COUNTIFS('VS×ケイパビリティ関係'!$F$4:$F$370,$B17,'VS×ケイパビリティ関係'!$G$4:$G$370,E$5,'VS×ケイパビリティ関係'!$E$4:$E$370,"支援")&gt;0,"○",""))</f>
        <v/>
      </c>
      <c r="F17" s="18">
        <f>IF(COUNTIFS('VS×ケイパビリティ関係'!$F$4:$F$370,$B17,'VS×ケイパビリティ関係'!$G$4:$G$370,F$5,'VS×ケイパビリティ関係'!$E$4:$E$370,"主")&gt;0,"●",IF(COUNTIFS('VS×ケイパビリティ関係'!$F$4:$F$370,$B17,'VS×ケイパビリティ関係'!$G$4:$G$370,F$5,'VS×ケイパビリティ関係'!$E$4:$E$370,"支援")&gt;0,"○",""))</f>
        <v/>
      </c>
      <c r="G17" s="18">
        <f>IF(COUNTIFS('VS×ケイパビリティ関係'!$F$4:$F$370,$B17,'VS×ケイパビリティ関係'!$G$4:$G$370,G$5,'VS×ケイパビリティ関係'!$E$4:$E$370,"主")&gt;0,"●",IF(COUNTIFS('VS×ケイパビリティ関係'!$F$4:$F$370,$B17,'VS×ケイパビリティ関係'!$G$4:$G$370,G$5,'VS×ケイパビリティ関係'!$E$4:$E$370,"支援")&gt;0,"○",""))</f>
        <v/>
      </c>
      <c r="H17" s="18">
        <f>IF(COUNTIFS('VS×ケイパビリティ関係'!$F$4:$F$370,$B17,'VS×ケイパビリティ関係'!$G$4:$G$370,H$5,'VS×ケイパビリティ関係'!$E$4:$E$370,"主")&gt;0,"●",IF(COUNTIFS('VS×ケイパビリティ関係'!$F$4:$F$370,$B17,'VS×ケイパビリティ関係'!$G$4:$G$370,H$5,'VS×ケイパビリティ関係'!$E$4:$E$370,"支援")&gt;0,"○",""))</f>
        <v/>
      </c>
      <c r="I17" s="18">
        <f>IF(COUNTIFS('VS×ケイパビリティ関係'!$F$4:$F$370,$B17,'VS×ケイパビリティ関係'!$G$4:$G$370,I$5,'VS×ケイパビリティ関係'!$E$4:$E$370,"主")&gt;0,"●",IF(COUNTIFS('VS×ケイパビリティ関係'!$F$4:$F$370,$B17,'VS×ケイパビリティ関係'!$G$4:$G$370,I$5,'VS×ケイパビリティ関係'!$E$4:$E$370,"支援")&gt;0,"○",""))</f>
        <v/>
      </c>
      <c r="J17" s="18">
        <f>IF(COUNTIFS('VS×ケイパビリティ関係'!$F$4:$F$370,$B17,'VS×ケイパビリティ関係'!$G$4:$G$370,J$5,'VS×ケイパビリティ関係'!$E$4:$E$370,"主")&gt;0,"●",IF(COUNTIFS('VS×ケイパビリティ関係'!$F$4:$F$370,$B17,'VS×ケイパビリティ関係'!$G$4:$G$370,J$5,'VS×ケイパビリティ関係'!$E$4:$E$370,"支援")&gt;0,"○",""))</f>
        <v/>
      </c>
      <c r="K17" s="18">
        <f>IF(COUNTIFS('VS×ケイパビリティ関係'!$F$4:$F$370,$B17,'VS×ケイパビリティ関係'!$G$4:$G$370,K$5,'VS×ケイパビリティ関係'!$E$4:$E$370,"主")&gt;0,"●",IF(COUNTIFS('VS×ケイパビリティ関係'!$F$4:$F$370,$B17,'VS×ケイパビリティ関係'!$G$4:$G$370,K$5,'VS×ケイパビリティ関係'!$E$4:$E$370,"支援")&gt;0,"○",""))</f>
        <v/>
      </c>
      <c r="L17" s="18">
        <f>IF(COUNTIFS('VS×ケイパビリティ関係'!$F$4:$F$370,$B17,'VS×ケイパビリティ関係'!$G$4:$G$370,L$5,'VS×ケイパビリティ関係'!$E$4:$E$370,"主")&gt;0,"●",IF(COUNTIFS('VS×ケイパビリティ関係'!$F$4:$F$370,$B17,'VS×ケイパビリティ関係'!$G$4:$G$370,L$5,'VS×ケイパビリティ関係'!$E$4:$E$370,"支援")&gt;0,"○",""))</f>
        <v/>
      </c>
      <c r="M17" s="18">
        <f>IF(COUNTIFS('VS×ケイパビリティ関係'!$F$4:$F$370,$B17,'VS×ケイパビリティ関係'!$G$4:$G$370,M$5,'VS×ケイパビリティ関係'!$E$4:$E$370,"主")&gt;0,"●",IF(COUNTIFS('VS×ケイパビリティ関係'!$F$4:$F$370,$B17,'VS×ケイパビリティ関係'!$G$4:$G$370,M$5,'VS×ケイパビリティ関係'!$E$4:$E$370,"支援")&gt;0,"○",""))</f>
        <v/>
      </c>
      <c r="N17" s="18">
        <f>IF(COUNTIFS('VS×ケイパビリティ関係'!$F$4:$F$370,$B17,'VS×ケイパビリティ関係'!$G$4:$G$370,N$5,'VS×ケイパビリティ関係'!$E$4:$E$370,"主")&gt;0,"●",IF(COUNTIFS('VS×ケイパビリティ関係'!$F$4:$F$370,$B17,'VS×ケイパビリティ関係'!$G$4:$G$370,N$5,'VS×ケイパビリティ関係'!$E$4:$E$370,"支援")&gt;0,"○",""))</f>
        <v/>
      </c>
      <c r="O17" s="18">
        <f>IF(COUNTIFS('VS×ケイパビリティ関係'!$F$4:$F$370,$B17,'VS×ケイパビリティ関係'!$G$4:$G$370,O$5,'VS×ケイパビリティ関係'!$E$4:$E$370,"主")&gt;0,"●",IF(COUNTIFS('VS×ケイパビリティ関係'!$F$4:$F$370,$B17,'VS×ケイパビリティ関係'!$G$4:$G$370,O$5,'VS×ケイパビリティ関係'!$E$4:$E$370,"支援")&gt;0,"○",""))</f>
        <v/>
      </c>
      <c r="P17" s="18">
        <f>IF(COUNTIFS('VS×ケイパビリティ関係'!$F$4:$F$370,$B17,'VS×ケイパビリティ関係'!$G$4:$G$370,P$5,'VS×ケイパビリティ関係'!$E$4:$E$370,"主")&gt;0,"●",IF(COUNTIFS('VS×ケイパビリティ関係'!$F$4:$F$370,$B17,'VS×ケイパビリティ関係'!$G$4:$G$370,P$5,'VS×ケイパビリティ関係'!$E$4:$E$370,"支援")&gt;0,"○",""))</f>
        <v/>
      </c>
      <c r="Q17" s="18">
        <f>IF(COUNTIFS('VS×ケイパビリティ関係'!$F$4:$F$370,$B17,'VS×ケイパビリティ関係'!$G$4:$G$370,Q$5,'VS×ケイパビリティ関係'!$E$4:$E$370,"主")&gt;0,"●",IF(COUNTIFS('VS×ケイパビリティ関係'!$F$4:$F$370,$B17,'VS×ケイパビリティ関係'!$G$4:$G$370,Q$5,'VS×ケイパビリティ関係'!$E$4:$E$370,"支援")&gt;0,"○",""))</f>
        <v/>
      </c>
      <c r="R17" s="18">
        <f>IF(COUNTIFS('VS×ケイパビリティ関係'!$F$4:$F$370,$B17,'VS×ケイパビリティ関係'!$G$4:$G$370,R$5,'VS×ケイパビリティ関係'!$E$4:$E$370,"主")&gt;0,"●",IF(COUNTIFS('VS×ケイパビリティ関係'!$F$4:$F$370,$B17,'VS×ケイパビリティ関係'!$G$4:$G$370,R$5,'VS×ケイパビリティ関係'!$E$4:$E$370,"支援")&gt;0,"○",""))</f>
        <v/>
      </c>
      <c r="S17" s="18">
        <f>IF(COUNTIFS('VS×ケイパビリティ関係'!$F$4:$F$370,$B17,'VS×ケイパビリティ関係'!$G$4:$G$370,S$5,'VS×ケイパビリティ関係'!$E$4:$E$370,"主")&gt;0,"●",IF(COUNTIFS('VS×ケイパビリティ関係'!$F$4:$F$370,$B17,'VS×ケイパビリティ関係'!$G$4:$G$370,S$5,'VS×ケイパビリティ関係'!$E$4:$E$370,"支援")&gt;0,"○",""))</f>
        <v/>
      </c>
      <c r="T17" s="18">
        <f>IF(COUNTIFS('VS×ケイパビリティ関係'!$F$4:$F$370,$B17,'VS×ケイパビリティ関係'!$G$4:$G$370,T$5,'VS×ケイパビリティ関係'!$E$4:$E$370,"主")&gt;0,"●",IF(COUNTIFS('VS×ケイパビリティ関係'!$F$4:$F$370,$B17,'VS×ケイパビリティ関係'!$G$4:$G$370,T$5,'VS×ケイパビリティ関係'!$E$4:$E$370,"支援")&gt;0,"○",""))</f>
        <v/>
      </c>
      <c r="U17" s="18">
        <f>IF(COUNTIFS('VS×ケイパビリティ関係'!$F$4:$F$370,$B17,'VS×ケイパビリティ関係'!$G$4:$G$370,U$5,'VS×ケイパビリティ関係'!$E$4:$E$370,"主")&gt;0,"●",IF(COUNTIFS('VS×ケイパビリティ関係'!$F$4:$F$370,$B17,'VS×ケイパビリティ関係'!$G$4:$G$370,U$5,'VS×ケイパビリティ関係'!$E$4:$E$370,"支援")&gt;0,"○",""))</f>
        <v/>
      </c>
      <c r="V17" s="18">
        <f>IF(COUNTIFS('VS×ケイパビリティ関係'!$F$4:$F$370,$B17,'VS×ケイパビリティ関係'!$G$4:$G$370,V$5,'VS×ケイパビリティ関係'!$E$4:$E$370,"主")&gt;0,"●",IF(COUNTIFS('VS×ケイパビリティ関係'!$F$4:$F$370,$B17,'VS×ケイパビリティ関係'!$G$4:$G$370,V$5,'VS×ケイパビリティ関係'!$E$4:$E$370,"支援")&gt;0,"○",""))</f>
        <v/>
      </c>
      <c r="W17" s="18">
        <f>IF(COUNTIFS('VS×ケイパビリティ関係'!$F$4:$F$370,$B17,'VS×ケイパビリティ関係'!$G$4:$G$370,W$5,'VS×ケイパビリティ関係'!$E$4:$E$370,"主")&gt;0,"●",IF(COUNTIFS('VS×ケイパビリティ関係'!$F$4:$F$370,$B17,'VS×ケイパビリティ関係'!$G$4:$G$370,W$5,'VS×ケイパビリティ関係'!$E$4:$E$370,"支援")&gt;0,"○",""))</f>
        <v/>
      </c>
      <c r="X17" s="18">
        <f>IF(COUNTIFS('VS×ケイパビリティ関係'!$F$4:$F$370,$B17,'VS×ケイパビリティ関係'!$G$4:$G$370,X$5,'VS×ケイパビリティ関係'!$E$4:$E$370,"主")&gt;0,"●",IF(COUNTIFS('VS×ケイパビリティ関係'!$F$4:$F$370,$B17,'VS×ケイパビリティ関係'!$G$4:$G$370,X$5,'VS×ケイパビリティ関係'!$E$4:$E$370,"支援")&gt;0,"○",""))</f>
        <v/>
      </c>
      <c r="Y17" s="18">
        <f>IF(COUNTIFS('VS×ケイパビリティ関係'!$F$4:$F$370,$B17,'VS×ケイパビリティ関係'!$G$4:$G$370,Y$5,'VS×ケイパビリティ関係'!$E$4:$E$370,"主")&gt;0,"●",IF(COUNTIFS('VS×ケイパビリティ関係'!$F$4:$F$370,$B17,'VS×ケイパビリティ関係'!$G$4:$G$370,Y$5,'VS×ケイパビリティ関係'!$E$4:$E$370,"支援")&gt;0,"○",""))</f>
        <v/>
      </c>
      <c r="Z17" s="18">
        <f>IF(COUNTIFS('VS×ケイパビリティ関係'!$F$4:$F$370,$B17,'VS×ケイパビリティ関係'!$G$4:$G$370,Z$5,'VS×ケイパビリティ関係'!$E$4:$E$370,"主")&gt;0,"●",IF(COUNTIFS('VS×ケイパビリティ関係'!$F$4:$F$370,$B17,'VS×ケイパビリティ関係'!$G$4:$G$370,Z$5,'VS×ケイパビリティ関係'!$E$4:$E$370,"支援")&gt;0,"○",""))</f>
        <v/>
      </c>
      <c r="AA17" s="18">
        <f>IF(COUNTIFS('VS×ケイパビリティ関係'!$F$4:$F$370,$B17,'VS×ケイパビリティ関係'!$G$4:$G$370,AA$5,'VS×ケイパビリティ関係'!$E$4:$E$370,"主")&gt;0,"●",IF(COUNTIFS('VS×ケイパビリティ関係'!$F$4:$F$370,$B17,'VS×ケイパビリティ関係'!$G$4:$G$370,AA$5,'VS×ケイパビリティ関係'!$E$4:$E$370,"支援")&gt;0,"○",""))</f>
        <v/>
      </c>
      <c r="AB17" s="18">
        <f>IF(COUNTIFS('VS×ケイパビリティ関係'!$F$4:$F$370,$B17,'VS×ケイパビリティ関係'!$G$4:$G$370,AB$5,'VS×ケイパビリティ関係'!$E$4:$E$370,"主")&gt;0,"●",IF(COUNTIFS('VS×ケイパビリティ関係'!$F$4:$F$370,$B17,'VS×ケイパビリティ関係'!$G$4:$G$370,AB$5,'VS×ケイパビリティ関係'!$E$4:$E$370,"支援")&gt;0,"○",""))</f>
        <v/>
      </c>
      <c r="AC17" s="18">
        <f>IF(COUNTIFS('VS×ケイパビリティ関係'!$F$4:$F$370,$B17,'VS×ケイパビリティ関係'!$G$4:$G$370,AC$5,'VS×ケイパビリティ関係'!$E$4:$E$370,"主")&gt;0,"●",IF(COUNTIFS('VS×ケイパビリティ関係'!$F$4:$F$370,$B17,'VS×ケイパビリティ関係'!$G$4:$G$370,AC$5,'VS×ケイパビリティ関係'!$E$4:$E$370,"支援")&gt;0,"○",""))</f>
        <v/>
      </c>
      <c r="AD17" s="18">
        <f>IF(COUNTIFS('VS×ケイパビリティ関係'!$F$4:$F$370,$B17,'VS×ケイパビリティ関係'!$G$4:$G$370,AD$5,'VS×ケイパビリティ関係'!$E$4:$E$370,"主")&gt;0,"●",IF(COUNTIFS('VS×ケイパビリティ関係'!$F$4:$F$370,$B17,'VS×ケイパビリティ関係'!$G$4:$G$370,AD$5,'VS×ケイパビリティ関係'!$E$4:$E$370,"支援")&gt;0,"○",""))</f>
        <v/>
      </c>
      <c r="AE17" s="18">
        <f>IF(COUNTIFS('VS×ケイパビリティ関係'!$F$4:$F$370,$B17,'VS×ケイパビリティ関係'!$G$4:$G$370,AE$5,'VS×ケイパビリティ関係'!$E$4:$E$370,"主")&gt;0,"●",IF(COUNTIFS('VS×ケイパビリティ関係'!$F$4:$F$370,$B17,'VS×ケイパビリティ関係'!$G$4:$G$370,AE$5,'VS×ケイパビリティ関係'!$E$4:$E$370,"支援")&gt;0,"○",""))</f>
        <v/>
      </c>
      <c r="AF17" s="18">
        <f>IF(COUNTIFS('VS×ケイパビリティ関係'!$F$4:$F$370,$B17,'VS×ケイパビリティ関係'!$G$4:$G$370,AF$5,'VS×ケイパビリティ関係'!$E$4:$E$370,"主")&gt;0,"●",IF(COUNTIFS('VS×ケイパビリティ関係'!$F$4:$F$370,$B17,'VS×ケイパビリティ関係'!$G$4:$G$370,AF$5,'VS×ケイパビリティ関係'!$E$4:$E$370,"支援")&gt;0,"○",""))</f>
        <v/>
      </c>
      <c r="AG17" s="18">
        <f>IF(COUNTIFS('VS×ケイパビリティ関係'!$F$4:$F$370,$B17,'VS×ケイパビリティ関係'!$G$4:$G$370,AG$5,'VS×ケイパビリティ関係'!$E$4:$E$370,"主")&gt;0,"●",IF(COUNTIFS('VS×ケイパビリティ関係'!$F$4:$F$370,$B17,'VS×ケイパビリティ関係'!$G$4:$G$370,AG$5,'VS×ケイパビリティ関係'!$E$4:$E$370,"支援")&gt;0,"○",""))</f>
        <v/>
      </c>
      <c r="AH17" s="18">
        <f>IF(COUNTIFS('VS×ケイパビリティ関係'!$F$4:$F$370,$B17,'VS×ケイパビリティ関係'!$G$4:$G$370,AH$5,'VS×ケイパビリティ関係'!$E$4:$E$370,"主")&gt;0,"●",IF(COUNTIFS('VS×ケイパビリティ関係'!$F$4:$F$370,$B17,'VS×ケイパビリティ関係'!$G$4:$G$370,AH$5,'VS×ケイパビリティ関係'!$E$4:$E$370,"支援")&gt;0,"○",""))</f>
        <v/>
      </c>
      <c r="AI17" s="18">
        <f>IF(COUNTIFS('VS×ケイパビリティ関係'!$F$4:$F$370,$B17,'VS×ケイパビリティ関係'!$G$4:$G$370,AI$5,'VS×ケイパビリティ関係'!$E$4:$E$370,"主")&gt;0,"●",IF(COUNTIFS('VS×ケイパビリティ関係'!$F$4:$F$370,$B17,'VS×ケイパビリティ関係'!$G$4:$G$370,AI$5,'VS×ケイパビリティ関係'!$E$4:$E$370,"支援")&gt;0,"○",""))</f>
        <v/>
      </c>
      <c r="AJ17" s="18">
        <f>COUNTIF(D17:AI17,"●")</f>
        <v/>
      </c>
      <c r="AK17" s="18">
        <f>COUNTIF(D17:AI17,"○")</f>
        <v/>
      </c>
    </row>
    <row r="18">
      <c r="A18" s="42" t="inlineStr">
        <is>
          <t>04 評価・処遇</t>
        </is>
      </c>
      <c r="B18" s="18" t="inlineStr">
        <is>
          <t>04-01</t>
        </is>
      </c>
      <c r="C18" s="20" t="inlineStr">
        <is>
          <t>目標設定・評価</t>
        </is>
      </c>
      <c r="D18" s="18">
        <f>IF(COUNTIFS('VS×ケイパビリティ関係'!$F$4:$F$370,$B18,'VS×ケイパビリティ関係'!$G$4:$G$370,D$5,'VS×ケイパビリティ関係'!$E$4:$E$370,"主")&gt;0,"●",IF(COUNTIFS('VS×ケイパビリティ関係'!$F$4:$F$370,$B18,'VS×ケイパビリティ関係'!$G$4:$G$370,D$5,'VS×ケイパビリティ関係'!$E$4:$E$370,"支援")&gt;0,"○",""))</f>
        <v/>
      </c>
      <c r="E18" s="18">
        <f>IF(COUNTIFS('VS×ケイパビリティ関係'!$F$4:$F$370,$B18,'VS×ケイパビリティ関係'!$G$4:$G$370,E$5,'VS×ケイパビリティ関係'!$E$4:$E$370,"主")&gt;0,"●",IF(COUNTIFS('VS×ケイパビリティ関係'!$F$4:$F$370,$B18,'VS×ケイパビリティ関係'!$G$4:$G$370,E$5,'VS×ケイパビリティ関係'!$E$4:$E$370,"支援")&gt;0,"○",""))</f>
        <v/>
      </c>
      <c r="F18" s="18">
        <f>IF(COUNTIFS('VS×ケイパビリティ関係'!$F$4:$F$370,$B18,'VS×ケイパビリティ関係'!$G$4:$G$370,F$5,'VS×ケイパビリティ関係'!$E$4:$E$370,"主")&gt;0,"●",IF(COUNTIFS('VS×ケイパビリティ関係'!$F$4:$F$370,$B18,'VS×ケイパビリティ関係'!$G$4:$G$370,F$5,'VS×ケイパビリティ関係'!$E$4:$E$370,"支援")&gt;0,"○",""))</f>
        <v/>
      </c>
      <c r="G18" s="18">
        <f>IF(COUNTIFS('VS×ケイパビリティ関係'!$F$4:$F$370,$B18,'VS×ケイパビリティ関係'!$G$4:$G$370,G$5,'VS×ケイパビリティ関係'!$E$4:$E$370,"主")&gt;0,"●",IF(COUNTIFS('VS×ケイパビリティ関係'!$F$4:$F$370,$B18,'VS×ケイパビリティ関係'!$G$4:$G$370,G$5,'VS×ケイパビリティ関係'!$E$4:$E$370,"支援")&gt;0,"○",""))</f>
        <v/>
      </c>
      <c r="H18" s="18">
        <f>IF(COUNTIFS('VS×ケイパビリティ関係'!$F$4:$F$370,$B18,'VS×ケイパビリティ関係'!$G$4:$G$370,H$5,'VS×ケイパビリティ関係'!$E$4:$E$370,"主")&gt;0,"●",IF(COUNTIFS('VS×ケイパビリティ関係'!$F$4:$F$370,$B18,'VS×ケイパビリティ関係'!$G$4:$G$370,H$5,'VS×ケイパビリティ関係'!$E$4:$E$370,"支援")&gt;0,"○",""))</f>
        <v/>
      </c>
      <c r="I18" s="18">
        <f>IF(COUNTIFS('VS×ケイパビリティ関係'!$F$4:$F$370,$B18,'VS×ケイパビリティ関係'!$G$4:$G$370,I$5,'VS×ケイパビリティ関係'!$E$4:$E$370,"主")&gt;0,"●",IF(COUNTIFS('VS×ケイパビリティ関係'!$F$4:$F$370,$B18,'VS×ケイパビリティ関係'!$G$4:$G$370,I$5,'VS×ケイパビリティ関係'!$E$4:$E$370,"支援")&gt;0,"○",""))</f>
        <v/>
      </c>
      <c r="J18" s="18">
        <f>IF(COUNTIFS('VS×ケイパビリティ関係'!$F$4:$F$370,$B18,'VS×ケイパビリティ関係'!$G$4:$G$370,J$5,'VS×ケイパビリティ関係'!$E$4:$E$370,"主")&gt;0,"●",IF(COUNTIFS('VS×ケイパビリティ関係'!$F$4:$F$370,$B18,'VS×ケイパビリティ関係'!$G$4:$G$370,J$5,'VS×ケイパビリティ関係'!$E$4:$E$370,"支援")&gt;0,"○",""))</f>
        <v/>
      </c>
      <c r="K18" s="18">
        <f>IF(COUNTIFS('VS×ケイパビリティ関係'!$F$4:$F$370,$B18,'VS×ケイパビリティ関係'!$G$4:$G$370,K$5,'VS×ケイパビリティ関係'!$E$4:$E$370,"主")&gt;0,"●",IF(COUNTIFS('VS×ケイパビリティ関係'!$F$4:$F$370,$B18,'VS×ケイパビリティ関係'!$G$4:$G$370,K$5,'VS×ケイパビリティ関係'!$E$4:$E$370,"支援")&gt;0,"○",""))</f>
        <v/>
      </c>
      <c r="L18" s="18">
        <f>IF(COUNTIFS('VS×ケイパビリティ関係'!$F$4:$F$370,$B18,'VS×ケイパビリティ関係'!$G$4:$G$370,L$5,'VS×ケイパビリティ関係'!$E$4:$E$370,"主")&gt;0,"●",IF(COUNTIFS('VS×ケイパビリティ関係'!$F$4:$F$370,$B18,'VS×ケイパビリティ関係'!$G$4:$G$370,L$5,'VS×ケイパビリティ関係'!$E$4:$E$370,"支援")&gt;0,"○",""))</f>
        <v/>
      </c>
      <c r="M18" s="18">
        <f>IF(COUNTIFS('VS×ケイパビリティ関係'!$F$4:$F$370,$B18,'VS×ケイパビリティ関係'!$G$4:$G$370,M$5,'VS×ケイパビリティ関係'!$E$4:$E$370,"主")&gt;0,"●",IF(COUNTIFS('VS×ケイパビリティ関係'!$F$4:$F$370,$B18,'VS×ケイパビリティ関係'!$G$4:$G$370,M$5,'VS×ケイパビリティ関係'!$E$4:$E$370,"支援")&gt;0,"○",""))</f>
        <v/>
      </c>
      <c r="N18" s="18">
        <f>IF(COUNTIFS('VS×ケイパビリティ関係'!$F$4:$F$370,$B18,'VS×ケイパビリティ関係'!$G$4:$G$370,N$5,'VS×ケイパビリティ関係'!$E$4:$E$370,"主")&gt;0,"●",IF(COUNTIFS('VS×ケイパビリティ関係'!$F$4:$F$370,$B18,'VS×ケイパビリティ関係'!$G$4:$G$370,N$5,'VS×ケイパビリティ関係'!$E$4:$E$370,"支援")&gt;0,"○",""))</f>
        <v/>
      </c>
      <c r="O18" s="18">
        <f>IF(COUNTIFS('VS×ケイパビリティ関係'!$F$4:$F$370,$B18,'VS×ケイパビリティ関係'!$G$4:$G$370,O$5,'VS×ケイパビリティ関係'!$E$4:$E$370,"主")&gt;0,"●",IF(COUNTIFS('VS×ケイパビリティ関係'!$F$4:$F$370,$B18,'VS×ケイパビリティ関係'!$G$4:$G$370,O$5,'VS×ケイパビリティ関係'!$E$4:$E$370,"支援")&gt;0,"○",""))</f>
        <v/>
      </c>
      <c r="P18" s="18">
        <f>IF(COUNTIFS('VS×ケイパビリティ関係'!$F$4:$F$370,$B18,'VS×ケイパビリティ関係'!$G$4:$G$370,P$5,'VS×ケイパビリティ関係'!$E$4:$E$370,"主")&gt;0,"●",IF(COUNTIFS('VS×ケイパビリティ関係'!$F$4:$F$370,$B18,'VS×ケイパビリティ関係'!$G$4:$G$370,P$5,'VS×ケイパビリティ関係'!$E$4:$E$370,"支援")&gt;0,"○",""))</f>
        <v/>
      </c>
      <c r="Q18" s="18">
        <f>IF(COUNTIFS('VS×ケイパビリティ関係'!$F$4:$F$370,$B18,'VS×ケイパビリティ関係'!$G$4:$G$370,Q$5,'VS×ケイパビリティ関係'!$E$4:$E$370,"主")&gt;0,"●",IF(COUNTIFS('VS×ケイパビリティ関係'!$F$4:$F$370,$B18,'VS×ケイパビリティ関係'!$G$4:$G$370,Q$5,'VS×ケイパビリティ関係'!$E$4:$E$370,"支援")&gt;0,"○",""))</f>
        <v/>
      </c>
      <c r="R18" s="18">
        <f>IF(COUNTIFS('VS×ケイパビリティ関係'!$F$4:$F$370,$B18,'VS×ケイパビリティ関係'!$G$4:$G$370,R$5,'VS×ケイパビリティ関係'!$E$4:$E$370,"主")&gt;0,"●",IF(COUNTIFS('VS×ケイパビリティ関係'!$F$4:$F$370,$B18,'VS×ケイパビリティ関係'!$G$4:$G$370,R$5,'VS×ケイパビリティ関係'!$E$4:$E$370,"支援")&gt;0,"○",""))</f>
        <v/>
      </c>
      <c r="S18" s="18">
        <f>IF(COUNTIFS('VS×ケイパビリティ関係'!$F$4:$F$370,$B18,'VS×ケイパビリティ関係'!$G$4:$G$370,S$5,'VS×ケイパビリティ関係'!$E$4:$E$370,"主")&gt;0,"●",IF(COUNTIFS('VS×ケイパビリティ関係'!$F$4:$F$370,$B18,'VS×ケイパビリティ関係'!$G$4:$G$370,S$5,'VS×ケイパビリティ関係'!$E$4:$E$370,"支援")&gt;0,"○",""))</f>
        <v/>
      </c>
      <c r="T18" s="18">
        <f>IF(COUNTIFS('VS×ケイパビリティ関係'!$F$4:$F$370,$B18,'VS×ケイパビリティ関係'!$G$4:$G$370,T$5,'VS×ケイパビリティ関係'!$E$4:$E$370,"主")&gt;0,"●",IF(COUNTIFS('VS×ケイパビリティ関係'!$F$4:$F$370,$B18,'VS×ケイパビリティ関係'!$G$4:$G$370,T$5,'VS×ケイパビリティ関係'!$E$4:$E$370,"支援")&gt;0,"○",""))</f>
        <v/>
      </c>
      <c r="U18" s="18">
        <f>IF(COUNTIFS('VS×ケイパビリティ関係'!$F$4:$F$370,$B18,'VS×ケイパビリティ関係'!$G$4:$G$370,U$5,'VS×ケイパビリティ関係'!$E$4:$E$370,"主")&gt;0,"●",IF(COUNTIFS('VS×ケイパビリティ関係'!$F$4:$F$370,$B18,'VS×ケイパビリティ関係'!$G$4:$G$370,U$5,'VS×ケイパビリティ関係'!$E$4:$E$370,"支援")&gt;0,"○",""))</f>
        <v/>
      </c>
      <c r="V18" s="18">
        <f>IF(COUNTIFS('VS×ケイパビリティ関係'!$F$4:$F$370,$B18,'VS×ケイパビリティ関係'!$G$4:$G$370,V$5,'VS×ケイパビリティ関係'!$E$4:$E$370,"主")&gt;0,"●",IF(COUNTIFS('VS×ケイパビリティ関係'!$F$4:$F$370,$B18,'VS×ケイパビリティ関係'!$G$4:$G$370,V$5,'VS×ケイパビリティ関係'!$E$4:$E$370,"支援")&gt;0,"○",""))</f>
        <v/>
      </c>
      <c r="W18" s="18">
        <f>IF(COUNTIFS('VS×ケイパビリティ関係'!$F$4:$F$370,$B18,'VS×ケイパビリティ関係'!$G$4:$G$370,W$5,'VS×ケイパビリティ関係'!$E$4:$E$370,"主")&gt;0,"●",IF(COUNTIFS('VS×ケイパビリティ関係'!$F$4:$F$370,$B18,'VS×ケイパビリティ関係'!$G$4:$G$370,W$5,'VS×ケイパビリティ関係'!$E$4:$E$370,"支援")&gt;0,"○",""))</f>
        <v/>
      </c>
      <c r="X18" s="18">
        <f>IF(COUNTIFS('VS×ケイパビリティ関係'!$F$4:$F$370,$B18,'VS×ケイパビリティ関係'!$G$4:$G$370,X$5,'VS×ケイパビリティ関係'!$E$4:$E$370,"主")&gt;0,"●",IF(COUNTIFS('VS×ケイパビリティ関係'!$F$4:$F$370,$B18,'VS×ケイパビリティ関係'!$G$4:$G$370,X$5,'VS×ケイパビリティ関係'!$E$4:$E$370,"支援")&gt;0,"○",""))</f>
        <v/>
      </c>
      <c r="Y18" s="18">
        <f>IF(COUNTIFS('VS×ケイパビリティ関係'!$F$4:$F$370,$B18,'VS×ケイパビリティ関係'!$G$4:$G$370,Y$5,'VS×ケイパビリティ関係'!$E$4:$E$370,"主")&gt;0,"●",IF(COUNTIFS('VS×ケイパビリティ関係'!$F$4:$F$370,$B18,'VS×ケイパビリティ関係'!$G$4:$G$370,Y$5,'VS×ケイパビリティ関係'!$E$4:$E$370,"支援")&gt;0,"○",""))</f>
        <v/>
      </c>
      <c r="Z18" s="18">
        <f>IF(COUNTIFS('VS×ケイパビリティ関係'!$F$4:$F$370,$B18,'VS×ケイパビリティ関係'!$G$4:$G$370,Z$5,'VS×ケイパビリティ関係'!$E$4:$E$370,"主")&gt;0,"●",IF(COUNTIFS('VS×ケイパビリティ関係'!$F$4:$F$370,$B18,'VS×ケイパビリティ関係'!$G$4:$G$370,Z$5,'VS×ケイパビリティ関係'!$E$4:$E$370,"支援")&gt;0,"○",""))</f>
        <v/>
      </c>
      <c r="AA18" s="18">
        <f>IF(COUNTIFS('VS×ケイパビリティ関係'!$F$4:$F$370,$B18,'VS×ケイパビリティ関係'!$G$4:$G$370,AA$5,'VS×ケイパビリティ関係'!$E$4:$E$370,"主")&gt;0,"●",IF(COUNTIFS('VS×ケイパビリティ関係'!$F$4:$F$370,$B18,'VS×ケイパビリティ関係'!$G$4:$G$370,AA$5,'VS×ケイパビリティ関係'!$E$4:$E$370,"支援")&gt;0,"○",""))</f>
        <v/>
      </c>
      <c r="AB18" s="18">
        <f>IF(COUNTIFS('VS×ケイパビリティ関係'!$F$4:$F$370,$B18,'VS×ケイパビリティ関係'!$G$4:$G$370,AB$5,'VS×ケイパビリティ関係'!$E$4:$E$370,"主")&gt;0,"●",IF(COUNTIFS('VS×ケイパビリティ関係'!$F$4:$F$370,$B18,'VS×ケイパビリティ関係'!$G$4:$G$370,AB$5,'VS×ケイパビリティ関係'!$E$4:$E$370,"支援")&gt;0,"○",""))</f>
        <v/>
      </c>
      <c r="AC18" s="18">
        <f>IF(COUNTIFS('VS×ケイパビリティ関係'!$F$4:$F$370,$B18,'VS×ケイパビリティ関係'!$G$4:$G$370,AC$5,'VS×ケイパビリティ関係'!$E$4:$E$370,"主")&gt;0,"●",IF(COUNTIFS('VS×ケイパビリティ関係'!$F$4:$F$370,$B18,'VS×ケイパビリティ関係'!$G$4:$G$370,AC$5,'VS×ケイパビリティ関係'!$E$4:$E$370,"支援")&gt;0,"○",""))</f>
        <v/>
      </c>
      <c r="AD18" s="18">
        <f>IF(COUNTIFS('VS×ケイパビリティ関係'!$F$4:$F$370,$B18,'VS×ケイパビリティ関係'!$G$4:$G$370,AD$5,'VS×ケイパビリティ関係'!$E$4:$E$370,"主")&gt;0,"●",IF(COUNTIFS('VS×ケイパビリティ関係'!$F$4:$F$370,$B18,'VS×ケイパビリティ関係'!$G$4:$G$370,AD$5,'VS×ケイパビリティ関係'!$E$4:$E$370,"支援")&gt;0,"○",""))</f>
        <v/>
      </c>
      <c r="AE18" s="18">
        <f>IF(COUNTIFS('VS×ケイパビリティ関係'!$F$4:$F$370,$B18,'VS×ケイパビリティ関係'!$G$4:$G$370,AE$5,'VS×ケイパビリティ関係'!$E$4:$E$370,"主")&gt;0,"●",IF(COUNTIFS('VS×ケイパビリティ関係'!$F$4:$F$370,$B18,'VS×ケイパビリティ関係'!$G$4:$G$370,AE$5,'VS×ケイパビリティ関係'!$E$4:$E$370,"支援")&gt;0,"○",""))</f>
        <v/>
      </c>
      <c r="AF18" s="18">
        <f>IF(COUNTIFS('VS×ケイパビリティ関係'!$F$4:$F$370,$B18,'VS×ケイパビリティ関係'!$G$4:$G$370,AF$5,'VS×ケイパビリティ関係'!$E$4:$E$370,"主")&gt;0,"●",IF(COUNTIFS('VS×ケイパビリティ関係'!$F$4:$F$370,$B18,'VS×ケイパビリティ関係'!$G$4:$G$370,AF$5,'VS×ケイパビリティ関係'!$E$4:$E$370,"支援")&gt;0,"○",""))</f>
        <v/>
      </c>
      <c r="AG18" s="18">
        <f>IF(COUNTIFS('VS×ケイパビリティ関係'!$F$4:$F$370,$B18,'VS×ケイパビリティ関係'!$G$4:$G$370,AG$5,'VS×ケイパビリティ関係'!$E$4:$E$370,"主")&gt;0,"●",IF(COUNTIFS('VS×ケイパビリティ関係'!$F$4:$F$370,$B18,'VS×ケイパビリティ関係'!$G$4:$G$370,AG$5,'VS×ケイパビリティ関係'!$E$4:$E$370,"支援")&gt;0,"○",""))</f>
        <v/>
      </c>
      <c r="AH18" s="18">
        <f>IF(COUNTIFS('VS×ケイパビリティ関係'!$F$4:$F$370,$B18,'VS×ケイパビリティ関係'!$G$4:$G$370,AH$5,'VS×ケイパビリティ関係'!$E$4:$E$370,"主")&gt;0,"●",IF(COUNTIFS('VS×ケイパビリティ関係'!$F$4:$F$370,$B18,'VS×ケイパビリティ関係'!$G$4:$G$370,AH$5,'VS×ケイパビリティ関係'!$E$4:$E$370,"支援")&gt;0,"○",""))</f>
        <v/>
      </c>
      <c r="AI18" s="18">
        <f>IF(COUNTIFS('VS×ケイパビリティ関係'!$F$4:$F$370,$B18,'VS×ケイパビリティ関係'!$G$4:$G$370,AI$5,'VS×ケイパビリティ関係'!$E$4:$E$370,"主")&gt;0,"●",IF(COUNTIFS('VS×ケイパビリティ関係'!$F$4:$F$370,$B18,'VS×ケイパビリティ関係'!$G$4:$G$370,AI$5,'VS×ケイパビリティ関係'!$E$4:$E$370,"支援")&gt;0,"○",""))</f>
        <v/>
      </c>
      <c r="AJ18" s="18">
        <f>COUNTIF(D18:AI18,"●")</f>
        <v/>
      </c>
      <c r="AK18" s="18">
        <f>COUNTIF(D18:AI18,"○")</f>
        <v/>
      </c>
    </row>
    <row r="19">
      <c r="A19" s="42" t="n"/>
      <c r="B19" s="18" t="inlineStr">
        <is>
          <t>04-02</t>
        </is>
      </c>
      <c r="C19" s="20" t="inlineStr">
        <is>
          <t>報酬決定</t>
        </is>
      </c>
      <c r="D19" s="18">
        <f>IF(COUNTIFS('VS×ケイパビリティ関係'!$F$4:$F$370,$B19,'VS×ケイパビリティ関係'!$G$4:$G$370,D$5,'VS×ケイパビリティ関係'!$E$4:$E$370,"主")&gt;0,"●",IF(COUNTIFS('VS×ケイパビリティ関係'!$F$4:$F$370,$B19,'VS×ケイパビリティ関係'!$G$4:$G$370,D$5,'VS×ケイパビリティ関係'!$E$4:$E$370,"支援")&gt;0,"○",""))</f>
        <v/>
      </c>
      <c r="E19" s="18">
        <f>IF(COUNTIFS('VS×ケイパビリティ関係'!$F$4:$F$370,$B19,'VS×ケイパビリティ関係'!$G$4:$G$370,E$5,'VS×ケイパビリティ関係'!$E$4:$E$370,"主")&gt;0,"●",IF(COUNTIFS('VS×ケイパビリティ関係'!$F$4:$F$370,$B19,'VS×ケイパビリティ関係'!$G$4:$G$370,E$5,'VS×ケイパビリティ関係'!$E$4:$E$370,"支援")&gt;0,"○",""))</f>
        <v/>
      </c>
      <c r="F19" s="18">
        <f>IF(COUNTIFS('VS×ケイパビリティ関係'!$F$4:$F$370,$B19,'VS×ケイパビリティ関係'!$G$4:$G$370,F$5,'VS×ケイパビリティ関係'!$E$4:$E$370,"主")&gt;0,"●",IF(COUNTIFS('VS×ケイパビリティ関係'!$F$4:$F$370,$B19,'VS×ケイパビリティ関係'!$G$4:$G$370,F$5,'VS×ケイパビリティ関係'!$E$4:$E$370,"支援")&gt;0,"○",""))</f>
        <v/>
      </c>
      <c r="G19" s="18">
        <f>IF(COUNTIFS('VS×ケイパビリティ関係'!$F$4:$F$370,$B19,'VS×ケイパビリティ関係'!$G$4:$G$370,G$5,'VS×ケイパビリティ関係'!$E$4:$E$370,"主")&gt;0,"●",IF(COUNTIFS('VS×ケイパビリティ関係'!$F$4:$F$370,$B19,'VS×ケイパビリティ関係'!$G$4:$G$370,G$5,'VS×ケイパビリティ関係'!$E$4:$E$370,"支援")&gt;0,"○",""))</f>
        <v/>
      </c>
      <c r="H19" s="18">
        <f>IF(COUNTIFS('VS×ケイパビリティ関係'!$F$4:$F$370,$B19,'VS×ケイパビリティ関係'!$G$4:$G$370,H$5,'VS×ケイパビリティ関係'!$E$4:$E$370,"主")&gt;0,"●",IF(COUNTIFS('VS×ケイパビリティ関係'!$F$4:$F$370,$B19,'VS×ケイパビリティ関係'!$G$4:$G$370,H$5,'VS×ケイパビリティ関係'!$E$4:$E$370,"支援")&gt;0,"○",""))</f>
        <v/>
      </c>
      <c r="I19" s="18">
        <f>IF(COUNTIFS('VS×ケイパビリティ関係'!$F$4:$F$370,$B19,'VS×ケイパビリティ関係'!$G$4:$G$370,I$5,'VS×ケイパビリティ関係'!$E$4:$E$370,"主")&gt;0,"●",IF(COUNTIFS('VS×ケイパビリティ関係'!$F$4:$F$370,$B19,'VS×ケイパビリティ関係'!$G$4:$G$370,I$5,'VS×ケイパビリティ関係'!$E$4:$E$370,"支援")&gt;0,"○",""))</f>
        <v/>
      </c>
      <c r="J19" s="18">
        <f>IF(COUNTIFS('VS×ケイパビリティ関係'!$F$4:$F$370,$B19,'VS×ケイパビリティ関係'!$G$4:$G$370,J$5,'VS×ケイパビリティ関係'!$E$4:$E$370,"主")&gt;0,"●",IF(COUNTIFS('VS×ケイパビリティ関係'!$F$4:$F$370,$B19,'VS×ケイパビリティ関係'!$G$4:$G$370,J$5,'VS×ケイパビリティ関係'!$E$4:$E$370,"支援")&gt;0,"○",""))</f>
        <v/>
      </c>
      <c r="K19" s="18">
        <f>IF(COUNTIFS('VS×ケイパビリティ関係'!$F$4:$F$370,$B19,'VS×ケイパビリティ関係'!$G$4:$G$370,K$5,'VS×ケイパビリティ関係'!$E$4:$E$370,"主")&gt;0,"●",IF(COUNTIFS('VS×ケイパビリティ関係'!$F$4:$F$370,$B19,'VS×ケイパビリティ関係'!$G$4:$G$370,K$5,'VS×ケイパビリティ関係'!$E$4:$E$370,"支援")&gt;0,"○",""))</f>
        <v/>
      </c>
      <c r="L19" s="18">
        <f>IF(COUNTIFS('VS×ケイパビリティ関係'!$F$4:$F$370,$B19,'VS×ケイパビリティ関係'!$G$4:$G$370,L$5,'VS×ケイパビリティ関係'!$E$4:$E$370,"主")&gt;0,"●",IF(COUNTIFS('VS×ケイパビリティ関係'!$F$4:$F$370,$B19,'VS×ケイパビリティ関係'!$G$4:$G$370,L$5,'VS×ケイパビリティ関係'!$E$4:$E$370,"支援")&gt;0,"○",""))</f>
        <v/>
      </c>
      <c r="M19" s="18">
        <f>IF(COUNTIFS('VS×ケイパビリティ関係'!$F$4:$F$370,$B19,'VS×ケイパビリティ関係'!$G$4:$G$370,M$5,'VS×ケイパビリティ関係'!$E$4:$E$370,"主")&gt;0,"●",IF(COUNTIFS('VS×ケイパビリティ関係'!$F$4:$F$370,$B19,'VS×ケイパビリティ関係'!$G$4:$G$370,M$5,'VS×ケイパビリティ関係'!$E$4:$E$370,"支援")&gt;0,"○",""))</f>
        <v/>
      </c>
      <c r="N19" s="18">
        <f>IF(COUNTIFS('VS×ケイパビリティ関係'!$F$4:$F$370,$B19,'VS×ケイパビリティ関係'!$G$4:$G$370,N$5,'VS×ケイパビリティ関係'!$E$4:$E$370,"主")&gt;0,"●",IF(COUNTIFS('VS×ケイパビリティ関係'!$F$4:$F$370,$B19,'VS×ケイパビリティ関係'!$G$4:$G$370,N$5,'VS×ケイパビリティ関係'!$E$4:$E$370,"支援")&gt;0,"○",""))</f>
        <v/>
      </c>
      <c r="O19" s="18">
        <f>IF(COUNTIFS('VS×ケイパビリティ関係'!$F$4:$F$370,$B19,'VS×ケイパビリティ関係'!$G$4:$G$370,O$5,'VS×ケイパビリティ関係'!$E$4:$E$370,"主")&gt;0,"●",IF(COUNTIFS('VS×ケイパビリティ関係'!$F$4:$F$370,$B19,'VS×ケイパビリティ関係'!$G$4:$G$370,O$5,'VS×ケイパビリティ関係'!$E$4:$E$370,"支援")&gt;0,"○",""))</f>
        <v/>
      </c>
      <c r="P19" s="18">
        <f>IF(COUNTIFS('VS×ケイパビリティ関係'!$F$4:$F$370,$B19,'VS×ケイパビリティ関係'!$G$4:$G$370,P$5,'VS×ケイパビリティ関係'!$E$4:$E$370,"主")&gt;0,"●",IF(COUNTIFS('VS×ケイパビリティ関係'!$F$4:$F$370,$B19,'VS×ケイパビリティ関係'!$G$4:$G$370,P$5,'VS×ケイパビリティ関係'!$E$4:$E$370,"支援")&gt;0,"○",""))</f>
        <v/>
      </c>
      <c r="Q19" s="18">
        <f>IF(COUNTIFS('VS×ケイパビリティ関係'!$F$4:$F$370,$B19,'VS×ケイパビリティ関係'!$G$4:$G$370,Q$5,'VS×ケイパビリティ関係'!$E$4:$E$370,"主")&gt;0,"●",IF(COUNTIFS('VS×ケイパビリティ関係'!$F$4:$F$370,$B19,'VS×ケイパビリティ関係'!$G$4:$G$370,Q$5,'VS×ケイパビリティ関係'!$E$4:$E$370,"支援")&gt;0,"○",""))</f>
        <v/>
      </c>
      <c r="R19" s="18">
        <f>IF(COUNTIFS('VS×ケイパビリティ関係'!$F$4:$F$370,$B19,'VS×ケイパビリティ関係'!$G$4:$G$370,R$5,'VS×ケイパビリティ関係'!$E$4:$E$370,"主")&gt;0,"●",IF(COUNTIFS('VS×ケイパビリティ関係'!$F$4:$F$370,$B19,'VS×ケイパビリティ関係'!$G$4:$G$370,R$5,'VS×ケイパビリティ関係'!$E$4:$E$370,"支援")&gt;0,"○",""))</f>
        <v/>
      </c>
      <c r="S19" s="18">
        <f>IF(COUNTIFS('VS×ケイパビリティ関係'!$F$4:$F$370,$B19,'VS×ケイパビリティ関係'!$G$4:$G$370,S$5,'VS×ケイパビリティ関係'!$E$4:$E$370,"主")&gt;0,"●",IF(COUNTIFS('VS×ケイパビリティ関係'!$F$4:$F$370,$B19,'VS×ケイパビリティ関係'!$G$4:$G$370,S$5,'VS×ケイパビリティ関係'!$E$4:$E$370,"支援")&gt;0,"○",""))</f>
        <v/>
      </c>
      <c r="T19" s="18">
        <f>IF(COUNTIFS('VS×ケイパビリティ関係'!$F$4:$F$370,$B19,'VS×ケイパビリティ関係'!$G$4:$G$370,T$5,'VS×ケイパビリティ関係'!$E$4:$E$370,"主")&gt;0,"●",IF(COUNTIFS('VS×ケイパビリティ関係'!$F$4:$F$370,$B19,'VS×ケイパビリティ関係'!$G$4:$G$370,T$5,'VS×ケイパビリティ関係'!$E$4:$E$370,"支援")&gt;0,"○",""))</f>
        <v/>
      </c>
      <c r="U19" s="18">
        <f>IF(COUNTIFS('VS×ケイパビリティ関係'!$F$4:$F$370,$B19,'VS×ケイパビリティ関係'!$G$4:$G$370,U$5,'VS×ケイパビリティ関係'!$E$4:$E$370,"主")&gt;0,"●",IF(COUNTIFS('VS×ケイパビリティ関係'!$F$4:$F$370,$B19,'VS×ケイパビリティ関係'!$G$4:$G$370,U$5,'VS×ケイパビリティ関係'!$E$4:$E$370,"支援")&gt;0,"○",""))</f>
        <v/>
      </c>
      <c r="V19" s="18">
        <f>IF(COUNTIFS('VS×ケイパビリティ関係'!$F$4:$F$370,$B19,'VS×ケイパビリティ関係'!$G$4:$G$370,V$5,'VS×ケイパビリティ関係'!$E$4:$E$370,"主")&gt;0,"●",IF(COUNTIFS('VS×ケイパビリティ関係'!$F$4:$F$370,$B19,'VS×ケイパビリティ関係'!$G$4:$G$370,V$5,'VS×ケイパビリティ関係'!$E$4:$E$370,"支援")&gt;0,"○",""))</f>
        <v/>
      </c>
      <c r="W19" s="18">
        <f>IF(COUNTIFS('VS×ケイパビリティ関係'!$F$4:$F$370,$B19,'VS×ケイパビリティ関係'!$G$4:$G$370,W$5,'VS×ケイパビリティ関係'!$E$4:$E$370,"主")&gt;0,"●",IF(COUNTIFS('VS×ケイパビリティ関係'!$F$4:$F$370,$B19,'VS×ケイパビリティ関係'!$G$4:$G$370,W$5,'VS×ケイパビリティ関係'!$E$4:$E$370,"支援")&gt;0,"○",""))</f>
        <v/>
      </c>
      <c r="X19" s="18">
        <f>IF(COUNTIFS('VS×ケイパビリティ関係'!$F$4:$F$370,$B19,'VS×ケイパビリティ関係'!$G$4:$G$370,X$5,'VS×ケイパビリティ関係'!$E$4:$E$370,"主")&gt;0,"●",IF(COUNTIFS('VS×ケイパビリティ関係'!$F$4:$F$370,$B19,'VS×ケイパビリティ関係'!$G$4:$G$370,X$5,'VS×ケイパビリティ関係'!$E$4:$E$370,"支援")&gt;0,"○",""))</f>
        <v/>
      </c>
      <c r="Y19" s="18">
        <f>IF(COUNTIFS('VS×ケイパビリティ関係'!$F$4:$F$370,$B19,'VS×ケイパビリティ関係'!$G$4:$G$370,Y$5,'VS×ケイパビリティ関係'!$E$4:$E$370,"主")&gt;0,"●",IF(COUNTIFS('VS×ケイパビリティ関係'!$F$4:$F$370,$B19,'VS×ケイパビリティ関係'!$G$4:$G$370,Y$5,'VS×ケイパビリティ関係'!$E$4:$E$370,"支援")&gt;0,"○",""))</f>
        <v/>
      </c>
      <c r="Z19" s="18">
        <f>IF(COUNTIFS('VS×ケイパビリティ関係'!$F$4:$F$370,$B19,'VS×ケイパビリティ関係'!$G$4:$G$370,Z$5,'VS×ケイパビリティ関係'!$E$4:$E$370,"主")&gt;0,"●",IF(COUNTIFS('VS×ケイパビリティ関係'!$F$4:$F$370,$B19,'VS×ケイパビリティ関係'!$G$4:$G$370,Z$5,'VS×ケイパビリティ関係'!$E$4:$E$370,"支援")&gt;0,"○",""))</f>
        <v/>
      </c>
      <c r="AA19" s="18">
        <f>IF(COUNTIFS('VS×ケイパビリティ関係'!$F$4:$F$370,$B19,'VS×ケイパビリティ関係'!$G$4:$G$370,AA$5,'VS×ケイパビリティ関係'!$E$4:$E$370,"主")&gt;0,"●",IF(COUNTIFS('VS×ケイパビリティ関係'!$F$4:$F$370,$B19,'VS×ケイパビリティ関係'!$G$4:$G$370,AA$5,'VS×ケイパビリティ関係'!$E$4:$E$370,"支援")&gt;0,"○",""))</f>
        <v/>
      </c>
      <c r="AB19" s="18">
        <f>IF(COUNTIFS('VS×ケイパビリティ関係'!$F$4:$F$370,$B19,'VS×ケイパビリティ関係'!$G$4:$G$370,AB$5,'VS×ケイパビリティ関係'!$E$4:$E$370,"主")&gt;0,"●",IF(COUNTIFS('VS×ケイパビリティ関係'!$F$4:$F$370,$B19,'VS×ケイパビリティ関係'!$G$4:$G$370,AB$5,'VS×ケイパビリティ関係'!$E$4:$E$370,"支援")&gt;0,"○",""))</f>
        <v/>
      </c>
      <c r="AC19" s="18">
        <f>IF(COUNTIFS('VS×ケイパビリティ関係'!$F$4:$F$370,$B19,'VS×ケイパビリティ関係'!$G$4:$G$370,AC$5,'VS×ケイパビリティ関係'!$E$4:$E$370,"主")&gt;0,"●",IF(COUNTIFS('VS×ケイパビリティ関係'!$F$4:$F$370,$B19,'VS×ケイパビリティ関係'!$G$4:$G$370,AC$5,'VS×ケイパビリティ関係'!$E$4:$E$370,"支援")&gt;0,"○",""))</f>
        <v/>
      </c>
      <c r="AD19" s="18">
        <f>IF(COUNTIFS('VS×ケイパビリティ関係'!$F$4:$F$370,$B19,'VS×ケイパビリティ関係'!$G$4:$G$370,AD$5,'VS×ケイパビリティ関係'!$E$4:$E$370,"主")&gt;0,"●",IF(COUNTIFS('VS×ケイパビリティ関係'!$F$4:$F$370,$B19,'VS×ケイパビリティ関係'!$G$4:$G$370,AD$5,'VS×ケイパビリティ関係'!$E$4:$E$370,"支援")&gt;0,"○",""))</f>
        <v/>
      </c>
      <c r="AE19" s="18">
        <f>IF(COUNTIFS('VS×ケイパビリティ関係'!$F$4:$F$370,$B19,'VS×ケイパビリティ関係'!$G$4:$G$370,AE$5,'VS×ケイパビリティ関係'!$E$4:$E$370,"主")&gt;0,"●",IF(COUNTIFS('VS×ケイパビリティ関係'!$F$4:$F$370,$B19,'VS×ケイパビリティ関係'!$G$4:$G$370,AE$5,'VS×ケイパビリティ関係'!$E$4:$E$370,"支援")&gt;0,"○",""))</f>
        <v/>
      </c>
      <c r="AF19" s="18">
        <f>IF(COUNTIFS('VS×ケイパビリティ関係'!$F$4:$F$370,$B19,'VS×ケイパビリティ関係'!$G$4:$G$370,AF$5,'VS×ケイパビリティ関係'!$E$4:$E$370,"主")&gt;0,"●",IF(COUNTIFS('VS×ケイパビリティ関係'!$F$4:$F$370,$B19,'VS×ケイパビリティ関係'!$G$4:$G$370,AF$5,'VS×ケイパビリティ関係'!$E$4:$E$370,"支援")&gt;0,"○",""))</f>
        <v/>
      </c>
      <c r="AG19" s="18">
        <f>IF(COUNTIFS('VS×ケイパビリティ関係'!$F$4:$F$370,$B19,'VS×ケイパビリティ関係'!$G$4:$G$370,AG$5,'VS×ケイパビリティ関係'!$E$4:$E$370,"主")&gt;0,"●",IF(COUNTIFS('VS×ケイパビリティ関係'!$F$4:$F$370,$B19,'VS×ケイパビリティ関係'!$G$4:$G$370,AG$5,'VS×ケイパビリティ関係'!$E$4:$E$370,"支援")&gt;0,"○",""))</f>
        <v/>
      </c>
      <c r="AH19" s="18">
        <f>IF(COUNTIFS('VS×ケイパビリティ関係'!$F$4:$F$370,$B19,'VS×ケイパビリティ関係'!$G$4:$G$370,AH$5,'VS×ケイパビリティ関係'!$E$4:$E$370,"主")&gt;0,"●",IF(COUNTIFS('VS×ケイパビリティ関係'!$F$4:$F$370,$B19,'VS×ケイパビリティ関係'!$G$4:$G$370,AH$5,'VS×ケイパビリティ関係'!$E$4:$E$370,"支援")&gt;0,"○",""))</f>
        <v/>
      </c>
      <c r="AI19" s="18">
        <f>IF(COUNTIFS('VS×ケイパビリティ関係'!$F$4:$F$370,$B19,'VS×ケイパビリティ関係'!$G$4:$G$370,AI$5,'VS×ケイパビリティ関係'!$E$4:$E$370,"主")&gt;0,"●",IF(COUNTIFS('VS×ケイパビリティ関係'!$F$4:$F$370,$B19,'VS×ケイパビリティ関係'!$G$4:$G$370,AI$5,'VS×ケイパビリティ関係'!$E$4:$E$370,"支援")&gt;0,"○",""))</f>
        <v/>
      </c>
      <c r="AJ19" s="18">
        <f>COUNTIF(D19:AI19,"●")</f>
        <v/>
      </c>
      <c r="AK19" s="18">
        <f>COUNTIF(D19:AI19,"○")</f>
        <v/>
      </c>
    </row>
    <row r="20">
      <c r="A20" s="42" t="n"/>
      <c r="B20" s="18" t="inlineStr">
        <is>
          <t>04-03</t>
        </is>
      </c>
      <c r="C20" s="20" t="inlineStr">
        <is>
          <t>勤怠・休暇管理</t>
        </is>
      </c>
      <c r="D20" s="18">
        <f>IF(COUNTIFS('VS×ケイパビリティ関係'!$F$4:$F$370,$B20,'VS×ケイパビリティ関係'!$G$4:$G$370,D$5,'VS×ケイパビリティ関係'!$E$4:$E$370,"主")&gt;0,"●",IF(COUNTIFS('VS×ケイパビリティ関係'!$F$4:$F$370,$B20,'VS×ケイパビリティ関係'!$G$4:$G$370,D$5,'VS×ケイパビリティ関係'!$E$4:$E$370,"支援")&gt;0,"○",""))</f>
        <v/>
      </c>
      <c r="E20" s="18">
        <f>IF(COUNTIFS('VS×ケイパビリティ関係'!$F$4:$F$370,$B20,'VS×ケイパビリティ関係'!$G$4:$G$370,E$5,'VS×ケイパビリティ関係'!$E$4:$E$370,"主")&gt;0,"●",IF(COUNTIFS('VS×ケイパビリティ関係'!$F$4:$F$370,$B20,'VS×ケイパビリティ関係'!$G$4:$G$370,E$5,'VS×ケイパビリティ関係'!$E$4:$E$370,"支援")&gt;0,"○",""))</f>
        <v/>
      </c>
      <c r="F20" s="18">
        <f>IF(COUNTIFS('VS×ケイパビリティ関係'!$F$4:$F$370,$B20,'VS×ケイパビリティ関係'!$G$4:$G$370,F$5,'VS×ケイパビリティ関係'!$E$4:$E$370,"主")&gt;0,"●",IF(COUNTIFS('VS×ケイパビリティ関係'!$F$4:$F$370,$B20,'VS×ケイパビリティ関係'!$G$4:$G$370,F$5,'VS×ケイパビリティ関係'!$E$4:$E$370,"支援")&gt;0,"○",""))</f>
        <v/>
      </c>
      <c r="G20" s="18">
        <f>IF(COUNTIFS('VS×ケイパビリティ関係'!$F$4:$F$370,$B20,'VS×ケイパビリティ関係'!$G$4:$G$370,G$5,'VS×ケイパビリティ関係'!$E$4:$E$370,"主")&gt;0,"●",IF(COUNTIFS('VS×ケイパビリティ関係'!$F$4:$F$370,$B20,'VS×ケイパビリティ関係'!$G$4:$G$370,G$5,'VS×ケイパビリティ関係'!$E$4:$E$370,"支援")&gt;0,"○",""))</f>
        <v/>
      </c>
      <c r="H20" s="18">
        <f>IF(COUNTIFS('VS×ケイパビリティ関係'!$F$4:$F$370,$B20,'VS×ケイパビリティ関係'!$G$4:$G$370,H$5,'VS×ケイパビリティ関係'!$E$4:$E$370,"主")&gt;0,"●",IF(COUNTIFS('VS×ケイパビリティ関係'!$F$4:$F$370,$B20,'VS×ケイパビリティ関係'!$G$4:$G$370,H$5,'VS×ケイパビリティ関係'!$E$4:$E$370,"支援")&gt;0,"○",""))</f>
        <v/>
      </c>
      <c r="I20" s="18">
        <f>IF(COUNTIFS('VS×ケイパビリティ関係'!$F$4:$F$370,$B20,'VS×ケイパビリティ関係'!$G$4:$G$370,I$5,'VS×ケイパビリティ関係'!$E$4:$E$370,"主")&gt;0,"●",IF(COUNTIFS('VS×ケイパビリティ関係'!$F$4:$F$370,$B20,'VS×ケイパビリティ関係'!$G$4:$G$370,I$5,'VS×ケイパビリティ関係'!$E$4:$E$370,"支援")&gt;0,"○",""))</f>
        <v/>
      </c>
      <c r="J20" s="18">
        <f>IF(COUNTIFS('VS×ケイパビリティ関係'!$F$4:$F$370,$B20,'VS×ケイパビリティ関係'!$G$4:$G$370,J$5,'VS×ケイパビリティ関係'!$E$4:$E$370,"主")&gt;0,"●",IF(COUNTIFS('VS×ケイパビリティ関係'!$F$4:$F$370,$B20,'VS×ケイパビリティ関係'!$G$4:$G$370,J$5,'VS×ケイパビリティ関係'!$E$4:$E$370,"支援")&gt;0,"○",""))</f>
        <v/>
      </c>
      <c r="K20" s="18">
        <f>IF(COUNTIFS('VS×ケイパビリティ関係'!$F$4:$F$370,$B20,'VS×ケイパビリティ関係'!$G$4:$G$370,K$5,'VS×ケイパビリティ関係'!$E$4:$E$370,"主")&gt;0,"●",IF(COUNTIFS('VS×ケイパビリティ関係'!$F$4:$F$370,$B20,'VS×ケイパビリティ関係'!$G$4:$G$370,K$5,'VS×ケイパビリティ関係'!$E$4:$E$370,"支援")&gt;0,"○",""))</f>
        <v/>
      </c>
      <c r="L20" s="18">
        <f>IF(COUNTIFS('VS×ケイパビリティ関係'!$F$4:$F$370,$B20,'VS×ケイパビリティ関係'!$G$4:$G$370,L$5,'VS×ケイパビリティ関係'!$E$4:$E$370,"主")&gt;0,"●",IF(COUNTIFS('VS×ケイパビリティ関係'!$F$4:$F$370,$B20,'VS×ケイパビリティ関係'!$G$4:$G$370,L$5,'VS×ケイパビリティ関係'!$E$4:$E$370,"支援")&gt;0,"○",""))</f>
        <v/>
      </c>
      <c r="M20" s="18">
        <f>IF(COUNTIFS('VS×ケイパビリティ関係'!$F$4:$F$370,$B20,'VS×ケイパビリティ関係'!$G$4:$G$370,M$5,'VS×ケイパビリティ関係'!$E$4:$E$370,"主")&gt;0,"●",IF(COUNTIFS('VS×ケイパビリティ関係'!$F$4:$F$370,$B20,'VS×ケイパビリティ関係'!$G$4:$G$370,M$5,'VS×ケイパビリティ関係'!$E$4:$E$370,"支援")&gt;0,"○",""))</f>
        <v/>
      </c>
      <c r="N20" s="18">
        <f>IF(COUNTIFS('VS×ケイパビリティ関係'!$F$4:$F$370,$B20,'VS×ケイパビリティ関係'!$G$4:$G$370,N$5,'VS×ケイパビリティ関係'!$E$4:$E$370,"主")&gt;0,"●",IF(COUNTIFS('VS×ケイパビリティ関係'!$F$4:$F$370,$B20,'VS×ケイパビリティ関係'!$G$4:$G$370,N$5,'VS×ケイパビリティ関係'!$E$4:$E$370,"支援")&gt;0,"○",""))</f>
        <v/>
      </c>
      <c r="O20" s="18">
        <f>IF(COUNTIFS('VS×ケイパビリティ関係'!$F$4:$F$370,$B20,'VS×ケイパビリティ関係'!$G$4:$G$370,O$5,'VS×ケイパビリティ関係'!$E$4:$E$370,"主")&gt;0,"●",IF(COUNTIFS('VS×ケイパビリティ関係'!$F$4:$F$370,$B20,'VS×ケイパビリティ関係'!$G$4:$G$370,O$5,'VS×ケイパビリティ関係'!$E$4:$E$370,"支援")&gt;0,"○",""))</f>
        <v/>
      </c>
      <c r="P20" s="18">
        <f>IF(COUNTIFS('VS×ケイパビリティ関係'!$F$4:$F$370,$B20,'VS×ケイパビリティ関係'!$G$4:$G$370,P$5,'VS×ケイパビリティ関係'!$E$4:$E$370,"主")&gt;0,"●",IF(COUNTIFS('VS×ケイパビリティ関係'!$F$4:$F$370,$B20,'VS×ケイパビリティ関係'!$G$4:$G$370,P$5,'VS×ケイパビリティ関係'!$E$4:$E$370,"支援")&gt;0,"○",""))</f>
        <v/>
      </c>
      <c r="Q20" s="18">
        <f>IF(COUNTIFS('VS×ケイパビリティ関係'!$F$4:$F$370,$B20,'VS×ケイパビリティ関係'!$G$4:$G$370,Q$5,'VS×ケイパビリティ関係'!$E$4:$E$370,"主")&gt;0,"●",IF(COUNTIFS('VS×ケイパビリティ関係'!$F$4:$F$370,$B20,'VS×ケイパビリティ関係'!$G$4:$G$370,Q$5,'VS×ケイパビリティ関係'!$E$4:$E$370,"支援")&gt;0,"○",""))</f>
        <v/>
      </c>
      <c r="R20" s="18">
        <f>IF(COUNTIFS('VS×ケイパビリティ関係'!$F$4:$F$370,$B20,'VS×ケイパビリティ関係'!$G$4:$G$370,R$5,'VS×ケイパビリティ関係'!$E$4:$E$370,"主")&gt;0,"●",IF(COUNTIFS('VS×ケイパビリティ関係'!$F$4:$F$370,$B20,'VS×ケイパビリティ関係'!$G$4:$G$370,R$5,'VS×ケイパビリティ関係'!$E$4:$E$370,"支援")&gt;0,"○",""))</f>
        <v/>
      </c>
      <c r="S20" s="18">
        <f>IF(COUNTIFS('VS×ケイパビリティ関係'!$F$4:$F$370,$B20,'VS×ケイパビリティ関係'!$G$4:$G$370,S$5,'VS×ケイパビリティ関係'!$E$4:$E$370,"主")&gt;0,"●",IF(COUNTIFS('VS×ケイパビリティ関係'!$F$4:$F$370,$B20,'VS×ケイパビリティ関係'!$G$4:$G$370,S$5,'VS×ケイパビリティ関係'!$E$4:$E$370,"支援")&gt;0,"○",""))</f>
        <v/>
      </c>
      <c r="T20" s="18">
        <f>IF(COUNTIFS('VS×ケイパビリティ関係'!$F$4:$F$370,$B20,'VS×ケイパビリティ関係'!$G$4:$G$370,T$5,'VS×ケイパビリティ関係'!$E$4:$E$370,"主")&gt;0,"●",IF(COUNTIFS('VS×ケイパビリティ関係'!$F$4:$F$370,$B20,'VS×ケイパビリティ関係'!$G$4:$G$370,T$5,'VS×ケイパビリティ関係'!$E$4:$E$370,"支援")&gt;0,"○",""))</f>
        <v/>
      </c>
      <c r="U20" s="18">
        <f>IF(COUNTIFS('VS×ケイパビリティ関係'!$F$4:$F$370,$B20,'VS×ケイパビリティ関係'!$G$4:$G$370,U$5,'VS×ケイパビリティ関係'!$E$4:$E$370,"主")&gt;0,"●",IF(COUNTIFS('VS×ケイパビリティ関係'!$F$4:$F$370,$B20,'VS×ケイパビリティ関係'!$G$4:$G$370,U$5,'VS×ケイパビリティ関係'!$E$4:$E$370,"支援")&gt;0,"○",""))</f>
        <v/>
      </c>
      <c r="V20" s="18">
        <f>IF(COUNTIFS('VS×ケイパビリティ関係'!$F$4:$F$370,$B20,'VS×ケイパビリティ関係'!$G$4:$G$370,V$5,'VS×ケイパビリティ関係'!$E$4:$E$370,"主")&gt;0,"●",IF(COUNTIFS('VS×ケイパビリティ関係'!$F$4:$F$370,$B20,'VS×ケイパビリティ関係'!$G$4:$G$370,V$5,'VS×ケイパビリティ関係'!$E$4:$E$370,"支援")&gt;0,"○",""))</f>
        <v/>
      </c>
      <c r="W20" s="18">
        <f>IF(COUNTIFS('VS×ケイパビリティ関係'!$F$4:$F$370,$B20,'VS×ケイパビリティ関係'!$G$4:$G$370,W$5,'VS×ケイパビリティ関係'!$E$4:$E$370,"主")&gt;0,"●",IF(COUNTIFS('VS×ケイパビリティ関係'!$F$4:$F$370,$B20,'VS×ケイパビリティ関係'!$G$4:$G$370,W$5,'VS×ケイパビリティ関係'!$E$4:$E$370,"支援")&gt;0,"○",""))</f>
        <v/>
      </c>
      <c r="X20" s="18">
        <f>IF(COUNTIFS('VS×ケイパビリティ関係'!$F$4:$F$370,$B20,'VS×ケイパビリティ関係'!$G$4:$G$370,X$5,'VS×ケイパビリティ関係'!$E$4:$E$370,"主")&gt;0,"●",IF(COUNTIFS('VS×ケイパビリティ関係'!$F$4:$F$370,$B20,'VS×ケイパビリティ関係'!$G$4:$G$370,X$5,'VS×ケイパビリティ関係'!$E$4:$E$370,"支援")&gt;0,"○",""))</f>
        <v/>
      </c>
      <c r="Y20" s="18">
        <f>IF(COUNTIFS('VS×ケイパビリティ関係'!$F$4:$F$370,$B20,'VS×ケイパビリティ関係'!$G$4:$G$370,Y$5,'VS×ケイパビリティ関係'!$E$4:$E$370,"主")&gt;0,"●",IF(COUNTIFS('VS×ケイパビリティ関係'!$F$4:$F$370,$B20,'VS×ケイパビリティ関係'!$G$4:$G$370,Y$5,'VS×ケイパビリティ関係'!$E$4:$E$370,"支援")&gt;0,"○",""))</f>
        <v/>
      </c>
      <c r="Z20" s="18">
        <f>IF(COUNTIFS('VS×ケイパビリティ関係'!$F$4:$F$370,$B20,'VS×ケイパビリティ関係'!$G$4:$G$370,Z$5,'VS×ケイパビリティ関係'!$E$4:$E$370,"主")&gt;0,"●",IF(COUNTIFS('VS×ケイパビリティ関係'!$F$4:$F$370,$B20,'VS×ケイパビリティ関係'!$G$4:$G$370,Z$5,'VS×ケイパビリティ関係'!$E$4:$E$370,"支援")&gt;0,"○",""))</f>
        <v/>
      </c>
      <c r="AA20" s="18">
        <f>IF(COUNTIFS('VS×ケイパビリティ関係'!$F$4:$F$370,$B20,'VS×ケイパビリティ関係'!$G$4:$G$370,AA$5,'VS×ケイパビリティ関係'!$E$4:$E$370,"主")&gt;0,"●",IF(COUNTIFS('VS×ケイパビリティ関係'!$F$4:$F$370,$B20,'VS×ケイパビリティ関係'!$G$4:$G$370,AA$5,'VS×ケイパビリティ関係'!$E$4:$E$370,"支援")&gt;0,"○",""))</f>
        <v/>
      </c>
      <c r="AB20" s="18">
        <f>IF(COUNTIFS('VS×ケイパビリティ関係'!$F$4:$F$370,$B20,'VS×ケイパビリティ関係'!$G$4:$G$370,AB$5,'VS×ケイパビリティ関係'!$E$4:$E$370,"主")&gt;0,"●",IF(COUNTIFS('VS×ケイパビリティ関係'!$F$4:$F$370,$B20,'VS×ケイパビリティ関係'!$G$4:$G$370,AB$5,'VS×ケイパビリティ関係'!$E$4:$E$370,"支援")&gt;0,"○",""))</f>
        <v/>
      </c>
      <c r="AC20" s="18">
        <f>IF(COUNTIFS('VS×ケイパビリティ関係'!$F$4:$F$370,$B20,'VS×ケイパビリティ関係'!$G$4:$G$370,AC$5,'VS×ケイパビリティ関係'!$E$4:$E$370,"主")&gt;0,"●",IF(COUNTIFS('VS×ケイパビリティ関係'!$F$4:$F$370,$B20,'VS×ケイパビリティ関係'!$G$4:$G$370,AC$5,'VS×ケイパビリティ関係'!$E$4:$E$370,"支援")&gt;0,"○",""))</f>
        <v/>
      </c>
      <c r="AD20" s="18">
        <f>IF(COUNTIFS('VS×ケイパビリティ関係'!$F$4:$F$370,$B20,'VS×ケイパビリティ関係'!$G$4:$G$370,AD$5,'VS×ケイパビリティ関係'!$E$4:$E$370,"主")&gt;0,"●",IF(COUNTIFS('VS×ケイパビリティ関係'!$F$4:$F$370,$B20,'VS×ケイパビリティ関係'!$G$4:$G$370,AD$5,'VS×ケイパビリティ関係'!$E$4:$E$370,"支援")&gt;0,"○",""))</f>
        <v/>
      </c>
      <c r="AE20" s="18">
        <f>IF(COUNTIFS('VS×ケイパビリティ関係'!$F$4:$F$370,$B20,'VS×ケイパビリティ関係'!$G$4:$G$370,AE$5,'VS×ケイパビリティ関係'!$E$4:$E$370,"主")&gt;0,"●",IF(COUNTIFS('VS×ケイパビリティ関係'!$F$4:$F$370,$B20,'VS×ケイパビリティ関係'!$G$4:$G$370,AE$5,'VS×ケイパビリティ関係'!$E$4:$E$370,"支援")&gt;0,"○",""))</f>
        <v/>
      </c>
      <c r="AF20" s="18">
        <f>IF(COUNTIFS('VS×ケイパビリティ関係'!$F$4:$F$370,$B20,'VS×ケイパビリティ関係'!$G$4:$G$370,AF$5,'VS×ケイパビリティ関係'!$E$4:$E$370,"主")&gt;0,"●",IF(COUNTIFS('VS×ケイパビリティ関係'!$F$4:$F$370,$B20,'VS×ケイパビリティ関係'!$G$4:$G$370,AF$5,'VS×ケイパビリティ関係'!$E$4:$E$370,"支援")&gt;0,"○",""))</f>
        <v/>
      </c>
      <c r="AG20" s="18">
        <f>IF(COUNTIFS('VS×ケイパビリティ関係'!$F$4:$F$370,$B20,'VS×ケイパビリティ関係'!$G$4:$G$370,AG$5,'VS×ケイパビリティ関係'!$E$4:$E$370,"主")&gt;0,"●",IF(COUNTIFS('VS×ケイパビリティ関係'!$F$4:$F$370,$B20,'VS×ケイパビリティ関係'!$G$4:$G$370,AG$5,'VS×ケイパビリティ関係'!$E$4:$E$370,"支援")&gt;0,"○",""))</f>
        <v/>
      </c>
      <c r="AH20" s="18">
        <f>IF(COUNTIFS('VS×ケイパビリティ関係'!$F$4:$F$370,$B20,'VS×ケイパビリティ関係'!$G$4:$G$370,AH$5,'VS×ケイパビリティ関係'!$E$4:$E$370,"主")&gt;0,"●",IF(COUNTIFS('VS×ケイパビリティ関係'!$F$4:$F$370,$B20,'VS×ケイパビリティ関係'!$G$4:$G$370,AH$5,'VS×ケイパビリティ関係'!$E$4:$E$370,"支援")&gt;0,"○",""))</f>
        <v/>
      </c>
      <c r="AI20" s="18">
        <f>IF(COUNTIFS('VS×ケイパビリティ関係'!$F$4:$F$370,$B20,'VS×ケイパビリティ関係'!$G$4:$G$370,AI$5,'VS×ケイパビリティ関係'!$E$4:$E$370,"主")&gt;0,"●",IF(COUNTIFS('VS×ケイパビリティ関係'!$F$4:$F$370,$B20,'VS×ケイパビリティ関係'!$G$4:$G$370,AI$5,'VS×ケイパビリティ関係'!$E$4:$E$370,"支援")&gt;0,"○",""))</f>
        <v/>
      </c>
      <c r="AJ20" s="18">
        <f>COUNTIF(D20:AI20,"●")</f>
        <v/>
      </c>
      <c r="AK20" s="18">
        <f>COUNTIF(D20:AI20,"○")</f>
        <v/>
      </c>
    </row>
    <row r="21">
      <c r="A21" s="42" t="n"/>
      <c r="B21" s="18" t="inlineStr">
        <is>
          <t>04-04</t>
        </is>
      </c>
      <c r="C21" s="20" t="inlineStr">
        <is>
          <t>給与・社会保険・福利厚生</t>
        </is>
      </c>
      <c r="D21" s="18">
        <f>IF(COUNTIFS('VS×ケイパビリティ関係'!$F$4:$F$370,$B21,'VS×ケイパビリティ関係'!$G$4:$G$370,D$5,'VS×ケイパビリティ関係'!$E$4:$E$370,"主")&gt;0,"●",IF(COUNTIFS('VS×ケイパビリティ関係'!$F$4:$F$370,$B21,'VS×ケイパビリティ関係'!$G$4:$G$370,D$5,'VS×ケイパビリティ関係'!$E$4:$E$370,"支援")&gt;0,"○",""))</f>
        <v/>
      </c>
      <c r="E21" s="18">
        <f>IF(COUNTIFS('VS×ケイパビリティ関係'!$F$4:$F$370,$B21,'VS×ケイパビリティ関係'!$G$4:$G$370,E$5,'VS×ケイパビリティ関係'!$E$4:$E$370,"主")&gt;0,"●",IF(COUNTIFS('VS×ケイパビリティ関係'!$F$4:$F$370,$B21,'VS×ケイパビリティ関係'!$G$4:$G$370,E$5,'VS×ケイパビリティ関係'!$E$4:$E$370,"支援")&gt;0,"○",""))</f>
        <v/>
      </c>
      <c r="F21" s="18">
        <f>IF(COUNTIFS('VS×ケイパビリティ関係'!$F$4:$F$370,$B21,'VS×ケイパビリティ関係'!$G$4:$G$370,F$5,'VS×ケイパビリティ関係'!$E$4:$E$370,"主")&gt;0,"●",IF(COUNTIFS('VS×ケイパビリティ関係'!$F$4:$F$370,$B21,'VS×ケイパビリティ関係'!$G$4:$G$370,F$5,'VS×ケイパビリティ関係'!$E$4:$E$370,"支援")&gt;0,"○",""))</f>
        <v/>
      </c>
      <c r="G21" s="18">
        <f>IF(COUNTIFS('VS×ケイパビリティ関係'!$F$4:$F$370,$B21,'VS×ケイパビリティ関係'!$G$4:$G$370,G$5,'VS×ケイパビリティ関係'!$E$4:$E$370,"主")&gt;0,"●",IF(COUNTIFS('VS×ケイパビリティ関係'!$F$4:$F$370,$B21,'VS×ケイパビリティ関係'!$G$4:$G$370,G$5,'VS×ケイパビリティ関係'!$E$4:$E$370,"支援")&gt;0,"○",""))</f>
        <v/>
      </c>
      <c r="H21" s="18">
        <f>IF(COUNTIFS('VS×ケイパビリティ関係'!$F$4:$F$370,$B21,'VS×ケイパビリティ関係'!$G$4:$G$370,H$5,'VS×ケイパビリティ関係'!$E$4:$E$370,"主")&gt;0,"●",IF(COUNTIFS('VS×ケイパビリティ関係'!$F$4:$F$370,$B21,'VS×ケイパビリティ関係'!$G$4:$G$370,H$5,'VS×ケイパビリティ関係'!$E$4:$E$370,"支援")&gt;0,"○",""))</f>
        <v/>
      </c>
      <c r="I21" s="18">
        <f>IF(COUNTIFS('VS×ケイパビリティ関係'!$F$4:$F$370,$B21,'VS×ケイパビリティ関係'!$G$4:$G$370,I$5,'VS×ケイパビリティ関係'!$E$4:$E$370,"主")&gt;0,"●",IF(COUNTIFS('VS×ケイパビリティ関係'!$F$4:$F$370,$B21,'VS×ケイパビリティ関係'!$G$4:$G$370,I$5,'VS×ケイパビリティ関係'!$E$4:$E$370,"支援")&gt;0,"○",""))</f>
        <v/>
      </c>
      <c r="J21" s="18">
        <f>IF(COUNTIFS('VS×ケイパビリティ関係'!$F$4:$F$370,$B21,'VS×ケイパビリティ関係'!$G$4:$G$370,J$5,'VS×ケイパビリティ関係'!$E$4:$E$370,"主")&gt;0,"●",IF(COUNTIFS('VS×ケイパビリティ関係'!$F$4:$F$370,$B21,'VS×ケイパビリティ関係'!$G$4:$G$370,J$5,'VS×ケイパビリティ関係'!$E$4:$E$370,"支援")&gt;0,"○",""))</f>
        <v/>
      </c>
      <c r="K21" s="18">
        <f>IF(COUNTIFS('VS×ケイパビリティ関係'!$F$4:$F$370,$B21,'VS×ケイパビリティ関係'!$G$4:$G$370,K$5,'VS×ケイパビリティ関係'!$E$4:$E$370,"主")&gt;0,"●",IF(COUNTIFS('VS×ケイパビリティ関係'!$F$4:$F$370,$B21,'VS×ケイパビリティ関係'!$G$4:$G$370,K$5,'VS×ケイパビリティ関係'!$E$4:$E$370,"支援")&gt;0,"○",""))</f>
        <v/>
      </c>
      <c r="L21" s="18">
        <f>IF(COUNTIFS('VS×ケイパビリティ関係'!$F$4:$F$370,$B21,'VS×ケイパビリティ関係'!$G$4:$G$370,L$5,'VS×ケイパビリティ関係'!$E$4:$E$370,"主")&gt;0,"●",IF(COUNTIFS('VS×ケイパビリティ関係'!$F$4:$F$370,$B21,'VS×ケイパビリティ関係'!$G$4:$G$370,L$5,'VS×ケイパビリティ関係'!$E$4:$E$370,"支援")&gt;0,"○",""))</f>
        <v/>
      </c>
      <c r="M21" s="18">
        <f>IF(COUNTIFS('VS×ケイパビリティ関係'!$F$4:$F$370,$B21,'VS×ケイパビリティ関係'!$G$4:$G$370,M$5,'VS×ケイパビリティ関係'!$E$4:$E$370,"主")&gt;0,"●",IF(COUNTIFS('VS×ケイパビリティ関係'!$F$4:$F$370,$B21,'VS×ケイパビリティ関係'!$G$4:$G$370,M$5,'VS×ケイパビリティ関係'!$E$4:$E$370,"支援")&gt;0,"○",""))</f>
        <v/>
      </c>
      <c r="N21" s="18">
        <f>IF(COUNTIFS('VS×ケイパビリティ関係'!$F$4:$F$370,$B21,'VS×ケイパビリティ関係'!$G$4:$G$370,N$5,'VS×ケイパビリティ関係'!$E$4:$E$370,"主")&gt;0,"●",IF(COUNTIFS('VS×ケイパビリティ関係'!$F$4:$F$370,$B21,'VS×ケイパビリティ関係'!$G$4:$G$370,N$5,'VS×ケイパビリティ関係'!$E$4:$E$370,"支援")&gt;0,"○",""))</f>
        <v/>
      </c>
      <c r="O21" s="18">
        <f>IF(COUNTIFS('VS×ケイパビリティ関係'!$F$4:$F$370,$B21,'VS×ケイパビリティ関係'!$G$4:$G$370,O$5,'VS×ケイパビリティ関係'!$E$4:$E$370,"主")&gt;0,"●",IF(COUNTIFS('VS×ケイパビリティ関係'!$F$4:$F$370,$B21,'VS×ケイパビリティ関係'!$G$4:$G$370,O$5,'VS×ケイパビリティ関係'!$E$4:$E$370,"支援")&gt;0,"○",""))</f>
        <v/>
      </c>
      <c r="P21" s="18">
        <f>IF(COUNTIFS('VS×ケイパビリティ関係'!$F$4:$F$370,$B21,'VS×ケイパビリティ関係'!$G$4:$G$370,P$5,'VS×ケイパビリティ関係'!$E$4:$E$370,"主")&gt;0,"●",IF(COUNTIFS('VS×ケイパビリティ関係'!$F$4:$F$370,$B21,'VS×ケイパビリティ関係'!$G$4:$G$370,P$5,'VS×ケイパビリティ関係'!$E$4:$E$370,"支援")&gt;0,"○",""))</f>
        <v/>
      </c>
      <c r="Q21" s="18">
        <f>IF(COUNTIFS('VS×ケイパビリティ関係'!$F$4:$F$370,$B21,'VS×ケイパビリティ関係'!$G$4:$G$370,Q$5,'VS×ケイパビリティ関係'!$E$4:$E$370,"主")&gt;0,"●",IF(COUNTIFS('VS×ケイパビリティ関係'!$F$4:$F$370,$B21,'VS×ケイパビリティ関係'!$G$4:$G$370,Q$5,'VS×ケイパビリティ関係'!$E$4:$E$370,"支援")&gt;0,"○",""))</f>
        <v/>
      </c>
      <c r="R21" s="18">
        <f>IF(COUNTIFS('VS×ケイパビリティ関係'!$F$4:$F$370,$B21,'VS×ケイパビリティ関係'!$G$4:$G$370,R$5,'VS×ケイパビリティ関係'!$E$4:$E$370,"主")&gt;0,"●",IF(COUNTIFS('VS×ケイパビリティ関係'!$F$4:$F$370,$B21,'VS×ケイパビリティ関係'!$G$4:$G$370,R$5,'VS×ケイパビリティ関係'!$E$4:$E$370,"支援")&gt;0,"○",""))</f>
        <v/>
      </c>
      <c r="S21" s="18">
        <f>IF(COUNTIFS('VS×ケイパビリティ関係'!$F$4:$F$370,$B21,'VS×ケイパビリティ関係'!$G$4:$G$370,S$5,'VS×ケイパビリティ関係'!$E$4:$E$370,"主")&gt;0,"●",IF(COUNTIFS('VS×ケイパビリティ関係'!$F$4:$F$370,$B21,'VS×ケイパビリティ関係'!$G$4:$G$370,S$5,'VS×ケイパビリティ関係'!$E$4:$E$370,"支援")&gt;0,"○",""))</f>
        <v/>
      </c>
      <c r="T21" s="18">
        <f>IF(COUNTIFS('VS×ケイパビリティ関係'!$F$4:$F$370,$B21,'VS×ケイパビリティ関係'!$G$4:$G$370,T$5,'VS×ケイパビリティ関係'!$E$4:$E$370,"主")&gt;0,"●",IF(COUNTIFS('VS×ケイパビリティ関係'!$F$4:$F$370,$B21,'VS×ケイパビリティ関係'!$G$4:$G$370,T$5,'VS×ケイパビリティ関係'!$E$4:$E$370,"支援")&gt;0,"○",""))</f>
        <v/>
      </c>
      <c r="U21" s="18">
        <f>IF(COUNTIFS('VS×ケイパビリティ関係'!$F$4:$F$370,$B21,'VS×ケイパビリティ関係'!$G$4:$G$370,U$5,'VS×ケイパビリティ関係'!$E$4:$E$370,"主")&gt;0,"●",IF(COUNTIFS('VS×ケイパビリティ関係'!$F$4:$F$370,$B21,'VS×ケイパビリティ関係'!$G$4:$G$370,U$5,'VS×ケイパビリティ関係'!$E$4:$E$370,"支援")&gt;0,"○",""))</f>
        <v/>
      </c>
      <c r="V21" s="18">
        <f>IF(COUNTIFS('VS×ケイパビリティ関係'!$F$4:$F$370,$B21,'VS×ケイパビリティ関係'!$G$4:$G$370,V$5,'VS×ケイパビリティ関係'!$E$4:$E$370,"主")&gt;0,"●",IF(COUNTIFS('VS×ケイパビリティ関係'!$F$4:$F$370,$B21,'VS×ケイパビリティ関係'!$G$4:$G$370,V$5,'VS×ケイパビリティ関係'!$E$4:$E$370,"支援")&gt;0,"○",""))</f>
        <v/>
      </c>
      <c r="W21" s="18">
        <f>IF(COUNTIFS('VS×ケイパビリティ関係'!$F$4:$F$370,$B21,'VS×ケイパビリティ関係'!$G$4:$G$370,W$5,'VS×ケイパビリティ関係'!$E$4:$E$370,"主")&gt;0,"●",IF(COUNTIFS('VS×ケイパビリティ関係'!$F$4:$F$370,$B21,'VS×ケイパビリティ関係'!$G$4:$G$370,W$5,'VS×ケイパビリティ関係'!$E$4:$E$370,"支援")&gt;0,"○",""))</f>
        <v/>
      </c>
      <c r="X21" s="18">
        <f>IF(COUNTIFS('VS×ケイパビリティ関係'!$F$4:$F$370,$B21,'VS×ケイパビリティ関係'!$G$4:$G$370,X$5,'VS×ケイパビリティ関係'!$E$4:$E$370,"主")&gt;0,"●",IF(COUNTIFS('VS×ケイパビリティ関係'!$F$4:$F$370,$B21,'VS×ケイパビリティ関係'!$G$4:$G$370,X$5,'VS×ケイパビリティ関係'!$E$4:$E$370,"支援")&gt;0,"○",""))</f>
        <v/>
      </c>
      <c r="Y21" s="18">
        <f>IF(COUNTIFS('VS×ケイパビリティ関係'!$F$4:$F$370,$B21,'VS×ケイパビリティ関係'!$G$4:$G$370,Y$5,'VS×ケイパビリティ関係'!$E$4:$E$370,"主")&gt;0,"●",IF(COUNTIFS('VS×ケイパビリティ関係'!$F$4:$F$370,$B21,'VS×ケイパビリティ関係'!$G$4:$G$370,Y$5,'VS×ケイパビリティ関係'!$E$4:$E$370,"支援")&gt;0,"○",""))</f>
        <v/>
      </c>
      <c r="Z21" s="18">
        <f>IF(COUNTIFS('VS×ケイパビリティ関係'!$F$4:$F$370,$B21,'VS×ケイパビリティ関係'!$G$4:$G$370,Z$5,'VS×ケイパビリティ関係'!$E$4:$E$370,"主")&gt;0,"●",IF(COUNTIFS('VS×ケイパビリティ関係'!$F$4:$F$370,$B21,'VS×ケイパビリティ関係'!$G$4:$G$370,Z$5,'VS×ケイパビリティ関係'!$E$4:$E$370,"支援")&gt;0,"○",""))</f>
        <v/>
      </c>
      <c r="AA21" s="18">
        <f>IF(COUNTIFS('VS×ケイパビリティ関係'!$F$4:$F$370,$B21,'VS×ケイパビリティ関係'!$G$4:$G$370,AA$5,'VS×ケイパビリティ関係'!$E$4:$E$370,"主")&gt;0,"●",IF(COUNTIFS('VS×ケイパビリティ関係'!$F$4:$F$370,$B21,'VS×ケイパビリティ関係'!$G$4:$G$370,AA$5,'VS×ケイパビリティ関係'!$E$4:$E$370,"支援")&gt;0,"○",""))</f>
        <v/>
      </c>
      <c r="AB21" s="18">
        <f>IF(COUNTIFS('VS×ケイパビリティ関係'!$F$4:$F$370,$B21,'VS×ケイパビリティ関係'!$G$4:$G$370,AB$5,'VS×ケイパビリティ関係'!$E$4:$E$370,"主")&gt;0,"●",IF(COUNTIFS('VS×ケイパビリティ関係'!$F$4:$F$370,$B21,'VS×ケイパビリティ関係'!$G$4:$G$370,AB$5,'VS×ケイパビリティ関係'!$E$4:$E$370,"支援")&gt;0,"○",""))</f>
        <v/>
      </c>
      <c r="AC21" s="18">
        <f>IF(COUNTIFS('VS×ケイパビリティ関係'!$F$4:$F$370,$B21,'VS×ケイパビリティ関係'!$G$4:$G$370,AC$5,'VS×ケイパビリティ関係'!$E$4:$E$370,"主")&gt;0,"●",IF(COUNTIFS('VS×ケイパビリティ関係'!$F$4:$F$370,$B21,'VS×ケイパビリティ関係'!$G$4:$G$370,AC$5,'VS×ケイパビリティ関係'!$E$4:$E$370,"支援")&gt;0,"○",""))</f>
        <v/>
      </c>
      <c r="AD21" s="18">
        <f>IF(COUNTIFS('VS×ケイパビリティ関係'!$F$4:$F$370,$B21,'VS×ケイパビリティ関係'!$G$4:$G$370,AD$5,'VS×ケイパビリティ関係'!$E$4:$E$370,"主")&gt;0,"●",IF(COUNTIFS('VS×ケイパビリティ関係'!$F$4:$F$370,$B21,'VS×ケイパビリティ関係'!$G$4:$G$370,AD$5,'VS×ケイパビリティ関係'!$E$4:$E$370,"支援")&gt;0,"○",""))</f>
        <v/>
      </c>
      <c r="AE21" s="18">
        <f>IF(COUNTIFS('VS×ケイパビリティ関係'!$F$4:$F$370,$B21,'VS×ケイパビリティ関係'!$G$4:$G$370,AE$5,'VS×ケイパビリティ関係'!$E$4:$E$370,"主")&gt;0,"●",IF(COUNTIFS('VS×ケイパビリティ関係'!$F$4:$F$370,$B21,'VS×ケイパビリティ関係'!$G$4:$G$370,AE$5,'VS×ケイパビリティ関係'!$E$4:$E$370,"支援")&gt;0,"○",""))</f>
        <v/>
      </c>
      <c r="AF21" s="18">
        <f>IF(COUNTIFS('VS×ケイパビリティ関係'!$F$4:$F$370,$B21,'VS×ケイパビリティ関係'!$G$4:$G$370,AF$5,'VS×ケイパビリティ関係'!$E$4:$E$370,"主")&gt;0,"●",IF(COUNTIFS('VS×ケイパビリティ関係'!$F$4:$F$370,$B21,'VS×ケイパビリティ関係'!$G$4:$G$370,AF$5,'VS×ケイパビリティ関係'!$E$4:$E$370,"支援")&gt;0,"○",""))</f>
        <v/>
      </c>
      <c r="AG21" s="18">
        <f>IF(COUNTIFS('VS×ケイパビリティ関係'!$F$4:$F$370,$B21,'VS×ケイパビリティ関係'!$G$4:$G$370,AG$5,'VS×ケイパビリティ関係'!$E$4:$E$370,"主")&gt;0,"●",IF(COUNTIFS('VS×ケイパビリティ関係'!$F$4:$F$370,$B21,'VS×ケイパビリティ関係'!$G$4:$G$370,AG$5,'VS×ケイパビリティ関係'!$E$4:$E$370,"支援")&gt;0,"○",""))</f>
        <v/>
      </c>
      <c r="AH21" s="18">
        <f>IF(COUNTIFS('VS×ケイパビリティ関係'!$F$4:$F$370,$B21,'VS×ケイパビリティ関係'!$G$4:$G$370,AH$5,'VS×ケイパビリティ関係'!$E$4:$E$370,"主")&gt;0,"●",IF(COUNTIFS('VS×ケイパビリティ関係'!$F$4:$F$370,$B21,'VS×ケイパビリティ関係'!$G$4:$G$370,AH$5,'VS×ケイパビリティ関係'!$E$4:$E$370,"支援")&gt;0,"○",""))</f>
        <v/>
      </c>
      <c r="AI21" s="18">
        <f>IF(COUNTIFS('VS×ケイパビリティ関係'!$F$4:$F$370,$B21,'VS×ケイパビリティ関係'!$G$4:$G$370,AI$5,'VS×ケイパビリティ関係'!$E$4:$E$370,"主")&gt;0,"●",IF(COUNTIFS('VS×ケイパビリティ関係'!$F$4:$F$370,$B21,'VS×ケイパビリティ関係'!$G$4:$G$370,AI$5,'VS×ケイパビリティ関係'!$E$4:$E$370,"支援")&gt;0,"○",""))</f>
        <v/>
      </c>
      <c r="AJ21" s="18">
        <f>COUNTIF(D21:AI21,"●")</f>
        <v/>
      </c>
      <c r="AK21" s="18">
        <f>COUNTIF(D21:AI21,"○")</f>
        <v/>
      </c>
    </row>
    <row r="22">
      <c r="A22" s="42" t="n"/>
      <c r="B22" s="18" t="inlineStr">
        <is>
          <t>04-05</t>
        </is>
      </c>
      <c r="C22" s="20" t="inlineStr">
        <is>
          <t>健康・安全・職場環境</t>
        </is>
      </c>
      <c r="D22" s="18">
        <f>IF(COUNTIFS('VS×ケイパビリティ関係'!$F$4:$F$370,$B22,'VS×ケイパビリティ関係'!$G$4:$G$370,D$5,'VS×ケイパビリティ関係'!$E$4:$E$370,"主")&gt;0,"●",IF(COUNTIFS('VS×ケイパビリティ関係'!$F$4:$F$370,$B22,'VS×ケイパビリティ関係'!$G$4:$G$370,D$5,'VS×ケイパビリティ関係'!$E$4:$E$370,"支援")&gt;0,"○",""))</f>
        <v/>
      </c>
      <c r="E22" s="18">
        <f>IF(COUNTIFS('VS×ケイパビリティ関係'!$F$4:$F$370,$B22,'VS×ケイパビリティ関係'!$G$4:$G$370,E$5,'VS×ケイパビリティ関係'!$E$4:$E$370,"主")&gt;0,"●",IF(COUNTIFS('VS×ケイパビリティ関係'!$F$4:$F$370,$B22,'VS×ケイパビリティ関係'!$G$4:$G$370,E$5,'VS×ケイパビリティ関係'!$E$4:$E$370,"支援")&gt;0,"○",""))</f>
        <v/>
      </c>
      <c r="F22" s="18">
        <f>IF(COUNTIFS('VS×ケイパビリティ関係'!$F$4:$F$370,$B22,'VS×ケイパビリティ関係'!$G$4:$G$370,F$5,'VS×ケイパビリティ関係'!$E$4:$E$370,"主")&gt;0,"●",IF(COUNTIFS('VS×ケイパビリティ関係'!$F$4:$F$370,$B22,'VS×ケイパビリティ関係'!$G$4:$G$370,F$5,'VS×ケイパビリティ関係'!$E$4:$E$370,"支援")&gt;0,"○",""))</f>
        <v/>
      </c>
      <c r="G22" s="18">
        <f>IF(COUNTIFS('VS×ケイパビリティ関係'!$F$4:$F$370,$B22,'VS×ケイパビリティ関係'!$G$4:$G$370,G$5,'VS×ケイパビリティ関係'!$E$4:$E$370,"主")&gt;0,"●",IF(COUNTIFS('VS×ケイパビリティ関係'!$F$4:$F$370,$B22,'VS×ケイパビリティ関係'!$G$4:$G$370,G$5,'VS×ケイパビリティ関係'!$E$4:$E$370,"支援")&gt;0,"○",""))</f>
        <v/>
      </c>
      <c r="H22" s="18">
        <f>IF(COUNTIFS('VS×ケイパビリティ関係'!$F$4:$F$370,$B22,'VS×ケイパビリティ関係'!$G$4:$G$370,H$5,'VS×ケイパビリティ関係'!$E$4:$E$370,"主")&gt;0,"●",IF(COUNTIFS('VS×ケイパビリティ関係'!$F$4:$F$370,$B22,'VS×ケイパビリティ関係'!$G$4:$G$370,H$5,'VS×ケイパビリティ関係'!$E$4:$E$370,"支援")&gt;0,"○",""))</f>
        <v/>
      </c>
      <c r="I22" s="18">
        <f>IF(COUNTIFS('VS×ケイパビリティ関係'!$F$4:$F$370,$B22,'VS×ケイパビリティ関係'!$G$4:$G$370,I$5,'VS×ケイパビリティ関係'!$E$4:$E$370,"主")&gt;0,"●",IF(COUNTIFS('VS×ケイパビリティ関係'!$F$4:$F$370,$B22,'VS×ケイパビリティ関係'!$G$4:$G$370,I$5,'VS×ケイパビリティ関係'!$E$4:$E$370,"支援")&gt;0,"○",""))</f>
        <v/>
      </c>
      <c r="J22" s="18">
        <f>IF(COUNTIFS('VS×ケイパビリティ関係'!$F$4:$F$370,$B22,'VS×ケイパビリティ関係'!$G$4:$G$370,J$5,'VS×ケイパビリティ関係'!$E$4:$E$370,"主")&gt;0,"●",IF(COUNTIFS('VS×ケイパビリティ関係'!$F$4:$F$370,$B22,'VS×ケイパビリティ関係'!$G$4:$G$370,J$5,'VS×ケイパビリティ関係'!$E$4:$E$370,"支援")&gt;0,"○",""))</f>
        <v/>
      </c>
      <c r="K22" s="18">
        <f>IF(COUNTIFS('VS×ケイパビリティ関係'!$F$4:$F$370,$B22,'VS×ケイパビリティ関係'!$G$4:$G$370,K$5,'VS×ケイパビリティ関係'!$E$4:$E$370,"主")&gt;0,"●",IF(COUNTIFS('VS×ケイパビリティ関係'!$F$4:$F$370,$B22,'VS×ケイパビリティ関係'!$G$4:$G$370,K$5,'VS×ケイパビリティ関係'!$E$4:$E$370,"支援")&gt;0,"○",""))</f>
        <v/>
      </c>
      <c r="L22" s="18">
        <f>IF(COUNTIFS('VS×ケイパビリティ関係'!$F$4:$F$370,$B22,'VS×ケイパビリティ関係'!$G$4:$G$370,L$5,'VS×ケイパビリティ関係'!$E$4:$E$370,"主")&gt;0,"●",IF(COUNTIFS('VS×ケイパビリティ関係'!$F$4:$F$370,$B22,'VS×ケイパビリティ関係'!$G$4:$G$370,L$5,'VS×ケイパビリティ関係'!$E$4:$E$370,"支援")&gt;0,"○",""))</f>
        <v/>
      </c>
      <c r="M22" s="18">
        <f>IF(COUNTIFS('VS×ケイパビリティ関係'!$F$4:$F$370,$B22,'VS×ケイパビリティ関係'!$G$4:$G$370,M$5,'VS×ケイパビリティ関係'!$E$4:$E$370,"主")&gt;0,"●",IF(COUNTIFS('VS×ケイパビリティ関係'!$F$4:$F$370,$B22,'VS×ケイパビリティ関係'!$G$4:$G$370,M$5,'VS×ケイパビリティ関係'!$E$4:$E$370,"支援")&gt;0,"○",""))</f>
        <v/>
      </c>
      <c r="N22" s="18">
        <f>IF(COUNTIFS('VS×ケイパビリティ関係'!$F$4:$F$370,$B22,'VS×ケイパビリティ関係'!$G$4:$G$370,N$5,'VS×ケイパビリティ関係'!$E$4:$E$370,"主")&gt;0,"●",IF(COUNTIFS('VS×ケイパビリティ関係'!$F$4:$F$370,$B22,'VS×ケイパビリティ関係'!$G$4:$G$370,N$5,'VS×ケイパビリティ関係'!$E$4:$E$370,"支援")&gt;0,"○",""))</f>
        <v/>
      </c>
      <c r="O22" s="18">
        <f>IF(COUNTIFS('VS×ケイパビリティ関係'!$F$4:$F$370,$B22,'VS×ケイパビリティ関係'!$G$4:$G$370,O$5,'VS×ケイパビリティ関係'!$E$4:$E$370,"主")&gt;0,"●",IF(COUNTIFS('VS×ケイパビリティ関係'!$F$4:$F$370,$B22,'VS×ケイパビリティ関係'!$G$4:$G$370,O$5,'VS×ケイパビリティ関係'!$E$4:$E$370,"支援")&gt;0,"○",""))</f>
        <v/>
      </c>
      <c r="P22" s="18">
        <f>IF(COUNTIFS('VS×ケイパビリティ関係'!$F$4:$F$370,$B22,'VS×ケイパビリティ関係'!$G$4:$G$370,P$5,'VS×ケイパビリティ関係'!$E$4:$E$370,"主")&gt;0,"●",IF(COUNTIFS('VS×ケイパビリティ関係'!$F$4:$F$370,$B22,'VS×ケイパビリティ関係'!$G$4:$G$370,P$5,'VS×ケイパビリティ関係'!$E$4:$E$370,"支援")&gt;0,"○",""))</f>
        <v/>
      </c>
      <c r="Q22" s="18">
        <f>IF(COUNTIFS('VS×ケイパビリティ関係'!$F$4:$F$370,$B22,'VS×ケイパビリティ関係'!$G$4:$G$370,Q$5,'VS×ケイパビリティ関係'!$E$4:$E$370,"主")&gt;0,"●",IF(COUNTIFS('VS×ケイパビリティ関係'!$F$4:$F$370,$B22,'VS×ケイパビリティ関係'!$G$4:$G$370,Q$5,'VS×ケイパビリティ関係'!$E$4:$E$370,"支援")&gt;0,"○",""))</f>
        <v/>
      </c>
      <c r="R22" s="18">
        <f>IF(COUNTIFS('VS×ケイパビリティ関係'!$F$4:$F$370,$B22,'VS×ケイパビリティ関係'!$G$4:$G$370,R$5,'VS×ケイパビリティ関係'!$E$4:$E$370,"主")&gt;0,"●",IF(COUNTIFS('VS×ケイパビリティ関係'!$F$4:$F$370,$B22,'VS×ケイパビリティ関係'!$G$4:$G$370,R$5,'VS×ケイパビリティ関係'!$E$4:$E$370,"支援")&gt;0,"○",""))</f>
        <v/>
      </c>
      <c r="S22" s="18">
        <f>IF(COUNTIFS('VS×ケイパビリティ関係'!$F$4:$F$370,$B22,'VS×ケイパビリティ関係'!$G$4:$G$370,S$5,'VS×ケイパビリティ関係'!$E$4:$E$370,"主")&gt;0,"●",IF(COUNTIFS('VS×ケイパビリティ関係'!$F$4:$F$370,$B22,'VS×ケイパビリティ関係'!$G$4:$G$370,S$5,'VS×ケイパビリティ関係'!$E$4:$E$370,"支援")&gt;0,"○",""))</f>
        <v/>
      </c>
      <c r="T22" s="18">
        <f>IF(COUNTIFS('VS×ケイパビリティ関係'!$F$4:$F$370,$B22,'VS×ケイパビリティ関係'!$G$4:$G$370,T$5,'VS×ケイパビリティ関係'!$E$4:$E$370,"主")&gt;0,"●",IF(COUNTIFS('VS×ケイパビリティ関係'!$F$4:$F$370,$B22,'VS×ケイパビリティ関係'!$G$4:$G$370,T$5,'VS×ケイパビリティ関係'!$E$4:$E$370,"支援")&gt;0,"○",""))</f>
        <v/>
      </c>
      <c r="U22" s="18">
        <f>IF(COUNTIFS('VS×ケイパビリティ関係'!$F$4:$F$370,$B22,'VS×ケイパビリティ関係'!$G$4:$G$370,U$5,'VS×ケイパビリティ関係'!$E$4:$E$370,"主")&gt;0,"●",IF(COUNTIFS('VS×ケイパビリティ関係'!$F$4:$F$370,$B22,'VS×ケイパビリティ関係'!$G$4:$G$370,U$5,'VS×ケイパビリティ関係'!$E$4:$E$370,"支援")&gt;0,"○",""))</f>
        <v/>
      </c>
      <c r="V22" s="18">
        <f>IF(COUNTIFS('VS×ケイパビリティ関係'!$F$4:$F$370,$B22,'VS×ケイパビリティ関係'!$G$4:$G$370,V$5,'VS×ケイパビリティ関係'!$E$4:$E$370,"主")&gt;0,"●",IF(COUNTIFS('VS×ケイパビリティ関係'!$F$4:$F$370,$B22,'VS×ケイパビリティ関係'!$G$4:$G$370,V$5,'VS×ケイパビリティ関係'!$E$4:$E$370,"支援")&gt;0,"○",""))</f>
        <v/>
      </c>
      <c r="W22" s="18">
        <f>IF(COUNTIFS('VS×ケイパビリティ関係'!$F$4:$F$370,$B22,'VS×ケイパビリティ関係'!$G$4:$G$370,W$5,'VS×ケイパビリティ関係'!$E$4:$E$370,"主")&gt;0,"●",IF(COUNTIFS('VS×ケイパビリティ関係'!$F$4:$F$370,$B22,'VS×ケイパビリティ関係'!$G$4:$G$370,W$5,'VS×ケイパビリティ関係'!$E$4:$E$370,"支援")&gt;0,"○",""))</f>
        <v/>
      </c>
      <c r="X22" s="18">
        <f>IF(COUNTIFS('VS×ケイパビリティ関係'!$F$4:$F$370,$B22,'VS×ケイパビリティ関係'!$G$4:$G$370,X$5,'VS×ケイパビリティ関係'!$E$4:$E$370,"主")&gt;0,"●",IF(COUNTIFS('VS×ケイパビリティ関係'!$F$4:$F$370,$B22,'VS×ケイパビリティ関係'!$G$4:$G$370,X$5,'VS×ケイパビリティ関係'!$E$4:$E$370,"支援")&gt;0,"○",""))</f>
        <v/>
      </c>
      <c r="Y22" s="18">
        <f>IF(COUNTIFS('VS×ケイパビリティ関係'!$F$4:$F$370,$B22,'VS×ケイパビリティ関係'!$G$4:$G$370,Y$5,'VS×ケイパビリティ関係'!$E$4:$E$370,"主")&gt;0,"●",IF(COUNTIFS('VS×ケイパビリティ関係'!$F$4:$F$370,$B22,'VS×ケイパビリティ関係'!$G$4:$G$370,Y$5,'VS×ケイパビリティ関係'!$E$4:$E$370,"支援")&gt;0,"○",""))</f>
        <v/>
      </c>
      <c r="Z22" s="18">
        <f>IF(COUNTIFS('VS×ケイパビリティ関係'!$F$4:$F$370,$B22,'VS×ケイパビリティ関係'!$G$4:$G$370,Z$5,'VS×ケイパビリティ関係'!$E$4:$E$370,"主")&gt;0,"●",IF(COUNTIFS('VS×ケイパビリティ関係'!$F$4:$F$370,$B22,'VS×ケイパビリティ関係'!$G$4:$G$370,Z$5,'VS×ケイパビリティ関係'!$E$4:$E$370,"支援")&gt;0,"○",""))</f>
        <v/>
      </c>
      <c r="AA22" s="18">
        <f>IF(COUNTIFS('VS×ケイパビリティ関係'!$F$4:$F$370,$B22,'VS×ケイパビリティ関係'!$G$4:$G$370,AA$5,'VS×ケイパビリティ関係'!$E$4:$E$370,"主")&gt;0,"●",IF(COUNTIFS('VS×ケイパビリティ関係'!$F$4:$F$370,$B22,'VS×ケイパビリティ関係'!$G$4:$G$370,AA$5,'VS×ケイパビリティ関係'!$E$4:$E$370,"支援")&gt;0,"○",""))</f>
        <v/>
      </c>
      <c r="AB22" s="18">
        <f>IF(COUNTIFS('VS×ケイパビリティ関係'!$F$4:$F$370,$B22,'VS×ケイパビリティ関係'!$G$4:$G$370,AB$5,'VS×ケイパビリティ関係'!$E$4:$E$370,"主")&gt;0,"●",IF(COUNTIFS('VS×ケイパビリティ関係'!$F$4:$F$370,$B22,'VS×ケイパビリティ関係'!$G$4:$G$370,AB$5,'VS×ケイパビリティ関係'!$E$4:$E$370,"支援")&gt;0,"○",""))</f>
        <v/>
      </c>
      <c r="AC22" s="18">
        <f>IF(COUNTIFS('VS×ケイパビリティ関係'!$F$4:$F$370,$B22,'VS×ケイパビリティ関係'!$G$4:$G$370,AC$5,'VS×ケイパビリティ関係'!$E$4:$E$370,"主")&gt;0,"●",IF(COUNTIFS('VS×ケイパビリティ関係'!$F$4:$F$370,$B22,'VS×ケイパビリティ関係'!$G$4:$G$370,AC$5,'VS×ケイパビリティ関係'!$E$4:$E$370,"支援")&gt;0,"○",""))</f>
        <v/>
      </c>
      <c r="AD22" s="18">
        <f>IF(COUNTIFS('VS×ケイパビリティ関係'!$F$4:$F$370,$B22,'VS×ケイパビリティ関係'!$G$4:$G$370,AD$5,'VS×ケイパビリティ関係'!$E$4:$E$370,"主")&gt;0,"●",IF(COUNTIFS('VS×ケイパビリティ関係'!$F$4:$F$370,$B22,'VS×ケイパビリティ関係'!$G$4:$G$370,AD$5,'VS×ケイパビリティ関係'!$E$4:$E$370,"支援")&gt;0,"○",""))</f>
        <v/>
      </c>
      <c r="AE22" s="18">
        <f>IF(COUNTIFS('VS×ケイパビリティ関係'!$F$4:$F$370,$B22,'VS×ケイパビリティ関係'!$G$4:$G$370,AE$5,'VS×ケイパビリティ関係'!$E$4:$E$370,"主")&gt;0,"●",IF(COUNTIFS('VS×ケイパビリティ関係'!$F$4:$F$370,$B22,'VS×ケイパビリティ関係'!$G$4:$G$370,AE$5,'VS×ケイパビリティ関係'!$E$4:$E$370,"支援")&gt;0,"○",""))</f>
        <v/>
      </c>
      <c r="AF22" s="18">
        <f>IF(COUNTIFS('VS×ケイパビリティ関係'!$F$4:$F$370,$B22,'VS×ケイパビリティ関係'!$G$4:$G$370,AF$5,'VS×ケイパビリティ関係'!$E$4:$E$370,"主")&gt;0,"●",IF(COUNTIFS('VS×ケイパビリティ関係'!$F$4:$F$370,$B22,'VS×ケイパビリティ関係'!$G$4:$G$370,AF$5,'VS×ケイパビリティ関係'!$E$4:$E$370,"支援")&gt;0,"○",""))</f>
        <v/>
      </c>
      <c r="AG22" s="18">
        <f>IF(COUNTIFS('VS×ケイパビリティ関係'!$F$4:$F$370,$B22,'VS×ケイパビリティ関係'!$G$4:$G$370,AG$5,'VS×ケイパビリティ関係'!$E$4:$E$370,"主")&gt;0,"●",IF(COUNTIFS('VS×ケイパビリティ関係'!$F$4:$F$370,$B22,'VS×ケイパビリティ関係'!$G$4:$G$370,AG$5,'VS×ケイパビリティ関係'!$E$4:$E$370,"支援")&gt;0,"○",""))</f>
        <v/>
      </c>
      <c r="AH22" s="18">
        <f>IF(COUNTIFS('VS×ケイパビリティ関係'!$F$4:$F$370,$B22,'VS×ケイパビリティ関係'!$G$4:$G$370,AH$5,'VS×ケイパビリティ関係'!$E$4:$E$370,"主")&gt;0,"●",IF(COUNTIFS('VS×ケイパビリティ関係'!$F$4:$F$370,$B22,'VS×ケイパビリティ関係'!$G$4:$G$370,AH$5,'VS×ケイパビリティ関係'!$E$4:$E$370,"支援")&gt;0,"○",""))</f>
        <v/>
      </c>
      <c r="AI22" s="18">
        <f>IF(COUNTIFS('VS×ケイパビリティ関係'!$F$4:$F$370,$B22,'VS×ケイパビリティ関係'!$G$4:$G$370,AI$5,'VS×ケイパビリティ関係'!$E$4:$E$370,"主")&gt;0,"●",IF(COUNTIFS('VS×ケイパビリティ関係'!$F$4:$F$370,$B22,'VS×ケイパビリティ関係'!$G$4:$G$370,AI$5,'VS×ケイパビリティ関係'!$E$4:$E$370,"支援")&gt;0,"○",""))</f>
        <v/>
      </c>
      <c r="AJ22" s="18">
        <f>COUNTIF(D22:AI22,"●")</f>
        <v/>
      </c>
      <c r="AK22" s="18">
        <f>COUNTIF(D22:AI22,"○")</f>
        <v/>
      </c>
    </row>
    <row r="23">
      <c r="A23" s="42" t="inlineStr">
        <is>
          <t>05 キャリア・配置</t>
        </is>
      </c>
      <c r="B23" s="18" t="inlineStr">
        <is>
          <t>05-01</t>
        </is>
      </c>
      <c r="C23" s="20" t="inlineStr">
        <is>
          <t>タレントレビュー</t>
        </is>
      </c>
      <c r="D23" s="18">
        <f>IF(COUNTIFS('VS×ケイパビリティ関係'!$F$4:$F$370,$B23,'VS×ケイパビリティ関係'!$G$4:$G$370,D$5,'VS×ケイパビリティ関係'!$E$4:$E$370,"主")&gt;0,"●",IF(COUNTIFS('VS×ケイパビリティ関係'!$F$4:$F$370,$B23,'VS×ケイパビリティ関係'!$G$4:$G$370,D$5,'VS×ケイパビリティ関係'!$E$4:$E$370,"支援")&gt;0,"○",""))</f>
        <v/>
      </c>
      <c r="E23" s="18">
        <f>IF(COUNTIFS('VS×ケイパビリティ関係'!$F$4:$F$370,$B23,'VS×ケイパビリティ関係'!$G$4:$G$370,E$5,'VS×ケイパビリティ関係'!$E$4:$E$370,"主")&gt;0,"●",IF(COUNTIFS('VS×ケイパビリティ関係'!$F$4:$F$370,$B23,'VS×ケイパビリティ関係'!$G$4:$G$370,E$5,'VS×ケイパビリティ関係'!$E$4:$E$370,"支援")&gt;0,"○",""))</f>
        <v/>
      </c>
      <c r="F23" s="18">
        <f>IF(COUNTIFS('VS×ケイパビリティ関係'!$F$4:$F$370,$B23,'VS×ケイパビリティ関係'!$G$4:$G$370,F$5,'VS×ケイパビリティ関係'!$E$4:$E$370,"主")&gt;0,"●",IF(COUNTIFS('VS×ケイパビリティ関係'!$F$4:$F$370,$B23,'VS×ケイパビリティ関係'!$G$4:$G$370,F$5,'VS×ケイパビリティ関係'!$E$4:$E$370,"支援")&gt;0,"○",""))</f>
        <v/>
      </c>
      <c r="G23" s="18">
        <f>IF(COUNTIFS('VS×ケイパビリティ関係'!$F$4:$F$370,$B23,'VS×ケイパビリティ関係'!$G$4:$G$370,G$5,'VS×ケイパビリティ関係'!$E$4:$E$370,"主")&gt;0,"●",IF(COUNTIFS('VS×ケイパビリティ関係'!$F$4:$F$370,$B23,'VS×ケイパビリティ関係'!$G$4:$G$370,G$5,'VS×ケイパビリティ関係'!$E$4:$E$370,"支援")&gt;0,"○",""))</f>
        <v/>
      </c>
      <c r="H23" s="18">
        <f>IF(COUNTIFS('VS×ケイパビリティ関係'!$F$4:$F$370,$B23,'VS×ケイパビリティ関係'!$G$4:$G$370,H$5,'VS×ケイパビリティ関係'!$E$4:$E$370,"主")&gt;0,"●",IF(COUNTIFS('VS×ケイパビリティ関係'!$F$4:$F$370,$B23,'VS×ケイパビリティ関係'!$G$4:$G$370,H$5,'VS×ケイパビリティ関係'!$E$4:$E$370,"支援")&gt;0,"○",""))</f>
        <v/>
      </c>
      <c r="I23" s="18">
        <f>IF(COUNTIFS('VS×ケイパビリティ関係'!$F$4:$F$370,$B23,'VS×ケイパビリティ関係'!$G$4:$G$370,I$5,'VS×ケイパビリティ関係'!$E$4:$E$370,"主")&gt;0,"●",IF(COUNTIFS('VS×ケイパビリティ関係'!$F$4:$F$370,$B23,'VS×ケイパビリティ関係'!$G$4:$G$370,I$5,'VS×ケイパビリティ関係'!$E$4:$E$370,"支援")&gt;0,"○",""))</f>
        <v/>
      </c>
      <c r="J23" s="18">
        <f>IF(COUNTIFS('VS×ケイパビリティ関係'!$F$4:$F$370,$B23,'VS×ケイパビリティ関係'!$G$4:$G$370,J$5,'VS×ケイパビリティ関係'!$E$4:$E$370,"主")&gt;0,"●",IF(COUNTIFS('VS×ケイパビリティ関係'!$F$4:$F$370,$B23,'VS×ケイパビリティ関係'!$G$4:$G$370,J$5,'VS×ケイパビリティ関係'!$E$4:$E$370,"支援")&gt;0,"○",""))</f>
        <v/>
      </c>
      <c r="K23" s="18">
        <f>IF(COUNTIFS('VS×ケイパビリティ関係'!$F$4:$F$370,$B23,'VS×ケイパビリティ関係'!$G$4:$G$370,K$5,'VS×ケイパビリティ関係'!$E$4:$E$370,"主")&gt;0,"●",IF(COUNTIFS('VS×ケイパビリティ関係'!$F$4:$F$370,$B23,'VS×ケイパビリティ関係'!$G$4:$G$370,K$5,'VS×ケイパビリティ関係'!$E$4:$E$370,"支援")&gt;0,"○",""))</f>
        <v/>
      </c>
      <c r="L23" s="18">
        <f>IF(COUNTIFS('VS×ケイパビリティ関係'!$F$4:$F$370,$B23,'VS×ケイパビリティ関係'!$G$4:$G$370,L$5,'VS×ケイパビリティ関係'!$E$4:$E$370,"主")&gt;0,"●",IF(COUNTIFS('VS×ケイパビリティ関係'!$F$4:$F$370,$B23,'VS×ケイパビリティ関係'!$G$4:$G$370,L$5,'VS×ケイパビリティ関係'!$E$4:$E$370,"支援")&gt;0,"○",""))</f>
        <v/>
      </c>
      <c r="M23" s="18">
        <f>IF(COUNTIFS('VS×ケイパビリティ関係'!$F$4:$F$370,$B23,'VS×ケイパビリティ関係'!$G$4:$G$370,M$5,'VS×ケイパビリティ関係'!$E$4:$E$370,"主")&gt;0,"●",IF(COUNTIFS('VS×ケイパビリティ関係'!$F$4:$F$370,$B23,'VS×ケイパビリティ関係'!$G$4:$G$370,M$5,'VS×ケイパビリティ関係'!$E$4:$E$370,"支援")&gt;0,"○",""))</f>
        <v/>
      </c>
      <c r="N23" s="18">
        <f>IF(COUNTIFS('VS×ケイパビリティ関係'!$F$4:$F$370,$B23,'VS×ケイパビリティ関係'!$G$4:$G$370,N$5,'VS×ケイパビリティ関係'!$E$4:$E$370,"主")&gt;0,"●",IF(COUNTIFS('VS×ケイパビリティ関係'!$F$4:$F$370,$B23,'VS×ケイパビリティ関係'!$G$4:$G$370,N$5,'VS×ケイパビリティ関係'!$E$4:$E$370,"支援")&gt;0,"○",""))</f>
        <v/>
      </c>
      <c r="O23" s="18">
        <f>IF(COUNTIFS('VS×ケイパビリティ関係'!$F$4:$F$370,$B23,'VS×ケイパビリティ関係'!$G$4:$G$370,O$5,'VS×ケイパビリティ関係'!$E$4:$E$370,"主")&gt;0,"●",IF(COUNTIFS('VS×ケイパビリティ関係'!$F$4:$F$370,$B23,'VS×ケイパビリティ関係'!$G$4:$G$370,O$5,'VS×ケイパビリティ関係'!$E$4:$E$370,"支援")&gt;0,"○",""))</f>
        <v/>
      </c>
      <c r="P23" s="18">
        <f>IF(COUNTIFS('VS×ケイパビリティ関係'!$F$4:$F$370,$B23,'VS×ケイパビリティ関係'!$G$4:$G$370,P$5,'VS×ケイパビリティ関係'!$E$4:$E$370,"主")&gt;0,"●",IF(COUNTIFS('VS×ケイパビリティ関係'!$F$4:$F$370,$B23,'VS×ケイパビリティ関係'!$G$4:$G$370,P$5,'VS×ケイパビリティ関係'!$E$4:$E$370,"支援")&gt;0,"○",""))</f>
        <v/>
      </c>
      <c r="Q23" s="18">
        <f>IF(COUNTIFS('VS×ケイパビリティ関係'!$F$4:$F$370,$B23,'VS×ケイパビリティ関係'!$G$4:$G$370,Q$5,'VS×ケイパビリティ関係'!$E$4:$E$370,"主")&gt;0,"●",IF(COUNTIFS('VS×ケイパビリティ関係'!$F$4:$F$370,$B23,'VS×ケイパビリティ関係'!$G$4:$G$370,Q$5,'VS×ケイパビリティ関係'!$E$4:$E$370,"支援")&gt;0,"○",""))</f>
        <v/>
      </c>
      <c r="R23" s="18">
        <f>IF(COUNTIFS('VS×ケイパビリティ関係'!$F$4:$F$370,$B23,'VS×ケイパビリティ関係'!$G$4:$G$370,R$5,'VS×ケイパビリティ関係'!$E$4:$E$370,"主")&gt;0,"●",IF(COUNTIFS('VS×ケイパビリティ関係'!$F$4:$F$370,$B23,'VS×ケイパビリティ関係'!$G$4:$G$370,R$5,'VS×ケイパビリティ関係'!$E$4:$E$370,"支援")&gt;0,"○",""))</f>
        <v/>
      </c>
      <c r="S23" s="18">
        <f>IF(COUNTIFS('VS×ケイパビリティ関係'!$F$4:$F$370,$B23,'VS×ケイパビリティ関係'!$G$4:$G$370,S$5,'VS×ケイパビリティ関係'!$E$4:$E$370,"主")&gt;0,"●",IF(COUNTIFS('VS×ケイパビリティ関係'!$F$4:$F$370,$B23,'VS×ケイパビリティ関係'!$G$4:$G$370,S$5,'VS×ケイパビリティ関係'!$E$4:$E$370,"支援")&gt;0,"○",""))</f>
        <v/>
      </c>
      <c r="T23" s="18">
        <f>IF(COUNTIFS('VS×ケイパビリティ関係'!$F$4:$F$370,$B23,'VS×ケイパビリティ関係'!$G$4:$G$370,T$5,'VS×ケイパビリティ関係'!$E$4:$E$370,"主")&gt;0,"●",IF(COUNTIFS('VS×ケイパビリティ関係'!$F$4:$F$370,$B23,'VS×ケイパビリティ関係'!$G$4:$G$370,T$5,'VS×ケイパビリティ関係'!$E$4:$E$370,"支援")&gt;0,"○",""))</f>
        <v/>
      </c>
      <c r="U23" s="18">
        <f>IF(COUNTIFS('VS×ケイパビリティ関係'!$F$4:$F$370,$B23,'VS×ケイパビリティ関係'!$G$4:$G$370,U$5,'VS×ケイパビリティ関係'!$E$4:$E$370,"主")&gt;0,"●",IF(COUNTIFS('VS×ケイパビリティ関係'!$F$4:$F$370,$B23,'VS×ケイパビリティ関係'!$G$4:$G$370,U$5,'VS×ケイパビリティ関係'!$E$4:$E$370,"支援")&gt;0,"○",""))</f>
        <v/>
      </c>
      <c r="V23" s="18">
        <f>IF(COUNTIFS('VS×ケイパビリティ関係'!$F$4:$F$370,$B23,'VS×ケイパビリティ関係'!$G$4:$G$370,V$5,'VS×ケイパビリティ関係'!$E$4:$E$370,"主")&gt;0,"●",IF(COUNTIFS('VS×ケイパビリティ関係'!$F$4:$F$370,$B23,'VS×ケイパビリティ関係'!$G$4:$G$370,V$5,'VS×ケイパビリティ関係'!$E$4:$E$370,"支援")&gt;0,"○",""))</f>
        <v/>
      </c>
      <c r="W23" s="18">
        <f>IF(COUNTIFS('VS×ケイパビリティ関係'!$F$4:$F$370,$B23,'VS×ケイパビリティ関係'!$G$4:$G$370,W$5,'VS×ケイパビリティ関係'!$E$4:$E$370,"主")&gt;0,"●",IF(COUNTIFS('VS×ケイパビリティ関係'!$F$4:$F$370,$B23,'VS×ケイパビリティ関係'!$G$4:$G$370,W$5,'VS×ケイパビリティ関係'!$E$4:$E$370,"支援")&gt;0,"○",""))</f>
        <v/>
      </c>
      <c r="X23" s="18">
        <f>IF(COUNTIFS('VS×ケイパビリティ関係'!$F$4:$F$370,$B23,'VS×ケイパビリティ関係'!$G$4:$G$370,X$5,'VS×ケイパビリティ関係'!$E$4:$E$370,"主")&gt;0,"●",IF(COUNTIFS('VS×ケイパビリティ関係'!$F$4:$F$370,$B23,'VS×ケイパビリティ関係'!$G$4:$G$370,X$5,'VS×ケイパビリティ関係'!$E$4:$E$370,"支援")&gt;0,"○",""))</f>
        <v/>
      </c>
      <c r="Y23" s="18">
        <f>IF(COUNTIFS('VS×ケイパビリティ関係'!$F$4:$F$370,$B23,'VS×ケイパビリティ関係'!$G$4:$G$370,Y$5,'VS×ケイパビリティ関係'!$E$4:$E$370,"主")&gt;0,"●",IF(COUNTIFS('VS×ケイパビリティ関係'!$F$4:$F$370,$B23,'VS×ケイパビリティ関係'!$G$4:$G$370,Y$5,'VS×ケイパビリティ関係'!$E$4:$E$370,"支援")&gt;0,"○",""))</f>
        <v/>
      </c>
      <c r="Z23" s="18">
        <f>IF(COUNTIFS('VS×ケイパビリティ関係'!$F$4:$F$370,$B23,'VS×ケイパビリティ関係'!$G$4:$G$370,Z$5,'VS×ケイパビリティ関係'!$E$4:$E$370,"主")&gt;0,"●",IF(COUNTIFS('VS×ケイパビリティ関係'!$F$4:$F$370,$B23,'VS×ケイパビリティ関係'!$G$4:$G$370,Z$5,'VS×ケイパビリティ関係'!$E$4:$E$370,"支援")&gt;0,"○",""))</f>
        <v/>
      </c>
      <c r="AA23" s="18">
        <f>IF(COUNTIFS('VS×ケイパビリティ関係'!$F$4:$F$370,$B23,'VS×ケイパビリティ関係'!$G$4:$G$370,AA$5,'VS×ケイパビリティ関係'!$E$4:$E$370,"主")&gt;0,"●",IF(COUNTIFS('VS×ケイパビリティ関係'!$F$4:$F$370,$B23,'VS×ケイパビリティ関係'!$G$4:$G$370,AA$5,'VS×ケイパビリティ関係'!$E$4:$E$370,"支援")&gt;0,"○",""))</f>
        <v/>
      </c>
      <c r="AB23" s="18">
        <f>IF(COUNTIFS('VS×ケイパビリティ関係'!$F$4:$F$370,$B23,'VS×ケイパビリティ関係'!$G$4:$G$370,AB$5,'VS×ケイパビリティ関係'!$E$4:$E$370,"主")&gt;0,"●",IF(COUNTIFS('VS×ケイパビリティ関係'!$F$4:$F$370,$B23,'VS×ケイパビリティ関係'!$G$4:$G$370,AB$5,'VS×ケイパビリティ関係'!$E$4:$E$370,"支援")&gt;0,"○",""))</f>
        <v/>
      </c>
      <c r="AC23" s="18">
        <f>IF(COUNTIFS('VS×ケイパビリティ関係'!$F$4:$F$370,$B23,'VS×ケイパビリティ関係'!$G$4:$G$370,AC$5,'VS×ケイパビリティ関係'!$E$4:$E$370,"主")&gt;0,"●",IF(COUNTIFS('VS×ケイパビリティ関係'!$F$4:$F$370,$B23,'VS×ケイパビリティ関係'!$G$4:$G$370,AC$5,'VS×ケイパビリティ関係'!$E$4:$E$370,"支援")&gt;0,"○",""))</f>
        <v/>
      </c>
      <c r="AD23" s="18">
        <f>IF(COUNTIFS('VS×ケイパビリティ関係'!$F$4:$F$370,$B23,'VS×ケイパビリティ関係'!$G$4:$G$370,AD$5,'VS×ケイパビリティ関係'!$E$4:$E$370,"主")&gt;0,"●",IF(COUNTIFS('VS×ケイパビリティ関係'!$F$4:$F$370,$B23,'VS×ケイパビリティ関係'!$G$4:$G$370,AD$5,'VS×ケイパビリティ関係'!$E$4:$E$370,"支援")&gt;0,"○",""))</f>
        <v/>
      </c>
      <c r="AE23" s="18">
        <f>IF(COUNTIFS('VS×ケイパビリティ関係'!$F$4:$F$370,$B23,'VS×ケイパビリティ関係'!$G$4:$G$370,AE$5,'VS×ケイパビリティ関係'!$E$4:$E$370,"主")&gt;0,"●",IF(COUNTIFS('VS×ケイパビリティ関係'!$F$4:$F$370,$B23,'VS×ケイパビリティ関係'!$G$4:$G$370,AE$5,'VS×ケイパビリティ関係'!$E$4:$E$370,"支援")&gt;0,"○",""))</f>
        <v/>
      </c>
      <c r="AF23" s="18">
        <f>IF(COUNTIFS('VS×ケイパビリティ関係'!$F$4:$F$370,$B23,'VS×ケイパビリティ関係'!$G$4:$G$370,AF$5,'VS×ケイパビリティ関係'!$E$4:$E$370,"主")&gt;0,"●",IF(COUNTIFS('VS×ケイパビリティ関係'!$F$4:$F$370,$B23,'VS×ケイパビリティ関係'!$G$4:$G$370,AF$5,'VS×ケイパビリティ関係'!$E$4:$E$370,"支援")&gt;0,"○",""))</f>
        <v/>
      </c>
      <c r="AG23" s="18">
        <f>IF(COUNTIFS('VS×ケイパビリティ関係'!$F$4:$F$370,$B23,'VS×ケイパビリティ関係'!$G$4:$G$370,AG$5,'VS×ケイパビリティ関係'!$E$4:$E$370,"主")&gt;0,"●",IF(COUNTIFS('VS×ケイパビリティ関係'!$F$4:$F$370,$B23,'VS×ケイパビリティ関係'!$G$4:$G$370,AG$5,'VS×ケイパビリティ関係'!$E$4:$E$370,"支援")&gt;0,"○",""))</f>
        <v/>
      </c>
      <c r="AH23" s="18">
        <f>IF(COUNTIFS('VS×ケイパビリティ関係'!$F$4:$F$370,$B23,'VS×ケイパビリティ関係'!$G$4:$G$370,AH$5,'VS×ケイパビリティ関係'!$E$4:$E$370,"主")&gt;0,"●",IF(COUNTIFS('VS×ケイパビリティ関係'!$F$4:$F$370,$B23,'VS×ケイパビリティ関係'!$G$4:$G$370,AH$5,'VS×ケイパビリティ関係'!$E$4:$E$370,"支援")&gt;0,"○",""))</f>
        <v/>
      </c>
      <c r="AI23" s="18">
        <f>IF(COUNTIFS('VS×ケイパビリティ関係'!$F$4:$F$370,$B23,'VS×ケイパビリティ関係'!$G$4:$G$370,AI$5,'VS×ケイパビリティ関係'!$E$4:$E$370,"主")&gt;0,"●",IF(COUNTIFS('VS×ケイパビリティ関係'!$F$4:$F$370,$B23,'VS×ケイパビリティ関係'!$G$4:$G$370,AI$5,'VS×ケイパビリティ関係'!$E$4:$E$370,"支援")&gt;0,"○",""))</f>
        <v/>
      </c>
      <c r="AJ23" s="18">
        <f>COUNTIF(D23:AI23,"●")</f>
        <v/>
      </c>
      <c r="AK23" s="18">
        <f>COUNTIF(D23:AI23,"○")</f>
        <v/>
      </c>
    </row>
    <row r="24">
      <c r="A24" s="42" t="n"/>
      <c r="B24" s="18" t="inlineStr">
        <is>
          <t>05-02</t>
        </is>
      </c>
      <c r="C24" s="20" t="inlineStr">
        <is>
          <t>異動・配置</t>
        </is>
      </c>
      <c r="D24" s="18">
        <f>IF(COUNTIFS('VS×ケイパビリティ関係'!$F$4:$F$370,$B24,'VS×ケイパビリティ関係'!$G$4:$G$370,D$5,'VS×ケイパビリティ関係'!$E$4:$E$370,"主")&gt;0,"●",IF(COUNTIFS('VS×ケイパビリティ関係'!$F$4:$F$370,$B24,'VS×ケイパビリティ関係'!$G$4:$G$370,D$5,'VS×ケイパビリティ関係'!$E$4:$E$370,"支援")&gt;0,"○",""))</f>
        <v/>
      </c>
      <c r="E24" s="18">
        <f>IF(COUNTIFS('VS×ケイパビリティ関係'!$F$4:$F$370,$B24,'VS×ケイパビリティ関係'!$G$4:$G$370,E$5,'VS×ケイパビリティ関係'!$E$4:$E$370,"主")&gt;0,"●",IF(COUNTIFS('VS×ケイパビリティ関係'!$F$4:$F$370,$B24,'VS×ケイパビリティ関係'!$G$4:$G$370,E$5,'VS×ケイパビリティ関係'!$E$4:$E$370,"支援")&gt;0,"○",""))</f>
        <v/>
      </c>
      <c r="F24" s="18">
        <f>IF(COUNTIFS('VS×ケイパビリティ関係'!$F$4:$F$370,$B24,'VS×ケイパビリティ関係'!$G$4:$G$370,F$5,'VS×ケイパビリティ関係'!$E$4:$E$370,"主")&gt;0,"●",IF(COUNTIFS('VS×ケイパビリティ関係'!$F$4:$F$370,$B24,'VS×ケイパビリティ関係'!$G$4:$G$370,F$5,'VS×ケイパビリティ関係'!$E$4:$E$370,"支援")&gt;0,"○",""))</f>
        <v/>
      </c>
      <c r="G24" s="18">
        <f>IF(COUNTIFS('VS×ケイパビリティ関係'!$F$4:$F$370,$B24,'VS×ケイパビリティ関係'!$G$4:$G$370,G$5,'VS×ケイパビリティ関係'!$E$4:$E$370,"主")&gt;0,"●",IF(COUNTIFS('VS×ケイパビリティ関係'!$F$4:$F$370,$B24,'VS×ケイパビリティ関係'!$G$4:$G$370,G$5,'VS×ケイパビリティ関係'!$E$4:$E$370,"支援")&gt;0,"○",""))</f>
        <v/>
      </c>
      <c r="H24" s="18">
        <f>IF(COUNTIFS('VS×ケイパビリティ関係'!$F$4:$F$370,$B24,'VS×ケイパビリティ関係'!$G$4:$G$370,H$5,'VS×ケイパビリティ関係'!$E$4:$E$370,"主")&gt;0,"●",IF(COUNTIFS('VS×ケイパビリティ関係'!$F$4:$F$370,$B24,'VS×ケイパビリティ関係'!$G$4:$G$370,H$5,'VS×ケイパビリティ関係'!$E$4:$E$370,"支援")&gt;0,"○",""))</f>
        <v/>
      </c>
      <c r="I24" s="18">
        <f>IF(COUNTIFS('VS×ケイパビリティ関係'!$F$4:$F$370,$B24,'VS×ケイパビリティ関係'!$G$4:$G$370,I$5,'VS×ケイパビリティ関係'!$E$4:$E$370,"主")&gt;0,"●",IF(COUNTIFS('VS×ケイパビリティ関係'!$F$4:$F$370,$B24,'VS×ケイパビリティ関係'!$G$4:$G$370,I$5,'VS×ケイパビリティ関係'!$E$4:$E$370,"支援")&gt;0,"○",""))</f>
        <v/>
      </c>
      <c r="J24" s="18">
        <f>IF(COUNTIFS('VS×ケイパビリティ関係'!$F$4:$F$370,$B24,'VS×ケイパビリティ関係'!$G$4:$G$370,J$5,'VS×ケイパビリティ関係'!$E$4:$E$370,"主")&gt;0,"●",IF(COUNTIFS('VS×ケイパビリティ関係'!$F$4:$F$370,$B24,'VS×ケイパビリティ関係'!$G$4:$G$370,J$5,'VS×ケイパビリティ関係'!$E$4:$E$370,"支援")&gt;0,"○",""))</f>
        <v/>
      </c>
      <c r="K24" s="18">
        <f>IF(COUNTIFS('VS×ケイパビリティ関係'!$F$4:$F$370,$B24,'VS×ケイパビリティ関係'!$G$4:$G$370,K$5,'VS×ケイパビリティ関係'!$E$4:$E$370,"主")&gt;0,"●",IF(COUNTIFS('VS×ケイパビリティ関係'!$F$4:$F$370,$B24,'VS×ケイパビリティ関係'!$G$4:$G$370,K$5,'VS×ケイパビリティ関係'!$E$4:$E$370,"支援")&gt;0,"○",""))</f>
        <v/>
      </c>
      <c r="L24" s="18">
        <f>IF(COUNTIFS('VS×ケイパビリティ関係'!$F$4:$F$370,$B24,'VS×ケイパビリティ関係'!$G$4:$G$370,L$5,'VS×ケイパビリティ関係'!$E$4:$E$370,"主")&gt;0,"●",IF(COUNTIFS('VS×ケイパビリティ関係'!$F$4:$F$370,$B24,'VS×ケイパビリティ関係'!$G$4:$G$370,L$5,'VS×ケイパビリティ関係'!$E$4:$E$370,"支援")&gt;0,"○",""))</f>
        <v/>
      </c>
      <c r="M24" s="18">
        <f>IF(COUNTIFS('VS×ケイパビリティ関係'!$F$4:$F$370,$B24,'VS×ケイパビリティ関係'!$G$4:$G$370,M$5,'VS×ケイパビリティ関係'!$E$4:$E$370,"主")&gt;0,"●",IF(COUNTIFS('VS×ケイパビリティ関係'!$F$4:$F$370,$B24,'VS×ケイパビリティ関係'!$G$4:$G$370,M$5,'VS×ケイパビリティ関係'!$E$4:$E$370,"支援")&gt;0,"○",""))</f>
        <v/>
      </c>
      <c r="N24" s="18">
        <f>IF(COUNTIFS('VS×ケイパビリティ関係'!$F$4:$F$370,$B24,'VS×ケイパビリティ関係'!$G$4:$G$370,N$5,'VS×ケイパビリティ関係'!$E$4:$E$370,"主")&gt;0,"●",IF(COUNTIFS('VS×ケイパビリティ関係'!$F$4:$F$370,$B24,'VS×ケイパビリティ関係'!$G$4:$G$370,N$5,'VS×ケイパビリティ関係'!$E$4:$E$370,"支援")&gt;0,"○",""))</f>
        <v/>
      </c>
      <c r="O24" s="18">
        <f>IF(COUNTIFS('VS×ケイパビリティ関係'!$F$4:$F$370,$B24,'VS×ケイパビリティ関係'!$G$4:$G$370,O$5,'VS×ケイパビリティ関係'!$E$4:$E$370,"主")&gt;0,"●",IF(COUNTIFS('VS×ケイパビリティ関係'!$F$4:$F$370,$B24,'VS×ケイパビリティ関係'!$G$4:$G$370,O$5,'VS×ケイパビリティ関係'!$E$4:$E$370,"支援")&gt;0,"○",""))</f>
        <v/>
      </c>
      <c r="P24" s="18">
        <f>IF(COUNTIFS('VS×ケイパビリティ関係'!$F$4:$F$370,$B24,'VS×ケイパビリティ関係'!$G$4:$G$370,P$5,'VS×ケイパビリティ関係'!$E$4:$E$370,"主")&gt;0,"●",IF(COUNTIFS('VS×ケイパビリティ関係'!$F$4:$F$370,$B24,'VS×ケイパビリティ関係'!$G$4:$G$370,P$5,'VS×ケイパビリティ関係'!$E$4:$E$370,"支援")&gt;0,"○",""))</f>
        <v/>
      </c>
      <c r="Q24" s="18">
        <f>IF(COUNTIFS('VS×ケイパビリティ関係'!$F$4:$F$370,$B24,'VS×ケイパビリティ関係'!$G$4:$G$370,Q$5,'VS×ケイパビリティ関係'!$E$4:$E$370,"主")&gt;0,"●",IF(COUNTIFS('VS×ケイパビリティ関係'!$F$4:$F$370,$B24,'VS×ケイパビリティ関係'!$G$4:$G$370,Q$5,'VS×ケイパビリティ関係'!$E$4:$E$370,"支援")&gt;0,"○",""))</f>
        <v/>
      </c>
      <c r="R24" s="18">
        <f>IF(COUNTIFS('VS×ケイパビリティ関係'!$F$4:$F$370,$B24,'VS×ケイパビリティ関係'!$G$4:$G$370,R$5,'VS×ケイパビリティ関係'!$E$4:$E$370,"主")&gt;0,"●",IF(COUNTIFS('VS×ケイパビリティ関係'!$F$4:$F$370,$B24,'VS×ケイパビリティ関係'!$G$4:$G$370,R$5,'VS×ケイパビリティ関係'!$E$4:$E$370,"支援")&gt;0,"○",""))</f>
        <v/>
      </c>
      <c r="S24" s="18">
        <f>IF(COUNTIFS('VS×ケイパビリティ関係'!$F$4:$F$370,$B24,'VS×ケイパビリティ関係'!$G$4:$G$370,S$5,'VS×ケイパビリティ関係'!$E$4:$E$370,"主")&gt;0,"●",IF(COUNTIFS('VS×ケイパビリティ関係'!$F$4:$F$370,$B24,'VS×ケイパビリティ関係'!$G$4:$G$370,S$5,'VS×ケイパビリティ関係'!$E$4:$E$370,"支援")&gt;0,"○",""))</f>
        <v/>
      </c>
      <c r="T24" s="18">
        <f>IF(COUNTIFS('VS×ケイパビリティ関係'!$F$4:$F$370,$B24,'VS×ケイパビリティ関係'!$G$4:$G$370,T$5,'VS×ケイパビリティ関係'!$E$4:$E$370,"主")&gt;0,"●",IF(COUNTIFS('VS×ケイパビリティ関係'!$F$4:$F$370,$B24,'VS×ケイパビリティ関係'!$G$4:$G$370,T$5,'VS×ケイパビリティ関係'!$E$4:$E$370,"支援")&gt;0,"○",""))</f>
        <v/>
      </c>
      <c r="U24" s="18">
        <f>IF(COUNTIFS('VS×ケイパビリティ関係'!$F$4:$F$370,$B24,'VS×ケイパビリティ関係'!$G$4:$G$370,U$5,'VS×ケイパビリティ関係'!$E$4:$E$370,"主")&gt;0,"●",IF(COUNTIFS('VS×ケイパビリティ関係'!$F$4:$F$370,$B24,'VS×ケイパビリティ関係'!$G$4:$G$370,U$5,'VS×ケイパビリティ関係'!$E$4:$E$370,"支援")&gt;0,"○",""))</f>
        <v/>
      </c>
      <c r="V24" s="18">
        <f>IF(COUNTIFS('VS×ケイパビリティ関係'!$F$4:$F$370,$B24,'VS×ケイパビリティ関係'!$G$4:$G$370,V$5,'VS×ケイパビリティ関係'!$E$4:$E$370,"主")&gt;0,"●",IF(COUNTIFS('VS×ケイパビリティ関係'!$F$4:$F$370,$B24,'VS×ケイパビリティ関係'!$G$4:$G$370,V$5,'VS×ケイパビリティ関係'!$E$4:$E$370,"支援")&gt;0,"○",""))</f>
        <v/>
      </c>
      <c r="W24" s="18">
        <f>IF(COUNTIFS('VS×ケイパビリティ関係'!$F$4:$F$370,$B24,'VS×ケイパビリティ関係'!$G$4:$G$370,W$5,'VS×ケイパビリティ関係'!$E$4:$E$370,"主")&gt;0,"●",IF(COUNTIFS('VS×ケイパビリティ関係'!$F$4:$F$370,$B24,'VS×ケイパビリティ関係'!$G$4:$G$370,W$5,'VS×ケイパビリティ関係'!$E$4:$E$370,"支援")&gt;0,"○",""))</f>
        <v/>
      </c>
      <c r="X24" s="18">
        <f>IF(COUNTIFS('VS×ケイパビリティ関係'!$F$4:$F$370,$B24,'VS×ケイパビリティ関係'!$G$4:$G$370,X$5,'VS×ケイパビリティ関係'!$E$4:$E$370,"主")&gt;0,"●",IF(COUNTIFS('VS×ケイパビリティ関係'!$F$4:$F$370,$B24,'VS×ケイパビリティ関係'!$G$4:$G$370,X$5,'VS×ケイパビリティ関係'!$E$4:$E$370,"支援")&gt;0,"○",""))</f>
        <v/>
      </c>
      <c r="Y24" s="18">
        <f>IF(COUNTIFS('VS×ケイパビリティ関係'!$F$4:$F$370,$B24,'VS×ケイパビリティ関係'!$G$4:$G$370,Y$5,'VS×ケイパビリティ関係'!$E$4:$E$370,"主")&gt;0,"●",IF(COUNTIFS('VS×ケイパビリティ関係'!$F$4:$F$370,$B24,'VS×ケイパビリティ関係'!$G$4:$G$370,Y$5,'VS×ケイパビリティ関係'!$E$4:$E$370,"支援")&gt;0,"○",""))</f>
        <v/>
      </c>
      <c r="Z24" s="18">
        <f>IF(COUNTIFS('VS×ケイパビリティ関係'!$F$4:$F$370,$B24,'VS×ケイパビリティ関係'!$G$4:$G$370,Z$5,'VS×ケイパビリティ関係'!$E$4:$E$370,"主")&gt;0,"●",IF(COUNTIFS('VS×ケイパビリティ関係'!$F$4:$F$370,$B24,'VS×ケイパビリティ関係'!$G$4:$G$370,Z$5,'VS×ケイパビリティ関係'!$E$4:$E$370,"支援")&gt;0,"○",""))</f>
        <v/>
      </c>
      <c r="AA24" s="18">
        <f>IF(COUNTIFS('VS×ケイパビリティ関係'!$F$4:$F$370,$B24,'VS×ケイパビリティ関係'!$G$4:$G$370,AA$5,'VS×ケイパビリティ関係'!$E$4:$E$370,"主")&gt;0,"●",IF(COUNTIFS('VS×ケイパビリティ関係'!$F$4:$F$370,$B24,'VS×ケイパビリティ関係'!$G$4:$G$370,AA$5,'VS×ケイパビリティ関係'!$E$4:$E$370,"支援")&gt;0,"○",""))</f>
        <v/>
      </c>
      <c r="AB24" s="18">
        <f>IF(COUNTIFS('VS×ケイパビリティ関係'!$F$4:$F$370,$B24,'VS×ケイパビリティ関係'!$G$4:$G$370,AB$5,'VS×ケイパビリティ関係'!$E$4:$E$370,"主")&gt;0,"●",IF(COUNTIFS('VS×ケイパビリティ関係'!$F$4:$F$370,$B24,'VS×ケイパビリティ関係'!$G$4:$G$370,AB$5,'VS×ケイパビリティ関係'!$E$4:$E$370,"支援")&gt;0,"○",""))</f>
        <v/>
      </c>
      <c r="AC24" s="18">
        <f>IF(COUNTIFS('VS×ケイパビリティ関係'!$F$4:$F$370,$B24,'VS×ケイパビリティ関係'!$G$4:$G$370,AC$5,'VS×ケイパビリティ関係'!$E$4:$E$370,"主")&gt;0,"●",IF(COUNTIFS('VS×ケイパビリティ関係'!$F$4:$F$370,$B24,'VS×ケイパビリティ関係'!$G$4:$G$370,AC$5,'VS×ケイパビリティ関係'!$E$4:$E$370,"支援")&gt;0,"○",""))</f>
        <v/>
      </c>
      <c r="AD24" s="18">
        <f>IF(COUNTIFS('VS×ケイパビリティ関係'!$F$4:$F$370,$B24,'VS×ケイパビリティ関係'!$G$4:$G$370,AD$5,'VS×ケイパビリティ関係'!$E$4:$E$370,"主")&gt;0,"●",IF(COUNTIFS('VS×ケイパビリティ関係'!$F$4:$F$370,$B24,'VS×ケイパビリティ関係'!$G$4:$G$370,AD$5,'VS×ケイパビリティ関係'!$E$4:$E$370,"支援")&gt;0,"○",""))</f>
        <v/>
      </c>
      <c r="AE24" s="18">
        <f>IF(COUNTIFS('VS×ケイパビリティ関係'!$F$4:$F$370,$B24,'VS×ケイパビリティ関係'!$G$4:$G$370,AE$5,'VS×ケイパビリティ関係'!$E$4:$E$370,"主")&gt;0,"●",IF(COUNTIFS('VS×ケイパビリティ関係'!$F$4:$F$370,$B24,'VS×ケイパビリティ関係'!$G$4:$G$370,AE$5,'VS×ケイパビリティ関係'!$E$4:$E$370,"支援")&gt;0,"○",""))</f>
        <v/>
      </c>
      <c r="AF24" s="18">
        <f>IF(COUNTIFS('VS×ケイパビリティ関係'!$F$4:$F$370,$B24,'VS×ケイパビリティ関係'!$G$4:$G$370,AF$5,'VS×ケイパビリティ関係'!$E$4:$E$370,"主")&gt;0,"●",IF(COUNTIFS('VS×ケイパビリティ関係'!$F$4:$F$370,$B24,'VS×ケイパビリティ関係'!$G$4:$G$370,AF$5,'VS×ケイパビリティ関係'!$E$4:$E$370,"支援")&gt;0,"○",""))</f>
        <v/>
      </c>
      <c r="AG24" s="18">
        <f>IF(COUNTIFS('VS×ケイパビリティ関係'!$F$4:$F$370,$B24,'VS×ケイパビリティ関係'!$G$4:$G$370,AG$5,'VS×ケイパビリティ関係'!$E$4:$E$370,"主")&gt;0,"●",IF(COUNTIFS('VS×ケイパビリティ関係'!$F$4:$F$370,$B24,'VS×ケイパビリティ関係'!$G$4:$G$370,AG$5,'VS×ケイパビリティ関係'!$E$4:$E$370,"支援")&gt;0,"○",""))</f>
        <v/>
      </c>
      <c r="AH24" s="18">
        <f>IF(COUNTIFS('VS×ケイパビリティ関係'!$F$4:$F$370,$B24,'VS×ケイパビリティ関係'!$G$4:$G$370,AH$5,'VS×ケイパビリティ関係'!$E$4:$E$370,"主")&gt;0,"●",IF(COUNTIFS('VS×ケイパビリティ関係'!$F$4:$F$370,$B24,'VS×ケイパビリティ関係'!$G$4:$G$370,AH$5,'VS×ケイパビリティ関係'!$E$4:$E$370,"支援")&gt;0,"○",""))</f>
        <v/>
      </c>
      <c r="AI24" s="18">
        <f>IF(COUNTIFS('VS×ケイパビリティ関係'!$F$4:$F$370,$B24,'VS×ケイパビリティ関係'!$G$4:$G$370,AI$5,'VS×ケイパビリティ関係'!$E$4:$E$370,"主")&gt;0,"●",IF(COUNTIFS('VS×ケイパビリティ関係'!$F$4:$F$370,$B24,'VS×ケイパビリティ関係'!$G$4:$G$370,AI$5,'VS×ケイパビリティ関係'!$E$4:$E$370,"支援")&gt;0,"○",""))</f>
        <v/>
      </c>
      <c r="AJ24" s="18">
        <f>COUNTIF(D24:AI24,"●")</f>
        <v/>
      </c>
      <c r="AK24" s="18">
        <f>COUNTIF(D24:AI24,"○")</f>
        <v/>
      </c>
    </row>
    <row r="25">
      <c r="A25" s="42" t="n"/>
      <c r="B25" s="18" t="inlineStr">
        <is>
          <t>05-03</t>
        </is>
      </c>
      <c r="C25" s="20" t="inlineStr">
        <is>
          <t>昇格・登用</t>
        </is>
      </c>
      <c r="D25" s="18">
        <f>IF(COUNTIFS('VS×ケイパビリティ関係'!$F$4:$F$370,$B25,'VS×ケイパビリティ関係'!$G$4:$G$370,D$5,'VS×ケイパビリティ関係'!$E$4:$E$370,"主")&gt;0,"●",IF(COUNTIFS('VS×ケイパビリティ関係'!$F$4:$F$370,$B25,'VS×ケイパビリティ関係'!$G$4:$G$370,D$5,'VS×ケイパビリティ関係'!$E$4:$E$370,"支援")&gt;0,"○",""))</f>
        <v/>
      </c>
      <c r="E25" s="18">
        <f>IF(COUNTIFS('VS×ケイパビリティ関係'!$F$4:$F$370,$B25,'VS×ケイパビリティ関係'!$G$4:$G$370,E$5,'VS×ケイパビリティ関係'!$E$4:$E$370,"主")&gt;0,"●",IF(COUNTIFS('VS×ケイパビリティ関係'!$F$4:$F$370,$B25,'VS×ケイパビリティ関係'!$G$4:$G$370,E$5,'VS×ケイパビリティ関係'!$E$4:$E$370,"支援")&gt;0,"○",""))</f>
        <v/>
      </c>
      <c r="F25" s="18">
        <f>IF(COUNTIFS('VS×ケイパビリティ関係'!$F$4:$F$370,$B25,'VS×ケイパビリティ関係'!$G$4:$G$370,F$5,'VS×ケイパビリティ関係'!$E$4:$E$370,"主")&gt;0,"●",IF(COUNTIFS('VS×ケイパビリティ関係'!$F$4:$F$370,$B25,'VS×ケイパビリティ関係'!$G$4:$G$370,F$5,'VS×ケイパビリティ関係'!$E$4:$E$370,"支援")&gt;0,"○",""))</f>
        <v/>
      </c>
      <c r="G25" s="18">
        <f>IF(COUNTIFS('VS×ケイパビリティ関係'!$F$4:$F$370,$B25,'VS×ケイパビリティ関係'!$G$4:$G$370,G$5,'VS×ケイパビリティ関係'!$E$4:$E$370,"主")&gt;0,"●",IF(COUNTIFS('VS×ケイパビリティ関係'!$F$4:$F$370,$B25,'VS×ケイパビリティ関係'!$G$4:$G$370,G$5,'VS×ケイパビリティ関係'!$E$4:$E$370,"支援")&gt;0,"○",""))</f>
        <v/>
      </c>
      <c r="H25" s="18">
        <f>IF(COUNTIFS('VS×ケイパビリティ関係'!$F$4:$F$370,$B25,'VS×ケイパビリティ関係'!$G$4:$G$370,H$5,'VS×ケイパビリティ関係'!$E$4:$E$370,"主")&gt;0,"●",IF(COUNTIFS('VS×ケイパビリティ関係'!$F$4:$F$370,$B25,'VS×ケイパビリティ関係'!$G$4:$G$370,H$5,'VS×ケイパビリティ関係'!$E$4:$E$370,"支援")&gt;0,"○",""))</f>
        <v/>
      </c>
      <c r="I25" s="18">
        <f>IF(COUNTIFS('VS×ケイパビリティ関係'!$F$4:$F$370,$B25,'VS×ケイパビリティ関係'!$G$4:$G$370,I$5,'VS×ケイパビリティ関係'!$E$4:$E$370,"主")&gt;0,"●",IF(COUNTIFS('VS×ケイパビリティ関係'!$F$4:$F$370,$B25,'VS×ケイパビリティ関係'!$G$4:$G$370,I$5,'VS×ケイパビリティ関係'!$E$4:$E$370,"支援")&gt;0,"○",""))</f>
        <v/>
      </c>
      <c r="J25" s="18">
        <f>IF(COUNTIFS('VS×ケイパビリティ関係'!$F$4:$F$370,$B25,'VS×ケイパビリティ関係'!$G$4:$G$370,J$5,'VS×ケイパビリティ関係'!$E$4:$E$370,"主")&gt;0,"●",IF(COUNTIFS('VS×ケイパビリティ関係'!$F$4:$F$370,$B25,'VS×ケイパビリティ関係'!$G$4:$G$370,J$5,'VS×ケイパビリティ関係'!$E$4:$E$370,"支援")&gt;0,"○",""))</f>
        <v/>
      </c>
      <c r="K25" s="18">
        <f>IF(COUNTIFS('VS×ケイパビリティ関係'!$F$4:$F$370,$B25,'VS×ケイパビリティ関係'!$G$4:$G$370,K$5,'VS×ケイパビリティ関係'!$E$4:$E$370,"主")&gt;0,"●",IF(COUNTIFS('VS×ケイパビリティ関係'!$F$4:$F$370,$B25,'VS×ケイパビリティ関係'!$G$4:$G$370,K$5,'VS×ケイパビリティ関係'!$E$4:$E$370,"支援")&gt;0,"○",""))</f>
        <v/>
      </c>
      <c r="L25" s="18">
        <f>IF(COUNTIFS('VS×ケイパビリティ関係'!$F$4:$F$370,$B25,'VS×ケイパビリティ関係'!$G$4:$G$370,L$5,'VS×ケイパビリティ関係'!$E$4:$E$370,"主")&gt;0,"●",IF(COUNTIFS('VS×ケイパビリティ関係'!$F$4:$F$370,$B25,'VS×ケイパビリティ関係'!$G$4:$G$370,L$5,'VS×ケイパビリティ関係'!$E$4:$E$370,"支援")&gt;0,"○",""))</f>
        <v/>
      </c>
      <c r="M25" s="18">
        <f>IF(COUNTIFS('VS×ケイパビリティ関係'!$F$4:$F$370,$B25,'VS×ケイパビリティ関係'!$G$4:$G$370,M$5,'VS×ケイパビリティ関係'!$E$4:$E$370,"主")&gt;0,"●",IF(COUNTIFS('VS×ケイパビリティ関係'!$F$4:$F$370,$B25,'VS×ケイパビリティ関係'!$G$4:$G$370,M$5,'VS×ケイパビリティ関係'!$E$4:$E$370,"支援")&gt;0,"○",""))</f>
        <v/>
      </c>
      <c r="N25" s="18">
        <f>IF(COUNTIFS('VS×ケイパビリティ関係'!$F$4:$F$370,$B25,'VS×ケイパビリティ関係'!$G$4:$G$370,N$5,'VS×ケイパビリティ関係'!$E$4:$E$370,"主")&gt;0,"●",IF(COUNTIFS('VS×ケイパビリティ関係'!$F$4:$F$370,$B25,'VS×ケイパビリティ関係'!$G$4:$G$370,N$5,'VS×ケイパビリティ関係'!$E$4:$E$370,"支援")&gt;0,"○",""))</f>
        <v/>
      </c>
      <c r="O25" s="18">
        <f>IF(COUNTIFS('VS×ケイパビリティ関係'!$F$4:$F$370,$B25,'VS×ケイパビリティ関係'!$G$4:$G$370,O$5,'VS×ケイパビリティ関係'!$E$4:$E$370,"主")&gt;0,"●",IF(COUNTIFS('VS×ケイパビリティ関係'!$F$4:$F$370,$B25,'VS×ケイパビリティ関係'!$G$4:$G$370,O$5,'VS×ケイパビリティ関係'!$E$4:$E$370,"支援")&gt;0,"○",""))</f>
        <v/>
      </c>
      <c r="P25" s="18">
        <f>IF(COUNTIFS('VS×ケイパビリティ関係'!$F$4:$F$370,$B25,'VS×ケイパビリティ関係'!$G$4:$G$370,P$5,'VS×ケイパビリティ関係'!$E$4:$E$370,"主")&gt;0,"●",IF(COUNTIFS('VS×ケイパビリティ関係'!$F$4:$F$370,$B25,'VS×ケイパビリティ関係'!$G$4:$G$370,P$5,'VS×ケイパビリティ関係'!$E$4:$E$370,"支援")&gt;0,"○",""))</f>
        <v/>
      </c>
      <c r="Q25" s="18">
        <f>IF(COUNTIFS('VS×ケイパビリティ関係'!$F$4:$F$370,$B25,'VS×ケイパビリティ関係'!$G$4:$G$370,Q$5,'VS×ケイパビリティ関係'!$E$4:$E$370,"主")&gt;0,"●",IF(COUNTIFS('VS×ケイパビリティ関係'!$F$4:$F$370,$B25,'VS×ケイパビリティ関係'!$G$4:$G$370,Q$5,'VS×ケイパビリティ関係'!$E$4:$E$370,"支援")&gt;0,"○",""))</f>
        <v/>
      </c>
      <c r="R25" s="18">
        <f>IF(COUNTIFS('VS×ケイパビリティ関係'!$F$4:$F$370,$B25,'VS×ケイパビリティ関係'!$G$4:$G$370,R$5,'VS×ケイパビリティ関係'!$E$4:$E$370,"主")&gt;0,"●",IF(COUNTIFS('VS×ケイパビリティ関係'!$F$4:$F$370,$B25,'VS×ケイパビリティ関係'!$G$4:$G$370,R$5,'VS×ケイパビリティ関係'!$E$4:$E$370,"支援")&gt;0,"○",""))</f>
        <v/>
      </c>
      <c r="S25" s="18">
        <f>IF(COUNTIFS('VS×ケイパビリティ関係'!$F$4:$F$370,$B25,'VS×ケイパビリティ関係'!$G$4:$G$370,S$5,'VS×ケイパビリティ関係'!$E$4:$E$370,"主")&gt;0,"●",IF(COUNTIFS('VS×ケイパビリティ関係'!$F$4:$F$370,$B25,'VS×ケイパビリティ関係'!$G$4:$G$370,S$5,'VS×ケイパビリティ関係'!$E$4:$E$370,"支援")&gt;0,"○",""))</f>
        <v/>
      </c>
      <c r="T25" s="18">
        <f>IF(COUNTIFS('VS×ケイパビリティ関係'!$F$4:$F$370,$B25,'VS×ケイパビリティ関係'!$G$4:$G$370,T$5,'VS×ケイパビリティ関係'!$E$4:$E$370,"主")&gt;0,"●",IF(COUNTIFS('VS×ケイパビリティ関係'!$F$4:$F$370,$B25,'VS×ケイパビリティ関係'!$G$4:$G$370,T$5,'VS×ケイパビリティ関係'!$E$4:$E$370,"支援")&gt;0,"○",""))</f>
        <v/>
      </c>
      <c r="U25" s="18">
        <f>IF(COUNTIFS('VS×ケイパビリティ関係'!$F$4:$F$370,$B25,'VS×ケイパビリティ関係'!$G$4:$G$370,U$5,'VS×ケイパビリティ関係'!$E$4:$E$370,"主")&gt;0,"●",IF(COUNTIFS('VS×ケイパビリティ関係'!$F$4:$F$370,$B25,'VS×ケイパビリティ関係'!$G$4:$G$370,U$5,'VS×ケイパビリティ関係'!$E$4:$E$370,"支援")&gt;0,"○",""))</f>
        <v/>
      </c>
      <c r="V25" s="18">
        <f>IF(COUNTIFS('VS×ケイパビリティ関係'!$F$4:$F$370,$B25,'VS×ケイパビリティ関係'!$G$4:$G$370,V$5,'VS×ケイパビリティ関係'!$E$4:$E$370,"主")&gt;0,"●",IF(COUNTIFS('VS×ケイパビリティ関係'!$F$4:$F$370,$B25,'VS×ケイパビリティ関係'!$G$4:$G$370,V$5,'VS×ケイパビリティ関係'!$E$4:$E$370,"支援")&gt;0,"○",""))</f>
        <v/>
      </c>
      <c r="W25" s="18">
        <f>IF(COUNTIFS('VS×ケイパビリティ関係'!$F$4:$F$370,$B25,'VS×ケイパビリティ関係'!$G$4:$G$370,W$5,'VS×ケイパビリティ関係'!$E$4:$E$370,"主")&gt;0,"●",IF(COUNTIFS('VS×ケイパビリティ関係'!$F$4:$F$370,$B25,'VS×ケイパビリティ関係'!$G$4:$G$370,W$5,'VS×ケイパビリティ関係'!$E$4:$E$370,"支援")&gt;0,"○",""))</f>
        <v/>
      </c>
      <c r="X25" s="18">
        <f>IF(COUNTIFS('VS×ケイパビリティ関係'!$F$4:$F$370,$B25,'VS×ケイパビリティ関係'!$G$4:$G$370,X$5,'VS×ケイパビリティ関係'!$E$4:$E$370,"主")&gt;0,"●",IF(COUNTIFS('VS×ケイパビリティ関係'!$F$4:$F$370,$B25,'VS×ケイパビリティ関係'!$G$4:$G$370,X$5,'VS×ケイパビリティ関係'!$E$4:$E$370,"支援")&gt;0,"○",""))</f>
        <v/>
      </c>
      <c r="Y25" s="18">
        <f>IF(COUNTIFS('VS×ケイパビリティ関係'!$F$4:$F$370,$B25,'VS×ケイパビリティ関係'!$G$4:$G$370,Y$5,'VS×ケイパビリティ関係'!$E$4:$E$370,"主")&gt;0,"●",IF(COUNTIFS('VS×ケイパビリティ関係'!$F$4:$F$370,$B25,'VS×ケイパビリティ関係'!$G$4:$G$370,Y$5,'VS×ケイパビリティ関係'!$E$4:$E$370,"支援")&gt;0,"○",""))</f>
        <v/>
      </c>
      <c r="Z25" s="18">
        <f>IF(COUNTIFS('VS×ケイパビリティ関係'!$F$4:$F$370,$B25,'VS×ケイパビリティ関係'!$G$4:$G$370,Z$5,'VS×ケイパビリティ関係'!$E$4:$E$370,"主")&gt;0,"●",IF(COUNTIFS('VS×ケイパビリティ関係'!$F$4:$F$370,$B25,'VS×ケイパビリティ関係'!$G$4:$G$370,Z$5,'VS×ケイパビリティ関係'!$E$4:$E$370,"支援")&gt;0,"○",""))</f>
        <v/>
      </c>
      <c r="AA25" s="18">
        <f>IF(COUNTIFS('VS×ケイパビリティ関係'!$F$4:$F$370,$B25,'VS×ケイパビリティ関係'!$G$4:$G$370,AA$5,'VS×ケイパビリティ関係'!$E$4:$E$370,"主")&gt;0,"●",IF(COUNTIFS('VS×ケイパビリティ関係'!$F$4:$F$370,$B25,'VS×ケイパビリティ関係'!$G$4:$G$370,AA$5,'VS×ケイパビリティ関係'!$E$4:$E$370,"支援")&gt;0,"○",""))</f>
        <v/>
      </c>
      <c r="AB25" s="18">
        <f>IF(COUNTIFS('VS×ケイパビリティ関係'!$F$4:$F$370,$B25,'VS×ケイパビリティ関係'!$G$4:$G$370,AB$5,'VS×ケイパビリティ関係'!$E$4:$E$370,"主")&gt;0,"●",IF(COUNTIFS('VS×ケイパビリティ関係'!$F$4:$F$370,$B25,'VS×ケイパビリティ関係'!$G$4:$G$370,AB$5,'VS×ケイパビリティ関係'!$E$4:$E$370,"支援")&gt;0,"○",""))</f>
        <v/>
      </c>
      <c r="AC25" s="18">
        <f>IF(COUNTIFS('VS×ケイパビリティ関係'!$F$4:$F$370,$B25,'VS×ケイパビリティ関係'!$G$4:$G$370,AC$5,'VS×ケイパビリティ関係'!$E$4:$E$370,"主")&gt;0,"●",IF(COUNTIFS('VS×ケイパビリティ関係'!$F$4:$F$370,$B25,'VS×ケイパビリティ関係'!$G$4:$G$370,AC$5,'VS×ケイパビリティ関係'!$E$4:$E$370,"支援")&gt;0,"○",""))</f>
        <v/>
      </c>
      <c r="AD25" s="18">
        <f>IF(COUNTIFS('VS×ケイパビリティ関係'!$F$4:$F$370,$B25,'VS×ケイパビリティ関係'!$G$4:$G$370,AD$5,'VS×ケイパビリティ関係'!$E$4:$E$370,"主")&gt;0,"●",IF(COUNTIFS('VS×ケイパビリティ関係'!$F$4:$F$370,$B25,'VS×ケイパビリティ関係'!$G$4:$G$370,AD$5,'VS×ケイパビリティ関係'!$E$4:$E$370,"支援")&gt;0,"○",""))</f>
        <v/>
      </c>
      <c r="AE25" s="18">
        <f>IF(COUNTIFS('VS×ケイパビリティ関係'!$F$4:$F$370,$B25,'VS×ケイパビリティ関係'!$G$4:$G$370,AE$5,'VS×ケイパビリティ関係'!$E$4:$E$370,"主")&gt;0,"●",IF(COUNTIFS('VS×ケイパビリティ関係'!$F$4:$F$370,$B25,'VS×ケイパビリティ関係'!$G$4:$G$370,AE$5,'VS×ケイパビリティ関係'!$E$4:$E$370,"支援")&gt;0,"○",""))</f>
        <v/>
      </c>
      <c r="AF25" s="18">
        <f>IF(COUNTIFS('VS×ケイパビリティ関係'!$F$4:$F$370,$B25,'VS×ケイパビリティ関係'!$G$4:$G$370,AF$5,'VS×ケイパビリティ関係'!$E$4:$E$370,"主")&gt;0,"●",IF(COUNTIFS('VS×ケイパビリティ関係'!$F$4:$F$370,$B25,'VS×ケイパビリティ関係'!$G$4:$G$370,AF$5,'VS×ケイパビリティ関係'!$E$4:$E$370,"支援")&gt;0,"○",""))</f>
        <v/>
      </c>
      <c r="AG25" s="18">
        <f>IF(COUNTIFS('VS×ケイパビリティ関係'!$F$4:$F$370,$B25,'VS×ケイパビリティ関係'!$G$4:$G$370,AG$5,'VS×ケイパビリティ関係'!$E$4:$E$370,"主")&gt;0,"●",IF(COUNTIFS('VS×ケイパビリティ関係'!$F$4:$F$370,$B25,'VS×ケイパビリティ関係'!$G$4:$G$370,AG$5,'VS×ケイパビリティ関係'!$E$4:$E$370,"支援")&gt;0,"○",""))</f>
        <v/>
      </c>
      <c r="AH25" s="18">
        <f>IF(COUNTIFS('VS×ケイパビリティ関係'!$F$4:$F$370,$B25,'VS×ケイパビリティ関係'!$G$4:$G$370,AH$5,'VS×ケイパビリティ関係'!$E$4:$E$370,"主")&gt;0,"●",IF(COUNTIFS('VS×ケイパビリティ関係'!$F$4:$F$370,$B25,'VS×ケイパビリティ関係'!$G$4:$G$370,AH$5,'VS×ケイパビリティ関係'!$E$4:$E$370,"支援")&gt;0,"○",""))</f>
        <v/>
      </c>
      <c r="AI25" s="18">
        <f>IF(COUNTIFS('VS×ケイパビリティ関係'!$F$4:$F$370,$B25,'VS×ケイパビリティ関係'!$G$4:$G$370,AI$5,'VS×ケイパビリティ関係'!$E$4:$E$370,"主")&gt;0,"●",IF(COUNTIFS('VS×ケイパビリティ関係'!$F$4:$F$370,$B25,'VS×ケイパビリティ関係'!$G$4:$G$370,AI$5,'VS×ケイパビリティ関係'!$E$4:$E$370,"支援")&gt;0,"○",""))</f>
        <v/>
      </c>
      <c r="AJ25" s="18">
        <f>COUNTIF(D25:AI25,"●")</f>
        <v/>
      </c>
      <c r="AK25" s="18">
        <f>COUNTIF(D25:AI25,"○")</f>
        <v/>
      </c>
    </row>
    <row r="26">
      <c r="A26" s="42" t="n"/>
      <c r="B26" s="18" t="inlineStr">
        <is>
          <t>05-04</t>
        </is>
      </c>
      <c r="C26" s="20" t="inlineStr">
        <is>
          <t>後継者・リーダー育成</t>
        </is>
      </c>
      <c r="D26" s="18">
        <f>IF(COUNTIFS('VS×ケイパビリティ関係'!$F$4:$F$370,$B26,'VS×ケイパビリティ関係'!$G$4:$G$370,D$5,'VS×ケイパビリティ関係'!$E$4:$E$370,"主")&gt;0,"●",IF(COUNTIFS('VS×ケイパビリティ関係'!$F$4:$F$370,$B26,'VS×ケイパビリティ関係'!$G$4:$G$370,D$5,'VS×ケイパビリティ関係'!$E$4:$E$370,"支援")&gt;0,"○",""))</f>
        <v/>
      </c>
      <c r="E26" s="18">
        <f>IF(COUNTIFS('VS×ケイパビリティ関係'!$F$4:$F$370,$B26,'VS×ケイパビリティ関係'!$G$4:$G$370,E$5,'VS×ケイパビリティ関係'!$E$4:$E$370,"主")&gt;0,"●",IF(COUNTIFS('VS×ケイパビリティ関係'!$F$4:$F$370,$B26,'VS×ケイパビリティ関係'!$G$4:$G$370,E$5,'VS×ケイパビリティ関係'!$E$4:$E$370,"支援")&gt;0,"○",""))</f>
        <v/>
      </c>
      <c r="F26" s="18">
        <f>IF(COUNTIFS('VS×ケイパビリティ関係'!$F$4:$F$370,$B26,'VS×ケイパビリティ関係'!$G$4:$G$370,F$5,'VS×ケイパビリティ関係'!$E$4:$E$370,"主")&gt;0,"●",IF(COUNTIFS('VS×ケイパビリティ関係'!$F$4:$F$370,$B26,'VS×ケイパビリティ関係'!$G$4:$G$370,F$5,'VS×ケイパビリティ関係'!$E$4:$E$370,"支援")&gt;0,"○",""))</f>
        <v/>
      </c>
      <c r="G26" s="18">
        <f>IF(COUNTIFS('VS×ケイパビリティ関係'!$F$4:$F$370,$B26,'VS×ケイパビリティ関係'!$G$4:$G$370,G$5,'VS×ケイパビリティ関係'!$E$4:$E$370,"主")&gt;0,"●",IF(COUNTIFS('VS×ケイパビリティ関係'!$F$4:$F$370,$B26,'VS×ケイパビリティ関係'!$G$4:$G$370,G$5,'VS×ケイパビリティ関係'!$E$4:$E$370,"支援")&gt;0,"○",""))</f>
        <v/>
      </c>
      <c r="H26" s="18">
        <f>IF(COUNTIFS('VS×ケイパビリティ関係'!$F$4:$F$370,$B26,'VS×ケイパビリティ関係'!$G$4:$G$370,H$5,'VS×ケイパビリティ関係'!$E$4:$E$370,"主")&gt;0,"●",IF(COUNTIFS('VS×ケイパビリティ関係'!$F$4:$F$370,$B26,'VS×ケイパビリティ関係'!$G$4:$G$370,H$5,'VS×ケイパビリティ関係'!$E$4:$E$370,"支援")&gt;0,"○",""))</f>
        <v/>
      </c>
      <c r="I26" s="18">
        <f>IF(COUNTIFS('VS×ケイパビリティ関係'!$F$4:$F$370,$B26,'VS×ケイパビリティ関係'!$G$4:$G$370,I$5,'VS×ケイパビリティ関係'!$E$4:$E$370,"主")&gt;0,"●",IF(COUNTIFS('VS×ケイパビリティ関係'!$F$4:$F$370,$B26,'VS×ケイパビリティ関係'!$G$4:$G$370,I$5,'VS×ケイパビリティ関係'!$E$4:$E$370,"支援")&gt;0,"○",""))</f>
        <v/>
      </c>
      <c r="J26" s="18">
        <f>IF(COUNTIFS('VS×ケイパビリティ関係'!$F$4:$F$370,$B26,'VS×ケイパビリティ関係'!$G$4:$G$370,J$5,'VS×ケイパビリティ関係'!$E$4:$E$370,"主")&gt;0,"●",IF(COUNTIFS('VS×ケイパビリティ関係'!$F$4:$F$370,$B26,'VS×ケイパビリティ関係'!$G$4:$G$370,J$5,'VS×ケイパビリティ関係'!$E$4:$E$370,"支援")&gt;0,"○",""))</f>
        <v/>
      </c>
      <c r="K26" s="18">
        <f>IF(COUNTIFS('VS×ケイパビリティ関係'!$F$4:$F$370,$B26,'VS×ケイパビリティ関係'!$G$4:$G$370,K$5,'VS×ケイパビリティ関係'!$E$4:$E$370,"主")&gt;0,"●",IF(COUNTIFS('VS×ケイパビリティ関係'!$F$4:$F$370,$B26,'VS×ケイパビリティ関係'!$G$4:$G$370,K$5,'VS×ケイパビリティ関係'!$E$4:$E$370,"支援")&gt;0,"○",""))</f>
        <v/>
      </c>
      <c r="L26" s="18">
        <f>IF(COUNTIFS('VS×ケイパビリティ関係'!$F$4:$F$370,$B26,'VS×ケイパビリティ関係'!$G$4:$G$370,L$5,'VS×ケイパビリティ関係'!$E$4:$E$370,"主")&gt;0,"●",IF(COUNTIFS('VS×ケイパビリティ関係'!$F$4:$F$370,$B26,'VS×ケイパビリティ関係'!$G$4:$G$370,L$5,'VS×ケイパビリティ関係'!$E$4:$E$370,"支援")&gt;0,"○",""))</f>
        <v/>
      </c>
      <c r="M26" s="18">
        <f>IF(COUNTIFS('VS×ケイパビリティ関係'!$F$4:$F$370,$B26,'VS×ケイパビリティ関係'!$G$4:$G$370,M$5,'VS×ケイパビリティ関係'!$E$4:$E$370,"主")&gt;0,"●",IF(COUNTIFS('VS×ケイパビリティ関係'!$F$4:$F$370,$B26,'VS×ケイパビリティ関係'!$G$4:$G$370,M$5,'VS×ケイパビリティ関係'!$E$4:$E$370,"支援")&gt;0,"○",""))</f>
        <v/>
      </c>
      <c r="N26" s="18">
        <f>IF(COUNTIFS('VS×ケイパビリティ関係'!$F$4:$F$370,$B26,'VS×ケイパビリティ関係'!$G$4:$G$370,N$5,'VS×ケイパビリティ関係'!$E$4:$E$370,"主")&gt;0,"●",IF(COUNTIFS('VS×ケイパビリティ関係'!$F$4:$F$370,$B26,'VS×ケイパビリティ関係'!$G$4:$G$370,N$5,'VS×ケイパビリティ関係'!$E$4:$E$370,"支援")&gt;0,"○",""))</f>
        <v/>
      </c>
      <c r="O26" s="18">
        <f>IF(COUNTIFS('VS×ケイパビリティ関係'!$F$4:$F$370,$B26,'VS×ケイパビリティ関係'!$G$4:$G$370,O$5,'VS×ケイパビリティ関係'!$E$4:$E$370,"主")&gt;0,"●",IF(COUNTIFS('VS×ケイパビリティ関係'!$F$4:$F$370,$B26,'VS×ケイパビリティ関係'!$G$4:$G$370,O$5,'VS×ケイパビリティ関係'!$E$4:$E$370,"支援")&gt;0,"○",""))</f>
        <v/>
      </c>
      <c r="P26" s="18">
        <f>IF(COUNTIFS('VS×ケイパビリティ関係'!$F$4:$F$370,$B26,'VS×ケイパビリティ関係'!$G$4:$G$370,P$5,'VS×ケイパビリティ関係'!$E$4:$E$370,"主")&gt;0,"●",IF(COUNTIFS('VS×ケイパビリティ関係'!$F$4:$F$370,$B26,'VS×ケイパビリティ関係'!$G$4:$G$370,P$5,'VS×ケイパビリティ関係'!$E$4:$E$370,"支援")&gt;0,"○",""))</f>
        <v/>
      </c>
      <c r="Q26" s="18">
        <f>IF(COUNTIFS('VS×ケイパビリティ関係'!$F$4:$F$370,$B26,'VS×ケイパビリティ関係'!$G$4:$G$370,Q$5,'VS×ケイパビリティ関係'!$E$4:$E$370,"主")&gt;0,"●",IF(COUNTIFS('VS×ケイパビリティ関係'!$F$4:$F$370,$B26,'VS×ケイパビリティ関係'!$G$4:$G$370,Q$5,'VS×ケイパビリティ関係'!$E$4:$E$370,"支援")&gt;0,"○",""))</f>
        <v/>
      </c>
      <c r="R26" s="18">
        <f>IF(COUNTIFS('VS×ケイパビリティ関係'!$F$4:$F$370,$B26,'VS×ケイパビリティ関係'!$G$4:$G$370,R$5,'VS×ケイパビリティ関係'!$E$4:$E$370,"主")&gt;0,"●",IF(COUNTIFS('VS×ケイパビリティ関係'!$F$4:$F$370,$B26,'VS×ケイパビリティ関係'!$G$4:$G$370,R$5,'VS×ケイパビリティ関係'!$E$4:$E$370,"支援")&gt;0,"○",""))</f>
        <v/>
      </c>
      <c r="S26" s="18">
        <f>IF(COUNTIFS('VS×ケイパビリティ関係'!$F$4:$F$370,$B26,'VS×ケイパビリティ関係'!$G$4:$G$370,S$5,'VS×ケイパビリティ関係'!$E$4:$E$370,"主")&gt;0,"●",IF(COUNTIFS('VS×ケイパビリティ関係'!$F$4:$F$370,$B26,'VS×ケイパビリティ関係'!$G$4:$G$370,S$5,'VS×ケイパビリティ関係'!$E$4:$E$370,"支援")&gt;0,"○",""))</f>
        <v/>
      </c>
      <c r="T26" s="18">
        <f>IF(COUNTIFS('VS×ケイパビリティ関係'!$F$4:$F$370,$B26,'VS×ケイパビリティ関係'!$G$4:$G$370,T$5,'VS×ケイパビリティ関係'!$E$4:$E$370,"主")&gt;0,"●",IF(COUNTIFS('VS×ケイパビリティ関係'!$F$4:$F$370,$B26,'VS×ケイパビリティ関係'!$G$4:$G$370,T$5,'VS×ケイパビリティ関係'!$E$4:$E$370,"支援")&gt;0,"○",""))</f>
        <v/>
      </c>
      <c r="U26" s="18">
        <f>IF(COUNTIFS('VS×ケイパビリティ関係'!$F$4:$F$370,$B26,'VS×ケイパビリティ関係'!$G$4:$G$370,U$5,'VS×ケイパビリティ関係'!$E$4:$E$370,"主")&gt;0,"●",IF(COUNTIFS('VS×ケイパビリティ関係'!$F$4:$F$370,$B26,'VS×ケイパビリティ関係'!$G$4:$G$370,U$5,'VS×ケイパビリティ関係'!$E$4:$E$370,"支援")&gt;0,"○",""))</f>
        <v/>
      </c>
      <c r="V26" s="18">
        <f>IF(COUNTIFS('VS×ケイパビリティ関係'!$F$4:$F$370,$B26,'VS×ケイパビリティ関係'!$G$4:$G$370,V$5,'VS×ケイパビリティ関係'!$E$4:$E$370,"主")&gt;0,"●",IF(COUNTIFS('VS×ケイパビリティ関係'!$F$4:$F$370,$B26,'VS×ケイパビリティ関係'!$G$4:$G$370,V$5,'VS×ケイパビリティ関係'!$E$4:$E$370,"支援")&gt;0,"○",""))</f>
        <v/>
      </c>
      <c r="W26" s="18">
        <f>IF(COUNTIFS('VS×ケイパビリティ関係'!$F$4:$F$370,$B26,'VS×ケイパビリティ関係'!$G$4:$G$370,W$5,'VS×ケイパビリティ関係'!$E$4:$E$370,"主")&gt;0,"●",IF(COUNTIFS('VS×ケイパビリティ関係'!$F$4:$F$370,$B26,'VS×ケイパビリティ関係'!$G$4:$G$370,W$5,'VS×ケイパビリティ関係'!$E$4:$E$370,"支援")&gt;0,"○",""))</f>
        <v/>
      </c>
      <c r="X26" s="18">
        <f>IF(COUNTIFS('VS×ケイパビリティ関係'!$F$4:$F$370,$B26,'VS×ケイパビリティ関係'!$G$4:$G$370,X$5,'VS×ケイパビリティ関係'!$E$4:$E$370,"主")&gt;0,"●",IF(COUNTIFS('VS×ケイパビリティ関係'!$F$4:$F$370,$B26,'VS×ケイパビリティ関係'!$G$4:$G$370,X$5,'VS×ケイパビリティ関係'!$E$4:$E$370,"支援")&gt;0,"○",""))</f>
        <v/>
      </c>
      <c r="Y26" s="18">
        <f>IF(COUNTIFS('VS×ケイパビリティ関係'!$F$4:$F$370,$B26,'VS×ケイパビリティ関係'!$G$4:$G$370,Y$5,'VS×ケイパビリティ関係'!$E$4:$E$370,"主")&gt;0,"●",IF(COUNTIFS('VS×ケイパビリティ関係'!$F$4:$F$370,$B26,'VS×ケイパビリティ関係'!$G$4:$G$370,Y$5,'VS×ケイパビリティ関係'!$E$4:$E$370,"支援")&gt;0,"○",""))</f>
        <v/>
      </c>
      <c r="Z26" s="18">
        <f>IF(COUNTIFS('VS×ケイパビリティ関係'!$F$4:$F$370,$B26,'VS×ケイパビリティ関係'!$G$4:$G$370,Z$5,'VS×ケイパビリティ関係'!$E$4:$E$370,"主")&gt;0,"●",IF(COUNTIFS('VS×ケイパビリティ関係'!$F$4:$F$370,$B26,'VS×ケイパビリティ関係'!$G$4:$G$370,Z$5,'VS×ケイパビリティ関係'!$E$4:$E$370,"支援")&gt;0,"○",""))</f>
        <v/>
      </c>
      <c r="AA26" s="18">
        <f>IF(COUNTIFS('VS×ケイパビリティ関係'!$F$4:$F$370,$B26,'VS×ケイパビリティ関係'!$G$4:$G$370,AA$5,'VS×ケイパビリティ関係'!$E$4:$E$370,"主")&gt;0,"●",IF(COUNTIFS('VS×ケイパビリティ関係'!$F$4:$F$370,$B26,'VS×ケイパビリティ関係'!$G$4:$G$370,AA$5,'VS×ケイパビリティ関係'!$E$4:$E$370,"支援")&gt;0,"○",""))</f>
        <v/>
      </c>
      <c r="AB26" s="18">
        <f>IF(COUNTIFS('VS×ケイパビリティ関係'!$F$4:$F$370,$B26,'VS×ケイパビリティ関係'!$G$4:$G$370,AB$5,'VS×ケイパビリティ関係'!$E$4:$E$370,"主")&gt;0,"●",IF(COUNTIFS('VS×ケイパビリティ関係'!$F$4:$F$370,$B26,'VS×ケイパビリティ関係'!$G$4:$G$370,AB$5,'VS×ケイパビリティ関係'!$E$4:$E$370,"支援")&gt;0,"○",""))</f>
        <v/>
      </c>
      <c r="AC26" s="18">
        <f>IF(COUNTIFS('VS×ケイパビリティ関係'!$F$4:$F$370,$B26,'VS×ケイパビリティ関係'!$G$4:$G$370,AC$5,'VS×ケイパビリティ関係'!$E$4:$E$370,"主")&gt;0,"●",IF(COUNTIFS('VS×ケイパビリティ関係'!$F$4:$F$370,$B26,'VS×ケイパビリティ関係'!$G$4:$G$370,AC$5,'VS×ケイパビリティ関係'!$E$4:$E$370,"支援")&gt;0,"○",""))</f>
        <v/>
      </c>
      <c r="AD26" s="18">
        <f>IF(COUNTIFS('VS×ケイパビリティ関係'!$F$4:$F$370,$B26,'VS×ケイパビリティ関係'!$G$4:$G$370,AD$5,'VS×ケイパビリティ関係'!$E$4:$E$370,"主")&gt;0,"●",IF(COUNTIFS('VS×ケイパビリティ関係'!$F$4:$F$370,$B26,'VS×ケイパビリティ関係'!$G$4:$G$370,AD$5,'VS×ケイパビリティ関係'!$E$4:$E$370,"支援")&gt;0,"○",""))</f>
        <v/>
      </c>
      <c r="AE26" s="18">
        <f>IF(COUNTIFS('VS×ケイパビリティ関係'!$F$4:$F$370,$B26,'VS×ケイパビリティ関係'!$G$4:$G$370,AE$5,'VS×ケイパビリティ関係'!$E$4:$E$370,"主")&gt;0,"●",IF(COUNTIFS('VS×ケイパビリティ関係'!$F$4:$F$370,$B26,'VS×ケイパビリティ関係'!$G$4:$G$370,AE$5,'VS×ケイパビリティ関係'!$E$4:$E$370,"支援")&gt;0,"○",""))</f>
        <v/>
      </c>
      <c r="AF26" s="18">
        <f>IF(COUNTIFS('VS×ケイパビリティ関係'!$F$4:$F$370,$B26,'VS×ケイパビリティ関係'!$G$4:$G$370,AF$5,'VS×ケイパビリティ関係'!$E$4:$E$370,"主")&gt;0,"●",IF(COUNTIFS('VS×ケイパビリティ関係'!$F$4:$F$370,$B26,'VS×ケイパビリティ関係'!$G$4:$G$370,AF$5,'VS×ケイパビリティ関係'!$E$4:$E$370,"支援")&gt;0,"○",""))</f>
        <v/>
      </c>
      <c r="AG26" s="18">
        <f>IF(COUNTIFS('VS×ケイパビリティ関係'!$F$4:$F$370,$B26,'VS×ケイパビリティ関係'!$G$4:$G$370,AG$5,'VS×ケイパビリティ関係'!$E$4:$E$370,"主")&gt;0,"●",IF(COUNTIFS('VS×ケイパビリティ関係'!$F$4:$F$370,$B26,'VS×ケイパビリティ関係'!$G$4:$G$370,AG$5,'VS×ケイパビリティ関係'!$E$4:$E$370,"支援")&gt;0,"○",""))</f>
        <v/>
      </c>
      <c r="AH26" s="18">
        <f>IF(COUNTIFS('VS×ケイパビリティ関係'!$F$4:$F$370,$B26,'VS×ケイパビリティ関係'!$G$4:$G$370,AH$5,'VS×ケイパビリティ関係'!$E$4:$E$370,"主")&gt;0,"●",IF(COUNTIFS('VS×ケイパビリティ関係'!$F$4:$F$370,$B26,'VS×ケイパビリティ関係'!$G$4:$G$370,AH$5,'VS×ケイパビリティ関係'!$E$4:$E$370,"支援")&gt;0,"○",""))</f>
        <v/>
      </c>
      <c r="AI26" s="18">
        <f>IF(COUNTIFS('VS×ケイパビリティ関係'!$F$4:$F$370,$B26,'VS×ケイパビリティ関係'!$G$4:$G$370,AI$5,'VS×ケイパビリティ関係'!$E$4:$E$370,"主")&gt;0,"●",IF(COUNTIFS('VS×ケイパビリティ関係'!$F$4:$F$370,$B26,'VS×ケイパビリティ関係'!$G$4:$G$370,AI$5,'VS×ケイパビリティ関係'!$E$4:$E$370,"支援")&gt;0,"○",""))</f>
        <v/>
      </c>
      <c r="AJ26" s="18">
        <f>COUNTIF(D26:AI26,"●")</f>
        <v/>
      </c>
      <c r="AK26" s="18">
        <f>COUNTIF(D26:AI26,"○")</f>
        <v/>
      </c>
    </row>
    <row r="27">
      <c r="A27" s="42" t="n"/>
      <c r="B27" s="18" t="inlineStr">
        <is>
          <t>05-05</t>
        </is>
      </c>
      <c r="C27" s="20" t="inlineStr">
        <is>
          <t>多様な人材の活躍</t>
        </is>
      </c>
      <c r="D27" s="18">
        <f>IF(COUNTIFS('VS×ケイパビリティ関係'!$F$4:$F$370,$B27,'VS×ケイパビリティ関係'!$G$4:$G$370,D$5,'VS×ケイパビリティ関係'!$E$4:$E$370,"主")&gt;0,"●",IF(COUNTIFS('VS×ケイパビリティ関係'!$F$4:$F$370,$B27,'VS×ケイパビリティ関係'!$G$4:$G$370,D$5,'VS×ケイパビリティ関係'!$E$4:$E$370,"支援")&gt;0,"○",""))</f>
        <v/>
      </c>
      <c r="E27" s="18">
        <f>IF(COUNTIFS('VS×ケイパビリティ関係'!$F$4:$F$370,$B27,'VS×ケイパビリティ関係'!$G$4:$G$370,E$5,'VS×ケイパビリティ関係'!$E$4:$E$370,"主")&gt;0,"●",IF(COUNTIFS('VS×ケイパビリティ関係'!$F$4:$F$370,$B27,'VS×ケイパビリティ関係'!$G$4:$G$370,E$5,'VS×ケイパビリティ関係'!$E$4:$E$370,"支援")&gt;0,"○",""))</f>
        <v/>
      </c>
      <c r="F27" s="18">
        <f>IF(COUNTIFS('VS×ケイパビリティ関係'!$F$4:$F$370,$B27,'VS×ケイパビリティ関係'!$G$4:$G$370,F$5,'VS×ケイパビリティ関係'!$E$4:$E$370,"主")&gt;0,"●",IF(COUNTIFS('VS×ケイパビリティ関係'!$F$4:$F$370,$B27,'VS×ケイパビリティ関係'!$G$4:$G$370,F$5,'VS×ケイパビリティ関係'!$E$4:$E$370,"支援")&gt;0,"○",""))</f>
        <v/>
      </c>
      <c r="G27" s="18">
        <f>IF(COUNTIFS('VS×ケイパビリティ関係'!$F$4:$F$370,$B27,'VS×ケイパビリティ関係'!$G$4:$G$370,G$5,'VS×ケイパビリティ関係'!$E$4:$E$370,"主")&gt;0,"●",IF(COUNTIFS('VS×ケイパビリティ関係'!$F$4:$F$370,$B27,'VS×ケイパビリティ関係'!$G$4:$G$370,G$5,'VS×ケイパビリティ関係'!$E$4:$E$370,"支援")&gt;0,"○",""))</f>
        <v/>
      </c>
      <c r="H27" s="18">
        <f>IF(COUNTIFS('VS×ケイパビリティ関係'!$F$4:$F$370,$B27,'VS×ケイパビリティ関係'!$G$4:$G$370,H$5,'VS×ケイパビリティ関係'!$E$4:$E$370,"主")&gt;0,"●",IF(COUNTIFS('VS×ケイパビリティ関係'!$F$4:$F$370,$B27,'VS×ケイパビリティ関係'!$G$4:$G$370,H$5,'VS×ケイパビリティ関係'!$E$4:$E$370,"支援")&gt;0,"○",""))</f>
        <v/>
      </c>
      <c r="I27" s="18">
        <f>IF(COUNTIFS('VS×ケイパビリティ関係'!$F$4:$F$370,$B27,'VS×ケイパビリティ関係'!$G$4:$G$370,I$5,'VS×ケイパビリティ関係'!$E$4:$E$370,"主")&gt;0,"●",IF(COUNTIFS('VS×ケイパビリティ関係'!$F$4:$F$370,$B27,'VS×ケイパビリティ関係'!$G$4:$G$370,I$5,'VS×ケイパビリティ関係'!$E$4:$E$370,"支援")&gt;0,"○",""))</f>
        <v/>
      </c>
      <c r="J27" s="18">
        <f>IF(COUNTIFS('VS×ケイパビリティ関係'!$F$4:$F$370,$B27,'VS×ケイパビリティ関係'!$G$4:$G$370,J$5,'VS×ケイパビリティ関係'!$E$4:$E$370,"主")&gt;0,"●",IF(COUNTIFS('VS×ケイパビリティ関係'!$F$4:$F$370,$B27,'VS×ケイパビリティ関係'!$G$4:$G$370,J$5,'VS×ケイパビリティ関係'!$E$4:$E$370,"支援")&gt;0,"○",""))</f>
        <v/>
      </c>
      <c r="K27" s="18">
        <f>IF(COUNTIFS('VS×ケイパビリティ関係'!$F$4:$F$370,$B27,'VS×ケイパビリティ関係'!$G$4:$G$370,K$5,'VS×ケイパビリティ関係'!$E$4:$E$370,"主")&gt;0,"●",IF(COUNTIFS('VS×ケイパビリティ関係'!$F$4:$F$370,$B27,'VS×ケイパビリティ関係'!$G$4:$G$370,K$5,'VS×ケイパビリティ関係'!$E$4:$E$370,"支援")&gt;0,"○",""))</f>
        <v/>
      </c>
      <c r="L27" s="18">
        <f>IF(COUNTIFS('VS×ケイパビリティ関係'!$F$4:$F$370,$B27,'VS×ケイパビリティ関係'!$G$4:$G$370,L$5,'VS×ケイパビリティ関係'!$E$4:$E$370,"主")&gt;0,"●",IF(COUNTIFS('VS×ケイパビリティ関係'!$F$4:$F$370,$B27,'VS×ケイパビリティ関係'!$G$4:$G$370,L$5,'VS×ケイパビリティ関係'!$E$4:$E$370,"支援")&gt;0,"○",""))</f>
        <v/>
      </c>
      <c r="M27" s="18">
        <f>IF(COUNTIFS('VS×ケイパビリティ関係'!$F$4:$F$370,$B27,'VS×ケイパビリティ関係'!$G$4:$G$370,M$5,'VS×ケイパビリティ関係'!$E$4:$E$370,"主")&gt;0,"●",IF(COUNTIFS('VS×ケイパビリティ関係'!$F$4:$F$370,$B27,'VS×ケイパビリティ関係'!$G$4:$G$370,M$5,'VS×ケイパビリティ関係'!$E$4:$E$370,"支援")&gt;0,"○",""))</f>
        <v/>
      </c>
      <c r="N27" s="18">
        <f>IF(COUNTIFS('VS×ケイパビリティ関係'!$F$4:$F$370,$B27,'VS×ケイパビリティ関係'!$G$4:$G$370,N$5,'VS×ケイパビリティ関係'!$E$4:$E$370,"主")&gt;0,"●",IF(COUNTIFS('VS×ケイパビリティ関係'!$F$4:$F$370,$B27,'VS×ケイパビリティ関係'!$G$4:$G$370,N$5,'VS×ケイパビリティ関係'!$E$4:$E$370,"支援")&gt;0,"○",""))</f>
        <v/>
      </c>
      <c r="O27" s="18">
        <f>IF(COUNTIFS('VS×ケイパビリティ関係'!$F$4:$F$370,$B27,'VS×ケイパビリティ関係'!$G$4:$G$370,O$5,'VS×ケイパビリティ関係'!$E$4:$E$370,"主")&gt;0,"●",IF(COUNTIFS('VS×ケイパビリティ関係'!$F$4:$F$370,$B27,'VS×ケイパビリティ関係'!$G$4:$G$370,O$5,'VS×ケイパビリティ関係'!$E$4:$E$370,"支援")&gt;0,"○",""))</f>
        <v/>
      </c>
      <c r="P27" s="18">
        <f>IF(COUNTIFS('VS×ケイパビリティ関係'!$F$4:$F$370,$B27,'VS×ケイパビリティ関係'!$G$4:$G$370,P$5,'VS×ケイパビリティ関係'!$E$4:$E$370,"主")&gt;0,"●",IF(COUNTIFS('VS×ケイパビリティ関係'!$F$4:$F$370,$B27,'VS×ケイパビリティ関係'!$G$4:$G$370,P$5,'VS×ケイパビリティ関係'!$E$4:$E$370,"支援")&gt;0,"○",""))</f>
        <v/>
      </c>
      <c r="Q27" s="18">
        <f>IF(COUNTIFS('VS×ケイパビリティ関係'!$F$4:$F$370,$B27,'VS×ケイパビリティ関係'!$G$4:$G$370,Q$5,'VS×ケイパビリティ関係'!$E$4:$E$370,"主")&gt;0,"●",IF(COUNTIFS('VS×ケイパビリティ関係'!$F$4:$F$370,$B27,'VS×ケイパビリティ関係'!$G$4:$G$370,Q$5,'VS×ケイパビリティ関係'!$E$4:$E$370,"支援")&gt;0,"○",""))</f>
        <v/>
      </c>
      <c r="R27" s="18">
        <f>IF(COUNTIFS('VS×ケイパビリティ関係'!$F$4:$F$370,$B27,'VS×ケイパビリティ関係'!$G$4:$G$370,R$5,'VS×ケイパビリティ関係'!$E$4:$E$370,"主")&gt;0,"●",IF(COUNTIFS('VS×ケイパビリティ関係'!$F$4:$F$370,$B27,'VS×ケイパビリティ関係'!$G$4:$G$370,R$5,'VS×ケイパビリティ関係'!$E$4:$E$370,"支援")&gt;0,"○",""))</f>
        <v/>
      </c>
      <c r="S27" s="18">
        <f>IF(COUNTIFS('VS×ケイパビリティ関係'!$F$4:$F$370,$B27,'VS×ケイパビリティ関係'!$G$4:$G$370,S$5,'VS×ケイパビリティ関係'!$E$4:$E$370,"主")&gt;0,"●",IF(COUNTIFS('VS×ケイパビリティ関係'!$F$4:$F$370,$B27,'VS×ケイパビリティ関係'!$G$4:$G$370,S$5,'VS×ケイパビリティ関係'!$E$4:$E$370,"支援")&gt;0,"○",""))</f>
        <v/>
      </c>
      <c r="T27" s="18">
        <f>IF(COUNTIFS('VS×ケイパビリティ関係'!$F$4:$F$370,$B27,'VS×ケイパビリティ関係'!$G$4:$G$370,T$5,'VS×ケイパビリティ関係'!$E$4:$E$370,"主")&gt;0,"●",IF(COUNTIFS('VS×ケイパビリティ関係'!$F$4:$F$370,$B27,'VS×ケイパビリティ関係'!$G$4:$G$370,T$5,'VS×ケイパビリティ関係'!$E$4:$E$370,"支援")&gt;0,"○",""))</f>
        <v/>
      </c>
      <c r="U27" s="18">
        <f>IF(COUNTIFS('VS×ケイパビリティ関係'!$F$4:$F$370,$B27,'VS×ケイパビリティ関係'!$G$4:$G$370,U$5,'VS×ケイパビリティ関係'!$E$4:$E$370,"主")&gt;0,"●",IF(COUNTIFS('VS×ケイパビリティ関係'!$F$4:$F$370,$B27,'VS×ケイパビリティ関係'!$G$4:$G$370,U$5,'VS×ケイパビリティ関係'!$E$4:$E$370,"支援")&gt;0,"○",""))</f>
        <v/>
      </c>
      <c r="V27" s="18">
        <f>IF(COUNTIFS('VS×ケイパビリティ関係'!$F$4:$F$370,$B27,'VS×ケイパビリティ関係'!$G$4:$G$370,V$5,'VS×ケイパビリティ関係'!$E$4:$E$370,"主")&gt;0,"●",IF(COUNTIFS('VS×ケイパビリティ関係'!$F$4:$F$370,$B27,'VS×ケイパビリティ関係'!$G$4:$G$370,V$5,'VS×ケイパビリティ関係'!$E$4:$E$370,"支援")&gt;0,"○",""))</f>
        <v/>
      </c>
      <c r="W27" s="18">
        <f>IF(COUNTIFS('VS×ケイパビリティ関係'!$F$4:$F$370,$B27,'VS×ケイパビリティ関係'!$G$4:$G$370,W$5,'VS×ケイパビリティ関係'!$E$4:$E$370,"主")&gt;0,"●",IF(COUNTIFS('VS×ケイパビリティ関係'!$F$4:$F$370,$B27,'VS×ケイパビリティ関係'!$G$4:$G$370,W$5,'VS×ケイパビリティ関係'!$E$4:$E$370,"支援")&gt;0,"○",""))</f>
        <v/>
      </c>
      <c r="X27" s="18">
        <f>IF(COUNTIFS('VS×ケイパビリティ関係'!$F$4:$F$370,$B27,'VS×ケイパビリティ関係'!$G$4:$G$370,X$5,'VS×ケイパビリティ関係'!$E$4:$E$370,"主")&gt;0,"●",IF(COUNTIFS('VS×ケイパビリティ関係'!$F$4:$F$370,$B27,'VS×ケイパビリティ関係'!$G$4:$G$370,X$5,'VS×ケイパビリティ関係'!$E$4:$E$370,"支援")&gt;0,"○",""))</f>
        <v/>
      </c>
      <c r="Y27" s="18">
        <f>IF(COUNTIFS('VS×ケイパビリティ関係'!$F$4:$F$370,$B27,'VS×ケイパビリティ関係'!$G$4:$G$370,Y$5,'VS×ケイパビリティ関係'!$E$4:$E$370,"主")&gt;0,"●",IF(COUNTIFS('VS×ケイパビリティ関係'!$F$4:$F$370,$B27,'VS×ケイパビリティ関係'!$G$4:$G$370,Y$5,'VS×ケイパビリティ関係'!$E$4:$E$370,"支援")&gt;0,"○",""))</f>
        <v/>
      </c>
      <c r="Z27" s="18">
        <f>IF(COUNTIFS('VS×ケイパビリティ関係'!$F$4:$F$370,$B27,'VS×ケイパビリティ関係'!$G$4:$G$370,Z$5,'VS×ケイパビリティ関係'!$E$4:$E$370,"主")&gt;0,"●",IF(COUNTIFS('VS×ケイパビリティ関係'!$F$4:$F$370,$B27,'VS×ケイパビリティ関係'!$G$4:$G$370,Z$5,'VS×ケイパビリティ関係'!$E$4:$E$370,"支援")&gt;0,"○",""))</f>
        <v/>
      </c>
      <c r="AA27" s="18">
        <f>IF(COUNTIFS('VS×ケイパビリティ関係'!$F$4:$F$370,$B27,'VS×ケイパビリティ関係'!$G$4:$G$370,AA$5,'VS×ケイパビリティ関係'!$E$4:$E$370,"主")&gt;0,"●",IF(COUNTIFS('VS×ケイパビリティ関係'!$F$4:$F$370,$B27,'VS×ケイパビリティ関係'!$G$4:$G$370,AA$5,'VS×ケイパビリティ関係'!$E$4:$E$370,"支援")&gt;0,"○",""))</f>
        <v/>
      </c>
      <c r="AB27" s="18">
        <f>IF(COUNTIFS('VS×ケイパビリティ関係'!$F$4:$F$370,$B27,'VS×ケイパビリティ関係'!$G$4:$G$370,AB$5,'VS×ケイパビリティ関係'!$E$4:$E$370,"主")&gt;0,"●",IF(COUNTIFS('VS×ケイパビリティ関係'!$F$4:$F$370,$B27,'VS×ケイパビリティ関係'!$G$4:$G$370,AB$5,'VS×ケイパビリティ関係'!$E$4:$E$370,"支援")&gt;0,"○",""))</f>
        <v/>
      </c>
      <c r="AC27" s="18">
        <f>IF(COUNTIFS('VS×ケイパビリティ関係'!$F$4:$F$370,$B27,'VS×ケイパビリティ関係'!$G$4:$G$370,AC$5,'VS×ケイパビリティ関係'!$E$4:$E$370,"主")&gt;0,"●",IF(COUNTIFS('VS×ケイパビリティ関係'!$F$4:$F$370,$B27,'VS×ケイパビリティ関係'!$G$4:$G$370,AC$5,'VS×ケイパビリティ関係'!$E$4:$E$370,"支援")&gt;0,"○",""))</f>
        <v/>
      </c>
      <c r="AD27" s="18">
        <f>IF(COUNTIFS('VS×ケイパビリティ関係'!$F$4:$F$370,$B27,'VS×ケイパビリティ関係'!$G$4:$G$370,AD$5,'VS×ケイパビリティ関係'!$E$4:$E$370,"主")&gt;0,"●",IF(COUNTIFS('VS×ケイパビリティ関係'!$F$4:$F$370,$B27,'VS×ケイパビリティ関係'!$G$4:$G$370,AD$5,'VS×ケイパビリティ関係'!$E$4:$E$370,"支援")&gt;0,"○",""))</f>
        <v/>
      </c>
      <c r="AE27" s="18">
        <f>IF(COUNTIFS('VS×ケイパビリティ関係'!$F$4:$F$370,$B27,'VS×ケイパビリティ関係'!$G$4:$G$370,AE$5,'VS×ケイパビリティ関係'!$E$4:$E$370,"主")&gt;0,"●",IF(COUNTIFS('VS×ケイパビリティ関係'!$F$4:$F$370,$B27,'VS×ケイパビリティ関係'!$G$4:$G$370,AE$5,'VS×ケイパビリティ関係'!$E$4:$E$370,"支援")&gt;0,"○",""))</f>
        <v/>
      </c>
      <c r="AF27" s="18">
        <f>IF(COUNTIFS('VS×ケイパビリティ関係'!$F$4:$F$370,$B27,'VS×ケイパビリティ関係'!$G$4:$G$370,AF$5,'VS×ケイパビリティ関係'!$E$4:$E$370,"主")&gt;0,"●",IF(COUNTIFS('VS×ケイパビリティ関係'!$F$4:$F$370,$B27,'VS×ケイパビリティ関係'!$G$4:$G$370,AF$5,'VS×ケイパビリティ関係'!$E$4:$E$370,"支援")&gt;0,"○",""))</f>
        <v/>
      </c>
      <c r="AG27" s="18">
        <f>IF(COUNTIFS('VS×ケイパビリティ関係'!$F$4:$F$370,$B27,'VS×ケイパビリティ関係'!$G$4:$G$370,AG$5,'VS×ケイパビリティ関係'!$E$4:$E$370,"主")&gt;0,"●",IF(COUNTIFS('VS×ケイパビリティ関係'!$F$4:$F$370,$B27,'VS×ケイパビリティ関係'!$G$4:$G$370,AG$5,'VS×ケイパビリティ関係'!$E$4:$E$370,"支援")&gt;0,"○",""))</f>
        <v/>
      </c>
      <c r="AH27" s="18">
        <f>IF(COUNTIFS('VS×ケイパビリティ関係'!$F$4:$F$370,$B27,'VS×ケイパビリティ関係'!$G$4:$G$370,AH$5,'VS×ケイパビリティ関係'!$E$4:$E$370,"主")&gt;0,"●",IF(COUNTIFS('VS×ケイパビリティ関係'!$F$4:$F$370,$B27,'VS×ケイパビリティ関係'!$G$4:$G$370,AH$5,'VS×ケイパビリティ関係'!$E$4:$E$370,"支援")&gt;0,"○",""))</f>
        <v/>
      </c>
      <c r="AI27" s="18">
        <f>IF(COUNTIFS('VS×ケイパビリティ関係'!$F$4:$F$370,$B27,'VS×ケイパビリティ関係'!$G$4:$G$370,AI$5,'VS×ケイパビリティ関係'!$E$4:$E$370,"主")&gt;0,"●",IF(COUNTIFS('VS×ケイパビリティ関係'!$F$4:$F$370,$B27,'VS×ケイパビリティ関係'!$G$4:$G$370,AI$5,'VS×ケイパビリティ関係'!$E$4:$E$370,"支援")&gt;0,"○",""))</f>
        <v/>
      </c>
      <c r="AJ27" s="18">
        <f>COUNTIF(D27:AI27,"●")</f>
        <v/>
      </c>
      <c r="AK27" s="18">
        <f>COUNTIF(D27:AI27,"○")</f>
        <v/>
      </c>
    </row>
    <row r="28">
      <c r="A28" s="42" t="inlineStr">
        <is>
          <t>06 退職・オフボーディング</t>
        </is>
      </c>
      <c r="B28" s="18" t="inlineStr">
        <is>
          <t>06-01</t>
        </is>
      </c>
      <c r="C28" s="20" t="inlineStr">
        <is>
          <t>退職の受付</t>
        </is>
      </c>
      <c r="D28" s="18">
        <f>IF(COUNTIFS('VS×ケイパビリティ関係'!$F$4:$F$370,$B28,'VS×ケイパビリティ関係'!$G$4:$G$370,D$5,'VS×ケイパビリティ関係'!$E$4:$E$370,"主")&gt;0,"●",IF(COUNTIFS('VS×ケイパビリティ関係'!$F$4:$F$370,$B28,'VS×ケイパビリティ関係'!$G$4:$G$370,D$5,'VS×ケイパビリティ関係'!$E$4:$E$370,"支援")&gt;0,"○",""))</f>
        <v/>
      </c>
      <c r="E28" s="18">
        <f>IF(COUNTIFS('VS×ケイパビリティ関係'!$F$4:$F$370,$B28,'VS×ケイパビリティ関係'!$G$4:$G$370,E$5,'VS×ケイパビリティ関係'!$E$4:$E$370,"主")&gt;0,"●",IF(COUNTIFS('VS×ケイパビリティ関係'!$F$4:$F$370,$B28,'VS×ケイパビリティ関係'!$G$4:$G$370,E$5,'VS×ケイパビリティ関係'!$E$4:$E$370,"支援")&gt;0,"○",""))</f>
        <v/>
      </c>
      <c r="F28" s="18">
        <f>IF(COUNTIFS('VS×ケイパビリティ関係'!$F$4:$F$370,$B28,'VS×ケイパビリティ関係'!$G$4:$G$370,F$5,'VS×ケイパビリティ関係'!$E$4:$E$370,"主")&gt;0,"●",IF(COUNTIFS('VS×ケイパビリティ関係'!$F$4:$F$370,$B28,'VS×ケイパビリティ関係'!$G$4:$G$370,F$5,'VS×ケイパビリティ関係'!$E$4:$E$370,"支援")&gt;0,"○",""))</f>
        <v/>
      </c>
      <c r="G28" s="18">
        <f>IF(COUNTIFS('VS×ケイパビリティ関係'!$F$4:$F$370,$B28,'VS×ケイパビリティ関係'!$G$4:$G$370,G$5,'VS×ケイパビリティ関係'!$E$4:$E$370,"主")&gt;0,"●",IF(COUNTIFS('VS×ケイパビリティ関係'!$F$4:$F$370,$B28,'VS×ケイパビリティ関係'!$G$4:$G$370,G$5,'VS×ケイパビリティ関係'!$E$4:$E$370,"支援")&gt;0,"○",""))</f>
        <v/>
      </c>
      <c r="H28" s="18">
        <f>IF(COUNTIFS('VS×ケイパビリティ関係'!$F$4:$F$370,$B28,'VS×ケイパビリティ関係'!$G$4:$G$370,H$5,'VS×ケイパビリティ関係'!$E$4:$E$370,"主")&gt;0,"●",IF(COUNTIFS('VS×ケイパビリティ関係'!$F$4:$F$370,$B28,'VS×ケイパビリティ関係'!$G$4:$G$370,H$5,'VS×ケイパビリティ関係'!$E$4:$E$370,"支援")&gt;0,"○",""))</f>
        <v/>
      </c>
      <c r="I28" s="18">
        <f>IF(COUNTIFS('VS×ケイパビリティ関係'!$F$4:$F$370,$B28,'VS×ケイパビリティ関係'!$G$4:$G$370,I$5,'VS×ケイパビリティ関係'!$E$4:$E$370,"主")&gt;0,"●",IF(COUNTIFS('VS×ケイパビリティ関係'!$F$4:$F$370,$B28,'VS×ケイパビリティ関係'!$G$4:$G$370,I$5,'VS×ケイパビリティ関係'!$E$4:$E$370,"支援")&gt;0,"○",""))</f>
        <v/>
      </c>
      <c r="J28" s="18">
        <f>IF(COUNTIFS('VS×ケイパビリティ関係'!$F$4:$F$370,$B28,'VS×ケイパビリティ関係'!$G$4:$G$370,J$5,'VS×ケイパビリティ関係'!$E$4:$E$370,"主")&gt;0,"●",IF(COUNTIFS('VS×ケイパビリティ関係'!$F$4:$F$370,$B28,'VS×ケイパビリティ関係'!$G$4:$G$370,J$5,'VS×ケイパビリティ関係'!$E$4:$E$370,"支援")&gt;0,"○",""))</f>
        <v/>
      </c>
      <c r="K28" s="18">
        <f>IF(COUNTIFS('VS×ケイパビリティ関係'!$F$4:$F$370,$B28,'VS×ケイパビリティ関係'!$G$4:$G$370,K$5,'VS×ケイパビリティ関係'!$E$4:$E$370,"主")&gt;0,"●",IF(COUNTIFS('VS×ケイパビリティ関係'!$F$4:$F$370,$B28,'VS×ケイパビリティ関係'!$G$4:$G$370,K$5,'VS×ケイパビリティ関係'!$E$4:$E$370,"支援")&gt;0,"○",""))</f>
        <v/>
      </c>
      <c r="L28" s="18">
        <f>IF(COUNTIFS('VS×ケイパビリティ関係'!$F$4:$F$370,$B28,'VS×ケイパビリティ関係'!$G$4:$G$370,L$5,'VS×ケイパビリティ関係'!$E$4:$E$370,"主")&gt;0,"●",IF(COUNTIFS('VS×ケイパビリティ関係'!$F$4:$F$370,$B28,'VS×ケイパビリティ関係'!$G$4:$G$370,L$5,'VS×ケイパビリティ関係'!$E$4:$E$370,"支援")&gt;0,"○",""))</f>
        <v/>
      </c>
      <c r="M28" s="18">
        <f>IF(COUNTIFS('VS×ケイパビリティ関係'!$F$4:$F$370,$B28,'VS×ケイパビリティ関係'!$G$4:$G$370,M$5,'VS×ケイパビリティ関係'!$E$4:$E$370,"主")&gt;0,"●",IF(COUNTIFS('VS×ケイパビリティ関係'!$F$4:$F$370,$B28,'VS×ケイパビリティ関係'!$G$4:$G$370,M$5,'VS×ケイパビリティ関係'!$E$4:$E$370,"支援")&gt;0,"○",""))</f>
        <v/>
      </c>
      <c r="N28" s="18">
        <f>IF(COUNTIFS('VS×ケイパビリティ関係'!$F$4:$F$370,$B28,'VS×ケイパビリティ関係'!$G$4:$G$370,N$5,'VS×ケイパビリティ関係'!$E$4:$E$370,"主")&gt;0,"●",IF(COUNTIFS('VS×ケイパビリティ関係'!$F$4:$F$370,$B28,'VS×ケイパビリティ関係'!$G$4:$G$370,N$5,'VS×ケイパビリティ関係'!$E$4:$E$370,"支援")&gt;0,"○",""))</f>
        <v/>
      </c>
      <c r="O28" s="18">
        <f>IF(COUNTIFS('VS×ケイパビリティ関係'!$F$4:$F$370,$B28,'VS×ケイパビリティ関係'!$G$4:$G$370,O$5,'VS×ケイパビリティ関係'!$E$4:$E$370,"主")&gt;0,"●",IF(COUNTIFS('VS×ケイパビリティ関係'!$F$4:$F$370,$B28,'VS×ケイパビリティ関係'!$G$4:$G$370,O$5,'VS×ケイパビリティ関係'!$E$4:$E$370,"支援")&gt;0,"○",""))</f>
        <v/>
      </c>
      <c r="P28" s="18">
        <f>IF(COUNTIFS('VS×ケイパビリティ関係'!$F$4:$F$370,$B28,'VS×ケイパビリティ関係'!$G$4:$G$370,P$5,'VS×ケイパビリティ関係'!$E$4:$E$370,"主")&gt;0,"●",IF(COUNTIFS('VS×ケイパビリティ関係'!$F$4:$F$370,$B28,'VS×ケイパビリティ関係'!$G$4:$G$370,P$5,'VS×ケイパビリティ関係'!$E$4:$E$370,"支援")&gt;0,"○",""))</f>
        <v/>
      </c>
      <c r="Q28" s="18">
        <f>IF(COUNTIFS('VS×ケイパビリティ関係'!$F$4:$F$370,$B28,'VS×ケイパビリティ関係'!$G$4:$G$370,Q$5,'VS×ケイパビリティ関係'!$E$4:$E$370,"主")&gt;0,"●",IF(COUNTIFS('VS×ケイパビリティ関係'!$F$4:$F$370,$B28,'VS×ケイパビリティ関係'!$G$4:$G$370,Q$5,'VS×ケイパビリティ関係'!$E$4:$E$370,"支援")&gt;0,"○",""))</f>
        <v/>
      </c>
      <c r="R28" s="18">
        <f>IF(COUNTIFS('VS×ケイパビリティ関係'!$F$4:$F$370,$B28,'VS×ケイパビリティ関係'!$G$4:$G$370,R$5,'VS×ケイパビリティ関係'!$E$4:$E$370,"主")&gt;0,"●",IF(COUNTIFS('VS×ケイパビリティ関係'!$F$4:$F$370,$B28,'VS×ケイパビリティ関係'!$G$4:$G$370,R$5,'VS×ケイパビリティ関係'!$E$4:$E$370,"支援")&gt;0,"○",""))</f>
        <v/>
      </c>
      <c r="S28" s="18">
        <f>IF(COUNTIFS('VS×ケイパビリティ関係'!$F$4:$F$370,$B28,'VS×ケイパビリティ関係'!$G$4:$G$370,S$5,'VS×ケイパビリティ関係'!$E$4:$E$370,"主")&gt;0,"●",IF(COUNTIFS('VS×ケイパビリティ関係'!$F$4:$F$370,$B28,'VS×ケイパビリティ関係'!$G$4:$G$370,S$5,'VS×ケイパビリティ関係'!$E$4:$E$370,"支援")&gt;0,"○",""))</f>
        <v/>
      </c>
      <c r="T28" s="18">
        <f>IF(COUNTIFS('VS×ケイパビリティ関係'!$F$4:$F$370,$B28,'VS×ケイパビリティ関係'!$G$4:$G$370,T$5,'VS×ケイパビリティ関係'!$E$4:$E$370,"主")&gt;0,"●",IF(COUNTIFS('VS×ケイパビリティ関係'!$F$4:$F$370,$B28,'VS×ケイパビリティ関係'!$G$4:$G$370,T$5,'VS×ケイパビリティ関係'!$E$4:$E$370,"支援")&gt;0,"○",""))</f>
        <v/>
      </c>
      <c r="U28" s="18">
        <f>IF(COUNTIFS('VS×ケイパビリティ関係'!$F$4:$F$370,$B28,'VS×ケイパビリティ関係'!$G$4:$G$370,U$5,'VS×ケイパビリティ関係'!$E$4:$E$370,"主")&gt;0,"●",IF(COUNTIFS('VS×ケイパビリティ関係'!$F$4:$F$370,$B28,'VS×ケイパビリティ関係'!$G$4:$G$370,U$5,'VS×ケイパビリティ関係'!$E$4:$E$370,"支援")&gt;0,"○",""))</f>
        <v/>
      </c>
      <c r="V28" s="18">
        <f>IF(COUNTIFS('VS×ケイパビリティ関係'!$F$4:$F$370,$B28,'VS×ケイパビリティ関係'!$G$4:$G$370,V$5,'VS×ケイパビリティ関係'!$E$4:$E$370,"主")&gt;0,"●",IF(COUNTIFS('VS×ケイパビリティ関係'!$F$4:$F$370,$B28,'VS×ケイパビリティ関係'!$G$4:$G$370,V$5,'VS×ケイパビリティ関係'!$E$4:$E$370,"支援")&gt;0,"○",""))</f>
        <v/>
      </c>
      <c r="W28" s="18">
        <f>IF(COUNTIFS('VS×ケイパビリティ関係'!$F$4:$F$370,$B28,'VS×ケイパビリティ関係'!$G$4:$G$370,W$5,'VS×ケイパビリティ関係'!$E$4:$E$370,"主")&gt;0,"●",IF(COUNTIFS('VS×ケイパビリティ関係'!$F$4:$F$370,$B28,'VS×ケイパビリティ関係'!$G$4:$G$370,W$5,'VS×ケイパビリティ関係'!$E$4:$E$370,"支援")&gt;0,"○",""))</f>
        <v/>
      </c>
      <c r="X28" s="18">
        <f>IF(COUNTIFS('VS×ケイパビリティ関係'!$F$4:$F$370,$B28,'VS×ケイパビリティ関係'!$G$4:$G$370,X$5,'VS×ケイパビリティ関係'!$E$4:$E$370,"主")&gt;0,"●",IF(COUNTIFS('VS×ケイパビリティ関係'!$F$4:$F$370,$B28,'VS×ケイパビリティ関係'!$G$4:$G$370,X$5,'VS×ケイパビリティ関係'!$E$4:$E$370,"支援")&gt;0,"○",""))</f>
        <v/>
      </c>
      <c r="Y28" s="18">
        <f>IF(COUNTIFS('VS×ケイパビリティ関係'!$F$4:$F$370,$B28,'VS×ケイパビリティ関係'!$G$4:$G$370,Y$5,'VS×ケイパビリティ関係'!$E$4:$E$370,"主")&gt;0,"●",IF(COUNTIFS('VS×ケイパビリティ関係'!$F$4:$F$370,$B28,'VS×ケイパビリティ関係'!$G$4:$G$370,Y$5,'VS×ケイパビリティ関係'!$E$4:$E$370,"支援")&gt;0,"○",""))</f>
        <v/>
      </c>
      <c r="Z28" s="18">
        <f>IF(COUNTIFS('VS×ケイパビリティ関係'!$F$4:$F$370,$B28,'VS×ケイパビリティ関係'!$G$4:$G$370,Z$5,'VS×ケイパビリティ関係'!$E$4:$E$370,"主")&gt;0,"●",IF(COUNTIFS('VS×ケイパビリティ関係'!$F$4:$F$370,$B28,'VS×ケイパビリティ関係'!$G$4:$G$370,Z$5,'VS×ケイパビリティ関係'!$E$4:$E$370,"支援")&gt;0,"○",""))</f>
        <v/>
      </c>
      <c r="AA28" s="18">
        <f>IF(COUNTIFS('VS×ケイパビリティ関係'!$F$4:$F$370,$B28,'VS×ケイパビリティ関係'!$G$4:$G$370,AA$5,'VS×ケイパビリティ関係'!$E$4:$E$370,"主")&gt;0,"●",IF(COUNTIFS('VS×ケイパビリティ関係'!$F$4:$F$370,$B28,'VS×ケイパビリティ関係'!$G$4:$G$370,AA$5,'VS×ケイパビリティ関係'!$E$4:$E$370,"支援")&gt;0,"○",""))</f>
        <v/>
      </c>
      <c r="AB28" s="18">
        <f>IF(COUNTIFS('VS×ケイパビリティ関係'!$F$4:$F$370,$B28,'VS×ケイパビリティ関係'!$G$4:$G$370,AB$5,'VS×ケイパビリティ関係'!$E$4:$E$370,"主")&gt;0,"●",IF(COUNTIFS('VS×ケイパビリティ関係'!$F$4:$F$370,$B28,'VS×ケイパビリティ関係'!$G$4:$G$370,AB$5,'VS×ケイパビリティ関係'!$E$4:$E$370,"支援")&gt;0,"○",""))</f>
        <v/>
      </c>
      <c r="AC28" s="18">
        <f>IF(COUNTIFS('VS×ケイパビリティ関係'!$F$4:$F$370,$B28,'VS×ケイパビリティ関係'!$G$4:$G$370,AC$5,'VS×ケイパビリティ関係'!$E$4:$E$370,"主")&gt;0,"●",IF(COUNTIFS('VS×ケイパビリティ関係'!$F$4:$F$370,$B28,'VS×ケイパビリティ関係'!$G$4:$G$370,AC$5,'VS×ケイパビリティ関係'!$E$4:$E$370,"支援")&gt;0,"○",""))</f>
        <v/>
      </c>
      <c r="AD28" s="18">
        <f>IF(COUNTIFS('VS×ケイパビリティ関係'!$F$4:$F$370,$B28,'VS×ケイパビリティ関係'!$G$4:$G$370,AD$5,'VS×ケイパビリティ関係'!$E$4:$E$370,"主")&gt;0,"●",IF(COUNTIFS('VS×ケイパビリティ関係'!$F$4:$F$370,$B28,'VS×ケイパビリティ関係'!$G$4:$G$370,AD$5,'VS×ケイパビリティ関係'!$E$4:$E$370,"支援")&gt;0,"○",""))</f>
        <v/>
      </c>
      <c r="AE28" s="18">
        <f>IF(COUNTIFS('VS×ケイパビリティ関係'!$F$4:$F$370,$B28,'VS×ケイパビリティ関係'!$G$4:$G$370,AE$5,'VS×ケイパビリティ関係'!$E$4:$E$370,"主")&gt;0,"●",IF(COUNTIFS('VS×ケイパビリティ関係'!$F$4:$F$370,$B28,'VS×ケイパビリティ関係'!$G$4:$G$370,AE$5,'VS×ケイパビリティ関係'!$E$4:$E$370,"支援")&gt;0,"○",""))</f>
        <v/>
      </c>
      <c r="AF28" s="18">
        <f>IF(COUNTIFS('VS×ケイパビリティ関係'!$F$4:$F$370,$B28,'VS×ケイパビリティ関係'!$G$4:$G$370,AF$5,'VS×ケイパビリティ関係'!$E$4:$E$370,"主")&gt;0,"●",IF(COUNTIFS('VS×ケイパビリティ関係'!$F$4:$F$370,$B28,'VS×ケイパビリティ関係'!$G$4:$G$370,AF$5,'VS×ケイパビリティ関係'!$E$4:$E$370,"支援")&gt;0,"○",""))</f>
        <v/>
      </c>
      <c r="AG28" s="18">
        <f>IF(COUNTIFS('VS×ケイパビリティ関係'!$F$4:$F$370,$B28,'VS×ケイパビリティ関係'!$G$4:$G$370,AG$5,'VS×ケイパビリティ関係'!$E$4:$E$370,"主")&gt;0,"●",IF(COUNTIFS('VS×ケイパビリティ関係'!$F$4:$F$370,$B28,'VS×ケイパビリティ関係'!$G$4:$G$370,AG$5,'VS×ケイパビリティ関係'!$E$4:$E$370,"支援")&gt;0,"○",""))</f>
        <v/>
      </c>
      <c r="AH28" s="18">
        <f>IF(COUNTIFS('VS×ケイパビリティ関係'!$F$4:$F$370,$B28,'VS×ケイパビリティ関係'!$G$4:$G$370,AH$5,'VS×ケイパビリティ関係'!$E$4:$E$370,"主")&gt;0,"●",IF(COUNTIFS('VS×ケイパビリティ関係'!$F$4:$F$370,$B28,'VS×ケイパビリティ関係'!$G$4:$G$370,AH$5,'VS×ケイパビリティ関係'!$E$4:$E$370,"支援")&gt;0,"○",""))</f>
        <v/>
      </c>
      <c r="AI28" s="18">
        <f>IF(COUNTIFS('VS×ケイパビリティ関係'!$F$4:$F$370,$B28,'VS×ケイパビリティ関係'!$G$4:$G$370,AI$5,'VS×ケイパビリティ関係'!$E$4:$E$370,"主")&gt;0,"●",IF(COUNTIFS('VS×ケイパビリティ関係'!$F$4:$F$370,$B28,'VS×ケイパビリティ関係'!$G$4:$G$370,AI$5,'VS×ケイパビリティ関係'!$E$4:$E$370,"支援")&gt;0,"○",""))</f>
        <v/>
      </c>
      <c r="AJ28" s="18">
        <f>COUNTIF(D28:AI28,"●")</f>
        <v/>
      </c>
      <c r="AK28" s="18">
        <f>COUNTIF(D28:AI28,"○")</f>
        <v/>
      </c>
    </row>
    <row r="29">
      <c r="A29" s="42" t="n"/>
      <c r="B29" s="18" t="inlineStr">
        <is>
          <t>06-02</t>
        </is>
      </c>
      <c r="C29" s="20" t="inlineStr">
        <is>
          <t>定年・再雇用</t>
        </is>
      </c>
      <c r="D29" s="18">
        <f>IF(COUNTIFS('VS×ケイパビリティ関係'!$F$4:$F$370,$B29,'VS×ケイパビリティ関係'!$G$4:$G$370,D$5,'VS×ケイパビリティ関係'!$E$4:$E$370,"主")&gt;0,"●",IF(COUNTIFS('VS×ケイパビリティ関係'!$F$4:$F$370,$B29,'VS×ケイパビリティ関係'!$G$4:$G$370,D$5,'VS×ケイパビリティ関係'!$E$4:$E$370,"支援")&gt;0,"○",""))</f>
        <v/>
      </c>
      <c r="E29" s="18">
        <f>IF(COUNTIFS('VS×ケイパビリティ関係'!$F$4:$F$370,$B29,'VS×ケイパビリティ関係'!$G$4:$G$370,E$5,'VS×ケイパビリティ関係'!$E$4:$E$370,"主")&gt;0,"●",IF(COUNTIFS('VS×ケイパビリティ関係'!$F$4:$F$370,$B29,'VS×ケイパビリティ関係'!$G$4:$G$370,E$5,'VS×ケイパビリティ関係'!$E$4:$E$370,"支援")&gt;0,"○",""))</f>
        <v/>
      </c>
      <c r="F29" s="18">
        <f>IF(COUNTIFS('VS×ケイパビリティ関係'!$F$4:$F$370,$B29,'VS×ケイパビリティ関係'!$G$4:$G$370,F$5,'VS×ケイパビリティ関係'!$E$4:$E$370,"主")&gt;0,"●",IF(COUNTIFS('VS×ケイパビリティ関係'!$F$4:$F$370,$B29,'VS×ケイパビリティ関係'!$G$4:$G$370,F$5,'VS×ケイパビリティ関係'!$E$4:$E$370,"支援")&gt;0,"○",""))</f>
        <v/>
      </c>
      <c r="G29" s="18">
        <f>IF(COUNTIFS('VS×ケイパビリティ関係'!$F$4:$F$370,$B29,'VS×ケイパビリティ関係'!$G$4:$G$370,G$5,'VS×ケイパビリティ関係'!$E$4:$E$370,"主")&gt;0,"●",IF(COUNTIFS('VS×ケイパビリティ関係'!$F$4:$F$370,$B29,'VS×ケイパビリティ関係'!$G$4:$G$370,G$5,'VS×ケイパビリティ関係'!$E$4:$E$370,"支援")&gt;0,"○",""))</f>
        <v/>
      </c>
      <c r="H29" s="18">
        <f>IF(COUNTIFS('VS×ケイパビリティ関係'!$F$4:$F$370,$B29,'VS×ケイパビリティ関係'!$G$4:$G$370,H$5,'VS×ケイパビリティ関係'!$E$4:$E$370,"主")&gt;0,"●",IF(COUNTIFS('VS×ケイパビリティ関係'!$F$4:$F$370,$B29,'VS×ケイパビリティ関係'!$G$4:$G$370,H$5,'VS×ケイパビリティ関係'!$E$4:$E$370,"支援")&gt;0,"○",""))</f>
        <v/>
      </c>
      <c r="I29" s="18">
        <f>IF(COUNTIFS('VS×ケイパビリティ関係'!$F$4:$F$370,$B29,'VS×ケイパビリティ関係'!$G$4:$G$370,I$5,'VS×ケイパビリティ関係'!$E$4:$E$370,"主")&gt;0,"●",IF(COUNTIFS('VS×ケイパビリティ関係'!$F$4:$F$370,$B29,'VS×ケイパビリティ関係'!$G$4:$G$370,I$5,'VS×ケイパビリティ関係'!$E$4:$E$370,"支援")&gt;0,"○",""))</f>
        <v/>
      </c>
      <c r="J29" s="18">
        <f>IF(COUNTIFS('VS×ケイパビリティ関係'!$F$4:$F$370,$B29,'VS×ケイパビリティ関係'!$G$4:$G$370,J$5,'VS×ケイパビリティ関係'!$E$4:$E$370,"主")&gt;0,"●",IF(COUNTIFS('VS×ケイパビリティ関係'!$F$4:$F$370,$B29,'VS×ケイパビリティ関係'!$G$4:$G$370,J$5,'VS×ケイパビリティ関係'!$E$4:$E$370,"支援")&gt;0,"○",""))</f>
        <v/>
      </c>
      <c r="K29" s="18">
        <f>IF(COUNTIFS('VS×ケイパビリティ関係'!$F$4:$F$370,$B29,'VS×ケイパビリティ関係'!$G$4:$G$370,K$5,'VS×ケイパビリティ関係'!$E$4:$E$370,"主")&gt;0,"●",IF(COUNTIFS('VS×ケイパビリティ関係'!$F$4:$F$370,$B29,'VS×ケイパビリティ関係'!$G$4:$G$370,K$5,'VS×ケイパビリティ関係'!$E$4:$E$370,"支援")&gt;0,"○",""))</f>
        <v/>
      </c>
      <c r="L29" s="18">
        <f>IF(COUNTIFS('VS×ケイパビリティ関係'!$F$4:$F$370,$B29,'VS×ケイパビリティ関係'!$G$4:$G$370,L$5,'VS×ケイパビリティ関係'!$E$4:$E$370,"主")&gt;0,"●",IF(COUNTIFS('VS×ケイパビリティ関係'!$F$4:$F$370,$B29,'VS×ケイパビリティ関係'!$G$4:$G$370,L$5,'VS×ケイパビリティ関係'!$E$4:$E$370,"支援")&gt;0,"○",""))</f>
        <v/>
      </c>
      <c r="M29" s="18">
        <f>IF(COUNTIFS('VS×ケイパビリティ関係'!$F$4:$F$370,$B29,'VS×ケイパビリティ関係'!$G$4:$G$370,M$5,'VS×ケイパビリティ関係'!$E$4:$E$370,"主")&gt;0,"●",IF(COUNTIFS('VS×ケイパビリティ関係'!$F$4:$F$370,$B29,'VS×ケイパビリティ関係'!$G$4:$G$370,M$5,'VS×ケイパビリティ関係'!$E$4:$E$370,"支援")&gt;0,"○",""))</f>
        <v/>
      </c>
      <c r="N29" s="18">
        <f>IF(COUNTIFS('VS×ケイパビリティ関係'!$F$4:$F$370,$B29,'VS×ケイパビリティ関係'!$G$4:$G$370,N$5,'VS×ケイパビリティ関係'!$E$4:$E$370,"主")&gt;0,"●",IF(COUNTIFS('VS×ケイパビリティ関係'!$F$4:$F$370,$B29,'VS×ケイパビリティ関係'!$G$4:$G$370,N$5,'VS×ケイパビリティ関係'!$E$4:$E$370,"支援")&gt;0,"○",""))</f>
        <v/>
      </c>
      <c r="O29" s="18">
        <f>IF(COUNTIFS('VS×ケイパビリティ関係'!$F$4:$F$370,$B29,'VS×ケイパビリティ関係'!$G$4:$G$370,O$5,'VS×ケイパビリティ関係'!$E$4:$E$370,"主")&gt;0,"●",IF(COUNTIFS('VS×ケイパビリティ関係'!$F$4:$F$370,$B29,'VS×ケイパビリティ関係'!$G$4:$G$370,O$5,'VS×ケイパビリティ関係'!$E$4:$E$370,"支援")&gt;0,"○",""))</f>
        <v/>
      </c>
      <c r="P29" s="18">
        <f>IF(COUNTIFS('VS×ケイパビリティ関係'!$F$4:$F$370,$B29,'VS×ケイパビリティ関係'!$G$4:$G$370,P$5,'VS×ケイパビリティ関係'!$E$4:$E$370,"主")&gt;0,"●",IF(COUNTIFS('VS×ケイパビリティ関係'!$F$4:$F$370,$B29,'VS×ケイパビリティ関係'!$G$4:$G$370,P$5,'VS×ケイパビリティ関係'!$E$4:$E$370,"支援")&gt;0,"○",""))</f>
        <v/>
      </c>
      <c r="Q29" s="18">
        <f>IF(COUNTIFS('VS×ケイパビリティ関係'!$F$4:$F$370,$B29,'VS×ケイパビリティ関係'!$G$4:$G$370,Q$5,'VS×ケイパビリティ関係'!$E$4:$E$370,"主")&gt;0,"●",IF(COUNTIFS('VS×ケイパビリティ関係'!$F$4:$F$370,$B29,'VS×ケイパビリティ関係'!$G$4:$G$370,Q$5,'VS×ケイパビリティ関係'!$E$4:$E$370,"支援")&gt;0,"○",""))</f>
        <v/>
      </c>
      <c r="R29" s="18">
        <f>IF(COUNTIFS('VS×ケイパビリティ関係'!$F$4:$F$370,$B29,'VS×ケイパビリティ関係'!$G$4:$G$370,R$5,'VS×ケイパビリティ関係'!$E$4:$E$370,"主")&gt;0,"●",IF(COUNTIFS('VS×ケイパビリティ関係'!$F$4:$F$370,$B29,'VS×ケイパビリティ関係'!$G$4:$G$370,R$5,'VS×ケイパビリティ関係'!$E$4:$E$370,"支援")&gt;0,"○",""))</f>
        <v/>
      </c>
      <c r="S29" s="18">
        <f>IF(COUNTIFS('VS×ケイパビリティ関係'!$F$4:$F$370,$B29,'VS×ケイパビリティ関係'!$G$4:$G$370,S$5,'VS×ケイパビリティ関係'!$E$4:$E$370,"主")&gt;0,"●",IF(COUNTIFS('VS×ケイパビリティ関係'!$F$4:$F$370,$B29,'VS×ケイパビリティ関係'!$G$4:$G$370,S$5,'VS×ケイパビリティ関係'!$E$4:$E$370,"支援")&gt;0,"○",""))</f>
        <v/>
      </c>
      <c r="T29" s="18">
        <f>IF(COUNTIFS('VS×ケイパビリティ関係'!$F$4:$F$370,$B29,'VS×ケイパビリティ関係'!$G$4:$G$370,T$5,'VS×ケイパビリティ関係'!$E$4:$E$370,"主")&gt;0,"●",IF(COUNTIFS('VS×ケイパビリティ関係'!$F$4:$F$370,$B29,'VS×ケイパビリティ関係'!$G$4:$G$370,T$5,'VS×ケイパビリティ関係'!$E$4:$E$370,"支援")&gt;0,"○",""))</f>
        <v/>
      </c>
      <c r="U29" s="18">
        <f>IF(COUNTIFS('VS×ケイパビリティ関係'!$F$4:$F$370,$B29,'VS×ケイパビリティ関係'!$G$4:$G$370,U$5,'VS×ケイパビリティ関係'!$E$4:$E$370,"主")&gt;0,"●",IF(COUNTIFS('VS×ケイパビリティ関係'!$F$4:$F$370,$B29,'VS×ケイパビリティ関係'!$G$4:$G$370,U$5,'VS×ケイパビリティ関係'!$E$4:$E$370,"支援")&gt;0,"○",""))</f>
        <v/>
      </c>
      <c r="V29" s="18">
        <f>IF(COUNTIFS('VS×ケイパビリティ関係'!$F$4:$F$370,$B29,'VS×ケイパビリティ関係'!$G$4:$G$370,V$5,'VS×ケイパビリティ関係'!$E$4:$E$370,"主")&gt;0,"●",IF(COUNTIFS('VS×ケイパビリティ関係'!$F$4:$F$370,$B29,'VS×ケイパビリティ関係'!$G$4:$G$370,V$5,'VS×ケイパビリティ関係'!$E$4:$E$370,"支援")&gt;0,"○",""))</f>
        <v/>
      </c>
      <c r="W29" s="18">
        <f>IF(COUNTIFS('VS×ケイパビリティ関係'!$F$4:$F$370,$B29,'VS×ケイパビリティ関係'!$G$4:$G$370,W$5,'VS×ケイパビリティ関係'!$E$4:$E$370,"主")&gt;0,"●",IF(COUNTIFS('VS×ケイパビリティ関係'!$F$4:$F$370,$B29,'VS×ケイパビリティ関係'!$G$4:$G$370,W$5,'VS×ケイパビリティ関係'!$E$4:$E$370,"支援")&gt;0,"○",""))</f>
        <v/>
      </c>
      <c r="X29" s="18">
        <f>IF(COUNTIFS('VS×ケイパビリティ関係'!$F$4:$F$370,$B29,'VS×ケイパビリティ関係'!$G$4:$G$370,X$5,'VS×ケイパビリティ関係'!$E$4:$E$370,"主")&gt;0,"●",IF(COUNTIFS('VS×ケイパビリティ関係'!$F$4:$F$370,$B29,'VS×ケイパビリティ関係'!$G$4:$G$370,X$5,'VS×ケイパビリティ関係'!$E$4:$E$370,"支援")&gt;0,"○",""))</f>
        <v/>
      </c>
      <c r="Y29" s="18">
        <f>IF(COUNTIFS('VS×ケイパビリティ関係'!$F$4:$F$370,$B29,'VS×ケイパビリティ関係'!$G$4:$G$370,Y$5,'VS×ケイパビリティ関係'!$E$4:$E$370,"主")&gt;0,"●",IF(COUNTIFS('VS×ケイパビリティ関係'!$F$4:$F$370,$B29,'VS×ケイパビリティ関係'!$G$4:$G$370,Y$5,'VS×ケイパビリティ関係'!$E$4:$E$370,"支援")&gt;0,"○",""))</f>
        <v/>
      </c>
      <c r="Z29" s="18">
        <f>IF(COUNTIFS('VS×ケイパビリティ関係'!$F$4:$F$370,$B29,'VS×ケイパビリティ関係'!$G$4:$G$370,Z$5,'VS×ケイパビリティ関係'!$E$4:$E$370,"主")&gt;0,"●",IF(COUNTIFS('VS×ケイパビリティ関係'!$F$4:$F$370,$B29,'VS×ケイパビリティ関係'!$G$4:$G$370,Z$5,'VS×ケイパビリティ関係'!$E$4:$E$370,"支援")&gt;0,"○",""))</f>
        <v/>
      </c>
      <c r="AA29" s="18">
        <f>IF(COUNTIFS('VS×ケイパビリティ関係'!$F$4:$F$370,$B29,'VS×ケイパビリティ関係'!$G$4:$G$370,AA$5,'VS×ケイパビリティ関係'!$E$4:$E$370,"主")&gt;0,"●",IF(COUNTIFS('VS×ケイパビリティ関係'!$F$4:$F$370,$B29,'VS×ケイパビリティ関係'!$G$4:$G$370,AA$5,'VS×ケイパビリティ関係'!$E$4:$E$370,"支援")&gt;0,"○",""))</f>
        <v/>
      </c>
      <c r="AB29" s="18">
        <f>IF(COUNTIFS('VS×ケイパビリティ関係'!$F$4:$F$370,$B29,'VS×ケイパビリティ関係'!$G$4:$G$370,AB$5,'VS×ケイパビリティ関係'!$E$4:$E$370,"主")&gt;0,"●",IF(COUNTIFS('VS×ケイパビリティ関係'!$F$4:$F$370,$B29,'VS×ケイパビリティ関係'!$G$4:$G$370,AB$5,'VS×ケイパビリティ関係'!$E$4:$E$370,"支援")&gt;0,"○",""))</f>
        <v/>
      </c>
      <c r="AC29" s="18">
        <f>IF(COUNTIFS('VS×ケイパビリティ関係'!$F$4:$F$370,$B29,'VS×ケイパビリティ関係'!$G$4:$G$370,AC$5,'VS×ケイパビリティ関係'!$E$4:$E$370,"主")&gt;0,"●",IF(COUNTIFS('VS×ケイパビリティ関係'!$F$4:$F$370,$B29,'VS×ケイパビリティ関係'!$G$4:$G$370,AC$5,'VS×ケイパビリティ関係'!$E$4:$E$370,"支援")&gt;0,"○",""))</f>
        <v/>
      </c>
      <c r="AD29" s="18">
        <f>IF(COUNTIFS('VS×ケイパビリティ関係'!$F$4:$F$370,$B29,'VS×ケイパビリティ関係'!$G$4:$G$370,AD$5,'VS×ケイパビリティ関係'!$E$4:$E$370,"主")&gt;0,"●",IF(COUNTIFS('VS×ケイパビリティ関係'!$F$4:$F$370,$B29,'VS×ケイパビリティ関係'!$G$4:$G$370,AD$5,'VS×ケイパビリティ関係'!$E$4:$E$370,"支援")&gt;0,"○",""))</f>
        <v/>
      </c>
      <c r="AE29" s="18">
        <f>IF(COUNTIFS('VS×ケイパビリティ関係'!$F$4:$F$370,$B29,'VS×ケイパビリティ関係'!$G$4:$G$370,AE$5,'VS×ケイパビリティ関係'!$E$4:$E$370,"主")&gt;0,"●",IF(COUNTIFS('VS×ケイパビリティ関係'!$F$4:$F$370,$B29,'VS×ケイパビリティ関係'!$G$4:$G$370,AE$5,'VS×ケイパビリティ関係'!$E$4:$E$370,"支援")&gt;0,"○",""))</f>
        <v/>
      </c>
      <c r="AF29" s="18">
        <f>IF(COUNTIFS('VS×ケイパビリティ関係'!$F$4:$F$370,$B29,'VS×ケイパビリティ関係'!$G$4:$G$370,AF$5,'VS×ケイパビリティ関係'!$E$4:$E$370,"主")&gt;0,"●",IF(COUNTIFS('VS×ケイパビリティ関係'!$F$4:$F$370,$B29,'VS×ケイパビリティ関係'!$G$4:$G$370,AF$5,'VS×ケイパビリティ関係'!$E$4:$E$370,"支援")&gt;0,"○",""))</f>
        <v/>
      </c>
      <c r="AG29" s="18">
        <f>IF(COUNTIFS('VS×ケイパビリティ関係'!$F$4:$F$370,$B29,'VS×ケイパビリティ関係'!$G$4:$G$370,AG$5,'VS×ケイパビリティ関係'!$E$4:$E$370,"主")&gt;0,"●",IF(COUNTIFS('VS×ケイパビリティ関係'!$F$4:$F$370,$B29,'VS×ケイパビリティ関係'!$G$4:$G$370,AG$5,'VS×ケイパビリティ関係'!$E$4:$E$370,"支援")&gt;0,"○",""))</f>
        <v/>
      </c>
      <c r="AH29" s="18">
        <f>IF(COUNTIFS('VS×ケイパビリティ関係'!$F$4:$F$370,$B29,'VS×ケイパビリティ関係'!$G$4:$G$370,AH$5,'VS×ケイパビリティ関係'!$E$4:$E$370,"主")&gt;0,"●",IF(COUNTIFS('VS×ケイパビリティ関係'!$F$4:$F$370,$B29,'VS×ケイパビリティ関係'!$G$4:$G$370,AH$5,'VS×ケイパビリティ関係'!$E$4:$E$370,"支援")&gt;0,"○",""))</f>
        <v/>
      </c>
      <c r="AI29" s="18">
        <f>IF(COUNTIFS('VS×ケイパビリティ関係'!$F$4:$F$370,$B29,'VS×ケイパビリティ関係'!$G$4:$G$370,AI$5,'VS×ケイパビリティ関係'!$E$4:$E$370,"主")&gt;0,"●",IF(COUNTIFS('VS×ケイパビリティ関係'!$F$4:$F$370,$B29,'VS×ケイパビリティ関係'!$G$4:$G$370,AI$5,'VS×ケイパビリティ関係'!$E$4:$E$370,"支援")&gt;0,"○",""))</f>
        <v/>
      </c>
      <c r="AJ29" s="18">
        <f>COUNTIF(D29:AI29,"●")</f>
        <v/>
      </c>
      <c r="AK29" s="18">
        <f>COUNTIF(D29:AI29,"○")</f>
        <v/>
      </c>
    </row>
    <row r="30">
      <c r="A30" s="42" t="n"/>
      <c r="B30" s="18" t="inlineStr">
        <is>
          <t>06-03</t>
        </is>
      </c>
      <c r="C30" s="20" t="inlineStr">
        <is>
          <t>退職手続き</t>
        </is>
      </c>
      <c r="D30" s="18">
        <f>IF(COUNTIFS('VS×ケイパビリティ関係'!$F$4:$F$370,$B30,'VS×ケイパビリティ関係'!$G$4:$G$370,D$5,'VS×ケイパビリティ関係'!$E$4:$E$370,"主")&gt;0,"●",IF(COUNTIFS('VS×ケイパビリティ関係'!$F$4:$F$370,$B30,'VS×ケイパビリティ関係'!$G$4:$G$370,D$5,'VS×ケイパビリティ関係'!$E$4:$E$370,"支援")&gt;0,"○",""))</f>
        <v/>
      </c>
      <c r="E30" s="18">
        <f>IF(COUNTIFS('VS×ケイパビリティ関係'!$F$4:$F$370,$B30,'VS×ケイパビリティ関係'!$G$4:$G$370,E$5,'VS×ケイパビリティ関係'!$E$4:$E$370,"主")&gt;0,"●",IF(COUNTIFS('VS×ケイパビリティ関係'!$F$4:$F$370,$B30,'VS×ケイパビリティ関係'!$G$4:$G$370,E$5,'VS×ケイパビリティ関係'!$E$4:$E$370,"支援")&gt;0,"○",""))</f>
        <v/>
      </c>
      <c r="F30" s="18">
        <f>IF(COUNTIFS('VS×ケイパビリティ関係'!$F$4:$F$370,$B30,'VS×ケイパビリティ関係'!$G$4:$G$370,F$5,'VS×ケイパビリティ関係'!$E$4:$E$370,"主")&gt;0,"●",IF(COUNTIFS('VS×ケイパビリティ関係'!$F$4:$F$370,$B30,'VS×ケイパビリティ関係'!$G$4:$G$370,F$5,'VS×ケイパビリティ関係'!$E$4:$E$370,"支援")&gt;0,"○",""))</f>
        <v/>
      </c>
      <c r="G30" s="18">
        <f>IF(COUNTIFS('VS×ケイパビリティ関係'!$F$4:$F$370,$B30,'VS×ケイパビリティ関係'!$G$4:$G$370,G$5,'VS×ケイパビリティ関係'!$E$4:$E$370,"主")&gt;0,"●",IF(COUNTIFS('VS×ケイパビリティ関係'!$F$4:$F$370,$B30,'VS×ケイパビリティ関係'!$G$4:$G$370,G$5,'VS×ケイパビリティ関係'!$E$4:$E$370,"支援")&gt;0,"○",""))</f>
        <v/>
      </c>
      <c r="H30" s="18">
        <f>IF(COUNTIFS('VS×ケイパビリティ関係'!$F$4:$F$370,$B30,'VS×ケイパビリティ関係'!$G$4:$G$370,H$5,'VS×ケイパビリティ関係'!$E$4:$E$370,"主")&gt;0,"●",IF(COUNTIFS('VS×ケイパビリティ関係'!$F$4:$F$370,$B30,'VS×ケイパビリティ関係'!$G$4:$G$370,H$5,'VS×ケイパビリティ関係'!$E$4:$E$370,"支援")&gt;0,"○",""))</f>
        <v/>
      </c>
      <c r="I30" s="18">
        <f>IF(COUNTIFS('VS×ケイパビリティ関係'!$F$4:$F$370,$B30,'VS×ケイパビリティ関係'!$G$4:$G$370,I$5,'VS×ケイパビリティ関係'!$E$4:$E$370,"主")&gt;0,"●",IF(COUNTIFS('VS×ケイパビリティ関係'!$F$4:$F$370,$B30,'VS×ケイパビリティ関係'!$G$4:$G$370,I$5,'VS×ケイパビリティ関係'!$E$4:$E$370,"支援")&gt;0,"○",""))</f>
        <v/>
      </c>
      <c r="J30" s="18">
        <f>IF(COUNTIFS('VS×ケイパビリティ関係'!$F$4:$F$370,$B30,'VS×ケイパビリティ関係'!$G$4:$G$370,J$5,'VS×ケイパビリティ関係'!$E$4:$E$370,"主")&gt;0,"●",IF(COUNTIFS('VS×ケイパビリティ関係'!$F$4:$F$370,$B30,'VS×ケイパビリティ関係'!$G$4:$G$370,J$5,'VS×ケイパビリティ関係'!$E$4:$E$370,"支援")&gt;0,"○",""))</f>
        <v/>
      </c>
      <c r="K30" s="18">
        <f>IF(COUNTIFS('VS×ケイパビリティ関係'!$F$4:$F$370,$B30,'VS×ケイパビリティ関係'!$G$4:$G$370,K$5,'VS×ケイパビリティ関係'!$E$4:$E$370,"主")&gt;0,"●",IF(COUNTIFS('VS×ケイパビリティ関係'!$F$4:$F$370,$B30,'VS×ケイパビリティ関係'!$G$4:$G$370,K$5,'VS×ケイパビリティ関係'!$E$4:$E$370,"支援")&gt;0,"○",""))</f>
        <v/>
      </c>
      <c r="L30" s="18">
        <f>IF(COUNTIFS('VS×ケイパビリティ関係'!$F$4:$F$370,$B30,'VS×ケイパビリティ関係'!$G$4:$G$370,L$5,'VS×ケイパビリティ関係'!$E$4:$E$370,"主")&gt;0,"●",IF(COUNTIFS('VS×ケイパビリティ関係'!$F$4:$F$370,$B30,'VS×ケイパビリティ関係'!$G$4:$G$370,L$5,'VS×ケイパビリティ関係'!$E$4:$E$370,"支援")&gt;0,"○",""))</f>
        <v/>
      </c>
      <c r="M30" s="18">
        <f>IF(COUNTIFS('VS×ケイパビリティ関係'!$F$4:$F$370,$B30,'VS×ケイパビリティ関係'!$G$4:$G$370,M$5,'VS×ケイパビリティ関係'!$E$4:$E$370,"主")&gt;0,"●",IF(COUNTIFS('VS×ケイパビリティ関係'!$F$4:$F$370,$B30,'VS×ケイパビリティ関係'!$G$4:$G$370,M$5,'VS×ケイパビリティ関係'!$E$4:$E$370,"支援")&gt;0,"○",""))</f>
        <v/>
      </c>
      <c r="N30" s="18">
        <f>IF(COUNTIFS('VS×ケイパビリティ関係'!$F$4:$F$370,$B30,'VS×ケイパビリティ関係'!$G$4:$G$370,N$5,'VS×ケイパビリティ関係'!$E$4:$E$370,"主")&gt;0,"●",IF(COUNTIFS('VS×ケイパビリティ関係'!$F$4:$F$370,$B30,'VS×ケイパビリティ関係'!$G$4:$G$370,N$5,'VS×ケイパビリティ関係'!$E$4:$E$370,"支援")&gt;0,"○",""))</f>
        <v/>
      </c>
      <c r="O30" s="18">
        <f>IF(COUNTIFS('VS×ケイパビリティ関係'!$F$4:$F$370,$B30,'VS×ケイパビリティ関係'!$G$4:$G$370,O$5,'VS×ケイパビリティ関係'!$E$4:$E$370,"主")&gt;0,"●",IF(COUNTIFS('VS×ケイパビリティ関係'!$F$4:$F$370,$B30,'VS×ケイパビリティ関係'!$G$4:$G$370,O$5,'VS×ケイパビリティ関係'!$E$4:$E$370,"支援")&gt;0,"○",""))</f>
        <v/>
      </c>
      <c r="P30" s="18">
        <f>IF(COUNTIFS('VS×ケイパビリティ関係'!$F$4:$F$370,$B30,'VS×ケイパビリティ関係'!$G$4:$G$370,P$5,'VS×ケイパビリティ関係'!$E$4:$E$370,"主")&gt;0,"●",IF(COUNTIFS('VS×ケイパビリティ関係'!$F$4:$F$370,$B30,'VS×ケイパビリティ関係'!$G$4:$G$370,P$5,'VS×ケイパビリティ関係'!$E$4:$E$370,"支援")&gt;0,"○",""))</f>
        <v/>
      </c>
      <c r="Q30" s="18">
        <f>IF(COUNTIFS('VS×ケイパビリティ関係'!$F$4:$F$370,$B30,'VS×ケイパビリティ関係'!$G$4:$G$370,Q$5,'VS×ケイパビリティ関係'!$E$4:$E$370,"主")&gt;0,"●",IF(COUNTIFS('VS×ケイパビリティ関係'!$F$4:$F$370,$B30,'VS×ケイパビリティ関係'!$G$4:$G$370,Q$5,'VS×ケイパビリティ関係'!$E$4:$E$370,"支援")&gt;0,"○",""))</f>
        <v/>
      </c>
      <c r="R30" s="18">
        <f>IF(COUNTIFS('VS×ケイパビリティ関係'!$F$4:$F$370,$B30,'VS×ケイパビリティ関係'!$G$4:$G$370,R$5,'VS×ケイパビリティ関係'!$E$4:$E$370,"主")&gt;0,"●",IF(COUNTIFS('VS×ケイパビリティ関係'!$F$4:$F$370,$B30,'VS×ケイパビリティ関係'!$G$4:$G$370,R$5,'VS×ケイパビリティ関係'!$E$4:$E$370,"支援")&gt;0,"○",""))</f>
        <v/>
      </c>
      <c r="S30" s="18">
        <f>IF(COUNTIFS('VS×ケイパビリティ関係'!$F$4:$F$370,$B30,'VS×ケイパビリティ関係'!$G$4:$G$370,S$5,'VS×ケイパビリティ関係'!$E$4:$E$370,"主")&gt;0,"●",IF(COUNTIFS('VS×ケイパビリティ関係'!$F$4:$F$370,$B30,'VS×ケイパビリティ関係'!$G$4:$G$370,S$5,'VS×ケイパビリティ関係'!$E$4:$E$370,"支援")&gt;0,"○",""))</f>
        <v/>
      </c>
      <c r="T30" s="18">
        <f>IF(COUNTIFS('VS×ケイパビリティ関係'!$F$4:$F$370,$B30,'VS×ケイパビリティ関係'!$G$4:$G$370,T$5,'VS×ケイパビリティ関係'!$E$4:$E$370,"主")&gt;0,"●",IF(COUNTIFS('VS×ケイパビリティ関係'!$F$4:$F$370,$B30,'VS×ケイパビリティ関係'!$G$4:$G$370,T$5,'VS×ケイパビリティ関係'!$E$4:$E$370,"支援")&gt;0,"○",""))</f>
        <v/>
      </c>
      <c r="U30" s="18">
        <f>IF(COUNTIFS('VS×ケイパビリティ関係'!$F$4:$F$370,$B30,'VS×ケイパビリティ関係'!$G$4:$G$370,U$5,'VS×ケイパビリティ関係'!$E$4:$E$370,"主")&gt;0,"●",IF(COUNTIFS('VS×ケイパビリティ関係'!$F$4:$F$370,$B30,'VS×ケイパビリティ関係'!$G$4:$G$370,U$5,'VS×ケイパビリティ関係'!$E$4:$E$370,"支援")&gt;0,"○",""))</f>
        <v/>
      </c>
      <c r="V30" s="18">
        <f>IF(COUNTIFS('VS×ケイパビリティ関係'!$F$4:$F$370,$B30,'VS×ケイパビリティ関係'!$G$4:$G$370,V$5,'VS×ケイパビリティ関係'!$E$4:$E$370,"主")&gt;0,"●",IF(COUNTIFS('VS×ケイパビリティ関係'!$F$4:$F$370,$B30,'VS×ケイパビリティ関係'!$G$4:$G$370,V$5,'VS×ケイパビリティ関係'!$E$4:$E$370,"支援")&gt;0,"○",""))</f>
        <v/>
      </c>
      <c r="W30" s="18">
        <f>IF(COUNTIFS('VS×ケイパビリティ関係'!$F$4:$F$370,$B30,'VS×ケイパビリティ関係'!$G$4:$G$370,W$5,'VS×ケイパビリティ関係'!$E$4:$E$370,"主")&gt;0,"●",IF(COUNTIFS('VS×ケイパビリティ関係'!$F$4:$F$370,$B30,'VS×ケイパビリティ関係'!$G$4:$G$370,W$5,'VS×ケイパビリティ関係'!$E$4:$E$370,"支援")&gt;0,"○",""))</f>
        <v/>
      </c>
      <c r="X30" s="18">
        <f>IF(COUNTIFS('VS×ケイパビリティ関係'!$F$4:$F$370,$B30,'VS×ケイパビリティ関係'!$G$4:$G$370,X$5,'VS×ケイパビリティ関係'!$E$4:$E$370,"主")&gt;0,"●",IF(COUNTIFS('VS×ケイパビリティ関係'!$F$4:$F$370,$B30,'VS×ケイパビリティ関係'!$G$4:$G$370,X$5,'VS×ケイパビリティ関係'!$E$4:$E$370,"支援")&gt;0,"○",""))</f>
        <v/>
      </c>
      <c r="Y30" s="18">
        <f>IF(COUNTIFS('VS×ケイパビリティ関係'!$F$4:$F$370,$B30,'VS×ケイパビリティ関係'!$G$4:$G$370,Y$5,'VS×ケイパビリティ関係'!$E$4:$E$370,"主")&gt;0,"●",IF(COUNTIFS('VS×ケイパビリティ関係'!$F$4:$F$370,$B30,'VS×ケイパビリティ関係'!$G$4:$G$370,Y$5,'VS×ケイパビリティ関係'!$E$4:$E$370,"支援")&gt;0,"○",""))</f>
        <v/>
      </c>
      <c r="Z30" s="18">
        <f>IF(COUNTIFS('VS×ケイパビリティ関係'!$F$4:$F$370,$B30,'VS×ケイパビリティ関係'!$G$4:$G$370,Z$5,'VS×ケイパビリティ関係'!$E$4:$E$370,"主")&gt;0,"●",IF(COUNTIFS('VS×ケイパビリティ関係'!$F$4:$F$370,$B30,'VS×ケイパビリティ関係'!$G$4:$G$370,Z$5,'VS×ケイパビリティ関係'!$E$4:$E$370,"支援")&gt;0,"○",""))</f>
        <v/>
      </c>
      <c r="AA30" s="18">
        <f>IF(COUNTIFS('VS×ケイパビリティ関係'!$F$4:$F$370,$B30,'VS×ケイパビリティ関係'!$G$4:$G$370,AA$5,'VS×ケイパビリティ関係'!$E$4:$E$370,"主")&gt;0,"●",IF(COUNTIFS('VS×ケイパビリティ関係'!$F$4:$F$370,$B30,'VS×ケイパビリティ関係'!$G$4:$G$370,AA$5,'VS×ケイパビリティ関係'!$E$4:$E$370,"支援")&gt;0,"○",""))</f>
        <v/>
      </c>
      <c r="AB30" s="18">
        <f>IF(COUNTIFS('VS×ケイパビリティ関係'!$F$4:$F$370,$B30,'VS×ケイパビリティ関係'!$G$4:$G$370,AB$5,'VS×ケイパビリティ関係'!$E$4:$E$370,"主")&gt;0,"●",IF(COUNTIFS('VS×ケイパビリティ関係'!$F$4:$F$370,$B30,'VS×ケイパビリティ関係'!$G$4:$G$370,AB$5,'VS×ケイパビリティ関係'!$E$4:$E$370,"支援")&gt;0,"○",""))</f>
        <v/>
      </c>
      <c r="AC30" s="18">
        <f>IF(COUNTIFS('VS×ケイパビリティ関係'!$F$4:$F$370,$B30,'VS×ケイパビリティ関係'!$G$4:$G$370,AC$5,'VS×ケイパビリティ関係'!$E$4:$E$370,"主")&gt;0,"●",IF(COUNTIFS('VS×ケイパビリティ関係'!$F$4:$F$370,$B30,'VS×ケイパビリティ関係'!$G$4:$G$370,AC$5,'VS×ケイパビリティ関係'!$E$4:$E$370,"支援")&gt;0,"○",""))</f>
        <v/>
      </c>
      <c r="AD30" s="18">
        <f>IF(COUNTIFS('VS×ケイパビリティ関係'!$F$4:$F$370,$B30,'VS×ケイパビリティ関係'!$G$4:$G$370,AD$5,'VS×ケイパビリティ関係'!$E$4:$E$370,"主")&gt;0,"●",IF(COUNTIFS('VS×ケイパビリティ関係'!$F$4:$F$370,$B30,'VS×ケイパビリティ関係'!$G$4:$G$370,AD$5,'VS×ケイパビリティ関係'!$E$4:$E$370,"支援")&gt;0,"○",""))</f>
        <v/>
      </c>
      <c r="AE30" s="18">
        <f>IF(COUNTIFS('VS×ケイパビリティ関係'!$F$4:$F$370,$B30,'VS×ケイパビリティ関係'!$G$4:$G$370,AE$5,'VS×ケイパビリティ関係'!$E$4:$E$370,"主")&gt;0,"●",IF(COUNTIFS('VS×ケイパビリティ関係'!$F$4:$F$370,$B30,'VS×ケイパビリティ関係'!$G$4:$G$370,AE$5,'VS×ケイパビリティ関係'!$E$4:$E$370,"支援")&gt;0,"○",""))</f>
        <v/>
      </c>
      <c r="AF30" s="18">
        <f>IF(COUNTIFS('VS×ケイパビリティ関係'!$F$4:$F$370,$B30,'VS×ケイパビリティ関係'!$G$4:$G$370,AF$5,'VS×ケイパビリティ関係'!$E$4:$E$370,"主")&gt;0,"●",IF(COUNTIFS('VS×ケイパビリティ関係'!$F$4:$F$370,$B30,'VS×ケイパビリティ関係'!$G$4:$G$370,AF$5,'VS×ケイパビリティ関係'!$E$4:$E$370,"支援")&gt;0,"○",""))</f>
        <v/>
      </c>
      <c r="AG30" s="18">
        <f>IF(COUNTIFS('VS×ケイパビリティ関係'!$F$4:$F$370,$B30,'VS×ケイパビリティ関係'!$G$4:$G$370,AG$5,'VS×ケイパビリティ関係'!$E$4:$E$370,"主")&gt;0,"●",IF(COUNTIFS('VS×ケイパビリティ関係'!$F$4:$F$370,$B30,'VS×ケイパビリティ関係'!$G$4:$G$370,AG$5,'VS×ケイパビリティ関係'!$E$4:$E$370,"支援")&gt;0,"○",""))</f>
        <v/>
      </c>
      <c r="AH30" s="18">
        <f>IF(COUNTIFS('VS×ケイパビリティ関係'!$F$4:$F$370,$B30,'VS×ケイパビリティ関係'!$G$4:$G$370,AH$5,'VS×ケイパビリティ関係'!$E$4:$E$370,"主")&gt;0,"●",IF(COUNTIFS('VS×ケイパビリティ関係'!$F$4:$F$370,$B30,'VS×ケイパビリティ関係'!$G$4:$G$370,AH$5,'VS×ケイパビリティ関係'!$E$4:$E$370,"支援")&gt;0,"○",""))</f>
        <v/>
      </c>
      <c r="AI30" s="18">
        <f>IF(COUNTIFS('VS×ケイパビリティ関係'!$F$4:$F$370,$B30,'VS×ケイパビリティ関係'!$G$4:$G$370,AI$5,'VS×ケイパビリティ関係'!$E$4:$E$370,"主")&gt;0,"●",IF(COUNTIFS('VS×ケイパビリティ関係'!$F$4:$F$370,$B30,'VS×ケイパビリティ関係'!$G$4:$G$370,AI$5,'VS×ケイパビリティ関係'!$E$4:$E$370,"支援")&gt;0,"○",""))</f>
        <v/>
      </c>
      <c r="AJ30" s="18">
        <f>COUNTIF(D30:AI30,"●")</f>
        <v/>
      </c>
      <c r="AK30" s="18">
        <f>COUNTIF(D30:AI30,"○")</f>
        <v/>
      </c>
    </row>
    <row r="31">
      <c r="A31" s="42" t="n"/>
      <c r="B31" s="18" t="inlineStr">
        <is>
          <t>06-04</t>
        </is>
      </c>
      <c r="C31" s="20" t="inlineStr">
        <is>
          <t>オフボーディング</t>
        </is>
      </c>
      <c r="D31" s="18">
        <f>IF(COUNTIFS('VS×ケイパビリティ関係'!$F$4:$F$370,$B31,'VS×ケイパビリティ関係'!$G$4:$G$370,D$5,'VS×ケイパビリティ関係'!$E$4:$E$370,"主")&gt;0,"●",IF(COUNTIFS('VS×ケイパビリティ関係'!$F$4:$F$370,$B31,'VS×ケイパビリティ関係'!$G$4:$G$370,D$5,'VS×ケイパビリティ関係'!$E$4:$E$370,"支援")&gt;0,"○",""))</f>
        <v/>
      </c>
      <c r="E31" s="18">
        <f>IF(COUNTIFS('VS×ケイパビリティ関係'!$F$4:$F$370,$B31,'VS×ケイパビリティ関係'!$G$4:$G$370,E$5,'VS×ケイパビリティ関係'!$E$4:$E$370,"主")&gt;0,"●",IF(COUNTIFS('VS×ケイパビリティ関係'!$F$4:$F$370,$B31,'VS×ケイパビリティ関係'!$G$4:$G$370,E$5,'VS×ケイパビリティ関係'!$E$4:$E$370,"支援")&gt;0,"○",""))</f>
        <v/>
      </c>
      <c r="F31" s="18">
        <f>IF(COUNTIFS('VS×ケイパビリティ関係'!$F$4:$F$370,$B31,'VS×ケイパビリティ関係'!$G$4:$G$370,F$5,'VS×ケイパビリティ関係'!$E$4:$E$370,"主")&gt;0,"●",IF(COUNTIFS('VS×ケイパビリティ関係'!$F$4:$F$370,$B31,'VS×ケイパビリティ関係'!$G$4:$G$370,F$5,'VS×ケイパビリティ関係'!$E$4:$E$370,"支援")&gt;0,"○",""))</f>
        <v/>
      </c>
      <c r="G31" s="18">
        <f>IF(COUNTIFS('VS×ケイパビリティ関係'!$F$4:$F$370,$B31,'VS×ケイパビリティ関係'!$G$4:$G$370,G$5,'VS×ケイパビリティ関係'!$E$4:$E$370,"主")&gt;0,"●",IF(COUNTIFS('VS×ケイパビリティ関係'!$F$4:$F$370,$B31,'VS×ケイパビリティ関係'!$G$4:$G$370,G$5,'VS×ケイパビリティ関係'!$E$4:$E$370,"支援")&gt;0,"○",""))</f>
        <v/>
      </c>
      <c r="H31" s="18">
        <f>IF(COUNTIFS('VS×ケイパビリティ関係'!$F$4:$F$370,$B31,'VS×ケイパビリティ関係'!$G$4:$G$370,H$5,'VS×ケイパビリティ関係'!$E$4:$E$370,"主")&gt;0,"●",IF(COUNTIFS('VS×ケイパビリティ関係'!$F$4:$F$370,$B31,'VS×ケイパビリティ関係'!$G$4:$G$370,H$5,'VS×ケイパビリティ関係'!$E$4:$E$370,"支援")&gt;0,"○",""))</f>
        <v/>
      </c>
      <c r="I31" s="18">
        <f>IF(COUNTIFS('VS×ケイパビリティ関係'!$F$4:$F$370,$B31,'VS×ケイパビリティ関係'!$G$4:$G$370,I$5,'VS×ケイパビリティ関係'!$E$4:$E$370,"主")&gt;0,"●",IF(COUNTIFS('VS×ケイパビリティ関係'!$F$4:$F$370,$B31,'VS×ケイパビリティ関係'!$G$4:$G$370,I$5,'VS×ケイパビリティ関係'!$E$4:$E$370,"支援")&gt;0,"○",""))</f>
        <v/>
      </c>
      <c r="J31" s="18">
        <f>IF(COUNTIFS('VS×ケイパビリティ関係'!$F$4:$F$370,$B31,'VS×ケイパビリティ関係'!$G$4:$G$370,J$5,'VS×ケイパビリティ関係'!$E$4:$E$370,"主")&gt;0,"●",IF(COUNTIFS('VS×ケイパビリティ関係'!$F$4:$F$370,$B31,'VS×ケイパビリティ関係'!$G$4:$G$370,J$5,'VS×ケイパビリティ関係'!$E$4:$E$370,"支援")&gt;0,"○",""))</f>
        <v/>
      </c>
      <c r="K31" s="18">
        <f>IF(COUNTIFS('VS×ケイパビリティ関係'!$F$4:$F$370,$B31,'VS×ケイパビリティ関係'!$G$4:$G$370,K$5,'VS×ケイパビリティ関係'!$E$4:$E$370,"主")&gt;0,"●",IF(COUNTIFS('VS×ケイパビリティ関係'!$F$4:$F$370,$B31,'VS×ケイパビリティ関係'!$G$4:$G$370,K$5,'VS×ケイパビリティ関係'!$E$4:$E$370,"支援")&gt;0,"○",""))</f>
        <v/>
      </c>
      <c r="L31" s="18">
        <f>IF(COUNTIFS('VS×ケイパビリティ関係'!$F$4:$F$370,$B31,'VS×ケイパビリティ関係'!$G$4:$G$370,L$5,'VS×ケイパビリティ関係'!$E$4:$E$370,"主")&gt;0,"●",IF(COUNTIFS('VS×ケイパビリティ関係'!$F$4:$F$370,$B31,'VS×ケイパビリティ関係'!$G$4:$G$370,L$5,'VS×ケイパビリティ関係'!$E$4:$E$370,"支援")&gt;0,"○",""))</f>
        <v/>
      </c>
      <c r="M31" s="18">
        <f>IF(COUNTIFS('VS×ケイパビリティ関係'!$F$4:$F$370,$B31,'VS×ケイパビリティ関係'!$G$4:$G$370,M$5,'VS×ケイパビリティ関係'!$E$4:$E$370,"主")&gt;0,"●",IF(COUNTIFS('VS×ケイパビリティ関係'!$F$4:$F$370,$B31,'VS×ケイパビリティ関係'!$G$4:$G$370,M$5,'VS×ケイパビリティ関係'!$E$4:$E$370,"支援")&gt;0,"○",""))</f>
        <v/>
      </c>
      <c r="N31" s="18">
        <f>IF(COUNTIFS('VS×ケイパビリティ関係'!$F$4:$F$370,$B31,'VS×ケイパビリティ関係'!$G$4:$G$370,N$5,'VS×ケイパビリティ関係'!$E$4:$E$370,"主")&gt;0,"●",IF(COUNTIFS('VS×ケイパビリティ関係'!$F$4:$F$370,$B31,'VS×ケイパビリティ関係'!$G$4:$G$370,N$5,'VS×ケイパビリティ関係'!$E$4:$E$370,"支援")&gt;0,"○",""))</f>
        <v/>
      </c>
      <c r="O31" s="18">
        <f>IF(COUNTIFS('VS×ケイパビリティ関係'!$F$4:$F$370,$B31,'VS×ケイパビリティ関係'!$G$4:$G$370,O$5,'VS×ケイパビリティ関係'!$E$4:$E$370,"主")&gt;0,"●",IF(COUNTIFS('VS×ケイパビリティ関係'!$F$4:$F$370,$B31,'VS×ケイパビリティ関係'!$G$4:$G$370,O$5,'VS×ケイパビリティ関係'!$E$4:$E$370,"支援")&gt;0,"○",""))</f>
        <v/>
      </c>
      <c r="P31" s="18">
        <f>IF(COUNTIFS('VS×ケイパビリティ関係'!$F$4:$F$370,$B31,'VS×ケイパビリティ関係'!$G$4:$G$370,P$5,'VS×ケイパビリティ関係'!$E$4:$E$370,"主")&gt;0,"●",IF(COUNTIFS('VS×ケイパビリティ関係'!$F$4:$F$370,$B31,'VS×ケイパビリティ関係'!$G$4:$G$370,P$5,'VS×ケイパビリティ関係'!$E$4:$E$370,"支援")&gt;0,"○",""))</f>
        <v/>
      </c>
      <c r="Q31" s="18">
        <f>IF(COUNTIFS('VS×ケイパビリティ関係'!$F$4:$F$370,$B31,'VS×ケイパビリティ関係'!$G$4:$G$370,Q$5,'VS×ケイパビリティ関係'!$E$4:$E$370,"主")&gt;0,"●",IF(COUNTIFS('VS×ケイパビリティ関係'!$F$4:$F$370,$B31,'VS×ケイパビリティ関係'!$G$4:$G$370,Q$5,'VS×ケイパビリティ関係'!$E$4:$E$370,"支援")&gt;0,"○",""))</f>
        <v/>
      </c>
      <c r="R31" s="18">
        <f>IF(COUNTIFS('VS×ケイパビリティ関係'!$F$4:$F$370,$B31,'VS×ケイパビリティ関係'!$G$4:$G$370,R$5,'VS×ケイパビリティ関係'!$E$4:$E$370,"主")&gt;0,"●",IF(COUNTIFS('VS×ケイパビリティ関係'!$F$4:$F$370,$B31,'VS×ケイパビリティ関係'!$G$4:$G$370,R$5,'VS×ケイパビリティ関係'!$E$4:$E$370,"支援")&gt;0,"○",""))</f>
        <v/>
      </c>
      <c r="S31" s="18">
        <f>IF(COUNTIFS('VS×ケイパビリティ関係'!$F$4:$F$370,$B31,'VS×ケイパビリティ関係'!$G$4:$G$370,S$5,'VS×ケイパビリティ関係'!$E$4:$E$370,"主")&gt;0,"●",IF(COUNTIFS('VS×ケイパビリティ関係'!$F$4:$F$370,$B31,'VS×ケイパビリティ関係'!$G$4:$G$370,S$5,'VS×ケイパビリティ関係'!$E$4:$E$370,"支援")&gt;0,"○",""))</f>
        <v/>
      </c>
      <c r="T31" s="18">
        <f>IF(COUNTIFS('VS×ケイパビリティ関係'!$F$4:$F$370,$B31,'VS×ケイパビリティ関係'!$G$4:$G$370,T$5,'VS×ケイパビリティ関係'!$E$4:$E$370,"主")&gt;0,"●",IF(COUNTIFS('VS×ケイパビリティ関係'!$F$4:$F$370,$B31,'VS×ケイパビリティ関係'!$G$4:$G$370,T$5,'VS×ケイパビリティ関係'!$E$4:$E$370,"支援")&gt;0,"○",""))</f>
        <v/>
      </c>
      <c r="U31" s="18">
        <f>IF(COUNTIFS('VS×ケイパビリティ関係'!$F$4:$F$370,$B31,'VS×ケイパビリティ関係'!$G$4:$G$370,U$5,'VS×ケイパビリティ関係'!$E$4:$E$370,"主")&gt;0,"●",IF(COUNTIFS('VS×ケイパビリティ関係'!$F$4:$F$370,$B31,'VS×ケイパビリティ関係'!$G$4:$G$370,U$5,'VS×ケイパビリティ関係'!$E$4:$E$370,"支援")&gt;0,"○",""))</f>
        <v/>
      </c>
      <c r="V31" s="18">
        <f>IF(COUNTIFS('VS×ケイパビリティ関係'!$F$4:$F$370,$B31,'VS×ケイパビリティ関係'!$G$4:$G$370,V$5,'VS×ケイパビリティ関係'!$E$4:$E$370,"主")&gt;0,"●",IF(COUNTIFS('VS×ケイパビリティ関係'!$F$4:$F$370,$B31,'VS×ケイパビリティ関係'!$G$4:$G$370,V$5,'VS×ケイパビリティ関係'!$E$4:$E$370,"支援")&gt;0,"○",""))</f>
        <v/>
      </c>
      <c r="W31" s="18">
        <f>IF(COUNTIFS('VS×ケイパビリティ関係'!$F$4:$F$370,$B31,'VS×ケイパビリティ関係'!$G$4:$G$370,W$5,'VS×ケイパビリティ関係'!$E$4:$E$370,"主")&gt;0,"●",IF(COUNTIFS('VS×ケイパビリティ関係'!$F$4:$F$370,$B31,'VS×ケイパビリティ関係'!$G$4:$G$370,W$5,'VS×ケイパビリティ関係'!$E$4:$E$370,"支援")&gt;0,"○",""))</f>
        <v/>
      </c>
      <c r="X31" s="18">
        <f>IF(COUNTIFS('VS×ケイパビリティ関係'!$F$4:$F$370,$B31,'VS×ケイパビリティ関係'!$G$4:$G$370,X$5,'VS×ケイパビリティ関係'!$E$4:$E$370,"主")&gt;0,"●",IF(COUNTIFS('VS×ケイパビリティ関係'!$F$4:$F$370,$B31,'VS×ケイパビリティ関係'!$G$4:$G$370,X$5,'VS×ケイパビリティ関係'!$E$4:$E$370,"支援")&gt;0,"○",""))</f>
        <v/>
      </c>
      <c r="Y31" s="18">
        <f>IF(COUNTIFS('VS×ケイパビリティ関係'!$F$4:$F$370,$B31,'VS×ケイパビリティ関係'!$G$4:$G$370,Y$5,'VS×ケイパビリティ関係'!$E$4:$E$370,"主")&gt;0,"●",IF(COUNTIFS('VS×ケイパビリティ関係'!$F$4:$F$370,$B31,'VS×ケイパビリティ関係'!$G$4:$G$370,Y$5,'VS×ケイパビリティ関係'!$E$4:$E$370,"支援")&gt;0,"○",""))</f>
        <v/>
      </c>
      <c r="Z31" s="18">
        <f>IF(COUNTIFS('VS×ケイパビリティ関係'!$F$4:$F$370,$B31,'VS×ケイパビリティ関係'!$G$4:$G$370,Z$5,'VS×ケイパビリティ関係'!$E$4:$E$370,"主")&gt;0,"●",IF(COUNTIFS('VS×ケイパビリティ関係'!$F$4:$F$370,$B31,'VS×ケイパビリティ関係'!$G$4:$G$370,Z$5,'VS×ケイパビリティ関係'!$E$4:$E$370,"支援")&gt;0,"○",""))</f>
        <v/>
      </c>
      <c r="AA31" s="18">
        <f>IF(COUNTIFS('VS×ケイパビリティ関係'!$F$4:$F$370,$B31,'VS×ケイパビリティ関係'!$G$4:$G$370,AA$5,'VS×ケイパビリティ関係'!$E$4:$E$370,"主")&gt;0,"●",IF(COUNTIFS('VS×ケイパビリティ関係'!$F$4:$F$370,$B31,'VS×ケイパビリティ関係'!$G$4:$G$370,AA$5,'VS×ケイパビリティ関係'!$E$4:$E$370,"支援")&gt;0,"○",""))</f>
        <v/>
      </c>
      <c r="AB31" s="18">
        <f>IF(COUNTIFS('VS×ケイパビリティ関係'!$F$4:$F$370,$B31,'VS×ケイパビリティ関係'!$G$4:$G$370,AB$5,'VS×ケイパビリティ関係'!$E$4:$E$370,"主")&gt;0,"●",IF(COUNTIFS('VS×ケイパビリティ関係'!$F$4:$F$370,$B31,'VS×ケイパビリティ関係'!$G$4:$G$370,AB$5,'VS×ケイパビリティ関係'!$E$4:$E$370,"支援")&gt;0,"○",""))</f>
        <v/>
      </c>
      <c r="AC31" s="18">
        <f>IF(COUNTIFS('VS×ケイパビリティ関係'!$F$4:$F$370,$B31,'VS×ケイパビリティ関係'!$G$4:$G$370,AC$5,'VS×ケイパビリティ関係'!$E$4:$E$370,"主")&gt;0,"●",IF(COUNTIFS('VS×ケイパビリティ関係'!$F$4:$F$370,$B31,'VS×ケイパビリティ関係'!$G$4:$G$370,AC$5,'VS×ケイパビリティ関係'!$E$4:$E$370,"支援")&gt;0,"○",""))</f>
        <v/>
      </c>
      <c r="AD31" s="18">
        <f>IF(COUNTIFS('VS×ケイパビリティ関係'!$F$4:$F$370,$B31,'VS×ケイパビリティ関係'!$G$4:$G$370,AD$5,'VS×ケイパビリティ関係'!$E$4:$E$370,"主")&gt;0,"●",IF(COUNTIFS('VS×ケイパビリティ関係'!$F$4:$F$370,$B31,'VS×ケイパビリティ関係'!$G$4:$G$370,AD$5,'VS×ケイパビリティ関係'!$E$4:$E$370,"支援")&gt;0,"○",""))</f>
        <v/>
      </c>
      <c r="AE31" s="18">
        <f>IF(COUNTIFS('VS×ケイパビリティ関係'!$F$4:$F$370,$B31,'VS×ケイパビリティ関係'!$G$4:$G$370,AE$5,'VS×ケイパビリティ関係'!$E$4:$E$370,"主")&gt;0,"●",IF(COUNTIFS('VS×ケイパビリティ関係'!$F$4:$F$370,$B31,'VS×ケイパビリティ関係'!$G$4:$G$370,AE$5,'VS×ケイパビリティ関係'!$E$4:$E$370,"支援")&gt;0,"○",""))</f>
        <v/>
      </c>
      <c r="AF31" s="18">
        <f>IF(COUNTIFS('VS×ケイパビリティ関係'!$F$4:$F$370,$B31,'VS×ケイパビリティ関係'!$G$4:$G$370,AF$5,'VS×ケイパビリティ関係'!$E$4:$E$370,"主")&gt;0,"●",IF(COUNTIFS('VS×ケイパビリティ関係'!$F$4:$F$370,$B31,'VS×ケイパビリティ関係'!$G$4:$G$370,AF$5,'VS×ケイパビリティ関係'!$E$4:$E$370,"支援")&gt;0,"○",""))</f>
        <v/>
      </c>
      <c r="AG31" s="18">
        <f>IF(COUNTIFS('VS×ケイパビリティ関係'!$F$4:$F$370,$B31,'VS×ケイパビリティ関係'!$G$4:$G$370,AG$5,'VS×ケイパビリティ関係'!$E$4:$E$370,"主")&gt;0,"●",IF(COUNTIFS('VS×ケイパビリティ関係'!$F$4:$F$370,$B31,'VS×ケイパビリティ関係'!$G$4:$G$370,AG$5,'VS×ケイパビリティ関係'!$E$4:$E$370,"支援")&gt;0,"○",""))</f>
        <v/>
      </c>
      <c r="AH31" s="18">
        <f>IF(COUNTIFS('VS×ケイパビリティ関係'!$F$4:$F$370,$B31,'VS×ケイパビリティ関係'!$G$4:$G$370,AH$5,'VS×ケイパビリティ関係'!$E$4:$E$370,"主")&gt;0,"●",IF(COUNTIFS('VS×ケイパビリティ関係'!$F$4:$F$370,$B31,'VS×ケイパビリティ関係'!$G$4:$G$370,AH$5,'VS×ケイパビリティ関係'!$E$4:$E$370,"支援")&gt;0,"○",""))</f>
        <v/>
      </c>
      <c r="AI31" s="18">
        <f>IF(COUNTIFS('VS×ケイパビリティ関係'!$F$4:$F$370,$B31,'VS×ケイパビリティ関係'!$G$4:$G$370,AI$5,'VS×ケイパビリティ関係'!$E$4:$E$370,"主")&gt;0,"●",IF(COUNTIFS('VS×ケイパビリティ関係'!$F$4:$F$370,$B31,'VS×ケイパビリティ関係'!$G$4:$G$370,AI$5,'VS×ケイパビリティ関係'!$E$4:$E$370,"支援")&gt;0,"○",""))</f>
        <v/>
      </c>
      <c r="AJ31" s="18">
        <f>COUNTIF(D31:AI31,"●")</f>
        <v/>
      </c>
      <c r="AK31" s="18">
        <f>COUNTIF(D31:AI31,"○")</f>
        <v/>
      </c>
    </row>
  </sheetData>
  <mergeCells count="14">
    <mergeCell ref="A4:A6"/>
    <mergeCell ref="R4:U4"/>
    <mergeCell ref="B4:B6"/>
    <mergeCell ref="AJ4:AJ6"/>
    <mergeCell ref="K4:M4"/>
    <mergeCell ref="AK4:AK6"/>
    <mergeCell ref="G4:J4"/>
    <mergeCell ref="D4:F4"/>
    <mergeCell ref="V4:Y4"/>
    <mergeCell ref="Z4:AC4"/>
    <mergeCell ref="N4:Q4"/>
    <mergeCell ref="AD4:AF4"/>
    <mergeCell ref="AG4:AI4"/>
    <mergeCell ref="C4:C6"/>
  </mergeCells>
  <conditionalFormatting sqref="D7:AI31">
    <cfRule type="cellIs" priority="1" operator="equal" dxfId="0">
      <formula>"●"</formula>
    </cfRule>
    <cfRule type="cellIs" priority="2" operator="equal" dxfId="1">
      <formula>"○"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/>
  </sheetPr>
  <dimension ref="A1:M63"/>
  <sheetViews>
    <sheetView showGridLines="1" zoomScale="10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48" customWidth="1" min="5" max="5"/>
    <col width="12" customWidth="1" min="6" max="6"/>
    <col width="11" customWidth="1" min="7" max="7"/>
    <col width="12" customWidth="1" min="9" max="9"/>
    <col width="22" customWidth="1" min="11" max="11"/>
    <col width="9" customWidth="1" min="12" max="12"/>
  </cols>
  <sheetData>
    <row r="1" ht="17.35" customHeight="1">
      <c r="A1" s="43" t="inlineStr">
        <is>
          <t>情報オブジェクト（正本：用語集と分類）</t>
        </is>
      </c>
    </row>
    <row r="2" ht="15" customHeight="1">
      <c r="A2" s="44" t="inlineStr">
        <is>
          <t>1行1オブジェクト。業務上ひとまとまりで管理される情報の単位（状態の違いは属性として扱う）。名称・分類・オーナーはこのシートで編集する。灰色の列は数式（編集しない）。個人情報の区分：要配慮個人情報（健康・休業事由など）、特定個人情報（マイナンバー）は取扱いを特に厳格にする。</t>
        </is>
      </c>
    </row>
    <row r="3" ht="30" customHeight="1">
      <c r="A3" s="45" t="inlineStr">
        <is>
          <t>ID</t>
        </is>
      </c>
      <c r="B3" s="45" t="inlineStr">
        <is>
          <t>領域</t>
        </is>
      </c>
      <c r="C3" s="45" t="inlineStr">
        <is>
          <t>情報オブジェクト</t>
        </is>
      </c>
      <c r="D3" s="45" t="inlineStr">
        <is>
          <t>英語名</t>
        </is>
      </c>
      <c r="E3" s="45" t="inlineStr">
        <is>
          <t>説明</t>
        </is>
      </c>
      <c r="F3" s="45" t="inlineStr">
        <is>
          <t>データ種別</t>
        </is>
      </c>
      <c r="G3" s="45" t="inlineStr">
        <is>
          <t>関連法令</t>
        </is>
      </c>
      <c r="H3" s="46" t="inlineStr">
        <is>
          <t>法定保存・届出
の対象</t>
        </is>
      </c>
      <c r="I3" s="45" t="inlineStr">
        <is>
          <t>個人情報</t>
        </is>
      </c>
      <c r="J3" s="45" t="inlineStr">
        <is>
          <t>オーナー
ケイパビリティL2 ID</t>
        </is>
      </c>
      <c r="K3" s="46" t="inlineStr">
        <is>
          <t>オーナー
ケイパビリティL2</t>
        </is>
      </c>
      <c r="L3" s="46" t="inlineStr">
        <is>
          <t>作成する
ケイパビリティL2の数</t>
        </is>
      </c>
      <c r="M3" s="46" t="inlineStr">
        <is>
          <t>利用する
ケイパビリティL2の数</t>
        </is>
      </c>
    </row>
    <row r="4" ht="26.85" customHeight="1">
      <c r="A4" s="47" t="inlineStr">
        <is>
          <t>ORG-01</t>
        </is>
      </c>
      <c r="B4" s="48" t="inlineStr">
        <is>
          <t>共通・組織</t>
        </is>
      </c>
      <c r="C4" s="49" t="inlineStr">
        <is>
          <t>組織マスタ</t>
        </is>
      </c>
      <c r="D4" s="50" t="inlineStr">
        <is>
          <t>Organization Master</t>
        </is>
      </c>
      <c r="E4" s="51" t="inlineStr">
        <is>
          <t>組織コード・組織名・階層・責任者。組織改編の履歴を含む</t>
        </is>
      </c>
      <c r="F4" s="48" t="inlineStr">
        <is>
          <t>マスタ</t>
        </is>
      </c>
      <c r="G4" s="48" t="inlineStr">
        <is>
          <t>なし</t>
        </is>
      </c>
      <c r="H4" s="52">
        <f>IF(G4="なし","—","対象候補")</f>
        <v/>
      </c>
      <c r="I4" s="48" t="inlineStr">
        <is>
          <t>なし</t>
        </is>
      </c>
      <c r="J4" s="47" t="inlineStr">
        <is>
          <t>C01-03</t>
        </is>
      </c>
      <c r="K4" s="53">
        <f>IFERROR(INDEX(ケイパビリティマップ!$E:$E,MATCH(J4,ケイパビリティマップ!$A:$A,0)),"（IDなし）")</f>
        <v/>
      </c>
      <c r="L4" s="54">
        <f>COUNTIF('ケイパビリティ×情報オブジェクト'!D$6:D$37,"C")</f>
        <v/>
      </c>
      <c r="M4" s="54">
        <f>COUNTIF('ケイパビリティ×情報オブジェクト'!D$6:D$37,"R")</f>
        <v/>
      </c>
    </row>
    <row r="5" ht="26.85" customHeight="1">
      <c r="A5" s="47" t="inlineStr">
        <is>
          <t>ORG-02</t>
        </is>
      </c>
      <c r="B5" s="48" t="inlineStr">
        <is>
          <t>共通・組織</t>
        </is>
      </c>
      <c r="C5" s="49" t="inlineStr">
        <is>
          <t>職務・ポジション</t>
        </is>
      </c>
      <c r="D5" s="50" t="inlineStr">
        <is>
          <t>Job &amp; Position</t>
        </is>
      </c>
      <c r="E5" s="51" t="inlineStr">
        <is>
          <t>職務記述書（役割・責任・要件）とポジション（定員・空席）</t>
        </is>
      </c>
      <c r="F5" s="48" t="inlineStr">
        <is>
          <t>定義・仕様</t>
        </is>
      </c>
      <c r="G5" s="48" t="inlineStr">
        <is>
          <t>なし</t>
        </is>
      </c>
      <c r="H5" s="52">
        <f>IF(G5="なし","—","対象候補")</f>
        <v/>
      </c>
      <c r="I5" s="48" t="inlineStr">
        <is>
          <t>なし</t>
        </is>
      </c>
      <c r="J5" s="47" t="inlineStr">
        <is>
          <t>C01-03</t>
        </is>
      </c>
      <c r="K5" s="53">
        <f>IFERROR(INDEX(ケイパビリティマップ!$E:$E,MATCH(J5,ケイパビリティマップ!$A:$A,0)),"（IDなし）")</f>
        <v/>
      </c>
      <c r="L5" s="54">
        <f>COUNTIF('ケイパビリティ×情報オブジェクト'!E$6:E$37,"C")</f>
        <v/>
      </c>
      <c r="M5" s="54">
        <f>COUNTIF('ケイパビリティ×情報オブジェクト'!E$6:E$37,"R")</f>
        <v/>
      </c>
    </row>
    <row r="6" ht="26.85" customHeight="1">
      <c r="A6" s="47" t="inlineStr">
        <is>
          <t>ORG-03</t>
        </is>
      </c>
      <c r="B6" s="48" t="inlineStr">
        <is>
          <t>共通・組織</t>
        </is>
      </c>
      <c r="C6" s="49" t="inlineStr">
        <is>
          <t>等級制度</t>
        </is>
      </c>
      <c r="D6" s="50" t="inlineStr">
        <is>
          <t>Grade Structure</t>
        </is>
      </c>
      <c r="E6" s="51" t="inlineStr">
        <is>
          <t>等級の定義と、等級ごとの期待役割・報酬・評価との対応</t>
        </is>
      </c>
      <c r="F6" s="48" t="inlineStr">
        <is>
          <t>定義・仕様</t>
        </is>
      </c>
      <c r="G6" s="48" t="inlineStr">
        <is>
          <t>なし</t>
        </is>
      </c>
      <c r="H6" s="52">
        <f>IF(G6="なし","—","対象候補")</f>
        <v/>
      </c>
      <c r="I6" s="48" t="inlineStr">
        <is>
          <t>なし</t>
        </is>
      </c>
      <c r="J6" s="47" t="inlineStr">
        <is>
          <t>C01-03</t>
        </is>
      </c>
      <c r="K6" s="53">
        <f>IFERROR(INDEX(ケイパビリティマップ!$E:$E,MATCH(J6,ケイパビリティマップ!$A:$A,0)),"（IDなし）")</f>
        <v/>
      </c>
      <c r="L6" s="54">
        <f>COUNTIF('ケイパビリティ×情報オブジェクト'!F$6:F$37,"C")</f>
        <v/>
      </c>
      <c r="M6" s="54">
        <f>COUNTIF('ケイパビリティ×情報オブジェクト'!F$6:F$37,"R")</f>
        <v/>
      </c>
    </row>
    <row r="7" ht="26.85" customHeight="1">
      <c r="A7" s="47" t="inlineStr">
        <is>
          <t>ORG-04</t>
        </is>
      </c>
      <c r="B7" s="48" t="inlineStr">
        <is>
          <t>共通・組織</t>
        </is>
      </c>
      <c r="C7" s="49" t="inlineStr">
        <is>
          <t>就業規則・人事規程</t>
        </is>
      </c>
      <c r="D7" s="50" t="inlineStr">
        <is>
          <t>Work Rules &amp; HR Policies</t>
        </is>
      </c>
      <c r="E7" s="51" t="inlineStr">
        <is>
          <t>就業規則・賃金規程・育児介護休業規程などの規程と、届出・周知の記録</t>
        </is>
      </c>
      <c r="F7" s="48" t="inlineStr">
        <is>
          <t>文書</t>
        </is>
      </c>
      <c r="G7" s="48" t="inlineStr">
        <is>
          <t>労基法</t>
        </is>
      </c>
      <c r="H7" s="52">
        <f>IF(G7="なし","—","対象候補")</f>
        <v/>
      </c>
      <c r="I7" s="48" t="inlineStr">
        <is>
          <t>なし</t>
        </is>
      </c>
      <c r="J7" s="47" t="inlineStr">
        <is>
          <t>C01-01</t>
        </is>
      </c>
      <c r="K7" s="53">
        <f>IFERROR(INDEX(ケイパビリティマップ!$E:$E,MATCH(J7,ケイパビリティマップ!$A:$A,0)),"（IDなし）")</f>
        <v/>
      </c>
      <c r="L7" s="54">
        <f>COUNTIF('ケイパビリティ×情報オブジェクト'!G$6:G$37,"C")</f>
        <v/>
      </c>
      <c r="M7" s="54">
        <f>COUNTIF('ケイパビリティ×情報オブジェクト'!G$6:G$37,"R")</f>
        <v/>
      </c>
    </row>
    <row r="8" ht="26.85" customHeight="1">
      <c r="A8" s="47" t="inlineStr">
        <is>
          <t>ORG-05</t>
        </is>
      </c>
      <c r="B8" s="48" t="inlineStr">
        <is>
          <t>共通・組織</t>
        </is>
      </c>
      <c r="C8" s="49" t="inlineStr">
        <is>
          <t>人事戦略・人的資本KPI</t>
        </is>
      </c>
      <c r="D8" s="50" t="inlineStr">
        <is>
          <t>HR Strategy &amp; Human Capital KPI</t>
        </is>
      </c>
      <c r="E8" s="51" t="inlineStr">
        <is>
          <t>人事戦略、重点施策、人的資本の指標と目標</t>
        </is>
      </c>
      <c r="F8" s="48" t="inlineStr">
        <is>
          <t>文書</t>
        </is>
      </c>
      <c r="G8" s="48" t="inlineStr">
        <is>
          <t>なし</t>
        </is>
      </c>
      <c r="H8" s="52">
        <f>IF(G8="なし","—","対象候補")</f>
        <v/>
      </c>
      <c r="I8" s="48" t="inlineStr">
        <is>
          <t>なし</t>
        </is>
      </c>
      <c r="J8" s="47" t="inlineStr">
        <is>
          <t>C01-01</t>
        </is>
      </c>
      <c r="K8" s="53">
        <f>IFERROR(INDEX(ケイパビリティマップ!$E:$E,MATCH(J8,ケイパビリティマップ!$A:$A,0)),"（IDなし）")</f>
        <v/>
      </c>
      <c r="L8" s="54">
        <f>COUNTIF('ケイパビリティ×情報オブジェクト'!H$6:H$37,"C")</f>
        <v/>
      </c>
      <c r="M8" s="54">
        <f>COUNTIF('ケイパビリティ×情報オブジェクト'!H$6:H$37,"R")</f>
        <v/>
      </c>
    </row>
    <row r="9" ht="26.85" customHeight="1">
      <c r="A9" s="47" t="inlineStr">
        <is>
          <t>ORG-06</t>
        </is>
      </c>
      <c r="B9" s="48" t="inlineStr">
        <is>
          <t>共通・組織</t>
        </is>
      </c>
      <c r="C9" s="49" t="inlineStr">
        <is>
          <t>人的資本開示情報</t>
        </is>
      </c>
      <c r="D9" s="50" t="inlineStr">
        <is>
          <t>Human Capital Disclosure</t>
        </is>
      </c>
      <c r="E9" s="51" t="inlineStr">
        <is>
          <t>有価証券報告書などで開示する人的資本の方針・指標・実績</t>
        </is>
      </c>
      <c r="F9" s="48" t="inlineStr">
        <is>
          <t>文書</t>
        </is>
      </c>
      <c r="G9" s="48" t="inlineStr">
        <is>
          <t>金商法</t>
        </is>
      </c>
      <c r="H9" s="52">
        <f>IF(G9="なし","—","対象候補")</f>
        <v/>
      </c>
      <c r="I9" s="48" t="inlineStr">
        <is>
          <t>なし</t>
        </is>
      </c>
      <c r="J9" s="47" t="inlineStr">
        <is>
          <t>C01-01</t>
        </is>
      </c>
      <c r="K9" s="53">
        <f>IFERROR(INDEX(ケイパビリティマップ!$E:$E,MATCH(J9,ケイパビリティマップ!$A:$A,0)),"（IDなし）")</f>
        <v/>
      </c>
      <c r="L9" s="54">
        <f>COUNTIF('ケイパビリティ×情報オブジェクト'!I$6:I$37,"C")</f>
        <v/>
      </c>
      <c r="M9" s="54">
        <f>COUNTIF('ケイパビリティ×情報オブジェクト'!I$6:I$37,"R")</f>
        <v/>
      </c>
    </row>
    <row r="10" ht="26.85" customHeight="1">
      <c r="A10" s="47" t="inlineStr">
        <is>
          <t>ORG-07</t>
        </is>
      </c>
      <c r="B10" s="48" t="inlineStr">
        <is>
          <t>共通・組織</t>
        </is>
      </c>
      <c r="C10" s="49" t="inlineStr">
        <is>
          <t>要員計画</t>
        </is>
      </c>
      <c r="D10" s="50" t="inlineStr">
        <is>
          <t>Workforce Plan</t>
        </is>
      </c>
      <c r="E10" s="51" t="inlineStr">
        <is>
          <t>職種・等級・雇用形態別の必要人員と過不足、充足方針</t>
        </is>
      </c>
      <c r="F10" s="48" t="inlineStr">
        <is>
          <t>分析・評価</t>
        </is>
      </c>
      <c r="G10" s="48" t="inlineStr">
        <is>
          <t>なし</t>
        </is>
      </c>
      <c r="H10" s="52">
        <f>IF(G10="なし","—","対象候補")</f>
        <v/>
      </c>
      <c r="I10" s="48" t="inlineStr">
        <is>
          <t>なし</t>
        </is>
      </c>
      <c r="J10" s="47" t="inlineStr">
        <is>
          <t>C01-02</t>
        </is>
      </c>
      <c r="K10" s="53">
        <f>IFERROR(INDEX(ケイパビリティマップ!$E:$E,MATCH(J10,ケイパビリティマップ!$A:$A,0)),"（IDなし）")</f>
        <v/>
      </c>
      <c r="L10" s="54">
        <f>COUNTIF('ケイパビリティ×情報オブジェクト'!J$6:J$37,"C")</f>
        <v/>
      </c>
      <c r="M10" s="54">
        <f>COUNTIF('ケイパビリティ×情報オブジェクト'!J$6:J$37,"R")</f>
        <v/>
      </c>
    </row>
    <row r="11" ht="26.85" customHeight="1">
      <c r="A11" s="47" t="inlineStr">
        <is>
          <t>ORG-08</t>
        </is>
      </c>
      <c r="B11" s="48" t="inlineStr">
        <is>
          <t>共通・組織</t>
        </is>
      </c>
      <c r="C11" s="49" t="inlineStr">
        <is>
          <t>人件費予算</t>
        </is>
      </c>
      <c r="D11" s="50" t="inlineStr">
        <is>
          <t>Personnel Cost Budget</t>
        </is>
      </c>
      <c r="E11" s="51" t="inlineStr">
        <is>
          <t>部門別・費目別の人件費の予算</t>
        </is>
      </c>
      <c r="F11" s="48" t="inlineStr">
        <is>
          <t>トランザクション</t>
        </is>
      </c>
      <c r="G11" s="48" t="inlineStr">
        <is>
          <t>なし</t>
        </is>
      </c>
      <c r="H11" s="52">
        <f>IF(G11="なし","—","対象候補")</f>
        <v/>
      </c>
      <c r="I11" s="48" t="inlineStr">
        <is>
          <t>なし</t>
        </is>
      </c>
      <c r="J11" s="47" t="inlineStr">
        <is>
          <t>C01-02</t>
        </is>
      </c>
      <c r="K11" s="53">
        <f>IFERROR(INDEX(ケイパビリティマップ!$E:$E,MATCH(J11,ケイパビリティマップ!$A:$A,0)),"（IDなし）")</f>
        <v/>
      </c>
      <c r="L11" s="54">
        <f>COUNTIF('ケイパビリティ×情報オブジェクト'!K$6:K$37,"C")</f>
        <v/>
      </c>
      <c r="M11" s="54">
        <f>COUNTIF('ケイパビリティ×情報オブジェクト'!K$6:K$37,"R")</f>
        <v/>
      </c>
    </row>
    <row r="12" ht="26.85" customHeight="1">
      <c r="A12" s="47" t="inlineStr">
        <is>
          <t>ORG-09</t>
        </is>
      </c>
      <c r="B12" s="48" t="inlineStr">
        <is>
          <t>共通・組織</t>
        </is>
      </c>
      <c r="C12" s="49" t="inlineStr">
        <is>
          <t>人件費実績</t>
        </is>
      </c>
      <c r="D12" s="50" t="inlineStr">
        <is>
          <t>Personnel Cost Actual</t>
        </is>
      </c>
      <c r="E12" s="51" t="inlineStr">
        <is>
          <t>給与計算の結果を会計に計上した人件費の実績</t>
        </is>
      </c>
      <c r="F12" s="48" t="inlineStr">
        <is>
          <t>トランザクション</t>
        </is>
      </c>
      <c r="G12" s="48" t="inlineStr">
        <is>
          <t>税法</t>
        </is>
      </c>
      <c r="H12" s="52">
        <f>IF(G12="なし","—","対象候補")</f>
        <v/>
      </c>
      <c r="I12" s="48" t="inlineStr">
        <is>
          <t>なし</t>
        </is>
      </c>
      <c r="J12" s="47" t="inlineStr">
        <is>
          <t>C01-02</t>
        </is>
      </c>
      <c r="K12" s="53">
        <f>IFERROR(INDEX(ケイパビリティマップ!$E:$E,MATCH(J12,ケイパビリティマップ!$A:$A,0)),"（IDなし）")</f>
        <v/>
      </c>
      <c r="L12" s="54">
        <f>COUNTIF('ケイパビリティ×情報オブジェクト'!L$6:L$37,"C")</f>
        <v/>
      </c>
      <c r="M12" s="54">
        <f>COUNTIF('ケイパビリティ×情報オブジェクト'!L$6:L$37,"R")</f>
        <v/>
      </c>
    </row>
    <row r="13" ht="26.85" customHeight="1">
      <c r="A13" s="47" t="inlineStr">
        <is>
          <t>REC-01</t>
        </is>
      </c>
      <c r="B13" s="48" t="inlineStr">
        <is>
          <t>採用</t>
        </is>
      </c>
      <c r="C13" s="49" t="inlineStr">
        <is>
          <t>採用計画</t>
        </is>
      </c>
      <c r="D13" s="50" t="inlineStr">
        <is>
          <t>Recruitment Plan</t>
        </is>
      </c>
      <c r="E13" s="51" t="inlineStr">
        <is>
          <t>新卒・経験者別の採用人数・時期・チャネル・予算</t>
        </is>
      </c>
      <c r="F13" s="48" t="inlineStr">
        <is>
          <t>文書</t>
        </is>
      </c>
      <c r="G13" s="48" t="inlineStr">
        <is>
          <t>なし</t>
        </is>
      </c>
      <c r="H13" s="52">
        <f>IF(G13="なし","—","対象候補")</f>
        <v/>
      </c>
      <c r="I13" s="48" t="inlineStr">
        <is>
          <t>なし</t>
        </is>
      </c>
      <c r="J13" s="47" t="inlineStr">
        <is>
          <t>C02-01</t>
        </is>
      </c>
      <c r="K13" s="53">
        <f>IFERROR(INDEX(ケイパビリティマップ!$E:$E,MATCH(J13,ケイパビリティマップ!$A:$A,0)),"（IDなし）")</f>
        <v/>
      </c>
      <c r="L13" s="54">
        <f>COUNTIF('ケイパビリティ×情報オブジェクト'!M$6:M$37,"C")</f>
        <v/>
      </c>
      <c r="M13" s="54">
        <f>COUNTIF('ケイパビリティ×情報オブジェクト'!M$6:M$37,"R")</f>
        <v/>
      </c>
    </row>
    <row r="14" ht="26.85" customHeight="1">
      <c r="A14" s="47" t="inlineStr">
        <is>
          <t>REC-02</t>
        </is>
      </c>
      <c r="B14" s="48" t="inlineStr">
        <is>
          <t>採用</t>
        </is>
      </c>
      <c r="C14" s="49" t="inlineStr">
        <is>
          <t>求人票</t>
        </is>
      </c>
      <c r="D14" s="50" t="inlineStr">
        <is>
          <t>Job Posting</t>
        </is>
      </c>
      <c r="E14" s="51" t="inlineStr">
        <is>
          <t>募集職種・業務内容・労働条件（業務・就業場所の変更の範囲を含む）</t>
        </is>
      </c>
      <c r="F14" s="48" t="inlineStr">
        <is>
          <t>文書</t>
        </is>
      </c>
      <c r="G14" s="48" t="inlineStr">
        <is>
          <t>職安法</t>
        </is>
      </c>
      <c r="H14" s="52">
        <f>IF(G14="なし","—","対象候補")</f>
        <v/>
      </c>
      <c r="I14" s="48" t="inlineStr">
        <is>
          <t>なし</t>
        </is>
      </c>
      <c r="J14" s="47" t="inlineStr">
        <is>
          <t>C02-03</t>
        </is>
      </c>
      <c r="K14" s="53">
        <f>IFERROR(INDEX(ケイパビリティマップ!$E:$E,MATCH(J14,ケイパビリティマップ!$A:$A,0)),"（IDなし）")</f>
        <v/>
      </c>
      <c r="L14" s="54">
        <f>COUNTIF('ケイパビリティ×情報オブジェクト'!N$6:N$37,"C")</f>
        <v/>
      </c>
      <c r="M14" s="54">
        <f>COUNTIF('ケイパビリティ×情報オブジェクト'!N$6:N$37,"R")</f>
        <v/>
      </c>
    </row>
    <row r="15" ht="26.85" customHeight="1">
      <c r="A15" s="47" t="inlineStr">
        <is>
          <t>REC-03</t>
        </is>
      </c>
      <c r="B15" s="48" t="inlineStr">
        <is>
          <t>採用</t>
        </is>
      </c>
      <c r="C15" s="49" t="inlineStr">
        <is>
          <t>応募者情報</t>
        </is>
      </c>
      <c r="D15" s="50" t="inlineStr">
        <is>
          <t>Candidate Profile</t>
        </is>
      </c>
      <c r="E15" s="51" t="inlineStr">
        <is>
          <t>応募者の連絡先・学歴・職歴・選考状況。不採用後は返却・廃棄の対象</t>
        </is>
      </c>
      <c r="F15" s="48" t="inlineStr">
        <is>
          <t>トランザクション</t>
        </is>
      </c>
      <c r="G15" s="48" t="inlineStr">
        <is>
          <t>個人情報保護法</t>
        </is>
      </c>
      <c r="H15" s="52">
        <f>IF(G15="なし","—","対象候補")</f>
        <v/>
      </c>
      <c r="I15" s="48" t="inlineStr">
        <is>
          <t>個人情報</t>
        </is>
      </c>
      <c r="J15" s="47" t="inlineStr">
        <is>
          <t>C02-03</t>
        </is>
      </c>
      <c r="K15" s="53">
        <f>IFERROR(INDEX(ケイパビリティマップ!$E:$E,MATCH(J15,ケイパビリティマップ!$A:$A,0)),"（IDなし）")</f>
        <v/>
      </c>
      <c r="L15" s="54">
        <f>COUNTIF('ケイパビリティ×情報オブジェクト'!O$6:O$37,"C")</f>
        <v/>
      </c>
      <c r="M15" s="54">
        <f>COUNTIF('ケイパビリティ×情報オブジェクト'!O$6:O$37,"R")</f>
        <v/>
      </c>
    </row>
    <row r="16" ht="26.85" customHeight="1">
      <c r="A16" s="47" t="inlineStr">
        <is>
          <t>REC-04</t>
        </is>
      </c>
      <c r="B16" s="48" t="inlineStr">
        <is>
          <t>採用</t>
        </is>
      </c>
      <c r="C16" s="49" t="inlineStr">
        <is>
          <t>選考記録</t>
        </is>
      </c>
      <c r="D16" s="50" t="inlineStr">
        <is>
          <t>Selection Record</t>
        </is>
      </c>
      <c r="E16" s="51" t="inlineStr">
        <is>
          <t>書類選考・適性検査・面接の評価と採否の判定</t>
        </is>
      </c>
      <c r="F16" s="48" t="inlineStr">
        <is>
          <t>分析・評価</t>
        </is>
      </c>
      <c r="G16" s="48" t="inlineStr">
        <is>
          <t>職安法</t>
        </is>
      </c>
      <c r="H16" s="52">
        <f>IF(G16="なし","—","対象候補")</f>
        <v/>
      </c>
      <c r="I16" s="48" t="inlineStr">
        <is>
          <t>個人情報</t>
        </is>
      </c>
      <c r="J16" s="47" t="inlineStr">
        <is>
          <t>C02-03</t>
        </is>
      </c>
      <c r="K16" s="53">
        <f>IFERROR(INDEX(ケイパビリティマップ!$E:$E,MATCH(J16,ケイパビリティマップ!$A:$A,0)),"（IDなし）")</f>
        <v/>
      </c>
      <c r="L16" s="54">
        <f>COUNTIF('ケイパビリティ×情報オブジェクト'!P$6:P$37,"C")</f>
        <v/>
      </c>
      <c r="M16" s="54">
        <f>COUNTIF('ケイパビリティ×情報オブジェクト'!P$6:P$37,"R")</f>
        <v/>
      </c>
    </row>
    <row r="17" ht="26.85" customHeight="1">
      <c r="A17" s="47" t="inlineStr">
        <is>
          <t>REC-05</t>
        </is>
      </c>
      <c r="B17" s="48" t="inlineStr">
        <is>
          <t>採用</t>
        </is>
      </c>
      <c r="C17" s="49" t="inlineStr">
        <is>
          <t>内定・オファー</t>
        </is>
      </c>
      <c r="D17" s="50" t="inlineStr">
        <is>
          <t>Offer</t>
        </is>
      </c>
      <c r="E17" s="51" t="inlineStr">
        <is>
          <t>処遇条件・入社日・労働条件の明示内容と、内定の承諾状況</t>
        </is>
      </c>
      <c r="F17" s="48" t="inlineStr">
        <is>
          <t>トランザクション</t>
        </is>
      </c>
      <c r="G17" s="48" t="inlineStr">
        <is>
          <t>職安法</t>
        </is>
      </c>
      <c r="H17" s="52">
        <f>IF(G17="なし","—","対象候補")</f>
        <v/>
      </c>
      <c r="I17" s="48" t="inlineStr">
        <is>
          <t>個人情報</t>
        </is>
      </c>
      <c r="J17" s="47" t="inlineStr">
        <is>
          <t>C02-03</t>
        </is>
      </c>
      <c r="K17" s="53">
        <f>IFERROR(INDEX(ケイパビリティマップ!$E:$E,MATCH(J17,ケイパビリティマップ!$A:$A,0)),"（IDなし）")</f>
        <v/>
      </c>
      <c r="L17" s="54">
        <f>COUNTIF('ケイパビリティ×情報オブジェクト'!Q$6:Q$37,"C")</f>
        <v/>
      </c>
      <c r="M17" s="54">
        <f>COUNTIF('ケイパビリティ×情報オブジェクト'!Q$6:Q$37,"R")</f>
        <v/>
      </c>
    </row>
    <row r="18" ht="26.85" customHeight="1">
      <c r="A18" s="47" t="inlineStr">
        <is>
          <t>REC-06</t>
        </is>
      </c>
      <c r="B18" s="48" t="inlineStr">
        <is>
          <t>採用</t>
        </is>
      </c>
      <c r="C18" s="49" t="inlineStr">
        <is>
          <t>採用チャネル実績</t>
        </is>
      </c>
      <c r="D18" s="50" t="inlineStr">
        <is>
          <t>Sourcing Channel Performance</t>
        </is>
      </c>
      <c r="E18" s="51" t="inlineStr">
        <is>
          <t>チャネル別の応募数・内定数・入社数・コスト</t>
        </is>
      </c>
      <c r="F18" s="48" t="inlineStr">
        <is>
          <t>分析・評価</t>
        </is>
      </c>
      <c r="G18" s="48" t="inlineStr">
        <is>
          <t>なし</t>
        </is>
      </c>
      <c r="H18" s="52">
        <f>IF(G18="なし","—","対象候補")</f>
        <v/>
      </c>
      <c r="I18" s="48" t="inlineStr">
        <is>
          <t>なし</t>
        </is>
      </c>
      <c r="J18" s="47" t="inlineStr">
        <is>
          <t>C02-01</t>
        </is>
      </c>
      <c r="K18" s="53">
        <f>IFERROR(INDEX(ケイパビリティマップ!$E:$E,MATCH(J18,ケイパビリティマップ!$A:$A,0)),"（IDなし）")</f>
        <v/>
      </c>
      <c r="L18" s="54">
        <f>COUNTIF('ケイパビリティ×情報オブジェクト'!R$6:R$37,"C")</f>
        <v/>
      </c>
      <c r="M18" s="54">
        <f>COUNTIF('ケイパビリティ×情報オブジェクト'!R$6:R$37,"R")</f>
        <v/>
      </c>
    </row>
    <row r="19" ht="26.85" customHeight="1">
      <c r="A19" s="47" t="inlineStr">
        <is>
          <t>EMP-01</t>
        </is>
      </c>
      <c r="B19" s="48" t="inlineStr">
        <is>
          <t>雇用・従業員</t>
        </is>
      </c>
      <c r="C19" s="49" t="inlineStr">
        <is>
          <t>従業員マスタ</t>
        </is>
      </c>
      <c r="D19" s="50" t="inlineStr">
        <is>
          <t>Employee Master</t>
        </is>
      </c>
      <c r="E19" s="51" t="inlineStr">
        <is>
          <t>社員番号・氏名・所属・等級・雇用区分・入社日など従業員の基本情報</t>
        </is>
      </c>
      <c r="F19" s="48" t="inlineStr">
        <is>
          <t>マスタ</t>
        </is>
      </c>
      <c r="G19" s="48" t="inlineStr">
        <is>
          <t>なし</t>
        </is>
      </c>
      <c r="H19" s="52">
        <f>IF(G19="なし","—","対象候補")</f>
        <v/>
      </c>
      <c r="I19" s="48" t="inlineStr">
        <is>
          <t>個人情報</t>
        </is>
      </c>
      <c r="J19" s="47" t="inlineStr">
        <is>
          <t>C03-03</t>
        </is>
      </c>
      <c r="K19" s="53">
        <f>IFERROR(INDEX(ケイパビリティマップ!$E:$E,MATCH(J19,ケイパビリティマップ!$A:$A,0)),"（IDなし）")</f>
        <v/>
      </c>
      <c r="L19" s="54">
        <f>COUNTIF('ケイパビリティ×情報オブジェクト'!S$6:S$37,"C")</f>
        <v/>
      </c>
      <c r="M19" s="54">
        <f>COUNTIF('ケイパビリティ×情報オブジェクト'!S$6:S$37,"R")</f>
        <v/>
      </c>
    </row>
    <row r="20" ht="26.85" customHeight="1">
      <c r="A20" s="47" t="inlineStr">
        <is>
          <t>EMP-02</t>
        </is>
      </c>
      <c r="B20" s="48" t="inlineStr">
        <is>
          <t>雇用・従業員</t>
        </is>
      </c>
      <c r="C20" s="49" t="inlineStr">
        <is>
          <t>雇用契約</t>
        </is>
      </c>
      <c r="D20" s="50" t="inlineStr">
        <is>
          <t>Employment Contract</t>
        </is>
      </c>
      <c r="E20" s="51" t="inlineStr">
        <is>
          <t>労働条件通知書・雇用契約書。有期契約の期間・更新、出向契約を含む</t>
        </is>
      </c>
      <c r="F20" s="48" t="inlineStr">
        <is>
          <t>文書</t>
        </is>
      </c>
      <c r="G20" s="48" t="inlineStr">
        <is>
          <t>労基法</t>
        </is>
      </c>
      <c r="H20" s="52">
        <f>IF(G20="なし","—","対象候補")</f>
        <v/>
      </c>
      <c r="I20" s="48" t="inlineStr">
        <is>
          <t>個人情報</t>
        </is>
      </c>
      <c r="J20" s="47" t="inlineStr">
        <is>
          <t>C03-01</t>
        </is>
      </c>
      <c r="K20" s="53">
        <f>IFERROR(INDEX(ケイパビリティマップ!$E:$E,MATCH(J20,ケイパビリティマップ!$A:$A,0)),"（IDなし）")</f>
        <v/>
      </c>
      <c r="L20" s="54">
        <f>COUNTIF('ケイパビリティ×情報オブジェクト'!T$6:T$37,"C")</f>
        <v/>
      </c>
      <c r="M20" s="54">
        <f>COUNTIF('ケイパビリティ×情報オブジェクト'!T$6:T$37,"R")</f>
        <v/>
      </c>
    </row>
    <row r="21" ht="26.85" customHeight="1">
      <c r="A21" s="47" t="inlineStr">
        <is>
          <t>EMP-03</t>
        </is>
      </c>
      <c r="B21" s="48" t="inlineStr">
        <is>
          <t>雇用・従業員</t>
        </is>
      </c>
      <c r="C21" s="49" t="inlineStr">
        <is>
          <t>入社書類</t>
        </is>
      </c>
      <c r="D21" s="50" t="inlineStr">
        <is>
          <t>Onboarding Documents</t>
        </is>
      </c>
      <c r="E21" s="51" t="inlineStr">
        <is>
          <t>誓約書・身元保証書・扶養情報・通勤経路・振込口座などの届出</t>
        </is>
      </c>
      <c r="F21" s="48" t="inlineStr">
        <is>
          <t>文書</t>
        </is>
      </c>
      <c r="G21" s="48" t="inlineStr">
        <is>
          <t>なし</t>
        </is>
      </c>
      <c r="H21" s="52">
        <f>IF(G21="なし","—","対象候補")</f>
        <v/>
      </c>
      <c r="I21" s="48" t="inlineStr">
        <is>
          <t>個人情報</t>
        </is>
      </c>
      <c r="J21" s="47" t="inlineStr">
        <is>
          <t>C03-01</t>
        </is>
      </c>
      <c r="K21" s="53">
        <f>IFERROR(INDEX(ケイパビリティマップ!$E:$E,MATCH(J21,ケイパビリティマップ!$A:$A,0)),"（IDなし）")</f>
        <v/>
      </c>
      <c r="L21" s="54">
        <f>COUNTIF('ケイパビリティ×情報オブジェクト'!U$6:U$37,"C")</f>
        <v/>
      </c>
      <c r="M21" s="54">
        <f>COUNTIF('ケイパビリティ×情報オブジェクト'!U$6:U$37,"R")</f>
        <v/>
      </c>
    </row>
    <row r="22" ht="26.85" customHeight="1">
      <c r="A22" s="47" t="inlineStr">
        <is>
          <t>EMP-04</t>
        </is>
      </c>
      <c r="B22" s="48" t="inlineStr">
        <is>
          <t>雇用・従業員</t>
        </is>
      </c>
      <c r="C22" s="49" t="inlineStr">
        <is>
          <t>マイナンバー</t>
        </is>
      </c>
      <c r="D22" s="50" t="inlineStr">
        <is>
          <t>Individual Number</t>
        </is>
      </c>
      <c r="E22" s="51" t="inlineStr">
        <is>
          <t>従業員と扶養家族の個人番号と本人確認の記録</t>
        </is>
      </c>
      <c r="F22" s="48" t="inlineStr">
        <is>
          <t>マスタ</t>
        </is>
      </c>
      <c r="G22" s="48" t="inlineStr">
        <is>
          <t>番号法</t>
        </is>
      </c>
      <c r="H22" s="52">
        <f>IF(G22="なし","—","対象候補")</f>
        <v/>
      </c>
      <c r="I22" s="48" t="inlineStr">
        <is>
          <t>特定個人情報</t>
        </is>
      </c>
      <c r="J22" s="47" t="inlineStr">
        <is>
          <t>C03-01</t>
        </is>
      </c>
      <c r="K22" s="53">
        <f>IFERROR(INDEX(ケイパビリティマップ!$E:$E,MATCH(J22,ケイパビリティマップ!$A:$A,0)),"（IDなし）")</f>
        <v/>
      </c>
      <c r="L22" s="54">
        <f>COUNTIF('ケイパビリティ×情報オブジェクト'!V$6:V$37,"C")</f>
        <v/>
      </c>
      <c r="M22" s="54">
        <f>COUNTIF('ケイパビリティ×情報オブジェクト'!V$6:V$37,"R")</f>
        <v/>
      </c>
    </row>
    <row r="23" ht="26.85" customHeight="1">
      <c r="A23" s="47" t="inlineStr">
        <is>
          <t>EMP-05</t>
        </is>
      </c>
      <c r="B23" s="48" t="inlineStr">
        <is>
          <t>雇用・従業員</t>
        </is>
      </c>
      <c r="C23" s="49" t="inlineStr">
        <is>
          <t>労働者名簿</t>
        </is>
      </c>
      <c r="D23" s="50" t="inlineStr">
        <is>
          <t>Worker Register</t>
        </is>
      </c>
      <c r="E23" s="51" t="inlineStr">
        <is>
          <t>法定の労働者名簿（氏名・生年月日・履歴・雇入れ・退職等）</t>
        </is>
      </c>
      <c r="F23" s="48" t="inlineStr">
        <is>
          <t>文書</t>
        </is>
      </c>
      <c r="G23" s="48" t="inlineStr">
        <is>
          <t>労基法</t>
        </is>
      </c>
      <c r="H23" s="52">
        <f>IF(G23="なし","—","対象候補")</f>
        <v/>
      </c>
      <c r="I23" s="48" t="inlineStr">
        <is>
          <t>個人情報</t>
        </is>
      </c>
      <c r="J23" s="47" t="inlineStr">
        <is>
          <t>C03-03</t>
        </is>
      </c>
      <c r="K23" s="53">
        <f>IFERROR(INDEX(ケイパビリティマップ!$E:$E,MATCH(J23,ケイパビリティマップ!$A:$A,0)),"（IDなし）")</f>
        <v/>
      </c>
      <c r="L23" s="54">
        <f>COUNTIF('ケイパビリティ×情報オブジェクト'!W$6:W$37,"C")</f>
        <v/>
      </c>
      <c r="M23" s="54">
        <f>COUNTIF('ケイパビリティ×情報オブジェクト'!W$6:W$37,"R")</f>
        <v/>
      </c>
    </row>
    <row r="24" ht="26.85" customHeight="1">
      <c r="A24" s="47" t="inlineStr">
        <is>
          <t>EMP-06</t>
        </is>
      </c>
      <c r="B24" s="48" t="inlineStr">
        <is>
          <t>雇用・従業員</t>
        </is>
      </c>
      <c r="C24" s="49" t="inlineStr">
        <is>
          <t>社会保険・雇用保険の資格情報</t>
        </is>
      </c>
      <c r="D24" s="50" t="inlineStr">
        <is>
          <t>Social Insurance Enrollment</t>
        </is>
      </c>
      <c r="E24" s="51" t="inlineStr">
        <is>
          <t>健康保険・厚生年金・雇用保険の資格取得・喪失、標準報酬月額、被扶養者</t>
        </is>
      </c>
      <c r="F24" s="48" t="inlineStr">
        <is>
          <t>マスタ</t>
        </is>
      </c>
      <c r="G24" s="48" t="inlineStr">
        <is>
          <t>社会保険・雇用保険</t>
        </is>
      </c>
      <c r="H24" s="52">
        <f>IF(G24="なし","—","対象候補")</f>
        <v/>
      </c>
      <c r="I24" s="48" t="inlineStr">
        <is>
          <t>個人情報</t>
        </is>
      </c>
      <c r="J24" s="47" t="inlineStr">
        <is>
          <t>C03-01</t>
        </is>
      </c>
      <c r="K24" s="53">
        <f>IFERROR(INDEX(ケイパビリティマップ!$E:$E,MATCH(J24,ケイパビリティマップ!$A:$A,0)),"（IDなし）")</f>
        <v/>
      </c>
      <c r="L24" s="54">
        <f>COUNTIF('ケイパビリティ×情報オブジェクト'!X$6:X$37,"C")</f>
        <v/>
      </c>
      <c r="M24" s="54">
        <f>COUNTIF('ケイパビリティ×情報オブジェクト'!X$6:X$37,"R")</f>
        <v/>
      </c>
    </row>
    <row r="25" ht="26.85" customHeight="1">
      <c r="A25" s="47" t="inlineStr">
        <is>
          <t>EMP-07</t>
        </is>
      </c>
      <c r="B25" s="48" t="inlineStr">
        <is>
          <t>雇用・従業員</t>
        </is>
      </c>
      <c r="C25" s="49" t="inlineStr">
        <is>
          <t>異動・発令履歴</t>
        </is>
      </c>
      <c r="D25" s="50" t="inlineStr">
        <is>
          <t>Assignment History</t>
        </is>
      </c>
      <c r="E25" s="51" t="inlineStr">
        <is>
          <t>入社・配属・異動・昇格・出向などの発令とその履歴</t>
        </is>
      </c>
      <c r="F25" s="48" t="inlineStr">
        <is>
          <t>トランザクション</t>
        </is>
      </c>
      <c r="G25" s="48" t="inlineStr">
        <is>
          <t>なし</t>
        </is>
      </c>
      <c r="H25" s="52">
        <f>IF(G25="なし","—","対象候補")</f>
        <v/>
      </c>
      <c r="I25" s="48" t="inlineStr">
        <is>
          <t>個人情報</t>
        </is>
      </c>
      <c r="J25" s="47" t="inlineStr">
        <is>
          <t>C03-03</t>
        </is>
      </c>
      <c r="K25" s="53">
        <f>IFERROR(INDEX(ケイパビリティマップ!$E:$E,MATCH(J25,ケイパビリティマップ!$A:$A,0)),"（IDなし）")</f>
        <v/>
      </c>
      <c r="L25" s="54">
        <f>COUNTIF('ケイパビリティ×情報オブジェクト'!Y$6:Y$37,"C")</f>
        <v/>
      </c>
      <c r="M25" s="54">
        <f>COUNTIF('ケイパビリティ×情報オブジェクト'!Y$6:Y$37,"R")</f>
        <v/>
      </c>
    </row>
    <row r="26" ht="26.85" customHeight="1">
      <c r="A26" s="47" t="inlineStr">
        <is>
          <t>EMP-08</t>
        </is>
      </c>
      <c r="B26" s="48" t="inlineStr">
        <is>
          <t>雇用・従業員</t>
        </is>
      </c>
      <c r="C26" s="49" t="inlineStr">
        <is>
          <t>オンボーディング計画</t>
        </is>
      </c>
      <c r="D26" s="50" t="inlineStr">
        <is>
          <t>Onboarding Plan</t>
        </is>
      </c>
      <c r="E26" s="51" t="inlineStr">
        <is>
          <t>入社者ごとの受入れ計画・メンター・面談記録・試用期間の評価</t>
        </is>
      </c>
      <c r="F26" s="48" t="inlineStr">
        <is>
          <t>文書</t>
        </is>
      </c>
      <c r="G26" s="48" t="inlineStr">
        <is>
          <t>なし</t>
        </is>
      </c>
      <c r="H26" s="52">
        <f>IF(G26="なし","—","対象候補")</f>
        <v/>
      </c>
      <c r="I26" s="48" t="inlineStr">
        <is>
          <t>個人情報</t>
        </is>
      </c>
      <c r="J26" s="47" t="inlineStr">
        <is>
          <t>C03-02</t>
        </is>
      </c>
      <c r="K26" s="53">
        <f>IFERROR(INDEX(ケイパビリティマップ!$E:$E,MATCH(J26,ケイパビリティマップ!$A:$A,0)),"（IDなし）")</f>
        <v/>
      </c>
      <c r="L26" s="54">
        <f>COUNTIF('ケイパビリティ×情報オブジェクト'!Z$6:Z$37,"C")</f>
        <v/>
      </c>
      <c r="M26" s="54">
        <f>COUNTIF('ケイパビリティ×情報オブジェクト'!Z$6:Z$37,"R")</f>
        <v/>
      </c>
    </row>
    <row r="27" ht="26.85" customHeight="1">
      <c r="A27" s="47" t="inlineStr">
        <is>
          <t>EMP-09</t>
        </is>
      </c>
      <c r="B27" s="48" t="inlineStr">
        <is>
          <t>雇用・従業員</t>
        </is>
      </c>
      <c r="C27" s="49" t="inlineStr">
        <is>
          <t>貸与物・アカウント記録</t>
        </is>
      </c>
      <c r="D27" s="50" t="inlineStr">
        <is>
          <t>Asset &amp; Account Record</t>
        </is>
      </c>
      <c r="E27" s="51" t="inlineStr">
        <is>
          <t>PC・社員証などの貸与物と、システムのアカウント・権限</t>
        </is>
      </c>
      <c r="F27" s="48" t="inlineStr">
        <is>
          <t>トランザクション</t>
        </is>
      </c>
      <c r="G27" s="48" t="inlineStr">
        <is>
          <t>なし</t>
        </is>
      </c>
      <c r="H27" s="52">
        <f>IF(G27="なし","—","対象候補")</f>
        <v/>
      </c>
      <c r="I27" s="48" t="inlineStr">
        <is>
          <t>個人情報</t>
        </is>
      </c>
      <c r="J27" s="47" t="inlineStr">
        <is>
          <t>C09-03</t>
        </is>
      </c>
      <c r="K27" s="53">
        <f>IFERROR(INDEX(ケイパビリティマップ!$E:$E,MATCH(J27,ケイパビリティマップ!$A:$A,0)),"（IDなし）")</f>
        <v/>
      </c>
      <c r="L27" s="54">
        <f>COUNTIF('ケイパビリティ×情報オブジェクト'!AA$6:AA$37,"C")</f>
        <v/>
      </c>
      <c r="M27" s="54">
        <f>COUNTIF('ケイパビリティ×情報オブジェクト'!AA$6:AA$37,"R")</f>
        <v/>
      </c>
    </row>
    <row r="28" ht="26.85" customHeight="1">
      <c r="A28" s="47" t="inlineStr">
        <is>
          <t>LRN-01</t>
        </is>
      </c>
      <c r="B28" s="48" t="inlineStr">
        <is>
          <t>育成</t>
        </is>
      </c>
      <c r="C28" s="49" t="inlineStr">
        <is>
          <t>育成体系・研修カタログ</t>
        </is>
      </c>
      <c r="D28" s="50" t="inlineStr">
        <is>
          <t>Learning Catalog</t>
        </is>
      </c>
      <c r="E28" s="51" t="inlineStr">
        <is>
          <t>育成体系、研修の一覧・対象者・内容、年間研修計画</t>
        </is>
      </c>
      <c r="F28" s="48" t="inlineStr">
        <is>
          <t>定義・仕様</t>
        </is>
      </c>
      <c r="G28" s="48" t="inlineStr">
        <is>
          <t>なし</t>
        </is>
      </c>
      <c r="H28" s="52">
        <f>IF(G28="なし","—","対象候補")</f>
        <v/>
      </c>
      <c r="I28" s="48" t="inlineStr">
        <is>
          <t>なし</t>
        </is>
      </c>
      <c r="J28" s="47" t="inlineStr">
        <is>
          <t>C04-01</t>
        </is>
      </c>
      <c r="K28" s="53">
        <f>IFERROR(INDEX(ケイパビリティマップ!$E:$E,MATCH(J28,ケイパビリティマップ!$A:$A,0)),"（IDなし）")</f>
        <v/>
      </c>
      <c r="L28" s="54">
        <f>COUNTIF('ケイパビリティ×情報オブジェクト'!AB$6:AB$37,"C")</f>
        <v/>
      </c>
      <c r="M28" s="54">
        <f>COUNTIF('ケイパビリティ×情報オブジェクト'!AB$6:AB$37,"R")</f>
        <v/>
      </c>
    </row>
    <row r="29" ht="26.85" customHeight="1">
      <c r="A29" s="47" t="inlineStr">
        <is>
          <t>LRN-02</t>
        </is>
      </c>
      <c r="B29" s="48" t="inlineStr">
        <is>
          <t>育成</t>
        </is>
      </c>
      <c r="C29" s="49" t="inlineStr">
        <is>
          <t>受講記録</t>
        </is>
      </c>
      <c r="D29" s="50" t="inlineStr">
        <is>
          <t>Training Record</t>
        </is>
      </c>
      <c r="E29" s="51" t="inlineStr">
        <is>
          <t>研修・eラーニングの受講・修了・テストの記録（法定教育を含む）</t>
        </is>
      </c>
      <c r="F29" s="48" t="inlineStr">
        <is>
          <t>トランザクション</t>
        </is>
      </c>
      <c r="G29" s="48" t="inlineStr">
        <is>
          <t>安衛法</t>
        </is>
      </c>
      <c r="H29" s="52">
        <f>IF(G29="なし","—","対象候補")</f>
        <v/>
      </c>
      <c r="I29" s="48" t="inlineStr">
        <is>
          <t>個人情報</t>
        </is>
      </c>
      <c r="J29" s="47" t="inlineStr">
        <is>
          <t>C04-01</t>
        </is>
      </c>
      <c r="K29" s="53">
        <f>IFERROR(INDEX(ケイパビリティマップ!$E:$E,MATCH(J29,ケイパビリティマップ!$A:$A,0)),"（IDなし）")</f>
        <v/>
      </c>
      <c r="L29" s="54">
        <f>COUNTIF('ケイパビリティ×情報オブジェクト'!AC$6:AC$37,"C")</f>
        <v/>
      </c>
      <c r="M29" s="54">
        <f>COUNTIF('ケイパビリティ×情報オブジェクト'!AC$6:AC$37,"R")</f>
        <v/>
      </c>
    </row>
    <row r="30" ht="26.85" customHeight="1">
      <c r="A30" s="47" t="inlineStr">
        <is>
          <t>LRN-03</t>
        </is>
      </c>
      <c r="B30" s="48" t="inlineStr">
        <is>
          <t>育成</t>
        </is>
      </c>
      <c r="C30" s="49" t="inlineStr">
        <is>
          <t>スキル・資格情報</t>
        </is>
      </c>
      <c r="D30" s="50" t="inlineStr">
        <is>
          <t>Skills &amp; Certifications</t>
        </is>
      </c>
      <c r="E30" s="51" t="inlineStr">
        <is>
          <t>スキル体系と従業員のスキル評価、保有資格・有効期限・法定の選任</t>
        </is>
      </c>
      <c r="F30" s="48" t="inlineStr">
        <is>
          <t>マスタ</t>
        </is>
      </c>
      <c r="G30" s="48" t="inlineStr">
        <is>
          <t>各業法</t>
        </is>
      </c>
      <c r="H30" s="52">
        <f>IF(G30="なし","—","対象候補")</f>
        <v/>
      </c>
      <c r="I30" s="48" t="inlineStr">
        <is>
          <t>個人情報</t>
        </is>
      </c>
      <c r="J30" s="47" t="inlineStr">
        <is>
          <t>C04-02</t>
        </is>
      </c>
      <c r="K30" s="53">
        <f>IFERROR(INDEX(ケイパビリティマップ!$E:$E,MATCH(J30,ケイパビリティマップ!$A:$A,0)),"（IDなし）")</f>
        <v/>
      </c>
      <c r="L30" s="54">
        <f>COUNTIF('ケイパビリティ×情報オブジェクト'!AD$6:AD$37,"C")</f>
        <v/>
      </c>
      <c r="M30" s="54">
        <f>COUNTIF('ケイパビリティ×情報オブジェクト'!AD$6:AD$37,"R")</f>
        <v/>
      </c>
    </row>
    <row r="31" ht="26.85" customHeight="1">
      <c r="A31" s="47" t="inlineStr">
        <is>
          <t>LRN-04</t>
        </is>
      </c>
      <c r="B31" s="48" t="inlineStr">
        <is>
          <t>育成</t>
        </is>
      </c>
      <c r="C31" s="49" t="inlineStr">
        <is>
          <t>キャリア面談記録</t>
        </is>
      </c>
      <c r="D31" s="50" t="inlineStr">
        <is>
          <t>Career Development Record</t>
        </is>
      </c>
      <c r="E31" s="51" t="inlineStr">
        <is>
          <t>キャリアの希望、自己申告、個人別育成計画</t>
        </is>
      </c>
      <c r="F31" s="48" t="inlineStr">
        <is>
          <t>文書</t>
        </is>
      </c>
      <c r="G31" s="48" t="inlineStr">
        <is>
          <t>なし</t>
        </is>
      </c>
      <c r="H31" s="52">
        <f>IF(G31="なし","—","対象候補")</f>
        <v/>
      </c>
      <c r="I31" s="48" t="inlineStr">
        <is>
          <t>個人情報</t>
        </is>
      </c>
      <c r="J31" s="47" t="inlineStr">
        <is>
          <t>C04-03</t>
        </is>
      </c>
      <c r="K31" s="53">
        <f>IFERROR(INDEX(ケイパビリティマップ!$E:$E,MATCH(J31,ケイパビリティマップ!$A:$A,0)),"（IDなし）")</f>
        <v/>
      </c>
      <c r="L31" s="54">
        <f>COUNTIF('ケイパビリティ×情報オブジェクト'!AE$6:AE$37,"C")</f>
        <v/>
      </c>
      <c r="M31" s="54">
        <f>COUNTIF('ケイパビリティ×情報オブジェクト'!AE$6:AE$37,"R")</f>
        <v/>
      </c>
    </row>
    <row r="32" ht="26.85" customHeight="1">
      <c r="A32" s="47" t="inlineStr">
        <is>
          <t>PRF-01</t>
        </is>
      </c>
      <c r="B32" s="48" t="inlineStr">
        <is>
          <t>評価・報酬</t>
        </is>
      </c>
      <c r="C32" s="49" t="inlineStr">
        <is>
          <t>目標</t>
        </is>
      </c>
      <c r="D32" s="50" t="inlineStr">
        <is>
          <t>Objectives</t>
        </is>
      </c>
      <c r="E32" s="51" t="inlineStr">
        <is>
          <t>期初に合意した目標と、期中の進捗・フィードバック</t>
        </is>
      </c>
      <c r="F32" s="48" t="inlineStr">
        <is>
          <t>トランザクション</t>
        </is>
      </c>
      <c r="G32" s="48" t="inlineStr">
        <is>
          <t>なし</t>
        </is>
      </c>
      <c r="H32" s="52">
        <f>IF(G32="なし","—","対象候補")</f>
        <v/>
      </c>
      <c r="I32" s="48" t="inlineStr">
        <is>
          <t>個人情報</t>
        </is>
      </c>
      <c r="J32" s="47" t="inlineStr">
        <is>
          <t>C05-01</t>
        </is>
      </c>
      <c r="K32" s="53">
        <f>IFERROR(INDEX(ケイパビリティマップ!$E:$E,MATCH(J32,ケイパビリティマップ!$A:$A,0)),"（IDなし）")</f>
        <v/>
      </c>
      <c r="L32" s="54">
        <f>COUNTIF('ケイパビリティ×情報オブジェクト'!AF$6:AF$37,"C")</f>
        <v/>
      </c>
      <c r="M32" s="54">
        <f>COUNTIF('ケイパビリティ×情報オブジェクト'!AF$6:AF$37,"R")</f>
        <v/>
      </c>
    </row>
    <row r="33" ht="26.85" customHeight="1">
      <c r="A33" s="47" t="inlineStr">
        <is>
          <t>PRF-02</t>
        </is>
      </c>
      <c r="B33" s="48" t="inlineStr">
        <is>
          <t>評価・報酬</t>
        </is>
      </c>
      <c r="C33" s="49" t="inlineStr">
        <is>
          <t>人事評価結果</t>
        </is>
      </c>
      <c r="D33" s="50" t="inlineStr">
        <is>
          <t>Performance Rating</t>
        </is>
      </c>
      <c r="E33" s="51" t="inlineStr">
        <is>
          <t>自己評価・一次／二次評価・調整後の確定評価とフィードバック</t>
        </is>
      </c>
      <c r="F33" s="48" t="inlineStr">
        <is>
          <t>分析・評価</t>
        </is>
      </c>
      <c r="G33" s="48" t="inlineStr">
        <is>
          <t>なし</t>
        </is>
      </c>
      <c r="H33" s="52">
        <f>IF(G33="なし","—","対象候補")</f>
        <v/>
      </c>
      <c r="I33" s="48" t="inlineStr">
        <is>
          <t>個人情報</t>
        </is>
      </c>
      <c r="J33" s="47" t="inlineStr">
        <is>
          <t>C05-01</t>
        </is>
      </c>
      <c r="K33" s="53">
        <f>IFERROR(INDEX(ケイパビリティマップ!$E:$E,MATCH(J33,ケイパビリティマップ!$A:$A,0)),"（IDなし）")</f>
        <v/>
      </c>
      <c r="L33" s="54">
        <f>COUNTIF('ケイパビリティ×情報オブジェクト'!AG$6:AG$37,"C")</f>
        <v/>
      </c>
      <c r="M33" s="54">
        <f>COUNTIF('ケイパビリティ×情報オブジェクト'!AG$6:AG$37,"R")</f>
        <v/>
      </c>
    </row>
    <row r="34" ht="26.85" customHeight="1">
      <c r="A34" s="47" t="inlineStr">
        <is>
          <t>PRF-03</t>
        </is>
      </c>
      <c r="B34" s="48" t="inlineStr">
        <is>
          <t>評価・報酬</t>
        </is>
      </c>
      <c r="C34" s="49" t="inlineStr">
        <is>
          <t>報酬テーブル</t>
        </is>
      </c>
      <c r="D34" s="50" t="inlineStr">
        <is>
          <t>Pay Structure</t>
        </is>
      </c>
      <c r="E34" s="51" t="inlineStr">
        <is>
          <t>賃金テーブル、手当・賞与・退職金の算定方式</t>
        </is>
      </c>
      <c r="F34" s="48" t="inlineStr">
        <is>
          <t>定義・仕様</t>
        </is>
      </c>
      <c r="G34" s="48" t="inlineStr">
        <is>
          <t>最低賃金法・パート有期法</t>
        </is>
      </c>
      <c r="H34" s="52">
        <f>IF(G34="なし","—","対象候補")</f>
        <v/>
      </c>
      <c r="I34" s="48" t="inlineStr">
        <is>
          <t>なし</t>
        </is>
      </c>
      <c r="J34" s="47" t="inlineStr">
        <is>
          <t>C05-02</t>
        </is>
      </c>
      <c r="K34" s="53">
        <f>IFERROR(INDEX(ケイパビリティマップ!$E:$E,MATCH(J34,ケイパビリティマップ!$A:$A,0)),"（IDなし）")</f>
        <v/>
      </c>
      <c r="L34" s="54">
        <f>COUNTIF('ケイパビリティ×情報オブジェクト'!AH$6:AH$37,"C")</f>
        <v/>
      </c>
      <c r="M34" s="54">
        <f>COUNTIF('ケイパビリティ×情報オブジェクト'!AH$6:AH$37,"R")</f>
        <v/>
      </c>
    </row>
    <row r="35" ht="26.85" customHeight="1">
      <c r="A35" s="47" t="inlineStr">
        <is>
          <t>PRF-04</t>
        </is>
      </c>
      <c r="B35" s="48" t="inlineStr">
        <is>
          <t>評価・報酬</t>
        </is>
      </c>
      <c r="C35" s="49" t="inlineStr">
        <is>
          <t>報酬市場データ</t>
        </is>
      </c>
      <c r="D35" s="50" t="inlineStr">
        <is>
          <t>Compensation Benchmark</t>
        </is>
      </c>
      <c r="E35" s="51" t="inlineStr">
        <is>
          <t>報酬サーベイ、地域別最低賃金などの外部データ</t>
        </is>
      </c>
      <c r="F35" s="48" t="inlineStr">
        <is>
          <t>測定データ</t>
        </is>
      </c>
      <c r="G35" s="48" t="inlineStr">
        <is>
          <t>なし</t>
        </is>
      </c>
      <c r="H35" s="52">
        <f>IF(G35="なし","—","対象候補")</f>
        <v/>
      </c>
      <c r="I35" s="48" t="inlineStr">
        <is>
          <t>なし</t>
        </is>
      </c>
      <c r="J35" s="47" t="inlineStr">
        <is>
          <t>C05-02</t>
        </is>
      </c>
      <c r="K35" s="53">
        <f>IFERROR(INDEX(ケイパビリティマップ!$E:$E,MATCH(J35,ケイパビリティマップ!$A:$A,0)),"（IDなし）")</f>
        <v/>
      </c>
      <c r="L35" s="54">
        <f>COUNTIF('ケイパビリティ×情報オブジェクト'!AI$6:AI$37,"C")</f>
        <v/>
      </c>
      <c r="M35" s="54">
        <f>COUNTIF('ケイパビリティ×情報オブジェクト'!AI$6:AI$37,"R")</f>
        <v/>
      </c>
    </row>
    <row r="36" ht="26.85" customHeight="1">
      <c r="A36" s="47" t="inlineStr">
        <is>
          <t>PRF-05</t>
        </is>
      </c>
      <c r="B36" s="48" t="inlineStr">
        <is>
          <t>評価・報酬</t>
        </is>
      </c>
      <c r="C36" s="49" t="inlineStr">
        <is>
          <t>昇給・賞与決定</t>
        </is>
      </c>
      <c r="D36" s="50" t="inlineStr">
        <is>
          <t>Salary Increase &amp; Bonus Decision</t>
        </is>
      </c>
      <c r="E36" s="51" t="inlineStr">
        <is>
          <t>昇給・賞与の原資と、個人別の決定額</t>
        </is>
      </c>
      <c r="F36" s="48" t="inlineStr">
        <is>
          <t>トランザクション</t>
        </is>
      </c>
      <c r="G36" s="48" t="inlineStr">
        <is>
          <t>なし</t>
        </is>
      </c>
      <c r="H36" s="52">
        <f>IF(G36="なし","—","対象候補")</f>
        <v/>
      </c>
      <c r="I36" s="48" t="inlineStr">
        <is>
          <t>個人情報</t>
        </is>
      </c>
      <c r="J36" s="47" t="inlineStr">
        <is>
          <t>C05-02</t>
        </is>
      </c>
      <c r="K36" s="53">
        <f>IFERROR(INDEX(ケイパビリティマップ!$E:$E,MATCH(J36,ケイパビリティマップ!$A:$A,0)),"（IDなし）")</f>
        <v/>
      </c>
      <c r="L36" s="54">
        <f>COUNTIF('ケイパビリティ×情報オブジェクト'!AJ$6:AJ$37,"C")</f>
        <v/>
      </c>
      <c r="M36" s="54">
        <f>COUNTIF('ケイパビリティ×情報オブジェクト'!AJ$6:AJ$37,"R")</f>
        <v/>
      </c>
    </row>
    <row r="37" ht="26.85" customHeight="1">
      <c r="A37" s="47" t="inlineStr">
        <is>
          <t>PAY-01</t>
        </is>
      </c>
      <c r="B37" s="48" t="inlineStr">
        <is>
          <t>給与・社会保険</t>
        </is>
      </c>
      <c r="C37" s="49" t="inlineStr">
        <is>
          <t>給与・賞与計算結果</t>
        </is>
      </c>
      <c r="D37" s="50" t="inlineStr">
        <is>
          <t>Payroll Result</t>
        </is>
      </c>
      <c r="E37" s="51" t="inlineStr">
        <is>
          <t>支給・控除の明細と振込データ（最終給与・退職金を含む）</t>
        </is>
      </c>
      <c r="F37" s="48" t="inlineStr">
        <is>
          <t>トランザクション</t>
        </is>
      </c>
      <c r="G37" s="48" t="inlineStr">
        <is>
          <t>労基法・税法</t>
        </is>
      </c>
      <c r="H37" s="52">
        <f>IF(G37="なし","—","対象候補")</f>
        <v/>
      </c>
      <c r="I37" s="48" t="inlineStr">
        <is>
          <t>個人情報</t>
        </is>
      </c>
      <c r="J37" s="47" t="inlineStr">
        <is>
          <t>C05-03</t>
        </is>
      </c>
      <c r="K37" s="53">
        <f>IFERROR(INDEX(ケイパビリティマップ!$E:$E,MATCH(J37,ケイパビリティマップ!$A:$A,0)),"（IDなし）")</f>
        <v/>
      </c>
      <c r="L37" s="54">
        <f>COUNTIF('ケイパビリティ×情報オブジェクト'!AK$6:AK$37,"C")</f>
        <v/>
      </c>
      <c r="M37" s="54">
        <f>COUNTIF('ケイパビリティ×情報オブジェクト'!AK$6:AK$37,"R")</f>
        <v/>
      </c>
    </row>
    <row r="38" ht="26.85" customHeight="1">
      <c r="A38" s="47" t="inlineStr">
        <is>
          <t>PAY-02</t>
        </is>
      </c>
      <c r="B38" s="48" t="inlineStr">
        <is>
          <t>給与・社会保険</t>
        </is>
      </c>
      <c r="C38" s="49" t="inlineStr">
        <is>
          <t>賃金台帳</t>
        </is>
      </c>
      <c r="D38" s="50" t="inlineStr">
        <is>
          <t>Wage Ledger</t>
        </is>
      </c>
      <c r="E38" s="51" t="inlineStr">
        <is>
          <t>法定の賃金台帳（賃金計算期間・労働日数・労働時間・各支給控除額）</t>
        </is>
      </c>
      <c r="F38" s="48" t="inlineStr">
        <is>
          <t>文書</t>
        </is>
      </c>
      <c r="G38" s="48" t="inlineStr">
        <is>
          <t>労基法</t>
        </is>
      </c>
      <c r="H38" s="52">
        <f>IF(G38="なし","—","対象候補")</f>
        <v/>
      </c>
      <c r="I38" s="48" t="inlineStr">
        <is>
          <t>個人情報</t>
        </is>
      </c>
      <c r="J38" s="47" t="inlineStr">
        <is>
          <t>C05-03</t>
        </is>
      </c>
      <c r="K38" s="53">
        <f>IFERROR(INDEX(ケイパビリティマップ!$E:$E,MATCH(J38,ケイパビリティマップ!$A:$A,0)),"（IDなし）")</f>
        <v/>
      </c>
      <c r="L38" s="54">
        <f>COUNTIF('ケイパビリティ×情報オブジェクト'!AL$6:AL$37,"C")</f>
        <v/>
      </c>
      <c r="M38" s="54">
        <f>COUNTIF('ケイパビリティ×情報オブジェクト'!AL$6:AL$37,"R")</f>
        <v/>
      </c>
    </row>
    <row r="39" ht="26.85" customHeight="1">
      <c r="A39" s="47" t="inlineStr">
        <is>
          <t>PAY-03</t>
        </is>
      </c>
      <c r="B39" s="48" t="inlineStr">
        <is>
          <t>給与・社会保険</t>
        </is>
      </c>
      <c r="C39" s="49" t="inlineStr">
        <is>
          <t>源泉徴収・年末調整情報</t>
        </is>
      </c>
      <c r="D39" s="50" t="inlineStr">
        <is>
          <t>Withholding &amp; Year-end Adjustment</t>
        </is>
      </c>
      <c r="E39" s="51" t="inlineStr">
        <is>
          <t>扶養控除等申告書・保険料控除申告書、年末調整の結果、源泉徴収票・法定調書</t>
        </is>
      </c>
      <c r="F39" s="48" t="inlineStr">
        <is>
          <t>トランザクション</t>
        </is>
      </c>
      <c r="G39" s="48" t="inlineStr">
        <is>
          <t>税法・番号法</t>
        </is>
      </c>
      <c r="H39" s="52">
        <f>IF(G39="なし","—","対象候補")</f>
        <v/>
      </c>
      <c r="I39" s="48" t="inlineStr">
        <is>
          <t>個人情報</t>
        </is>
      </c>
      <c r="J39" s="47" t="inlineStr">
        <is>
          <t>C05-03</t>
        </is>
      </c>
      <c r="K39" s="53">
        <f>IFERROR(INDEX(ケイパビリティマップ!$E:$E,MATCH(J39,ケイパビリティマップ!$A:$A,0)),"（IDなし）")</f>
        <v/>
      </c>
      <c r="L39" s="54">
        <f>COUNTIF('ケイパビリティ×情報オブジェクト'!AM$6:AM$37,"C")</f>
        <v/>
      </c>
      <c r="M39" s="54">
        <f>COUNTIF('ケイパビリティ×情報オブジェクト'!AM$6:AM$37,"R")</f>
        <v/>
      </c>
    </row>
    <row r="40" ht="26.85" customHeight="1">
      <c r="A40" s="47" t="inlineStr">
        <is>
          <t>PAY-04</t>
        </is>
      </c>
      <c r="B40" s="48" t="inlineStr">
        <is>
          <t>給与・社会保険</t>
        </is>
      </c>
      <c r="C40" s="49" t="inlineStr">
        <is>
          <t>住民税特別徴収情報</t>
        </is>
      </c>
      <c r="D40" s="50" t="inlineStr">
        <is>
          <t>Resident Tax Withholding</t>
        </is>
      </c>
      <c r="E40" s="51" t="inlineStr">
        <is>
          <t>市区町村からの特別徴収税額の通知と、納付・異動届</t>
        </is>
      </c>
      <c r="F40" s="48" t="inlineStr">
        <is>
          <t>トランザクション</t>
        </is>
      </c>
      <c r="G40" s="48" t="inlineStr">
        <is>
          <t>税法</t>
        </is>
      </c>
      <c r="H40" s="52">
        <f>IF(G40="なし","—","対象候補")</f>
        <v/>
      </c>
      <c r="I40" s="48" t="inlineStr">
        <is>
          <t>個人情報</t>
        </is>
      </c>
      <c r="J40" s="47" t="inlineStr">
        <is>
          <t>C05-03</t>
        </is>
      </c>
      <c r="K40" s="53">
        <f>IFERROR(INDEX(ケイパビリティマップ!$E:$E,MATCH(J40,ケイパビリティマップ!$A:$A,0)),"（IDなし）")</f>
        <v/>
      </c>
      <c r="L40" s="54">
        <f>COUNTIF('ケイパビリティ×情報オブジェクト'!AN$6:AN$37,"C")</f>
        <v/>
      </c>
      <c r="M40" s="54">
        <f>COUNTIF('ケイパビリティ×情報オブジェクト'!AN$6:AN$37,"R")</f>
        <v/>
      </c>
    </row>
    <row r="41" ht="26.85" customHeight="1">
      <c r="A41" s="47" t="inlineStr">
        <is>
          <t>PAY-05</t>
        </is>
      </c>
      <c r="B41" s="48" t="inlineStr">
        <is>
          <t>給与・社会保険</t>
        </is>
      </c>
      <c r="C41" s="49" t="inlineStr">
        <is>
          <t>社会保険・労働保険の届出</t>
        </is>
      </c>
      <c r="D41" s="50" t="inlineStr">
        <is>
          <t>Social Insurance Filings</t>
        </is>
      </c>
      <c r="E41" s="51" t="inlineStr">
        <is>
          <t>算定基礎届・月額変更届・賞与支払届・労働保険の年度更新</t>
        </is>
      </c>
      <c r="F41" s="48" t="inlineStr">
        <is>
          <t>トランザクション</t>
        </is>
      </c>
      <c r="G41" s="48" t="inlineStr">
        <is>
          <t>社会保険・雇用保険</t>
        </is>
      </c>
      <c r="H41" s="52">
        <f>IF(G41="なし","—","対象候補")</f>
        <v/>
      </c>
      <c r="I41" s="48" t="inlineStr">
        <is>
          <t>個人情報</t>
        </is>
      </c>
      <c r="J41" s="47" t="inlineStr">
        <is>
          <t>C05-04</t>
        </is>
      </c>
      <c r="K41" s="53">
        <f>IFERROR(INDEX(ケイパビリティマップ!$E:$E,MATCH(J41,ケイパビリティマップ!$A:$A,0)),"（IDなし）")</f>
        <v/>
      </c>
      <c r="L41" s="54">
        <f>COUNTIF('ケイパビリティ×情報オブジェクト'!AO$6:AO$37,"C")</f>
        <v/>
      </c>
      <c r="M41" s="54">
        <f>COUNTIF('ケイパビリティ×情報オブジェクト'!AO$6:AO$37,"R")</f>
        <v/>
      </c>
    </row>
    <row r="42" ht="26.85" customHeight="1">
      <c r="A42" s="47" t="inlineStr">
        <is>
          <t>PAY-06</t>
        </is>
      </c>
      <c r="B42" s="48" t="inlineStr">
        <is>
          <t>給与・社会保険</t>
        </is>
      </c>
      <c r="C42" s="49" t="inlineStr">
        <is>
          <t>福利厚生利用情報</t>
        </is>
      </c>
      <c r="D42" s="50" t="inlineStr">
        <is>
          <t>Benefits Enrollment</t>
        </is>
      </c>
      <c r="E42" s="51" t="inlineStr">
        <is>
          <t>福利厚生制度の加入・利用の記録</t>
        </is>
      </c>
      <c r="F42" s="48" t="inlineStr">
        <is>
          <t>トランザクション</t>
        </is>
      </c>
      <c r="G42" s="48" t="inlineStr">
        <is>
          <t>なし</t>
        </is>
      </c>
      <c r="H42" s="52">
        <f>IF(G42="なし","—","対象候補")</f>
        <v/>
      </c>
      <c r="I42" s="48" t="inlineStr">
        <is>
          <t>個人情報</t>
        </is>
      </c>
      <c r="J42" s="47" t="inlineStr">
        <is>
          <t>C05-04</t>
        </is>
      </c>
      <c r="K42" s="53">
        <f>IFERROR(INDEX(ケイパビリティマップ!$E:$E,MATCH(J42,ケイパビリティマップ!$A:$A,0)),"（IDなし）")</f>
        <v/>
      </c>
      <c r="L42" s="54">
        <f>COUNTIF('ケイパビリティ×情報オブジェクト'!AP$6:AP$37,"C")</f>
        <v/>
      </c>
      <c r="M42" s="54">
        <f>COUNTIF('ケイパビリティ×情報オブジェクト'!AP$6:AP$37,"R")</f>
        <v/>
      </c>
    </row>
    <row r="43" ht="26.85" customHeight="1">
      <c r="A43" s="47" t="inlineStr">
        <is>
          <t>PAY-07</t>
        </is>
      </c>
      <c r="B43" s="48" t="inlineStr">
        <is>
          <t>給与・社会保険</t>
        </is>
      </c>
      <c r="C43" s="49" t="inlineStr">
        <is>
          <t>退職給付情報</t>
        </is>
      </c>
      <c r="D43" s="50" t="inlineStr">
        <is>
          <t>Retirement Benefits</t>
        </is>
      </c>
      <c r="E43" s="51" t="inlineStr">
        <is>
          <t>退職金の算定基礎、企業年金の加入・掛金・給付</t>
        </is>
      </c>
      <c r="F43" s="48" t="inlineStr">
        <is>
          <t>マスタ</t>
        </is>
      </c>
      <c r="G43" s="48" t="inlineStr">
        <is>
          <t>確定給付・確定拠出年金法</t>
        </is>
      </c>
      <c r="H43" s="52">
        <f>IF(G43="なし","—","対象候補")</f>
        <v/>
      </c>
      <c r="I43" s="48" t="inlineStr">
        <is>
          <t>個人情報</t>
        </is>
      </c>
      <c r="J43" s="47" t="inlineStr">
        <is>
          <t>C05-04</t>
        </is>
      </c>
      <c r="K43" s="53">
        <f>IFERROR(INDEX(ケイパビリティマップ!$E:$E,MATCH(J43,ケイパビリティマップ!$A:$A,0)),"（IDなし）")</f>
        <v/>
      </c>
      <c r="L43" s="54">
        <f>COUNTIF('ケイパビリティ×情報オブジェクト'!AQ$6:AQ$37,"C")</f>
        <v/>
      </c>
      <c r="M43" s="54">
        <f>COUNTIF('ケイパビリティ×情報オブジェクト'!AQ$6:AQ$37,"R")</f>
        <v/>
      </c>
    </row>
    <row r="44" ht="26.85" customHeight="1">
      <c r="A44" s="47" t="inlineStr">
        <is>
          <t>WRK-01</t>
        </is>
      </c>
      <c r="B44" s="48" t="inlineStr">
        <is>
          <t>就業・健康</t>
        </is>
      </c>
      <c r="C44" s="49" t="inlineStr">
        <is>
          <t>勤務予定・勤怠記録</t>
        </is>
      </c>
      <c r="D44" s="50" t="inlineStr">
        <is>
          <t>Schedule &amp; Time Record</t>
        </is>
      </c>
      <c r="E44" s="51" t="inlineStr">
        <is>
          <t>勤務予定・シフト、出退勤、労働時間・時間外労働（出勤簿）</t>
        </is>
      </c>
      <c r="F44" s="48" t="inlineStr">
        <is>
          <t>測定データ</t>
        </is>
      </c>
      <c r="G44" s="48" t="inlineStr">
        <is>
          <t>労基法・安衛法</t>
        </is>
      </c>
      <c r="H44" s="52">
        <f>IF(G44="なし","—","対象候補")</f>
        <v/>
      </c>
      <c r="I44" s="48" t="inlineStr">
        <is>
          <t>個人情報</t>
        </is>
      </c>
      <c r="J44" s="47" t="inlineStr">
        <is>
          <t>C06-01</t>
        </is>
      </c>
      <c r="K44" s="53">
        <f>IFERROR(INDEX(ケイパビリティマップ!$E:$E,MATCH(J44,ケイパビリティマップ!$A:$A,0)),"（IDなし）")</f>
        <v/>
      </c>
      <c r="L44" s="54">
        <f>COUNTIF('ケイパビリティ×情報オブジェクト'!AR$6:AR$37,"C")</f>
        <v/>
      </c>
      <c r="M44" s="54">
        <f>COUNTIF('ケイパビリティ×情報オブジェクト'!AR$6:AR$37,"R")</f>
        <v/>
      </c>
    </row>
    <row r="45" ht="26.85" customHeight="1">
      <c r="A45" s="47" t="inlineStr">
        <is>
          <t>WRK-02</t>
        </is>
      </c>
      <c r="B45" s="48" t="inlineStr">
        <is>
          <t>就業・健康</t>
        </is>
      </c>
      <c r="C45" s="49" t="inlineStr">
        <is>
          <t>休暇・休業記録</t>
        </is>
      </c>
      <c r="D45" s="50" t="inlineStr">
        <is>
          <t>Leave Record</t>
        </is>
      </c>
      <c r="E45" s="51" t="inlineStr">
        <is>
          <t>年次有給休暇の付与・取得（管理簿）、育児・介護休業、休職</t>
        </is>
      </c>
      <c r="F45" s="48" t="inlineStr">
        <is>
          <t>トランザクション</t>
        </is>
      </c>
      <c r="G45" s="48" t="inlineStr">
        <is>
          <t>労基法・育介法</t>
        </is>
      </c>
      <c r="H45" s="52">
        <f>IF(G45="なし","—","対象候補")</f>
        <v/>
      </c>
      <c r="I45" s="48" t="inlineStr">
        <is>
          <t>要配慮個人情報</t>
        </is>
      </c>
      <c r="J45" s="47" t="inlineStr">
        <is>
          <t>C06-01</t>
        </is>
      </c>
      <c r="K45" s="53">
        <f>IFERROR(INDEX(ケイパビリティマップ!$E:$E,MATCH(J45,ケイパビリティマップ!$A:$A,0)),"（IDなし）")</f>
        <v/>
      </c>
      <c r="L45" s="54">
        <f>COUNTIF('ケイパビリティ×情報オブジェクト'!AS$6:AS$37,"C")</f>
        <v/>
      </c>
      <c r="M45" s="54">
        <f>COUNTIF('ケイパビリティ×情報オブジェクト'!AS$6:AS$37,"R")</f>
        <v/>
      </c>
    </row>
    <row r="46" ht="26.85" customHeight="1">
      <c r="A46" s="47" t="inlineStr">
        <is>
          <t>WRK-03</t>
        </is>
      </c>
      <c r="B46" s="48" t="inlineStr">
        <is>
          <t>就業・健康</t>
        </is>
      </c>
      <c r="C46" s="49" t="inlineStr">
        <is>
          <t>労使協定・労使協議記録</t>
        </is>
      </c>
      <c r="D46" s="50" t="inlineStr">
        <is>
          <t>Labor Agreements</t>
        </is>
      </c>
      <c r="E46" s="51" t="inlineStr">
        <is>
          <t>36協定などの労使協定、労働協約、労使協議の記録</t>
        </is>
      </c>
      <c r="F46" s="48" t="inlineStr">
        <is>
          <t>文書</t>
        </is>
      </c>
      <c r="G46" s="48" t="inlineStr">
        <is>
          <t>労基法</t>
        </is>
      </c>
      <c r="H46" s="52">
        <f>IF(G46="なし","—","対象候補")</f>
        <v/>
      </c>
      <c r="I46" s="48" t="inlineStr">
        <is>
          <t>なし</t>
        </is>
      </c>
      <c r="J46" s="47" t="inlineStr">
        <is>
          <t>C06-03</t>
        </is>
      </c>
      <c r="K46" s="53">
        <f>IFERROR(INDEX(ケイパビリティマップ!$E:$E,MATCH(J46,ケイパビリティマップ!$A:$A,0)),"（IDなし）")</f>
        <v/>
      </c>
      <c r="L46" s="54">
        <f>COUNTIF('ケイパビリティ×情報オブジェクト'!AT$6:AT$37,"C")</f>
        <v/>
      </c>
      <c r="M46" s="54">
        <f>COUNTIF('ケイパビリティ×情報オブジェクト'!AT$6:AT$37,"R")</f>
        <v/>
      </c>
    </row>
    <row r="47" ht="26.85" customHeight="1">
      <c r="A47" s="47" t="inlineStr">
        <is>
          <t>WRK-04</t>
        </is>
      </c>
      <c r="B47" s="48" t="inlineStr">
        <is>
          <t>就業・健康</t>
        </is>
      </c>
      <c r="C47" s="49" t="inlineStr">
        <is>
          <t>健康診断・面接指導記録</t>
        </is>
      </c>
      <c r="D47" s="50" t="inlineStr">
        <is>
          <t>Health Check &amp; Physician Interview</t>
        </is>
      </c>
      <c r="E47" s="51" t="inlineStr">
        <is>
          <t>健康診断の結果、医師の意見、長時間労働者などの面接指導の記録</t>
        </is>
      </c>
      <c r="F47" s="48" t="inlineStr">
        <is>
          <t>測定データ</t>
        </is>
      </c>
      <c r="G47" s="48" t="inlineStr">
        <is>
          <t>安衛法</t>
        </is>
      </c>
      <c r="H47" s="52">
        <f>IF(G47="なし","—","対象候補")</f>
        <v/>
      </c>
      <c r="I47" s="48" t="inlineStr">
        <is>
          <t>要配慮個人情報</t>
        </is>
      </c>
      <c r="J47" s="47" t="inlineStr">
        <is>
          <t>C06-02</t>
        </is>
      </c>
      <c r="K47" s="53">
        <f>IFERROR(INDEX(ケイパビリティマップ!$E:$E,MATCH(J47,ケイパビリティマップ!$A:$A,0)),"（IDなし）")</f>
        <v/>
      </c>
      <c r="L47" s="54">
        <f>COUNTIF('ケイパビリティ×情報オブジェクト'!AU$6:AU$37,"C")</f>
        <v/>
      </c>
      <c r="M47" s="54">
        <f>COUNTIF('ケイパビリティ×情報オブジェクト'!AU$6:AU$37,"R")</f>
        <v/>
      </c>
    </row>
    <row r="48" ht="26.85" customHeight="1">
      <c r="A48" s="47" t="inlineStr">
        <is>
          <t>WRK-05</t>
        </is>
      </c>
      <c r="B48" s="48" t="inlineStr">
        <is>
          <t>就業・健康</t>
        </is>
      </c>
      <c r="C48" s="49" t="inlineStr">
        <is>
          <t>ストレスチェック結果</t>
        </is>
      </c>
      <c r="D48" s="50" t="inlineStr">
        <is>
          <t>Stress Check Result</t>
        </is>
      </c>
      <c r="E48" s="51" t="inlineStr">
        <is>
          <t>ストレスチェックの個人結果（本人の同意なく会社は見られない）と集団分析</t>
        </is>
      </c>
      <c r="F48" s="48" t="inlineStr">
        <is>
          <t>測定データ</t>
        </is>
      </c>
      <c r="G48" s="48" t="inlineStr">
        <is>
          <t>安衛法</t>
        </is>
      </c>
      <c r="H48" s="52">
        <f>IF(G48="なし","—","対象候補")</f>
        <v/>
      </c>
      <c r="I48" s="48" t="inlineStr">
        <is>
          <t>要配慮個人情報</t>
        </is>
      </c>
      <c r="J48" s="47" t="inlineStr">
        <is>
          <t>C06-02</t>
        </is>
      </c>
      <c r="K48" s="53">
        <f>IFERROR(INDEX(ケイパビリティマップ!$E:$E,MATCH(J48,ケイパビリティマップ!$A:$A,0)),"（IDなし）")</f>
        <v/>
      </c>
      <c r="L48" s="54">
        <f>COUNTIF('ケイパビリティ×情報オブジェクト'!AV$6:AV$37,"C")</f>
        <v/>
      </c>
      <c r="M48" s="54">
        <f>COUNTIF('ケイパビリティ×情報オブジェクト'!AV$6:AV$37,"R")</f>
        <v/>
      </c>
    </row>
    <row r="49" ht="26.85" customHeight="1">
      <c r="A49" s="47" t="inlineStr">
        <is>
          <t>WRK-06</t>
        </is>
      </c>
      <c r="B49" s="48" t="inlineStr">
        <is>
          <t>就業・健康</t>
        </is>
      </c>
      <c r="C49" s="49" t="inlineStr">
        <is>
          <t>労働災害記録</t>
        </is>
      </c>
      <c r="D49" s="50" t="inlineStr">
        <is>
          <t>Occupational Accident Record</t>
        </is>
      </c>
      <c r="E49" s="51" t="inlineStr">
        <is>
          <t>労働災害の内容・原因・再発防止策、労働者死傷病報告</t>
        </is>
      </c>
      <c r="F49" s="48" t="inlineStr">
        <is>
          <t>トランザクション</t>
        </is>
      </c>
      <c r="G49" s="48" t="inlineStr">
        <is>
          <t>安衛法</t>
        </is>
      </c>
      <c r="H49" s="52">
        <f>IF(G49="なし","—","対象候補")</f>
        <v/>
      </c>
      <c r="I49" s="48" t="inlineStr">
        <is>
          <t>要配慮個人情報</t>
        </is>
      </c>
      <c r="J49" s="47" t="inlineStr">
        <is>
          <t>C06-02</t>
        </is>
      </c>
      <c r="K49" s="53">
        <f>IFERROR(INDEX(ケイパビリティマップ!$E:$E,MATCH(J49,ケイパビリティマップ!$A:$A,0)),"（IDなし）")</f>
        <v/>
      </c>
      <c r="L49" s="54">
        <f>COUNTIF('ケイパビリティ×情報オブジェクト'!AW$6:AW$37,"C")</f>
        <v/>
      </c>
      <c r="M49" s="54">
        <f>COUNTIF('ケイパビリティ×情報オブジェクト'!AW$6:AW$37,"R")</f>
        <v/>
      </c>
    </row>
    <row r="50" ht="26.85" customHeight="1">
      <c r="A50" s="47" t="inlineStr">
        <is>
          <t>WRK-07</t>
        </is>
      </c>
      <c r="B50" s="48" t="inlineStr">
        <is>
          <t>就業・健康</t>
        </is>
      </c>
      <c r="C50" s="49" t="inlineStr">
        <is>
          <t>相談・ハラスメント事案記録</t>
        </is>
      </c>
      <c r="D50" s="50" t="inlineStr">
        <is>
          <t>Grievance &amp; Harassment Case</t>
        </is>
      </c>
      <c r="E50" s="51" t="inlineStr">
        <is>
          <t>相談・通報の内容、調査、措置、再発防止（懲戒の記録を含む）</t>
        </is>
      </c>
      <c r="F50" s="48" t="inlineStr">
        <is>
          <t>トランザクション</t>
        </is>
      </c>
      <c r="G50" s="48" t="inlineStr">
        <is>
          <t>労働施策総合推進法等</t>
        </is>
      </c>
      <c r="H50" s="52">
        <f>IF(G50="なし","—","対象候補")</f>
        <v/>
      </c>
      <c r="I50" s="48" t="inlineStr">
        <is>
          <t>要配慮個人情報</t>
        </is>
      </c>
      <c r="J50" s="47" t="inlineStr">
        <is>
          <t>C06-03</t>
        </is>
      </c>
      <c r="K50" s="53">
        <f>IFERROR(INDEX(ケイパビリティマップ!$E:$E,MATCH(J50,ケイパビリティマップ!$A:$A,0)),"（IDなし）")</f>
        <v/>
      </c>
      <c r="L50" s="54">
        <f>COUNTIF('ケイパビリティ×情報オブジェクト'!AX$6:AX$37,"C")</f>
        <v/>
      </c>
      <c r="M50" s="54">
        <f>COUNTIF('ケイパビリティ×情報オブジェクト'!AX$6:AX$37,"R")</f>
        <v/>
      </c>
    </row>
    <row r="51" ht="26.85" customHeight="1">
      <c r="A51" s="47" t="inlineStr">
        <is>
          <t>WRK-08</t>
        </is>
      </c>
      <c r="B51" s="48" t="inlineStr">
        <is>
          <t>就業・健康</t>
        </is>
      </c>
      <c r="C51" s="49" t="inlineStr">
        <is>
          <t>エンゲージメント調査結果</t>
        </is>
      </c>
      <c r="D51" s="50" t="inlineStr">
        <is>
          <t>Engagement Survey Result</t>
        </is>
      </c>
      <c r="E51" s="51" t="inlineStr">
        <is>
          <t>エンゲージメント・入社後サーベイの結果と改善計画</t>
        </is>
      </c>
      <c r="F51" s="48" t="inlineStr">
        <is>
          <t>測定データ</t>
        </is>
      </c>
      <c r="G51" s="48" t="inlineStr">
        <is>
          <t>なし</t>
        </is>
      </c>
      <c r="H51" s="52">
        <f>IF(G51="なし","—","対象候補")</f>
        <v/>
      </c>
      <c r="I51" s="48" t="inlineStr">
        <is>
          <t>個人情報</t>
        </is>
      </c>
      <c r="J51" s="47" t="inlineStr">
        <is>
          <t>C06-04</t>
        </is>
      </c>
      <c r="K51" s="53">
        <f>IFERROR(INDEX(ケイパビリティマップ!$E:$E,MATCH(J51,ケイパビリティマップ!$A:$A,0)),"（IDなし）")</f>
        <v/>
      </c>
      <c r="L51" s="54">
        <f>COUNTIF('ケイパビリティ×情報オブジェクト'!AY$6:AY$37,"C")</f>
        <v/>
      </c>
      <c r="M51" s="54">
        <f>COUNTIF('ケイパビリティ×情報オブジェクト'!AY$6:AY$37,"R")</f>
        <v/>
      </c>
    </row>
    <row r="52" ht="26.85" customHeight="1">
      <c r="A52" s="47" t="inlineStr">
        <is>
          <t>TAL-01</t>
        </is>
      </c>
      <c r="B52" s="48" t="inlineStr">
        <is>
          <t>タレント・配置</t>
        </is>
      </c>
      <c r="C52" s="49" t="inlineStr">
        <is>
          <t>タレントレビュー結果</t>
        </is>
      </c>
      <c r="D52" s="50" t="inlineStr">
        <is>
          <t>Talent Review</t>
        </is>
      </c>
      <c r="E52" s="51" t="inlineStr">
        <is>
          <t>人材の見極め（ポテンシャル・準備度）と育成方針</t>
        </is>
      </c>
      <c r="F52" s="48" t="inlineStr">
        <is>
          <t>分析・評価</t>
        </is>
      </c>
      <c r="G52" s="48" t="inlineStr">
        <is>
          <t>なし</t>
        </is>
      </c>
      <c r="H52" s="52">
        <f>IF(G52="なし","—","対象候補")</f>
        <v/>
      </c>
      <c r="I52" s="48" t="inlineStr">
        <is>
          <t>個人情報</t>
        </is>
      </c>
      <c r="J52" s="47" t="inlineStr">
        <is>
          <t>C07-01</t>
        </is>
      </c>
      <c r="K52" s="53">
        <f>IFERROR(INDEX(ケイパビリティマップ!$E:$E,MATCH(J52,ケイパビリティマップ!$A:$A,0)),"（IDなし）")</f>
        <v/>
      </c>
      <c r="L52" s="54">
        <f>COUNTIF('ケイパビリティ×情報オブジェクト'!AZ$6:AZ$37,"C")</f>
        <v/>
      </c>
      <c r="M52" s="54">
        <f>COUNTIF('ケイパビリティ×情報オブジェクト'!AZ$6:AZ$37,"R")</f>
        <v/>
      </c>
    </row>
    <row r="53" ht="26.85" customHeight="1">
      <c r="A53" s="47" t="inlineStr">
        <is>
          <t>TAL-02</t>
        </is>
      </c>
      <c r="B53" s="48" t="inlineStr">
        <is>
          <t>タレント・配置</t>
        </is>
      </c>
      <c r="C53" s="49" t="inlineStr">
        <is>
          <t>異動計画</t>
        </is>
      </c>
      <c r="D53" s="50" t="inlineStr">
        <is>
          <t>Transfer Plan</t>
        </is>
      </c>
      <c r="E53" s="51" t="inlineStr">
        <is>
          <t>定期異動・社内公募・出向の計画と調整の状況</t>
        </is>
      </c>
      <c r="F53" s="48" t="inlineStr">
        <is>
          <t>文書</t>
        </is>
      </c>
      <c r="G53" s="48" t="inlineStr">
        <is>
          <t>なし</t>
        </is>
      </c>
      <c r="H53" s="52">
        <f>IF(G53="なし","—","対象候補")</f>
        <v/>
      </c>
      <c r="I53" s="48" t="inlineStr">
        <is>
          <t>個人情報</t>
        </is>
      </c>
      <c r="J53" s="47" t="inlineStr">
        <is>
          <t>C07-01</t>
        </is>
      </c>
      <c r="K53" s="53">
        <f>IFERROR(INDEX(ケイパビリティマップ!$E:$E,MATCH(J53,ケイパビリティマップ!$A:$A,0)),"（IDなし）")</f>
        <v/>
      </c>
      <c r="L53" s="54">
        <f>COUNTIF('ケイパビリティ×情報オブジェクト'!BA$6:BA$37,"C")</f>
        <v/>
      </c>
      <c r="M53" s="54">
        <f>COUNTIF('ケイパビリティ×情報オブジェクト'!BA$6:BA$37,"R")</f>
        <v/>
      </c>
    </row>
    <row r="54" ht="26.85" customHeight="1">
      <c r="A54" s="47" t="inlineStr">
        <is>
          <t>TAL-03</t>
        </is>
      </c>
      <c r="B54" s="48" t="inlineStr">
        <is>
          <t>タレント・配置</t>
        </is>
      </c>
      <c r="C54" s="49" t="inlineStr">
        <is>
          <t>昇格審査記録</t>
        </is>
      </c>
      <c r="D54" s="50" t="inlineStr">
        <is>
          <t>Promotion Assessment</t>
        </is>
      </c>
      <c r="E54" s="51" t="inlineStr">
        <is>
          <t>昇格候補者、試験・アセスメントの結果、昇格の判定</t>
        </is>
      </c>
      <c r="F54" s="48" t="inlineStr">
        <is>
          <t>分析・評価</t>
        </is>
      </c>
      <c r="G54" s="48" t="inlineStr">
        <is>
          <t>なし</t>
        </is>
      </c>
      <c r="H54" s="52">
        <f>IF(G54="なし","—","対象候補")</f>
        <v/>
      </c>
      <c r="I54" s="48" t="inlineStr">
        <is>
          <t>個人情報</t>
        </is>
      </c>
      <c r="J54" s="47" t="inlineStr">
        <is>
          <t>C07-02</t>
        </is>
      </c>
      <c r="K54" s="53">
        <f>IFERROR(INDEX(ケイパビリティマップ!$E:$E,MATCH(J54,ケイパビリティマップ!$A:$A,0)),"（IDなし）")</f>
        <v/>
      </c>
      <c r="L54" s="54">
        <f>COUNTIF('ケイパビリティ×情報オブジェクト'!BB$6:BB$37,"C")</f>
        <v/>
      </c>
      <c r="M54" s="54">
        <f>COUNTIF('ケイパビリティ×情報オブジェクト'!BB$6:BB$37,"R")</f>
        <v/>
      </c>
    </row>
    <row r="55" ht="26.85" customHeight="1">
      <c r="A55" s="47" t="inlineStr">
        <is>
          <t>TAL-04</t>
        </is>
      </c>
      <c r="B55" s="48" t="inlineStr">
        <is>
          <t>タレント・配置</t>
        </is>
      </c>
      <c r="C55" s="49" t="inlineStr">
        <is>
          <t>後継者計画</t>
        </is>
      </c>
      <c r="D55" s="50" t="inlineStr">
        <is>
          <t>Succession Plan</t>
        </is>
      </c>
      <c r="E55" s="51" t="inlineStr">
        <is>
          <t>重要ポストと後継候補、準備度、育成計画</t>
        </is>
      </c>
      <c r="F55" s="48" t="inlineStr">
        <is>
          <t>文書</t>
        </is>
      </c>
      <c r="G55" s="48" t="inlineStr">
        <is>
          <t>なし</t>
        </is>
      </c>
      <c r="H55" s="52">
        <f>IF(G55="なし","—","対象候補")</f>
        <v/>
      </c>
      <c r="I55" s="48" t="inlineStr">
        <is>
          <t>個人情報</t>
        </is>
      </c>
      <c r="J55" s="47" t="inlineStr">
        <is>
          <t>C07-03</t>
        </is>
      </c>
      <c r="K55" s="53">
        <f>IFERROR(INDEX(ケイパビリティマップ!$E:$E,MATCH(J55,ケイパビリティマップ!$A:$A,0)),"（IDなし）")</f>
        <v/>
      </c>
      <c r="L55" s="54">
        <f>COUNTIF('ケイパビリティ×情報オブジェクト'!BC$6:BC$37,"C")</f>
        <v/>
      </c>
      <c r="M55" s="54">
        <f>COUNTIF('ケイパビリティ×情報オブジェクト'!BC$6:BC$37,"R")</f>
        <v/>
      </c>
    </row>
    <row r="56" ht="26.85" customHeight="1">
      <c r="A56" s="47" t="inlineStr">
        <is>
          <t>TAL-05</t>
        </is>
      </c>
      <c r="B56" s="48" t="inlineStr">
        <is>
          <t>タレント・配置</t>
        </is>
      </c>
      <c r="C56" s="49" t="inlineStr">
        <is>
          <t>ダイバーシティ行動計画・指標</t>
        </is>
      </c>
      <c r="D56" s="50" t="inlineStr">
        <is>
          <t>Diversity Action Plan &amp; Metrics</t>
        </is>
      </c>
      <c r="E56" s="51" t="inlineStr">
        <is>
          <t>女性活躍・次世代法の行動計画、障害者雇用状況報告、公表する指標</t>
        </is>
      </c>
      <c r="F56" s="48" t="inlineStr">
        <is>
          <t>文書</t>
        </is>
      </c>
      <c r="G56" s="48" t="inlineStr">
        <is>
          <t>女性活躍推進法・障害者雇用促進法・育介法</t>
        </is>
      </c>
      <c r="H56" s="52">
        <f>IF(G56="なし","—","対象候補")</f>
        <v/>
      </c>
      <c r="I56" s="48" t="inlineStr">
        <is>
          <t>なし</t>
        </is>
      </c>
      <c r="J56" s="47" t="inlineStr">
        <is>
          <t>C07-04</t>
        </is>
      </c>
      <c r="K56" s="53">
        <f>IFERROR(INDEX(ケイパビリティマップ!$E:$E,MATCH(J56,ケイパビリティマップ!$A:$A,0)),"（IDなし）")</f>
        <v/>
      </c>
      <c r="L56" s="54">
        <f>COUNTIF('ケイパビリティ×情報オブジェクト'!BD$6:BD$37,"C")</f>
        <v/>
      </c>
      <c r="M56" s="54">
        <f>COUNTIF('ケイパビリティ×情報オブジェクト'!BD$6:BD$37,"R")</f>
        <v/>
      </c>
    </row>
    <row r="57" ht="26.85" customHeight="1">
      <c r="A57" s="47" t="inlineStr">
        <is>
          <t>OFF-01</t>
        </is>
      </c>
      <c r="B57" s="48" t="inlineStr">
        <is>
          <t>退職</t>
        </is>
      </c>
      <c r="C57" s="49" t="inlineStr">
        <is>
          <t>退職情報</t>
        </is>
      </c>
      <c r="D57" s="50" t="inlineStr">
        <is>
          <t>Separation Record</t>
        </is>
      </c>
      <c r="E57" s="51" t="inlineStr">
        <is>
          <t>退職届、退職日・最終出社日、退職事由（自己都合・定年・契約満了・解雇等）</t>
        </is>
      </c>
      <c r="F57" s="48" t="inlineStr">
        <is>
          <t>トランザクション</t>
        </is>
      </c>
      <c r="G57" s="48" t="inlineStr">
        <is>
          <t>労基法</t>
        </is>
      </c>
      <c r="H57" s="52">
        <f>IF(G57="なし","—","対象候補")</f>
        <v/>
      </c>
      <c r="I57" s="48" t="inlineStr">
        <is>
          <t>個人情報</t>
        </is>
      </c>
      <c r="J57" s="47" t="inlineStr">
        <is>
          <t>C08-01</t>
        </is>
      </c>
      <c r="K57" s="53">
        <f>IFERROR(INDEX(ケイパビリティマップ!$E:$E,MATCH(J57,ケイパビリティマップ!$A:$A,0)),"（IDなし）")</f>
        <v/>
      </c>
      <c r="L57" s="54">
        <f>COUNTIF('ケイパビリティ×情報オブジェクト'!BE$6:BE$37,"C")</f>
        <v/>
      </c>
      <c r="M57" s="54">
        <f>COUNTIF('ケイパビリティ×情報オブジェクト'!BE$6:BE$37,"R")</f>
        <v/>
      </c>
    </row>
    <row r="58" ht="26.85" customHeight="1">
      <c r="A58" s="47" t="inlineStr">
        <is>
          <t>OFF-02</t>
        </is>
      </c>
      <c r="B58" s="48" t="inlineStr">
        <is>
          <t>退職</t>
        </is>
      </c>
      <c r="C58" s="49" t="inlineStr">
        <is>
          <t>資格喪失届・離職票</t>
        </is>
      </c>
      <c r="D58" s="50" t="inlineStr">
        <is>
          <t>Loss of Coverage &amp; Separation Notice</t>
        </is>
      </c>
      <c r="E58" s="51" t="inlineStr">
        <is>
          <t>社会保険・雇用保険の資格喪失届、離職証明書・離職票</t>
        </is>
      </c>
      <c r="F58" s="48" t="inlineStr">
        <is>
          <t>文書</t>
        </is>
      </c>
      <c r="G58" s="48" t="inlineStr">
        <is>
          <t>社会保険・雇用保険</t>
        </is>
      </c>
      <c r="H58" s="52">
        <f>IF(G58="なし","—","対象候補")</f>
        <v/>
      </c>
      <c r="I58" s="48" t="inlineStr">
        <is>
          <t>個人情報</t>
        </is>
      </c>
      <c r="J58" s="47" t="inlineStr">
        <is>
          <t>C08-01</t>
        </is>
      </c>
      <c r="K58" s="53">
        <f>IFERROR(INDEX(ケイパビリティマップ!$E:$E,MATCH(J58,ケイパビリティマップ!$A:$A,0)),"（IDなし）")</f>
        <v/>
      </c>
      <c r="L58" s="54">
        <f>COUNTIF('ケイパビリティ×情報オブジェクト'!BF$6:BF$37,"C")</f>
        <v/>
      </c>
      <c r="M58" s="54">
        <f>COUNTIF('ケイパビリティ×情報オブジェクト'!BF$6:BF$37,"R")</f>
        <v/>
      </c>
    </row>
    <row r="59" ht="26.85" customHeight="1">
      <c r="A59" s="47" t="inlineStr">
        <is>
          <t>OFF-03</t>
        </is>
      </c>
      <c r="B59" s="48" t="inlineStr">
        <is>
          <t>退職</t>
        </is>
      </c>
      <c r="C59" s="49" t="inlineStr">
        <is>
          <t>退職時交付書類</t>
        </is>
      </c>
      <c r="D59" s="50" t="inlineStr">
        <is>
          <t>Separation Documents</t>
        </is>
      </c>
      <c r="E59" s="51" t="inlineStr">
        <is>
          <t>源泉徴収票・退職所得の源泉徴収票・退職証明書・秘密保持の誓約書</t>
        </is>
      </c>
      <c r="F59" s="48" t="inlineStr">
        <is>
          <t>文書</t>
        </is>
      </c>
      <c r="G59" s="48" t="inlineStr">
        <is>
          <t>税法・労基法</t>
        </is>
      </c>
      <c r="H59" s="52">
        <f>IF(G59="なし","—","対象候補")</f>
        <v/>
      </c>
      <c r="I59" s="48" t="inlineStr">
        <is>
          <t>個人情報</t>
        </is>
      </c>
      <c r="J59" s="47" t="inlineStr">
        <is>
          <t>C08-01</t>
        </is>
      </c>
      <c r="K59" s="53">
        <f>IFERROR(INDEX(ケイパビリティマップ!$E:$E,MATCH(J59,ケイパビリティマップ!$A:$A,0)),"（IDなし）")</f>
        <v/>
      </c>
      <c r="L59" s="54">
        <f>COUNTIF('ケイパビリティ×情報オブジェクト'!BG$6:BG$37,"C")</f>
        <v/>
      </c>
      <c r="M59" s="54">
        <f>COUNTIF('ケイパビリティ×情報オブジェクト'!BG$6:BG$37,"R")</f>
        <v/>
      </c>
    </row>
    <row r="60" ht="26.85" customHeight="1">
      <c r="A60" s="47" t="inlineStr">
        <is>
          <t>OFF-04</t>
        </is>
      </c>
      <c r="B60" s="48" t="inlineStr">
        <is>
          <t>退職</t>
        </is>
      </c>
      <c r="C60" s="49" t="inlineStr">
        <is>
          <t>引継ぎ記録</t>
        </is>
      </c>
      <c r="D60" s="50" t="inlineStr">
        <is>
          <t>Handover Record</t>
        </is>
      </c>
      <c r="E60" s="51" t="inlineStr">
        <is>
          <t>業務・ナレッジの引継ぎ計画と引継ぎ書</t>
        </is>
      </c>
      <c r="F60" s="48" t="inlineStr">
        <is>
          <t>文書</t>
        </is>
      </c>
      <c r="G60" s="48" t="inlineStr">
        <is>
          <t>なし</t>
        </is>
      </c>
      <c r="H60" s="52">
        <f>IF(G60="なし","—","対象候補")</f>
        <v/>
      </c>
      <c r="I60" s="48" t="inlineStr">
        <is>
          <t>なし</t>
        </is>
      </c>
      <c r="J60" s="47" t="inlineStr">
        <is>
          <t>C08-03</t>
        </is>
      </c>
      <c r="K60" s="53">
        <f>IFERROR(INDEX(ケイパビリティマップ!$E:$E,MATCH(J60,ケイパビリティマップ!$A:$A,0)),"（IDなし）")</f>
        <v/>
      </c>
      <c r="L60" s="54">
        <f>COUNTIF('ケイパビリティ×情報オブジェクト'!BH$6:BH$37,"C")</f>
        <v/>
      </c>
      <c r="M60" s="54">
        <f>COUNTIF('ケイパビリティ×情報オブジェクト'!BH$6:BH$37,"R")</f>
        <v/>
      </c>
    </row>
    <row r="61" ht="26.85" customHeight="1">
      <c r="A61" s="47" t="inlineStr">
        <is>
          <t>OFF-05</t>
        </is>
      </c>
      <c r="B61" s="48" t="inlineStr">
        <is>
          <t>退職</t>
        </is>
      </c>
      <c r="C61" s="49" t="inlineStr">
        <is>
          <t>退職面談記録</t>
        </is>
      </c>
      <c r="D61" s="50" t="inlineStr">
        <is>
          <t>Exit Interview</t>
        </is>
      </c>
      <c r="E61" s="51" t="inlineStr">
        <is>
          <t>退職理由の聞き取りと、離職傾向の分析</t>
        </is>
      </c>
      <c r="F61" s="48" t="inlineStr">
        <is>
          <t>分析・評価</t>
        </is>
      </c>
      <c r="G61" s="48" t="inlineStr">
        <is>
          <t>なし</t>
        </is>
      </c>
      <c r="H61" s="52">
        <f>IF(G61="なし","—","対象候補")</f>
        <v/>
      </c>
      <c r="I61" s="48" t="inlineStr">
        <is>
          <t>個人情報</t>
        </is>
      </c>
      <c r="J61" s="47" t="inlineStr">
        <is>
          <t>C08-03</t>
        </is>
      </c>
      <c r="K61" s="53">
        <f>IFERROR(INDEX(ケイパビリティマップ!$E:$E,MATCH(J61,ケイパビリティマップ!$A:$A,0)),"（IDなし）")</f>
        <v/>
      </c>
      <c r="L61" s="54">
        <f>COUNTIF('ケイパビリティ×情報オブジェクト'!BI$6:BI$37,"C")</f>
        <v/>
      </c>
      <c r="M61" s="54">
        <f>COUNTIF('ケイパビリティ×情報オブジェクト'!BI$6:BI$37,"R")</f>
        <v/>
      </c>
    </row>
    <row r="62" ht="26.85" customHeight="1">
      <c r="A62" s="47" t="inlineStr">
        <is>
          <t>OFF-06</t>
        </is>
      </c>
      <c r="B62" s="48" t="inlineStr">
        <is>
          <t>退職</t>
        </is>
      </c>
      <c r="C62" s="49" t="inlineStr">
        <is>
          <t>定年・再雇用情報</t>
        </is>
      </c>
      <c r="D62" s="50" t="inlineStr">
        <is>
          <t>Retirement &amp; Re-employment</t>
        </is>
      </c>
      <c r="E62" s="51" t="inlineStr">
        <is>
          <t>定年予定者、継続雇用の意向、再雇用の条件、就業確保措置</t>
        </is>
      </c>
      <c r="F62" s="48" t="inlineStr">
        <is>
          <t>トランザクション</t>
        </is>
      </c>
      <c r="G62" s="48" t="inlineStr">
        <is>
          <t>高年法</t>
        </is>
      </c>
      <c r="H62" s="52">
        <f>IF(G62="なし","—","対象候補")</f>
        <v/>
      </c>
      <c r="I62" s="48" t="inlineStr">
        <is>
          <t>個人情報</t>
        </is>
      </c>
      <c r="J62" s="47" t="inlineStr">
        <is>
          <t>C08-02</t>
        </is>
      </c>
      <c r="K62" s="53">
        <f>IFERROR(INDEX(ケイパビリティマップ!$E:$E,MATCH(J62,ケイパビリティマップ!$A:$A,0)),"（IDなし）")</f>
        <v/>
      </c>
      <c r="L62" s="54">
        <f>COUNTIF('ケイパビリティ×情報オブジェクト'!BJ$6:BJ$37,"C")</f>
        <v/>
      </c>
      <c r="M62" s="54">
        <f>COUNTIF('ケイパビリティ×情報オブジェクト'!BJ$6:BJ$37,"R")</f>
        <v/>
      </c>
    </row>
    <row r="63" ht="26.85" customHeight="1">
      <c r="A63" s="47" t="inlineStr">
        <is>
          <t>OFF-07</t>
        </is>
      </c>
      <c r="B63" s="48" t="inlineStr">
        <is>
          <t>退職</t>
        </is>
      </c>
      <c r="C63" s="49" t="inlineStr">
        <is>
          <t>アルムナイ情報</t>
        </is>
      </c>
      <c r="D63" s="50" t="inlineStr">
        <is>
          <t>Alumni</t>
        </is>
      </c>
      <c r="E63" s="51" t="inlineStr">
        <is>
          <t>退職者の連絡先と、再入社・協業の意向（本人の同意に基づく）</t>
        </is>
      </c>
      <c r="F63" s="48" t="inlineStr">
        <is>
          <t>マスタ</t>
        </is>
      </c>
      <c r="G63" s="48" t="inlineStr">
        <is>
          <t>個人情報保護法</t>
        </is>
      </c>
      <c r="H63" s="52">
        <f>IF(G63="なし","—","対象候補")</f>
        <v/>
      </c>
      <c r="I63" s="48" t="inlineStr">
        <is>
          <t>個人情報</t>
        </is>
      </c>
      <c r="J63" s="47" t="inlineStr">
        <is>
          <t>C08-03</t>
        </is>
      </c>
      <c r="K63" s="53">
        <f>IFERROR(INDEX(ケイパビリティマップ!$E:$E,MATCH(J63,ケイパビリティマップ!$A:$A,0)),"（IDなし）")</f>
        <v/>
      </c>
      <c r="L63" s="54">
        <f>COUNTIF('ケイパビリティ×情報オブジェクト'!BK$6:BK$37,"C")</f>
        <v/>
      </c>
      <c r="M63" s="54">
        <f>COUNTIF('ケイパビリティ×情報オブジェクト'!BK$6:BK$37,"R")</f>
        <v/>
      </c>
    </row>
  </sheetData>
  <autoFilter ref="A3:M63"/>
  <dataValidations count="2">
    <dataValidation sqref="F4:F63" showDropDown="0" showInputMessage="0" showErrorMessage="0" allowBlank="1" type="list">
      <formula1>"マスタ,定義・仕様,トランザクション,測定データ,分析・評価,文書"</formula1>
    </dataValidation>
    <dataValidation sqref="I4:I63" showDropDown="0" showInputMessage="0" showErrorMessage="0" allowBlank="1" type="list">
      <formula1>"要配慮個人情報,特定個人情報,個人情報,なし"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8B57"/>
    <outlinePr summaryBelow="1" summaryRight="1"/>
    <pageSetUpPr/>
  </sheetPr>
  <dimension ref="A1:BM39"/>
  <sheetViews>
    <sheetView zoomScale="10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28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4.6" customWidth="1" min="35" max="35"/>
    <col width="4.6" customWidth="1" min="36" max="36"/>
    <col width="4.6" customWidth="1" min="37" max="37"/>
    <col width="4.6" customWidth="1" min="38" max="38"/>
    <col width="4.6" customWidth="1" min="39" max="39"/>
    <col width="4.6" customWidth="1" min="40" max="40"/>
    <col width="4.6" customWidth="1" min="41" max="41"/>
    <col width="4.6" customWidth="1" min="42" max="42"/>
    <col width="4.6" customWidth="1" min="43" max="43"/>
    <col width="4.6" customWidth="1" min="44" max="44"/>
    <col width="4.6" customWidth="1" min="45" max="45"/>
    <col width="4.6" customWidth="1" min="46" max="46"/>
    <col width="4.6" customWidth="1" min="47" max="47"/>
    <col width="4.6" customWidth="1" min="48" max="48"/>
    <col width="4.6" customWidth="1" min="49" max="49"/>
    <col width="4.6" customWidth="1" min="50" max="50"/>
    <col width="4.6" customWidth="1" min="51" max="51"/>
    <col width="4.6" customWidth="1" min="52" max="52"/>
    <col width="4.6" customWidth="1" min="53" max="53"/>
    <col width="4.6" customWidth="1" min="54" max="54"/>
    <col width="4.6" customWidth="1" min="55" max="55"/>
    <col width="4.6" customWidth="1" min="56" max="56"/>
    <col width="4.6" customWidth="1" min="57" max="57"/>
    <col width="4.6" customWidth="1" min="58" max="58"/>
    <col width="4.6" customWidth="1" min="59" max="59"/>
    <col width="4.6" customWidth="1" min="60" max="60"/>
    <col width="4.6" customWidth="1" min="61" max="61"/>
    <col width="4.6" customWidth="1" min="62" max="62"/>
    <col width="4.6" customWidth="1" min="63" max="63"/>
    <col width="7.5" customWidth="1" min="64" max="64"/>
    <col width="7.5" customWidth="1" min="65" max="65"/>
  </cols>
  <sheetData>
    <row r="1" ht="21.6" customHeight="1">
      <c r="A1" s="43" t="inlineStr">
        <is>
          <t>ケイパビリティ×情報オブジェクト（正本：行＝ケイパビリティL2 × 列＝情報オブジェクト）</t>
        </is>
      </c>
    </row>
    <row r="2" ht="15" customHeight="1">
      <c r="A2" s="44" t="inlineStr">
        <is>
          <t>C＝作成・更新（その能力の中で生み出す／維持する情報。オーナーのL2は必ずC）　R＝利用（その能力が入力として参照する情報）　空欄＝関係なし。VSのL4の入力情報（R）・出力情報（主の能力はC、支援の能力はR）から導いたうえで、オーナーのL2をCとした。</t>
        </is>
      </c>
    </row>
    <row r="4" ht="29.85" customHeight="1">
      <c r="A4" s="45" t="inlineStr">
        <is>
          <t>ケイパビリティL1</t>
        </is>
      </c>
      <c r="B4" s="45" t="inlineStr">
        <is>
          <t>L2 ID</t>
        </is>
      </c>
      <c r="C4" s="45" t="inlineStr">
        <is>
          <t>ケイパビリティL2</t>
        </is>
      </c>
      <c r="D4" s="55" t="inlineStr">
        <is>
          <t>共通・組織</t>
        </is>
      </c>
      <c r="M4" s="55" t="inlineStr">
        <is>
          <t>採用</t>
        </is>
      </c>
      <c r="S4" s="55" t="inlineStr">
        <is>
          <t>雇用・従業員</t>
        </is>
      </c>
      <c r="AB4" s="55" t="inlineStr">
        <is>
          <t>育成</t>
        </is>
      </c>
      <c r="AF4" s="55" t="inlineStr">
        <is>
          <t>評価・報酬</t>
        </is>
      </c>
      <c r="AK4" s="55" t="inlineStr">
        <is>
          <t>給与・社会保険</t>
        </is>
      </c>
      <c r="AR4" s="55" t="inlineStr">
        <is>
          <t>就業・健康</t>
        </is>
      </c>
      <c r="AZ4" s="55" t="inlineStr">
        <is>
          <t>タレント・配置</t>
        </is>
      </c>
      <c r="BE4" s="55" t="inlineStr">
        <is>
          <t>退職</t>
        </is>
      </c>
      <c r="BL4" s="46" t="inlineStr">
        <is>
          <t>Cの数</t>
        </is>
      </c>
      <c r="BM4" s="46" t="inlineStr">
        <is>
          <t>Rの数</t>
        </is>
      </c>
    </row>
    <row r="5" ht="214.5" customHeight="1">
      <c r="D5" s="56">
        <f>情報オブジェクト!C4</f>
        <v/>
      </c>
      <c r="E5" s="56">
        <f>情報オブジェクト!C5</f>
        <v/>
      </c>
      <c r="F5" s="56">
        <f>情報オブジェクト!C6</f>
        <v/>
      </c>
      <c r="G5" s="56">
        <f>情報オブジェクト!C7</f>
        <v/>
      </c>
      <c r="H5" s="56">
        <f>情報オブジェクト!C8</f>
        <v/>
      </c>
      <c r="I5" s="56">
        <f>情報オブジェクト!C9</f>
        <v/>
      </c>
      <c r="J5" s="56">
        <f>情報オブジェクト!C10</f>
        <v/>
      </c>
      <c r="K5" s="56">
        <f>情報オブジェクト!C11</f>
        <v/>
      </c>
      <c r="L5" s="56">
        <f>情報オブジェクト!C12</f>
        <v/>
      </c>
      <c r="M5" s="56">
        <f>情報オブジェクト!C13</f>
        <v/>
      </c>
      <c r="N5" s="56">
        <f>情報オブジェクト!C14</f>
        <v/>
      </c>
      <c r="O5" s="56">
        <f>情報オブジェクト!C15</f>
        <v/>
      </c>
      <c r="P5" s="56">
        <f>情報オブジェクト!C16</f>
        <v/>
      </c>
      <c r="Q5" s="56">
        <f>情報オブジェクト!C17</f>
        <v/>
      </c>
      <c r="R5" s="56">
        <f>情報オブジェクト!C18</f>
        <v/>
      </c>
      <c r="S5" s="56">
        <f>情報オブジェクト!C19</f>
        <v/>
      </c>
      <c r="T5" s="56">
        <f>情報オブジェクト!C20</f>
        <v/>
      </c>
      <c r="U5" s="56">
        <f>情報オブジェクト!C21</f>
        <v/>
      </c>
      <c r="V5" s="56">
        <f>情報オブジェクト!C22</f>
        <v/>
      </c>
      <c r="W5" s="56">
        <f>情報オブジェクト!C23</f>
        <v/>
      </c>
      <c r="X5" s="56">
        <f>情報オブジェクト!C24</f>
        <v/>
      </c>
      <c r="Y5" s="56">
        <f>情報オブジェクト!C25</f>
        <v/>
      </c>
      <c r="Z5" s="56">
        <f>情報オブジェクト!C26</f>
        <v/>
      </c>
      <c r="AA5" s="56">
        <f>情報オブジェクト!C27</f>
        <v/>
      </c>
      <c r="AB5" s="56">
        <f>情報オブジェクト!C28</f>
        <v/>
      </c>
      <c r="AC5" s="56">
        <f>情報オブジェクト!C29</f>
        <v/>
      </c>
      <c r="AD5" s="56">
        <f>情報オブジェクト!C30</f>
        <v/>
      </c>
      <c r="AE5" s="56">
        <f>情報オブジェクト!C31</f>
        <v/>
      </c>
      <c r="AF5" s="56">
        <f>情報オブジェクト!C32</f>
        <v/>
      </c>
      <c r="AG5" s="56">
        <f>情報オブジェクト!C33</f>
        <v/>
      </c>
      <c r="AH5" s="56">
        <f>情報オブジェクト!C34</f>
        <v/>
      </c>
      <c r="AI5" s="56">
        <f>情報オブジェクト!C35</f>
        <v/>
      </c>
      <c r="AJ5" s="56">
        <f>情報オブジェクト!C36</f>
        <v/>
      </c>
      <c r="AK5" s="56">
        <f>情報オブジェクト!C37</f>
        <v/>
      </c>
      <c r="AL5" s="56">
        <f>情報オブジェクト!C38</f>
        <v/>
      </c>
      <c r="AM5" s="56">
        <f>情報オブジェクト!C39</f>
        <v/>
      </c>
      <c r="AN5" s="56">
        <f>情報オブジェクト!C40</f>
        <v/>
      </c>
      <c r="AO5" s="56">
        <f>情報オブジェクト!C41</f>
        <v/>
      </c>
      <c r="AP5" s="56">
        <f>情報オブジェクト!C42</f>
        <v/>
      </c>
      <c r="AQ5" s="56">
        <f>情報オブジェクト!C43</f>
        <v/>
      </c>
      <c r="AR5" s="56">
        <f>情報オブジェクト!C44</f>
        <v/>
      </c>
      <c r="AS5" s="56">
        <f>情報オブジェクト!C45</f>
        <v/>
      </c>
      <c r="AT5" s="56">
        <f>情報オブジェクト!C46</f>
        <v/>
      </c>
      <c r="AU5" s="56">
        <f>情報オブジェクト!C47</f>
        <v/>
      </c>
      <c r="AV5" s="56">
        <f>情報オブジェクト!C48</f>
        <v/>
      </c>
      <c r="AW5" s="56">
        <f>情報オブジェクト!C49</f>
        <v/>
      </c>
      <c r="AX5" s="56">
        <f>情報オブジェクト!C50</f>
        <v/>
      </c>
      <c r="AY5" s="56">
        <f>情報オブジェクト!C51</f>
        <v/>
      </c>
      <c r="AZ5" s="56">
        <f>情報オブジェクト!C52</f>
        <v/>
      </c>
      <c r="BA5" s="56">
        <f>情報オブジェクト!C53</f>
        <v/>
      </c>
      <c r="BB5" s="56">
        <f>情報オブジェクト!C54</f>
        <v/>
      </c>
      <c r="BC5" s="56">
        <f>情報オブジェクト!C55</f>
        <v/>
      </c>
      <c r="BD5" s="56">
        <f>情報オブジェクト!C56</f>
        <v/>
      </c>
      <c r="BE5" s="56">
        <f>情報オブジェクト!C57</f>
        <v/>
      </c>
      <c r="BF5" s="56">
        <f>情報オブジェクト!C58</f>
        <v/>
      </c>
      <c r="BG5" s="56">
        <f>情報オブジェクト!C59</f>
        <v/>
      </c>
      <c r="BH5" s="56">
        <f>情報オブジェクト!C60</f>
        <v/>
      </c>
      <c r="BI5" s="56">
        <f>情報オブジェクト!C61</f>
        <v/>
      </c>
      <c r="BJ5" s="56">
        <f>情報オブジェクト!C62</f>
        <v/>
      </c>
      <c r="BK5" s="56">
        <f>情報オブジェクト!C63</f>
        <v/>
      </c>
    </row>
    <row r="6">
      <c r="A6" s="57" t="inlineStr">
        <is>
          <t>C01 人事戦略・組織設計</t>
        </is>
      </c>
      <c r="B6" s="47" t="inlineStr">
        <is>
          <t>C01-01</t>
        </is>
      </c>
      <c r="C6" s="58">
        <f>IFERROR(INDEX(ケイパビリティマップ!$E:$E,MATCH(B6,ケイパビリティマップ!$A:$A,0)),"（IDなし）")</f>
        <v/>
      </c>
      <c r="D6" s="59" t="n"/>
      <c r="E6" s="59" t="n"/>
      <c r="F6" s="59" t="n"/>
      <c r="G6" s="59" t="inlineStr">
        <is>
          <t>C</t>
        </is>
      </c>
      <c r="H6" s="59" t="inlineStr">
        <is>
          <t>C</t>
        </is>
      </c>
      <c r="I6" s="59" t="inlineStr">
        <is>
          <t>C</t>
        </is>
      </c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  <c r="AC6" s="59" t="inlineStr">
        <is>
          <t>R</t>
        </is>
      </c>
      <c r="AD6" s="59" t="n"/>
      <c r="AE6" s="59" t="n"/>
      <c r="AF6" s="59" t="n"/>
      <c r="AG6" s="59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inlineStr">
        <is>
          <t>R</t>
        </is>
      </c>
      <c r="AU6" s="59" t="n"/>
      <c r="AV6" s="59" t="n"/>
      <c r="AW6" s="59" t="n"/>
      <c r="AX6" s="59" t="n"/>
      <c r="AY6" s="59" t="inlineStr">
        <is>
          <t>R</t>
        </is>
      </c>
      <c r="AZ6" s="59" t="n"/>
      <c r="BA6" s="59" t="n"/>
      <c r="BB6" s="59" t="n"/>
      <c r="BC6" s="59" t="n"/>
      <c r="BD6" s="59" t="inlineStr">
        <is>
          <t>R</t>
        </is>
      </c>
      <c r="BE6" s="59" t="n"/>
      <c r="BF6" s="59" t="n"/>
      <c r="BG6" s="59" t="n"/>
      <c r="BH6" s="59" t="n"/>
      <c r="BI6" s="59" t="n"/>
      <c r="BJ6" s="59" t="n"/>
      <c r="BK6" s="59" t="n"/>
      <c r="BL6" s="54">
        <f>COUNTIF(D6:BK6,"C")</f>
        <v/>
      </c>
      <c r="BM6" s="54">
        <f>COUNTIF(D6:BK6,"R")</f>
        <v/>
      </c>
    </row>
    <row r="7">
      <c r="A7" s="57" t="n"/>
      <c r="B7" s="47" t="inlineStr">
        <is>
          <t>C01-02</t>
        </is>
      </c>
      <c r="C7" s="58">
        <f>IFERROR(INDEX(ケイパビリティマップ!$E:$E,MATCH(B7,ケイパビリティマップ!$A:$A,0)),"（IDなし）")</f>
        <v/>
      </c>
      <c r="D7" s="59" t="inlineStr">
        <is>
          <t>R</t>
        </is>
      </c>
      <c r="E7" s="59" t="n"/>
      <c r="F7" s="59" t="n"/>
      <c r="G7" s="59" t="n"/>
      <c r="H7" s="59" t="inlineStr">
        <is>
          <t>R</t>
        </is>
      </c>
      <c r="I7" s="59" t="n"/>
      <c r="J7" s="59" t="inlineStr">
        <is>
          <t>C</t>
        </is>
      </c>
      <c r="K7" s="59" t="inlineStr">
        <is>
          <t>C</t>
        </is>
      </c>
      <c r="L7" s="59" t="inlineStr">
        <is>
          <t>C</t>
        </is>
      </c>
      <c r="M7" s="59" t="n"/>
      <c r="N7" s="59" t="n"/>
      <c r="O7" s="59" t="n"/>
      <c r="P7" s="59" t="n"/>
      <c r="Q7" s="59" t="n"/>
      <c r="R7" s="59" t="n"/>
      <c r="S7" s="59" t="inlineStr">
        <is>
          <t>R</t>
        </is>
      </c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59" t="n"/>
      <c r="AH7" s="59" t="inlineStr">
        <is>
          <t>R</t>
        </is>
      </c>
      <c r="AI7" s="59" t="n"/>
      <c r="AJ7" s="59" t="n"/>
      <c r="AK7" s="59" t="inlineStr">
        <is>
          <t>R</t>
        </is>
      </c>
      <c r="AL7" s="59" t="n"/>
      <c r="AM7" s="59" t="n"/>
      <c r="AN7" s="59" t="n"/>
      <c r="AO7" s="59" t="n"/>
      <c r="AP7" s="59" t="n"/>
      <c r="AQ7" s="59" t="n"/>
      <c r="AR7" s="59" t="n"/>
      <c r="AS7" s="59" t="n"/>
      <c r="AT7" s="59" t="n"/>
      <c r="AU7" s="59" t="n"/>
      <c r="AV7" s="59" t="n"/>
      <c r="AW7" s="59" t="n"/>
      <c r="AX7" s="59" t="n"/>
      <c r="AY7" s="59" t="n"/>
      <c r="AZ7" s="59" t="n"/>
      <c r="BA7" s="59" t="n"/>
      <c r="BB7" s="59" t="n"/>
      <c r="BC7" s="59" t="n"/>
      <c r="BD7" s="59" t="n"/>
      <c r="BE7" s="59" t="n"/>
      <c r="BF7" s="59" t="n"/>
      <c r="BG7" s="59" t="n"/>
      <c r="BH7" s="59" t="n"/>
      <c r="BI7" s="59" t="n"/>
      <c r="BJ7" s="59" t="n"/>
      <c r="BK7" s="59" t="n"/>
      <c r="BL7" s="54">
        <f>COUNTIF(D7:BK7,"C")</f>
        <v/>
      </c>
      <c r="BM7" s="54">
        <f>COUNTIF(D7:BK7,"R")</f>
        <v/>
      </c>
    </row>
    <row r="8">
      <c r="A8" s="57" t="n"/>
      <c r="B8" s="47" t="inlineStr">
        <is>
          <t>C01-03</t>
        </is>
      </c>
      <c r="C8" s="58">
        <f>IFERROR(INDEX(ケイパビリティマップ!$E:$E,MATCH(B8,ケイパビリティマップ!$A:$A,0)),"（IDなし）")</f>
        <v/>
      </c>
      <c r="D8" s="59" t="inlineStr">
        <is>
          <t>C</t>
        </is>
      </c>
      <c r="E8" s="59" t="inlineStr">
        <is>
          <t>C</t>
        </is>
      </c>
      <c r="F8" s="59" t="inlineStr">
        <is>
          <t>C</t>
        </is>
      </c>
      <c r="G8" s="59" t="n"/>
      <c r="H8" s="59" t="inlineStr">
        <is>
          <t>R</t>
        </is>
      </c>
      <c r="I8" s="59" t="n"/>
      <c r="J8" s="59" t="inlineStr">
        <is>
          <t>R</t>
        </is>
      </c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  <c r="AC8" s="59" t="n"/>
      <c r="AD8" s="59" t="n"/>
      <c r="AE8" s="59" t="n"/>
      <c r="AF8" s="59" t="n"/>
      <c r="AG8" s="59" t="n"/>
      <c r="AH8" s="59" t="inlineStr">
        <is>
          <t>C</t>
        </is>
      </c>
      <c r="AI8" s="59" t="inlineStr">
        <is>
          <t>R</t>
        </is>
      </c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inlineStr">
        <is>
          <t>C</t>
        </is>
      </c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4">
        <f>COUNTIF(D8:BK8,"C")</f>
        <v/>
      </c>
      <c r="BM8" s="54">
        <f>COUNTIF(D8:BK8,"R")</f>
        <v/>
      </c>
    </row>
    <row r="9">
      <c r="A9" s="57" t="inlineStr">
        <is>
          <t>C02 タレント獲得</t>
        </is>
      </c>
      <c r="B9" s="47" t="inlineStr">
        <is>
          <t>C02-01</t>
        </is>
      </c>
      <c r="C9" s="58">
        <f>IFERROR(INDEX(ケイパビリティマップ!$E:$E,MATCH(B9,ケイパビリティマップ!$A:$A,0)),"（IDなし）")</f>
        <v/>
      </c>
      <c r="D9" s="59" t="n"/>
      <c r="E9" s="59" t="n"/>
      <c r="F9" s="59" t="n"/>
      <c r="G9" s="59" t="n"/>
      <c r="H9" s="59" t="n"/>
      <c r="I9" s="59" t="inlineStr">
        <is>
          <t>R</t>
        </is>
      </c>
      <c r="J9" s="59" t="inlineStr">
        <is>
          <t>R</t>
        </is>
      </c>
      <c r="K9" s="59" t="n"/>
      <c r="L9" s="59" t="n"/>
      <c r="M9" s="59" t="inlineStr">
        <is>
          <t>C</t>
        </is>
      </c>
      <c r="N9" s="59" t="inlineStr">
        <is>
          <t>C</t>
        </is>
      </c>
      <c r="O9" s="59" t="inlineStr">
        <is>
          <t>C</t>
        </is>
      </c>
      <c r="P9" s="59" t="inlineStr">
        <is>
          <t>R</t>
        </is>
      </c>
      <c r="Q9" s="59" t="inlineStr">
        <is>
          <t>R</t>
        </is>
      </c>
      <c r="R9" s="59" t="inlineStr">
        <is>
          <t>C</t>
        </is>
      </c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  <c r="AC9" s="59" t="n"/>
      <c r="AD9" s="59" t="n"/>
      <c r="AE9" s="59" t="n"/>
      <c r="AF9" s="59" t="n"/>
      <c r="AG9" s="59" t="n"/>
      <c r="AH9" s="59" t="n"/>
      <c r="AI9" s="59" t="n"/>
      <c r="AJ9" s="59" t="n"/>
      <c r="AK9" s="59" t="n"/>
      <c r="AL9" s="59" t="n"/>
      <c r="AM9" s="59" t="n"/>
      <c r="AN9" s="59" t="n"/>
      <c r="AO9" s="59" t="n"/>
      <c r="AP9" s="59" t="n"/>
      <c r="AQ9" s="59" t="n"/>
      <c r="AR9" s="59" t="n"/>
      <c r="AS9" s="59" t="n"/>
      <c r="AT9" s="59" t="n"/>
      <c r="AU9" s="59" t="n"/>
      <c r="AV9" s="59" t="n"/>
      <c r="AW9" s="59" t="n"/>
      <c r="AX9" s="59" t="n"/>
      <c r="AY9" s="59" t="n"/>
      <c r="AZ9" s="59" t="n"/>
      <c r="BA9" s="59" t="n"/>
      <c r="BB9" s="59" t="n"/>
      <c r="BC9" s="59" t="n"/>
      <c r="BD9" s="59" t="n"/>
      <c r="BE9" s="59" t="n"/>
      <c r="BF9" s="59" t="n"/>
      <c r="BG9" s="59" t="n"/>
      <c r="BH9" s="59" t="n"/>
      <c r="BI9" s="59" t="n"/>
      <c r="BJ9" s="59" t="n"/>
      <c r="BK9" s="59" t="n"/>
      <c r="BL9" s="54">
        <f>COUNTIF(D9:BK9,"C")</f>
        <v/>
      </c>
      <c r="BM9" s="54">
        <f>COUNTIF(D9:BK9,"R")</f>
        <v/>
      </c>
    </row>
    <row r="10">
      <c r="A10" s="57" t="n"/>
      <c r="B10" s="47" t="inlineStr">
        <is>
          <t>C02-02</t>
        </is>
      </c>
      <c r="C10" s="58">
        <f>IFERROR(INDEX(ケイパビリティマップ!$E:$E,MATCH(B10,ケイパビリティマップ!$A:$A,0)),"（IDなし）")</f>
        <v/>
      </c>
      <c r="D10" s="59" t="n"/>
      <c r="E10" s="59" t="inlineStr">
        <is>
          <t>R</t>
        </is>
      </c>
      <c r="F10" s="59" t="n"/>
      <c r="G10" s="59" t="n"/>
      <c r="H10" s="59" t="n"/>
      <c r="I10" s="59" t="n"/>
      <c r="J10" s="59" t="n"/>
      <c r="K10" s="59" t="n"/>
      <c r="L10" s="59" t="n"/>
      <c r="M10" s="59" t="inlineStr">
        <is>
          <t>R</t>
        </is>
      </c>
      <c r="N10" s="59" t="inlineStr">
        <is>
          <t>R</t>
        </is>
      </c>
      <c r="O10" s="59" t="inlineStr">
        <is>
          <t>C</t>
        </is>
      </c>
      <c r="P10" s="59" t="inlineStr">
        <is>
          <t>C</t>
        </is>
      </c>
      <c r="Q10" s="59" t="inlineStr">
        <is>
          <t>C</t>
        </is>
      </c>
      <c r="R10" s="59" t="n"/>
      <c r="S10" s="59" t="n"/>
      <c r="T10" s="59" t="n"/>
      <c r="U10" s="59" t="n"/>
      <c r="V10" s="59" t="n"/>
      <c r="W10" s="59" t="n"/>
      <c r="X10" s="59" t="n"/>
      <c r="Y10" s="59" t="n"/>
      <c r="Z10" s="59" t="n"/>
      <c r="AA10" s="59" t="n"/>
      <c r="AB10" s="59" t="n"/>
      <c r="AC10" s="59" t="n"/>
      <c r="AD10" s="59" t="n"/>
      <c r="AE10" s="59" t="n"/>
      <c r="AF10" s="59" t="n"/>
      <c r="AG10" s="59" t="n"/>
      <c r="AH10" s="59" t="n"/>
      <c r="AI10" s="59" t="n"/>
      <c r="AJ10" s="59" t="n"/>
      <c r="AK10" s="59" t="n"/>
      <c r="AL10" s="59" t="n"/>
      <c r="AM10" s="59" t="n"/>
      <c r="AN10" s="59" t="n"/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n"/>
      <c r="BB10" s="59" t="n"/>
      <c r="BC10" s="59" t="n"/>
      <c r="BD10" s="59" t="n"/>
      <c r="BE10" s="59" t="n"/>
      <c r="BF10" s="59" t="n"/>
      <c r="BG10" s="59" t="n"/>
      <c r="BH10" s="59" t="n"/>
      <c r="BI10" s="59" t="n"/>
      <c r="BJ10" s="59" t="n"/>
      <c r="BK10" s="59" t="n"/>
      <c r="BL10" s="54">
        <f>COUNTIF(D10:BK10,"C")</f>
        <v/>
      </c>
      <c r="BM10" s="54">
        <f>COUNTIF(D10:BK10,"R")</f>
        <v/>
      </c>
    </row>
    <row r="11">
      <c r="A11" s="57" t="n"/>
      <c r="B11" s="47" t="inlineStr">
        <is>
          <t>C02-03</t>
        </is>
      </c>
      <c r="C11" s="58">
        <f>IFERROR(INDEX(ケイパビリティマップ!$E:$E,MATCH(B11,ケイパビリティマップ!$A:$A,0)),"（IDなし）")</f>
        <v/>
      </c>
      <c r="D11" s="59" t="n"/>
      <c r="E11" s="59" t="inlineStr">
        <is>
          <t>R</t>
        </is>
      </c>
      <c r="F11" s="59" t="inlineStr">
        <is>
          <t>R</t>
        </is>
      </c>
      <c r="G11" s="59" t="inlineStr">
        <is>
          <t>R</t>
        </is>
      </c>
      <c r="H11" s="59" t="n"/>
      <c r="I11" s="59" t="n"/>
      <c r="J11" s="59" t="n"/>
      <c r="K11" s="59" t="n"/>
      <c r="L11" s="59" t="n"/>
      <c r="M11" s="59" t="inlineStr">
        <is>
          <t>R</t>
        </is>
      </c>
      <c r="N11" s="59" t="inlineStr">
        <is>
          <t>C</t>
        </is>
      </c>
      <c r="O11" s="59" t="inlineStr">
        <is>
          <t>C</t>
        </is>
      </c>
      <c r="P11" s="59" t="inlineStr">
        <is>
          <t>C</t>
        </is>
      </c>
      <c r="Q11" s="59" t="inlineStr">
        <is>
          <t>C</t>
        </is>
      </c>
      <c r="R11" s="59" t="inlineStr">
        <is>
          <t>R</t>
        </is>
      </c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  <c r="AC11" s="59" t="n"/>
      <c r="AD11" s="59" t="n"/>
      <c r="AE11" s="59" t="n"/>
      <c r="AF11" s="59" t="n"/>
      <c r="AG11" s="59" t="n"/>
      <c r="AH11" s="59" t="inlineStr">
        <is>
          <t>R</t>
        </is>
      </c>
      <c r="AI11" s="59" t="n"/>
      <c r="AJ11" s="59" t="n"/>
      <c r="AK11" s="59" t="n"/>
      <c r="AL11" s="59" t="n"/>
      <c r="AM11" s="59" t="n"/>
      <c r="AN11" s="59" t="n"/>
      <c r="AO11" s="59" t="n"/>
      <c r="AP11" s="59" t="n"/>
      <c r="AQ11" s="59" t="n"/>
      <c r="AR11" s="59" t="n"/>
      <c r="AS11" s="59" t="n"/>
      <c r="AT11" s="59" t="n"/>
      <c r="AU11" s="59" t="n"/>
      <c r="AV11" s="59" t="n"/>
      <c r="AW11" s="59" t="n"/>
      <c r="AX11" s="59" t="n"/>
      <c r="AY11" s="59" t="n"/>
      <c r="AZ11" s="59" t="n"/>
      <c r="BA11" s="59" t="n"/>
      <c r="BB11" s="59" t="n"/>
      <c r="BC11" s="59" t="n"/>
      <c r="BD11" s="59" t="n"/>
      <c r="BE11" s="59" t="n"/>
      <c r="BF11" s="59" t="n"/>
      <c r="BG11" s="59" t="n"/>
      <c r="BH11" s="59" t="n"/>
      <c r="BI11" s="59" t="n"/>
      <c r="BJ11" s="59" t="n"/>
      <c r="BK11" s="59" t="n"/>
      <c r="BL11" s="54">
        <f>COUNTIF(D11:BK11,"C")</f>
        <v/>
      </c>
      <c r="BM11" s="54">
        <f>COUNTIF(D11:BK11,"R")</f>
        <v/>
      </c>
    </row>
    <row r="12">
      <c r="A12" s="57" t="n"/>
      <c r="B12" s="47" t="inlineStr">
        <is>
          <t>C02-04</t>
        </is>
      </c>
      <c r="C12" s="58">
        <f>IFERROR(INDEX(ケイパビリティマップ!$E:$E,MATCH(B12,ケイパビリティマップ!$A:$A,0)),"（IDなし）")</f>
        <v/>
      </c>
      <c r="D12" s="59" t="n"/>
      <c r="E12" s="59" t="inlineStr">
        <is>
          <t>R</t>
        </is>
      </c>
      <c r="F12" s="59" t="n"/>
      <c r="G12" s="59" t="inlineStr">
        <is>
          <t>R</t>
        </is>
      </c>
      <c r="H12" s="59" t="n"/>
      <c r="I12" s="59" t="n"/>
      <c r="J12" s="59" t="n"/>
      <c r="K12" s="59" t="n"/>
      <c r="L12" s="59" t="n"/>
      <c r="M12" s="59" t="inlineStr">
        <is>
          <t>R</t>
        </is>
      </c>
      <c r="N12" s="59" t="inlineStr">
        <is>
          <t>R</t>
        </is>
      </c>
      <c r="O12" s="59" t="inlineStr">
        <is>
          <t>C</t>
        </is>
      </c>
      <c r="P12" s="59" t="inlineStr">
        <is>
          <t>C</t>
        </is>
      </c>
      <c r="Q12" s="59" t="inlineStr">
        <is>
          <t>C</t>
        </is>
      </c>
      <c r="R12" s="59" t="n"/>
      <c r="S12" s="59" t="n"/>
      <c r="T12" s="59" t="n"/>
      <c r="U12" s="59" t="n"/>
      <c r="V12" s="59" t="n"/>
      <c r="W12" s="59" t="n"/>
      <c r="X12" s="59" t="n"/>
      <c r="Y12" s="59" t="n"/>
      <c r="Z12" s="59" t="n"/>
      <c r="AA12" s="59" t="n"/>
      <c r="AB12" s="59" t="n"/>
      <c r="AC12" s="59" t="n"/>
      <c r="AD12" s="59" t="n"/>
      <c r="AE12" s="59" t="n"/>
      <c r="AF12" s="59" t="n"/>
      <c r="AG12" s="59" t="n"/>
      <c r="AH12" s="59" t="inlineStr">
        <is>
          <t>R</t>
        </is>
      </c>
      <c r="AI12" s="59" t="n"/>
      <c r="AJ12" s="59" t="n"/>
      <c r="AK12" s="59" t="n"/>
      <c r="AL12" s="59" t="n"/>
      <c r="AM12" s="59" t="n"/>
      <c r="AN12" s="59" t="n"/>
      <c r="AO12" s="59" t="n"/>
      <c r="AP12" s="59" t="n"/>
      <c r="AQ12" s="59" t="n"/>
      <c r="AR12" s="59" t="n"/>
      <c r="AS12" s="59" t="n"/>
      <c r="AT12" s="59" t="n"/>
      <c r="AU12" s="59" t="n"/>
      <c r="AV12" s="59" t="n"/>
      <c r="AW12" s="59" t="n"/>
      <c r="AX12" s="59" t="n"/>
      <c r="AY12" s="59" t="n"/>
      <c r="AZ12" s="59" t="n"/>
      <c r="BA12" s="59" t="n"/>
      <c r="BB12" s="59" t="n"/>
      <c r="BC12" s="59" t="n"/>
      <c r="BD12" s="59" t="n"/>
      <c r="BE12" s="59" t="n"/>
      <c r="BF12" s="59" t="n"/>
      <c r="BG12" s="59" t="n"/>
      <c r="BH12" s="59" t="n"/>
      <c r="BI12" s="59" t="n"/>
      <c r="BJ12" s="59" t="n"/>
      <c r="BK12" s="59" t="n"/>
      <c r="BL12" s="54">
        <f>COUNTIF(D12:BK12,"C")</f>
        <v/>
      </c>
      <c r="BM12" s="54">
        <f>COUNTIF(D12:BK12,"R")</f>
        <v/>
      </c>
    </row>
    <row r="13">
      <c r="A13" s="57" t="inlineStr">
        <is>
          <t>C03 入社・雇用管理</t>
        </is>
      </c>
      <c r="B13" s="47" t="inlineStr">
        <is>
          <t>C03-01</t>
        </is>
      </c>
      <c r="C13" s="58">
        <f>IFERROR(INDEX(ケイパビリティマップ!$E:$E,MATCH(B13,ケイパビリティマップ!$A:$A,0)),"（IDなし）")</f>
        <v/>
      </c>
      <c r="D13" s="59" t="n"/>
      <c r="E13" s="59" t="n"/>
      <c r="F13" s="59" t="n"/>
      <c r="G13" s="59" t="inlineStr">
        <is>
          <t>R</t>
        </is>
      </c>
      <c r="H13" s="59" t="n"/>
      <c r="I13" s="59" t="n"/>
      <c r="J13" s="59" t="n"/>
      <c r="K13" s="59" t="n"/>
      <c r="L13" s="59" t="n"/>
      <c r="M13" s="59" t="n"/>
      <c r="N13" s="59" t="n"/>
      <c r="O13" s="59" t="n"/>
      <c r="P13" s="59" t="n"/>
      <c r="Q13" s="59" t="inlineStr">
        <is>
          <t>R</t>
        </is>
      </c>
      <c r="R13" s="59" t="n"/>
      <c r="S13" s="59" t="inlineStr">
        <is>
          <t>R</t>
        </is>
      </c>
      <c r="T13" s="59" t="inlineStr">
        <is>
          <t>C</t>
        </is>
      </c>
      <c r="U13" s="59" t="inlineStr">
        <is>
          <t>C</t>
        </is>
      </c>
      <c r="V13" s="59" t="inlineStr">
        <is>
          <t>C</t>
        </is>
      </c>
      <c r="W13" s="59" t="n"/>
      <c r="X13" s="59" t="inlineStr">
        <is>
          <t>C</t>
        </is>
      </c>
      <c r="Y13" s="59" t="inlineStr">
        <is>
          <t>R</t>
        </is>
      </c>
      <c r="Z13" s="59" t="n"/>
      <c r="AA13" s="59" t="n"/>
      <c r="AB13" s="59" t="n"/>
      <c r="AC13" s="59" t="n"/>
      <c r="AD13" s="59" t="n"/>
      <c r="AE13" s="59" t="n"/>
      <c r="AF13" s="59" t="n"/>
      <c r="AG13" s="59" t="n"/>
      <c r="AH13" s="59" t="inlineStr">
        <is>
          <t>R</t>
        </is>
      </c>
      <c r="AI13" s="59" t="n"/>
      <c r="AJ13" s="59" t="n"/>
      <c r="AK13" s="59" t="n"/>
      <c r="AL13" s="59" t="n"/>
      <c r="AM13" s="59" t="inlineStr">
        <is>
          <t>C</t>
        </is>
      </c>
      <c r="AN13" s="59" t="n"/>
      <c r="AO13" s="59" t="n"/>
      <c r="AP13" s="59" t="n"/>
      <c r="AQ13" s="59" t="n"/>
      <c r="AR13" s="59" t="n"/>
      <c r="AS13" s="59" t="n"/>
      <c r="AT13" s="59" t="n"/>
      <c r="AU13" s="59" t="n"/>
      <c r="AV13" s="59" t="n"/>
      <c r="AW13" s="59" t="n"/>
      <c r="AX13" s="59" t="n"/>
      <c r="AY13" s="59" t="n"/>
      <c r="AZ13" s="59" t="n"/>
      <c r="BA13" s="59" t="inlineStr">
        <is>
          <t>R</t>
        </is>
      </c>
      <c r="BB13" s="59" t="n"/>
      <c r="BC13" s="59" t="n"/>
      <c r="BD13" s="59" t="n"/>
      <c r="BE13" s="59" t="inlineStr">
        <is>
          <t>C</t>
        </is>
      </c>
      <c r="BF13" s="59" t="n"/>
      <c r="BG13" s="59" t="n"/>
      <c r="BH13" s="59" t="n"/>
      <c r="BI13" s="59" t="n"/>
      <c r="BJ13" s="59" t="inlineStr">
        <is>
          <t>R</t>
        </is>
      </c>
      <c r="BK13" s="59" t="n"/>
      <c r="BL13" s="54">
        <f>COUNTIF(D13:BK13,"C")</f>
        <v/>
      </c>
      <c r="BM13" s="54">
        <f>COUNTIF(D13:BK13,"R")</f>
        <v/>
      </c>
    </row>
    <row r="14">
      <c r="A14" s="57" t="n"/>
      <c r="B14" s="47" t="inlineStr">
        <is>
          <t>C03-02</t>
        </is>
      </c>
      <c r="C14" s="58">
        <f>IFERROR(INDEX(ケイパビリティマップ!$E:$E,MATCH(B14,ケイパビリティマップ!$A:$A,0)),"（IDなし）")</f>
        <v/>
      </c>
      <c r="D14" s="59" t="n"/>
      <c r="E14" s="59" t="inlineStr">
        <is>
          <t>R</t>
        </is>
      </c>
      <c r="F14" s="59" t="n"/>
      <c r="G14" s="59" t="inlineStr">
        <is>
          <t>R</t>
        </is>
      </c>
      <c r="H14" s="59" t="n"/>
      <c r="I14" s="59" t="n"/>
      <c r="J14" s="59" t="inlineStr">
        <is>
          <t>R</t>
        </is>
      </c>
      <c r="K14" s="59" t="n"/>
      <c r="L14" s="59" t="n"/>
      <c r="M14" s="59" t="n"/>
      <c r="N14" s="59" t="n"/>
      <c r="O14" s="59" t="n"/>
      <c r="P14" s="59" t="inlineStr">
        <is>
          <t>R</t>
        </is>
      </c>
      <c r="Q14" s="59" t="n"/>
      <c r="R14" s="59" t="n"/>
      <c r="S14" s="59" t="inlineStr">
        <is>
          <t>R</t>
        </is>
      </c>
      <c r="T14" s="59" t="n"/>
      <c r="U14" s="59" t="n"/>
      <c r="V14" s="59" t="n"/>
      <c r="W14" s="59" t="n"/>
      <c r="X14" s="59" t="n"/>
      <c r="Y14" s="59" t="inlineStr">
        <is>
          <t>C</t>
        </is>
      </c>
      <c r="Z14" s="59" t="inlineStr">
        <is>
          <t>C</t>
        </is>
      </c>
      <c r="AA14" s="59" t="inlineStr">
        <is>
          <t>R</t>
        </is>
      </c>
      <c r="AB14" s="59" t="inlineStr">
        <is>
          <t>R</t>
        </is>
      </c>
      <c r="AC14" s="59" t="inlineStr">
        <is>
          <t>C</t>
        </is>
      </c>
      <c r="AD14" s="59" t="n"/>
      <c r="AE14" s="59" t="n"/>
      <c r="AF14" s="59" t="inlineStr">
        <is>
          <t>R</t>
        </is>
      </c>
      <c r="AG14" s="59" t="inlineStr">
        <is>
          <t>C</t>
        </is>
      </c>
      <c r="AH14" s="59" t="n"/>
      <c r="AI14" s="59" t="n"/>
      <c r="AJ14" s="59" t="n"/>
      <c r="AK14" s="59" t="n"/>
      <c r="AL14" s="59" t="n"/>
      <c r="AM14" s="59" t="n"/>
      <c r="AN14" s="59" t="n"/>
      <c r="AO14" s="59" t="n"/>
      <c r="AP14" s="59" t="n"/>
      <c r="AQ14" s="59" t="n"/>
      <c r="AR14" s="59" t="n"/>
      <c r="AS14" s="59" t="n"/>
      <c r="AT14" s="59" t="n"/>
      <c r="AU14" s="59" t="n"/>
      <c r="AV14" s="59" t="n"/>
      <c r="AW14" s="59" t="n"/>
      <c r="AX14" s="59" t="n"/>
      <c r="AY14" s="59" t="inlineStr">
        <is>
          <t>C</t>
        </is>
      </c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n"/>
      <c r="BI14" s="59" t="n"/>
      <c r="BJ14" s="59" t="n"/>
      <c r="BK14" s="59" t="n"/>
      <c r="BL14" s="54">
        <f>COUNTIF(D14:BK14,"C")</f>
        <v/>
      </c>
      <c r="BM14" s="54">
        <f>COUNTIF(D14:BK14,"R")</f>
        <v/>
      </c>
    </row>
    <row r="15">
      <c r="A15" s="57" t="n"/>
      <c r="B15" s="47" t="inlineStr">
        <is>
          <t>C03-03</t>
        </is>
      </c>
      <c r="C15" s="58">
        <f>IFERROR(INDEX(ケイパビリティマップ!$E:$E,MATCH(B15,ケイパビリティマップ!$A:$A,0)),"（IDなし）")</f>
        <v/>
      </c>
      <c r="D15" s="59" t="inlineStr">
        <is>
          <t>R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inlineStr">
        <is>
          <t>C</t>
        </is>
      </c>
      <c r="T15" s="59" t="inlineStr">
        <is>
          <t>R</t>
        </is>
      </c>
      <c r="U15" s="59" t="inlineStr">
        <is>
          <t>R</t>
        </is>
      </c>
      <c r="V15" s="59" t="inlineStr">
        <is>
          <t>R</t>
        </is>
      </c>
      <c r="W15" s="59" t="inlineStr">
        <is>
          <t>C</t>
        </is>
      </c>
      <c r="X15" s="59" t="n"/>
      <c r="Y15" s="59" t="inlineStr">
        <is>
          <t>C</t>
        </is>
      </c>
      <c r="Z15" s="59" t="n"/>
      <c r="AA15" s="59" t="inlineStr">
        <is>
          <t>C</t>
        </is>
      </c>
      <c r="AB15" s="59" t="n"/>
      <c r="AC15" s="59" t="n"/>
      <c r="AD15" s="59" t="n"/>
      <c r="AE15" s="59" t="n"/>
      <c r="AF15" s="59" t="n"/>
      <c r="AG15" s="59" t="n"/>
      <c r="AH15" s="59" t="n"/>
      <c r="AI15" s="59" t="n"/>
      <c r="AJ15" s="59" t="n"/>
      <c r="AK15" s="59" t="n"/>
      <c r="AL15" s="59" t="inlineStr">
        <is>
          <t>R</t>
        </is>
      </c>
      <c r="AM15" s="59" t="n"/>
      <c r="AN15" s="59" t="n"/>
      <c r="AO15" s="59" t="n"/>
      <c r="AP15" s="59" t="n"/>
      <c r="AQ15" s="59" t="n"/>
      <c r="AR15" s="59" t="inlineStr">
        <is>
          <t>R</t>
        </is>
      </c>
      <c r="AS15" s="59" t="inlineStr">
        <is>
          <t>R</t>
        </is>
      </c>
      <c r="AT15" s="59" t="n"/>
      <c r="AU15" s="59" t="n"/>
      <c r="AV15" s="59" t="n"/>
      <c r="AW15" s="59" t="n"/>
      <c r="AX15" s="59" t="n"/>
      <c r="AY15" s="59" t="n"/>
      <c r="AZ15" s="59" t="n"/>
      <c r="BA15" s="59" t="inlineStr">
        <is>
          <t>R</t>
        </is>
      </c>
      <c r="BB15" s="59" t="n"/>
      <c r="BC15" s="59" t="n"/>
      <c r="BD15" s="59" t="n"/>
      <c r="BE15" s="59" t="inlineStr">
        <is>
          <t>R</t>
        </is>
      </c>
      <c r="BF15" s="59" t="n"/>
      <c r="BG15" s="59" t="n"/>
      <c r="BH15" s="59" t="n"/>
      <c r="BI15" s="59" t="n"/>
      <c r="BJ15" s="59" t="n"/>
      <c r="BK15" s="59" t="n"/>
      <c r="BL15" s="54">
        <f>COUNTIF(D15:BK15,"C")</f>
        <v/>
      </c>
      <c r="BM15" s="54">
        <f>COUNTIF(D15:BK15,"R")</f>
        <v/>
      </c>
    </row>
    <row r="16">
      <c r="A16" s="57" t="inlineStr">
        <is>
          <t>C04 人材育成・能力開発</t>
        </is>
      </c>
      <c r="B16" s="47" t="inlineStr">
        <is>
          <t>C04-01</t>
        </is>
      </c>
      <c r="C16" s="58">
        <f>IFERROR(INDEX(ケイパビリティマップ!$E:$E,MATCH(B16,ケイパビリティマップ!$A:$A,0)),"（IDなし）")</f>
        <v/>
      </c>
      <c r="D16" s="59" t="n"/>
      <c r="E16" s="59" t="inlineStr">
        <is>
          <t>R</t>
        </is>
      </c>
      <c r="F16" s="59" t="inlineStr">
        <is>
          <t>R</t>
        </is>
      </c>
      <c r="G16" s="59" t="n"/>
      <c r="H16" s="59" t="inlineStr">
        <is>
          <t>R</t>
        </is>
      </c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inlineStr">
        <is>
          <t>R</t>
        </is>
      </c>
      <c r="Z16" s="59" t="inlineStr">
        <is>
          <t>R</t>
        </is>
      </c>
      <c r="AA16" s="59" t="n"/>
      <c r="AB16" s="59" t="inlineStr">
        <is>
          <t>C</t>
        </is>
      </c>
      <c r="AC16" s="59" t="inlineStr">
        <is>
          <t>C</t>
        </is>
      </c>
      <c r="AD16" s="59" t="inlineStr">
        <is>
          <t>R</t>
        </is>
      </c>
      <c r="AE16" s="59" t="n"/>
      <c r="AF16" s="59" t="n"/>
      <c r="AG16" s="59" t="inlineStr">
        <is>
          <t>R</t>
        </is>
      </c>
      <c r="AH16" s="59" t="n"/>
      <c r="AI16" s="59" t="n"/>
      <c r="AJ16" s="59" t="n"/>
      <c r="AK16" s="59" t="n"/>
      <c r="AL16" s="59" t="n"/>
      <c r="AM16" s="59" t="n"/>
      <c r="AN16" s="59" t="n"/>
      <c r="AO16" s="59" t="n"/>
      <c r="AP16" s="59" t="n"/>
      <c r="AQ16" s="59" t="n"/>
      <c r="AR16" s="59" t="n"/>
      <c r="AS16" s="59" t="n"/>
      <c r="AT16" s="59" t="n"/>
      <c r="AU16" s="59" t="n"/>
      <c r="AV16" s="59" t="n"/>
      <c r="AW16" s="59" t="n"/>
      <c r="AX16" s="59" t="n"/>
      <c r="AY16" s="59" t="n"/>
      <c r="AZ16" s="59" t="n"/>
      <c r="BA16" s="59" t="n"/>
      <c r="BB16" s="59" t="n"/>
      <c r="BC16" s="59" t="inlineStr">
        <is>
          <t>R</t>
        </is>
      </c>
      <c r="BD16" s="59" t="n"/>
      <c r="BE16" s="59" t="n"/>
      <c r="BF16" s="59" t="n"/>
      <c r="BG16" s="59" t="n"/>
      <c r="BH16" s="59" t="n"/>
      <c r="BI16" s="59" t="n"/>
      <c r="BJ16" s="59" t="n"/>
      <c r="BK16" s="59" t="n"/>
      <c r="BL16" s="54">
        <f>COUNTIF(D16:BK16,"C")</f>
        <v/>
      </c>
      <c r="BM16" s="54">
        <f>COUNTIF(D16:BK16,"R")</f>
        <v/>
      </c>
    </row>
    <row r="17">
      <c r="A17" s="57" t="n"/>
      <c r="B17" s="47" t="inlineStr">
        <is>
          <t>C04-02</t>
        </is>
      </c>
      <c r="C17" s="58">
        <f>IFERROR(INDEX(ケイパビリティマップ!$E:$E,MATCH(B17,ケイパビリティマップ!$A:$A,0)),"（IDなし）")</f>
        <v/>
      </c>
      <c r="D17" s="59" t="n"/>
      <c r="E17" s="59" t="inlineStr">
        <is>
          <t>R</t>
        </is>
      </c>
      <c r="F17" s="59" t="n"/>
      <c r="G17" s="59" t="n"/>
      <c r="H17" s="59" t="inlineStr">
        <is>
          <t>R</t>
        </is>
      </c>
      <c r="I17" s="59" t="n"/>
      <c r="J17" s="59" t="inlineStr">
        <is>
          <t>R</t>
        </is>
      </c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9" t="n"/>
      <c r="Z17" s="59" t="n"/>
      <c r="AA17" s="59" t="n"/>
      <c r="AB17" s="59" t="n"/>
      <c r="AC17" s="59" t="inlineStr">
        <is>
          <t>C</t>
        </is>
      </c>
      <c r="AD17" s="59" t="inlineStr">
        <is>
          <t>C</t>
        </is>
      </c>
      <c r="AE17" s="59" t="n"/>
      <c r="AF17" s="59" t="n"/>
      <c r="AG17" s="59" t="n"/>
      <c r="AH17" s="59" t="n"/>
      <c r="AI17" s="59" t="n"/>
      <c r="AJ17" s="59" t="n"/>
      <c r="AK17" s="59" t="n"/>
      <c r="AL17" s="59" t="n"/>
      <c r="AM17" s="59" t="n"/>
      <c r="AN17" s="59" t="n"/>
      <c r="AO17" s="59" t="n"/>
      <c r="AP17" s="59" t="n"/>
      <c r="AQ17" s="59" t="n"/>
      <c r="AR17" s="59" t="n"/>
      <c r="AS17" s="59" t="n"/>
      <c r="AT17" s="59" t="n"/>
      <c r="AU17" s="59" t="n"/>
      <c r="AV17" s="59" t="n"/>
      <c r="AW17" s="59" t="n"/>
      <c r="AX17" s="59" t="n"/>
      <c r="AY17" s="59" t="n"/>
      <c r="AZ17" s="59" t="n"/>
      <c r="BA17" s="59" t="n"/>
      <c r="BB17" s="59" t="n"/>
      <c r="BC17" s="59" t="n"/>
      <c r="BD17" s="59" t="n"/>
      <c r="BE17" s="59" t="n"/>
      <c r="BF17" s="59" t="n"/>
      <c r="BG17" s="59" t="n"/>
      <c r="BH17" s="59" t="n"/>
      <c r="BI17" s="59" t="n"/>
      <c r="BJ17" s="59" t="n"/>
      <c r="BK17" s="59" t="n"/>
      <c r="BL17" s="54">
        <f>COUNTIF(D17:BK17,"C")</f>
        <v/>
      </c>
      <c r="BM17" s="54">
        <f>COUNTIF(D17:BK17,"R")</f>
        <v/>
      </c>
    </row>
    <row r="18">
      <c r="A18" s="57" t="n"/>
      <c r="B18" s="47" t="inlineStr">
        <is>
          <t>C04-03</t>
        </is>
      </c>
      <c r="C18" s="58">
        <f>IFERROR(INDEX(ケイパビリティマップ!$E:$E,MATCH(B18,ケイパビリティマップ!$A:$A,0)),"（IDなし）")</f>
        <v/>
      </c>
      <c r="D18" s="59" t="n"/>
      <c r="E18" s="59" t="n"/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inlineStr">
        <is>
          <t>R</t>
        </is>
      </c>
      <c r="T18" s="59" t="n"/>
      <c r="U18" s="59" t="n"/>
      <c r="V18" s="59" t="n"/>
      <c r="W18" s="59" t="n"/>
      <c r="X18" s="59" t="n"/>
      <c r="Y18" s="59" t="n"/>
      <c r="Z18" s="59" t="n"/>
      <c r="AA18" s="59" t="n"/>
      <c r="AB18" s="59" t="inlineStr">
        <is>
          <t>R</t>
        </is>
      </c>
      <c r="AC18" s="59" t="inlineStr">
        <is>
          <t>C</t>
        </is>
      </c>
      <c r="AD18" s="59" t="inlineStr">
        <is>
          <t>R</t>
        </is>
      </c>
      <c r="AE18" s="59" t="inlineStr">
        <is>
          <t>C</t>
        </is>
      </c>
      <c r="AF18" s="59" t="inlineStr">
        <is>
          <t>R</t>
        </is>
      </c>
      <c r="AG18" s="59" t="inlineStr">
        <is>
          <t>R</t>
        </is>
      </c>
      <c r="AH18" s="59" t="n"/>
      <c r="AI18" s="59" t="n"/>
      <c r="AJ18" s="59" t="n"/>
      <c r="AK18" s="59" t="n"/>
      <c r="AL18" s="59" t="n"/>
      <c r="AM18" s="59" t="n"/>
      <c r="AN18" s="59" t="n"/>
      <c r="AO18" s="59" t="n"/>
      <c r="AP18" s="59" t="n"/>
      <c r="AQ18" s="59" t="n"/>
      <c r="AR18" s="59" t="n"/>
      <c r="AS18" s="59" t="n"/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  <c r="BF18" s="59" t="n"/>
      <c r="BG18" s="59" t="n"/>
      <c r="BH18" s="59" t="n"/>
      <c r="BI18" s="59" t="n"/>
      <c r="BJ18" s="59" t="n"/>
      <c r="BK18" s="59" t="n"/>
      <c r="BL18" s="54">
        <f>COUNTIF(D18:BK18,"C")</f>
        <v/>
      </c>
      <c r="BM18" s="54">
        <f>COUNTIF(D18:BK18,"R")</f>
        <v/>
      </c>
    </row>
    <row r="19">
      <c r="A19" s="57" t="n"/>
      <c r="B19" s="47" t="inlineStr">
        <is>
          <t>C04-04</t>
        </is>
      </c>
      <c r="C19" s="58">
        <f>IFERROR(INDEX(ケイパビリティマップ!$E:$E,MATCH(B19,ケイパビリティマップ!$A:$A,0)),"（IDなし）")</f>
        <v/>
      </c>
      <c r="D19" s="59" t="n"/>
      <c r="E19" s="59" t="n"/>
      <c r="F19" s="59" t="n"/>
      <c r="G19" s="59" t="inlineStr">
        <is>
          <t>R</t>
        </is>
      </c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inlineStr">
        <is>
          <t>R</t>
        </is>
      </c>
      <c r="Z19" s="59" t="n"/>
      <c r="AA19" s="59" t="n"/>
      <c r="AB19" s="59" t="inlineStr">
        <is>
          <t>R</t>
        </is>
      </c>
      <c r="AC19" s="59" t="inlineStr">
        <is>
          <t>C</t>
        </is>
      </c>
      <c r="AD19" s="59" t="n"/>
      <c r="AE19" s="59" t="n"/>
      <c r="AF19" s="59" t="n"/>
      <c r="AG19" s="59" t="n"/>
      <c r="AH19" s="59" t="n"/>
      <c r="AI19" s="59" t="n"/>
      <c r="AJ19" s="59" t="n"/>
      <c r="AK19" s="59" t="n"/>
      <c r="AL19" s="59" t="n"/>
      <c r="AM19" s="59" t="n"/>
      <c r="AN19" s="59" t="n"/>
      <c r="AO19" s="59" t="n"/>
      <c r="AP19" s="59" t="n"/>
      <c r="AQ19" s="59" t="n"/>
      <c r="AR19" s="59" t="n"/>
      <c r="AS19" s="59" t="n"/>
      <c r="AT19" s="59" t="n"/>
      <c r="AU19" s="59" t="n"/>
      <c r="AV19" s="59" t="n"/>
      <c r="AW19" s="59" t="n"/>
      <c r="AX19" s="59" t="n"/>
      <c r="AY19" s="59" t="n"/>
      <c r="AZ19" s="59" t="n"/>
      <c r="BA19" s="59" t="n"/>
      <c r="BB19" s="59" t="n"/>
      <c r="BC19" s="59" t="n"/>
      <c r="BD19" s="59" t="n"/>
      <c r="BE19" s="59" t="n"/>
      <c r="BF19" s="59" t="n"/>
      <c r="BG19" s="59" t="n"/>
      <c r="BH19" s="59" t="n"/>
      <c r="BI19" s="59" t="n"/>
      <c r="BJ19" s="59" t="n"/>
      <c r="BK19" s="59" t="n"/>
      <c r="BL19" s="54">
        <f>COUNTIF(D19:BK19,"C")</f>
        <v/>
      </c>
      <c r="BM19" s="54">
        <f>COUNTIF(D19:BK19,"R")</f>
        <v/>
      </c>
    </row>
    <row r="20">
      <c r="A20" s="57" t="inlineStr">
        <is>
          <t>C05 パフォーマンス・報酬管理</t>
        </is>
      </c>
      <c r="B20" s="47" t="inlineStr">
        <is>
          <t>C05-01</t>
        </is>
      </c>
      <c r="C20" s="58">
        <f>IFERROR(INDEX(ケイパビリティマップ!$E:$E,MATCH(B20,ケイパビリティマップ!$A:$A,0)),"（IDなし）")</f>
        <v/>
      </c>
      <c r="D20" s="59" t="n"/>
      <c r="E20" s="59" t="inlineStr">
        <is>
          <t>R</t>
        </is>
      </c>
      <c r="F20" s="59" t="inlineStr">
        <is>
          <t>R</t>
        </is>
      </c>
      <c r="G20" s="59" t="n"/>
      <c r="H20" s="59" t="inlineStr">
        <is>
          <t>R</t>
        </is>
      </c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59" t="n"/>
      <c r="X20" s="59" t="n"/>
      <c r="Y20" s="59" t="inlineStr">
        <is>
          <t>R</t>
        </is>
      </c>
      <c r="Z20" s="59" t="inlineStr">
        <is>
          <t>R</t>
        </is>
      </c>
      <c r="AA20" s="59" t="n"/>
      <c r="AB20" s="59" t="inlineStr">
        <is>
          <t>R</t>
        </is>
      </c>
      <c r="AC20" s="59" t="inlineStr">
        <is>
          <t>C</t>
        </is>
      </c>
      <c r="AD20" s="59" t="inlineStr">
        <is>
          <t>R</t>
        </is>
      </c>
      <c r="AE20" s="59" t="inlineStr">
        <is>
          <t>R</t>
        </is>
      </c>
      <c r="AF20" s="59" t="inlineStr">
        <is>
          <t>C</t>
        </is>
      </c>
      <c r="AG20" s="59" t="inlineStr">
        <is>
          <t>C</t>
        </is>
      </c>
      <c r="AH20" s="59" t="n"/>
      <c r="AI20" s="59" t="n"/>
      <c r="AJ20" s="59" t="n"/>
      <c r="AK20" s="59" t="n"/>
      <c r="AL20" s="59" t="n"/>
      <c r="AM20" s="59" t="n"/>
      <c r="AN20" s="59" t="n"/>
      <c r="AO20" s="59" t="n"/>
      <c r="AP20" s="59" t="n"/>
      <c r="AQ20" s="59" t="n"/>
      <c r="AR20" s="59" t="n"/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n"/>
      <c r="BI20" s="59" t="n"/>
      <c r="BJ20" s="59" t="n"/>
      <c r="BK20" s="59" t="n"/>
      <c r="BL20" s="54">
        <f>COUNTIF(D20:BK20,"C")</f>
        <v/>
      </c>
      <c r="BM20" s="54">
        <f>COUNTIF(D20:BK20,"R")</f>
        <v/>
      </c>
    </row>
    <row r="21">
      <c r="A21" s="57" t="n"/>
      <c r="B21" s="47" t="inlineStr">
        <is>
          <t>C05-02</t>
        </is>
      </c>
      <c r="C21" s="58">
        <f>IFERROR(INDEX(ケイパビリティマップ!$E:$E,MATCH(B21,ケイパビリティマップ!$A:$A,0)),"（IDなし）")</f>
        <v/>
      </c>
      <c r="D21" s="59" t="n"/>
      <c r="E21" s="59" t="n"/>
      <c r="F21" s="59" t="inlineStr">
        <is>
          <t>C</t>
        </is>
      </c>
      <c r="G21" s="59" t="n"/>
      <c r="H21" s="59" t="inlineStr">
        <is>
          <t>R</t>
        </is>
      </c>
      <c r="I21" s="59" t="n"/>
      <c r="J21" s="59" t="n"/>
      <c r="K21" s="59" t="inlineStr">
        <is>
          <t>R</t>
        </is>
      </c>
      <c r="L21" s="59" t="n"/>
      <c r="M21" s="59" t="n"/>
      <c r="N21" s="59" t="n"/>
      <c r="O21" s="59" t="n"/>
      <c r="P21" s="59" t="inlineStr">
        <is>
          <t>R</t>
        </is>
      </c>
      <c r="Q21" s="59" t="inlineStr">
        <is>
          <t>R</t>
        </is>
      </c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  <c r="AD21" s="59" t="n"/>
      <c r="AE21" s="59" t="n"/>
      <c r="AF21" s="59" t="n"/>
      <c r="AG21" s="59" t="inlineStr">
        <is>
          <t>R</t>
        </is>
      </c>
      <c r="AH21" s="59" t="inlineStr">
        <is>
          <t>C</t>
        </is>
      </c>
      <c r="AI21" s="59" t="inlineStr">
        <is>
          <t>C</t>
        </is>
      </c>
      <c r="AJ21" s="59" t="inlineStr">
        <is>
          <t>C</t>
        </is>
      </c>
      <c r="AK21" s="59" t="n"/>
      <c r="AL21" s="59" t="n"/>
      <c r="AM21" s="59" t="n"/>
      <c r="AN21" s="59" t="n"/>
      <c r="AO21" s="59" t="n"/>
      <c r="AP21" s="59" t="n"/>
      <c r="AQ21" s="59" t="n"/>
      <c r="AR21" s="59" t="n"/>
      <c r="AS21" s="59" t="n"/>
      <c r="AT21" s="59" t="n"/>
      <c r="AU21" s="59" t="n"/>
      <c r="AV21" s="59" t="n"/>
      <c r="AW21" s="59" t="n"/>
      <c r="AX21" s="59" t="n"/>
      <c r="AY21" s="59" t="n"/>
      <c r="AZ21" s="59" t="n"/>
      <c r="BA21" s="59" t="n"/>
      <c r="BB21" s="59" t="n"/>
      <c r="BC21" s="59" t="n"/>
      <c r="BD21" s="59" t="n"/>
      <c r="BE21" s="59" t="n"/>
      <c r="BF21" s="59" t="n"/>
      <c r="BG21" s="59" t="n"/>
      <c r="BH21" s="59" t="n"/>
      <c r="BI21" s="59" t="n"/>
      <c r="BJ21" s="59" t="n"/>
      <c r="BK21" s="59" t="n"/>
      <c r="BL21" s="54">
        <f>COUNTIF(D21:BK21,"C")</f>
        <v/>
      </c>
      <c r="BM21" s="54">
        <f>COUNTIF(D21:BK21,"R")</f>
        <v/>
      </c>
    </row>
    <row r="22">
      <c r="A22" s="57" t="n"/>
      <c r="B22" s="47" t="inlineStr">
        <is>
          <t>C05-03</t>
        </is>
      </c>
      <c r="C22" s="58">
        <f>IFERROR(INDEX(ケイパビリティマップ!$E:$E,MATCH(B22,ケイパビリティマップ!$A:$A,0)),"（IDなし）")</f>
        <v/>
      </c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inlineStr">
        <is>
          <t>C</t>
        </is>
      </c>
      <c r="T22" s="59" t="inlineStr">
        <is>
          <t>R</t>
        </is>
      </c>
      <c r="U22" s="59" t="inlineStr">
        <is>
          <t>R</t>
        </is>
      </c>
      <c r="V22" s="59" t="inlineStr">
        <is>
          <t>R</t>
        </is>
      </c>
      <c r="W22" s="59" t="n"/>
      <c r="X22" s="59" t="inlineStr">
        <is>
          <t>R</t>
        </is>
      </c>
      <c r="Y22" s="59" t="n"/>
      <c r="Z22" s="59" t="n"/>
      <c r="AA22" s="59" t="n"/>
      <c r="AB22" s="59" t="n"/>
      <c r="AC22" s="59" t="n"/>
      <c r="AD22" s="59" t="n"/>
      <c r="AE22" s="59" t="n"/>
      <c r="AF22" s="59" t="n"/>
      <c r="AG22" s="59" t="n"/>
      <c r="AH22" s="59" t="inlineStr">
        <is>
          <t>R</t>
        </is>
      </c>
      <c r="AI22" s="59" t="n"/>
      <c r="AJ22" s="59" t="inlineStr">
        <is>
          <t>R</t>
        </is>
      </c>
      <c r="AK22" s="59" t="inlineStr">
        <is>
          <t>C</t>
        </is>
      </c>
      <c r="AL22" s="59" t="inlineStr">
        <is>
          <t>C</t>
        </is>
      </c>
      <c r="AM22" s="59" t="inlineStr">
        <is>
          <t>C</t>
        </is>
      </c>
      <c r="AN22" s="59" t="inlineStr">
        <is>
          <t>C</t>
        </is>
      </c>
      <c r="AO22" s="59" t="inlineStr">
        <is>
          <t>C</t>
        </is>
      </c>
      <c r="AP22" s="59" t="n"/>
      <c r="AQ22" s="59" t="n"/>
      <c r="AR22" s="59" t="inlineStr">
        <is>
          <t>C</t>
        </is>
      </c>
      <c r="AS22" s="59" t="n"/>
      <c r="AT22" s="59" t="n"/>
      <c r="AU22" s="59" t="n"/>
      <c r="AV22" s="59" t="n"/>
      <c r="AW22" s="59" t="n"/>
      <c r="AX22" s="59" t="n"/>
      <c r="AY22" s="59" t="n"/>
      <c r="AZ22" s="59" t="n"/>
      <c r="BA22" s="59" t="n"/>
      <c r="BB22" s="59" t="n"/>
      <c r="BC22" s="59" t="n"/>
      <c r="BD22" s="59" t="n"/>
      <c r="BE22" s="59" t="inlineStr">
        <is>
          <t>R</t>
        </is>
      </c>
      <c r="BF22" s="59" t="n"/>
      <c r="BG22" s="59" t="inlineStr">
        <is>
          <t>R</t>
        </is>
      </c>
      <c r="BH22" s="59" t="n"/>
      <c r="BI22" s="59" t="n"/>
      <c r="BJ22" s="59" t="n"/>
      <c r="BK22" s="59" t="n"/>
      <c r="BL22" s="54">
        <f>COUNTIF(D22:BK22,"C")</f>
        <v/>
      </c>
      <c r="BM22" s="54">
        <f>COUNTIF(D22:BK22,"R")</f>
        <v/>
      </c>
    </row>
    <row r="23">
      <c r="A23" s="57" t="n"/>
      <c r="B23" s="47" t="inlineStr">
        <is>
          <t>C05-04</t>
        </is>
      </c>
      <c r="C23" s="58">
        <f>IFERROR(INDEX(ケイパビリティマップ!$E:$E,MATCH(B23,ケイパビリティマップ!$A:$A,0)),"（IDなし）")</f>
        <v/>
      </c>
      <c r="D23" s="59" t="n"/>
      <c r="E23" s="59" t="n"/>
      <c r="F23" s="59" t="n"/>
      <c r="G23" s="59" t="inlineStr">
        <is>
          <t>R</t>
        </is>
      </c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inlineStr">
        <is>
          <t>R</t>
        </is>
      </c>
      <c r="T23" s="59" t="n"/>
      <c r="U23" s="59" t="n"/>
      <c r="V23" s="59" t="n"/>
      <c r="W23" s="59" t="n"/>
      <c r="X23" s="59" t="inlineStr">
        <is>
          <t>C</t>
        </is>
      </c>
      <c r="Y23" s="59" t="n"/>
      <c r="Z23" s="59" t="n"/>
      <c r="AA23" s="59" t="n"/>
      <c r="AB23" s="59" t="n"/>
      <c r="AC23" s="59" t="n"/>
      <c r="AD23" s="59" t="n"/>
      <c r="AE23" s="59" t="n"/>
      <c r="AF23" s="59" t="n"/>
      <c r="AG23" s="59" t="n"/>
      <c r="AH23" s="59" t="n"/>
      <c r="AI23" s="59" t="n"/>
      <c r="AJ23" s="59" t="inlineStr">
        <is>
          <t>R</t>
        </is>
      </c>
      <c r="AK23" s="59" t="inlineStr">
        <is>
          <t>R</t>
        </is>
      </c>
      <c r="AL23" s="59" t="n"/>
      <c r="AM23" s="59" t="n"/>
      <c r="AN23" s="59" t="n"/>
      <c r="AO23" s="59" t="inlineStr">
        <is>
          <t>C</t>
        </is>
      </c>
      <c r="AP23" s="59" t="inlineStr">
        <is>
          <t>C</t>
        </is>
      </c>
      <c r="AQ23" s="59" t="inlineStr">
        <is>
          <t>C</t>
        </is>
      </c>
      <c r="AR23" s="59" t="inlineStr">
        <is>
          <t>R</t>
        </is>
      </c>
      <c r="AS23" s="59" t="inlineStr">
        <is>
          <t>R</t>
        </is>
      </c>
      <c r="AT23" s="59" t="n"/>
      <c r="AU23" s="59" t="n"/>
      <c r="AV23" s="59" t="n"/>
      <c r="AW23" s="59" t="n"/>
      <c r="AX23" s="59" t="n"/>
      <c r="AY23" s="59" t="n"/>
      <c r="AZ23" s="59" t="n"/>
      <c r="BA23" s="59" t="n"/>
      <c r="BB23" s="59" t="n"/>
      <c r="BC23" s="59" t="n"/>
      <c r="BD23" s="59" t="n"/>
      <c r="BE23" s="59" t="inlineStr">
        <is>
          <t>R</t>
        </is>
      </c>
      <c r="BF23" s="59" t="n"/>
      <c r="BG23" s="59" t="n"/>
      <c r="BH23" s="59" t="n"/>
      <c r="BI23" s="59" t="n"/>
      <c r="BJ23" s="59" t="n"/>
      <c r="BK23" s="59" t="n"/>
      <c r="BL23" s="54">
        <f>COUNTIF(D23:BK23,"C")</f>
        <v/>
      </c>
      <c r="BM23" s="54">
        <f>COUNTIF(D23:BK23,"R")</f>
        <v/>
      </c>
    </row>
    <row r="24">
      <c r="A24" s="57" t="inlineStr">
        <is>
          <t>C06 就業・労務管理</t>
        </is>
      </c>
      <c r="B24" s="47" t="inlineStr">
        <is>
          <t>C06-01</t>
        </is>
      </c>
      <c r="C24" s="58">
        <f>IFERROR(INDEX(ケイパビリティマップ!$E:$E,MATCH(B24,ケイパビリティマップ!$A:$A,0)),"（IDなし）")</f>
        <v/>
      </c>
      <c r="D24" s="59" t="n"/>
      <c r="E24" s="59" t="n"/>
      <c r="F24" s="59" t="n"/>
      <c r="G24" s="59" t="inlineStr">
        <is>
          <t>R</t>
        </is>
      </c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inlineStr">
        <is>
          <t>R</t>
        </is>
      </c>
      <c r="T24" s="59" t="inlineStr">
        <is>
          <t>R</t>
        </is>
      </c>
      <c r="U24" s="59" t="inlineStr">
        <is>
          <t>R</t>
        </is>
      </c>
      <c r="V24" s="59" t="n"/>
      <c r="W24" s="59" t="n"/>
      <c r="X24" s="59" t="n"/>
      <c r="Y24" s="59" t="n"/>
      <c r="Z24" s="59" t="n"/>
      <c r="AA24" s="59" t="n"/>
      <c r="AB24" s="59" t="n"/>
      <c r="AC24" s="59" t="n"/>
      <c r="AD24" s="59" t="n"/>
      <c r="AE24" s="59" t="n"/>
      <c r="AF24" s="59" t="n"/>
      <c r="AG24" s="59" t="n"/>
      <c r="AH24" s="59" t="n"/>
      <c r="AI24" s="59" t="n"/>
      <c r="AJ24" s="59" t="n"/>
      <c r="AK24" s="59" t="n"/>
      <c r="AL24" s="59" t="n"/>
      <c r="AM24" s="59" t="n"/>
      <c r="AN24" s="59" t="n"/>
      <c r="AO24" s="59" t="n"/>
      <c r="AP24" s="59" t="n"/>
      <c r="AQ24" s="59" t="n"/>
      <c r="AR24" s="59" t="inlineStr">
        <is>
          <t>C</t>
        </is>
      </c>
      <c r="AS24" s="59" t="inlineStr">
        <is>
          <t>C</t>
        </is>
      </c>
      <c r="AT24" s="59" t="inlineStr">
        <is>
          <t>R</t>
        </is>
      </c>
      <c r="AU24" s="59" t="inlineStr">
        <is>
          <t>R</t>
        </is>
      </c>
      <c r="AV24" s="59" t="n"/>
      <c r="AW24" s="59" t="n"/>
      <c r="AX24" s="59" t="n"/>
      <c r="AY24" s="59" t="n"/>
      <c r="AZ24" s="59" t="n"/>
      <c r="BA24" s="59" t="n"/>
      <c r="BB24" s="59" t="n"/>
      <c r="BC24" s="59" t="n"/>
      <c r="BD24" s="59" t="n"/>
      <c r="BE24" s="59" t="n"/>
      <c r="BF24" s="59" t="n"/>
      <c r="BG24" s="59" t="n"/>
      <c r="BH24" s="59" t="n"/>
      <c r="BI24" s="59" t="n"/>
      <c r="BJ24" s="59" t="n"/>
      <c r="BK24" s="59" t="n"/>
      <c r="BL24" s="54">
        <f>COUNTIF(D24:BK24,"C")</f>
        <v/>
      </c>
      <c r="BM24" s="54">
        <f>COUNTIF(D24:BK24,"R")</f>
        <v/>
      </c>
    </row>
    <row r="25">
      <c r="A25" s="57" t="n"/>
      <c r="B25" s="47" t="inlineStr">
        <is>
          <t>C06-02</t>
        </is>
      </c>
      <c r="C25" s="58">
        <f>IFERROR(INDEX(ケイパビリティマップ!$E:$E,MATCH(B25,ケイパビリティマップ!$A:$A,0)),"（IDなし）")</f>
        <v/>
      </c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inlineStr">
        <is>
          <t>R</t>
        </is>
      </c>
      <c r="T25" s="59" t="n"/>
      <c r="U25" s="59" t="n"/>
      <c r="V25" s="59" t="n"/>
      <c r="W25" s="59" t="n"/>
      <c r="X25" s="59" t="n"/>
      <c r="Y25" s="59" t="n"/>
      <c r="Z25" s="59" t="n"/>
      <c r="AA25" s="59" t="n"/>
      <c r="AB25" s="59" t="n"/>
      <c r="AC25" s="59" t="n"/>
      <c r="AD25" s="59" t="n"/>
      <c r="AE25" s="59" t="n"/>
      <c r="AF25" s="59" t="n"/>
      <c r="AG25" s="59" t="n"/>
      <c r="AH25" s="59" t="n"/>
      <c r="AI25" s="59" t="n"/>
      <c r="AJ25" s="59" t="n"/>
      <c r="AK25" s="59" t="n"/>
      <c r="AL25" s="59" t="n"/>
      <c r="AM25" s="59" t="n"/>
      <c r="AN25" s="59" t="n"/>
      <c r="AO25" s="59" t="n"/>
      <c r="AP25" s="59" t="n"/>
      <c r="AQ25" s="59" t="n"/>
      <c r="AR25" s="59" t="inlineStr">
        <is>
          <t>R</t>
        </is>
      </c>
      <c r="AS25" s="59" t="n"/>
      <c r="AT25" s="59" t="n"/>
      <c r="AU25" s="59" t="inlineStr">
        <is>
          <t>C</t>
        </is>
      </c>
      <c r="AV25" s="59" t="inlineStr">
        <is>
          <t>C</t>
        </is>
      </c>
      <c r="AW25" s="59" t="inlineStr">
        <is>
          <t>C</t>
        </is>
      </c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4">
        <f>COUNTIF(D25:BK25,"C")</f>
        <v/>
      </c>
      <c r="BM25" s="54">
        <f>COUNTIF(D25:BK25,"R")</f>
        <v/>
      </c>
    </row>
    <row r="26">
      <c r="A26" s="57" t="n"/>
      <c r="B26" s="47" t="inlineStr">
        <is>
          <t>C06-03</t>
        </is>
      </c>
      <c r="C26" s="58">
        <f>IFERROR(INDEX(ケイパビリティマップ!$E:$E,MATCH(B26,ケイパビリティマップ!$A:$A,0)),"（IDなし）")</f>
        <v/>
      </c>
      <c r="D26" s="59" t="n"/>
      <c r="E26" s="59" t="n"/>
      <c r="F26" s="59" t="n"/>
      <c r="G26" s="59" t="inlineStr">
        <is>
          <t>R</t>
        </is>
      </c>
      <c r="H26" s="59" t="n"/>
      <c r="I26" s="59" t="n"/>
      <c r="J26" s="59" t="n"/>
      <c r="K26" s="59" t="inlineStr">
        <is>
          <t>R</t>
        </is>
      </c>
      <c r="L26" s="59" t="n"/>
      <c r="M26" s="59" t="n"/>
      <c r="N26" s="59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n"/>
      <c r="AD26" s="59" t="n"/>
      <c r="AE26" s="59" t="n"/>
      <c r="AF26" s="59" t="n"/>
      <c r="AG26" s="59" t="inlineStr">
        <is>
          <t>R</t>
        </is>
      </c>
      <c r="AH26" s="59" t="inlineStr">
        <is>
          <t>R</t>
        </is>
      </c>
      <c r="AI26" s="59" t="n"/>
      <c r="AJ26" s="59" t="inlineStr">
        <is>
          <t>R</t>
        </is>
      </c>
      <c r="AK26" s="59" t="n"/>
      <c r="AL26" s="59" t="n"/>
      <c r="AM26" s="59" t="n"/>
      <c r="AN26" s="59" t="n"/>
      <c r="AO26" s="59" t="n"/>
      <c r="AP26" s="59" t="n"/>
      <c r="AQ26" s="59" t="n"/>
      <c r="AR26" s="59" t="inlineStr">
        <is>
          <t>R</t>
        </is>
      </c>
      <c r="AS26" s="59" t="n"/>
      <c r="AT26" s="59" t="inlineStr">
        <is>
          <t>C</t>
        </is>
      </c>
      <c r="AU26" s="59" t="n"/>
      <c r="AV26" s="59" t="n"/>
      <c r="AW26" s="59" t="n"/>
      <c r="AX26" s="59" t="inlineStr">
        <is>
          <t>C</t>
        </is>
      </c>
      <c r="AY26" s="59" t="n"/>
      <c r="AZ26" s="59" t="n"/>
      <c r="BA26" s="59" t="n"/>
      <c r="BB26" s="59" t="n"/>
      <c r="BC26" s="59" t="n"/>
      <c r="BD26" s="59" t="n"/>
      <c r="BE26" s="59" t="inlineStr">
        <is>
          <t>C</t>
        </is>
      </c>
      <c r="BF26" s="59" t="n"/>
      <c r="BG26" s="59" t="n"/>
      <c r="BH26" s="59" t="n"/>
      <c r="BI26" s="59" t="n"/>
      <c r="BJ26" s="59" t="n"/>
      <c r="BK26" s="59" t="n"/>
      <c r="BL26" s="54">
        <f>COUNTIF(D26:BK26,"C")</f>
        <v/>
      </c>
      <c r="BM26" s="54">
        <f>COUNTIF(D26:BK26,"R")</f>
        <v/>
      </c>
    </row>
    <row r="27">
      <c r="A27" s="57" t="n"/>
      <c r="B27" s="47" t="inlineStr">
        <is>
          <t>C06-04</t>
        </is>
      </c>
      <c r="C27" s="58">
        <f>IFERROR(INDEX(ケイパビリティマップ!$E:$E,MATCH(B27,ケイパビリティマップ!$A:$A,0)),"（IDなし）")</f>
        <v/>
      </c>
      <c r="D27" s="59" t="inlineStr">
        <is>
          <t>R</t>
        </is>
      </c>
      <c r="E27" s="59" t="n"/>
      <c r="F27" s="59" t="n"/>
      <c r="G27" s="59" t="inlineStr">
        <is>
          <t>R</t>
        </is>
      </c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inlineStr">
        <is>
          <t>R</t>
        </is>
      </c>
      <c r="T27" s="59" t="n"/>
      <c r="U27" s="59" t="n"/>
      <c r="V27" s="59" t="n"/>
      <c r="W27" s="59" t="n"/>
      <c r="X27" s="59" t="n"/>
      <c r="Y27" s="59" t="n"/>
      <c r="Z27" s="59" t="inlineStr">
        <is>
          <t>R</t>
        </is>
      </c>
      <c r="AA27" s="59" t="n"/>
      <c r="AB27" s="59" t="n"/>
      <c r="AC27" s="59" t="n"/>
      <c r="AD27" s="59" t="n"/>
      <c r="AE27" s="59" t="n"/>
      <c r="AF27" s="59" t="n"/>
      <c r="AG27" s="59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59" t="n"/>
      <c r="AQ27" s="59" t="n"/>
      <c r="AR27" s="59" t="inlineStr">
        <is>
          <t>C</t>
        </is>
      </c>
      <c r="AS27" s="59" t="inlineStr">
        <is>
          <t>R</t>
        </is>
      </c>
      <c r="AT27" s="59" t="n"/>
      <c r="AU27" s="59" t="n"/>
      <c r="AV27" s="59" t="n"/>
      <c r="AW27" s="59" t="n"/>
      <c r="AX27" s="59" t="n"/>
      <c r="AY27" s="59" t="inlineStr">
        <is>
          <t>C</t>
        </is>
      </c>
      <c r="AZ27" s="59" t="n"/>
      <c r="BA27" s="59" t="n"/>
      <c r="BB27" s="59" t="n"/>
      <c r="BC27" s="59" t="n"/>
      <c r="BD27" s="59" t="n"/>
      <c r="BE27" s="59" t="n"/>
      <c r="BF27" s="59" t="n"/>
      <c r="BG27" s="59" t="n"/>
      <c r="BH27" s="59" t="n"/>
      <c r="BI27" s="59" t="n"/>
      <c r="BJ27" s="59" t="n"/>
      <c r="BK27" s="59" t="n"/>
      <c r="BL27" s="54">
        <f>COUNTIF(D27:BK27,"C")</f>
        <v/>
      </c>
      <c r="BM27" s="54">
        <f>COUNTIF(D27:BK27,"R")</f>
        <v/>
      </c>
    </row>
    <row r="28">
      <c r="A28" s="57" t="inlineStr">
        <is>
          <t>C07 タレントマネジメント・配置</t>
        </is>
      </c>
      <c r="B28" s="47" t="inlineStr">
        <is>
          <t>C07-01</t>
        </is>
      </c>
      <c r="C28" s="58">
        <f>IFERROR(INDEX(ケイパビリティマップ!$E:$E,MATCH(B28,ケイパビリティマップ!$A:$A,0)),"（IDなし）")</f>
        <v/>
      </c>
      <c r="D28" s="59" t="inlineStr">
        <is>
          <t>R</t>
        </is>
      </c>
      <c r="E28" s="59" t="inlineStr">
        <is>
          <t>R</t>
        </is>
      </c>
      <c r="F28" s="59" t="n"/>
      <c r="G28" s="59" t="n"/>
      <c r="H28" s="59" t="n"/>
      <c r="I28" s="59" t="n"/>
      <c r="J28" s="59" t="inlineStr">
        <is>
          <t>R</t>
        </is>
      </c>
      <c r="K28" s="59" t="n"/>
      <c r="L28" s="59" t="n"/>
      <c r="M28" s="59" t="n"/>
      <c r="N28" s="59" t="n"/>
      <c r="O28" s="59" t="n"/>
      <c r="P28" s="59" t="inlineStr">
        <is>
          <t>R</t>
        </is>
      </c>
      <c r="Q28" s="59" t="n"/>
      <c r="R28" s="59" t="n"/>
      <c r="S28" s="59" t="inlineStr">
        <is>
          <t>R</t>
        </is>
      </c>
      <c r="T28" s="59" t="inlineStr">
        <is>
          <t>C</t>
        </is>
      </c>
      <c r="U28" s="59" t="n"/>
      <c r="V28" s="59" t="n"/>
      <c r="W28" s="59" t="n"/>
      <c r="X28" s="59" t="n"/>
      <c r="Y28" s="59" t="inlineStr">
        <is>
          <t>C</t>
        </is>
      </c>
      <c r="Z28" s="59" t="inlineStr">
        <is>
          <t>R</t>
        </is>
      </c>
      <c r="AA28" s="59" t="inlineStr">
        <is>
          <t>R</t>
        </is>
      </c>
      <c r="AB28" s="59" t="n"/>
      <c r="AC28" s="59" t="n"/>
      <c r="AD28" s="59" t="inlineStr">
        <is>
          <t>R</t>
        </is>
      </c>
      <c r="AE28" s="59" t="inlineStr">
        <is>
          <t>R</t>
        </is>
      </c>
      <c r="AF28" s="59" t="n"/>
      <c r="AG28" s="59" t="inlineStr">
        <is>
          <t>R</t>
        </is>
      </c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  <c r="AV28" s="59" t="n"/>
      <c r="AW28" s="59" t="n"/>
      <c r="AX28" s="59" t="n"/>
      <c r="AY28" s="59" t="n"/>
      <c r="AZ28" s="59" t="inlineStr">
        <is>
          <t>C</t>
        </is>
      </c>
      <c r="BA28" s="59" t="inlineStr">
        <is>
          <t>C</t>
        </is>
      </c>
      <c r="BB28" s="59" t="n"/>
      <c r="BC28" s="59" t="n"/>
      <c r="BD28" s="59" t="n"/>
      <c r="BE28" s="59" t="n"/>
      <c r="BF28" s="59" t="n"/>
      <c r="BG28" s="59" t="n"/>
      <c r="BH28" s="59" t="n"/>
      <c r="BI28" s="59" t="n"/>
      <c r="BJ28" s="59" t="n"/>
      <c r="BK28" s="59" t="n"/>
      <c r="BL28" s="54">
        <f>COUNTIF(D28:BK28,"C")</f>
        <v/>
      </c>
      <c r="BM28" s="54">
        <f>COUNTIF(D28:BK28,"R")</f>
        <v/>
      </c>
    </row>
    <row r="29">
      <c r="A29" s="57" t="n"/>
      <c r="B29" s="47" t="inlineStr">
        <is>
          <t>C07-02</t>
        </is>
      </c>
      <c r="C29" s="58">
        <f>IFERROR(INDEX(ケイパビリティマップ!$E:$E,MATCH(B29,ケイパビリティマップ!$A:$A,0)),"（IDなし）")</f>
        <v/>
      </c>
      <c r="D29" s="59" t="n"/>
      <c r="E29" s="59" t="n"/>
      <c r="F29" s="59" t="inlineStr">
        <is>
          <t>R</t>
        </is>
      </c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inlineStr">
        <is>
          <t>C</t>
        </is>
      </c>
      <c r="Z29" s="59" t="n"/>
      <c r="AA29" s="59" t="n"/>
      <c r="AB29" s="59" t="n"/>
      <c r="AC29" s="59" t="n"/>
      <c r="AD29" s="59" t="n"/>
      <c r="AE29" s="59" t="n"/>
      <c r="AF29" s="59" t="n"/>
      <c r="AG29" s="59" t="inlineStr">
        <is>
          <t>R</t>
        </is>
      </c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59" t="n"/>
      <c r="AT29" s="59" t="n"/>
      <c r="AU29" s="59" t="n"/>
      <c r="AV29" s="59" t="n"/>
      <c r="AW29" s="59" t="n"/>
      <c r="AX29" s="59" t="n"/>
      <c r="AY29" s="59" t="n"/>
      <c r="AZ29" s="59" t="inlineStr">
        <is>
          <t>R</t>
        </is>
      </c>
      <c r="BA29" s="59" t="n"/>
      <c r="BB29" s="59" t="inlineStr">
        <is>
          <t>C</t>
        </is>
      </c>
      <c r="BC29" s="59" t="n"/>
      <c r="BD29" s="59" t="n"/>
      <c r="BE29" s="59" t="n"/>
      <c r="BF29" s="59" t="n"/>
      <c r="BG29" s="59" t="n"/>
      <c r="BH29" s="59" t="n"/>
      <c r="BI29" s="59" t="n"/>
      <c r="BJ29" s="59" t="n"/>
      <c r="BK29" s="59" t="n"/>
      <c r="BL29" s="54">
        <f>COUNTIF(D29:BK29,"C")</f>
        <v/>
      </c>
      <c r="BM29" s="54">
        <f>COUNTIF(D29:BK29,"R")</f>
        <v/>
      </c>
    </row>
    <row r="30">
      <c r="A30" s="57" t="n"/>
      <c r="B30" s="47" t="inlineStr">
        <is>
          <t>C07-03</t>
        </is>
      </c>
      <c r="C30" s="58">
        <f>IFERROR(INDEX(ケイパビリティマップ!$E:$E,MATCH(B30,ケイパビリティマップ!$A:$A,0)),"（IDなし）")</f>
        <v/>
      </c>
      <c r="D30" s="59" t="n"/>
      <c r="E30" s="59" t="inlineStr">
        <is>
          <t>R</t>
        </is>
      </c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inlineStr">
        <is>
          <t>R</t>
        </is>
      </c>
      <c r="AC30" s="59" t="inlineStr">
        <is>
          <t>C</t>
        </is>
      </c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  <c r="AV30" s="59" t="n"/>
      <c r="AW30" s="59" t="n"/>
      <c r="AX30" s="59" t="n"/>
      <c r="AY30" s="59" t="n"/>
      <c r="AZ30" s="59" t="inlineStr">
        <is>
          <t>R</t>
        </is>
      </c>
      <c r="BA30" s="59" t="n"/>
      <c r="BB30" s="59" t="n"/>
      <c r="BC30" s="59" t="inlineStr">
        <is>
          <t>C</t>
        </is>
      </c>
      <c r="BD30" s="59" t="n"/>
      <c r="BE30" s="59" t="n"/>
      <c r="BF30" s="59" t="n"/>
      <c r="BG30" s="59" t="n"/>
      <c r="BH30" s="59" t="n"/>
      <c r="BI30" s="59" t="n"/>
      <c r="BJ30" s="59" t="n"/>
      <c r="BK30" s="59" t="n"/>
      <c r="BL30" s="54">
        <f>COUNTIF(D30:BK30,"C")</f>
        <v/>
      </c>
      <c r="BM30" s="54">
        <f>COUNTIF(D30:BK30,"R")</f>
        <v/>
      </c>
    </row>
    <row r="31">
      <c r="A31" s="57" t="n"/>
      <c r="B31" s="47" t="inlineStr">
        <is>
          <t>C07-04</t>
        </is>
      </c>
      <c r="C31" s="58">
        <f>IFERROR(INDEX(ケイパビリティマップ!$E:$E,MATCH(B31,ケイパビリティマップ!$A:$A,0)),"（IDなし）")</f>
        <v/>
      </c>
      <c r="D31" s="59" t="n"/>
      <c r="E31" s="59" t="inlineStr">
        <is>
          <t>C</t>
        </is>
      </c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inlineStr">
        <is>
          <t>R</t>
        </is>
      </c>
      <c r="T31" s="59" t="n"/>
      <c r="U31" s="59" t="n"/>
      <c r="V31" s="59" t="n"/>
      <c r="W31" s="59" t="n"/>
      <c r="X31" s="59" t="n"/>
      <c r="Y31" s="59" t="inlineStr">
        <is>
          <t>R</t>
        </is>
      </c>
      <c r="Z31" s="59" t="n"/>
      <c r="AA31" s="59" t="n"/>
      <c r="AB31" s="59" t="n"/>
      <c r="AC31" s="59" t="n"/>
      <c r="AD31" s="59" t="n"/>
      <c r="AE31" s="59" t="n"/>
      <c r="AF31" s="59" t="n"/>
      <c r="AG31" s="59" t="n"/>
      <c r="AH31" s="59" t="n"/>
      <c r="AI31" s="59" t="n"/>
      <c r="AJ31" s="59" t="n"/>
      <c r="AK31" s="59" t="inlineStr">
        <is>
          <t>R</t>
        </is>
      </c>
      <c r="AL31" s="59" t="n"/>
      <c r="AM31" s="59" t="n"/>
      <c r="AN31" s="59" t="n"/>
      <c r="AO31" s="59" t="n"/>
      <c r="AP31" s="59" t="n"/>
      <c r="AQ31" s="59" t="n"/>
      <c r="AR31" s="59" t="n"/>
      <c r="AS31" s="59" t="inlineStr">
        <is>
          <t>R</t>
        </is>
      </c>
      <c r="AT31" s="59" t="n"/>
      <c r="AU31" s="59" t="n"/>
      <c r="AV31" s="59" t="n"/>
      <c r="AW31" s="59" t="n"/>
      <c r="AX31" s="59" t="n"/>
      <c r="AY31" s="59" t="n"/>
      <c r="AZ31" s="59" t="n"/>
      <c r="BA31" s="59" t="n"/>
      <c r="BB31" s="59" t="n"/>
      <c r="BC31" s="59" t="n"/>
      <c r="BD31" s="59" t="inlineStr">
        <is>
          <t>C</t>
        </is>
      </c>
      <c r="BE31" s="59" t="n"/>
      <c r="BF31" s="59" t="n"/>
      <c r="BG31" s="59" t="n"/>
      <c r="BH31" s="59" t="n"/>
      <c r="BI31" s="59" t="n"/>
      <c r="BJ31" s="59" t="inlineStr">
        <is>
          <t>R</t>
        </is>
      </c>
      <c r="BK31" s="59" t="n"/>
      <c r="BL31" s="54">
        <f>COUNTIF(D31:BK31,"C")</f>
        <v/>
      </c>
      <c r="BM31" s="54">
        <f>COUNTIF(D31:BK31,"R")</f>
        <v/>
      </c>
    </row>
    <row r="32">
      <c r="A32" s="57" t="inlineStr">
        <is>
          <t>C08 退職・雇用終了</t>
        </is>
      </c>
      <c r="B32" s="47" t="inlineStr">
        <is>
          <t>C08-01</t>
        </is>
      </c>
      <c r="C32" s="58">
        <f>IFERROR(INDEX(ケイパビリティマップ!$E:$E,MATCH(B32,ケイパビリティマップ!$A:$A,0)),"（IDなし）")</f>
        <v/>
      </c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inlineStr">
        <is>
          <t>R</t>
        </is>
      </c>
      <c r="T32" s="59" t="n"/>
      <c r="U32" s="59" t="n"/>
      <c r="V32" s="59" t="n"/>
      <c r="W32" s="59" t="n"/>
      <c r="X32" s="59" t="inlineStr">
        <is>
          <t>C</t>
        </is>
      </c>
      <c r="Y32" s="59" t="n"/>
      <c r="Z32" s="59" t="n"/>
      <c r="AA32" s="59" t="n"/>
      <c r="AB32" s="59" t="n"/>
      <c r="AC32" s="59" t="n"/>
      <c r="AD32" s="59" t="n"/>
      <c r="AE32" s="59" t="n"/>
      <c r="AF32" s="59" t="n"/>
      <c r="AG32" s="59" t="n"/>
      <c r="AH32" s="59" t="n"/>
      <c r="AI32" s="59" t="n"/>
      <c r="AJ32" s="59" t="n"/>
      <c r="AK32" s="59" t="inlineStr">
        <is>
          <t>C</t>
        </is>
      </c>
      <c r="AL32" s="59" t="inlineStr">
        <is>
          <t>R</t>
        </is>
      </c>
      <c r="AM32" s="59" t="n"/>
      <c r="AN32" s="59" t="n"/>
      <c r="AO32" s="59" t="n"/>
      <c r="AP32" s="59" t="n"/>
      <c r="AQ32" s="59" t="inlineStr">
        <is>
          <t>C</t>
        </is>
      </c>
      <c r="AR32" s="59" t="inlineStr">
        <is>
          <t>R</t>
        </is>
      </c>
      <c r="AS32" s="59" t="inlineStr">
        <is>
          <t>R</t>
        </is>
      </c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inlineStr">
        <is>
          <t>C</t>
        </is>
      </c>
      <c r="BF32" s="59" t="inlineStr">
        <is>
          <t>C</t>
        </is>
      </c>
      <c r="BG32" s="59" t="inlineStr">
        <is>
          <t>C</t>
        </is>
      </c>
      <c r="BH32" s="59" t="n"/>
      <c r="BI32" s="59" t="n"/>
      <c r="BJ32" s="59" t="n"/>
      <c r="BK32" s="59" t="n"/>
      <c r="BL32" s="54">
        <f>COUNTIF(D32:BK32,"C")</f>
        <v/>
      </c>
      <c r="BM32" s="54">
        <f>COUNTIF(D32:BK32,"R")</f>
        <v/>
      </c>
    </row>
    <row r="33">
      <c r="A33" s="57" t="n"/>
      <c r="B33" s="47" t="inlineStr">
        <is>
          <t>C08-02</t>
        </is>
      </c>
      <c r="C33" s="58">
        <f>IFERROR(INDEX(ケイパビリティマップ!$E:$E,MATCH(B33,ケイパビリティマップ!$A:$A,0)),"（IDなし）")</f>
        <v/>
      </c>
      <c r="D33" s="59" t="n"/>
      <c r="E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inlineStr">
        <is>
          <t>R</t>
        </is>
      </c>
      <c r="T33" s="59" t="inlineStr">
        <is>
          <t>C</t>
        </is>
      </c>
      <c r="U33" s="59" t="n"/>
      <c r="V33" s="59" t="n"/>
      <c r="W33" s="59" t="n"/>
      <c r="X33" s="59" t="n"/>
      <c r="Y33" s="59" t="n"/>
      <c r="Z33" s="59" t="n"/>
      <c r="AA33" s="59" t="n"/>
      <c r="AB33" s="59" t="n"/>
      <c r="AC33" s="59" t="n"/>
      <c r="AD33" s="59" t="n"/>
      <c r="AE33" s="59" t="n"/>
      <c r="AF33" s="59" t="n"/>
      <c r="AG33" s="59" t="n"/>
      <c r="AH33" s="59" t="inlineStr">
        <is>
          <t>R</t>
        </is>
      </c>
      <c r="AI33" s="59" t="n"/>
      <c r="AJ33" s="59" t="n"/>
      <c r="AK33" s="59" t="n"/>
      <c r="AL33" s="59" t="n"/>
      <c r="AM33" s="59" t="n"/>
      <c r="AN33" s="59" t="n"/>
      <c r="AO33" s="59" t="n"/>
      <c r="AP33" s="59" t="n"/>
      <c r="AQ33" s="59" t="n"/>
      <c r="AR33" s="59" t="n"/>
      <c r="AS33" s="59" t="n"/>
      <c r="AT33" s="59" t="n"/>
      <c r="AU33" s="59" t="n"/>
      <c r="AV33" s="59" t="n"/>
      <c r="AW33" s="59" t="n"/>
      <c r="AX33" s="59" t="n"/>
      <c r="AY33" s="59" t="n"/>
      <c r="AZ33" s="59" t="n"/>
      <c r="BA33" s="59" t="n"/>
      <c r="BB33" s="59" t="n"/>
      <c r="BC33" s="59" t="n"/>
      <c r="BD33" s="59" t="n"/>
      <c r="BE33" s="59" t="n"/>
      <c r="BF33" s="59" t="n"/>
      <c r="BG33" s="59" t="n"/>
      <c r="BH33" s="59" t="n"/>
      <c r="BI33" s="59" t="n"/>
      <c r="BJ33" s="59" t="inlineStr">
        <is>
          <t>C</t>
        </is>
      </c>
      <c r="BK33" s="59" t="n"/>
      <c r="BL33" s="54">
        <f>COUNTIF(D33:BK33,"C")</f>
        <v/>
      </c>
      <c r="BM33" s="54">
        <f>COUNTIF(D33:BK33,"R")</f>
        <v/>
      </c>
    </row>
    <row r="34">
      <c r="A34" s="57" t="n"/>
      <c r="B34" s="47" t="inlineStr">
        <is>
          <t>C08-03</t>
        </is>
      </c>
      <c r="C34" s="58">
        <f>IFERROR(INDEX(ケイパビリティマップ!$E:$E,MATCH(B34,ケイパビリティマップ!$A:$A,0)),"（IDなし）")</f>
        <v/>
      </c>
      <c r="D34" s="59" t="n"/>
      <c r="E34" s="59" t="inlineStr">
        <is>
          <t>R</t>
        </is>
      </c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inlineStr">
        <is>
          <t>R</t>
        </is>
      </c>
      <c r="V34" s="59" t="n"/>
      <c r="W34" s="59" t="n"/>
      <c r="X34" s="59" t="n"/>
      <c r="Y34" s="59" t="n"/>
      <c r="Z34" s="59" t="n"/>
      <c r="AA34" s="59" t="inlineStr">
        <is>
          <t>C</t>
        </is>
      </c>
      <c r="AB34" s="59" t="n"/>
      <c r="AC34" s="59" t="n"/>
      <c r="AD34" s="59" t="n"/>
      <c r="AE34" s="59" t="n"/>
      <c r="AF34" s="59" t="n"/>
      <c r="AG34" s="59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  <c r="AV34" s="59" t="n"/>
      <c r="AW34" s="59" t="n"/>
      <c r="AX34" s="59" t="n"/>
      <c r="AY34" s="59" t="n"/>
      <c r="AZ34" s="59" t="n"/>
      <c r="BA34" s="59" t="n"/>
      <c r="BB34" s="59" t="n"/>
      <c r="BC34" s="59" t="n"/>
      <c r="BD34" s="59" t="n"/>
      <c r="BE34" s="59" t="inlineStr">
        <is>
          <t>R</t>
        </is>
      </c>
      <c r="BF34" s="59" t="n"/>
      <c r="BG34" s="59" t="inlineStr">
        <is>
          <t>C</t>
        </is>
      </c>
      <c r="BH34" s="59" t="inlineStr">
        <is>
          <t>C</t>
        </is>
      </c>
      <c r="BI34" s="59" t="inlineStr">
        <is>
          <t>C</t>
        </is>
      </c>
      <c r="BJ34" s="59" t="n"/>
      <c r="BK34" s="59" t="inlineStr">
        <is>
          <t>C</t>
        </is>
      </c>
      <c r="BL34" s="54">
        <f>COUNTIF(D34:BK34,"C")</f>
        <v/>
      </c>
      <c r="BM34" s="54">
        <f>COUNTIF(D34:BK34,"R")</f>
        <v/>
      </c>
    </row>
    <row r="35">
      <c r="A35" s="57" t="inlineStr">
        <is>
          <t>C09 人事基盤</t>
        </is>
      </c>
      <c r="B35" s="47" t="inlineStr">
        <is>
          <t>C09-01</t>
        </is>
      </c>
      <c r="C35" s="58">
        <f>IFERROR(INDEX(ケイパビリティマップ!$E:$E,MATCH(B35,ケイパビリティマップ!$A:$A,0)),"（IDなし）")</f>
        <v/>
      </c>
      <c r="D35" s="59" t="inlineStr">
        <is>
          <t>R</t>
        </is>
      </c>
      <c r="E35" s="59" t="n"/>
      <c r="F35" s="59" t="n"/>
      <c r="G35" s="59" t="n"/>
      <c r="H35" s="59" t="inlineStr">
        <is>
          <t>R</t>
        </is>
      </c>
      <c r="I35" s="59" t="inlineStr">
        <is>
          <t>R</t>
        </is>
      </c>
      <c r="J35" s="59" t="n"/>
      <c r="K35" s="59" t="n"/>
      <c r="L35" s="59" t="n"/>
      <c r="M35" s="59" t="inlineStr">
        <is>
          <t>R</t>
        </is>
      </c>
      <c r="N35" s="59" t="n"/>
      <c r="O35" s="59" t="n"/>
      <c r="P35" s="59" t="inlineStr">
        <is>
          <t>R</t>
        </is>
      </c>
      <c r="Q35" s="59" t="inlineStr">
        <is>
          <t>R</t>
        </is>
      </c>
      <c r="R35" s="59" t="inlineStr">
        <is>
          <t>R</t>
        </is>
      </c>
      <c r="S35" s="59" t="inlineStr">
        <is>
          <t>R</t>
        </is>
      </c>
      <c r="T35" s="59" t="n"/>
      <c r="U35" s="59" t="n"/>
      <c r="V35" s="59" t="n"/>
      <c r="W35" s="59" t="n"/>
      <c r="X35" s="59" t="n"/>
      <c r="Y35" s="59" t="inlineStr">
        <is>
          <t>R</t>
        </is>
      </c>
      <c r="Z35" s="59" t="n"/>
      <c r="AA35" s="59" t="n"/>
      <c r="AB35" s="59" t="inlineStr">
        <is>
          <t>R</t>
        </is>
      </c>
      <c r="AC35" s="59" t="inlineStr">
        <is>
          <t>R</t>
        </is>
      </c>
      <c r="AD35" s="59" t="inlineStr">
        <is>
          <t>R</t>
        </is>
      </c>
      <c r="AE35" s="59" t="inlineStr">
        <is>
          <t>R</t>
        </is>
      </c>
      <c r="AF35" s="59" t="n"/>
      <c r="AG35" s="59" t="inlineStr">
        <is>
          <t>R</t>
        </is>
      </c>
      <c r="AH35" s="59" t="n"/>
      <c r="AI35" s="59" t="n"/>
      <c r="AJ35" s="59" t="n"/>
      <c r="AK35" s="59" t="inlineStr">
        <is>
          <t>R</t>
        </is>
      </c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inlineStr">
        <is>
          <t>R</t>
        </is>
      </c>
      <c r="AZ35" s="59" t="inlineStr">
        <is>
          <t>R</t>
        </is>
      </c>
      <c r="BA35" s="59" t="n"/>
      <c r="BB35" s="59" t="n"/>
      <c r="BC35" s="59" t="n"/>
      <c r="BD35" s="59" t="inlineStr">
        <is>
          <t>R</t>
        </is>
      </c>
      <c r="BE35" s="59" t="n"/>
      <c r="BF35" s="59" t="n"/>
      <c r="BG35" s="59" t="n"/>
      <c r="BH35" s="59" t="n"/>
      <c r="BI35" s="59" t="n"/>
      <c r="BJ35" s="59" t="n"/>
      <c r="BK35" s="59" t="n"/>
      <c r="BL35" s="54">
        <f>COUNTIF(D35:BK35,"C")</f>
        <v/>
      </c>
      <c r="BM35" s="54">
        <f>COUNTIF(D35:BK35,"R")</f>
        <v/>
      </c>
    </row>
    <row r="36">
      <c r="A36" s="57" t="n"/>
      <c r="B36" s="47" t="inlineStr">
        <is>
          <t>C09-02</t>
        </is>
      </c>
      <c r="C36" s="58">
        <f>IFERROR(INDEX(ケイパビリティマップ!$E:$E,MATCH(B36,ケイパビリティマップ!$A:$A,0)),"（IDなし）")</f>
        <v/>
      </c>
      <c r="D36" s="59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inlineStr">
        <is>
          <t>R</t>
        </is>
      </c>
      <c r="T36" s="59" t="n"/>
      <c r="U36" s="59" t="n"/>
      <c r="V36" s="59" t="inlineStr">
        <is>
          <t>R</t>
        </is>
      </c>
      <c r="W36" s="59" t="n"/>
      <c r="X36" s="59" t="inlineStr">
        <is>
          <t>R</t>
        </is>
      </c>
      <c r="Y36" s="59" t="n"/>
      <c r="Z36" s="59" t="n"/>
      <c r="AA36" s="59" t="n"/>
      <c r="AB36" s="59" t="n"/>
      <c r="AC36" s="59" t="n"/>
      <c r="AD36" s="59" t="n"/>
      <c r="AE36" s="59" t="n"/>
      <c r="AF36" s="59" t="n"/>
      <c r="AG36" s="59" t="n"/>
      <c r="AH36" s="59" t="inlineStr">
        <is>
          <t>R</t>
        </is>
      </c>
      <c r="AI36" s="59" t="n"/>
      <c r="AJ36" s="59" t="n"/>
      <c r="AK36" s="59" t="inlineStr">
        <is>
          <t>R</t>
        </is>
      </c>
      <c r="AL36" s="59" t="inlineStr">
        <is>
          <t>R</t>
        </is>
      </c>
      <c r="AM36" s="59" t="inlineStr">
        <is>
          <t>R</t>
        </is>
      </c>
      <c r="AN36" s="59" t="inlineStr">
        <is>
          <t>R</t>
        </is>
      </c>
      <c r="AO36" s="59" t="n"/>
      <c r="AP36" s="59" t="n"/>
      <c r="AQ36" s="59" t="n"/>
      <c r="AR36" s="59" t="inlineStr">
        <is>
          <t>R</t>
        </is>
      </c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4">
        <f>COUNTIF(D36:BK36,"C")</f>
        <v/>
      </c>
      <c r="BM36" s="54">
        <f>COUNTIF(D36:BK36,"R")</f>
        <v/>
      </c>
    </row>
    <row r="37">
      <c r="A37" s="57" t="n"/>
      <c r="B37" s="47" t="inlineStr">
        <is>
          <t>C09-03</t>
        </is>
      </c>
      <c r="C37" s="58">
        <f>IFERROR(INDEX(ケイパビリティマップ!$E:$E,MATCH(B37,ケイパビリティマップ!$A:$A,0)),"（IDなし）")</f>
        <v/>
      </c>
      <c r="D37" s="59" t="n"/>
      <c r="E37" s="59" t="n"/>
      <c r="F37" s="59" t="n"/>
      <c r="G37" s="59" t="n"/>
      <c r="H37" s="59" t="n"/>
      <c r="I37" s="59" t="n"/>
      <c r="J37" s="59" t="n"/>
      <c r="K37" s="59" t="n"/>
      <c r="L37" s="59" t="n"/>
      <c r="M37" s="59" t="n"/>
      <c r="N37" s="59" t="n"/>
      <c r="O37" s="59" t="inlineStr">
        <is>
          <t>R</t>
        </is>
      </c>
      <c r="P37" s="59" t="inlineStr">
        <is>
          <t>R</t>
        </is>
      </c>
      <c r="Q37" s="59" t="n"/>
      <c r="R37" s="59" t="n"/>
      <c r="S37" s="59" t="inlineStr">
        <is>
          <t>R</t>
        </is>
      </c>
      <c r="T37" s="59" t="n"/>
      <c r="U37" s="59" t="inlineStr">
        <is>
          <t>R</t>
        </is>
      </c>
      <c r="V37" s="59" t="inlineStr">
        <is>
          <t>R</t>
        </is>
      </c>
      <c r="W37" s="59" t="inlineStr">
        <is>
          <t>R</t>
        </is>
      </c>
      <c r="X37" s="59" t="n"/>
      <c r="Y37" s="59" t="inlineStr">
        <is>
          <t>R</t>
        </is>
      </c>
      <c r="Z37" s="59" t="n"/>
      <c r="AA37" s="59" t="inlineStr">
        <is>
          <t>C</t>
        </is>
      </c>
      <c r="AB37" s="59" t="n"/>
      <c r="AC37" s="59" t="n"/>
      <c r="AD37" s="59" t="n"/>
      <c r="AE37" s="59" t="n"/>
      <c r="AF37" s="59" t="n"/>
      <c r="AG37" s="59" t="n"/>
      <c r="AH37" s="59" t="n"/>
      <c r="AI37" s="59" t="n"/>
      <c r="AJ37" s="59" t="n"/>
      <c r="AK37" s="59" t="n"/>
      <c r="AL37" s="59" t="inlineStr">
        <is>
          <t>R</t>
        </is>
      </c>
      <c r="AM37" s="59" t="n"/>
      <c r="AN37" s="59" t="n"/>
      <c r="AO37" s="59" t="n"/>
      <c r="AP37" s="59" t="n"/>
      <c r="AQ37" s="59" t="n"/>
      <c r="AR37" s="59" t="n"/>
      <c r="AS37" s="59" t="n"/>
      <c r="AT37" s="59" t="n"/>
      <c r="AU37" s="59" t="inlineStr">
        <is>
          <t>R</t>
        </is>
      </c>
      <c r="AV37" s="59" t="inlineStr">
        <is>
          <t>R</t>
        </is>
      </c>
      <c r="AW37" s="59" t="n"/>
      <c r="AX37" s="59" t="n"/>
      <c r="AY37" s="59" t="n"/>
      <c r="AZ37" s="59" t="n"/>
      <c r="BA37" s="59" t="inlineStr">
        <is>
          <t>R</t>
        </is>
      </c>
      <c r="BB37" s="59" t="n"/>
      <c r="BC37" s="59" t="n"/>
      <c r="BD37" s="59" t="n"/>
      <c r="BE37" s="59" t="inlineStr">
        <is>
          <t>R</t>
        </is>
      </c>
      <c r="BF37" s="59" t="n"/>
      <c r="BG37" s="59" t="n"/>
      <c r="BH37" s="59" t="n"/>
      <c r="BI37" s="59" t="n"/>
      <c r="BJ37" s="59" t="n"/>
      <c r="BK37" s="59" t="n"/>
      <c r="BL37" s="54">
        <f>COUNTIF(D37:BK37,"C")</f>
        <v/>
      </c>
      <c r="BM37" s="54">
        <f>COUNTIF(D37:BK37,"R")</f>
        <v/>
      </c>
    </row>
    <row r="38">
      <c r="C38" s="57" t="inlineStr">
        <is>
          <t>Cの数</t>
        </is>
      </c>
      <c r="D38" s="54">
        <f>COUNTIF(D$6:D$37,"C")</f>
        <v/>
      </c>
      <c r="E38" s="54">
        <f>COUNTIF(E$6:E$37,"C")</f>
        <v/>
      </c>
      <c r="F38" s="54">
        <f>COUNTIF(F$6:F$37,"C")</f>
        <v/>
      </c>
      <c r="G38" s="54">
        <f>COUNTIF(G$6:G$37,"C")</f>
        <v/>
      </c>
      <c r="H38" s="54">
        <f>COUNTIF(H$6:H$37,"C")</f>
        <v/>
      </c>
      <c r="I38" s="54">
        <f>COUNTIF(I$6:I$37,"C")</f>
        <v/>
      </c>
      <c r="J38" s="54">
        <f>COUNTIF(J$6:J$37,"C")</f>
        <v/>
      </c>
      <c r="K38" s="54">
        <f>COUNTIF(K$6:K$37,"C")</f>
        <v/>
      </c>
      <c r="L38" s="54">
        <f>COUNTIF(L$6:L$37,"C")</f>
        <v/>
      </c>
      <c r="M38" s="54">
        <f>COUNTIF(M$6:M$37,"C")</f>
        <v/>
      </c>
      <c r="N38" s="54">
        <f>COUNTIF(N$6:N$37,"C")</f>
        <v/>
      </c>
      <c r="O38" s="54">
        <f>COUNTIF(O$6:O$37,"C")</f>
        <v/>
      </c>
      <c r="P38" s="54">
        <f>COUNTIF(P$6:P$37,"C")</f>
        <v/>
      </c>
      <c r="Q38" s="54">
        <f>COUNTIF(Q$6:Q$37,"C")</f>
        <v/>
      </c>
      <c r="R38" s="54">
        <f>COUNTIF(R$6:R$37,"C")</f>
        <v/>
      </c>
      <c r="S38" s="54">
        <f>COUNTIF(S$6:S$37,"C")</f>
        <v/>
      </c>
      <c r="T38" s="54">
        <f>COUNTIF(T$6:T$37,"C")</f>
        <v/>
      </c>
      <c r="U38" s="54">
        <f>COUNTIF(U$6:U$37,"C")</f>
        <v/>
      </c>
      <c r="V38" s="54">
        <f>COUNTIF(V$6:V$37,"C")</f>
        <v/>
      </c>
      <c r="W38" s="54">
        <f>COUNTIF(W$6:W$37,"C")</f>
        <v/>
      </c>
      <c r="X38" s="54">
        <f>COUNTIF(X$6:X$37,"C")</f>
        <v/>
      </c>
      <c r="Y38" s="54">
        <f>COUNTIF(Y$6:Y$37,"C")</f>
        <v/>
      </c>
      <c r="Z38" s="54">
        <f>COUNTIF(Z$6:Z$37,"C")</f>
        <v/>
      </c>
      <c r="AA38" s="54">
        <f>COUNTIF(AA$6:AA$37,"C")</f>
        <v/>
      </c>
      <c r="AB38" s="54">
        <f>COUNTIF(AB$6:AB$37,"C")</f>
        <v/>
      </c>
      <c r="AC38" s="54">
        <f>COUNTIF(AC$6:AC$37,"C")</f>
        <v/>
      </c>
      <c r="AD38" s="54">
        <f>COUNTIF(AD$6:AD$37,"C")</f>
        <v/>
      </c>
      <c r="AE38" s="54">
        <f>COUNTIF(AE$6:AE$37,"C")</f>
        <v/>
      </c>
      <c r="AF38" s="54">
        <f>COUNTIF(AF$6:AF$37,"C")</f>
        <v/>
      </c>
      <c r="AG38" s="54">
        <f>COUNTIF(AG$6:AG$37,"C")</f>
        <v/>
      </c>
      <c r="AH38" s="54">
        <f>COUNTIF(AH$6:AH$37,"C")</f>
        <v/>
      </c>
      <c r="AI38" s="54">
        <f>COUNTIF(AI$6:AI$37,"C")</f>
        <v/>
      </c>
      <c r="AJ38" s="54">
        <f>COUNTIF(AJ$6:AJ$37,"C")</f>
        <v/>
      </c>
      <c r="AK38" s="54">
        <f>COUNTIF(AK$6:AK$37,"C")</f>
        <v/>
      </c>
      <c r="AL38" s="54">
        <f>COUNTIF(AL$6:AL$37,"C")</f>
        <v/>
      </c>
      <c r="AM38" s="54">
        <f>COUNTIF(AM$6:AM$37,"C")</f>
        <v/>
      </c>
      <c r="AN38" s="54">
        <f>COUNTIF(AN$6:AN$37,"C")</f>
        <v/>
      </c>
      <c r="AO38" s="54">
        <f>COUNTIF(AO$6:AO$37,"C")</f>
        <v/>
      </c>
      <c r="AP38" s="54">
        <f>COUNTIF(AP$6:AP$37,"C")</f>
        <v/>
      </c>
      <c r="AQ38" s="54">
        <f>COUNTIF(AQ$6:AQ$37,"C")</f>
        <v/>
      </c>
      <c r="AR38" s="54">
        <f>COUNTIF(AR$6:AR$37,"C")</f>
        <v/>
      </c>
      <c r="AS38" s="54">
        <f>COUNTIF(AS$6:AS$37,"C")</f>
        <v/>
      </c>
      <c r="AT38" s="54">
        <f>COUNTIF(AT$6:AT$37,"C")</f>
        <v/>
      </c>
      <c r="AU38" s="54">
        <f>COUNTIF(AU$6:AU$37,"C")</f>
        <v/>
      </c>
      <c r="AV38" s="54">
        <f>COUNTIF(AV$6:AV$37,"C")</f>
        <v/>
      </c>
      <c r="AW38" s="54">
        <f>COUNTIF(AW$6:AW$37,"C")</f>
        <v/>
      </c>
      <c r="AX38" s="54">
        <f>COUNTIF(AX$6:AX$37,"C")</f>
        <v/>
      </c>
      <c r="AY38" s="54">
        <f>COUNTIF(AY$6:AY$37,"C")</f>
        <v/>
      </c>
      <c r="AZ38" s="54">
        <f>COUNTIF(AZ$6:AZ$37,"C")</f>
        <v/>
      </c>
      <c r="BA38" s="54">
        <f>COUNTIF(BA$6:BA$37,"C")</f>
        <v/>
      </c>
      <c r="BB38" s="54">
        <f>COUNTIF(BB$6:BB$37,"C")</f>
        <v/>
      </c>
      <c r="BC38" s="54">
        <f>COUNTIF(BC$6:BC$37,"C")</f>
        <v/>
      </c>
      <c r="BD38" s="54">
        <f>COUNTIF(BD$6:BD$37,"C")</f>
        <v/>
      </c>
      <c r="BE38" s="54">
        <f>COUNTIF(BE$6:BE$37,"C")</f>
        <v/>
      </c>
      <c r="BF38" s="54">
        <f>COUNTIF(BF$6:BF$37,"C")</f>
        <v/>
      </c>
      <c r="BG38" s="54">
        <f>COUNTIF(BG$6:BG$37,"C")</f>
        <v/>
      </c>
      <c r="BH38" s="54">
        <f>COUNTIF(BH$6:BH$37,"C")</f>
        <v/>
      </c>
      <c r="BI38" s="54">
        <f>COUNTIF(BI$6:BI$37,"C")</f>
        <v/>
      </c>
      <c r="BJ38" s="54">
        <f>COUNTIF(BJ$6:BJ$37,"C")</f>
        <v/>
      </c>
      <c r="BK38" s="54">
        <f>COUNTIF(BK$6:BK$37,"C")</f>
        <v/>
      </c>
    </row>
    <row r="39">
      <c r="C39" s="57" t="inlineStr">
        <is>
          <t>Rの数</t>
        </is>
      </c>
      <c r="D39" s="54">
        <f>COUNTIF(D$6:D$37,"R")</f>
        <v/>
      </c>
      <c r="E39" s="54">
        <f>COUNTIF(E$6:E$37,"R")</f>
        <v/>
      </c>
      <c r="F39" s="54">
        <f>COUNTIF(F$6:F$37,"R")</f>
        <v/>
      </c>
      <c r="G39" s="54">
        <f>COUNTIF(G$6:G$37,"R")</f>
        <v/>
      </c>
      <c r="H39" s="54">
        <f>COUNTIF(H$6:H$37,"R")</f>
        <v/>
      </c>
      <c r="I39" s="54">
        <f>COUNTIF(I$6:I$37,"R")</f>
        <v/>
      </c>
      <c r="J39" s="54">
        <f>COUNTIF(J$6:J$37,"R")</f>
        <v/>
      </c>
      <c r="K39" s="54">
        <f>COUNTIF(K$6:K$37,"R")</f>
        <v/>
      </c>
      <c r="L39" s="54">
        <f>COUNTIF(L$6:L$37,"R")</f>
        <v/>
      </c>
      <c r="M39" s="54">
        <f>COUNTIF(M$6:M$37,"R")</f>
        <v/>
      </c>
      <c r="N39" s="54">
        <f>COUNTIF(N$6:N$37,"R")</f>
        <v/>
      </c>
      <c r="O39" s="54">
        <f>COUNTIF(O$6:O$37,"R")</f>
        <v/>
      </c>
      <c r="P39" s="54">
        <f>COUNTIF(P$6:P$37,"R")</f>
        <v/>
      </c>
      <c r="Q39" s="54">
        <f>COUNTIF(Q$6:Q$37,"R")</f>
        <v/>
      </c>
      <c r="R39" s="54">
        <f>COUNTIF(R$6:R$37,"R")</f>
        <v/>
      </c>
      <c r="S39" s="54">
        <f>COUNTIF(S$6:S$37,"R")</f>
        <v/>
      </c>
      <c r="T39" s="54">
        <f>COUNTIF(T$6:T$37,"R")</f>
        <v/>
      </c>
      <c r="U39" s="54">
        <f>COUNTIF(U$6:U$37,"R")</f>
        <v/>
      </c>
      <c r="V39" s="54">
        <f>COUNTIF(V$6:V$37,"R")</f>
        <v/>
      </c>
      <c r="W39" s="54">
        <f>COUNTIF(W$6:W$37,"R")</f>
        <v/>
      </c>
      <c r="X39" s="54">
        <f>COUNTIF(X$6:X$37,"R")</f>
        <v/>
      </c>
      <c r="Y39" s="54">
        <f>COUNTIF(Y$6:Y$37,"R")</f>
        <v/>
      </c>
      <c r="Z39" s="54">
        <f>COUNTIF(Z$6:Z$37,"R")</f>
        <v/>
      </c>
      <c r="AA39" s="54">
        <f>COUNTIF(AA$6:AA$37,"R")</f>
        <v/>
      </c>
      <c r="AB39" s="54">
        <f>COUNTIF(AB$6:AB$37,"R")</f>
        <v/>
      </c>
      <c r="AC39" s="54">
        <f>COUNTIF(AC$6:AC$37,"R")</f>
        <v/>
      </c>
      <c r="AD39" s="54">
        <f>COUNTIF(AD$6:AD$37,"R")</f>
        <v/>
      </c>
      <c r="AE39" s="54">
        <f>COUNTIF(AE$6:AE$37,"R")</f>
        <v/>
      </c>
      <c r="AF39" s="54">
        <f>COUNTIF(AF$6:AF$37,"R")</f>
        <v/>
      </c>
      <c r="AG39" s="54">
        <f>COUNTIF(AG$6:AG$37,"R")</f>
        <v/>
      </c>
      <c r="AH39" s="54">
        <f>COUNTIF(AH$6:AH$37,"R")</f>
        <v/>
      </c>
      <c r="AI39" s="54">
        <f>COUNTIF(AI$6:AI$37,"R")</f>
        <v/>
      </c>
      <c r="AJ39" s="54">
        <f>COUNTIF(AJ$6:AJ$37,"R")</f>
        <v/>
      </c>
      <c r="AK39" s="54">
        <f>COUNTIF(AK$6:AK$37,"R")</f>
        <v/>
      </c>
      <c r="AL39" s="54">
        <f>COUNTIF(AL$6:AL$37,"R")</f>
        <v/>
      </c>
      <c r="AM39" s="54">
        <f>COUNTIF(AM$6:AM$37,"R")</f>
        <v/>
      </c>
      <c r="AN39" s="54">
        <f>COUNTIF(AN$6:AN$37,"R")</f>
        <v/>
      </c>
      <c r="AO39" s="54">
        <f>COUNTIF(AO$6:AO$37,"R")</f>
        <v/>
      </c>
      <c r="AP39" s="54">
        <f>COUNTIF(AP$6:AP$37,"R")</f>
        <v/>
      </c>
      <c r="AQ39" s="54">
        <f>COUNTIF(AQ$6:AQ$37,"R")</f>
        <v/>
      </c>
      <c r="AR39" s="54">
        <f>COUNTIF(AR$6:AR$37,"R")</f>
        <v/>
      </c>
      <c r="AS39" s="54">
        <f>COUNTIF(AS$6:AS$37,"R")</f>
        <v/>
      </c>
      <c r="AT39" s="54">
        <f>COUNTIF(AT$6:AT$37,"R")</f>
        <v/>
      </c>
      <c r="AU39" s="54">
        <f>COUNTIF(AU$6:AU$37,"R")</f>
        <v/>
      </c>
      <c r="AV39" s="54">
        <f>COUNTIF(AV$6:AV$37,"R")</f>
        <v/>
      </c>
      <c r="AW39" s="54">
        <f>COUNTIF(AW$6:AW$37,"R")</f>
        <v/>
      </c>
      <c r="AX39" s="54">
        <f>COUNTIF(AX$6:AX$37,"R")</f>
        <v/>
      </c>
      <c r="AY39" s="54">
        <f>COUNTIF(AY$6:AY$37,"R")</f>
        <v/>
      </c>
      <c r="AZ39" s="54">
        <f>COUNTIF(AZ$6:AZ$37,"R")</f>
        <v/>
      </c>
      <c r="BA39" s="54">
        <f>COUNTIF(BA$6:BA$37,"R")</f>
        <v/>
      </c>
      <c r="BB39" s="54">
        <f>COUNTIF(BB$6:BB$37,"R")</f>
        <v/>
      </c>
      <c r="BC39" s="54">
        <f>COUNTIF(BC$6:BC$37,"R")</f>
        <v/>
      </c>
      <c r="BD39" s="54">
        <f>COUNTIF(BD$6:BD$37,"R")</f>
        <v/>
      </c>
      <c r="BE39" s="54">
        <f>COUNTIF(BE$6:BE$37,"R")</f>
        <v/>
      </c>
      <c r="BF39" s="54">
        <f>COUNTIF(BF$6:BF$37,"R")</f>
        <v/>
      </c>
      <c r="BG39" s="54">
        <f>COUNTIF(BG$6:BG$37,"R")</f>
        <v/>
      </c>
      <c r="BH39" s="54">
        <f>COUNTIF(BH$6:BH$37,"R")</f>
        <v/>
      </c>
      <c r="BI39" s="54">
        <f>COUNTIF(BI$6:BI$37,"R")</f>
        <v/>
      </c>
      <c r="BJ39" s="54">
        <f>COUNTIF(BJ$6:BJ$37,"R")</f>
        <v/>
      </c>
      <c r="BK39" s="54">
        <f>COUNTIF(BK$6:BK$37,"R")</f>
        <v/>
      </c>
    </row>
  </sheetData>
  <mergeCells count="14">
    <mergeCell ref="AR4:AY4"/>
    <mergeCell ref="AF4:AJ4"/>
    <mergeCell ref="B4:B5"/>
    <mergeCell ref="AK4:AQ4"/>
    <mergeCell ref="AZ4:BD4"/>
    <mergeCell ref="C4:C5"/>
    <mergeCell ref="A4:A5"/>
    <mergeCell ref="D4:L4"/>
    <mergeCell ref="AB4:AE4"/>
    <mergeCell ref="M4:R4"/>
    <mergeCell ref="BL4:BL5"/>
    <mergeCell ref="BE4:BK4"/>
    <mergeCell ref="S4:AA4"/>
    <mergeCell ref="BM4:BM5"/>
  </mergeCells>
  <conditionalFormatting sqref="D6:BK37">
    <cfRule type="cellIs" priority="1" operator="equal" dxfId="2">
      <formula>"C"</formula>
    </cfRule>
  </conditionalFormatting>
  <dataValidations count="1">
    <dataValidation sqref="D6:BK37" showDropDown="0" showInputMessage="0" showErrorMessage="0" allowBlank="1" type="list">
      <formula1>"C,R"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A5F"/>
    <outlinePr summaryBelow="1" summaryRight="1"/>
    <pageSetUpPr/>
  </sheetPr>
  <dimension ref="A1:H24"/>
  <sheetViews>
    <sheetView showGridLines="1" zoomScale="10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3" max="3"/>
    <col width="26" customWidth="1" min="4" max="4"/>
    <col width="56" customWidth="1" min="5" max="5"/>
    <col width="14" customWidth="1" min="6" max="6"/>
    <col width="11" customWidth="1" min="7" max="7"/>
  </cols>
  <sheetData>
    <row r="1" ht="17.35" customHeight="1">
      <c r="A1" s="43" t="inlineStr">
        <is>
          <t>アプリケーション（正本：種類の単位）</t>
        </is>
      </c>
    </row>
    <row r="2" ht="15" customHeight="1">
      <c r="A2" s="44" t="inlineStr">
        <is>
          <t>1行1種類。製品名ではなく、機能のまとまり（種類）で定義する。現状のシステム名との対応は別の工程で行う。灰色の列は数式（編集しない）。要配慮個人情報・特定個人情報を扱うものは、アクセス管理と委託先の監督を特に厳格にする。</t>
        </is>
      </c>
    </row>
    <row r="3" ht="30" customHeight="1">
      <c r="A3" s="45" t="inlineStr">
        <is>
          <t>ID</t>
        </is>
      </c>
      <c r="B3" s="45" t="inlineStr">
        <is>
          <t>領域</t>
        </is>
      </c>
      <c r="C3" s="45" t="inlineStr">
        <is>
          <t>アプリケーション種類</t>
        </is>
      </c>
      <c r="D3" s="45" t="inlineStr">
        <is>
          <t>略称・通称</t>
        </is>
      </c>
      <c r="E3" s="45" t="inlineStr">
        <is>
          <t>主な機能</t>
        </is>
      </c>
      <c r="F3" s="45" t="inlineStr">
        <is>
          <t>主な関連法令</t>
        </is>
      </c>
      <c r="G3" s="46" t="inlineStr">
        <is>
          <t>主に支える
ケイパビリティ数</t>
        </is>
      </c>
      <c r="H3" s="46" t="inlineStr">
        <is>
          <t>部分的に支える
ケイパビリティ数</t>
        </is>
      </c>
    </row>
    <row r="4" ht="26.85" customHeight="1">
      <c r="A4" s="47" t="inlineStr">
        <is>
          <t>APP-01</t>
        </is>
      </c>
      <c r="B4" s="48" t="inlineStr">
        <is>
          <t>雇用・労務</t>
        </is>
      </c>
      <c r="C4" s="49" t="inlineStr">
        <is>
          <t>人事管理（コアHR）</t>
        </is>
      </c>
      <c r="D4" s="51" t="inlineStr">
        <is>
          <t>HRIS／人事マスタ</t>
        </is>
      </c>
      <c r="E4" s="51" t="inlineStr">
        <is>
          <t>従業員・組織・職務・発令の履歴を一元管理する人事の基幹システム</t>
        </is>
      </c>
      <c r="F4" s="48" t="inlineStr">
        <is>
          <t>労基法</t>
        </is>
      </c>
      <c r="G4" s="54">
        <f>COUNTIF('ケイパビリティ×アプリケーション'!D$6:D$37,"●")</f>
        <v/>
      </c>
      <c r="H4" s="54">
        <f>COUNTIF('ケイパビリティ×アプリケーション'!D$6:D$37,"○")</f>
        <v/>
      </c>
    </row>
    <row r="5" ht="26.85" customHeight="1">
      <c r="A5" s="47" t="inlineStr">
        <is>
          <t>APP-02</t>
        </is>
      </c>
      <c r="B5" s="48" t="inlineStr">
        <is>
          <t>採用</t>
        </is>
      </c>
      <c r="C5" s="49" t="inlineStr">
        <is>
          <t>採用管理</t>
        </is>
      </c>
      <c r="D5" s="51" t="inlineStr">
        <is>
          <t>ATS</t>
        </is>
      </c>
      <c r="E5" s="51" t="inlineStr">
        <is>
          <t>求人の公開、応募者の管理、選考の進捗・評価、内定までを管理する</t>
        </is>
      </c>
      <c r="F5" s="48" t="inlineStr">
        <is>
          <t>職安法・個人情報保護法</t>
        </is>
      </c>
      <c r="G5" s="54">
        <f>COUNTIF('ケイパビリティ×アプリケーション'!E$6:E$37,"●")</f>
        <v/>
      </c>
      <c r="H5" s="54">
        <f>COUNTIF('ケイパビリティ×アプリケーション'!E$6:E$37,"○")</f>
        <v/>
      </c>
    </row>
    <row r="6" ht="26.85" customHeight="1">
      <c r="A6" s="47" t="inlineStr">
        <is>
          <t>APP-03</t>
        </is>
      </c>
      <c r="B6" s="48" t="inlineStr">
        <is>
          <t>採用</t>
        </is>
      </c>
      <c r="C6" s="49" t="inlineStr">
        <is>
          <t>適性検査・オンライン面接</t>
        </is>
      </c>
      <c r="D6" s="51" t="inlineStr">
        <is>
          <t>アセスメントツール</t>
        </is>
      </c>
      <c r="E6" s="51" t="inlineStr">
        <is>
          <t>適性検査・Web面接・録画面接を行い、結果を採用管理へ渡す</t>
        </is>
      </c>
      <c r="F6" s="48" t="inlineStr">
        <is>
          <t>職安法・個人情報保護法</t>
        </is>
      </c>
      <c r="G6" s="54">
        <f>COUNTIF('ケイパビリティ×アプリケーション'!F$6:F$37,"●")</f>
        <v/>
      </c>
      <c r="H6" s="54">
        <f>COUNTIF('ケイパビリティ×アプリケーション'!F$6:F$37,"○")</f>
        <v/>
      </c>
    </row>
    <row r="7" ht="26.85" customHeight="1">
      <c r="A7" s="47" t="inlineStr">
        <is>
          <t>APP-04</t>
        </is>
      </c>
      <c r="B7" s="48" t="inlineStr">
        <is>
          <t>雇用・労務</t>
        </is>
      </c>
      <c r="C7" s="49" t="inlineStr">
        <is>
          <t>労務手続き</t>
        </is>
      </c>
      <c r="D7" s="51" t="inlineStr">
        <is>
          <t>労務管理クラウド（電子申請）</t>
        </is>
      </c>
      <c r="E7" s="51" t="inlineStr">
        <is>
          <t>入退社・社会保険・雇用保険の手続きと、行政への電子申請を行う</t>
        </is>
      </c>
      <c r="F7" s="48" t="inlineStr">
        <is>
          <t>社会保険・雇用保険</t>
        </is>
      </c>
      <c r="G7" s="54">
        <f>COUNTIF('ケイパビリティ×アプリケーション'!G$6:G$37,"●")</f>
        <v/>
      </c>
      <c r="H7" s="54">
        <f>COUNTIF('ケイパビリティ×アプリケーション'!G$6:G$37,"○")</f>
        <v/>
      </c>
    </row>
    <row r="8" ht="26.85" customHeight="1">
      <c r="A8" s="47" t="inlineStr">
        <is>
          <t>APP-05</t>
        </is>
      </c>
      <c r="B8" s="48" t="inlineStr">
        <is>
          <t>雇用・労務</t>
        </is>
      </c>
      <c r="C8" s="49" t="inlineStr">
        <is>
          <t>電子契約</t>
        </is>
      </c>
      <c r="D8" s="51" t="inlineStr">
        <is>
          <t>電子契約サービス</t>
        </is>
      </c>
      <c r="E8" s="51" t="inlineStr">
        <is>
          <t>雇用契約・労働条件通知書・誓約書などを電子で締結・交付・保管する</t>
        </is>
      </c>
      <c r="F8" s="48" t="inlineStr">
        <is>
          <t>労基法</t>
        </is>
      </c>
      <c r="G8" s="54">
        <f>COUNTIF('ケイパビリティ×アプリケーション'!H$6:H$37,"●")</f>
        <v/>
      </c>
      <c r="H8" s="54">
        <f>COUNTIF('ケイパビリティ×アプリケーション'!H$6:H$37,"○")</f>
        <v/>
      </c>
    </row>
    <row r="9" ht="26.85" customHeight="1">
      <c r="A9" s="47" t="inlineStr">
        <is>
          <t>APP-06</t>
        </is>
      </c>
      <c r="B9" s="48" t="inlineStr">
        <is>
          <t>雇用・労務</t>
        </is>
      </c>
      <c r="C9" s="49" t="inlineStr">
        <is>
          <t>マイナンバー管理</t>
        </is>
      </c>
      <c r="D9" s="51" t="inlineStr">
        <is>
          <t>マイナンバー管理</t>
        </is>
      </c>
      <c r="E9" s="51" t="inlineStr">
        <is>
          <t>マイナンバーの収集・本人確認・保管・利用・廃棄を管理する</t>
        </is>
      </c>
      <c r="F9" s="48" t="inlineStr">
        <is>
          <t>番号法</t>
        </is>
      </c>
      <c r="G9" s="54">
        <f>COUNTIF('ケイパビリティ×アプリケーション'!I$6:I$37,"●")</f>
        <v/>
      </c>
      <c r="H9" s="54">
        <f>COUNTIF('ケイパビリティ×アプリケーション'!I$6:I$37,"○")</f>
        <v/>
      </c>
    </row>
    <row r="10" ht="26.85" customHeight="1">
      <c r="A10" s="47" t="inlineStr">
        <is>
          <t>APP-07</t>
        </is>
      </c>
      <c r="B10" s="48" t="inlineStr">
        <is>
          <t>育成・評価</t>
        </is>
      </c>
      <c r="C10" s="49" t="inlineStr">
        <is>
          <t>学習管理</t>
        </is>
      </c>
      <c r="D10" s="51" t="inlineStr">
        <is>
          <t>LMS</t>
        </is>
      </c>
      <c r="E10" s="51" t="inlineStr">
        <is>
          <t>研修・eラーニングの計画・受講・修了の記録を管理する</t>
        </is>
      </c>
      <c r="F10" s="48" t="inlineStr">
        <is>
          <t>安衛法</t>
        </is>
      </c>
      <c r="G10" s="54">
        <f>COUNTIF('ケイパビリティ×アプリケーション'!J$6:J$37,"●")</f>
        <v/>
      </c>
      <c r="H10" s="54">
        <f>COUNTIF('ケイパビリティ×アプリケーション'!J$6:J$37,"○")</f>
        <v/>
      </c>
    </row>
    <row r="11" ht="26.85" customHeight="1">
      <c r="A11" s="47" t="inlineStr">
        <is>
          <t>APP-08</t>
        </is>
      </c>
      <c r="B11" s="48" t="inlineStr">
        <is>
          <t>育成・評価</t>
        </is>
      </c>
      <c r="C11" s="49" t="inlineStr">
        <is>
          <t>タレントマネジメント</t>
        </is>
      </c>
      <c r="D11" s="51" t="inlineStr">
        <is>
          <t>TMS</t>
        </is>
      </c>
      <c r="E11" s="51" t="inlineStr">
        <is>
          <t>スキル・キャリア希望・タレントレビュー・後継者計画・昇格を管理する</t>
        </is>
      </c>
      <c r="F11" s="48" t="inlineStr">
        <is>
          <t>なし</t>
        </is>
      </c>
      <c r="G11" s="54">
        <f>COUNTIF('ケイパビリティ×アプリケーション'!K$6:K$37,"●")</f>
        <v/>
      </c>
      <c r="H11" s="54">
        <f>COUNTIF('ケイパビリティ×アプリケーション'!K$6:K$37,"○")</f>
        <v/>
      </c>
    </row>
    <row r="12" ht="26.85" customHeight="1">
      <c r="A12" s="47" t="inlineStr">
        <is>
          <t>APP-09</t>
        </is>
      </c>
      <c r="B12" s="48" t="inlineStr">
        <is>
          <t>育成・評価</t>
        </is>
      </c>
      <c r="C12" s="49" t="inlineStr">
        <is>
          <t>目標・評価管理</t>
        </is>
      </c>
      <c r="D12" s="51" t="inlineStr">
        <is>
          <t>パフォーマンス管理</t>
        </is>
      </c>
      <c r="E12" s="51" t="inlineStr">
        <is>
          <t>目標設定・1on1・評価・調整・フィードバックを管理する</t>
        </is>
      </c>
      <c r="F12" s="48" t="inlineStr">
        <is>
          <t>なし</t>
        </is>
      </c>
      <c r="G12" s="54">
        <f>COUNTIF('ケイパビリティ×アプリケーション'!L$6:L$37,"●")</f>
        <v/>
      </c>
      <c r="H12" s="54">
        <f>COUNTIF('ケイパビリティ×アプリケーション'!L$6:L$37,"○")</f>
        <v/>
      </c>
    </row>
    <row r="13" ht="26.85" customHeight="1">
      <c r="A13" s="47" t="inlineStr">
        <is>
          <t>APP-10</t>
        </is>
      </c>
      <c r="B13" s="48" t="inlineStr">
        <is>
          <t>就業・健康</t>
        </is>
      </c>
      <c r="C13" s="49" t="inlineStr">
        <is>
          <t>勤怠管理</t>
        </is>
      </c>
      <c r="D13" s="51" t="inlineStr">
        <is>
          <t>勤怠管理システム</t>
        </is>
      </c>
      <c r="E13" s="51" t="inlineStr">
        <is>
          <t>打刻・シフト・労働時間・時間外労働の上限・休暇を管理する</t>
        </is>
      </c>
      <c r="F13" s="48" t="inlineStr">
        <is>
          <t>労基法・安衛法</t>
        </is>
      </c>
      <c r="G13" s="54">
        <f>COUNTIF('ケイパビリティ×アプリケーション'!M$6:M$37,"●")</f>
        <v/>
      </c>
      <c r="H13" s="54">
        <f>COUNTIF('ケイパビリティ×アプリケーション'!M$6:M$37,"○")</f>
        <v/>
      </c>
    </row>
    <row r="14" ht="26.85" customHeight="1">
      <c r="A14" s="47" t="inlineStr">
        <is>
          <t>APP-11</t>
        </is>
      </c>
      <c r="B14" s="48" t="inlineStr">
        <is>
          <t>給与・福利</t>
        </is>
      </c>
      <c r="C14" s="49" t="inlineStr">
        <is>
          <t>給与計算</t>
        </is>
      </c>
      <c r="D14" s="51" t="inlineStr">
        <is>
          <t>給与計算システム（年末調整を含む）</t>
        </is>
      </c>
      <c r="E14" s="51" t="inlineStr">
        <is>
          <t>給与・賞与の計算、明細、賃金台帳、年末調整・住民税を管理する</t>
        </is>
      </c>
      <c r="F14" s="48" t="inlineStr">
        <is>
          <t>労基法・税法</t>
        </is>
      </c>
      <c r="G14" s="54">
        <f>COUNTIF('ケイパビリティ×アプリケーション'!N$6:N$37,"●")</f>
        <v/>
      </c>
      <c r="H14" s="54">
        <f>COUNTIF('ケイパビリティ×アプリケーション'!N$6:N$37,"○")</f>
        <v/>
      </c>
    </row>
    <row r="15" ht="26.85" customHeight="1">
      <c r="A15" s="47" t="inlineStr">
        <is>
          <t>APP-12</t>
        </is>
      </c>
      <c r="B15" s="48" t="inlineStr">
        <is>
          <t>就業・健康</t>
        </is>
      </c>
      <c r="C15" s="49" t="inlineStr">
        <is>
          <t>健康管理</t>
        </is>
      </c>
      <c r="D15" s="51" t="inlineStr">
        <is>
          <t>健康管理システム</t>
        </is>
      </c>
      <c r="E15" s="51" t="inlineStr">
        <is>
          <t>健康診断・ストレスチェック・面接指導・就業判定を管理する</t>
        </is>
      </c>
      <c r="F15" s="48" t="inlineStr">
        <is>
          <t>安衛法</t>
        </is>
      </c>
      <c r="G15" s="54">
        <f>COUNTIF('ケイパビリティ×アプリケーション'!O$6:O$37,"●")</f>
        <v/>
      </c>
      <c r="H15" s="54">
        <f>COUNTIF('ケイパビリティ×アプリケーション'!O$6:O$37,"○")</f>
        <v/>
      </c>
    </row>
    <row r="16" ht="26.85" customHeight="1">
      <c r="A16" s="47" t="inlineStr">
        <is>
          <t>APP-13</t>
        </is>
      </c>
      <c r="B16" s="48" t="inlineStr">
        <is>
          <t>給与・福利</t>
        </is>
      </c>
      <c r="C16" s="49" t="inlineStr">
        <is>
          <t>福利厚生</t>
        </is>
      </c>
      <c r="D16" s="51" t="inlineStr">
        <is>
          <t>福利厚生プラットフォーム</t>
        </is>
      </c>
      <c r="E16" s="51" t="inlineStr">
        <is>
          <t>福利厚生メニューの提供と利用を管理する</t>
        </is>
      </c>
      <c r="F16" s="48" t="inlineStr">
        <is>
          <t>なし</t>
        </is>
      </c>
      <c r="G16" s="54">
        <f>COUNTIF('ケイパビリティ×アプリケーション'!P$6:P$37,"●")</f>
        <v/>
      </c>
      <c r="H16" s="54">
        <f>COUNTIF('ケイパビリティ×アプリケーション'!P$6:P$37,"○")</f>
        <v/>
      </c>
    </row>
    <row r="17" ht="26.85" customHeight="1">
      <c r="A17" s="47" t="inlineStr">
        <is>
          <t>APP-14</t>
        </is>
      </c>
      <c r="B17" s="48" t="inlineStr">
        <is>
          <t>就業・健康</t>
        </is>
      </c>
      <c r="C17" s="49" t="inlineStr">
        <is>
          <t>エンゲージメントサーベイ</t>
        </is>
      </c>
      <c r="D17" s="51" t="inlineStr">
        <is>
          <t>サーベイツール</t>
        </is>
      </c>
      <c r="E17" s="51" t="inlineStr">
        <is>
          <t>エンゲージメント・パルスサーベイを実施し、結果を分析する</t>
        </is>
      </c>
      <c r="F17" s="48" t="inlineStr">
        <is>
          <t>なし</t>
        </is>
      </c>
      <c r="G17" s="54">
        <f>COUNTIF('ケイパビリティ×アプリケーション'!Q$6:Q$37,"●")</f>
        <v/>
      </c>
      <c r="H17" s="54">
        <f>COUNTIF('ケイパビリティ×アプリケーション'!Q$6:Q$37,"○")</f>
        <v/>
      </c>
    </row>
    <row r="18" ht="26.85" customHeight="1">
      <c r="A18" s="47" t="inlineStr">
        <is>
          <t>APP-15</t>
        </is>
      </c>
      <c r="B18" s="48" t="inlineStr">
        <is>
          <t>共通</t>
        </is>
      </c>
      <c r="C18" s="49" t="inlineStr">
        <is>
          <t>人事ポータル・問い合わせ管理</t>
        </is>
      </c>
      <c r="D18" s="51" t="inlineStr">
        <is>
          <t>HRサービスデスク</t>
        </is>
      </c>
      <c r="E18" s="51" t="inlineStr">
        <is>
          <t>人事情報の提供、FAQ、問い合わせ・各種申請の受付を行う</t>
        </is>
      </c>
      <c r="F18" s="48" t="inlineStr">
        <is>
          <t>なし</t>
        </is>
      </c>
      <c r="G18" s="54">
        <f>COUNTIF('ケイパビリティ×アプリケーション'!R$6:R$37,"●")</f>
        <v/>
      </c>
      <c r="H18" s="54">
        <f>COUNTIF('ケイパビリティ×アプリケーション'!R$6:R$37,"○")</f>
        <v/>
      </c>
    </row>
    <row r="19" ht="26.85" customHeight="1">
      <c r="A19" s="47" t="inlineStr">
        <is>
          <t>APP-16</t>
        </is>
      </c>
      <c r="B19" s="48" t="inlineStr">
        <is>
          <t>共通</t>
        </is>
      </c>
      <c r="C19" s="49" t="inlineStr">
        <is>
          <t>内部通報・相談管理</t>
        </is>
      </c>
      <c r="D19" s="51" t="inlineStr">
        <is>
          <t>通報・相談窓口システム</t>
        </is>
      </c>
      <c r="E19" s="51" t="inlineStr">
        <is>
          <t>相談・通報の受付、調査、対応の記録を秘密を守って管理する</t>
        </is>
      </c>
      <c r="F19" s="48" t="inlineStr">
        <is>
          <t>公益通報者保護法</t>
        </is>
      </c>
      <c r="G19" s="54">
        <f>COUNTIF('ケイパビリティ×アプリケーション'!S$6:S$37,"●")</f>
        <v/>
      </c>
      <c r="H19" s="54">
        <f>COUNTIF('ケイパビリティ×アプリケーション'!S$6:S$37,"○")</f>
        <v/>
      </c>
    </row>
    <row r="20" ht="26.85" customHeight="1">
      <c r="A20" s="47" t="inlineStr">
        <is>
          <t>APP-17</t>
        </is>
      </c>
      <c r="B20" s="48" t="inlineStr">
        <is>
          <t>共通</t>
        </is>
      </c>
      <c r="C20" s="49" t="inlineStr">
        <is>
          <t>要員計画・人件費シミュレーション</t>
        </is>
      </c>
      <c r="D20" s="51" t="inlineStr">
        <is>
          <t>ワークフォースプランニング</t>
        </is>
      </c>
      <c r="E20" s="51" t="inlineStr">
        <is>
          <t>要員計画・人件費予算を立て、シナリオを比較する</t>
        </is>
      </c>
      <c r="F20" s="48" t="inlineStr">
        <is>
          <t>なし</t>
        </is>
      </c>
      <c r="G20" s="54">
        <f>COUNTIF('ケイパビリティ×アプリケーション'!T$6:T$37,"●")</f>
        <v/>
      </c>
      <c r="H20" s="54">
        <f>COUNTIF('ケイパビリティ×アプリケーション'!T$6:T$37,"○")</f>
        <v/>
      </c>
    </row>
    <row r="21" ht="26.85" customHeight="1">
      <c r="A21" s="47" t="inlineStr">
        <is>
          <t>APP-18</t>
        </is>
      </c>
      <c r="B21" s="48" t="inlineStr">
        <is>
          <t>共通</t>
        </is>
      </c>
      <c r="C21" s="49" t="inlineStr">
        <is>
          <t>ピープルアナリティクス</t>
        </is>
      </c>
      <c r="D21" s="51" t="inlineStr">
        <is>
          <t>人事DWH／BI</t>
        </is>
      </c>
      <c r="E21" s="51" t="inlineStr">
        <is>
          <t>人事データを集約し、分析・可視化・定型レポートを提供する</t>
        </is>
      </c>
      <c r="F21" s="48" t="inlineStr">
        <is>
          <t>なし</t>
        </is>
      </c>
      <c r="G21" s="54">
        <f>COUNTIF('ケイパビリティ×アプリケーション'!U$6:U$37,"●")</f>
        <v/>
      </c>
      <c r="H21" s="54">
        <f>COUNTIF('ケイパビリティ×アプリケーション'!U$6:U$37,"○")</f>
        <v/>
      </c>
    </row>
    <row r="22" ht="26.85" customHeight="1">
      <c r="A22" s="47" t="inlineStr">
        <is>
          <t>APP-19</t>
        </is>
      </c>
      <c r="B22" s="48" t="inlineStr">
        <is>
          <t>共通</t>
        </is>
      </c>
      <c r="C22" s="49" t="inlineStr">
        <is>
          <t>ID・アカウント管理</t>
        </is>
      </c>
      <c r="D22" s="51" t="inlineStr">
        <is>
          <t>IAM</t>
        </is>
      </c>
      <c r="E22" s="51" t="inlineStr">
        <is>
          <t>人事の発令に連動して、アカウントと権限を発行・変更・停止する</t>
        </is>
      </c>
      <c r="F22" s="48" t="inlineStr">
        <is>
          <t>なし</t>
        </is>
      </c>
      <c r="G22" s="54">
        <f>COUNTIF('ケイパビリティ×アプリケーション'!V$6:V$37,"●")</f>
        <v/>
      </c>
      <c r="H22" s="54">
        <f>COUNTIF('ケイパビリティ×アプリケーション'!V$6:V$37,"○")</f>
        <v/>
      </c>
    </row>
    <row r="23" ht="26.85" customHeight="1">
      <c r="A23" s="47" t="inlineStr">
        <is>
          <t>APP-20</t>
        </is>
      </c>
      <c r="B23" s="48" t="inlineStr">
        <is>
          <t>共通</t>
        </is>
      </c>
      <c r="C23" s="49" t="inlineStr">
        <is>
          <t>会計（ERP）</t>
        </is>
      </c>
      <c r="D23" s="51" t="inlineStr">
        <is>
          <t>ERP</t>
        </is>
      </c>
      <c r="E23" s="51" t="inlineStr">
        <is>
          <t>人件費の会計計上、予算と実績の管理を行う</t>
        </is>
      </c>
      <c r="F23" s="48" t="inlineStr">
        <is>
          <t>税法</t>
        </is>
      </c>
      <c r="G23" s="54">
        <f>COUNTIF('ケイパビリティ×アプリケーション'!W$6:W$37,"●")</f>
        <v/>
      </c>
      <c r="H23" s="54">
        <f>COUNTIF('ケイパビリティ×アプリケーション'!W$6:W$37,"○")</f>
        <v/>
      </c>
    </row>
    <row r="24" ht="26.85" customHeight="1">
      <c r="A24" s="47" t="inlineStr">
        <is>
          <t>APP-21</t>
        </is>
      </c>
      <c r="B24" s="48" t="inlineStr">
        <is>
          <t>共通</t>
        </is>
      </c>
      <c r="C24" s="49" t="inlineStr">
        <is>
          <t>規程・文書管理</t>
        </is>
      </c>
      <c r="D24" s="51" t="inlineStr">
        <is>
          <t>規程管理システム</t>
        </is>
      </c>
      <c r="E24" s="51" t="inlineStr">
        <is>
          <t>就業規則・人事規程の版と、承認・周知の記録を管理する</t>
        </is>
      </c>
      <c r="F24" s="48" t="inlineStr">
        <is>
          <t>労基法</t>
        </is>
      </c>
      <c r="G24" s="54">
        <f>COUNTIF('ケイパビリティ×アプリケーション'!X$6:X$37,"●")</f>
        <v/>
      </c>
      <c r="H24" s="54">
        <f>COUNTIF('ケイパビリティ×アプリケーション'!X$6:X$37,"○")</f>
        <v/>
      </c>
    </row>
  </sheetData>
  <autoFilter ref="A3:H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8B57"/>
    <outlinePr summaryBelow="1" summaryRight="1"/>
    <pageSetUpPr/>
  </sheetPr>
  <dimension ref="A1:Z39"/>
  <sheetViews>
    <sheetView showGridLines="1" zoomScale="10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28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7.5" customWidth="1" min="25" max="25"/>
    <col width="7.5" customWidth="1" min="26" max="26"/>
  </cols>
  <sheetData>
    <row r="1" ht="21.6" customHeight="1">
      <c r="A1" s="43" t="inlineStr">
        <is>
          <t>ケイパビリティ×アプリケーション（正本：行＝ケイパビリティL2 × 列＝アプリケーション種類）</t>
        </is>
      </c>
    </row>
    <row r="2" ht="15" customHeight="1">
      <c r="A2" s="44" t="inlineStr">
        <is>
          <t>●＝主に支える（その能力の中核の業務を実行するシステム）　○＝部分的に支える（一部の業務やデータの受け渡しで使う）　空欄＝関係なし。このシートに直接記入する。右端と最下行の数は数式。</t>
        </is>
      </c>
    </row>
    <row r="4" ht="29.85" customHeight="1">
      <c r="A4" s="45" t="inlineStr">
        <is>
          <t>ケイパビリティL1</t>
        </is>
      </c>
      <c r="B4" s="45" t="inlineStr">
        <is>
          <t>L2 ID</t>
        </is>
      </c>
      <c r="C4" s="45" t="inlineStr">
        <is>
          <t>ケイパビリティL2</t>
        </is>
      </c>
      <c r="D4" s="55" t="inlineStr">
        <is>
          <t>雇用・労務</t>
        </is>
      </c>
      <c r="E4" s="55" t="inlineStr">
        <is>
          <t>採用</t>
        </is>
      </c>
      <c r="G4" s="55" t="inlineStr">
        <is>
          <t>雇用・労務</t>
        </is>
      </c>
      <c r="J4" s="55" t="inlineStr">
        <is>
          <t>育成・評価</t>
        </is>
      </c>
      <c r="M4" s="55" t="inlineStr">
        <is>
          <t>就業・健康</t>
        </is>
      </c>
      <c r="N4" s="55" t="inlineStr">
        <is>
          <t>給与・福利</t>
        </is>
      </c>
      <c r="O4" s="55" t="inlineStr">
        <is>
          <t>就業・健康</t>
        </is>
      </c>
      <c r="P4" s="55" t="inlineStr">
        <is>
          <t>給与・福利</t>
        </is>
      </c>
      <c r="Q4" s="55" t="inlineStr">
        <is>
          <t>就業・健康</t>
        </is>
      </c>
      <c r="R4" s="55" t="inlineStr">
        <is>
          <t>共通</t>
        </is>
      </c>
      <c r="Y4" s="46" t="inlineStr">
        <is>
          <t>●の数</t>
        </is>
      </c>
      <c r="Z4" s="46" t="inlineStr">
        <is>
          <t>○の数</t>
        </is>
      </c>
    </row>
    <row r="5" ht="214.5" customHeight="1">
      <c r="D5" s="56">
        <f>アプリケーション!C4</f>
        <v/>
      </c>
      <c r="E5" s="56">
        <f>アプリケーション!C5</f>
        <v/>
      </c>
      <c r="F5" s="56">
        <f>アプリケーション!C6</f>
        <v/>
      </c>
      <c r="G5" s="56">
        <f>アプリケーション!C7</f>
        <v/>
      </c>
      <c r="H5" s="56">
        <f>アプリケーション!C8</f>
        <v/>
      </c>
      <c r="I5" s="56">
        <f>アプリケーション!C9</f>
        <v/>
      </c>
      <c r="J5" s="56">
        <f>アプリケーション!C10</f>
        <v/>
      </c>
      <c r="K5" s="56">
        <f>アプリケーション!C11</f>
        <v/>
      </c>
      <c r="L5" s="56">
        <f>アプリケーション!C12</f>
        <v/>
      </c>
      <c r="M5" s="56">
        <f>アプリケーション!C13</f>
        <v/>
      </c>
      <c r="N5" s="56">
        <f>アプリケーション!C14</f>
        <v/>
      </c>
      <c r="O5" s="56">
        <f>アプリケーション!C15</f>
        <v/>
      </c>
      <c r="P5" s="56">
        <f>アプリケーション!C16</f>
        <v/>
      </c>
      <c r="Q5" s="56">
        <f>アプリケーション!C17</f>
        <v/>
      </c>
      <c r="R5" s="56">
        <f>アプリケーション!C18</f>
        <v/>
      </c>
      <c r="S5" s="56">
        <f>アプリケーション!C19</f>
        <v/>
      </c>
      <c r="T5" s="56">
        <f>アプリケーション!C20</f>
        <v/>
      </c>
      <c r="U5" s="56">
        <f>アプリケーション!C21</f>
        <v/>
      </c>
      <c r="V5" s="56">
        <f>アプリケーション!C22</f>
        <v/>
      </c>
      <c r="W5" s="56">
        <f>アプリケーション!C23</f>
        <v/>
      </c>
      <c r="X5" s="56">
        <f>アプリケーション!C24</f>
        <v/>
      </c>
    </row>
    <row r="6">
      <c r="A6" s="57" t="inlineStr">
        <is>
          <t>C01 人事戦略・組織設計</t>
        </is>
      </c>
      <c r="B6" s="47" t="inlineStr">
        <is>
          <t>C01-01</t>
        </is>
      </c>
      <c r="C6" s="58">
        <f>IFERROR(INDEX(ケイパビリティマップ!$E:$E,MATCH(B6,ケイパビリティマップ!$A:$A,0)),"（IDなし）")</f>
        <v/>
      </c>
      <c r="D6" s="59" t="inlineStr">
        <is>
          <t>○</t>
        </is>
      </c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59" t="n"/>
      <c r="U6" s="59" t="inlineStr">
        <is>
          <t>○</t>
        </is>
      </c>
      <c r="V6" s="59" t="n"/>
      <c r="W6" s="59" t="n"/>
      <c r="X6" s="59" t="inlineStr">
        <is>
          <t>●</t>
        </is>
      </c>
      <c r="Y6" s="54">
        <f>COUNTIF(D6:X6,"●")</f>
        <v/>
      </c>
      <c r="Z6" s="54">
        <f>COUNTIF(D6:X6,"○")</f>
        <v/>
      </c>
    </row>
    <row r="7">
      <c r="A7" s="57" t="n"/>
      <c r="B7" s="47" t="inlineStr">
        <is>
          <t>C01-02</t>
        </is>
      </c>
      <c r="C7" s="58">
        <f>IFERROR(INDEX(ケイパビリティマップ!$E:$E,MATCH(B7,ケイパビリティマップ!$A:$A,0)),"（IDなし）")</f>
        <v/>
      </c>
      <c r="D7" s="59" t="inlineStr">
        <is>
          <t>○</t>
        </is>
      </c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inlineStr">
        <is>
          <t>●</t>
        </is>
      </c>
      <c r="U7" s="59" t="inlineStr">
        <is>
          <t>○</t>
        </is>
      </c>
      <c r="V7" s="59" t="n"/>
      <c r="W7" s="59" t="inlineStr">
        <is>
          <t>●</t>
        </is>
      </c>
      <c r="X7" s="59" t="n"/>
      <c r="Y7" s="54">
        <f>COUNTIF(D7:X7,"●")</f>
        <v/>
      </c>
      <c r="Z7" s="54">
        <f>COUNTIF(D7:X7,"○")</f>
        <v/>
      </c>
    </row>
    <row r="8">
      <c r="A8" s="57" t="n"/>
      <c r="B8" s="47" t="inlineStr">
        <is>
          <t>C01-03</t>
        </is>
      </c>
      <c r="C8" s="58">
        <f>IFERROR(INDEX(ケイパビリティマップ!$E:$E,MATCH(B8,ケイパビリティマップ!$A:$A,0)),"（IDなし）")</f>
        <v/>
      </c>
      <c r="D8" s="59" t="inlineStr">
        <is>
          <t>●</t>
        </is>
      </c>
      <c r="E8" s="59" t="n"/>
      <c r="F8" s="59" t="n"/>
      <c r="G8" s="59" t="n"/>
      <c r="H8" s="59" t="n"/>
      <c r="I8" s="59" t="n"/>
      <c r="J8" s="59" t="n"/>
      <c r="K8" s="59" t="inlineStr">
        <is>
          <t>○</t>
        </is>
      </c>
      <c r="L8" s="59" t="n"/>
      <c r="M8" s="59" t="n"/>
      <c r="N8" s="59" t="n"/>
      <c r="O8" s="59" t="n"/>
      <c r="P8" s="59" t="n"/>
      <c r="Q8" s="59" t="n"/>
      <c r="R8" s="59" t="n"/>
      <c r="S8" s="59" t="n"/>
      <c r="T8" s="59" t="inlineStr">
        <is>
          <t>○</t>
        </is>
      </c>
      <c r="U8" s="59" t="n"/>
      <c r="V8" s="59" t="n"/>
      <c r="W8" s="59" t="n"/>
      <c r="X8" s="59" t="n"/>
      <c r="Y8" s="54">
        <f>COUNTIF(D8:X8,"●")</f>
        <v/>
      </c>
      <c r="Z8" s="54">
        <f>COUNTIF(D8:X8,"○")</f>
        <v/>
      </c>
    </row>
    <row r="9">
      <c r="A9" s="57" t="inlineStr">
        <is>
          <t>C02 タレント獲得</t>
        </is>
      </c>
      <c r="B9" s="47" t="inlineStr">
        <is>
          <t>C02-01</t>
        </is>
      </c>
      <c r="C9" s="58">
        <f>IFERROR(INDEX(ケイパビリティマップ!$E:$E,MATCH(B9,ケイパビリティマップ!$A:$A,0)),"（IDなし）")</f>
        <v/>
      </c>
      <c r="D9" s="59" t="n"/>
      <c r="E9" s="59" t="inlineStr">
        <is>
          <t>●</t>
        </is>
      </c>
      <c r="F9" s="59" t="n"/>
      <c r="G9" s="59" t="n"/>
      <c r="H9" s="59" t="n"/>
      <c r="I9" s="59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  <c r="T9" s="59" t="n"/>
      <c r="U9" s="59" t="inlineStr">
        <is>
          <t>○</t>
        </is>
      </c>
      <c r="V9" s="59" t="n"/>
      <c r="W9" s="59" t="n"/>
      <c r="X9" s="59" t="n"/>
      <c r="Y9" s="54">
        <f>COUNTIF(D9:X9,"●")</f>
        <v/>
      </c>
      <c r="Z9" s="54">
        <f>COUNTIF(D9:X9,"○")</f>
        <v/>
      </c>
    </row>
    <row r="10">
      <c r="A10" s="57" t="n"/>
      <c r="B10" s="47" t="inlineStr">
        <is>
          <t>C02-02</t>
        </is>
      </c>
      <c r="C10" s="58">
        <f>IFERROR(INDEX(ケイパビリティマップ!$E:$E,MATCH(B10,ケイパビリティマップ!$A:$A,0)),"（IDなし）")</f>
        <v/>
      </c>
      <c r="D10" s="59" t="n"/>
      <c r="E10" s="59" t="inlineStr">
        <is>
          <t>●</t>
        </is>
      </c>
      <c r="F10" s="59" t="inlineStr">
        <is>
          <t>○</t>
        </is>
      </c>
      <c r="G10" s="59" t="n"/>
      <c r="H10" s="59" t="n"/>
      <c r="I10" s="59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  <c r="T10" s="59" t="n"/>
      <c r="U10" s="59" t="n"/>
      <c r="V10" s="59" t="n"/>
      <c r="W10" s="59" t="n"/>
      <c r="X10" s="59" t="n"/>
      <c r="Y10" s="54">
        <f>COUNTIF(D10:X10,"●")</f>
        <v/>
      </c>
      <c r="Z10" s="54">
        <f>COUNTIF(D10:X10,"○")</f>
        <v/>
      </c>
    </row>
    <row r="11">
      <c r="A11" s="57" t="n"/>
      <c r="B11" s="47" t="inlineStr">
        <is>
          <t>C02-03</t>
        </is>
      </c>
      <c r="C11" s="58">
        <f>IFERROR(INDEX(ケイパビリティマップ!$E:$E,MATCH(B11,ケイパビリティマップ!$A:$A,0)),"（IDなし）")</f>
        <v/>
      </c>
      <c r="D11" s="59" t="n"/>
      <c r="E11" s="59" t="inlineStr">
        <is>
          <t>●</t>
        </is>
      </c>
      <c r="F11" s="59" t="inlineStr">
        <is>
          <t>○</t>
        </is>
      </c>
      <c r="G11" s="59" t="n"/>
      <c r="H11" s="59" t="inlineStr">
        <is>
          <t>○</t>
        </is>
      </c>
      <c r="I11" s="59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4">
        <f>COUNTIF(D11:X11,"●")</f>
        <v/>
      </c>
      <c r="Z11" s="54">
        <f>COUNTIF(D11:X11,"○")</f>
        <v/>
      </c>
    </row>
    <row r="12">
      <c r="A12" s="57" t="n"/>
      <c r="B12" s="47" t="inlineStr">
        <is>
          <t>C02-04</t>
        </is>
      </c>
      <c r="C12" s="58">
        <f>IFERROR(INDEX(ケイパビリティマップ!$E:$E,MATCH(B12,ケイパビリティマップ!$A:$A,0)),"（IDなし）")</f>
        <v/>
      </c>
      <c r="D12" s="59" t="n"/>
      <c r="E12" s="59" t="inlineStr">
        <is>
          <t>○</t>
        </is>
      </c>
      <c r="F12" s="59" t="n"/>
      <c r="G12" s="59" t="n"/>
      <c r="H12" s="59" t="n"/>
      <c r="I12" s="59" t="n"/>
      <c r="J12" s="59" t="inlineStr">
        <is>
          <t>○</t>
        </is>
      </c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4">
        <f>COUNTIF(D12:X12,"●")</f>
        <v/>
      </c>
      <c r="Z12" s="54">
        <f>COUNTIF(D12:X12,"○")</f>
        <v/>
      </c>
    </row>
    <row r="13">
      <c r="A13" s="57" t="inlineStr">
        <is>
          <t>C03 入社・雇用管理</t>
        </is>
      </c>
      <c r="B13" s="47" t="inlineStr">
        <is>
          <t>C03-01</t>
        </is>
      </c>
      <c r="C13" s="58">
        <f>IFERROR(INDEX(ケイパビリティマップ!$E:$E,MATCH(B13,ケイパビリティマップ!$A:$A,0)),"（IDなし）")</f>
        <v/>
      </c>
      <c r="D13" s="59" t="inlineStr">
        <is>
          <t>○</t>
        </is>
      </c>
      <c r="E13" s="59" t="n"/>
      <c r="F13" s="59" t="n"/>
      <c r="G13" s="59" t="inlineStr">
        <is>
          <t>●</t>
        </is>
      </c>
      <c r="H13" s="59" t="inlineStr">
        <is>
          <t>●</t>
        </is>
      </c>
      <c r="I13" s="59" t="inlineStr">
        <is>
          <t>○</t>
        </is>
      </c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4">
        <f>COUNTIF(D13:X13,"●")</f>
        <v/>
      </c>
      <c r="Z13" s="54">
        <f>COUNTIF(D13:X13,"○")</f>
        <v/>
      </c>
    </row>
    <row r="14">
      <c r="A14" s="57" t="n"/>
      <c r="B14" s="47" t="inlineStr">
        <is>
          <t>C03-02</t>
        </is>
      </c>
      <c r="C14" s="58">
        <f>IFERROR(INDEX(ケイパビリティマップ!$E:$E,MATCH(B14,ケイパビリティマップ!$A:$A,0)),"（IDなし）")</f>
        <v/>
      </c>
      <c r="D14" s="59" t="inlineStr">
        <is>
          <t>○</t>
        </is>
      </c>
      <c r="E14" s="59" t="n"/>
      <c r="F14" s="59" t="n"/>
      <c r="G14" s="59" t="n"/>
      <c r="H14" s="59" t="n"/>
      <c r="I14" s="59" t="n"/>
      <c r="J14" s="59" t="inlineStr">
        <is>
          <t>○</t>
        </is>
      </c>
      <c r="K14" s="59" t="n"/>
      <c r="L14" s="59" t="n"/>
      <c r="M14" s="59" t="n"/>
      <c r="N14" s="59" t="n"/>
      <c r="O14" s="59" t="n"/>
      <c r="P14" s="59" t="n"/>
      <c r="Q14" s="59" t="n"/>
      <c r="R14" s="59" t="inlineStr">
        <is>
          <t>○</t>
        </is>
      </c>
      <c r="S14" s="59" t="n"/>
      <c r="T14" s="59" t="n"/>
      <c r="U14" s="59" t="n"/>
      <c r="V14" s="59" t="inlineStr">
        <is>
          <t>○</t>
        </is>
      </c>
      <c r="W14" s="59" t="n"/>
      <c r="X14" s="59" t="n"/>
      <c r="Y14" s="54">
        <f>COUNTIF(D14:X14,"●")</f>
        <v/>
      </c>
      <c r="Z14" s="54">
        <f>COUNTIF(D14:X14,"○")</f>
        <v/>
      </c>
    </row>
    <row r="15">
      <c r="A15" s="57" t="n"/>
      <c r="B15" s="47" t="inlineStr">
        <is>
          <t>C03-03</t>
        </is>
      </c>
      <c r="C15" s="58">
        <f>IFERROR(INDEX(ケイパビリティマップ!$E:$E,MATCH(B15,ケイパビリティマップ!$A:$A,0)),"（IDなし）")</f>
        <v/>
      </c>
      <c r="D15" s="59" t="inlineStr">
        <is>
          <t>●</t>
        </is>
      </c>
      <c r="E15" s="59" t="n"/>
      <c r="F15" s="59" t="n"/>
      <c r="G15" s="59" t="inlineStr">
        <is>
          <t>○</t>
        </is>
      </c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4">
        <f>COUNTIF(D15:X15,"●")</f>
        <v/>
      </c>
      <c r="Z15" s="54">
        <f>COUNTIF(D15:X15,"○")</f>
        <v/>
      </c>
    </row>
    <row r="16">
      <c r="A16" s="57" t="inlineStr">
        <is>
          <t>C04 人材育成・能力開発</t>
        </is>
      </c>
      <c r="B16" s="47" t="inlineStr">
        <is>
          <t>C04-01</t>
        </is>
      </c>
      <c r="C16" s="58">
        <f>IFERROR(INDEX(ケイパビリティマップ!$E:$E,MATCH(B16,ケイパビリティマップ!$A:$A,0)),"（IDなし）")</f>
        <v/>
      </c>
      <c r="D16" s="59" t="n"/>
      <c r="E16" s="59" t="n"/>
      <c r="F16" s="59" t="n"/>
      <c r="G16" s="59" t="n"/>
      <c r="H16" s="59" t="n"/>
      <c r="I16" s="59" t="n"/>
      <c r="J16" s="59" t="inlineStr">
        <is>
          <t>●</t>
        </is>
      </c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4">
        <f>COUNTIF(D16:X16,"●")</f>
        <v/>
      </c>
      <c r="Z16" s="54">
        <f>COUNTIF(D16:X16,"○")</f>
        <v/>
      </c>
    </row>
    <row r="17">
      <c r="A17" s="57" t="n"/>
      <c r="B17" s="47" t="inlineStr">
        <is>
          <t>C04-02</t>
        </is>
      </c>
      <c r="C17" s="58">
        <f>IFERROR(INDEX(ケイパビリティマップ!$E:$E,MATCH(B17,ケイパビリティマップ!$A:$A,0)),"（IDなし）")</f>
        <v/>
      </c>
      <c r="D17" s="59" t="n"/>
      <c r="E17" s="59" t="n"/>
      <c r="F17" s="59" t="n"/>
      <c r="G17" s="59" t="n"/>
      <c r="H17" s="59" t="n"/>
      <c r="I17" s="59" t="n"/>
      <c r="J17" s="59" t="inlineStr">
        <is>
          <t>○</t>
        </is>
      </c>
      <c r="K17" s="59" t="inlineStr">
        <is>
          <t>●</t>
        </is>
      </c>
      <c r="L17" s="59" t="n"/>
      <c r="M17" s="59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4">
        <f>COUNTIF(D17:X17,"●")</f>
        <v/>
      </c>
      <c r="Z17" s="54">
        <f>COUNTIF(D17:X17,"○")</f>
        <v/>
      </c>
    </row>
    <row r="18">
      <c r="A18" s="57" t="n"/>
      <c r="B18" s="47" t="inlineStr">
        <is>
          <t>C04-03</t>
        </is>
      </c>
      <c r="C18" s="58">
        <f>IFERROR(INDEX(ケイパビリティマップ!$E:$E,MATCH(B18,ケイパビリティマップ!$A:$A,0)),"（IDなし）")</f>
        <v/>
      </c>
      <c r="D18" s="59" t="n"/>
      <c r="E18" s="59" t="n"/>
      <c r="F18" s="59" t="n"/>
      <c r="G18" s="59" t="n"/>
      <c r="H18" s="59" t="n"/>
      <c r="I18" s="59" t="n"/>
      <c r="J18" s="59" t="inlineStr">
        <is>
          <t>○</t>
        </is>
      </c>
      <c r="K18" s="59" t="inlineStr">
        <is>
          <t>●</t>
        </is>
      </c>
      <c r="L18" s="59" t="n"/>
      <c r="M18" s="59" t="n"/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  <c r="Y18" s="54">
        <f>COUNTIF(D18:X18,"●")</f>
        <v/>
      </c>
      <c r="Z18" s="54">
        <f>COUNTIF(D18:X18,"○")</f>
        <v/>
      </c>
    </row>
    <row r="19">
      <c r="A19" s="57" t="n"/>
      <c r="B19" s="47" t="inlineStr">
        <is>
          <t>C04-04</t>
        </is>
      </c>
      <c r="C19" s="58">
        <f>IFERROR(INDEX(ケイパビリティマップ!$E:$E,MATCH(B19,ケイパビリティマップ!$A:$A,0)),"（IDなし）")</f>
        <v/>
      </c>
      <c r="D19" s="59" t="n"/>
      <c r="E19" s="59" t="n"/>
      <c r="F19" s="59" t="n"/>
      <c r="G19" s="59" t="n"/>
      <c r="H19" s="59" t="n"/>
      <c r="I19" s="59" t="n"/>
      <c r="J19" s="59" t="inlineStr">
        <is>
          <t>●</t>
        </is>
      </c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4">
        <f>COUNTIF(D19:X19,"●")</f>
        <v/>
      </c>
      <c r="Z19" s="54">
        <f>COUNTIF(D19:X19,"○")</f>
        <v/>
      </c>
    </row>
    <row r="20">
      <c r="A20" s="57" t="inlineStr">
        <is>
          <t>C05 パフォーマンス・報酬管理</t>
        </is>
      </c>
      <c r="B20" s="47" t="inlineStr">
        <is>
          <t>C05-01</t>
        </is>
      </c>
      <c r="C20" s="58">
        <f>IFERROR(INDEX(ケイパビリティマップ!$E:$E,MATCH(B20,ケイパビリティマップ!$A:$A,0)),"（IDなし）")</f>
        <v/>
      </c>
      <c r="D20" s="59" t="n"/>
      <c r="E20" s="59" t="n"/>
      <c r="F20" s="59" t="n"/>
      <c r="G20" s="59" t="n"/>
      <c r="H20" s="59" t="n"/>
      <c r="I20" s="59" t="n"/>
      <c r="J20" s="59" t="n"/>
      <c r="K20" s="59" t="inlineStr">
        <is>
          <t>○</t>
        </is>
      </c>
      <c r="L20" s="59" t="inlineStr">
        <is>
          <t>●</t>
        </is>
      </c>
      <c r="M20" s="59" t="n"/>
      <c r="N20" s="59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59" t="n"/>
      <c r="X20" s="59" t="n"/>
      <c r="Y20" s="54">
        <f>COUNTIF(D20:X20,"●")</f>
        <v/>
      </c>
      <c r="Z20" s="54">
        <f>COUNTIF(D20:X20,"○")</f>
        <v/>
      </c>
    </row>
    <row r="21">
      <c r="A21" s="57" t="n"/>
      <c r="B21" s="47" t="inlineStr">
        <is>
          <t>C05-02</t>
        </is>
      </c>
      <c r="C21" s="58">
        <f>IFERROR(INDEX(ケイパビリティマップ!$E:$E,MATCH(B21,ケイパビリティマップ!$A:$A,0)),"（IDなし）")</f>
        <v/>
      </c>
      <c r="D21" s="59" t="n"/>
      <c r="E21" s="59" t="n"/>
      <c r="F21" s="59" t="n"/>
      <c r="G21" s="59" t="n"/>
      <c r="H21" s="59" t="n"/>
      <c r="I21" s="59" t="n"/>
      <c r="J21" s="59" t="n"/>
      <c r="K21" s="59" t="inlineStr">
        <is>
          <t>○</t>
        </is>
      </c>
      <c r="L21" s="59" t="n"/>
      <c r="M21" s="59" t="n"/>
      <c r="N21" s="59" t="inlineStr">
        <is>
          <t>○</t>
        </is>
      </c>
      <c r="O21" s="59" t="n"/>
      <c r="P21" s="59" t="n"/>
      <c r="Q21" s="59" t="n"/>
      <c r="R21" s="59" t="n"/>
      <c r="S21" s="59" t="n"/>
      <c r="T21" s="59" t="inlineStr">
        <is>
          <t>○</t>
        </is>
      </c>
      <c r="U21" s="59" t="n"/>
      <c r="V21" s="59" t="n"/>
      <c r="W21" s="59" t="n"/>
      <c r="X21" s="59" t="n"/>
      <c r="Y21" s="54">
        <f>COUNTIF(D21:X21,"●")</f>
        <v/>
      </c>
      <c r="Z21" s="54">
        <f>COUNTIF(D21:X21,"○")</f>
        <v/>
      </c>
    </row>
    <row r="22">
      <c r="A22" s="57" t="n"/>
      <c r="B22" s="47" t="inlineStr">
        <is>
          <t>C05-03</t>
        </is>
      </c>
      <c r="C22" s="58">
        <f>IFERROR(INDEX(ケイパビリティマップ!$E:$E,MATCH(B22,ケイパビリティマップ!$A:$A,0)),"（IDなし）")</f>
        <v/>
      </c>
      <c r="D22" s="59" t="n"/>
      <c r="E22" s="59" t="n"/>
      <c r="F22" s="59" t="n"/>
      <c r="G22" s="59" t="n"/>
      <c r="H22" s="59" t="n"/>
      <c r="I22" s="59" t="inlineStr">
        <is>
          <t>○</t>
        </is>
      </c>
      <c r="J22" s="59" t="n"/>
      <c r="K22" s="59" t="n"/>
      <c r="L22" s="59" t="n"/>
      <c r="M22" s="59" t="inlineStr">
        <is>
          <t>○</t>
        </is>
      </c>
      <c r="N22" s="59" t="inlineStr">
        <is>
          <t>●</t>
        </is>
      </c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inlineStr">
        <is>
          <t>○</t>
        </is>
      </c>
      <c r="X22" s="59" t="n"/>
      <c r="Y22" s="54">
        <f>COUNTIF(D22:X22,"●")</f>
        <v/>
      </c>
      <c r="Z22" s="54">
        <f>COUNTIF(D22:X22,"○")</f>
        <v/>
      </c>
    </row>
    <row r="23">
      <c r="A23" s="57" t="n"/>
      <c r="B23" s="47" t="inlineStr">
        <is>
          <t>C05-04</t>
        </is>
      </c>
      <c r="C23" s="58">
        <f>IFERROR(INDEX(ケイパビリティマップ!$E:$E,MATCH(B23,ケイパビリティマップ!$A:$A,0)),"（IDなし）")</f>
        <v/>
      </c>
      <c r="D23" s="59" t="n"/>
      <c r="E23" s="59" t="n"/>
      <c r="F23" s="59" t="n"/>
      <c r="G23" s="59" t="inlineStr">
        <is>
          <t>●</t>
        </is>
      </c>
      <c r="H23" s="59" t="n"/>
      <c r="I23" s="59" t="n"/>
      <c r="J23" s="59" t="n"/>
      <c r="K23" s="59" t="n"/>
      <c r="L23" s="59" t="n"/>
      <c r="M23" s="59" t="n"/>
      <c r="N23" s="59" t="inlineStr">
        <is>
          <t>○</t>
        </is>
      </c>
      <c r="O23" s="59" t="n"/>
      <c r="P23" s="59" t="inlineStr">
        <is>
          <t>●</t>
        </is>
      </c>
      <c r="Q23" s="59" t="n"/>
      <c r="R23" s="59" t="n"/>
      <c r="S23" s="59" t="n"/>
      <c r="T23" s="59" t="n"/>
      <c r="U23" s="59" t="n"/>
      <c r="V23" s="59" t="n"/>
      <c r="W23" s="59" t="n"/>
      <c r="X23" s="59" t="n"/>
      <c r="Y23" s="54">
        <f>COUNTIF(D23:X23,"●")</f>
        <v/>
      </c>
      <c r="Z23" s="54">
        <f>COUNTIF(D23:X23,"○")</f>
        <v/>
      </c>
    </row>
    <row r="24">
      <c r="A24" s="57" t="inlineStr">
        <is>
          <t>C06 就業・労務管理</t>
        </is>
      </c>
      <c r="B24" s="47" t="inlineStr">
        <is>
          <t>C06-01</t>
        </is>
      </c>
      <c r="C24" s="58">
        <f>IFERROR(INDEX(ケイパビリティマップ!$E:$E,MATCH(B24,ケイパビリティマップ!$A:$A,0)),"（IDなし）")</f>
        <v/>
      </c>
      <c r="D24" s="59" t="n"/>
      <c r="E24" s="59" t="n"/>
      <c r="F24" s="59" t="n"/>
      <c r="G24" s="59" t="inlineStr">
        <is>
          <t>○</t>
        </is>
      </c>
      <c r="H24" s="59" t="n"/>
      <c r="I24" s="59" t="n"/>
      <c r="J24" s="59" t="n"/>
      <c r="K24" s="59" t="n"/>
      <c r="L24" s="59" t="n"/>
      <c r="M24" s="59" t="inlineStr">
        <is>
          <t>●</t>
        </is>
      </c>
      <c r="N24" s="59" t="n"/>
      <c r="O24" s="59" t="n"/>
      <c r="P24" s="59" t="n"/>
      <c r="Q24" s="59" t="n"/>
      <c r="R24" s="59" t="n"/>
      <c r="S24" s="59" t="n"/>
      <c r="T24" s="59" t="n"/>
      <c r="U24" s="59" t="n"/>
      <c r="V24" s="59" t="n"/>
      <c r="W24" s="59" t="n"/>
      <c r="X24" s="59" t="n"/>
      <c r="Y24" s="54">
        <f>COUNTIF(D24:X24,"●")</f>
        <v/>
      </c>
      <c r="Z24" s="54">
        <f>COUNTIF(D24:X24,"○")</f>
        <v/>
      </c>
    </row>
    <row r="25">
      <c r="A25" s="57" t="n"/>
      <c r="B25" s="47" t="inlineStr">
        <is>
          <t>C06-02</t>
        </is>
      </c>
      <c r="C25" s="58">
        <f>IFERROR(INDEX(ケイパビリティマップ!$E:$E,MATCH(B25,ケイパビリティマップ!$A:$A,0)),"（IDなし）")</f>
        <v/>
      </c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  <c r="M25" s="59" t="inlineStr">
        <is>
          <t>○</t>
        </is>
      </c>
      <c r="N25" s="59" t="n"/>
      <c r="O25" s="59" t="inlineStr">
        <is>
          <t>●</t>
        </is>
      </c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4">
        <f>COUNTIF(D25:X25,"●")</f>
        <v/>
      </c>
      <c r="Z25" s="54">
        <f>COUNTIF(D25:X25,"○")</f>
        <v/>
      </c>
    </row>
    <row r="26">
      <c r="A26" s="57" t="n"/>
      <c r="B26" s="47" t="inlineStr">
        <is>
          <t>C06-03</t>
        </is>
      </c>
      <c r="C26" s="58">
        <f>IFERROR(INDEX(ケイパビリティマップ!$E:$E,MATCH(B26,ケイパビリティマップ!$A:$A,0)),"（IDなし）")</f>
        <v/>
      </c>
      <c r="D26" s="59" t="n"/>
      <c r="E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inlineStr">
        <is>
          <t>○</t>
        </is>
      </c>
      <c r="S26" s="59" t="inlineStr">
        <is>
          <t>●</t>
        </is>
      </c>
      <c r="T26" s="59" t="n"/>
      <c r="U26" s="59" t="n"/>
      <c r="V26" s="59" t="n"/>
      <c r="W26" s="59" t="n"/>
      <c r="X26" s="59" t="inlineStr">
        <is>
          <t>○</t>
        </is>
      </c>
      <c r="Y26" s="54">
        <f>COUNTIF(D26:X26,"●")</f>
        <v/>
      </c>
      <c r="Z26" s="54">
        <f>COUNTIF(D26:X26,"○")</f>
        <v/>
      </c>
    </row>
    <row r="27">
      <c r="A27" s="57" t="n"/>
      <c r="B27" s="47" t="inlineStr">
        <is>
          <t>C06-04</t>
        </is>
      </c>
      <c r="C27" s="58">
        <f>IFERROR(INDEX(ケイパビリティマップ!$E:$E,MATCH(B27,ケイパビリティマップ!$A:$A,0)),"（IDなし）")</f>
        <v/>
      </c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inlineStr">
        <is>
          <t>○</t>
        </is>
      </c>
      <c r="N27" s="59" t="n"/>
      <c r="O27" s="59" t="n"/>
      <c r="P27" s="59" t="n"/>
      <c r="Q27" s="59" t="inlineStr">
        <is>
          <t>●</t>
        </is>
      </c>
      <c r="R27" s="59" t="n"/>
      <c r="S27" s="59" t="n"/>
      <c r="T27" s="59" t="n"/>
      <c r="U27" s="59" t="n"/>
      <c r="V27" s="59" t="n"/>
      <c r="W27" s="59" t="n"/>
      <c r="X27" s="59" t="n"/>
      <c r="Y27" s="54">
        <f>COUNTIF(D27:X27,"●")</f>
        <v/>
      </c>
      <c r="Z27" s="54">
        <f>COUNTIF(D27:X27,"○")</f>
        <v/>
      </c>
    </row>
    <row r="28">
      <c r="A28" s="57" t="inlineStr">
        <is>
          <t>C07 タレントマネジメント・配置</t>
        </is>
      </c>
      <c r="B28" s="47" t="inlineStr">
        <is>
          <t>C07-01</t>
        </is>
      </c>
      <c r="C28" s="58">
        <f>IFERROR(INDEX(ケイパビリティマップ!$E:$E,MATCH(B28,ケイパビリティマップ!$A:$A,0)),"（IDなし）")</f>
        <v/>
      </c>
      <c r="D28" s="59" t="inlineStr">
        <is>
          <t>○</t>
        </is>
      </c>
      <c r="E28" s="59" t="n"/>
      <c r="F28" s="59" t="n"/>
      <c r="G28" s="59" t="n"/>
      <c r="H28" s="59" t="n"/>
      <c r="I28" s="59" t="n"/>
      <c r="J28" s="59" t="n"/>
      <c r="K28" s="59" t="inlineStr">
        <is>
          <t>●</t>
        </is>
      </c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4">
        <f>COUNTIF(D28:X28,"●")</f>
        <v/>
      </c>
      <c r="Z28" s="54">
        <f>COUNTIF(D28:X28,"○")</f>
        <v/>
      </c>
    </row>
    <row r="29">
      <c r="A29" s="57" t="n"/>
      <c r="B29" s="47" t="inlineStr">
        <is>
          <t>C07-02</t>
        </is>
      </c>
      <c r="C29" s="58">
        <f>IFERROR(INDEX(ケイパビリティマップ!$E:$E,MATCH(B29,ケイパビリティマップ!$A:$A,0)),"（IDなし）")</f>
        <v/>
      </c>
      <c r="D29" s="59" t="n"/>
      <c r="E29" s="59" t="n"/>
      <c r="F29" s="59" t="n"/>
      <c r="G29" s="59" t="n"/>
      <c r="H29" s="59" t="n"/>
      <c r="I29" s="59" t="n"/>
      <c r="J29" s="59" t="n"/>
      <c r="K29" s="59" t="inlineStr">
        <is>
          <t>●</t>
        </is>
      </c>
      <c r="L29" s="59" t="inlineStr">
        <is>
          <t>○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4">
        <f>COUNTIF(D29:X29,"●")</f>
        <v/>
      </c>
      <c r="Z29" s="54">
        <f>COUNTIF(D29:X29,"○")</f>
        <v/>
      </c>
    </row>
    <row r="30">
      <c r="A30" s="57" t="n"/>
      <c r="B30" s="47" t="inlineStr">
        <is>
          <t>C07-03</t>
        </is>
      </c>
      <c r="C30" s="58">
        <f>IFERROR(INDEX(ケイパビリティマップ!$E:$E,MATCH(B30,ケイパビリティマップ!$A:$A,0)),"（IDなし）")</f>
        <v/>
      </c>
      <c r="D30" s="59" t="n"/>
      <c r="E30" s="59" t="n"/>
      <c r="F30" s="59" t="n"/>
      <c r="G30" s="59" t="n"/>
      <c r="H30" s="59" t="n"/>
      <c r="I30" s="59" t="n"/>
      <c r="J30" s="59" t="n"/>
      <c r="K30" s="59" t="inlineStr">
        <is>
          <t>●</t>
        </is>
      </c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4">
        <f>COUNTIF(D30:X30,"●")</f>
        <v/>
      </c>
      <c r="Z30" s="54">
        <f>COUNTIF(D30:X30,"○")</f>
        <v/>
      </c>
    </row>
    <row r="31">
      <c r="A31" s="57" t="n"/>
      <c r="B31" s="47" t="inlineStr">
        <is>
          <t>C07-04</t>
        </is>
      </c>
      <c r="C31" s="58">
        <f>IFERROR(INDEX(ケイパビリティマップ!$E:$E,MATCH(B31,ケイパビリティマップ!$A:$A,0)),"（IDなし）")</f>
        <v/>
      </c>
      <c r="D31" s="59" t="inlineStr">
        <is>
          <t>○</t>
        </is>
      </c>
      <c r="E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inlineStr">
        <is>
          <t>○</t>
        </is>
      </c>
      <c r="V31" s="59" t="n"/>
      <c r="W31" s="59" t="n"/>
      <c r="X31" s="59" t="n"/>
      <c r="Y31" s="54">
        <f>COUNTIF(D31:X31,"●")</f>
        <v/>
      </c>
      <c r="Z31" s="54">
        <f>COUNTIF(D31:X31,"○")</f>
        <v/>
      </c>
    </row>
    <row r="32">
      <c r="A32" s="57" t="inlineStr">
        <is>
          <t>C08 退職・雇用終了</t>
        </is>
      </c>
      <c r="B32" s="47" t="inlineStr">
        <is>
          <t>C08-01</t>
        </is>
      </c>
      <c r="C32" s="58">
        <f>IFERROR(INDEX(ケイパビリティマップ!$E:$E,MATCH(B32,ケイパビリティマップ!$A:$A,0)),"（IDなし）")</f>
        <v/>
      </c>
      <c r="D32" s="59" t="inlineStr">
        <is>
          <t>○</t>
        </is>
      </c>
      <c r="E32" s="59" t="n"/>
      <c r="F32" s="59" t="n"/>
      <c r="G32" s="59" t="inlineStr">
        <is>
          <t>●</t>
        </is>
      </c>
      <c r="H32" s="59" t="n"/>
      <c r="I32" s="59" t="n"/>
      <c r="J32" s="59" t="n"/>
      <c r="K32" s="59" t="n"/>
      <c r="L32" s="59" t="n"/>
      <c r="M32" s="59" t="n"/>
      <c r="N32" s="59" t="inlineStr">
        <is>
          <t>○</t>
        </is>
      </c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4">
        <f>COUNTIF(D32:X32,"●")</f>
        <v/>
      </c>
      <c r="Z32" s="54">
        <f>COUNTIF(D32:X32,"○")</f>
        <v/>
      </c>
    </row>
    <row r="33">
      <c r="A33" s="57" t="n"/>
      <c r="B33" s="47" t="inlineStr">
        <is>
          <t>C08-02</t>
        </is>
      </c>
      <c r="C33" s="58">
        <f>IFERROR(INDEX(ケイパビリティマップ!$E:$E,MATCH(B33,ケイパビリティマップ!$A:$A,0)),"（IDなし）")</f>
        <v/>
      </c>
      <c r="D33" s="59" t="inlineStr">
        <is>
          <t>●</t>
        </is>
      </c>
      <c r="E33" s="59" t="n"/>
      <c r="F33" s="59" t="n"/>
      <c r="G33" s="59" t="n"/>
      <c r="H33" s="59" t="inlineStr">
        <is>
          <t>○</t>
        </is>
      </c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4">
        <f>COUNTIF(D33:X33,"●")</f>
        <v/>
      </c>
      <c r="Z33" s="54">
        <f>COUNTIF(D33:X33,"○")</f>
        <v/>
      </c>
    </row>
    <row r="34">
      <c r="A34" s="57" t="n"/>
      <c r="B34" s="47" t="inlineStr">
        <is>
          <t>C08-03</t>
        </is>
      </c>
      <c r="C34" s="58">
        <f>IFERROR(INDEX(ケイパビリティマップ!$E:$E,MATCH(B34,ケイパビリティマップ!$A:$A,0)),"（IDなし）")</f>
        <v/>
      </c>
      <c r="D34" s="59" t="inlineStr">
        <is>
          <t>○</t>
        </is>
      </c>
      <c r="E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inlineStr">
        <is>
          <t>○</t>
        </is>
      </c>
      <c r="S34" s="59" t="n"/>
      <c r="T34" s="59" t="n"/>
      <c r="U34" s="59" t="n"/>
      <c r="V34" s="59" t="inlineStr">
        <is>
          <t>○</t>
        </is>
      </c>
      <c r="W34" s="59" t="n"/>
      <c r="X34" s="59" t="n"/>
      <c r="Y34" s="54">
        <f>COUNTIF(D34:X34,"●")</f>
        <v/>
      </c>
      <c r="Z34" s="54">
        <f>COUNTIF(D34:X34,"○")</f>
        <v/>
      </c>
    </row>
    <row r="35">
      <c r="A35" s="57" t="inlineStr">
        <is>
          <t>C09 人事基盤</t>
        </is>
      </c>
      <c r="B35" s="47" t="inlineStr">
        <is>
          <t>C09-01</t>
        </is>
      </c>
      <c r="C35" s="58">
        <f>IFERROR(INDEX(ケイパビリティマップ!$E:$E,MATCH(B35,ケイパビリティマップ!$A:$A,0)),"（IDなし）")</f>
        <v/>
      </c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inlineStr">
        <is>
          <t>○</t>
        </is>
      </c>
      <c r="R35" s="59" t="n"/>
      <c r="S35" s="59" t="n"/>
      <c r="T35" s="59" t="n"/>
      <c r="U35" s="59" t="inlineStr">
        <is>
          <t>●</t>
        </is>
      </c>
      <c r="V35" s="59" t="n"/>
      <c r="W35" s="59" t="n"/>
      <c r="X35" s="59" t="n"/>
      <c r="Y35" s="54">
        <f>COUNTIF(D35:X35,"●")</f>
        <v/>
      </c>
      <c r="Z35" s="54">
        <f>COUNTIF(D35:X35,"○")</f>
        <v/>
      </c>
    </row>
    <row r="36">
      <c r="A36" s="57" t="n"/>
      <c r="B36" s="47" t="inlineStr">
        <is>
          <t>C09-02</t>
        </is>
      </c>
      <c r="C36" s="58">
        <f>IFERROR(INDEX(ケイパビリティマップ!$E:$E,MATCH(B36,ケイパビリティマップ!$A:$A,0)),"（IDなし）")</f>
        <v/>
      </c>
      <c r="D36" s="59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inlineStr">
        <is>
          <t>●</t>
        </is>
      </c>
      <c r="S36" s="59" t="n"/>
      <c r="T36" s="59" t="n"/>
      <c r="U36" s="59" t="n"/>
      <c r="V36" s="59" t="n"/>
      <c r="W36" s="59" t="n"/>
      <c r="X36" s="59" t="n"/>
      <c r="Y36" s="54">
        <f>COUNTIF(D36:X36,"●")</f>
        <v/>
      </c>
      <c r="Z36" s="54">
        <f>COUNTIF(D36:X36,"○")</f>
        <v/>
      </c>
    </row>
    <row r="37">
      <c r="A37" s="57" t="n"/>
      <c r="B37" s="47" t="inlineStr">
        <is>
          <t>C09-03</t>
        </is>
      </c>
      <c r="C37" s="58">
        <f>IFERROR(INDEX(ケイパビリティマップ!$E:$E,MATCH(B37,ケイパビリティマップ!$A:$A,0)),"（IDなし）")</f>
        <v/>
      </c>
      <c r="D37" s="59" t="n"/>
      <c r="E37" s="59" t="n"/>
      <c r="F37" s="59" t="n"/>
      <c r="G37" s="59" t="n"/>
      <c r="H37" s="59" t="n"/>
      <c r="I37" s="59" t="inlineStr">
        <is>
          <t>○</t>
        </is>
      </c>
      <c r="J37" s="59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inlineStr">
        <is>
          <t>●</t>
        </is>
      </c>
      <c r="W37" s="59" t="n"/>
      <c r="X37" s="59" t="n"/>
      <c r="Y37" s="54">
        <f>COUNTIF(D37:X37,"●")</f>
        <v/>
      </c>
      <c r="Z37" s="54">
        <f>COUNTIF(D37:X37,"○")</f>
        <v/>
      </c>
    </row>
    <row r="38">
      <c r="C38" s="57" t="inlineStr">
        <is>
          <t>●の数</t>
        </is>
      </c>
      <c r="D38" s="54">
        <f>COUNTIF(D6:D37,"●")</f>
        <v/>
      </c>
      <c r="E38" s="54">
        <f>COUNTIF(E6:E37,"●")</f>
        <v/>
      </c>
      <c r="F38" s="54">
        <f>COUNTIF(F6:F37,"●")</f>
        <v/>
      </c>
      <c r="G38" s="54">
        <f>COUNTIF(G6:G37,"●")</f>
        <v/>
      </c>
      <c r="H38" s="54">
        <f>COUNTIF(H6:H37,"●")</f>
        <v/>
      </c>
      <c r="I38" s="54">
        <f>COUNTIF(I6:I37,"●")</f>
        <v/>
      </c>
      <c r="J38" s="54">
        <f>COUNTIF(J6:J37,"●")</f>
        <v/>
      </c>
      <c r="K38" s="54">
        <f>COUNTIF(K6:K37,"●")</f>
        <v/>
      </c>
      <c r="L38" s="54">
        <f>COUNTIF(L6:L37,"●")</f>
        <v/>
      </c>
      <c r="M38" s="54">
        <f>COUNTIF(M6:M37,"●")</f>
        <v/>
      </c>
      <c r="N38" s="54">
        <f>COUNTIF(N6:N37,"●")</f>
        <v/>
      </c>
      <c r="O38" s="54">
        <f>COUNTIF(O6:O37,"●")</f>
        <v/>
      </c>
      <c r="P38" s="54">
        <f>COUNTIF(P6:P37,"●")</f>
        <v/>
      </c>
      <c r="Q38" s="54">
        <f>COUNTIF(Q6:Q37,"●")</f>
        <v/>
      </c>
      <c r="R38" s="54">
        <f>COUNTIF(R6:R37,"●")</f>
        <v/>
      </c>
      <c r="S38" s="54">
        <f>COUNTIF(S6:S37,"●")</f>
        <v/>
      </c>
      <c r="T38" s="54">
        <f>COUNTIF(T6:T37,"●")</f>
        <v/>
      </c>
      <c r="U38" s="54">
        <f>COUNTIF(U6:U37,"●")</f>
        <v/>
      </c>
      <c r="V38" s="54">
        <f>COUNTIF(V6:V37,"●")</f>
        <v/>
      </c>
      <c r="W38" s="54">
        <f>COUNTIF(W6:W37,"●")</f>
        <v/>
      </c>
      <c r="X38" s="54">
        <f>COUNTIF(X6:X37,"●")</f>
        <v/>
      </c>
    </row>
    <row r="39">
      <c r="C39" s="57" t="inlineStr">
        <is>
          <t>○の数</t>
        </is>
      </c>
      <c r="D39" s="54">
        <f>COUNTIF(D6:D37,"○")</f>
        <v/>
      </c>
      <c r="E39" s="54">
        <f>COUNTIF(E6:E37,"○")</f>
        <v/>
      </c>
      <c r="F39" s="54">
        <f>COUNTIF(F6:F37,"○")</f>
        <v/>
      </c>
      <c r="G39" s="54">
        <f>COUNTIF(G6:G37,"○")</f>
        <v/>
      </c>
      <c r="H39" s="54">
        <f>COUNTIF(H6:H37,"○")</f>
        <v/>
      </c>
      <c r="I39" s="54">
        <f>COUNTIF(I6:I37,"○")</f>
        <v/>
      </c>
      <c r="J39" s="54">
        <f>COUNTIF(J6:J37,"○")</f>
        <v/>
      </c>
      <c r="K39" s="54">
        <f>COUNTIF(K6:K37,"○")</f>
        <v/>
      </c>
      <c r="L39" s="54">
        <f>COUNTIF(L6:L37,"○")</f>
        <v/>
      </c>
      <c r="M39" s="54">
        <f>COUNTIF(M6:M37,"○")</f>
        <v/>
      </c>
      <c r="N39" s="54">
        <f>COUNTIF(N6:N37,"○")</f>
        <v/>
      </c>
      <c r="O39" s="54">
        <f>COUNTIF(O6:O37,"○")</f>
        <v/>
      </c>
      <c r="P39" s="54">
        <f>COUNTIF(P6:P37,"○")</f>
        <v/>
      </c>
      <c r="Q39" s="54">
        <f>COUNTIF(Q6:Q37,"○")</f>
        <v/>
      </c>
      <c r="R39" s="54">
        <f>COUNTIF(R6:R37,"○")</f>
        <v/>
      </c>
      <c r="S39" s="54">
        <f>COUNTIF(S6:S37,"○")</f>
        <v/>
      </c>
      <c r="T39" s="54">
        <f>COUNTIF(T6:T37,"○")</f>
        <v/>
      </c>
      <c r="U39" s="54">
        <f>COUNTIF(U6:U37,"○")</f>
        <v/>
      </c>
      <c r="V39" s="54">
        <f>COUNTIF(V6:V37,"○")</f>
        <v/>
      </c>
      <c r="W39" s="54">
        <f>COUNTIF(W6:W37,"○")</f>
        <v/>
      </c>
      <c r="X39" s="54">
        <f>COUNTIF(X6:X37,"○")</f>
        <v/>
      </c>
    </row>
  </sheetData>
  <mergeCells count="9">
    <mergeCell ref="E4:F4"/>
    <mergeCell ref="B4:B5"/>
    <mergeCell ref="C4:C5"/>
    <mergeCell ref="A4:A5"/>
    <mergeCell ref="R4:X4"/>
    <mergeCell ref="Y4:Y5"/>
    <mergeCell ref="Z4:Z5"/>
    <mergeCell ref="G4:I4"/>
    <mergeCell ref="J4:L4"/>
  </mergeCells>
  <conditionalFormatting sqref="D6:X37">
    <cfRule type="cellIs" priority="1" operator="equal" dxfId="2">
      <formula>"●"</formula>
    </cfRule>
  </conditionalFormatting>
  <dataValidations count="1">
    <dataValidation sqref="D6:X37" showDropDown="0" showInputMessage="0" showErrorMessage="0" allowBlank="1" type="list">
      <formula1>"●,○"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8B57"/>
    <outlinePr summaryBelow="1" summaryRight="1"/>
    <pageSetUpPr/>
  </sheetPr>
  <dimension ref="A1:BM2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28" customWidth="1" min="3" max="3"/>
    <col width="4.6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4.6" customWidth="1" min="35" max="35"/>
    <col width="4.6" customWidth="1" min="36" max="36"/>
    <col width="4.6" customWidth="1" min="37" max="37"/>
    <col width="4.6" customWidth="1" min="38" max="38"/>
    <col width="4.6" customWidth="1" min="39" max="39"/>
    <col width="4.6" customWidth="1" min="40" max="40"/>
    <col width="4.6" customWidth="1" min="41" max="41"/>
    <col width="4.6" customWidth="1" min="42" max="42"/>
    <col width="4.6" customWidth="1" min="43" max="43"/>
    <col width="4.6" customWidth="1" min="44" max="44"/>
    <col width="4.6" customWidth="1" min="45" max="45"/>
    <col width="4.6" customWidth="1" min="46" max="46"/>
    <col width="4.6" customWidth="1" min="47" max="47"/>
    <col width="4.6" customWidth="1" min="48" max="48"/>
    <col width="4.6" customWidth="1" min="49" max="49"/>
    <col width="4.6" customWidth="1" min="50" max="50"/>
    <col width="4.6" customWidth="1" min="51" max="51"/>
    <col width="4.6" customWidth="1" min="52" max="52"/>
    <col width="4.6" customWidth="1" min="53" max="53"/>
    <col width="4.6" customWidth="1" min="54" max="54"/>
    <col width="4.6" customWidth="1" min="55" max="55"/>
    <col width="4.6" customWidth="1" min="56" max="56"/>
    <col width="4.6" customWidth="1" min="57" max="57"/>
    <col width="4.6" customWidth="1" min="58" max="58"/>
    <col width="4.6" customWidth="1" min="59" max="59"/>
    <col width="4.6" customWidth="1" min="60" max="60"/>
    <col width="4.6" customWidth="1" min="61" max="61"/>
    <col width="4.6" customWidth="1" min="62" max="62"/>
    <col width="4.6" customWidth="1" min="63" max="63"/>
    <col width="7.5" customWidth="1" min="64" max="64"/>
    <col width="7.5" customWidth="1" min="65" max="65"/>
  </cols>
  <sheetData>
    <row r="1" ht="21.6" customHeight="1">
      <c r="A1" s="43" t="inlineStr">
        <is>
          <t>アプリケーション×情報オブジェクト（行＝アプリケーション × 列＝情報オブジェクト）</t>
        </is>
      </c>
    </row>
    <row r="2" ht="15" customHeight="1">
      <c r="A2" s="44" t="inlineStr">
        <is>
          <t>C＝作成・更新　R＝利用　空欄＝関係なし。ケイパビリティ経由で導出：アプリが●（主に支える）のL2で、そのL2がC／Rの情報オブジェクトを割り当て（CとRが重なる場合はC）</t>
        </is>
      </c>
    </row>
    <row r="4" ht="29.85" customHeight="1">
      <c r="A4" s="45" t="inlineStr">
        <is>
          <t>領域</t>
        </is>
      </c>
      <c r="B4" s="45" t="inlineStr">
        <is>
          <t>ID</t>
        </is>
      </c>
      <c r="C4" s="45" t="inlineStr">
        <is>
          <t>アプリケーション種類</t>
        </is>
      </c>
      <c r="D4" s="55" t="inlineStr">
        <is>
          <t>共通・組織</t>
        </is>
      </c>
      <c r="M4" s="55" t="inlineStr">
        <is>
          <t>採用</t>
        </is>
      </c>
      <c r="S4" s="55" t="inlineStr">
        <is>
          <t>雇用・従業員</t>
        </is>
      </c>
      <c r="AB4" s="55" t="inlineStr">
        <is>
          <t>育成</t>
        </is>
      </c>
      <c r="AF4" s="55" t="inlineStr">
        <is>
          <t>評価・報酬</t>
        </is>
      </c>
      <c r="AK4" s="55" t="inlineStr">
        <is>
          <t>給与・社会保険</t>
        </is>
      </c>
      <c r="AR4" s="55" t="inlineStr">
        <is>
          <t>就業・健康</t>
        </is>
      </c>
      <c r="AZ4" s="55" t="inlineStr">
        <is>
          <t>タレント・配置</t>
        </is>
      </c>
      <c r="BE4" s="55" t="inlineStr">
        <is>
          <t>退職</t>
        </is>
      </c>
      <c r="BL4" s="46" t="inlineStr">
        <is>
          <t>Cの数</t>
        </is>
      </c>
      <c r="BM4" s="46" t="inlineStr">
        <is>
          <t>Rの数</t>
        </is>
      </c>
    </row>
    <row r="5" ht="214.5" customHeight="1">
      <c r="D5" s="56">
        <f>情報オブジェクト!C4</f>
        <v/>
      </c>
      <c r="E5" s="56">
        <f>情報オブジェクト!C5</f>
        <v/>
      </c>
      <c r="F5" s="56">
        <f>情報オブジェクト!C6</f>
        <v/>
      </c>
      <c r="G5" s="56">
        <f>情報オブジェクト!C7</f>
        <v/>
      </c>
      <c r="H5" s="56">
        <f>情報オブジェクト!C8</f>
        <v/>
      </c>
      <c r="I5" s="56">
        <f>情報オブジェクト!C9</f>
        <v/>
      </c>
      <c r="J5" s="56">
        <f>情報オブジェクト!C10</f>
        <v/>
      </c>
      <c r="K5" s="56">
        <f>情報オブジェクト!C11</f>
        <v/>
      </c>
      <c r="L5" s="56">
        <f>情報オブジェクト!C12</f>
        <v/>
      </c>
      <c r="M5" s="56">
        <f>情報オブジェクト!C13</f>
        <v/>
      </c>
      <c r="N5" s="56">
        <f>情報オブジェクト!C14</f>
        <v/>
      </c>
      <c r="O5" s="56">
        <f>情報オブジェクト!C15</f>
        <v/>
      </c>
      <c r="P5" s="56">
        <f>情報オブジェクト!C16</f>
        <v/>
      </c>
      <c r="Q5" s="56">
        <f>情報オブジェクト!C17</f>
        <v/>
      </c>
      <c r="R5" s="56">
        <f>情報オブジェクト!C18</f>
        <v/>
      </c>
      <c r="S5" s="56">
        <f>情報オブジェクト!C19</f>
        <v/>
      </c>
      <c r="T5" s="56">
        <f>情報オブジェクト!C20</f>
        <v/>
      </c>
      <c r="U5" s="56">
        <f>情報オブジェクト!C21</f>
        <v/>
      </c>
      <c r="V5" s="56">
        <f>情報オブジェクト!C22</f>
        <v/>
      </c>
      <c r="W5" s="56">
        <f>情報オブジェクト!C23</f>
        <v/>
      </c>
      <c r="X5" s="56">
        <f>情報オブジェクト!C24</f>
        <v/>
      </c>
      <c r="Y5" s="56">
        <f>情報オブジェクト!C25</f>
        <v/>
      </c>
      <c r="Z5" s="56">
        <f>情報オブジェクト!C26</f>
        <v/>
      </c>
      <c r="AA5" s="56">
        <f>情報オブジェクト!C27</f>
        <v/>
      </c>
      <c r="AB5" s="56">
        <f>情報オブジェクト!C28</f>
        <v/>
      </c>
      <c r="AC5" s="56">
        <f>情報オブジェクト!C29</f>
        <v/>
      </c>
      <c r="AD5" s="56">
        <f>情報オブジェクト!C30</f>
        <v/>
      </c>
      <c r="AE5" s="56">
        <f>情報オブジェクト!C31</f>
        <v/>
      </c>
      <c r="AF5" s="56">
        <f>情報オブジェクト!C32</f>
        <v/>
      </c>
      <c r="AG5" s="56">
        <f>情報オブジェクト!C33</f>
        <v/>
      </c>
      <c r="AH5" s="56">
        <f>情報オブジェクト!C34</f>
        <v/>
      </c>
      <c r="AI5" s="56">
        <f>情報オブジェクト!C35</f>
        <v/>
      </c>
      <c r="AJ5" s="56">
        <f>情報オブジェクト!C36</f>
        <v/>
      </c>
      <c r="AK5" s="56">
        <f>情報オブジェクト!C37</f>
        <v/>
      </c>
      <c r="AL5" s="56">
        <f>情報オブジェクト!C38</f>
        <v/>
      </c>
      <c r="AM5" s="56">
        <f>情報オブジェクト!C39</f>
        <v/>
      </c>
      <c r="AN5" s="56">
        <f>情報オブジェクト!C40</f>
        <v/>
      </c>
      <c r="AO5" s="56">
        <f>情報オブジェクト!C41</f>
        <v/>
      </c>
      <c r="AP5" s="56">
        <f>情報オブジェクト!C42</f>
        <v/>
      </c>
      <c r="AQ5" s="56">
        <f>情報オブジェクト!C43</f>
        <v/>
      </c>
      <c r="AR5" s="56">
        <f>情報オブジェクト!C44</f>
        <v/>
      </c>
      <c r="AS5" s="56">
        <f>情報オブジェクト!C45</f>
        <v/>
      </c>
      <c r="AT5" s="56">
        <f>情報オブジェクト!C46</f>
        <v/>
      </c>
      <c r="AU5" s="56">
        <f>情報オブジェクト!C47</f>
        <v/>
      </c>
      <c r="AV5" s="56">
        <f>情報オブジェクト!C48</f>
        <v/>
      </c>
      <c r="AW5" s="56">
        <f>情報オブジェクト!C49</f>
        <v/>
      </c>
      <c r="AX5" s="56">
        <f>情報オブジェクト!C50</f>
        <v/>
      </c>
      <c r="AY5" s="56">
        <f>情報オブジェクト!C51</f>
        <v/>
      </c>
      <c r="AZ5" s="56">
        <f>情報オブジェクト!C52</f>
        <v/>
      </c>
      <c r="BA5" s="56">
        <f>情報オブジェクト!C53</f>
        <v/>
      </c>
      <c r="BB5" s="56">
        <f>情報オブジェクト!C54</f>
        <v/>
      </c>
      <c r="BC5" s="56">
        <f>情報オブジェクト!C55</f>
        <v/>
      </c>
      <c r="BD5" s="56">
        <f>情報オブジェクト!C56</f>
        <v/>
      </c>
      <c r="BE5" s="56">
        <f>情報オブジェクト!C57</f>
        <v/>
      </c>
      <c r="BF5" s="56">
        <f>情報オブジェクト!C58</f>
        <v/>
      </c>
      <c r="BG5" s="56">
        <f>情報オブジェクト!C59</f>
        <v/>
      </c>
      <c r="BH5" s="56">
        <f>情報オブジェクト!C60</f>
        <v/>
      </c>
      <c r="BI5" s="56">
        <f>情報オブジェクト!C61</f>
        <v/>
      </c>
      <c r="BJ5" s="56">
        <f>情報オブジェクト!C62</f>
        <v/>
      </c>
      <c r="BK5" s="56">
        <f>情報オブジェクト!C63</f>
        <v/>
      </c>
    </row>
    <row r="6">
      <c r="A6" s="57" t="inlineStr">
        <is>
          <t>雇用・労務</t>
        </is>
      </c>
      <c r="B6" s="47" t="inlineStr">
        <is>
          <t>APP-01</t>
        </is>
      </c>
      <c r="C6" s="58">
        <f>IFERROR(INDEX(アプリケーション!$C:$C,MATCH(B6,アプリケーション!$A:$A,0)),"（IDなし）")</f>
        <v/>
      </c>
      <c r="D6" s="59" t="inlineStr">
        <is>
          <t>C</t>
        </is>
      </c>
      <c r="E6" s="59" t="inlineStr">
        <is>
          <t>C</t>
        </is>
      </c>
      <c r="F6" s="59" t="inlineStr">
        <is>
          <t>C</t>
        </is>
      </c>
      <c r="G6" s="59" t="n"/>
      <c r="H6" s="59" t="inlineStr">
        <is>
          <t>R</t>
        </is>
      </c>
      <c r="I6" s="59" t="n"/>
      <c r="J6" s="59" t="inlineStr">
        <is>
          <t>R</t>
        </is>
      </c>
      <c r="K6" s="59" t="n"/>
      <c r="L6" s="59" t="n"/>
      <c r="M6" s="59" t="n"/>
      <c r="N6" s="59" t="n"/>
      <c r="O6" s="59" t="n"/>
      <c r="P6" s="59" t="n"/>
      <c r="Q6" s="59" t="n"/>
      <c r="R6" s="59" t="n"/>
      <c r="S6" s="59" t="inlineStr">
        <is>
          <t>C</t>
        </is>
      </c>
      <c r="T6" s="59" t="inlineStr">
        <is>
          <t>C</t>
        </is>
      </c>
      <c r="U6" s="59" t="inlineStr">
        <is>
          <t>R</t>
        </is>
      </c>
      <c r="V6" s="59" t="inlineStr">
        <is>
          <t>R</t>
        </is>
      </c>
      <c r="W6" s="59" t="inlineStr">
        <is>
          <t>C</t>
        </is>
      </c>
      <c r="X6" s="59" t="n"/>
      <c r="Y6" s="59" t="inlineStr">
        <is>
          <t>C</t>
        </is>
      </c>
      <c r="Z6" s="59" t="n"/>
      <c r="AA6" s="59" t="inlineStr">
        <is>
          <t>C</t>
        </is>
      </c>
      <c r="AB6" s="59" t="n"/>
      <c r="AC6" s="59" t="n"/>
      <c r="AD6" s="59" t="n"/>
      <c r="AE6" s="59" t="n"/>
      <c r="AF6" s="59" t="n"/>
      <c r="AG6" s="59" t="n"/>
      <c r="AH6" s="59" t="inlineStr">
        <is>
          <t>C</t>
        </is>
      </c>
      <c r="AI6" s="59" t="inlineStr">
        <is>
          <t>R</t>
        </is>
      </c>
      <c r="AJ6" s="59" t="n"/>
      <c r="AK6" s="59" t="n"/>
      <c r="AL6" s="59" t="inlineStr">
        <is>
          <t>R</t>
        </is>
      </c>
      <c r="AM6" s="59" t="n"/>
      <c r="AN6" s="59" t="n"/>
      <c r="AO6" s="59" t="n"/>
      <c r="AP6" s="59" t="n"/>
      <c r="AQ6" s="59" t="n"/>
      <c r="AR6" s="59" t="inlineStr">
        <is>
          <t>R</t>
        </is>
      </c>
      <c r="AS6" s="59" t="inlineStr">
        <is>
          <t>R</t>
        </is>
      </c>
      <c r="AT6" s="59" t="n"/>
      <c r="AU6" s="59" t="n"/>
      <c r="AV6" s="59" t="n"/>
      <c r="AW6" s="59" t="n"/>
      <c r="AX6" s="59" t="n"/>
      <c r="AY6" s="59" t="n"/>
      <c r="AZ6" s="59" t="n"/>
      <c r="BA6" s="59" t="inlineStr">
        <is>
          <t>C</t>
        </is>
      </c>
      <c r="BB6" s="59" t="n"/>
      <c r="BC6" s="59" t="n"/>
      <c r="BD6" s="59" t="n"/>
      <c r="BE6" s="59" t="inlineStr">
        <is>
          <t>R</t>
        </is>
      </c>
      <c r="BF6" s="59" t="n"/>
      <c r="BG6" s="59" t="n"/>
      <c r="BH6" s="59" t="n"/>
      <c r="BI6" s="59" t="n"/>
      <c r="BJ6" s="59" t="inlineStr">
        <is>
          <t>C</t>
        </is>
      </c>
      <c r="BK6" s="59" t="n"/>
      <c r="BL6" s="54">
        <f>COUNTIF(D6:BK6,"C")</f>
        <v/>
      </c>
      <c r="BM6" s="54">
        <f>COUNTIF(D6:BK6,"R")</f>
        <v/>
      </c>
    </row>
    <row r="7">
      <c r="A7" s="57" t="inlineStr">
        <is>
          <t>採用</t>
        </is>
      </c>
      <c r="B7" s="47" t="inlineStr">
        <is>
          <t>APP-02</t>
        </is>
      </c>
      <c r="C7" s="58">
        <f>IFERROR(INDEX(アプリケーション!$C:$C,MATCH(B7,アプリケーション!$A:$A,0)),"（IDなし）")</f>
        <v/>
      </c>
      <c r="D7" s="59" t="n"/>
      <c r="E7" s="59" t="inlineStr">
        <is>
          <t>R</t>
        </is>
      </c>
      <c r="F7" s="59" t="inlineStr">
        <is>
          <t>R</t>
        </is>
      </c>
      <c r="G7" s="59" t="inlineStr">
        <is>
          <t>R</t>
        </is>
      </c>
      <c r="H7" s="59" t="n"/>
      <c r="I7" s="59" t="inlineStr">
        <is>
          <t>R</t>
        </is>
      </c>
      <c r="J7" s="59" t="inlineStr">
        <is>
          <t>R</t>
        </is>
      </c>
      <c r="K7" s="59" t="n"/>
      <c r="L7" s="59" t="n"/>
      <c r="M7" s="59" t="inlineStr">
        <is>
          <t>C</t>
        </is>
      </c>
      <c r="N7" s="59" t="inlineStr">
        <is>
          <t>C</t>
        </is>
      </c>
      <c r="O7" s="59" t="inlineStr">
        <is>
          <t>C</t>
        </is>
      </c>
      <c r="P7" s="59" t="inlineStr">
        <is>
          <t>C</t>
        </is>
      </c>
      <c r="Q7" s="59" t="inlineStr">
        <is>
          <t>C</t>
        </is>
      </c>
      <c r="R7" s="59" t="inlineStr">
        <is>
          <t>C</t>
        </is>
      </c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59" t="n"/>
      <c r="AH7" s="59" t="inlineStr">
        <is>
          <t>R</t>
        </is>
      </c>
      <c r="AI7" s="59" t="n"/>
      <c r="AJ7" s="59" t="n"/>
      <c r="AK7" s="59" t="n"/>
      <c r="AL7" s="59" t="n"/>
      <c r="AM7" s="59" t="n"/>
      <c r="AN7" s="59" t="n"/>
      <c r="AO7" s="59" t="n"/>
      <c r="AP7" s="59" t="n"/>
      <c r="AQ7" s="59" t="n"/>
      <c r="AR7" s="59" t="n"/>
      <c r="AS7" s="59" t="n"/>
      <c r="AT7" s="59" t="n"/>
      <c r="AU7" s="59" t="n"/>
      <c r="AV7" s="59" t="n"/>
      <c r="AW7" s="59" t="n"/>
      <c r="AX7" s="59" t="n"/>
      <c r="AY7" s="59" t="n"/>
      <c r="AZ7" s="59" t="n"/>
      <c r="BA7" s="59" t="n"/>
      <c r="BB7" s="59" t="n"/>
      <c r="BC7" s="59" t="n"/>
      <c r="BD7" s="59" t="n"/>
      <c r="BE7" s="59" t="n"/>
      <c r="BF7" s="59" t="n"/>
      <c r="BG7" s="59" t="n"/>
      <c r="BH7" s="59" t="n"/>
      <c r="BI7" s="59" t="n"/>
      <c r="BJ7" s="59" t="n"/>
      <c r="BK7" s="59" t="n"/>
      <c r="BL7" s="54">
        <f>COUNTIF(D7:BK7,"C")</f>
        <v/>
      </c>
      <c r="BM7" s="54">
        <f>COUNTIF(D7:BK7,"R")</f>
        <v/>
      </c>
    </row>
    <row r="8">
      <c r="A8" s="57" t="n"/>
      <c r="B8" s="47" t="inlineStr">
        <is>
          <t>APP-03</t>
        </is>
      </c>
      <c r="C8" s="58">
        <f>IFERROR(INDEX(アプリケーション!$C:$C,MATCH(B8,アプリケーション!$A:$A,0)),"（IDなし）")</f>
        <v/>
      </c>
      <c r="D8" s="59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  <c r="AC8" s="59" t="n"/>
      <c r="AD8" s="59" t="n"/>
      <c r="AE8" s="59" t="n"/>
      <c r="AF8" s="59" t="n"/>
      <c r="AG8" s="59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4">
        <f>COUNTIF(D8:BK8,"C")</f>
        <v/>
      </c>
      <c r="BM8" s="54">
        <f>COUNTIF(D8:BK8,"R")</f>
        <v/>
      </c>
    </row>
    <row r="9">
      <c r="A9" s="57" t="inlineStr">
        <is>
          <t>雇用・労務</t>
        </is>
      </c>
      <c r="B9" s="47" t="inlineStr">
        <is>
          <t>APP-04</t>
        </is>
      </c>
      <c r="C9" s="58">
        <f>IFERROR(INDEX(アプリケーション!$C:$C,MATCH(B9,アプリケーション!$A:$A,0)),"（IDなし）")</f>
        <v/>
      </c>
      <c r="D9" s="59" t="n"/>
      <c r="E9" s="59" t="n"/>
      <c r="F9" s="59" t="n"/>
      <c r="G9" s="59" t="inlineStr">
        <is>
          <t>R</t>
        </is>
      </c>
      <c r="H9" s="59" t="n"/>
      <c r="I9" s="59" t="n"/>
      <c r="J9" s="59" t="n"/>
      <c r="K9" s="59" t="n"/>
      <c r="L9" s="59" t="n"/>
      <c r="M9" s="59" t="n"/>
      <c r="N9" s="59" t="n"/>
      <c r="O9" s="59" t="n"/>
      <c r="P9" s="59" t="n"/>
      <c r="Q9" s="59" t="inlineStr">
        <is>
          <t>R</t>
        </is>
      </c>
      <c r="R9" s="59" t="n"/>
      <c r="S9" s="59" t="inlineStr">
        <is>
          <t>R</t>
        </is>
      </c>
      <c r="T9" s="59" t="inlineStr">
        <is>
          <t>C</t>
        </is>
      </c>
      <c r="U9" s="59" t="inlineStr">
        <is>
          <t>C</t>
        </is>
      </c>
      <c r="V9" s="59" t="inlineStr">
        <is>
          <t>C</t>
        </is>
      </c>
      <c r="W9" s="59" t="n"/>
      <c r="X9" s="59" t="inlineStr">
        <is>
          <t>C</t>
        </is>
      </c>
      <c r="Y9" s="59" t="inlineStr">
        <is>
          <t>R</t>
        </is>
      </c>
      <c r="Z9" s="59" t="n"/>
      <c r="AA9" s="59" t="n"/>
      <c r="AB9" s="59" t="n"/>
      <c r="AC9" s="59" t="n"/>
      <c r="AD9" s="59" t="n"/>
      <c r="AE9" s="59" t="n"/>
      <c r="AF9" s="59" t="n"/>
      <c r="AG9" s="59" t="n"/>
      <c r="AH9" s="59" t="inlineStr">
        <is>
          <t>R</t>
        </is>
      </c>
      <c r="AI9" s="59" t="n"/>
      <c r="AJ9" s="59" t="inlineStr">
        <is>
          <t>R</t>
        </is>
      </c>
      <c r="AK9" s="59" t="inlineStr">
        <is>
          <t>C</t>
        </is>
      </c>
      <c r="AL9" s="59" t="inlineStr">
        <is>
          <t>R</t>
        </is>
      </c>
      <c r="AM9" s="59" t="inlineStr">
        <is>
          <t>C</t>
        </is>
      </c>
      <c r="AN9" s="59" t="n"/>
      <c r="AO9" s="59" t="inlineStr">
        <is>
          <t>C</t>
        </is>
      </c>
      <c r="AP9" s="59" t="inlineStr">
        <is>
          <t>C</t>
        </is>
      </c>
      <c r="AQ9" s="59" t="inlineStr">
        <is>
          <t>C</t>
        </is>
      </c>
      <c r="AR9" s="59" t="inlineStr">
        <is>
          <t>R</t>
        </is>
      </c>
      <c r="AS9" s="59" t="inlineStr">
        <is>
          <t>R</t>
        </is>
      </c>
      <c r="AT9" s="59" t="n"/>
      <c r="AU9" s="59" t="n"/>
      <c r="AV9" s="59" t="n"/>
      <c r="AW9" s="59" t="n"/>
      <c r="AX9" s="59" t="n"/>
      <c r="AY9" s="59" t="n"/>
      <c r="AZ9" s="59" t="n"/>
      <c r="BA9" s="59" t="inlineStr">
        <is>
          <t>R</t>
        </is>
      </c>
      <c r="BB9" s="59" t="n"/>
      <c r="BC9" s="59" t="n"/>
      <c r="BD9" s="59" t="n"/>
      <c r="BE9" s="59" t="inlineStr">
        <is>
          <t>C</t>
        </is>
      </c>
      <c r="BF9" s="59" t="inlineStr">
        <is>
          <t>C</t>
        </is>
      </c>
      <c r="BG9" s="59" t="inlineStr">
        <is>
          <t>C</t>
        </is>
      </c>
      <c r="BH9" s="59" t="n"/>
      <c r="BI9" s="59" t="n"/>
      <c r="BJ9" s="59" t="inlineStr">
        <is>
          <t>R</t>
        </is>
      </c>
      <c r="BK9" s="59" t="n"/>
      <c r="BL9" s="54">
        <f>COUNTIF(D9:BK9,"C")</f>
        <v/>
      </c>
      <c r="BM9" s="54">
        <f>COUNTIF(D9:BK9,"R")</f>
        <v/>
      </c>
    </row>
    <row r="10">
      <c r="A10" s="57" t="n"/>
      <c r="B10" s="47" t="inlineStr">
        <is>
          <t>APP-05</t>
        </is>
      </c>
      <c r="C10" s="58">
        <f>IFERROR(INDEX(アプリケーション!$C:$C,MATCH(B10,アプリケーション!$A:$A,0)),"（IDなし）")</f>
        <v/>
      </c>
      <c r="D10" s="59" t="n"/>
      <c r="E10" s="59" t="n"/>
      <c r="F10" s="59" t="n"/>
      <c r="G10" s="59" t="inlineStr">
        <is>
          <t>R</t>
        </is>
      </c>
      <c r="H10" s="59" t="n"/>
      <c r="I10" s="59" t="n"/>
      <c r="J10" s="59" t="n"/>
      <c r="K10" s="59" t="n"/>
      <c r="L10" s="59" t="n"/>
      <c r="M10" s="59" t="n"/>
      <c r="N10" s="59" t="n"/>
      <c r="O10" s="59" t="n"/>
      <c r="P10" s="59" t="n"/>
      <c r="Q10" s="59" t="inlineStr">
        <is>
          <t>R</t>
        </is>
      </c>
      <c r="R10" s="59" t="n"/>
      <c r="S10" s="59" t="inlineStr">
        <is>
          <t>R</t>
        </is>
      </c>
      <c r="T10" s="59" t="inlineStr">
        <is>
          <t>C</t>
        </is>
      </c>
      <c r="U10" s="59" t="inlineStr">
        <is>
          <t>C</t>
        </is>
      </c>
      <c r="V10" s="59" t="inlineStr">
        <is>
          <t>C</t>
        </is>
      </c>
      <c r="W10" s="59" t="n"/>
      <c r="X10" s="59" t="inlineStr">
        <is>
          <t>C</t>
        </is>
      </c>
      <c r="Y10" s="59" t="inlineStr">
        <is>
          <t>R</t>
        </is>
      </c>
      <c r="Z10" s="59" t="n"/>
      <c r="AA10" s="59" t="n"/>
      <c r="AB10" s="59" t="n"/>
      <c r="AC10" s="59" t="n"/>
      <c r="AD10" s="59" t="n"/>
      <c r="AE10" s="59" t="n"/>
      <c r="AF10" s="59" t="n"/>
      <c r="AG10" s="59" t="n"/>
      <c r="AH10" s="59" t="inlineStr">
        <is>
          <t>R</t>
        </is>
      </c>
      <c r="AI10" s="59" t="n"/>
      <c r="AJ10" s="59" t="n"/>
      <c r="AK10" s="59" t="n"/>
      <c r="AL10" s="59" t="n"/>
      <c r="AM10" s="59" t="inlineStr">
        <is>
          <t>C</t>
        </is>
      </c>
      <c r="AN10" s="59" t="n"/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inlineStr">
        <is>
          <t>R</t>
        </is>
      </c>
      <c r="BB10" s="59" t="n"/>
      <c r="BC10" s="59" t="n"/>
      <c r="BD10" s="59" t="n"/>
      <c r="BE10" s="59" t="inlineStr">
        <is>
          <t>C</t>
        </is>
      </c>
      <c r="BF10" s="59" t="n"/>
      <c r="BG10" s="59" t="n"/>
      <c r="BH10" s="59" t="n"/>
      <c r="BI10" s="59" t="n"/>
      <c r="BJ10" s="59" t="inlineStr">
        <is>
          <t>R</t>
        </is>
      </c>
      <c r="BK10" s="59" t="n"/>
      <c r="BL10" s="54">
        <f>COUNTIF(D10:BK10,"C")</f>
        <v/>
      </c>
      <c r="BM10" s="54">
        <f>COUNTIF(D10:BK10,"R")</f>
        <v/>
      </c>
    </row>
    <row r="11">
      <c r="A11" s="57" t="n"/>
      <c r="B11" s="47" t="inlineStr">
        <is>
          <t>APP-06</t>
        </is>
      </c>
      <c r="C11" s="58">
        <f>IFERROR(INDEX(アプリケーション!$C:$C,MATCH(B11,アプリケーション!$A:$A,0)),"（IDなし）")</f>
        <v/>
      </c>
      <c r="D11" s="59" t="n"/>
      <c r="E11" s="59" t="n"/>
      <c r="F11" s="59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  <c r="AC11" s="59" t="n"/>
      <c r="AD11" s="59" t="n"/>
      <c r="AE11" s="59" t="n"/>
      <c r="AF11" s="59" t="n"/>
      <c r="AG11" s="59" t="n"/>
      <c r="AH11" s="59" t="n"/>
      <c r="AI11" s="59" t="n"/>
      <c r="AJ11" s="59" t="n"/>
      <c r="AK11" s="59" t="n"/>
      <c r="AL11" s="59" t="n"/>
      <c r="AM11" s="59" t="n"/>
      <c r="AN11" s="59" t="n"/>
      <c r="AO11" s="59" t="n"/>
      <c r="AP11" s="59" t="n"/>
      <c r="AQ11" s="59" t="n"/>
      <c r="AR11" s="59" t="n"/>
      <c r="AS11" s="59" t="n"/>
      <c r="AT11" s="59" t="n"/>
      <c r="AU11" s="59" t="n"/>
      <c r="AV11" s="59" t="n"/>
      <c r="AW11" s="59" t="n"/>
      <c r="AX11" s="59" t="n"/>
      <c r="AY11" s="59" t="n"/>
      <c r="AZ11" s="59" t="n"/>
      <c r="BA11" s="59" t="n"/>
      <c r="BB11" s="59" t="n"/>
      <c r="BC11" s="59" t="n"/>
      <c r="BD11" s="59" t="n"/>
      <c r="BE11" s="59" t="n"/>
      <c r="BF11" s="59" t="n"/>
      <c r="BG11" s="59" t="n"/>
      <c r="BH11" s="59" t="n"/>
      <c r="BI11" s="59" t="n"/>
      <c r="BJ11" s="59" t="n"/>
      <c r="BK11" s="59" t="n"/>
      <c r="BL11" s="54">
        <f>COUNTIF(D11:BK11,"C")</f>
        <v/>
      </c>
      <c r="BM11" s="54">
        <f>COUNTIF(D11:BK11,"R")</f>
        <v/>
      </c>
    </row>
    <row r="12">
      <c r="A12" s="57" t="inlineStr">
        <is>
          <t>育成・評価</t>
        </is>
      </c>
      <c r="B12" s="47" t="inlineStr">
        <is>
          <t>APP-07</t>
        </is>
      </c>
      <c r="C12" s="58">
        <f>IFERROR(INDEX(アプリケーション!$C:$C,MATCH(B12,アプリケーション!$A:$A,0)),"（IDなし）")</f>
        <v/>
      </c>
      <c r="D12" s="59" t="n"/>
      <c r="E12" s="59" t="inlineStr">
        <is>
          <t>R</t>
        </is>
      </c>
      <c r="F12" s="59" t="inlineStr">
        <is>
          <t>R</t>
        </is>
      </c>
      <c r="G12" s="59" t="inlineStr">
        <is>
          <t>R</t>
        </is>
      </c>
      <c r="H12" s="59" t="inlineStr">
        <is>
          <t>R</t>
        </is>
      </c>
      <c r="I12" s="59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inlineStr">
        <is>
          <t>R</t>
        </is>
      </c>
      <c r="Z12" s="59" t="inlineStr">
        <is>
          <t>R</t>
        </is>
      </c>
      <c r="AA12" s="59" t="n"/>
      <c r="AB12" s="59" t="inlineStr">
        <is>
          <t>C</t>
        </is>
      </c>
      <c r="AC12" s="59" t="inlineStr">
        <is>
          <t>C</t>
        </is>
      </c>
      <c r="AD12" s="59" t="inlineStr">
        <is>
          <t>R</t>
        </is>
      </c>
      <c r="AE12" s="59" t="n"/>
      <c r="AF12" s="59" t="n"/>
      <c r="AG12" s="59" t="inlineStr">
        <is>
          <t>R</t>
        </is>
      </c>
      <c r="AH12" s="59" t="n"/>
      <c r="AI12" s="59" t="n"/>
      <c r="AJ12" s="59" t="n"/>
      <c r="AK12" s="59" t="n"/>
      <c r="AL12" s="59" t="n"/>
      <c r="AM12" s="59" t="n"/>
      <c r="AN12" s="59" t="n"/>
      <c r="AO12" s="59" t="n"/>
      <c r="AP12" s="59" t="n"/>
      <c r="AQ12" s="59" t="n"/>
      <c r="AR12" s="59" t="n"/>
      <c r="AS12" s="59" t="n"/>
      <c r="AT12" s="59" t="n"/>
      <c r="AU12" s="59" t="n"/>
      <c r="AV12" s="59" t="n"/>
      <c r="AW12" s="59" t="n"/>
      <c r="AX12" s="59" t="n"/>
      <c r="AY12" s="59" t="n"/>
      <c r="AZ12" s="59" t="n"/>
      <c r="BA12" s="59" t="n"/>
      <c r="BB12" s="59" t="n"/>
      <c r="BC12" s="59" t="inlineStr">
        <is>
          <t>R</t>
        </is>
      </c>
      <c r="BD12" s="59" t="n"/>
      <c r="BE12" s="59" t="n"/>
      <c r="BF12" s="59" t="n"/>
      <c r="BG12" s="59" t="n"/>
      <c r="BH12" s="59" t="n"/>
      <c r="BI12" s="59" t="n"/>
      <c r="BJ12" s="59" t="n"/>
      <c r="BK12" s="59" t="n"/>
      <c r="BL12" s="54">
        <f>COUNTIF(D12:BK12,"C")</f>
        <v/>
      </c>
      <c r="BM12" s="54">
        <f>COUNTIF(D12:BK12,"R")</f>
        <v/>
      </c>
    </row>
    <row r="13">
      <c r="A13" s="57" t="n"/>
      <c r="B13" s="47" t="inlineStr">
        <is>
          <t>APP-08</t>
        </is>
      </c>
      <c r="C13" s="58">
        <f>IFERROR(INDEX(アプリケーション!$C:$C,MATCH(B13,アプリケーション!$A:$A,0)),"（IDなし）")</f>
        <v/>
      </c>
      <c r="D13" s="59" t="inlineStr">
        <is>
          <t>R</t>
        </is>
      </c>
      <c r="E13" s="59" t="inlineStr">
        <is>
          <t>R</t>
        </is>
      </c>
      <c r="F13" s="59" t="inlineStr">
        <is>
          <t>R</t>
        </is>
      </c>
      <c r="G13" s="59" t="n"/>
      <c r="H13" s="59" t="inlineStr">
        <is>
          <t>R</t>
        </is>
      </c>
      <c r="I13" s="59" t="n"/>
      <c r="J13" s="59" t="inlineStr">
        <is>
          <t>R</t>
        </is>
      </c>
      <c r="K13" s="59" t="n"/>
      <c r="L13" s="59" t="n"/>
      <c r="M13" s="59" t="n"/>
      <c r="N13" s="59" t="n"/>
      <c r="O13" s="59" t="n"/>
      <c r="P13" s="59" t="inlineStr">
        <is>
          <t>R</t>
        </is>
      </c>
      <c r="Q13" s="59" t="n"/>
      <c r="R13" s="59" t="n"/>
      <c r="S13" s="59" t="inlineStr">
        <is>
          <t>R</t>
        </is>
      </c>
      <c r="T13" s="59" t="inlineStr">
        <is>
          <t>C</t>
        </is>
      </c>
      <c r="U13" s="59" t="n"/>
      <c r="V13" s="59" t="n"/>
      <c r="W13" s="59" t="n"/>
      <c r="X13" s="59" t="n"/>
      <c r="Y13" s="59" t="inlineStr">
        <is>
          <t>C</t>
        </is>
      </c>
      <c r="Z13" s="59" t="inlineStr">
        <is>
          <t>R</t>
        </is>
      </c>
      <c r="AA13" s="59" t="inlineStr">
        <is>
          <t>R</t>
        </is>
      </c>
      <c r="AB13" s="59" t="inlineStr">
        <is>
          <t>R</t>
        </is>
      </c>
      <c r="AC13" s="59" t="inlineStr">
        <is>
          <t>C</t>
        </is>
      </c>
      <c r="AD13" s="59" t="inlineStr">
        <is>
          <t>C</t>
        </is>
      </c>
      <c r="AE13" s="59" t="inlineStr">
        <is>
          <t>C</t>
        </is>
      </c>
      <c r="AF13" s="59" t="inlineStr">
        <is>
          <t>R</t>
        </is>
      </c>
      <c r="AG13" s="59" t="inlineStr">
        <is>
          <t>R</t>
        </is>
      </c>
      <c r="AH13" s="59" t="n"/>
      <c r="AI13" s="59" t="n"/>
      <c r="AJ13" s="59" t="n"/>
      <c r="AK13" s="59" t="n"/>
      <c r="AL13" s="59" t="n"/>
      <c r="AM13" s="59" t="n"/>
      <c r="AN13" s="59" t="n"/>
      <c r="AO13" s="59" t="n"/>
      <c r="AP13" s="59" t="n"/>
      <c r="AQ13" s="59" t="n"/>
      <c r="AR13" s="59" t="n"/>
      <c r="AS13" s="59" t="n"/>
      <c r="AT13" s="59" t="n"/>
      <c r="AU13" s="59" t="n"/>
      <c r="AV13" s="59" t="n"/>
      <c r="AW13" s="59" t="n"/>
      <c r="AX13" s="59" t="n"/>
      <c r="AY13" s="59" t="n"/>
      <c r="AZ13" s="59" t="inlineStr">
        <is>
          <t>C</t>
        </is>
      </c>
      <c r="BA13" s="59" t="inlineStr">
        <is>
          <t>C</t>
        </is>
      </c>
      <c r="BB13" s="59" t="inlineStr">
        <is>
          <t>C</t>
        </is>
      </c>
      <c r="BC13" s="59" t="inlineStr">
        <is>
          <t>C</t>
        </is>
      </c>
      <c r="BD13" s="59" t="n"/>
      <c r="BE13" s="59" t="n"/>
      <c r="BF13" s="59" t="n"/>
      <c r="BG13" s="59" t="n"/>
      <c r="BH13" s="59" t="n"/>
      <c r="BI13" s="59" t="n"/>
      <c r="BJ13" s="59" t="n"/>
      <c r="BK13" s="59" t="n"/>
      <c r="BL13" s="54">
        <f>COUNTIF(D13:BK13,"C")</f>
        <v/>
      </c>
      <c r="BM13" s="54">
        <f>COUNTIF(D13:BK13,"R")</f>
        <v/>
      </c>
    </row>
    <row r="14">
      <c r="A14" s="57" t="n"/>
      <c r="B14" s="47" t="inlineStr">
        <is>
          <t>APP-09</t>
        </is>
      </c>
      <c r="C14" s="58">
        <f>IFERROR(INDEX(アプリケーション!$C:$C,MATCH(B14,アプリケーション!$A:$A,0)),"（IDなし）")</f>
        <v/>
      </c>
      <c r="D14" s="59" t="n"/>
      <c r="E14" s="59" t="inlineStr">
        <is>
          <t>R</t>
        </is>
      </c>
      <c r="F14" s="59" t="inlineStr">
        <is>
          <t>R</t>
        </is>
      </c>
      <c r="G14" s="59" t="n"/>
      <c r="H14" s="59" t="inlineStr">
        <is>
          <t>R</t>
        </is>
      </c>
      <c r="I14" s="59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inlineStr">
        <is>
          <t>R</t>
        </is>
      </c>
      <c r="Z14" s="59" t="inlineStr">
        <is>
          <t>R</t>
        </is>
      </c>
      <c r="AA14" s="59" t="n"/>
      <c r="AB14" s="59" t="inlineStr">
        <is>
          <t>R</t>
        </is>
      </c>
      <c r="AC14" s="59" t="inlineStr">
        <is>
          <t>C</t>
        </is>
      </c>
      <c r="AD14" s="59" t="inlineStr">
        <is>
          <t>R</t>
        </is>
      </c>
      <c r="AE14" s="59" t="inlineStr">
        <is>
          <t>R</t>
        </is>
      </c>
      <c r="AF14" s="59" t="inlineStr">
        <is>
          <t>C</t>
        </is>
      </c>
      <c r="AG14" s="59" t="inlineStr">
        <is>
          <t>C</t>
        </is>
      </c>
      <c r="AH14" s="59" t="n"/>
      <c r="AI14" s="59" t="n"/>
      <c r="AJ14" s="59" t="n"/>
      <c r="AK14" s="59" t="n"/>
      <c r="AL14" s="59" t="n"/>
      <c r="AM14" s="59" t="n"/>
      <c r="AN14" s="59" t="n"/>
      <c r="AO14" s="59" t="n"/>
      <c r="AP14" s="59" t="n"/>
      <c r="AQ14" s="59" t="n"/>
      <c r="AR14" s="59" t="n"/>
      <c r="AS14" s="59" t="n"/>
      <c r="AT14" s="59" t="n"/>
      <c r="AU14" s="59" t="n"/>
      <c r="AV14" s="59" t="n"/>
      <c r="AW14" s="59" t="n"/>
      <c r="AX14" s="59" t="n"/>
      <c r="AY14" s="59" t="n"/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n"/>
      <c r="BI14" s="59" t="n"/>
      <c r="BJ14" s="59" t="n"/>
      <c r="BK14" s="59" t="n"/>
      <c r="BL14" s="54">
        <f>COUNTIF(D14:BK14,"C")</f>
        <v/>
      </c>
      <c r="BM14" s="54">
        <f>COUNTIF(D14:BK14,"R")</f>
        <v/>
      </c>
    </row>
    <row r="15">
      <c r="A15" s="57" t="inlineStr">
        <is>
          <t>就業・健康</t>
        </is>
      </c>
      <c r="B15" s="47" t="inlineStr">
        <is>
          <t>APP-10</t>
        </is>
      </c>
      <c r="C15" s="58">
        <f>IFERROR(INDEX(アプリケーション!$C:$C,MATCH(B15,アプリケーション!$A:$A,0)),"（IDなし）")</f>
        <v/>
      </c>
      <c r="D15" s="59" t="n"/>
      <c r="E15" s="59" t="n"/>
      <c r="F15" s="59" t="n"/>
      <c r="G15" s="59" t="inlineStr">
        <is>
          <t>R</t>
        </is>
      </c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inlineStr">
        <is>
          <t>R</t>
        </is>
      </c>
      <c r="T15" s="59" t="inlineStr">
        <is>
          <t>R</t>
        </is>
      </c>
      <c r="U15" s="59" t="inlineStr">
        <is>
          <t>R</t>
        </is>
      </c>
      <c r="V15" s="59" t="n"/>
      <c r="W15" s="59" t="n"/>
      <c r="X15" s="59" t="n"/>
      <c r="Y15" s="59" t="n"/>
      <c r="Z15" s="59" t="n"/>
      <c r="AA15" s="59" t="n"/>
      <c r="AB15" s="59" t="n"/>
      <c r="AC15" s="59" t="n"/>
      <c r="AD15" s="59" t="n"/>
      <c r="AE15" s="59" t="n"/>
      <c r="AF15" s="59" t="n"/>
      <c r="AG15" s="59" t="n"/>
      <c r="AH15" s="59" t="n"/>
      <c r="AI15" s="59" t="n"/>
      <c r="AJ15" s="59" t="n"/>
      <c r="AK15" s="59" t="n"/>
      <c r="AL15" s="59" t="n"/>
      <c r="AM15" s="59" t="n"/>
      <c r="AN15" s="59" t="n"/>
      <c r="AO15" s="59" t="n"/>
      <c r="AP15" s="59" t="n"/>
      <c r="AQ15" s="59" t="n"/>
      <c r="AR15" s="59" t="inlineStr">
        <is>
          <t>C</t>
        </is>
      </c>
      <c r="AS15" s="59" t="inlineStr">
        <is>
          <t>C</t>
        </is>
      </c>
      <c r="AT15" s="59" t="inlineStr">
        <is>
          <t>R</t>
        </is>
      </c>
      <c r="AU15" s="59" t="inlineStr">
        <is>
          <t>R</t>
        </is>
      </c>
      <c r="AV15" s="59" t="n"/>
      <c r="AW15" s="59" t="n"/>
      <c r="AX15" s="59" t="n"/>
      <c r="AY15" s="59" t="n"/>
      <c r="AZ15" s="59" t="n"/>
      <c r="BA15" s="59" t="n"/>
      <c r="BB15" s="59" t="n"/>
      <c r="BC15" s="59" t="n"/>
      <c r="BD15" s="59" t="n"/>
      <c r="BE15" s="59" t="n"/>
      <c r="BF15" s="59" t="n"/>
      <c r="BG15" s="59" t="n"/>
      <c r="BH15" s="59" t="n"/>
      <c r="BI15" s="59" t="n"/>
      <c r="BJ15" s="59" t="n"/>
      <c r="BK15" s="59" t="n"/>
      <c r="BL15" s="54">
        <f>COUNTIF(D15:BK15,"C")</f>
        <v/>
      </c>
      <c r="BM15" s="54">
        <f>COUNTIF(D15:BK15,"R")</f>
        <v/>
      </c>
    </row>
    <row r="16">
      <c r="A16" s="57" t="inlineStr">
        <is>
          <t>給与・福利</t>
        </is>
      </c>
      <c r="B16" s="47" t="inlineStr">
        <is>
          <t>APP-11</t>
        </is>
      </c>
      <c r="C16" s="58">
        <f>IFERROR(INDEX(アプリケーション!$C:$C,MATCH(B16,アプリケーション!$A:$A,0)),"（IDなし）")</f>
        <v/>
      </c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inlineStr">
        <is>
          <t>C</t>
        </is>
      </c>
      <c r="T16" s="59" t="inlineStr">
        <is>
          <t>R</t>
        </is>
      </c>
      <c r="U16" s="59" t="inlineStr">
        <is>
          <t>R</t>
        </is>
      </c>
      <c r="V16" s="59" t="inlineStr">
        <is>
          <t>R</t>
        </is>
      </c>
      <c r="W16" s="59" t="n"/>
      <c r="X16" s="59" t="inlineStr">
        <is>
          <t>R</t>
        </is>
      </c>
      <c r="Y16" s="59" t="n"/>
      <c r="Z16" s="59" t="n"/>
      <c r="AA16" s="59" t="n"/>
      <c r="AB16" s="59" t="n"/>
      <c r="AC16" s="59" t="n"/>
      <c r="AD16" s="59" t="n"/>
      <c r="AE16" s="59" t="n"/>
      <c r="AF16" s="59" t="n"/>
      <c r="AG16" s="59" t="n"/>
      <c r="AH16" s="59" t="inlineStr">
        <is>
          <t>R</t>
        </is>
      </c>
      <c r="AI16" s="59" t="n"/>
      <c r="AJ16" s="59" t="inlineStr">
        <is>
          <t>R</t>
        </is>
      </c>
      <c r="AK16" s="59" t="inlineStr">
        <is>
          <t>C</t>
        </is>
      </c>
      <c r="AL16" s="59" t="inlineStr">
        <is>
          <t>C</t>
        </is>
      </c>
      <c r="AM16" s="59" t="inlineStr">
        <is>
          <t>C</t>
        </is>
      </c>
      <c r="AN16" s="59" t="inlineStr">
        <is>
          <t>C</t>
        </is>
      </c>
      <c r="AO16" s="59" t="inlineStr">
        <is>
          <t>C</t>
        </is>
      </c>
      <c r="AP16" s="59" t="n"/>
      <c r="AQ16" s="59" t="n"/>
      <c r="AR16" s="59" t="inlineStr">
        <is>
          <t>C</t>
        </is>
      </c>
      <c r="AS16" s="59" t="n"/>
      <c r="AT16" s="59" t="n"/>
      <c r="AU16" s="59" t="n"/>
      <c r="AV16" s="59" t="n"/>
      <c r="AW16" s="59" t="n"/>
      <c r="AX16" s="59" t="n"/>
      <c r="AY16" s="59" t="n"/>
      <c r="AZ16" s="59" t="n"/>
      <c r="BA16" s="59" t="n"/>
      <c r="BB16" s="59" t="n"/>
      <c r="BC16" s="59" t="n"/>
      <c r="BD16" s="59" t="n"/>
      <c r="BE16" s="59" t="inlineStr">
        <is>
          <t>R</t>
        </is>
      </c>
      <c r="BF16" s="59" t="n"/>
      <c r="BG16" s="59" t="inlineStr">
        <is>
          <t>R</t>
        </is>
      </c>
      <c r="BH16" s="59" t="n"/>
      <c r="BI16" s="59" t="n"/>
      <c r="BJ16" s="59" t="n"/>
      <c r="BK16" s="59" t="n"/>
      <c r="BL16" s="54">
        <f>COUNTIF(D16:BK16,"C")</f>
        <v/>
      </c>
      <c r="BM16" s="54">
        <f>COUNTIF(D16:BK16,"R")</f>
        <v/>
      </c>
    </row>
    <row r="17">
      <c r="A17" s="57" t="inlineStr">
        <is>
          <t>就業・健康</t>
        </is>
      </c>
      <c r="B17" s="47" t="inlineStr">
        <is>
          <t>APP-12</t>
        </is>
      </c>
      <c r="C17" s="58">
        <f>IFERROR(INDEX(アプリケーション!$C:$C,MATCH(B17,アプリケーション!$A:$A,0)),"（IDなし）")</f>
        <v/>
      </c>
      <c r="D17" s="59" t="n"/>
      <c r="E17" s="59" t="n"/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inlineStr">
        <is>
          <t>R</t>
        </is>
      </c>
      <c r="T17" s="59" t="n"/>
      <c r="U17" s="59" t="n"/>
      <c r="V17" s="59" t="n"/>
      <c r="W17" s="59" t="n"/>
      <c r="X17" s="59" t="n"/>
      <c r="Y17" s="59" t="n"/>
      <c r="Z17" s="59" t="n"/>
      <c r="AA17" s="59" t="n"/>
      <c r="AB17" s="59" t="n"/>
      <c r="AC17" s="59" t="n"/>
      <c r="AD17" s="59" t="n"/>
      <c r="AE17" s="59" t="n"/>
      <c r="AF17" s="59" t="n"/>
      <c r="AG17" s="59" t="n"/>
      <c r="AH17" s="59" t="n"/>
      <c r="AI17" s="59" t="n"/>
      <c r="AJ17" s="59" t="n"/>
      <c r="AK17" s="59" t="n"/>
      <c r="AL17" s="59" t="n"/>
      <c r="AM17" s="59" t="n"/>
      <c r="AN17" s="59" t="n"/>
      <c r="AO17" s="59" t="n"/>
      <c r="AP17" s="59" t="n"/>
      <c r="AQ17" s="59" t="n"/>
      <c r="AR17" s="59" t="inlineStr">
        <is>
          <t>R</t>
        </is>
      </c>
      <c r="AS17" s="59" t="n"/>
      <c r="AT17" s="59" t="n"/>
      <c r="AU17" s="59" t="inlineStr">
        <is>
          <t>C</t>
        </is>
      </c>
      <c r="AV17" s="59" t="inlineStr">
        <is>
          <t>C</t>
        </is>
      </c>
      <c r="AW17" s="59" t="inlineStr">
        <is>
          <t>C</t>
        </is>
      </c>
      <c r="AX17" s="59" t="n"/>
      <c r="AY17" s="59" t="n"/>
      <c r="AZ17" s="59" t="n"/>
      <c r="BA17" s="59" t="n"/>
      <c r="BB17" s="59" t="n"/>
      <c r="BC17" s="59" t="n"/>
      <c r="BD17" s="59" t="n"/>
      <c r="BE17" s="59" t="n"/>
      <c r="BF17" s="59" t="n"/>
      <c r="BG17" s="59" t="n"/>
      <c r="BH17" s="59" t="n"/>
      <c r="BI17" s="59" t="n"/>
      <c r="BJ17" s="59" t="n"/>
      <c r="BK17" s="59" t="n"/>
      <c r="BL17" s="54">
        <f>COUNTIF(D17:BK17,"C")</f>
        <v/>
      </c>
      <c r="BM17" s="54">
        <f>COUNTIF(D17:BK17,"R")</f>
        <v/>
      </c>
    </row>
    <row r="18">
      <c r="A18" s="57" t="inlineStr">
        <is>
          <t>給与・福利</t>
        </is>
      </c>
      <c r="B18" s="47" t="inlineStr">
        <is>
          <t>APP-13</t>
        </is>
      </c>
      <c r="C18" s="58">
        <f>IFERROR(INDEX(アプリケーション!$C:$C,MATCH(B18,アプリケーション!$A:$A,0)),"（IDなし）")</f>
        <v/>
      </c>
      <c r="D18" s="59" t="n"/>
      <c r="E18" s="59" t="n"/>
      <c r="F18" s="59" t="n"/>
      <c r="G18" s="59" t="inlineStr">
        <is>
          <t>R</t>
        </is>
      </c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inlineStr">
        <is>
          <t>R</t>
        </is>
      </c>
      <c r="T18" s="59" t="n"/>
      <c r="U18" s="59" t="n"/>
      <c r="V18" s="59" t="n"/>
      <c r="W18" s="59" t="n"/>
      <c r="X18" s="59" t="inlineStr">
        <is>
          <t>C</t>
        </is>
      </c>
      <c r="Y18" s="59" t="n"/>
      <c r="Z18" s="59" t="n"/>
      <c r="AA18" s="59" t="n"/>
      <c r="AB18" s="59" t="n"/>
      <c r="AC18" s="59" t="n"/>
      <c r="AD18" s="59" t="n"/>
      <c r="AE18" s="59" t="n"/>
      <c r="AF18" s="59" t="n"/>
      <c r="AG18" s="59" t="n"/>
      <c r="AH18" s="59" t="n"/>
      <c r="AI18" s="59" t="n"/>
      <c r="AJ18" s="59" t="inlineStr">
        <is>
          <t>R</t>
        </is>
      </c>
      <c r="AK18" s="59" t="inlineStr">
        <is>
          <t>R</t>
        </is>
      </c>
      <c r="AL18" s="59" t="n"/>
      <c r="AM18" s="59" t="n"/>
      <c r="AN18" s="59" t="n"/>
      <c r="AO18" s="59" t="inlineStr">
        <is>
          <t>C</t>
        </is>
      </c>
      <c r="AP18" s="59" t="inlineStr">
        <is>
          <t>C</t>
        </is>
      </c>
      <c r="AQ18" s="59" t="inlineStr">
        <is>
          <t>C</t>
        </is>
      </c>
      <c r="AR18" s="59" t="inlineStr">
        <is>
          <t>R</t>
        </is>
      </c>
      <c r="AS18" s="59" t="inlineStr">
        <is>
          <t>R</t>
        </is>
      </c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inlineStr">
        <is>
          <t>R</t>
        </is>
      </c>
      <c r="BF18" s="59" t="n"/>
      <c r="BG18" s="59" t="n"/>
      <c r="BH18" s="59" t="n"/>
      <c r="BI18" s="59" t="n"/>
      <c r="BJ18" s="59" t="n"/>
      <c r="BK18" s="59" t="n"/>
      <c r="BL18" s="54">
        <f>COUNTIF(D18:BK18,"C")</f>
        <v/>
      </c>
      <c r="BM18" s="54">
        <f>COUNTIF(D18:BK18,"R")</f>
        <v/>
      </c>
    </row>
    <row r="19">
      <c r="A19" s="57" t="inlineStr">
        <is>
          <t>就業・健康</t>
        </is>
      </c>
      <c r="B19" s="47" t="inlineStr">
        <is>
          <t>APP-14</t>
        </is>
      </c>
      <c r="C19" s="58">
        <f>IFERROR(INDEX(アプリケーション!$C:$C,MATCH(B19,アプリケーション!$A:$A,0)),"（IDなし）")</f>
        <v/>
      </c>
      <c r="D19" s="59" t="inlineStr">
        <is>
          <t>R</t>
        </is>
      </c>
      <c r="E19" s="59" t="n"/>
      <c r="F19" s="59" t="n"/>
      <c r="G19" s="59" t="inlineStr">
        <is>
          <t>R</t>
        </is>
      </c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inlineStr">
        <is>
          <t>R</t>
        </is>
      </c>
      <c r="T19" s="59" t="n"/>
      <c r="U19" s="59" t="n"/>
      <c r="V19" s="59" t="n"/>
      <c r="W19" s="59" t="n"/>
      <c r="X19" s="59" t="n"/>
      <c r="Y19" s="59" t="n"/>
      <c r="Z19" s="59" t="inlineStr">
        <is>
          <t>R</t>
        </is>
      </c>
      <c r="AA19" s="59" t="n"/>
      <c r="AB19" s="59" t="n"/>
      <c r="AC19" s="59" t="n"/>
      <c r="AD19" s="59" t="n"/>
      <c r="AE19" s="59" t="n"/>
      <c r="AF19" s="59" t="n"/>
      <c r="AG19" s="59" t="n"/>
      <c r="AH19" s="59" t="n"/>
      <c r="AI19" s="59" t="n"/>
      <c r="AJ19" s="59" t="n"/>
      <c r="AK19" s="59" t="n"/>
      <c r="AL19" s="59" t="n"/>
      <c r="AM19" s="59" t="n"/>
      <c r="AN19" s="59" t="n"/>
      <c r="AO19" s="59" t="n"/>
      <c r="AP19" s="59" t="n"/>
      <c r="AQ19" s="59" t="n"/>
      <c r="AR19" s="59" t="inlineStr">
        <is>
          <t>C</t>
        </is>
      </c>
      <c r="AS19" s="59" t="inlineStr">
        <is>
          <t>R</t>
        </is>
      </c>
      <c r="AT19" s="59" t="n"/>
      <c r="AU19" s="59" t="n"/>
      <c r="AV19" s="59" t="n"/>
      <c r="AW19" s="59" t="n"/>
      <c r="AX19" s="59" t="n"/>
      <c r="AY19" s="59" t="inlineStr">
        <is>
          <t>C</t>
        </is>
      </c>
      <c r="AZ19" s="59" t="n"/>
      <c r="BA19" s="59" t="n"/>
      <c r="BB19" s="59" t="n"/>
      <c r="BC19" s="59" t="n"/>
      <c r="BD19" s="59" t="n"/>
      <c r="BE19" s="59" t="n"/>
      <c r="BF19" s="59" t="n"/>
      <c r="BG19" s="59" t="n"/>
      <c r="BH19" s="59" t="n"/>
      <c r="BI19" s="59" t="n"/>
      <c r="BJ19" s="59" t="n"/>
      <c r="BK19" s="59" t="n"/>
      <c r="BL19" s="54">
        <f>COUNTIF(D19:BK19,"C")</f>
        <v/>
      </c>
      <c r="BM19" s="54">
        <f>COUNTIF(D19:BK19,"R")</f>
        <v/>
      </c>
    </row>
    <row r="20">
      <c r="A20" s="57" t="inlineStr">
        <is>
          <t>共通</t>
        </is>
      </c>
      <c r="B20" s="47" t="inlineStr">
        <is>
          <t>APP-15</t>
        </is>
      </c>
      <c r="C20" s="58">
        <f>IFERROR(INDEX(アプリケーション!$C:$C,MATCH(B20,アプリケーション!$A:$A,0)),"（IDなし）")</f>
        <v/>
      </c>
      <c r="D20" s="59" t="n"/>
      <c r="E20" s="59" t="n"/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inlineStr">
        <is>
          <t>R</t>
        </is>
      </c>
      <c r="T20" s="59" t="n"/>
      <c r="U20" s="59" t="n"/>
      <c r="V20" s="59" t="inlineStr">
        <is>
          <t>R</t>
        </is>
      </c>
      <c r="W20" s="59" t="n"/>
      <c r="X20" s="59" t="inlineStr">
        <is>
          <t>R</t>
        </is>
      </c>
      <c r="Y20" s="59" t="n"/>
      <c r="Z20" s="59" t="n"/>
      <c r="AA20" s="59" t="n"/>
      <c r="AB20" s="59" t="n"/>
      <c r="AC20" s="59" t="n"/>
      <c r="AD20" s="59" t="n"/>
      <c r="AE20" s="59" t="n"/>
      <c r="AF20" s="59" t="n"/>
      <c r="AG20" s="59" t="n"/>
      <c r="AH20" s="59" t="inlineStr">
        <is>
          <t>R</t>
        </is>
      </c>
      <c r="AI20" s="59" t="n"/>
      <c r="AJ20" s="59" t="n"/>
      <c r="AK20" s="59" t="inlineStr">
        <is>
          <t>R</t>
        </is>
      </c>
      <c r="AL20" s="59" t="inlineStr">
        <is>
          <t>R</t>
        </is>
      </c>
      <c r="AM20" s="59" t="inlineStr">
        <is>
          <t>R</t>
        </is>
      </c>
      <c r="AN20" s="59" t="inlineStr">
        <is>
          <t>R</t>
        </is>
      </c>
      <c r="AO20" s="59" t="n"/>
      <c r="AP20" s="59" t="n"/>
      <c r="AQ20" s="59" t="n"/>
      <c r="AR20" s="59" t="inlineStr">
        <is>
          <t>R</t>
        </is>
      </c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n"/>
      <c r="BI20" s="59" t="n"/>
      <c r="BJ20" s="59" t="n"/>
      <c r="BK20" s="59" t="n"/>
      <c r="BL20" s="54">
        <f>COUNTIF(D20:BK20,"C")</f>
        <v/>
      </c>
      <c r="BM20" s="54">
        <f>COUNTIF(D20:BK20,"R")</f>
        <v/>
      </c>
    </row>
    <row r="21">
      <c r="A21" s="57" t="n"/>
      <c r="B21" s="47" t="inlineStr">
        <is>
          <t>APP-16</t>
        </is>
      </c>
      <c r="C21" s="58">
        <f>IFERROR(INDEX(アプリケーション!$C:$C,MATCH(B21,アプリケーション!$A:$A,0)),"（IDなし）")</f>
        <v/>
      </c>
      <c r="D21" s="59" t="n"/>
      <c r="E21" s="59" t="n"/>
      <c r="F21" s="59" t="n"/>
      <c r="G21" s="59" t="inlineStr">
        <is>
          <t>R</t>
        </is>
      </c>
      <c r="H21" s="59" t="n"/>
      <c r="I21" s="59" t="n"/>
      <c r="J21" s="59" t="n"/>
      <c r="K21" s="59" t="inlineStr">
        <is>
          <t>R</t>
        </is>
      </c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  <c r="AD21" s="59" t="n"/>
      <c r="AE21" s="59" t="n"/>
      <c r="AF21" s="59" t="n"/>
      <c r="AG21" s="59" t="inlineStr">
        <is>
          <t>R</t>
        </is>
      </c>
      <c r="AH21" s="59" t="inlineStr">
        <is>
          <t>R</t>
        </is>
      </c>
      <c r="AI21" s="59" t="n"/>
      <c r="AJ21" s="59" t="inlineStr">
        <is>
          <t>R</t>
        </is>
      </c>
      <c r="AK21" s="59" t="n"/>
      <c r="AL21" s="59" t="n"/>
      <c r="AM21" s="59" t="n"/>
      <c r="AN21" s="59" t="n"/>
      <c r="AO21" s="59" t="n"/>
      <c r="AP21" s="59" t="n"/>
      <c r="AQ21" s="59" t="n"/>
      <c r="AR21" s="59" t="inlineStr">
        <is>
          <t>R</t>
        </is>
      </c>
      <c r="AS21" s="59" t="n"/>
      <c r="AT21" s="59" t="inlineStr">
        <is>
          <t>C</t>
        </is>
      </c>
      <c r="AU21" s="59" t="n"/>
      <c r="AV21" s="59" t="n"/>
      <c r="AW21" s="59" t="n"/>
      <c r="AX21" s="59" t="inlineStr">
        <is>
          <t>C</t>
        </is>
      </c>
      <c r="AY21" s="59" t="n"/>
      <c r="AZ21" s="59" t="n"/>
      <c r="BA21" s="59" t="n"/>
      <c r="BB21" s="59" t="n"/>
      <c r="BC21" s="59" t="n"/>
      <c r="BD21" s="59" t="n"/>
      <c r="BE21" s="59" t="inlineStr">
        <is>
          <t>C</t>
        </is>
      </c>
      <c r="BF21" s="59" t="n"/>
      <c r="BG21" s="59" t="n"/>
      <c r="BH21" s="59" t="n"/>
      <c r="BI21" s="59" t="n"/>
      <c r="BJ21" s="59" t="n"/>
      <c r="BK21" s="59" t="n"/>
      <c r="BL21" s="54">
        <f>COUNTIF(D21:BK21,"C")</f>
        <v/>
      </c>
      <c r="BM21" s="54">
        <f>COUNTIF(D21:BK21,"R")</f>
        <v/>
      </c>
    </row>
    <row r="22">
      <c r="A22" s="57" t="n"/>
      <c r="B22" s="47" t="inlineStr">
        <is>
          <t>APP-17</t>
        </is>
      </c>
      <c r="C22" s="58">
        <f>IFERROR(INDEX(アプリケーション!$C:$C,MATCH(B22,アプリケーション!$A:$A,0)),"（IDなし）")</f>
        <v/>
      </c>
      <c r="D22" s="59" t="inlineStr">
        <is>
          <t>R</t>
        </is>
      </c>
      <c r="E22" s="59" t="n"/>
      <c r="F22" s="59" t="n"/>
      <c r="G22" s="59" t="n"/>
      <c r="H22" s="59" t="inlineStr">
        <is>
          <t>R</t>
        </is>
      </c>
      <c r="I22" s="59" t="n"/>
      <c r="J22" s="59" t="inlineStr">
        <is>
          <t>C</t>
        </is>
      </c>
      <c r="K22" s="59" t="inlineStr">
        <is>
          <t>C</t>
        </is>
      </c>
      <c r="L22" s="59" t="inlineStr">
        <is>
          <t>C</t>
        </is>
      </c>
      <c r="M22" s="59" t="n"/>
      <c r="N22" s="59" t="n"/>
      <c r="O22" s="59" t="n"/>
      <c r="P22" s="59" t="n"/>
      <c r="Q22" s="59" t="n"/>
      <c r="R22" s="59" t="n"/>
      <c r="S22" s="59" t="inlineStr">
        <is>
          <t>R</t>
        </is>
      </c>
      <c r="T22" s="59" t="n"/>
      <c r="U22" s="59" t="n"/>
      <c r="V22" s="59" t="n"/>
      <c r="W22" s="59" t="n"/>
      <c r="X22" s="59" t="n"/>
      <c r="Y22" s="59" t="n"/>
      <c r="Z22" s="59" t="n"/>
      <c r="AA22" s="59" t="n"/>
      <c r="AB22" s="59" t="n"/>
      <c r="AC22" s="59" t="n"/>
      <c r="AD22" s="59" t="n"/>
      <c r="AE22" s="59" t="n"/>
      <c r="AF22" s="59" t="n"/>
      <c r="AG22" s="59" t="n"/>
      <c r="AH22" s="59" t="inlineStr">
        <is>
          <t>R</t>
        </is>
      </c>
      <c r="AI22" s="59" t="n"/>
      <c r="AJ22" s="59" t="n"/>
      <c r="AK22" s="59" t="inlineStr">
        <is>
          <t>R</t>
        </is>
      </c>
      <c r="AL22" s="59" t="n"/>
      <c r="AM22" s="59" t="n"/>
      <c r="AN22" s="59" t="n"/>
      <c r="AO22" s="59" t="n"/>
      <c r="AP22" s="59" t="n"/>
      <c r="AQ22" s="59" t="n"/>
      <c r="AR22" s="59" t="n"/>
      <c r="AS22" s="59" t="n"/>
      <c r="AT22" s="59" t="n"/>
      <c r="AU22" s="59" t="n"/>
      <c r="AV22" s="59" t="n"/>
      <c r="AW22" s="59" t="n"/>
      <c r="AX22" s="59" t="n"/>
      <c r="AY22" s="59" t="n"/>
      <c r="AZ22" s="59" t="n"/>
      <c r="BA22" s="59" t="n"/>
      <c r="BB22" s="59" t="n"/>
      <c r="BC22" s="59" t="n"/>
      <c r="BD22" s="59" t="n"/>
      <c r="BE22" s="59" t="n"/>
      <c r="BF22" s="59" t="n"/>
      <c r="BG22" s="59" t="n"/>
      <c r="BH22" s="59" t="n"/>
      <c r="BI22" s="59" t="n"/>
      <c r="BJ22" s="59" t="n"/>
      <c r="BK22" s="59" t="n"/>
      <c r="BL22" s="54">
        <f>COUNTIF(D22:BK22,"C")</f>
        <v/>
      </c>
      <c r="BM22" s="54">
        <f>COUNTIF(D22:BK22,"R")</f>
        <v/>
      </c>
    </row>
    <row r="23">
      <c r="A23" s="57" t="n"/>
      <c r="B23" s="47" t="inlineStr">
        <is>
          <t>APP-18</t>
        </is>
      </c>
      <c r="C23" s="58">
        <f>IFERROR(INDEX(アプリケーション!$C:$C,MATCH(B23,アプリケーション!$A:$A,0)),"（IDなし）")</f>
        <v/>
      </c>
      <c r="D23" s="59" t="inlineStr">
        <is>
          <t>R</t>
        </is>
      </c>
      <c r="E23" s="59" t="n"/>
      <c r="F23" s="59" t="n"/>
      <c r="G23" s="59" t="n"/>
      <c r="H23" s="59" t="inlineStr">
        <is>
          <t>R</t>
        </is>
      </c>
      <c r="I23" s="59" t="inlineStr">
        <is>
          <t>R</t>
        </is>
      </c>
      <c r="J23" s="59" t="n"/>
      <c r="K23" s="59" t="n"/>
      <c r="L23" s="59" t="n"/>
      <c r="M23" s="59" t="inlineStr">
        <is>
          <t>R</t>
        </is>
      </c>
      <c r="N23" s="59" t="n"/>
      <c r="O23" s="59" t="n"/>
      <c r="P23" s="59" t="inlineStr">
        <is>
          <t>R</t>
        </is>
      </c>
      <c r="Q23" s="59" t="inlineStr">
        <is>
          <t>R</t>
        </is>
      </c>
      <c r="R23" s="59" t="inlineStr">
        <is>
          <t>R</t>
        </is>
      </c>
      <c r="S23" s="59" t="inlineStr">
        <is>
          <t>R</t>
        </is>
      </c>
      <c r="T23" s="59" t="n"/>
      <c r="U23" s="59" t="n"/>
      <c r="V23" s="59" t="n"/>
      <c r="W23" s="59" t="n"/>
      <c r="X23" s="59" t="n"/>
      <c r="Y23" s="59" t="inlineStr">
        <is>
          <t>R</t>
        </is>
      </c>
      <c r="Z23" s="59" t="n"/>
      <c r="AA23" s="59" t="n"/>
      <c r="AB23" s="59" t="inlineStr">
        <is>
          <t>R</t>
        </is>
      </c>
      <c r="AC23" s="59" t="inlineStr">
        <is>
          <t>R</t>
        </is>
      </c>
      <c r="AD23" s="59" t="inlineStr">
        <is>
          <t>R</t>
        </is>
      </c>
      <c r="AE23" s="59" t="inlineStr">
        <is>
          <t>R</t>
        </is>
      </c>
      <c r="AF23" s="59" t="n"/>
      <c r="AG23" s="59" t="inlineStr">
        <is>
          <t>R</t>
        </is>
      </c>
      <c r="AH23" s="59" t="n"/>
      <c r="AI23" s="59" t="n"/>
      <c r="AJ23" s="59" t="n"/>
      <c r="AK23" s="59" t="inlineStr">
        <is>
          <t>R</t>
        </is>
      </c>
      <c r="AL23" s="59" t="n"/>
      <c r="AM23" s="59" t="n"/>
      <c r="AN23" s="59" t="n"/>
      <c r="AO23" s="59" t="n"/>
      <c r="AP23" s="59" t="n"/>
      <c r="AQ23" s="59" t="n"/>
      <c r="AR23" s="59" t="n"/>
      <c r="AS23" s="59" t="n"/>
      <c r="AT23" s="59" t="n"/>
      <c r="AU23" s="59" t="n"/>
      <c r="AV23" s="59" t="n"/>
      <c r="AW23" s="59" t="n"/>
      <c r="AX23" s="59" t="n"/>
      <c r="AY23" s="59" t="inlineStr">
        <is>
          <t>R</t>
        </is>
      </c>
      <c r="AZ23" s="59" t="inlineStr">
        <is>
          <t>R</t>
        </is>
      </c>
      <c r="BA23" s="59" t="n"/>
      <c r="BB23" s="59" t="n"/>
      <c r="BC23" s="59" t="n"/>
      <c r="BD23" s="59" t="inlineStr">
        <is>
          <t>R</t>
        </is>
      </c>
      <c r="BE23" s="59" t="n"/>
      <c r="BF23" s="59" t="n"/>
      <c r="BG23" s="59" t="n"/>
      <c r="BH23" s="59" t="n"/>
      <c r="BI23" s="59" t="n"/>
      <c r="BJ23" s="59" t="n"/>
      <c r="BK23" s="59" t="n"/>
      <c r="BL23" s="54">
        <f>COUNTIF(D23:BK23,"C")</f>
        <v/>
      </c>
      <c r="BM23" s="54">
        <f>COUNTIF(D23:BK23,"R")</f>
        <v/>
      </c>
    </row>
    <row r="24">
      <c r="A24" s="57" t="n"/>
      <c r="B24" s="47" t="inlineStr">
        <is>
          <t>APP-19</t>
        </is>
      </c>
      <c r="C24" s="58">
        <f>IFERROR(INDEX(アプリケーション!$C:$C,MATCH(B24,アプリケーション!$A:$A,0)),"（IDなし）")</f>
        <v/>
      </c>
      <c r="D24" s="59" t="n"/>
      <c r="E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inlineStr">
        <is>
          <t>R</t>
        </is>
      </c>
      <c r="P24" s="59" t="inlineStr">
        <is>
          <t>R</t>
        </is>
      </c>
      <c r="Q24" s="59" t="n"/>
      <c r="R24" s="59" t="n"/>
      <c r="S24" s="59" t="inlineStr">
        <is>
          <t>R</t>
        </is>
      </c>
      <c r="T24" s="59" t="n"/>
      <c r="U24" s="59" t="inlineStr">
        <is>
          <t>R</t>
        </is>
      </c>
      <c r="V24" s="59" t="inlineStr">
        <is>
          <t>R</t>
        </is>
      </c>
      <c r="W24" s="59" t="inlineStr">
        <is>
          <t>R</t>
        </is>
      </c>
      <c r="X24" s="59" t="n"/>
      <c r="Y24" s="59" t="inlineStr">
        <is>
          <t>R</t>
        </is>
      </c>
      <c r="Z24" s="59" t="n"/>
      <c r="AA24" s="59" t="inlineStr">
        <is>
          <t>C</t>
        </is>
      </c>
      <c r="AB24" s="59" t="n"/>
      <c r="AC24" s="59" t="n"/>
      <c r="AD24" s="59" t="n"/>
      <c r="AE24" s="59" t="n"/>
      <c r="AF24" s="59" t="n"/>
      <c r="AG24" s="59" t="n"/>
      <c r="AH24" s="59" t="n"/>
      <c r="AI24" s="59" t="n"/>
      <c r="AJ24" s="59" t="n"/>
      <c r="AK24" s="59" t="n"/>
      <c r="AL24" s="59" t="inlineStr">
        <is>
          <t>R</t>
        </is>
      </c>
      <c r="AM24" s="59" t="n"/>
      <c r="AN24" s="59" t="n"/>
      <c r="AO24" s="59" t="n"/>
      <c r="AP24" s="59" t="n"/>
      <c r="AQ24" s="59" t="n"/>
      <c r="AR24" s="59" t="n"/>
      <c r="AS24" s="59" t="n"/>
      <c r="AT24" s="59" t="n"/>
      <c r="AU24" s="59" t="inlineStr">
        <is>
          <t>R</t>
        </is>
      </c>
      <c r="AV24" s="59" t="inlineStr">
        <is>
          <t>R</t>
        </is>
      </c>
      <c r="AW24" s="59" t="n"/>
      <c r="AX24" s="59" t="n"/>
      <c r="AY24" s="59" t="n"/>
      <c r="AZ24" s="59" t="n"/>
      <c r="BA24" s="59" t="inlineStr">
        <is>
          <t>R</t>
        </is>
      </c>
      <c r="BB24" s="59" t="n"/>
      <c r="BC24" s="59" t="n"/>
      <c r="BD24" s="59" t="n"/>
      <c r="BE24" s="59" t="inlineStr">
        <is>
          <t>R</t>
        </is>
      </c>
      <c r="BF24" s="59" t="n"/>
      <c r="BG24" s="59" t="n"/>
      <c r="BH24" s="59" t="n"/>
      <c r="BI24" s="59" t="n"/>
      <c r="BJ24" s="59" t="n"/>
      <c r="BK24" s="59" t="n"/>
      <c r="BL24" s="54">
        <f>COUNTIF(D24:BK24,"C")</f>
        <v/>
      </c>
      <c r="BM24" s="54">
        <f>COUNTIF(D24:BK24,"R")</f>
        <v/>
      </c>
    </row>
    <row r="25">
      <c r="A25" s="57" t="n"/>
      <c r="B25" s="47" t="inlineStr">
        <is>
          <t>APP-20</t>
        </is>
      </c>
      <c r="C25" s="58">
        <f>IFERROR(INDEX(アプリケーション!$C:$C,MATCH(B25,アプリケーション!$A:$A,0)),"（IDなし）")</f>
        <v/>
      </c>
      <c r="D25" s="59" t="inlineStr">
        <is>
          <t>R</t>
        </is>
      </c>
      <c r="E25" s="59" t="n"/>
      <c r="F25" s="59" t="n"/>
      <c r="G25" s="59" t="n"/>
      <c r="H25" s="59" t="inlineStr">
        <is>
          <t>R</t>
        </is>
      </c>
      <c r="I25" s="59" t="n"/>
      <c r="J25" s="59" t="inlineStr">
        <is>
          <t>C</t>
        </is>
      </c>
      <c r="K25" s="59" t="inlineStr">
        <is>
          <t>C</t>
        </is>
      </c>
      <c r="L25" s="59" t="inlineStr">
        <is>
          <t>C</t>
        </is>
      </c>
      <c r="M25" s="59" t="n"/>
      <c r="N25" s="59" t="n"/>
      <c r="O25" s="59" t="n"/>
      <c r="P25" s="59" t="n"/>
      <c r="Q25" s="59" t="n"/>
      <c r="R25" s="59" t="n"/>
      <c r="S25" s="59" t="inlineStr">
        <is>
          <t>R</t>
        </is>
      </c>
      <c r="T25" s="59" t="n"/>
      <c r="U25" s="59" t="n"/>
      <c r="V25" s="59" t="n"/>
      <c r="W25" s="59" t="n"/>
      <c r="X25" s="59" t="n"/>
      <c r="Y25" s="59" t="n"/>
      <c r="Z25" s="59" t="n"/>
      <c r="AA25" s="59" t="n"/>
      <c r="AB25" s="59" t="n"/>
      <c r="AC25" s="59" t="n"/>
      <c r="AD25" s="59" t="n"/>
      <c r="AE25" s="59" t="n"/>
      <c r="AF25" s="59" t="n"/>
      <c r="AG25" s="59" t="n"/>
      <c r="AH25" s="59" t="inlineStr">
        <is>
          <t>R</t>
        </is>
      </c>
      <c r="AI25" s="59" t="n"/>
      <c r="AJ25" s="59" t="n"/>
      <c r="AK25" s="59" t="inlineStr">
        <is>
          <t>R</t>
        </is>
      </c>
      <c r="AL25" s="59" t="n"/>
      <c r="AM25" s="59" t="n"/>
      <c r="AN25" s="59" t="n"/>
      <c r="AO25" s="59" t="n"/>
      <c r="AP25" s="59" t="n"/>
      <c r="AQ25" s="59" t="n"/>
      <c r="AR25" s="59" t="n"/>
      <c r="AS25" s="59" t="n"/>
      <c r="AT25" s="59" t="n"/>
      <c r="AU25" s="59" t="n"/>
      <c r="AV25" s="59" t="n"/>
      <c r="AW25" s="59" t="n"/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4">
        <f>COUNTIF(D25:BK25,"C")</f>
        <v/>
      </c>
      <c r="BM25" s="54">
        <f>COUNTIF(D25:BK25,"R")</f>
        <v/>
      </c>
    </row>
    <row r="26">
      <c r="A26" s="57" t="n"/>
      <c r="B26" s="47" t="inlineStr">
        <is>
          <t>APP-21</t>
        </is>
      </c>
      <c r="C26" s="58">
        <f>IFERROR(INDEX(アプリケーション!$C:$C,MATCH(B26,アプリケーション!$A:$A,0)),"（IDなし）")</f>
        <v/>
      </c>
      <c r="D26" s="59" t="n"/>
      <c r="E26" s="59" t="n"/>
      <c r="F26" s="59" t="n"/>
      <c r="G26" s="59" t="inlineStr">
        <is>
          <t>C</t>
        </is>
      </c>
      <c r="H26" s="59" t="inlineStr">
        <is>
          <t>C</t>
        </is>
      </c>
      <c r="I26" s="59" t="inlineStr">
        <is>
          <t>C</t>
        </is>
      </c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inlineStr">
        <is>
          <t>R</t>
        </is>
      </c>
      <c r="AD26" s="59" t="n"/>
      <c r="AE26" s="59" t="n"/>
      <c r="AF26" s="59" t="n"/>
      <c r="AG26" s="59" t="n"/>
      <c r="AH26" s="59" t="n"/>
      <c r="AI26" s="59" t="n"/>
      <c r="AJ26" s="59" t="n"/>
      <c r="AK26" s="59" t="n"/>
      <c r="AL26" s="59" t="n"/>
      <c r="AM26" s="59" t="n"/>
      <c r="AN26" s="59" t="n"/>
      <c r="AO26" s="59" t="n"/>
      <c r="AP26" s="59" t="n"/>
      <c r="AQ26" s="59" t="n"/>
      <c r="AR26" s="59" t="n"/>
      <c r="AS26" s="59" t="n"/>
      <c r="AT26" s="59" t="inlineStr">
        <is>
          <t>R</t>
        </is>
      </c>
      <c r="AU26" s="59" t="n"/>
      <c r="AV26" s="59" t="n"/>
      <c r="AW26" s="59" t="n"/>
      <c r="AX26" s="59" t="n"/>
      <c r="AY26" s="59" t="inlineStr">
        <is>
          <t>R</t>
        </is>
      </c>
      <c r="AZ26" s="59" t="n"/>
      <c r="BA26" s="59" t="n"/>
      <c r="BB26" s="59" t="n"/>
      <c r="BC26" s="59" t="n"/>
      <c r="BD26" s="59" t="inlineStr">
        <is>
          <t>R</t>
        </is>
      </c>
      <c r="BE26" s="59" t="n"/>
      <c r="BF26" s="59" t="n"/>
      <c r="BG26" s="59" t="n"/>
      <c r="BH26" s="59" t="n"/>
      <c r="BI26" s="59" t="n"/>
      <c r="BJ26" s="59" t="n"/>
      <c r="BK26" s="59" t="n"/>
      <c r="BL26" s="54">
        <f>COUNTIF(D26:BK26,"C")</f>
        <v/>
      </c>
      <c r="BM26" s="54">
        <f>COUNTIF(D26:BK26,"R")</f>
        <v/>
      </c>
    </row>
    <row r="27">
      <c r="C27" s="57" t="inlineStr">
        <is>
          <t>Cの数</t>
        </is>
      </c>
      <c r="D27" s="54">
        <f>COUNTIF(D$6:D$26,"C")</f>
        <v/>
      </c>
      <c r="E27" s="54">
        <f>COUNTIF(E$6:E$26,"C")</f>
        <v/>
      </c>
      <c r="F27" s="54">
        <f>COUNTIF(F$6:F$26,"C")</f>
        <v/>
      </c>
      <c r="G27" s="54">
        <f>COUNTIF(G$6:G$26,"C")</f>
        <v/>
      </c>
      <c r="H27" s="54">
        <f>COUNTIF(H$6:H$26,"C")</f>
        <v/>
      </c>
      <c r="I27" s="54">
        <f>COUNTIF(I$6:I$26,"C")</f>
        <v/>
      </c>
      <c r="J27" s="54">
        <f>COUNTIF(J$6:J$26,"C")</f>
        <v/>
      </c>
      <c r="K27" s="54">
        <f>COUNTIF(K$6:K$26,"C")</f>
        <v/>
      </c>
      <c r="L27" s="54">
        <f>COUNTIF(L$6:L$26,"C")</f>
        <v/>
      </c>
      <c r="M27" s="54">
        <f>COUNTIF(M$6:M$26,"C")</f>
        <v/>
      </c>
      <c r="N27" s="54">
        <f>COUNTIF(N$6:N$26,"C")</f>
        <v/>
      </c>
      <c r="O27" s="54">
        <f>COUNTIF(O$6:O$26,"C")</f>
        <v/>
      </c>
      <c r="P27" s="54">
        <f>COUNTIF(P$6:P$26,"C")</f>
        <v/>
      </c>
      <c r="Q27" s="54">
        <f>COUNTIF(Q$6:Q$26,"C")</f>
        <v/>
      </c>
      <c r="R27" s="54">
        <f>COUNTIF(R$6:R$26,"C")</f>
        <v/>
      </c>
      <c r="S27" s="54">
        <f>COUNTIF(S$6:S$26,"C")</f>
        <v/>
      </c>
      <c r="T27" s="54">
        <f>COUNTIF(T$6:T$26,"C")</f>
        <v/>
      </c>
      <c r="U27" s="54">
        <f>COUNTIF(U$6:U$26,"C")</f>
        <v/>
      </c>
      <c r="V27" s="54">
        <f>COUNTIF(V$6:V$26,"C")</f>
        <v/>
      </c>
      <c r="W27" s="54">
        <f>COUNTIF(W$6:W$26,"C")</f>
        <v/>
      </c>
      <c r="X27" s="54">
        <f>COUNTIF(X$6:X$26,"C")</f>
        <v/>
      </c>
      <c r="Y27" s="54">
        <f>COUNTIF(Y$6:Y$26,"C")</f>
        <v/>
      </c>
      <c r="Z27" s="54">
        <f>COUNTIF(Z$6:Z$26,"C")</f>
        <v/>
      </c>
      <c r="AA27" s="54">
        <f>COUNTIF(AA$6:AA$26,"C")</f>
        <v/>
      </c>
      <c r="AB27" s="54">
        <f>COUNTIF(AB$6:AB$26,"C")</f>
        <v/>
      </c>
      <c r="AC27" s="54">
        <f>COUNTIF(AC$6:AC$26,"C")</f>
        <v/>
      </c>
      <c r="AD27" s="54">
        <f>COUNTIF(AD$6:AD$26,"C")</f>
        <v/>
      </c>
      <c r="AE27" s="54">
        <f>COUNTIF(AE$6:AE$26,"C")</f>
        <v/>
      </c>
      <c r="AF27" s="54">
        <f>COUNTIF(AF$6:AF$26,"C")</f>
        <v/>
      </c>
      <c r="AG27" s="54">
        <f>COUNTIF(AG$6:AG$26,"C")</f>
        <v/>
      </c>
      <c r="AH27" s="54">
        <f>COUNTIF(AH$6:AH$26,"C")</f>
        <v/>
      </c>
      <c r="AI27" s="54">
        <f>COUNTIF(AI$6:AI$26,"C")</f>
        <v/>
      </c>
      <c r="AJ27" s="54">
        <f>COUNTIF(AJ$6:AJ$26,"C")</f>
        <v/>
      </c>
      <c r="AK27" s="54">
        <f>COUNTIF(AK$6:AK$26,"C")</f>
        <v/>
      </c>
      <c r="AL27" s="54">
        <f>COUNTIF(AL$6:AL$26,"C")</f>
        <v/>
      </c>
      <c r="AM27" s="54">
        <f>COUNTIF(AM$6:AM$26,"C")</f>
        <v/>
      </c>
      <c r="AN27" s="54">
        <f>COUNTIF(AN$6:AN$26,"C")</f>
        <v/>
      </c>
      <c r="AO27" s="54">
        <f>COUNTIF(AO$6:AO$26,"C")</f>
        <v/>
      </c>
      <c r="AP27" s="54">
        <f>COUNTIF(AP$6:AP$26,"C")</f>
        <v/>
      </c>
      <c r="AQ27" s="54">
        <f>COUNTIF(AQ$6:AQ$26,"C")</f>
        <v/>
      </c>
      <c r="AR27" s="54">
        <f>COUNTIF(AR$6:AR$26,"C")</f>
        <v/>
      </c>
      <c r="AS27" s="54">
        <f>COUNTIF(AS$6:AS$26,"C")</f>
        <v/>
      </c>
      <c r="AT27" s="54">
        <f>COUNTIF(AT$6:AT$26,"C")</f>
        <v/>
      </c>
      <c r="AU27" s="54">
        <f>COUNTIF(AU$6:AU$26,"C")</f>
        <v/>
      </c>
      <c r="AV27" s="54">
        <f>COUNTIF(AV$6:AV$26,"C")</f>
        <v/>
      </c>
      <c r="AW27" s="54">
        <f>COUNTIF(AW$6:AW$26,"C")</f>
        <v/>
      </c>
      <c r="AX27" s="54">
        <f>COUNTIF(AX$6:AX$26,"C")</f>
        <v/>
      </c>
      <c r="AY27" s="54">
        <f>COUNTIF(AY$6:AY$26,"C")</f>
        <v/>
      </c>
      <c r="AZ27" s="54">
        <f>COUNTIF(AZ$6:AZ$26,"C")</f>
        <v/>
      </c>
      <c r="BA27" s="54">
        <f>COUNTIF(BA$6:BA$26,"C")</f>
        <v/>
      </c>
      <c r="BB27" s="54">
        <f>COUNTIF(BB$6:BB$26,"C")</f>
        <v/>
      </c>
      <c r="BC27" s="54">
        <f>COUNTIF(BC$6:BC$26,"C")</f>
        <v/>
      </c>
      <c r="BD27" s="54">
        <f>COUNTIF(BD$6:BD$26,"C")</f>
        <v/>
      </c>
      <c r="BE27" s="54">
        <f>COUNTIF(BE$6:BE$26,"C")</f>
        <v/>
      </c>
      <c r="BF27" s="54">
        <f>COUNTIF(BF$6:BF$26,"C")</f>
        <v/>
      </c>
      <c r="BG27" s="54">
        <f>COUNTIF(BG$6:BG$26,"C")</f>
        <v/>
      </c>
      <c r="BH27" s="54">
        <f>COUNTIF(BH$6:BH$26,"C")</f>
        <v/>
      </c>
      <c r="BI27" s="54">
        <f>COUNTIF(BI$6:BI$26,"C")</f>
        <v/>
      </c>
      <c r="BJ27" s="54">
        <f>COUNTIF(BJ$6:BJ$26,"C")</f>
        <v/>
      </c>
      <c r="BK27" s="54">
        <f>COUNTIF(BK$6:BK$26,"C")</f>
        <v/>
      </c>
    </row>
    <row r="28">
      <c r="C28" s="57" t="inlineStr">
        <is>
          <t>Rの数</t>
        </is>
      </c>
      <c r="D28" s="54">
        <f>COUNTIF(D$6:D$26,"R")</f>
        <v/>
      </c>
      <c r="E28" s="54">
        <f>COUNTIF(E$6:E$26,"R")</f>
        <v/>
      </c>
      <c r="F28" s="54">
        <f>COUNTIF(F$6:F$26,"R")</f>
        <v/>
      </c>
      <c r="G28" s="54">
        <f>COUNTIF(G$6:G$26,"R")</f>
        <v/>
      </c>
      <c r="H28" s="54">
        <f>COUNTIF(H$6:H$26,"R")</f>
        <v/>
      </c>
      <c r="I28" s="54">
        <f>COUNTIF(I$6:I$26,"R")</f>
        <v/>
      </c>
      <c r="J28" s="54">
        <f>COUNTIF(J$6:J$26,"R")</f>
        <v/>
      </c>
      <c r="K28" s="54">
        <f>COUNTIF(K$6:K$26,"R")</f>
        <v/>
      </c>
      <c r="L28" s="54">
        <f>COUNTIF(L$6:L$26,"R")</f>
        <v/>
      </c>
      <c r="M28" s="54">
        <f>COUNTIF(M$6:M$26,"R")</f>
        <v/>
      </c>
      <c r="N28" s="54">
        <f>COUNTIF(N$6:N$26,"R")</f>
        <v/>
      </c>
      <c r="O28" s="54">
        <f>COUNTIF(O$6:O$26,"R")</f>
        <v/>
      </c>
      <c r="P28" s="54">
        <f>COUNTIF(P$6:P$26,"R")</f>
        <v/>
      </c>
      <c r="Q28" s="54">
        <f>COUNTIF(Q$6:Q$26,"R")</f>
        <v/>
      </c>
      <c r="R28" s="54">
        <f>COUNTIF(R$6:R$26,"R")</f>
        <v/>
      </c>
      <c r="S28" s="54">
        <f>COUNTIF(S$6:S$26,"R")</f>
        <v/>
      </c>
      <c r="T28" s="54">
        <f>COUNTIF(T$6:T$26,"R")</f>
        <v/>
      </c>
      <c r="U28" s="54">
        <f>COUNTIF(U$6:U$26,"R")</f>
        <v/>
      </c>
      <c r="V28" s="54">
        <f>COUNTIF(V$6:V$26,"R")</f>
        <v/>
      </c>
      <c r="W28" s="54">
        <f>COUNTIF(W$6:W$26,"R")</f>
        <v/>
      </c>
      <c r="X28" s="54">
        <f>COUNTIF(X$6:X$26,"R")</f>
        <v/>
      </c>
      <c r="Y28" s="54">
        <f>COUNTIF(Y$6:Y$26,"R")</f>
        <v/>
      </c>
      <c r="Z28" s="54">
        <f>COUNTIF(Z$6:Z$26,"R")</f>
        <v/>
      </c>
      <c r="AA28" s="54">
        <f>COUNTIF(AA$6:AA$26,"R")</f>
        <v/>
      </c>
      <c r="AB28" s="54">
        <f>COUNTIF(AB$6:AB$26,"R")</f>
        <v/>
      </c>
      <c r="AC28" s="54">
        <f>COUNTIF(AC$6:AC$26,"R")</f>
        <v/>
      </c>
      <c r="AD28" s="54">
        <f>COUNTIF(AD$6:AD$26,"R")</f>
        <v/>
      </c>
      <c r="AE28" s="54">
        <f>COUNTIF(AE$6:AE$26,"R")</f>
        <v/>
      </c>
      <c r="AF28" s="54">
        <f>COUNTIF(AF$6:AF$26,"R")</f>
        <v/>
      </c>
      <c r="AG28" s="54">
        <f>COUNTIF(AG$6:AG$26,"R")</f>
        <v/>
      </c>
      <c r="AH28" s="54">
        <f>COUNTIF(AH$6:AH$26,"R")</f>
        <v/>
      </c>
      <c r="AI28" s="54">
        <f>COUNTIF(AI$6:AI$26,"R")</f>
        <v/>
      </c>
      <c r="AJ28" s="54">
        <f>COUNTIF(AJ$6:AJ$26,"R")</f>
        <v/>
      </c>
      <c r="AK28" s="54">
        <f>COUNTIF(AK$6:AK$26,"R")</f>
        <v/>
      </c>
      <c r="AL28" s="54">
        <f>COUNTIF(AL$6:AL$26,"R")</f>
        <v/>
      </c>
      <c r="AM28" s="54">
        <f>COUNTIF(AM$6:AM$26,"R")</f>
        <v/>
      </c>
      <c r="AN28" s="54">
        <f>COUNTIF(AN$6:AN$26,"R")</f>
        <v/>
      </c>
      <c r="AO28" s="54">
        <f>COUNTIF(AO$6:AO$26,"R")</f>
        <v/>
      </c>
      <c r="AP28" s="54">
        <f>COUNTIF(AP$6:AP$26,"R")</f>
        <v/>
      </c>
      <c r="AQ28" s="54">
        <f>COUNTIF(AQ$6:AQ$26,"R")</f>
        <v/>
      </c>
      <c r="AR28" s="54">
        <f>COUNTIF(AR$6:AR$26,"R")</f>
        <v/>
      </c>
      <c r="AS28" s="54">
        <f>COUNTIF(AS$6:AS$26,"R")</f>
        <v/>
      </c>
      <c r="AT28" s="54">
        <f>COUNTIF(AT$6:AT$26,"R")</f>
        <v/>
      </c>
      <c r="AU28" s="54">
        <f>COUNTIF(AU$6:AU$26,"R")</f>
        <v/>
      </c>
      <c r="AV28" s="54">
        <f>COUNTIF(AV$6:AV$26,"R")</f>
        <v/>
      </c>
      <c r="AW28" s="54">
        <f>COUNTIF(AW$6:AW$26,"R")</f>
        <v/>
      </c>
      <c r="AX28" s="54">
        <f>COUNTIF(AX$6:AX$26,"R")</f>
        <v/>
      </c>
      <c r="AY28" s="54">
        <f>COUNTIF(AY$6:AY$26,"R")</f>
        <v/>
      </c>
      <c r="AZ28" s="54">
        <f>COUNTIF(AZ$6:AZ$26,"R")</f>
        <v/>
      </c>
      <c r="BA28" s="54">
        <f>COUNTIF(BA$6:BA$26,"R")</f>
        <v/>
      </c>
      <c r="BB28" s="54">
        <f>COUNTIF(BB$6:BB$26,"R")</f>
        <v/>
      </c>
      <c r="BC28" s="54">
        <f>COUNTIF(BC$6:BC$26,"R")</f>
        <v/>
      </c>
      <c r="BD28" s="54">
        <f>COUNTIF(BD$6:BD$26,"R")</f>
        <v/>
      </c>
      <c r="BE28" s="54">
        <f>COUNTIF(BE$6:BE$26,"R")</f>
        <v/>
      </c>
      <c r="BF28" s="54">
        <f>COUNTIF(BF$6:BF$26,"R")</f>
        <v/>
      </c>
      <c r="BG28" s="54">
        <f>COUNTIF(BG$6:BG$26,"R")</f>
        <v/>
      </c>
      <c r="BH28" s="54">
        <f>COUNTIF(BH$6:BH$26,"R")</f>
        <v/>
      </c>
      <c r="BI28" s="54">
        <f>COUNTIF(BI$6:BI$26,"R")</f>
        <v/>
      </c>
      <c r="BJ28" s="54">
        <f>COUNTIF(BJ$6:BJ$26,"R")</f>
        <v/>
      </c>
      <c r="BK28" s="54">
        <f>COUNTIF(BK$6:BK$26,"R")</f>
        <v/>
      </c>
    </row>
  </sheetData>
  <mergeCells count="14">
    <mergeCell ref="AR4:AY4"/>
    <mergeCell ref="AF4:AJ4"/>
    <mergeCell ref="B4:B5"/>
    <mergeCell ref="AK4:AQ4"/>
    <mergeCell ref="AZ4:BD4"/>
    <mergeCell ref="C4:C5"/>
    <mergeCell ref="A4:A5"/>
    <mergeCell ref="D4:L4"/>
    <mergeCell ref="AB4:AE4"/>
    <mergeCell ref="M4:R4"/>
    <mergeCell ref="BL4:BL5"/>
    <mergeCell ref="BE4:BK4"/>
    <mergeCell ref="S4:AA4"/>
    <mergeCell ref="BM4:BM5"/>
  </mergeCells>
  <conditionalFormatting sqref="D6:BK26">
    <cfRule type="cellIs" priority="1" operator="equal" dxfId="2">
      <formula>"C"</formula>
    </cfRule>
  </conditionalFormatting>
  <dataValidations count="1">
    <dataValidation sqref="D6:BK26" showDropDown="0" showInputMessage="0" showErrorMessage="0" allowBlank="1" type="list">
      <formula1>"C,R"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2026-09-20T03:04:58Z</dcterms:created>
  <dcterms:modified xmlns:dcterms="http://purl.org/dc/terms/" xmlns:xsi="http://www.w3.org/2001/XMLSchema-instance" xsi:type="dcterms:W3CDTF">2026-09-20T03:05:02Z</dcterms:modified>
</cp:coreProperties>
</file>