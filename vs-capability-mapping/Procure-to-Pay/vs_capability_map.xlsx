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バリューストリーム" sheetId="1" state="visible" r:id="rId1"/>
    <sheet xmlns:r="http://schemas.openxmlformats.org/officeDocument/2006/relationships" name="ケイパビリティマップ" sheetId="2" state="visible" r:id="rId2"/>
    <sheet xmlns:r="http://schemas.openxmlformats.org/officeDocument/2006/relationships" name="ケイパビリティレベル" sheetId="3" state="visible" r:id="rId3"/>
    <sheet xmlns:r="http://schemas.openxmlformats.org/officeDocument/2006/relationships" name="VS×ケイパビリティ関係" sheetId="4" state="visible" r:id="rId4"/>
    <sheet xmlns:r="http://schemas.openxmlformats.org/officeDocument/2006/relationships" name="VS×ケイパビリティ" sheetId="5" state="visible" r:id="rId5"/>
    <sheet xmlns:r="http://schemas.openxmlformats.org/officeDocument/2006/relationships" name="情報オブジェクト" sheetId="6" state="visible" r:id="rId6"/>
    <sheet xmlns:r="http://schemas.openxmlformats.org/officeDocument/2006/relationships" name="ケイパビリティ×情報オブジェクト" sheetId="7" state="visible" r:id="rId7"/>
    <sheet xmlns:r="http://schemas.openxmlformats.org/officeDocument/2006/relationships" name="アプリケーション" sheetId="8" state="visible" r:id="rId8"/>
    <sheet xmlns:r="http://schemas.openxmlformats.org/officeDocument/2006/relationships" name="ケイパビリティ×アプリケーション" sheetId="9" state="visible" r:id="rId9"/>
    <sheet xmlns:r="http://schemas.openxmlformats.org/officeDocument/2006/relationships" name="アプリケーション×情報オブジェクト" sheetId="10" state="visible" r:id="rId10"/>
  </sheets>
  <definedNames>
    <definedName name="_xlnm._FilterDatabase" localSheetId="0" hidden="1">'バリューストリーム'!$A$3:$L$76</definedName>
    <definedName name="_xlnm._FilterDatabase" localSheetId="1" hidden="1">'ケイパビリティマップ'!$A$3:$J$79</definedName>
    <definedName name="_xlnm._FilterDatabase" localSheetId="2" hidden="1">'ケイパビリティレベル'!$A$10:$I$28</definedName>
    <definedName name="_xlnm._FilterDatabase" localSheetId="3" hidden="1">'VS×ケイパビリティ関係'!$A$3:$G$82</definedName>
    <definedName name="_xlnm._FilterDatabase" localSheetId="5" hidden="1">'情報オブジェクト'!$A$3:$M$44</definedName>
    <definedName name="_xlnm._FilterDatabase" localSheetId="7" hidden="1">'アプリケーション'!$A$3:$H$23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Noto Sans CJK SC"/>
      <charset val="1"/>
      <family val="2"/>
      <b val="1"/>
      <color rgb="FF1F3A5F"/>
      <sz val="14"/>
    </font>
    <font>
      <name val="Noto Sans CJK SC"/>
      <charset val="1"/>
      <family val="2"/>
      <color rgb="FF555555"/>
      <sz val="9"/>
    </font>
    <font>
      <name val="Arial"/>
      <charset val="1"/>
      <family val="0"/>
      <b val="1"/>
      <color rgb="FFFFFFFF"/>
      <sz val="10"/>
    </font>
    <font>
      <name val="Noto Sans CJK SC"/>
      <charset val="1"/>
      <family val="2"/>
      <b val="1"/>
      <color rgb="FFFFFFFF"/>
      <sz val="10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000000"/>
      <sz val="9"/>
    </font>
    <font>
      <name val="Noto Sans CJK SC"/>
      <charset val="1"/>
      <family val="2"/>
      <color rgb="FF000000"/>
      <sz val="9"/>
    </font>
    <font>
      <name val="Noto Sans CJK SC"/>
      <charset val="1"/>
      <family val="2"/>
      <b val="1"/>
      <color rgb="FF000000"/>
      <sz val="9"/>
    </font>
    <font>
      <name val="Calibri"/>
      <charset val="1"/>
      <family val="2"/>
      <color theme="1"/>
      <sz val="11"/>
    </font>
    <font>
      <name val="Arial"/>
      <charset val="1"/>
      <family val="0"/>
      <b val="1"/>
      <color rgb="FF1F3A5F"/>
      <sz val="14"/>
    </font>
    <font>
      <name val="Arial"/>
      <charset val="1"/>
      <family val="0"/>
      <color rgb="FF555555"/>
      <sz val="9"/>
    </font>
    <font>
      <name val="Arial"/>
      <charset val="1"/>
      <family val="0"/>
      <color rgb="FF6B7785"/>
      <sz val="9"/>
    </font>
    <font>
      <name val="Noto Sans CJK SC"/>
      <charset val="1"/>
      <family val="0"/>
      <b val="1"/>
      <color rgb="FF1F3A5F"/>
      <sz val="14"/>
    </font>
    <font>
      <name val="Noto Sans CJK SC"/>
      <charset val="1"/>
      <family val="0"/>
      <color rgb="FF555555"/>
      <sz val="9"/>
    </font>
    <font>
      <name val="Noto Sans CJK SC"/>
      <charset val="1"/>
      <family val="0"/>
      <b val="1"/>
      <color rgb="FFFFFFFF"/>
      <sz val="10"/>
    </font>
    <font>
      <name val="Noto Sans CJK SC"/>
      <charset val="1"/>
      <family val="0"/>
      <color rgb="FF000000"/>
      <sz val="9"/>
    </font>
    <font>
      <name val="Noto Sans CJK SC"/>
      <charset val="1"/>
      <family val="0"/>
      <b val="1"/>
      <color rgb="FF000000"/>
      <sz val="9"/>
    </font>
    <font>
      <name val="Noto Sans CJK SC"/>
      <charset val="1"/>
      <family val="0"/>
      <b val="1"/>
      <color rgb="FFFFFFFF"/>
      <sz val="8"/>
    </font>
    <font>
      <name val="Arial"/>
      <charset val="1"/>
      <family val="0"/>
      <b val="1"/>
      <color rgb="FF1D6F6A"/>
      <sz val="10"/>
    </font>
  </fonts>
  <fills count="11">
    <fill>
      <patternFill/>
    </fill>
    <fill>
      <patternFill patternType="gray125"/>
    </fill>
    <fill>
      <patternFill patternType="solid">
        <fgColor rgb="FF1F3A5F"/>
        <bgColor rgb="FF1F2E35"/>
      </patternFill>
    </fill>
    <fill>
      <patternFill patternType="solid">
        <fgColor rgb="FF6B7785"/>
        <bgColor rgb="FF3E8A84"/>
      </patternFill>
    </fill>
    <fill>
      <patternFill patternType="solid">
        <fgColor rgb="FFC9D6E3"/>
        <bgColor rgb="FFD0D7DE"/>
      </patternFill>
    </fill>
    <fill>
      <patternFill patternType="solid">
        <fgColor rgb="FFDCE5EE"/>
        <bgColor rgb="FFDCE9F2"/>
      </patternFill>
    </fill>
    <fill>
      <patternFill patternType="solid">
        <fgColor rgb="FFEEF2F7"/>
        <bgColor rgb="FFEEEEEE"/>
      </patternFill>
    </fill>
    <fill>
      <patternFill patternType="solid">
        <fgColor rgb="FFEEEEEE"/>
        <bgColor rgb="FFEEF2F7"/>
      </patternFill>
    </fill>
    <fill>
      <patternFill patternType="solid">
        <fgColor rgb="FF3E8A84"/>
        <bgColor rgb="FF6B7785"/>
      </patternFill>
    </fill>
    <fill>
      <patternFill patternType="solid">
        <fgColor rgb="FF1D6F6A"/>
        <bgColor rgb="FF008080"/>
      </patternFill>
    </fill>
    <fill>
      <patternFill patternType="solid">
        <fgColor rgb="FF2F4F5A"/>
        <bgColor rgb="FF1F3A5F"/>
      </patternFill>
    </fill>
  </fills>
  <borders count="10">
    <border>
      <left/>
      <right/>
      <top/>
      <bottom/>
      <diagonal/>
    </border>
    <border>
      <left style="thin">
        <color rgb="FFC8CDD3"/>
      </left>
      <right style="thin">
        <color rgb="FFC8CDD3"/>
      </right>
      <top style="thin">
        <color rgb="FFC8CDD3"/>
      </top>
      <bottom style="thin">
        <color rgb="FFC8CDD3"/>
      </bottom>
      <diagonal/>
    </border>
    <border>
      <left/>
      <right/>
      <top style="thin">
        <color rgb="FFC8CDD3"/>
      </top>
      <bottom style="thin">
        <color rgb="FFC8CDD3"/>
      </bottom>
      <diagonal/>
    </border>
    <border>
      <left/>
      <right style="thin">
        <color rgb="FFC8CDD3"/>
      </right>
      <top style="thin">
        <color rgb="FFC8CDD3"/>
      </top>
      <bottom style="thin">
        <color rgb="FFC8CDD3"/>
      </bottom>
      <diagonal/>
    </border>
    <border>
      <left/>
      <right/>
      <top style="thin">
        <color rgb="FFC8CDD3"/>
      </top>
      <bottom/>
      <diagonal/>
    </border>
    <border>
      <left/>
      <right style="thin">
        <color rgb="FFC8CDD3"/>
      </right>
      <top style="thin">
        <color rgb="FFC8CDD3"/>
      </top>
      <bottom/>
      <diagonal/>
    </border>
    <border>
      <left style="thin">
        <color rgb="FFC8CDD3"/>
      </left>
      <right style="thin">
        <color rgb="FFC8CDD3"/>
      </right>
      <top/>
      <bottom/>
      <diagonal/>
    </border>
    <border>
      <left style="thin">
        <color rgb="FFC8CDD3"/>
      </left>
      <right style="thin">
        <color rgb="FFC8CDD3"/>
      </right>
      <top/>
      <bottom style="thin">
        <color rgb="FFC8CDD3"/>
      </bottom>
      <diagonal/>
    </border>
    <border>
      <left style="thin">
        <color rgb="FFC8CDD3"/>
      </left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applyAlignment="1" pivotButton="0" quotePrefix="0" xfId="0">
      <alignment horizontal="general" vertical="bottom"/>
    </xf>
    <xf numFmtId="0" fontId="2" fillId="0" borderId="0" applyAlignment="1" pivotButton="0" quotePrefix="0" xfId="0">
      <alignment horizontal="general" vertical="bottom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center" vertical="top" wrapText="1"/>
    </xf>
    <xf numFmtId="0" fontId="8" fillId="6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8" fillId="0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3" fillId="3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top" wrapText="1"/>
    </xf>
    <xf numFmtId="0" fontId="9" fillId="0" borderId="0" pivotButton="0" quotePrefix="0" xfId="0"/>
    <xf numFmtId="0" fontId="12" fillId="0" borderId="0" applyAlignment="1" pivotButton="0" quotePrefix="0" xfId="0">
      <alignment horizontal="general" vertical="bottom"/>
    </xf>
    <xf numFmtId="0" fontId="3" fillId="9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4" fillId="8" borderId="1" applyAlignment="1" pivotButton="0" quotePrefix="0" xfId="0">
      <alignment horizontal="center" vertical="bottom" textRotation="90" wrapText="1"/>
    </xf>
    <xf numFmtId="0" fontId="6" fillId="0" borderId="1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2" borderId="0" applyAlignment="1" pivotButton="0" quotePrefix="0" xfId="0">
      <alignment horizontal="center" vertical="center" wrapText="1"/>
    </xf>
    <xf numFmtId="0" fontId="15" fillId="3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center" vertical="center" wrapText="1"/>
    </xf>
    <xf numFmtId="0" fontId="16" fillId="7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15" fillId="10" borderId="0" applyAlignment="1" pivotButton="0" quotePrefix="0" xfId="0">
      <alignment horizontal="center" vertical="center" wrapText="1"/>
    </xf>
    <xf numFmtId="0" fontId="18" fillId="10" borderId="0" applyAlignment="1" pivotButton="0" quotePrefix="0" xfId="0">
      <alignment horizontal="center" vertical="bottom" textRotation="255" wrapText="1"/>
    </xf>
    <xf numFmtId="0" fontId="17" fillId="0" borderId="0" applyAlignment="1" pivotButton="0" quotePrefix="0" xfId="0">
      <alignment horizontal="general" vertical="bottom"/>
    </xf>
    <xf numFmtId="0" fontId="16" fillId="7" borderId="0" applyAlignment="1" pivotButton="0" quotePrefix="0" xfId="0">
      <alignment horizontal="general" vertical="bottom"/>
    </xf>
    <xf numFmtId="0" fontId="19" fillId="0" borderId="9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ont>
        <name val="Arial"/>
        <charset val="1"/>
        <family val="0"/>
        <b val="1"/>
        <color rgb="FFFFFFFF"/>
      </font>
      <fill>
        <patternFill>
          <bgColor rgb="FF1D6F6A"/>
        </patternFill>
      </fill>
    </dxf>
    <dxf>
      <font>
        <name val="Arial"/>
        <charset val="1"/>
        <family val="0"/>
        <color rgb="FF1D6F6A"/>
      </font>
      <fill>
        <patternFill>
          <bgColor rgb="FFCFE6E3"/>
        </patternFill>
      </fill>
    </dxf>
    <dxf>
      <fill>
        <patternFill>
          <bgColor rgb="FFCFE3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L76"/>
  <sheetViews>
    <sheetView showGridLines="1" zoomScale="90"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.5" customWidth="1" min="2" max="2"/>
    <col width="36" customWidth="1" min="6" max="6"/>
    <col width="44" customWidth="1" min="7" max="7"/>
    <col width="18" customWidth="1" min="8" max="8"/>
    <col width="26" customWidth="1" min="9" max="9"/>
    <col width="10" customWidth="1" min="11" max="11"/>
    <col width="28" customWidth="1" min="12" max="12"/>
  </cols>
  <sheetData>
    <row r="1" ht="21" customHeight="1">
      <c r="A1" s="1" t="inlineStr">
        <is>
          <t>バリューストリーム（L1〜L4）</t>
        </is>
      </c>
    </row>
    <row r="2" ht="15" customHeight="1">
      <c r="A2" s="2" t="inlineStr">
        <is>
          <t>対象：日本の事業会社（直接材・間接材・役務の調達、月末締め・振込払い）／日本の法令・制度基準（取適法・フリーランス法・消費税法〔インボイス〕・電帳法・印紙税法ほか）。1行1項目。L1〜L4列の●がその行のレベル。出口はL2、入力・出力情報・関連法令・主な関与者はL4の項目。 入力情報・出力情報はVS定義の過程で得られる正本（直接入力する）。情報オブジェクトはこれを取りまとめて一覧化したもの。★＝日本の制度・商慣行に固有の項目。</t>
        </is>
      </c>
    </row>
    <row r="3" ht="30" customHeight="1">
      <c r="A3" s="3" t="inlineStr">
        <is>
          <t>ID</t>
        </is>
      </c>
      <c r="B3" s="3" t="inlineStr">
        <is>
          <t>L1</t>
        </is>
      </c>
      <c r="C3" s="3" t="inlineStr">
        <is>
          <t>L2</t>
        </is>
      </c>
      <c r="D3" s="3" t="inlineStr">
        <is>
          <t>L3</t>
        </is>
      </c>
      <c r="E3" s="3" t="inlineStr">
        <is>
          <t>L4</t>
        </is>
      </c>
      <c r="F3" s="3" t="inlineStr">
        <is>
          <t>VS項目名</t>
        </is>
      </c>
      <c r="G3" s="3" t="inlineStr">
        <is>
          <t>VSの定義</t>
        </is>
      </c>
      <c r="H3" s="4" t="inlineStr">
        <is>
          <t>出口（ゲート）</t>
        </is>
      </c>
      <c r="I3" s="5" t="inlineStr">
        <is>
          <t>入力情報</t>
        </is>
      </c>
      <c r="J3" s="5" t="inlineStr">
        <is>
          <t>出力情報</t>
        </is>
      </c>
      <c r="K3" s="3" t="inlineStr">
        <is>
          <t>関連法令</t>
        </is>
      </c>
      <c r="L3" s="4" t="inlineStr">
        <is>
          <t>主な関与者（社内／外部）</t>
        </is>
      </c>
    </row>
    <row r="4" ht="26.25" customHeight="1">
      <c r="A4" s="6" t="inlineStr">
        <is>
          <t>VS</t>
        </is>
      </c>
      <c r="B4" s="7" t="inlineStr">
        <is>
          <t>●</t>
        </is>
      </c>
      <c r="C4" s="7" t="n"/>
      <c r="D4" s="7" t="n"/>
      <c r="E4" s="7" t="n"/>
      <c r="F4" s="8" t="inlineStr">
        <is>
          <t>Procure-to-Pay</t>
        </is>
      </c>
      <c r="G4" s="9" t="inlineStr">
        <is>
          <t>事業部門の需要を購買申請にまとめ、サプライヤーを選定して契約・発注し、受入・検収を経て、請求を照合して支払うまで。適正な品質の資材・サービスを最適なコストでタイムリーに調達し、サプライヤーへ公正かつ確実に支払う</t>
        </is>
      </c>
      <c r="H4" s="9" t="n"/>
      <c r="I4" s="9" t="n"/>
      <c r="J4" s="9" t="n"/>
      <c r="K4" s="6" t="n"/>
      <c r="L4" s="9" t="n"/>
    </row>
    <row r="5" ht="26.25" customHeight="1">
      <c r="A5" s="10" t="inlineStr">
        <is>
          <t>01</t>
        </is>
      </c>
      <c r="B5" s="11" t="n"/>
      <c r="C5" s="11" t="inlineStr">
        <is>
          <t>●</t>
        </is>
      </c>
      <c r="D5" s="11" t="n"/>
      <c r="E5" s="11" t="n"/>
      <c r="F5" s="12" t="inlineStr">
        <is>
          <t>需要特定・購買申請</t>
        </is>
      </c>
      <c r="G5" s="13" t="inlineStr">
        <is>
          <t>事業部門の需要を把握して仕様にまとめ、予算と職務権限に基づいて購買申請を承認する段階</t>
        </is>
      </c>
      <c r="H5" s="13" t="inlineStr">
        <is>
          <t>購買申請の承認</t>
        </is>
      </c>
      <c r="I5" s="13" t="n"/>
      <c r="J5" s="13" t="n"/>
      <c r="K5" s="10" t="n"/>
      <c r="L5" s="13" t="n"/>
    </row>
    <row r="6" ht="26.25" customHeight="1">
      <c r="A6" s="14" t="inlineStr">
        <is>
          <t>01-01</t>
        </is>
      </c>
      <c r="B6" s="15" t="n"/>
      <c r="C6" s="15" t="n"/>
      <c r="D6" s="15" t="inlineStr">
        <is>
          <t>●</t>
        </is>
      </c>
      <c r="E6" s="15" t="n"/>
      <c r="F6" s="16" t="inlineStr">
        <is>
          <t>需要の把握・購買計画</t>
        </is>
      </c>
      <c r="G6" s="17" t="inlineStr">
        <is>
          <t>年間の購買計画と予算を立て、生産計画・在庫から必要な量を把握する</t>
        </is>
      </c>
      <c r="H6" s="17" t="n"/>
      <c r="I6" s="17" t="n"/>
      <c r="J6" s="17" t="n"/>
      <c r="K6" s="14" t="n"/>
      <c r="L6" s="17" t="n"/>
    </row>
    <row r="7" ht="26.25" customHeight="1">
      <c r="A7" s="18" t="inlineStr">
        <is>
          <t>01-01-01</t>
        </is>
      </c>
      <c r="B7" s="19" t="n"/>
      <c r="C7" s="19" t="n"/>
      <c r="D7" s="19" t="n"/>
      <c r="E7" s="19" t="inlineStr">
        <is>
          <t>●</t>
        </is>
      </c>
      <c r="F7" s="20" t="inlineStr">
        <is>
          <t>年間購買計画・購買予算の策定</t>
        </is>
      </c>
      <c r="G7" s="20" t="n"/>
      <c r="H7" s="20" t="n"/>
      <c r="I7" s="21" t="inlineStr">
        <is>
          <t>支出分析、カテゴリ戦略</t>
        </is>
      </c>
      <c r="J7" s="22" t="inlineStr">
        <is>
          <t>購買計画・予算</t>
        </is>
      </c>
      <c r="K7" s="23" t="inlineStr">
        <is>
          <t>なし</t>
        </is>
      </c>
      <c r="L7" s="20" t="inlineStr">
        <is>
          <t>調達部門・事業部門・経理／—</t>
        </is>
      </c>
    </row>
    <row r="8" ht="26.25" customHeight="1">
      <c r="A8" s="18" t="inlineStr">
        <is>
          <t>01-01-02</t>
        </is>
      </c>
      <c r="B8" s="19" t="n"/>
      <c r="C8" s="19" t="n"/>
      <c r="D8" s="19" t="n"/>
      <c r="E8" s="19" t="inlineStr">
        <is>
          <t>●</t>
        </is>
      </c>
      <c r="F8" s="20" t="inlineStr">
        <is>
          <t>所要量計算（MRP）による購買依頼（直接材）</t>
        </is>
      </c>
      <c r="G8" s="20" t="n"/>
      <c r="H8" s="20" t="n"/>
      <c r="I8" s="21" t="inlineStr">
        <is>
          <t>品目マスタ、在庫</t>
        </is>
      </c>
      <c r="J8" s="22" t="inlineStr">
        <is>
          <t>所要量・補充依頼</t>
        </is>
      </c>
      <c r="K8" s="23" t="inlineStr">
        <is>
          <t>なし</t>
        </is>
      </c>
      <c r="L8" s="20" t="inlineStr">
        <is>
          <t>生産管理／—</t>
        </is>
      </c>
    </row>
    <row r="9" ht="26.25" customHeight="1">
      <c r="A9" s="18" t="inlineStr">
        <is>
          <t>01-01-03</t>
        </is>
      </c>
      <c r="B9" s="19" t="n"/>
      <c r="C9" s="19" t="n"/>
      <c r="D9" s="19" t="n"/>
      <c r="E9" s="19" t="inlineStr">
        <is>
          <t>●</t>
        </is>
      </c>
      <c r="F9" s="20" t="inlineStr">
        <is>
          <t>補充点による補充依頼（消耗品・MRO）</t>
        </is>
      </c>
      <c r="G9" s="20" t="n"/>
      <c r="H9" s="20" t="n"/>
      <c r="I9" s="21" t="inlineStr">
        <is>
          <t>在庫、品目マスタ</t>
        </is>
      </c>
      <c r="J9" s="22" t="inlineStr">
        <is>
          <t>所要量・補充依頼</t>
        </is>
      </c>
      <c r="K9" s="23" t="inlineStr">
        <is>
          <t>なし</t>
        </is>
      </c>
      <c r="L9" s="20" t="inlineStr">
        <is>
          <t>拠点の資材担当／—</t>
        </is>
      </c>
    </row>
    <row r="10" ht="26.25" customHeight="1">
      <c r="A10" s="14" t="inlineStr">
        <is>
          <t>01-02</t>
        </is>
      </c>
      <c r="B10" s="15" t="n"/>
      <c r="C10" s="15" t="n"/>
      <c r="D10" s="15" t="inlineStr">
        <is>
          <t>●</t>
        </is>
      </c>
      <c r="E10" s="15" t="n"/>
      <c r="F10" s="16" t="inlineStr">
        <is>
          <t>仕様策定・購買申請作成</t>
        </is>
      </c>
      <c r="G10" s="17" t="inlineStr">
        <is>
          <t>要求事項を仕様にまとめ、購買申請を作成して予算と権限に基づき承認する</t>
        </is>
      </c>
      <c r="H10" s="17" t="n"/>
      <c r="I10" s="17" t="n"/>
      <c r="J10" s="17" t="n"/>
      <c r="K10" s="14" t="n"/>
      <c r="L10" s="17" t="n"/>
    </row>
    <row r="11" ht="26.25" customHeight="1">
      <c r="A11" s="18" t="inlineStr">
        <is>
          <t>01-02-01</t>
        </is>
      </c>
      <c r="B11" s="19" t="n"/>
      <c r="C11" s="19" t="n"/>
      <c r="D11" s="19" t="n"/>
      <c r="E11" s="19" t="inlineStr">
        <is>
          <t>●</t>
        </is>
      </c>
      <c r="F11" s="20" t="inlineStr">
        <is>
          <t>購買仕様・要求事項の作成（品質・数量・納期・作業範囲）</t>
        </is>
      </c>
      <c r="G11" s="20" t="n"/>
      <c r="H11" s="20" t="n"/>
      <c r="I11" s="21" t="inlineStr">
        <is>
          <t>所要量・補充依頼、品目マスタ</t>
        </is>
      </c>
      <c r="J11" s="22" t="inlineStr">
        <is>
          <t>購買仕様書</t>
        </is>
      </c>
      <c r="K11" s="23" t="inlineStr">
        <is>
          <t>なし</t>
        </is>
      </c>
      <c r="L11" s="20" t="inlineStr">
        <is>
          <t>事業部門（需要者）／—</t>
        </is>
      </c>
    </row>
    <row r="12" ht="26.25" customHeight="1">
      <c r="A12" s="18" t="inlineStr">
        <is>
          <t>01-02-02</t>
        </is>
      </c>
      <c r="B12" s="19" t="n"/>
      <c r="C12" s="19" t="n"/>
      <c r="D12" s="19" t="n"/>
      <c r="E12" s="19" t="inlineStr">
        <is>
          <t>●</t>
        </is>
      </c>
      <c r="F12" s="20" t="inlineStr">
        <is>
          <t>既存契約・カタログからの選択（単価契約品）</t>
        </is>
      </c>
      <c r="G12" s="20" t="n"/>
      <c r="H12" s="20" t="n"/>
      <c r="I12" s="21" t="inlineStr">
        <is>
          <t>単価契約・カタログ、購買仕様書</t>
        </is>
      </c>
      <c r="J12" s="22" t="inlineStr">
        <is>
          <t>購買申請（PR）</t>
        </is>
      </c>
      <c r="K12" s="23" t="inlineStr">
        <is>
          <t>なし</t>
        </is>
      </c>
      <c r="L12" s="20" t="inlineStr">
        <is>
          <t>事業部門（需要者）／—</t>
        </is>
      </c>
    </row>
    <row r="13" ht="26.25" customHeight="1">
      <c r="A13" s="18" t="inlineStr">
        <is>
          <t>01-02-03</t>
        </is>
      </c>
      <c r="B13" s="19" t="n"/>
      <c r="C13" s="19" t="n"/>
      <c r="D13" s="19" t="n"/>
      <c r="E13" s="19" t="inlineStr">
        <is>
          <t>●</t>
        </is>
      </c>
      <c r="F13" s="20" t="inlineStr">
        <is>
          <t>購買申請（PR）の作成</t>
        </is>
      </c>
      <c r="G13" s="20" t="n"/>
      <c r="H13" s="20" t="n"/>
      <c r="I13" s="21" t="inlineStr">
        <is>
          <t>購買仕様書、所要量・補充依頼、品目マスタ</t>
        </is>
      </c>
      <c r="J13" s="22" t="inlineStr">
        <is>
          <t>購買申請（PR）</t>
        </is>
      </c>
      <c r="K13" s="23" t="inlineStr">
        <is>
          <t>なし</t>
        </is>
      </c>
      <c r="L13" s="20" t="inlineStr">
        <is>
          <t>事業部門（需要者）／—</t>
        </is>
      </c>
    </row>
    <row r="14" ht="26.25" customHeight="1">
      <c r="A14" s="18" t="inlineStr">
        <is>
          <t>01-02-04</t>
        </is>
      </c>
      <c r="B14" s="19" t="n"/>
      <c r="C14" s="19" t="n"/>
      <c r="D14" s="19" t="n"/>
      <c r="E14" s="19" t="inlineStr">
        <is>
          <t>●</t>
        </is>
      </c>
      <c r="F14" s="20" t="inlineStr">
        <is>
          <t>予算の確認・引当</t>
        </is>
      </c>
      <c r="G14" s="20" t="n"/>
      <c r="H14" s="20" t="n"/>
      <c r="I14" s="21" t="inlineStr">
        <is>
          <t>購買申請（PR）、購買計画・予算</t>
        </is>
      </c>
      <c r="J14" s="22" t="inlineStr">
        <is>
          <t>購買計画・予算</t>
        </is>
      </c>
      <c r="K14" s="23" t="inlineStr">
        <is>
          <t>なし</t>
        </is>
      </c>
      <c r="L14" s="20" t="inlineStr">
        <is>
          <t>事業部門・経理／—</t>
        </is>
      </c>
    </row>
    <row r="15" ht="26.25" customHeight="1">
      <c r="A15" s="18" t="inlineStr">
        <is>
          <t>01-02-05</t>
        </is>
      </c>
      <c r="B15" s="19" t="n"/>
      <c r="C15" s="19" t="n"/>
      <c r="D15" s="19" t="n"/>
      <c r="E15" s="19" t="inlineStr">
        <is>
          <t>●</t>
        </is>
      </c>
      <c r="F15" s="20" t="inlineStr">
        <is>
          <t>★稟議・購買申請の承認（職務権限に基づく）</t>
        </is>
      </c>
      <c r="G15" s="20" t="n"/>
      <c r="H15" s="20" t="n"/>
      <c r="I15" s="21" t="inlineStr">
        <is>
          <t>購買申請（PR）、購買規程・職務権限</t>
        </is>
      </c>
      <c r="J15" s="22" t="inlineStr">
        <is>
          <t>購買申請（PR）</t>
        </is>
      </c>
      <c r="K15" s="23" t="inlineStr">
        <is>
          <t>金商法</t>
        </is>
      </c>
      <c r="L15" s="20" t="inlineStr">
        <is>
          <t>部門長・決裁者／—</t>
        </is>
      </c>
    </row>
    <row r="16" ht="26.25" customHeight="1">
      <c r="A16" s="10" t="inlineStr">
        <is>
          <t>02</t>
        </is>
      </c>
      <c r="B16" s="11" t="n"/>
      <c r="C16" s="11" t="inlineStr">
        <is>
          <t>●</t>
        </is>
      </c>
      <c r="D16" s="11" t="n"/>
      <c r="E16" s="11" t="n"/>
      <c r="F16" s="12" t="inlineStr">
        <is>
          <t>サプライヤー選定・見積</t>
        </is>
      </c>
      <c r="G16" s="13" t="inlineStr">
        <is>
          <t>候補サプライヤーを探して審査し、見積・提案を比較・交渉して発注先を決める段階</t>
        </is>
      </c>
      <c r="H16" s="13" t="inlineStr">
        <is>
          <t>発注先の決定</t>
        </is>
      </c>
      <c r="I16" s="13" t="n"/>
      <c r="J16" s="13" t="n"/>
      <c r="K16" s="10" t="n"/>
      <c r="L16" s="13" t="n"/>
    </row>
    <row r="17" ht="26.25" customHeight="1">
      <c r="A17" s="14" t="inlineStr">
        <is>
          <t>02-01</t>
        </is>
      </c>
      <c r="B17" s="15" t="n"/>
      <c r="C17" s="15" t="n"/>
      <c r="D17" s="15" t="inlineStr">
        <is>
          <t>●</t>
        </is>
      </c>
      <c r="E17" s="15" t="n"/>
      <c r="F17" s="16" t="inlineStr">
        <is>
          <t>調達戦略の適用</t>
        </is>
      </c>
      <c r="G17" s="17" t="inlineStr">
        <is>
          <t>支出を分析し、カテゴリ戦略に沿って調達の方法を決める</t>
        </is>
      </c>
      <c r="H17" s="17" t="n"/>
      <c r="I17" s="17" t="n"/>
      <c r="J17" s="17" t="n"/>
      <c r="K17" s="14" t="n"/>
      <c r="L17" s="17" t="n"/>
    </row>
    <row r="18" ht="26.25" customHeight="1">
      <c r="A18" s="18" t="inlineStr">
        <is>
          <t>02-01-01</t>
        </is>
      </c>
      <c r="B18" s="19" t="n"/>
      <c r="C18" s="19" t="n"/>
      <c r="D18" s="19" t="n"/>
      <c r="E18" s="19" t="inlineStr">
        <is>
          <t>●</t>
        </is>
      </c>
      <c r="F18" s="20" t="inlineStr">
        <is>
          <t>支出分析（品目・サプライヤー・部門別）</t>
        </is>
      </c>
      <c r="G18" s="20" t="n"/>
      <c r="H18" s="20" t="n"/>
      <c r="I18" s="21" t="inlineStr">
        <is>
          <t>調達実績レポート、買掛金（債務）</t>
        </is>
      </c>
      <c r="J18" s="22" t="inlineStr">
        <is>
          <t>支出分析</t>
        </is>
      </c>
      <c r="K18" s="23" t="inlineStr">
        <is>
          <t>なし</t>
        </is>
      </c>
      <c r="L18" s="20" t="inlineStr">
        <is>
          <t>調達企画／—</t>
        </is>
      </c>
    </row>
    <row r="19" ht="26.25" customHeight="1">
      <c r="A19" s="18" t="inlineStr">
        <is>
          <t>02-01-02</t>
        </is>
      </c>
      <c r="B19" s="19" t="n"/>
      <c r="C19" s="19" t="n"/>
      <c r="D19" s="19" t="n"/>
      <c r="E19" s="19" t="inlineStr">
        <is>
          <t>●</t>
        </is>
      </c>
      <c r="F19" s="20" t="inlineStr">
        <is>
          <t>カテゴリ戦略と調達方法の決定（集約・競争入札・随意契約）</t>
        </is>
      </c>
      <c r="G19" s="20" t="n"/>
      <c r="H19" s="20" t="n"/>
      <c r="I19" s="21" t="inlineStr">
        <is>
          <t>支出分析、サプライヤーリスク情報、購買申請（PR）</t>
        </is>
      </c>
      <c r="J19" s="22" t="inlineStr">
        <is>
          <t>カテゴリ戦略</t>
        </is>
      </c>
      <c r="K19" s="23" t="inlineStr">
        <is>
          <t>なし</t>
        </is>
      </c>
      <c r="L19" s="20" t="inlineStr">
        <is>
          <t>調達企画・バイヤー／—</t>
        </is>
      </c>
    </row>
    <row r="20" ht="26.25" customHeight="1">
      <c r="A20" s="14" t="inlineStr">
        <is>
          <t>02-02</t>
        </is>
      </c>
      <c r="B20" s="15" t="n"/>
      <c r="C20" s="15" t="n"/>
      <c r="D20" s="15" t="inlineStr">
        <is>
          <t>●</t>
        </is>
      </c>
      <c r="E20" s="15" t="n"/>
      <c r="F20" s="16" t="inlineStr">
        <is>
          <t>サプライヤー探索・登録</t>
        </is>
      </c>
      <c r="G20" s="17" t="inlineStr">
        <is>
          <t>候補を探し、新規の取引先を審査してマスタに登録し、適用される取引ルールを判定する</t>
        </is>
      </c>
      <c r="H20" s="17" t="n"/>
      <c r="I20" s="17" t="n"/>
      <c r="J20" s="17" t="n"/>
      <c r="K20" s="14" t="n"/>
      <c r="L20" s="17" t="n"/>
    </row>
    <row r="21" ht="26.25" customHeight="1">
      <c r="A21" s="18" t="inlineStr">
        <is>
          <t>02-02-01</t>
        </is>
      </c>
      <c r="B21" s="19" t="n"/>
      <c r="C21" s="19" t="n"/>
      <c r="D21" s="19" t="n"/>
      <c r="E21" s="19" t="inlineStr">
        <is>
          <t>●</t>
        </is>
      </c>
      <c r="F21" s="20" t="inlineStr">
        <is>
          <t>候補サプライヤーの探索・情報収集（RFI）</t>
        </is>
      </c>
      <c r="G21" s="20" t="n"/>
      <c r="H21" s="20" t="n"/>
      <c r="I21" s="21" t="inlineStr">
        <is>
          <t>購買仕様書、カテゴリ戦略</t>
        </is>
      </c>
      <c r="J21" s="22" t="inlineStr">
        <is>
          <t>候補サプライヤー情報（RFI）</t>
        </is>
      </c>
      <c r="K21" s="23" t="inlineStr">
        <is>
          <t>なし</t>
        </is>
      </c>
      <c r="L21" s="20" t="inlineStr">
        <is>
          <t>バイヤー／候補サプライヤー</t>
        </is>
      </c>
    </row>
    <row r="22" ht="26.25" customHeight="1">
      <c r="A22" s="18" t="inlineStr">
        <is>
          <t>02-02-02</t>
        </is>
      </c>
      <c r="B22" s="19" t="n"/>
      <c r="C22" s="19" t="n"/>
      <c r="D22" s="19" t="n"/>
      <c r="E22" s="19" t="inlineStr">
        <is>
          <t>●</t>
        </is>
      </c>
      <c r="F22" s="20" t="inlineStr">
        <is>
          <t>★新規取引先の審査（与信・反社チェック・インボイス登録番号の確認）</t>
        </is>
      </c>
      <c r="G22" s="20" t="n"/>
      <c r="H22" s="20" t="n"/>
      <c r="I22" s="21" t="inlineStr">
        <is>
          <t>候補サプライヤー情報（RFI）</t>
        </is>
      </c>
      <c r="J22" s="22" t="inlineStr">
        <is>
          <t>取引先審査記録</t>
        </is>
      </c>
      <c r="K22" s="23" t="inlineStr">
        <is>
          <t>暴排条例・消費税法</t>
        </is>
      </c>
      <c r="L22" s="20" t="inlineStr">
        <is>
          <t>バイヤー・法務・経理／信用調査会社</t>
        </is>
      </c>
    </row>
    <row r="23" ht="26.25" customHeight="1">
      <c r="A23" s="18" t="inlineStr">
        <is>
          <t>02-02-03</t>
        </is>
      </c>
      <c r="B23" s="19" t="n"/>
      <c r="C23" s="19" t="n"/>
      <c r="D23" s="19" t="n"/>
      <c r="E23" s="19" t="inlineStr">
        <is>
          <t>●</t>
        </is>
      </c>
      <c r="F23" s="20" t="inlineStr">
        <is>
          <t>★取適法・フリーランス法の適用判定（資本金・従業員数・取引内容）</t>
        </is>
      </c>
      <c r="G23" s="20" t="n"/>
      <c r="H23" s="20" t="n"/>
      <c r="I23" s="21" t="inlineStr">
        <is>
          <t>取引先審査記録、購買仕様書</t>
        </is>
      </c>
      <c r="J23" s="22" t="inlineStr">
        <is>
          <t>取引区分判定</t>
        </is>
      </c>
      <c r="K23" s="23" t="inlineStr">
        <is>
          <t>取適法・フリーランス法</t>
        </is>
      </c>
      <c r="L23" s="20" t="inlineStr">
        <is>
          <t>バイヤー・法務／—</t>
        </is>
      </c>
    </row>
    <row r="24" ht="26.25" customHeight="1">
      <c r="A24" s="18" t="inlineStr">
        <is>
          <t>02-02-04</t>
        </is>
      </c>
      <c r="B24" s="19" t="n"/>
      <c r="C24" s="19" t="n"/>
      <c r="D24" s="19" t="n"/>
      <c r="E24" s="19" t="inlineStr">
        <is>
          <t>●</t>
        </is>
      </c>
      <c r="F24" s="20" t="inlineStr">
        <is>
          <t>サプライヤーマスタの登録（口座・支払条件・登録番号）</t>
        </is>
      </c>
      <c r="G24" s="20" t="n"/>
      <c r="H24" s="20" t="n"/>
      <c r="I24" s="21" t="inlineStr">
        <is>
          <t>取引先審査記録、取引区分判定</t>
        </is>
      </c>
      <c r="J24" s="22" t="inlineStr">
        <is>
          <t>サプライヤーマスタ</t>
        </is>
      </c>
      <c r="K24" s="23" t="inlineStr">
        <is>
          <t>消費税法</t>
        </is>
      </c>
      <c r="L24" s="20" t="inlineStr">
        <is>
          <t>購買管理・経理／サプライヤー</t>
        </is>
      </c>
    </row>
    <row r="25" ht="26.25" customHeight="1">
      <c r="A25" s="18" t="inlineStr">
        <is>
          <t>02-02-05</t>
        </is>
      </c>
      <c r="B25" s="19" t="n"/>
      <c r="C25" s="19" t="n"/>
      <c r="D25" s="19" t="n"/>
      <c r="E25" s="19" t="inlineStr">
        <is>
          <t>●</t>
        </is>
      </c>
      <c r="F25" s="20" t="inlineStr">
        <is>
          <t>★個人事業者のマイナンバーの取得（報酬の支払調書用）</t>
        </is>
      </c>
      <c r="G25" s="20" t="n"/>
      <c r="H25" s="20" t="n"/>
      <c r="I25" s="21" t="inlineStr">
        <is>
          <t>サプライヤーマスタ</t>
        </is>
      </c>
      <c r="J25" s="22" t="inlineStr">
        <is>
          <t>個人事業者の番号情報</t>
        </is>
      </c>
      <c r="K25" s="23" t="inlineStr">
        <is>
          <t>番号法</t>
        </is>
      </c>
      <c r="L25" s="20" t="inlineStr">
        <is>
          <t>経理／個人事業者</t>
        </is>
      </c>
    </row>
    <row r="26" ht="26.25" customHeight="1">
      <c r="A26" s="14" t="inlineStr">
        <is>
          <t>02-03</t>
        </is>
      </c>
      <c r="B26" s="15" t="n"/>
      <c r="C26" s="15" t="n"/>
      <c r="D26" s="15" t="inlineStr">
        <is>
          <t>●</t>
        </is>
      </c>
      <c r="E26" s="15" t="n"/>
      <c r="F26" s="16" t="inlineStr">
        <is>
          <t>RFP/RFQ・見積比較</t>
        </is>
      </c>
      <c r="G26" s="17" t="inlineStr">
        <is>
          <t>見積・提案を依頼して比較し、交渉を経て発注先を選ぶ</t>
        </is>
      </c>
      <c r="H26" s="17" t="n"/>
      <c r="I26" s="17" t="n"/>
      <c r="J26" s="17" t="n"/>
      <c r="K26" s="14" t="n"/>
      <c r="L26" s="17" t="n"/>
    </row>
    <row r="27" ht="26.25" customHeight="1">
      <c r="A27" s="18" t="inlineStr">
        <is>
          <t>02-03-01</t>
        </is>
      </c>
      <c r="B27" s="19" t="n"/>
      <c r="C27" s="19" t="n"/>
      <c r="D27" s="19" t="n"/>
      <c r="E27" s="19" t="inlineStr">
        <is>
          <t>●</t>
        </is>
      </c>
      <c r="F27" s="20" t="inlineStr">
        <is>
          <t>RFP/RFQの作成・発行</t>
        </is>
      </c>
      <c r="G27" s="20" t="n"/>
      <c r="H27" s="20" t="n"/>
      <c r="I27" s="21" t="inlineStr">
        <is>
          <t>購買仕様書、候補サプライヤー情報（RFI）</t>
        </is>
      </c>
      <c r="J27" s="22" t="inlineStr">
        <is>
          <t>見積依頼書（RFP・RFQ）</t>
        </is>
      </c>
      <c r="K27" s="23" t="inlineStr">
        <is>
          <t>なし</t>
        </is>
      </c>
      <c r="L27" s="20" t="inlineStr">
        <is>
          <t>バイヤー・事業部門／候補サプライヤー</t>
        </is>
      </c>
    </row>
    <row r="28" ht="26.25" customHeight="1">
      <c r="A28" s="18" t="inlineStr">
        <is>
          <t>02-03-02</t>
        </is>
      </c>
      <c r="B28" s="19" t="n"/>
      <c r="C28" s="19" t="n"/>
      <c r="D28" s="19" t="n"/>
      <c r="E28" s="19" t="inlineStr">
        <is>
          <t>●</t>
        </is>
      </c>
      <c r="F28" s="20" t="inlineStr">
        <is>
          <t>見積・提案の受領と比較評価（総保有コストを含む）</t>
        </is>
      </c>
      <c r="G28" s="20" t="n"/>
      <c r="H28" s="20" t="n"/>
      <c r="I28" s="21" t="inlineStr">
        <is>
          <t>見積依頼書（RFP・RFQ）、見積書・提案書</t>
        </is>
      </c>
      <c r="J28" s="22" t="inlineStr">
        <is>
          <t>見積比較・選定記録</t>
        </is>
      </c>
      <c r="K28" s="23" t="inlineStr">
        <is>
          <t>なし</t>
        </is>
      </c>
      <c r="L28" s="20" t="inlineStr">
        <is>
          <t>バイヤー・事業部門／—</t>
        </is>
      </c>
    </row>
    <row r="29" ht="26.25" customHeight="1">
      <c r="A29" s="18" t="inlineStr">
        <is>
          <t>02-03-03</t>
        </is>
      </c>
      <c r="B29" s="19" t="n"/>
      <c r="C29" s="19" t="n"/>
      <c r="D29" s="19" t="n"/>
      <c r="E29" s="19" t="inlineStr">
        <is>
          <t>●</t>
        </is>
      </c>
      <c r="F29" s="20" t="inlineStr">
        <is>
          <t>★価格交渉（価格転嫁の協議を含む）</t>
        </is>
      </c>
      <c r="G29" s="20" t="n"/>
      <c r="H29" s="20" t="n"/>
      <c r="I29" s="21" t="inlineStr">
        <is>
          <t>見積比較・選定記録、見積書・提案書</t>
        </is>
      </c>
      <c r="J29" s="22" t="inlineStr">
        <is>
          <t>価格交渉・協議記録</t>
        </is>
      </c>
      <c r="K29" s="23" t="inlineStr">
        <is>
          <t>取適法</t>
        </is>
      </c>
      <c r="L29" s="20" t="inlineStr">
        <is>
          <t>バイヤー／サプライヤー</t>
        </is>
      </c>
    </row>
    <row r="30" ht="26.25" customHeight="1">
      <c r="A30" s="18" t="inlineStr">
        <is>
          <t>02-03-04</t>
        </is>
      </c>
      <c r="B30" s="19" t="n"/>
      <c r="C30" s="19" t="n"/>
      <c r="D30" s="19" t="n"/>
      <c r="E30" s="19" t="inlineStr">
        <is>
          <t>●</t>
        </is>
      </c>
      <c r="F30" s="20" t="inlineStr">
        <is>
          <t>発注先の選定・承認（選定理由の記録）</t>
        </is>
      </c>
      <c r="G30" s="20" t="n"/>
      <c r="H30" s="20" t="n"/>
      <c r="I30" s="21" t="inlineStr">
        <is>
          <t>見積比較・選定記録、価格交渉・協議記録、サプライヤー評価</t>
        </is>
      </c>
      <c r="J30" s="22" t="inlineStr">
        <is>
          <t>見積比較・選定記録</t>
        </is>
      </c>
      <c r="K30" s="23" t="inlineStr">
        <is>
          <t>なし</t>
        </is>
      </c>
      <c r="L30" s="20" t="inlineStr">
        <is>
          <t>バイヤー・決裁者／—</t>
        </is>
      </c>
    </row>
    <row r="31" ht="26.25" customHeight="1">
      <c r="A31" s="10" t="inlineStr">
        <is>
          <t>03</t>
        </is>
      </c>
      <c r="B31" s="11" t="n"/>
      <c r="C31" s="11" t="inlineStr">
        <is>
          <t>●</t>
        </is>
      </c>
      <c r="D31" s="11" t="n"/>
      <c r="E31" s="11" t="n"/>
      <c r="F31" s="12" t="inlineStr">
        <is>
          <t>契約締結・発注</t>
        </is>
      </c>
      <c r="G31" s="13" t="inlineStr">
        <is>
          <t>購買契約を結び、取引条件を明示した発注書を送って、受注の確認と納期を管理する段階</t>
        </is>
      </c>
      <c r="H31" s="13" t="inlineStr">
        <is>
          <t>発注の確定（注文請書の受領）</t>
        </is>
      </c>
      <c r="I31" s="13" t="n"/>
      <c r="J31" s="13" t="n"/>
      <c r="K31" s="10" t="n"/>
      <c r="L31" s="13" t="n"/>
    </row>
    <row r="32" ht="26.25" customHeight="1">
      <c r="A32" s="14" t="inlineStr">
        <is>
          <t>03-01</t>
        </is>
      </c>
      <c r="B32" s="15" t="n"/>
      <c r="C32" s="15" t="n"/>
      <c r="D32" s="15" t="inlineStr">
        <is>
          <t>●</t>
        </is>
      </c>
      <c r="E32" s="15" t="n"/>
      <c r="F32" s="16" t="inlineStr">
        <is>
          <t>契約締結</t>
        </is>
      </c>
      <c r="G32" s="17" t="inlineStr">
        <is>
          <t>契約書を作成・審査して締結し、単価契約の登録と期限を管理する</t>
        </is>
      </c>
      <c r="H32" s="17" t="n"/>
      <c r="I32" s="17" t="n"/>
      <c r="J32" s="17" t="n"/>
      <c r="K32" s="14" t="n"/>
      <c r="L32" s="17" t="n"/>
    </row>
    <row r="33" ht="26.25" customHeight="1">
      <c r="A33" s="18" t="inlineStr">
        <is>
          <t>03-01-01</t>
        </is>
      </c>
      <c r="B33" s="19" t="n"/>
      <c r="C33" s="19" t="n"/>
      <c r="D33" s="19" t="n"/>
      <c r="E33" s="19" t="inlineStr">
        <is>
          <t>●</t>
        </is>
      </c>
      <c r="F33" s="20" t="inlineStr">
        <is>
          <t>契約書の作成・法務審査</t>
        </is>
      </c>
      <c r="G33" s="20" t="n"/>
      <c r="H33" s="20" t="n"/>
      <c r="I33" s="21" t="inlineStr">
        <is>
          <t>見積比較・選定記録、価格交渉・協議記録</t>
        </is>
      </c>
      <c r="J33" s="22" t="inlineStr">
        <is>
          <t>契約書</t>
        </is>
      </c>
      <c r="K33" s="23" t="inlineStr">
        <is>
          <t>民法</t>
        </is>
      </c>
      <c r="L33" s="20" t="inlineStr">
        <is>
          <t>バイヤー・法務／サプライヤー</t>
        </is>
      </c>
    </row>
    <row r="34" ht="26.25" customHeight="1">
      <c r="A34" s="18" t="inlineStr">
        <is>
          <t>03-01-02</t>
        </is>
      </c>
      <c r="B34" s="19" t="n"/>
      <c r="C34" s="19" t="n"/>
      <c r="D34" s="19" t="n"/>
      <c r="E34" s="19" t="inlineStr">
        <is>
          <t>●</t>
        </is>
      </c>
      <c r="F34" s="20" t="inlineStr">
        <is>
          <t>★契約の締結（電子契約・印紙税の処理）</t>
        </is>
      </c>
      <c r="G34" s="20" t="n"/>
      <c r="H34" s="20" t="n"/>
      <c r="I34" s="21" t="inlineStr">
        <is>
          <t>契約書</t>
        </is>
      </c>
      <c r="J34" s="22" t="inlineStr">
        <is>
          <t>契約書</t>
        </is>
      </c>
      <c r="K34" s="23" t="inlineStr">
        <is>
          <t>印紙税法・電帳法</t>
        </is>
      </c>
      <c r="L34" s="20" t="inlineStr">
        <is>
          <t>バイヤー・決裁者／サプライヤー</t>
        </is>
      </c>
    </row>
    <row r="35" ht="26.25" customHeight="1">
      <c r="A35" s="18" t="inlineStr">
        <is>
          <t>03-01-03</t>
        </is>
      </c>
      <c r="B35" s="19" t="n"/>
      <c r="C35" s="19" t="n"/>
      <c r="D35" s="19" t="n"/>
      <c r="E35" s="19" t="inlineStr">
        <is>
          <t>●</t>
        </is>
      </c>
      <c r="F35" s="20" t="inlineStr">
        <is>
          <t>単価契約・カタログの登録</t>
        </is>
      </c>
      <c r="G35" s="20" t="n"/>
      <c r="H35" s="20" t="n"/>
      <c r="I35" s="21" t="inlineStr">
        <is>
          <t>契約書、品目マスタ</t>
        </is>
      </c>
      <c r="J35" s="22" t="inlineStr">
        <is>
          <t>単価契約・カタログ</t>
        </is>
      </c>
      <c r="K35" s="23" t="inlineStr">
        <is>
          <t>なし</t>
        </is>
      </c>
      <c r="L35" s="20" t="inlineStr">
        <is>
          <t>購買管理／サプライヤー</t>
        </is>
      </c>
    </row>
    <row r="36" ht="26.25" customHeight="1">
      <c r="A36" s="18" t="inlineStr">
        <is>
          <t>03-01-04</t>
        </is>
      </c>
      <c r="B36" s="19" t="n"/>
      <c r="C36" s="19" t="n"/>
      <c r="D36" s="19" t="n"/>
      <c r="E36" s="19" t="inlineStr">
        <is>
          <t>●</t>
        </is>
      </c>
      <c r="F36" s="20" t="inlineStr">
        <is>
          <t>契約の期限・更新の管理</t>
        </is>
      </c>
      <c r="G36" s="20" t="n"/>
      <c r="H36" s="20" t="n"/>
      <c r="I36" s="21" t="inlineStr">
        <is>
          <t>契約書</t>
        </is>
      </c>
      <c r="J36" s="22" t="inlineStr">
        <is>
          <t>契約書</t>
        </is>
      </c>
      <c r="K36" s="23" t="inlineStr">
        <is>
          <t>民法</t>
        </is>
      </c>
      <c r="L36" s="20" t="inlineStr">
        <is>
          <t>バイヤー／—</t>
        </is>
      </c>
    </row>
    <row r="37" ht="26.25" customHeight="1">
      <c r="A37" s="14" t="inlineStr">
        <is>
          <t>03-02</t>
        </is>
      </c>
      <c r="B37" s="15" t="n"/>
      <c r="C37" s="15" t="n"/>
      <c r="D37" s="15" t="inlineStr">
        <is>
          <t>●</t>
        </is>
      </c>
      <c r="E37" s="15" t="n"/>
      <c r="F37" s="16" t="inlineStr">
        <is>
          <t>発注</t>
        </is>
      </c>
      <c r="G37" s="17" t="inlineStr">
        <is>
          <t>承認された申請・契約から発注書を作り、取引条件を明示して送付し、請書と納期を管理する</t>
        </is>
      </c>
      <c r="H37" s="17" t="n"/>
      <c r="I37" s="17" t="n"/>
      <c r="J37" s="17" t="n"/>
      <c r="K37" s="14" t="n"/>
      <c r="L37" s="17" t="n"/>
    </row>
    <row r="38" ht="26.25" customHeight="1">
      <c r="A38" s="18" t="inlineStr">
        <is>
          <t>03-02-01</t>
        </is>
      </c>
      <c r="B38" s="19" t="n"/>
      <c r="C38" s="19" t="n"/>
      <c r="D38" s="19" t="n"/>
      <c r="E38" s="19" t="inlineStr">
        <is>
          <t>●</t>
        </is>
      </c>
      <c r="F38" s="20" t="inlineStr">
        <is>
          <t>発注書（PO）の作成・承認</t>
        </is>
      </c>
      <c r="G38" s="20" t="n"/>
      <c r="H38" s="20" t="n"/>
      <c r="I38" s="21" t="inlineStr">
        <is>
          <t>購買申請（PR）、単価契約・カタログ、見積比較・選定記録、サプライヤーマスタ</t>
        </is>
      </c>
      <c r="J38" s="22" t="inlineStr">
        <is>
          <t>発注書（PO）</t>
        </is>
      </c>
      <c r="K38" s="23" t="inlineStr">
        <is>
          <t>なし</t>
        </is>
      </c>
      <c r="L38" s="20" t="inlineStr">
        <is>
          <t>バイヤー・決裁者／—</t>
        </is>
      </c>
    </row>
    <row r="39" ht="26.25" customHeight="1">
      <c r="A39" s="18" t="inlineStr">
        <is>
          <t>03-02-02</t>
        </is>
      </c>
      <c r="B39" s="19" t="n"/>
      <c r="C39" s="19" t="n"/>
      <c r="D39" s="19" t="n"/>
      <c r="E39" s="19" t="inlineStr">
        <is>
          <t>●</t>
        </is>
      </c>
      <c r="F39" s="20" t="inlineStr">
        <is>
          <t>★取引条件の明示（給付内容・代金・支払期日など、取適法・フリーランス法）</t>
        </is>
      </c>
      <c r="G39" s="20" t="n"/>
      <c r="H39" s="20" t="n"/>
      <c r="I39" s="21" t="inlineStr">
        <is>
          <t>発注書（PO）、取引区分判定</t>
        </is>
      </c>
      <c r="J39" s="22" t="inlineStr">
        <is>
          <t>発注書（PO）</t>
        </is>
      </c>
      <c r="K39" s="23" t="inlineStr">
        <is>
          <t>取適法・フリーランス法</t>
        </is>
      </c>
      <c r="L39" s="20" t="inlineStr">
        <is>
          <t>バイヤー／—</t>
        </is>
      </c>
    </row>
    <row r="40" ht="26.25" customHeight="1">
      <c r="A40" s="18" t="inlineStr">
        <is>
          <t>03-02-03</t>
        </is>
      </c>
      <c r="B40" s="19" t="n"/>
      <c r="C40" s="19" t="n"/>
      <c r="D40" s="19" t="n"/>
      <c r="E40" s="19" t="inlineStr">
        <is>
          <t>●</t>
        </is>
      </c>
      <c r="F40" s="20" t="inlineStr">
        <is>
          <t>発注書の送付と注文請書の受領</t>
        </is>
      </c>
      <c r="G40" s="20" t="n"/>
      <c r="H40" s="20" t="n"/>
      <c r="I40" s="21" t="inlineStr">
        <is>
          <t>発注書（PO）</t>
        </is>
      </c>
      <c r="J40" s="22" t="inlineStr">
        <is>
          <t>注文請書・納期回答</t>
        </is>
      </c>
      <c r="K40" s="23" t="inlineStr">
        <is>
          <t>なし</t>
        </is>
      </c>
      <c r="L40" s="20" t="inlineStr">
        <is>
          <t>バイヤー／サプライヤー</t>
        </is>
      </c>
    </row>
    <row r="41" ht="26.25" customHeight="1">
      <c r="A41" s="18" t="inlineStr">
        <is>
          <t>03-02-04</t>
        </is>
      </c>
      <c r="B41" s="19" t="n"/>
      <c r="C41" s="19" t="n"/>
      <c r="D41" s="19" t="n"/>
      <c r="E41" s="19" t="inlineStr">
        <is>
          <t>●</t>
        </is>
      </c>
      <c r="F41" s="20" t="inlineStr">
        <is>
          <t>★納期のフォローと発注の変更・取消（変更時の協議）</t>
        </is>
      </c>
      <c r="G41" s="20" t="n"/>
      <c r="H41" s="20" t="n"/>
      <c r="I41" s="21" t="inlineStr">
        <is>
          <t>注文請書・納期回答、発注書（PO）</t>
        </is>
      </c>
      <c r="J41" s="22" t="inlineStr">
        <is>
          <t>注文請書・納期回答、発注書（PO）</t>
        </is>
      </c>
      <c r="K41" s="23" t="inlineStr">
        <is>
          <t>取適法</t>
        </is>
      </c>
      <c r="L41" s="20" t="inlineStr">
        <is>
          <t>バイヤー／サプライヤー</t>
        </is>
      </c>
    </row>
    <row r="42" ht="26.25" customHeight="1">
      <c r="A42" s="10" t="inlineStr">
        <is>
          <t>04</t>
        </is>
      </c>
      <c r="B42" s="11" t="n"/>
      <c r="C42" s="11" t="inlineStr">
        <is>
          <t>●</t>
        </is>
      </c>
      <c r="D42" s="11" t="n"/>
      <c r="E42" s="11" t="n"/>
      <c r="F42" s="12" t="inlineStr">
        <is>
          <t>受入・検収</t>
        </is>
      </c>
      <c r="G42" s="13" t="inlineStr">
        <is>
          <t>納品物を受け入れて数量・品質を確認し、物品・役務を検収して、在庫・資産として計上する段階</t>
        </is>
      </c>
      <c r="H42" s="13" t="inlineStr">
        <is>
          <t>検収の完了</t>
        </is>
      </c>
      <c r="I42" s="13" t="n"/>
      <c r="J42" s="13" t="n"/>
      <c r="K42" s="10" t="n"/>
      <c r="L42" s="13" t="n"/>
    </row>
    <row r="43" ht="26.25" customHeight="1">
      <c r="A43" s="14" t="inlineStr">
        <is>
          <t>04-01</t>
        </is>
      </c>
      <c r="B43" s="15" t="n"/>
      <c r="C43" s="15" t="n"/>
      <c r="D43" s="15" t="inlineStr">
        <is>
          <t>●</t>
        </is>
      </c>
      <c r="E43" s="15" t="n"/>
      <c r="F43" s="16" t="inlineStr">
        <is>
          <t>入荷・受入</t>
        </is>
      </c>
      <c r="G43" s="17" t="inlineStr">
        <is>
          <t>入荷を予定して受け入れ、納品書と照合し、受入検査を行う</t>
        </is>
      </c>
      <c r="H43" s="17" t="n"/>
      <c r="I43" s="17" t="n"/>
      <c r="J43" s="17" t="n"/>
      <c r="K43" s="14" t="n"/>
      <c r="L43" s="17" t="n"/>
    </row>
    <row r="44" ht="26.25" customHeight="1">
      <c r="A44" s="18" t="inlineStr">
        <is>
          <t>04-01-01</t>
        </is>
      </c>
      <c r="B44" s="19" t="n"/>
      <c r="C44" s="19" t="n"/>
      <c r="D44" s="19" t="n"/>
      <c r="E44" s="19" t="inlineStr">
        <is>
          <t>●</t>
        </is>
      </c>
      <c r="F44" s="20" t="inlineStr">
        <is>
          <t>入荷予定の作成と受入の準備</t>
        </is>
      </c>
      <c r="G44" s="20" t="n"/>
      <c r="H44" s="20" t="n"/>
      <c r="I44" s="21" t="inlineStr">
        <is>
          <t>発注書（PO）、注文請書・納期回答</t>
        </is>
      </c>
      <c r="J44" s="22" t="inlineStr">
        <is>
          <t>入荷予定</t>
        </is>
      </c>
      <c r="K44" s="23" t="inlineStr">
        <is>
          <t>なし</t>
        </is>
      </c>
      <c r="L44" s="20" t="inlineStr">
        <is>
          <t>受入担当／サプライヤー（出荷通知）</t>
        </is>
      </c>
    </row>
    <row r="45" ht="26.25" customHeight="1">
      <c r="A45" s="18" t="inlineStr">
        <is>
          <t>04-01-02</t>
        </is>
      </c>
      <c r="B45" s="19" t="n"/>
      <c r="C45" s="19" t="n"/>
      <c r="D45" s="19" t="n"/>
      <c r="E45" s="19" t="inlineStr">
        <is>
          <t>●</t>
        </is>
      </c>
      <c r="F45" s="20" t="inlineStr">
        <is>
          <t>納品物の受入・数量確認（納品書・発注書との照合）</t>
        </is>
      </c>
      <c r="G45" s="20" t="n"/>
      <c r="H45" s="20" t="n"/>
      <c r="I45" s="21" t="inlineStr">
        <is>
          <t>入荷予定、納品書、発注書（PO）</t>
        </is>
      </c>
      <c r="J45" s="22" t="inlineStr">
        <is>
          <t>受入記録</t>
        </is>
      </c>
      <c r="K45" s="23" t="inlineStr">
        <is>
          <t>なし</t>
        </is>
      </c>
      <c r="L45" s="20" t="inlineStr">
        <is>
          <t>受入担当／運送業者</t>
        </is>
      </c>
    </row>
    <row r="46" ht="26.25" customHeight="1">
      <c r="A46" s="18" t="inlineStr">
        <is>
          <t>04-01-03</t>
        </is>
      </c>
      <c r="B46" s="19" t="n"/>
      <c r="C46" s="19" t="n"/>
      <c r="D46" s="19" t="n"/>
      <c r="E46" s="19" t="inlineStr">
        <is>
          <t>●</t>
        </is>
      </c>
      <c r="F46" s="20" t="inlineStr">
        <is>
          <t>受入検査（品質・仕様の確認）</t>
        </is>
      </c>
      <c r="G46" s="20" t="n"/>
      <c r="H46" s="20" t="n"/>
      <c r="I46" s="21" t="inlineStr">
        <is>
          <t>受入記録、購買仕様書</t>
        </is>
      </c>
      <c r="J46" s="22" t="inlineStr">
        <is>
          <t>受入記録</t>
        </is>
      </c>
      <c r="K46" s="23" t="inlineStr">
        <is>
          <t>なし</t>
        </is>
      </c>
      <c r="L46" s="20" t="inlineStr">
        <is>
          <t>品質・受入担当／—</t>
        </is>
      </c>
    </row>
    <row r="47" ht="26.25" customHeight="1">
      <c r="A47" s="18" t="inlineStr">
        <is>
          <t>04-01-04</t>
        </is>
      </c>
      <c r="B47" s="19" t="n"/>
      <c r="C47" s="19" t="n"/>
      <c r="D47" s="19" t="n"/>
      <c r="E47" s="19" t="inlineStr">
        <is>
          <t>●</t>
        </is>
      </c>
      <c r="F47" s="20" t="inlineStr">
        <is>
          <t>入庫・在庫の計上</t>
        </is>
      </c>
      <c r="G47" s="20" t="n"/>
      <c r="H47" s="20" t="n"/>
      <c r="I47" s="21" t="inlineStr">
        <is>
          <t>受入記録、品目マスタ</t>
        </is>
      </c>
      <c r="J47" s="22" t="inlineStr">
        <is>
          <t>在庫</t>
        </is>
      </c>
      <c r="K47" s="23" t="inlineStr">
        <is>
          <t>なし</t>
        </is>
      </c>
      <c r="L47" s="20" t="inlineStr">
        <is>
          <t>倉庫担当／—</t>
        </is>
      </c>
    </row>
    <row r="48" ht="26.25" customHeight="1">
      <c r="A48" s="14" t="inlineStr">
        <is>
          <t>04-02</t>
        </is>
      </c>
      <c r="B48" s="15" t="n"/>
      <c r="C48" s="15" t="n"/>
      <c r="D48" s="15" t="inlineStr">
        <is>
          <t>●</t>
        </is>
      </c>
      <c r="E48" s="15" t="n"/>
      <c r="F48" s="16" t="inlineStr">
        <is>
          <t>検収</t>
        </is>
      </c>
      <c r="G48" s="17" t="inlineStr">
        <is>
          <t>物品・役務の給付を確認して検収し、不適合品を処理し、固定資産を計上する</t>
        </is>
      </c>
      <c r="H48" s="17" t="n"/>
      <c r="I48" s="17" t="n"/>
      <c r="J48" s="17" t="n"/>
      <c r="K48" s="14" t="n"/>
      <c r="L48" s="17" t="n"/>
    </row>
    <row r="49" ht="26.25" customHeight="1">
      <c r="A49" s="18" t="inlineStr">
        <is>
          <t>04-02-01</t>
        </is>
      </c>
      <c r="B49" s="19" t="n"/>
      <c r="C49" s="19" t="n"/>
      <c r="D49" s="19" t="n"/>
      <c r="E49" s="19" t="inlineStr">
        <is>
          <t>●</t>
        </is>
      </c>
      <c r="F49" s="20" t="inlineStr">
        <is>
          <t>★物品の検収（受領後、速やかな検収）</t>
        </is>
      </c>
      <c r="G49" s="20" t="n"/>
      <c r="H49" s="20" t="n"/>
      <c r="I49" s="21" t="inlineStr">
        <is>
          <t>受入記録、発注書（PO）</t>
        </is>
      </c>
      <c r="J49" s="22" t="inlineStr">
        <is>
          <t>検収記録</t>
        </is>
      </c>
      <c r="K49" s="23" t="inlineStr">
        <is>
          <t>取適法</t>
        </is>
      </c>
      <c r="L49" s="20" t="inlineStr">
        <is>
          <t>受入担当・事業部門／—</t>
        </is>
      </c>
    </row>
    <row r="50" ht="26.25" customHeight="1">
      <c r="A50" s="18" t="inlineStr">
        <is>
          <t>04-02-02</t>
        </is>
      </c>
      <c r="B50" s="19" t="n"/>
      <c r="C50" s="19" t="n"/>
      <c r="D50" s="19" t="n"/>
      <c r="E50" s="19" t="inlineStr">
        <is>
          <t>●</t>
        </is>
      </c>
      <c r="F50" s="20" t="inlineStr">
        <is>
          <t>役務・サービスの検収（作業完了報告・成果物の確認）</t>
        </is>
      </c>
      <c r="G50" s="20" t="n"/>
      <c r="H50" s="20" t="n"/>
      <c r="I50" s="21" t="inlineStr">
        <is>
          <t>発注書（PO）、購買仕様書</t>
        </is>
      </c>
      <c r="J50" s="22" t="inlineStr">
        <is>
          <t>検収記録</t>
        </is>
      </c>
      <c r="K50" s="23" t="inlineStr">
        <is>
          <t>取適法・フリーランス法</t>
        </is>
      </c>
      <c r="L50" s="20" t="inlineStr">
        <is>
          <t>事業部門（需要者）／サプライヤー</t>
        </is>
      </c>
    </row>
    <row r="51" ht="26.25" customHeight="1">
      <c r="A51" s="18" t="inlineStr">
        <is>
          <t>04-02-03</t>
        </is>
      </c>
      <c r="B51" s="19" t="n"/>
      <c r="C51" s="19" t="n"/>
      <c r="D51" s="19" t="n"/>
      <c r="E51" s="19" t="inlineStr">
        <is>
          <t>●</t>
        </is>
      </c>
      <c r="F51" s="20" t="inlineStr">
        <is>
          <t>★不合格品の返品・再納品・値引きの協議（不当な返品・減額をしない）</t>
        </is>
      </c>
      <c r="G51" s="20" t="n"/>
      <c r="H51" s="20" t="n"/>
      <c r="I51" s="21" t="inlineStr">
        <is>
          <t>受入記録、発注書（PO）</t>
        </is>
      </c>
      <c r="J51" s="22" t="inlineStr">
        <is>
          <t>返品・不適合記録</t>
        </is>
      </c>
      <c r="K51" s="23" t="inlineStr">
        <is>
          <t>取適法</t>
        </is>
      </c>
      <c r="L51" s="20" t="inlineStr">
        <is>
          <t>品質・バイヤー／サプライヤー</t>
        </is>
      </c>
    </row>
    <row r="52" ht="26.25" customHeight="1">
      <c r="A52" s="18" t="inlineStr">
        <is>
          <t>04-02-04</t>
        </is>
      </c>
      <c r="B52" s="19" t="n"/>
      <c r="C52" s="19" t="n"/>
      <c r="D52" s="19" t="n"/>
      <c r="E52" s="19" t="inlineStr">
        <is>
          <t>●</t>
        </is>
      </c>
      <c r="F52" s="20" t="inlineStr">
        <is>
          <t>固定資産の計上（資産番号の付与）</t>
        </is>
      </c>
      <c r="G52" s="20" t="n"/>
      <c r="H52" s="20" t="n"/>
      <c r="I52" s="21" t="inlineStr">
        <is>
          <t>検収記録、発注書（PO）</t>
        </is>
      </c>
      <c r="J52" s="22" t="inlineStr">
        <is>
          <t>固定資産台帳</t>
        </is>
      </c>
      <c r="K52" s="23" t="inlineStr">
        <is>
          <t>法人税法</t>
        </is>
      </c>
      <c r="L52" s="20" t="inlineStr">
        <is>
          <t>経理・事業部門／—</t>
        </is>
      </c>
    </row>
    <row r="53" ht="26.25" customHeight="1">
      <c r="A53" s="10" t="inlineStr">
        <is>
          <t>05</t>
        </is>
      </c>
      <c r="B53" s="11" t="n"/>
      <c r="C53" s="11" t="inlineStr">
        <is>
          <t>●</t>
        </is>
      </c>
      <c r="D53" s="11" t="n"/>
      <c r="E53" s="11" t="n"/>
      <c r="F53" s="12" t="inlineStr">
        <is>
          <t>請求照合・支払決済</t>
        </is>
      </c>
      <c r="G53" s="13" t="inlineStr">
        <is>
          <t>請求書を受け取ってインボイスの要件と発注・検収との一致を確認し、期日どおりに支払って、債務・税務・証憑を処理する段階</t>
        </is>
      </c>
      <c r="H53" s="13" t="inlineStr">
        <is>
          <t>支払の完了・債務の消込</t>
        </is>
      </c>
      <c r="I53" s="13" t="n"/>
      <c r="J53" s="13" t="n"/>
      <c r="K53" s="10" t="n"/>
      <c r="L53" s="13" t="n"/>
    </row>
    <row r="54" ht="26.25" customHeight="1">
      <c r="A54" s="14" t="inlineStr">
        <is>
          <t>05-01</t>
        </is>
      </c>
      <c r="B54" s="15" t="n"/>
      <c r="C54" s="15" t="n"/>
      <c r="D54" s="15" t="inlineStr">
        <is>
          <t>●</t>
        </is>
      </c>
      <c r="E54" s="15" t="n"/>
      <c r="F54" s="16" t="inlineStr">
        <is>
          <t>請求書受領</t>
        </is>
      </c>
      <c r="G54" s="17" t="inlineStr">
        <is>
          <t>請求書を受け取って電子化し、適格請求書の要件を確認する</t>
        </is>
      </c>
      <c r="H54" s="17" t="n"/>
      <c r="I54" s="17" t="n"/>
      <c r="J54" s="17" t="n"/>
      <c r="K54" s="14" t="n"/>
      <c r="L54" s="17" t="n"/>
    </row>
    <row r="55" ht="26.25" customHeight="1">
      <c r="A55" s="18" t="inlineStr">
        <is>
          <t>05-01-01</t>
        </is>
      </c>
      <c r="B55" s="19" t="n"/>
      <c r="C55" s="19" t="n"/>
      <c r="D55" s="19" t="n"/>
      <c r="E55" s="19" t="inlineStr">
        <is>
          <t>●</t>
        </is>
      </c>
      <c r="F55" s="20" t="inlineStr">
        <is>
          <t>★請求書の受領・電子化（紙・PDF・デジタルインボイス、電帳法への対応）</t>
        </is>
      </c>
      <c r="G55" s="20" t="n"/>
      <c r="H55" s="20" t="n"/>
      <c r="I55" s="21" t="inlineStr">
        <is>
          <t>サプライヤーマスタ</t>
        </is>
      </c>
      <c r="J55" s="22" t="inlineStr">
        <is>
          <t>請求書</t>
        </is>
      </c>
      <c r="K55" s="23" t="inlineStr">
        <is>
          <t>電帳法</t>
        </is>
      </c>
      <c r="L55" s="20" t="inlineStr">
        <is>
          <t>買掛金担当／サプライヤー</t>
        </is>
      </c>
    </row>
    <row r="56" ht="26.25" customHeight="1">
      <c r="A56" s="18" t="inlineStr">
        <is>
          <t>05-01-02</t>
        </is>
      </c>
      <c r="B56" s="19" t="n"/>
      <c r="C56" s="19" t="n"/>
      <c r="D56" s="19" t="n"/>
      <c r="E56" s="19" t="inlineStr">
        <is>
          <t>●</t>
        </is>
      </c>
      <c r="F56" s="20" t="inlineStr">
        <is>
          <t>★適格請求書（インボイス）の記載事項・登録番号の確認</t>
        </is>
      </c>
      <c r="G56" s="20" t="n"/>
      <c r="H56" s="20" t="n"/>
      <c r="I56" s="21" t="inlineStr">
        <is>
          <t>請求書、サプライヤーマスタ</t>
        </is>
      </c>
      <c r="J56" s="22" t="inlineStr">
        <is>
          <t>請求書</t>
        </is>
      </c>
      <c r="K56" s="23" t="inlineStr">
        <is>
          <t>消費税法</t>
        </is>
      </c>
      <c r="L56" s="20" t="inlineStr">
        <is>
          <t>買掛金担当／—</t>
        </is>
      </c>
    </row>
    <row r="57" ht="26.25" customHeight="1">
      <c r="A57" s="14" t="inlineStr">
        <is>
          <t>05-02</t>
        </is>
      </c>
      <c r="B57" s="15" t="n"/>
      <c r="C57" s="15" t="n"/>
      <c r="D57" s="15" t="inlineStr">
        <is>
          <t>●</t>
        </is>
      </c>
      <c r="E57" s="15" t="n"/>
      <c r="F57" s="16" t="inlineStr">
        <is>
          <t>照合・支払承認</t>
        </is>
      </c>
      <c r="G57" s="17" t="inlineStr">
        <is>
          <t>発注・検収・請求を照合して差異を解消し、締め処理で支払予定を確定して承認する</t>
        </is>
      </c>
      <c r="H57" s="17" t="n"/>
      <c r="I57" s="17" t="n"/>
      <c r="J57" s="17" t="n"/>
      <c r="K57" s="14" t="n"/>
      <c r="L57" s="17" t="n"/>
    </row>
    <row r="58" ht="26.25" customHeight="1">
      <c r="A58" s="18" t="inlineStr">
        <is>
          <t>05-02-01</t>
        </is>
      </c>
      <c r="B58" s="19" t="n"/>
      <c r="C58" s="19" t="n"/>
      <c r="D58" s="19" t="n"/>
      <c r="E58" s="19" t="inlineStr">
        <is>
          <t>●</t>
        </is>
      </c>
      <c r="F58" s="20" t="inlineStr">
        <is>
          <t>3-Wayマッチング（発注・検収・請求の照合）</t>
        </is>
      </c>
      <c r="G58" s="20" t="n"/>
      <c r="H58" s="20" t="n"/>
      <c r="I58" s="21" t="inlineStr">
        <is>
          <t>請求書、発注書（PO）、検収記録</t>
        </is>
      </c>
      <c r="J58" s="22" t="inlineStr">
        <is>
          <t>照合結果・差異記録</t>
        </is>
      </c>
      <c r="K58" s="23" t="inlineStr">
        <is>
          <t>なし</t>
        </is>
      </c>
      <c r="L58" s="20" t="inlineStr">
        <is>
          <t>買掛金担当／—</t>
        </is>
      </c>
    </row>
    <row r="59" ht="26.25" customHeight="1">
      <c r="A59" s="18" t="inlineStr">
        <is>
          <t>05-02-02</t>
        </is>
      </c>
      <c r="B59" s="19" t="n"/>
      <c r="C59" s="19" t="n"/>
      <c r="D59" s="19" t="n"/>
      <c r="E59" s="19" t="inlineStr">
        <is>
          <t>●</t>
        </is>
      </c>
      <c r="F59" s="20" t="inlineStr">
        <is>
          <t>差異の調査・解消（価格差・数量差）</t>
        </is>
      </c>
      <c r="G59" s="20" t="n"/>
      <c r="H59" s="20" t="n"/>
      <c r="I59" s="21" t="inlineStr">
        <is>
          <t>照合結果・差異記録、注文請書・納期回答、返品・不適合記録</t>
        </is>
      </c>
      <c r="J59" s="22" t="inlineStr">
        <is>
          <t>照合結果・差異記録</t>
        </is>
      </c>
      <c r="K59" s="23" t="inlineStr">
        <is>
          <t>取適法</t>
        </is>
      </c>
      <c r="L59" s="20" t="inlineStr">
        <is>
          <t>買掛金担当・バイヤー／サプライヤー</t>
        </is>
      </c>
    </row>
    <row r="60" ht="26.25" customHeight="1">
      <c r="A60" s="18" t="inlineStr">
        <is>
          <t>05-02-03</t>
        </is>
      </c>
      <c r="B60" s="19" t="n"/>
      <c r="C60" s="19" t="n"/>
      <c r="D60" s="19" t="n"/>
      <c r="E60" s="19" t="inlineStr">
        <is>
          <t>●</t>
        </is>
      </c>
      <c r="F60" s="20" t="inlineStr">
        <is>
          <t>債務の計上</t>
        </is>
      </c>
      <c r="G60" s="20" t="n"/>
      <c r="H60" s="20" t="n"/>
      <c r="I60" s="21" t="inlineStr">
        <is>
          <t>照合結果・差異記録、請求書</t>
        </is>
      </c>
      <c r="J60" s="22" t="inlineStr">
        <is>
          <t>買掛金（債務）、会計仕訳</t>
        </is>
      </c>
      <c r="K60" s="23" t="inlineStr">
        <is>
          <t>法人税法</t>
        </is>
      </c>
      <c r="L60" s="20" t="inlineStr">
        <is>
          <t>買掛金担当／—</t>
        </is>
      </c>
    </row>
    <row r="61" ht="26.25" customHeight="1">
      <c r="A61" s="18" t="inlineStr">
        <is>
          <t>05-02-04</t>
        </is>
      </c>
      <c r="B61" s="19" t="n"/>
      <c r="C61" s="19" t="n"/>
      <c r="D61" s="19" t="n"/>
      <c r="E61" s="19" t="inlineStr">
        <is>
          <t>●</t>
        </is>
      </c>
      <c r="F61" s="20" t="inlineStr">
        <is>
          <t>★締め処理と支払予定の確定（取適法等の対象は受領から60日以内）</t>
        </is>
      </c>
      <c r="G61" s="20" t="n"/>
      <c r="H61" s="20" t="n"/>
      <c r="I61" s="21" t="inlineStr">
        <is>
          <t>買掛金（債務）、サプライヤーマスタ、取引区分判定、検収記録</t>
        </is>
      </c>
      <c r="J61" s="22" t="inlineStr">
        <is>
          <t>支払予定</t>
        </is>
      </c>
      <c r="K61" s="23" t="inlineStr">
        <is>
          <t>取適法・フリーランス法</t>
        </is>
      </c>
      <c r="L61" s="20" t="inlineStr">
        <is>
          <t>買掛金担当／—</t>
        </is>
      </c>
    </row>
    <row r="62" ht="26.25" customHeight="1">
      <c r="A62" s="18" t="inlineStr">
        <is>
          <t>05-02-05</t>
        </is>
      </c>
      <c r="B62" s="19" t="n"/>
      <c r="C62" s="19" t="n"/>
      <c r="D62" s="19" t="n"/>
      <c r="E62" s="19" t="inlineStr">
        <is>
          <t>●</t>
        </is>
      </c>
      <c r="F62" s="20" t="inlineStr">
        <is>
          <t>支払承認</t>
        </is>
      </c>
      <c r="G62" s="20" t="n"/>
      <c r="H62" s="20" t="n"/>
      <c r="I62" s="21" t="inlineStr">
        <is>
          <t>支払予定、購買規程・職務権限</t>
        </is>
      </c>
      <c r="J62" s="22" t="inlineStr">
        <is>
          <t>支払予定</t>
        </is>
      </c>
      <c r="K62" s="23" t="inlineStr">
        <is>
          <t>金商法</t>
        </is>
      </c>
      <c r="L62" s="20" t="inlineStr">
        <is>
          <t>経理責任者・決裁者／—</t>
        </is>
      </c>
    </row>
    <row r="63" ht="26.25" customHeight="1">
      <c r="A63" s="14" t="inlineStr">
        <is>
          <t>05-03</t>
        </is>
      </c>
      <c r="B63" s="15" t="n"/>
      <c r="C63" s="15" t="n"/>
      <c r="D63" s="15" t="inlineStr">
        <is>
          <t>●</t>
        </is>
      </c>
      <c r="E63" s="15" t="n"/>
      <c r="F63" s="16" t="inlineStr">
        <is>
          <t>支払・会計処理</t>
        </is>
      </c>
      <c r="G63" s="17" t="inlineStr">
        <is>
          <t>振込で支払い、債務を消し込み、消費税・源泉徴収・証憑保存を処理する</t>
        </is>
      </c>
      <c r="H63" s="17" t="n"/>
      <c r="I63" s="17" t="n"/>
      <c r="J63" s="17" t="n"/>
      <c r="K63" s="14" t="n"/>
      <c r="L63" s="17" t="n"/>
    </row>
    <row r="64" ht="26.25" customHeight="1">
      <c r="A64" s="18" t="inlineStr">
        <is>
          <t>05-03-01</t>
        </is>
      </c>
      <c r="B64" s="19" t="n"/>
      <c r="C64" s="19" t="n"/>
      <c r="D64" s="19" t="n"/>
      <c r="E64" s="19" t="inlineStr">
        <is>
          <t>●</t>
        </is>
      </c>
      <c r="F64" s="20" t="inlineStr">
        <is>
          <t>支払データの作成・振込（全銀形式）</t>
        </is>
      </c>
      <c r="G64" s="20" t="n"/>
      <c r="H64" s="20" t="n"/>
      <c r="I64" s="21" t="inlineStr">
        <is>
          <t>支払予定、サプライヤーマスタ</t>
        </is>
      </c>
      <c r="J64" s="22" t="inlineStr">
        <is>
          <t>支払データ</t>
        </is>
      </c>
      <c r="K64" s="23" t="inlineStr">
        <is>
          <t>なし</t>
        </is>
      </c>
      <c r="L64" s="20" t="inlineStr">
        <is>
          <t>財務・資金担当／銀行</t>
        </is>
      </c>
    </row>
    <row r="65" ht="26.25" customHeight="1">
      <c r="A65" s="18" t="inlineStr">
        <is>
          <t>05-03-02</t>
        </is>
      </c>
      <c r="B65" s="19" t="n"/>
      <c r="C65" s="19" t="n"/>
      <c r="D65" s="19" t="n"/>
      <c r="E65" s="19" t="inlineStr">
        <is>
          <t>●</t>
        </is>
      </c>
      <c r="F65" s="20" t="inlineStr">
        <is>
          <t>債務の消込と支払の仕訳</t>
        </is>
      </c>
      <c r="G65" s="20" t="n"/>
      <c r="H65" s="20" t="n"/>
      <c r="I65" s="21" t="inlineStr">
        <is>
          <t>支払データ、買掛金（債務）</t>
        </is>
      </c>
      <c r="J65" s="22" t="inlineStr">
        <is>
          <t>買掛金（債務）、会計仕訳</t>
        </is>
      </c>
      <c r="K65" s="23" t="inlineStr">
        <is>
          <t>法人税法</t>
        </is>
      </c>
      <c r="L65" s="20" t="inlineStr">
        <is>
          <t>買掛金担当／—</t>
        </is>
      </c>
    </row>
    <row r="66" ht="26.25" customHeight="1">
      <c r="A66" s="18" t="inlineStr">
        <is>
          <t>05-03-03</t>
        </is>
      </c>
      <c r="B66" s="19" t="n"/>
      <c r="C66" s="19" t="n"/>
      <c r="D66" s="19" t="n"/>
      <c r="E66" s="19" t="inlineStr">
        <is>
          <t>●</t>
        </is>
      </c>
      <c r="F66" s="20" t="inlineStr">
        <is>
          <t>★報酬の源泉徴収・納付と支払調書の作成（個人への支払）</t>
        </is>
      </c>
      <c r="G66" s="20" t="n"/>
      <c r="H66" s="20" t="n"/>
      <c r="I66" s="21" t="inlineStr">
        <is>
          <t>請求書、個人事業者の番号情報、支払データ</t>
        </is>
      </c>
      <c r="J66" s="22" t="inlineStr">
        <is>
          <t>源泉徴収・支払調書</t>
        </is>
      </c>
      <c r="K66" s="23" t="inlineStr">
        <is>
          <t>所得税法・番号法</t>
        </is>
      </c>
      <c r="L66" s="20" t="inlineStr">
        <is>
          <t>経理／税務署</t>
        </is>
      </c>
    </row>
    <row r="67" ht="26.25" customHeight="1">
      <c r="A67" s="18" t="inlineStr">
        <is>
          <t>05-03-04</t>
        </is>
      </c>
      <c r="B67" s="19" t="n"/>
      <c r="C67" s="19" t="n"/>
      <c r="D67" s="19" t="n"/>
      <c r="E67" s="19" t="inlineStr">
        <is>
          <t>●</t>
        </is>
      </c>
      <c r="F67" s="20" t="inlineStr">
        <is>
          <t>★消費税の仕入税額控除の処理（免税事業者からの仕入の経過措置を含む）</t>
        </is>
      </c>
      <c r="G67" s="20" t="n"/>
      <c r="H67" s="20" t="n"/>
      <c r="I67" s="21" t="inlineStr">
        <is>
          <t>請求書、会計仕訳、サプライヤーマスタ</t>
        </is>
      </c>
      <c r="J67" s="22" t="inlineStr">
        <is>
          <t>会計仕訳</t>
        </is>
      </c>
      <c r="K67" s="23" t="inlineStr">
        <is>
          <t>消費税法</t>
        </is>
      </c>
      <c r="L67" s="20" t="inlineStr">
        <is>
          <t>経理／—</t>
        </is>
      </c>
    </row>
    <row r="68" ht="26.25" customHeight="1">
      <c r="A68" s="18" t="inlineStr">
        <is>
          <t>05-03-05</t>
        </is>
      </c>
      <c r="B68" s="19" t="n"/>
      <c r="C68" s="19" t="n"/>
      <c r="D68" s="19" t="n"/>
      <c r="E68" s="19" t="inlineStr">
        <is>
          <t>●</t>
        </is>
      </c>
      <c r="F68" s="20" t="inlineStr">
        <is>
          <t>★証憑の保存（電帳法の要件・法人税法の保存期間）</t>
        </is>
      </c>
      <c r="G68" s="20" t="n"/>
      <c r="H68" s="20" t="n"/>
      <c r="I68" s="21" t="inlineStr">
        <is>
          <t>請求書、発注書（PO）、契約書、納品書、検収記録</t>
        </is>
      </c>
      <c r="J68" s="22" t="inlineStr">
        <is>
          <t>保存証憑</t>
        </is>
      </c>
      <c r="K68" s="23" t="inlineStr">
        <is>
          <t>電帳法・法人税法</t>
        </is>
      </c>
      <c r="L68" s="20" t="inlineStr">
        <is>
          <t>経理／—</t>
        </is>
      </c>
    </row>
    <row r="69" ht="26.25" customHeight="1">
      <c r="A69" s="14" t="inlineStr">
        <is>
          <t>05-04</t>
        </is>
      </c>
      <c r="B69" s="15" t="n"/>
      <c r="C69" s="15" t="n"/>
      <c r="D69" s="15" t="inlineStr">
        <is>
          <t>●</t>
        </is>
      </c>
      <c r="E69" s="15" t="n"/>
      <c r="F69" s="16" t="inlineStr">
        <is>
          <t>振り返り・評価</t>
        </is>
      </c>
      <c r="G69" s="17" t="inlineStr">
        <is>
          <t>サプライヤーを評価し、調達実績と取引の適正さを点検して次の調達に生かす</t>
        </is>
      </c>
      <c r="H69" s="17" t="n"/>
      <c r="I69" s="17" t="n"/>
      <c r="J69" s="17" t="n"/>
      <c r="K69" s="14" t="n"/>
      <c r="L69" s="17" t="n"/>
    </row>
    <row r="70" ht="26.25" customHeight="1">
      <c r="A70" s="18" t="inlineStr">
        <is>
          <t>05-04-01</t>
        </is>
      </c>
      <c r="B70" s="19" t="n"/>
      <c r="C70" s="19" t="n"/>
      <c r="D70" s="19" t="n"/>
      <c r="E70" s="19" t="inlineStr">
        <is>
          <t>●</t>
        </is>
      </c>
      <c r="F70" s="20" t="inlineStr">
        <is>
          <t>サプライヤーの評価（品質・納期・価格・対応）</t>
        </is>
      </c>
      <c r="G70" s="20" t="n"/>
      <c r="H70" s="20" t="n"/>
      <c r="I70" s="21" t="inlineStr">
        <is>
          <t>受入記録、返品・不適合記録、注文請書・納期回答、見積比較・選定記録</t>
        </is>
      </c>
      <c r="J70" s="22" t="inlineStr">
        <is>
          <t>サプライヤー評価</t>
        </is>
      </c>
      <c r="K70" s="23" t="inlineStr">
        <is>
          <t>なし</t>
        </is>
      </c>
      <c r="L70" s="20" t="inlineStr">
        <is>
          <t>バイヤー・品質・事業部門／サプライヤー</t>
        </is>
      </c>
    </row>
    <row r="71" ht="26.25" customHeight="1">
      <c r="A71" s="18" t="inlineStr">
        <is>
          <t>05-04-02</t>
        </is>
      </c>
      <c r="B71" s="19" t="n"/>
      <c r="C71" s="19" t="n"/>
      <c r="D71" s="19" t="n"/>
      <c r="E71" s="19" t="inlineStr">
        <is>
          <t>●</t>
        </is>
      </c>
      <c r="F71" s="20" t="inlineStr">
        <is>
          <t>サプライヤーリスクのモニタリングとBCP</t>
        </is>
      </c>
      <c r="G71" s="20" t="n"/>
      <c r="H71" s="20" t="n"/>
      <c r="I71" s="21" t="inlineStr">
        <is>
          <t>サプライヤーマスタ、サプライヤー評価、支出分析</t>
        </is>
      </c>
      <c r="J71" s="22" t="inlineStr">
        <is>
          <t>サプライヤーリスク情報</t>
        </is>
      </c>
      <c r="K71" s="23" t="inlineStr">
        <is>
          <t>なし</t>
        </is>
      </c>
      <c r="L71" s="20" t="inlineStr">
        <is>
          <t>調達企画／信用調査会社</t>
        </is>
      </c>
    </row>
    <row r="72" ht="26.25" customHeight="1">
      <c r="A72" s="18" t="inlineStr">
        <is>
          <t>05-04-03</t>
        </is>
      </c>
      <c r="B72" s="19" t="n"/>
      <c r="C72" s="19" t="n"/>
      <c r="D72" s="19" t="n"/>
      <c r="E72" s="19" t="inlineStr">
        <is>
          <t>●</t>
        </is>
      </c>
      <c r="F72" s="20" t="inlineStr">
        <is>
          <t>調達実績の集計・コスト削減効果の測定</t>
        </is>
      </c>
      <c r="G72" s="20" t="n"/>
      <c r="H72" s="20" t="n"/>
      <c r="I72" s="21" t="inlineStr">
        <is>
          <t>買掛金（債務）、発注書（PO）、見積比較・選定記録</t>
        </is>
      </c>
      <c r="J72" s="22" t="inlineStr">
        <is>
          <t>調達実績レポート</t>
        </is>
      </c>
      <c r="K72" s="23" t="inlineStr">
        <is>
          <t>なし</t>
        </is>
      </c>
      <c r="L72" s="20" t="inlineStr">
        <is>
          <t>調達企画／—</t>
        </is>
      </c>
    </row>
    <row r="73" ht="26.25" customHeight="1">
      <c r="A73" s="18" t="inlineStr">
        <is>
          <t>05-04-04</t>
        </is>
      </c>
      <c r="B73" s="19" t="n"/>
      <c r="C73" s="19" t="n"/>
      <c r="D73" s="19" t="n"/>
      <c r="E73" s="19" t="inlineStr">
        <is>
          <t>●</t>
        </is>
      </c>
      <c r="F73" s="20" t="inlineStr">
        <is>
          <t>★取引適正化の点検（支払遅延・減額・返品・価格協議）と是正</t>
        </is>
      </c>
      <c r="G73" s="20" t="n"/>
      <c r="H73" s="20" t="n"/>
      <c r="I73" s="21" t="inlineStr">
        <is>
          <t>支払予定、返品・不適合記録、価格交渉・協議記録、取引区分判定</t>
        </is>
      </c>
      <c r="J73" s="22" t="inlineStr">
        <is>
          <t>取引適正化点検記録</t>
        </is>
      </c>
      <c r="K73" s="23" t="inlineStr">
        <is>
          <t>取適法・フリーランス法</t>
        </is>
      </c>
      <c r="L73" s="20" t="inlineStr">
        <is>
          <t>調達企画・法務・監査／—</t>
        </is>
      </c>
    </row>
    <row r="74" ht="26.25" customHeight="1">
      <c r="A74" s="18" t="inlineStr">
        <is>
          <t>05-04-05</t>
        </is>
      </c>
      <c r="B74" s="19" t="n"/>
      <c r="C74" s="19" t="n"/>
      <c r="D74" s="19" t="n"/>
      <c r="E74" s="19" t="inlineStr">
        <is>
          <t>●</t>
        </is>
      </c>
      <c r="F74" s="20" t="inlineStr">
        <is>
          <t>職務分掌・権限の点検と監査対応（J-SOX）</t>
        </is>
      </c>
      <c r="G74" s="20" t="n"/>
      <c r="H74" s="20" t="n"/>
      <c r="I74" s="21" t="inlineStr">
        <is>
          <t>職務分掌・権限設定、保存証憑</t>
        </is>
      </c>
      <c r="J74" s="22" t="inlineStr">
        <is>
          <t>職務分掌・権限設定</t>
        </is>
      </c>
      <c r="K74" s="23" t="inlineStr">
        <is>
          <t>金商法</t>
        </is>
      </c>
      <c r="L74" s="20" t="inlineStr">
        <is>
          <t>内部監査・経理・情報システム／監査法人</t>
        </is>
      </c>
    </row>
    <row r="75" ht="26.25" customHeight="1">
      <c r="A75" s="18" t="inlineStr">
        <is>
          <t>05-04-06</t>
        </is>
      </c>
      <c r="B75" s="19" t="n"/>
      <c r="C75" s="19" t="n"/>
      <c r="D75" s="19" t="n"/>
      <c r="E75" s="19" t="inlineStr">
        <is>
          <t>●</t>
        </is>
      </c>
      <c r="F75" s="20" t="inlineStr">
        <is>
          <t>購買規程・調達方針の見直し（持続可能な調達を含む）</t>
        </is>
      </c>
      <c r="G75" s="20" t="n"/>
      <c r="H75" s="20" t="n"/>
      <c r="I75" s="21" t="inlineStr">
        <is>
          <t>取引適正化点検記録、調達実績レポート</t>
        </is>
      </c>
      <c r="J75" s="22" t="inlineStr">
        <is>
          <t>購買規程・職務権限</t>
        </is>
      </c>
      <c r="K75" s="23" t="inlineStr">
        <is>
          <t>なし</t>
        </is>
      </c>
      <c r="L75" s="20" t="inlineStr">
        <is>
          <t>調達企画・経営／—</t>
        </is>
      </c>
    </row>
    <row r="76" ht="26.25" customHeight="1">
      <c r="A76" s="18" t="inlineStr">
        <is>
          <t>05-04-07</t>
        </is>
      </c>
      <c r="B76" s="19" t="n"/>
      <c r="C76" s="19" t="n"/>
      <c r="D76" s="19" t="n"/>
      <c r="E76" s="19" t="inlineStr">
        <is>
          <t>●</t>
        </is>
      </c>
      <c r="F76" s="20" t="inlineStr">
        <is>
          <t>品目・取引先マスタの点検と重複の解消</t>
        </is>
      </c>
      <c r="G76" s="20" t="n"/>
      <c r="H76" s="20" t="n"/>
      <c r="I76" s="21" t="inlineStr">
        <is>
          <t>品目マスタ、サプライヤーマスタ</t>
        </is>
      </c>
      <c r="J76" s="22" t="inlineStr">
        <is>
          <t>品目マスタ、サプライヤーマスタ</t>
        </is>
      </c>
      <c r="K76" s="23" t="inlineStr">
        <is>
          <t>なし</t>
        </is>
      </c>
      <c r="L76" s="20" t="inlineStr">
        <is>
          <t>購買管理・マスタ管理者／—</t>
        </is>
      </c>
    </row>
  </sheetData>
  <autoFilter ref="A3:L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A5F"/>
    <outlinePr summaryBelow="1" summaryRight="1"/>
    <pageSetUpPr/>
  </sheetPr>
  <dimension ref="A1:J79"/>
  <sheetViews>
    <sheetView showGridLines="1" zoomScale="9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.5" customWidth="1" min="2" max="2"/>
    <col width="30" customWidth="1" min="5" max="5"/>
    <col width="46" customWidth="1" min="6" max="6"/>
    <col width="8" customWidth="1" min="7" max="7"/>
    <col width="30" customWidth="1" min="8" max="8"/>
    <col width="32" customWidth="1" min="9" max="9"/>
    <col width="26" customWidth="1" min="10" max="10"/>
  </cols>
  <sheetData>
    <row r="1" ht="21" customHeight="1">
      <c r="A1" s="1" t="inlineStr">
        <is>
          <t>ビジネス・ケイパビリティマップ（L1〜L3）</t>
        </is>
      </c>
    </row>
    <row r="2" ht="15" customHeight="1">
      <c r="A2" s="2" t="inlineStr">
        <is>
          <t>対象：日本の事業会社（直接材・間接材・役務の調達、月末締め・振込払い）／日本の法令・制度基準（取適法・フリーランス法・消費税法〔インボイス〕・電帳法・印紙税法ほか）。1行1項目。L1〜L3列の●がその行のレベル。区分はL1、範囲・アウトカムはL3の項目。★＝日本の制度・商慣行に固有、または特に強調する能力。</t>
        </is>
      </c>
    </row>
    <row r="3" ht="30" customHeight="1">
      <c r="A3" s="3" t="inlineStr">
        <is>
          <t>ID</t>
        </is>
      </c>
      <c r="B3" s="3" t="inlineStr">
        <is>
          <t>L1</t>
        </is>
      </c>
      <c r="C3" s="3" t="inlineStr">
        <is>
          <t>L2</t>
        </is>
      </c>
      <c r="D3" s="3" t="inlineStr">
        <is>
          <t>L3</t>
        </is>
      </c>
      <c r="E3" s="4" t="inlineStr">
        <is>
          <t>ケイパビリティ名</t>
        </is>
      </c>
      <c r="F3" s="4" t="inlineStr">
        <is>
          <t>ケイパビリティの定義</t>
        </is>
      </c>
      <c r="G3" s="4" t="inlineStr">
        <is>
          <t>区分</t>
        </is>
      </c>
      <c r="H3" s="4" t="inlineStr">
        <is>
          <t>範囲（含む）</t>
        </is>
      </c>
      <c r="I3" s="4" t="inlineStr">
        <is>
          <t>範囲（含まない）</t>
        </is>
      </c>
      <c r="J3" s="4" t="inlineStr">
        <is>
          <t>アウトカム</t>
        </is>
      </c>
    </row>
    <row r="4" ht="26.25" customHeight="1">
      <c r="A4" s="6" t="inlineStr">
        <is>
          <t>C01</t>
        </is>
      </c>
      <c r="B4" s="7" t="inlineStr">
        <is>
          <t>●</t>
        </is>
      </c>
      <c r="C4" s="7" t="n"/>
      <c r="D4" s="7" t="n"/>
      <c r="E4" s="24" t="inlineStr">
        <is>
          <t>調達戦略・ガバナンス</t>
        </is>
      </c>
      <c r="F4" s="9" t="inlineStr">
        <is>
          <t>支出の実態から調達の方針とカテゴリ戦略を定め、購買規程と取引の適正化で調達全体を統制する能力</t>
        </is>
      </c>
      <c r="G4" s="25" t="inlineStr">
        <is>
          <t>戦略</t>
        </is>
      </c>
      <c r="H4" s="9" t="n"/>
      <c r="I4" s="9" t="n"/>
      <c r="J4" s="9" t="n"/>
    </row>
    <row r="5" ht="26.25" customHeight="1">
      <c r="A5" s="10" t="inlineStr">
        <is>
          <t>C01-01</t>
        </is>
      </c>
      <c r="B5" s="11" t="n"/>
      <c r="C5" s="11" t="inlineStr">
        <is>
          <t>●</t>
        </is>
      </c>
      <c r="D5" s="11" t="n"/>
      <c r="E5" s="12" t="inlineStr">
        <is>
          <t>調達戦略・カテゴリ管理</t>
        </is>
      </c>
      <c r="F5" s="13" t="inlineStr">
        <is>
          <t>支出を分析し、カテゴリごとの調達戦略と購買計画・予算を定める</t>
        </is>
      </c>
      <c r="G5" s="10" t="n"/>
      <c r="H5" s="26" t="n"/>
      <c r="I5" s="26" t="n"/>
      <c r="J5" s="26" t="n"/>
    </row>
    <row r="6" ht="26.25" customHeight="1">
      <c r="A6" s="14" t="inlineStr">
        <is>
          <t>C01-01-01</t>
        </is>
      </c>
      <c r="B6" s="15" t="n"/>
      <c r="C6" s="15" t="n"/>
      <c r="D6" s="15" t="inlineStr">
        <is>
          <t>●</t>
        </is>
      </c>
      <c r="E6" s="17" t="inlineStr">
        <is>
          <t>支出分析</t>
        </is>
      </c>
      <c r="F6" s="17" t="inlineStr">
        <is>
          <t>全社の購買実績を品目・サプライヤー・部門別に集計し、集約や削減の余地を見つける</t>
        </is>
      </c>
      <c r="G6" s="14" t="n"/>
      <c r="H6" s="17" t="inlineStr">
        <is>
          <t>支出の分類、集中度・単価差の分析</t>
        </is>
      </c>
      <c r="I6" s="17" t="inlineStr">
        <is>
          <t>個別の見積比較（C02-02-02）</t>
        </is>
      </c>
      <c r="J6" s="17" t="inlineStr">
        <is>
          <t>見える化された全社の支出</t>
        </is>
      </c>
    </row>
    <row r="7" ht="26.25" customHeight="1">
      <c r="A7" s="14" t="inlineStr">
        <is>
          <t>C01-01-02</t>
        </is>
      </c>
      <c r="B7" s="15" t="n"/>
      <c r="C7" s="15" t="n"/>
      <c r="D7" s="15" t="inlineStr">
        <is>
          <t>●</t>
        </is>
      </c>
      <c r="E7" s="17" t="inlineStr">
        <is>
          <t>カテゴリ戦略</t>
        </is>
      </c>
      <c r="F7" s="17" t="inlineStr">
        <is>
          <t>カテゴリごとに、集約・長期契約・競争入札などの調達方針を定める</t>
        </is>
      </c>
      <c r="G7" s="14" t="n"/>
      <c r="H7" s="17" t="inlineStr">
        <is>
          <t>調達方針、サプライヤー数の方針、契約形態</t>
        </is>
      </c>
      <c r="I7" s="17" t="inlineStr">
        <is>
          <t>個別案件の発注先選定（C02-02-04）</t>
        </is>
      </c>
      <c r="J7" s="17" t="inlineStr">
        <is>
          <t>カテゴリごとに最適な調達方針</t>
        </is>
      </c>
    </row>
    <row r="8" ht="26.25" customHeight="1">
      <c r="A8" s="14" t="inlineStr">
        <is>
          <t>C01-01-03</t>
        </is>
      </c>
      <c r="B8" s="15" t="n"/>
      <c r="C8" s="15" t="n"/>
      <c r="D8" s="15" t="inlineStr">
        <is>
          <t>●</t>
        </is>
      </c>
      <c r="E8" s="17" t="inlineStr">
        <is>
          <t>購買計画・予算管理</t>
        </is>
      </c>
      <c r="F8" s="17" t="inlineStr">
        <is>
          <t>年間の購買計画と予算を立て、実績と比較する</t>
        </is>
      </c>
      <c r="G8" s="14" t="n"/>
      <c r="H8" s="17" t="inlineStr">
        <is>
          <t>購買計画、予算、予実管理</t>
        </is>
      </c>
      <c r="I8" s="17" t="inlineStr">
        <is>
          <t>個々の予算引当（C02-01-03）</t>
        </is>
      </c>
      <c r="J8" s="17" t="inlineStr">
        <is>
          <t>予算内に管理された購買</t>
        </is>
      </c>
    </row>
    <row r="9" ht="26.25" customHeight="1">
      <c r="A9" s="10" t="inlineStr">
        <is>
          <t>C01-02</t>
        </is>
      </c>
      <c r="B9" s="11" t="n"/>
      <c r="C9" s="11" t="inlineStr">
        <is>
          <t>●</t>
        </is>
      </c>
      <c r="D9" s="11" t="n"/>
      <c r="E9" s="12" t="inlineStr">
        <is>
          <t>調達ガバナンス・取引適正化★</t>
        </is>
      </c>
      <c r="F9" s="13" t="inlineStr">
        <is>
          <t>購買規程と職務権限を定め、取適法・フリーランス法などの取引ルールと持続可能な調達を守らせる</t>
        </is>
      </c>
      <c r="G9" s="10" t="n"/>
      <c r="H9" s="26" t="n"/>
      <c r="I9" s="26" t="n"/>
      <c r="J9" s="26" t="n"/>
    </row>
    <row r="10" ht="26.25" customHeight="1">
      <c r="A10" s="14" t="inlineStr">
        <is>
          <t>C01-02-01</t>
        </is>
      </c>
      <c r="B10" s="15" t="n"/>
      <c r="C10" s="15" t="n"/>
      <c r="D10" s="15" t="inlineStr">
        <is>
          <t>●</t>
        </is>
      </c>
      <c r="E10" s="17" t="inlineStr">
        <is>
          <t>購買規程・職務権限★</t>
        </is>
      </c>
      <c r="F10" s="17" t="inlineStr">
        <is>
          <t>購買規程と職務権限（金額に応じた承認者・稟議）を定め、改定する</t>
        </is>
      </c>
      <c r="G10" s="14" t="n"/>
      <c r="H10" s="17" t="inlineStr">
        <is>
          <t>購買規程、職務権限表、稟議の基準</t>
        </is>
      </c>
      <c r="I10" s="17" t="inlineStr">
        <is>
          <t>個々の申請の承認（C02-01-03）</t>
        </is>
      </c>
      <c r="J10" s="17" t="inlineStr">
        <is>
          <t>誰が何をどこまで決められるかが明確な購買</t>
        </is>
      </c>
    </row>
    <row r="11" ht="26.25" customHeight="1">
      <c r="A11" s="14" t="inlineStr">
        <is>
          <t>C01-02-02</t>
        </is>
      </c>
      <c r="B11" s="15" t="n"/>
      <c r="C11" s="15" t="n"/>
      <c r="D11" s="15" t="inlineStr">
        <is>
          <t>●</t>
        </is>
      </c>
      <c r="E11" s="17" t="inlineStr">
        <is>
          <t>取引適正化（取適法・フリーランス法）★</t>
        </is>
      </c>
      <c r="F11" s="17" t="inlineStr">
        <is>
          <t>中小事業者・フリーランスとの取引で、発注内容の明示・支払期日・禁止行為を守る</t>
        </is>
      </c>
      <c r="G11" s="14" t="n"/>
      <c r="H11" s="17" t="inlineStr">
        <is>
          <t>明示事項、60日以内の支払、減額・返品・買いたたき・一方的な代金決定の禁止、手形払いの禁止、社内教育</t>
        </is>
      </c>
      <c r="I11" s="17" t="inlineStr">
        <is>
          <t>個別取引の適用判定（C05-01-03）</t>
        </is>
      </c>
      <c r="J11" s="17" t="inlineStr">
        <is>
          <t>法令を守った公正な取引</t>
        </is>
      </c>
    </row>
    <row r="12" ht="26.25" customHeight="1">
      <c r="A12" s="14" t="inlineStr">
        <is>
          <t>C01-02-03</t>
        </is>
      </c>
      <c r="B12" s="15" t="n"/>
      <c r="C12" s="15" t="n"/>
      <c r="D12" s="15" t="inlineStr">
        <is>
          <t>●</t>
        </is>
      </c>
      <c r="E12" s="17" t="inlineStr">
        <is>
          <t>持続可能な調達</t>
        </is>
      </c>
      <c r="F12" s="17" t="inlineStr">
        <is>
          <t>人権・環境・腐敗防止などの観点で、サプライヤーの取り組みを求め、確認する</t>
        </is>
      </c>
      <c r="G12" s="14" t="n"/>
      <c r="H12" s="17" t="inlineStr">
        <is>
          <t>調達方針、サプライヤー行動規範、自己評価</t>
        </is>
      </c>
      <c r="I12" s="17" t="inlineStr">
        <is>
          <t>経営・供給面のリスク監視（C05-03-01）</t>
        </is>
      </c>
      <c r="J12" s="17" t="inlineStr">
        <is>
          <t>社会から信頼されるサプライチェーン</t>
        </is>
      </c>
    </row>
    <row r="13" ht="26.25" customHeight="1">
      <c r="A13" s="6" t="inlineStr">
        <is>
          <t>C02</t>
        </is>
      </c>
      <c r="B13" s="7" t="inlineStr">
        <is>
          <t>●</t>
        </is>
      </c>
      <c r="C13" s="7" t="n"/>
      <c r="D13" s="7" t="n"/>
      <c r="E13" s="24" t="inlineStr">
        <is>
          <t>調達・購買管理</t>
        </is>
      </c>
      <c r="F13" s="9" t="inlineStr">
        <is>
          <t>需要を購買申請にまとめ、サプライヤーを選び、契約を結び、発注するまでを管理する能力</t>
        </is>
      </c>
      <c r="G13" s="25" t="inlineStr">
        <is>
          <t>コア</t>
        </is>
      </c>
      <c r="H13" s="9" t="n"/>
      <c r="I13" s="9" t="n"/>
      <c r="J13" s="9" t="n"/>
    </row>
    <row r="14" ht="26.25" customHeight="1">
      <c r="A14" s="10" t="inlineStr">
        <is>
          <t>C02-01</t>
        </is>
      </c>
      <c r="B14" s="11" t="n"/>
      <c r="C14" s="11" t="inlineStr">
        <is>
          <t>●</t>
        </is>
      </c>
      <c r="D14" s="11" t="n"/>
      <c r="E14" s="12" t="inlineStr">
        <is>
          <t>需要・購買申請管理</t>
        </is>
      </c>
      <c r="F14" s="13" t="inlineStr">
        <is>
          <t>需要を把握して仕様にまとめ、購買申請を承認する</t>
        </is>
      </c>
      <c r="G14" s="10" t="n"/>
      <c r="H14" s="26" t="n"/>
      <c r="I14" s="26" t="n"/>
      <c r="J14" s="26" t="n"/>
    </row>
    <row r="15" ht="26.25" customHeight="1">
      <c r="A15" s="14" t="inlineStr">
        <is>
          <t>C02-01-01</t>
        </is>
      </c>
      <c r="B15" s="15" t="n"/>
      <c r="C15" s="15" t="n"/>
      <c r="D15" s="15" t="inlineStr">
        <is>
          <t>●</t>
        </is>
      </c>
      <c r="E15" s="17" t="inlineStr">
        <is>
          <t>所要量計算・補充依頼</t>
        </is>
      </c>
      <c r="F15" s="17" t="inlineStr">
        <is>
          <t>生産計画・在庫から必要な量を計算し、購買を依頼する</t>
        </is>
      </c>
      <c r="G15" s="14" t="n"/>
      <c r="H15" s="17" t="inlineStr">
        <is>
          <t>所要量計算（MRP）、補充点発注、補充依頼</t>
        </is>
      </c>
      <c r="I15" s="17" t="inlineStr">
        <is>
          <t>生産計画の立案</t>
        </is>
      </c>
      <c r="J15" s="17" t="inlineStr">
        <is>
          <t>欠品も過剰在庫もない補充</t>
        </is>
      </c>
    </row>
    <row r="16" ht="26.25" customHeight="1">
      <c r="A16" s="14" t="inlineStr">
        <is>
          <t>C02-01-02</t>
        </is>
      </c>
      <c r="B16" s="15" t="n"/>
      <c r="C16" s="15" t="n"/>
      <c r="D16" s="15" t="inlineStr">
        <is>
          <t>●</t>
        </is>
      </c>
      <c r="E16" s="17" t="inlineStr">
        <is>
          <t>購買仕様作成</t>
        </is>
      </c>
      <c r="F16" s="17" t="inlineStr">
        <is>
          <t>品質・数量・納期・サービス内容などの要求事項をまとめる</t>
        </is>
      </c>
      <c r="G16" s="14" t="n"/>
      <c r="H16" s="17" t="inlineStr">
        <is>
          <t>仕様書、要求事項、作業範囲（SOW）</t>
        </is>
      </c>
      <c r="I16" s="17" t="inlineStr">
        <is>
          <t>見積依頼書の作成（C02-02-02）</t>
        </is>
      </c>
      <c r="J16" s="17" t="inlineStr">
        <is>
          <t>誤解のない購買仕様</t>
        </is>
      </c>
    </row>
    <row r="17" ht="26.25" customHeight="1">
      <c r="A17" s="14" t="inlineStr">
        <is>
          <t>C02-01-03</t>
        </is>
      </c>
      <c r="B17" s="15" t="n"/>
      <c r="C17" s="15" t="n"/>
      <c r="D17" s="15" t="inlineStr">
        <is>
          <t>●</t>
        </is>
      </c>
      <c r="E17" s="17" t="inlineStr">
        <is>
          <t>購買申請・承認★</t>
        </is>
      </c>
      <c r="F17" s="17" t="inlineStr">
        <is>
          <t>購買申請を作成し、予算を確認して職務権限に基づき承認する</t>
        </is>
      </c>
      <c r="G17" s="14" t="n"/>
      <c r="H17" s="17" t="inlineStr">
        <is>
          <t>購買申請、予算の確認・引当、稟議・承認</t>
        </is>
      </c>
      <c r="I17" s="17" t="inlineStr">
        <is>
          <t>規程の制定（C01-02-01）</t>
        </is>
      </c>
      <c r="J17" s="17" t="inlineStr">
        <is>
          <t>予算と権限の範囲内で承認された需要</t>
        </is>
      </c>
    </row>
    <row r="18" ht="26.25" customHeight="1">
      <c r="A18" s="10" t="inlineStr">
        <is>
          <t>C02-02</t>
        </is>
      </c>
      <c r="B18" s="11" t="n"/>
      <c r="C18" s="11" t="inlineStr">
        <is>
          <t>●</t>
        </is>
      </c>
      <c r="D18" s="11" t="n"/>
      <c r="E18" s="12" t="inlineStr">
        <is>
          <t>ソーシング</t>
        </is>
      </c>
      <c r="F18" s="13" t="inlineStr">
        <is>
          <t>サプライヤーを探し、見積・提案を比較して交渉し、発注先を選ぶ</t>
        </is>
      </c>
      <c r="G18" s="10" t="n"/>
      <c r="H18" s="26" t="n"/>
      <c r="I18" s="26" t="n"/>
      <c r="J18" s="26" t="n"/>
    </row>
    <row r="19" ht="26.25" customHeight="1">
      <c r="A19" s="14" t="inlineStr">
        <is>
          <t>C02-02-01</t>
        </is>
      </c>
      <c r="B19" s="15" t="n"/>
      <c r="C19" s="15" t="n"/>
      <c r="D19" s="15" t="inlineStr">
        <is>
          <t>●</t>
        </is>
      </c>
      <c r="E19" s="17" t="inlineStr">
        <is>
          <t>サプライヤー探索（RFI）</t>
        </is>
      </c>
      <c r="F19" s="17" t="inlineStr">
        <is>
          <t>候補となるサプライヤーを探し、情報を集める</t>
        </is>
      </c>
      <c r="G19" s="14" t="n"/>
      <c r="H19" s="17" t="inlineStr">
        <is>
          <t>市場調査、情報提供依頼（RFI）、展示会・紹介</t>
        </is>
      </c>
      <c r="I19" s="17" t="inlineStr">
        <is>
          <t>取引先の審査（C05-01-01）</t>
        </is>
      </c>
      <c r="J19" s="17" t="inlineStr">
        <is>
          <t>十分な数の有力な候補</t>
        </is>
      </c>
    </row>
    <row r="20" ht="26.25" customHeight="1">
      <c r="A20" s="14" t="inlineStr">
        <is>
          <t>C02-02-02</t>
        </is>
      </c>
      <c r="B20" s="15" t="n"/>
      <c r="C20" s="15" t="n"/>
      <c r="D20" s="15" t="inlineStr">
        <is>
          <t>●</t>
        </is>
      </c>
      <c r="E20" s="17" t="inlineStr">
        <is>
          <t>RFP・RFQと見積評価</t>
        </is>
      </c>
      <c r="F20" s="17" t="inlineStr">
        <is>
          <t>提案依頼・見積依頼を出し、受け取った提案・見積を比較評価する</t>
        </is>
      </c>
      <c r="G20" s="14" t="n"/>
      <c r="H20" s="17" t="inlineStr">
        <is>
          <t>RFP・RFQの作成、見積・提案の比較、総保有コストの評価</t>
        </is>
      </c>
      <c r="I20" s="17" t="inlineStr">
        <is>
          <t>価格の交渉（C02-02-03）</t>
        </is>
      </c>
      <c r="J20" s="17" t="inlineStr">
        <is>
          <t>公平に比較された見積・提案</t>
        </is>
      </c>
    </row>
    <row r="21" ht="26.25" customHeight="1">
      <c r="A21" s="14" t="inlineStr">
        <is>
          <t>C02-02-03</t>
        </is>
      </c>
      <c r="B21" s="15" t="n"/>
      <c r="C21" s="15" t="n"/>
      <c r="D21" s="15" t="inlineStr">
        <is>
          <t>●</t>
        </is>
      </c>
      <c r="E21" s="17" t="inlineStr">
        <is>
          <t>価格交渉・価格転嫁の協議★</t>
        </is>
      </c>
      <c r="F21" s="17" t="inlineStr">
        <is>
          <t>価格・条件を交渉し、サプライヤーからの価格転嫁の協議に誠実に応じる</t>
        </is>
      </c>
      <c r="G21" s="14" t="n"/>
      <c r="H21" s="17" t="inlineStr">
        <is>
          <t>価格交渉、コスト構造の確認、価格転嫁の協議と記録</t>
        </is>
      </c>
      <c r="I21" s="17" t="inlineStr">
        <is>
          <t>一方的な代金決定の禁止の点検（C01-02-02）</t>
        </is>
      </c>
      <c r="J21" s="17" t="inlineStr">
        <is>
          <t>双方が納得した適正な価格</t>
        </is>
      </c>
    </row>
    <row r="22" ht="26.25" customHeight="1">
      <c r="A22" s="14" t="inlineStr">
        <is>
          <t>C02-02-04</t>
        </is>
      </c>
      <c r="B22" s="15" t="n"/>
      <c r="C22" s="15" t="n"/>
      <c r="D22" s="15" t="inlineStr">
        <is>
          <t>●</t>
        </is>
      </c>
      <c r="E22" s="17" t="inlineStr">
        <is>
          <t>発注先選定</t>
        </is>
      </c>
      <c r="F22" s="17" t="inlineStr">
        <is>
          <t>評価に基づいて発注先を決め、選定の理由を記録する</t>
        </is>
      </c>
      <c r="G22" s="14" t="n"/>
      <c r="H22" s="17" t="inlineStr">
        <is>
          <t>選定、選定理由の記録、承認</t>
        </is>
      </c>
      <c r="I22" s="17" t="inlineStr">
        <is>
          <t>カテゴリ方針の策定（C01-01-02）</t>
        </is>
      </c>
      <c r="J22" s="17" t="inlineStr">
        <is>
          <t>説明できる発注先の選定</t>
        </is>
      </c>
    </row>
    <row r="23" ht="26.25" customHeight="1">
      <c r="A23" s="10" t="inlineStr">
        <is>
          <t>C02-03</t>
        </is>
      </c>
      <c r="B23" s="11" t="n"/>
      <c r="C23" s="11" t="inlineStr">
        <is>
          <t>●</t>
        </is>
      </c>
      <c r="D23" s="11" t="n"/>
      <c r="E23" s="12" t="inlineStr">
        <is>
          <t>契約管理★</t>
        </is>
      </c>
      <c r="F23" s="13" t="inlineStr">
        <is>
          <t>購買契約を作成・審査・締結し、期限と更新を管理する</t>
        </is>
      </c>
      <c r="G23" s="10" t="n"/>
      <c r="H23" s="26" t="n"/>
      <c r="I23" s="26" t="n"/>
      <c r="J23" s="26" t="n"/>
    </row>
    <row r="24" ht="26.25" customHeight="1">
      <c r="A24" s="14" t="inlineStr">
        <is>
          <t>C02-03-01</t>
        </is>
      </c>
      <c r="B24" s="15" t="n"/>
      <c r="C24" s="15" t="n"/>
      <c r="D24" s="15" t="inlineStr">
        <is>
          <t>●</t>
        </is>
      </c>
      <c r="E24" s="17" t="inlineStr">
        <is>
          <t>契約書作成・審査</t>
        </is>
      </c>
      <c r="F24" s="17" t="inlineStr">
        <is>
          <t>ひな形に基づいて契約書を作り、法務が審査する</t>
        </is>
      </c>
      <c r="G24" s="14" t="n"/>
      <c r="H24" s="17" t="inlineStr">
        <is>
          <t>基本契約・個別契約、秘密保持契約、法務審査</t>
        </is>
      </c>
      <c r="I24" s="17" t="inlineStr">
        <is>
          <t>取引条件の明示（C02-04-02）</t>
        </is>
      </c>
      <c r="J24" s="17" t="inlineStr">
        <is>
          <t>リスクを抑えた契約条件</t>
        </is>
      </c>
    </row>
    <row r="25" ht="26.25" customHeight="1">
      <c r="A25" s="14" t="inlineStr">
        <is>
          <t>C02-03-02</t>
        </is>
      </c>
      <c r="B25" s="15" t="n"/>
      <c r="C25" s="15" t="n"/>
      <c r="D25" s="15" t="inlineStr">
        <is>
          <t>●</t>
        </is>
      </c>
      <c r="E25" s="17" t="inlineStr">
        <is>
          <t>契約締結★</t>
        </is>
      </c>
      <c r="F25" s="17" t="inlineStr">
        <is>
          <t>契約を締結し、印紙税を処理して保管する（電子契約を含む）</t>
        </is>
      </c>
      <c r="G25" s="14" t="n"/>
      <c r="H25" s="17" t="inlineStr">
        <is>
          <t>押印・電子署名、印紙税、契約書の保管</t>
        </is>
      </c>
      <c r="I25" s="17" t="inlineStr">
        <is>
          <t>—</t>
        </is>
      </c>
      <c r="J25" s="17" t="inlineStr">
        <is>
          <t>有効に成立し、すぐ取り出せる契約</t>
        </is>
      </c>
    </row>
    <row r="26" ht="26.25" customHeight="1">
      <c r="A26" s="14" t="inlineStr">
        <is>
          <t>C02-03-03</t>
        </is>
      </c>
      <c r="B26" s="15" t="n"/>
      <c r="C26" s="15" t="n"/>
      <c r="D26" s="15" t="inlineStr">
        <is>
          <t>●</t>
        </is>
      </c>
      <c r="E26" s="17" t="inlineStr">
        <is>
          <t>契約期限・更新管理</t>
        </is>
      </c>
      <c r="F26" s="17" t="inlineStr">
        <is>
          <t>契約の期限・自動更新・解約通知の期限を管理する</t>
        </is>
      </c>
      <c r="G26" s="14" t="n"/>
      <c r="H26" s="17" t="inlineStr">
        <is>
          <t>期限の通知、更新・解約の判断</t>
        </is>
      </c>
      <c r="I26" s="17" t="inlineStr">
        <is>
          <t>—</t>
        </is>
      </c>
      <c r="J26" s="17" t="inlineStr">
        <is>
          <t>期限切れや不要な自動更新のない契約</t>
        </is>
      </c>
    </row>
    <row r="27" ht="26.25" customHeight="1">
      <c r="A27" s="14" t="inlineStr">
        <is>
          <t>C02-03-04</t>
        </is>
      </c>
      <c r="B27" s="15" t="n"/>
      <c r="C27" s="15" t="n"/>
      <c r="D27" s="15" t="inlineStr">
        <is>
          <t>●</t>
        </is>
      </c>
      <c r="E27" s="17" t="inlineStr">
        <is>
          <t>単価・カタログ管理</t>
        </is>
      </c>
      <c r="F27" s="17" t="inlineStr">
        <is>
          <t>単価契約・カタログを登録し、購買で使えるようにする</t>
        </is>
      </c>
      <c r="G27" s="14" t="n"/>
      <c r="H27" s="17" t="inlineStr">
        <is>
          <t>単価契約の登録、カタログの公開・改定</t>
        </is>
      </c>
      <c r="I27" s="17" t="inlineStr">
        <is>
          <t>品目マスタ（C06-01-01）</t>
        </is>
      </c>
      <c r="J27" s="17" t="inlineStr">
        <is>
          <t>契約単価で迷わず買える状態</t>
        </is>
      </c>
    </row>
    <row r="28" ht="26.25" customHeight="1">
      <c r="A28" s="10" t="inlineStr">
        <is>
          <t>C02-04</t>
        </is>
      </c>
      <c r="B28" s="11" t="n"/>
      <c r="C28" s="11" t="inlineStr">
        <is>
          <t>●</t>
        </is>
      </c>
      <c r="D28" s="11" t="n"/>
      <c r="E28" s="12" t="inlineStr">
        <is>
          <t>発注管理★</t>
        </is>
      </c>
      <c r="F28" s="13" t="inlineStr">
        <is>
          <t>発注書を作成・承認して送付し、請書・納期・変更を管理する</t>
        </is>
      </c>
      <c r="G28" s="10" t="n"/>
      <c r="H28" s="26" t="n"/>
      <c r="I28" s="26" t="n"/>
      <c r="J28" s="26" t="n"/>
    </row>
    <row r="29" ht="26.25" customHeight="1">
      <c r="A29" s="14" t="inlineStr">
        <is>
          <t>C02-04-01</t>
        </is>
      </c>
      <c r="B29" s="15" t="n"/>
      <c r="C29" s="15" t="n"/>
      <c r="D29" s="15" t="inlineStr">
        <is>
          <t>●</t>
        </is>
      </c>
      <c r="E29" s="17" t="inlineStr">
        <is>
          <t>発注書作成・承認</t>
        </is>
      </c>
      <c r="F29" s="17" t="inlineStr">
        <is>
          <t>承認された申請・契約から発注書を作成し、承認する</t>
        </is>
      </c>
      <c r="G29" s="14" t="n"/>
      <c r="H29" s="17" t="inlineStr">
        <is>
          <t>発注書、発注承認</t>
        </is>
      </c>
      <c r="I29" s="17" t="inlineStr">
        <is>
          <t>購買申請の承認（C02-01-03）</t>
        </is>
      </c>
      <c r="J29" s="17" t="inlineStr">
        <is>
          <t>正しい内容で承認された発注</t>
        </is>
      </c>
    </row>
    <row r="30" ht="26.25" customHeight="1">
      <c r="A30" s="14" t="inlineStr">
        <is>
          <t>C02-04-02</t>
        </is>
      </c>
      <c r="B30" s="15" t="n"/>
      <c r="C30" s="15" t="n"/>
      <c r="D30" s="15" t="inlineStr">
        <is>
          <t>●</t>
        </is>
      </c>
      <c r="E30" s="17" t="inlineStr">
        <is>
          <t>取引条件の明示★</t>
        </is>
      </c>
      <c r="F30" s="17" t="inlineStr">
        <is>
          <t>給付の内容・代金・支払期日などの取引条件を、発注時に書面または電磁的方法で明示する</t>
        </is>
      </c>
      <c r="G30" s="14" t="n"/>
      <c r="H30" s="17" t="inlineStr">
        <is>
          <t>取適法・フリーランス法の明示事項、明示の記録の保存</t>
        </is>
      </c>
      <c r="I30" s="17" t="inlineStr">
        <is>
          <t>契約書の作成（C02-03-01）</t>
        </is>
      </c>
      <c r="J30" s="17" t="inlineStr">
        <is>
          <t>条件が明確で紛争のない発注</t>
        </is>
      </c>
    </row>
    <row r="31" ht="26.25" customHeight="1">
      <c r="A31" s="14" t="inlineStr">
        <is>
          <t>C02-04-03</t>
        </is>
      </c>
      <c r="B31" s="15" t="n"/>
      <c r="C31" s="15" t="n"/>
      <c r="D31" s="15" t="inlineStr">
        <is>
          <t>●</t>
        </is>
      </c>
      <c r="E31" s="17" t="inlineStr">
        <is>
          <t>発注送付・請書管理</t>
        </is>
      </c>
      <c r="F31" s="17" t="inlineStr">
        <is>
          <t>発注書を送付し、注文請書（受注の確認）を受け取る</t>
        </is>
      </c>
      <c r="G31" s="14" t="n"/>
      <c r="H31" s="17" t="inlineStr">
        <is>
          <t>送付（EDI・ポータル・メール）、注文請書</t>
        </is>
      </c>
      <c r="I31" s="17" t="inlineStr">
        <is>
          <t>—</t>
        </is>
      </c>
      <c r="J31" s="17" t="inlineStr">
        <is>
          <t>双方が確認した発注</t>
        </is>
      </c>
    </row>
    <row r="32" ht="26.25" customHeight="1">
      <c r="A32" s="14" t="inlineStr">
        <is>
          <t>C02-04-04</t>
        </is>
      </c>
      <c r="B32" s="15" t="n"/>
      <c r="C32" s="15" t="n"/>
      <c r="D32" s="15" t="inlineStr">
        <is>
          <t>●</t>
        </is>
      </c>
      <c r="E32" s="17" t="inlineStr">
        <is>
          <t>納期管理・発注変更</t>
        </is>
      </c>
      <c r="F32" s="17" t="inlineStr">
        <is>
          <t>納期回答を管理し、発注の変更・取消を協議して行う</t>
        </is>
      </c>
      <c r="G32" s="14" t="n"/>
      <c r="H32" s="17" t="inlineStr">
        <is>
          <t>納期回答、納期フォロー、変更・取消の協議</t>
        </is>
      </c>
      <c r="I32" s="17" t="inlineStr">
        <is>
          <t>入荷予定の管理（C03-01-01）</t>
        </is>
      </c>
      <c r="J32" s="17" t="inlineStr">
        <is>
          <t>計画どおりの納入</t>
        </is>
      </c>
    </row>
    <row r="33" ht="26.25" customHeight="1">
      <c r="A33" s="6" t="inlineStr">
        <is>
          <t>C03</t>
        </is>
      </c>
      <c r="B33" s="7" t="inlineStr">
        <is>
          <t>●</t>
        </is>
      </c>
      <c r="C33" s="7" t="n"/>
      <c r="D33" s="7" t="n"/>
      <c r="E33" s="24" t="inlineStr">
        <is>
          <t>受入・ロジスティクス</t>
        </is>
      </c>
      <c r="F33" s="9" t="inlineStr">
        <is>
          <t>納品物を受け入れて検査・検収し、在庫や資産として計上する能力</t>
        </is>
      </c>
      <c r="G33" s="25" t="inlineStr">
        <is>
          <t>コア</t>
        </is>
      </c>
      <c r="H33" s="9" t="n"/>
      <c r="I33" s="9" t="n"/>
      <c r="J33" s="9" t="n"/>
    </row>
    <row r="34" ht="26.25" customHeight="1">
      <c r="A34" s="10" t="inlineStr">
        <is>
          <t>C03-01</t>
        </is>
      </c>
      <c r="B34" s="11" t="n"/>
      <c r="C34" s="11" t="inlineStr">
        <is>
          <t>●</t>
        </is>
      </c>
      <c r="D34" s="11" t="n"/>
      <c r="E34" s="12" t="inlineStr">
        <is>
          <t>入荷・受入管理</t>
        </is>
      </c>
      <c r="F34" s="13" t="inlineStr">
        <is>
          <t>入荷を予定どおり受け入れ、数量と品質を確認する</t>
        </is>
      </c>
      <c r="G34" s="10" t="n"/>
      <c r="H34" s="26" t="n"/>
      <c r="I34" s="26" t="n"/>
      <c r="J34" s="26" t="n"/>
    </row>
    <row r="35" ht="26.25" customHeight="1">
      <c r="A35" s="14" t="inlineStr">
        <is>
          <t>C03-01-01</t>
        </is>
      </c>
      <c r="B35" s="15" t="n"/>
      <c r="C35" s="15" t="n"/>
      <c r="D35" s="15" t="inlineStr">
        <is>
          <t>●</t>
        </is>
      </c>
      <c r="E35" s="17" t="inlineStr">
        <is>
          <t>入荷予定管理</t>
        </is>
      </c>
      <c r="F35" s="17" t="inlineStr">
        <is>
          <t>発注と納期回答から入荷予定を作り、受入を準備する</t>
        </is>
      </c>
      <c r="G35" s="14" t="n"/>
      <c r="H35" s="17" t="inlineStr">
        <is>
          <t>入荷予定、事前出荷通知</t>
        </is>
      </c>
      <c r="I35" s="17" t="inlineStr">
        <is>
          <t>納期の調整（C02-04-04）</t>
        </is>
      </c>
      <c r="J35" s="17" t="inlineStr">
        <is>
          <t>準備が整った受入</t>
        </is>
      </c>
    </row>
    <row r="36" ht="26.25" customHeight="1">
      <c r="A36" s="14" t="inlineStr">
        <is>
          <t>C03-01-02</t>
        </is>
      </c>
      <c r="B36" s="15" t="n"/>
      <c r="C36" s="15" t="n"/>
      <c r="D36" s="15" t="inlineStr">
        <is>
          <t>●</t>
        </is>
      </c>
      <c r="E36" s="17" t="inlineStr">
        <is>
          <t>受入・数量確認</t>
        </is>
      </c>
      <c r="F36" s="17" t="inlineStr">
        <is>
          <t>納品物を受け取り、納品書・発注書と数量・品目を照合する</t>
        </is>
      </c>
      <c r="G36" s="14" t="n"/>
      <c r="H36" s="17" t="inlineStr">
        <is>
          <t>荷受け、納品書との照合、受領の記録</t>
        </is>
      </c>
      <c r="I36" s="17" t="inlineStr">
        <is>
          <t>品質の検査（C03-01-03）</t>
        </is>
      </c>
      <c r="J36" s="17" t="inlineStr">
        <is>
          <t>正しく記録された受入</t>
        </is>
      </c>
    </row>
    <row r="37" ht="26.25" customHeight="1">
      <c r="A37" s="14" t="inlineStr">
        <is>
          <t>C03-01-03</t>
        </is>
      </c>
      <c r="B37" s="15" t="n"/>
      <c r="C37" s="15" t="n"/>
      <c r="D37" s="15" t="inlineStr">
        <is>
          <t>●</t>
        </is>
      </c>
      <c r="E37" s="17" t="inlineStr">
        <is>
          <t>受入検査</t>
        </is>
      </c>
      <c r="F37" s="17" t="inlineStr">
        <is>
          <t>仕様・品質の基準に照らして受入品を検査する</t>
        </is>
      </c>
      <c r="G37" s="14" t="n"/>
      <c r="H37" s="17" t="inlineStr">
        <is>
          <t>検査の基準、抜取検査、合否判定</t>
        </is>
      </c>
      <c r="I37" s="17" t="inlineStr">
        <is>
          <t>サービスの検収（C03-02-02）</t>
        </is>
      </c>
      <c r="J37" s="17" t="inlineStr">
        <is>
          <t>基準を満たした受入品</t>
        </is>
      </c>
    </row>
    <row r="38" ht="26.25" customHeight="1">
      <c r="A38" s="10" t="inlineStr">
        <is>
          <t>C03-02</t>
        </is>
      </c>
      <c r="B38" s="11" t="n"/>
      <c r="C38" s="11" t="inlineStr">
        <is>
          <t>●</t>
        </is>
      </c>
      <c r="D38" s="11" t="n"/>
      <c r="E38" s="12" t="inlineStr">
        <is>
          <t>検収管理★</t>
        </is>
      </c>
      <c r="F38" s="13" t="inlineStr">
        <is>
          <t>物品・役務の給付を確認して検収し、不適合品を処理する</t>
        </is>
      </c>
      <c r="G38" s="10" t="n"/>
      <c r="H38" s="26" t="n"/>
      <c r="I38" s="26" t="n"/>
      <c r="J38" s="26" t="n"/>
    </row>
    <row r="39" ht="26.25" customHeight="1">
      <c r="A39" s="14" t="inlineStr">
        <is>
          <t>C03-02-01</t>
        </is>
      </c>
      <c r="B39" s="15" t="n"/>
      <c r="C39" s="15" t="n"/>
      <c r="D39" s="15" t="inlineStr">
        <is>
          <t>●</t>
        </is>
      </c>
      <c r="E39" s="17" t="inlineStr">
        <is>
          <t>物品の検収</t>
        </is>
      </c>
      <c r="F39" s="17" t="inlineStr">
        <is>
          <t>受入検査の結果に基づいて物品を検収する</t>
        </is>
      </c>
      <c r="G39" s="14" t="n"/>
      <c r="H39" s="17" t="inlineStr">
        <is>
          <t>検収の判定、検収書</t>
        </is>
      </c>
      <c r="I39" s="17" t="inlineStr">
        <is>
          <t>—</t>
        </is>
      </c>
      <c r="J39" s="17" t="inlineStr">
        <is>
          <t>期日どおりの物品の検収</t>
        </is>
      </c>
    </row>
    <row r="40" ht="26.25" customHeight="1">
      <c r="A40" s="14" t="inlineStr">
        <is>
          <t>C03-02-02</t>
        </is>
      </c>
      <c r="B40" s="15" t="n"/>
      <c r="C40" s="15" t="n"/>
      <c r="D40" s="15" t="inlineStr">
        <is>
          <t>●</t>
        </is>
      </c>
      <c r="E40" s="17" t="inlineStr">
        <is>
          <t>役務・サービスの検収</t>
        </is>
      </c>
      <c r="F40" s="17" t="inlineStr">
        <is>
          <t>作業完了報告・成果物を確認して役務を検収する</t>
        </is>
      </c>
      <c r="G40" s="14" t="n"/>
      <c r="H40" s="17" t="inlineStr">
        <is>
          <t>作業完了報告、成果物の確認、検収書</t>
        </is>
      </c>
      <c r="I40" s="17" t="inlineStr">
        <is>
          <t>—</t>
        </is>
      </c>
      <c r="J40" s="17" t="inlineStr">
        <is>
          <t>給付の内容が確認された役務</t>
        </is>
      </c>
    </row>
    <row r="41" ht="26.25" customHeight="1">
      <c r="A41" s="14" t="inlineStr">
        <is>
          <t>C03-02-03</t>
        </is>
      </c>
      <c r="B41" s="15" t="n"/>
      <c r="C41" s="15" t="n"/>
      <c r="D41" s="15" t="inlineStr">
        <is>
          <t>●</t>
        </is>
      </c>
      <c r="E41" s="17" t="inlineStr">
        <is>
          <t>返品・不適合品処理★</t>
        </is>
      </c>
      <c r="F41" s="17" t="inlineStr">
        <is>
          <t>不適合品を返品・再納品・値引きで処理する（不当な返品・減額をしない）</t>
        </is>
      </c>
      <c r="G41" s="14" t="n"/>
      <c r="H41" s="17" t="inlineStr">
        <is>
          <t>返品、再納品、値引きの協議と記録</t>
        </is>
      </c>
      <c r="I41" s="17" t="inlineStr">
        <is>
          <t>取引適正化のルール（C01-02-02）</t>
        </is>
      </c>
      <c r="J41" s="17" t="inlineStr">
        <is>
          <t>公正に処理された不適合品</t>
        </is>
      </c>
    </row>
    <row r="42" ht="26.25" customHeight="1">
      <c r="A42" s="10" t="inlineStr">
        <is>
          <t>C03-03</t>
        </is>
      </c>
      <c r="B42" s="11" t="n"/>
      <c r="C42" s="11" t="inlineStr">
        <is>
          <t>●</t>
        </is>
      </c>
      <c r="D42" s="11" t="n"/>
      <c r="E42" s="12" t="inlineStr">
        <is>
          <t>在庫・資産計上</t>
        </is>
      </c>
      <c r="F42" s="13" t="inlineStr">
        <is>
          <t>受け入れた物品を在庫・固定資産として計上する</t>
        </is>
      </c>
      <c r="G42" s="10" t="n"/>
      <c r="H42" s="26" t="n"/>
      <c r="I42" s="26" t="n"/>
      <c r="J42" s="26" t="n"/>
    </row>
    <row r="43" ht="26.25" customHeight="1">
      <c r="A43" s="14" t="inlineStr">
        <is>
          <t>C03-03-01</t>
        </is>
      </c>
      <c r="B43" s="15" t="n"/>
      <c r="C43" s="15" t="n"/>
      <c r="D43" s="15" t="inlineStr">
        <is>
          <t>●</t>
        </is>
      </c>
      <c r="E43" s="17" t="inlineStr">
        <is>
          <t>入庫・在庫計上</t>
        </is>
      </c>
      <c r="F43" s="17" t="inlineStr">
        <is>
          <t>受け入れた物品を入庫し、在庫として計上する</t>
        </is>
      </c>
      <c r="G43" s="14" t="n"/>
      <c r="H43" s="17" t="inlineStr">
        <is>
          <t>入庫、ロケーション、在庫の計上</t>
        </is>
      </c>
      <c r="I43" s="17" t="inlineStr">
        <is>
          <t>在庫の最適化</t>
        </is>
      </c>
      <c r="J43" s="17" t="inlineStr">
        <is>
          <t>正確な在庫</t>
        </is>
      </c>
    </row>
    <row r="44" ht="26.25" customHeight="1">
      <c r="A44" s="14" t="inlineStr">
        <is>
          <t>C03-03-02</t>
        </is>
      </c>
      <c r="B44" s="15" t="n"/>
      <c r="C44" s="15" t="n"/>
      <c r="D44" s="15" t="inlineStr">
        <is>
          <t>●</t>
        </is>
      </c>
      <c r="E44" s="17" t="inlineStr">
        <is>
          <t>固定資産計上</t>
        </is>
      </c>
      <c r="F44" s="17" t="inlineStr">
        <is>
          <t>取得した設備・機器を固定資産として登録する</t>
        </is>
      </c>
      <c r="G44" s="14" t="n"/>
      <c r="H44" s="17" t="inlineStr">
        <is>
          <t>資産番号、取得価額、耐用年数、資産台帳</t>
        </is>
      </c>
      <c r="I44" s="17" t="inlineStr">
        <is>
          <t>減価償却の計算</t>
        </is>
      </c>
      <c r="J44" s="17" t="inlineStr">
        <is>
          <t>漏れのない固定資産台帳</t>
        </is>
      </c>
    </row>
    <row r="45" ht="26.25" customHeight="1">
      <c r="A45" s="6" t="inlineStr">
        <is>
          <t>C04</t>
        </is>
      </c>
      <c r="B45" s="7" t="inlineStr">
        <is>
          <t>●</t>
        </is>
      </c>
      <c r="C45" s="7" t="n"/>
      <c r="D45" s="7" t="n"/>
      <c r="E45" s="24" t="inlineStr">
        <is>
          <t>財務・債務管理</t>
        </is>
      </c>
      <c r="F45" s="9" t="inlineStr">
        <is>
          <t>請求書を受け取って照合し、期日どおりに支払い、債務と税務を正しく処理する能力</t>
        </is>
      </c>
      <c r="G45" s="25" t="inlineStr">
        <is>
          <t>コア</t>
        </is>
      </c>
      <c r="H45" s="9" t="n"/>
      <c r="I45" s="9" t="n"/>
      <c r="J45" s="9" t="n"/>
    </row>
    <row r="46" ht="26.25" customHeight="1">
      <c r="A46" s="10" t="inlineStr">
        <is>
          <t>C04-01</t>
        </is>
      </c>
      <c r="B46" s="11" t="n"/>
      <c r="C46" s="11" t="inlineStr">
        <is>
          <t>●</t>
        </is>
      </c>
      <c r="D46" s="11" t="n"/>
      <c r="E46" s="12" t="inlineStr">
        <is>
          <t>請求書受領・照合★</t>
        </is>
      </c>
      <c r="F46" s="13" t="inlineStr">
        <is>
          <t>請求書を受け取って電子化し、インボイスの要件と発注・検収との一致を確認する</t>
        </is>
      </c>
      <c r="G46" s="10" t="n"/>
      <c r="H46" s="26" t="n"/>
      <c r="I46" s="26" t="n"/>
      <c r="J46" s="26" t="n"/>
    </row>
    <row r="47" ht="26.25" customHeight="1">
      <c r="A47" s="14" t="inlineStr">
        <is>
          <t>C04-01-01</t>
        </is>
      </c>
      <c r="B47" s="15" t="n"/>
      <c r="C47" s="15" t="n"/>
      <c r="D47" s="15" t="inlineStr">
        <is>
          <t>●</t>
        </is>
      </c>
      <c r="E47" s="17" t="inlineStr">
        <is>
          <t>請求書受領・電子化★</t>
        </is>
      </c>
      <c r="F47" s="17" t="inlineStr">
        <is>
          <t>紙・PDF・電子データの請求書を受け取り、電子帳簿保存法の要件に沿って電子化する</t>
        </is>
      </c>
      <c r="G47" s="14" t="n"/>
      <c r="H47" s="17" t="inlineStr">
        <is>
          <t>受領、スキャン・AI-OCR、デジタルインボイス（Peppol）</t>
        </is>
      </c>
      <c r="I47" s="17" t="inlineStr">
        <is>
          <t>証憑の保存（C04-03-04）</t>
        </is>
      </c>
      <c r="J47" s="17" t="inlineStr">
        <is>
          <t>漏れなく電子化された請求書</t>
        </is>
      </c>
    </row>
    <row r="48" ht="26.25" customHeight="1">
      <c r="A48" s="14" t="inlineStr">
        <is>
          <t>C04-01-02</t>
        </is>
      </c>
      <c r="B48" s="15" t="n"/>
      <c r="C48" s="15" t="n"/>
      <c r="D48" s="15" t="inlineStr">
        <is>
          <t>●</t>
        </is>
      </c>
      <c r="E48" s="17" t="inlineStr">
        <is>
          <t>インボイス要件確認★</t>
        </is>
      </c>
      <c r="F48" s="17" t="inlineStr">
        <is>
          <t>適格請求書の記載事項と登録番号を確認する</t>
        </is>
      </c>
      <c r="G48" s="14" t="n"/>
      <c r="H48" s="17" t="inlineStr">
        <is>
          <t>記載事項、登録番号の確認、免税事業者からの仕入の区分</t>
        </is>
      </c>
      <c r="I48" s="17" t="inlineStr">
        <is>
          <t>仕入税額控除の計算（C04-03-02）</t>
        </is>
      </c>
      <c r="J48" s="17" t="inlineStr">
        <is>
          <t>要件を満たした請求書</t>
        </is>
      </c>
    </row>
    <row r="49" ht="26.25" customHeight="1">
      <c r="A49" s="14" t="inlineStr">
        <is>
          <t>C04-01-03</t>
        </is>
      </c>
      <c r="B49" s="15" t="n"/>
      <c r="C49" s="15" t="n"/>
      <c r="D49" s="15" t="inlineStr">
        <is>
          <t>●</t>
        </is>
      </c>
      <c r="E49" s="17" t="inlineStr">
        <is>
          <t>3-Wayマッチング・差異解消</t>
        </is>
      </c>
      <c r="F49" s="17" t="inlineStr">
        <is>
          <t>発注・検収・請求の内容を照合し、差異を調べて解消する</t>
        </is>
      </c>
      <c r="G49" s="14" t="n"/>
      <c r="H49" s="17" t="inlineStr">
        <is>
          <t>3-Way（2-Way）マッチング、許容差、差異の調査</t>
        </is>
      </c>
      <c r="I49" s="17" t="inlineStr">
        <is>
          <t>—</t>
        </is>
      </c>
      <c r="J49" s="17" t="inlineStr">
        <is>
          <t>正しい金額で確定した請求</t>
        </is>
      </c>
    </row>
    <row r="50" ht="26.25" customHeight="1">
      <c r="A50" s="10" t="inlineStr">
        <is>
          <t>C04-02</t>
        </is>
      </c>
      <c r="B50" s="11" t="n"/>
      <c r="C50" s="11" t="inlineStr">
        <is>
          <t>●</t>
        </is>
      </c>
      <c r="D50" s="11" t="n"/>
      <c r="E50" s="12" t="inlineStr">
        <is>
          <t>支払管理★</t>
        </is>
      </c>
      <c r="F50" s="13" t="inlineStr">
        <is>
          <t>支払予定を立て、承認して、期日どおりに支払う</t>
        </is>
      </c>
      <c r="G50" s="10" t="n"/>
      <c r="H50" s="26" t="n"/>
      <c r="I50" s="26" t="n"/>
      <c r="J50" s="26" t="n"/>
    </row>
    <row r="51" ht="26.25" customHeight="1">
      <c r="A51" s="14" t="inlineStr">
        <is>
          <t>C04-02-01</t>
        </is>
      </c>
      <c r="B51" s="15" t="n"/>
      <c r="C51" s="15" t="n"/>
      <c r="D51" s="15" t="inlineStr">
        <is>
          <t>●</t>
        </is>
      </c>
      <c r="E51" s="17" t="inlineStr">
        <is>
          <t>支払予定・資金計画★</t>
        </is>
      </c>
      <c r="F51" s="17" t="inlineStr">
        <is>
          <t>締め日と支払条件から支払予定を立て、資金計画に反映する</t>
        </is>
      </c>
      <c r="G51" s="14" t="n"/>
      <c r="H51" s="17" t="inlineStr">
        <is>
          <t>締め処理、支払サイト（受領から60日以内）、資金計画</t>
        </is>
      </c>
      <c r="I51" s="17" t="inlineStr">
        <is>
          <t>—</t>
        </is>
      </c>
      <c r="J51" s="17" t="inlineStr">
        <is>
          <t>期日内に予定された支払</t>
        </is>
      </c>
    </row>
    <row r="52" ht="26.25" customHeight="1">
      <c r="A52" s="14" t="inlineStr">
        <is>
          <t>C04-02-02</t>
        </is>
      </c>
      <c r="B52" s="15" t="n"/>
      <c r="C52" s="15" t="n"/>
      <c r="D52" s="15" t="inlineStr">
        <is>
          <t>●</t>
        </is>
      </c>
      <c r="E52" s="17" t="inlineStr">
        <is>
          <t>支払承認</t>
        </is>
      </c>
      <c r="F52" s="17" t="inlineStr">
        <is>
          <t>支払の内容を確認し、職務権限に基づいて承認する</t>
        </is>
      </c>
      <c r="G52" s="14" t="n"/>
      <c r="H52" s="17" t="inlineStr">
        <is>
          <t>支払の確認、承認、職務分掌</t>
        </is>
      </c>
      <c r="I52" s="17" t="inlineStr">
        <is>
          <t>購買の承認（C02-01-03）</t>
        </is>
      </c>
      <c r="J52" s="17" t="inlineStr">
        <is>
          <t>不正・誤りのない支払</t>
        </is>
      </c>
    </row>
    <row r="53" ht="26.25" customHeight="1">
      <c r="A53" s="14" t="inlineStr">
        <is>
          <t>C04-02-03</t>
        </is>
      </c>
      <c r="B53" s="15" t="n"/>
      <c r="C53" s="15" t="n"/>
      <c r="D53" s="15" t="inlineStr">
        <is>
          <t>●</t>
        </is>
      </c>
      <c r="E53" s="17" t="inlineStr">
        <is>
          <t>支払実行</t>
        </is>
      </c>
      <c r="F53" s="17" t="inlineStr">
        <is>
          <t>振込データを作成して支払い、結果を確認する</t>
        </is>
      </c>
      <c r="G53" s="14" t="n"/>
      <c r="H53" s="17" t="inlineStr">
        <is>
          <t>全銀データ、ファームバンキング、支払通知</t>
        </is>
      </c>
      <c r="I53" s="17" t="inlineStr">
        <is>
          <t>—</t>
        </is>
      </c>
      <c r="J53" s="17" t="inlineStr">
        <is>
          <t>期日どおりの確実な支払</t>
        </is>
      </c>
    </row>
    <row r="54" ht="26.25" customHeight="1">
      <c r="A54" s="10" t="inlineStr">
        <is>
          <t>C04-03</t>
        </is>
      </c>
      <c r="B54" s="11" t="n"/>
      <c r="C54" s="11" t="inlineStr">
        <is>
          <t>●</t>
        </is>
      </c>
      <c r="D54" s="11" t="n"/>
      <c r="E54" s="12" t="inlineStr">
        <is>
          <t>債務会計・税務★</t>
        </is>
      </c>
      <c r="F54" s="13" t="inlineStr">
        <is>
          <t>買掛金を計上・消込し、消費税・源泉徴収・証憑保存を正しく処理する</t>
        </is>
      </c>
      <c r="G54" s="10" t="n"/>
      <c r="H54" s="26" t="n"/>
      <c r="I54" s="26" t="n"/>
      <c r="J54" s="26" t="n"/>
    </row>
    <row r="55" ht="26.25" customHeight="1">
      <c r="A55" s="14" t="inlineStr">
        <is>
          <t>C04-03-01</t>
        </is>
      </c>
      <c r="B55" s="15" t="n"/>
      <c r="C55" s="15" t="n"/>
      <c r="D55" s="15" t="inlineStr">
        <is>
          <t>●</t>
        </is>
      </c>
      <c r="E55" s="17" t="inlineStr">
        <is>
          <t>債務計上・消込</t>
        </is>
      </c>
      <c r="F55" s="17" t="inlineStr">
        <is>
          <t>買掛金を計上し、支払と消し込む</t>
        </is>
      </c>
      <c r="G55" s="14" t="n"/>
      <c r="H55" s="17" t="inlineStr">
        <is>
          <t>債務計上、消込、残高確認</t>
        </is>
      </c>
      <c r="I55" s="17" t="inlineStr">
        <is>
          <t>—</t>
        </is>
      </c>
      <c r="J55" s="17" t="inlineStr">
        <is>
          <t>正しい債務残高</t>
        </is>
      </c>
    </row>
    <row r="56" ht="26.25" customHeight="1">
      <c r="A56" s="14" t="inlineStr">
        <is>
          <t>C04-03-02</t>
        </is>
      </c>
      <c r="B56" s="15" t="n"/>
      <c r="C56" s="15" t="n"/>
      <c r="D56" s="15" t="inlineStr">
        <is>
          <t>●</t>
        </is>
      </c>
      <c r="E56" s="17" t="inlineStr">
        <is>
          <t>消費税の仕入税額控除★</t>
        </is>
      </c>
      <c r="F56" s="17" t="inlineStr">
        <is>
          <t>インボイスの有無と経過措置に応じて、仕入税額控除を計算する</t>
        </is>
      </c>
      <c r="G56" s="14" t="n"/>
      <c r="H56" s="17" t="inlineStr">
        <is>
          <t>税区分、経過措置の控除割合、帳簿の記載</t>
        </is>
      </c>
      <c r="I56" s="17" t="inlineStr">
        <is>
          <t>インボイス要件の確認（C04-01-02）</t>
        </is>
      </c>
      <c r="J56" s="17" t="inlineStr">
        <is>
          <t>正しい消費税の申告</t>
        </is>
      </c>
    </row>
    <row r="57" ht="26.25" customHeight="1">
      <c r="A57" s="14" t="inlineStr">
        <is>
          <t>C04-03-03</t>
        </is>
      </c>
      <c r="B57" s="15" t="n"/>
      <c r="C57" s="15" t="n"/>
      <c r="D57" s="15" t="inlineStr">
        <is>
          <t>●</t>
        </is>
      </c>
      <c r="E57" s="17" t="inlineStr">
        <is>
          <t>源泉徴収★</t>
        </is>
      </c>
      <c r="F57" s="17" t="inlineStr">
        <is>
          <t>個人への報酬の支払で所得税を源泉徴収し、支払調書を作る</t>
        </is>
      </c>
      <c r="G57" s="14" t="n"/>
      <c r="H57" s="17" t="inlineStr">
        <is>
          <t>対象報酬の判定、源泉徴収、納付、支払調書</t>
        </is>
      </c>
      <c r="I57" s="17" t="inlineStr">
        <is>
          <t>給与の源泉徴収</t>
        </is>
      </c>
      <c r="J57" s="17" t="inlineStr">
        <is>
          <t>正しく納付された源泉所得税</t>
        </is>
      </c>
    </row>
    <row r="58" ht="26.25" customHeight="1">
      <c r="A58" s="14" t="inlineStr">
        <is>
          <t>C04-03-04</t>
        </is>
      </c>
      <c r="B58" s="15" t="n"/>
      <c r="C58" s="15" t="n"/>
      <c r="D58" s="15" t="inlineStr">
        <is>
          <t>●</t>
        </is>
      </c>
      <c r="E58" s="17" t="inlineStr">
        <is>
          <t>証憑保存★</t>
        </is>
      </c>
      <c r="F58" s="17" t="inlineStr">
        <is>
          <t>契約書・発注書・請求書などの証憑を、電子帳簿保存法と法人税法に沿って保存する</t>
        </is>
      </c>
      <c r="G58" s="14" t="n"/>
      <c r="H58" s="17" t="inlineStr">
        <is>
          <t>電子取引データの保存、検索要件、保存期間</t>
        </is>
      </c>
      <c r="I58" s="17" t="inlineStr">
        <is>
          <t>—</t>
        </is>
      </c>
      <c r="J58" s="17" t="inlineStr">
        <is>
          <t>税務調査に耐える証憑</t>
        </is>
      </c>
    </row>
    <row r="59" ht="26.25" customHeight="1">
      <c r="A59" s="6" t="inlineStr">
        <is>
          <t>C05</t>
        </is>
      </c>
      <c r="B59" s="7" t="inlineStr">
        <is>
          <t>●</t>
        </is>
      </c>
      <c r="C59" s="7" t="n"/>
      <c r="D59" s="7" t="n"/>
      <c r="E59" s="24" t="inlineStr">
        <is>
          <t>サプライヤー管理</t>
        </is>
      </c>
      <c r="F59" s="9" t="inlineStr">
        <is>
          <t>サプライヤーを審査・登録し、評価と関係づくりを行い、リスクを管理する能力</t>
        </is>
      </c>
      <c r="G59" s="25" t="inlineStr">
        <is>
          <t>コア</t>
        </is>
      </c>
      <c r="H59" s="9" t="n"/>
      <c r="I59" s="9" t="n"/>
      <c r="J59" s="9" t="n"/>
    </row>
    <row r="60" ht="26.25" customHeight="1">
      <c r="A60" s="10" t="inlineStr">
        <is>
          <t>C05-01</t>
        </is>
      </c>
      <c r="B60" s="11" t="n"/>
      <c r="C60" s="11" t="inlineStr">
        <is>
          <t>●</t>
        </is>
      </c>
      <c r="D60" s="11" t="n"/>
      <c r="E60" s="12" t="inlineStr">
        <is>
          <t>サプライヤー登録・審査★</t>
        </is>
      </c>
      <c r="F60" s="13" t="inlineStr">
        <is>
          <t>新しい取引先を審査し、マスタに登録し、適用される取引ルールを判定する</t>
        </is>
      </c>
      <c r="G60" s="10" t="n"/>
      <c r="H60" s="26" t="n"/>
      <c r="I60" s="26" t="n"/>
      <c r="J60" s="26" t="n"/>
    </row>
    <row r="61" ht="26.25" customHeight="1">
      <c r="A61" s="14" t="inlineStr">
        <is>
          <t>C05-01-01</t>
        </is>
      </c>
      <c r="B61" s="15" t="n"/>
      <c r="C61" s="15" t="n"/>
      <c r="D61" s="15" t="inlineStr">
        <is>
          <t>●</t>
        </is>
      </c>
      <c r="E61" s="17" t="inlineStr">
        <is>
          <t>取引先審査★</t>
        </is>
      </c>
      <c r="F61" s="17" t="inlineStr">
        <is>
          <t>与信・反社会的勢力の関与・インボイス登録の有無を審査する</t>
        </is>
      </c>
      <c r="G61" s="14" t="n"/>
      <c r="H61" s="17" t="inlineStr">
        <is>
          <t>与信調査、反社チェック、登録番号の確認</t>
        </is>
      </c>
      <c r="I61" s="17" t="inlineStr">
        <is>
          <t>継続的なリスク監視（C05-03-01）</t>
        </is>
      </c>
      <c r="J61" s="17" t="inlineStr">
        <is>
          <t>安心して取引できる取引先</t>
        </is>
      </c>
    </row>
    <row r="62" ht="26.25" customHeight="1">
      <c r="A62" s="14" t="inlineStr">
        <is>
          <t>C05-01-02</t>
        </is>
      </c>
      <c r="B62" s="15" t="n"/>
      <c r="C62" s="15" t="n"/>
      <c r="D62" s="15" t="inlineStr">
        <is>
          <t>●</t>
        </is>
      </c>
      <c r="E62" s="17" t="inlineStr">
        <is>
          <t>サプライヤーマスタ管理</t>
        </is>
      </c>
      <c r="F62" s="17" t="inlineStr">
        <is>
          <t>取引先の基本情報・口座・支払条件を登録・変更する</t>
        </is>
      </c>
      <c r="G62" s="14" t="n"/>
      <c r="H62" s="17" t="inlineStr">
        <is>
          <t>登録、口座の変更の本人確認、支払条件</t>
        </is>
      </c>
      <c r="I62" s="17" t="inlineStr">
        <is>
          <t>品目マスタ（C06-01-01）</t>
        </is>
      </c>
      <c r="J62" s="17" t="inlineStr">
        <is>
          <t>正確で不正のない取引先情報</t>
        </is>
      </c>
    </row>
    <row r="63" ht="26.25" customHeight="1">
      <c r="A63" s="14" t="inlineStr">
        <is>
          <t>C05-01-03</t>
        </is>
      </c>
      <c r="B63" s="15" t="n"/>
      <c r="C63" s="15" t="n"/>
      <c r="D63" s="15" t="inlineStr">
        <is>
          <t>●</t>
        </is>
      </c>
      <c r="E63" s="17" t="inlineStr">
        <is>
          <t>取適法・フリーランス法の適用判定★</t>
        </is>
      </c>
      <c r="F63" s="17" t="inlineStr">
        <is>
          <t>資本金・従業員数・取引内容から、取適法・フリーランス法の対象かを判定する</t>
        </is>
      </c>
      <c r="G63" s="14" t="n"/>
      <c r="H63" s="17" t="inlineStr">
        <is>
          <t>資本金・従業員数の区分、委託取引の種類、判定の記録</t>
        </is>
      </c>
      <c r="I63" s="17" t="inlineStr">
        <is>
          <t>取引ルールの運用（C01-02-02）</t>
        </is>
      </c>
      <c r="J63" s="17" t="inlineStr">
        <is>
          <t>対象の取引が漏れなく特定された状態</t>
        </is>
      </c>
    </row>
    <row r="64" ht="26.25" customHeight="1">
      <c r="A64" s="10" t="inlineStr">
        <is>
          <t>C05-02</t>
        </is>
      </c>
      <c r="B64" s="11" t="n"/>
      <c r="C64" s="11" t="inlineStr">
        <is>
          <t>●</t>
        </is>
      </c>
      <c r="D64" s="11" t="n"/>
      <c r="E64" s="12" t="inlineStr">
        <is>
          <t>サプライヤー評価・関係管理</t>
        </is>
      </c>
      <c r="F64" s="13" t="inlineStr">
        <is>
          <t>サプライヤーを評価し、改善と関係づくりを進める</t>
        </is>
      </c>
      <c r="G64" s="10" t="n"/>
      <c r="H64" s="26" t="n"/>
      <c r="I64" s="26" t="n"/>
      <c r="J64" s="26" t="n"/>
    </row>
    <row r="65" ht="26.25" customHeight="1">
      <c r="A65" s="14" t="inlineStr">
        <is>
          <t>C05-02-01</t>
        </is>
      </c>
      <c r="B65" s="15" t="n"/>
      <c r="C65" s="15" t="n"/>
      <c r="D65" s="15" t="inlineStr">
        <is>
          <t>●</t>
        </is>
      </c>
      <c r="E65" s="17" t="inlineStr">
        <is>
          <t>サプライヤー評価</t>
        </is>
      </c>
      <c r="F65" s="17" t="inlineStr">
        <is>
          <t>品質・納期・価格・対応を定期的に評価する</t>
        </is>
      </c>
      <c r="G65" s="14" t="n"/>
      <c r="H65" s="17" t="inlineStr">
        <is>
          <t>評価基準、定期評価、評価結果のフィードバック</t>
        </is>
      </c>
      <c r="I65" s="17" t="inlineStr">
        <is>
          <t>—</t>
        </is>
      </c>
      <c r="J65" s="17" t="inlineStr">
        <is>
          <t>実績に基づくサプライヤーの格付け</t>
        </is>
      </c>
    </row>
    <row r="66" ht="26.25" customHeight="1">
      <c r="A66" s="14" t="inlineStr">
        <is>
          <t>C05-02-02</t>
        </is>
      </c>
      <c r="B66" s="15" t="n"/>
      <c r="C66" s="15" t="n"/>
      <c r="D66" s="15" t="inlineStr">
        <is>
          <t>●</t>
        </is>
      </c>
      <c r="E66" s="17" t="inlineStr">
        <is>
          <t>関係構築・改善</t>
        </is>
      </c>
      <c r="F66" s="17" t="inlineStr">
        <is>
          <t>重要なサプライヤーと定期的に対話し、改善や共同の取り組みを進める</t>
        </is>
      </c>
      <c r="G66" s="14" t="n"/>
      <c r="H66" s="17" t="inlineStr">
        <is>
          <t>定期会議、改善要請、共同改善</t>
        </is>
      </c>
      <c r="I66" s="17" t="inlineStr">
        <is>
          <t>—</t>
        </is>
      </c>
      <c r="J66" s="17" t="inlineStr">
        <is>
          <t>長期的に信頼できる関係</t>
        </is>
      </c>
    </row>
    <row r="67" ht="26.25" customHeight="1">
      <c r="A67" s="10" t="inlineStr">
        <is>
          <t>C05-03</t>
        </is>
      </c>
      <c r="B67" s="11" t="n"/>
      <c r="C67" s="11" t="inlineStr">
        <is>
          <t>●</t>
        </is>
      </c>
      <c r="D67" s="11" t="n"/>
      <c r="E67" s="12" t="inlineStr">
        <is>
          <t>サプライヤーリスク管理</t>
        </is>
      </c>
      <c r="F67" s="13" t="inlineStr">
        <is>
          <t>サプライヤーの経営・供給・地政学などのリスクを監視し、代替策を準備する</t>
        </is>
      </c>
      <c r="G67" s="10" t="n"/>
      <c r="H67" s="26" t="n"/>
      <c r="I67" s="26" t="n"/>
      <c r="J67" s="26" t="n"/>
    </row>
    <row r="68" ht="26.25" customHeight="1">
      <c r="A68" s="14" t="inlineStr">
        <is>
          <t>C05-03-01</t>
        </is>
      </c>
      <c r="B68" s="15" t="n"/>
      <c r="C68" s="15" t="n"/>
      <c r="D68" s="15" t="inlineStr">
        <is>
          <t>●</t>
        </is>
      </c>
      <c r="E68" s="17" t="inlineStr">
        <is>
          <t>リスクモニタリング</t>
        </is>
      </c>
      <c r="F68" s="17" t="inlineStr">
        <is>
          <t>経営・供給・地政学・ESGなどのリスクを監視する</t>
        </is>
      </c>
      <c r="G68" s="14" t="n"/>
      <c r="H68" s="17" t="inlineStr">
        <is>
          <t>信用情報、ニュース、供給の集中度</t>
        </is>
      </c>
      <c r="I68" s="17" t="inlineStr">
        <is>
          <t>新規の取引先審査（C05-01-01）</t>
        </is>
      </c>
      <c r="J68" s="17" t="inlineStr">
        <is>
          <t>早期に把握されたリスク</t>
        </is>
      </c>
    </row>
    <row r="69" ht="26.25" customHeight="1">
      <c r="A69" s="14" t="inlineStr">
        <is>
          <t>C05-03-02</t>
        </is>
      </c>
      <c r="B69" s="15" t="n"/>
      <c r="C69" s="15" t="n"/>
      <c r="D69" s="15" t="inlineStr">
        <is>
          <t>●</t>
        </is>
      </c>
      <c r="E69" s="17" t="inlineStr">
        <is>
          <t>BCP・代替調達</t>
        </is>
      </c>
      <c r="F69" s="17" t="inlineStr">
        <is>
          <t>重要品目の代替サプライヤー・在庫の積み増しなどの対策を準備する</t>
        </is>
      </c>
      <c r="G69" s="14" t="n"/>
      <c r="H69" s="17" t="inlineStr">
        <is>
          <t>複数購買、代替先の認定、BCP</t>
        </is>
      </c>
      <c r="I69" s="17" t="inlineStr">
        <is>
          <t>—</t>
        </is>
      </c>
      <c r="J69" s="17" t="inlineStr">
        <is>
          <t>止まらない調達</t>
        </is>
      </c>
    </row>
    <row r="70" ht="26.25" customHeight="1">
      <c r="A70" s="6" t="inlineStr">
        <is>
          <t>C06</t>
        </is>
      </c>
      <c r="B70" s="7" t="inlineStr">
        <is>
          <t>●</t>
        </is>
      </c>
      <c r="C70" s="7" t="n"/>
      <c r="D70" s="7" t="n"/>
      <c r="E70" s="24" t="inlineStr">
        <is>
          <t>調達基盤</t>
        </is>
      </c>
      <c r="F70" s="9" t="inlineStr">
        <is>
          <t>調達のマスタ・データ・分析と内部統制の基盤を提供する能力</t>
        </is>
      </c>
      <c r="G70" s="25" t="inlineStr">
        <is>
          <t>支援</t>
        </is>
      </c>
      <c r="H70" s="9" t="n"/>
      <c r="I70" s="9" t="n"/>
      <c r="J70" s="9" t="n"/>
    </row>
    <row r="71" ht="26.25" customHeight="1">
      <c r="A71" s="10" t="inlineStr">
        <is>
          <t>C06-01</t>
        </is>
      </c>
      <c r="B71" s="11" t="n"/>
      <c r="C71" s="11" t="inlineStr">
        <is>
          <t>●</t>
        </is>
      </c>
      <c r="D71" s="11" t="n"/>
      <c r="E71" s="12" t="inlineStr">
        <is>
          <t>調達マスタ・データ管理</t>
        </is>
      </c>
      <c r="F71" s="13" t="inlineStr">
        <is>
          <t>品目などの調達マスタとデータの品質を管理する</t>
        </is>
      </c>
      <c r="G71" s="10" t="n"/>
      <c r="H71" s="26" t="n"/>
      <c r="I71" s="26" t="n"/>
      <c r="J71" s="26" t="n"/>
    </row>
    <row r="72" ht="26.25" customHeight="1">
      <c r="A72" s="14" t="inlineStr">
        <is>
          <t>C06-01-01</t>
        </is>
      </c>
      <c r="B72" s="15" t="n"/>
      <c r="C72" s="15" t="n"/>
      <c r="D72" s="15" t="inlineStr">
        <is>
          <t>●</t>
        </is>
      </c>
      <c r="E72" s="17" t="inlineStr">
        <is>
          <t>品目マスタ管理</t>
        </is>
      </c>
      <c r="F72" s="17" t="inlineStr">
        <is>
          <t>品目・サービスの分類と基本情報を登録・維持する</t>
        </is>
      </c>
      <c r="G72" s="14" t="n"/>
      <c r="H72" s="17" t="inlineStr">
        <is>
          <t>品目分類、品目コード、勘定科目との対応</t>
        </is>
      </c>
      <c r="I72" s="17" t="inlineStr">
        <is>
          <t>サプライヤーマスタ（C05-01-02）</t>
        </is>
      </c>
      <c r="J72" s="17" t="inlineStr">
        <is>
          <t>重複のない品目マスタ</t>
        </is>
      </c>
    </row>
    <row r="73" ht="26.25" customHeight="1">
      <c r="A73" s="14" t="inlineStr">
        <is>
          <t>C06-01-02</t>
        </is>
      </c>
      <c r="B73" s="15" t="n"/>
      <c r="C73" s="15" t="n"/>
      <c r="D73" s="15" t="inlineStr">
        <is>
          <t>●</t>
        </is>
      </c>
      <c r="E73" s="17" t="inlineStr">
        <is>
          <t>調達データ品質管理</t>
        </is>
      </c>
      <c r="F73" s="17" t="inlineStr">
        <is>
          <t>調達データの定義・品質を管理する</t>
        </is>
      </c>
      <c r="G73" s="14" t="n"/>
      <c r="H73" s="17" t="inlineStr">
        <is>
          <t>データ定義、品質の点検、責任者</t>
        </is>
      </c>
      <c r="I73" s="17" t="inlineStr">
        <is>
          <t>—</t>
        </is>
      </c>
      <c r="J73" s="17" t="inlineStr">
        <is>
          <t>信頼できる調達データ</t>
        </is>
      </c>
    </row>
    <row r="74" ht="26.25" customHeight="1">
      <c r="A74" s="10" t="inlineStr">
        <is>
          <t>C06-02</t>
        </is>
      </c>
      <c r="B74" s="11" t="n"/>
      <c r="C74" s="11" t="inlineStr">
        <is>
          <t>●</t>
        </is>
      </c>
      <c r="D74" s="11" t="n"/>
      <c r="E74" s="12" t="inlineStr">
        <is>
          <t>調達分析・レポーティング</t>
        </is>
      </c>
      <c r="F74" s="13" t="inlineStr">
        <is>
          <t>調達の実績と効果を集計・報告する</t>
        </is>
      </c>
      <c r="G74" s="10" t="n"/>
      <c r="H74" s="26" t="n"/>
      <c r="I74" s="26" t="n"/>
      <c r="J74" s="26" t="n"/>
    </row>
    <row r="75" ht="26.25" customHeight="1">
      <c r="A75" s="14" t="inlineStr">
        <is>
          <t>C06-02-01</t>
        </is>
      </c>
      <c r="B75" s="15" t="n"/>
      <c r="C75" s="15" t="n"/>
      <c r="D75" s="15" t="inlineStr">
        <is>
          <t>●</t>
        </is>
      </c>
      <c r="E75" s="17" t="inlineStr">
        <is>
          <t>調達実績レポート</t>
        </is>
      </c>
      <c r="F75" s="17" t="inlineStr">
        <is>
          <t>購買額・件数・リードタイム・遵守状況などの定型指標を集計・報告する</t>
        </is>
      </c>
      <c r="G75" s="14" t="n"/>
      <c r="H75" s="17" t="inlineStr">
        <is>
          <t>定型レポート、ダッシュボード</t>
        </is>
      </c>
      <c r="I75" s="17" t="inlineStr">
        <is>
          <t>支出の分析（C01-01-01）</t>
        </is>
      </c>
      <c r="J75" s="17" t="inlineStr">
        <is>
          <t>正確で迅速な調達の指標</t>
        </is>
      </c>
    </row>
    <row r="76" ht="26.25" customHeight="1">
      <c r="A76" s="14" t="inlineStr">
        <is>
          <t>C06-02-02</t>
        </is>
      </c>
      <c r="B76" s="15" t="n"/>
      <c r="C76" s="15" t="n"/>
      <c r="D76" s="15" t="inlineStr">
        <is>
          <t>●</t>
        </is>
      </c>
      <c r="E76" s="17" t="inlineStr">
        <is>
          <t>コスト削減効果測定</t>
        </is>
      </c>
      <c r="F76" s="17" t="inlineStr">
        <is>
          <t>交渉・集約によるコスト削減の効果を測る</t>
        </is>
      </c>
      <c r="G76" s="14" t="n"/>
      <c r="H76" s="17" t="inlineStr">
        <is>
          <t>削減額の定義、測定、報告</t>
        </is>
      </c>
      <c r="I76" s="17" t="inlineStr">
        <is>
          <t>—</t>
        </is>
      </c>
      <c r="J76" s="17" t="inlineStr">
        <is>
          <t>説明できる削減効果</t>
        </is>
      </c>
    </row>
    <row r="77" ht="26.25" customHeight="1">
      <c r="A77" s="10" t="inlineStr">
        <is>
          <t>C06-03</t>
        </is>
      </c>
      <c r="B77" s="11" t="n"/>
      <c r="C77" s="11" t="inlineStr">
        <is>
          <t>●</t>
        </is>
      </c>
      <c r="D77" s="11" t="n"/>
      <c r="E77" s="12" t="inlineStr">
        <is>
          <t>内部統制・監査対応</t>
        </is>
      </c>
      <c r="F77" s="13" t="inlineStr">
        <is>
          <t>調達から支払までの職務分掌・アクセス・証跡を管理し、監査に対応する</t>
        </is>
      </c>
      <c r="G77" s="10" t="n"/>
      <c r="H77" s="26" t="n"/>
      <c r="I77" s="26" t="n"/>
      <c r="J77" s="26" t="n"/>
    </row>
    <row r="78" ht="26.25" customHeight="1">
      <c r="A78" s="14" t="inlineStr">
        <is>
          <t>C06-03-01</t>
        </is>
      </c>
      <c r="B78" s="15" t="n"/>
      <c r="C78" s="15" t="n"/>
      <c r="D78" s="15" t="inlineStr">
        <is>
          <t>●</t>
        </is>
      </c>
      <c r="E78" s="17" t="inlineStr">
        <is>
          <t>職務分掌・アクセス管理</t>
        </is>
      </c>
      <c r="F78" s="17" t="inlineStr">
        <is>
          <t>申請・発注・検収・支払の職務を分け、システムの権限を管理する</t>
        </is>
      </c>
      <c r="G78" s="14" t="n"/>
      <c r="H78" s="17" t="inlineStr">
        <is>
          <t>職務分掌、権限の付与・見直し</t>
        </is>
      </c>
      <c r="I78" s="17" t="inlineStr">
        <is>
          <t>—</t>
        </is>
      </c>
      <c r="J78" s="17" t="inlineStr">
        <is>
          <t>不正の起きにくい業務</t>
        </is>
      </c>
    </row>
    <row r="79" ht="26.25" customHeight="1">
      <c r="A79" s="14" t="inlineStr">
        <is>
          <t>C06-03-02</t>
        </is>
      </c>
      <c r="B79" s="15" t="n"/>
      <c r="C79" s="15" t="n"/>
      <c r="D79" s="15" t="inlineStr">
        <is>
          <t>●</t>
        </is>
      </c>
      <c r="E79" s="17" t="inlineStr">
        <is>
          <t>監査対応</t>
        </is>
      </c>
      <c r="F79" s="17" t="inlineStr">
        <is>
          <t>内部監査・会計監査・税務調査・公正取引委員会などの調査に対応する</t>
        </is>
      </c>
      <c r="G79" s="14" t="n"/>
      <c r="H79" s="17" t="inlineStr">
        <is>
          <t>証跡の提出、指摘への是正</t>
        </is>
      </c>
      <c r="I79" s="17" t="inlineStr">
        <is>
          <t>—</t>
        </is>
      </c>
      <c r="J79" s="17" t="inlineStr">
        <is>
          <t>指摘の少ない調達業務</t>
        </is>
      </c>
    </row>
  </sheetData>
  <autoFilter ref="A3:J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A5F"/>
    <outlinePr summaryBelow="1" summaryRight="1"/>
    <pageSetUpPr/>
  </sheetPr>
  <dimension ref="A1:I28"/>
  <sheetViews>
    <sheetView showGridLines="1" zoomScale="90"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14" customWidth="1" min="4" max="4"/>
    <col width="30" customWidth="1" min="5" max="5"/>
  </cols>
  <sheetData>
    <row r="1" ht="21" customHeight="1">
      <c r="A1" s="1" t="inlineStr">
        <is>
          <t>ケイパビリティの成熟度レベル（L2ごとの定義）</t>
        </is>
      </c>
    </row>
    <row r="2" ht="15" customHeight="1">
      <c r="A2" s="2" t="inlineStr">
        <is>
          <t>対象：日本の事業会社（直接材・間接材・役務の調達、月末締め・振込払い）／日本の法令・制度基準（取適法・フリーランス法・消費税法〔インボイス〕・電帳法・印紙税法ほか）。評価の対象はL2。法令上の最低水準：取引適正化・税務・内部統制などの法令順守が関わるL2はレベル3が事実上の最低水準。</t>
        </is>
      </c>
    </row>
    <row r="3" ht="15" customHeight="1">
      <c r="A3" s="4" t="inlineStr">
        <is>
          <t>レベル</t>
        </is>
      </c>
      <c r="B3" s="4" t="inlineStr">
        <is>
          <t>名称</t>
        </is>
      </c>
      <c r="C3" s="4" t="inlineStr">
        <is>
          <t>共通定義</t>
        </is>
      </c>
      <c r="D3" s="27" t="n"/>
      <c r="E3" s="27" t="n"/>
      <c r="F3" s="27" t="n"/>
      <c r="G3" s="27" t="n"/>
      <c r="H3" s="27" t="n"/>
      <c r="I3" s="28" t="n"/>
    </row>
    <row r="4" ht="15" customHeight="1">
      <c r="A4" s="19" t="n">
        <v>1</v>
      </c>
      <c r="B4" s="29" t="inlineStr">
        <is>
          <t>初期</t>
        </is>
      </c>
      <c r="C4" s="20" t="inlineStr">
        <is>
          <t>属人的・場当たり的。成果が個人に依存し、再現できない</t>
        </is>
      </c>
      <c r="D4" s="27" t="n"/>
      <c r="E4" s="27" t="n"/>
      <c r="F4" s="27" t="n"/>
      <c r="G4" s="27" t="n"/>
      <c r="H4" s="27" t="n"/>
      <c r="I4" s="28" t="n"/>
    </row>
    <row r="5" ht="15" customHeight="1">
      <c r="A5" s="19" t="n">
        <v>2</v>
      </c>
      <c r="B5" s="29" t="inlineStr">
        <is>
          <t>管理された</t>
        </is>
      </c>
      <c r="C5" s="20" t="inlineStr">
        <is>
          <t>部門・拠点ごとに計画・管理され、再現できる。ただし方法は部門・拠点で異なる</t>
        </is>
      </c>
      <c r="D5" s="27" t="n"/>
      <c r="E5" s="27" t="n"/>
      <c r="F5" s="27" t="n"/>
      <c r="G5" s="27" t="n"/>
      <c r="H5" s="27" t="n"/>
      <c r="I5" s="28" t="n"/>
    </row>
    <row r="6" ht="15" customHeight="1">
      <c r="A6" s="19" t="n">
        <v>3</v>
      </c>
      <c r="B6" s="29" t="inlineStr">
        <is>
          <t>定義された</t>
        </is>
      </c>
      <c r="C6" s="20" t="inlineStr">
        <is>
          <t>全社標準のプロセス・役割・データ定義があり、一貫して運用される</t>
        </is>
      </c>
      <c r="D6" s="27" t="n"/>
      <c r="E6" s="27" t="n"/>
      <c r="F6" s="27" t="n"/>
      <c r="G6" s="27" t="n"/>
      <c r="H6" s="27" t="n"/>
      <c r="I6" s="28" t="n"/>
    </row>
    <row r="7" ht="15" customHeight="1">
      <c r="A7" s="19" t="n">
        <v>4</v>
      </c>
      <c r="B7" s="29" t="inlineStr">
        <is>
          <t>定量的に管理された</t>
        </is>
      </c>
      <c r="C7" s="20" t="inlineStr">
        <is>
          <t>指標で成果・品質を測定し、データに基づいて管理・予測する</t>
        </is>
      </c>
      <c r="D7" s="27" t="n"/>
      <c r="E7" s="27" t="n"/>
      <c r="F7" s="27" t="n"/>
      <c r="G7" s="27" t="n"/>
      <c r="H7" s="27" t="n"/>
      <c r="I7" s="28" t="n"/>
    </row>
    <row r="8" ht="15" customHeight="1">
      <c r="A8" s="19" t="n">
        <v>5</v>
      </c>
      <c r="B8" s="29" t="inlineStr">
        <is>
          <t>最適化された</t>
        </is>
      </c>
      <c r="C8" s="20" t="inlineStr">
        <is>
          <t>継続的な改善と先進的な手法により、変化に先回りし、先進的な水準にある</t>
        </is>
      </c>
      <c r="D8" s="27" t="n"/>
      <c r="E8" s="27" t="n"/>
      <c r="F8" s="27" t="n"/>
      <c r="G8" s="27" t="n"/>
      <c r="H8" s="27" t="n"/>
      <c r="I8" s="28" t="n"/>
    </row>
    <row r="10" ht="30" customHeight="1">
      <c r="A10" s="3" t="inlineStr">
        <is>
          <t>L2 ID</t>
        </is>
      </c>
      <c r="B10" s="4" t="inlineStr">
        <is>
          <t>ケイパビリティL1</t>
        </is>
      </c>
      <c r="C10" s="4" t="inlineStr">
        <is>
          <t>ケイパビリティL2</t>
        </is>
      </c>
      <c r="D10" s="4" t="inlineStr">
        <is>
          <t>法令上の最低水準</t>
        </is>
      </c>
      <c r="E10" s="30" t="inlineStr">
        <is>
          <t>レベル1 初期</t>
        </is>
      </c>
      <c r="F10" s="30" t="inlineStr">
        <is>
          <t>レベル2 管理された</t>
        </is>
      </c>
      <c r="G10" s="30" t="inlineStr">
        <is>
          <t>レベル3 定義された</t>
        </is>
      </c>
      <c r="H10" s="30" t="inlineStr">
        <is>
          <t>レベル4 定量的に管理された</t>
        </is>
      </c>
      <c r="I10" s="30" t="inlineStr">
        <is>
          <t>レベル5 最適化された</t>
        </is>
      </c>
    </row>
    <row r="11" ht="26.25" customHeight="1">
      <c r="A11" s="14" t="inlineStr">
        <is>
          <t>C01-01</t>
        </is>
      </c>
      <c r="B11" s="17" t="inlineStr">
        <is>
          <t>調達戦略・ガバナンス</t>
        </is>
      </c>
      <c r="C11" s="16" t="inlineStr">
        <is>
          <t>調達戦略・カテゴリ管理</t>
        </is>
      </c>
      <c r="D11" s="14" t="inlineStr">
        <is>
          <t>—</t>
        </is>
      </c>
      <c r="E11" s="17" t="inlineStr">
        <is>
          <t>支出の全体像を把握しておらず、部門ごとに個別に購入する</t>
        </is>
      </c>
      <c r="F11" s="17" t="inlineStr">
        <is>
          <t>主要な品目について年度ごとに購買計画を立てる</t>
        </is>
      </c>
      <c r="G11" s="17" t="inlineStr">
        <is>
          <t>全社の支出を分析し、カテゴリ戦略と購買計画を全社共通の方法で立てる</t>
        </is>
      </c>
      <c r="H11" s="17" t="inlineStr">
        <is>
          <t>カテゴリ別のコスト削減・集約の効果を指標で管理する</t>
        </is>
      </c>
      <c r="I11" s="17" t="inlineStr">
        <is>
          <t>市場・技術・リスクの変化に先回りして、調達戦略を組み替える</t>
        </is>
      </c>
    </row>
    <row r="12" ht="26.25" customHeight="1">
      <c r="A12" s="18" t="inlineStr">
        <is>
          <t>C01-02</t>
        </is>
      </c>
      <c r="B12" s="31" t="n"/>
      <c r="C12" s="29" t="inlineStr">
        <is>
          <t>調達ガバナンス・取引適正化★</t>
        </is>
      </c>
      <c r="D12" s="18" t="inlineStr">
        <is>
          <t>レベル3（取適法・フリーランス法）</t>
        </is>
      </c>
      <c r="E12" s="20" t="inlineStr">
        <is>
          <t>購買のルールがなく、担当者の判断で発注する</t>
        </is>
      </c>
      <c r="F12" s="20" t="inlineStr">
        <is>
          <t>購買規程はあるが、例外が多く運用が部門ごと</t>
        </is>
      </c>
      <c r="G12" s="20" t="inlineStr">
        <is>
          <t>全社標準の購買規程・職務権限・取引適正化のルールを持ち、一貫して運用する</t>
        </is>
      </c>
      <c r="H12" s="20" t="inlineStr">
        <is>
          <t>規程違反・取適法の違反の兆候を指標で監視する</t>
        </is>
      </c>
      <c r="I12" s="20" t="inlineStr">
        <is>
          <t>サプライヤーと公正で持続可能な取引関係を先回りして築く</t>
        </is>
      </c>
    </row>
    <row r="13" ht="26.25" customHeight="1">
      <c r="A13" s="14" t="inlineStr">
        <is>
          <t>C02-01</t>
        </is>
      </c>
      <c r="B13" s="17" t="inlineStr">
        <is>
          <t>調達・購買管理</t>
        </is>
      </c>
      <c r="C13" s="16" t="inlineStr">
        <is>
          <t>需要・購買申請管理</t>
        </is>
      </c>
      <c r="D13" s="14" t="inlineStr">
        <is>
          <t>—</t>
        </is>
      </c>
      <c r="E13" s="17" t="inlineStr">
        <is>
          <t>口頭・メールで購入を依頼し、記録が残らない</t>
        </is>
      </c>
      <c r="F13" s="17" t="inlineStr">
        <is>
          <t>申請書で依頼するが、仕様や承認の基準がばらばら</t>
        </is>
      </c>
      <c r="G13" s="17" t="inlineStr">
        <is>
          <t>全社標準の購買申請と承認フローで、仕様・予算・承認を一貫して管理する</t>
        </is>
      </c>
      <c r="H13" s="17" t="inlineStr">
        <is>
          <t>申請から承認までの期間と差し戻しを指標で管理する</t>
        </is>
      </c>
      <c r="I13" s="17" t="inlineStr">
        <is>
          <t>需要を予測し、申請を待たずに先回りして補充する</t>
        </is>
      </c>
    </row>
    <row r="14" ht="26.25" customHeight="1">
      <c r="A14" s="18" t="inlineStr">
        <is>
          <t>C02-02</t>
        </is>
      </c>
      <c r="B14" s="31" t="n"/>
      <c r="C14" s="29" t="inlineStr">
        <is>
          <t>ソーシング</t>
        </is>
      </c>
      <c r="D14" s="18" t="inlineStr">
        <is>
          <t>レベル3（取適法）</t>
        </is>
      </c>
      <c r="E14" s="20" t="inlineStr">
        <is>
          <t>いつもの業者に随意で発注する</t>
        </is>
      </c>
      <c r="F14" s="20" t="inlineStr">
        <is>
          <t>一定金額以上は相見積もりを取る</t>
        </is>
      </c>
      <c r="G14" s="20" t="inlineStr">
        <is>
          <t>全社標準のRFI・RFP・RFQと評価基準で発注先を選び、理由を記録する</t>
        </is>
      </c>
      <c r="H14" s="20" t="inlineStr">
        <is>
          <t>競争の度合い・削減額・選定期間を指標で管理する</t>
        </is>
      </c>
      <c r="I14" s="20" t="inlineStr">
        <is>
          <t>市場の情報を常に集め、交渉と選定を先回りして行う</t>
        </is>
      </c>
    </row>
    <row r="15" ht="26.25" customHeight="1">
      <c r="A15" s="18" t="inlineStr">
        <is>
          <t>C02-03</t>
        </is>
      </c>
      <c r="B15" s="31" t="n"/>
      <c r="C15" s="29" t="inlineStr">
        <is>
          <t>契約管理★</t>
        </is>
      </c>
      <c r="D15" s="18" t="inlineStr">
        <is>
          <t>レベル3（民法・印紙税法）</t>
        </is>
      </c>
      <c r="E15" s="20" t="inlineStr">
        <is>
          <t>契約書がないまま取引する、または所在が分からない</t>
        </is>
      </c>
      <c r="F15" s="20" t="inlineStr">
        <is>
          <t>重要な取引は契約書を結ぶが、管理が部門ごと</t>
        </is>
      </c>
      <c r="G15" s="20" t="inlineStr">
        <is>
          <t>全社標準のひな形・法務審査・締結・保管の手順で契約を一元管理する</t>
        </is>
      </c>
      <c r="H15" s="20" t="inlineStr">
        <is>
          <t>契約の期限切れ・条件の不履行を指標で監視する</t>
        </is>
      </c>
      <c r="I15" s="20" t="inlineStr">
        <is>
          <t>契約の条件データを活用し、交渉と更新を先回りして行う</t>
        </is>
      </c>
    </row>
    <row r="16" ht="26.25" customHeight="1">
      <c r="A16" s="18" t="inlineStr">
        <is>
          <t>C02-04</t>
        </is>
      </c>
      <c r="B16" s="31" t="n"/>
      <c r="C16" s="29" t="inlineStr">
        <is>
          <t>発注管理★</t>
        </is>
      </c>
      <c r="D16" s="18" t="inlineStr">
        <is>
          <t>レベル3（取適法・フリーランス法）</t>
        </is>
      </c>
      <c r="E16" s="20" t="inlineStr">
        <is>
          <t>電話や口頭で発注し、記録が残らない</t>
        </is>
      </c>
      <c r="F16" s="20" t="inlineStr">
        <is>
          <t>発注書を出すが、明示事項や承認が不十分</t>
        </is>
      </c>
      <c r="G16" s="20" t="inlineStr">
        <is>
          <t>全社標準の発注書で取引条件を明示し、承認・送付・変更を一貫して管理する</t>
        </is>
      </c>
      <c r="H16" s="20" t="inlineStr">
        <is>
          <t>納期遵守率・発注の変更率を指標で管理する</t>
        </is>
      </c>
      <c r="I16" s="20" t="inlineStr">
        <is>
          <t>サプライヤーと発注・納期の情報を自動でやりとりする</t>
        </is>
      </c>
    </row>
    <row r="17" ht="26.25" customHeight="1">
      <c r="A17" s="14" t="inlineStr">
        <is>
          <t>C03-01</t>
        </is>
      </c>
      <c r="B17" s="17" t="inlineStr">
        <is>
          <t>受入・ロジスティクス</t>
        </is>
      </c>
      <c r="C17" s="16" t="inlineStr">
        <is>
          <t>入荷・受入管理</t>
        </is>
      </c>
      <c r="D17" s="14" t="inlineStr">
        <is>
          <t>—</t>
        </is>
      </c>
      <c r="E17" s="17" t="inlineStr">
        <is>
          <t>入荷の予定がなく、届いてから確認する</t>
        </is>
      </c>
      <c r="F17" s="17" t="inlineStr">
        <is>
          <t>拠点ごとに入荷と受入検査を行う</t>
        </is>
      </c>
      <c r="G17" s="17" t="inlineStr">
        <is>
          <t>全社標準の受入・検査の手順で、発注・納品書と照合して記録する</t>
        </is>
      </c>
      <c r="H17" s="17" t="inlineStr">
        <is>
          <t>受入の誤り・検査の不合格率を指標で管理する</t>
        </is>
      </c>
      <c r="I17" s="17" t="inlineStr">
        <is>
          <t>事前出荷通知と自動照合で、受入を先回りして準備する</t>
        </is>
      </c>
    </row>
    <row r="18" ht="26.25" customHeight="1">
      <c r="A18" s="18" t="inlineStr">
        <is>
          <t>C03-02</t>
        </is>
      </c>
      <c r="B18" s="31" t="n"/>
      <c r="C18" s="29" t="inlineStr">
        <is>
          <t>検収管理★</t>
        </is>
      </c>
      <c r="D18" s="18" t="inlineStr">
        <is>
          <t>レベル3（取適法）</t>
        </is>
      </c>
      <c r="E18" s="20" t="inlineStr">
        <is>
          <t>検収の基準がなく、支払の直前に確認する</t>
        </is>
      </c>
      <c r="F18" s="20" t="inlineStr">
        <is>
          <t>検収書を発行するが、役務の検収の基準がばらばら</t>
        </is>
      </c>
      <c r="G18" s="20" t="inlineStr">
        <is>
          <t>全社標準の検収基準・手順で、物品と役務を期日どおりに検収する</t>
        </is>
      </c>
      <c r="H18" s="20" t="inlineStr">
        <is>
          <t>検収の遅れ・返品の件数を指標で管理する</t>
        </is>
      </c>
      <c r="I18" s="20" t="inlineStr">
        <is>
          <t>給付の完了を自動で把握し、遅れなく検収する</t>
        </is>
      </c>
    </row>
    <row r="19" ht="26.25" customHeight="1">
      <c r="A19" s="18" t="inlineStr">
        <is>
          <t>C03-03</t>
        </is>
      </c>
      <c r="B19" s="31" t="n"/>
      <c r="C19" s="29" t="inlineStr">
        <is>
          <t>在庫・資産計上</t>
        </is>
      </c>
      <c r="D19" s="18" t="inlineStr">
        <is>
          <t>レベル3（会社法・法人税法）</t>
        </is>
      </c>
      <c r="E19" s="20" t="inlineStr">
        <is>
          <t>在庫・資産の計上が遅れ、実物と合わない</t>
        </is>
      </c>
      <c r="F19" s="20" t="inlineStr">
        <is>
          <t>拠点ごとに在庫と資産を計上する</t>
        </is>
      </c>
      <c r="G19" s="20" t="inlineStr">
        <is>
          <t>受入・検収と連動して、在庫と固定資産を正確に計上する</t>
        </is>
      </c>
      <c r="H19" s="20" t="inlineStr">
        <is>
          <t>在庫差異・資産の計上漏れを指標で管理する</t>
        </is>
      </c>
      <c r="I19" s="20" t="inlineStr">
        <is>
          <t>計上が自動化され、実物と帳簿が常に一致する</t>
        </is>
      </c>
    </row>
    <row r="20" ht="26.25" customHeight="1">
      <c r="A20" s="14" t="inlineStr">
        <is>
          <t>C04-01</t>
        </is>
      </c>
      <c r="B20" s="17" t="inlineStr">
        <is>
          <t>財務・債務管理</t>
        </is>
      </c>
      <c r="C20" s="16" t="inlineStr">
        <is>
          <t>請求書受領・照合★</t>
        </is>
      </c>
      <c r="D20" s="14" t="inlineStr">
        <is>
          <t>レベル3（消費税法・電帳法）</t>
        </is>
      </c>
      <c r="E20" s="17" t="inlineStr">
        <is>
          <t>紙の請求書を手作業で確認する</t>
        </is>
      </c>
      <c r="F20" s="17" t="inlineStr">
        <is>
          <t>請求書を電子化するが、照合は担当者の目視</t>
        </is>
      </c>
      <c r="G20" s="17" t="inlineStr">
        <is>
          <t>インボイスの要件確認と3-Wayマッチングを全社標準の手順・システムで行う</t>
        </is>
      </c>
      <c r="H20" s="17" t="inlineStr">
        <is>
          <t>照合の自動化率・差異の件数を指標で管理する</t>
        </is>
      </c>
      <c r="I20" s="17" t="inlineStr">
        <is>
          <t>電子請求書（デジタルインボイス）で、受領から照合まで自動で完了する</t>
        </is>
      </c>
    </row>
    <row r="21" ht="26.25" customHeight="1">
      <c r="A21" s="18" t="inlineStr">
        <is>
          <t>C04-02</t>
        </is>
      </c>
      <c r="B21" s="31" t="n"/>
      <c r="C21" s="29" t="inlineStr">
        <is>
          <t>支払管理★</t>
        </is>
      </c>
      <c r="D21" s="18" t="inlineStr">
        <is>
          <t>レベル3（取適法・フリーランス法）</t>
        </is>
      </c>
      <c r="E21" s="20" t="inlineStr">
        <is>
          <t>支払が遅れる、または二重に支払う</t>
        </is>
      </c>
      <c r="F21" s="20" t="inlineStr">
        <is>
          <t>月次の締めで支払予定を作るが、期日の管理が手作業</t>
        </is>
      </c>
      <c r="G21" s="20" t="inlineStr">
        <is>
          <t>全社標準の締め・支払サイト・承認で、法定の期日内に確実に支払う</t>
        </is>
      </c>
      <c r="H21" s="20" t="inlineStr">
        <is>
          <t>期日遵守率・二重払いを指標で管理する</t>
        </is>
      </c>
      <c r="I21" s="20" t="inlineStr">
        <is>
          <t>資金計画と連動して支払を先回りして最適化する</t>
        </is>
      </c>
    </row>
    <row r="22" ht="26.25" customHeight="1">
      <c r="A22" s="18" t="inlineStr">
        <is>
          <t>C04-03</t>
        </is>
      </c>
      <c r="B22" s="31" t="n"/>
      <c r="C22" s="29" t="inlineStr">
        <is>
          <t>債務会計・税務★</t>
        </is>
      </c>
      <c r="D22" s="18" t="inlineStr">
        <is>
          <t>レベル3（消費税法・所得税法・電帳法）</t>
        </is>
      </c>
      <c r="E22" s="20" t="inlineStr">
        <is>
          <t>仕訳や税区分の誤りが多い</t>
        </is>
      </c>
      <c r="F22" s="20" t="inlineStr">
        <is>
          <t>経理担当者が確認して修正する</t>
        </is>
      </c>
      <c r="G22" s="20" t="inlineStr">
        <is>
          <t>全社標準の仕訳ルール・税区分・保存方法で、正しく処理する</t>
        </is>
      </c>
      <c r="H22" s="20" t="inlineStr">
        <is>
          <t>修正仕訳・税務の指摘を指標で管理する</t>
        </is>
      </c>
      <c r="I22" s="20" t="inlineStr">
        <is>
          <t>取引データから仕訳と税務処理が自動で行われる</t>
        </is>
      </c>
    </row>
    <row r="23" ht="26.25" customHeight="1">
      <c r="A23" s="14" t="inlineStr">
        <is>
          <t>C05-01</t>
        </is>
      </c>
      <c r="B23" s="17" t="inlineStr">
        <is>
          <t>サプライヤー管理</t>
        </is>
      </c>
      <c r="C23" s="16" t="inlineStr">
        <is>
          <t>サプライヤー登録・審査★</t>
        </is>
      </c>
      <c r="D23" s="14" t="inlineStr">
        <is>
          <t>レベル3（取適法・暴排条例）</t>
        </is>
      </c>
      <c r="E23" s="17" t="inlineStr">
        <is>
          <t>審査をせずに取引を始める</t>
        </is>
      </c>
      <c r="F23" s="17" t="inlineStr">
        <is>
          <t>新規取引先の審査を部門ごとに行う</t>
        </is>
      </c>
      <c r="G23" s="17" t="inlineStr">
        <is>
          <t>全社標準の審査（与信・反社・インボイス登録）と登録の手順を持つ</t>
        </is>
      </c>
      <c r="H23" s="17" t="inlineStr">
        <is>
          <t>審査の期間・登録情報の誤りを指標で管理する</t>
        </is>
      </c>
      <c r="I23" s="17" t="inlineStr">
        <is>
          <t>外部データで取引先の状態を常に監視し、先回りして対応する</t>
        </is>
      </c>
    </row>
    <row r="24" ht="26.25" customHeight="1">
      <c r="A24" s="18" t="inlineStr">
        <is>
          <t>C05-02</t>
        </is>
      </c>
      <c r="B24" s="31" t="n"/>
      <c r="C24" s="29" t="inlineStr">
        <is>
          <t>サプライヤー評価・関係管理</t>
        </is>
      </c>
      <c r="D24" s="18" t="inlineStr">
        <is>
          <t>—</t>
        </is>
      </c>
      <c r="E24" s="20" t="inlineStr">
        <is>
          <t>サプライヤーを評価していない</t>
        </is>
      </c>
      <c r="F24" s="20" t="inlineStr">
        <is>
          <t>問題が起きたときに個別に評価する</t>
        </is>
      </c>
      <c r="G24" s="20" t="inlineStr">
        <is>
          <t>全社共通の基準（品質・納期・価格・対応）で定期的に評価する</t>
        </is>
      </c>
      <c r="H24" s="20" t="inlineStr">
        <is>
          <t>評価結果を発注先の選定と改善に定量的に反映する</t>
        </is>
      </c>
      <c r="I24" s="20" t="inlineStr">
        <is>
          <t>戦略的なサプライヤーと共同で価値を生み出す</t>
        </is>
      </c>
    </row>
    <row r="25" ht="26.25" customHeight="1">
      <c r="A25" s="18" t="inlineStr">
        <is>
          <t>C05-03</t>
        </is>
      </c>
      <c r="B25" s="31" t="n"/>
      <c r="C25" s="29" t="inlineStr">
        <is>
          <t>サプライヤーリスク管理</t>
        </is>
      </c>
      <c r="D25" s="18" t="inlineStr">
        <is>
          <t>—</t>
        </is>
      </c>
      <c r="E25" s="20" t="inlineStr">
        <is>
          <t>問題が起きてから対応する</t>
        </is>
      </c>
      <c r="F25" s="20" t="inlineStr">
        <is>
          <t>主要なサプライヤーのリスクを年1回確認する</t>
        </is>
      </c>
      <c r="G25" s="20" t="inlineStr">
        <is>
          <t>全社標準の方法でリスクを評価・監視し、重要品目の代替策を持つ</t>
        </is>
      </c>
      <c r="H25" s="20" t="inlineStr">
        <is>
          <t>リスクの指標を監視し、事前に手を打つ</t>
        </is>
      </c>
      <c r="I25" s="20" t="inlineStr">
        <is>
          <t>サプライチェーン全体の強靭性を先回りして設計する</t>
        </is>
      </c>
    </row>
    <row r="26" ht="26.25" customHeight="1">
      <c r="A26" s="14" t="inlineStr">
        <is>
          <t>C06-01</t>
        </is>
      </c>
      <c r="B26" s="17" t="inlineStr">
        <is>
          <t>調達基盤</t>
        </is>
      </c>
      <c r="C26" s="16" t="inlineStr">
        <is>
          <t>調達マスタ・データ管理</t>
        </is>
      </c>
      <c r="D26" s="14" t="inlineStr">
        <is>
          <t>—</t>
        </is>
      </c>
      <c r="E26" s="17" t="inlineStr">
        <is>
          <t>品目の登録が重複し、名称がばらばら</t>
        </is>
      </c>
      <c r="F26" s="17" t="inlineStr">
        <is>
          <t>部門ごとにマスタを管理する</t>
        </is>
      </c>
      <c r="G26" s="17" t="inlineStr">
        <is>
          <t>全社標準の品目分類とマスタ管理で、データの品質を保つ</t>
        </is>
      </c>
      <c r="H26" s="17" t="inlineStr">
        <is>
          <t>マスタの重複・誤りを指標で管理する</t>
        </is>
      </c>
      <c r="I26" s="17" t="inlineStr">
        <is>
          <t>マスタを全社のデータ資産として活用する</t>
        </is>
      </c>
    </row>
    <row r="27" ht="26.25" customHeight="1">
      <c r="A27" s="18" t="inlineStr">
        <is>
          <t>C06-02</t>
        </is>
      </c>
      <c r="B27" s="31" t="n"/>
      <c r="C27" s="29" t="inlineStr">
        <is>
          <t>調達分析・レポーティング</t>
        </is>
      </c>
      <c r="D27" s="18" t="inlineStr">
        <is>
          <t>—</t>
        </is>
      </c>
      <c r="E27" s="20" t="inlineStr">
        <is>
          <t>集計が手作業で、時間がかかる</t>
        </is>
      </c>
      <c r="F27" s="20" t="inlineStr">
        <is>
          <t>定型のレポートを定期的に作成する</t>
        </is>
      </c>
      <c r="G27" s="20" t="inlineStr">
        <is>
          <t>全社共通の定義で調達データを集約し、ダッシュボードで提供する</t>
        </is>
      </c>
      <c r="H27" s="20" t="inlineStr">
        <is>
          <t>削減効果・プロセスの効率を指標で検証する</t>
        </is>
      </c>
      <c r="I27" s="20" t="inlineStr">
        <is>
          <t>予測と要因分析で、調達の意思決定を先回りして支援する</t>
        </is>
      </c>
    </row>
    <row r="28" ht="26.25" customHeight="1">
      <c r="A28" s="18" t="inlineStr">
        <is>
          <t>C06-03</t>
        </is>
      </c>
      <c r="B28" s="31" t="n"/>
      <c r="C28" s="29" t="inlineStr">
        <is>
          <t>内部統制・監査対応</t>
        </is>
      </c>
      <c r="D28" s="18" t="inlineStr">
        <is>
          <t>レベル3（金商法〔J-SOX〕）</t>
        </is>
      </c>
      <c r="E28" s="20" t="inlineStr">
        <is>
          <t>一人で発注から支払までできてしまう</t>
        </is>
      </c>
      <c r="F28" s="20" t="inlineStr">
        <is>
          <t>職務分掌を定めているが、点検が不十分</t>
        </is>
      </c>
      <c r="G28" s="20" t="inlineStr">
        <is>
          <t>職務分掌・アクセス権・証跡を全社標準で管理し、定期的に点検する</t>
        </is>
      </c>
      <c r="H28" s="20" t="inlineStr">
        <is>
          <t>統制の不備を指標で監視し、早期に是正する</t>
        </is>
      </c>
      <c r="I28" s="20" t="inlineStr">
        <is>
          <t>データ分析で不正・誤りを先回りして検知する</t>
        </is>
      </c>
    </row>
  </sheetData>
  <autoFilter ref="A10:I28"/>
  <mergeCells count="6">
    <mergeCell ref="C3:I3"/>
    <mergeCell ref="C8:I8"/>
    <mergeCell ref="C4:I4"/>
    <mergeCell ref="C6:I6"/>
    <mergeCell ref="C7:I7"/>
    <mergeCell ref="C5:I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6A6A6"/>
    <outlinePr summaryBelow="1" summaryRight="1"/>
    <pageSetUpPr/>
  </sheetPr>
  <dimension ref="A1:G282"/>
  <sheetViews>
    <sheetView showGridLines="1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3" customWidth="1" min="3" max="3"/>
    <col width="32" customWidth="1" min="4" max="4"/>
    <col width="7" customWidth="1" min="5" max="5"/>
    <col width="9" customWidth="1" min="6" max="6"/>
    <col width="11" customWidth="1" min="7" max="7"/>
  </cols>
  <sheetData>
    <row r="1" ht="21" customHeight="1">
      <c r="A1" s="32" t="inlineStr">
        <is>
          <t>VS×ケイパビリティ関係（正本：VS L4 × ケイパビリティL3）</t>
        </is>
      </c>
    </row>
    <row r="2" ht="15" customHeight="1">
      <c r="A2" s="33" t="inlineStr">
        <is>
          <t>1行1関係。区分は「主」（そのL4の中核）か「支援」（下支え）。マトリクスはこのシートから数式で集計する。関係の追加・変更はこのシートで行う。灰色の列は数式（編集しない）。</t>
        </is>
      </c>
    </row>
    <row r="3" ht="40.5" customHeight="1">
      <c r="A3" s="3" t="inlineStr">
        <is>
          <t>VS L4 ID</t>
        </is>
      </c>
      <c r="B3" s="3" t="inlineStr">
        <is>
          <t>VS L4</t>
        </is>
      </c>
      <c r="C3" s="4" t="inlineStr">
        <is>
          <t>ケイパビリティL3 ID</t>
        </is>
      </c>
      <c r="D3" s="4" t="inlineStr">
        <is>
          <t>ケイパビリティL3</t>
        </is>
      </c>
      <c r="E3" s="4" t="inlineStr">
        <is>
          <t>区分</t>
        </is>
      </c>
      <c r="F3" s="34" t="inlineStr">
        <is>
          <t>VS L3 ID</t>
        </is>
      </c>
      <c r="G3" s="5" t="inlineStr">
        <is>
          <t>ケイパビリティL2 ID</t>
        </is>
      </c>
    </row>
    <row r="4">
      <c r="A4" s="18" t="inlineStr">
        <is>
          <t>01-01-01</t>
        </is>
      </c>
      <c r="B4" s="20" t="inlineStr">
        <is>
          <t>年間購買計画・購買予算の策定</t>
        </is>
      </c>
      <c r="C4" s="18" t="inlineStr">
        <is>
          <t>C01-01-03</t>
        </is>
      </c>
      <c r="D4" s="31">
        <f>IFERROR(INDEX(ケイパビリティマップ!$E:$E,MATCH(C4,ケイパビリティマップ!$A:$A,0)),"（IDなし）")</f>
        <v/>
      </c>
      <c r="E4" s="23" t="inlineStr">
        <is>
          <t>主</t>
        </is>
      </c>
      <c r="F4" s="35">
        <f>LEFT(A4,5)</f>
        <v/>
      </c>
      <c r="G4" s="35">
        <f>LEFT(C4,6)</f>
        <v/>
      </c>
    </row>
    <row r="5">
      <c r="A5" s="18" t="inlineStr">
        <is>
          <t>01-01-02</t>
        </is>
      </c>
      <c r="B5" s="20" t="inlineStr">
        <is>
          <t>所要量計算（MRP）による購買依頼（直接材）</t>
        </is>
      </c>
      <c r="C5" s="18" t="inlineStr">
        <is>
          <t>C02-01-01</t>
        </is>
      </c>
      <c r="D5" s="31">
        <f>IFERROR(INDEX(ケイパビリティマップ!$E:$E,MATCH(C5,ケイパビリティマップ!$A:$A,0)),"（IDなし）")</f>
        <v/>
      </c>
      <c r="E5" s="23" t="inlineStr">
        <is>
          <t>主</t>
        </is>
      </c>
      <c r="F5" s="35">
        <f>LEFT(A5,5)</f>
        <v/>
      </c>
      <c r="G5" s="35">
        <f>LEFT(C5,6)</f>
        <v/>
      </c>
    </row>
    <row r="6">
      <c r="A6" s="18" t="inlineStr">
        <is>
          <t>01-01-03</t>
        </is>
      </c>
      <c r="B6" s="20" t="inlineStr">
        <is>
          <t>補充点による補充依頼（消耗品・MRO）</t>
        </is>
      </c>
      <c r="C6" s="18" t="inlineStr">
        <is>
          <t>C02-01-01</t>
        </is>
      </c>
      <c r="D6" s="31">
        <f>IFERROR(INDEX(ケイパビリティマップ!$E:$E,MATCH(C6,ケイパビリティマップ!$A:$A,0)),"（IDなし）")</f>
        <v/>
      </c>
      <c r="E6" s="23" t="inlineStr">
        <is>
          <t>主</t>
        </is>
      </c>
      <c r="F6" s="35">
        <f>LEFT(A6,5)</f>
        <v/>
      </c>
      <c r="G6" s="35">
        <f>LEFT(C6,6)</f>
        <v/>
      </c>
    </row>
    <row r="7">
      <c r="A7" s="18" t="inlineStr">
        <is>
          <t>01-01-03</t>
        </is>
      </c>
      <c r="B7" s="20" t="inlineStr">
        <is>
          <t>補充点による補充依頼（消耗品・MRO）</t>
        </is>
      </c>
      <c r="C7" s="18" t="inlineStr">
        <is>
          <t>C03-03-01</t>
        </is>
      </c>
      <c r="D7" s="31">
        <f>IFERROR(INDEX(ケイパビリティマップ!$E:$E,MATCH(C7,ケイパビリティマップ!$A:$A,0)),"（IDなし）")</f>
        <v/>
      </c>
      <c r="E7" s="23" t="inlineStr">
        <is>
          <t>支援</t>
        </is>
      </c>
      <c r="F7" s="35">
        <f>LEFT(A7,5)</f>
        <v/>
      </c>
      <c r="G7" s="35">
        <f>LEFT(C7,6)</f>
        <v/>
      </c>
    </row>
    <row r="8">
      <c r="A8" s="18" t="inlineStr">
        <is>
          <t>01-02-01</t>
        </is>
      </c>
      <c r="B8" s="20" t="inlineStr">
        <is>
          <t>購買仕様・要求事項の作成（品質・数量・納期・作業範囲）</t>
        </is>
      </c>
      <c r="C8" s="18" t="inlineStr">
        <is>
          <t>C02-01-02</t>
        </is>
      </c>
      <c r="D8" s="31">
        <f>IFERROR(INDEX(ケイパビリティマップ!$E:$E,MATCH(C8,ケイパビリティマップ!$A:$A,0)),"（IDなし）")</f>
        <v/>
      </c>
      <c r="E8" s="23" t="inlineStr">
        <is>
          <t>主</t>
        </is>
      </c>
      <c r="F8" s="35">
        <f>LEFT(A8,5)</f>
        <v/>
      </c>
      <c r="G8" s="35">
        <f>LEFT(C8,6)</f>
        <v/>
      </c>
    </row>
    <row r="9">
      <c r="A9" s="18" t="inlineStr">
        <is>
          <t>01-02-02</t>
        </is>
      </c>
      <c r="B9" s="20" t="inlineStr">
        <is>
          <t>既存契約・カタログからの選択（単価契約品）</t>
        </is>
      </c>
      <c r="C9" s="18" t="inlineStr">
        <is>
          <t>C02-01-03</t>
        </is>
      </c>
      <c r="D9" s="31">
        <f>IFERROR(INDEX(ケイパビリティマップ!$E:$E,MATCH(C9,ケイパビリティマップ!$A:$A,0)),"（IDなし）")</f>
        <v/>
      </c>
      <c r="E9" s="23" t="inlineStr">
        <is>
          <t>主</t>
        </is>
      </c>
      <c r="F9" s="35">
        <f>LEFT(A9,5)</f>
        <v/>
      </c>
      <c r="G9" s="35">
        <f>LEFT(C9,6)</f>
        <v/>
      </c>
    </row>
    <row r="10">
      <c r="A10" s="18" t="inlineStr">
        <is>
          <t>01-02-02</t>
        </is>
      </c>
      <c r="B10" s="20" t="inlineStr">
        <is>
          <t>既存契約・カタログからの選択（単価契約品）</t>
        </is>
      </c>
      <c r="C10" s="18" t="inlineStr">
        <is>
          <t>C02-03-04</t>
        </is>
      </c>
      <c r="D10" s="31">
        <f>IFERROR(INDEX(ケイパビリティマップ!$E:$E,MATCH(C10,ケイパビリティマップ!$A:$A,0)),"（IDなし）")</f>
        <v/>
      </c>
      <c r="E10" s="23" t="inlineStr">
        <is>
          <t>支援</t>
        </is>
      </c>
      <c r="F10" s="35">
        <f>LEFT(A10,5)</f>
        <v/>
      </c>
      <c r="G10" s="35">
        <f>LEFT(C10,6)</f>
        <v/>
      </c>
    </row>
    <row r="11">
      <c r="A11" s="18" t="inlineStr">
        <is>
          <t>01-02-03</t>
        </is>
      </c>
      <c r="B11" s="20" t="inlineStr">
        <is>
          <t>購買申請（PR）の作成</t>
        </is>
      </c>
      <c r="C11" s="18" t="inlineStr">
        <is>
          <t>C02-01-03</t>
        </is>
      </c>
      <c r="D11" s="31">
        <f>IFERROR(INDEX(ケイパビリティマップ!$E:$E,MATCH(C11,ケイパビリティマップ!$A:$A,0)),"（IDなし）")</f>
        <v/>
      </c>
      <c r="E11" s="23" t="inlineStr">
        <is>
          <t>主</t>
        </is>
      </c>
      <c r="F11" s="35">
        <f>LEFT(A11,5)</f>
        <v/>
      </c>
      <c r="G11" s="35">
        <f>LEFT(C11,6)</f>
        <v/>
      </c>
    </row>
    <row r="12">
      <c r="A12" s="18" t="inlineStr">
        <is>
          <t>01-02-04</t>
        </is>
      </c>
      <c r="B12" s="20" t="inlineStr">
        <is>
          <t>予算の確認・引当</t>
        </is>
      </c>
      <c r="C12" s="18" t="inlineStr">
        <is>
          <t>C02-01-03</t>
        </is>
      </c>
      <c r="D12" s="31">
        <f>IFERROR(INDEX(ケイパビリティマップ!$E:$E,MATCH(C12,ケイパビリティマップ!$A:$A,0)),"（IDなし）")</f>
        <v/>
      </c>
      <c r="E12" s="23" t="inlineStr">
        <is>
          <t>主</t>
        </is>
      </c>
      <c r="F12" s="35">
        <f>LEFT(A12,5)</f>
        <v/>
      </c>
      <c r="G12" s="35">
        <f>LEFT(C12,6)</f>
        <v/>
      </c>
    </row>
    <row r="13">
      <c r="A13" s="18" t="inlineStr">
        <is>
          <t>01-02-04</t>
        </is>
      </c>
      <c r="B13" s="20" t="inlineStr">
        <is>
          <t>予算の確認・引当</t>
        </is>
      </c>
      <c r="C13" s="18" t="inlineStr">
        <is>
          <t>C01-01-03</t>
        </is>
      </c>
      <c r="D13" s="31">
        <f>IFERROR(INDEX(ケイパビリティマップ!$E:$E,MATCH(C13,ケイパビリティマップ!$A:$A,0)),"（IDなし）")</f>
        <v/>
      </c>
      <c r="E13" s="23" t="inlineStr">
        <is>
          <t>支援</t>
        </is>
      </c>
      <c r="F13" s="35">
        <f>LEFT(A13,5)</f>
        <v/>
      </c>
      <c r="G13" s="35">
        <f>LEFT(C13,6)</f>
        <v/>
      </c>
    </row>
    <row r="14">
      <c r="A14" s="18" t="inlineStr">
        <is>
          <t>01-02-05</t>
        </is>
      </c>
      <c r="B14" s="20" t="inlineStr">
        <is>
          <t>★稟議・購買申請の承認（職務権限に基づく）</t>
        </is>
      </c>
      <c r="C14" s="18" t="inlineStr">
        <is>
          <t>C02-01-03</t>
        </is>
      </c>
      <c r="D14" s="31">
        <f>IFERROR(INDEX(ケイパビリティマップ!$E:$E,MATCH(C14,ケイパビリティマップ!$A:$A,0)),"（IDなし）")</f>
        <v/>
      </c>
      <c r="E14" s="23" t="inlineStr">
        <is>
          <t>主</t>
        </is>
      </c>
      <c r="F14" s="35">
        <f>LEFT(A14,5)</f>
        <v/>
      </c>
      <c r="G14" s="35">
        <f>LEFT(C14,6)</f>
        <v/>
      </c>
    </row>
    <row r="15">
      <c r="A15" s="18" t="inlineStr">
        <is>
          <t>01-02-05</t>
        </is>
      </c>
      <c r="B15" s="20" t="inlineStr">
        <is>
          <t>★稟議・購買申請の承認（職務権限に基づく）</t>
        </is>
      </c>
      <c r="C15" s="18" t="inlineStr">
        <is>
          <t>C01-02-01</t>
        </is>
      </c>
      <c r="D15" s="31">
        <f>IFERROR(INDEX(ケイパビリティマップ!$E:$E,MATCH(C15,ケイパビリティマップ!$A:$A,0)),"（IDなし）")</f>
        <v/>
      </c>
      <c r="E15" s="23" t="inlineStr">
        <is>
          <t>支援</t>
        </is>
      </c>
      <c r="F15" s="35">
        <f>LEFT(A15,5)</f>
        <v/>
      </c>
      <c r="G15" s="35">
        <f>LEFT(C15,6)</f>
        <v/>
      </c>
    </row>
    <row r="16">
      <c r="A16" s="18" t="inlineStr">
        <is>
          <t>02-01-01</t>
        </is>
      </c>
      <c r="B16" s="20" t="inlineStr">
        <is>
          <t>支出分析（品目・サプライヤー・部門別）</t>
        </is>
      </c>
      <c r="C16" s="18" t="inlineStr">
        <is>
          <t>C01-01-01</t>
        </is>
      </c>
      <c r="D16" s="31">
        <f>IFERROR(INDEX(ケイパビリティマップ!$E:$E,MATCH(C16,ケイパビリティマップ!$A:$A,0)),"（IDなし）")</f>
        <v/>
      </c>
      <c r="E16" s="23" t="inlineStr">
        <is>
          <t>主</t>
        </is>
      </c>
      <c r="F16" s="35">
        <f>LEFT(A16,5)</f>
        <v/>
      </c>
      <c r="G16" s="35">
        <f>LEFT(C16,6)</f>
        <v/>
      </c>
    </row>
    <row r="17">
      <c r="A17" s="18" t="inlineStr">
        <is>
          <t>02-01-01</t>
        </is>
      </c>
      <c r="B17" s="20" t="inlineStr">
        <is>
          <t>支出分析（品目・サプライヤー・部門別）</t>
        </is>
      </c>
      <c r="C17" s="18" t="inlineStr">
        <is>
          <t>C06-02-01</t>
        </is>
      </c>
      <c r="D17" s="31">
        <f>IFERROR(INDEX(ケイパビリティマップ!$E:$E,MATCH(C17,ケイパビリティマップ!$A:$A,0)),"（IDなし）")</f>
        <v/>
      </c>
      <c r="E17" s="23" t="inlineStr">
        <is>
          <t>支援</t>
        </is>
      </c>
      <c r="F17" s="35">
        <f>LEFT(A17,5)</f>
        <v/>
      </c>
      <c r="G17" s="35">
        <f>LEFT(C17,6)</f>
        <v/>
      </c>
    </row>
    <row r="18">
      <c r="A18" s="18" t="inlineStr">
        <is>
          <t>02-01-02</t>
        </is>
      </c>
      <c r="B18" s="20" t="inlineStr">
        <is>
          <t>カテゴリ戦略と調達方法の決定（集約・競争入札・随意契約）</t>
        </is>
      </c>
      <c r="C18" s="18" t="inlineStr">
        <is>
          <t>C01-01-02</t>
        </is>
      </c>
      <c r="D18" s="31">
        <f>IFERROR(INDEX(ケイパビリティマップ!$E:$E,MATCH(C18,ケイパビリティマップ!$A:$A,0)),"（IDなし）")</f>
        <v/>
      </c>
      <c r="E18" s="23" t="inlineStr">
        <is>
          <t>主</t>
        </is>
      </c>
      <c r="F18" s="35">
        <f>LEFT(A18,5)</f>
        <v/>
      </c>
      <c r="G18" s="35">
        <f>LEFT(C18,6)</f>
        <v/>
      </c>
    </row>
    <row r="19">
      <c r="A19" s="18" t="inlineStr">
        <is>
          <t>02-02-01</t>
        </is>
      </c>
      <c r="B19" s="20" t="inlineStr">
        <is>
          <t>候補サプライヤーの探索・情報収集（RFI）</t>
        </is>
      </c>
      <c r="C19" s="18" t="inlineStr">
        <is>
          <t>C02-02-01</t>
        </is>
      </c>
      <c r="D19" s="31">
        <f>IFERROR(INDEX(ケイパビリティマップ!$E:$E,MATCH(C19,ケイパビリティマップ!$A:$A,0)),"（IDなし）")</f>
        <v/>
      </c>
      <c r="E19" s="23" t="inlineStr">
        <is>
          <t>主</t>
        </is>
      </c>
      <c r="F19" s="35">
        <f>LEFT(A19,5)</f>
        <v/>
      </c>
      <c r="G19" s="35">
        <f>LEFT(C19,6)</f>
        <v/>
      </c>
    </row>
    <row r="20">
      <c r="A20" s="18" t="inlineStr">
        <is>
          <t>02-02-02</t>
        </is>
      </c>
      <c r="B20" s="20" t="inlineStr">
        <is>
          <t>★新規取引先の審査（与信・反社チェック・インボイス登録番号の確認）</t>
        </is>
      </c>
      <c r="C20" s="18" t="inlineStr">
        <is>
          <t>C05-01-01</t>
        </is>
      </c>
      <c r="D20" s="31">
        <f>IFERROR(INDEX(ケイパビリティマップ!$E:$E,MATCH(C20,ケイパビリティマップ!$A:$A,0)),"（IDなし）")</f>
        <v/>
      </c>
      <c r="E20" s="23" t="inlineStr">
        <is>
          <t>主</t>
        </is>
      </c>
      <c r="F20" s="35">
        <f>LEFT(A20,5)</f>
        <v/>
      </c>
      <c r="G20" s="35">
        <f>LEFT(C20,6)</f>
        <v/>
      </c>
    </row>
    <row r="21">
      <c r="A21" s="18" t="inlineStr">
        <is>
          <t>02-02-03</t>
        </is>
      </c>
      <c r="B21" s="20" t="inlineStr">
        <is>
          <t>★取適法・フリーランス法の適用判定（資本金・従業員数・取引内容）</t>
        </is>
      </c>
      <c r="C21" s="18" t="inlineStr">
        <is>
          <t>C05-01-03</t>
        </is>
      </c>
      <c r="D21" s="31">
        <f>IFERROR(INDEX(ケイパビリティマップ!$E:$E,MATCH(C21,ケイパビリティマップ!$A:$A,0)),"（IDなし）")</f>
        <v/>
      </c>
      <c r="E21" s="23" t="inlineStr">
        <is>
          <t>主</t>
        </is>
      </c>
      <c r="F21" s="35">
        <f>LEFT(A21,5)</f>
        <v/>
      </c>
      <c r="G21" s="35">
        <f>LEFT(C21,6)</f>
        <v/>
      </c>
    </row>
    <row r="22">
      <c r="A22" s="18" t="inlineStr">
        <is>
          <t>02-02-03</t>
        </is>
      </c>
      <c r="B22" s="20" t="inlineStr">
        <is>
          <t>★取適法・フリーランス法の適用判定（資本金・従業員数・取引内容）</t>
        </is>
      </c>
      <c r="C22" s="18" t="inlineStr">
        <is>
          <t>C01-02-02</t>
        </is>
      </c>
      <c r="D22" s="31">
        <f>IFERROR(INDEX(ケイパビリティマップ!$E:$E,MATCH(C22,ケイパビリティマップ!$A:$A,0)),"（IDなし）")</f>
        <v/>
      </c>
      <c r="E22" s="23" t="inlineStr">
        <is>
          <t>支援</t>
        </is>
      </c>
      <c r="F22" s="35">
        <f>LEFT(A22,5)</f>
        <v/>
      </c>
      <c r="G22" s="35">
        <f>LEFT(C22,6)</f>
        <v/>
      </c>
    </row>
    <row r="23">
      <c r="A23" s="18" t="inlineStr">
        <is>
          <t>02-02-04</t>
        </is>
      </c>
      <c r="B23" s="20" t="inlineStr">
        <is>
          <t>サプライヤーマスタの登録（口座・支払条件・登録番号）</t>
        </is>
      </c>
      <c r="C23" s="18" t="inlineStr">
        <is>
          <t>C05-01-02</t>
        </is>
      </c>
      <c r="D23" s="31">
        <f>IFERROR(INDEX(ケイパビリティマップ!$E:$E,MATCH(C23,ケイパビリティマップ!$A:$A,0)),"（IDなし）")</f>
        <v/>
      </c>
      <c r="E23" s="23" t="inlineStr">
        <is>
          <t>主</t>
        </is>
      </c>
      <c r="F23" s="35">
        <f>LEFT(A23,5)</f>
        <v/>
      </c>
      <c r="G23" s="35">
        <f>LEFT(C23,6)</f>
        <v/>
      </c>
    </row>
    <row r="24">
      <c r="A24" s="18" t="inlineStr">
        <is>
          <t>02-02-04</t>
        </is>
      </c>
      <c r="B24" s="20" t="inlineStr">
        <is>
          <t>サプライヤーマスタの登録（口座・支払条件・登録番号）</t>
        </is>
      </c>
      <c r="C24" s="18" t="inlineStr">
        <is>
          <t>C06-03-01</t>
        </is>
      </c>
      <c r="D24" s="31">
        <f>IFERROR(INDEX(ケイパビリティマップ!$E:$E,MATCH(C24,ケイパビリティマップ!$A:$A,0)),"（IDなし）")</f>
        <v/>
      </c>
      <c r="E24" s="23" t="inlineStr">
        <is>
          <t>支援</t>
        </is>
      </c>
      <c r="F24" s="35">
        <f>LEFT(A24,5)</f>
        <v/>
      </c>
      <c r="G24" s="35">
        <f>LEFT(C24,6)</f>
        <v/>
      </c>
    </row>
    <row r="25">
      <c r="A25" s="18" t="inlineStr">
        <is>
          <t>02-02-05</t>
        </is>
      </c>
      <c r="B25" s="20" t="inlineStr">
        <is>
          <t>★個人事業者のマイナンバーの取得（報酬の支払調書用）</t>
        </is>
      </c>
      <c r="C25" s="18" t="inlineStr">
        <is>
          <t>C04-03-03</t>
        </is>
      </c>
      <c r="D25" s="31">
        <f>IFERROR(INDEX(ケイパビリティマップ!$E:$E,MATCH(C25,ケイパビリティマップ!$A:$A,0)),"（IDなし）")</f>
        <v/>
      </c>
      <c r="E25" s="23" t="inlineStr">
        <is>
          <t>主</t>
        </is>
      </c>
      <c r="F25" s="35">
        <f>LEFT(A25,5)</f>
        <v/>
      </c>
      <c r="G25" s="35">
        <f>LEFT(C25,6)</f>
        <v/>
      </c>
    </row>
    <row r="26">
      <c r="A26" s="18" t="inlineStr">
        <is>
          <t>02-03-01</t>
        </is>
      </c>
      <c r="B26" s="20" t="inlineStr">
        <is>
          <t>RFP/RFQの作成・発行</t>
        </is>
      </c>
      <c r="C26" s="18" t="inlineStr">
        <is>
          <t>C02-02-02</t>
        </is>
      </c>
      <c r="D26" s="31">
        <f>IFERROR(INDEX(ケイパビリティマップ!$E:$E,MATCH(C26,ケイパビリティマップ!$A:$A,0)),"（IDなし）")</f>
        <v/>
      </c>
      <c r="E26" s="23" t="inlineStr">
        <is>
          <t>主</t>
        </is>
      </c>
      <c r="F26" s="35">
        <f>LEFT(A26,5)</f>
        <v/>
      </c>
      <c r="G26" s="35">
        <f>LEFT(C26,6)</f>
        <v/>
      </c>
    </row>
    <row r="27">
      <c r="A27" s="18" t="inlineStr">
        <is>
          <t>02-03-02</t>
        </is>
      </c>
      <c r="B27" s="20" t="inlineStr">
        <is>
          <t>見積・提案の受領と比較評価（総保有コストを含む）</t>
        </is>
      </c>
      <c r="C27" s="18" t="inlineStr">
        <is>
          <t>C02-02-02</t>
        </is>
      </c>
      <c r="D27" s="31">
        <f>IFERROR(INDEX(ケイパビリティマップ!$E:$E,MATCH(C27,ケイパビリティマップ!$A:$A,0)),"（IDなし）")</f>
        <v/>
      </c>
      <c r="E27" s="23" t="inlineStr">
        <is>
          <t>主</t>
        </is>
      </c>
      <c r="F27" s="35">
        <f>LEFT(A27,5)</f>
        <v/>
      </c>
      <c r="G27" s="35">
        <f>LEFT(C27,6)</f>
        <v/>
      </c>
    </row>
    <row r="28">
      <c r="A28" s="18" t="inlineStr">
        <is>
          <t>02-03-03</t>
        </is>
      </c>
      <c r="B28" s="20" t="inlineStr">
        <is>
          <t>★価格交渉（価格転嫁の協議を含む）</t>
        </is>
      </c>
      <c r="C28" s="18" t="inlineStr">
        <is>
          <t>C02-02-03</t>
        </is>
      </c>
      <c r="D28" s="31">
        <f>IFERROR(INDEX(ケイパビリティマップ!$E:$E,MATCH(C28,ケイパビリティマップ!$A:$A,0)),"（IDなし）")</f>
        <v/>
      </c>
      <c r="E28" s="23" t="inlineStr">
        <is>
          <t>主</t>
        </is>
      </c>
      <c r="F28" s="35">
        <f>LEFT(A28,5)</f>
        <v/>
      </c>
      <c r="G28" s="35">
        <f>LEFT(C28,6)</f>
        <v/>
      </c>
    </row>
    <row r="29">
      <c r="A29" s="18" t="inlineStr">
        <is>
          <t>02-03-03</t>
        </is>
      </c>
      <c r="B29" s="20" t="inlineStr">
        <is>
          <t>★価格交渉（価格転嫁の協議を含む）</t>
        </is>
      </c>
      <c r="C29" s="18" t="inlineStr">
        <is>
          <t>C01-02-02</t>
        </is>
      </c>
      <c r="D29" s="31">
        <f>IFERROR(INDEX(ケイパビリティマップ!$E:$E,MATCH(C29,ケイパビリティマップ!$A:$A,0)),"（IDなし）")</f>
        <v/>
      </c>
      <c r="E29" s="23" t="inlineStr">
        <is>
          <t>支援</t>
        </is>
      </c>
      <c r="F29" s="35">
        <f>LEFT(A29,5)</f>
        <v/>
      </c>
      <c r="G29" s="35">
        <f>LEFT(C29,6)</f>
        <v/>
      </c>
    </row>
    <row r="30">
      <c r="A30" s="18" t="inlineStr">
        <is>
          <t>02-03-04</t>
        </is>
      </c>
      <c r="B30" s="20" t="inlineStr">
        <is>
          <t>発注先の選定・承認（選定理由の記録）</t>
        </is>
      </c>
      <c r="C30" s="18" t="inlineStr">
        <is>
          <t>C02-02-04</t>
        </is>
      </c>
      <c r="D30" s="31">
        <f>IFERROR(INDEX(ケイパビリティマップ!$E:$E,MATCH(C30,ケイパビリティマップ!$A:$A,0)),"（IDなし）")</f>
        <v/>
      </c>
      <c r="E30" s="23" t="inlineStr">
        <is>
          <t>主</t>
        </is>
      </c>
      <c r="F30" s="35">
        <f>LEFT(A30,5)</f>
        <v/>
      </c>
      <c r="G30" s="35">
        <f>LEFT(C30,6)</f>
        <v/>
      </c>
    </row>
    <row r="31">
      <c r="A31" s="18" t="inlineStr">
        <is>
          <t>02-03-04</t>
        </is>
      </c>
      <c r="B31" s="20" t="inlineStr">
        <is>
          <t>発注先の選定・承認（選定理由の記録）</t>
        </is>
      </c>
      <c r="C31" s="18" t="inlineStr">
        <is>
          <t>C05-02-01</t>
        </is>
      </c>
      <c r="D31" s="31">
        <f>IFERROR(INDEX(ケイパビリティマップ!$E:$E,MATCH(C31,ケイパビリティマップ!$A:$A,0)),"（IDなし）")</f>
        <v/>
      </c>
      <c r="E31" s="23" t="inlineStr">
        <is>
          <t>支援</t>
        </is>
      </c>
      <c r="F31" s="35">
        <f>LEFT(A31,5)</f>
        <v/>
      </c>
      <c r="G31" s="35">
        <f>LEFT(C31,6)</f>
        <v/>
      </c>
    </row>
    <row r="32">
      <c r="A32" s="18" t="inlineStr">
        <is>
          <t>03-01-01</t>
        </is>
      </c>
      <c r="B32" s="20" t="inlineStr">
        <is>
          <t>契約書の作成・法務審査</t>
        </is>
      </c>
      <c r="C32" s="18" t="inlineStr">
        <is>
          <t>C02-03-01</t>
        </is>
      </c>
      <c r="D32" s="31">
        <f>IFERROR(INDEX(ケイパビリティマップ!$E:$E,MATCH(C32,ケイパビリティマップ!$A:$A,0)),"（IDなし）")</f>
        <v/>
      </c>
      <c r="E32" s="23" t="inlineStr">
        <is>
          <t>主</t>
        </is>
      </c>
      <c r="F32" s="35">
        <f>LEFT(A32,5)</f>
        <v/>
      </c>
      <c r="G32" s="35">
        <f>LEFT(C32,6)</f>
        <v/>
      </c>
    </row>
    <row r="33">
      <c r="A33" s="18" t="inlineStr">
        <is>
          <t>03-01-02</t>
        </is>
      </c>
      <c r="B33" s="20" t="inlineStr">
        <is>
          <t>★契約の締結（電子契約・印紙税の処理）</t>
        </is>
      </c>
      <c r="C33" s="18" t="inlineStr">
        <is>
          <t>C02-03-02</t>
        </is>
      </c>
      <c r="D33" s="31">
        <f>IFERROR(INDEX(ケイパビリティマップ!$E:$E,MATCH(C33,ケイパビリティマップ!$A:$A,0)),"（IDなし）")</f>
        <v/>
      </c>
      <c r="E33" s="23" t="inlineStr">
        <is>
          <t>主</t>
        </is>
      </c>
      <c r="F33" s="35">
        <f>LEFT(A33,5)</f>
        <v/>
      </c>
      <c r="G33" s="35">
        <f>LEFT(C33,6)</f>
        <v/>
      </c>
    </row>
    <row r="34">
      <c r="A34" s="18" t="inlineStr">
        <is>
          <t>03-01-02</t>
        </is>
      </c>
      <c r="B34" s="20" t="inlineStr">
        <is>
          <t>★契約の締結（電子契約・印紙税の処理）</t>
        </is>
      </c>
      <c r="C34" s="18" t="inlineStr">
        <is>
          <t>C04-03-04</t>
        </is>
      </c>
      <c r="D34" s="31">
        <f>IFERROR(INDEX(ケイパビリティマップ!$E:$E,MATCH(C34,ケイパビリティマップ!$A:$A,0)),"（IDなし）")</f>
        <v/>
      </c>
      <c r="E34" s="23" t="inlineStr">
        <is>
          <t>支援</t>
        </is>
      </c>
      <c r="F34" s="35">
        <f>LEFT(A34,5)</f>
        <v/>
      </c>
      <c r="G34" s="35">
        <f>LEFT(C34,6)</f>
        <v/>
      </c>
    </row>
    <row r="35">
      <c r="A35" s="18" t="inlineStr">
        <is>
          <t>03-01-03</t>
        </is>
      </c>
      <c r="B35" s="20" t="inlineStr">
        <is>
          <t>単価契約・カタログの登録</t>
        </is>
      </c>
      <c r="C35" s="18" t="inlineStr">
        <is>
          <t>C02-03-04</t>
        </is>
      </c>
      <c r="D35" s="31">
        <f>IFERROR(INDEX(ケイパビリティマップ!$E:$E,MATCH(C35,ケイパビリティマップ!$A:$A,0)),"（IDなし）")</f>
        <v/>
      </c>
      <c r="E35" s="23" t="inlineStr">
        <is>
          <t>主</t>
        </is>
      </c>
      <c r="F35" s="35">
        <f>LEFT(A35,5)</f>
        <v/>
      </c>
      <c r="G35" s="35">
        <f>LEFT(C35,6)</f>
        <v/>
      </c>
    </row>
    <row r="36">
      <c r="A36" s="18" t="inlineStr">
        <is>
          <t>03-01-03</t>
        </is>
      </c>
      <c r="B36" s="20" t="inlineStr">
        <is>
          <t>単価契約・カタログの登録</t>
        </is>
      </c>
      <c r="C36" s="18" t="inlineStr">
        <is>
          <t>C06-01-01</t>
        </is>
      </c>
      <c r="D36" s="31">
        <f>IFERROR(INDEX(ケイパビリティマップ!$E:$E,MATCH(C36,ケイパビリティマップ!$A:$A,0)),"（IDなし）")</f>
        <v/>
      </c>
      <c r="E36" s="23" t="inlineStr">
        <is>
          <t>支援</t>
        </is>
      </c>
      <c r="F36" s="35">
        <f>LEFT(A36,5)</f>
        <v/>
      </c>
      <c r="G36" s="35">
        <f>LEFT(C36,6)</f>
        <v/>
      </c>
    </row>
    <row r="37">
      <c r="A37" s="18" t="inlineStr">
        <is>
          <t>03-01-04</t>
        </is>
      </c>
      <c r="B37" s="20" t="inlineStr">
        <is>
          <t>契約の期限・更新の管理</t>
        </is>
      </c>
      <c r="C37" s="18" t="inlineStr">
        <is>
          <t>C02-03-03</t>
        </is>
      </c>
      <c r="D37" s="31">
        <f>IFERROR(INDEX(ケイパビリティマップ!$E:$E,MATCH(C37,ケイパビリティマップ!$A:$A,0)),"（IDなし）")</f>
        <v/>
      </c>
      <c r="E37" s="23" t="inlineStr">
        <is>
          <t>主</t>
        </is>
      </c>
      <c r="F37" s="35">
        <f>LEFT(A37,5)</f>
        <v/>
      </c>
      <c r="G37" s="35">
        <f>LEFT(C37,6)</f>
        <v/>
      </c>
    </row>
    <row r="38">
      <c r="A38" s="18" t="inlineStr">
        <is>
          <t>03-02-01</t>
        </is>
      </c>
      <c r="B38" s="20" t="inlineStr">
        <is>
          <t>発注書（PO）の作成・承認</t>
        </is>
      </c>
      <c r="C38" s="18" t="inlineStr">
        <is>
          <t>C02-04-01</t>
        </is>
      </c>
      <c r="D38" s="31">
        <f>IFERROR(INDEX(ケイパビリティマップ!$E:$E,MATCH(C38,ケイパビリティマップ!$A:$A,0)),"（IDなし）")</f>
        <v/>
      </c>
      <c r="E38" s="23" t="inlineStr">
        <is>
          <t>主</t>
        </is>
      </c>
      <c r="F38" s="35">
        <f>LEFT(A38,5)</f>
        <v/>
      </c>
      <c r="G38" s="35">
        <f>LEFT(C38,6)</f>
        <v/>
      </c>
    </row>
    <row r="39">
      <c r="A39" s="18" t="inlineStr">
        <is>
          <t>03-02-02</t>
        </is>
      </c>
      <c r="B39" s="20" t="inlineStr">
        <is>
          <t>★取引条件の明示（給付内容・代金・支払期日など、取適法・フリーランス法）</t>
        </is>
      </c>
      <c r="C39" s="18" t="inlineStr">
        <is>
          <t>C02-04-02</t>
        </is>
      </c>
      <c r="D39" s="31">
        <f>IFERROR(INDEX(ケイパビリティマップ!$E:$E,MATCH(C39,ケイパビリティマップ!$A:$A,0)),"（IDなし）")</f>
        <v/>
      </c>
      <c r="E39" s="23" t="inlineStr">
        <is>
          <t>主</t>
        </is>
      </c>
      <c r="F39" s="35">
        <f>LEFT(A39,5)</f>
        <v/>
      </c>
      <c r="G39" s="35">
        <f>LEFT(C39,6)</f>
        <v/>
      </c>
    </row>
    <row r="40">
      <c r="A40" s="18" t="inlineStr">
        <is>
          <t>03-02-02</t>
        </is>
      </c>
      <c r="B40" s="20" t="inlineStr">
        <is>
          <t>★取引条件の明示（給付内容・代金・支払期日など、取適法・フリーランス法）</t>
        </is>
      </c>
      <c r="C40" s="18" t="inlineStr">
        <is>
          <t>C01-02-02</t>
        </is>
      </c>
      <c r="D40" s="31">
        <f>IFERROR(INDEX(ケイパビリティマップ!$E:$E,MATCH(C40,ケイパビリティマップ!$A:$A,0)),"（IDなし）")</f>
        <v/>
      </c>
      <c r="E40" s="23" t="inlineStr">
        <is>
          <t>支援</t>
        </is>
      </c>
      <c r="F40" s="35">
        <f>LEFT(A40,5)</f>
        <v/>
      </c>
      <c r="G40" s="35">
        <f>LEFT(C40,6)</f>
        <v/>
      </c>
    </row>
    <row r="41">
      <c r="A41" s="18" t="inlineStr">
        <is>
          <t>03-02-03</t>
        </is>
      </c>
      <c r="B41" s="20" t="inlineStr">
        <is>
          <t>発注書の送付と注文請書の受領</t>
        </is>
      </c>
      <c r="C41" s="18" t="inlineStr">
        <is>
          <t>C02-04-03</t>
        </is>
      </c>
      <c r="D41" s="31">
        <f>IFERROR(INDEX(ケイパビリティマップ!$E:$E,MATCH(C41,ケイパビリティマップ!$A:$A,0)),"（IDなし）")</f>
        <v/>
      </c>
      <c r="E41" s="23" t="inlineStr">
        <is>
          <t>主</t>
        </is>
      </c>
      <c r="F41" s="35">
        <f>LEFT(A41,5)</f>
        <v/>
      </c>
      <c r="G41" s="35">
        <f>LEFT(C41,6)</f>
        <v/>
      </c>
    </row>
    <row r="42">
      <c r="A42" s="18" t="inlineStr">
        <is>
          <t>03-02-04</t>
        </is>
      </c>
      <c r="B42" s="20" t="inlineStr">
        <is>
          <t>★納期のフォローと発注の変更・取消（変更時の協議）</t>
        </is>
      </c>
      <c r="C42" s="18" t="inlineStr">
        <is>
          <t>C02-04-04</t>
        </is>
      </c>
      <c r="D42" s="31">
        <f>IFERROR(INDEX(ケイパビリティマップ!$E:$E,MATCH(C42,ケイパビリティマップ!$A:$A,0)),"（IDなし）")</f>
        <v/>
      </c>
      <c r="E42" s="23" t="inlineStr">
        <is>
          <t>主</t>
        </is>
      </c>
      <c r="F42" s="35">
        <f>LEFT(A42,5)</f>
        <v/>
      </c>
      <c r="G42" s="35">
        <f>LEFT(C42,6)</f>
        <v/>
      </c>
    </row>
    <row r="43">
      <c r="A43" s="18" t="inlineStr">
        <is>
          <t>03-02-04</t>
        </is>
      </c>
      <c r="B43" s="20" t="inlineStr">
        <is>
          <t>★納期のフォローと発注の変更・取消（変更時の協議）</t>
        </is>
      </c>
      <c r="C43" s="18" t="inlineStr">
        <is>
          <t>C01-02-02</t>
        </is>
      </c>
      <c r="D43" s="31">
        <f>IFERROR(INDEX(ケイパビリティマップ!$E:$E,MATCH(C43,ケイパビリティマップ!$A:$A,0)),"（IDなし）")</f>
        <v/>
      </c>
      <c r="E43" s="23" t="inlineStr">
        <is>
          <t>支援</t>
        </is>
      </c>
      <c r="F43" s="35">
        <f>LEFT(A43,5)</f>
        <v/>
      </c>
      <c r="G43" s="35">
        <f>LEFT(C43,6)</f>
        <v/>
      </c>
    </row>
    <row r="44">
      <c r="A44" s="18" t="inlineStr">
        <is>
          <t>04-01-01</t>
        </is>
      </c>
      <c r="B44" s="20" t="inlineStr">
        <is>
          <t>入荷予定の作成と受入の準備</t>
        </is>
      </c>
      <c r="C44" s="18" t="inlineStr">
        <is>
          <t>C03-01-01</t>
        </is>
      </c>
      <c r="D44" s="31">
        <f>IFERROR(INDEX(ケイパビリティマップ!$E:$E,MATCH(C44,ケイパビリティマップ!$A:$A,0)),"（IDなし）")</f>
        <v/>
      </c>
      <c r="E44" s="23" t="inlineStr">
        <is>
          <t>主</t>
        </is>
      </c>
      <c r="F44" s="35">
        <f>LEFT(A44,5)</f>
        <v/>
      </c>
      <c r="G44" s="35">
        <f>LEFT(C44,6)</f>
        <v/>
      </c>
    </row>
    <row r="45">
      <c r="A45" s="18" t="inlineStr">
        <is>
          <t>04-01-02</t>
        </is>
      </c>
      <c r="B45" s="20" t="inlineStr">
        <is>
          <t>納品物の受入・数量確認（納品書・発注書との照合）</t>
        </is>
      </c>
      <c r="C45" s="18" t="inlineStr">
        <is>
          <t>C03-01-02</t>
        </is>
      </c>
      <c r="D45" s="31">
        <f>IFERROR(INDEX(ケイパビリティマップ!$E:$E,MATCH(C45,ケイパビリティマップ!$A:$A,0)),"（IDなし）")</f>
        <v/>
      </c>
      <c r="E45" s="23" t="inlineStr">
        <is>
          <t>主</t>
        </is>
      </c>
      <c r="F45" s="35">
        <f>LEFT(A45,5)</f>
        <v/>
      </c>
      <c r="G45" s="35">
        <f>LEFT(C45,6)</f>
        <v/>
      </c>
    </row>
    <row r="46">
      <c r="A46" s="18" t="inlineStr">
        <is>
          <t>04-01-03</t>
        </is>
      </c>
      <c r="B46" s="20" t="inlineStr">
        <is>
          <t>受入検査（品質・仕様の確認）</t>
        </is>
      </c>
      <c r="C46" s="18" t="inlineStr">
        <is>
          <t>C03-01-03</t>
        </is>
      </c>
      <c r="D46" s="31">
        <f>IFERROR(INDEX(ケイパビリティマップ!$E:$E,MATCH(C46,ケイパビリティマップ!$A:$A,0)),"（IDなし）")</f>
        <v/>
      </c>
      <c r="E46" s="23" t="inlineStr">
        <is>
          <t>主</t>
        </is>
      </c>
      <c r="F46" s="35">
        <f>LEFT(A46,5)</f>
        <v/>
      </c>
      <c r="G46" s="35">
        <f>LEFT(C46,6)</f>
        <v/>
      </c>
    </row>
    <row r="47">
      <c r="A47" s="18" t="inlineStr">
        <is>
          <t>04-01-04</t>
        </is>
      </c>
      <c r="B47" s="20" t="inlineStr">
        <is>
          <t>入庫・在庫の計上</t>
        </is>
      </c>
      <c r="C47" s="18" t="inlineStr">
        <is>
          <t>C03-03-01</t>
        </is>
      </c>
      <c r="D47" s="31">
        <f>IFERROR(INDEX(ケイパビリティマップ!$E:$E,MATCH(C47,ケイパビリティマップ!$A:$A,0)),"（IDなし）")</f>
        <v/>
      </c>
      <c r="E47" s="23" t="inlineStr">
        <is>
          <t>主</t>
        </is>
      </c>
      <c r="F47" s="35">
        <f>LEFT(A47,5)</f>
        <v/>
      </c>
      <c r="G47" s="35">
        <f>LEFT(C47,6)</f>
        <v/>
      </c>
    </row>
    <row r="48">
      <c r="A48" s="18" t="inlineStr">
        <is>
          <t>04-02-01</t>
        </is>
      </c>
      <c r="B48" s="20" t="inlineStr">
        <is>
          <t>★物品の検収（受領後、速やかな検収）</t>
        </is>
      </c>
      <c r="C48" s="18" t="inlineStr">
        <is>
          <t>C03-02-01</t>
        </is>
      </c>
      <c r="D48" s="31">
        <f>IFERROR(INDEX(ケイパビリティマップ!$E:$E,MATCH(C48,ケイパビリティマップ!$A:$A,0)),"（IDなし）")</f>
        <v/>
      </c>
      <c r="E48" s="23" t="inlineStr">
        <is>
          <t>主</t>
        </is>
      </c>
      <c r="F48" s="35">
        <f>LEFT(A48,5)</f>
        <v/>
      </c>
      <c r="G48" s="35">
        <f>LEFT(C48,6)</f>
        <v/>
      </c>
    </row>
    <row r="49">
      <c r="A49" s="18" t="inlineStr">
        <is>
          <t>04-02-02</t>
        </is>
      </c>
      <c r="B49" s="20" t="inlineStr">
        <is>
          <t>役務・サービスの検収（作業完了報告・成果物の確認）</t>
        </is>
      </c>
      <c r="C49" s="18" t="inlineStr">
        <is>
          <t>C03-02-02</t>
        </is>
      </c>
      <c r="D49" s="31">
        <f>IFERROR(INDEX(ケイパビリティマップ!$E:$E,MATCH(C49,ケイパビリティマップ!$A:$A,0)),"（IDなし）")</f>
        <v/>
      </c>
      <c r="E49" s="23" t="inlineStr">
        <is>
          <t>主</t>
        </is>
      </c>
      <c r="F49" s="35">
        <f>LEFT(A49,5)</f>
        <v/>
      </c>
      <c r="G49" s="35">
        <f>LEFT(C49,6)</f>
        <v/>
      </c>
    </row>
    <row r="50">
      <c r="A50" s="18" t="inlineStr">
        <is>
          <t>04-02-03</t>
        </is>
      </c>
      <c r="B50" s="20" t="inlineStr">
        <is>
          <t>★不合格品の返品・再納品・値引きの協議（不当な返品・減額をしない）</t>
        </is>
      </c>
      <c r="C50" s="18" t="inlineStr">
        <is>
          <t>C03-02-03</t>
        </is>
      </c>
      <c r="D50" s="31">
        <f>IFERROR(INDEX(ケイパビリティマップ!$E:$E,MATCH(C50,ケイパビリティマップ!$A:$A,0)),"（IDなし）")</f>
        <v/>
      </c>
      <c r="E50" s="23" t="inlineStr">
        <is>
          <t>主</t>
        </is>
      </c>
      <c r="F50" s="35">
        <f>LEFT(A50,5)</f>
        <v/>
      </c>
      <c r="G50" s="35">
        <f>LEFT(C50,6)</f>
        <v/>
      </c>
    </row>
    <row r="51">
      <c r="A51" s="18" t="inlineStr">
        <is>
          <t>04-02-03</t>
        </is>
      </c>
      <c r="B51" s="20" t="inlineStr">
        <is>
          <t>★不合格品の返品・再納品・値引きの協議（不当な返品・減額をしない）</t>
        </is>
      </c>
      <c r="C51" s="18" t="inlineStr">
        <is>
          <t>C01-02-02</t>
        </is>
      </c>
      <c r="D51" s="31">
        <f>IFERROR(INDEX(ケイパビリティマップ!$E:$E,MATCH(C51,ケイパビリティマップ!$A:$A,0)),"（IDなし）")</f>
        <v/>
      </c>
      <c r="E51" s="23" t="inlineStr">
        <is>
          <t>支援</t>
        </is>
      </c>
      <c r="F51" s="35">
        <f>LEFT(A51,5)</f>
        <v/>
      </c>
      <c r="G51" s="35">
        <f>LEFT(C51,6)</f>
        <v/>
      </c>
    </row>
    <row r="52">
      <c r="A52" s="18" t="inlineStr">
        <is>
          <t>04-02-04</t>
        </is>
      </c>
      <c r="B52" s="20" t="inlineStr">
        <is>
          <t>固定資産の計上（資産番号の付与）</t>
        </is>
      </c>
      <c r="C52" s="18" t="inlineStr">
        <is>
          <t>C03-03-02</t>
        </is>
      </c>
      <c r="D52" s="31">
        <f>IFERROR(INDEX(ケイパビリティマップ!$E:$E,MATCH(C52,ケイパビリティマップ!$A:$A,0)),"（IDなし）")</f>
        <v/>
      </c>
      <c r="E52" s="23" t="inlineStr">
        <is>
          <t>主</t>
        </is>
      </c>
      <c r="F52" s="35">
        <f>LEFT(A52,5)</f>
        <v/>
      </c>
      <c r="G52" s="35">
        <f>LEFT(C52,6)</f>
        <v/>
      </c>
    </row>
    <row r="53">
      <c r="A53" s="18" t="inlineStr">
        <is>
          <t>05-01-01</t>
        </is>
      </c>
      <c r="B53" s="20" t="inlineStr">
        <is>
          <t>★請求書の受領・電子化（紙・PDF・デジタルインボイス、電帳法への対応）</t>
        </is>
      </c>
      <c r="C53" s="18" t="inlineStr">
        <is>
          <t>C04-01-01</t>
        </is>
      </c>
      <c r="D53" s="31">
        <f>IFERROR(INDEX(ケイパビリティマップ!$E:$E,MATCH(C53,ケイパビリティマップ!$A:$A,0)),"（IDなし）")</f>
        <v/>
      </c>
      <c r="E53" s="23" t="inlineStr">
        <is>
          <t>主</t>
        </is>
      </c>
      <c r="F53" s="35">
        <f>LEFT(A53,5)</f>
        <v/>
      </c>
      <c r="G53" s="35">
        <f>LEFT(C53,6)</f>
        <v/>
      </c>
    </row>
    <row r="54">
      <c r="A54" s="18" t="inlineStr">
        <is>
          <t>05-01-02</t>
        </is>
      </c>
      <c r="B54" s="20" t="inlineStr">
        <is>
          <t>★適格請求書（インボイス）の記載事項・登録番号の確認</t>
        </is>
      </c>
      <c r="C54" s="18" t="inlineStr">
        <is>
          <t>C04-01-02</t>
        </is>
      </c>
      <c r="D54" s="31">
        <f>IFERROR(INDEX(ケイパビリティマップ!$E:$E,MATCH(C54,ケイパビリティマップ!$A:$A,0)),"（IDなし）")</f>
        <v/>
      </c>
      <c r="E54" s="23" t="inlineStr">
        <is>
          <t>主</t>
        </is>
      </c>
      <c r="F54" s="35">
        <f>LEFT(A54,5)</f>
        <v/>
      </c>
      <c r="G54" s="35">
        <f>LEFT(C54,6)</f>
        <v/>
      </c>
    </row>
    <row r="55">
      <c r="A55" s="18" t="inlineStr">
        <is>
          <t>05-02-01</t>
        </is>
      </c>
      <c r="B55" s="20" t="inlineStr">
        <is>
          <t>3-Wayマッチング（発注・検収・請求の照合）</t>
        </is>
      </c>
      <c r="C55" s="18" t="inlineStr">
        <is>
          <t>C04-01-03</t>
        </is>
      </c>
      <c r="D55" s="31">
        <f>IFERROR(INDEX(ケイパビリティマップ!$E:$E,MATCH(C55,ケイパビリティマップ!$A:$A,0)),"（IDなし）")</f>
        <v/>
      </c>
      <c r="E55" s="23" t="inlineStr">
        <is>
          <t>主</t>
        </is>
      </c>
      <c r="F55" s="35">
        <f>LEFT(A55,5)</f>
        <v/>
      </c>
      <c r="G55" s="35">
        <f>LEFT(C55,6)</f>
        <v/>
      </c>
    </row>
    <row r="56">
      <c r="A56" s="18" t="inlineStr">
        <is>
          <t>05-02-02</t>
        </is>
      </c>
      <c r="B56" s="20" t="inlineStr">
        <is>
          <t>差異の調査・解消（価格差・数量差）</t>
        </is>
      </c>
      <c r="C56" s="18" t="inlineStr">
        <is>
          <t>C04-01-03</t>
        </is>
      </c>
      <c r="D56" s="31">
        <f>IFERROR(INDEX(ケイパビリティマップ!$E:$E,MATCH(C56,ケイパビリティマップ!$A:$A,0)),"（IDなし）")</f>
        <v/>
      </c>
      <c r="E56" s="23" t="inlineStr">
        <is>
          <t>主</t>
        </is>
      </c>
      <c r="F56" s="35">
        <f>LEFT(A56,5)</f>
        <v/>
      </c>
      <c r="G56" s="35">
        <f>LEFT(C56,6)</f>
        <v/>
      </c>
    </row>
    <row r="57">
      <c r="A57" s="18" t="inlineStr">
        <is>
          <t>05-02-02</t>
        </is>
      </c>
      <c r="B57" s="20" t="inlineStr">
        <is>
          <t>差異の調査・解消（価格差・数量差）</t>
        </is>
      </c>
      <c r="C57" s="18" t="inlineStr">
        <is>
          <t>C02-04-04</t>
        </is>
      </c>
      <c r="D57" s="31">
        <f>IFERROR(INDEX(ケイパビリティマップ!$E:$E,MATCH(C57,ケイパビリティマップ!$A:$A,0)),"（IDなし）")</f>
        <v/>
      </c>
      <c r="E57" s="23" t="inlineStr">
        <is>
          <t>支援</t>
        </is>
      </c>
      <c r="F57" s="35">
        <f>LEFT(A57,5)</f>
        <v/>
      </c>
      <c r="G57" s="35">
        <f>LEFT(C57,6)</f>
        <v/>
      </c>
    </row>
    <row r="58">
      <c r="A58" s="18" t="inlineStr">
        <is>
          <t>05-02-03</t>
        </is>
      </c>
      <c r="B58" s="20" t="inlineStr">
        <is>
          <t>債務の計上</t>
        </is>
      </c>
      <c r="C58" s="18" t="inlineStr">
        <is>
          <t>C04-03-01</t>
        </is>
      </c>
      <c r="D58" s="31">
        <f>IFERROR(INDEX(ケイパビリティマップ!$E:$E,MATCH(C58,ケイパビリティマップ!$A:$A,0)),"（IDなし）")</f>
        <v/>
      </c>
      <c r="E58" s="23" t="inlineStr">
        <is>
          <t>主</t>
        </is>
      </c>
      <c r="F58" s="35">
        <f>LEFT(A58,5)</f>
        <v/>
      </c>
      <c r="G58" s="35">
        <f>LEFT(C58,6)</f>
        <v/>
      </c>
    </row>
    <row r="59">
      <c r="A59" s="18" t="inlineStr">
        <is>
          <t>05-02-04</t>
        </is>
      </c>
      <c r="B59" s="20" t="inlineStr">
        <is>
          <t>★締め処理と支払予定の確定（取適法等の対象は受領から60日以内）</t>
        </is>
      </c>
      <c r="C59" s="18" t="inlineStr">
        <is>
          <t>C04-02-01</t>
        </is>
      </c>
      <c r="D59" s="31">
        <f>IFERROR(INDEX(ケイパビリティマップ!$E:$E,MATCH(C59,ケイパビリティマップ!$A:$A,0)),"（IDなし）")</f>
        <v/>
      </c>
      <c r="E59" s="23" t="inlineStr">
        <is>
          <t>主</t>
        </is>
      </c>
      <c r="F59" s="35">
        <f>LEFT(A59,5)</f>
        <v/>
      </c>
      <c r="G59" s="35">
        <f>LEFT(C59,6)</f>
        <v/>
      </c>
    </row>
    <row r="60">
      <c r="A60" s="18" t="inlineStr">
        <is>
          <t>05-02-04</t>
        </is>
      </c>
      <c r="B60" s="20" t="inlineStr">
        <is>
          <t>★締め処理と支払予定の確定（取適法等の対象は受領から60日以内）</t>
        </is>
      </c>
      <c r="C60" s="18" t="inlineStr">
        <is>
          <t>C01-02-02</t>
        </is>
      </c>
      <c r="D60" s="31">
        <f>IFERROR(INDEX(ケイパビリティマップ!$E:$E,MATCH(C60,ケイパビリティマップ!$A:$A,0)),"（IDなし）")</f>
        <v/>
      </c>
      <c r="E60" s="23" t="inlineStr">
        <is>
          <t>支援</t>
        </is>
      </c>
      <c r="F60" s="35">
        <f>LEFT(A60,5)</f>
        <v/>
      </c>
      <c r="G60" s="35">
        <f>LEFT(C60,6)</f>
        <v/>
      </c>
    </row>
    <row r="61">
      <c r="A61" s="18" t="inlineStr">
        <is>
          <t>05-02-05</t>
        </is>
      </c>
      <c r="B61" s="20" t="inlineStr">
        <is>
          <t>支払承認</t>
        </is>
      </c>
      <c r="C61" s="18" t="inlineStr">
        <is>
          <t>C04-02-02</t>
        </is>
      </c>
      <c r="D61" s="31">
        <f>IFERROR(INDEX(ケイパビリティマップ!$E:$E,MATCH(C61,ケイパビリティマップ!$A:$A,0)),"（IDなし）")</f>
        <v/>
      </c>
      <c r="E61" s="23" t="inlineStr">
        <is>
          <t>主</t>
        </is>
      </c>
      <c r="F61" s="35">
        <f>LEFT(A61,5)</f>
        <v/>
      </c>
      <c r="G61" s="35">
        <f>LEFT(C61,6)</f>
        <v/>
      </c>
    </row>
    <row r="62">
      <c r="A62" s="18" t="inlineStr">
        <is>
          <t>05-02-05</t>
        </is>
      </c>
      <c r="B62" s="20" t="inlineStr">
        <is>
          <t>支払承認</t>
        </is>
      </c>
      <c r="C62" s="18" t="inlineStr">
        <is>
          <t>C06-03-01</t>
        </is>
      </c>
      <c r="D62" s="31">
        <f>IFERROR(INDEX(ケイパビリティマップ!$E:$E,MATCH(C62,ケイパビリティマップ!$A:$A,0)),"（IDなし）")</f>
        <v/>
      </c>
      <c r="E62" s="23" t="inlineStr">
        <is>
          <t>支援</t>
        </is>
      </c>
      <c r="F62" s="35">
        <f>LEFT(A62,5)</f>
        <v/>
      </c>
      <c r="G62" s="35">
        <f>LEFT(C62,6)</f>
        <v/>
      </c>
    </row>
    <row r="63">
      <c r="A63" s="18" t="inlineStr">
        <is>
          <t>05-03-01</t>
        </is>
      </c>
      <c r="B63" s="20" t="inlineStr">
        <is>
          <t>支払データの作成・振込（全銀形式）</t>
        </is>
      </c>
      <c r="C63" s="18" t="inlineStr">
        <is>
          <t>C04-02-03</t>
        </is>
      </c>
      <c r="D63" s="31">
        <f>IFERROR(INDEX(ケイパビリティマップ!$E:$E,MATCH(C63,ケイパビリティマップ!$A:$A,0)),"（IDなし）")</f>
        <v/>
      </c>
      <c r="E63" s="23" t="inlineStr">
        <is>
          <t>主</t>
        </is>
      </c>
      <c r="F63" s="35">
        <f>LEFT(A63,5)</f>
        <v/>
      </c>
      <c r="G63" s="35">
        <f>LEFT(C63,6)</f>
        <v/>
      </c>
    </row>
    <row r="64">
      <c r="A64" s="18" t="inlineStr">
        <is>
          <t>05-03-02</t>
        </is>
      </c>
      <c r="B64" s="20" t="inlineStr">
        <is>
          <t>債務の消込と支払の仕訳</t>
        </is>
      </c>
      <c r="C64" s="18" t="inlineStr">
        <is>
          <t>C04-03-01</t>
        </is>
      </c>
      <c r="D64" s="31">
        <f>IFERROR(INDEX(ケイパビリティマップ!$E:$E,MATCH(C64,ケイパビリティマップ!$A:$A,0)),"（IDなし）")</f>
        <v/>
      </c>
      <c r="E64" s="23" t="inlineStr">
        <is>
          <t>主</t>
        </is>
      </c>
      <c r="F64" s="35">
        <f>LEFT(A64,5)</f>
        <v/>
      </c>
      <c r="G64" s="35">
        <f>LEFT(C64,6)</f>
        <v/>
      </c>
    </row>
    <row r="65">
      <c r="A65" s="18" t="inlineStr">
        <is>
          <t>05-03-03</t>
        </is>
      </c>
      <c r="B65" s="20" t="inlineStr">
        <is>
          <t>★報酬の源泉徴収・納付と支払調書の作成（個人への支払）</t>
        </is>
      </c>
      <c r="C65" s="18" t="inlineStr">
        <is>
          <t>C04-03-03</t>
        </is>
      </c>
      <c r="D65" s="31">
        <f>IFERROR(INDEX(ケイパビリティマップ!$E:$E,MATCH(C65,ケイパビリティマップ!$A:$A,0)),"（IDなし）")</f>
        <v/>
      </c>
      <c r="E65" s="23" t="inlineStr">
        <is>
          <t>主</t>
        </is>
      </c>
      <c r="F65" s="35">
        <f>LEFT(A65,5)</f>
        <v/>
      </c>
      <c r="G65" s="35">
        <f>LEFT(C65,6)</f>
        <v/>
      </c>
    </row>
    <row r="66">
      <c r="A66" s="18" t="inlineStr">
        <is>
          <t>05-03-04</t>
        </is>
      </c>
      <c r="B66" s="20" t="inlineStr">
        <is>
          <t>★消費税の仕入税額控除の処理（免税事業者からの仕入の経過措置を含む）</t>
        </is>
      </c>
      <c r="C66" s="18" t="inlineStr">
        <is>
          <t>C04-03-02</t>
        </is>
      </c>
      <c r="D66" s="31">
        <f>IFERROR(INDEX(ケイパビリティマップ!$E:$E,MATCH(C66,ケイパビリティマップ!$A:$A,0)),"（IDなし）")</f>
        <v/>
      </c>
      <c r="E66" s="23" t="inlineStr">
        <is>
          <t>主</t>
        </is>
      </c>
      <c r="F66" s="35">
        <f>LEFT(A66,5)</f>
        <v/>
      </c>
      <c r="G66" s="35">
        <f>LEFT(C66,6)</f>
        <v/>
      </c>
    </row>
    <row r="67">
      <c r="A67" s="18" t="inlineStr">
        <is>
          <t>05-03-05</t>
        </is>
      </c>
      <c r="B67" s="20" t="inlineStr">
        <is>
          <t>★証憑の保存（電帳法の要件・法人税法の保存期間）</t>
        </is>
      </c>
      <c r="C67" s="18" t="inlineStr">
        <is>
          <t>C04-03-04</t>
        </is>
      </c>
      <c r="D67" s="31">
        <f>IFERROR(INDEX(ケイパビリティマップ!$E:$E,MATCH(C67,ケイパビリティマップ!$A:$A,0)),"（IDなし）")</f>
        <v/>
      </c>
      <c r="E67" s="23" t="inlineStr">
        <is>
          <t>主</t>
        </is>
      </c>
      <c r="F67" s="35">
        <f>LEFT(A67,5)</f>
        <v/>
      </c>
      <c r="G67" s="35">
        <f>LEFT(C67,6)</f>
        <v/>
      </c>
    </row>
    <row r="68">
      <c r="A68" s="18" t="inlineStr">
        <is>
          <t>05-04-01</t>
        </is>
      </c>
      <c r="B68" s="20" t="inlineStr">
        <is>
          <t>サプライヤーの評価（品質・納期・価格・対応）</t>
        </is>
      </c>
      <c r="C68" s="18" t="inlineStr">
        <is>
          <t>C05-02-01</t>
        </is>
      </c>
      <c r="D68" s="31">
        <f>IFERROR(INDEX(ケイパビリティマップ!$E:$E,MATCH(C68,ケイパビリティマップ!$A:$A,0)),"（IDなし）")</f>
        <v/>
      </c>
      <c r="E68" s="23" t="inlineStr">
        <is>
          <t>主</t>
        </is>
      </c>
      <c r="F68" s="35">
        <f>LEFT(A68,5)</f>
        <v/>
      </c>
      <c r="G68" s="35">
        <f>LEFT(C68,6)</f>
        <v/>
      </c>
    </row>
    <row r="69">
      <c r="A69" s="18" t="inlineStr">
        <is>
          <t>05-04-01</t>
        </is>
      </c>
      <c r="B69" s="20" t="inlineStr">
        <is>
          <t>サプライヤーの評価（品質・納期・価格・対応）</t>
        </is>
      </c>
      <c r="C69" s="18" t="inlineStr">
        <is>
          <t>C05-02-02</t>
        </is>
      </c>
      <c r="D69" s="31">
        <f>IFERROR(INDEX(ケイパビリティマップ!$E:$E,MATCH(C69,ケイパビリティマップ!$A:$A,0)),"（IDなし）")</f>
        <v/>
      </c>
      <c r="E69" s="23" t="inlineStr">
        <is>
          <t>支援</t>
        </is>
      </c>
      <c r="F69" s="35">
        <f>LEFT(A69,5)</f>
        <v/>
      </c>
      <c r="G69" s="35">
        <f>LEFT(C69,6)</f>
        <v/>
      </c>
    </row>
    <row r="70">
      <c r="A70" s="18" t="inlineStr">
        <is>
          <t>05-04-02</t>
        </is>
      </c>
      <c r="B70" s="20" t="inlineStr">
        <is>
          <t>サプライヤーリスクのモニタリングとBCP</t>
        </is>
      </c>
      <c r="C70" s="18" t="inlineStr">
        <is>
          <t>C05-03-01</t>
        </is>
      </c>
      <c r="D70" s="31">
        <f>IFERROR(INDEX(ケイパビリティマップ!$E:$E,MATCH(C70,ケイパビリティマップ!$A:$A,0)),"（IDなし）")</f>
        <v/>
      </c>
      <c r="E70" s="23" t="inlineStr">
        <is>
          <t>主</t>
        </is>
      </c>
      <c r="F70" s="35">
        <f>LEFT(A70,5)</f>
        <v/>
      </c>
      <c r="G70" s="35">
        <f>LEFT(C70,6)</f>
        <v/>
      </c>
    </row>
    <row r="71">
      <c r="A71" s="18" t="inlineStr">
        <is>
          <t>05-04-02</t>
        </is>
      </c>
      <c r="B71" s="20" t="inlineStr">
        <is>
          <t>サプライヤーリスクのモニタリングとBCP</t>
        </is>
      </c>
      <c r="C71" s="18" t="inlineStr">
        <is>
          <t>C05-03-02</t>
        </is>
      </c>
      <c r="D71" s="31">
        <f>IFERROR(INDEX(ケイパビリティマップ!$E:$E,MATCH(C71,ケイパビリティマップ!$A:$A,0)),"（IDなし）")</f>
        <v/>
      </c>
      <c r="E71" s="23" t="inlineStr">
        <is>
          <t>主</t>
        </is>
      </c>
      <c r="F71" s="35">
        <f>LEFT(A71,5)</f>
        <v/>
      </c>
      <c r="G71" s="35">
        <f>LEFT(C71,6)</f>
        <v/>
      </c>
    </row>
    <row r="72">
      <c r="A72" s="18" t="inlineStr">
        <is>
          <t>05-04-03</t>
        </is>
      </c>
      <c r="B72" s="20" t="inlineStr">
        <is>
          <t>調達実績の集計・コスト削減効果の測定</t>
        </is>
      </c>
      <c r="C72" s="18" t="inlineStr">
        <is>
          <t>C06-02-01</t>
        </is>
      </c>
      <c r="D72" s="31">
        <f>IFERROR(INDEX(ケイパビリティマップ!$E:$E,MATCH(C72,ケイパビリティマップ!$A:$A,0)),"（IDなし）")</f>
        <v/>
      </c>
      <c r="E72" s="23" t="inlineStr">
        <is>
          <t>主</t>
        </is>
      </c>
      <c r="F72" s="35">
        <f>LEFT(A72,5)</f>
        <v/>
      </c>
      <c r="G72" s="35">
        <f>LEFT(C72,6)</f>
        <v/>
      </c>
    </row>
    <row r="73">
      <c r="A73" s="18" t="inlineStr">
        <is>
          <t>05-04-03</t>
        </is>
      </c>
      <c r="B73" s="20" t="inlineStr">
        <is>
          <t>調達実績の集計・コスト削減効果の測定</t>
        </is>
      </c>
      <c r="C73" s="18" t="inlineStr">
        <is>
          <t>C06-02-02</t>
        </is>
      </c>
      <c r="D73" s="31">
        <f>IFERROR(INDEX(ケイパビリティマップ!$E:$E,MATCH(C73,ケイパビリティマップ!$A:$A,0)),"（IDなし）")</f>
        <v/>
      </c>
      <c r="E73" s="23" t="inlineStr">
        <is>
          <t>主</t>
        </is>
      </c>
      <c r="F73" s="35">
        <f>LEFT(A73,5)</f>
        <v/>
      </c>
      <c r="G73" s="35">
        <f>LEFT(C73,6)</f>
        <v/>
      </c>
    </row>
    <row r="74">
      <c r="A74" s="18" t="inlineStr">
        <is>
          <t>05-04-04</t>
        </is>
      </c>
      <c r="B74" s="20" t="inlineStr">
        <is>
          <t>★取引適正化の点検（支払遅延・減額・返品・価格協議）と是正</t>
        </is>
      </c>
      <c r="C74" s="18" t="inlineStr">
        <is>
          <t>C01-02-02</t>
        </is>
      </c>
      <c r="D74" s="31">
        <f>IFERROR(INDEX(ケイパビリティマップ!$E:$E,MATCH(C74,ケイパビリティマップ!$A:$A,0)),"（IDなし）")</f>
        <v/>
      </c>
      <c r="E74" s="23" t="inlineStr">
        <is>
          <t>主</t>
        </is>
      </c>
      <c r="F74" s="35">
        <f>LEFT(A74,5)</f>
        <v/>
      </c>
      <c r="G74" s="35">
        <f>LEFT(C74,6)</f>
        <v/>
      </c>
    </row>
    <row r="75">
      <c r="A75" s="18" t="inlineStr">
        <is>
          <t>05-04-04</t>
        </is>
      </c>
      <c r="B75" s="20" t="inlineStr">
        <is>
          <t>★取引適正化の点検（支払遅延・減額・返品・価格協議）と是正</t>
        </is>
      </c>
      <c r="C75" s="18" t="inlineStr">
        <is>
          <t>C06-03-02</t>
        </is>
      </c>
      <c r="D75" s="31">
        <f>IFERROR(INDEX(ケイパビリティマップ!$E:$E,MATCH(C75,ケイパビリティマップ!$A:$A,0)),"（IDなし）")</f>
        <v/>
      </c>
      <c r="E75" s="23" t="inlineStr">
        <is>
          <t>支援</t>
        </is>
      </c>
      <c r="F75" s="35">
        <f>LEFT(A75,5)</f>
        <v/>
      </c>
      <c r="G75" s="35">
        <f>LEFT(C75,6)</f>
        <v/>
      </c>
    </row>
    <row r="76">
      <c r="A76" s="18" t="inlineStr">
        <is>
          <t>05-04-05</t>
        </is>
      </c>
      <c r="B76" s="20" t="inlineStr">
        <is>
          <t>職務分掌・権限の点検と監査対応（J-SOX）</t>
        </is>
      </c>
      <c r="C76" s="18" t="inlineStr">
        <is>
          <t>C06-03-01</t>
        </is>
      </c>
      <c r="D76" s="31">
        <f>IFERROR(INDEX(ケイパビリティマップ!$E:$E,MATCH(C76,ケイパビリティマップ!$A:$A,0)),"（IDなし）")</f>
        <v/>
      </c>
      <c r="E76" s="23" t="inlineStr">
        <is>
          <t>主</t>
        </is>
      </c>
      <c r="F76" s="35">
        <f>LEFT(A76,5)</f>
        <v/>
      </c>
      <c r="G76" s="35">
        <f>LEFT(C76,6)</f>
        <v/>
      </c>
    </row>
    <row r="77">
      <c r="A77" s="18" t="inlineStr">
        <is>
          <t>05-04-05</t>
        </is>
      </c>
      <c r="B77" s="20" t="inlineStr">
        <is>
          <t>職務分掌・権限の点検と監査対応（J-SOX）</t>
        </is>
      </c>
      <c r="C77" s="18" t="inlineStr">
        <is>
          <t>C06-03-02</t>
        </is>
      </c>
      <c r="D77" s="31">
        <f>IFERROR(INDEX(ケイパビリティマップ!$E:$E,MATCH(C77,ケイパビリティマップ!$A:$A,0)),"（IDなし）")</f>
        <v/>
      </c>
      <c r="E77" s="23" t="inlineStr">
        <is>
          <t>主</t>
        </is>
      </c>
      <c r="F77" s="35">
        <f>LEFT(A77,5)</f>
        <v/>
      </c>
      <c r="G77" s="35">
        <f>LEFT(C77,6)</f>
        <v/>
      </c>
    </row>
    <row r="78">
      <c r="A78" s="18" t="inlineStr">
        <is>
          <t>05-04-06</t>
        </is>
      </c>
      <c r="B78" s="20" t="inlineStr">
        <is>
          <t>購買規程・調達方針の見直し（持続可能な調達を含む）</t>
        </is>
      </c>
      <c r="C78" s="18" t="inlineStr">
        <is>
          <t>C01-02-01</t>
        </is>
      </c>
      <c r="D78" s="31">
        <f>IFERROR(INDEX(ケイパビリティマップ!$E:$E,MATCH(C78,ケイパビリティマップ!$A:$A,0)),"（IDなし）")</f>
        <v/>
      </c>
      <c r="E78" s="23" t="inlineStr">
        <is>
          <t>主</t>
        </is>
      </c>
      <c r="F78" s="35">
        <f>LEFT(A78,5)</f>
        <v/>
      </c>
      <c r="G78" s="35">
        <f>LEFT(C78,6)</f>
        <v/>
      </c>
    </row>
    <row r="79">
      <c r="A79" s="18" t="inlineStr">
        <is>
          <t>05-04-06</t>
        </is>
      </c>
      <c r="B79" s="20" t="inlineStr">
        <is>
          <t>購買規程・調達方針の見直し（持続可能な調達を含む）</t>
        </is>
      </c>
      <c r="C79" s="18" t="inlineStr">
        <is>
          <t>C01-02-03</t>
        </is>
      </c>
      <c r="D79" s="31">
        <f>IFERROR(INDEX(ケイパビリティマップ!$E:$E,MATCH(C79,ケイパビリティマップ!$A:$A,0)),"（IDなし）")</f>
        <v/>
      </c>
      <c r="E79" s="23" t="inlineStr">
        <is>
          <t>主</t>
        </is>
      </c>
      <c r="F79" s="35">
        <f>LEFT(A79,5)</f>
        <v/>
      </c>
      <c r="G79" s="35">
        <f>LEFT(C79,6)</f>
        <v/>
      </c>
    </row>
    <row r="80">
      <c r="A80" s="18" t="inlineStr">
        <is>
          <t>05-04-07</t>
        </is>
      </c>
      <c r="B80" s="20" t="inlineStr">
        <is>
          <t>品目・取引先マスタの点検と重複の解消</t>
        </is>
      </c>
      <c r="C80" s="18" t="inlineStr">
        <is>
          <t>C06-01-01</t>
        </is>
      </c>
      <c r="D80" s="31">
        <f>IFERROR(INDEX(ケイパビリティマップ!$E:$E,MATCH(C80,ケイパビリティマップ!$A:$A,0)),"（IDなし）")</f>
        <v/>
      </c>
      <c r="E80" s="23" t="inlineStr">
        <is>
          <t>主</t>
        </is>
      </c>
      <c r="F80" s="35">
        <f>LEFT(A80,5)</f>
        <v/>
      </c>
      <c r="G80" s="35">
        <f>LEFT(C80,6)</f>
        <v/>
      </c>
    </row>
    <row r="81">
      <c r="A81" s="18" t="inlineStr">
        <is>
          <t>05-04-07</t>
        </is>
      </c>
      <c r="B81" s="20" t="inlineStr">
        <is>
          <t>品目・取引先マスタの点検と重複の解消</t>
        </is>
      </c>
      <c r="C81" s="18" t="inlineStr">
        <is>
          <t>C06-01-02</t>
        </is>
      </c>
      <c r="D81" s="31">
        <f>IFERROR(INDEX(ケイパビリティマップ!$E:$E,MATCH(C81,ケイパビリティマップ!$A:$A,0)),"（IDなし）")</f>
        <v/>
      </c>
      <c r="E81" s="23" t="inlineStr">
        <is>
          <t>主</t>
        </is>
      </c>
      <c r="F81" s="35">
        <f>LEFT(A81,5)</f>
        <v/>
      </c>
      <c r="G81" s="35">
        <f>LEFT(C81,6)</f>
        <v/>
      </c>
    </row>
    <row r="82">
      <c r="A82" s="18" t="inlineStr">
        <is>
          <t>05-04-07</t>
        </is>
      </c>
      <c r="B82" s="20" t="inlineStr">
        <is>
          <t>品目・取引先マスタの点検と重複の解消</t>
        </is>
      </c>
      <c r="C82" s="18" t="inlineStr">
        <is>
          <t>C05-01-02</t>
        </is>
      </c>
      <c r="D82" s="31">
        <f>IFERROR(INDEX(ケイパビリティマップ!$E:$E,MATCH(C82,ケイパビリティマップ!$A:$A,0)),"（IDなし）")</f>
        <v/>
      </c>
      <c r="E82" s="23" t="inlineStr">
        <is>
          <t>支援</t>
        </is>
      </c>
      <c r="F82" s="35">
        <f>LEFT(A82,5)</f>
        <v/>
      </c>
      <c r="G82" s="35">
        <f>LEFT(C82,6)</f>
        <v/>
      </c>
    </row>
    <row r="83">
      <c r="A83" s="36" t="n"/>
      <c r="B83" s="36" t="n"/>
      <c r="C83" s="36" t="n"/>
      <c r="D83" s="37">
        <f>IF(C83="","",IFERROR(INDEX(ケイパビリティマップ!$E:$E,MATCH(C83,ケイパビリティマップ!$A:$A,0)),"（IDなし）"))</f>
        <v/>
      </c>
      <c r="E83" s="36" t="n"/>
      <c r="F83" s="37">
        <f>IF(A83="","",LEFT(A83,5))</f>
        <v/>
      </c>
      <c r="G83" s="37">
        <f>IF(C83="","",LEFT(C83,6))</f>
        <v/>
      </c>
    </row>
    <row r="84">
      <c r="A84" s="36" t="n"/>
      <c r="B84" s="36" t="n"/>
      <c r="C84" s="36" t="n"/>
      <c r="D84" s="37">
        <f>IF(C84="","",IFERROR(INDEX(ケイパビリティマップ!$E:$E,MATCH(C84,ケイパビリティマップ!$A:$A,0)),"（IDなし）"))</f>
        <v/>
      </c>
      <c r="E84" s="36" t="n"/>
      <c r="F84" s="37">
        <f>IF(A84="","",LEFT(A84,5))</f>
        <v/>
      </c>
      <c r="G84" s="37">
        <f>IF(C84="","",LEFT(C84,6))</f>
        <v/>
      </c>
    </row>
    <row r="85">
      <c r="A85" s="36" t="n"/>
      <c r="B85" s="36" t="n"/>
      <c r="C85" s="36" t="n"/>
      <c r="D85" s="37">
        <f>IF(C85="","",IFERROR(INDEX(ケイパビリティマップ!$E:$E,MATCH(C85,ケイパビリティマップ!$A:$A,0)),"（IDなし）"))</f>
        <v/>
      </c>
      <c r="E85" s="36" t="n"/>
      <c r="F85" s="37">
        <f>IF(A85="","",LEFT(A85,5))</f>
        <v/>
      </c>
      <c r="G85" s="37">
        <f>IF(C85="","",LEFT(C85,6))</f>
        <v/>
      </c>
    </row>
    <row r="86">
      <c r="A86" s="36" t="n"/>
      <c r="B86" s="36" t="n"/>
      <c r="C86" s="36" t="n"/>
      <c r="D86" s="37">
        <f>IF(C86="","",IFERROR(INDEX(ケイパビリティマップ!$E:$E,MATCH(C86,ケイパビリティマップ!$A:$A,0)),"（IDなし）"))</f>
        <v/>
      </c>
      <c r="E86" s="36" t="n"/>
      <c r="F86" s="37">
        <f>IF(A86="","",LEFT(A86,5))</f>
        <v/>
      </c>
      <c r="G86" s="37">
        <f>IF(C86="","",LEFT(C86,6))</f>
        <v/>
      </c>
    </row>
    <row r="87">
      <c r="A87" s="36" t="n"/>
      <c r="B87" s="36" t="n"/>
      <c r="C87" s="36" t="n"/>
      <c r="D87" s="37">
        <f>IF(C87="","",IFERROR(INDEX(ケイパビリティマップ!$E:$E,MATCH(C87,ケイパビリティマップ!$A:$A,0)),"（IDなし）"))</f>
        <v/>
      </c>
      <c r="E87" s="36" t="n"/>
      <c r="F87" s="37">
        <f>IF(A87="","",LEFT(A87,5))</f>
        <v/>
      </c>
      <c r="G87" s="37">
        <f>IF(C87="","",LEFT(C87,6))</f>
        <v/>
      </c>
    </row>
    <row r="88">
      <c r="A88" s="36" t="n"/>
      <c r="B88" s="36" t="n"/>
      <c r="C88" s="36" t="n"/>
      <c r="D88" s="37">
        <f>IF(C88="","",IFERROR(INDEX(ケイパビリティマップ!$E:$E,MATCH(C88,ケイパビリティマップ!$A:$A,0)),"（IDなし）"))</f>
        <v/>
      </c>
      <c r="E88" s="36" t="n"/>
      <c r="F88" s="37">
        <f>IF(A88="","",LEFT(A88,5))</f>
        <v/>
      </c>
      <c r="G88" s="37">
        <f>IF(C88="","",LEFT(C88,6))</f>
        <v/>
      </c>
    </row>
    <row r="89">
      <c r="A89" s="36" t="n"/>
      <c r="B89" s="36" t="n"/>
      <c r="C89" s="36" t="n"/>
      <c r="D89" s="37">
        <f>IF(C89="","",IFERROR(INDEX(ケイパビリティマップ!$E:$E,MATCH(C89,ケイパビリティマップ!$A:$A,0)),"（IDなし）"))</f>
        <v/>
      </c>
      <c r="E89" s="36" t="n"/>
      <c r="F89" s="37">
        <f>IF(A89="","",LEFT(A89,5))</f>
        <v/>
      </c>
      <c r="G89" s="37">
        <f>IF(C89="","",LEFT(C89,6))</f>
        <v/>
      </c>
    </row>
    <row r="90">
      <c r="A90" s="36" t="n"/>
      <c r="B90" s="36" t="n"/>
      <c r="C90" s="36" t="n"/>
      <c r="D90" s="37">
        <f>IF(C90="","",IFERROR(INDEX(ケイパビリティマップ!$E:$E,MATCH(C90,ケイパビリティマップ!$A:$A,0)),"（IDなし）"))</f>
        <v/>
      </c>
      <c r="E90" s="36" t="n"/>
      <c r="F90" s="37">
        <f>IF(A90="","",LEFT(A90,5))</f>
        <v/>
      </c>
      <c r="G90" s="37">
        <f>IF(C90="","",LEFT(C90,6))</f>
        <v/>
      </c>
    </row>
    <row r="91">
      <c r="A91" s="36" t="n"/>
      <c r="B91" s="36" t="n"/>
      <c r="C91" s="36" t="n"/>
      <c r="D91" s="37">
        <f>IF(C91="","",IFERROR(INDEX(ケイパビリティマップ!$E:$E,MATCH(C91,ケイパビリティマップ!$A:$A,0)),"（IDなし）"))</f>
        <v/>
      </c>
      <c r="E91" s="36" t="n"/>
      <c r="F91" s="37">
        <f>IF(A91="","",LEFT(A91,5))</f>
        <v/>
      </c>
      <c r="G91" s="37">
        <f>IF(C91="","",LEFT(C91,6))</f>
        <v/>
      </c>
    </row>
    <row r="92">
      <c r="A92" s="36" t="n"/>
      <c r="B92" s="36" t="n"/>
      <c r="C92" s="36" t="n"/>
      <c r="D92" s="37">
        <f>IF(C92="","",IFERROR(INDEX(ケイパビリティマップ!$E:$E,MATCH(C92,ケイパビリティマップ!$A:$A,0)),"（IDなし）"))</f>
        <v/>
      </c>
      <c r="E92" s="36" t="n"/>
      <c r="F92" s="37">
        <f>IF(A92="","",LEFT(A92,5))</f>
        <v/>
      </c>
      <c r="G92" s="37">
        <f>IF(C92="","",LEFT(C92,6))</f>
        <v/>
      </c>
    </row>
    <row r="93">
      <c r="A93" s="36" t="n"/>
      <c r="B93" s="36" t="n"/>
      <c r="C93" s="36" t="n"/>
      <c r="D93" s="37">
        <f>IF(C93="","",IFERROR(INDEX(ケイパビリティマップ!$E:$E,MATCH(C93,ケイパビリティマップ!$A:$A,0)),"（IDなし）"))</f>
        <v/>
      </c>
      <c r="E93" s="36" t="n"/>
      <c r="F93" s="37">
        <f>IF(A93="","",LEFT(A93,5))</f>
        <v/>
      </c>
      <c r="G93" s="37">
        <f>IF(C93="","",LEFT(C93,6))</f>
        <v/>
      </c>
    </row>
    <row r="94">
      <c r="A94" s="36" t="n"/>
      <c r="B94" s="36" t="n"/>
      <c r="C94" s="36" t="n"/>
      <c r="D94" s="37">
        <f>IF(C94="","",IFERROR(INDEX(ケイパビリティマップ!$E:$E,MATCH(C94,ケイパビリティマップ!$A:$A,0)),"（IDなし）"))</f>
        <v/>
      </c>
      <c r="E94" s="36" t="n"/>
      <c r="F94" s="37">
        <f>IF(A94="","",LEFT(A94,5))</f>
        <v/>
      </c>
      <c r="G94" s="37">
        <f>IF(C94="","",LEFT(C94,6))</f>
        <v/>
      </c>
    </row>
    <row r="95">
      <c r="A95" s="36" t="n"/>
      <c r="B95" s="36" t="n"/>
      <c r="C95" s="36" t="n"/>
      <c r="D95" s="37">
        <f>IF(C95="","",IFERROR(INDEX(ケイパビリティマップ!$E:$E,MATCH(C95,ケイパビリティマップ!$A:$A,0)),"（IDなし）"))</f>
        <v/>
      </c>
      <c r="E95" s="36" t="n"/>
      <c r="F95" s="37">
        <f>IF(A95="","",LEFT(A95,5))</f>
        <v/>
      </c>
      <c r="G95" s="37">
        <f>IF(C95="","",LEFT(C95,6))</f>
        <v/>
      </c>
    </row>
    <row r="96">
      <c r="A96" s="36" t="n"/>
      <c r="B96" s="36" t="n"/>
      <c r="C96" s="36" t="n"/>
      <c r="D96" s="37">
        <f>IF(C96="","",IFERROR(INDEX(ケイパビリティマップ!$E:$E,MATCH(C96,ケイパビリティマップ!$A:$A,0)),"（IDなし）"))</f>
        <v/>
      </c>
      <c r="E96" s="36" t="n"/>
      <c r="F96" s="37">
        <f>IF(A96="","",LEFT(A96,5))</f>
        <v/>
      </c>
      <c r="G96" s="37">
        <f>IF(C96="","",LEFT(C96,6))</f>
        <v/>
      </c>
    </row>
    <row r="97">
      <c r="A97" s="36" t="n"/>
      <c r="B97" s="36" t="n"/>
      <c r="C97" s="36" t="n"/>
      <c r="D97" s="37">
        <f>IF(C97="","",IFERROR(INDEX(ケイパビリティマップ!$E:$E,MATCH(C97,ケイパビリティマップ!$A:$A,0)),"（IDなし）"))</f>
        <v/>
      </c>
      <c r="E97" s="36" t="n"/>
      <c r="F97" s="37">
        <f>IF(A97="","",LEFT(A97,5))</f>
        <v/>
      </c>
      <c r="G97" s="37">
        <f>IF(C97="","",LEFT(C97,6))</f>
        <v/>
      </c>
    </row>
    <row r="98">
      <c r="A98" s="36" t="n"/>
      <c r="B98" s="36" t="n"/>
      <c r="C98" s="36" t="n"/>
      <c r="D98" s="37">
        <f>IF(C98="","",IFERROR(INDEX(ケイパビリティマップ!$E:$E,MATCH(C98,ケイパビリティマップ!$A:$A,0)),"（IDなし）"))</f>
        <v/>
      </c>
      <c r="E98" s="36" t="n"/>
      <c r="F98" s="37">
        <f>IF(A98="","",LEFT(A98,5))</f>
        <v/>
      </c>
      <c r="G98" s="37">
        <f>IF(C98="","",LEFT(C98,6))</f>
        <v/>
      </c>
    </row>
    <row r="99">
      <c r="A99" s="36" t="n"/>
      <c r="B99" s="36" t="n"/>
      <c r="C99" s="36" t="n"/>
      <c r="D99" s="37">
        <f>IF(C99="","",IFERROR(INDEX(ケイパビリティマップ!$E:$E,MATCH(C99,ケイパビリティマップ!$A:$A,0)),"（IDなし）"))</f>
        <v/>
      </c>
      <c r="E99" s="36" t="n"/>
      <c r="F99" s="37">
        <f>IF(A99="","",LEFT(A99,5))</f>
        <v/>
      </c>
      <c r="G99" s="37">
        <f>IF(C99="","",LEFT(C99,6))</f>
        <v/>
      </c>
    </row>
    <row r="100">
      <c r="A100" s="36" t="n"/>
      <c r="B100" s="36" t="n"/>
      <c r="C100" s="36" t="n"/>
      <c r="D100" s="37">
        <f>IF(C100="","",IFERROR(INDEX(ケイパビリティマップ!$E:$E,MATCH(C100,ケイパビリティマップ!$A:$A,0)),"（IDなし）"))</f>
        <v/>
      </c>
      <c r="E100" s="36" t="n"/>
      <c r="F100" s="37">
        <f>IF(A100="","",LEFT(A100,5))</f>
        <v/>
      </c>
      <c r="G100" s="37">
        <f>IF(C100="","",LEFT(C100,6))</f>
        <v/>
      </c>
    </row>
    <row r="101">
      <c r="A101" s="36" t="n"/>
      <c r="B101" s="36" t="n"/>
      <c r="C101" s="36" t="n"/>
      <c r="D101" s="37">
        <f>IF(C101="","",IFERROR(INDEX(ケイパビリティマップ!$E:$E,MATCH(C101,ケイパビリティマップ!$A:$A,0)),"（IDなし）"))</f>
        <v/>
      </c>
      <c r="E101" s="36" t="n"/>
      <c r="F101" s="37">
        <f>IF(A101="","",LEFT(A101,5))</f>
        <v/>
      </c>
      <c r="G101" s="37">
        <f>IF(C101="","",LEFT(C101,6))</f>
        <v/>
      </c>
    </row>
    <row r="102">
      <c r="A102" s="36" t="n"/>
      <c r="B102" s="36" t="n"/>
      <c r="C102" s="36" t="n"/>
      <c r="D102" s="37">
        <f>IF(C102="","",IFERROR(INDEX(ケイパビリティマップ!$E:$E,MATCH(C102,ケイパビリティマップ!$A:$A,0)),"（IDなし）"))</f>
        <v/>
      </c>
      <c r="E102" s="36" t="n"/>
      <c r="F102" s="37">
        <f>IF(A102="","",LEFT(A102,5))</f>
        <v/>
      </c>
      <c r="G102" s="37">
        <f>IF(C102="","",LEFT(C102,6))</f>
        <v/>
      </c>
    </row>
    <row r="103">
      <c r="A103" s="36" t="n"/>
      <c r="B103" s="36" t="n"/>
      <c r="C103" s="36" t="n"/>
      <c r="D103" s="37">
        <f>IF(C103="","",IFERROR(INDEX(ケイパビリティマップ!$E:$E,MATCH(C103,ケイパビリティマップ!$A:$A,0)),"（IDなし）"))</f>
        <v/>
      </c>
      <c r="E103" s="36" t="n"/>
      <c r="F103" s="37">
        <f>IF(A103="","",LEFT(A103,5))</f>
        <v/>
      </c>
      <c r="G103" s="37">
        <f>IF(C103="","",LEFT(C103,6))</f>
        <v/>
      </c>
    </row>
    <row r="104">
      <c r="A104" s="36" t="n"/>
      <c r="B104" s="36" t="n"/>
      <c r="C104" s="36" t="n"/>
      <c r="D104" s="37">
        <f>IF(C104="","",IFERROR(INDEX(ケイパビリティマップ!$E:$E,MATCH(C104,ケイパビリティマップ!$A:$A,0)),"（IDなし）"))</f>
        <v/>
      </c>
      <c r="E104" s="36" t="n"/>
      <c r="F104" s="37">
        <f>IF(A104="","",LEFT(A104,5))</f>
        <v/>
      </c>
      <c r="G104" s="37">
        <f>IF(C104="","",LEFT(C104,6))</f>
        <v/>
      </c>
    </row>
    <row r="105">
      <c r="A105" s="36" t="n"/>
      <c r="B105" s="36" t="n"/>
      <c r="C105" s="36" t="n"/>
      <c r="D105" s="37">
        <f>IF(C105="","",IFERROR(INDEX(ケイパビリティマップ!$E:$E,MATCH(C105,ケイパビリティマップ!$A:$A,0)),"（IDなし）"))</f>
        <v/>
      </c>
      <c r="E105" s="36" t="n"/>
      <c r="F105" s="37">
        <f>IF(A105="","",LEFT(A105,5))</f>
        <v/>
      </c>
      <c r="G105" s="37">
        <f>IF(C105="","",LEFT(C105,6))</f>
        <v/>
      </c>
    </row>
    <row r="106">
      <c r="A106" s="36" t="n"/>
      <c r="B106" s="36" t="n"/>
      <c r="C106" s="36" t="n"/>
      <c r="D106" s="37">
        <f>IF(C106="","",IFERROR(INDEX(ケイパビリティマップ!$E:$E,MATCH(C106,ケイパビリティマップ!$A:$A,0)),"（IDなし）"))</f>
        <v/>
      </c>
      <c r="E106" s="36" t="n"/>
      <c r="F106" s="37">
        <f>IF(A106="","",LEFT(A106,5))</f>
        <v/>
      </c>
      <c r="G106" s="37">
        <f>IF(C106="","",LEFT(C106,6))</f>
        <v/>
      </c>
    </row>
    <row r="107">
      <c r="A107" s="36" t="n"/>
      <c r="B107" s="36" t="n"/>
      <c r="C107" s="36" t="n"/>
      <c r="D107" s="37">
        <f>IF(C107="","",IFERROR(INDEX(ケイパビリティマップ!$E:$E,MATCH(C107,ケイパビリティマップ!$A:$A,0)),"（IDなし）"))</f>
        <v/>
      </c>
      <c r="E107" s="36" t="n"/>
      <c r="F107" s="37">
        <f>IF(A107="","",LEFT(A107,5))</f>
        <v/>
      </c>
      <c r="G107" s="37">
        <f>IF(C107="","",LEFT(C107,6))</f>
        <v/>
      </c>
    </row>
    <row r="108">
      <c r="A108" s="36" t="n"/>
      <c r="B108" s="36" t="n"/>
      <c r="C108" s="36" t="n"/>
      <c r="D108" s="37">
        <f>IF(C108="","",IFERROR(INDEX(ケイパビリティマップ!$E:$E,MATCH(C108,ケイパビリティマップ!$A:$A,0)),"（IDなし）"))</f>
        <v/>
      </c>
      <c r="E108" s="36" t="n"/>
      <c r="F108" s="37">
        <f>IF(A108="","",LEFT(A108,5))</f>
        <v/>
      </c>
      <c r="G108" s="37">
        <f>IF(C108="","",LEFT(C108,6))</f>
        <v/>
      </c>
    </row>
    <row r="109">
      <c r="A109" s="36" t="n"/>
      <c r="B109" s="36" t="n"/>
      <c r="C109" s="36" t="n"/>
      <c r="D109" s="37">
        <f>IF(C109="","",IFERROR(INDEX(ケイパビリティマップ!$E:$E,MATCH(C109,ケイパビリティマップ!$A:$A,0)),"（IDなし）"))</f>
        <v/>
      </c>
      <c r="E109" s="36" t="n"/>
      <c r="F109" s="37">
        <f>IF(A109="","",LEFT(A109,5))</f>
        <v/>
      </c>
      <c r="G109" s="37">
        <f>IF(C109="","",LEFT(C109,6))</f>
        <v/>
      </c>
    </row>
    <row r="110">
      <c r="A110" s="36" t="n"/>
      <c r="B110" s="36" t="n"/>
      <c r="C110" s="36" t="n"/>
      <c r="D110" s="37">
        <f>IF(C110="","",IFERROR(INDEX(ケイパビリティマップ!$E:$E,MATCH(C110,ケイパビリティマップ!$A:$A,0)),"（IDなし）"))</f>
        <v/>
      </c>
      <c r="E110" s="36" t="n"/>
      <c r="F110" s="37">
        <f>IF(A110="","",LEFT(A110,5))</f>
        <v/>
      </c>
      <c r="G110" s="37">
        <f>IF(C110="","",LEFT(C110,6))</f>
        <v/>
      </c>
    </row>
    <row r="111">
      <c r="A111" s="36" t="n"/>
      <c r="B111" s="36" t="n"/>
      <c r="C111" s="36" t="n"/>
      <c r="D111" s="37">
        <f>IF(C111="","",IFERROR(INDEX(ケイパビリティマップ!$E:$E,MATCH(C111,ケイパビリティマップ!$A:$A,0)),"（IDなし）"))</f>
        <v/>
      </c>
      <c r="E111" s="36" t="n"/>
      <c r="F111" s="37">
        <f>IF(A111="","",LEFT(A111,5))</f>
        <v/>
      </c>
      <c r="G111" s="37">
        <f>IF(C111="","",LEFT(C111,6))</f>
        <v/>
      </c>
    </row>
    <row r="112">
      <c r="A112" s="36" t="n"/>
      <c r="B112" s="36" t="n"/>
      <c r="C112" s="36" t="n"/>
      <c r="D112" s="37">
        <f>IF(C112="","",IFERROR(INDEX(ケイパビリティマップ!$E:$E,MATCH(C112,ケイパビリティマップ!$A:$A,0)),"（IDなし）"))</f>
        <v/>
      </c>
      <c r="E112" s="36" t="n"/>
      <c r="F112" s="37">
        <f>IF(A112="","",LEFT(A112,5))</f>
        <v/>
      </c>
      <c r="G112" s="37">
        <f>IF(C112="","",LEFT(C112,6))</f>
        <v/>
      </c>
    </row>
    <row r="113">
      <c r="A113" s="36" t="n"/>
      <c r="B113" s="36" t="n"/>
      <c r="C113" s="36" t="n"/>
      <c r="D113" s="37">
        <f>IF(C113="","",IFERROR(INDEX(ケイパビリティマップ!$E:$E,MATCH(C113,ケイパビリティマップ!$A:$A,0)),"（IDなし）"))</f>
        <v/>
      </c>
      <c r="E113" s="36" t="n"/>
      <c r="F113" s="37">
        <f>IF(A113="","",LEFT(A113,5))</f>
        <v/>
      </c>
      <c r="G113" s="37">
        <f>IF(C113="","",LEFT(C113,6))</f>
        <v/>
      </c>
    </row>
    <row r="114">
      <c r="A114" s="36" t="n"/>
      <c r="B114" s="36" t="n"/>
      <c r="C114" s="36" t="n"/>
      <c r="D114" s="37">
        <f>IF(C114="","",IFERROR(INDEX(ケイパビリティマップ!$E:$E,MATCH(C114,ケイパビリティマップ!$A:$A,0)),"（IDなし）"))</f>
        <v/>
      </c>
      <c r="E114" s="36" t="n"/>
      <c r="F114" s="37">
        <f>IF(A114="","",LEFT(A114,5))</f>
        <v/>
      </c>
      <c r="G114" s="37">
        <f>IF(C114="","",LEFT(C114,6))</f>
        <v/>
      </c>
    </row>
    <row r="115">
      <c r="A115" s="36" t="n"/>
      <c r="B115" s="36" t="n"/>
      <c r="C115" s="36" t="n"/>
      <c r="D115" s="37">
        <f>IF(C115="","",IFERROR(INDEX(ケイパビリティマップ!$E:$E,MATCH(C115,ケイパビリティマップ!$A:$A,0)),"（IDなし）"))</f>
        <v/>
      </c>
      <c r="E115" s="36" t="n"/>
      <c r="F115" s="37">
        <f>IF(A115="","",LEFT(A115,5))</f>
        <v/>
      </c>
      <c r="G115" s="37">
        <f>IF(C115="","",LEFT(C115,6))</f>
        <v/>
      </c>
    </row>
    <row r="116">
      <c r="A116" s="36" t="n"/>
      <c r="B116" s="36" t="n"/>
      <c r="C116" s="36" t="n"/>
      <c r="D116" s="37">
        <f>IF(C116="","",IFERROR(INDEX(ケイパビリティマップ!$E:$E,MATCH(C116,ケイパビリティマップ!$A:$A,0)),"（IDなし）"))</f>
        <v/>
      </c>
      <c r="E116" s="36" t="n"/>
      <c r="F116" s="37">
        <f>IF(A116="","",LEFT(A116,5))</f>
        <v/>
      </c>
      <c r="G116" s="37">
        <f>IF(C116="","",LEFT(C116,6))</f>
        <v/>
      </c>
    </row>
    <row r="117">
      <c r="A117" s="36" t="n"/>
      <c r="B117" s="36" t="n"/>
      <c r="C117" s="36" t="n"/>
      <c r="D117" s="37">
        <f>IF(C117="","",IFERROR(INDEX(ケイパビリティマップ!$E:$E,MATCH(C117,ケイパビリティマップ!$A:$A,0)),"（IDなし）"))</f>
        <v/>
      </c>
      <c r="E117" s="36" t="n"/>
      <c r="F117" s="37">
        <f>IF(A117="","",LEFT(A117,5))</f>
        <v/>
      </c>
      <c r="G117" s="37">
        <f>IF(C117="","",LEFT(C117,6))</f>
        <v/>
      </c>
    </row>
    <row r="118">
      <c r="A118" s="36" t="n"/>
      <c r="B118" s="36" t="n"/>
      <c r="C118" s="36" t="n"/>
      <c r="D118" s="37">
        <f>IF(C118="","",IFERROR(INDEX(ケイパビリティマップ!$E:$E,MATCH(C118,ケイパビリティマップ!$A:$A,0)),"（IDなし）"))</f>
        <v/>
      </c>
      <c r="E118" s="36" t="n"/>
      <c r="F118" s="37">
        <f>IF(A118="","",LEFT(A118,5))</f>
        <v/>
      </c>
      <c r="G118" s="37">
        <f>IF(C118="","",LEFT(C118,6))</f>
        <v/>
      </c>
    </row>
    <row r="119">
      <c r="A119" s="36" t="n"/>
      <c r="B119" s="36" t="n"/>
      <c r="C119" s="36" t="n"/>
      <c r="D119" s="37">
        <f>IF(C119="","",IFERROR(INDEX(ケイパビリティマップ!$E:$E,MATCH(C119,ケイパビリティマップ!$A:$A,0)),"（IDなし）"))</f>
        <v/>
      </c>
      <c r="E119" s="36" t="n"/>
      <c r="F119" s="37">
        <f>IF(A119="","",LEFT(A119,5))</f>
        <v/>
      </c>
      <c r="G119" s="37">
        <f>IF(C119="","",LEFT(C119,6))</f>
        <v/>
      </c>
    </row>
    <row r="120">
      <c r="A120" s="36" t="n"/>
      <c r="B120" s="36" t="n"/>
      <c r="C120" s="36" t="n"/>
      <c r="D120" s="37">
        <f>IF(C120="","",IFERROR(INDEX(ケイパビリティマップ!$E:$E,MATCH(C120,ケイパビリティマップ!$A:$A,0)),"（IDなし）"))</f>
        <v/>
      </c>
      <c r="E120" s="36" t="n"/>
      <c r="F120" s="37">
        <f>IF(A120="","",LEFT(A120,5))</f>
        <v/>
      </c>
      <c r="G120" s="37">
        <f>IF(C120="","",LEFT(C120,6))</f>
        <v/>
      </c>
    </row>
    <row r="121">
      <c r="A121" s="36" t="n"/>
      <c r="B121" s="36" t="n"/>
      <c r="C121" s="36" t="n"/>
      <c r="D121" s="37">
        <f>IF(C121="","",IFERROR(INDEX(ケイパビリティマップ!$E:$E,MATCH(C121,ケイパビリティマップ!$A:$A,0)),"（IDなし）"))</f>
        <v/>
      </c>
      <c r="E121" s="36" t="n"/>
      <c r="F121" s="37">
        <f>IF(A121="","",LEFT(A121,5))</f>
        <v/>
      </c>
      <c r="G121" s="37">
        <f>IF(C121="","",LEFT(C121,6))</f>
        <v/>
      </c>
    </row>
    <row r="122">
      <c r="A122" s="36" t="n"/>
      <c r="B122" s="36" t="n"/>
      <c r="C122" s="36" t="n"/>
      <c r="D122" s="37">
        <f>IF(C122="","",IFERROR(INDEX(ケイパビリティマップ!$E:$E,MATCH(C122,ケイパビリティマップ!$A:$A,0)),"（IDなし）"))</f>
        <v/>
      </c>
      <c r="E122" s="36" t="n"/>
      <c r="F122" s="37">
        <f>IF(A122="","",LEFT(A122,5))</f>
        <v/>
      </c>
      <c r="G122" s="37">
        <f>IF(C122="","",LEFT(C122,6))</f>
        <v/>
      </c>
    </row>
    <row r="123">
      <c r="A123" s="36" t="n"/>
      <c r="B123" s="36" t="n"/>
      <c r="C123" s="36" t="n"/>
      <c r="D123" s="37">
        <f>IF(C123="","",IFERROR(INDEX(ケイパビリティマップ!$E:$E,MATCH(C123,ケイパビリティマップ!$A:$A,0)),"（IDなし）"))</f>
        <v/>
      </c>
      <c r="E123" s="36" t="n"/>
      <c r="F123" s="37">
        <f>IF(A123="","",LEFT(A123,5))</f>
        <v/>
      </c>
      <c r="G123" s="37">
        <f>IF(C123="","",LEFT(C123,6))</f>
        <v/>
      </c>
    </row>
    <row r="124">
      <c r="A124" s="36" t="n"/>
      <c r="B124" s="36" t="n"/>
      <c r="C124" s="36" t="n"/>
      <c r="D124" s="37">
        <f>IF(C124="","",IFERROR(INDEX(ケイパビリティマップ!$E:$E,MATCH(C124,ケイパビリティマップ!$A:$A,0)),"（IDなし）"))</f>
        <v/>
      </c>
      <c r="E124" s="36" t="n"/>
      <c r="F124" s="37">
        <f>IF(A124="","",LEFT(A124,5))</f>
        <v/>
      </c>
      <c r="G124" s="37">
        <f>IF(C124="","",LEFT(C124,6))</f>
        <v/>
      </c>
    </row>
    <row r="125">
      <c r="A125" s="36" t="n"/>
      <c r="B125" s="36" t="n"/>
      <c r="C125" s="36" t="n"/>
      <c r="D125" s="37">
        <f>IF(C125="","",IFERROR(INDEX(ケイパビリティマップ!$E:$E,MATCH(C125,ケイパビリティマップ!$A:$A,0)),"（IDなし）"))</f>
        <v/>
      </c>
      <c r="E125" s="36" t="n"/>
      <c r="F125" s="37">
        <f>IF(A125="","",LEFT(A125,5))</f>
        <v/>
      </c>
      <c r="G125" s="37">
        <f>IF(C125="","",LEFT(C125,6))</f>
        <v/>
      </c>
    </row>
    <row r="126">
      <c r="A126" s="36" t="n"/>
      <c r="B126" s="36" t="n"/>
      <c r="C126" s="36" t="n"/>
      <c r="D126" s="37">
        <f>IF(C126="","",IFERROR(INDEX(ケイパビリティマップ!$E:$E,MATCH(C126,ケイパビリティマップ!$A:$A,0)),"（IDなし）"))</f>
        <v/>
      </c>
      <c r="E126" s="36" t="n"/>
      <c r="F126" s="37">
        <f>IF(A126="","",LEFT(A126,5))</f>
        <v/>
      </c>
      <c r="G126" s="37">
        <f>IF(C126="","",LEFT(C126,6))</f>
        <v/>
      </c>
    </row>
    <row r="127">
      <c r="A127" s="36" t="n"/>
      <c r="B127" s="36" t="n"/>
      <c r="C127" s="36" t="n"/>
      <c r="D127" s="37">
        <f>IF(C127="","",IFERROR(INDEX(ケイパビリティマップ!$E:$E,MATCH(C127,ケイパビリティマップ!$A:$A,0)),"（IDなし）"))</f>
        <v/>
      </c>
      <c r="E127" s="36" t="n"/>
      <c r="F127" s="37">
        <f>IF(A127="","",LEFT(A127,5))</f>
        <v/>
      </c>
      <c r="G127" s="37">
        <f>IF(C127="","",LEFT(C127,6))</f>
        <v/>
      </c>
    </row>
    <row r="128">
      <c r="A128" s="36" t="n"/>
      <c r="B128" s="36" t="n"/>
      <c r="C128" s="36" t="n"/>
      <c r="D128" s="37">
        <f>IF(C128="","",IFERROR(INDEX(ケイパビリティマップ!$E:$E,MATCH(C128,ケイパビリティマップ!$A:$A,0)),"（IDなし）"))</f>
        <v/>
      </c>
      <c r="E128" s="36" t="n"/>
      <c r="F128" s="37">
        <f>IF(A128="","",LEFT(A128,5))</f>
        <v/>
      </c>
      <c r="G128" s="37">
        <f>IF(C128="","",LEFT(C128,6))</f>
        <v/>
      </c>
    </row>
    <row r="129">
      <c r="A129" s="36" t="n"/>
      <c r="B129" s="36" t="n"/>
      <c r="C129" s="36" t="n"/>
      <c r="D129" s="37">
        <f>IF(C129="","",IFERROR(INDEX(ケイパビリティマップ!$E:$E,MATCH(C129,ケイパビリティマップ!$A:$A,0)),"（IDなし）"))</f>
        <v/>
      </c>
      <c r="E129" s="36" t="n"/>
      <c r="F129" s="37">
        <f>IF(A129="","",LEFT(A129,5))</f>
        <v/>
      </c>
      <c r="G129" s="37">
        <f>IF(C129="","",LEFT(C129,6))</f>
        <v/>
      </c>
    </row>
    <row r="130">
      <c r="A130" s="36" t="n"/>
      <c r="B130" s="36" t="n"/>
      <c r="C130" s="36" t="n"/>
      <c r="D130" s="37">
        <f>IF(C130="","",IFERROR(INDEX(ケイパビリティマップ!$E:$E,MATCH(C130,ケイパビリティマップ!$A:$A,0)),"（IDなし）"))</f>
        <v/>
      </c>
      <c r="E130" s="36" t="n"/>
      <c r="F130" s="37">
        <f>IF(A130="","",LEFT(A130,5))</f>
        <v/>
      </c>
      <c r="G130" s="37">
        <f>IF(C130="","",LEFT(C130,6))</f>
        <v/>
      </c>
    </row>
    <row r="131">
      <c r="A131" s="36" t="n"/>
      <c r="B131" s="36" t="n"/>
      <c r="C131" s="36" t="n"/>
      <c r="D131" s="37">
        <f>IF(C131="","",IFERROR(INDEX(ケイパビリティマップ!$E:$E,MATCH(C131,ケイパビリティマップ!$A:$A,0)),"（IDなし）"))</f>
        <v/>
      </c>
      <c r="E131" s="36" t="n"/>
      <c r="F131" s="37">
        <f>IF(A131="","",LEFT(A131,5))</f>
        <v/>
      </c>
      <c r="G131" s="37">
        <f>IF(C131="","",LEFT(C131,6))</f>
        <v/>
      </c>
    </row>
    <row r="132">
      <c r="A132" s="36" t="n"/>
      <c r="B132" s="36" t="n"/>
      <c r="C132" s="36" t="n"/>
      <c r="D132" s="37">
        <f>IF(C132="","",IFERROR(INDEX(ケイパビリティマップ!$E:$E,MATCH(C132,ケイパビリティマップ!$A:$A,0)),"（IDなし）"))</f>
        <v/>
      </c>
      <c r="E132" s="36" t="n"/>
      <c r="F132" s="37">
        <f>IF(A132="","",LEFT(A132,5))</f>
        <v/>
      </c>
      <c r="G132" s="37">
        <f>IF(C132="","",LEFT(C132,6))</f>
        <v/>
      </c>
    </row>
    <row r="133">
      <c r="A133" s="36" t="n"/>
      <c r="B133" s="36" t="n"/>
      <c r="C133" s="36" t="n"/>
      <c r="D133" s="37">
        <f>IF(C133="","",IFERROR(INDEX(ケイパビリティマップ!$E:$E,MATCH(C133,ケイパビリティマップ!$A:$A,0)),"（IDなし）"))</f>
        <v/>
      </c>
      <c r="E133" s="36" t="n"/>
      <c r="F133" s="37">
        <f>IF(A133="","",LEFT(A133,5))</f>
        <v/>
      </c>
      <c r="G133" s="37">
        <f>IF(C133="","",LEFT(C133,6))</f>
        <v/>
      </c>
    </row>
    <row r="134">
      <c r="A134" s="36" t="n"/>
      <c r="B134" s="36" t="n"/>
      <c r="C134" s="36" t="n"/>
      <c r="D134" s="37">
        <f>IF(C134="","",IFERROR(INDEX(ケイパビリティマップ!$E:$E,MATCH(C134,ケイパビリティマップ!$A:$A,0)),"（IDなし）"))</f>
        <v/>
      </c>
      <c r="E134" s="36" t="n"/>
      <c r="F134" s="37">
        <f>IF(A134="","",LEFT(A134,5))</f>
        <v/>
      </c>
      <c r="G134" s="37">
        <f>IF(C134="","",LEFT(C134,6))</f>
        <v/>
      </c>
    </row>
    <row r="135">
      <c r="A135" s="36" t="n"/>
      <c r="B135" s="36" t="n"/>
      <c r="C135" s="36" t="n"/>
      <c r="D135" s="37">
        <f>IF(C135="","",IFERROR(INDEX(ケイパビリティマップ!$E:$E,MATCH(C135,ケイパビリティマップ!$A:$A,0)),"（IDなし）"))</f>
        <v/>
      </c>
      <c r="E135" s="36" t="n"/>
      <c r="F135" s="37">
        <f>IF(A135="","",LEFT(A135,5))</f>
        <v/>
      </c>
      <c r="G135" s="37">
        <f>IF(C135="","",LEFT(C135,6))</f>
        <v/>
      </c>
    </row>
    <row r="136">
      <c r="A136" s="36" t="n"/>
      <c r="B136" s="36" t="n"/>
      <c r="C136" s="36" t="n"/>
      <c r="D136" s="37">
        <f>IF(C136="","",IFERROR(INDEX(ケイパビリティマップ!$E:$E,MATCH(C136,ケイパビリティマップ!$A:$A,0)),"（IDなし）"))</f>
        <v/>
      </c>
      <c r="E136" s="36" t="n"/>
      <c r="F136" s="37">
        <f>IF(A136="","",LEFT(A136,5))</f>
        <v/>
      </c>
      <c r="G136" s="37">
        <f>IF(C136="","",LEFT(C136,6))</f>
        <v/>
      </c>
    </row>
    <row r="137">
      <c r="A137" s="36" t="n"/>
      <c r="B137" s="36" t="n"/>
      <c r="C137" s="36" t="n"/>
      <c r="D137" s="37">
        <f>IF(C137="","",IFERROR(INDEX(ケイパビリティマップ!$E:$E,MATCH(C137,ケイパビリティマップ!$A:$A,0)),"（IDなし）"))</f>
        <v/>
      </c>
      <c r="E137" s="36" t="n"/>
      <c r="F137" s="37">
        <f>IF(A137="","",LEFT(A137,5))</f>
        <v/>
      </c>
      <c r="G137" s="37">
        <f>IF(C137="","",LEFT(C137,6))</f>
        <v/>
      </c>
    </row>
    <row r="138">
      <c r="A138" s="36" t="n"/>
      <c r="B138" s="36" t="n"/>
      <c r="C138" s="36" t="n"/>
      <c r="D138" s="37">
        <f>IF(C138="","",IFERROR(INDEX(ケイパビリティマップ!$E:$E,MATCH(C138,ケイパビリティマップ!$A:$A,0)),"（IDなし）"))</f>
        <v/>
      </c>
      <c r="E138" s="36" t="n"/>
      <c r="F138" s="37">
        <f>IF(A138="","",LEFT(A138,5))</f>
        <v/>
      </c>
      <c r="G138" s="37">
        <f>IF(C138="","",LEFT(C138,6))</f>
        <v/>
      </c>
    </row>
    <row r="139">
      <c r="A139" s="36" t="n"/>
      <c r="B139" s="36" t="n"/>
      <c r="C139" s="36" t="n"/>
      <c r="D139" s="37">
        <f>IF(C139="","",IFERROR(INDEX(ケイパビリティマップ!$E:$E,MATCH(C139,ケイパビリティマップ!$A:$A,0)),"（IDなし）"))</f>
        <v/>
      </c>
      <c r="E139" s="36" t="n"/>
      <c r="F139" s="37">
        <f>IF(A139="","",LEFT(A139,5))</f>
        <v/>
      </c>
      <c r="G139" s="37">
        <f>IF(C139="","",LEFT(C139,6))</f>
        <v/>
      </c>
    </row>
    <row r="140">
      <c r="A140" s="36" t="n"/>
      <c r="B140" s="36" t="n"/>
      <c r="C140" s="36" t="n"/>
      <c r="D140" s="37">
        <f>IF(C140="","",IFERROR(INDEX(ケイパビリティマップ!$E:$E,MATCH(C140,ケイパビリティマップ!$A:$A,0)),"（IDなし）"))</f>
        <v/>
      </c>
      <c r="E140" s="36" t="n"/>
      <c r="F140" s="37">
        <f>IF(A140="","",LEFT(A140,5))</f>
        <v/>
      </c>
      <c r="G140" s="37">
        <f>IF(C140="","",LEFT(C140,6))</f>
        <v/>
      </c>
    </row>
    <row r="141">
      <c r="A141" s="36" t="n"/>
      <c r="B141" s="36" t="n"/>
      <c r="C141" s="36" t="n"/>
      <c r="D141" s="37">
        <f>IF(C141="","",IFERROR(INDEX(ケイパビリティマップ!$E:$E,MATCH(C141,ケイパビリティマップ!$A:$A,0)),"（IDなし）"))</f>
        <v/>
      </c>
      <c r="E141" s="36" t="n"/>
      <c r="F141" s="37">
        <f>IF(A141="","",LEFT(A141,5))</f>
        <v/>
      </c>
      <c r="G141" s="37">
        <f>IF(C141="","",LEFT(C141,6))</f>
        <v/>
      </c>
    </row>
    <row r="142">
      <c r="A142" s="36" t="n"/>
      <c r="B142" s="36" t="n"/>
      <c r="C142" s="36" t="n"/>
      <c r="D142" s="37">
        <f>IF(C142="","",IFERROR(INDEX(ケイパビリティマップ!$E:$E,MATCH(C142,ケイパビリティマップ!$A:$A,0)),"（IDなし）"))</f>
        <v/>
      </c>
      <c r="E142" s="36" t="n"/>
      <c r="F142" s="37">
        <f>IF(A142="","",LEFT(A142,5))</f>
        <v/>
      </c>
      <c r="G142" s="37">
        <f>IF(C142="","",LEFT(C142,6))</f>
        <v/>
      </c>
    </row>
    <row r="143">
      <c r="A143" s="36" t="n"/>
      <c r="B143" s="36" t="n"/>
      <c r="C143" s="36" t="n"/>
      <c r="D143" s="37">
        <f>IF(C143="","",IFERROR(INDEX(ケイパビリティマップ!$E:$E,MATCH(C143,ケイパビリティマップ!$A:$A,0)),"（IDなし）"))</f>
        <v/>
      </c>
      <c r="E143" s="36" t="n"/>
      <c r="F143" s="37">
        <f>IF(A143="","",LEFT(A143,5))</f>
        <v/>
      </c>
      <c r="G143" s="37">
        <f>IF(C143="","",LEFT(C143,6))</f>
        <v/>
      </c>
    </row>
    <row r="144">
      <c r="A144" s="36" t="n"/>
      <c r="B144" s="36" t="n"/>
      <c r="C144" s="36" t="n"/>
      <c r="D144" s="37">
        <f>IF(C144="","",IFERROR(INDEX(ケイパビリティマップ!$E:$E,MATCH(C144,ケイパビリティマップ!$A:$A,0)),"（IDなし）"))</f>
        <v/>
      </c>
      <c r="E144" s="36" t="n"/>
      <c r="F144" s="37">
        <f>IF(A144="","",LEFT(A144,5))</f>
        <v/>
      </c>
      <c r="G144" s="37">
        <f>IF(C144="","",LEFT(C144,6))</f>
        <v/>
      </c>
    </row>
    <row r="145">
      <c r="A145" s="36" t="n"/>
      <c r="B145" s="36" t="n"/>
      <c r="C145" s="36" t="n"/>
      <c r="D145" s="37">
        <f>IF(C145="","",IFERROR(INDEX(ケイパビリティマップ!$E:$E,MATCH(C145,ケイパビリティマップ!$A:$A,0)),"（IDなし）"))</f>
        <v/>
      </c>
      <c r="E145" s="36" t="n"/>
      <c r="F145" s="37">
        <f>IF(A145="","",LEFT(A145,5))</f>
        <v/>
      </c>
      <c r="G145" s="37">
        <f>IF(C145="","",LEFT(C145,6))</f>
        <v/>
      </c>
    </row>
    <row r="146">
      <c r="A146" s="36" t="n"/>
      <c r="B146" s="36" t="n"/>
      <c r="C146" s="36" t="n"/>
      <c r="D146" s="37">
        <f>IF(C146="","",IFERROR(INDEX(ケイパビリティマップ!$E:$E,MATCH(C146,ケイパビリティマップ!$A:$A,0)),"（IDなし）"))</f>
        <v/>
      </c>
      <c r="E146" s="36" t="n"/>
      <c r="F146" s="37">
        <f>IF(A146="","",LEFT(A146,5))</f>
        <v/>
      </c>
      <c r="G146" s="37">
        <f>IF(C146="","",LEFT(C146,6))</f>
        <v/>
      </c>
    </row>
    <row r="147">
      <c r="A147" s="36" t="n"/>
      <c r="B147" s="36" t="n"/>
      <c r="C147" s="36" t="n"/>
      <c r="D147" s="37">
        <f>IF(C147="","",IFERROR(INDEX(ケイパビリティマップ!$E:$E,MATCH(C147,ケイパビリティマップ!$A:$A,0)),"（IDなし）"))</f>
        <v/>
      </c>
      <c r="E147" s="36" t="n"/>
      <c r="F147" s="37">
        <f>IF(A147="","",LEFT(A147,5))</f>
        <v/>
      </c>
      <c r="G147" s="37">
        <f>IF(C147="","",LEFT(C147,6))</f>
        <v/>
      </c>
    </row>
    <row r="148">
      <c r="A148" s="36" t="n"/>
      <c r="B148" s="36" t="n"/>
      <c r="C148" s="36" t="n"/>
      <c r="D148" s="37">
        <f>IF(C148="","",IFERROR(INDEX(ケイパビリティマップ!$E:$E,MATCH(C148,ケイパビリティマップ!$A:$A,0)),"（IDなし）"))</f>
        <v/>
      </c>
      <c r="E148" s="36" t="n"/>
      <c r="F148" s="37">
        <f>IF(A148="","",LEFT(A148,5))</f>
        <v/>
      </c>
      <c r="G148" s="37">
        <f>IF(C148="","",LEFT(C148,6))</f>
        <v/>
      </c>
    </row>
    <row r="149">
      <c r="A149" s="36" t="n"/>
      <c r="B149" s="36" t="n"/>
      <c r="C149" s="36" t="n"/>
      <c r="D149" s="37">
        <f>IF(C149="","",IFERROR(INDEX(ケイパビリティマップ!$E:$E,MATCH(C149,ケイパビリティマップ!$A:$A,0)),"（IDなし）"))</f>
        <v/>
      </c>
      <c r="E149" s="36" t="n"/>
      <c r="F149" s="37">
        <f>IF(A149="","",LEFT(A149,5))</f>
        <v/>
      </c>
      <c r="G149" s="37">
        <f>IF(C149="","",LEFT(C149,6))</f>
        <v/>
      </c>
    </row>
    <row r="150">
      <c r="A150" s="36" t="n"/>
      <c r="B150" s="36" t="n"/>
      <c r="C150" s="36" t="n"/>
      <c r="D150" s="37">
        <f>IF(C150="","",IFERROR(INDEX(ケイパビリティマップ!$E:$E,MATCH(C150,ケイパビリティマップ!$A:$A,0)),"（IDなし）"))</f>
        <v/>
      </c>
      <c r="E150" s="36" t="n"/>
      <c r="F150" s="37">
        <f>IF(A150="","",LEFT(A150,5))</f>
        <v/>
      </c>
      <c r="G150" s="37">
        <f>IF(C150="","",LEFT(C150,6))</f>
        <v/>
      </c>
    </row>
    <row r="151">
      <c r="A151" s="36" t="n"/>
      <c r="B151" s="36" t="n"/>
      <c r="C151" s="36" t="n"/>
      <c r="D151" s="37">
        <f>IF(C151="","",IFERROR(INDEX(ケイパビリティマップ!$E:$E,MATCH(C151,ケイパビリティマップ!$A:$A,0)),"（IDなし）"))</f>
        <v/>
      </c>
      <c r="E151" s="36" t="n"/>
      <c r="F151" s="37">
        <f>IF(A151="","",LEFT(A151,5))</f>
        <v/>
      </c>
      <c r="G151" s="37">
        <f>IF(C151="","",LEFT(C151,6))</f>
        <v/>
      </c>
    </row>
    <row r="152">
      <c r="A152" s="36" t="n"/>
      <c r="B152" s="36" t="n"/>
      <c r="C152" s="36" t="n"/>
      <c r="D152" s="37">
        <f>IF(C152="","",IFERROR(INDEX(ケイパビリティマップ!$E:$E,MATCH(C152,ケイパビリティマップ!$A:$A,0)),"（IDなし）"))</f>
        <v/>
      </c>
      <c r="E152" s="36" t="n"/>
      <c r="F152" s="37">
        <f>IF(A152="","",LEFT(A152,5))</f>
        <v/>
      </c>
      <c r="G152" s="37">
        <f>IF(C152="","",LEFT(C152,6))</f>
        <v/>
      </c>
    </row>
    <row r="153">
      <c r="A153" s="36" t="n"/>
      <c r="B153" s="36" t="n"/>
      <c r="C153" s="36" t="n"/>
      <c r="D153" s="37">
        <f>IF(C153="","",IFERROR(INDEX(ケイパビリティマップ!$E:$E,MATCH(C153,ケイパビリティマップ!$A:$A,0)),"（IDなし）"))</f>
        <v/>
      </c>
      <c r="E153" s="36" t="n"/>
      <c r="F153" s="37">
        <f>IF(A153="","",LEFT(A153,5))</f>
        <v/>
      </c>
      <c r="G153" s="37">
        <f>IF(C153="","",LEFT(C153,6))</f>
        <v/>
      </c>
    </row>
    <row r="154">
      <c r="A154" s="36" t="n"/>
      <c r="B154" s="36" t="n"/>
      <c r="C154" s="36" t="n"/>
      <c r="D154" s="37">
        <f>IF(C154="","",IFERROR(INDEX(ケイパビリティマップ!$E:$E,MATCH(C154,ケイパビリティマップ!$A:$A,0)),"（IDなし）"))</f>
        <v/>
      </c>
      <c r="E154" s="36" t="n"/>
      <c r="F154" s="37">
        <f>IF(A154="","",LEFT(A154,5))</f>
        <v/>
      </c>
      <c r="G154" s="37">
        <f>IF(C154="","",LEFT(C154,6))</f>
        <v/>
      </c>
    </row>
    <row r="155">
      <c r="A155" s="36" t="n"/>
      <c r="B155" s="36" t="n"/>
      <c r="C155" s="36" t="n"/>
      <c r="D155" s="37">
        <f>IF(C155="","",IFERROR(INDEX(ケイパビリティマップ!$E:$E,MATCH(C155,ケイパビリティマップ!$A:$A,0)),"（IDなし）"))</f>
        <v/>
      </c>
      <c r="E155" s="36" t="n"/>
      <c r="F155" s="37">
        <f>IF(A155="","",LEFT(A155,5))</f>
        <v/>
      </c>
      <c r="G155" s="37">
        <f>IF(C155="","",LEFT(C155,6))</f>
        <v/>
      </c>
    </row>
    <row r="156">
      <c r="A156" s="36" t="n"/>
      <c r="B156" s="36" t="n"/>
      <c r="C156" s="36" t="n"/>
      <c r="D156" s="37">
        <f>IF(C156="","",IFERROR(INDEX(ケイパビリティマップ!$E:$E,MATCH(C156,ケイパビリティマップ!$A:$A,0)),"（IDなし）"))</f>
        <v/>
      </c>
      <c r="E156" s="36" t="n"/>
      <c r="F156" s="37">
        <f>IF(A156="","",LEFT(A156,5))</f>
        <v/>
      </c>
      <c r="G156" s="37">
        <f>IF(C156="","",LEFT(C156,6))</f>
        <v/>
      </c>
    </row>
    <row r="157">
      <c r="A157" s="36" t="n"/>
      <c r="B157" s="36" t="n"/>
      <c r="C157" s="36" t="n"/>
      <c r="D157" s="37">
        <f>IF(C157="","",IFERROR(INDEX(ケイパビリティマップ!$E:$E,MATCH(C157,ケイパビリティマップ!$A:$A,0)),"（IDなし）"))</f>
        <v/>
      </c>
      <c r="E157" s="36" t="n"/>
      <c r="F157" s="37">
        <f>IF(A157="","",LEFT(A157,5))</f>
        <v/>
      </c>
      <c r="G157" s="37">
        <f>IF(C157="","",LEFT(C157,6))</f>
        <v/>
      </c>
    </row>
    <row r="158">
      <c r="A158" s="36" t="n"/>
      <c r="B158" s="36" t="n"/>
      <c r="C158" s="36" t="n"/>
      <c r="D158" s="37">
        <f>IF(C158="","",IFERROR(INDEX(ケイパビリティマップ!$E:$E,MATCH(C158,ケイパビリティマップ!$A:$A,0)),"（IDなし）"))</f>
        <v/>
      </c>
      <c r="E158" s="36" t="n"/>
      <c r="F158" s="37">
        <f>IF(A158="","",LEFT(A158,5))</f>
        <v/>
      </c>
      <c r="G158" s="37">
        <f>IF(C158="","",LEFT(C158,6))</f>
        <v/>
      </c>
    </row>
    <row r="159">
      <c r="A159" s="36" t="n"/>
      <c r="B159" s="36" t="n"/>
      <c r="C159" s="36" t="n"/>
      <c r="D159" s="37">
        <f>IF(C159="","",IFERROR(INDEX(ケイパビリティマップ!$E:$E,MATCH(C159,ケイパビリティマップ!$A:$A,0)),"（IDなし）"))</f>
        <v/>
      </c>
      <c r="E159" s="36" t="n"/>
      <c r="F159" s="37">
        <f>IF(A159="","",LEFT(A159,5))</f>
        <v/>
      </c>
      <c r="G159" s="37">
        <f>IF(C159="","",LEFT(C159,6))</f>
        <v/>
      </c>
    </row>
    <row r="160">
      <c r="A160" s="36" t="n"/>
      <c r="B160" s="36" t="n"/>
      <c r="C160" s="36" t="n"/>
      <c r="D160" s="37">
        <f>IF(C160="","",IFERROR(INDEX(ケイパビリティマップ!$E:$E,MATCH(C160,ケイパビリティマップ!$A:$A,0)),"（IDなし）"))</f>
        <v/>
      </c>
      <c r="E160" s="36" t="n"/>
      <c r="F160" s="37">
        <f>IF(A160="","",LEFT(A160,5))</f>
        <v/>
      </c>
      <c r="G160" s="37">
        <f>IF(C160="","",LEFT(C160,6))</f>
        <v/>
      </c>
    </row>
    <row r="161">
      <c r="A161" s="36" t="n"/>
      <c r="B161" s="36" t="n"/>
      <c r="C161" s="36" t="n"/>
      <c r="D161" s="37">
        <f>IF(C161="","",IFERROR(INDEX(ケイパビリティマップ!$E:$E,MATCH(C161,ケイパビリティマップ!$A:$A,0)),"（IDなし）"))</f>
        <v/>
      </c>
      <c r="E161" s="36" t="n"/>
      <c r="F161" s="37">
        <f>IF(A161="","",LEFT(A161,5))</f>
        <v/>
      </c>
      <c r="G161" s="37">
        <f>IF(C161="","",LEFT(C161,6))</f>
        <v/>
      </c>
    </row>
    <row r="162">
      <c r="A162" s="36" t="n"/>
      <c r="B162" s="36" t="n"/>
      <c r="C162" s="36" t="n"/>
      <c r="D162" s="37">
        <f>IF(C162="","",IFERROR(INDEX(ケイパビリティマップ!$E:$E,MATCH(C162,ケイパビリティマップ!$A:$A,0)),"（IDなし）"))</f>
        <v/>
      </c>
      <c r="E162" s="36" t="n"/>
      <c r="F162" s="37">
        <f>IF(A162="","",LEFT(A162,5))</f>
        <v/>
      </c>
      <c r="G162" s="37">
        <f>IF(C162="","",LEFT(C162,6))</f>
        <v/>
      </c>
    </row>
    <row r="163">
      <c r="A163" s="36" t="n"/>
      <c r="B163" s="36" t="n"/>
      <c r="C163" s="36" t="n"/>
      <c r="D163" s="37">
        <f>IF(C163="","",IFERROR(INDEX(ケイパビリティマップ!$E:$E,MATCH(C163,ケイパビリティマップ!$A:$A,0)),"（IDなし）"))</f>
        <v/>
      </c>
      <c r="E163" s="36" t="n"/>
      <c r="F163" s="37">
        <f>IF(A163="","",LEFT(A163,5))</f>
        <v/>
      </c>
      <c r="G163" s="37">
        <f>IF(C163="","",LEFT(C163,6))</f>
        <v/>
      </c>
    </row>
    <row r="164">
      <c r="A164" s="36" t="n"/>
      <c r="B164" s="36" t="n"/>
      <c r="C164" s="36" t="n"/>
      <c r="D164" s="37">
        <f>IF(C164="","",IFERROR(INDEX(ケイパビリティマップ!$E:$E,MATCH(C164,ケイパビリティマップ!$A:$A,0)),"（IDなし）"))</f>
        <v/>
      </c>
      <c r="E164" s="36" t="n"/>
      <c r="F164" s="37">
        <f>IF(A164="","",LEFT(A164,5))</f>
        <v/>
      </c>
      <c r="G164" s="37">
        <f>IF(C164="","",LEFT(C164,6))</f>
        <v/>
      </c>
    </row>
    <row r="165">
      <c r="A165" s="36" t="n"/>
      <c r="B165" s="36" t="n"/>
      <c r="C165" s="36" t="n"/>
      <c r="D165" s="37">
        <f>IF(C165="","",IFERROR(INDEX(ケイパビリティマップ!$E:$E,MATCH(C165,ケイパビリティマップ!$A:$A,0)),"（IDなし）"))</f>
        <v/>
      </c>
      <c r="E165" s="36" t="n"/>
      <c r="F165" s="37">
        <f>IF(A165="","",LEFT(A165,5))</f>
        <v/>
      </c>
      <c r="G165" s="37">
        <f>IF(C165="","",LEFT(C165,6))</f>
        <v/>
      </c>
    </row>
    <row r="166">
      <c r="A166" s="36" t="n"/>
      <c r="B166" s="36" t="n"/>
      <c r="C166" s="36" t="n"/>
      <c r="D166" s="37">
        <f>IF(C166="","",IFERROR(INDEX(ケイパビリティマップ!$E:$E,MATCH(C166,ケイパビリティマップ!$A:$A,0)),"（IDなし）"))</f>
        <v/>
      </c>
      <c r="E166" s="36" t="n"/>
      <c r="F166" s="37">
        <f>IF(A166="","",LEFT(A166,5))</f>
        <v/>
      </c>
      <c r="G166" s="37">
        <f>IF(C166="","",LEFT(C166,6))</f>
        <v/>
      </c>
    </row>
    <row r="167">
      <c r="A167" s="36" t="n"/>
      <c r="B167" s="36" t="n"/>
      <c r="C167" s="36" t="n"/>
      <c r="D167" s="37">
        <f>IF(C167="","",IFERROR(INDEX(ケイパビリティマップ!$E:$E,MATCH(C167,ケイパビリティマップ!$A:$A,0)),"（IDなし）"))</f>
        <v/>
      </c>
      <c r="E167" s="36" t="n"/>
      <c r="F167" s="37">
        <f>IF(A167="","",LEFT(A167,5))</f>
        <v/>
      </c>
      <c r="G167" s="37">
        <f>IF(C167="","",LEFT(C167,6))</f>
        <v/>
      </c>
    </row>
    <row r="168">
      <c r="A168" s="36" t="n"/>
      <c r="B168" s="36" t="n"/>
      <c r="C168" s="36" t="n"/>
      <c r="D168" s="37">
        <f>IF(C168="","",IFERROR(INDEX(ケイパビリティマップ!$E:$E,MATCH(C168,ケイパビリティマップ!$A:$A,0)),"（IDなし）"))</f>
        <v/>
      </c>
      <c r="E168" s="36" t="n"/>
      <c r="F168" s="37">
        <f>IF(A168="","",LEFT(A168,5))</f>
        <v/>
      </c>
      <c r="G168" s="37">
        <f>IF(C168="","",LEFT(C168,6))</f>
        <v/>
      </c>
    </row>
    <row r="169">
      <c r="A169" s="36" t="n"/>
      <c r="B169" s="36" t="n"/>
      <c r="C169" s="36" t="n"/>
      <c r="D169" s="37">
        <f>IF(C169="","",IFERROR(INDEX(ケイパビリティマップ!$E:$E,MATCH(C169,ケイパビリティマップ!$A:$A,0)),"（IDなし）"))</f>
        <v/>
      </c>
      <c r="E169" s="36" t="n"/>
      <c r="F169" s="37">
        <f>IF(A169="","",LEFT(A169,5))</f>
        <v/>
      </c>
      <c r="G169" s="37">
        <f>IF(C169="","",LEFT(C169,6))</f>
        <v/>
      </c>
    </row>
    <row r="170">
      <c r="A170" s="36" t="n"/>
      <c r="B170" s="36" t="n"/>
      <c r="C170" s="36" t="n"/>
      <c r="D170" s="37">
        <f>IF(C170="","",IFERROR(INDEX(ケイパビリティマップ!$E:$E,MATCH(C170,ケイパビリティマップ!$A:$A,0)),"（IDなし）"))</f>
        <v/>
      </c>
      <c r="E170" s="36" t="n"/>
      <c r="F170" s="37">
        <f>IF(A170="","",LEFT(A170,5))</f>
        <v/>
      </c>
      <c r="G170" s="37">
        <f>IF(C170="","",LEFT(C170,6))</f>
        <v/>
      </c>
    </row>
    <row r="171">
      <c r="A171" s="36" t="n"/>
      <c r="B171" s="36" t="n"/>
      <c r="C171" s="36" t="n"/>
      <c r="D171" s="37">
        <f>IF(C171="","",IFERROR(INDEX(ケイパビリティマップ!$E:$E,MATCH(C171,ケイパビリティマップ!$A:$A,0)),"（IDなし）"))</f>
        <v/>
      </c>
      <c r="E171" s="36" t="n"/>
      <c r="F171" s="37">
        <f>IF(A171="","",LEFT(A171,5))</f>
        <v/>
      </c>
      <c r="G171" s="37">
        <f>IF(C171="","",LEFT(C171,6))</f>
        <v/>
      </c>
    </row>
    <row r="172">
      <c r="A172" s="36" t="n"/>
      <c r="B172" s="36" t="n"/>
      <c r="C172" s="36" t="n"/>
      <c r="D172" s="37">
        <f>IF(C172="","",IFERROR(INDEX(ケイパビリティマップ!$E:$E,MATCH(C172,ケイパビリティマップ!$A:$A,0)),"（IDなし）"))</f>
        <v/>
      </c>
      <c r="E172" s="36" t="n"/>
      <c r="F172" s="37">
        <f>IF(A172="","",LEFT(A172,5))</f>
        <v/>
      </c>
      <c r="G172" s="37">
        <f>IF(C172="","",LEFT(C172,6))</f>
        <v/>
      </c>
    </row>
    <row r="173">
      <c r="A173" s="36" t="n"/>
      <c r="B173" s="36" t="n"/>
      <c r="C173" s="36" t="n"/>
      <c r="D173" s="37">
        <f>IF(C173="","",IFERROR(INDEX(ケイパビリティマップ!$E:$E,MATCH(C173,ケイパビリティマップ!$A:$A,0)),"（IDなし）"))</f>
        <v/>
      </c>
      <c r="E173" s="36" t="n"/>
      <c r="F173" s="37">
        <f>IF(A173="","",LEFT(A173,5))</f>
        <v/>
      </c>
      <c r="G173" s="37">
        <f>IF(C173="","",LEFT(C173,6))</f>
        <v/>
      </c>
    </row>
    <row r="174">
      <c r="A174" s="36" t="n"/>
      <c r="B174" s="36" t="n"/>
      <c r="C174" s="36" t="n"/>
      <c r="D174" s="37">
        <f>IF(C174="","",IFERROR(INDEX(ケイパビリティマップ!$E:$E,MATCH(C174,ケイパビリティマップ!$A:$A,0)),"（IDなし）"))</f>
        <v/>
      </c>
      <c r="E174" s="36" t="n"/>
      <c r="F174" s="37">
        <f>IF(A174="","",LEFT(A174,5))</f>
        <v/>
      </c>
      <c r="G174" s="37">
        <f>IF(C174="","",LEFT(C174,6))</f>
        <v/>
      </c>
    </row>
    <row r="175">
      <c r="A175" s="36" t="n"/>
      <c r="B175" s="36" t="n"/>
      <c r="C175" s="36" t="n"/>
      <c r="D175" s="37">
        <f>IF(C175="","",IFERROR(INDEX(ケイパビリティマップ!$E:$E,MATCH(C175,ケイパビリティマップ!$A:$A,0)),"（IDなし）"))</f>
        <v/>
      </c>
      <c r="E175" s="36" t="n"/>
      <c r="F175" s="37">
        <f>IF(A175="","",LEFT(A175,5))</f>
        <v/>
      </c>
      <c r="G175" s="37">
        <f>IF(C175="","",LEFT(C175,6))</f>
        <v/>
      </c>
    </row>
    <row r="176">
      <c r="A176" s="36" t="n"/>
      <c r="B176" s="36" t="n"/>
      <c r="C176" s="36" t="n"/>
      <c r="D176" s="37">
        <f>IF(C176="","",IFERROR(INDEX(ケイパビリティマップ!$E:$E,MATCH(C176,ケイパビリティマップ!$A:$A,0)),"（IDなし）"))</f>
        <v/>
      </c>
      <c r="E176" s="36" t="n"/>
      <c r="F176" s="37">
        <f>IF(A176="","",LEFT(A176,5))</f>
        <v/>
      </c>
      <c r="G176" s="37">
        <f>IF(C176="","",LEFT(C176,6))</f>
        <v/>
      </c>
    </row>
    <row r="177">
      <c r="A177" s="36" t="n"/>
      <c r="B177" s="36" t="n"/>
      <c r="C177" s="36" t="n"/>
      <c r="D177" s="37">
        <f>IF(C177="","",IFERROR(INDEX(ケイパビリティマップ!$E:$E,MATCH(C177,ケイパビリティマップ!$A:$A,0)),"（IDなし）"))</f>
        <v/>
      </c>
      <c r="E177" s="36" t="n"/>
      <c r="F177" s="37">
        <f>IF(A177="","",LEFT(A177,5))</f>
        <v/>
      </c>
      <c r="G177" s="37">
        <f>IF(C177="","",LEFT(C177,6))</f>
        <v/>
      </c>
    </row>
    <row r="178">
      <c r="A178" s="36" t="n"/>
      <c r="B178" s="36" t="n"/>
      <c r="C178" s="36" t="n"/>
      <c r="D178" s="37">
        <f>IF(C178="","",IFERROR(INDEX(ケイパビリティマップ!$E:$E,MATCH(C178,ケイパビリティマップ!$A:$A,0)),"（IDなし）"))</f>
        <v/>
      </c>
      <c r="E178" s="36" t="n"/>
      <c r="F178" s="37">
        <f>IF(A178="","",LEFT(A178,5))</f>
        <v/>
      </c>
      <c r="G178" s="37">
        <f>IF(C178="","",LEFT(C178,6))</f>
        <v/>
      </c>
    </row>
    <row r="179">
      <c r="A179" s="36" t="n"/>
      <c r="B179" s="36" t="n"/>
      <c r="C179" s="36" t="n"/>
      <c r="D179" s="37">
        <f>IF(C179="","",IFERROR(INDEX(ケイパビリティマップ!$E:$E,MATCH(C179,ケイパビリティマップ!$A:$A,0)),"（IDなし）"))</f>
        <v/>
      </c>
      <c r="E179" s="36" t="n"/>
      <c r="F179" s="37">
        <f>IF(A179="","",LEFT(A179,5))</f>
        <v/>
      </c>
      <c r="G179" s="37">
        <f>IF(C179="","",LEFT(C179,6))</f>
        <v/>
      </c>
    </row>
    <row r="180">
      <c r="A180" s="36" t="n"/>
      <c r="B180" s="36" t="n"/>
      <c r="C180" s="36" t="n"/>
      <c r="D180" s="37">
        <f>IF(C180="","",IFERROR(INDEX(ケイパビリティマップ!$E:$E,MATCH(C180,ケイパビリティマップ!$A:$A,0)),"（IDなし）"))</f>
        <v/>
      </c>
      <c r="E180" s="36" t="n"/>
      <c r="F180" s="37">
        <f>IF(A180="","",LEFT(A180,5))</f>
        <v/>
      </c>
      <c r="G180" s="37">
        <f>IF(C180="","",LEFT(C180,6))</f>
        <v/>
      </c>
    </row>
    <row r="181">
      <c r="A181" s="36" t="n"/>
      <c r="B181" s="36" t="n"/>
      <c r="C181" s="36" t="n"/>
      <c r="D181" s="37">
        <f>IF(C181="","",IFERROR(INDEX(ケイパビリティマップ!$E:$E,MATCH(C181,ケイパビリティマップ!$A:$A,0)),"（IDなし）"))</f>
        <v/>
      </c>
      <c r="E181" s="36" t="n"/>
      <c r="F181" s="37">
        <f>IF(A181="","",LEFT(A181,5))</f>
        <v/>
      </c>
      <c r="G181" s="37">
        <f>IF(C181="","",LEFT(C181,6))</f>
        <v/>
      </c>
    </row>
    <row r="182">
      <c r="A182" s="36" t="n"/>
      <c r="B182" s="36" t="n"/>
      <c r="C182" s="36" t="n"/>
      <c r="D182" s="37">
        <f>IF(C182="","",IFERROR(INDEX(ケイパビリティマップ!$E:$E,MATCH(C182,ケイパビリティマップ!$A:$A,0)),"（IDなし）"))</f>
        <v/>
      </c>
      <c r="E182" s="36" t="n"/>
      <c r="F182" s="37">
        <f>IF(A182="","",LEFT(A182,5))</f>
        <v/>
      </c>
      <c r="G182" s="37">
        <f>IF(C182="","",LEFT(C182,6))</f>
        <v/>
      </c>
    </row>
    <row r="183">
      <c r="A183" s="36" t="n"/>
      <c r="B183" s="36" t="n"/>
      <c r="C183" s="36" t="n"/>
      <c r="D183" s="37">
        <f>IF(C183="","",IFERROR(INDEX(ケイパビリティマップ!$E:$E,MATCH(C183,ケイパビリティマップ!$A:$A,0)),"（IDなし）"))</f>
        <v/>
      </c>
      <c r="E183" s="36" t="n"/>
      <c r="F183" s="37">
        <f>IF(A183="","",LEFT(A183,5))</f>
        <v/>
      </c>
      <c r="G183" s="37">
        <f>IF(C183="","",LEFT(C183,6))</f>
        <v/>
      </c>
    </row>
    <row r="184">
      <c r="A184" s="36" t="n"/>
      <c r="B184" s="36" t="n"/>
      <c r="C184" s="36" t="n"/>
      <c r="D184" s="37">
        <f>IF(C184="","",IFERROR(INDEX(ケイパビリティマップ!$E:$E,MATCH(C184,ケイパビリティマップ!$A:$A,0)),"（IDなし）"))</f>
        <v/>
      </c>
      <c r="E184" s="36" t="n"/>
      <c r="F184" s="37">
        <f>IF(A184="","",LEFT(A184,5))</f>
        <v/>
      </c>
      <c r="G184" s="37">
        <f>IF(C184="","",LEFT(C184,6))</f>
        <v/>
      </c>
    </row>
    <row r="185">
      <c r="A185" s="36" t="n"/>
      <c r="B185" s="36" t="n"/>
      <c r="C185" s="36" t="n"/>
      <c r="D185" s="37">
        <f>IF(C185="","",IFERROR(INDEX(ケイパビリティマップ!$E:$E,MATCH(C185,ケイパビリティマップ!$A:$A,0)),"（IDなし）"))</f>
        <v/>
      </c>
      <c r="E185" s="36" t="n"/>
      <c r="F185" s="37">
        <f>IF(A185="","",LEFT(A185,5))</f>
        <v/>
      </c>
      <c r="G185" s="37">
        <f>IF(C185="","",LEFT(C185,6))</f>
        <v/>
      </c>
    </row>
    <row r="186">
      <c r="A186" s="36" t="n"/>
      <c r="B186" s="36" t="n"/>
      <c r="C186" s="36" t="n"/>
      <c r="D186" s="37">
        <f>IF(C186="","",IFERROR(INDEX(ケイパビリティマップ!$E:$E,MATCH(C186,ケイパビリティマップ!$A:$A,0)),"（IDなし）"))</f>
        <v/>
      </c>
      <c r="E186" s="36" t="n"/>
      <c r="F186" s="37">
        <f>IF(A186="","",LEFT(A186,5))</f>
        <v/>
      </c>
      <c r="G186" s="37">
        <f>IF(C186="","",LEFT(C186,6))</f>
        <v/>
      </c>
    </row>
    <row r="187">
      <c r="A187" s="36" t="n"/>
      <c r="B187" s="36" t="n"/>
      <c r="C187" s="36" t="n"/>
      <c r="D187" s="37">
        <f>IF(C187="","",IFERROR(INDEX(ケイパビリティマップ!$E:$E,MATCH(C187,ケイパビリティマップ!$A:$A,0)),"（IDなし）"))</f>
        <v/>
      </c>
      <c r="E187" s="36" t="n"/>
      <c r="F187" s="37">
        <f>IF(A187="","",LEFT(A187,5))</f>
        <v/>
      </c>
      <c r="G187" s="37">
        <f>IF(C187="","",LEFT(C187,6))</f>
        <v/>
      </c>
    </row>
    <row r="188">
      <c r="A188" s="36" t="n"/>
      <c r="B188" s="36" t="n"/>
      <c r="C188" s="36" t="n"/>
      <c r="D188" s="37">
        <f>IF(C188="","",IFERROR(INDEX(ケイパビリティマップ!$E:$E,MATCH(C188,ケイパビリティマップ!$A:$A,0)),"（IDなし）"))</f>
        <v/>
      </c>
      <c r="E188" s="36" t="n"/>
      <c r="F188" s="37">
        <f>IF(A188="","",LEFT(A188,5))</f>
        <v/>
      </c>
      <c r="G188" s="37">
        <f>IF(C188="","",LEFT(C188,6))</f>
        <v/>
      </c>
    </row>
    <row r="189">
      <c r="A189" s="36" t="n"/>
      <c r="B189" s="36" t="n"/>
      <c r="C189" s="36" t="n"/>
      <c r="D189" s="37">
        <f>IF(C189="","",IFERROR(INDEX(ケイパビリティマップ!$E:$E,MATCH(C189,ケイパビリティマップ!$A:$A,0)),"（IDなし）"))</f>
        <v/>
      </c>
      <c r="E189" s="36" t="n"/>
      <c r="F189" s="37">
        <f>IF(A189="","",LEFT(A189,5))</f>
        <v/>
      </c>
      <c r="G189" s="37">
        <f>IF(C189="","",LEFT(C189,6))</f>
        <v/>
      </c>
    </row>
    <row r="190">
      <c r="A190" s="36" t="n"/>
      <c r="B190" s="36" t="n"/>
      <c r="C190" s="36" t="n"/>
      <c r="D190" s="37">
        <f>IF(C190="","",IFERROR(INDEX(ケイパビリティマップ!$E:$E,MATCH(C190,ケイパビリティマップ!$A:$A,0)),"（IDなし）"))</f>
        <v/>
      </c>
      <c r="E190" s="36" t="n"/>
      <c r="F190" s="37">
        <f>IF(A190="","",LEFT(A190,5))</f>
        <v/>
      </c>
      <c r="G190" s="37">
        <f>IF(C190="","",LEFT(C190,6))</f>
        <v/>
      </c>
    </row>
    <row r="191">
      <c r="A191" s="36" t="n"/>
      <c r="B191" s="36" t="n"/>
      <c r="C191" s="36" t="n"/>
      <c r="D191" s="37">
        <f>IF(C191="","",IFERROR(INDEX(ケイパビリティマップ!$E:$E,MATCH(C191,ケイパビリティマップ!$A:$A,0)),"（IDなし）"))</f>
        <v/>
      </c>
      <c r="E191" s="36" t="n"/>
      <c r="F191" s="37">
        <f>IF(A191="","",LEFT(A191,5))</f>
        <v/>
      </c>
      <c r="G191" s="37">
        <f>IF(C191="","",LEFT(C191,6))</f>
        <v/>
      </c>
    </row>
    <row r="192">
      <c r="A192" s="36" t="n"/>
      <c r="B192" s="36" t="n"/>
      <c r="C192" s="36" t="n"/>
      <c r="D192" s="37">
        <f>IF(C192="","",IFERROR(INDEX(ケイパビリティマップ!$E:$E,MATCH(C192,ケイパビリティマップ!$A:$A,0)),"（IDなし）"))</f>
        <v/>
      </c>
      <c r="E192" s="36" t="n"/>
      <c r="F192" s="37">
        <f>IF(A192="","",LEFT(A192,5))</f>
        <v/>
      </c>
      <c r="G192" s="37">
        <f>IF(C192="","",LEFT(C192,6))</f>
        <v/>
      </c>
    </row>
    <row r="193">
      <c r="A193" s="36" t="n"/>
      <c r="B193" s="36" t="n"/>
      <c r="C193" s="36" t="n"/>
      <c r="D193" s="37">
        <f>IF(C193="","",IFERROR(INDEX(ケイパビリティマップ!$E:$E,MATCH(C193,ケイパビリティマップ!$A:$A,0)),"（IDなし）"))</f>
        <v/>
      </c>
      <c r="E193" s="36" t="n"/>
      <c r="F193" s="37">
        <f>IF(A193="","",LEFT(A193,5))</f>
        <v/>
      </c>
      <c r="G193" s="37">
        <f>IF(C193="","",LEFT(C193,6))</f>
        <v/>
      </c>
    </row>
    <row r="194">
      <c r="A194" s="36" t="n"/>
      <c r="B194" s="36" t="n"/>
      <c r="C194" s="36" t="n"/>
      <c r="D194" s="37">
        <f>IF(C194="","",IFERROR(INDEX(ケイパビリティマップ!$E:$E,MATCH(C194,ケイパビリティマップ!$A:$A,0)),"（IDなし）"))</f>
        <v/>
      </c>
      <c r="E194" s="36" t="n"/>
      <c r="F194" s="37">
        <f>IF(A194="","",LEFT(A194,5))</f>
        <v/>
      </c>
      <c r="G194" s="37">
        <f>IF(C194="","",LEFT(C194,6))</f>
        <v/>
      </c>
    </row>
    <row r="195">
      <c r="A195" s="36" t="n"/>
      <c r="B195" s="36" t="n"/>
      <c r="C195" s="36" t="n"/>
      <c r="D195" s="37">
        <f>IF(C195="","",IFERROR(INDEX(ケイパビリティマップ!$E:$E,MATCH(C195,ケイパビリティマップ!$A:$A,0)),"（IDなし）"))</f>
        <v/>
      </c>
      <c r="E195" s="36" t="n"/>
      <c r="F195" s="37">
        <f>IF(A195="","",LEFT(A195,5))</f>
        <v/>
      </c>
      <c r="G195" s="37">
        <f>IF(C195="","",LEFT(C195,6))</f>
        <v/>
      </c>
    </row>
    <row r="196">
      <c r="A196" s="36" t="n"/>
      <c r="B196" s="36" t="n"/>
      <c r="C196" s="36" t="n"/>
      <c r="D196" s="37">
        <f>IF(C196="","",IFERROR(INDEX(ケイパビリティマップ!$E:$E,MATCH(C196,ケイパビリティマップ!$A:$A,0)),"（IDなし）"))</f>
        <v/>
      </c>
      <c r="E196" s="36" t="n"/>
      <c r="F196" s="37">
        <f>IF(A196="","",LEFT(A196,5))</f>
        <v/>
      </c>
      <c r="G196" s="37">
        <f>IF(C196="","",LEFT(C196,6))</f>
        <v/>
      </c>
    </row>
    <row r="197">
      <c r="A197" s="36" t="n"/>
      <c r="B197" s="36" t="n"/>
      <c r="C197" s="36" t="n"/>
      <c r="D197" s="37">
        <f>IF(C197="","",IFERROR(INDEX(ケイパビリティマップ!$E:$E,MATCH(C197,ケイパビリティマップ!$A:$A,0)),"（IDなし）"))</f>
        <v/>
      </c>
      <c r="E197" s="36" t="n"/>
      <c r="F197" s="37">
        <f>IF(A197="","",LEFT(A197,5))</f>
        <v/>
      </c>
      <c r="G197" s="37">
        <f>IF(C197="","",LEFT(C197,6))</f>
        <v/>
      </c>
    </row>
    <row r="198">
      <c r="A198" s="36" t="n"/>
      <c r="B198" s="36" t="n"/>
      <c r="C198" s="36" t="n"/>
      <c r="D198" s="37">
        <f>IF(C198="","",IFERROR(INDEX(ケイパビリティマップ!$E:$E,MATCH(C198,ケイパビリティマップ!$A:$A,0)),"（IDなし）"))</f>
        <v/>
      </c>
      <c r="E198" s="36" t="n"/>
      <c r="F198" s="37">
        <f>IF(A198="","",LEFT(A198,5))</f>
        <v/>
      </c>
      <c r="G198" s="37">
        <f>IF(C198="","",LEFT(C198,6))</f>
        <v/>
      </c>
    </row>
    <row r="199">
      <c r="A199" s="36" t="n"/>
      <c r="B199" s="36" t="n"/>
      <c r="C199" s="36" t="n"/>
      <c r="D199" s="37">
        <f>IF(C199="","",IFERROR(INDEX(ケイパビリティマップ!$E:$E,MATCH(C199,ケイパビリティマップ!$A:$A,0)),"（IDなし）"))</f>
        <v/>
      </c>
      <c r="E199" s="36" t="n"/>
      <c r="F199" s="37">
        <f>IF(A199="","",LEFT(A199,5))</f>
        <v/>
      </c>
      <c r="G199" s="37">
        <f>IF(C199="","",LEFT(C199,6))</f>
        <v/>
      </c>
    </row>
    <row r="200">
      <c r="A200" s="36" t="n"/>
      <c r="B200" s="36" t="n"/>
      <c r="C200" s="36" t="n"/>
      <c r="D200" s="37">
        <f>IF(C200="","",IFERROR(INDEX(ケイパビリティマップ!$E:$E,MATCH(C200,ケイパビリティマップ!$A:$A,0)),"（IDなし）"))</f>
        <v/>
      </c>
      <c r="E200" s="36" t="n"/>
      <c r="F200" s="37">
        <f>IF(A200="","",LEFT(A200,5))</f>
        <v/>
      </c>
      <c r="G200" s="37">
        <f>IF(C200="","",LEFT(C200,6))</f>
        <v/>
      </c>
    </row>
    <row r="201">
      <c r="A201" s="36" t="n"/>
      <c r="B201" s="36" t="n"/>
      <c r="C201" s="36" t="n"/>
      <c r="D201" s="37">
        <f>IF(C201="","",IFERROR(INDEX(ケイパビリティマップ!$E:$E,MATCH(C201,ケイパビリティマップ!$A:$A,0)),"（IDなし）"))</f>
        <v/>
      </c>
      <c r="E201" s="36" t="n"/>
      <c r="F201" s="37">
        <f>IF(A201="","",LEFT(A201,5))</f>
        <v/>
      </c>
      <c r="G201" s="37">
        <f>IF(C201="","",LEFT(C201,6))</f>
        <v/>
      </c>
    </row>
    <row r="202">
      <c r="A202" s="36" t="n"/>
      <c r="B202" s="36" t="n"/>
      <c r="C202" s="36" t="n"/>
      <c r="D202" s="37">
        <f>IF(C202="","",IFERROR(INDEX(ケイパビリティマップ!$E:$E,MATCH(C202,ケイパビリティマップ!$A:$A,0)),"（IDなし）"))</f>
        <v/>
      </c>
      <c r="E202" s="36" t="n"/>
      <c r="F202" s="37">
        <f>IF(A202="","",LEFT(A202,5))</f>
        <v/>
      </c>
      <c r="G202" s="37">
        <f>IF(C202="","",LEFT(C202,6))</f>
        <v/>
      </c>
    </row>
    <row r="203">
      <c r="A203" s="36" t="n"/>
      <c r="B203" s="36" t="n"/>
      <c r="C203" s="36" t="n"/>
      <c r="D203" s="37">
        <f>IF(C203="","",IFERROR(INDEX(ケイパビリティマップ!$E:$E,MATCH(C203,ケイパビリティマップ!$A:$A,0)),"（IDなし）"))</f>
        <v/>
      </c>
      <c r="E203" s="36" t="n"/>
      <c r="F203" s="37">
        <f>IF(A203="","",LEFT(A203,5))</f>
        <v/>
      </c>
      <c r="G203" s="37">
        <f>IF(C203="","",LEFT(C203,6))</f>
        <v/>
      </c>
    </row>
    <row r="204">
      <c r="A204" s="36" t="n"/>
      <c r="B204" s="36" t="n"/>
      <c r="C204" s="36" t="n"/>
      <c r="D204" s="37">
        <f>IF(C204="","",IFERROR(INDEX(ケイパビリティマップ!$E:$E,MATCH(C204,ケイパビリティマップ!$A:$A,0)),"（IDなし）"))</f>
        <v/>
      </c>
      <c r="E204" s="36" t="n"/>
      <c r="F204" s="37">
        <f>IF(A204="","",LEFT(A204,5))</f>
        <v/>
      </c>
      <c r="G204" s="37">
        <f>IF(C204="","",LEFT(C204,6))</f>
        <v/>
      </c>
    </row>
    <row r="205">
      <c r="A205" s="36" t="n"/>
      <c r="B205" s="36" t="n"/>
      <c r="C205" s="36" t="n"/>
      <c r="D205" s="37">
        <f>IF(C205="","",IFERROR(INDEX(ケイパビリティマップ!$E:$E,MATCH(C205,ケイパビリティマップ!$A:$A,0)),"（IDなし）"))</f>
        <v/>
      </c>
      <c r="E205" s="36" t="n"/>
      <c r="F205" s="37">
        <f>IF(A205="","",LEFT(A205,5))</f>
        <v/>
      </c>
      <c r="G205" s="37">
        <f>IF(C205="","",LEFT(C205,6))</f>
        <v/>
      </c>
    </row>
    <row r="206">
      <c r="A206" s="36" t="n"/>
      <c r="B206" s="36" t="n"/>
      <c r="C206" s="36" t="n"/>
      <c r="D206" s="37">
        <f>IF(C206="","",IFERROR(INDEX(ケイパビリティマップ!$E:$E,MATCH(C206,ケイパビリティマップ!$A:$A,0)),"（IDなし）"))</f>
        <v/>
      </c>
      <c r="E206" s="36" t="n"/>
      <c r="F206" s="37">
        <f>IF(A206="","",LEFT(A206,5))</f>
        <v/>
      </c>
      <c r="G206" s="37">
        <f>IF(C206="","",LEFT(C206,6))</f>
        <v/>
      </c>
    </row>
    <row r="207">
      <c r="A207" s="36" t="n"/>
      <c r="B207" s="36" t="n"/>
      <c r="C207" s="36" t="n"/>
      <c r="D207" s="37">
        <f>IF(C207="","",IFERROR(INDEX(ケイパビリティマップ!$E:$E,MATCH(C207,ケイパビリティマップ!$A:$A,0)),"（IDなし）"))</f>
        <v/>
      </c>
      <c r="E207" s="36" t="n"/>
      <c r="F207" s="37">
        <f>IF(A207="","",LEFT(A207,5))</f>
        <v/>
      </c>
      <c r="G207" s="37">
        <f>IF(C207="","",LEFT(C207,6))</f>
        <v/>
      </c>
    </row>
    <row r="208">
      <c r="A208" s="36" t="n"/>
      <c r="B208" s="36" t="n"/>
      <c r="C208" s="36" t="n"/>
      <c r="D208" s="37">
        <f>IF(C208="","",IFERROR(INDEX(ケイパビリティマップ!$E:$E,MATCH(C208,ケイパビリティマップ!$A:$A,0)),"（IDなし）"))</f>
        <v/>
      </c>
      <c r="E208" s="36" t="n"/>
      <c r="F208" s="37">
        <f>IF(A208="","",LEFT(A208,5))</f>
        <v/>
      </c>
      <c r="G208" s="37">
        <f>IF(C208="","",LEFT(C208,6))</f>
        <v/>
      </c>
    </row>
    <row r="209">
      <c r="A209" s="36" t="n"/>
      <c r="B209" s="36" t="n"/>
      <c r="C209" s="36" t="n"/>
      <c r="D209" s="37">
        <f>IF(C209="","",IFERROR(INDEX(ケイパビリティマップ!$E:$E,MATCH(C209,ケイパビリティマップ!$A:$A,0)),"（IDなし）"))</f>
        <v/>
      </c>
      <c r="E209" s="36" t="n"/>
      <c r="F209" s="37">
        <f>IF(A209="","",LEFT(A209,5))</f>
        <v/>
      </c>
      <c r="G209" s="37">
        <f>IF(C209="","",LEFT(C209,6))</f>
        <v/>
      </c>
    </row>
    <row r="210">
      <c r="A210" s="36" t="n"/>
      <c r="B210" s="36" t="n"/>
      <c r="C210" s="36" t="n"/>
      <c r="D210" s="37">
        <f>IF(C210="","",IFERROR(INDEX(ケイパビリティマップ!$E:$E,MATCH(C210,ケイパビリティマップ!$A:$A,0)),"（IDなし）"))</f>
        <v/>
      </c>
      <c r="E210" s="36" t="n"/>
      <c r="F210" s="37">
        <f>IF(A210="","",LEFT(A210,5))</f>
        <v/>
      </c>
      <c r="G210" s="37">
        <f>IF(C210="","",LEFT(C210,6))</f>
        <v/>
      </c>
    </row>
    <row r="211">
      <c r="A211" s="36" t="n"/>
      <c r="B211" s="36" t="n"/>
      <c r="C211" s="36" t="n"/>
      <c r="D211" s="37">
        <f>IF(C211="","",IFERROR(INDEX(ケイパビリティマップ!$E:$E,MATCH(C211,ケイパビリティマップ!$A:$A,0)),"（IDなし）"))</f>
        <v/>
      </c>
      <c r="E211" s="36" t="n"/>
      <c r="F211" s="37">
        <f>IF(A211="","",LEFT(A211,5))</f>
        <v/>
      </c>
      <c r="G211" s="37">
        <f>IF(C211="","",LEFT(C211,6))</f>
        <v/>
      </c>
    </row>
    <row r="212">
      <c r="A212" s="36" t="n"/>
      <c r="B212" s="36" t="n"/>
      <c r="C212" s="36" t="n"/>
      <c r="D212" s="37">
        <f>IF(C212="","",IFERROR(INDEX(ケイパビリティマップ!$E:$E,MATCH(C212,ケイパビリティマップ!$A:$A,0)),"（IDなし）"))</f>
        <v/>
      </c>
      <c r="E212" s="36" t="n"/>
      <c r="F212" s="37">
        <f>IF(A212="","",LEFT(A212,5))</f>
        <v/>
      </c>
      <c r="G212" s="37">
        <f>IF(C212="","",LEFT(C212,6))</f>
        <v/>
      </c>
    </row>
    <row r="213">
      <c r="A213" s="36" t="n"/>
      <c r="B213" s="36" t="n"/>
      <c r="C213" s="36" t="n"/>
      <c r="D213" s="37">
        <f>IF(C213="","",IFERROR(INDEX(ケイパビリティマップ!$E:$E,MATCH(C213,ケイパビリティマップ!$A:$A,0)),"（IDなし）"))</f>
        <v/>
      </c>
      <c r="E213" s="36" t="n"/>
      <c r="F213" s="37">
        <f>IF(A213="","",LEFT(A213,5))</f>
        <v/>
      </c>
      <c r="G213" s="37">
        <f>IF(C213="","",LEFT(C213,6))</f>
        <v/>
      </c>
    </row>
    <row r="214">
      <c r="A214" s="36" t="n"/>
      <c r="B214" s="36" t="n"/>
      <c r="C214" s="36" t="n"/>
      <c r="D214" s="37">
        <f>IF(C214="","",IFERROR(INDEX(ケイパビリティマップ!$E:$E,MATCH(C214,ケイパビリティマップ!$A:$A,0)),"（IDなし）"))</f>
        <v/>
      </c>
      <c r="E214" s="36" t="n"/>
      <c r="F214" s="37">
        <f>IF(A214="","",LEFT(A214,5))</f>
        <v/>
      </c>
      <c r="G214" s="37">
        <f>IF(C214="","",LEFT(C214,6))</f>
        <v/>
      </c>
    </row>
    <row r="215">
      <c r="A215" s="36" t="n"/>
      <c r="B215" s="36" t="n"/>
      <c r="C215" s="36" t="n"/>
      <c r="D215" s="37">
        <f>IF(C215="","",IFERROR(INDEX(ケイパビリティマップ!$E:$E,MATCH(C215,ケイパビリティマップ!$A:$A,0)),"（IDなし）"))</f>
        <v/>
      </c>
      <c r="E215" s="36" t="n"/>
      <c r="F215" s="37">
        <f>IF(A215="","",LEFT(A215,5))</f>
        <v/>
      </c>
      <c r="G215" s="37">
        <f>IF(C215="","",LEFT(C215,6))</f>
        <v/>
      </c>
    </row>
    <row r="216">
      <c r="A216" s="36" t="n"/>
      <c r="B216" s="36" t="n"/>
      <c r="C216" s="36" t="n"/>
      <c r="D216" s="37">
        <f>IF(C216="","",IFERROR(INDEX(ケイパビリティマップ!$E:$E,MATCH(C216,ケイパビリティマップ!$A:$A,0)),"（IDなし）"))</f>
        <v/>
      </c>
      <c r="E216" s="36" t="n"/>
      <c r="F216" s="37">
        <f>IF(A216="","",LEFT(A216,5))</f>
        <v/>
      </c>
      <c r="G216" s="37">
        <f>IF(C216="","",LEFT(C216,6))</f>
        <v/>
      </c>
    </row>
    <row r="217">
      <c r="A217" s="36" t="n"/>
      <c r="B217" s="36" t="n"/>
      <c r="C217" s="36" t="n"/>
      <c r="D217" s="37">
        <f>IF(C217="","",IFERROR(INDEX(ケイパビリティマップ!$E:$E,MATCH(C217,ケイパビリティマップ!$A:$A,0)),"（IDなし）"))</f>
        <v/>
      </c>
      <c r="E217" s="36" t="n"/>
      <c r="F217" s="37">
        <f>IF(A217="","",LEFT(A217,5))</f>
        <v/>
      </c>
      <c r="G217" s="37">
        <f>IF(C217="","",LEFT(C217,6))</f>
        <v/>
      </c>
    </row>
    <row r="218">
      <c r="A218" s="36" t="n"/>
      <c r="B218" s="36" t="n"/>
      <c r="C218" s="36" t="n"/>
      <c r="D218" s="37">
        <f>IF(C218="","",IFERROR(INDEX(ケイパビリティマップ!$E:$E,MATCH(C218,ケイパビリティマップ!$A:$A,0)),"（IDなし）"))</f>
        <v/>
      </c>
      <c r="E218" s="36" t="n"/>
      <c r="F218" s="37">
        <f>IF(A218="","",LEFT(A218,5))</f>
        <v/>
      </c>
      <c r="G218" s="37">
        <f>IF(C218="","",LEFT(C218,6))</f>
        <v/>
      </c>
    </row>
    <row r="219">
      <c r="A219" s="36" t="n"/>
      <c r="B219" s="36" t="n"/>
      <c r="C219" s="36" t="n"/>
      <c r="D219" s="37">
        <f>IF(C219="","",IFERROR(INDEX(ケイパビリティマップ!$E:$E,MATCH(C219,ケイパビリティマップ!$A:$A,0)),"（IDなし）"))</f>
        <v/>
      </c>
      <c r="E219" s="36" t="n"/>
      <c r="F219" s="37">
        <f>IF(A219="","",LEFT(A219,5))</f>
        <v/>
      </c>
      <c r="G219" s="37">
        <f>IF(C219="","",LEFT(C219,6))</f>
        <v/>
      </c>
    </row>
    <row r="220">
      <c r="A220" s="36" t="n"/>
      <c r="B220" s="36" t="n"/>
      <c r="C220" s="36" t="n"/>
      <c r="D220" s="37">
        <f>IF(C220="","",IFERROR(INDEX(ケイパビリティマップ!$E:$E,MATCH(C220,ケイパビリティマップ!$A:$A,0)),"（IDなし）"))</f>
        <v/>
      </c>
      <c r="E220" s="36" t="n"/>
      <c r="F220" s="37">
        <f>IF(A220="","",LEFT(A220,5))</f>
        <v/>
      </c>
      <c r="G220" s="37">
        <f>IF(C220="","",LEFT(C220,6))</f>
        <v/>
      </c>
    </row>
    <row r="221">
      <c r="A221" s="36" t="n"/>
      <c r="B221" s="36" t="n"/>
      <c r="C221" s="36" t="n"/>
      <c r="D221" s="37">
        <f>IF(C221="","",IFERROR(INDEX(ケイパビリティマップ!$E:$E,MATCH(C221,ケイパビリティマップ!$A:$A,0)),"（IDなし）"))</f>
        <v/>
      </c>
      <c r="E221" s="36" t="n"/>
      <c r="F221" s="37">
        <f>IF(A221="","",LEFT(A221,5))</f>
        <v/>
      </c>
      <c r="G221" s="37">
        <f>IF(C221="","",LEFT(C221,6))</f>
        <v/>
      </c>
    </row>
    <row r="222">
      <c r="A222" s="36" t="n"/>
      <c r="B222" s="36" t="n"/>
      <c r="C222" s="36" t="n"/>
      <c r="D222" s="37">
        <f>IF(C222="","",IFERROR(INDEX(ケイパビリティマップ!$E:$E,MATCH(C222,ケイパビリティマップ!$A:$A,0)),"（IDなし）"))</f>
        <v/>
      </c>
      <c r="E222" s="36" t="n"/>
      <c r="F222" s="37">
        <f>IF(A222="","",LEFT(A222,5))</f>
        <v/>
      </c>
      <c r="G222" s="37">
        <f>IF(C222="","",LEFT(C222,6))</f>
        <v/>
      </c>
    </row>
    <row r="223">
      <c r="A223" s="36" t="n"/>
      <c r="B223" s="36" t="n"/>
      <c r="C223" s="36" t="n"/>
      <c r="D223" s="37">
        <f>IF(C223="","",IFERROR(INDEX(ケイパビリティマップ!$E:$E,MATCH(C223,ケイパビリティマップ!$A:$A,0)),"（IDなし）"))</f>
        <v/>
      </c>
      <c r="E223" s="36" t="n"/>
      <c r="F223" s="37">
        <f>IF(A223="","",LEFT(A223,5))</f>
        <v/>
      </c>
      <c r="G223" s="37">
        <f>IF(C223="","",LEFT(C223,6))</f>
        <v/>
      </c>
    </row>
    <row r="224">
      <c r="A224" s="36" t="n"/>
      <c r="B224" s="36" t="n"/>
      <c r="C224" s="36" t="n"/>
      <c r="D224" s="37">
        <f>IF(C224="","",IFERROR(INDEX(ケイパビリティマップ!$E:$E,MATCH(C224,ケイパビリティマップ!$A:$A,0)),"（IDなし）"))</f>
        <v/>
      </c>
      <c r="E224" s="36" t="n"/>
      <c r="F224" s="37">
        <f>IF(A224="","",LEFT(A224,5))</f>
        <v/>
      </c>
      <c r="G224" s="37">
        <f>IF(C224="","",LEFT(C224,6))</f>
        <v/>
      </c>
    </row>
    <row r="225">
      <c r="A225" s="36" t="n"/>
      <c r="B225" s="36" t="n"/>
      <c r="C225" s="36" t="n"/>
      <c r="D225" s="37">
        <f>IF(C225="","",IFERROR(INDEX(ケイパビリティマップ!$E:$E,MATCH(C225,ケイパビリティマップ!$A:$A,0)),"（IDなし）"))</f>
        <v/>
      </c>
      <c r="E225" s="36" t="n"/>
      <c r="F225" s="37">
        <f>IF(A225="","",LEFT(A225,5))</f>
        <v/>
      </c>
      <c r="G225" s="37">
        <f>IF(C225="","",LEFT(C225,6))</f>
        <v/>
      </c>
    </row>
    <row r="226">
      <c r="A226" s="36" t="n"/>
      <c r="B226" s="36" t="n"/>
      <c r="C226" s="36" t="n"/>
      <c r="D226" s="37">
        <f>IF(C226="","",IFERROR(INDEX(ケイパビリティマップ!$E:$E,MATCH(C226,ケイパビリティマップ!$A:$A,0)),"（IDなし）"))</f>
        <v/>
      </c>
      <c r="E226" s="36" t="n"/>
      <c r="F226" s="37">
        <f>IF(A226="","",LEFT(A226,5))</f>
        <v/>
      </c>
      <c r="G226" s="37">
        <f>IF(C226="","",LEFT(C226,6))</f>
        <v/>
      </c>
    </row>
    <row r="227">
      <c r="A227" s="36" t="n"/>
      <c r="B227" s="36" t="n"/>
      <c r="C227" s="36" t="n"/>
      <c r="D227" s="37">
        <f>IF(C227="","",IFERROR(INDEX(ケイパビリティマップ!$E:$E,MATCH(C227,ケイパビリティマップ!$A:$A,0)),"（IDなし）"))</f>
        <v/>
      </c>
      <c r="E227" s="36" t="n"/>
      <c r="F227" s="37">
        <f>IF(A227="","",LEFT(A227,5))</f>
        <v/>
      </c>
      <c r="G227" s="37">
        <f>IF(C227="","",LEFT(C227,6))</f>
        <v/>
      </c>
    </row>
    <row r="228">
      <c r="A228" s="36" t="n"/>
      <c r="B228" s="36" t="n"/>
      <c r="C228" s="36" t="n"/>
      <c r="D228" s="37">
        <f>IF(C228="","",IFERROR(INDEX(ケイパビリティマップ!$E:$E,MATCH(C228,ケイパビリティマップ!$A:$A,0)),"（IDなし）"))</f>
        <v/>
      </c>
      <c r="E228" s="36" t="n"/>
      <c r="F228" s="37">
        <f>IF(A228="","",LEFT(A228,5))</f>
        <v/>
      </c>
      <c r="G228" s="37">
        <f>IF(C228="","",LEFT(C228,6))</f>
        <v/>
      </c>
    </row>
    <row r="229">
      <c r="A229" s="36" t="n"/>
      <c r="B229" s="36" t="n"/>
      <c r="C229" s="36" t="n"/>
      <c r="D229" s="37">
        <f>IF(C229="","",IFERROR(INDEX(ケイパビリティマップ!$E:$E,MATCH(C229,ケイパビリティマップ!$A:$A,0)),"（IDなし）"))</f>
        <v/>
      </c>
      <c r="E229" s="36" t="n"/>
      <c r="F229" s="37">
        <f>IF(A229="","",LEFT(A229,5))</f>
        <v/>
      </c>
      <c r="G229" s="37">
        <f>IF(C229="","",LEFT(C229,6))</f>
        <v/>
      </c>
    </row>
    <row r="230">
      <c r="A230" s="36" t="n"/>
      <c r="B230" s="36" t="n"/>
      <c r="C230" s="36" t="n"/>
      <c r="D230" s="37">
        <f>IF(C230="","",IFERROR(INDEX(ケイパビリティマップ!$E:$E,MATCH(C230,ケイパビリティマップ!$A:$A,0)),"（IDなし）"))</f>
        <v/>
      </c>
      <c r="E230" s="36" t="n"/>
      <c r="F230" s="37">
        <f>IF(A230="","",LEFT(A230,5))</f>
        <v/>
      </c>
      <c r="G230" s="37">
        <f>IF(C230="","",LEFT(C230,6))</f>
        <v/>
      </c>
    </row>
    <row r="231">
      <c r="A231" s="36" t="n"/>
      <c r="B231" s="36" t="n"/>
      <c r="C231" s="36" t="n"/>
      <c r="D231" s="37">
        <f>IF(C231="","",IFERROR(INDEX(ケイパビリティマップ!$E:$E,MATCH(C231,ケイパビリティマップ!$A:$A,0)),"（IDなし）"))</f>
        <v/>
      </c>
      <c r="E231" s="36" t="n"/>
      <c r="F231" s="37">
        <f>IF(A231="","",LEFT(A231,5))</f>
        <v/>
      </c>
      <c r="G231" s="37">
        <f>IF(C231="","",LEFT(C231,6))</f>
        <v/>
      </c>
    </row>
    <row r="232">
      <c r="A232" s="36" t="n"/>
      <c r="B232" s="36" t="n"/>
      <c r="C232" s="36" t="n"/>
      <c r="D232" s="37">
        <f>IF(C232="","",IFERROR(INDEX(ケイパビリティマップ!$E:$E,MATCH(C232,ケイパビリティマップ!$A:$A,0)),"（IDなし）"))</f>
        <v/>
      </c>
      <c r="E232" s="36" t="n"/>
      <c r="F232" s="37">
        <f>IF(A232="","",LEFT(A232,5))</f>
        <v/>
      </c>
      <c r="G232" s="37">
        <f>IF(C232="","",LEFT(C232,6))</f>
        <v/>
      </c>
    </row>
    <row r="233">
      <c r="A233" s="36" t="n"/>
      <c r="B233" s="36" t="n"/>
      <c r="C233" s="36" t="n"/>
      <c r="D233" s="37">
        <f>IF(C233="","",IFERROR(INDEX(ケイパビリティマップ!$E:$E,MATCH(C233,ケイパビリティマップ!$A:$A,0)),"（IDなし）"))</f>
        <v/>
      </c>
      <c r="E233" s="36" t="n"/>
      <c r="F233" s="37">
        <f>IF(A233="","",LEFT(A233,5))</f>
        <v/>
      </c>
      <c r="G233" s="37">
        <f>IF(C233="","",LEFT(C233,6))</f>
        <v/>
      </c>
    </row>
    <row r="234">
      <c r="A234" s="36" t="n"/>
      <c r="B234" s="36" t="n"/>
      <c r="C234" s="36" t="n"/>
      <c r="D234" s="37">
        <f>IF(C234="","",IFERROR(INDEX(ケイパビリティマップ!$E:$E,MATCH(C234,ケイパビリティマップ!$A:$A,0)),"（IDなし）"))</f>
        <v/>
      </c>
      <c r="E234" s="36" t="n"/>
      <c r="F234" s="37">
        <f>IF(A234="","",LEFT(A234,5))</f>
        <v/>
      </c>
      <c r="G234" s="37">
        <f>IF(C234="","",LEFT(C234,6))</f>
        <v/>
      </c>
    </row>
    <row r="235">
      <c r="A235" s="36" t="n"/>
      <c r="B235" s="36" t="n"/>
      <c r="C235" s="36" t="n"/>
      <c r="D235" s="37">
        <f>IF(C235="","",IFERROR(INDEX(ケイパビリティマップ!$E:$E,MATCH(C235,ケイパビリティマップ!$A:$A,0)),"（IDなし）"))</f>
        <v/>
      </c>
      <c r="E235" s="36" t="n"/>
      <c r="F235" s="37">
        <f>IF(A235="","",LEFT(A235,5))</f>
        <v/>
      </c>
      <c r="G235" s="37">
        <f>IF(C235="","",LEFT(C235,6))</f>
        <v/>
      </c>
    </row>
    <row r="236">
      <c r="A236" s="36" t="n"/>
      <c r="B236" s="36" t="n"/>
      <c r="C236" s="36" t="n"/>
      <c r="D236" s="37">
        <f>IF(C236="","",IFERROR(INDEX(ケイパビリティマップ!$E:$E,MATCH(C236,ケイパビリティマップ!$A:$A,0)),"（IDなし）"))</f>
        <v/>
      </c>
      <c r="E236" s="36" t="n"/>
      <c r="F236" s="37">
        <f>IF(A236="","",LEFT(A236,5))</f>
        <v/>
      </c>
      <c r="G236" s="37">
        <f>IF(C236="","",LEFT(C236,6))</f>
        <v/>
      </c>
    </row>
    <row r="237">
      <c r="A237" s="36" t="n"/>
      <c r="B237" s="36" t="n"/>
      <c r="C237" s="36" t="n"/>
      <c r="D237" s="37">
        <f>IF(C237="","",IFERROR(INDEX(ケイパビリティマップ!$E:$E,MATCH(C237,ケイパビリティマップ!$A:$A,0)),"（IDなし）"))</f>
        <v/>
      </c>
      <c r="E237" s="36" t="n"/>
      <c r="F237" s="37">
        <f>IF(A237="","",LEFT(A237,5))</f>
        <v/>
      </c>
      <c r="G237" s="37">
        <f>IF(C237="","",LEFT(C237,6))</f>
        <v/>
      </c>
    </row>
    <row r="238">
      <c r="A238" s="36" t="n"/>
      <c r="B238" s="36" t="n"/>
      <c r="C238" s="36" t="n"/>
      <c r="D238" s="37">
        <f>IF(C238="","",IFERROR(INDEX(ケイパビリティマップ!$E:$E,MATCH(C238,ケイパビリティマップ!$A:$A,0)),"（IDなし）"))</f>
        <v/>
      </c>
      <c r="E238" s="36" t="n"/>
      <c r="F238" s="37">
        <f>IF(A238="","",LEFT(A238,5))</f>
        <v/>
      </c>
      <c r="G238" s="37">
        <f>IF(C238="","",LEFT(C238,6))</f>
        <v/>
      </c>
    </row>
    <row r="239">
      <c r="A239" s="36" t="n"/>
      <c r="B239" s="36" t="n"/>
      <c r="C239" s="36" t="n"/>
      <c r="D239" s="37">
        <f>IF(C239="","",IFERROR(INDEX(ケイパビリティマップ!$E:$E,MATCH(C239,ケイパビリティマップ!$A:$A,0)),"（IDなし）"))</f>
        <v/>
      </c>
      <c r="E239" s="36" t="n"/>
      <c r="F239" s="37">
        <f>IF(A239="","",LEFT(A239,5))</f>
        <v/>
      </c>
      <c r="G239" s="37">
        <f>IF(C239="","",LEFT(C239,6))</f>
        <v/>
      </c>
    </row>
    <row r="240">
      <c r="A240" s="36" t="n"/>
      <c r="B240" s="36" t="n"/>
      <c r="C240" s="36" t="n"/>
      <c r="D240" s="37">
        <f>IF(C240="","",IFERROR(INDEX(ケイパビリティマップ!$E:$E,MATCH(C240,ケイパビリティマップ!$A:$A,0)),"（IDなし）"))</f>
        <v/>
      </c>
      <c r="E240" s="36" t="n"/>
      <c r="F240" s="37">
        <f>IF(A240="","",LEFT(A240,5))</f>
        <v/>
      </c>
      <c r="G240" s="37">
        <f>IF(C240="","",LEFT(C240,6))</f>
        <v/>
      </c>
    </row>
    <row r="241">
      <c r="A241" s="36" t="n"/>
      <c r="B241" s="36" t="n"/>
      <c r="C241" s="36" t="n"/>
      <c r="D241" s="37">
        <f>IF(C241="","",IFERROR(INDEX(ケイパビリティマップ!$E:$E,MATCH(C241,ケイパビリティマップ!$A:$A,0)),"（IDなし）"))</f>
        <v/>
      </c>
      <c r="E241" s="36" t="n"/>
      <c r="F241" s="37">
        <f>IF(A241="","",LEFT(A241,5))</f>
        <v/>
      </c>
      <c r="G241" s="37">
        <f>IF(C241="","",LEFT(C241,6))</f>
        <v/>
      </c>
    </row>
    <row r="242">
      <c r="A242" s="36" t="n"/>
      <c r="B242" s="36" t="n"/>
      <c r="C242" s="36" t="n"/>
      <c r="D242" s="37">
        <f>IF(C242="","",IFERROR(INDEX(ケイパビリティマップ!$E:$E,MATCH(C242,ケイパビリティマップ!$A:$A,0)),"（IDなし）"))</f>
        <v/>
      </c>
      <c r="E242" s="36" t="n"/>
      <c r="F242" s="37">
        <f>IF(A242="","",LEFT(A242,5))</f>
        <v/>
      </c>
      <c r="G242" s="37">
        <f>IF(C242="","",LEFT(C242,6))</f>
        <v/>
      </c>
    </row>
    <row r="243">
      <c r="A243" s="36" t="n"/>
      <c r="B243" s="36" t="n"/>
      <c r="C243" s="36" t="n"/>
      <c r="D243" s="37">
        <f>IF(C243="","",IFERROR(INDEX(ケイパビリティマップ!$E:$E,MATCH(C243,ケイパビリティマップ!$A:$A,0)),"（IDなし）"))</f>
        <v/>
      </c>
      <c r="E243" s="36" t="n"/>
      <c r="F243" s="37">
        <f>IF(A243="","",LEFT(A243,5))</f>
        <v/>
      </c>
      <c r="G243" s="37">
        <f>IF(C243="","",LEFT(C243,6))</f>
        <v/>
      </c>
    </row>
    <row r="244">
      <c r="A244" s="36" t="n"/>
      <c r="B244" s="36" t="n"/>
      <c r="C244" s="36" t="n"/>
      <c r="D244" s="37">
        <f>IF(C244="","",IFERROR(INDEX(ケイパビリティマップ!$E:$E,MATCH(C244,ケイパビリティマップ!$A:$A,0)),"（IDなし）"))</f>
        <v/>
      </c>
      <c r="E244" s="36" t="n"/>
      <c r="F244" s="37">
        <f>IF(A244="","",LEFT(A244,5))</f>
        <v/>
      </c>
      <c r="G244" s="37">
        <f>IF(C244="","",LEFT(C244,6))</f>
        <v/>
      </c>
    </row>
    <row r="245">
      <c r="A245" s="36" t="n"/>
      <c r="B245" s="36" t="n"/>
      <c r="C245" s="36" t="n"/>
      <c r="D245" s="37">
        <f>IF(C245="","",IFERROR(INDEX(ケイパビリティマップ!$E:$E,MATCH(C245,ケイパビリティマップ!$A:$A,0)),"（IDなし）"))</f>
        <v/>
      </c>
      <c r="E245" s="36" t="n"/>
      <c r="F245" s="37">
        <f>IF(A245="","",LEFT(A245,5))</f>
        <v/>
      </c>
      <c r="G245" s="37">
        <f>IF(C245="","",LEFT(C245,6))</f>
        <v/>
      </c>
    </row>
    <row r="246">
      <c r="A246" s="36" t="n"/>
      <c r="B246" s="36" t="n"/>
      <c r="C246" s="36" t="n"/>
      <c r="D246" s="37">
        <f>IF(C246="","",IFERROR(INDEX(ケイパビリティマップ!$E:$E,MATCH(C246,ケイパビリティマップ!$A:$A,0)),"（IDなし）"))</f>
        <v/>
      </c>
      <c r="E246" s="36" t="n"/>
      <c r="F246" s="37">
        <f>IF(A246="","",LEFT(A246,5))</f>
        <v/>
      </c>
      <c r="G246" s="37">
        <f>IF(C246="","",LEFT(C246,6))</f>
        <v/>
      </c>
    </row>
    <row r="247">
      <c r="A247" s="36" t="n"/>
      <c r="B247" s="36" t="n"/>
      <c r="C247" s="36" t="n"/>
      <c r="D247" s="37">
        <f>IF(C247="","",IFERROR(INDEX(ケイパビリティマップ!$E:$E,MATCH(C247,ケイパビリティマップ!$A:$A,0)),"（IDなし）"))</f>
        <v/>
      </c>
      <c r="E247" s="36" t="n"/>
      <c r="F247" s="37">
        <f>IF(A247="","",LEFT(A247,5))</f>
        <v/>
      </c>
      <c r="G247" s="37">
        <f>IF(C247="","",LEFT(C247,6))</f>
        <v/>
      </c>
    </row>
    <row r="248">
      <c r="A248" s="36" t="n"/>
      <c r="B248" s="36" t="n"/>
      <c r="C248" s="36" t="n"/>
      <c r="D248" s="37">
        <f>IF(C248="","",IFERROR(INDEX(ケイパビリティマップ!$E:$E,MATCH(C248,ケイパビリティマップ!$A:$A,0)),"（IDなし）"))</f>
        <v/>
      </c>
      <c r="E248" s="36" t="n"/>
      <c r="F248" s="37">
        <f>IF(A248="","",LEFT(A248,5))</f>
        <v/>
      </c>
      <c r="G248" s="37">
        <f>IF(C248="","",LEFT(C248,6))</f>
        <v/>
      </c>
    </row>
    <row r="249">
      <c r="A249" s="36" t="n"/>
      <c r="B249" s="36" t="n"/>
      <c r="C249" s="36" t="n"/>
      <c r="D249" s="37">
        <f>IF(C249="","",IFERROR(INDEX(ケイパビリティマップ!$E:$E,MATCH(C249,ケイパビリティマップ!$A:$A,0)),"（IDなし）"))</f>
        <v/>
      </c>
      <c r="E249" s="36" t="n"/>
      <c r="F249" s="37">
        <f>IF(A249="","",LEFT(A249,5))</f>
        <v/>
      </c>
      <c r="G249" s="37">
        <f>IF(C249="","",LEFT(C249,6))</f>
        <v/>
      </c>
    </row>
    <row r="250">
      <c r="A250" s="36" t="n"/>
      <c r="B250" s="36" t="n"/>
      <c r="C250" s="36" t="n"/>
      <c r="D250" s="37">
        <f>IF(C250="","",IFERROR(INDEX(ケイパビリティマップ!$E:$E,MATCH(C250,ケイパビリティマップ!$A:$A,0)),"（IDなし）"))</f>
        <v/>
      </c>
      <c r="E250" s="36" t="n"/>
      <c r="F250" s="37">
        <f>IF(A250="","",LEFT(A250,5))</f>
        <v/>
      </c>
      <c r="G250" s="37">
        <f>IF(C250="","",LEFT(C250,6))</f>
        <v/>
      </c>
    </row>
    <row r="251">
      <c r="A251" s="36" t="n"/>
      <c r="B251" s="36" t="n"/>
      <c r="C251" s="36" t="n"/>
      <c r="D251" s="37">
        <f>IF(C251="","",IFERROR(INDEX(ケイパビリティマップ!$E:$E,MATCH(C251,ケイパビリティマップ!$A:$A,0)),"（IDなし）"))</f>
        <v/>
      </c>
      <c r="E251" s="36" t="n"/>
      <c r="F251" s="37">
        <f>IF(A251="","",LEFT(A251,5))</f>
        <v/>
      </c>
      <c r="G251" s="37">
        <f>IF(C251="","",LEFT(C251,6))</f>
        <v/>
      </c>
    </row>
    <row r="252">
      <c r="A252" s="36" t="n"/>
      <c r="B252" s="36" t="n"/>
      <c r="C252" s="36" t="n"/>
      <c r="D252" s="37">
        <f>IF(C252="","",IFERROR(INDEX(ケイパビリティマップ!$E:$E,MATCH(C252,ケイパビリティマップ!$A:$A,0)),"（IDなし）"))</f>
        <v/>
      </c>
      <c r="E252" s="36" t="n"/>
      <c r="F252" s="37">
        <f>IF(A252="","",LEFT(A252,5))</f>
        <v/>
      </c>
      <c r="G252" s="37">
        <f>IF(C252="","",LEFT(C252,6))</f>
        <v/>
      </c>
    </row>
    <row r="253">
      <c r="A253" s="36" t="n"/>
      <c r="B253" s="36" t="n"/>
      <c r="C253" s="36" t="n"/>
      <c r="D253" s="37">
        <f>IF(C253="","",IFERROR(INDEX(ケイパビリティマップ!$E:$E,MATCH(C253,ケイパビリティマップ!$A:$A,0)),"（IDなし）"))</f>
        <v/>
      </c>
      <c r="E253" s="36" t="n"/>
      <c r="F253" s="37">
        <f>IF(A253="","",LEFT(A253,5))</f>
        <v/>
      </c>
      <c r="G253" s="37">
        <f>IF(C253="","",LEFT(C253,6))</f>
        <v/>
      </c>
    </row>
    <row r="254">
      <c r="A254" s="36" t="n"/>
      <c r="B254" s="36" t="n"/>
      <c r="C254" s="36" t="n"/>
      <c r="D254" s="37">
        <f>IF(C254="","",IFERROR(INDEX(ケイパビリティマップ!$E:$E,MATCH(C254,ケイパビリティマップ!$A:$A,0)),"（IDなし）"))</f>
        <v/>
      </c>
      <c r="E254" s="36" t="n"/>
      <c r="F254" s="37">
        <f>IF(A254="","",LEFT(A254,5))</f>
        <v/>
      </c>
      <c r="G254" s="37">
        <f>IF(C254="","",LEFT(C254,6))</f>
        <v/>
      </c>
    </row>
    <row r="255">
      <c r="A255" s="36" t="n"/>
      <c r="B255" s="36" t="n"/>
      <c r="C255" s="36" t="n"/>
      <c r="D255" s="37">
        <f>IF(C255="","",IFERROR(INDEX(ケイパビリティマップ!$E:$E,MATCH(C255,ケイパビリティマップ!$A:$A,0)),"（IDなし）"))</f>
        <v/>
      </c>
      <c r="E255" s="36" t="n"/>
      <c r="F255" s="37">
        <f>IF(A255="","",LEFT(A255,5))</f>
        <v/>
      </c>
      <c r="G255" s="37">
        <f>IF(C255="","",LEFT(C255,6))</f>
        <v/>
      </c>
    </row>
    <row r="256">
      <c r="A256" s="36" t="n"/>
      <c r="B256" s="36" t="n"/>
      <c r="C256" s="36" t="n"/>
      <c r="D256" s="37">
        <f>IF(C256="","",IFERROR(INDEX(ケイパビリティマップ!$E:$E,MATCH(C256,ケイパビリティマップ!$A:$A,0)),"（IDなし）"))</f>
        <v/>
      </c>
      <c r="E256" s="36" t="n"/>
      <c r="F256" s="37">
        <f>IF(A256="","",LEFT(A256,5))</f>
        <v/>
      </c>
      <c r="G256" s="37">
        <f>IF(C256="","",LEFT(C256,6))</f>
        <v/>
      </c>
    </row>
    <row r="257">
      <c r="A257" s="36" t="n"/>
      <c r="B257" s="36" t="n"/>
      <c r="C257" s="36" t="n"/>
      <c r="D257" s="37">
        <f>IF(C257="","",IFERROR(INDEX(ケイパビリティマップ!$E:$E,MATCH(C257,ケイパビリティマップ!$A:$A,0)),"（IDなし）"))</f>
        <v/>
      </c>
      <c r="E257" s="36" t="n"/>
      <c r="F257" s="37">
        <f>IF(A257="","",LEFT(A257,5))</f>
        <v/>
      </c>
      <c r="G257" s="37">
        <f>IF(C257="","",LEFT(C257,6))</f>
        <v/>
      </c>
    </row>
    <row r="258">
      <c r="A258" s="36" t="n"/>
      <c r="B258" s="36" t="n"/>
      <c r="C258" s="36" t="n"/>
      <c r="D258" s="37">
        <f>IF(C258="","",IFERROR(INDEX(ケイパビリティマップ!$E:$E,MATCH(C258,ケイパビリティマップ!$A:$A,0)),"（IDなし）"))</f>
        <v/>
      </c>
      <c r="E258" s="36" t="n"/>
      <c r="F258" s="37">
        <f>IF(A258="","",LEFT(A258,5))</f>
        <v/>
      </c>
      <c r="G258" s="37">
        <f>IF(C258="","",LEFT(C258,6))</f>
        <v/>
      </c>
    </row>
    <row r="259">
      <c r="A259" s="36" t="n"/>
      <c r="B259" s="36" t="n"/>
      <c r="C259" s="36" t="n"/>
      <c r="D259" s="37">
        <f>IF(C259="","",IFERROR(INDEX(ケイパビリティマップ!$E:$E,MATCH(C259,ケイパビリティマップ!$A:$A,0)),"（IDなし）"))</f>
        <v/>
      </c>
      <c r="E259" s="36" t="n"/>
      <c r="F259" s="37">
        <f>IF(A259="","",LEFT(A259,5))</f>
        <v/>
      </c>
      <c r="G259" s="37">
        <f>IF(C259="","",LEFT(C259,6))</f>
        <v/>
      </c>
    </row>
    <row r="260">
      <c r="A260" s="36" t="n"/>
      <c r="B260" s="36" t="n"/>
      <c r="C260" s="36" t="n"/>
      <c r="D260" s="37">
        <f>IF(C260="","",IFERROR(INDEX(ケイパビリティマップ!$E:$E,MATCH(C260,ケイパビリティマップ!$A:$A,0)),"（IDなし）"))</f>
        <v/>
      </c>
      <c r="E260" s="36" t="n"/>
      <c r="F260" s="37">
        <f>IF(A260="","",LEFT(A260,5))</f>
        <v/>
      </c>
      <c r="G260" s="37">
        <f>IF(C260="","",LEFT(C260,6))</f>
        <v/>
      </c>
    </row>
    <row r="261">
      <c r="A261" s="36" t="n"/>
      <c r="B261" s="36" t="n"/>
      <c r="C261" s="36" t="n"/>
      <c r="D261" s="37">
        <f>IF(C261="","",IFERROR(INDEX(ケイパビリティマップ!$E:$E,MATCH(C261,ケイパビリティマップ!$A:$A,0)),"（IDなし）"))</f>
        <v/>
      </c>
      <c r="E261" s="36" t="n"/>
      <c r="F261" s="37">
        <f>IF(A261="","",LEFT(A261,5))</f>
        <v/>
      </c>
      <c r="G261" s="37">
        <f>IF(C261="","",LEFT(C261,6))</f>
        <v/>
      </c>
    </row>
    <row r="262">
      <c r="A262" s="36" t="n"/>
      <c r="B262" s="36" t="n"/>
      <c r="C262" s="36" t="n"/>
      <c r="D262" s="37">
        <f>IF(C262="","",IFERROR(INDEX(ケイパビリティマップ!$E:$E,MATCH(C262,ケイパビリティマップ!$A:$A,0)),"（IDなし）"))</f>
        <v/>
      </c>
      <c r="E262" s="36" t="n"/>
      <c r="F262" s="37">
        <f>IF(A262="","",LEFT(A262,5))</f>
        <v/>
      </c>
      <c r="G262" s="37">
        <f>IF(C262="","",LEFT(C262,6))</f>
        <v/>
      </c>
    </row>
    <row r="263">
      <c r="A263" s="36" t="n"/>
      <c r="B263" s="36" t="n"/>
      <c r="C263" s="36" t="n"/>
      <c r="D263" s="37">
        <f>IF(C263="","",IFERROR(INDEX(ケイパビリティマップ!$E:$E,MATCH(C263,ケイパビリティマップ!$A:$A,0)),"（IDなし）"))</f>
        <v/>
      </c>
      <c r="E263" s="36" t="n"/>
      <c r="F263" s="37">
        <f>IF(A263="","",LEFT(A263,5))</f>
        <v/>
      </c>
      <c r="G263" s="37">
        <f>IF(C263="","",LEFT(C263,6))</f>
        <v/>
      </c>
    </row>
    <row r="264">
      <c r="A264" s="36" t="n"/>
      <c r="B264" s="36" t="n"/>
      <c r="C264" s="36" t="n"/>
      <c r="D264" s="37">
        <f>IF(C264="","",IFERROR(INDEX(ケイパビリティマップ!$E:$E,MATCH(C264,ケイパビリティマップ!$A:$A,0)),"（IDなし）"))</f>
        <v/>
      </c>
      <c r="E264" s="36" t="n"/>
      <c r="F264" s="37">
        <f>IF(A264="","",LEFT(A264,5))</f>
        <v/>
      </c>
      <c r="G264" s="37">
        <f>IF(C264="","",LEFT(C264,6))</f>
        <v/>
      </c>
    </row>
    <row r="265">
      <c r="A265" s="36" t="n"/>
      <c r="B265" s="36" t="n"/>
      <c r="C265" s="36" t="n"/>
      <c r="D265" s="37">
        <f>IF(C265="","",IFERROR(INDEX(ケイパビリティマップ!$E:$E,MATCH(C265,ケイパビリティマップ!$A:$A,0)),"（IDなし）"))</f>
        <v/>
      </c>
      <c r="E265" s="36" t="n"/>
      <c r="F265" s="37">
        <f>IF(A265="","",LEFT(A265,5))</f>
        <v/>
      </c>
      <c r="G265" s="37">
        <f>IF(C265="","",LEFT(C265,6))</f>
        <v/>
      </c>
    </row>
    <row r="266">
      <c r="A266" s="36" t="n"/>
      <c r="B266" s="36" t="n"/>
      <c r="C266" s="36" t="n"/>
      <c r="D266" s="37">
        <f>IF(C266="","",IFERROR(INDEX(ケイパビリティマップ!$E:$E,MATCH(C266,ケイパビリティマップ!$A:$A,0)),"（IDなし）"))</f>
        <v/>
      </c>
      <c r="E266" s="36" t="n"/>
      <c r="F266" s="37">
        <f>IF(A266="","",LEFT(A266,5))</f>
        <v/>
      </c>
      <c r="G266" s="37">
        <f>IF(C266="","",LEFT(C266,6))</f>
        <v/>
      </c>
    </row>
    <row r="267">
      <c r="A267" s="36" t="n"/>
      <c r="B267" s="36" t="n"/>
      <c r="C267" s="36" t="n"/>
      <c r="D267" s="37">
        <f>IF(C267="","",IFERROR(INDEX(ケイパビリティマップ!$E:$E,MATCH(C267,ケイパビリティマップ!$A:$A,0)),"（IDなし）"))</f>
        <v/>
      </c>
      <c r="E267" s="36" t="n"/>
      <c r="F267" s="37">
        <f>IF(A267="","",LEFT(A267,5))</f>
        <v/>
      </c>
      <c r="G267" s="37">
        <f>IF(C267="","",LEFT(C267,6))</f>
        <v/>
      </c>
    </row>
    <row r="268">
      <c r="A268" s="36" t="n"/>
      <c r="B268" s="36" t="n"/>
      <c r="C268" s="36" t="n"/>
      <c r="D268" s="37">
        <f>IF(C268="","",IFERROR(INDEX(ケイパビリティマップ!$E:$E,MATCH(C268,ケイパビリティマップ!$A:$A,0)),"（IDなし）"))</f>
        <v/>
      </c>
      <c r="E268" s="36" t="n"/>
      <c r="F268" s="37">
        <f>IF(A268="","",LEFT(A268,5))</f>
        <v/>
      </c>
      <c r="G268" s="37">
        <f>IF(C268="","",LEFT(C268,6))</f>
        <v/>
      </c>
    </row>
    <row r="269">
      <c r="A269" s="36" t="n"/>
      <c r="B269" s="36" t="n"/>
      <c r="C269" s="36" t="n"/>
      <c r="D269" s="37">
        <f>IF(C269="","",IFERROR(INDEX(ケイパビリティマップ!$E:$E,MATCH(C269,ケイパビリティマップ!$A:$A,0)),"（IDなし）"))</f>
        <v/>
      </c>
      <c r="E269" s="36" t="n"/>
      <c r="F269" s="37">
        <f>IF(A269="","",LEFT(A269,5))</f>
        <v/>
      </c>
      <c r="G269" s="37">
        <f>IF(C269="","",LEFT(C269,6))</f>
        <v/>
      </c>
    </row>
    <row r="270">
      <c r="A270" s="36" t="n"/>
      <c r="B270" s="36" t="n"/>
      <c r="C270" s="36" t="n"/>
      <c r="D270" s="37">
        <f>IF(C270="","",IFERROR(INDEX(ケイパビリティマップ!$E:$E,MATCH(C270,ケイパビリティマップ!$A:$A,0)),"（IDなし）"))</f>
        <v/>
      </c>
      <c r="E270" s="36" t="n"/>
      <c r="F270" s="37">
        <f>IF(A270="","",LEFT(A270,5))</f>
        <v/>
      </c>
      <c r="G270" s="37">
        <f>IF(C270="","",LEFT(C270,6))</f>
        <v/>
      </c>
    </row>
    <row r="271">
      <c r="A271" s="36" t="n"/>
      <c r="B271" s="36" t="n"/>
      <c r="C271" s="36" t="n"/>
      <c r="D271" s="37">
        <f>IF(C271="","",IFERROR(INDEX(ケイパビリティマップ!$E:$E,MATCH(C271,ケイパビリティマップ!$A:$A,0)),"（IDなし）"))</f>
        <v/>
      </c>
      <c r="E271" s="36" t="n"/>
      <c r="F271" s="37">
        <f>IF(A271="","",LEFT(A271,5))</f>
        <v/>
      </c>
      <c r="G271" s="37">
        <f>IF(C271="","",LEFT(C271,6))</f>
        <v/>
      </c>
    </row>
    <row r="272">
      <c r="A272" s="36" t="n"/>
      <c r="B272" s="36" t="n"/>
      <c r="C272" s="36" t="n"/>
      <c r="D272" s="37">
        <f>IF(C272="","",IFERROR(INDEX(ケイパビリティマップ!$E:$E,MATCH(C272,ケイパビリティマップ!$A:$A,0)),"（IDなし）"))</f>
        <v/>
      </c>
      <c r="E272" s="36" t="n"/>
      <c r="F272" s="37">
        <f>IF(A272="","",LEFT(A272,5))</f>
        <v/>
      </c>
      <c r="G272" s="37">
        <f>IF(C272="","",LEFT(C272,6))</f>
        <v/>
      </c>
    </row>
    <row r="273">
      <c r="A273" s="36" t="n"/>
      <c r="B273" s="36" t="n"/>
      <c r="C273" s="36" t="n"/>
      <c r="D273" s="37">
        <f>IF(C273="","",IFERROR(INDEX(ケイパビリティマップ!$E:$E,MATCH(C273,ケイパビリティマップ!$A:$A,0)),"（IDなし）"))</f>
        <v/>
      </c>
      <c r="E273" s="36" t="n"/>
      <c r="F273" s="37">
        <f>IF(A273="","",LEFT(A273,5))</f>
        <v/>
      </c>
      <c r="G273" s="37">
        <f>IF(C273="","",LEFT(C273,6))</f>
        <v/>
      </c>
    </row>
    <row r="274">
      <c r="A274" s="36" t="n"/>
      <c r="B274" s="36" t="n"/>
      <c r="C274" s="36" t="n"/>
      <c r="D274" s="37">
        <f>IF(C274="","",IFERROR(INDEX(ケイパビリティマップ!$E:$E,MATCH(C274,ケイパビリティマップ!$A:$A,0)),"（IDなし）"))</f>
        <v/>
      </c>
      <c r="E274" s="36" t="n"/>
      <c r="F274" s="37">
        <f>IF(A274="","",LEFT(A274,5))</f>
        <v/>
      </c>
      <c r="G274" s="37">
        <f>IF(C274="","",LEFT(C274,6))</f>
        <v/>
      </c>
    </row>
    <row r="275">
      <c r="A275" s="36" t="n"/>
      <c r="B275" s="36" t="n"/>
      <c r="C275" s="36" t="n"/>
      <c r="D275" s="37">
        <f>IF(C275="","",IFERROR(INDEX(ケイパビリティマップ!$E:$E,MATCH(C275,ケイパビリティマップ!$A:$A,0)),"（IDなし）"))</f>
        <v/>
      </c>
      <c r="E275" s="36" t="n"/>
      <c r="F275" s="37">
        <f>IF(A275="","",LEFT(A275,5))</f>
        <v/>
      </c>
      <c r="G275" s="37">
        <f>IF(C275="","",LEFT(C275,6))</f>
        <v/>
      </c>
    </row>
    <row r="276">
      <c r="A276" s="36" t="n"/>
      <c r="B276" s="36" t="n"/>
      <c r="C276" s="36" t="n"/>
      <c r="D276" s="37">
        <f>IF(C276="","",IFERROR(INDEX(ケイパビリティマップ!$E:$E,MATCH(C276,ケイパビリティマップ!$A:$A,0)),"（IDなし）"))</f>
        <v/>
      </c>
      <c r="E276" s="36" t="n"/>
      <c r="F276" s="37">
        <f>IF(A276="","",LEFT(A276,5))</f>
        <v/>
      </c>
      <c r="G276" s="37">
        <f>IF(C276="","",LEFT(C276,6))</f>
        <v/>
      </c>
    </row>
    <row r="277">
      <c r="A277" s="36" t="n"/>
      <c r="B277" s="36" t="n"/>
      <c r="C277" s="36" t="n"/>
      <c r="D277" s="37">
        <f>IF(C277="","",IFERROR(INDEX(ケイパビリティマップ!$E:$E,MATCH(C277,ケイパビリティマップ!$A:$A,0)),"（IDなし）"))</f>
        <v/>
      </c>
      <c r="E277" s="36" t="n"/>
      <c r="F277" s="37">
        <f>IF(A277="","",LEFT(A277,5))</f>
        <v/>
      </c>
      <c r="G277" s="37">
        <f>IF(C277="","",LEFT(C277,6))</f>
        <v/>
      </c>
    </row>
    <row r="278">
      <c r="A278" s="36" t="n"/>
      <c r="B278" s="36" t="n"/>
      <c r="C278" s="36" t="n"/>
      <c r="D278" s="37">
        <f>IF(C278="","",IFERROR(INDEX(ケイパビリティマップ!$E:$E,MATCH(C278,ケイパビリティマップ!$A:$A,0)),"（IDなし）"))</f>
        <v/>
      </c>
      <c r="E278" s="36" t="n"/>
      <c r="F278" s="37">
        <f>IF(A278="","",LEFT(A278,5))</f>
        <v/>
      </c>
      <c r="G278" s="37">
        <f>IF(C278="","",LEFT(C278,6))</f>
        <v/>
      </c>
    </row>
    <row r="279">
      <c r="A279" s="36" t="n"/>
      <c r="B279" s="36" t="n"/>
      <c r="C279" s="36" t="n"/>
      <c r="D279" s="37">
        <f>IF(C279="","",IFERROR(INDEX(ケイパビリティマップ!$E:$E,MATCH(C279,ケイパビリティマップ!$A:$A,0)),"（IDなし）"))</f>
        <v/>
      </c>
      <c r="E279" s="36" t="n"/>
      <c r="F279" s="37">
        <f>IF(A279="","",LEFT(A279,5))</f>
        <v/>
      </c>
      <c r="G279" s="37">
        <f>IF(C279="","",LEFT(C279,6))</f>
        <v/>
      </c>
    </row>
    <row r="280">
      <c r="A280" s="36" t="n"/>
      <c r="B280" s="36" t="n"/>
      <c r="C280" s="36" t="n"/>
      <c r="D280" s="37">
        <f>IF(C280="","",IFERROR(INDEX(ケイパビリティマップ!$E:$E,MATCH(C280,ケイパビリティマップ!$A:$A,0)),"（IDなし）"))</f>
        <v/>
      </c>
      <c r="E280" s="36" t="n"/>
      <c r="F280" s="37">
        <f>IF(A280="","",LEFT(A280,5))</f>
        <v/>
      </c>
      <c r="G280" s="37">
        <f>IF(C280="","",LEFT(C280,6))</f>
        <v/>
      </c>
    </row>
    <row r="281">
      <c r="A281" s="36" t="n"/>
      <c r="B281" s="36" t="n"/>
      <c r="C281" s="36" t="n"/>
      <c r="D281" s="37">
        <f>IF(C281="","",IFERROR(INDEX(ケイパビリティマップ!$E:$E,MATCH(C281,ケイパビリティマップ!$A:$A,0)),"（IDなし）"))</f>
        <v/>
      </c>
      <c r="E281" s="36" t="n"/>
      <c r="F281" s="37">
        <f>IF(A281="","",LEFT(A281,5))</f>
        <v/>
      </c>
      <c r="G281" s="37">
        <f>IF(C281="","",LEFT(C281,6))</f>
        <v/>
      </c>
    </row>
    <row r="282">
      <c r="A282" s="36" t="n"/>
      <c r="B282" s="36" t="n"/>
      <c r="C282" s="36" t="n"/>
      <c r="D282" s="37">
        <f>IF(C282="","",IFERROR(INDEX(ケイパビリティマップ!$E:$E,MATCH(C282,ケイパビリティマップ!$A:$A,0)),"（IDなし）"))</f>
        <v/>
      </c>
      <c r="E282" s="36" t="n"/>
      <c r="F282" s="37">
        <f>IF(A282="","",LEFT(A282,5))</f>
        <v/>
      </c>
      <c r="G282" s="37">
        <f>IF(C282="","",LEFT(C282,6))</f>
        <v/>
      </c>
    </row>
  </sheetData>
  <autoFilter ref="A3:G82"/>
  <dataValidations count="1">
    <dataValidation sqref="E4:E282" showDropDown="0" showInputMessage="0" showErrorMessage="0" allowBlank="1" type="list">
      <formula1>"主,支援"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8B57"/>
    <outlinePr summaryBelow="1" summaryRight="1"/>
    <pageSetUpPr/>
  </sheetPr>
  <dimension ref="A1:W19"/>
  <sheetViews>
    <sheetView showGridLines="1" zoomScale="9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" customWidth="1" min="2" max="2"/>
    <col width="30" customWidth="1" min="3" max="3"/>
    <col width="5.52" customWidth="1" min="4" max="4"/>
    <col width="5.52" customWidth="1" min="5" max="5"/>
    <col width="5.52" customWidth="1" min="6" max="6"/>
    <col width="5.52" customWidth="1" min="7" max="7"/>
    <col width="5.52" customWidth="1" min="8" max="8"/>
    <col width="5.52" customWidth="1" min="9" max="9"/>
    <col width="5.52" customWidth="1" min="10" max="10"/>
    <col width="5.52" customWidth="1" min="11" max="11"/>
    <col width="5.52" customWidth="1" min="12" max="12"/>
    <col width="5.52" customWidth="1" min="13" max="13"/>
    <col width="5.52" customWidth="1" min="14" max="14"/>
    <col width="5.52" customWidth="1" min="15" max="15"/>
    <col width="5.52" customWidth="1" min="16" max="16"/>
    <col width="5.52" customWidth="1" min="17" max="17"/>
    <col width="5.52" customWidth="1" min="18" max="18"/>
    <col width="5.52" customWidth="1" min="19" max="19"/>
    <col width="5.52" customWidth="1" min="20" max="20"/>
    <col width="5.52" customWidth="1" min="21" max="21"/>
    <col width="7" customWidth="1" min="22" max="22"/>
    <col width="7" customWidth="1" min="23" max="23"/>
  </cols>
  <sheetData>
    <row r="1" ht="21" customHeight="1">
      <c r="A1" s="1" t="inlineStr">
        <is>
          <t>バリューストリーム×ケイパビリティマップ（行：バリューストリームL3 × 列：ケイパビリティL2）</t>
        </is>
      </c>
    </row>
    <row r="2" ht="15" customHeight="1">
      <c r="A2" s="2" t="inlineStr">
        <is>
          <t>●＝主（配下のL4×L3の関係に「主」が1つ以上）　○＝支援のみ　空欄＝関係なし。各セルは「VS×ケイパビリティ関係」シートから数式で集計（直接入力しない）。</t>
        </is>
      </c>
    </row>
    <row r="4" ht="42" customHeight="1">
      <c r="A4" s="3" t="inlineStr">
        <is>
          <t>VS L2</t>
        </is>
      </c>
      <c r="B4" s="3" t="inlineStr">
        <is>
          <t>L3 ID</t>
        </is>
      </c>
      <c r="C4" s="3" t="inlineStr">
        <is>
          <t>VS L3</t>
        </is>
      </c>
      <c r="D4" s="38" t="inlineStr">
        <is>
          <t>C01 調達戦略・ガバナンス</t>
        </is>
      </c>
      <c r="E4" s="28" t="n"/>
      <c r="F4" s="38" t="inlineStr">
        <is>
          <t>C02 調達・購買管理</t>
        </is>
      </c>
      <c r="G4" s="27" t="n"/>
      <c r="H4" s="27" t="n"/>
      <c r="I4" s="28" t="n"/>
      <c r="J4" s="38" t="inlineStr">
        <is>
          <t>C03 受入・ロジスティクス</t>
        </is>
      </c>
      <c r="K4" s="27" t="n"/>
      <c r="L4" s="28" t="n"/>
      <c r="M4" s="38" t="inlineStr">
        <is>
          <t>C04 財務・債務管理</t>
        </is>
      </c>
      <c r="N4" s="27" t="n"/>
      <c r="O4" s="28" t="n"/>
      <c r="P4" s="38" t="inlineStr">
        <is>
          <t>C05 サプライヤー管理</t>
        </is>
      </c>
      <c r="Q4" s="27" t="n"/>
      <c r="R4" s="28" t="n"/>
      <c r="S4" s="38" t="inlineStr">
        <is>
          <t>C06 調達基盤</t>
        </is>
      </c>
      <c r="T4" s="27" t="n"/>
      <c r="U4" s="28" t="n"/>
      <c r="V4" s="4" t="inlineStr">
        <is>
          <t>●の数</t>
        </is>
      </c>
      <c r="W4" s="4" t="inlineStr">
        <is>
          <t>○の数</t>
        </is>
      </c>
    </row>
    <row r="5" ht="23.25" customHeight="1">
      <c r="A5" s="39" t="n"/>
      <c r="B5" s="39" t="n"/>
      <c r="C5" s="39" t="n"/>
      <c r="D5" s="38" t="inlineStr">
        <is>
          <t>C01-01</t>
        </is>
      </c>
      <c r="E5" s="38" t="inlineStr">
        <is>
          <t>C01-02</t>
        </is>
      </c>
      <c r="F5" s="38" t="inlineStr">
        <is>
          <t>C02-01</t>
        </is>
      </c>
      <c r="G5" s="38" t="inlineStr">
        <is>
          <t>C02-02</t>
        </is>
      </c>
      <c r="H5" s="38" t="inlineStr">
        <is>
          <t>C02-03</t>
        </is>
      </c>
      <c r="I5" s="38" t="inlineStr">
        <is>
          <t>C02-04</t>
        </is>
      </c>
      <c r="J5" s="38" t="inlineStr">
        <is>
          <t>C03-01</t>
        </is>
      </c>
      <c r="K5" s="38" t="inlineStr">
        <is>
          <t>C03-02</t>
        </is>
      </c>
      <c r="L5" s="38" t="inlineStr">
        <is>
          <t>C03-03</t>
        </is>
      </c>
      <c r="M5" s="38" t="inlineStr">
        <is>
          <t>C04-01</t>
        </is>
      </c>
      <c r="N5" s="38" t="inlineStr">
        <is>
          <t>C04-02</t>
        </is>
      </c>
      <c r="O5" s="38" t="inlineStr">
        <is>
          <t>C04-03</t>
        </is>
      </c>
      <c r="P5" s="38" t="inlineStr">
        <is>
          <t>C05-01</t>
        </is>
      </c>
      <c r="Q5" s="38" t="inlineStr">
        <is>
          <t>C05-02</t>
        </is>
      </c>
      <c r="R5" s="38" t="inlineStr">
        <is>
          <t>C05-03</t>
        </is>
      </c>
      <c r="S5" s="38" t="inlineStr">
        <is>
          <t>C06-01</t>
        </is>
      </c>
      <c r="T5" s="38" t="inlineStr">
        <is>
          <t>C06-02</t>
        </is>
      </c>
      <c r="U5" s="38" t="inlineStr">
        <is>
          <t>C06-03</t>
        </is>
      </c>
      <c r="V5" s="39" t="n"/>
      <c r="W5" s="39" t="n"/>
    </row>
    <row r="6" ht="150" customHeight="1">
      <c r="A6" s="40" t="n"/>
      <c r="B6" s="40" t="n"/>
      <c r="C6" s="40" t="n"/>
      <c r="D6" s="41" t="inlineStr">
        <is>
          <t>調達戦略・カテゴリ管理</t>
        </is>
      </c>
      <c r="E6" s="41" t="inlineStr">
        <is>
          <t>調達ガバナンス・取引適正化★</t>
        </is>
      </c>
      <c r="F6" s="41" t="inlineStr">
        <is>
          <t>需要・購買申請管理</t>
        </is>
      </c>
      <c r="G6" s="41" t="inlineStr">
        <is>
          <t>ソーシング</t>
        </is>
      </c>
      <c r="H6" s="41" t="inlineStr">
        <is>
          <t>契約管理★</t>
        </is>
      </c>
      <c r="I6" s="41" t="inlineStr">
        <is>
          <t>発注管理★</t>
        </is>
      </c>
      <c r="J6" s="41" t="inlineStr">
        <is>
          <t>入荷・受入管理</t>
        </is>
      </c>
      <c r="K6" s="41" t="inlineStr">
        <is>
          <t>検収管理★</t>
        </is>
      </c>
      <c r="L6" s="41" t="inlineStr">
        <is>
          <t>在庫・資産計上</t>
        </is>
      </c>
      <c r="M6" s="41" t="inlineStr">
        <is>
          <t>請求書受領・照合★</t>
        </is>
      </c>
      <c r="N6" s="41" t="inlineStr">
        <is>
          <t>支払管理★</t>
        </is>
      </c>
      <c r="O6" s="41" t="inlineStr">
        <is>
          <t>債務会計・税務★</t>
        </is>
      </c>
      <c r="P6" s="41" t="inlineStr">
        <is>
          <t>サプライヤー登録・審査★</t>
        </is>
      </c>
      <c r="Q6" s="41" t="inlineStr">
        <is>
          <t>サプライヤー評価・関係管理</t>
        </is>
      </c>
      <c r="R6" s="41" t="inlineStr">
        <is>
          <t>サプライヤーリスク管理</t>
        </is>
      </c>
      <c r="S6" s="41" t="inlineStr">
        <is>
          <t>調達マスタ・データ管理</t>
        </is>
      </c>
      <c r="T6" s="41" t="inlineStr">
        <is>
          <t>調達分析・レポーティング</t>
        </is>
      </c>
      <c r="U6" s="41" t="inlineStr">
        <is>
          <t>内部統制・監査対応</t>
        </is>
      </c>
      <c r="V6" s="40" t="n"/>
      <c r="W6" s="40" t="n"/>
    </row>
    <row r="7">
      <c r="A7" s="42" t="inlineStr">
        <is>
          <t>01 需要特定・購買申請</t>
        </is>
      </c>
      <c r="B7" s="18" t="inlineStr">
        <is>
          <t>01-01</t>
        </is>
      </c>
      <c r="C7" s="20" t="inlineStr">
        <is>
          <t>需要の把握・購買計画</t>
        </is>
      </c>
      <c r="D7" s="18">
        <f>IF(COUNTIFS('VS×ケイパビリティ関係'!$F$4:$F$282,$B7,'VS×ケイパビリティ関係'!$G$4:$G$282,D$5,'VS×ケイパビリティ関係'!$E$4:$E$282,"主")&gt;0,"●",IF(COUNTIFS('VS×ケイパビリティ関係'!$F$4:$F$282,$B7,'VS×ケイパビリティ関係'!$G$4:$G$282,D$5,'VS×ケイパビリティ関係'!$E$4:$E$282,"支援")&gt;0,"○",""))</f>
        <v/>
      </c>
      <c r="E7" s="18">
        <f>IF(COUNTIFS('VS×ケイパビリティ関係'!$F$4:$F$282,$B7,'VS×ケイパビリティ関係'!$G$4:$G$282,E$5,'VS×ケイパビリティ関係'!$E$4:$E$282,"主")&gt;0,"●",IF(COUNTIFS('VS×ケイパビリティ関係'!$F$4:$F$282,$B7,'VS×ケイパビリティ関係'!$G$4:$G$282,E$5,'VS×ケイパビリティ関係'!$E$4:$E$282,"支援")&gt;0,"○",""))</f>
        <v/>
      </c>
      <c r="F7" s="18">
        <f>IF(COUNTIFS('VS×ケイパビリティ関係'!$F$4:$F$282,$B7,'VS×ケイパビリティ関係'!$G$4:$G$282,F$5,'VS×ケイパビリティ関係'!$E$4:$E$282,"主")&gt;0,"●",IF(COUNTIFS('VS×ケイパビリティ関係'!$F$4:$F$282,$B7,'VS×ケイパビリティ関係'!$G$4:$G$282,F$5,'VS×ケイパビリティ関係'!$E$4:$E$282,"支援")&gt;0,"○",""))</f>
        <v/>
      </c>
      <c r="G7" s="18">
        <f>IF(COUNTIFS('VS×ケイパビリティ関係'!$F$4:$F$282,$B7,'VS×ケイパビリティ関係'!$G$4:$G$282,G$5,'VS×ケイパビリティ関係'!$E$4:$E$282,"主")&gt;0,"●",IF(COUNTIFS('VS×ケイパビリティ関係'!$F$4:$F$282,$B7,'VS×ケイパビリティ関係'!$G$4:$G$282,G$5,'VS×ケイパビリティ関係'!$E$4:$E$282,"支援")&gt;0,"○",""))</f>
        <v/>
      </c>
      <c r="H7" s="18">
        <f>IF(COUNTIFS('VS×ケイパビリティ関係'!$F$4:$F$282,$B7,'VS×ケイパビリティ関係'!$G$4:$G$282,H$5,'VS×ケイパビリティ関係'!$E$4:$E$282,"主")&gt;0,"●",IF(COUNTIFS('VS×ケイパビリティ関係'!$F$4:$F$282,$B7,'VS×ケイパビリティ関係'!$G$4:$G$282,H$5,'VS×ケイパビリティ関係'!$E$4:$E$282,"支援")&gt;0,"○",""))</f>
        <v/>
      </c>
      <c r="I7" s="18">
        <f>IF(COUNTIFS('VS×ケイパビリティ関係'!$F$4:$F$282,$B7,'VS×ケイパビリティ関係'!$G$4:$G$282,I$5,'VS×ケイパビリティ関係'!$E$4:$E$282,"主")&gt;0,"●",IF(COUNTIFS('VS×ケイパビリティ関係'!$F$4:$F$282,$B7,'VS×ケイパビリティ関係'!$G$4:$G$282,I$5,'VS×ケイパビリティ関係'!$E$4:$E$282,"支援")&gt;0,"○",""))</f>
        <v/>
      </c>
      <c r="J7" s="18">
        <f>IF(COUNTIFS('VS×ケイパビリティ関係'!$F$4:$F$282,$B7,'VS×ケイパビリティ関係'!$G$4:$G$282,J$5,'VS×ケイパビリティ関係'!$E$4:$E$282,"主")&gt;0,"●",IF(COUNTIFS('VS×ケイパビリティ関係'!$F$4:$F$282,$B7,'VS×ケイパビリティ関係'!$G$4:$G$282,J$5,'VS×ケイパビリティ関係'!$E$4:$E$282,"支援")&gt;0,"○",""))</f>
        <v/>
      </c>
      <c r="K7" s="18">
        <f>IF(COUNTIFS('VS×ケイパビリティ関係'!$F$4:$F$282,$B7,'VS×ケイパビリティ関係'!$G$4:$G$282,K$5,'VS×ケイパビリティ関係'!$E$4:$E$282,"主")&gt;0,"●",IF(COUNTIFS('VS×ケイパビリティ関係'!$F$4:$F$282,$B7,'VS×ケイパビリティ関係'!$G$4:$G$282,K$5,'VS×ケイパビリティ関係'!$E$4:$E$282,"支援")&gt;0,"○",""))</f>
        <v/>
      </c>
      <c r="L7" s="18">
        <f>IF(COUNTIFS('VS×ケイパビリティ関係'!$F$4:$F$282,$B7,'VS×ケイパビリティ関係'!$G$4:$G$282,L$5,'VS×ケイパビリティ関係'!$E$4:$E$282,"主")&gt;0,"●",IF(COUNTIFS('VS×ケイパビリティ関係'!$F$4:$F$282,$B7,'VS×ケイパビリティ関係'!$G$4:$G$282,L$5,'VS×ケイパビリティ関係'!$E$4:$E$282,"支援")&gt;0,"○",""))</f>
        <v/>
      </c>
      <c r="M7" s="18">
        <f>IF(COUNTIFS('VS×ケイパビリティ関係'!$F$4:$F$282,$B7,'VS×ケイパビリティ関係'!$G$4:$G$282,M$5,'VS×ケイパビリティ関係'!$E$4:$E$282,"主")&gt;0,"●",IF(COUNTIFS('VS×ケイパビリティ関係'!$F$4:$F$282,$B7,'VS×ケイパビリティ関係'!$G$4:$G$282,M$5,'VS×ケイパビリティ関係'!$E$4:$E$282,"支援")&gt;0,"○",""))</f>
        <v/>
      </c>
      <c r="N7" s="18">
        <f>IF(COUNTIFS('VS×ケイパビリティ関係'!$F$4:$F$282,$B7,'VS×ケイパビリティ関係'!$G$4:$G$282,N$5,'VS×ケイパビリティ関係'!$E$4:$E$282,"主")&gt;0,"●",IF(COUNTIFS('VS×ケイパビリティ関係'!$F$4:$F$282,$B7,'VS×ケイパビリティ関係'!$G$4:$G$282,N$5,'VS×ケイパビリティ関係'!$E$4:$E$282,"支援")&gt;0,"○",""))</f>
        <v/>
      </c>
      <c r="O7" s="18">
        <f>IF(COUNTIFS('VS×ケイパビリティ関係'!$F$4:$F$282,$B7,'VS×ケイパビリティ関係'!$G$4:$G$282,O$5,'VS×ケイパビリティ関係'!$E$4:$E$282,"主")&gt;0,"●",IF(COUNTIFS('VS×ケイパビリティ関係'!$F$4:$F$282,$B7,'VS×ケイパビリティ関係'!$G$4:$G$282,O$5,'VS×ケイパビリティ関係'!$E$4:$E$282,"支援")&gt;0,"○",""))</f>
        <v/>
      </c>
      <c r="P7" s="18">
        <f>IF(COUNTIFS('VS×ケイパビリティ関係'!$F$4:$F$282,$B7,'VS×ケイパビリティ関係'!$G$4:$G$282,P$5,'VS×ケイパビリティ関係'!$E$4:$E$282,"主")&gt;0,"●",IF(COUNTIFS('VS×ケイパビリティ関係'!$F$4:$F$282,$B7,'VS×ケイパビリティ関係'!$G$4:$G$282,P$5,'VS×ケイパビリティ関係'!$E$4:$E$282,"支援")&gt;0,"○",""))</f>
        <v/>
      </c>
      <c r="Q7" s="18">
        <f>IF(COUNTIFS('VS×ケイパビリティ関係'!$F$4:$F$282,$B7,'VS×ケイパビリティ関係'!$G$4:$G$282,Q$5,'VS×ケイパビリティ関係'!$E$4:$E$282,"主")&gt;0,"●",IF(COUNTIFS('VS×ケイパビリティ関係'!$F$4:$F$282,$B7,'VS×ケイパビリティ関係'!$G$4:$G$282,Q$5,'VS×ケイパビリティ関係'!$E$4:$E$282,"支援")&gt;0,"○",""))</f>
        <v/>
      </c>
      <c r="R7" s="18">
        <f>IF(COUNTIFS('VS×ケイパビリティ関係'!$F$4:$F$282,$B7,'VS×ケイパビリティ関係'!$G$4:$G$282,R$5,'VS×ケイパビリティ関係'!$E$4:$E$282,"主")&gt;0,"●",IF(COUNTIFS('VS×ケイパビリティ関係'!$F$4:$F$282,$B7,'VS×ケイパビリティ関係'!$G$4:$G$282,R$5,'VS×ケイパビリティ関係'!$E$4:$E$282,"支援")&gt;0,"○",""))</f>
        <v/>
      </c>
      <c r="S7" s="18">
        <f>IF(COUNTIFS('VS×ケイパビリティ関係'!$F$4:$F$282,$B7,'VS×ケイパビリティ関係'!$G$4:$G$282,S$5,'VS×ケイパビリティ関係'!$E$4:$E$282,"主")&gt;0,"●",IF(COUNTIFS('VS×ケイパビリティ関係'!$F$4:$F$282,$B7,'VS×ケイパビリティ関係'!$G$4:$G$282,S$5,'VS×ケイパビリティ関係'!$E$4:$E$282,"支援")&gt;0,"○",""))</f>
        <v/>
      </c>
      <c r="T7" s="18">
        <f>IF(COUNTIFS('VS×ケイパビリティ関係'!$F$4:$F$282,$B7,'VS×ケイパビリティ関係'!$G$4:$G$282,T$5,'VS×ケイパビリティ関係'!$E$4:$E$282,"主")&gt;0,"●",IF(COUNTIFS('VS×ケイパビリティ関係'!$F$4:$F$282,$B7,'VS×ケイパビリティ関係'!$G$4:$G$282,T$5,'VS×ケイパビリティ関係'!$E$4:$E$282,"支援")&gt;0,"○",""))</f>
        <v/>
      </c>
      <c r="U7" s="18">
        <f>IF(COUNTIFS('VS×ケイパビリティ関係'!$F$4:$F$282,$B7,'VS×ケイパビリティ関係'!$G$4:$G$282,U$5,'VS×ケイパビリティ関係'!$E$4:$E$282,"主")&gt;0,"●",IF(COUNTIFS('VS×ケイパビリティ関係'!$F$4:$F$282,$B7,'VS×ケイパビリティ関係'!$G$4:$G$282,U$5,'VS×ケイパビリティ関係'!$E$4:$E$282,"支援")&gt;0,"○",""))</f>
        <v/>
      </c>
      <c r="V7" s="18">
        <f>COUNTIF(D7:U7,"●")</f>
        <v/>
      </c>
      <c r="W7" s="18">
        <f>COUNTIF(D7:U7,"○")</f>
        <v/>
      </c>
    </row>
    <row r="8">
      <c r="A8" s="42" t="n"/>
      <c r="B8" s="18" t="inlineStr">
        <is>
          <t>01-02</t>
        </is>
      </c>
      <c r="C8" s="20" t="inlineStr">
        <is>
          <t>仕様策定・購買申請作成</t>
        </is>
      </c>
      <c r="D8" s="18">
        <f>IF(COUNTIFS('VS×ケイパビリティ関係'!$F$4:$F$282,$B8,'VS×ケイパビリティ関係'!$G$4:$G$282,D$5,'VS×ケイパビリティ関係'!$E$4:$E$282,"主")&gt;0,"●",IF(COUNTIFS('VS×ケイパビリティ関係'!$F$4:$F$282,$B8,'VS×ケイパビリティ関係'!$G$4:$G$282,D$5,'VS×ケイパビリティ関係'!$E$4:$E$282,"支援")&gt;0,"○",""))</f>
        <v/>
      </c>
      <c r="E8" s="18">
        <f>IF(COUNTIFS('VS×ケイパビリティ関係'!$F$4:$F$282,$B8,'VS×ケイパビリティ関係'!$G$4:$G$282,E$5,'VS×ケイパビリティ関係'!$E$4:$E$282,"主")&gt;0,"●",IF(COUNTIFS('VS×ケイパビリティ関係'!$F$4:$F$282,$B8,'VS×ケイパビリティ関係'!$G$4:$G$282,E$5,'VS×ケイパビリティ関係'!$E$4:$E$282,"支援")&gt;0,"○",""))</f>
        <v/>
      </c>
      <c r="F8" s="18">
        <f>IF(COUNTIFS('VS×ケイパビリティ関係'!$F$4:$F$282,$B8,'VS×ケイパビリティ関係'!$G$4:$G$282,F$5,'VS×ケイパビリティ関係'!$E$4:$E$282,"主")&gt;0,"●",IF(COUNTIFS('VS×ケイパビリティ関係'!$F$4:$F$282,$B8,'VS×ケイパビリティ関係'!$G$4:$G$282,F$5,'VS×ケイパビリティ関係'!$E$4:$E$282,"支援")&gt;0,"○",""))</f>
        <v/>
      </c>
      <c r="G8" s="18">
        <f>IF(COUNTIFS('VS×ケイパビリティ関係'!$F$4:$F$282,$B8,'VS×ケイパビリティ関係'!$G$4:$G$282,G$5,'VS×ケイパビリティ関係'!$E$4:$E$282,"主")&gt;0,"●",IF(COUNTIFS('VS×ケイパビリティ関係'!$F$4:$F$282,$B8,'VS×ケイパビリティ関係'!$G$4:$G$282,G$5,'VS×ケイパビリティ関係'!$E$4:$E$282,"支援")&gt;0,"○",""))</f>
        <v/>
      </c>
      <c r="H8" s="18">
        <f>IF(COUNTIFS('VS×ケイパビリティ関係'!$F$4:$F$282,$B8,'VS×ケイパビリティ関係'!$G$4:$G$282,H$5,'VS×ケイパビリティ関係'!$E$4:$E$282,"主")&gt;0,"●",IF(COUNTIFS('VS×ケイパビリティ関係'!$F$4:$F$282,$B8,'VS×ケイパビリティ関係'!$G$4:$G$282,H$5,'VS×ケイパビリティ関係'!$E$4:$E$282,"支援")&gt;0,"○",""))</f>
        <v/>
      </c>
      <c r="I8" s="18">
        <f>IF(COUNTIFS('VS×ケイパビリティ関係'!$F$4:$F$282,$B8,'VS×ケイパビリティ関係'!$G$4:$G$282,I$5,'VS×ケイパビリティ関係'!$E$4:$E$282,"主")&gt;0,"●",IF(COUNTIFS('VS×ケイパビリティ関係'!$F$4:$F$282,$B8,'VS×ケイパビリティ関係'!$G$4:$G$282,I$5,'VS×ケイパビリティ関係'!$E$4:$E$282,"支援")&gt;0,"○",""))</f>
        <v/>
      </c>
      <c r="J8" s="18">
        <f>IF(COUNTIFS('VS×ケイパビリティ関係'!$F$4:$F$282,$B8,'VS×ケイパビリティ関係'!$G$4:$G$282,J$5,'VS×ケイパビリティ関係'!$E$4:$E$282,"主")&gt;0,"●",IF(COUNTIFS('VS×ケイパビリティ関係'!$F$4:$F$282,$B8,'VS×ケイパビリティ関係'!$G$4:$G$282,J$5,'VS×ケイパビリティ関係'!$E$4:$E$282,"支援")&gt;0,"○",""))</f>
        <v/>
      </c>
      <c r="K8" s="18">
        <f>IF(COUNTIFS('VS×ケイパビリティ関係'!$F$4:$F$282,$B8,'VS×ケイパビリティ関係'!$G$4:$G$282,K$5,'VS×ケイパビリティ関係'!$E$4:$E$282,"主")&gt;0,"●",IF(COUNTIFS('VS×ケイパビリティ関係'!$F$4:$F$282,$B8,'VS×ケイパビリティ関係'!$G$4:$G$282,K$5,'VS×ケイパビリティ関係'!$E$4:$E$282,"支援")&gt;0,"○",""))</f>
        <v/>
      </c>
      <c r="L8" s="18">
        <f>IF(COUNTIFS('VS×ケイパビリティ関係'!$F$4:$F$282,$B8,'VS×ケイパビリティ関係'!$G$4:$G$282,L$5,'VS×ケイパビリティ関係'!$E$4:$E$282,"主")&gt;0,"●",IF(COUNTIFS('VS×ケイパビリティ関係'!$F$4:$F$282,$B8,'VS×ケイパビリティ関係'!$G$4:$G$282,L$5,'VS×ケイパビリティ関係'!$E$4:$E$282,"支援")&gt;0,"○",""))</f>
        <v/>
      </c>
      <c r="M8" s="18">
        <f>IF(COUNTIFS('VS×ケイパビリティ関係'!$F$4:$F$282,$B8,'VS×ケイパビリティ関係'!$G$4:$G$282,M$5,'VS×ケイパビリティ関係'!$E$4:$E$282,"主")&gt;0,"●",IF(COUNTIFS('VS×ケイパビリティ関係'!$F$4:$F$282,$B8,'VS×ケイパビリティ関係'!$G$4:$G$282,M$5,'VS×ケイパビリティ関係'!$E$4:$E$282,"支援")&gt;0,"○",""))</f>
        <v/>
      </c>
      <c r="N8" s="18">
        <f>IF(COUNTIFS('VS×ケイパビリティ関係'!$F$4:$F$282,$B8,'VS×ケイパビリティ関係'!$G$4:$G$282,N$5,'VS×ケイパビリティ関係'!$E$4:$E$282,"主")&gt;0,"●",IF(COUNTIFS('VS×ケイパビリティ関係'!$F$4:$F$282,$B8,'VS×ケイパビリティ関係'!$G$4:$G$282,N$5,'VS×ケイパビリティ関係'!$E$4:$E$282,"支援")&gt;0,"○",""))</f>
        <v/>
      </c>
      <c r="O8" s="18">
        <f>IF(COUNTIFS('VS×ケイパビリティ関係'!$F$4:$F$282,$B8,'VS×ケイパビリティ関係'!$G$4:$G$282,O$5,'VS×ケイパビリティ関係'!$E$4:$E$282,"主")&gt;0,"●",IF(COUNTIFS('VS×ケイパビリティ関係'!$F$4:$F$282,$B8,'VS×ケイパビリティ関係'!$G$4:$G$282,O$5,'VS×ケイパビリティ関係'!$E$4:$E$282,"支援")&gt;0,"○",""))</f>
        <v/>
      </c>
      <c r="P8" s="18">
        <f>IF(COUNTIFS('VS×ケイパビリティ関係'!$F$4:$F$282,$B8,'VS×ケイパビリティ関係'!$G$4:$G$282,P$5,'VS×ケイパビリティ関係'!$E$4:$E$282,"主")&gt;0,"●",IF(COUNTIFS('VS×ケイパビリティ関係'!$F$4:$F$282,$B8,'VS×ケイパビリティ関係'!$G$4:$G$282,P$5,'VS×ケイパビリティ関係'!$E$4:$E$282,"支援")&gt;0,"○",""))</f>
        <v/>
      </c>
      <c r="Q8" s="18">
        <f>IF(COUNTIFS('VS×ケイパビリティ関係'!$F$4:$F$282,$B8,'VS×ケイパビリティ関係'!$G$4:$G$282,Q$5,'VS×ケイパビリティ関係'!$E$4:$E$282,"主")&gt;0,"●",IF(COUNTIFS('VS×ケイパビリティ関係'!$F$4:$F$282,$B8,'VS×ケイパビリティ関係'!$G$4:$G$282,Q$5,'VS×ケイパビリティ関係'!$E$4:$E$282,"支援")&gt;0,"○",""))</f>
        <v/>
      </c>
      <c r="R8" s="18">
        <f>IF(COUNTIFS('VS×ケイパビリティ関係'!$F$4:$F$282,$B8,'VS×ケイパビリティ関係'!$G$4:$G$282,R$5,'VS×ケイパビリティ関係'!$E$4:$E$282,"主")&gt;0,"●",IF(COUNTIFS('VS×ケイパビリティ関係'!$F$4:$F$282,$B8,'VS×ケイパビリティ関係'!$G$4:$G$282,R$5,'VS×ケイパビリティ関係'!$E$4:$E$282,"支援")&gt;0,"○",""))</f>
        <v/>
      </c>
      <c r="S8" s="18">
        <f>IF(COUNTIFS('VS×ケイパビリティ関係'!$F$4:$F$282,$B8,'VS×ケイパビリティ関係'!$G$4:$G$282,S$5,'VS×ケイパビリティ関係'!$E$4:$E$282,"主")&gt;0,"●",IF(COUNTIFS('VS×ケイパビリティ関係'!$F$4:$F$282,$B8,'VS×ケイパビリティ関係'!$G$4:$G$282,S$5,'VS×ケイパビリティ関係'!$E$4:$E$282,"支援")&gt;0,"○",""))</f>
        <v/>
      </c>
      <c r="T8" s="18">
        <f>IF(COUNTIFS('VS×ケイパビリティ関係'!$F$4:$F$282,$B8,'VS×ケイパビリティ関係'!$G$4:$G$282,T$5,'VS×ケイパビリティ関係'!$E$4:$E$282,"主")&gt;0,"●",IF(COUNTIFS('VS×ケイパビリティ関係'!$F$4:$F$282,$B8,'VS×ケイパビリティ関係'!$G$4:$G$282,T$5,'VS×ケイパビリティ関係'!$E$4:$E$282,"支援")&gt;0,"○",""))</f>
        <v/>
      </c>
      <c r="U8" s="18">
        <f>IF(COUNTIFS('VS×ケイパビリティ関係'!$F$4:$F$282,$B8,'VS×ケイパビリティ関係'!$G$4:$G$282,U$5,'VS×ケイパビリティ関係'!$E$4:$E$282,"主")&gt;0,"●",IF(COUNTIFS('VS×ケイパビリティ関係'!$F$4:$F$282,$B8,'VS×ケイパビリティ関係'!$G$4:$G$282,U$5,'VS×ケイパビリティ関係'!$E$4:$E$282,"支援")&gt;0,"○",""))</f>
        <v/>
      </c>
      <c r="V8" s="18">
        <f>COUNTIF(D8:U8,"●")</f>
        <v/>
      </c>
      <c r="W8" s="18">
        <f>COUNTIF(D8:U8,"○")</f>
        <v/>
      </c>
    </row>
    <row r="9">
      <c r="A9" s="42" t="inlineStr">
        <is>
          <t>02 サプライヤー選定・見積</t>
        </is>
      </c>
      <c r="B9" s="18" t="inlineStr">
        <is>
          <t>02-01</t>
        </is>
      </c>
      <c r="C9" s="20" t="inlineStr">
        <is>
          <t>調達戦略の適用</t>
        </is>
      </c>
      <c r="D9" s="18">
        <f>IF(COUNTIFS('VS×ケイパビリティ関係'!$F$4:$F$282,$B9,'VS×ケイパビリティ関係'!$G$4:$G$282,D$5,'VS×ケイパビリティ関係'!$E$4:$E$282,"主")&gt;0,"●",IF(COUNTIFS('VS×ケイパビリティ関係'!$F$4:$F$282,$B9,'VS×ケイパビリティ関係'!$G$4:$G$282,D$5,'VS×ケイパビリティ関係'!$E$4:$E$282,"支援")&gt;0,"○",""))</f>
        <v/>
      </c>
      <c r="E9" s="18">
        <f>IF(COUNTIFS('VS×ケイパビリティ関係'!$F$4:$F$282,$B9,'VS×ケイパビリティ関係'!$G$4:$G$282,E$5,'VS×ケイパビリティ関係'!$E$4:$E$282,"主")&gt;0,"●",IF(COUNTIFS('VS×ケイパビリティ関係'!$F$4:$F$282,$B9,'VS×ケイパビリティ関係'!$G$4:$G$282,E$5,'VS×ケイパビリティ関係'!$E$4:$E$282,"支援")&gt;0,"○",""))</f>
        <v/>
      </c>
      <c r="F9" s="18">
        <f>IF(COUNTIFS('VS×ケイパビリティ関係'!$F$4:$F$282,$B9,'VS×ケイパビリティ関係'!$G$4:$G$282,F$5,'VS×ケイパビリティ関係'!$E$4:$E$282,"主")&gt;0,"●",IF(COUNTIFS('VS×ケイパビリティ関係'!$F$4:$F$282,$B9,'VS×ケイパビリティ関係'!$G$4:$G$282,F$5,'VS×ケイパビリティ関係'!$E$4:$E$282,"支援")&gt;0,"○",""))</f>
        <v/>
      </c>
      <c r="G9" s="18">
        <f>IF(COUNTIFS('VS×ケイパビリティ関係'!$F$4:$F$282,$B9,'VS×ケイパビリティ関係'!$G$4:$G$282,G$5,'VS×ケイパビリティ関係'!$E$4:$E$282,"主")&gt;0,"●",IF(COUNTIFS('VS×ケイパビリティ関係'!$F$4:$F$282,$B9,'VS×ケイパビリティ関係'!$G$4:$G$282,G$5,'VS×ケイパビリティ関係'!$E$4:$E$282,"支援")&gt;0,"○",""))</f>
        <v/>
      </c>
      <c r="H9" s="18">
        <f>IF(COUNTIFS('VS×ケイパビリティ関係'!$F$4:$F$282,$B9,'VS×ケイパビリティ関係'!$G$4:$G$282,H$5,'VS×ケイパビリティ関係'!$E$4:$E$282,"主")&gt;0,"●",IF(COUNTIFS('VS×ケイパビリティ関係'!$F$4:$F$282,$B9,'VS×ケイパビリティ関係'!$G$4:$G$282,H$5,'VS×ケイパビリティ関係'!$E$4:$E$282,"支援")&gt;0,"○",""))</f>
        <v/>
      </c>
      <c r="I9" s="18">
        <f>IF(COUNTIFS('VS×ケイパビリティ関係'!$F$4:$F$282,$B9,'VS×ケイパビリティ関係'!$G$4:$G$282,I$5,'VS×ケイパビリティ関係'!$E$4:$E$282,"主")&gt;0,"●",IF(COUNTIFS('VS×ケイパビリティ関係'!$F$4:$F$282,$B9,'VS×ケイパビリティ関係'!$G$4:$G$282,I$5,'VS×ケイパビリティ関係'!$E$4:$E$282,"支援")&gt;0,"○",""))</f>
        <v/>
      </c>
      <c r="J9" s="18">
        <f>IF(COUNTIFS('VS×ケイパビリティ関係'!$F$4:$F$282,$B9,'VS×ケイパビリティ関係'!$G$4:$G$282,J$5,'VS×ケイパビリティ関係'!$E$4:$E$282,"主")&gt;0,"●",IF(COUNTIFS('VS×ケイパビリティ関係'!$F$4:$F$282,$B9,'VS×ケイパビリティ関係'!$G$4:$G$282,J$5,'VS×ケイパビリティ関係'!$E$4:$E$282,"支援")&gt;0,"○",""))</f>
        <v/>
      </c>
      <c r="K9" s="18">
        <f>IF(COUNTIFS('VS×ケイパビリティ関係'!$F$4:$F$282,$B9,'VS×ケイパビリティ関係'!$G$4:$G$282,K$5,'VS×ケイパビリティ関係'!$E$4:$E$282,"主")&gt;0,"●",IF(COUNTIFS('VS×ケイパビリティ関係'!$F$4:$F$282,$B9,'VS×ケイパビリティ関係'!$G$4:$G$282,K$5,'VS×ケイパビリティ関係'!$E$4:$E$282,"支援")&gt;0,"○",""))</f>
        <v/>
      </c>
      <c r="L9" s="18">
        <f>IF(COUNTIFS('VS×ケイパビリティ関係'!$F$4:$F$282,$B9,'VS×ケイパビリティ関係'!$G$4:$G$282,L$5,'VS×ケイパビリティ関係'!$E$4:$E$282,"主")&gt;0,"●",IF(COUNTIFS('VS×ケイパビリティ関係'!$F$4:$F$282,$B9,'VS×ケイパビリティ関係'!$G$4:$G$282,L$5,'VS×ケイパビリティ関係'!$E$4:$E$282,"支援")&gt;0,"○",""))</f>
        <v/>
      </c>
      <c r="M9" s="18">
        <f>IF(COUNTIFS('VS×ケイパビリティ関係'!$F$4:$F$282,$B9,'VS×ケイパビリティ関係'!$G$4:$G$282,M$5,'VS×ケイパビリティ関係'!$E$4:$E$282,"主")&gt;0,"●",IF(COUNTIFS('VS×ケイパビリティ関係'!$F$4:$F$282,$B9,'VS×ケイパビリティ関係'!$G$4:$G$282,M$5,'VS×ケイパビリティ関係'!$E$4:$E$282,"支援")&gt;0,"○",""))</f>
        <v/>
      </c>
      <c r="N9" s="18">
        <f>IF(COUNTIFS('VS×ケイパビリティ関係'!$F$4:$F$282,$B9,'VS×ケイパビリティ関係'!$G$4:$G$282,N$5,'VS×ケイパビリティ関係'!$E$4:$E$282,"主")&gt;0,"●",IF(COUNTIFS('VS×ケイパビリティ関係'!$F$4:$F$282,$B9,'VS×ケイパビリティ関係'!$G$4:$G$282,N$5,'VS×ケイパビリティ関係'!$E$4:$E$282,"支援")&gt;0,"○",""))</f>
        <v/>
      </c>
      <c r="O9" s="18">
        <f>IF(COUNTIFS('VS×ケイパビリティ関係'!$F$4:$F$282,$B9,'VS×ケイパビリティ関係'!$G$4:$G$282,O$5,'VS×ケイパビリティ関係'!$E$4:$E$282,"主")&gt;0,"●",IF(COUNTIFS('VS×ケイパビリティ関係'!$F$4:$F$282,$B9,'VS×ケイパビリティ関係'!$G$4:$G$282,O$5,'VS×ケイパビリティ関係'!$E$4:$E$282,"支援")&gt;0,"○",""))</f>
        <v/>
      </c>
      <c r="P9" s="18">
        <f>IF(COUNTIFS('VS×ケイパビリティ関係'!$F$4:$F$282,$B9,'VS×ケイパビリティ関係'!$G$4:$G$282,P$5,'VS×ケイパビリティ関係'!$E$4:$E$282,"主")&gt;0,"●",IF(COUNTIFS('VS×ケイパビリティ関係'!$F$4:$F$282,$B9,'VS×ケイパビリティ関係'!$G$4:$G$282,P$5,'VS×ケイパビリティ関係'!$E$4:$E$282,"支援")&gt;0,"○",""))</f>
        <v/>
      </c>
      <c r="Q9" s="18">
        <f>IF(COUNTIFS('VS×ケイパビリティ関係'!$F$4:$F$282,$B9,'VS×ケイパビリティ関係'!$G$4:$G$282,Q$5,'VS×ケイパビリティ関係'!$E$4:$E$282,"主")&gt;0,"●",IF(COUNTIFS('VS×ケイパビリティ関係'!$F$4:$F$282,$B9,'VS×ケイパビリティ関係'!$G$4:$G$282,Q$5,'VS×ケイパビリティ関係'!$E$4:$E$282,"支援")&gt;0,"○",""))</f>
        <v/>
      </c>
      <c r="R9" s="18">
        <f>IF(COUNTIFS('VS×ケイパビリティ関係'!$F$4:$F$282,$B9,'VS×ケイパビリティ関係'!$G$4:$G$282,R$5,'VS×ケイパビリティ関係'!$E$4:$E$282,"主")&gt;0,"●",IF(COUNTIFS('VS×ケイパビリティ関係'!$F$4:$F$282,$B9,'VS×ケイパビリティ関係'!$G$4:$G$282,R$5,'VS×ケイパビリティ関係'!$E$4:$E$282,"支援")&gt;0,"○",""))</f>
        <v/>
      </c>
      <c r="S9" s="18">
        <f>IF(COUNTIFS('VS×ケイパビリティ関係'!$F$4:$F$282,$B9,'VS×ケイパビリティ関係'!$G$4:$G$282,S$5,'VS×ケイパビリティ関係'!$E$4:$E$282,"主")&gt;0,"●",IF(COUNTIFS('VS×ケイパビリティ関係'!$F$4:$F$282,$B9,'VS×ケイパビリティ関係'!$G$4:$G$282,S$5,'VS×ケイパビリティ関係'!$E$4:$E$282,"支援")&gt;0,"○",""))</f>
        <v/>
      </c>
      <c r="T9" s="18">
        <f>IF(COUNTIFS('VS×ケイパビリティ関係'!$F$4:$F$282,$B9,'VS×ケイパビリティ関係'!$G$4:$G$282,T$5,'VS×ケイパビリティ関係'!$E$4:$E$282,"主")&gt;0,"●",IF(COUNTIFS('VS×ケイパビリティ関係'!$F$4:$F$282,$B9,'VS×ケイパビリティ関係'!$G$4:$G$282,T$5,'VS×ケイパビリティ関係'!$E$4:$E$282,"支援")&gt;0,"○",""))</f>
        <v/>
      </c>
      <c r="U9" s="18">
        <f>IF(COUNTIFS('VS×ケイパビリティ関係'!$F$4:$F$282,$B9,'VS×ケイパビリティ関係'!$G$4:$G$282,U$5,'VS×ケイパビリティ関係'!$E$4:$E$282,"主")&gt;0,"●",IF(COUNTIFS('VS×ケイパビリティ関係'!$F$4:$F$282,$B9,'VS×ケイパビリティ関係'!$G$4:$G$282,U$5,'VS×ケイパビリティ関係'!$E$4:$E$282,"支援")&gt;0,"○",""))</f>
        <v/>
      </c>
      <c r="V9" s="18">
        <f>COUNTIF(D9:U9,"●")</f>
        <v/>
      </c>
      <c r="W9" s="18">
        <f>COUNTIF(D9:U9,"○")</f>
        <v/>
      </c>
    </row>
    <row r="10">
      <c r="A10" s="42" t="n"/>
      <c r="B10" s="18" t="inlineStr">
        <is>
          <t>02-02</t>
        </is>
      </c>
      <c r="C10" s="20" t="inlineStr">
        <is>
          <t>サプライヤー探索・登録</t>
        </is>
      </c>
      <c r="D10" s="18">
        <f>IF(COUNTIFS('VS×ケイパビリティ関係'!$F$4:$F$282,$B10,'VS×ケイパビリティ関係'!$G$4:$G$282,D$5,'VS×ケイパビリティ関係'!$E$4:$E$282,"主")&gt;0,"●",IF(COUNTIFS('VS×ケイパビリティ関係'!$F$4:$F$282,$B10,'VS×ケイパビリティ関係'!$G$4:$G$282,D$5,'VS×ケイパビリティ関係'!$E$4:$E$282,"支援")&gt;0,"○",""))</f>
        <v/>
      </c>
      <c r="E10" s="18">
        <f>IF(COUNTIFS('VS×ケイパビリティ関係'!$F$4:$F$282,$B10,'VS×ケイパビリティ関係'!$G$4:$G$282,E$5,'VS×ケイパビリティ関係'!$E$4:$E$282,"主")&gt;0,"●",IF(COUNTIFS('VS×ケイパビリティ関係'!$F$4:$F$282,$B10,'VS×ケイパビリティ関係'!$G$4:$G$282,E$5,'VS×ケイパビリティ関係'!$E$4:$E$282,"支援")&gt;0,"○",""))</f>
        <v/>
      </c>
      <c r="F10" s="18">
        <f>IF(COUNTIFS('VS×ケイパビリティ関係'!$F$4:$F$282,$B10,'VS×ケイパビリティ関係'!$G$4:$G$282,F$5,'VS×ケイパビリティ関係'!$E$4:$E$282,"主")&gt;0,"●",IF(COUNTIFS('VS×ケイパビリティ関係'!$F$4:$F$282,$B10,'VS×ケイパビリティ関係'!$G$4:$G$282,F$5,'VS×ケイパビリティ関係'!$E$4:$E$282,"支援")&gt;0,"○",""))</f>
        <v/>
      </c>
      <c r="G10" s="18">
        <f>IF(COUNTIFS('VS×ケイパビリティ関係'!$F$4:$F$282,$B10,'VS×ケイパビリティ関係'!$G$4:$G$282,G$5,'VS×ケイパビリティ関係'!$E$4:$E$282,"主")&gt;0,"●",IF(COUNTIFS('VS×ケイパビリティ関係'!$F$4:$F$282,$B10,'VS×ケイパビリティ関係'!$G$4:$G$282,G$5,'VS×ケイパビリティ関係'!$E$4:$E$282,"支援")&gt;0,"○",""))</f>
        <v/>
      </c>
      <c r="H10" s="18">
        <f>IF(COUNTIFS('VS×ケイパビリティ関係'!$F$4:$F$282,$B10,'VS×ケイパビリティ関係'!$G$4:$G$282,H$5,'VS×ケイパビリティ関係'!$E$4:$E$282,"主")&gt;0,"●",IF(COUNTIFS('VS×ケイパビリティ関係'!$F$4:$F$282,$B10,'VS×ケイパビリティ関係'!$G$4:$G$282,H$5,'VS×ケイパビリティ関係'!$E$4:$E$282,"支援")&gt;0,"○",""))</f>
        <v/>
      </c>
      <c r="I10" s="18">
        <f>IF(COUNTIFS('VS×ケイパビリティ関係'!$F$4:$F$282,$B10,'VS×ケイパビリティ関係'!$G$4:$G$282,I$5,'VS×ケイパビリティ関係'!$E$4:$E$282,"主")&gt;0,"●",IF(COUNTIFS('VS×ケイパビリティ関係'!$F$4:$F$282,$B10,'VS×ケイパビリティ関係'!$G$4:$G$282,I$5,'VS×ケイパビリティ関係'!$E$4:$E$282,"支援")&gt;0,"○",""))</f>
        <v/>
      </c>
      <c r="J10" s="18">
        <f>IF(COUNTIFS('VS×ケイパビリティ関係'!$F$4:$F$282,$B10,'VS×ケイパビリティ関係'!$G$4:$G$282,J$5,'VS×ケイパビリティ関係'!$E$4:$E$282,"主")&gt;0,"●",IF(COUNTIFS('VS×ケイパビリティ関係'!$F$4:$F$282,$B10,'VS×ケイパビリティ関係'!$G$4:$G$282,J$5,'VS×ケイパビリティ関係'!$E$4:$E$282,"支援")&gt;0,"○",""))</f>
        <v/>
      </c>
      <c r="K10" s="18">
        <f>IF(COUNTIFS('VS×ケイパビリティ関係'!$F$4:$F$282,$B10,'VS×ケイパビリティ関係'!$G$4:$G$282,K$5,'VS×ケイパビリティ関係'!$E$4:$E$282,"主")&gt;0,"●",IF(COUNTIFS('VS×ケイパビリティ関係'!$F$4:$F$282,$B10,'VS×ケイパビリティ関係'!$G$4:$G$282,K$5,'VS×ケイパビリティ関係'!$E$4:$E$282,"支援")&gt;0,"○",""))</f>
        <v/>
      </c>
      <c r="L10" s="18">
        <f>IF(COUNTIFS('VS×ケイパビリティ関係'!$F$4:$F$282,$B10,'VS×ケイパビリティ関係'!$G$4:$G$282,L$5,'VS×ケイパビリティ関係'!$E$4:$E$282,"主")&gt;0,"●",IF(COUNTIFS('VS×ケイパビリティ関係'!$F$4:$F$282,$B10,'VS×ケイパビリティ関係'!$G$4:$G$282,L$5,'VS×ケイパビリティ関係'!$E$4:$E$282,"支援")&gt;0,"○",""))</f>
        <v/>
      </c>
      <c r="M10" s="18">
        <f>IF(COUNTIFS('VS×ケイパビリティ関係'!$F$4:$F$282,$B10,'VS×ケイパビリティ関係'!$G$4:$G$282,M$5,'VS×ケイパビリティ関係'!$E$4:$E$282,"主")&gt;0,"●",IF(COUNTIFS('VS×ケイパビリティ関係'!$F$4:$F$282,$B10,'VS×ケイパビリティ関係'!$G$4:$G$282,M$5,'VS×ケイパビリティ関係'!$E$4:$E$282,"支援")&gt;0,"○",""))</f>
        <v/>
      </c>
      <c r="N10" s="18">
        <f>IF(COUNTIFS('VS×ケイパビリティ関係'!$F$4:$F$282,$B10,'VS×ケイパビリティ関係'!$G$4:$G$282,N$5,'VS×ケイパビリティ関係'!$E$4:$E$282,"主")&gt;0,"●",IF(COUNTIFS('VS×ケイパビリティ関係'!$F$4:$F$282,$B10,'VS×ケイパビリティ関係'!$G$4:$G$282,N$5,'VS×ケイパビリティ関係'!$E$4:$E$282,"支援")&gt;0,"○",""))</f>
        <v/>
      </c>
      <c r="O10" s="18">
        <f>IF(COUNTIFS('VS×ケイパビリティ関係'!$F$4:$F$282,$B10,'VS×ケイパビリティ関係'!$G$4:$G$282,O$5,'VS×ケイパビリティ関係'!$E$4:$E$282,"主")&gt;0,"●",IF(COUNTIFS('VS×ケイパビリティ関係'!$F$4:$F$282,$B10,'VS×ケイパビリティ関係'!$G$4:$G$282,O$5,'VS×ケイパビリティ関係'!$E$4:$E$282,"支援")&gt;0,"○",""))</f>
        <v/>
      </c>
      <c r="P10" s="18">
        <f>IF(COUNTIFS('VS×ケイパビリティ関係'!$F$4:$F$282,$B10,'VS×ケイパビリティ関係'!$G$4:$G$282,P$5,'VS×ケイパビリティ関係'!$E$4:$E$282,"主")&gt;0,"●",IF(COUNTIFS('VS×ケイパビリティ関係'!$F$4:$F$282,$B10,'VS×ケイパビリティ関係'!$G$4:$G$282,P$5,'VS×ケイパビリティ関係'!$E$4:$E$282,"支援")&gt;0,"○",""))</f>
        <v/>
      </c>
      <c r="Q10" s="18">
        <f>IF(COUNTIFS('VS×ケイパビリティ関係'!$F$4:$F$282,$B10,'VS×ケイパビリティ関係'!$G$4:$G$282,Q$5,'VS×ケイパビリティ関係'!$E$4:$E$282,"主")&gt;0,"●",IF(COUNTIFS('VS×ケイパビリティ関係'!$F$4:$F$282,$B10,'VS×ケイパビリティ関係'!$G$4:$G$282,Q$5,'VS×ケイパビリティ関係'!$E$4:$E$282,"支援")&gt;0,"○",""))</f>
        <v/>
      </c>
      <c r="R10" s="18">
        <f>IF(COUNTIFS('VS×ケイパビリティ関係'!$F$4:$F$282,$B10,'VS×ケイパビリティ関係'!$G$4:$G$282,R$5,'VS×ケイパビリティ関係'!$E$4:$E$282,"主")&gt;0,"●",IF(COUNTIFS('VS×ケイパビリティ関係'!$F$4:$F$282,$B10,'VS×ケイパビリティ関係'!$G$4:$G$282,R$5,'VS×ケイパビリティ関係'!$E$4:$E$282,"支援")&gt;0,"○",""))</f>
        <v/>
      </c>
      <c r="S10" s="18">
        <f>IF(COUNTIFS('VS×ケイパビリティ関係'!$F$4:$F$282,$B10,'VS×ケイパビリティ関係'!$G$4:$G$282,S$5,'VS×ケイパビリティ関係'!$E$4:$E$282,"主")&gt;0,"●",IF(COUNTIFS('VS×ケイパビリティ関係'!$F$4:$F$282,$B10,'VS×ケイパビリティ関係'!$G$4:$G$282,S$5,'VS×ケイパビリティ関係'!$E$4:$E$282,"支援")&gt;0,"○",""))</f>
        <v/>
      </c>
      <c r="T10" s="18">
        <f>IF(COUNTIFS('VS×ケイパビリティ関係'!$F$4:$F$282,$B10,'VS×ケイパビリティ関係'!$G$4:$G$282,T$5,'VS×ケイパビリティ関係'!$E$4:$E$282,"主")&gt;0,"●",IF(COUNTIFS('VS×ケイパビリティ関係'!$F$4:$F$282,$B10,'VS×ケイパビリティ関係'!$G$4:$G$282,T$5,'VS×ケイパビリティ関係'!$E$4:$E$282,"支援")&gt;0,"○",""))</f>
        <v/>
      </c>
      <c r="U10" s="18">
        <f>IF(COUNTIFS('VS×ケイパビリティ関係'!$F$4:$F$282,$B10,'VS×ケイパビリティ関係'!$G$4:$G$282,U$5,'VS×ケイパビリティ関係'!$E$4:$E$282,"主")&gt;0,"●",IF(COUNTIFS('VS×ケイパビリティ関係'!$F$4:$F$282,$B10,'VS×ケイパビリティ関係'!$G$4:$G$282,U$5,'VS×ケイパビリティ関係'!$E$4:$E$282,"支援")&gt;0,"○",""))</f>
        <v/>
      </c>
      <c r="V10" s="18">
        <f>COUNTIF(D10:U10,"●")</f>
        <v/>
      </c>
      <c r="W10" s="18">
        <f>COUNTIF(D10:U10,"○")</f>
        <v/>
      </c>
    </row>
    <row r="11">
      <c r="A11" s="42" t="n"/>
      <c r="B11" s="18" t="inlineStr">
        <is>
          <t>02-03</t>
        </is>
      </c>
      <c r="C11" s="20" t="inlineStr">
        <is>
          <t>RFP/RFQ・見積比較</t>
        </is>
      </c>
      <c r="D11" s="18">
        <f>IF(COUNTIFS('VS×ケイパビリティ関係'!$F$4:$F$282,$B11,'VS×ケイパビリティ関係'!$G$4:$G$282,D$5,'VS×ケイパビリティ関係'!$E$4:$E$282,"主")&gt;0,"●",IF(COUNTIFS('VS×ケイパビリティ関係'!$F$4:$F$282,$B11,'VS×ケイパビリティ関係'!$G$4:$G$282,D$5,'VS×ケイパビリティ関係'!$E$4:$E$282,"支援")&gt;0,"○",""))</f>
        <v/>
      </c>
      <c r="E11" s="18">
        <f>IF(COUNTIFS('VS×ケイパビリティ関係'!$F$4:$F$282,$B11,'VS×ケイパビリティ関係'!$G$4:$G$282,E$5,'VS×ケイパビリティ関係'!$E$4:$E$282,"主")&gt;0,"●",IF(COUNTIFS('VS×ケイパビリティ関係'!$F$4:$F$282,$B11,'VS×ケイパビリティ関係'!$G$4:$G$282,E$5,'VS×ケイパビリティ関係'!$E$4:$E$282,"支援")&gt;0,"○",""))</f>
        <v/>
      </c>
      <c r="F11" s="18">
        <f>IF(COUNTIFS('VS×ケイパビリティ関係'!$F$4:$F$282,$B11,'VS×ケイパビリティ関係'!$G$4:$G$282,F$5,'VS×ケイパビリティ関係'!$E$4:$E$282,"主")&gt;0,"●",IF(COUNTIFS('VS×ケイパビリティ関係'!$F$4:$F$282,$B11,'VS×ケイパビリティ関係'!$G$4:$G$282,F$5,'VS×ケイパビリティ関係'!$E$4:$E$282,"支援")&gt;0,"○",""))</f>
        <v/>
      </c>
      <c r="G11" s="18">
        <f>IF(COUNTIFS('VS×ケイパビリティ関係'!$F$4:$F$282,$B11,'VS×ケイパビリティ関係'!$G$4:$G$282,G$5,'VS×ケイパビリティ関係'!$E$4:$E$282,"主")&gt;0,"●",IF(COUNTIFS('VS×ケイパビリティ関係'!$F$4:$F$282,$B11,'VS×ケイパビリティ関係'!$G$4:$G$282,G$5,'VS×ケイパビリティ関係'!$E$4:$E$282,"支援")&gt;0,"○",""))</f>
        <v/>
      </c>
      <c r="H11" s="18">
        <f>IF(COUNTIFS('VS×ケイパビリティ関係'!$F$4:$F$282,$B11,'VS×ケイパビリティ関係'!$G$4:$G$282,H$5,'VS×ケイパビリティ関係'!$E$4:$E$282,"主")&gt;0,"●",IF(COUNTIFS('VS×ケイパビリティ関係'!$F$4:$F$282,$B11,'VS×ケイパビリティ関係'!$G$4:$G$282,H$5,'VS×ケイパビリティ関係'!$E$4:$E$282,"支援")&gt;0,"○",""))</f>
        <v/>
      </c>
      <c r="I11" s="18">
        <f>IF(COUNTIFS('VS×ケイパビリティ関係'!$F$4:$F$282,$B11,'VS×ケイパビリティ関係'!$G$4:$G$282,I$5,'VS×ケイパビリティ関係'!$E$4:$E$282,"主")&gt;0,"●",IF(COUNTIFS('VS×ケイパビリティ関係'!$F$4:$F$282,$B11,'VS×ケイパビリティ関係'!$G$4:$G$282,I$5,'VS×ケイパビリティ関係'!$E$4:$E$282,"支援")&gt;0,"○",""))</f>
        <v/>
      </c>
      <c r="J11" s="18">
        <f>IF(COUNTIFS('VS×ケイパビリティ関係'!$F$4:$F$282,$B11,'VS×ケイパビリティ関係'!$G$4:$G$282,J$5,'VS×ケイパビリティ関係'!$E$4:$E$282,"主")&gt;0,"●",IF(COUNTIFS('VS×ケイパビリティ関係'!$F$4:$F$282,$B11,'VS×ケイパビリティ関係'!$G$4:$G$282,J$5,'VS×ケイパビリティ関係'!$E$4:$E$282,"支援")&gt;0,"○",""))</f>
        <v/>
      </c>
      <c r="K11" s="18">
        <f>IF(COUNTIFS('VS×ケイパビリティ関係'!$F$4:$F$282,$B11,'VS×ケイパビリティ関係'!$G$4:$G$282,K$5,'VS×ケイパビリティ関係'!$E$4:$E$282,"主")&gt;0,"●",IF(COUNTIFS('VS×ケイパビリティ関係'!$F$4:$F$282,$B11,'VS×ケイパビリティ関係'!$G$4:$G$282,K$5,'VS×ケイパビリティ関係'!$E$4:$E$282,"支援")&gt;0,"○",""))</f>
        <v/>
      </c>
      <c r="L11" s="18">
        <f>IF(COUNTIFS('VS×ケイパビリティ関係'!$F$4:$F$282,$B11,'VS×ケイパビリティ関係'!$G$4:$G$282,L$5,'VS×ケイパビリティ関係'!$E$4:$E$282,"主")&gt;0,"●",IF(COUNTIFS('VS×ケイパビリティ関係'!$F$4:$F$282,$B11,'VS×ケイパビリティ関係'!$G$4:$G$282,L$5,'VS×ケイパビリティ関係'!$E$4:$E$282,"支援")&gt;0,"○",""))</f>
        <v/>
      </c>
      <c r="M11" s="18">
        <f>IF(COUNTIFS('VS×ケイパビリティ関係'!$F$4:$F$282,$B11,'VS×ケイパビリティ関係'!$G$4:$G$282,M$5,'VS×ケイパビリティ関係'!$E$4:$E$282,"主")&gt;0,"●",IF(COUNTIFS('VS×ケイパビリティ関係'!$F$4:$F$282,$B11,'VS×ケイパビリティ関係'!$G$4:$G$282,M$5,'VS×ケイパビリティ関係'!$E$4:$E$282,"支援")&gt;0,"○",""))</f>
        <v/>
      </c>
      <c r="N11" s="18">
        <f>IF(COUNTIFS('VS×ケイパビリティ関係'!$F$4:$F$282,$B11,'VS×ケイパビリティ関係'!$G$4:$G$282,N$5,'VS×ケイパビリティ関係'!$E$4:$E$282,"主")&gt;0,"●",IF(COUNTIFS('VS×ケイパビリティ関係'!$F$4:$F$282,$B11,'VS×ケイパビリティ関係'!$G$4:$G$282,N$5,'VS×ケイパビリティ関係'!$E$4:$E$282,"支援")&gt;0,"○",""))</f>
        <v/>
      </c>
      <c r="O11" s="18">
        <f>IF(COUNTIFS('VS×ケイパビリティ関係'!$F$4:$F$282,$B11,'VS×ケイパビリティ関係'!$G$4:$G$282,O$5,'VS×ケイパビリティ関係'!$E$4:$E$282,"主")&gt;0,"●",IF(COUNTIFS('VS×ケイパビリティ関係'!$F$4:$F$282,$B11,'VS×ケイパビリティ関係'!$G$4:$G$282,O$5,'VS×ケイパビリティ関係'!$E$4:$E$282,"支援")&gt;0,"○",""))</f>
        <v/>
      </c>
      <c r="P11" s="18">
        <f>IF(COUNTIFS('VS×ケイパビリティ関係'!$F$4:$F$282,$B11,'VS×ケイパビリティ関係'!$G$4:$G$282,P$5,'VS×ケイパビリティ関係'!$E$4:$E$282,"主")&gt;0,"●",IF(COUNTIFS('VS×ケイパビリティ関係'!$F$4:$F$282,$B11,'VS×ケイパビリティ関係'!$G$4:$G$282,P$5,'VS×ケイパビリティ関係'!$E$4:$E$282,"支援")&gt;0,"○",""))</f>
        <v/>
      </c>
      <c r="Q11" s="18">
        <f>IF(COUNTIFS('VS×ケイパビリティ関係'!$F$4:$F$282,$B11,'VS×ケイパビリティ関係'!$G$4:$G$282,Q$5,'VS×ケイパビリティ関係'!$E$4:$E$282,"主")&gt;0,"●",IF(COUNTIFS('VS×ケイパビリティ関係'!$F$4:$F$282,$B11,'VS×ケイパビリティ関係'!$G$4:$G$282,Q$5,'VS×ケイパビリティ関係'!$E$4:$E$282,"支援")&gt;0,"○",""))</f>
        <v/>
      </c>
      <c r="R11" s="18">
        <f>IF(COUNTIFS('VS×ケイパビリティ関係'!$F$4:$F$282,$B11,'VS×ケイパビリティ関係'!$G$4:$G$282,R$5,'VS×ケイパビリティ関係'!$E$4:$E$282,"主")&gt;0,"●",IF(COUNTIFS('VS×ケイパビリティ関係'!$F$4:$F$282,$B11,'VS×ケイパビリティ関係'!$G$4:$G$282,R$5,'VS×ケイパビリティ関係'!$E$4:$E$282,"支援")&gt;0,"○",""))</f>
        <v/>
      </c>
      <c r="S11" s="18">
        <f>IF(COUNTIFS('VS×ケイパビリティ関係'!$F$4:$F$282,$B11,'VS×ケイパビリティ関係'!$G$4:$G$282,S$5,'VS×ケイパビリティ関係'!$E$4:$E$282,"主")&gt;0,"●",IF(COUNTIFS('VS×ケイパビリティ関係'!$F$4:$F$282,$B11,'VS×ケイパビリティ関係'!$G$4:$G$282,S$5,'VS×ケイパビリティ関係'!$E$4:$E$282,"支援")&gt;0,"○",""))</f>
        <v/>
      </c>
      <c r="T11" s="18">
        <f>IF(COUNTIFS('VS×ケイパビリティ関係'!$F$4:$F$282,$B11,'VS×ケイパビリティ関係'!$G$4:$G$282,T$5,'VS×ケイパビリティ関係'!$E$4:$E$282,"主")&gt;0,"●",IF(COUNTIFS('VS×ケイパビリティ関係'!$F$4:$F$282,$B11,'VS×ケイパビリティ関係'!$G$4:$G$282,T$5,'VS×ケイパビリティ関係'!$E$4:$E$282,"支援")&gt;0,"○",""))</f>
        <v/>
      </c>
      <c r="U11" s="18">
        <f>IF(COUNTIFS('VS×ケイパビリティ関係'!$F$4:$F$282,$B11,'VS×ケイパビリティ関係'!$G$4:$G$282,U$5,'VS×ケイパビリティ関係'!$E$4:$E$282,"主")&gt;0,"●",IF(COUNTIFS('VS×ケイパビリティ関係'!$F$4:$F$282,$B11,'VS×ケイパビリティ関係'!$G$4:$G$282,U$5,'VS×ケイパビリティ関係'!$E$4:$E$282,"支援")&gt;0,"○",""))</f>
        <v/>
      </c>
      <c r="V11" s="18">
        <f>COUNTIF(D11:U11,"●")</f>
        <v/>
      </c>
      <c r="W11" s="18">
        <f>COUNTIF(D11:U11,"○")</f>
        <v/>
      </c>
    </row>
    <row r="12">
      <c r="A12" s="42" t="inlineStr">
        <is>
          <t>03 契約締結・発注</t>
        </is>
      </c>
      <c r="B12" s="18" t="inlineStr">
        <is>
          <t>03-01</t>
        </is>
      </c>
      <c r="C12" s="20" t="inlineStr">
        <is>
          <t>契約締結</t>
        </is>
      </c>
      <c r="D12" s="18">
        <f>IF(COUNTIFS('VS×ケイパビリティ関係'!$F$4:$F$282,$B12,'VS×ケイパビリティ関係'!$G$4:$G$282,D$5,'VS×ケイパビリティ関係'!$E$4:$E$282,"主")&gt;0,"●",IF(COUNTIFS('VS×ケイパビリティ関係'!$F$4:$F$282,$B12,'VS×ケイパビリティ関係'!$G$4:$G$282,D$5,'VS×ケイパビリティ関係'!$E$4:$E$282,"支援")&gt;0,"○",""))</f>
        <v/>
      </c>
      <c r="E12" s="18">
        <f>IF(COUNTIFS('VS×ケイパビリティ関係'!$F$4:$F$282,$B12,'VS×ケイパビリティ関係'!$G$4:$G$282,E$5,'VS×ケイパビリティ関係'!$E$4:$E$282,"主")&gt;0,"●",IF(COUNTIFS('VS×ケイパビリティ関係'!$F$4:$F$282,$B12,'VS×ケイパビリティ関係'!$G$4:$G$282,E$5,'VS×ケイパビリティ関係'!$E$4:$E$282,"支援")&gt;0,"○",""))</f>
        <v/>
      </c>
      <c r="F12" s="18">
        <f>IF(COUNTIFS('VS×ケイパビリティ関係'!$F$4:$F$282,$B12,'VS×ケイパビリティ関係'!$G$4:$G$282,F$5,'VS×ケイパビリティ関係'!$E$4:$E$282,"主")&gt;0,"●",IF(COUNTIFS('VS×ケイパビリティ関係'!$F$4:$F$282,$B12,'VS×ケイパビリティ関係'!$G$4:$G$282,F$5,'VS×ケイパビリティ関係'!$E$4:$E$282,"支援")&gt;0,"○",""))</f>
        <v/>
      </c>
      <c r="G12" s="18">
        <f>IF(COUNTIFS('VS×ケイパビリティ関係'!$F$4:$F$282,$B12,'VS×ケイパビリティ関係'!$G$4:$G$282,G$5,'VS×ケイパビリティ関係'!$E$4:$E$282,"主")&gt;0,"●",IF(COUNTIFS('VS×ケイパビリティ関係'!$F$4:$F$282,$B12,'VS×ケイパビリティ関係'!$G$4:$G$282,G$5,'VS×ケイパビリティ関係'!$E$4:$E$282,"支援")&gt;0,"○",""))</f>
        <v/>
      </c>
      <c r="H12" s="18">
        <f>IF(COUNTIFS('VS×ケイパビリティ関係'!$F$4:$F$282,$B12,'VS×ケイパビリティ関係'!$G$4:$G$282,H$5,'VS×ケイパビリティ関係'!$E$4:$E$282,"主")&gt;0,"●",IF(COUNTIFS('VS×ケイパビリティ関係'!$F$4:$F$282,$B12,'VS×ケイパビリティ関係'!$G$4:$G$282,H$5,'VS×ケイパビリティ関係'!$E$4:$E$282,"支援")&gt;0,"○",""))</f>
        <v/>
      </c>
      <c r="I12" s="18">
        <f>IF(COUNTIFS('VS×ケイパビリティ関係'!$F$4:$F$282,$B12,'VS×ケイパビリティ関係'!$G$4:$G$282,I$5,'VS×ケイパビリティ関係'!$E$4:$E$282,"主")&gt;0,"●",IF(COUNTIFS('VS×ケイパビリティ関係'!$F$4:$F$282,$B12,'VS×ケイパビリティ関係'!$G$4:$G$282,I$5,'VS×ケイパビリティ関係'!$E$4:$E$282,"支援")&gt;0,"○",""))</f>
        <v/>
      </c>
      <c r="J12" s="18">
        <f>IF(COUNTIFS('VS×ケイパビリティ関係'!$F$4:$F$282,$B12,'VS×ケイパビリティ関係'!$G$4:$G$282,J$5,'VS×ケイパビリティ関係'!$E$4:$E$282,"主")&gt;0,"●",IF(COUNTIFS('VS×ケイパビリティ関係'!$F$4:$F$282,$B12,'VS×ケイパビリティ関係'!$G$4:$G$282,J$5,'VS×ケイパビリティ関係'!$E$4:$E$282,"支援")&gt;0,"○",""))</f>
        <v/>
      </c>
      <c r="K12" s="18">
        <f>IF(COUNTIFS('VS×ケイパビリティ関係'!$F$4:$F$282,$B12,'VS×ケイパビリティ関係'!$G$4:$G$282,K$5,'VS×ケイパビリティ関係'!$E$4:$E$282,"主")&gt;0,"●",IF(COUNTIFS('VS×ケイパビリティ関係'!$F$4:$F$282,$B12,'VS×ケイパビリティ関係'!$G$4:$G$282,K$5,'VS×ケイパビリティ関係'!$E$4:$E$282,"支援")&gt;0,"○",""))</f>
        <v/>
      </c>
      <c r="L12" s="18">
        <f>IF(COUNTIFS('VS×ケイパビリティ関係'!$F$4:$F$282,$B12,'VS×ケイパビリティ関係'!$G$4:$G$282,L$5,'VS×ケイパビリティ関係'!$E$4:$E$282,"主")&gt;0,"●",IF(COUNTIFS('VS×ケイパビリティ関係'!$F$4:$F$282,$B12,'VS×ケイパビリティ関係'!$G$4:$G$282,L$5,'VS×ケイパビリティ関係'!$E$4:$E$282,"支援")&gt;0,"○",""))</f>
        <v/>
      </c>
      <c r="M12" s="18">
        <f>IF(COUNTIFS('VS×ケイパビリティ関係'!$F$4:$F$282,$B12,'VS×ケイパビリティ関係'!$G$4:$G$282,M$5,'VS×ケイパビリティ関係'!$E$4:$E$282,"主")&gt;0,"●",IF(COUNTIFS('VS×ケイパビリティ関係'!$F$4:$F$282,$B12,'VS×ケイパビリティ関係'!$G$4:$G$282,M$5,'VS×ケイパビリティ関係'!$E$4:$E$282,"支援")&gt;0,"○",""))</f>
        <v/>
      </c>
      <c r="N12" s="18">
        <f>IF(COUNTIFS('VS×ケイパビリティ関係'!$F$4:$F$282,$B12,'VS×ケイパビリティ関係'!$G$4:$G$282,N$5,'VS×ケイパビリティ関係'!$E$4:$E$282,"主")&gt;0,"●",IF(COUNTIFS('VS×ケイパビリティ関係'!$F$4:$F$282,$B12,'VS×ケイパビリティ関係'!$G$4:$G$282,N$5,'VS×ケイパビリティ関係'!$E$4:$E$282,"支援")&gt;0,"○",""))</f>
        <v/>
      </c>
      <c r="O12" s="18">
        <f>IF(COUNTIFS('VS×ケイパビリティ関係'!$F$4:$F$282,$B12,'VS×ケイパビリティ関係'!$G$4:$G$282,O$5,'VS×ケイパビリティ関係'!$E$4:$E$282,"主")&gt;0,"●",IF(COUNTIFS('VS×ケイパビリティ関係'!$F$4:$F$282,$B12,'VS×ケイパビリティ関係'!$G$4:$G$282,O$5,'VS×ケイパビリティ関係'!$E$4:$E$282,"支援")&gt;0,"○",""))</f>
        <v/>
      </c>
      <c r="P12" s="18">
        <f>IF(COUNTIFS('VS×ケイパビリティ関係'!$F$4:$F$282,$B12,'VS×ケイパビリティ関係'!$G$4:$G$282,P$5,'VS×ケイパビリティ関係'!$E$4:$E$282,"主")&gt;0,"●",IF(COUNTIFS('VS×ケイパビリティ関係'!$F$4:$F$282,$B12,'VS×ケイパビリティ関係'!$G$4:$G$282,P$5,'VS×ケイパビリティ関係'!$E$4:$E$282,"支援")&gt;0,"○",""))</f>
        <v/>
      </c>
      <c r="Q12" s="18">
        <f>IF(COUNTIFS('VS×ケイパビリティ関係'!$F$4:$F$282,$B12,'VS×ケイパビリティ関係'!$G$4:$G$282,Q$5,'VS×ケイパビリティ関係'!$E$4:$E$282,"主")&gt;0,"●",IF(COUNTIFS('VS×ケイパビリティ関係'!$F$4:$F$282,$B12,'VS×ケイパビリティ関係'!$G$4:$G$282,Q$5,'VS×ケイパビリティ関係'!$E$4:$E$282,"支援")&gt;0,"○",""))</f>
        <v/>
      </c>
      <c r="R12" s="18">
        <f>IF(COUNTIFS('VS×ケイパビリティ関係'!$F$4:$F$282,$B12,'VS×ケイパビリティ関係'!$G$4:$G$282,R$5,'VS×ケイパビリティ関係'!$E$4:$E$282,"主")&gt;0,"●",IF(COUNTIFS('VS×ケイパビリティ関係'!$F$4:$F$282,$B12,'VS×ケイパビリティ関係'!$G$4:$G$282,R$5,'VS×ケイパビリティ関係'!$E$4:$E$282,"支援")&gt;0,"○",""))</f>
        <v/>
      </c>
      <c r="S12" s="18">
        <f>IF(COUNTIFS('VS×ケイパビリティ関係'!$F$4:$F$282,$B12,'VS×ケイパビリティ関係'!$G$4:$G$282,S$5,'VS×ケイパビリティ関係'!$E$4:$E$282,"主")&gt;0,"●",IF(COUNTIFS('VS×ケイパビリティ関係'!$F$4:$F$282,$B12,'VS×ケイパビリティ関係'!$G$4:$G$282,S$5,'VS×ケイパビリティ関係'!$E$4:$E$282,"支援")&gt;0,"○",""))</f>
        <v/>
      </c>
      <c r="T12" s="18">
        <f>IF(COUNTIFS('VS×ケイパビリティ関係'!$F$4:$F$282,$B12,'VS×ケイパビリティ関係'!$G$4:$G$282,T$5,'VS×ケイパビリティ関係'!$E$4:$E$282,"主")&gt;0,"●",IF(COUNTIFS('VS×ケイパビリティ関係'!$F$4:$F$282,$B12,'VS×ケイパビリティ関係'!$G$4:$G$282,T$5,'VS×ケイパビリティ関係'!$E$4:$E$282,"支援")&gt;0,"○",""))</f>
        <v/>
      </c>
      <c r="U12" s="18">
        <f>IF(COUNTIFS('VS×ケイパビリティ関係'!$F$4:$F$282,$B12,'VS×ケイパビリティ関係'!$G$4:$G$282,U$5,'VS×ケイパビリティ関係'!$E$4:$E$282,"主")&gt;0,"●",IF(COUNTIFS('VS×ケイパビリティ関係'!$F$4:$F$282,$B12,'VS×ケイパビリティ関係'!$G$4:$G$282,U$5,'VS×ケイパビリティ関係'!$E$4:$E$282,"支援")&gt;0,"○",""))</f>
        <v/>
      </c>
      <c r="V12" s="18">
        <f>COUNTIF(D12:U12,"●")</f>
        <v/>
      </c>
      <c r="W12" s="18">
        <f>COUNTIF(D12:U12,"○")</f>
        <v/>
      </c>
    </row>
    <row r="13">
      <c r="A13" s="42" t="n"/>
      <c r="B13" s="18" t="inlineStr">
        <is>
          <t>03-02</t>
        </is>
      </c>
      <c r="C13" s="20" t="inlineStr">
        <is>
          <t>発注</t>
        </is>
      </c>
      <c r="D13" s="18">
        <f>IF(COUNTIFS('VS×ケイパビリティ関係'!$F$4:$F$282,$B13,'VS×ケイパビリティ関係'!$G$4:$G$282,D$5,'VS×ケイパビリティ関係'!$E$4:$E$282,"主")&gt;0,"●",IF(COUNTIFS('VS×ケイパビリティ関係'!$F$4:$F$282,$B13,'VS×ケイパビリティ関係'!$G$4:$G$282,D$5,'VS×ケイパビリティ関係'!$E$4:$E$282,"支援")&gt;0,"○",""))</f>
        <v/>
      </c>
      <c r="E13" s="18">
        <f>IF(COUNTIFS('VS×ケイパビリティ関係'!$F$4:$F$282,$B13,'VS×ケイパビリティ関係'!$G$4:$G$282,E$5,'VS×ケイパビリティ関係'!$E$4:$E$282,"主")&gt;0,"●",IF(COUNTIFS('VS×ケイパビリティ関係'!$F$4:$F$282,$B13,'VS×ケイパビリティ関係'!$G$4:$G$282,E$5,'VS×ケイパビリティ関係'!$E$4:$E$282,"支援")&gt;0,"○",""))</f>
        <v/>
      </c>
      <c r="F13" s="18">
        <f>IF(COUNTIFS('VS×ケイパビリティ関係'!$F$4:$F$282,$B13,'VS×ケイパビリティ関係'!$G$4:$G$282,F$5,'VS×ケイパビリティ関係'!$E$4:$E$282,"主")&gt;0,"●",IF(COUNTIFS('VS×ケイパビリティ関係'!$F$4:$F$282,$B13,'VS×ケイパビリティ関係'!$G$4:$G$282,F$5,'VS×ケイパビリティ関係'!$E$4:$E$282,"支援")&gt;0,"○",""))</f>
        <v/>
      </c>
      <c r="G13" s="18">
        <f>IF(COUNTIFS('VS×ケイパビリティ関係'!$F$4:$F$282,$B13,'VS×ケイパビリティ関係'!$G$4:$G$282,G$5,'VS×ケイパビリティ関係'!$E$4:$E$282,"主")&gt;0,"●",IF(COUNTIFS('VS×ケイパビリティ関係'!$F$4:$F$282,$B13,'VS×ケイパビリティ関係'!$G$4:$G$282,G$5,'VS×ケイパビリティ関係'!$E$4:$E$282,"支援")&gt;0,"○",""))</f>
        <v/>
      </c>
      <c r="H13" s="18">
        <f>IF(COUNTIFS('VS×ケイパビリティ関係'!$F$4:$F$282,$B13,'VS×ケイパビリティ関係'!$G$4:$G$282,H$5,'VS×ケイパビリティ関係'!$E$4:$E$282,"主")&gt;0,"●",IF(COUNTIFS('VS×ケイパビリティ関係'!$F$4:$F$282,$B13,'VS×ケイパビリティ関係'!$G$4:$G$282,H$5,'VS×ケイパビリティ関係'!$E$4:$E$282,"支援")&gt;0,"○",""))</f>
        <v/>
      </c>
      <c r="I13" s="18">
        <f>IF(COUNTIFS('VS×ケイパビリティ関係'!$F$4:$F$282,$B13,'VS×ケイパビリティ関係'!$G$4:$G$282,I$5,'VS×ケイパビリティ関係'!$E$4:$E$282,"主")&gt;0,"●",IF(COUNTIFS('VS×ケイパビリティ関係'!$F$4:$F$282,$B13,'VS×ケイパビリティ関係'!$G$4:$G$282,I$5,'VS×ケイパビリティ関係'!$E$4:$E$282,"支援")&gt;0,"○",""))</f>
        <v/>
      </c>
      <c r="J13" s="18">
        <f>IF(COUNTIFS('VS×ケイパビリティ関係'!$F$4:$F$282,$B13,'VS×ケイパビリティ関係'!$G$4:$G$282,J$5,'VS×ケイパビリティ関係'!$E$4:$E$282,"主")&gt;0,"●",IF(COUNTIFS('VS×ケイパビリティ関係'!$F$4:$F$282,$B13,'VS×ケイパビリティ関係'!$G$4:$G$282,J$5,'VS×ケイパビリティ関係'!$E$4:$E$282,"支援")&gt;0,"○",""))</f>
        <v/>
      </c>
      <c r="K13" s="18">
        <f>IF(COUNTIFS('VS×ケイパビリティ関係'!$F$4:$F$282,$B13,'VS×ケイパビリティ関係'!$G$4:$G$282,K$5,'VS×ケイパビリティ関係'!$E$4:$E$282,"主")&gt;0,"●",IF(COUNTIFS('VS×ケイパビリティ関係'!$F$4:$F$282,$B13,'VS×ケイパビリティ関係'!$G$4:$G$282,K$5,'VS×ケイパビリティ関係'!$E$4:$E$282,"支援")&gt;0,"○",""))</f>
        <v/>
      </c>
      <c r="L13" s="18">
        <f>IF(COUNTIFS('VS×ケイパビリティ関係'!$F$4:$F$282,$B13,'VS×ケイパビリティ関係'!$G$4:$G$282,L$5,'VS×ケイパビリティ関係'!$E$4:$E$282,"主")&gt;0,"●",IF(COUNTIFS('VS×ケイパビリティ関係'!$F$4:$F$282,$B13,'VS×ケイパビリティ関係'!$G$4:$G$282,L$5,'VS×ケイパビリティ関係'!$E$4:$E$282,"支援")&gt;0,"○",""))</f>
        <v/>
      </c>
      <c r="M13" s="18">
        <f>IF(COUNTIFS('VS×ケイパビリティ関係'!$F$4:$F$282,$B13,'VS×ケイパビリティ関係'!$G$4:$G$282,M$5,'VS×ケイパビリティ関係'!$E$4:$E$282,"主")&gt;0,"●",IF(COUNTIFS('VS×ケイパビリティ関係'!$F$4:$F$282,$B13,'VS×ケイパビリティ関係'!$G$4:$G$282,M$5,'VS×ケイパビリティ関係'!$E$4:$E$282,"支援")&gt;0,"○",""))</f>
        <v/>
      </c>
      <c r="N13" s="18">
        <f>IF(COUNTIFS('VS×ケイパビリティ関係'!$F$4:$F$282,$B13,'VS×ケイパビリティ関係'!$G$4:$G$282,N$5,'VS×ケイパビリティ関係'!$E$4:$E$282,"主")&gt;0,"●",IF(COUNTIFS('VS×ケイパビリティ関係'!$F$4:$F$282,$B13,'VS×ケイパビリティ関係'!$G$4:$G$282,N$5,'VS×ケイパビリティ関係'!$E$4:$E$282,"支援")&gt;0,"○",""))</f>
        <v/>
      </c>
      <c r="O13" s="18">
        <f>IF(COUNTIFS('VS×ケイパビリティ関係'!$F$4:$F$282,$B13,'VS×ケイパビリティ関係'!$G$4:$G$282,O$5,'VS×ケイパビリティ関係'!$E$4:$E$282,"主")&gt;0,"●",IF(COUNTIFS('VS×ケイパビリティ関係'!$F$4:$F$282,$B13,'VS×ケイパビリティ関係'!$G$4:$G$282,O$5,'VS×ケイパビリティ関係'!$E$4:$E$282,"支援")&gt;0,"○",""))</f>
        <v/>
      </c>
      <c r="P13" s="18">
        <f>IF(COUNTIFS('VS×ケイパビリティ関係'!$F$4:$F$282,$B13,'VS×ケイパビリティ関係'!$G$4:$G$282,P$5,'VS×ケイパビリティ関係'!$E$4:$E$282,"主")&gt;0,"●",IF(COUNTIFS('VS×ケイパビリティ関係'!$F$4:$F$282,$B13,'VS×ケイパビリティ関係'!$G$4:$G$282,P$5,'VS×ケイパビリティ関係'!$E$4:$E$282,"支援")&gt;0,"○",""))</f>
        <v/>
      </c>
      <c r="Q13" s="18">
        <f>IF(COUNTIFS('VS×ケイパビリティ関係'!$F$4:$F$282,$B13,'VS×ケイパビリティ関係'!$G$4:$G$282,Q$5,'VS×ケイパビリティ関係'!$E$4:$E$282,"主")&gt;0,"●",IF(COUNTIFS('VS×ケイパビリティ関係'!$F$4:$F$282,$B13,'VS×ケイパビリティ関係'!$G$4:$G$282,Q$5,'VS×ケイパビリティ関係'!$E$4:$E$282,"支援")&gt;0,"○",""))</f>
        <v/>
      </c>
      <c r="R13" s="18">
        <f>IF(COUNTIFS('VS×ケイパビリティ関係'!$F$4:$F$282,$B13,'VS×ケイパビリティ関係'!$G$4:$G$282,R$5,'VS×ケイパビリティ関係'!$E$4:$E$282,"主")&gt;0,"●",IF(COUNTIFS('VS×ケイパビリティ関係'!$F$4:$F$282,$B13,'VS×ケイパビリティ関係'!$G$4:$G$282,R$5,'VS×ケイパビリティ関係'!$E$4:$E$282,"支援")&gt;0,"○",""))</f>
        <v/>
      </c>
      <c r="S13" s="18">
        <f>IF(COUNTIFS('VS×ケイパビリティ関係'!$F$4:$F$282,$B13,'VS×ケイパビリティ関係'!$G$4:$G$282,S$5,'VS×ケイパビリティ関係'!$E$4:$E$282,"主")&gt;0,"●",IF(COUNTIFS('VS×ケイパビリティ関係'!$F$4:$F$282,$B13,'VS×ケイパビリティ関係'!$G$4:$G$282,S$5,'VS×ケイパビリティ関係'!$E$4:$E$282,"支援")&gt;0,"○",""))</f>
        <v/>
      </c>
      <c r="T13" s="18">
        <f>IF(COUNTIFS('VS×ケイパビリティ関係'!$F$4:$F$282,$B13,'VS×ケイパビリティ関係'!$G$4:$G$282,T$5,'VS×ケイパビリティ関係'!$E$4:$E$282,"主")&gt;0,"●",IF(COUNTIFS('VS×ケイパビリティ関係'!$F$4:$F$282,$B13,'VS×ケイパビリティ関係'!$G$4:$G$282,T$5,'VS×ケイパビリティ関係'!$E$4:$E$282,"支援")&gt;0,"○",""))</f>
        <v/>
      </c>
      <c r="U13" s="18">
        <f>IF(COUNTIFS('VS×ケイパビリティ関係'!$F$4:$F$282,$B13,'VS×ケイパビリティ関係'!$G$4:$G$282,U$5,'VS×ケイパビリティ関係'!$E$4:$E$282,"主")&gt;0,"●",IF(COUNTIFS('VS×ケイパビリティ関係'!$F$4:$F$282,$B13,'VS×ケイパビリティ関係'!$G$4:$G$282,U$5,'VS×ケイパビリティ関係'!$E$4:$E$282,"支援")&gt;0,"○",""))</f>
        <v/>
      </c>
      <c r="V13" s="18">
        <f>COUNTIF(D13:U13,"●")</f>
        <v/>
      </c>
      <c r="W13" s="18">
        <f>COUNTIF(D13:U13,"○")</f>
        <v/>
      </c>
    </row>
    <row r="14">
      <c r="A14" s="42" t="inlineStr">
        <is>
          <t>04 受入・検収</t>
        </is>
      </c>
      <c r="B14" s="18" t="inlineStr">
        <is>
          <t>04-01</t>
        </is>
      </c>
      <c r="C14" s="20" t="inlineStr">
        <is>
          <t>入荷・受入</t>
        </is>
      </c>
      <c r="D14" s="18">
        <f>IF(COUNTIFS('VS×ケイパビリティ関係'!$F$4:$F$282,$B14,'VS×ケイパビリティ関係'!$G$4:$G$282,D$5,'VS×ケイパビリティ関係'!$E$4:$E$282,"主")&gt;0,"●",IF(COUNTIFS('VS×ケイパビリティ関係'!$F$4:$F$282,$B14,'VS×ケイパビリティ関係'!$G$4:$G$282,D$5,'VS×ケイパビリティ関係'!$E$4:$E$282,"支援")&gt;0,"○",""))</f>
        <v/>
      </c>
      <c r="E14" s="18">
        <f>IF(COUNTIFS('VS×ケイパビリティ関係'!$F$4:$F$282,$B14,'VS×ケイパビリティ関係'!$G$4:$G$282,E$5,'VS×ケイパビリティ関係'!$E$4:$E$282,"主")&gt;0,"●",IF(COUNTIFS('VS×ケイパビリティ関係'!$F$4:$F$282,$B14,'VS×ケイパビリティ関係'!$G$4:$G$282,E$5,'VS×ケイパビリティ関係'!$E$4:$E$282,"支援")&gt;0,"○",""))</f>
        <v/>
      </c>
      <c r="F14" s="18">
        <f>IF(COUNTIFS('VS×ケイパビリティ関係'!$F$4:$F$282,$B14,'VS×ケイパビリティ関係'!$G$4:$G$282,F$5,'VS×ケイパビリティ関係'!$E$4:$E$282,"主")&gt;0,"●",IF(COUNTIFS('VS×ケイパビリティ関係'!$F$4:$F$282,$B14,'VS×ケイパビリティ関係'!$G$4:$G$282,F$5,'VS×ケイパビリティ関係'!$E$4:$E$282,"支援")&gt;0,"○",""))</f>
        <v/>
      </c>
      <c r="G14" s="18">
        <f>IF(COUNTIFS('VS×ケイパビリティ関係'!$F$4:$F$282,$B14,'VS×ケイパビリティ関係'!$G$4:$G$282,G$5,'VS×ケイパビリティ関係'!$E$4:$E$282,"主")&gt;0,"●",IF(COUNTIFS('VS×ケイパビリティ関係'!$F$4:$F$282,$B14,'VS×ケイパビリティ関係'!$G$4:$G$282,G$5,'VS×ケイパビリティ関係'!$E$4:$E$282,"支援")&gt;0,"○",""))</f>
        <v/>
      </c>
      <c r="H14" s="18">
        <f>IF(COUNTIFS('VS×ケイパビリティ関係'!$F$4:$F$282,$B14,'VS×ケイパビリティ関係'!$G$4:$G$282,H$5,'VS×ケイパビリティ関係'!$E$4:$E$282,"主")&gt;0,"●",IF(COUNTIFS('VS×ケイパビリティ関係'!$F$4:$F$282,$B14,'VS×ケイパビリティ関係'!$G$4:$G$282,H$5,'VS×ケイパビリティ関係'!$E$4:$E$282,"支援")&gt;0,"○",""))</f>
        <v/>
      </c>
      <c r="I14" s="18">
        <f>IF(COUNTIFS('VS×ケイパビリティ関係'!$F$4:$F$282,$B14,'VS×ケイパビリティ関係'!$G$4:$G$282,I$5,'VS×ケイパビリティ関係'!$E$4:$E$282,"主")&gt;0,"●",IF(COUNTIFS('VS×ケイパビリティ関係'!$F$4:$F$282,$B14,'VS×ケイパビリティ関係'!$G$4:$G$282,I$5,'VS×ケイパビリティ関係'!$E$4:$E$282,"支援")&gt;0,"○",""))</f>
        <v/>
      </c>
      <c r="J14" s="18">
        <f>IF(COUNTIFS('VS×ケイパビリティ関係'!$F$4:$F$282,$B14,'VS×ケイパビリティ関係'!$G$4:$G$282,J$5,'VS×ケイパビリティ関係'!$E$4:$E$282,"主")&gt;0,"●",IF(COUNTIFS('VS×ケイパビリティ関係'!$F$4:$F$282,$B14,'VS×ケイパビリティ関係'!$G$4:$G$282,J$5,'VS×ケイパビリティ関係'!$E$4:$E$282,"支援")&gt;0,"○",""))</f>
        <v/>
      </c>
      <c r="K14" s="18">
        <f>IF(COUNTIFS('VS×ケイパビリティ関係'!$F$4:$F$282,$B14,'VS×ケイパビリティ関係'!$G$4:$G$282,K$5,'VS×ケイパビリティ関係'!$E$4:$E$282,"主")&gt;0,"●",IF(COUNTIFS('VS×ケイパビリティ関係'!$F$4:$F$282,$B14,'VS×ケイパビリティ関係'!$G$4:$G$282,K$5,'VS×ケイパビリティ関係'!$E$4:$E$282,"支援")&gt;0,"○",""))</f>
        <v/>
      </c>
      <c r="L14" s="18">
        <f>IF(COUNTIFS('VS×ケイパビリティ関係'!$F$4:$F$282,$B14,'VS×ケイパビリティ関係'!$G$4:$G$282,L$5,'VS×ケイパビリティ関係'!$E$4:$E$282,"主")&gt;0,"●",IF(COUNTIFS('VS×ケイパビリティ関係'!$F$4:$F$282,$B14,'VS×ケイパビリティ関係'!$G$4:$G$282,L$5,'VS×ケイパビリティ関係'!$E$4:$E$282,"支援")&gt;0,"○",""))</f>
        <v/>
      </c>
      <c r="M14" s="18">
        <f>IF(COUNTIFS('VS×ケイパビリティ関係'!$F$4:$F$282,$B14,'VS×ケイパビリティ関係'!$G$4:$G$282,M$5,'VS×ケイパビリティ関係'!$E$4:$E$282,"主")&gt;0,"●",IF(COUNTIFS('VS×ケイパビリティ関係'!$F$4:$F$282,$B14,'VS×ケイパビリティ関係'!$G$4:$G$282,M$5,'VS×ケイパビリティ関係'!$E$4:$E$282,"支援")&gt;0,"○",""))</f>
        <v/>
      </c>
      <c r="N14" s="18">
        <f>IF(COUNTIFS('VS×ケイパビリティ関係'!$F$4:$F$282,$B14,'VS×ケイパビリティ関係'!$G$4:$G$282,N$5,'VS×ケイパビリティ関係'!$E$4:$E$282,"主")&gt;0,"●",IF(COUNTIFS('VS×ケイパビリティ関係'!$F$4:$F$282,$B14,'VS×ケイパビリティ関係'!$G$4:$G$282,N$5,'VS×ケイパビリティ関係'!$E$4:$E$282,"支援")&gt;0,"○",""))</f>
        <v/>
      </c>
      <c r="O14" s="18">
        <f>IF(COUNTIFS('VS×ケイパビリティ関係'!$F$4:$F$282,$B14,'VS×ケイパビリティ関係'!$G$4:$G$282,O$5,'VS×ケイパビリティ関係'!$E$4:$E$282,"主")&gt;0,"●",IF(COUNTIFS('VS×ケイパビリティ関係'!$F$4:$F$282,$B14,'VS×ケイパビリティ関係'!$G$4:$G$282,O$5,'VS×ケイパビリティ関係'!$E$4:$E$282,"支援")&gt;0,"○",""))</f>
        <v/>
      </c>
      <c r="P14" s="18">
        <f>IF(COUNTIFS('VS×ケイパビリティ関係'!$F$4:$F$282,$B14,'VS×ケイパビリティ関係'!$G$4:$G$282,P$5,'VS×ケイパビリティ関係'!$E$4:$E$282,"主")&gt;0,"●",IF(COUNTIFS('VS×ケイパビリティ関係'!$F$4:$F$282,$B14,'VS×ケイパビリティ関係'!$G$4:$G$282,P$5,'VS×ケイパビリティ関係'!$E$4:$E$282,"支援")&gt;0,"○",""))</f>
        <v/>
      </c>
      <c r="Q14" s="18">
        <f>IF(COUNTIFS('VS×ケイパビリティ関係'!$F$4:$F$282,$B14,'VS×ケイパビリティ関係'!$G$4:$G$282,Q$5,'VS×ケイパビリティ関係'!$E$4:$E$282,"主")&gt;0,"●",IF(COUNTIFS('VS×ケイパビリティ関係'!$F$4:$F$282,$B14,'VS×ケイパビリティ関係'!$G$4:$G$282,Q$5,'VS×ケイパビリティ関係'!$E$4:$E$282,"支援")&gt;0,"○",""))</f>
        <v/>
      </c>
      <c r="R14" s="18">
        <f>IF(COUNTIFS('VS×ケイパビリティ関係'!$F$4:$F$282,$B14,'VS×ケイパビリティ関係'!$G$4:$G$282,R$5,'VS×ケイパビリティ関係'!$E$4:$E$282,"主")&gt;0,"●",IF(COUNTIFS('VS×ケイパビリティ関係'!$F$4:$F$282,$B14,'VS×ケイパビリティ関係'!$G$4:$G$282,R$5,'VS×ケイパビリティ関係'!$E$4:$E$282,"支援")&gt;0,"○",""))</f>
        <v/>
      </c>
      <c r="S14" s="18">
        <f>IF(COUNTIFS('VS×ケイパビリティ関係'!$F$4:$F$282,$B14,'VS×ケイパビリティ関係'!$G$4:$G$282,S$5,'VS×ケイパビリティ関係'!$E$4:$E$282,"主")&gt;0,"●",IF(COUNTIFS('VS×ケイパビリティ関係'!$F$4:$F$282,$B14,'VS×ケイパビリティ関係'!$G$4:$G$282,S$5,'VS×ケイパビリティ関係'!$E$4:$E$282,"支援")&gt;0,"○",""))</f>
        <v/>
      </c>
      <c r="T14" s="18">
        <f>IF(COUNTIFS('VS×ケイパビリティ関係'!$F$4:$F$282,$B14,'VS×ケイパビリティ関係'!$G$4:$G$282,T$5,'VS×ケイパビリティ関係'!$E$4:$E$282,"主")&gt;0,"●",IF(COUNTIFS('VS×ケイパビリティ関係'!$F$4:$F$282,$B14,'VS×ケイパビリティ関係'!$G$4:$G$282,T$5,'VS×ケイパビリティ関係'!$E$4:$E$282,"支援")&gt;0,"○",""))</f>
        <v/>
      </c>
      <c r="U14" s="18">
        <f>IF(COUNTIFS('VS×ケイパビリティ関係'!$F$4:$F$282,$B14,'VS×ケイパビリティ関係'!$G$4:$G$282,U$5,'VS×ケイパビリティ関係'!$E$4:$E$282,"主")&gt;0,"●",IF(COUNTIFS('VS×ケイパビリティ関係'!$F$4:$F$282,$B14,'VS×ケイパビリティ関係'!$G$4:$G$282,U$5,'VS×ケイパビリティ関係'!$E$4:$E$282,"支援")&gt;0,"○",""))</f>
        <v/>
      </c>
      <c r="V14" s="18">
        <f>COUNTIF(D14:U14,"●")</f>
        <v/>
      </c>
      <c r="W14" s="18">
        <f>COUNTIF(D14:U14,"○")</f>
        <v/>
      </c>
    </row>
    <row r="15">
      <c r="A15" s="42" t="n"/>
      <c r="B15" s="18" t="inlineStr">
        <is>
          <t>04-02</t>
        </is>
      </c>
      <c r="C15" s="20" t="inlineStr">
        <is>
          <t>検収</t>
        </is>
      </c>
      <c r="D15" s="18">
        <f>IF(COUNTIFS('VS×ケイパビリティ関係'!$F$4:$F$282,$B15,'VS×ケイパビリティ関係'!$G$4:$G$282,D$5,'VS×ケイパビリティ関係'!$E$4:$E$282,"主")&gt;0,"●",IF(COUNTIFS('VS×ケイパビリティ関係'!$F$4:$F$282,$B15,'VS×ケイパビリティ関係'!$G$4:$G$282,D$5,'VS×ケイパビリティ関係'!$E$4:$E$282,"支援")&gt;0,"○",""))</f>
        <v/>
      </c>
      <c r="E15" s="18">
        <f>IF(COUNTIFS('VS×ケイパビリティ関係'!$F$4:$F$282,$B15,'VS×ケイパビリティ関係'!$G$4:$G$282,E$5,'VS×ケイパビリティ関係'!$E$4:$E$282,"主")&gt;0,"●",IF(COUNTIFS('VS×ケイパビリティ関係'!$F$4:$F$282,$B15,'VS×ケイパビリティ関係'!$G$4:$G$282,E$5,'VS×ケイパビリティ関係'!$E$4:$E$282,"支援")&gt;0,"○",""))</f>
        <v/>
      </c>
      <c r="F15" s="18">
        <f>IF(COUNTIFS('VS×ケイパビリティ関係'!$F$4:$F$282,$B15,'VS×ケイパビリティ関係'!$G$4:$G$282,F$5,'VS×ケイパビリティ関係'!$E$4:$E$282,"主")&gt;0,"●",IF(COUNTIFS('VS×ケイパビリティ関係'!$F$4:$F$282,$B15,'VS×ケイパビリティ関係'!$G$4:$G$282,F$5,'VS×ケイパビリティ関係'!$E$4:$E$282,"支援")&gt;0,"○",""))</f>
        <v/>
      </c>
      <c r="G15" s="18">
        <f>IF(COUNTIFS('VS×ケイパビリティ関係'!$F$4:$F$282,$B15,'VS×ケイパビリティ関係'!$G$4:$G$282,G$5,'VS×ケイパビリティ関係'!$E$4:$E$282,"主")&gt;0,"●",IF(COUNTIFS('VS×ケイパビリティ関係'!$F$4:$F$282,$B15,'VS×ケイパビリティ関係'!$G$4:$G$282,G$5,'VS×ケイパビリティ関係'!$E$4:$E$282,"支援")&gt;0,"○",""))</f>
        <v/>
      </c>
      <c r="H15" s="18">
        <f>IF(COUNTIFS('VS×ケイパビリティ関係'!$F$4:$F$282,$B15,'VS×ケイパビリティ関係'!$G$4:$G$282,H$5,'VS×ケイパビリティ関係'!$E$4:$E$282,"主")&gt;0,"●",IF(COUNTIFS('VS×ケイパビリティ関係'!$F$4:$F$282,$B15,'VS×ケイパビリティ関係'!$G$4:$G$282,H$5,'VS×ケイパビリティ関係'!$E$4:$E$282,"支援")&gt;0,"○",""))</f>
        <v/>
      </c>
      <c r="I15" s="18">
        <f>IF(COUNTIFS('VS×ケイパビリティ関係'!$F$4:$F$282,$B15,'VS×ケイパビリティ関係'!$G$4:$G$282,I$5,'VS×ケイパビリティ関係'!$E$4:$E$282,"主")&gt;0,"●",IF(COUNTIFS('VS×ケイパビリティ関係'!$F$4:$F$282,$B15,'VS×ケイパビリティ関係'!$G$4:$G$282,I$5,'VS×ケイパビリティ関係'!$E$4:$E$282,"支援")&gt;0,"○",""))</f>
        <v/>
      </c>
      <c r="J15" s="18">
        <f>IF(COUNTIFS('VS×ケイパビリティ関係'!$F$4:$F$282,$B15,'VS×ケイパビリティ関係'!$G$4:$G$282,J$5,'VS×ケイパビリティ関係'!$E$4:$E$282,"主")&gt;0,"●",IF(COUNTIFS('VS×ケイパビリティ関係'!$F$4:$F$282,$B15,'VS×ケイパビリティ関係'!$G$4:$G$282,J$5,'VS×ケイパビリティ関係'!$E$4:$E$282,"支援")&gt;0,"○",""))</f>
        <v/>
      </c>
      <c r="K15" s="18">
        <f>IF(COUNTIFS('VS×ケイパビリティ関係'!$F$4:$F$282,$B15,'VS×ケイパビリティ関係'!$G$4:$G$282,K$5,'VS×ケイパビリティ関係'!$E$4:$E$282,"主")&gt;0,"●",IF(COUNTIFS('VS×ケイパビリティ関係'!$F$4:$F$282,$B15,'VS×ケイパビリティ関係'!$G$4:$G$282,K$5,'VS×ケイパビリティ関係'!$E$4:$E$282,"支援")&gt;0,"○",""))</f>
        <v/>
      </c>
      <c r="L15" s="18">
        <f>IF(COUNTIFS('VS×ケイパビリティ関係'!$F$4:$F$282,$B15,'VS×ケイパビリティ関係'!$G$4:$G$282,L$5,'VS×ケイパビリティ関係'!$E$4:$E$282,"主")&gt;0,"●",IF(COUNTIFS('VS×ケイパビリティ関係'!$F$4:$F$282,$B15,'VS×ケイパビリティ関係'!$G$4:$G$282,L$5,'VS×ケイパビリティ関係'!$E$4:$E$282,"支援")&gt;0,"○",""))</f>
        <v/>
      </c>
      <c r="M15" s="18">
        <f>IF(COUNTIFS('VS×ケイパビリティ関係'!$F$4:$F$282,$B15,'VS×ケイパビリティ関係'!$G$4:$G$282,M$5,'VS×ケイパビリティ関係'!$E$4:$E$282,"主")&gt;0,"●",IF(COUNTIFS('VS×ケイパビリティ関係'!$F$4:$F$282,$B15,'VS×ケイパビリティ関係'!$G$4:$G$282,M$5,'VS×ケイパビリティ関係'!$E$4:$E$282,"支援")&gt;0,"○",""))</f>
        <v/>
      </c>
      <c r="N15" s="18">
        <f>IF(COUNTIFS('VS×ケイパビリティ関係'!$F$4:$F$282,$B15,'VS×ケイパビリティ関係'!$G$4:$G$282,N$5,'VS×ケイパビリティ関係'!$E$4:$E$282,"主")&gt;0,"●",IF(COUNTIFS('VS×ケイパビリティ関係'!$F$4:$F$282,$B15,'VS×ケイパビリティ関係'!$G$4:$G$282,N$5,'VS×ケイパビリティ関係'!$E$4:$E$282,"支援")&gt;0,"○",""))</f>
        <v/>
      </c>
      <c r="O15" s="18">
        <f>IF(COUNTIFS('VS×ケイパビリティ関係'!$F$4:$F$282,$B15,'VS×ケイパビリティ関係'!$G$4:$G$282,O$5,'VS×ケイパビリティ関係'!$E$4:$E$282,"主")&gt;0,"●",IF(COUNTIFS('VS×ケイパビリティ関係'!$F$4:$F$282,$B15,'VS×ケイパビリティ関係'!$G$4:$G$282,O$5,'VS×ケイパビリティ関係'!$E$4:$E$282,"支援")&gt;0,"○",""))</f>
        <v/>
      </c>
      <c r="P15" s="18">
        <f>IF(COUNTIFS('VS×ケイパビリティ関係'!$F$4:$F$282,$B15,'VS×ケイパビリティ関係'!$G$4:$G$282,P$5,'VS×ケイパビリティ関係'!$E$4:$E$282,"主")&gt;0,"●",IF(COUNTIFS('VS×ケイパビリティ関係'!$F$4:$F$282,$B15,'VS×ケイパビリティ関係'!$G$4:$G$282,P$5,'VS×ケイパビリティ関係'!$E$4:$E$282,"支援")&gt;0,"○",""))</f>
        <v/>
      </c>
      <c r="Q15" s="18">
        <f>IF(COUNTIFS('VS×ケイパビリティ関係'!$F$4:$F$282,$B15,'VS×ケイパビリティ関係'!$G$4:$G$282,Q$5,'VS×ケイパビリティ関係'!$E$4:$E$282,"主")&gt;0,"●",IF(COUNTIFS('VS×ケイパビリティ関係'!$F$4:$F$282,$B15,'VS×ケイパビリティ関係'!$G$4:$G$282,Q$5,'VS×ケイパビリティ関係'!$E$4:$E$282,"支援")&gt;0,"○",""))</f>
        <v/>
      </c>
      <c r="R15" s="18">
        <f>IF(COUNTIFS('VS×ケイパビリティ関係'!$F$4:$F$282,$B15,'VS×ケイパビリティ関係'!$G$4:$G$282,R$5,'VS×ケイパビリティ関係'!$E$4:$E$282,"主")&gt;0,"●",IF(COUNTIFS('VS×ケイパビリティ関係'!$F$4:$F$282,$B15,'VS×ケイパビリティ関係'!$G$4:$G$282,R$5,'VS×ケイパビリティ関係'!$E$4:$E$282,"支援")&gt;0,"○",""))</f>
        <v/>
      </c>
      <c r="S15" s="18">
        <f>IF(COUNTIFS('VS×ケイパビリティ関係'!$F$4:$F$282,$B15,'VS×ケイパビリティ関係'!$G$4:$G$282,S$5,'VS×ケイパビリティ関係'!$E$4:$E$282,"主")&gt;0,"●",IF(COUNTIFS('VS×ケイパビリティ関係'!$F$4:$F$282,$B15,'VS×ケイパビリティ関係'!$G$4:$G$282,S$5,'VS×ケイパビリティ関係'!$E$4:$E$282,"支援")&gt;0,"○",""))</f>
        <v/>
      </c>
      <c r="T15" s="18">
        <f>IF(COUNTIFS('VS×ケイパビリティ関係'!$F$4:$F$282,$B15,'VS×ケイパビリティ関係'!$G$4:$G$282,T$5,'VS×ケイパビリティ関係'!$E$4:$E$282,"主")&gt;0,"●",IF(COUNTIFS('VS×ケイパビリティ関係'!$F$4:$F$282,$B15,'VS×ケイパビリティ関係'!$G$4:$G$282,T$5,'VS×ケイパビリティ関係'!$E$4:$E$282,"支援")&gt;0,"○",""))</f>
        <v/>
      </c>
      <c r="U15" s="18">
        <f>IF(COUNTIFS('VS×ケイパビリティ関係'!$F$4:$F$282,$B15,'VS×ケイパビリティ関係'!$G$4:$G$282,U$5,'VS×ケイパビリティ関係'!$E$4:$E$282,"主")&gt;0,"●",IF(COUNTIFS('VS×ケイパビリティ関係'!$F$4:$F$282,$B15,'VS×ケイパビリティ関係'!$G$4:$G$282,U$5,'VS×ケイパビリティ関係'!$E$4:$E$282,"支援")&gt;0,"○",""))</f>
        <v/>
      </c>
      <c r="V15" s="18">
        <f>COUNTIF(D15:U15,"●")</f>
        <v/>
      </c>
      <c r="W15" s="18">
        <f>COUNTIF(D15:U15,"○")</f>
        <v/>
      </c>
    </row>
    <row r="16">
      <c r="A16" s="42" t="inlineStr">
        <is>
          <t>05 請求照合・支払決済</t>
        </is>
      </c>
      <c r="B16" s="18" t="inlineStr">
        <is>
          <t>05-01</t>
        </is>
      </c>
      <c r="C16" s="20" t="inlineStr">
        <is>
          <t>請求書受領</t>
        </is>
      </c>
      <c r="D16" s="18">
        <f>IF(COUNTIFS('VS×ケイパビリティ関係'!$F$4:$F$282,$B16,'VS×ケイパビリティ関係'!$G$4:$G$282,D$5,'VS×ケイパビリティ関係'!$E$4:$E$282,"主")&gt;0,"●",IF(COUNTIFS('VS×ケイパビリティ関係'!$F$4:$F$282,$B16,'VS×ケイパビリティ関係'!$G$4:$G$282,D$5,'VS×ケイパビリティ関係'!$E$4:$E$282,"支援")&gt;0,"○",""))</f>
        <v/>
      </c>
      <c r="E16" s="18">
        <f>IF(COUNTIFS('VS×ケイパビリティ関係'!$F$4:$F$282,$B16,'VS×ケイパビリティ関係'!$G$4:$G$282,E$5,'VS×ケイパビリティ関係'!$E$4:$E$282,"主")&gt;0,"●",IF(COUNTIFS('VS×ケイパビリティ関係'!$F$4:$F$282,$B16,'VS×ケイパビリティ関係'!$G$4:$G$282,E$5,'VS×ケイパビリティ関係'!$E$4:$E$282,"支援")&gt;0,"○",""))</f>
        <v/>
      </c>
      <c r="F16" s="18">
        <f>IF(COUNTIFS('VS×ケイパビリティ関係'!$F$4:$F$282,$B16,'VS×ケイパビリティ関係'!$G$4:$G$282,F$5,'VS×ケイパビリティ関係'!$E$4:$E$282,"主")&gt;0,"●",IF(COUNTIFS('VS×ケイパビリティ関係'!$F$4:$F$282,$B16,'VS×ケイパビリティ関係'!$G$4:$G$282,F$5,'VS×ケイパビリティ関係'!$E$4:$E$282,"支援")&gt;0,"○",""))</f>
        <v/>
      </c>
      <c r="G16" s="18">
        <f>IF(COUNTIFS('VS×ケイパビリティ関係'!$F$4:$F$282,$B16,'VS×ケイパビリティ関係'!$G$4:$G$282,G$5,'VS×ケイパビリティ関係'!$E$4:$E$282,"主")&gt;0,"●",IF(COUNTIFS('VS×ケイパビリティ関係'!$F$4:$F$282,$B16,'VS×ケイパビリティ関係'!$G$4:$G$282,G$5,'VS×ケイパビリティ関係'!$E$4:$E$282,"支援")&gt;0,"○",""))</f>
        <v/>
      </c>
      <c r="H16" s="18">
        <f>IF(COUNTIFS('VS×ケイパビリティ関係'!$F$4:$F$282,$B16,'VS×ケイパビリティ関係'!$G$4:$G$282,H$5,'VS×ケイパビリティ関係'!$E$4:$E$282,"主")&gt;0,"●",IF(COUNTIFS('VS×ケイパビリティ関係'!$F$4:$F$282,$B16,'VS×ケイパビリティ関係'!$G$4:$G$282,H$5,'VS×ケイパビリティ関係'!$E$4:$E$282,"支援")&gt;0,"○",""))</f>
        <v/>
      </c>
      <c r="I16" s="18">
        <f>IF(COUNTIFS('VS×ケイパビリティ関係'!$F$4:$F$282,$B16,'VS×ケイパビリティ関係'!$G$4:$G$282,I$5,'VS×ケイパビリティ関係'!$E$4:$E$282,"主")&gt;0,"●",IF(COUNTIFS('VS×ケイパビリティ関係'!$F$4:$F$282,$B16,'VS×ケイパビリティ関係'!$G$4:$G$282,I$5,'VS×ケイパビリティ関係'!$E$4:$E$282,"支援")&gt;0,"○",""))</f>
        <v/>
      </c>
      <c r="J16" s="18">
        <f>IF(COUNTIFS('VS×ケイパビリティ関係'!$F$4:$F$282,$B16,'VS×ケイパビリティ関係'!$G$4:$G$282,J$5,'VS×ケイパビリティ関係'!$E$4:$E$282,"主")&gt;0,"●",IF(COUNTIFS('VS×ケイパビリティ関係'!$F$4:$F$282,$B16,'VS×ケイパビリティ関係'!$G$4:$G$282,J$5,'VS×ケイパビリティ関係'!$E$4:$E$282,"支援")&gt;0,"○",""))</f>
        <v/>
      </c>
      <c r="K16" s="18">
        <f>IF(COUNTIFS('VS×ケイパビリティ関係'!$F$4:$F$282,$B16,'VS×ケイパビリティ関係'!$G$4:$G$282,K$5,'VS×ケイパビリティ関係'!$E$4:$E$282,"主")&gt;0,"●",IF(COUNTIFS('VS×ケイパビリティ関係'!$F$4:$F$282,$B16,'VS×ケイパビリティ関係'!$G$4:$G$282,K$5,'VS×ケイパビリティ関係'!$E$4:$E$282,"支援")&gt;0,"○",""))</f>
        <v/>
      </c>
      <c r="L16" s="18">
        <f>IF(COUNTIFS('VS×ケイパビリティ関係'!$F$4:$F$282,$B16,'VS×ケイパビリティ関係'!$G$4:$G$282,L$5,'VS×ケイパビリティ関係'!$E$4:$E$282,"主")&gt;0,"●",IF(COUNTIFS('VS×ケイパビリティ関係'!$F$4:$F$282,$B16,'VS×ケイパビリティ関係'!$G$4:$G$282,L$5,'VS×ケイパビリティ関係'!$E$4:$E$282,"支援")&gt;0,"○",""))</f>
        <v/>
      </c>
      <c r="M16" s="18">
        <f>IF(COUNTIFS('VS×ケイパビリティ関係'!$F$4:$F$282,$B16,'VS×ケイパビリティ関係'!$G$4:$G$282,M$5,'VS×ケイパビリティ関係'!$E$4:$E$282,"主")&gt;0,"●",IF(COUNTIFS('VS×ケイパビリティ関係'!$F$4:$F$282,$B16,'VS×ケイパビリティ関係'!$G$4:$G$282,M$5,'VS×ケイパビリティ関係'!$E$4:$E$282,"支援")&gt;0,"○",""))</f>
        <v/>
      </c>
      <c r="N16" s="18">
        <f>IF(COUNTIFS('VS×ケイパビリティ関係'!$F$4:$F$282,$B16,'VS×ケイパビリティ関係'!$G$4:$G$282,N$5,'VS×ケイパビリティ関係'!$E$4:$E$282,"主")&gt;0,"●",IF(COUNTIFS('VS×ケイパビリティ関係'!$F$4:$F$282,$B16,'VS×ケイパビリティ関係'!$G$4:$G$282,N$5,'VS×ケイパビリティ関係'!$E$4:$E$282,"支援")&gt;0,"○",""))</f>
        <v/>
      </c>
      <c r="O16" s="18">
        <f>IF(COUNTIFS('VS×ケイパビリティ関係'!$F$4:$F$282,$B16,'VS×ケイパビリティ関係'!$G$4:$G$282,O$5,'VS×ケイパビリティ関係'!$E$4:$E$282,"主")&gt;0,"●",IF(COUNTIFS('VS×ケイパビリティ関係'!$F$4:$F$282,$B16,'VS×ケイパビリティ関係'!$G$4:$G$282,O$5,'VS×ケイパビリティ関係'!$E$4:$E$282,"支援")&gt;0,"○",""))</f>
        <v/>
      </c>
      <c r="P16" s="18">
        <f>IF(COUNTIFS('VS×ケイパビリティ関係'!$F$4:$F$282,$B16,'VS×ケイパビリティ関係'!$G$4:$G$282,P$5,'VS×ケイパビリティ関係'!$E$4:$E$282,"主")&gt;0,"●",IF(COUNTIFS('VS×ケイパビリティ関係'!$F$4:$F$282,$B16,'VS×ケイパビリティ関係'!$G$4:$G$282,P$5,'VS×ケイパビリティ関係'!$E$4:$E$282,"支援")&gt;0,"○",""))</f>
        <v/>
      </c>
      <c r="Q16" s="18">
        <f>IF(COUNTIFS('VS×ケイパビリティ関係'!$F$4:$F$282,$B16,'VS×ケイパビリティ関係'!$G$4:$G$282,Q$5,'VS×ケイパビリティ関係'!$E$4:$E$282,"主")&gt;0,"●",IF(COUNTIFS('VS×ケイパビリティ関係'!$F$4:$F$282,$B16,'VS×ケイパビリティ関係'!$G$4:$G$282,Q$5,'VS×ケイパビリティ関係'!$E$4:$E$282,"支援")&gt;0,"○",""))</f>
        <v/>
      </c>
      <c r="R16" s="18">
        <f>IF(COUNTIFS('VS×ケイパビリティ関係'!$F$4:$F$282,$B16,'VS×ケイパビリティ関係'!$G$4:$G$282,R$5,'VS×ケイパビリティ関係'!$E$4:$E$282,"主")&gt;0,"●",IF(COUNTIFS('VS×ケイパビリティ関係'!$F$4:$F$282,$B16,'VS×ケイパビリティ関係'!$G$4:$G$282,R$5,'VS×ケイパビリティ関係'!$E$4:$E$282,"支援")&gt;0,"○",""))</f>
        <v/>
      </c>
      <c r="S16" s="18">
        <f>IF(COUNTIFS('VS×ケイパビリティ関係'!$F$4:$F$282,$B16,'VS×ケイパビリティ関係'!$G$4:$G$282,S$5,'VS×ケイパビリティ関係'!$E$4:$E$282,"主")&gt;0,"●",IF(COUNTIFS('VS×ケイパビリティ関係'!$F$4:$F$282,$B16,'VS×ケイパビリティ関係'!$G$4:$G$282,S$5,'VS×ケイパビリティ関係'!$E$4:$E$282,"支援")&gt;0,"○",""))</f>
        <v/>
      </c>
      <c r="T16" s="18">
        <f>IF(COUNTIFS('VS×ケイパビリティ関係'!$F$4:$F$282,$B16,'VS×ケイパビリティ関係'!$G$4:$G$282,T$5,'VS×ケイパビリティ関係'!$E$4:$E$282,"主")&gt;0,"●",IF(COUNTIFS('VS×ケイパビリティ関係'!$F$4:$F$282,$B16,'VS×ケイパビリティ関係'!$G$4:$G$282,T$5,'VS×ケイパビリティ関係'!$E$4:$E$282,"支援")&gt;0,"○",""))</f>
        <v/>
      </c>
      <c r="U16" s="18">
        <f>IF(COUNTIFS('VS×ケイパビリティ関係'!$F$4:$F$282,$B16,'VS×ケイパビリティ関係'!$G$4:$G$282,U$5,'VS×ケイパビリティ関係'!$E$4:$E$282,"主")&gt;0,"●",IF(COUNTIFS('VS×ケイパビリティ関係'!$F$4:$F$282,$B16,'VS×ケイパビリティ関係'!$G$4:$G$282,U$5,'VS×ケイパビリティ関係'!$E$4:$E$282,"支援")&gt;0,"○",""))</f>
        <v/>
      </c>
      <c r="V16" s="18">
        <f>COUNTIF(D16:U16,"●")</f>
        <v/>
      </c>
      <c r="W16" s="18">
        <f>COUNTIF(D16:U16,"○")</f>
        <v/>
      </c>
    </row>
    <row r="17">
      <c r="A17" s="42" t="n"/>
      <c r="B17" s="18" t="inlineStr">
        <is>
          <t>05-02</t>
        </is>
      </c>
      <c r="C17" s="20" t="inlineStr">
        <is>
          <t>照合・支払承認</t>
        </is>
      </c>
      <c r="D17" s="18">
        <f>IF(COUNTIFS('VS×ケイパビリティ関係'!$F$4:$F$282,$B17,'VS×ケイパビリティ関係'!$G$4:$G$282,D$5,'VS×ケイパビリティ関係'!$E$4:$E$282,"主")&gt;0,"●",IF(COUNTIFS('VS×ケイパビリティ関係'!$F$4:$F$282,$B17,'VS×ケイパビリティ関係'!$G$4:$G$282,D$5,'VS×ケイパビリティ関係'!$E$4:$E$282,"支援")&gt;0,"○",""))</f>
        <v/>
      </c>
      <c r="E17" s="18">
        <f>IF(COUNTIFS('VS×ケイパビリティ関係'!$F$4:$F$282,$B17,'VS×ケイパビリティ関係'!$G$4:$G$282,E$5,'VS×ケイパビリティ関係'!$E$4:$E$282,"主")&gt;0,"●",IF(COUNTIFS('VS×ケイパビリティ関係'!$F$4:$F$282,$B17,'VS×ケイパビリティ関係'!$G$4:$G$282,E$5,'VS×ケイパビリティ関係'!$E$4:$E$282,"支援")&gt;0,"○",""))</f>
        <v/>
      </c>
      <c r="F17" s="18">
        <f>IF(COUNTIFS('VS×ケイパビリティ関係'!$F$4:$F$282,$B17,'VS×ケイパビリティ関係'!$G$4:$G$282,F$5,'VS×ケイパビリティ関係'!$E$4:$E$282,"主")&gt;0,"●",IF(COUNTIFS('VS×ケイパビリティ関係'!$F$4:$F$282,$B17,'VS×ケイパビリティ関係'!$G$4:$G$282,F$5,'VS×ケイパビリティ関係'!$E$4:$E$282,"支援")&gt;0,"○",""))</f>
        <v/>
      </c>
      <c r="G17" s="18">
        <f>IF(COUNTIFS('VS×ケイパビリティ関係'!$F$4:$F$282,$B17,'VS×ケイパビリティ関係'!$G$4:$G$282,G$5,'VS×ケイパビリティ関係'!$E$4:$E$282,"主")&gt;0,"●",IF(COUNTIFS('VS×ケイパビリティ関係'!$F$4:$F$282,$B17,'VS×ケイパビリティ関係'!$G$4:$G$282,G$5,'VS×ケイパビリティ関係'!$E$4:$E$282,"支援")&gt;0,"○",""))</f>
        <v/>
      </c>
      <c r="H17" s="18">
        <f>IF(COUNTIFS('VS×ケイパビリティ関係'!$F$4:$F$282,$B17,'VS×ケイパビリティ関係'!$G$4:$G$282,H$5,'VS×ケイパビリティ関係'!$E$4:$E$282,"主")&gt;0,"●",IF(COUNTIFS('VS×ケイパビリティ関係'!$F$4:$F$282,$B17,'VS×ケイパビリティ関係'!$G$4:$G$282,H$5,'VS×ケイパビリティ関係'!$E$4:$E$282,"支援")&gt;0,"○",""))</f>
        <v/>
      </c>
      <c r="I17" s="18">
        <f>IF(COUNTIFS('VS×ケイパビリティ関係'!$F$4:$F$282,$B17,'VS×ケイパビリティ関係'!$G$4:$G$282,I$5,'VS×ケイパビリティ関係'!$E$4:$E$282,"主")&gt;0,"●",IF(COUNTIFS('VS×ケイパビリティ関係'!$F$4:$F$282,$B17,'VS×ケイパビリティ関係'!$G$4:$G$282,I$5,'VS×ケイパビリティ関係'!$E$4:$E$282,"支援")&gt;0,"○",""))</f>
        <v/>
      </c>
      <c r="J17" s="18">
        <f>IF(COUNTIFS('VS×ケイパビリティ関係'!$F$4:$F$282,$B17,'VS×ケイパビリティ関係'!$G$4:$G$282,J$5,'VS×ケイパビリティ関係'!$E$4:$E$282,"主")&gt;0,"●",IF(COUNTIFS('VS×ケイパビリティ関係'!$F$4:$F$282,$B17,'VS×ケイパビリティ関係'!$G$4:$G$282,J$5,'VS×ケイパビリティ関係'!$E$4:$E$282,"支援")&gt;0,"○",""))</f>
        <v/>
      </c>
      <c r="K17" s="18">
        <f>IF(COUNTIFS('VS×ケイパビリティ関係'!$F$4:$F$282,$B17,'VS×ケイパビリティ関係'!$G$4:$G$282,K$5,'VS×ケイパビリティ関係'!$E$4:$E$282,"主")&gt;0,"●",IF(COUNTIFS('VS×ケイパビリティ関係'!$F$4:$F$282,$B17,'VS×ケイパビリティ関係'!$G$4:$G$282,K$5,'VS×ケイパビリティ関係'!$E$4:$E$282,"支援")&gt;0,"○",""))</f>
        <v/>
      </c>
      <c r="L17" s="18">
        <f>IF(COUNTIFS('VS×ケイパビリティ関係'!$F$4:$F$282,$B17,'VS×ケイパビリティ関係'!$G$4:$G$282,L$5,'VS×ケイパビリティ関係'!$E$4:$E$282,"主")&gt;0,"●",IF(COUNTIFS('VS×ケイパビリティ関係'!$F$4:$F$282,$B17,'VS×ケイパビリティ関係'!$G$4:$G$282,L$5,'VS×ケイパビリティ関係'!$E$4:$E$282,"支援")&gt;0,"○",""))</f>
        <v/>
      </c>
      <c r="M17" s="18">
        <f>IF(COUNTIFS('VS×ケイパビリティ関係'!$F$4:$F$282,$B17,'VS×ケイパビリティ関係'!$G$4:$G$282,M$5,'VS×ケイパビリティ関係'!$E$4:$E$282,"主")&gt;0,"●",IF(COUNTIFS('VS×ケイパビリティ関係'!$F$4:$F$282,$B17,'VS×ケイパビリティ関係'!$G$4:$G$282,M$5,'VS×ケイパビリティ関係'!$E$4:$E$282,"支援")&gt;0,"○",""))</f>
        <v/>
      </c>
      <c r="N17" s="18">
        <f>IF(COUNTIFS('VS×ケイパビリティ関係'!$F$4:$F$282,$B17,'VS×ケイパビリティ関係'!$G$4:$G$282,N$5,'VS×ケイパビリティ関係'!$E$4:$E$282,"主")&gt;0,"●",IF(COUNTIFS('VS×ケイパビリティ関係'!$F$4:$F$282,$B17,'VS×ケイパビリティ関係'!$G$4:$G$282,N$5,'VS×ケイパビリティ関係'!$E$4:$E$282,"支援")&gt;0,"○",""))</f>
        <v/>
      </c>
      <c r="O17" s="18">
        <f>IF(COUNTIFS('VS×ケイパビリティ関係'!$F$4:$F$282,$B17,'VS×ケイパビリティ関係'!$G$4:$G$282,O$5,'VS×ケイパビリティ関係'!$E$4:$E$282,"主")&gt;0,"●",IF(COUNTIFS('VS×ケイパビリティ関係'!$F$4:$F$282,$B17,'VS×ケイパビリティ関係'!$G$4:$G$282,O$5,'VS×ケイパビリティ関係'!$E$4:$E$282,"支援")&gt;0,"○",""))</f>
        <v/>
      </c>
      <c r="P17" s="18">
        <f>IF(COUNTIFS('VS×ケイパビリティ関係'!$F$4:$F$282,$B17,'VS×ケイパビリティ関係'!$G$4:$G$282,P$5,'VS×ケイパビリティ関係'!$E$4:$E$282,"主")&gt;0,"●",IF(COUNTIFS('VS×ケイパビリティ関係'!$F$4:$F$282,$B17,'VS×ケイパビリティ関係'!$G$4:$G$282,P$5,'VS×ケイパビリティ関係'!$E$4:$E$282,"支援")&gt;0,"○",""))</f>
        <v/>
      </c>
      <c r="Q17" s="18">
        <f>IF(COUNTIFS('VS×ケイパビリティ関係'!$F$4:$F$282,$B17,'VS×ケイパビリティ関係'!$G$4:$G$282,Q$5,'VS×ケイパビリティ関係'!$E$4:$E$282,"主")&gt;0,"●",IF(COUNTIFS('VS×ケイパビリティ関係'!$F$4:$F$282,$B17,'VS×ケイパビリティ関係'!$G$4:$G$282,Q$5,'VS×ケイパビリティ関係'!$E$4:$E$282,"支援")&gt;0,"○",""))</f>
        <v/>
      </c>
      <c r="R17" s="18">
        <f>IF(COUNTIFS('VS×ケイパビリティ関係'!$F$4:$F$282,$B17,'VS×ケイパビリティ関係'!$G$4:$G$282,R$5,'VS×ケイパビリティ関係'!$E$4:$E$282,"主")&gt;0,"●",IF(COUNTIFS('VS×ケイパビリティ関係'!$F$4:$F$282,$B17,'VS×ケイパビリティ関係'!$G$4:$G$282,R$5,'VS×ケイパビリティ関係'!$E$4:$E$282,"支援")&gt;0,"○",""))</f>
        <v/>
      </c>
      <c r="S17" s="18">
        <f>IF(COUNTIFS('VS×ケイパビリティ関係'!$F$4:$F$282,$B17,'VS×ケイパビリティ関係'!$G$4:$G$282,S$5,'VS×ケイパビリティ関係'!$E$4:$E$282,"主")&gt;0,"●",IF(COUNTIFS('VS×ケイパビリティ関係'!$F$4:$F$282,$B17,'VS×ケイパビリティ関係'!$G$4:$G$282,S$5,'VS×ケイパビリティ関係'!$E$4:$E$282,"支援")&gt;0,"○",""))</f>
        <v/>
      </c>
      <c r="T17" s="18">
        <f>IF(COUNTIFS('VS×ケイパビリティ関係'!$F$4:$F$282,$B17,'VS×ケイパビリティ関係'!$G$4:$G$282,T$5,'VS×ケイパビリティ関係'!$E$4:$E$282,"主")&gt;0,"●",IF(COUNTIFS('VS×ケイパビリティ関係'!$F$4:$F$282,$B17,'VS×ケイパビリティ関係'!$G$4:$G$282,T$5,'VS×ケイパビリティ関係'!$E$4:$E$282,"支援")&gt;0,"○",""))</f>
        <v/>
      </c>
      <c r="U17" s="18">
        <f>IF(COUNTIFS('VS×ケイパビリティ関係'!$F$4:$F$282,$B17,'VS×ケイパビリティ関係'!$G$4:$G$282,U$5,'VS×ケイパビリティ関係'!$E$4:$E$282,"主")&gt;0,"●",IF(COUNTIFS('VS×ケイパビリティ関係'!$F$4:$F$282,$B17,'VS×ケイパビリティ関係'!$G$4:$G$282,U$5,'VS×ケイパビリティ関係'!$E$4:$E$282,"支援")&gt;0,"○",""))</f>
        <v/>
      </c>
      <c r="V17" s="18">
        <f>COUNTIF(D17:U17,"●")</f>
        <v/>
      </c>
      <c r="W17" s="18">
        <f>COUNTIF(D17:U17,"○")</f>
        <v/>
      </c>
    </row>
    <row r="18">
      <c r="A18" s="42" t="n"/>
      <c r="B18" s="18" t="inlineStr">
        <is>
          <t>05-03</t>
        </is>
      </c>
      <c r="C18" s="20" t="inlineStr">
        <is>
          <t>支払・会計処理</t>
        </is>
      </c>
      <c r="D18" s="18">
        <f>IF(COUNTIFS('VS×ケイパビリティ関係'!$F$4:$F$282,$B18,'VS×ケイパビリティ関係'!$G$4:$G$282,D$5,'VS×ケイパビリティ関係'!$E$4:$E$282,"主")&gt;0,"●",IF(COUNTIFS('VS×ケイパビリティ関係'!$F$4:$F$282,$B18,'VS×ケイパビリティ関係'!$G$4:$G$282,D$5,'VS×ケイパビリティ関係'!$E$4:$E$282,"支援")&gt;0,"○",""))</f>
        <v/>
      </c>
      <c r="E18" s="18">
        <f>IF(COUNTIFS('VS×ケイパビリティ関係'!$F$4:$F$282,$B18,'VS×ケイパビリティ関係'!$G$4:$G$282,E$5,'VS×ケイパビリティ関係'!$E$4:$E$282,"主")&gt;0,"●",IF(COUNTIFS('VS×ケイパビリティ関係'!$F$4:$F$282,$B18,'VS×ケイパビリティ関係'!$G$4:$G$282,E$5,'VS×ケイパビリティ関係'!$E$4:$E$282,"支援")&gt;0,"○",""))</f>
        <v/>
      </c>
      <c r="F18" s="18">
        <f>IF(COUNTIFS('VS×ケイパビリティ関係'!$F$4:$F$282,$B18,'VS×ケイパビリティ関係'!$G$4:$G$282,F$5,'VS×ケイパビリティ関係'!$E$4:$E$282,"主")&gt;0,"●",IF(COUNTIFS('VS×ケイパビリティ関係'!$F$4:$F$282,$B18,'VS×ケイパビリティ関係'!$G$4:$G$282,F$5,'VS×ケイパビリティ関係'!$E$4:$E$282,"支援")&gt;0,"○",""))</f>
        <v/>
      </c>
      <c r="G18" s="18">
        <f>IF(COUNTIFS('VS×ケイパビリティ関係'!$F$4:$F$282,$B18,'VS×ケイパビリティ関係'!$G$4:$G$282,G$5,'VS×ケイパビリティ関係'!$E$4:$E$282,"主")&gt;0,"●",IF(COUNTIFS('VS×ケイパビリティ関係'!$F$4:$F$282,$B18,'VS×ケイパビリティ関係'!$G$4:$G$282,G$5,'VS×ケイパビリティ関係'!$E$4:$E$282,"支援")&gt;0,"○",""))</f>
        <v/>
      </c>
      <c r="H18" s="18">
        <f>IF(COUNTIFS('VS×ケイパビリティ関係'!$F$4:$F$282,$B18,'VS×ケイパビリティ関係'!$G$4:$G$282,H$5,'VS×ケイパビリティ関係'!$E$4:$E$282,"主")&gt;0,"●",IF(COUNTIFS('VS×ケイパビリティ関係'!$F$4:$F$282,$B18,'VS×ケイパビリティ関係'!$G$4:$G$282,H$5,'VS×ケイパビリティ関係'!$E$4:$E$282,"支援")&gt;0,"○",""))</f>
        <v/>
      </c>
      <c r="I18" s="18">
        <f>IF(COUNTIFS('VS×ケイパビリティ関係'!$F$4:$F$282,$B18,'VS×ケイパビリティ関係'!$G$4:$G$282,I$5,'VS×ケイパビリティ関係'!$E$4:$E$282,"主")&gt;0,"●",IF(COUNTIFS('VS×ケイパビリティ関係'!$F$4:$F$282,$B18,'VS×ケイパビリティ関係'!$G$4:$G$282,I$5,'VS×ケイパビリティ関係'!$E$4:$E$282,"支援")&gt;0,"○",""))</f>
        <v/>
      </c>
      <c r="J18" s="18">
        <f>IF(COUNTIFS('VS×ケイパビリティ関係'!$F$4:$F$282,$B18,'VS×ケイパビリティ関係'!$G$4:$G$282,J$5,'VS×ケイパビリティ関係'!$E$4:$E$282,"主")&gt;0,"●",IF(COUNTIFS('VS×ケイパビリティ関係'!$F$4:$F$282,$B18,'VS×ケイパビリティ関係'!$G$4:$G$282,J$5,'VS×ケイパビリティ関係'!$E$4:$E$282,"支援")&gt;0,"○",""))</f>
        <v/>
      </c>
      <c r="K18" s="18">
        <f>IF(COUNTIFS('VS×ケイパビリティ関係'!$F$4:$F$282,$B18,'VS×ケイパビリティ関係'!$G$4:$G$282,K$5,'VS×ケイパビリティ関係'!$E$4:$E$282,"主")&gt;0,"●",IF(COUNTIFS('VS×ケイパビリティ関係'!$F$4:$F$282,$B18,'VS×ケイパビリティ関係'!$G$4:$G$282,K$5,'VS×ケイパビリティ関係'!$E$4:$E$282,"支援")&gt;0,"○",""))</f>
        <v/>
      </c>
      <c r="L18" s="18">
        <f>IF(COUNTIFS('VS×ケイパビリティ関係'!$F$4:$F$282,$B18,'VS×ケイパビリティ関係'!$G$4:$G$282,L$5,'VS×ケイパビリティ関係'!$E$4:$E$282,"主")&gt;0,"●",IF(COUNTIFS('VS×ケイパビリティ関係'!$F$4:$F$282,$B18,'VS×ケイパビリティ関係'!$G$4:$G$282,L$5,'VS×ケイパビリティ関係'!$E$4:$E$282,"支援")&gt;0,"○",""))</f>
        <v/>
      </c>
      <c r="M18" s="18">
        <f>IF(COUNTIFS('VS×ケイパビリティ関係'!$F$4:$F$282,$B18,'VS×ケイパビリティ関係'!$G$4:$G$282,M$5,'VS×ケイパビリティ関係'!$E$4:$E$282,"主")&gt;0,"●",IF(COUNTIFS('VS×ケイパビリティ関係'!$F$4:$F$282,$B18,'VS×ケイパビリティ関係'!$G$4:$G$282,M$5,'VS×ケイパビリティ関係'!$E$4:$E$282,"支援")&gt;0,"○",""))</f>
        <v/>
      </c>
      <c r="N18" s="18">
        <f>IF(COUNTIFS('VS×ケイパビリティ関係'!$F$4:$F$282,$B18,'VS×ケイパビリティ関係'!$G$4:$G$282,N$5,'VS×ケイパビリティ関係'!$E$4:$E$282,"主")&gt;0,"●",IF(COUNTIFS('VS×ケイパビリティ関係'!$F$4:$F$282,$B18,'VS×ケイパビリティ関係'!$G$4:$G$282,N$5,'VS×ケイパビリティ関係'!$E$4:$E$282,"支援")&gt;0,"○",""))</f>
        <v/>
      </c>
      <c r="O18" s="18">
        <f>IF(COUNTIFS('VS×ケイパビリティ関係'!$F$4:$F$282,$B18,'VS×ケイパビリティ関係'!$G$4:$G$282,O$5,'VS×ケイパビリティ関係'!$E$4:$E$282,"主")&gt;0,"●",IF(COUNTIFS('VS×ケイパビリティ関係'!$F$4:$F$282,$B18,'VS×ケイパビリティ関係'!$G$4:$G$282,O$5,'VS×ケイパビリティ関係'!$E$4:$E$282,"支援")&gt;0,"○",""))</f>
        <v/>
      </c>
      <c r="P18" s="18">
        <f>IF(COUNTIFS('VS×ケイパビリティ関係'!$F$4:$F$282,$B18,'VS×ケイパビリティ関係'!$G$4:$G$282,P$5,'VS×ケイパビリティ関係'!$E$4:$E$282,"主")&gt;0,"●",IF(COUNTIFS('VS×ケイパビリティ関係'!$F$4:$F$282,$B18,'VS×ケイパビリティ関係'!$G$4:$G$282,P$5,'VS×ケイパビリティ関係'!$E$4:$E$282,"支援")&gt;0,"○",""))</f>
        <v/>
      </c>
      <c r="Q18" s="18">
        <f>IF(COUNTIFS('VS×ケイパビリティ関係'!$F$4:$F$282,$B18,'VS×ケイパビリティ関係'!$G$4:$G$282,Q$5,'VS×ケイパビリティ関係'!$E$4:$E$282,"主")&gt;0,"●",IF(COUNTIFS('VS×ケイパビリティ関係'!$F$4:$F$282,$B18,'VS×ケイパビリティ関係'!$G$4:$G$282,Q$5,'VS×ケイパビリティ関係'!$E$4:$E$282,"支援")&gt;0,"○",""))</f>
        <v/>
      </c>
      <c r="R18" s="18">
        <f>IF(COUNTIFS('VS×ケイパビリティ関係'!$F$4:$F$282,$B18,'VS×ケイパビリティ関係'!$G$4:$G$282,R$5,'VS×ケイパビリティ関係'!$E$4:$E$282,"主")&gt;0,"●",IF(COUNTIFS('VS×ケイパビリティ関係'!$F$4:$F$282,$B18,'VS×ケイパビリティ関係'!$G$4:$G$282,R$5,'VS×ケイパビリティ関係'!$E$4:$E$282,"支援")&gt;0,"○",""))</f>
        <v/>
      </c>
      <c r="S18" s="18">
        <f>IF(COUNTIFS('VS×ケイパビリティ関係'!$F$4:$F$282,$B18,'VS×ケイパビリティ関係'!$G$4:$G$282,S$5,'VS×ケイパビリティ関係'!$E$4:$E$282,"主")&gt;0,"●",IF(COUNTIFS('VS×ケイパビリティ関係'!$F$4:$F$282,$B18,'VS×ケイパビリティ関係'!$G$4:$G$282,S$5,'VS×ケイパビリティ関係'!$E$4:$E$282,"支援")&gt;0,"○",""))</f>
        <v/>
      </c>
      <c r="T18" s="18">
        <f>IF(COUNTIFS('VS×ケイパビリティ関係'!$F$4:$F$282,$B18,'VS×ケイパビリティ関係'!$G$4:$G$282,T$5,'VS×ケイパビリティ関係'!$E$4:$E$282,"主")&gt;0,"●",IF(COUNTIFS('VS×ケイパビリティ関係'!$F$4:$F$282,$B18,'VS×ケイパビリティ関係'!$G$4:$G$282,T$5,'VS×ケイパビリティ関係'!$E$4:$E$282,"支援")&gt;0,"○",""))</f>
        <v/>
      </c>
      <c r="U18" s="18">
        <f>IF(COUNTIFS('VS×ケイパビリティ関係'!$F$4:$F$282,$B18,'VS×ケイパビリティ関係'!$G$4:$G$282,U$5,'VS×ケイパビリティ関係'!$E$4:$E$282,"主")&gt;0,"●",IF(COUNTIFS('VS×ケイパビリティ関係'!$F$4:$F$282,$B18,'VS×ケイパビリティ関係'!$G$4:$G$282,U$5,'VS×ケイパビリティ関係'!$E$4:$E$282,"支援")&gt;0,"○",""))</f>
        <v/>
      </c>
      <c r="V18" s="18">
        <f>COUNTIF(D18:U18,"●")</f>
        <v/>
      </c>
      <c r="W18" s="18">
        <f>COUNTIF(D18:U18,"○")</f>
        <v/>
      </c>
    </row>
    <row r="19">
      <c r="A19" s="42" t="n"/>
      <c r="B19" s="18" t="inlineStr">
        <is>
          <t>05-04</t>
        </is>
      </c>
      <c r="C19" s="20" t="inlineStr">
        <is>
          <t>振り返り・評価</t>
        </is>
      </c>
      <c r="D19" s="18">
        <f>IF(COUNTIFS('VS×ケイパビリティ関係'!$F$4:$F$282,$B19,'VS×ケイパビリティ関係'!$G$4:$G$282,D$5,'VS×ケイパビリティ関係'!$E$4:$E$282,"主")&gt;0,"●",IF(COUNTIFS('VS×ケイパビリティ関係'!$F$4:$F$282,$B19,'VS×ケイパビリティ関係'!$G$4:$G$282,D$5,'VS×ケイパビリティ関係'!$E$4:$E$282,"支援")&gt;0,"○",""))</f>
        <v/>
      </c>
      <c r="E19" s="18">
        <f>IF(COUNTIFS('VS×ケイパビリティ関係'!$F$4:$F$282,$B19,'VS×ケイパビリティ関係'!$G$4:$G$282,E$5,'VS×ケイパビリティ関係'!$E$4:$E$282,"主")&gt;0,"●",IF(COUNTIFS('VS×ケイパビリティ関係'!$F$4:$F$282,$B19,'VS×ケイパビリティ関係'!$G$4:$G$282,E$5,'VS×ケイパビリティ関係'!$E$4:$E$282,"支援")&gt;0,"○",""))</f>
        <v/>
      </c>
      <c r="F19" s="18">
        <f>IF(COUNTIFS('VS×ケイパビリティ関係'!$F$4:$F$282,$B19,'VS×ケイパビリティ関係'!$G$4:$G$282,F$5,'VS×ケイパビリティ関係'!$E$4:$E$282,"主")&gt;0,"●",IF(COUNTIFS('VS×ケイパビリティ関係'!$F$4:$F$282,$B19,'VS×ケイパビリティ関係'!$G$4:$G$282,F$5,'VS×ケイパビリティ関係'!$E$4:$E$282,"支援")&gt;0,"○",""))</f>
        <v/>
      </c>
      <c r="G19" s="18">
        <f>IF(COUNTIFS('VS×ケイパビリティ関係'!$F$4:$F$282,$B19,'VS×ケイパビリティ関係'!$G$4:$G$282,G$5,'VS×ケイパビリティ関係'!$E$4:$E$282,"主")&gt;0,"●",IF(COUNTIFS('VS×ケイパビリティ関係'!$F$4:$F$282,$B19,'VS×ケイパビリティ関係'!$G$4:$G$282,G$5,'VS×ケイパビリティ関係'!$E$4:$E$282,"支援")&gt;0,"○",""))</f>
        <v/>
      </c>
      <c r="H19" s="18">
        <f>IF(COUNTIFS('VS×ケイパビリティ関係'!$F$4:$F$282,$B19,'VS×ケイパビリティ関係'!$G$4:$G$282,H$5,'VS×ケイパビリティ関係'!$E$4:$E$282,"主")&gt;0,"●",IF(COUNTIFS('VS×ケイパビリティ関係'!$F$4:$F$282,$B19,'VS×ケイパビリティ関係'!$G$4:$G$282,H$5,'VS×ケイパビリティ関係'!$E$4:$E$282,"支援")&gt;0,"○",""))</f>
        <v/>
      </c>
      <c r="I19" s="18">
        <f>IF(COUNTIFS('VS×ケイパビリティ関係'!$F$4:$F$282,$B19,'VS×ケイパビリティ関係'!$G$4:$G$282,I$5,'VS×ケイパビリティ関係'!$E$4:$E$282,"主")&gt;0,"●",IF(COUNTIFS('VS×ケイパビリティ関係'!$F$4:$F$282,$B19,'VS×ケイパビリティ関係'!$G$4:$G$282,I$5,'VS×ケイパビリティ関係'!$E$4:$E$282,"支援")&gt;0,"○",""))</f>
        <v/>
      </c>
      <c r="J19" s="18">
        <f>IF(COUNTIFS('VS×ケイパビリティ関係'!$F$4:$F$282,$B19,'VS×ケイパビリティ関係'!$G$4:$G$282,J$5,'VS×ケイパビリティ関係'!$E$4:$E$282,"主")&gt;0,"●",IF(COUNTIFS('VS×ケイパビリティ関係'!$F$4:$F$282,$B19,'VS×ケイパビリティ関係'!$G$4:$G$282,J$5,'VS×ケイパビリティ関係'!$E$4:$E$282,"支援")&gt;0,"○",""))</f>
        <v/>
      </c>
      <c r="K19" s="18">
        <f>IF(COUNTIFS('VS×ケイパビリティ関係'!$F$4:$F$282,$B19,'VS×ケイパビリティ関係'!$G$4:$G$282,K$5,'VS×ケイパビリティ関係'!$E$4:$E$282,"主")&gt;0,"●",IF(COUNTIFS('VS×ケイパビリティ関係'!$F$4:$F$282,$B19,'VS×ケイパビリティ関係'!$G$4:$G$282,K$5,'VS×ケイパビリティ関係'!$E$4:$E$282,"支援")&gt;0,"○",""))</f>
        <v/>
      </c>
      <c r="L19" s="18">
        <f>IF(COUNTIFS('VS×ケイパビリティ関係'!$F$4:$F$282,$B19,'VS×ケイパビリティ関係'!$G$4:$G$282,L$5,'VS×ケイパビリティ関係'!$E$4:$E$282,"主")&gt;0,"●",IF(COUNTIFS('VS×ケイパビリティ関係'!$F$4:$F$282,$B19,'VS×ケイパビリティ関係'!$G$4:$G$282,L$5,'VS×ケイパビリティ関係'!$E$4:$E$282,"支援")&gt;0,"○",""))</f>
        <v/>
      </c>
      <c r="M19" s="18">
        <f>IF(COUNTIFS('VS×ケイパビリティ関係'!$F$4:$F$282,$B19,'VS×ケイパビリティ関係'!$G$4:$G$282,M$5,'VS×ケイパビリティ関係'!$E$4:$E$282,"主")&gt;0,"●",IF(COUNTIFS('VS×ケイパビリティ関係'!$F$4:$F$282,$B19,'VS×ケイパビリティ関係'!$G$4:$G$282,M$5,'VS×ケイパビリティ関係'!$E$4:$E$282,"支援")&gt;0,"○",""))</f>
        <v/>
      </c>
      <c r="N19" s="18">
        <f>IF(COUNTIFS('VS×ケイパビリティ関係'!$F$4:$F$282,$B19,'VS×ケイパビリティ関係'!$G$4:$G$282,N$5,'VS×ケイパビリティ関係'!$E$4:$E$282,"主")&gt;0,"●",IF(COUNTIFS('VS×ケイパビリティ関係'!$F$4:$F$282,$B19,'VS×ケイパビリティ関係'!$G$4:$G$282,N$5,'VS×ケイパビリティ関係'!$E$4:$E$282,"支援")&gt;0,"○",""))</f>
        <v/>
      </c>
      <c r="O19" s="18">
        <f>IF(COUNTIFS('VS×ケイパビリティ関係'!$F$4:$F$282,$B19,'VS×ケイパビリティ関係'!$G$4:$G$282,O$5,'VS×ケイパビリティ関係'!$E$4:$E$282,"主")&gt;0,"●",IF(COUNTIFS('VS×ケイパビリティ関係'!$F$4:$F$282,$B19,'VS×ケイパビリティ関係'!$G$4:$G$282,O$5,'VS×ケイパビリティ関係'!$E$4:$E$282,"支援")&gt;0,"○",""))</f>
        <v/>
      </c>
      <c r="P19" s="18">
        <f>IF(COUNTIFS('VS×ケイパビリティ関係'!$F$4:$F$282,$B19,'VS×ケイパビリティ関係'!$G$4:$G$282,P$5,'VS×ケイパビリティ関係'!$E$4:$E$282,"主")&gt;0,"●",IF(COUNTIFS('VS×ケイパビリティ関係'!$F$4:$F$282,$B19,'VS×ケイパビリティ関係'!$G$4:$G$282,P$5,'VS×ケイパビリティ関係'!$E$4:$E$282,"支援")&gt;0,"○",""))</f>
        <v/>
      </c>
      <c r="Q19" s="18">
        <f>IF(COUNTIFS('VS×ケイパビリティ関係'!$F$4:$F$282,$B19,'VS×ケイパビリティ関係'!$G$4:$G$282,Q$5,'VS×ケイパビリティ関係'!$E$4:$E$282,"主")&gt;0,"●",IF(COUNTIFS('VS×ケイパビリティ関係'!$F$4:$F$282,$B19,'VS×ケイパビリティ関係'!$G$4:$G$282,Q$5,'VS×ケイパビリティ関係'!$E$4:$E$282,"支援")&gt;0,"○",""))</f>
        <v/>
      </c>
      <c r="R19" s="18">
        <f>IF(COUNTIFS('VS×ケイパビリティ関係'!$F$4:$F$282,$B19,'VS×ケイパビリティ関係'!$G$4:$G$282,R$5,'VS×ケイパビリティ関係'!$E$4:$E$282,"主")&gt;0,"●",IF(COUNTIFS('VS×ケイパビリティ関係'!$F$4:$F$282,$B19,'VS×ケイパビリティ関係'!$G$4:$G$282,R$5,'VS×ケイパビリティ関係'!$E$4:$E$282,"支援")&gt;0,"○",""))</f>
        <v/>
      </c>
      <c r="S19" s="18">
        <f>IF(COUNTIFS('VS×ケイパビリティ関係'!$F$4:$F$282,$B19,'VS×ケイパビリティ関係'!$G$4:$G$282,S$5,'VS×ケイパビリティ関係'!$E$4:$E$282,"主")&gt;0,"●",IF(COUNTIFS('VS×ケイパビリティ関係'!$F$4:$F$282,$B19,'VS×ケイパビリティ関係'!$G$4:$G$282,S$5,'VS×ケイパビリティ関係'!$E$4:$E$282,"支援")&gt;0,"○",""))</f>
        <v/>
      </c>
      <c r="T19" s="18">
        <f>IF(COUNTIFS('VS×ケイパビリティ関係'!$F$4:$F$282,$B19,'VS×ケイパビリティ関係'!$G$4:$G$282,T$5,'VS×ケイパビリティ関係'!$E$4:$E$282,"主")&gt;0,"●",IF(COUNTIFS('VS×ケイパビリティ関係'!$F$4:$F$282,$B19,'VS×ケイパビリティ関係'!$G$4:$G$282,T$5,'VS×ケイパビリティ関係'!$E$4:$E$282,"支援")&gt;0,"○",""))</f>
        <v/>
      </c>
      <c r="U19" s="18">
        <f>IF(COUNTIFS('VS×ケイパビリティ関係'!$F$4:$F$282,$B19,'VS×ケイパビリティ関係'!$G$4:$G$282,U$5,'VS×ケイパビリティ関係'!$E$4:$E$282,"主")&gt;0,"●",IF(COUNTIFS('VS×ケイパビリティ関係'!$F$4:$F$282,$B19,'VS×ケイパビリティ関係'!$G$4:$G$282,U$5,'VS×ケイパビリティ関係'!$E$4:$E$282,"支援")&gt;0,"○",""))</f>
        <v/>
      </c>
      <c r="V19" s="18">
        <f>COUNTIF(D19:U19,"●")</f>
        <v/>
      </c>
      <c r="W19" s="18">
        <f>COUNTIF(D19:U19,"○")</f>
        <v/>
      </c>
    </row>
  </sheetData>
  <mergeCells count="11">
    <mergeCell ref="V4:V6"/>
    <mergeCell ref="A4:A6"/>
    <mergeCell ref="B4:B6"/>
    <mergeCell ref="F4:I4"/>
    <mergeCell ref="M4:O4"/>
    <mergeCell ref="S4:U4"/>
    <mergeCell ref="D4:E4"/>
    <mergeCell ref="J4:L4"/>
    <mergeCell ref="P4:R4"/>
    <mergeCell ref="C4:C6"/>
    <mergeCell ref="W4:W6"/>
  </mergeCells>
  <conditionalFormatting sqref="D7:U19">
    <cfRule type="cellIs" priority="1" operator="equal" dxfId="0">
      <formula>"●"</formula>
    </cfRule>
    <cfRule type="cellIs" priority="2" operator="equal" dxfId="1">
      <formula>"○"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A5F"/>
    <outlinePr summaryBelow="1" summaryRight="1"/>
    <pageSetUpPr/>
  </sheetPr>
  <dimension ref="A1:M44"/>
  <sheetViews>
    <sheetView showGridLines="1" zoomScale="10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24" customWidth="1" min="3" max="3"/>
    <col width="48" customWidth="1" min="5" max="5"/>
    <col width="12" customWidth="1" min="6" max="6"/>
    <col width="11" customWidth="1" min="7" max="7"/>
    <col width="12" customWidth="1" min="9" max="9"/>
    <col width="22" customWidth="1" min="11" max="11"/>
    <col width="9" customWidth="1" min="12" max="12"/>
  </cols>
  <sheetData>
    <row r="1" ht="17.35" customHeight="1">
      <c r="A1" s="43" t="inlineStr">
        <is>
          <t>情報オブジェクト（正本：用語集と分類）</t>
        </is>
      </c>
    </row>
    <row r="2" ht="15" customHeight="1">
      <c r="A2" s="44" t="inlineStr">
        <is>
          <t>1行1オブジェクト。業務上ひとまとまりで管理される情報の単位（状態の違いは属性として扱う）。名称・分類・オーナーはこのシートで編集する。灰色の列は数式（編集しない）。個人情報：取引先が個人事業者（フリーランス）の場合に該当する。特定個人情報（マイナンバー）は取扱いを特に厳格にする。</t>
        </is>
      </c>
    </row>
    <row r="3" ht="30" customHeight="1">
      <c r="A3" s="45" t="inlineStr">
        <is>
          <t>ID</t>
        </is>
      </c>
      <c r="B3" s="45" t="inlineStr">
        <is>
          <t>領域</t>
        </is>
      </c>
      <c r="C3" s="45" t="inlineStr">
        <is>
          <t>情報オブジェクト</t>
        </is>
      </c>
      <c r="D3" s="45" t="inlineStr">
        <is>
          <t>英語名</t>
        </is>
      </c>
      <c r="E3" s="45" t="inlineStr">
        <is>
          <t>説明</t>
        </is>
      </c>
      <c r="F3" s="45" t="inlineStr">
        <is>
          <t>データ種別</t>
        </is>
      </c>
      <c r="G3" s="45" t="inlineStr">
        <is>
          <t>関連法令</t>
        </is>
      </c>
      <c r="H3" s="46" t="inlineStr">
        <is>
          <t>法定保存・届出
の対象</t>
        </is>
      </c>
      <c r="I3" s="45" t="inlineStr">
        <is>
          <t>個人情報</t>
        </is>
      </c>
      <c r="J3" s="45" t="inlineStr">
        <is>
          <t>オーナー
ケイパビリティL2 ID</t>
        </is>
      </c>
      <c r="K3" s="46" t="inlineStr">
        <is>
          <t>オーナー
ケイパビリティL2</t>
        </is>
      </c>
      <c r="L3" s="46" t="inlineStr">
        <is>
          <t>作成する
ケイパビリティL2の数</t>
        </is>
      </c>
      <c r="M3" s="46" t="inlineStr">
        <is>
          <t>利用する
ケイパビリティL2の数</t>
        </is>
      </c>
    </row>
    <row r="4" ht="26.85" customHeight="1">
      <c r="A4" s="47" t="inlineStr">
        <is>
          <t>MST-01</t>
        </is>
      </c>
      <c r="B4" s="48" t="inlineStr">
        <is>
          <t>共通・マスタ</t>
        </is>
      </c>
      <c r="C4" s="49" t="inlineStr">
        <is>
          <t>品目マスタ</t>
        </is>
      </c>
      <c r="D4" s="50" t="inlineStr">
        <is>
          <t>Item Master</t>
        </is>
      </c>
      <c r="E4" s="51" t="inlineStr">
        <is>
          <t>品目・サービスの分類、品目コード、単位、勘定科目との対応</t>
        </is>
      </c>
      <c r="F4" s="48" t="inlineStr">
        <is>
          <t>マスタ</t>
        </is>
      </c>
      <c r="G4" s="48" t="inlineStr">
        <is>
          <t>なし</t>
        </is>
      </c>
      <c r="H4" s="52">
        <f>IF(G4="なし","—","対象候補")</f>
        <v/>
      </c>
      <c r="I4" s="48" t="inlineStr">
        <is>
          <t>なし</t>
        </is>
      </c>
      <c r="J4" s="47" t="inlineStr">
        <is>
          <t>C06-01</t>
        </is>
      </c>
      <c r="K4" s="53">
        <f>IFERROR(INDEX(ケイパビリティマップ!$E:$E,MATCH(J4,ケイパビリティマップ!$A:$A,0)),"（IDなし）")</f>
        <v/>
      </c>
      <c r="L4" s="54">
        <f>COUNTIF('ケイパビリティ×情報オブジェクト'!D$6:D$23,"C")</f>
        <v/>
      </c>
      <c r="M4" s="54">
        <f>COUNTIF('ケイパビリティ×情報オブジェクト'!D$6:D$23,"R")</f>
        <v/>
      </c>
    </row>
    <row r="5" ht="26.85" customHeight="1">
      <c r="A5" s="47" t="inlineStr">
        <is>
          <t>MST-02</t>
        </is>
      </c>
      <c r="B5" s="48" t="inlineStr">
        <is>
          <t>共通・マスタ</t>
        </is>
      </c>
      <c r="C5" s="49" t="inlineStr">
        <is>
          <t>サプライヤーマスタ</t>
        </is>
      </c>
      <c r="D5" s="50" t="inlineStr">
        <is>
          <t>Supplier Master</t>
        </is>
      </c>
      <c r="E5" s="51" t="inlineStr">
        <is>
          <t>取引先の名称・所在地・口座・支払条件・インボイス登録番号・取適法等の区分</t>
        </is>
      </c>
      <c r="F5" s="48" t="inlineStr">
        <is>
          <t>マスタ</t>
        </is>
      </c>
      <c r="G5" s="48" t="inlineStr">
        <is>
          <t>消費税法・取適法</t>
        </is>
      </c>
      <c r="H5" s="52">
        <f>IF(G5="なし","—","対象候補")</f>
        <v/>
      </c>
      <c r="I5" s="48" t="inlineStr">
        <is>
          <t>個人情報</t>
        </is>
      </c>
      <c r="J5" s="47" t="inlineStr">
        <is>
          <t>C05-01</t>
        </is>
      </c>
      <c r="K5" s="53">
        <f>IFERROR(INDEX(ケイパビリティマップ!$E:$E,MATCH(J5,ケイパビリティマップ!$A:$A,0)),"（IDなし）")</f>
        <v/>
      </c>
      <c r="L5" s="54">
        <f>COUNTIF('ケイパビリティ×情報オブジェクト'!E$6:E$23,"C")</f>
        <v/>
      </c>
      <c r="M5" s="54">
        <f>COUNTIF('ケイパビリティ×情報オブジェクト'!E$6:E$23,"R")</f>
        <v/>
      </c>
    </row>
    <row r="6" ht="26.85" customHeight="1">
      <c r="A6" s="47" t="inlineStr">
        <is>
          <t>MST-03</t>
        </is>
      </c>
      <c r="B6" s="48" t="inlineStr">
        <is>
          <t>共通・マスタ</t>
        </is>
      </c>
      <c r="C6" s="49" t="inlineStr">
        <is>
          <t>購買規程・職務権限</t>
        </is>
      </c>
      <c r="D6" s="50" t="inlineStr">
        <is>
          <t>Procurement Policy &amp; Authority</t>
        </is>
      </c>
      <c r="E6" s="51" t="inlineStr">
        <is>
          <t>購買規程、金額別の承認者（職務権限表）、稟議の基準、調達方針</t>
        </is>
      </c>
      <c r="F6" s="48" t="inlineStr">
        <is>
          <t>文書</t>
        </is>
      </c>
      <c r="G6" s="48" t="inlineStr">
        <is>
          <t>金商法</t>
        </is>
      </c>
      <c r="H6" s="52">
        <f>IF(G6="なし","—","対象候補")</f>
        <v/>
      </c>
      <c r="I6" s="48" t="inlineStr">
        <is>
          <t>なし</t>
        </is>
      </c>
      <c r="J6" s="47" t="inlineStr">
        <is>
          <t>C01-02</t>
        </is>
      </c>
      <c r="K6" s="53">
        <f>IFERROR(INDEX(ケイパビリティマップ!$E:$E,MATCH(J6,ケイパビリティマップ!$A:$A,0)),"（IDなし）")</f>
        <v/>
      </c>
      <c r="L6" s="54">
        <f>COUNTIF('ケイパビリティ×情報オブジェクト'!F$6:F$23,"C")</f>
        <v/>
      </c>
      <c r="M6" s="54">
        <f>COUNTIF('ケイパビリティ×情報オブジェクト'!F$6:F$23,"R")</f>
        <v/>
      </c>
    </row>
    <row r="7" ht="26.85" customHeight="1">
      <c r="A7" s="47" t="inlineStr">
        <is>
          <t>PLN-01</t>
        </is>
      </c>
      <c r="B7" s="48" t="inlineStr">
        <is>
          <t>計画・戦略</t>
        </is>
      </c>
      <c r="C7" s="49" t="inlineStr">
        <is>
          <t>購買計画・予算</t>
        </is>
      </c>
      <c r="D7" s="50" t="inlineStr">
        <is>
          <t>Purchasing Plan &amp; Budget</t>
        </is>
      </c>
      <c r="E7" s="51" t="inlineStr">
        <is>
          <t>年間の購買計画と、部門・費目別の購買予算および予算の引当状況</t>
        </is>
      </c>
      <c r="F7" s="48" t="inlineStr">
        <is>
          <t>トランザクション</t>
        </is>
      </c>
      <c r="G7" s="48" t="inlineStr">
        <is>
          <t>なし</t>
        </is>
      </c>
      <c r="H7" s="52">
        <f>IF(G7="なし","—","対象候補")</f>
        <v/>
      </c>
      <c r="I7" s="48" t="inlineStr">
        <is>
          <t>なし</t>
        </is>
      </c>
      <c r="J7" s="47" t="inlineStr">
        <is>
          <t>C01-01</t>
        </is>
      </c>
      <c r="K7" s="53">
        <f>IFERROR(INDEX(ケイパビリティマップ!$E:$E,MATCH(J7,ケイパビリティマップ!$A:$A,0)),"（IDなし）")</f>
        <v/>
      </c>
      <c r="L7" s="54">
        <f>COUNTIF('ケイパビリティ×情報オブジェクト'!G$6:G$23,"C")</f>
        <v/>
      </c>
      <c r="M7" s="54">
        <f>COUNTIF('ケイパビリティ×情報オブジェクト'!G$6:G$23,"R")</f>
        <v/>
      </c>
    </row>
    <row r="8" ht="26.85" customHeight="1">
      <c r="A8" s="47" t="inlineStr">
        <is>
          <t>PLN-02</t>
        </is>
      </c>
      <c r="B8" s="48" t="inlineStr">
        <is>
          <t>計画・戦略</t>
        </is>
      </c>
      <c r="C8" s="49" t="inlineStr">
        <is>
          <t>支出分析</t>
        </is>
      </c>
      <c r="D8" s="50" t="inlineStr">
        <is>
          <t>Spend Analysis</t>
        </is>
      </c>
      <c r="E8" s="51" t="inlineStr">
        <is>
          <t>品目・サプライヤー・部門別の支出と、集約・削減の余地</t>
        </is>
      </c>
      <c r="F8" s="48" t="inlineStr">
        <is>
          <t>分析・評価</t>
        </is>
      </c>
      <c r="G8" s="48" t="inlineStr">
        <is>
          <t>なし</t>
        </is>
      </c>
      <c r="H8" s="52">
        <f>IF(G8="なし","—","対象候補")</f>
        <v/>
      </c>
      <c r="I8" s="48" t="inlineStr">
        <is>
          <t>なし</t>
        </is>
      </c>
      <c r="J8" s="47" t="inlineStr">
        <is>
          <t>C01-01</t>
        </is>
      </c>
      <c r="K8" s="53">
        <f>IFERROR(INDEX(ケイパビリティマップ!$E:$E,MATCH(J8,ケイパビリティマップ!$A:$A,0)),"（IDなし）")</f>
        <v/>
      </c>
      <c r="L8" s="54">
        <f>COUNTIF('ケイパビリティ×情報オブジェクト'!H$6:H$23,"C")</f>
        <v/>
      </c>
      <c r="M8" s="54">
        <f>COUNTIF('ケイパビリティ×情報オブジェクト'!H$6:H$23,"R")</f>
        <v/>
      </c>
    </row>
    <row r="9" ht="26.85" customHeight="1">
      <c r="A9" s="47" t="inlineStr">
        <is>
          <t>PLN-03</t>
        </is>
      </c>
      <c r="B9" s="48" t="inlineStr">
        <is>
          <t>計画・戦略</t>
        </is>
      </c>
      <c r="C9" s="49" t="inlineStr">
        <is>
          <t>カテゴリ戦略</t>
        </is>
      </c>
      <c r="D9" s="50" t="inlineStr">
        <is>
          <t>Category Strategy</t>
        </is>
      </c>
      <c r="E9" s="51" t="inlineStr">
        <is>
          <t>カテゴリごとの調達方針・サプライヤー数・契約形態</t>
        </is>
      </c>
      <c r="F9" s="48" t="inlineStr">
        <is>
          <t>文書</t>
        </is>
      </c>
      <c r="G9" s="48" t="inlineStr">
        <is>
          <t>なし</t>
        </is>
      </c>
      <c r="H9" s="52">
        <f>IF(G9="なし","—","対象候補")</f>
        <v/>
      </c>
      <c r="I9" s="48" t="inlineStr">
        <is>
          <t>なし</t>
        </is>
      </c>
      <c r="J9" s="47" t="inlineStr">
        <is>
          <t>C01-01</t>
        </is>
      </c>
      <c r="K9" s="53">
        <f>IFERROR(INDEX(ケイパビリティマップ!$E:$E,MATCH(J9,ケイパビリティマップ!$A:$A,0)),"（IDなし）")</f>
        <v/>
      </c>
      <c r="L9" s="54">
        <f>COUNTIF('ケイパビリティ×情報オブジェクト'!I$6:I$23,"C")</f>
        <v/>
      </c>
      <c r="M9" s="54">
        <f>COUNTIF('ケイパビリティ×情報オブジェクト'!I$6:I$23,"R")</f>
        <v/>
      </c>
    </row>
    <row r="10" ht="26.85" customHeight="1">
      <c r="A10" s="47" t="inlineStr">
        <is>
          <t>PLN-04</t>
        </is>
      </c>
      <c r="B10" s="48" t="inlineStr">
        <is>
          <t>計画・戦略</t>
        </is>
      </c>
      <c r="C10" s="49" t="inlineStr">
        <is>
          <t>所要量・補充依頼</t>
        </is>
      </c>
      <c r="D10" s="50" t="inlineStr">
        <is>
          <t>Material Requirement</t>
        </is>
      </c>
      <c r="E10" s="51" t="inlineStr">
        <is>
          <t>生産計画・在庫から計算した必要量と補充の依頼（MRP・補充点）</t>
        </is>
      </c>
      <c r="F10" s="48" t="inlineStr">
        <is>
          <t>トランザクション</t>
        </is>
      </c>
      <c r="G10" s="48" t="inlineStr">
        <is>
          <t>なし</t>
        </is>
      </c>
      <c r="H10" s="52">
        <f>IF(G10="なし","—","対象候補")</f>
        <v/>
      </c>
      <c r="I10" s="48" t="inlineStr">
        <is>
          <t>なし</t>
        </is>
      </c>
      <c r="J10" s="47" t="inlineStr">
        <is>
          <t>C02-01</t>
        </is>
      </c>
      <c r="K10" s="53">
        <f>IFERROR(INDEX(ケイパビリティマップ!$E:$E,MATCH(J10,ケイパビリティマップ!$A:$A,0)),"（IDなし）")</f>
        <v/>
      </c>
      <c r="L10" s="54">
        <f>COUNTIF('ケイパビリティ×情報オブジェクト'!J$6:J$23,"C")</f>
        <v/>
      </c>
      <c r="M10" s="54">
        <f>COUNTIF('ケイパビリティ×情報オブジェクト'!J$6:J$23,"R")</f>
        <v/>
      </c>
    </row>
    <row r="11" ht="26.85" customHeight="1">
      <c r="A11" s="47" t="inlineStr">
        <is>
          <t>REQ-01</t>
        </is>
      </c>
      <c r="B11" s="48" t="inlineStr">
        <is>
          <t>需要・申請</t>
        </is>
      </c>
      <c r="C11" s="49" t="inlineStr">
        <is>
          <t>購買仕様書</t>
        </is>
      </c>
      <c r="D11" s="50" t="inlineStr">
        <is>
          <t>Purchase Specification</t>
        </is>
      </c>
      <c r="E11" s="51" t="inlineStr">
        <is>
          <t>品質・数量・納期・作業範囲（SOW）などの要求事項</t>
        </is>
      </c>
      <c r="F11" s="48" t="inlineStr">
        <is>
          <t>定義・仕様</t>
        </is>
      </c>
      <c r="G11" s="48" t="inlineStr">
        <is>
          <t>なし</t>
        </is>
      </c>
      <c r="H11" s="52">
        <f>IF(G11="なし","—","対象候補")</f>
        <v/>
      </c>
      <c r="I11" s="48" t="inlineStr">
        <is>
          <t>なし</t>
        </is>
      </c>
      <c r="J11" s="47" t="inlineStr">
        <is>
          <t>C02-01</t>
        </is>
      </c>
      <c r="K11" s="53">
        <f>IFERROR(INDEX(ケイパビリティマップ!$E:$E,MATCH(J11,ケイパビリティマップ!$A:$A,0)),"（IDなし）")</f>
        <v/>
      </c>
      <c r="L11" s="54">
        <f>COUNTIF('ケイパビリティ×情報オブジェクト'!K$6:K$23,"C")</f>
        <v/>
      </c>
      <c r="M11" s="54">
        <f>COUNTIF('ケイパビリティ×情報オブジェクト'!K$6:K$23,"R")</f>
        <v/>
      </c>
    </row>
    <row r="12" ht="26.85" customHeight="1">
      <c r="A12" s="47" t="inlineStr">
        <is>
          <t>REQ-02</t>
        </is>
      </c>
      <c r="B12" s="48" t="inlineStr">
        <is>
          <t>需要・申請</t>
        </is>
      </c>
      <c r="C12" s="49" t="inlineStr">
        <is>
          <t>購買申請（PR）</t>
        </is>
      </c>
      <c r="D12" s="50" t="inlineStr">
        <is>
          <t>Purchase Requisition</t>
        </is>
      </c>
      <c r="E12" s="51" t="inlineStr">
        <is>
          <t>品目・数量・希望納期・予算・申請者と、承認・稟議の記録</t>
        </is>
      </c>
      <c r="F12" s="48" t="inlineStr">
        <is>
          <t>トランザクション</t>
        </is>
      </c>
      <c r="G12" s="48" t="inlineStr">
        <is>
          <t>なし</t>
        </is>
      </c>
      <c r="H12" s="52">
        <f>IF(G12="なし","—","対象候補")</f>
        <v/>
      </c>
      <c r="I12" s="48" t="inlineStr">
        <is>
          <t>なし</t>
        </is>
      </c>
      <c r="J12" s="47" t="inlineStr">
        <is>
          <t>C02-01</t>
        </is>
      </c>
      <c r="K12" s="53">
        <f>IFERROR(INDEX(ケイパビリティマップ!$E:$E,MATCH(J12,ケイパビリティマップ!$A:$A,0)),"（IDなし）")</f>
        <v/>
      </c>
      <c r="L12" s="54">
        <f>COUNTIF('ケイパビリティ×情報オブジェクト'!L$6:L$23,"C")</f>
        <v/>
      </c>
      <c r="M12" s="54">
        <f>COUNTIF('ケイパビリティ×情報オブジェクト'!L$6:L$23,"R")</f>
        <v/>
      </c>
    </row>
    <row r="13" ht="26.85" customHeight="1">
      <c r="A13" s="47" t="inlineStr">
        <is>
          <t>SRC-01</t>
        </is>
      </c>
      <c r="B13" s="48" t="inlineStr">
        <is>
          <t>ソーシング</t>
        </is>
      </c>
      <c r="C13" s="49" t="inlineStr">
        <is>
          <t>候補サプライヤー情報（RFI）</t>
        </is>
      </c>
      <c r="D13" s="50" t="inlineStr">
        <is>
          <t>Supplier Candidates</t>
        </is>
      </c>
      <c r="E13" s="51" t="inlineStr">
        <is>
          <t>情報提供依頼（RFI）の回答と候補サプライヤーの情報</t>
        </is>
      </c>
      <c r="F13" s="48" t="inlineStr">
        <is>
          <t>文書</t>
        </is>
      </c>
      <c r="G13" s="48" t="inlineStr">
        <is>
          <t>なし</t>
        </is>
      </c>
      <c r="H13" s="52">
        <f>IF(G13="なし","—","対象候補")</f>
        <v/>
      </c>
      <c r="I13" s="48" t="inlineStr">
        <is>
          <t>なし</t>
        </is>
      </c>
      <c r="J13" s="47" t="inlineStr">
        <is>
          <t>C02-02</t>
        </is>
      </c>
      <c r="K13" s="53">
        <f>IFERROR(INDEX(ケイパビリティマップ!$E:$E,MATCH(J13,ケイパビリティマップ!$A:$A,0)),"（IDなし）")</f>
        <v/>
      </c>
      <c r="L13" s="54">
        <f>COUNTIF('ケイパビリティ×情報オブジェクト'!M$6:M$23,"C")</f>
        <v/>
      </c>
      <c r="M13" s="54">
        <f>COUNTIF('ケイパビリティ×情報オブジェクト'!M$6:M$23,"R")</f>
        <v/>
      </c>
    </row>
    <row r="14" ht="26.85" customHeight="1">
      <c r="A14" s="47" t="inlineStr">
        <is>
          <t>SRC-02</t>
        </is>
      </c>
      <c r="B14" s="48" t="inlineStr">
        <is>
          <t>ソーシング</t>
        </is>
      </c>
      <c r="C14" s="49" t="inlineStr">
        <is>
          <t>見積依頼書（RFP・RFQ）</t>
        </is>
      </c>
      <c r="D14" s="50" t="inlineStr">
        <is>
          <t>RFP / RFQ</t>
        </is>
      </c>
      <c r="E14" s="51" t="inlineStr">
        <is>
          <t>提案依頼書・見積依頼書と評価基準</t>
        </is>
      </c>
      <c r="F14" s="48" t="inlineStr">
        <is>
          <t>文書</t>
        </is>
      </c>
      <c r="G14" s="48" t="inlineStr">
        <is>
          <t>なし</t>
        </is>
      </c>
      <c r="H14" s="52">
        <f>IF(G14="なし","—","対象候補")</f>
        <v/>
      </c>
      <c r="I14" s="48" t="inlineStr">
        <is>
          <t>なし</t>
        </is>
      </c>
      <c r="J14" s="47" t="inlineStr">
        <is>
          <t>C02-02</t>
        </is>
      </c>
      <c r="K14" s="53">
        <f>IFERROR(INDEX(ケイパビリティマップ!$E:$E,MATCH(J14,ケイパビリティマップ!$A:$A,0)),"（IDなし）")</f>
        <v/>
      </c>
      <c r="L14" s="54">
        <f>COUNTIF('ケイパビリティ×情報オブジェクト'!N$6:N$23,"C")</f>
        <v/>
      </c>
      <c r="M14" s="54">
        <f>COUNTIF('ケイパビリティ×情報オブジェクト'!N$6:N$23,"R")</f>
        <v/>
      </c>
    </row>
    <row r="15" ht="26.85" customHeight="1">
      <c r="A15" s="47" t="inlineStr">
        <is>
          <t>SRC-03</t>
        </is>
      </c>
      <c r="B15" s="48" t="inlineStr">
        <is>
          <t>ソーシング</t>
        </is>
      </c>
      <c r="C15" s="49" t="inlineStr">
        <is>
          <t>見積書・提案書</t>
        </is>
      </c>
      <c r="D15" s="50" t="inlineStr">
        <is>
          <t>Quotation &amp; Proposal</t>
        </is>
      </c>
      <c r="E15" s="51" t="inlineStr">
        <is>
          <t>サプライヤーから受け取った見積書・提案書</t>
        </is>
      </c>
      <c r="F15" s="48" t="inlineStr">
        <is>
          <t>文書</t>
        </is>
      </c>
      <c r="G15" s="48" t="inlineStr">
        <is>
          <t>なし</t>
        </is>
      </c>
      <c r="H15" s="52">
        <f>IF(G15="なし","—","対象候補")</f>
        <v/>
      </c>
      <c r="I15" s="48" t="inlineStr">
        <is>
          <t>なし</t>
        </is>
      </c>
      <c r="J15" s="47" t="inlineStr">
        <is>
          <t>C02-02</t>
        </is>
      </c>
      <c r="K15" s="53">
        <f>IFERROR(INDEX(ケイパビリティマップ!$E:$E,MATCH(J15,ケイパビリティマップ!$A:$A,0)),"（IDなし）")</f>
        <v/>
      </c>
      <c r="L15" s="54">
        <f>COUNTIF('ケイパビリティ×情報オブジェクト'!O$6:O$23,"C")</f>
        <v/>
      </c>
      <c r="M15" s="54">
        <f>COUNTIF('ケイパビリティ×情報オブジェクト'!O$6:O$23,"R")</f>
        <v/>
      </c>
    </row>
    <row r="16" ht="26.85" customHeight="1">
      <c r="A16" s="47" t="inlineStr">
        <is>
          <t>SRC-04</t>
        </is>
      </c>
      <c r="B16" s="48" t="inlineStr">
        <is>
          <t>ソーシング</t>
        </is>
      </c>
      <c r="C16" s="49" t="inlineStr">
        <is>
          <t>見積比較・選定記録</t>
        </is>
      </c>
      <c r="D16" s="50" t="inlineStr">
        <is>
          <t>Bid Evaluation &amp; Award</t>
        </is>
      </c>
      <c r="E16" s="51" t="inlineStr">
        <is>
          <t>見積・提案の比較評価、発注先の選定理由と承認</t>
        </is>
      </c>
      <c r="F16" s="48" t="inlineStr">
        <is>
          <t>分析・評価</t>
        </is>
      </c>
      <c r="G16" s="48" t="inlineStr">
        <is>
          <t>なし</t>
        </is>
      </c>
      <c r="H16" s="52">
        <f>IF(G16="なし","—","対象候補")</f>
        <v/>
      </c>
      <c r="I16" s="48" t="inlineStr">
        <is>
          <t>なし</t>
        </is>
      </c>
      <c r="J16" s="47" t="inlineStr">
        <is>
          <t>C02-02</t>
        </is>
      </c>
      <c r="K16" s="53">
        <f>IFERROR(INDEX(ケイパビリティマップ!$E:$E,MATCH(J16,ケイパビリティマップ!$A:$A,0)),"（IDなし）")</f>
        <v/>
      </c>
      <c r="L16" s="54">
        <f>COUNTIF('ケイパビリティ×情報オブジェクト'!P$6:P$23,"C")</f>
        <v/>
      </c>
      <c r="M16" s="54">
        <f>COUNTIF('ケイパビリティ×情報オブジェクト'!P$6:P$23,"R")</f>
        <v/>
      </c>
    </row>
    <row r="17" ht="26.85" customHeight="1">
      <c r="A17" s="47" t="inlineStr">
        <is>
          <t>SRC-05</t>
        </is>
      </c>
      <c r="B17" s="48" t="inlineStr">
        <is>
          <t>ソーシング</t>
        </is>
      </c>
      <c r="C17" s="49" t="inlineStr">
        <is>
          <t>価格交渉・協議記録</t>
        </is>
      </c>
      <c r="D17" s="50" t="inlineStr">
        <is>
          <t>Negotiation &amp; Price Consultation</t>
        </is>
      </c>
      <c r="E17" s="51" t="inlineStr">
        <is>
          <t>価格交渉の経緯と、価格転嫁の協議の記録</t>
        </is>
      </c>
      <c r="F17" s="48" t="inlineStr">
        <is>
          <t>文書</t>
        </is>
      </c>
      <c r="G17" s="48" t="inlineStr">
        <is>
          <t>取適法</t>
        </is>
      </c>
      <c r="H17" s="52">
        <f>IF(G17="なし","—","対象候補")</f>
        <v/>
      </c>
      <c r="I17" s="48" t="inlineStr">
        <is>
          <t>なし</t>
        </is>
      </c>
      <c r="J17" s="47" t="inlineStr">
        <is>
          <t>C02-02</t>
        </is>
      </c>
      <c r="K17" s="53">
        <f>IFERROR(INDEX(ケイパビリティマップ!$E:$E,MATCH(J17,ケイパビリティマップ!$A:$A,0)),"（IDなし）")</f>
        <v/>
      </c>
      <c r="L17" s="54">
        <f>COUNTIF('ケイパビリティ×情報オブジェクト'!Q$6:Q$23,"C")</f>
        <v/>
      </c>
      <c r="M17" s="54">
        <f>COUNTIF('ケイパビリティ×情報オブジェクト'!Q$6:Q$23,"R")</f>
        <v/>
      </c>
    </row>
    <row r="18" ht="26.85" customHeight="1">
      <c r="A18" s="47" t="inlineStr">
        <is>
          <t>SUP-01</t>
        </is>
      </c>
      <c r="B18" s="48" t="inlineStr">
        <is>
          <t>サプライヤー</t>
        </is>
      </c>
      <c r="C18" s="49" t="inlineStr">
        <is>
          <t>取引先審査記録</t>
        </is>
      </c>
      <c r="D18" s="50" t="inlineStr">
        <is>
          <t>Supplier Due Diligence</t>
        </is>
      </c>
      <c r="E18" s="51" t="inlineStr">
        <is>
          <t>与信・反社チェック・インボイス登録の確認の結果</t>
        </is>
      </c>
      <c r="F18" s="48" t="inlineStr">
        <is>
          <t>分析・評価</t>
        </is>
      </c>
      <c r="G18" s="48" t="inlineStr">
        <is>
          <t>暴排条例</t>
        </is>
      </c>
      <c r="H18" s="52">
        <f>IF(G18="なし","—","対象候補")</f>
        <v/>
      </c>
      <c r="I18" s="48" t="inlineStr">
        <is>
          <t>個人情報</t>
        </is>
      </c>
      <c r="J18" s="47" t="inlineStr">
        <is>
          <t>C05-01</t>
        </is>
      </c>
      <c r="K18" s="53">
        <f>IFERROR(INDEX(ケイパビリティマップ!$E:$E,MATCH(J18,ケイパビリティマップ!$A:$A,0)),"（IDなし）")</f>
        <v/>
      </c>
      <c r="L18" s="54">
        <f>COUNTIF('ケイパビリティ×情報オブジェクト'!R$6:R$23,"C")</f>
        <v/>
      </c>
      <c r="M18" s="54">
        <f>COUNTIF('ケイパビリティ×情報オブジェクト'!R$6:R$23,"R")</f>
        <v/>
      </c>
    </row>
    <row r="19" ht="26.85" customHeight="1">
      <c r="A19" s="47" t="inlineStr">
        <is>
          <t>SUP-02</t>
        </is>
      </c>
      <c r="B19" s="48" t="inlineStr">
        <is>
          <t>サプライヤー</t>
        </is>
      </c>
      <c r="C19" s="49" t="inlineStr">
        <is>
          <t>取引区分判定</t>
        </is>
      </c>
      <c r="D19" s="50" t="inlineStr">
        <is>
          <t>Transaction Classification</t>
        </is>
      </c>
      <c r="E19" s="51" t="inlineStr">
        <is>
          <t>取適法・フリーランス法の対象か否かの判定と根拠（資本金・従業員数・取引内容）</t>
        </is>
      </c>
      <c r="F19" s="48" t="inlineStr">
        <is>
          <t>分析・評価</t>
        </is>
      </c>
      <c r="G19" s="48" t="inlineStr">
        <is>
          <t>取適法・フリーランス法</t>
        </is>
      </c>
      <c r="H19" s="52">
        <f>IF(G19="なし","—","対象候補")</f>
        <v/>
      </c>
      <c r="I19" s="48" t="inlineStr">
        <is>
          <t>なし</t>
        </is>
      </c>
      <c r="J19" s="47" t="inlineStr">
        <is>
          <t>C05-01</t>
        </is>
      </c>
      <c r="K19" s="53">
        <f>IFERROR(INDEX(ケイパビリティマップ!$E:$E,MATCH(J19,ケイパビリティマップ!$A:$A,0)),"（IDなし）")</f>
        <v/>
      </c>
      <c r="L19" s="54">
        <f>COUNTIF('ケイパビリティ×情報オブジェクト'!S$6:S$23,"C")</f>
        <v/>
      </c>
      <c r="M19" s="54">
        <f>COUNTIF('ケイパビリティ×情報オブジェクト'!S$6:S$23,"R")</f>
        <v/>
      </c>
    </row>
    <row r="20" ht="26.85" customHeight="1">
      <c r="A20" s="47" t="inlineStr">
        <is>
          <t>SUP-03</t>
        </is>
      </c>
      <c r="B20" s="48" t="inlineStr">
        <is>
          <t>サプライヤー</t>
        </is>
      </c>
      <c r="C20" s="49" t="inlineStr">
        <is>
          <t>サプライヤー評価</t>
        </is>
      </c>
      <c r="D20" s="50" t="inlineStr">
        <is>
          <t>Supplier Performance</t>
        </is>
      </c>
      <c r="E20" s="51" t="inlineStr">
        <is>
          <t>品質・納期・価格・対応の評価結果と改善要請</t>
        </is>
      </c>
      <c r="F20" s="48" t="inlineStr">
        <is>
          <t>分析・評価</t>
        </is>
      </c>
      <c r="G20" s="48" t="inlineStr">
        <is>
          <t>なし</t>
        </is>
      </c>
      <c r="H20" s="52">
        <f>IF(G20="なし","—","対象候補")</f>
        <v/>
      </c>
      <c r="I20" s="48" t="inlineStr">
        <is>
          <t>なし</t>
        </is>
      </c>
      <c r="J20" s="47" t="inlineStr">
        <is>
          <t>C05-02</t>
        </is>
      </c>
      <c r="K20" s="53">
        <f>IFERROR(INDEX(ケイパビリティマップ!$E:$E,MATCH(J20,ケイパビリティマップ!$A:$A,0)),"（IDなし）")</f>
        <v/>
      </c>
      <c r="L20" s="54">
        <f>COUNTIF('ケイパビリティ×情報オブジェクト'!T$6:T$23,"C")</f>
        <v/>
      </c>
      <c r="M20" s="54">
        <f>COUNTIF('ケイパビリティ×情報オブジェクト'!T$6:T$23,"R")</f>
        <v/>
      </c>
    </row>
    <row r="21" ht="26.85" customHeight="1">
      <c r="A21" s="47" t="inlineStr">
        <is>
          <t>SUP-04</t>
        </is>
      </c>
      <c r="B21" s="48" t="inlineStr">
        <is>
          <t>サプライヤー</t>
        </is>
      </c>
      <c r="C21" s="49" t="inlineStr">
        <is>
          <t>サプライヤーリスク情報</t>
        </is>
      </c>
      <c r="D21" s="50" t="inlineStr">
        <is>
          <t>Supplier Risk</t>
        </is>
      </c>
      <c r="E21" s="51" t="inlineStr">
        <is>
          <t>経営・供給・地政学・ESGのリスクと、代替策・BCP</t>
        </is>
      </c>
      <c r="F21" s="48" t="inlineStr">
        <is>
          <t>分析・評価</t>
        </is>
      </c>
      <c r="G21" s="48" t="inlineStr">
        <is>
          <t>なし</t>
        </is>
      </c>
      <c r="H21" s="52">
        <f>IF(G21="なし","—","対象候補")</f>
        <v/>
      </c>
      <c r="I21" s="48" t="inlineStr">
        <is>
          <t>なし</t>
        </is>
      </c>
      <c r="J21" s="47" t="inlineStr">
        <is>
          <t>C05-03</t>
        </is>
      </c>
      <c r="K21" s="53">
        <f>IFERROR(INDEX(ケイパビリティマップ!$E:$E,MATCH(J21,ケイパビリティマップ!$A:$A,0)),"（IDなし）")</f>
        <v/>
      </c>
      <c r="L21" s="54">
        <f>COUNTIF('ケイパビリティ×情報オブジェクト'!U$6:U$23,"C")</f>
        <v/>
      </c>
      <c r="M21" s="54">
        <f>COUNTIF('ケイパビリティ×情報オブジェクト'!U$6:U$23,"R")</f>
        <v/>
      </c>
    </row>
    <row r="22" ht="26.85" customHeight="1">
      <c r="A22" s="47" t="inlineStr">
        <is>
          <t>SUP-05</t>
        </is>
      </c>
      <c r="B22" s="48" t="inlineStr">
        <is>
          <t>サプライヤー</t>
        </is>
      </c>
      <c r="C22" s="49" t="inlineStr">
        <is>
          <t>個人事業者の番号情報</t>
        </is>
      </c>
      <c r="D22" s="50" t="inlineStr">
        <is>
          <t>Payee Individual Number</t>
        </is>
      </c>
      <c r="E22" s="51" t="inlineStr">
        <is>
          <t>個人の報酬受領者のマイナンバー（支払調書の作成に使う）</t>
        </is>
      </c>
      <c r="F22" s="48" t="inlineStr">
        <is>
          <t>マスタ</t>
        </is>
      </c>
      <c r="G22" s="48" t="inlineStr">
        <is>
          <t>番号法</t>
        </is>
      </c>
      <c r="H22" s="52">
        <f>IF(G22="なし","—","対象候補")</f>
        <v/>
      </c>
      <c r="I22" s="48" t="inlineStr">
        <is>
          <t>特定個人情報</t>
        </is>
      </c>
      <c r="J22" s="47" t="inlineStr">
        <is>
          <t>C04-03</t>
        </is>
      </c>
      <c r="K22" s="53">
        <f>IFERROR(INDEX(ケイパビリティマップ!$E:$E,MATCH(J22,ケイパビリティマップ!$A:$A,0)),"（IDなし）")</f>
        <v/>
      </c>
      <c r="L22" s="54">
        <f>COUNTIF('ケイパビリティ×情報オブジェクト'!V$6:V$23,"C")</f>
        <v/>
      </c>
      <c r="M22" s="54">
        <f>COUNTIF('ケイパビリティ×情報オブジェクト'!V$6:V$23,"R")</f>
        <v/>
      </c>
    </row>
    <row r="23" ht="26.85" customHeight="1">
      <c r="A23" s="47" t="inlineStr">
        <is>
          <t>CON-01</t>
        </is>
      </c>
      <c r="B23" s="48" t="inlineStr">
        <is>
          <t>契約・発注</t>
        </is>
      </c>
      <c r="C23" s="49" t="inlineStr">
        <is>
          <t>契約書</t>
        </is>
      </c>
      <c r="D23" s="50" t="inlineStr">
        <is>
          <t>Contract</t>
        </is>
      </c>
      <c r="E23" s="51" t="inlineStr">
        <is>
          <t>基本契約・個別契約・秘密保持契約と、期限・更新・印紙税の情報</t>
        </is>
      </c>
      <c r="F23" s="48" t="inlineStr">
        <is>
          <t>文書</t>
        </is>
      </c>
      <c r="G23" s="48" t="inlineStr">
        <is>
          <t>民法・印紙税法</t>
        </is>
      </c>
      <c r="H23" s="52">
        <f>IF(G23="なし","—","対象候補")</f>
        <v/>
      </c>
      <c r="I23" s="48" t="inlineStr">
        <is>
          <t>なし</t>
        </is>
      </c>
      <c r="J23" s="47" t="inlineStr">
        <is>
          <t>C02-03</t>
        </is>
      </c>
      <c r="K23" s="53">
        <f>IFERROR(INDEX(ケイパビリティマップ!$E:$E,MATCH(J23,ケイパビリティマップ!$A:$A,0)),"（IDなし）")</f>
        <v/>
      </c>
      <c r="L23" s="54">
        <f>COUNTIF('ケイパビリティ×情報オブジェクト'!W$6:W$23,"C")</f>
        <v/>
      </c>
      <c r="M23" s="54">
        <f>COUNTIF('ケイパビリティ×情報オブジェクト'!W$6:W$23,"R")</f>
        <v/>
      </c>
    </row>
    <row r="24" ht="26.85" customHeight="1">
      <c r="A24" s="47" t="inlineStr">
        <is>
          <t>CON-02</t>
        </is>
      </c>
      <c r="B24" s="48" t="inlineStr">
        <is>
          <t>契約・発注</t>
        </is>
      </c>
      <c r="C24" s="49" t="inlineStr">
        <is>
          <t>単価契約・カタログ</t>
        </is>
      </c>
      <c r="D24" s="50" t="inlineStr">
        <is>
          <t>Price Agreement &amp; Catalog</t>
        </is>
      </c>
      <c r="E24" s="51" t="inlineStr">
        <is>
          <t>契約単価・価格表・購買カタログ</t>
        </is>
      </c>
      <c r="F24" s="48" t="inlineStr">
        <is>
          <t>定義・仕様</t>
        </is>
      </c>
      <c r="G24" s="48" t="inlineStr">
        <is>
          <t>なし</t>
        </is>
      </c>
      <c r="H24" s="52">
        <f>IF(G24="なし","—","対象候補")</f>
        <v/>
      </c>
      <c r="I24" s="48" t="inlineStr">
        <is>
          <t>なし</t>
        </is>
      </c>
      <c r="J24" s="47" t="inlineStr">
        <is>
          <t>C02-03</t>
        </is>
      </c>
      <c r="K24" s="53">
        <f>IFERROR(INDEX(ケイパビリティマップ!$E:$E,MATCH(J24,ケイパビリティマップ!$A:$A,0)),"（IDなし）")</f>
        <v/>
      </c>
      <c r="L24" s="54">
        <f>COUNTIF('ケイパビリティ×情報オブジェクト'!X$6:X$23,"C")</f>
        <v/>
      </c>
      <c r="M24" s="54">
        <f>COUNTIF('ケイパビリティ×情報オブジェクト'!X$6:X$23,"R")</f>
        <v/>
      </c>
    </row>
    <row r="25" ht="26.85" customHeight="1">
      <c r="A25" s="47" t="inlineStr">
        <is>
          <t>CON-03</t>
        </is>
      </c>
      <c r="B25" s="48" t="inlineStr">
        <is>
          <t>契約・発注</t>
        </is>
      </c>
      <c r="C25" s="49" t="inlineStr">
        <is>
          <t>発注書（PO）</t>
        </is>
      </c>
      <c r="D25" s="50" t="inlineStr">
        <is>
          <t>Purchase Order</t>
        </is>
      </c>
      <c r="E25" s="51" t="inlineStr">
        <is>
          <t>品目・数量・単価・納期・支払条件と、取適法等の明示事項</t>
        </is>
      </c>
      <c r="F25" s="48" t="inlineStr">
        <is>
          <t>トランザクション</t>
        </is>
      </c>
      <c r="G25" s="48" t="inlineStr">
        <is>
          <t>取適法・フリーランス法</t>
        </is>
      </c>
      <c r="H25" s="52">
        <f>IF(G25="なし","—","対象候補")</f>
        <v/>
      </c>
      <c r="I25" s="48" t="inlineStr">
        <is>
          <t>なし</t>
        </is>
      </c>
      <c r="J25" s="47" t="inlineStr">
        <is>
          <t>C02-04</t>
        </is>
      </c>
      <c r="K25" s="53">
        <f>IFERROR(INDEX(ケイパビリティマップ!$E:$E,MATCH(J25,ケイパビリティマップ!$A:$A,0)),"（IDなし）")</f>
        <v/>
      </c>
      <c r="L25" s="54">
        <f>COUNTIF('ケイパビリティ×情報オブジェクト'!Y$6:Y$23,"C")</f>
        <v/>
      </c>
      <c r="M25" s="54">
        <f>COUNTIF('ケイパビリティ×情報オブジェクト'!Y$6:Y$23,"R")</f>
        <v/>
      </c>
    </row>
    <row r="26" ht="26.85" customHeight="1">
      <c r="A26" s="47" t="inlineStr">
        <is>
          <t>CON-04</t>
        </is>
      </c>
      <c r="B26" s="48" t="inlineStr">
        <is>
          <t>契約・発注</t>
        </is>
      </c>
      <c r="C26" s="49" t="inlineStr">
        <is>
          <t>注文請書・納期回答</t>
        </is>
      </c>
      <c r="D26" s="50" t="inlineStr">
        <is>
          <t>Order Confirmation</t>
        </is>
      </c>
      <c r="E26" s="51" t="inlineStr">
        <is>
          <t>サプライヤーの受注確認と納期回答、発注の変更・取消の記録</t>
        </is>
      </c>
      <c r="F26" s="48" t="inlineStr">
        <is>
          <t>トランザクション</t>
        </is>
      </c>
      <c r="G26" s="48" t="inlineStr">
        <is>
          <t>なし</t>
        </is>
      </c>
      <c r="H26" s="52">
        <f>IF(G26="なし","—","対象候補")</f>
        <v/>
      </c>
      <c r="I26" s="48" t="inlineStr">
        <is>
          <t>なし</t>
        </is>
      </c>
      <c r="J26" s="47" t="inlineStr">
        <is>
          <t>C02-04</t>
        </is>
      </c>
      <c r="K26" s="53">
        <f>IFERROR(INDEX(ケイパビリティマップ!$E:$E,MATCH(J26,ケイパビリティマップ!$A:$A,0)),"（IDなし）")</f>
        <v/>
      </c>
      <c r="L26" s="54">
        <f>COUNTIF('ケイパビリティ×情報オブジェクト'!Z$6:Z$23,"C")</f>
        <v/>
      </c>
      <c r="M26" s="54">
        <f>COUNTIF('ケイパビリティ×情報オブジェクト'!Z$6:Z$23,"R")</f>
        <v/>
      </c>
    </row>
    <row r="27" ht="26.85" customHeight="1">
      <c r="A27" s="47" t="inlineStr">
        <is>
          <t>RCV-01</t>
        </is>
      </c>
      <c r="B27" s="48" t="inlineStr">
        <is>
          <t>受入・検収</t>
        </is>
      </c>
      <c r="C27" s="49" t="inlineStr">
        <is>
          <t>入荷予定</t>
        </is>
      </c>
      <c r="D27" s="50" t="inlineStr">
        <is>
          <t>Expected Receipt</t>
        </is>
      </c>
      <c r="E27" s="51" t="inlineStr">
        <is>
          <t>発注と納期回答から作る入荷の予定、事前出荷通知</t>
        </is>
      </c>
      <c r="F27" s="48" t="inlineStr">
        <is>
          <t>トランザクション</t>
        </is>
      </c>
      <c r="G27" s="48" t="inlineStr">
        <is>
          <t>なし</t>
        </is>
      </c>
      <c r="H27" s="52">
        <f>IF(G27="なし","—","対象候補")</f>
        <v/>
      </c>
      <c r="I27" s="48" t="inlineStr">
        <is>
          <t>なし</t>
        </is>
      </c>
      <c r="J27" s="47" t="inlineStr">
        <is>
          <t>C03-01</t>
        </is>
      </c>
      <c r="K27" s="53">
        <f>IFERROR(INDEX(ケイパビリティマップ!$E:$E,MATCH(J27,ケイパビリティマップ!$A:$A,0)),"（IDなし）")</f>
        <v/>
      </c>
      <c r="L27" s="54">
        <f>COUNTIF('ケイパビリティ×情報オブジェクト'!AA$6:AA$23,"C")</f>
        <v/>
      </c>
      <c r="M27" s="54">
        <f>COUNTIF('ケイパビリティ×情報オブジェクト'!AA$6:AA$23,"R")</f>
        <v/>
      </c>
    </row>
    <row r="28" ht="26.85" customHeight="1">
      <c r="A28" s="47" t="inlineStr">
        <is>
          <t>RCV-02</t>
        </is>
      </c>
      <c r="B28" s="48" t="inlineStr">
        <is>
          <t>受入・検収</t>
        </is>
      </c>
      <c r="C28" s="49" t="inlineStr">
        <is>
          <t>納品書</t>
        </is>
      </c>
      <c r="D28" s="50" t="inlineStr">
        <is>
          <t>Delivery Note</t>
        </is>
      </c>
      <c r="E28" s="51" t="inlineStr">
        <is>
          <t>サプライヤーが納品時に渡す品目・数量の記録</t>
        </is>
      </c>
      <c r="F28" s="48" t="inlineStr">
        <is>
          <t>文書</t>
        </is>
      </c>
      <c r="G28" s="48" t="inlineStr">
        <is>
          <t>なし</t>
        </is>
      </c>
      <c r="H28" s="52">
        <f>IF(G28="なし","—","対象候補")</f>
        <v/>
      </c>
      <c r="I28" s="48" t="inlineStr">
        <is>
          <t>なし</t>
        </is>
      </c>
      <c r="J28" s="47" t="inlineStr">
        <is>
          <t>C03-01</t>
        </is>
      </c>
      <c r="K28" s="53">
        <f>IFERROR(INDEX(ケイパビリティマップ!$E:$E,MATCH(J28,ケイパビリティマップ!$A:$A,0)),"（IDなし）")</f>
        <v/>
      </c>
      <c r="L28" s="54">
        <f>COUNTIF('ケイパビリティ×情報オブジェクト'!AB$6:AB$23,"C")</f>
        <v/>
      </c>
      <c r="M28" s="54">
        <f>COUNTIF('ケイパビリティ×情報オブジェクト'!AB$6:AB$23,"R")</f>
        <v/>
      </c>
    </row>
    <row r="29" ht="26.85" customHeight="1">
      <c r="A29" s="47" t="inlineStr">
        <is>
          <t>RCV-03</t>
        </is>
      </c>
      <c r="B29" s="48" t="inlineStr">
        <is>
          <t>受入・検収</t>
        </is>
      </c>
      <c r="C29" s="49" t="inlineStr">
        <is>
          <t>受入記録</t>
        </is>
      </c>
      <c r="D29" s="50" t="inlineStr">
        <is>
          <t>Goods Receipt</t>
        </is>
      </c>
      <c r="E29" s="51" t="inlineStr">
        <is>
          <t>受け入れた品目・数量・日時と受入検査の結果</t>
        </is>
      </c>
      <c r="F29" s="48" t="inlineStr">
        <is>
          <t>トランザクション</t>
        </is>
      </c>
      <c r="G29" s="48" t="inlineStr">
        <is>
          <t>なし</t>
        </is>
      </c>
      <c r="H29" s="52">
        <f>IF(G29="なし","—","対象候補")</f>
        <v/>
      </c>
      <c r="I29" s="48" t="inlineStr">
        <is>
          <t>なし</t>
        </is>
      </c>
      <c r="J29" s="47" t="inlineStr">
        <is>
          <t>C03-01</t>
        </is>
      </c>
      <c r="K29" s="53">
        <f>IFERROR(INDEX(ケイパビリティマップ!$E:$E,MATCH(J29,ケイパビリティマップ!$A:$A,0)),"（IDなし）")</f>
        <v/>
      </c>
      <c r="L29" s="54">
        <f>COUNTIF('ケイパビリティ×情報オブジェクト'!AC$6:AC$23,"C")</f>
        <v/>
      </c>
      <c r="M29" s="54">
        <f>COUNTIF('ケイパビリティ×情報オブジェクト'!AC$6:AC$23,"R")</f>
        <v/>
      </c>
    </row>
    <row r="30" ht="26.85" customHeight="1">
      <c r="A30" s="47" t="inlineStr">
        <is>
          <t>RCV-04</t>
        </is>
      </c>
      <c r="B30" s="48" t="inlineStr">
        <is>
          <t>受入・検収</t>
        </is>
      </c>
      <c r="C30" s="49" t="inlineStr">
        <is>
          <t>検収記録</t>
        </is>
      </c>
      <c r="D30" s="50" t="inlineStr">
        <is>
          <t>Acceptance Record</t>
        </is>
      </c>
      <c r="E30" s="51" t="inlineStr">
        <is>
          <t>物品・役務の検収の判定と検収日（検収書）</t>
        </is>
      </c>
      <c r="F30" s="48" t="inlineStr">
        <is>
          <t>トランザクション</t>
        </is>
      </c>
      <c r="G30" s="48" t="inlineStr">
        <is>
          <t>取適法</t>
        </is>
      </c>
      <c r="H30" s="52">
        <f>IF(G30="なし","—","対象候補")</f>
        <v/>
      </c>
      <c r="I30" s="48" t="inlineStr">
        <is>
          <t>なし</t>
        </is>
      </c>
      <c r="J30" s="47" t="inlineStr">
        <is>
          <t>C03-02</t>
        </is>
      </c>
      <c r="K30" s="53">
        <f>IFERROR(INDEX(ケイパビリティマップ!$E:$E,MATCH(J30,ケイパビリティマップ!$A:$A,0)),"（IDなし）")</f>
        <v/>
      </c>
      <c r="L30" s="54">
        <f>COUNTIF('ケイパビリティ×情報オブジェクト'!AD$6:AD$23,"C")</f>
        <v/>
      </c>
      <c r="M30" s="54">
        <f>COUNTIF('ケイパビリティ×情報オブジェクト'!AD$6:AD$23,"R")</f>
        <v/>
      </c>
    </row>
    <row r="31" ht="26.85" customHeight="1">
      <c r="A31" s="47" t="inlineStr">
        <is>
          <t>RCV-05</t>
        </is>
      </c>
      <c r="B31" s="48" t="inlineStr">
        <is>
          <t>受入・検収</t>
        </is>
      </c>
      <c r="C31" s="49" t="inlineStr">
        <is>
          <t>返品・不適合記録</t>
        </is>
      </c>
      <c r="D31" s="50" t="inlineStr">
        <is>
          <t>Return &amp; Nonconformance</t>
        </is>
      </c>
      <c r="E31" s="51" t="inlineStr">
        <is>
          <t>不適合の内容と、返品・再納品・値引きの協議と結果</t>
        </is>
      </c>
      <c r="F31" s="48" t="inlineStr">
        <is>
          <t>トランザクション</t>
        </is>
      </c>
      <c r="G31" s="48" t="inlineStr">
        <is>
          <t>取適法</t>
        </is>
      </c>
      <c r="H31" s="52">
        <f>IF(G31="なし","—","対象候補")</f>
        <v/>
      </c>
      <c r="I31" s="48" t="inlineStr">
        <is>
          <t>なし</t>
        </is>
      </c>
      <c r="J31" s="47" t="inlineStr">
        <is>
          <t>C03-02</t>
        </is>
      </c>
      <c r="K31" s="53">
        <f>IFERROR(INDEX(ケイパビリティマップ!$E:$E,MATCH(J31,ケイパビリティマップ!$A:$A,0)),"（IDなし）")</f>
        <v/>
      </c>
      <c r="L31" s="54">
        <f>COUNTIF('ケイパビリティ×情報オブジェクト'!AE$6:AE$23,"C")</f>
        <v/>
      </c>
      <c r="M31" s="54">
        <f>COUNTIF('ケイパビリティ×情報オブジェクト'!AE$6:AE$23,"R")</f>
        <v/>
      </c>
    </row>
    <row r="32" ht="26.85" customHeight="1">
      <c r="A32" s="47" t="inlineStr">
        <is>
          <t>RCV-06</t>
        </is>
      </c>
      <c r="B32" s="48" t="inlineStr">
        <is>
          <t>受入・検収</t>
        </is>
      </c>
      <c r="C32" s="49" t="inlineStr">
        <is>
          <t>在庫</t>
        </is>
      </c>
      <c r="D32" s="50" t="inlineStr">
        <is>
          <t>Inventory</t>
        </is>
      </c>
      <c r="E32" s="51" t="inlineStr">
        <is>
          <t>入庫した物品の在庫（拠点・ロケーション別）</t>
        </is>
      </c>
      <c r="F32" s="48" t="inlineStr">
        <is>
          <t>トランザクション</t>
        </is>
      </c>
      <c r="G32" s="48" t="inlineStr">
        <is>
          <t>なし</t>
        </is>
      </c>
      <c r="H32" s="52">
        <f>IF(G32="なし","—","対象候補")</f>
        <v/>
      </c>
      <c r="I32" s="48" t="inlineStr">
        <is>
          <t>なし</t>
        </is>
      </c>
      <c r="J32" s="47" t="inlineStr">
        <is>
          <t>C03-03</t>
        </is>
      </c>
      <c r="K32" s="53">
        <f>IFERROR(INDEX(ケイパビリティマップ!$E:$E,MATCH(J32,ケイパビリティマップ!$A:$A,0)),"（IDなし）")</f>
        <v/>
      </c>
      <c r="L32" s="54">
        <f>COUNTIF('ケイパビリティ×情報オブジェクト'!AF$6:AF$23,"C")</f>
        <v/>
      </c>
      <c r="M32" s="54">
        <f>COUNTIF('ケイパビリティ×情報オブジェクト'!AF$6:AF$23,"R")</f>
        <v/>
      </c>
    </row>
    <row r="33" ht="26.85" customHeight="1">
      <c r="A33" s="47" t="inlineStr">
        <is>
          <t>RCV-07</t>
        </is>
      </c>
      <c r="B33" s="48" t="inlineStr">
        <is>
          <t>受入・検収</t>
        </is>
      </c>
      <c r="C33" s="49" t="inlineStr">
        <is>
          <t>固定資産台帳</t>
        </is>
      </c>
      <c r="D33" s="50" t="inlineStr">
        <is>
          <t>Fixed Asset Register</t>
        </is>
      </c>
      <c r="E33" s="51" t="inlineStr">
        <is>
          <t>資産番号・取得価額・耐用年数・設置場所</t>
        </is>
      </c>
      <c r="F33" s="48" t="inlineStr">
        <is>
          <t>マスタ</t>
        </is>
      </c>
      <c r="G33" s="48" t="inlineStr">
        <is>
          <t>法人税法</t>
        </is>
      </c>
      <c r="H33" s="52">
        <f>IF(G33="なし","—","対象候補")</f>
        <v/>
      </c>
      <c r="I33" s="48" t="inlineStr">
        <is>
          <t>なし</t>
        </is>
      </c>
      <c r="J33" s="47" t="inlineStr">
        <is>
          <t>C03-03</t>
        </is>
      </c>
      <c r="K33" s="53">
        <f>IFERROR(INDEX(ケイパビリティマップ!$E:$E,MATCH(J33,ケイパビリティマップ!$A:$A,0)),"（IDなし）")</f>
        <v/>
      </c>
      <c r="L33" s="54">
        <f>COUNTIF('ケイパビリティ×情報オブジェクト'!AG$6:AG$23,"C")</f>
        <v/>
      </c>
      <c r="M33" s="54">
        <f>COUNTIF('ケイパビリティ×情報オブジェクト'!AG$6:AG$23,"R")</f>
        <v/>
      </c>
    </row>
    <row r="34" ht="26.85" customHeight="1">
      <c r="A34" s="47" t="inlineStr">
        <is>
          <t>AP-01</t>
        </is>
      </c>
      <c r="B34" s="48" t="inlineStr">
        <is>
          <t>請求・支払</t>
        </is>
      </c>
      <c r="C34" s="49" t="inlineStr">
        <is>
          <t>請求書</t>
        </is>
      </c>
      <c r="D34" s="50" t="inlineStr">
        <is>
          <t>Supplier Invoice</t>
        </is>
      </c>
      <c r="E34" s="51" t="inlineStr">
        <is>
          <t>受け取った請求書（適格請求書の記載事項・登録番号を含む）と電子化データ</t>
        </is>
      </c>
      <c r="F34" s="48" t="inlineStr">
        <is>
          <t>文書</t>
        </is>
      </c>
      <c r="G34" s="48" t="inlineStr">
        <is>
          <t>消費税法・電帳法</t>
        </is>
      </c>
      <c r="H34" s="52">
        <f>IF(G34="なし","—","対象候補")</f>
        <v/>
      </c>
      <c r="I34" s="48" t="inlineStr">
        <is>
          <t>なし</t>
        </is>
      </c>
      <c r="J34" s="47" t="inlineStr">
        <is>
          <t>C04-01</t>
        </is>
      </c>
      <c r="K34" s="53">
        <f>IFERROR(INDEX(ケイパビリティマップ!$E:$E,MATCH(J34,ケイパビリティマップ!$A:$A,0)),"（IDなし）")</f>
        <v/>
      </c>
      <c r="L34" s="54">
        <f>COUNTIF('ケイパビリティ×情報オブジェクト'!AH$6:AH$23,"C")</f>
        <v/>
      </c>
      <c r="M34" s="54">
        <f>COUNTIF('ケイパビリティ×情報オブジェクト'!AH$6:AH$23,"R")</f>
        <v/>
      </c>
    </row>
    <row r="35" ht="26.85" customHeight="1">
      <c r="A35" s="47" t="inlineStr">
        <is>
          <t>AP-02</t>
        </is>
      </c>
      <c r="B35" s="48" t="inlineStr">
        <is>
          <t>請求・支払</t>
        </is>
      </c>
      <c r="C35" s="49" t="inlineStr">
        <is>
          <t>照合結果・差異記録</t>
        </is>
      </c>
      <c r="D35" s="50" t="inlineStr">
        <is>
          <t>Matching Result</t>
        </is>
      </c>
      <c r="E35" s="51" t="inlineStr">
        <is>
          <t>発注・検収・請求の照合結果と、差異の原因・解消</t>
        </is>
      </c>
      <c r="F35" s="48" t="inlineStr">
        <is>
          <t>分析・評価</t>
        </is>
      </c>
      <c r="G35" s="48" t="inlineStr">
        <is>
          <t>なし</t>
        </is>
      </c>
      <c r="H35" s="52">
        <f>IF(G35="なし","—","対象候補")</f>
        <v/>
      </c>
      <c r="I35" s="48" t="inlineStr">
        <is>
          <t>なし</t>
        </is>
      </c>
      <c r="J35" s="47" t="inlineStr">
        <is>
          <t>C04-01</t>
        </is>
      </c>
      <c r="K35" s="53">
        <f>IFERROR(INDEX(ケイパビリティマップ!$E:$E,MATCH(J35,ケイパビリティマップ!$A:$A,0)),"（IDなし）")</f>
        <v/>
      </c>
      <c r="L35" s="54">
        <f>COUNTIF('ケイパビリティ×情報オブジェクト'!AI$6:AI$23,"C")</f>
        <v/>
      </c>
      <c r="M35" s="54">
        <f>COUNTIF('ケイパビリティ×情報オブジェクト'!AI$6:AI$23,"R")</f>
        <v/>
      </c>
    </row>
    <row r="36" ht="26.85" customHeight="1">
      <c r="A36" s="47" t="inlineStr">
        <is>
          <t>AP-03</t>
        </is>
      </c>
      <c r="B36" s="48" t="inlineStr">
        <is>
          <t>請求・支払</t>
        </is>
      </c>
      <c r="C36" s="49" t="inlineStr">
        <is>
          <t>支払予定</t>
        </is>
      </c>
      <c r="D36" s="50" t="inlineStr">
        <is>
          <t>Payment Schedule</t>
        </is>
      </c>
      <c r="E36" s="51" t="inlineStr">
        <is>
          <t>締め日・支払期日・支払額の予定と承認</t>
        </is>
      </c>
      <c r="F36" s="48" t="inlineStr">
        <is>
          <t>トランザクション</t>
        </is>
      </c>
      <c r="G36" s="48" t="inlineStr">
        <is>
          <t>取適法・フリーランス法</t>
        </is>
      </c>
      <c r="H36" s="52">
        <f>IF(G36="なし","—","対象候補")</f>
        <v/>
      </c>
      <c r="I36" s="48" t="inlineStr">
        <is>
          <t>なし</t>
        </is>
      </c>
      <c r="J36" s="47" t="inlineStr">
        <is>
          <t>C04-02</t>
        </is>
      </c>
      <c r="K36" s="53">
        <f>IFERROR(INDEX(ケイパビリティマップ!$E:$E,MATCH(J36,ケイパビリティマップ!$A:$A,0)),"（IDなし）")</f>
        <v/>
      </c>
      <c r="L36" s="54">
        <f>COUNTIF('ケイパビリティ×情報オブジェクト'!AJ$6:AJ$23,"C")</f>
        <v/>
      </c>
      <c r="M36" s="54">
        <f>COUNTIF('ケイパビリティ×情報オブジェクト'!AJ$6:AJ$23,"R")</f>
        <v/>
      </c>
    </row>
    <row r="37" ht="26.85" customHeight="1">
      <c r="A37" s="47" t="inlineStr">
        <is>
          <t>AP-04</t>
        </is>
      </c>
      <c r="B37" s="48" t="inlineStr">
        <is>
          <t>請求・支払</t>
        </is>
      </c>
      <c r="C37" s="49" t="inlineStr">
        <is>
          <t>支払データ</t>
        </is>
      </c>
      <c r="D37" s="50" t="inlineStr">
        <is>
          <t>Payment File</t>
        </is>
      </c>
      <c r="E37" s="51" t="inlineStr">
        <is>
          <t>振込データ（全銀形式）と支払の結果・支払通知</t>
        </is>
      </c>
      <c r="F37" s="48" t="inlineStr">
        <is>
          <t>トランザクション</t>
        </is>
      </c>
      <c r="G37" s="48" t="inlineStr">
        <is>
          <t>なし</t>
        </is>
      </c>
      <c r="H37" s="52">
        <f>IF(G37="なし","—","対象候補")</f>
        <v/>
      </c>
      <c r="I37" s="48" t="inlineStr">
        <is>
          <t>なし</t>
        </is>
      </c>
      <c r="J37" s="47" t="inlineStr">
        <is>
          <t>C04-02</t>
        </is>
      </c>
      <c r="K37" s="53">
        <f>IFERROR(INDEX(ケイパビリティマップ!$E:$E,MATCH(J37,ケイパビリティマップ!$A:$A,0)),"（IDなし）")</f>
        <v/>
      </c>
      <c r="L37" s="54">
        <f>COUNTIF('ケイパビリティ×情報オブジェクト'!AK$6:AK$23,"C")</f>
        <v/>
      </c>
      <c r="M37" s="54">
        <f>COUNTIF('ケイパビリティ×情報オブジェクト'!AK$6:AK$23,"R")</f>
        <v/>
      </c>
    </row>
    <row r="38" ht="26.85" customHeight="1">
      <c r="A38" s="47" t="inlineStr">
        <is>
          <t>AP-05</t>
        </is>
      </c>
      <c r="B38" s="48" t="inlineStr">
        <is>
          <t>請求・支払</t>
        </is>
      </c>
      <c r="C38" s="49" t="inlineStr">
        <is>
          <t>買掛金（債務）</t>
        </is>
      </c>
      <c r="D38" s="50" t="inlineStr">
        <is>
          <t>Accounts Payable</t>
        </is>
      </c>
      <c r="E38" s="51" t="inlineStr">
        <is>
          <t>取引先別の債務残高と、計上・消込の履歴</t>
        </is>
      </c>
      <c r="F38" s="48" t="inlineStr">
        <is>
          <t>トランザクション</t>
        </is>
      </c>
      <c r="G38" s="48" t="inlineStr">
        <is>
          <t>なし</t>
        </is>
      </c>
      <c r="H38" s="52">
        <f>IF(G38="なし","—","対象候補")</f>
        <v/>
      </c>
      <c r="I38" s="48" t="inlineStr">
        <is>
          <t>なし</t>
        </is>
      </c>
      <c r="J38" s="47" t="inlineStr">
        <is>
          <t>C04-03</t>
        </is>
      </c>
      <c r="K38" s="53">
        <f>IFERROR(INDEX(ケイパビリティマップ!$E:$E,MATCH(J38,ケイパビリティマップ!$A:$A,0)),"（IDなし）")</f>
        <v/>
      </c>
      <c r="L38" s="54">
        <f>COUNTIF('ケイパビリティ×情報オブジェクト'!AL$6:AL$23,"C")</f>
        <v/>
      </c>
      <c r="M38" s="54">
        <f>COUNTIF('ケイパビリティ×情報オブジェクト'!AL$6:AL$23,"R")</f>
        <v/>
      </c>
    </row>
    <row r="39" ht="26.85" customHeight="1">
      <c r="A39" s="47" t="inlineStr">
        <is>
          <t>AP-06</t>
        </is>
      </c>
      <c r="B39" s="48" t="inlineStr">
        <is>
          <t>請求・支払</t>
        </is>
      </c>
      <c r="C39" s="49" t="inlineStr">
        <is>
          <t>会計仕訳</t>
        </is>
      </c>
      <c r="D39" s="50" t="inlineStr">
        <is>
          <t>Journal Entry</t>
        </is>
      </c>
      <c r="E39" s="51" t="inlineStr">
        <is>
          <t>債務・費用・資産・税の仕訳（税区分・経過措置の区分を含む）</t>
        </is>
      </c>
      <c r="F39" s="48" t="inlineStr">
        <is>
          <t>トランザクション</t>
        </is>
      </c>
      <c r="G39" s="48" t="inlineStr">
        <is>
          <t>法人税法・消費税法</t>
        </is>
      </c>
      <c r="H39" s="52">
        <f>IF(G39="なし","—","対象候補")</f>
        <v/>
      </c>
      <c r="I39" s="48" t="inlineStr">
        <is>
          <t>なし</t>
        </is>
      </c>
      <c r="J39" s="47" t="inlineStr">
        <is>
          <t>C04-03</t>
        </is>
      </c>
      <c r="K39" s="53">
        <f>IFERROR(INDEX(ケイパビリティマップ!$E:$E,MATCH(J39,ケイパビリティマップ!$A:$A,0)),"（IDなし）")</f>
        <v/>
      </c>
      <c r="L39" s="54">
        <f>COUNTIF('ケイパビリティ×情報オブジェクト'!AM$6:AM$23,"C")</f>
        <v/>
      </c>
      <c r="M39" s="54">
        <f>COUNTIF('ケイパビリティ×情報オブジェクト'!AM$6:AM$23,"R")</f>
        <v/>
      </c>
    </row>
    <row r="40" ht="26.85" customHeight="1">
      <c r="A40" s="47" t="inlineStr">
        <is>
          <t>AP-07</t>
        </is>
      </c>
      <c r="B40" s="48" t="inlineStr">
        <is>
          <t>請求・支払</t>
        </is>
      </c>
      <c r="C40" s="49" t="inlineStr">
        <is>
          <t>源泉徴収・支払調書</t>
        </is>
      </c>
      <c r="D40" s="50" t="inlineStr">
        <is>
          <t>Withholding &amp; Payment Record</t>
        </is>
      </c>
      <c r="E40" s="51" t="inlineStr">
        <is>
          <t>個人への報酬の源泉徴収額・納付と支払調書</t>
        </is>
      </c>
      <c r="F40" s="48" t="inlineStr">
        <is>
          <t>トランザクション</t>
        </is>
      </c>
      <c r="G40" s="48" t="inlineStr">
        <is>
          <t>所得税法</t>
        </is>
      </c>
      <c r="H40" s="52">
        <f>IF(G40="なし","—","対象候補")</f>
        <v/>
      </c>
      <c r="I40" s="48" t="inlineStr">
        <is>
          <t>個人情報</t>
        </is>
      </c>
      <c r="J40" s="47" t="inlineStr">
        <is>
          <t>C04-03</t>
        </is>
      </c>
      <c r="K40" s="53">
        <f>IFERROR(INDEX(ケイパビリティマップ!$E:$E,MATCH(J40,ケイパビリティマップ!$A:$A,0)),"（IDなし）")</f>
        <v/>
      </c>
      <c r="L40" s="54">
        <f>COUNTIF('ケイパビリティ×情報オブジェクト'!AN$6:AN$23,"C")</f>
        <v/>
      </c>
      <c r="M40" s="54">
        <f>COUNTIF('ケイパビリティ×情報オブジェクト'!AN$6:AN$23,"R")</f>
        <v/>
      </c>
    </row>
    <row r="41" ht="26.85" customHeight="1">
      <c r="A41" s="47" t="inlineStr">
        <is>
          <t>AP-08</t>
        </is>
      </c>
      <c r="B41" s="48" t="inlineStr">
        <is>
          <t>請求・支払</t>
        </is>
      </c>
      <c r="C41" s="49" t="inlineStr">
        <is>
          <t>保存証憑</t>
        </is>
      </c>
      <c r="D41" s="50" t="inlineStr">
        <is>
          <t>Retained Evidence</t>
        </is>
      </c>
      <c r="E41" s="51" t="inlineStr">
        <is>
          <t>契約書・発注書・納品書・請求書などの証憑と、検索できる保存の記録</t>
        </is>
      </c>
      <c r="F41" s="48" t="inlineStr">
        <is>
          <t>文書</t>
        </is>
      </c>
      <c r="G41" s="48" t="inlineStr">
        <is>
          <t>電帳法・法人税法</t>
        </is>
      </c>
      <c r="H41" s="52">
        <f>IF(G41="なし","—","対象候補")</f>
        <v/>
      </c>
      <c r="I41" s="48" t="inlineStr">
        <is>
          <t>なし</t>
        </is>
      </c>
      <c r="J41" s="47" t="inlineStr">
        <is>
          <t>C04-03</t>
        </is>
      </c>
      <c r="K41" s="53">
        <f>IFERROR(INDEX(ケイパビリティマップ!$E:$E,MATCH(J41,ケイパビリティマップ!$A:$A,0)),"（IDなし）")</f>
        <v/>
      </c>
      <c r="L41" s="54">
        <f>COUNTIF('ケイパビリティ×情報オブジェクト'!AO$6:AO$23,"C")</f>
        <v/>
      </c>
      <c r="M41" s="54">
        <f>COUNTIF('ケイパビリティ×情報オブジェクト'!AO$6:AO$23,"R")</f>
        <v/>
      </c>
    </row>
    <row r="42" ht="26.85" customHeight="1">
      <c r="A42" s="47" t="inlineStr">
        <is>
          <t>ANL-01</t>
        </is>
      </c>
      <c r="B42" s="48" t="inlineStr">
        <is>
          <t>分析・統制</t>
        </is>
      </c>
      <c r="C42" s="49" t="inlineStr">
        <is>
          <t>調達実績レポート</t>
        </is>
      </c>
      <c r="D42" s="50" t="inlineStr">
        <is>
          <t>Procurement Report</t>
        </is>
      </c>
      <c r="E42" s="51" t="inlineStr">
        <is>
          <t>購買額・件数・リードタイム・削減効果・規程遵守の指標</t>
        </is>
      </c>
      <c r="F42" s="48" t="inlineStr">
        <is>
          <t>分析・評価</t>
        </is>
      </c>
      <c r="G42" s="48" t="inlineStr">
        <is>
          <t>なし</t>
        </is>
      </c>
      <c r="H42" s="52">
        <f>IF(G42="なし","—","対象候補")</f>
        <v/>
      </c>
      <c r="I42" s="48" t="inlineStr">
        <is>
          <t>なし</t>
        </is>
      </c>
      <c r="J42" s="47" t="inlineStr">
        <is>
          <t>C06-02</t>
        </is>
      </c>
      <c r="K42" s="53">
        <f>IFERROR(INDEX(ケイパビリティマップ!$E:$E,MATCH(J42,ケイパビリティマップ!$A:$A,0)),"（IDなし）")</f>
        <v/>
      </c>
      <c r="L42" s="54">
        <f>COUNTIF('ケイパビリティ×情報オブジェクト'!AP$6:AP$23,"C")</f>
        <v/>
      </c>
      <c r="M42" s="54">
        <f>COUNTIF('ケイパビリティ×情報オブジェクト'!AP$6:AP$23,"R")</f>
        <v/>
      </c>
    </row>
    <row r="43" ht="26.85" customHeight="1">
      <c r="A43" s="47" t="inlineStr">
        <is>
          <t>ANL-02</t>
        </is>
      </c>
      <c r="B43" s="48" t="inlineStr">
        <is>
          <t>分析・統制</t>
        </is>
      </c>
      <c r="C43" s="49" t="inlineStr">
        <is>
          <t>取引適正化点検記録</t>
        </is>
      </c>
      <c r="D43" s="50" t="inlineStr">
        <is>
          <t>Fair Trade Review</t>
        </is>
      </c>
      <c r="E43" s="51" t="inlineStr">
        <is>
          <t>支払遅延・減額・返品・価格協議などの点検結果と是正</t>
        </is>
      </c>
      <c r="F43" s="48" t="inlineStr">
        <is>
          <t>分析・評価</t>
        </is>
      </c>
      <c r="G43" s="48" t="inlineStr">
        <is>
          <t>取適法・フリーランス法</t>
        </is>
      </c>
      <c r="H43" s="52">
        <f>IF(G43="なし","—","対象候補")</f>
        <v/>
      </c>
      <c r="I43" s="48" t="inlineStr">
        <is>
          <t>なし</t>
        </is>
      </c>
      <c r="J43" s="47" t="inlineStr">
        <is>
          <t>C01-02</t>
        </is>
      </c>
      <c r="K43" s="53">
        <f>IFERROR(INDEX(ケイパビリティマップ!$E:$E,MATCH(J43,ケイパビリティマップ!$A:$A,0)),"（IDなし）")</f>
        <v/>
      </c>
      <c r="L43" s="54">
        <f>COUNTIF('ケイパビリティ×情報オブジェクト'!AQ$6:AQ$23,"C")</f>
        <v/>
      </c>
      <c r="M43" s="54">
        <f>COUNTIF('ケイパビリティ×情報オブジェクト'!AQ$6:AQ$23,"R")</f>
        <v/>
      </c>
    </row>
    <row r="44" ht="26.85" customHeight="1">
      <c r="A44" s="47" t="inlineStr">
        <is>
          <t>ANL-03</t>
        </is>
      </c>
      <c r="B44" s="48" t="inlineStr">
        <is>
          <t>分析・統制</t>
        </is>
      </c>
      <c r="C44" s="49" t="inlineStr">
        <is>
          <t>職務分掌・権限設定</t>
        </is>
      </c>
      <c r="D44" s="50" t="inlineStr">
        <is>
          <t>Segregation of Duties</t>
        </is>
      </c>
      <c r="E44" s="51" t="inlineStr">
        <is>
          <t>職務分掌の定義と、システムの権限付与・見直しの記録</t>
        </is>
      </c>
      <c r="F44" s="48" t="inlineStr">
        <is>
          <t>定義・仕様</t>
        </is>
      </c>
      <c r="G44" s="48" t="inlineStr">
        <is>
          <t>金商法</t>
        </is>
      </c>
      <c r="H44" s="52">
        <f>IF(G44="なし","—","対象候補")</f>
        <v/>
      </c>
      <c r="I44" s="48" t="inlineStr">
        <is>
          <t>なし</t>
        </is>
      </c>
      <c r="J44" s="47" t="inlineStr">
        <is>
          <t>C06-03</t>
        </is>
      </c>
      <c r="K44" s="53">
        <f>IFERROR(INDEX(ケイパビリティマップ!$E:$E,MATCH(J44,ケイパビリティマップ!$A:$A,0)),"（IDなし）")</f>
        <v/>
      </c>
      <c r="L44" s="54">
        <f>COUNTIF('ケイパビリティ×情報オブジェクト'!AR$6:AR$23,"C")</f>
        <v/>
      </c>
      <c r="M44" s="54">
        <f>COUNTIF('ケイパビリティ×情報オブジェクト'!AR$6:AR$23,"R")</f>
        <v/>
      </c>
    </row>
  </sheetData>
  <autoFilter ref="A3:M44"/>
  <dataValidations count="2">
    <dataValidation sqref="F4:F44" showDropDown="0" showInputMessage="0" showErrorMessage="0" allowBlank="1" type="list">
      <formula1>"マスタ,定義・仕様,トランザクション,測定データ,分析・評価,文書"</formula1>
    </dataValidation>
    <dataValidation sqref="I4:I44" showDropDown="0" showInputMessage="0" showErrorMessage="0" allowBlank="1" type="list">
      <formula1>"特定個人情報,個人情報,なし"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8B57"/>
    <outlinePr summaryBelow="1" summaryRight="1"/>
    <pageSetUpPr/>
  </sheetPr>
  <dimension ref="A1:AT25"/>
  <sheetViews>
    <sheetView zoomScale="10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28" customWidth="1" min="3" max="3"/>
    <col width="4.6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  <col width="4.6" customWidth="1" min="27" max="27"/>
    <col width="4.6" customWidth="1" min="28" max="28"/>
    <col width="4.6" customWidth="1" min="29" max="29"/>
    <col width="4.6" customWidth="1" min="30" max="30"/>
    <col width="4.6" customWidth="1" min="31" max="31"/>
    <col width="4.6" customWidth="1" min="32" max="32"/>
    <col width="4.6" customWidth="1" min="33" max="33"/>
    <col width="4.6" customWidth="1" min="34" max="34"/>
    <col width="4.6" customWidth="1" min="35" max="35"/>
    <col width="4.6" customWidth="1" min="36" max="36"/>
    <col width="4.6" customWidth="1" min="37" max="37"/>
    <col width="4.6" customWidth="1" min="38" max="38"/>
    <col width="4.6" customWidth="1" min="39" max="39"/>
    <col width="4.6" customWidth="1" min="40" max="40"/>
    <col width="4.6" customWidth="1" min="41" max="41"/>
    <col width="4.6" customWidth="1" min="42" max="42"/>
    <col width="4.6" customWidth="1" min="43" max="43"/>
    <col width="4.6" customWidth="1" min="44" max="44"/>
    <col width="7.5" customWidth="1" min="45" max="45"/>
    <col width="7.5" customWidth="1" min="46" max="46"/>
  </cols>
  <sheetData>
    <row r="1" ht="21.6" customHeight="1">
      <c r="A1" s="43" t="inlineStr">
        <is>
          <t>ケイパビリティ×情報オブジェクト（正本：行＝ケイパビリティL2 × 列＝情報オブジェクト）</t>
        </is>
      </c>
    </row>
    <row r="2" ht="15" customHeight="1">
      <c r="A2" s="44" t="inlineStr">
        <is>
          <t>C＝作成・更新（その能力の中で生み出す／維持する情報。オーナーのL2は必ずC）　R＝利用（その能力が入力として参照する情報）　空欄＝関係なし。VSのL4の入力情報（R）・出力情報（主の能力はC、支援の能力はR）から導いたうえで、オーナーのL2をCとした。</t>
        </is>
      </c>
    </row>
    <row r="4" ht="29.85" customHeight="1">
      <c r="A4" s="45" t="inlineStr">
        <is>
          <t>ケイパビリティL1</t>
        </is>
      </c>
      <c r="B4" s="45" t="inlineStr">
        <is>
          <t>L2 ID</t>
        </is>
      </c>
      <c r="C4" s="45" t="inlineStr">
        <is>
          <t>ケイパビリティL2</t>
        </is>
      </c>
      <c r="D4" s="55" t="inlineStr">
        <is>
          <t>共通・マスタ</t>
        </is>
      </c>
      <c r="G4" s="55" t="inlineStr">
        <is>
          <t>計画・戦略</t>
        </is>
      </c>
      <c r="K4" s="55" t="inlineStr">
        <is>
          <t>需要・申請</t>
        </is>
      </c>
      <c r="M4" s="55" t="inlineStr">
        <is>
          <t>ソーシング</t>
        </is>
      </c>
      <c r="R4" s="55" t="inlineStr">
        <is>
          <t>サプライヤー</t>
        </is>
      </c>
      <c r="W4" s="55" t="inlineStr">
        <is>
          <t>契約・発注</t>
        </is>
      </c>
      <c r="AA4" s="55" t="inlineStr">
        <is>
          <t>受入・検収</t>
        </is>
      </c>
      <c r="AH4" s="55" t="inlineStr">
        <is>
          <t>請求・支払</t>
        </is>
      </c>
      <c r="AP4" s="55" t="inlineStr">
        <is>
          <t>分析・統制</t>
        </is>
      </c>
      <c r="AS4" s="46" t="inlineStr">
        <is>
          <t>Cの数</t>
        </is>
      </c>
      <c r="AT4" s="46" t="inlineStr">
        <is>
          <t>Rの数</t>
        </is>
      </c>
    </row>
    <row r="5" ht="214.5" customHeight="1">
      <c r="D5" s="56">
        <f>情報オブジェクト!C4</f>
        <v/>
      </c>
      <c r="E5" s="56">
        <f>情報オブジェクト!C5</f>
        <v/>
      </c>
      <c r="F5" s="56">
        <f>情報オブジェクト!C6</f>
        <v/>
      </c>
      <c r="G5" s="56">
        <f>情報オブジェクト!C7</f>
        <v/>
      </c>
      <c r="H5" s="56">
        <f>情報オブジェクト!C8</f>
        <v/>
      </c>
      <c r="I5" s="56">
        <f>情報オブジェクト!C9</f>
        <v/>
      </c>
      <c r="J5" s="56">
        <f>情報オブジェクト!C10</f>
        <v/>
      </c>
      <c r="K5" s="56">
        <f>情報オブジェクト!C11</f>
        <v/>
      </c>
      <c r="L5" s="56">
        <f>情報オブジェクト!C12</f>
        <v/>
      </c>
      <c r="M5" s="56">
        <f>情報オブジェクト!C13</f>
        <v/>
      </c>
      <c r="N5" s="56">
        <f>情報オブジェクト!C14</f>
        <v/>
      </c>
      <c r="O5" s="56">
        <f>情報オブジェクト!C15</f>
        <v/>
      </c>
      <c r="P5" s="56">
        <f>情報オブジェクト!C16</f>
        <v/>
      </c>
      <c r="Q5" s="56">
        <f>情報オブジェクト!C17</f>
        <v/>
      </c>
      <c r="R5" s="56">
        <f>情報オブジェクト!C18</f>
        <v/>
      </c>
      <c r="S5" s="56">
        <f>情報オブジェクト!C19</f>
        <v/>
      </c>
      <c r="T5" s="56">
        <f>情報オブジェクト!C20</f>
        <v/>
      </c>
      <c r="U5" s="56">
        <f>情報オブジェクト!C21</f>
        <v/>
      </c>
      <c r="V5" s="56">
        <f>情報オブジェクト!C22</f>
        <v/>
      </c>
      <c r="W5" s="56">
        <f>情報オブジェクト!C23</f>
        <v/>
      </c>
      <c r="X5" s="56">
        <f>情報オブジェクト!C24</f>
        <v/>
      </c>
      <c r="Y5" s="56">
        <f>情報オブジェクト!C25</f>
        <v/>
      </c>
      <c r="Z5" s="56">
        <f>情報オブジェクト!C26</f>
        <v/>
      </c>
      <c r="AA5" s="56">
        <f>情報オブジェクト!C27</f>
        <v/>
      </c>
      <c r="AB5" s="56">
        <f>情報オブジェクト!C28</f>
        <v/>
      </c>
      <c r="AC5" s="56">
        <f>情報オブジェクト!C29</f>
        <v/>
      </c>
      <c r="AD5" s="56">
        <f>情報オブジェクト!C30</f>
        <v/>
      </c>
      <c r="AE5" s="56">
        <f>情報オブジェクト!C31</f>
        <v/>
      </c>
      <c r="AF5" s="56">
        <f>情報オブジェクト!C32</f>
        <v/>
      </c>
      <c r="AG5" s="56">
        <f>情報オブジェクト!C33</f>
        <v/>
      </c>
      <c r="AH5" s="56">
        <f>情報オブジェクト!C34</f>
        <v/>
      </c>
      <c r="AI5" s="56">
        <f>情報オブジェクト!C35</f>
        <v/>
      </c>
      <c r="AJ5" s="56">
        <f>情報オブジェクト!C36</f>
        <v/>
      </c>
      <c r="AK5" s="56">
        <f>情報オブジェクト!C37</f>
        <v/>
      </c>
      <c r="AL5" s="56">
        <f>情報オブジェクト!C38</f>
        <v/>
      </c>
      <c r="AM5" s="56">
        <f>情報オブジェクト!C39</f>
        <v/>
      </c>
      <c r="AN5" s="56">
        <f>情報オブジェクト!C40</f>
        <v/>
      </c>
      <c r="AO5" s="56">
        <f>情報オブジェクト!C41</f>
        <v/>
      </c>
      <c r="AP5" s="56">
        <f>情報オブジェクト!C42</f>
        <v/>
      </c>
      <c r="AQ5" s="56">
        <f>情報オブジェクト!C43</f>
        <v/>
      </c>
      <c r="AR5" s="56">
        <f>情報オブジェクト!C44</f>
        <v/>
      </c>
    </row>
    <row r="6">
      <c r="A6" s="57" t="inlineStr">
        <is>
          <t>C01 調達戦略・ガバナンス</t>
        </is>
      </c>
      <c r="B6" s="47" t="inlineStr">
        <is>
          <t>C01-01</t>
        </is>
      </c>
      <c r="C6" s="58">
        <f>IFERROR(INDEX(ケイパビリティマップ!$E:$E,MATCH(B6,ケイパビリティマップ!$A:$A,0)),"（IDなし）")</f>
        <v/>
      </c>
      <c r="D6" s="59" t="n"/>
      <c r="E6" s="59" t="n"/>
      <c r="F6" s="59" t="n"/>
      <c r="G6" s="59" t="inlineStr">
        <is>
          <t>C</t>
        </is>
      </c>
      <c r="H6" s="59" t="inlineStr">
        <is>
          <t>C</t>
        </is>
      </c>
      <c r="I6" s="59" t="inlineStr">
        <is>
          <t>C</t>
        </is>
      </c>
      <c r="J6" s="59" t="n"/>
      <c r="K6" s="59" t="n"/>
      <c r="L6" s="59" t="inlineStr">
        <is>
          <t>R</t>
        </is>
      </c>
      <c r="M6" s="59" t="n"/>
      <c r="N6" s="59" t="n"/>
      <c r="O6" s="59" t="n"/>
      <c r="P6" s="59" t="n"/>
      <c r="Q6" s="59" t="n"/>
      <c r="R6" s="59" t="n"/>
      <c r="S6" s="59" t="n"/>
      <c r="T6" s="59" t="n"/>
      <c r="U6" s="59" t="inlineStr">
        <is>
          <t>R</t>
        </is>
      </c>
      <c r="V6" s="59" t="n"/>
      <c r="W6" s="59" t="n"/>
      <c r="X6" s="59" t="n"/>
      <c r="Y6" s="59" t="n"/>
      <c r="Z6" s="59" t="n"/>
      <c r="AA6" s="59" t="n"/>
      <c r="AB6" s="59" t="n"/>
      <c r="AC6" s="59" t="n"/>
      <c r="AD6" s="59" t="n"/>
      <c r="AE6" s="59" t="n"/>
      <c r="AF6" s="59" t="n"/>
      <c r="AG6" s="59" t="n"/>
      <c r="AH6" s="59" t="n"/>
      <c r="AI6" s="59" t="n"/>
      <c r="AJ6" s="59" t="n"/>
      <c r="AK6" s="59" t="n"/>
      <c r="AL6" s="59" t="inlineStr">
        <is>
          <t>R</t>
        </is>
      </c>
      <c r="AM6" s="59" t="n"/>
      <c r="AN6" s="59" t="n"/>
      <c r="AO6" s="59" t="n"/>
      <c r="AP6" s="59" t="inlineStr">
        <is>
          <t>R</t>
        </is>
      </c>
      <c r="AQ6" s="59" t="n"/>
      <c r="AR6" s="59" t="n"/>
      <c r="AS6" s="54">
        <f>COUNTIF(D6:AR6,"C")</f>
        <v/>
      </c>
      <c r="AT6" s="54">
        <f>COUNTIF(D6:AR6,"R")</f>
        <v/>
      </c>
    </row>
    <row r="7">
      <c r="A7" s="57" t="n"/>
      <c r="B7" s="47" t="inlineStr">
        <is>
          <t>C01-02</t>
        </is>
      </c>
      <c r="C7" s="58">
        <f>IFERROR(INDEX(ケイパビリティマップ!$E:$E,MATCH(B7,ケイパビリティマップ!$A:$A,0)),"（IDなし）")</f>
        <v/>
      </c>
      <c r="D7" s="59" t="n"/>
      <c r="E7" s="59" t="inlineStr">
        <is>
          <t>R</t>
        </is>
      </c>
      <c r="F7" s="59" t="inlineStr">
        <is>
          <t>C</t>
        </is>
      </c>
      <c r="G7" s="59" t="n"/>
      <c r="H7" s="59" t="n"/>
      <c r="I7" s="59" t="n"/>
      <c r="J7" s="59" t="n"/>
      <c r="K7" s="59" t="inlineStr">
        <is>
          <t>R</t>
        </is>
      </c>
      <c r="L7" s="59" t="inlineStr">
        <is>
          <t>R</t>
        </is>
      </c>
      <c r="M7" s="59" t="n"/>
      <c r="N7" s="59" t="n"/>
      <c r="O7" s="59" t="inlineStr">
        <is>
          <t>R</t>
        </is>
      </c>
      <c r="P7" s="59" t="inlineStr">
        <is>
          <t>R</t>
        </is>
      </c>
      <c r="Q7" s="59" t="inlineStr">
        <is>
          <t>R</t>
        </is>
      </c>
      <c r="R7" s="59" t="inlineStr">
        <is>
          <t>R</t>
        </is>
      </c>
      <c r="S7" s="59" t="inlineStr">
        <is>
          <t>R</t>
        </is>
      </c>
      <c r="T7" s="59" t="n"/>
      <c r="U7" s="59" t="n"/>
      <c r="V7" s="59" t="n"/>
      <c r="W7" s="59" t="n"/>
      <c r="X7" s="59" t="n"/>
      <c r="Y7" s="59" t="inlineStr">
        <is>
          <t>R</t>
        </is>
      </c>
      <c r="Z7" s="59" t="inlineStr">
        <is>
          <t>R</t>
        </is>
      </c>
      <c r="AA7" s="59" t="n"/>
      <c r="AB7" s="59" t="n"/>
      <c r="AC7" s="59" t="inlineStr">
        <is>
          <t>R</t>
        </is>
      </c>
      <c r="AD7" s="59" t="inlineStr">
        <is>
          <t>R</t>
        </is>
      </c>
      <c r="AE7" s="59" t="inlineStr">
        <is>
          <t>R</t>
        </is>
      </c>
      <c r="AF7" s="59" t="n"/>
      <c r="AG7" s="59" t="n"/>
      <c r="AH7" s="59" t="n"/>
      <c r="AI7" s="59" t="n"/>
      <c r="AJ7" s="59" t="inlineStr">
        <is>
          <t>R</t>
        </is>
      </c>
      <c r="AK7" s="59" t="n"/>
      <c r="AL7" s="59" t="inlineStr">
        <is>
          <t>R</t>
        </is>
      </c>
      <c r="AM7" s="59" t="n"/>
      <c r="AN7" s="59" t="n"/>
      <c r="AO7" s="59" t="n"/>
      <c r="AP7" s="59" t="inlineStr">
        <is>
          <t>R</t>
        </is>
      </c>
      <c r="AQ7" s="59" t="inlineStr">
        <is>
          <t>C</t>
        </is>
      </c>
      <c r="AR7" s="59" t="n"/>
      <c r="AS7" s="54">
        <f>COUNTIF(D7:AR7,"C")</f>
        <v/>
      </c>
      <c r="AT7" s="54">
        <f>COUNTIF(D7:AR7,"R")</f>
        <v/>
      </c>
    </row>
    <row r="8">
      <c r="A8" s="57" t="inlineStr">
        <is>
          <t>C02 調達・購買管理</t>
        </is>
      </c>
      <c r="B8" s="47" t="inlineStr">
        <is>
          <t>C02-01</t>
        </is>
      </c>
      <c r="C8" s="58">
        <f>IFERROR(INDEX(ケイパビリティマップ!$E:$E,MATCH(B8,ケイパビリティマップ!$A:$A,0)),"（IDなし）")</f>
        <v/>
      </c>
      <c r="D8" s="59" t="inlineStr">
        <is>
          <t>R</t>
        </is>
      </c>
      <c r="E8" s="59" t="n"/>
      <c r="F8" s="59" t="inlineStr">
        <is>
          <t>R</t>
        </is>
      </c>
      <c r="G8" s="59" t="inlineStr">
        <is>
          <t>C</t>
        </is>
      </c>
      <c r="H8" s="59" t="n"/>
      <c r="I8" s="59" t="n"/>
      <c r="J8" s="59" t="inlineStr">
        <is>
          <t>C</t>
        </is>
      </c>
      <c r="K8" s="59" t="inlineStr">
        <is>
          <t>C</t>
        </is>
      </c>
      <c r="L8" s="59" t="inlineStr">
        <is>
          <t>C</t>
        </is>
      </c>
      <c r="M8" s="59" t="n"/>
      <c r="N8" s="59" t="n"/>
      <c r="O8" s="59" t="n"/>
      <c r="P8" s="59" t="n"/>
      <c r="Q8" s="59" t="n"/>
      <c r="R8" s="59" t="n"/>
      <c r="S8" s="59" t="n"/>
      <c r="T8" s="59" t="n"/>
      <c r="U8" s="59" t="n"/>
      <c r="V8" s="59" t="n"/>
      <c r="W8" s="59" t="n"/>
      <c r="X8" s="59" t="inlineStr">
        <is>
          <t>R</t>
        </is>
      </c>
      <c r="Y8" s="59" t="n"/>
      <c r="Z8" s="59" t="n"/>
      <c r="AA8" s="59" t="n"/>
      <c r="AB8" s="59" t="n"/>
      <c r="AC8" s="59" t="n"/>
      <c r="AD8" s="59" t="n"/>
      <c r="AE8" s="59" t="n"/>
      <c r="AF8" s="59" t="inlineStr">
        <is>
          <t>R</t>
        </is>
      </c>
      <c r="AG8" s="59" t="n"/>
      <c r="AH8" s="59" t="n"/>
      <c r="AI8" s="59" t="n"/>
      <c r="AJ8" s="59" t="n"/>
      <c r="AK8" s="59" t="n"/>
      <c r="AL8" s="59" t="n"/>
      <c r="AM8" s="59" t="n"/>
      <c r="AN8" s="59" t="n"/>
      <c r="AO8" s="59" t="n"/>
      <c r="AP8" s="59" t="n"/>
      <c r="AQ8" s="59" t="n"/>
      <c r="AR8" s="59" t="n"/>
      <c r="AS8" s="54">
        <f>COUNTIF(D8:AR8,"C")</f>
        <v/>
      </c>
      <c r="AT8" s="54">
        <f>COUNTIF(D8:AR8,"R")</f>
        <v/>
      </c>
    </row>
    <row r="9">
      <c r="A9" s="57" t="n"/>
      <c r="B9" s="47" t="inlineStr">
        <is>
          <t>C02-02</t>
        </is>
      </c>
      <c r="C9" s="58">
        <f>IFERROR(INDEX(ケイパビリティマップ!$E:$E,MATCH(B9,ケイパビリティマップ!$A:$A,0)),"（IDなし）")</f>
        <v/>
      </c>
      <c r="D9" s="59" t="n"/>
      <c r="E9" s="59" t="n"/>
      <c r="F9" s="59" t="n"/>
      <c r="G9" s="59" t="n"/>
      <c r="H9" s="59" t="n"/>
      <c r="I9" s="59" t="inlineStr">
        <is>
          <t>R</t>
        </is>
      </c>
      <c r="J9" s="59" t="n"/>
      <c r="K9" s="59" t="inlineStr">
        <is>
          <t>R</t>
        </is>
      </c>
      <c r="L9" s="59" t="n"/>
      <c r="M9" s="59" t="inlineStr">
        <is>
          <t>C</t>
        </is>
      </c>
      <c r="N9" s="59" t="inlineStr">
        <is>
          <t>C</t>
        </is>
      </c>
      <c r="O9" s="59" t="inlineStr">
        <is>
          <t>C</t>
        </is>
      </c>
      <c r="P9" s="59" t="inlineStr">
        <is>
          <t>C</t>
        </is>
      </c>
      <c r="Q9" s="59" t="inlineStr">
        <is>
          <t>C</t>
        </is>
      </c>
      <c r="R9" s="59" t="n"/>
      <c r="S9" s="59" t="n"/>
      <c r="T9" s="59" t="inlineStr">
        <is>
          <t>R</t>
        </is>
      </c>
      <c r="U9" s="59" t="n"/>
      <c r="V9" s="59" t="n"/>
      <c r="W9" s="59" t="n"/>
      <c r="X9" s="59" t="n"/>
      <c r="Y9" s="59" t="n"/>
      <c r="Z9" s="59" t="n"/>
      <c r="AA9" s="59" t="n"/>
      <c r="AB9" s="59" t="n"/>
      <c r="AC9" s="59" t="n"/>
      <c r="AD9" s="59" t="n"/>
      <c r="AE9" s="59" t="n"/>
      <c r="AF9" s="59" t="n"/>
      <c r="AG9" s="59" t="n"/>
      <c r="AH9" s="59" t="n"/>
      <c r="AI9" s="59" t="n"/>
      <c r="AJ9" s="59" t="n"/>
      <c r="AK9" s="59" t="n"/>
      <c r="AL9" s="59" t="n"/>
      <c r="AM9" s="59" t="n"/>
      <c r="AN9" s="59" t="n"/>
      <c r="AO9" s="59" t="n"/>
      <c r="AP9" s="59" t="n"/>
      <c r="AQ9" s="59" t="n"/>
      <c r="AR9" s="59" t="n"/>
      <c r="AS9" s="54">
        <f>COUNTIF(D9:AR9,"C")</f>
        <v/>
      </c>
      <c r="AT9" s="54">
        <f>COUNTIF(D9:AR9,"R")</f>
        <v/>
      </c>
    </row>
    <row r="10">
      <c r="A10" s="57" t="n"/>
      <c r="B10" s="47" t="inlineStr">
        <is>
          <t>C02-03</t>
        </is>
      </c>
      <c r="C10" s="58">
        <f>IFERROR(INDEX(ケイパビリティマップ!$E:$E,MATCH(B10,ケイパビリティマップ!$A:$A,0)),"（IDなし）")</f>
        <v/>
      </c>
      <c r="D10" s="59" t="inlineStr">
        <is>
          <t>R</t>
        </is>
      </c>
      <c r="E10" s="59" t="n"/>
      <c r="F10" s="59" t="n"/>
      <c r="G10" s="59" t="n"/>
      <c r="H10" s="59" t="n"/>
      <c r="I10" s="59" t="n"/>
      <c r="J10" s="59" t="n"/>
      <c r="K10" s="59" t="inlineStr">
        <is>
          <t>R</t>
        </is>
      </c>
      <c r="L10" s="59" t="inlineStr">
        <is>
          <t>R</t>
        </is>
      </c>
      <c r="M10" s="59" t="n"/>
      <c r="N10" s="59" t="n"/>
      <c r="O10" s="59" t="n"/>
      <c r="P10" s="59" t="inlineStr">
        <is>
          <t>R</t>
        </is>
      </c>
      <c r="Q10" s="59" t="inlineStr">
        <is>
          <t>R</t>
        </is>
      </c>
      <c r="R10" s="59" t="n"/>
      <c r="S10" s="59" t="n"/>
      <c r="T10" s="59" t="n"/>
      <c r="U10" s="59" t="n"/>
      <c r="V10" s="59" t="n"/>
      <c r="W10" s="59" t="inlineStr">
        <is>
          <t>C</t>
        </is>
      </c>
      <c r="X10" s="59" t="inlineStr">
        <is>
          <t>C</t>
        </is>
      </c>
      <c r="Y10" s="59" t="n"/>
      <c r="Z10" s="59" t="n"/>
      <c r="AA10" s="59" t="n"/>
      <c r="AB10" s="59" t="n"/>
      <c r="AC10" s="59" t="n"/>
      <c r="AD10" s="59" t="n"/>
      <c r="AE10" s="59" t="n"/>
      <c r="AF10" s="59" t="n"/>
      <c r="AG10" s="59" t="n"/>
      <c r="AH10" s="59" t="n"/>
      <c r="AI10" s="59" t="n"/>
      <c r="AJ10" s="59" t="n"/>
      <c r="AK10" s="59" t="n"/>
      <c r="AL10" s="59" t="n"/>
      <c r="AM10" s="59" t="n"/>
      <c r="AN10" s="59" t="n"/>
      <c r="AO10" s="59" t="n"/>
      <c r="AP10" s="59" t="n"/>
      <c r="AQ10" s="59" t="n"/>
      <c r="AR10" s="59" t="n"/>
      <c r="AS10" s="54">
        <f>COUNTIF(D10:AR10,"C")</f>
        <v/>
      </c>
      <c r="AT10" s="54">
        <f>COUNTIF(D10:AR10,"R")</f>
        <v/>
      </c>
    </row>
    <row r="11">
      <c r="A11" s="57" t="n"/>
      <c r="B11" s="47" t="inlineStr">
        <is>
          <t>C02-04</t>
        </is>
      </c>
      <c r="C11" s="58">
        <f>IFERROR(INDEX(ケイパビリティマップ!$E:$E,MATCH(B11,ケイパビリティマップ!$A:$A,0)),"（IDなし）")</f>
        <v/>
      </c>
      <c r="D11" s="59" t="n"/>
      <c r="E11" s="59" t="inlineStr">
        <is>
          <t>R</t>
        </is>
      </c>
      <c r="F11" s="59" t="n"/>
      <c r="G11" s="59" t="n"/>
      <c r="H11" s="59" t="n"/>
      <c r="I11" s="59" t="n"/>
      <c r="J11" s="59" t="n"/>
      <c r="K11" s="59" t="n"/>
      <c r="L11" s="59" t="inlineStr">
        <is>
          <t>R</t>
        </is>
      </c>
      <c r="M11" s="59" t="n"/>
      <c r="N11" s="59" t="n"/>
      <c r="O11" s="59" t="n"/>
      <c r="P11" s="59" t="inlineStr">
        <is>
          <t>R</t>
        </is>
      </c>
      <c r="Q11" s="59" t="n"/>
      <c r="R11" s="59" t="n"/>
      <c r="S11" s="59" t="inlineStr">
        <is>
          <t>R</t>
        </is>
      </c>
      <c r="T11" s="59" t="n"/>
      <c r="U11" s="59" t="n"/>
      <c r="V11" s="59" t="n"/>
      <c r="W11" s="59" t="n"/>
      <c r="X11" s="59" t="inlineStr">
        <is>
          <t>R</t>
        </is>
      </c>
      <c r="Y11" s="59" t="inlineStr">
        <is>
          <t>C</t>
        </is>
      </c>
      <c r="Z11" s="59" t="inlineStr">
        <is>
          <t>C</t>
        </is>
      </c>
      <c r="AA11" s="59" t="n"/>
      <c r="AB11" s="59" t="n"/>
      <c r="AC11" s="59" t="n"/>
      <c r="AD11" s="59" t="n"/>
      <c r="AE11" s="59" t="inlineStr">
        <is>
          <t>R</t>
        </is>
      </c>
      <c r="AF11" s="59" t="n"/>
      <c r="AG11" s="59" t="n"/>
      <c r="AH11" s="59" t="n"/>
      <c r="AI11" s="59" t="inlineStr">
        <is>
          <t>R</t>
        </is>
      </c>
      <c r="AJ11" s="59" t="n"/>
      <c r="AK11" s="59" t="n"/>
      <c r="AL11" s="59" t="n"/>
      <c r="AM11" s="59" t="n"/>
      <c r="AN11" s="59" t="n"/>
      <c r="AO11" s="59" t="n"/>
      <c r="AP11" s="59" t="n"/>
      <c r="AQ11" s="59" t="n"/>
      <c r="AR11" s="59" t="n"/>
      <c r="AS11" s="54">
        <f>COUNTIF(D11:AR11,"C")</f>
        <v/>
      </c>
      <c r="AT11" s="54">
        <f>COUNTIF(D11:AR11,"R")</f>
        <v/>
      </c>
    </row>
    <row r="12">
      <c r="A12" s="57" t="inlineStr">
        <is>
          <t>C03 受入・ロジスティクス</t>
        </is>
      </c>
      <c r="B12" s="47" t="inlineStr">
        <is>
          <t>C03-01</t>
        </is>
      </c>
      <c r="C12" s="58">
        <f>IFERROR(INDEX(ケイパビリティマップ!$E:$E,MATCH(B12,ケイパビリティマップ!$A:$A,0)),"（IDなし）")</f>
        <v/>
      </c>
      <c r="D12" s="59" t="n"/>
      <c r="E12" s="59" t="n"/>
      <c r="F12" s="59" t="n"/>
      <c r="G12" s="59" t="n"/>
      <c r="H12" s="59" t="n"/>
      <c r="I12" s="59" t="n"/>
      <c r="J12" s="59" t="n"/>
      <c r="K12" s="59" t="inlineStr">
        <is>
          <t>R</t>
        </is>
      </c>
      <c r="L12" s="59" t="n"/>
      <c r="M12" s="59" t="n"/>
      <c r="N12" s="59" t="n"/>
      <c r="O12" s="59" t="n"/>
      <c r="P12" s="59" t="n"/>
      <c r="Q12" s="59" t="n"/>
      <c r="R12" s="59" t="n"/>
      <c r="S12" s="59" t="n"/>
      <c r="T12" s="59" t="n"/>
      <c r="U12" s="59" t="n"/>
      <c r="V12" s="59" t="n"/>
      <c r="W12" s="59" t="n"/>
      <c r="X12" s="59" t="n"/>
      <c r="Y12" s="59" t="inlineStr">
        <is>
          <t>R</t>
        </is>
      </c>
      <c r="Z12" s="59" t="inlineStr">
        <is>
          <t>R</t>
        </is>
      </c>
      <c r="AA12" s="59" t="inlineStr">
        <is>
          <t>C</t>
        </is>
      </c>
      <c r="AB12" s="59" t="inlineStr">
        <is>
          <t>C</t>
        </is>
      </c>
      <c r="AC12" s="59" t="inlineStr">
        <is>
          <t>C</t>
        </is>
      </c>
      <c r="AD12" s="59" t="n"/>
      <c r="AE12" s="59" t="n"/>
      <c r="AF12" s="59" t="n"/>
      <c r="AG12" s="59" t="n"/>
      <c r="AH12" s="59" t="n"/>
      <c r="AI12" s="59" t="n"/>
      <c r="AJ12" s="59" t="n"/>
      <c r="AK12" s="59" t="n"/>
      <c r="AL12" s="59" t="n"/>
      <c r="AM12" s="59" t="n"/>
      <c r="AN12" s="59" t="n"/>
      <c r="AO12" s="59" t="n"/>
      <c r="AP12" s="59" t="n"/>
      <c r="AQ12" s="59" t="n"/>
      <c r="AR12" s="59" t="n"/>
      <c r="AS12" s="54">
        <f>COUNTIF(D12:AR12,"C")</f>
        <v/>
      </c>
      <c r="AT12" s="54">
        <f>COUNTIF(D12:AR12,"R")</f>
        <v/>
      </c>
    </row>
    <row r="13">
      <c r="A13" s="57" t="n"/>
      <c r="B13" s="47" t="inlineStr">
        <is>
          <t>C03-02</t>
        </is>
      </c>
      <c r="C13" s="58">
        <f>IFERROR(INDEX(ケイパビリティマップ!$E:$E,MATCH(B13,ケイパビリティマップ!$A:$A,0)),"（IDなし）")</f>
        <v/>
      </c>
      <c r="D13" s="59" t="n"/>
      <c r="E13" s="59" t="n"/>
      <c r="F13" s="59" t="n"/>
      <c r="G13" s="59" t="n"/>
      <c r="H13" s="59" t="n"/>
      <c r="I13" s="59" t="n"/>
      <c r="J13" s="59" t="n"/>
      <c r="K13" s="59" t="inlineStr">
        <is>
          <t>R</t>
        </is>
      </c>
      <c r="L13" s="59" t="n"/>
      <c r="M13" s="59" t="n"/>
      <c r="N13" s="59" t="n"/>
      <c r="O13" s="59" t="n"/>
      <c r="P13" s="59" t="n"/>
      <c r="Q13" s="59" t="n"/>
      <c r="R13" s="59" t="n"/>
      <c r="S13" s="59" t="n"/>
      <c r="T13" s="59" t="n"/>
      <c r="U13" s="59" t="n"/>
      <c r="V13" s="59" t="n"/>
      <c r="W13" s="59" t="n"/>
      <c r="X13" s="59" t="n"/>
      <c r="Y13" s="59" t="inlineStr">
        <is>
          <t>R</t>
        </is>
      </c>
      <c r="Z13" s="59" t="n"/>
      <c r="AA13" s="59" t="n"/>
      <c r="AB13" s="59" t="n"/>
      <c r="AC13" s="59" t="inlineStr">
        <is>
          <t>R</t>
        </is>
      </c>
      <c r="AD13" s="59" t="inlineStr">
        <is>
          <t>C</t>
        </is>
      </c>
      <c r="AE13" s="59" t="inlineStr">
        <is>
          <t>C</t>
        </is>
      </c>
      <c r="AF13" s="59" t="n"/>
      <c r="AG13" s="59" t="n"/>
      <c r="AH13" s="59" t="n"/>
      <c r="AI13" s="59" t="n"/>
      <c r="AJ13" s="59" t="n"/>
      <c r="AK13" s="59" t="n"/>
      <c r="AL13" s="59" t="n"/>
      <c r="AM13" s="59" t="n"/>
      <c r="AN13" s="59" t="n"/>
      <c r="AO13" s="59" t="n"/>
      <c r="AP13" s="59" t="n"/>
      <c r="AQ13" s="59" t="n"/>
      <c r="AR13" s="59" t="n"/>
      <c r="AS13" s="54">
        <f>COUNTIF(D13:AR13,"C")</f>
        <v/>
      </c>
      <c r="AT13" s="54">
        <f>COUNTIF(D13:AR13,"R")</f>
        <v/>
      </c>
    </row>
    <row r="14">
      <c r="A14" s="57" t="n"/>
      <c r="B14" s="47" t="inlineStr">
        <is>
          <t>C03-03</t>
        </is>
      </c>
      <c r="C14" s="58">
        <f>IFERROR(INDEX(ケイパビリティマップ!$E:$E,MATCH(B14,ケイパビリティマップ!$A:$A,0)),"（IDなし）")</f>
        <v/>
      </c>
      <c r="D14" s="59" t="inlineStr">
        <is>
          <t>R</t>
        </is>
      </c>
      <c r="E14" s="59" t="n"/>
      <c r="F14" s="59" t="n"/>
      <c r="G14" s="59" t="n"/>
      <c r="H14" s="59" t="n"/>
      <c r="I14" s="59" t="n"/>
      <c r="J14" s="59" t="inlineStr">
        <is>
          <t>R</t>
        </is>
      </c>
      <c r="K14" s="59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  <c r="U14" s="59" t="n"/>
      <c r="V14" s="59" t="n"/>
      <c r="W14" s="59" t="n"/>
      <c r="X14" s="59" t="n"/>
      <c r="Y14" s="59" t="inlineStr">
        <is>
          <t>R</t>
        </is>
      </c>
      <c r="Z14" s="59" t="n"/>
      <c r="AA14" s="59" t="n"/>
      <c r="AB14" s="59" t="n"/>
      <c r="AC14" s="59" t="inlineStr">
        <is>
          <t>R</t>
        </is>
      </c>
      <c r="AD14" s="59" t="inlineStr">
        <is>
          <t>R</t>
        </is>
      </c>
      <c r="AE14" s="59" t="n"/>
      <c r="AF14" s="59" t="inlineStr">
        <is>
          <t>C</t>
        </is>
      </c>
      <c r="AG14" s="59" t="inlineStr">
        <is>
          <t>C</t>
        </is>
      </c>
      <c r="AH14" s="59" t="n"/>
      <c r="AI14" s="59" t="n"/>
      <c r="AJ14" s="59" t="n"/>
      <c r="AK14" s="59" t="n"/>
      <c r="AL14" s="59" t="n"/>
      <c r="AM14" s="59" t="n"/>
      <c r="AN14" s="59" t="n"/>
      <c r="AO14" s="59" t="n"/>
      <c r="AP14" s="59" t="n"/>
      <c r="AQ14" s="59" t="n"/>
      <c r="AR14" s="59" t="n"/>
      <c r="AS14" s="54">
        <f>COUNTIF(D14:AR14,"C")</f>
        <v/>
      </c>
      <c r="AT14" s="54">
        <f>COUNTIF(D14:AR14,"R")</f>
        <v/>
      </c>
    </row>
    <row r="15">
      <c r="A15" s="57" t="inlineStr">
        <is>
          <t>C04 財務・債務管理</t>
        </is>
      </c>
      <c r="B15" s="47" t="inlineStr">
        <is>
          <t>C04-01</t>
        </is>
      </c>
      <c r="C15" s="58">
        <f>IFERROR(INDEX(ケイパビリティマップ!$E:$E,MATCH(B15,ケイパビリティマップ!$A:$A,0)),"（IDなし）")</f>
        <v/>
      </c>
      <c r="D15" s="59" t="n"/>
      <c r="E15" s="59" t="inlineStr">
        <is>
          <t>R</t>
        </is>
      </c>
      <c r="F15" s="59" t="n"/>
      <c r="G15" s="59" t="n"/>
      <c r="H15" s="59" t="n"/>
      <c r="I15" s="59" t="n"/>
      <c r="J15" s="59" t="n"/>
      <c r="K15" s="59" t="n"/>
      <c r="L15" s="59" t="n"/>
      <c r="M15" s="59" t="n"/>
      <c r="N15" s="59" t="n"/>
      <c r="O15" s="59" t="n"/>
      <c r="P15" s="59" t="n"/>
      <c r="Q15" s="59" t="n"/>
      <c r="R15" s="59" t="n"/>
      <c r="S15" s="59" t="n"/>
      <c r="T15" s="59" t="n"/>
      <c r="U15" s="59" t="n"/>
      <c r="V15" s="59" t="n"/>
      <c r="W15" s="59" t="n"/>
      <c r="X15" s="59" t="n"/>
      <c r="Y15" s="59" t="inlineStr">
        <is>
          <t>R</t>
        </is>
      </c>
      <c r="Z15" s="59" t="inlineStr">
        <is>
          <t>R</t>
        </is>
      </c>
      <c r="AA15" s="59" t="n"/>
      <c r="AB15" s="59" t="n"/>
      <c r="AC15" s="59" t="n"/>
      <c r="AD15" s="59" t="inlineStr">
        <is>
          <t>R</t>
        </is>
      </c>
      <c r="AE15" s="59" t="inlineStr">
        <is>
          <t>R</t>
        </is>
      </c>
      <c r="AF15" s="59" t="n"/>
      <c r="AG15" s="59" t="n"/>
      <c r="AH15" s="59" t="inlineStr">
        <is>
          <t>C</t>
        </is>
      </c>
      <c r="AI15" s="59" t="inlineStr">
        <is>
          <t>C</t>
        </is>
      </c>
      <c r="AJ15" s="59" t="n"/>
      <c r="AK15" s="59" t="n"/>
      <c r="AL15" s="59" t="n"/>
      <c r="AM15" s="59" t="n"/>
      <c r="AN15" s="59" t="n"/>
      <c r="AO15" s="59" t="n"/>
      <c r="AP15" s="59" t="n"/>
      <c r="AQ15" s="59" t="n"/>
      <c r="AR15" s="59" t="n"/>
      <c r="AS15" s="54">
        <f>COUNTIF(D15:AR15,"C")</f>
        <v/>
      </c>
      <c r="AT15" s="54">
        <f>COUNTIF(D15:AR15,"R")</f>
        <v/>
      </c>
    </row>
    <row r="16">
      <c r="A16" s="57" t="n"/>
      <c r="B16" s="47" t="inlineStr">
        <is>
          <t>C04-02</t>
        </is>
      </c>
      <c r="C16" s="58">
        <f>IFERROR(INDEX(ケイパビリティマップ!$E:$E,MATCH(B16,ケイパビリティマップ!$A:$A,0)),"（IDなし）")</f>
        <v/>
      </c>
      <c r="D16" s="59" t="n"/>
      <c r="E16" s="59" t="inlineStr">
        <is>
          <t>R</t>
        </is>
      </c>
      <c r="F16" s="59" t="inlineStr">
        <is>
          <t>R</t>
        </is>
      </c>
      <c r="G16" s="59" t="n"/>
      <c r="H16" s="59" t="n"/>
      <c r="I16" s="59" t="n"/>
      <c r="J16" s="59" t="n"/>
      <c r="K16" s="59" t="n"/>
      <c r="L16" s="59" t="n"/>
      <c r="M16" s="59" t="n"/>
      <c r="N16" s="59" t="n"/>
      <c r="O16" s="59" t="n"/>
      <c r="P16" s="59" t="n"/>
      <c r="Q16" s="59" t="n"/>
      <c r="R16" s="59" t="n"/>
      <c r="S16" s="59" t="inlineStr">
        <is>
          <t>R</t>
        </is>
      </c>
      <c r="T16" s="59" t="n"/>
      <c r="U16" s="59" t="n"/>
      <c r="V16" s="59" t="n"/>
      <c r="W16" s="59" t="n"/>
      <c r="X16" s="59" t="n"/>
      <c r="Y16" s="59" t="n"/>
      <c r="Z16" s="59" t="n"/>
      <c r="AA16" s="59" t="n"/>
      <c r="AB16" s="59" t="n"/>
      <c r="AC16" s="59" t="n"/>
      <c r="AD16" s="59" t="inlineStr">
        <is>
          <t>R</t>
        </is>
      </c>
      <c r="AE16" s="59" t="n"/>
      <c r="AF16" s="59" t="n"/>
      <c r="AG16" s="59" t="n"/>
      <c r="AH16" s="59" t="n"/>
      <c r="AI16" s="59" t="n"/>
      <c r="AJ16" s="59" t="inlineStr">
        <is>
          <t>C</t>
        </is>
      </c>
      <c r="AK16" s="59" t="inlineStr">
        <is>
          <t>C</t>
        </is>
      </c>
      <c r="AL16" s="59" t="inlineStr">
        <is>
          <t>R</t>
        </is>
      </c>
      <c r="AM16" s="59" t="n"/>
      <c r="AN16" s="59" t="n"/>
      <c r="AO16" s="59" t="n"/>
      <c r="AP16" s="59" t="n"/>
      <c r="AQ16" s="59" t="n"/>
      <c r="AR16" s="59" t="n"/>
      <c r="AS16" s="54">
        <f>COUNTIF(D16:AR16,"C")</f>
        <v/>
      </c>
      <c r="AT16" s="54">
        <f>COUNTIF(D16:AR16,"R")</f>
        <v/>
      </c>
    </row>
    <row r="17">
      <c r="A17" s="57" t="n"/>
      <c r="B17" s="47" t="inlineStr">
        <is>
          <t>C04-03</t>
        </is>
      </c>
      <c r="C17" s="58">
        <f>IFERROR(INDEX(ケイパビリティマップ!$E:$E,MATCH(B17,ケイパビリティマップ!$A:$A,0)),"（IDなし）")</f>
        <v/>
      </c>
      <c r="D17" s="59" t="n"/>
      <c r="E17" s="59" t="inlineStr">
        <is>
          <t>R</t>
        </is>
      </c>
      <c r="F17" s="59" t="n"/>
      <c r="G17" s="59" t="n"/>
      <c r="H17" s="59" t="n"/>
      <c r="I17" s="59" t="n"/>
      <c r="J17" s="59" t="n"/>
      <c r="K17" s="59" t="n"/>
      <c r="L17" s="59" t="n"/>
      <c r="M17" s="59" t="n"/>
      <c r="N17" s="59" t="n"/>
      <c r="O17" s="59" t="n"/>
      <c r="P17" s="59" t="n"/>
      <c r="Q17" s="59" t="n"/>
      <c r="R17" s="59" t="n"/>
      <c r="S17" s="59" t="n"/>
      <c r="T17" s="59" t="n"/>
      <c r="U17" s="59" t="n"/>
      <c r="V17" s="59" t="inlineStr">
        <is>
          <t>C</t>
        </is>
      </c>
      <c r="W17" s="59" t="inlineStr">
        <is>
          <t>R</t>
        </is>
      </c>
      <c r="X17" s="59" t="n"/>
      <c r="Y17" s="59" t="inlineStr">
        <is>
          <t>R</t>
        </is>
      </c>
      <c r="Z17" s="59" t="n"/>
      <c r="AA17" s="59" t="n"/>
      <c r="AB17" s="59" t="inlineStr">
        <is>
          <t>R</t>
        </is>
      </c>
      <c r="AC17" s="59" t="n"/>
      <c r="AD17" s="59" t="inlineStr">
        <is>
          <t>R</t>
        </is>
      </c>
      <c r="AE17" s="59" t="n"/>
      <c r="AF17" s="59" t="n"/>
      <c r="AG17" s="59" t="n"/>
      <c r="AH17" s="59" t="inlineStr">
        <is>
          <t>R</t>
        </is>
      </c>
      <c r="AI17" s="59" t="inlineStr">
        <is>
          <t>R</t>
        </is>
      </c>
      <c r="AJ17" s="59" t="n"/>
      <c r="AK17" s="59" t="inlineStr">
        <is>
          <t>R</t>
        </is>
      </c>
      <c r="AL17" s="59" t="inlineStr">
        <is>
          <t>C</t>
        </is>
      </c>
      <c r="AM17" s="59" t="inlineStr">
        <is>
          <t>C</t>
        </is>
      </c>
      <c r="AN17" s="59" t="inlineStr">
        <is>
          <t>C</t>
        </is>
      </c>
      <c r="AO17" s="59" t="inlineStr">
        <is>
          <t>C</t>
        </is>
      </c>
      <c r="AP17" s="59" t="n"/>
      <c r="AQ17" s="59" t="n"/>
      <c r="AR17" s="59" t="n"/>
      <c r="AS17" s="54">
        <f>COUNTIF(D17:AR17,"C")</f>
        <v/>
      </c>
      <c r="AT17" s="54">
        <f>COUNTIF(D17:AR17,"R")</f>
        <v/>
      </c>
    </row>
    <row r="18">
      <c r="A18" s="57" t="inlineStr">
        <is>
          <t>C05 サプライヤー管理</t>
        </is>
      </c>
      <c r="B18" s="47" t="inlineStr">
        <is>
          <t>C05-01</t>
        </is>
      </c>
      <c r="C18" s="58">
        <f>IFERROR(INDEX(ケイパビリティマップ!$E:$E,MATCH(B18,ケイパビリティマップ!$A:$A,0)),"（IDなし）")</f>
        <v/>
      </c>
      <c r="D18" s="59" t="inlineStr">
        <is>
          <t>R</t>
        </is>
      </c>
      <c r="E18" s="59" t="inlineStr">
        <is>
          <t>C</t>
        </is>
      </c>
      <c r="F18" s="59" t="n"/>
      <c r="G18" s="59" t="n"/>
      <c r="H18" s="59" t="n"/>
      <c r="I18" s="59" t="n"/>
      <c r="J18" s="59" t="n"/>
      <c r="K18" s="59" t="inlineStr">
        <is>
          <t>R</t>
        </is>
      </c>
      <c r="L18" s="59" t="n"/>
      <c r="M18" s="59" t="inlineStr">
        <is>
          <t>R</t>
        </is>
      </c>
      <c r="N18" s="59" t="n"/>
      <c r="O18" s="59" t="n"/>
      <c r="P18" s="59" t="n"/>
      <c r="Q18" s="59" t="n"/>
      <c r="R18" s="59" t="inlineStr">
        <is>
          <t>C</t>
        </is>
      </c>
      <c r="S18" s="59" t="inlineStr">
        <is>
          <t>C</t>
        </is>
      </c>
      <c r="T18" s="59" t="n"/>
      <c r="U18" s="59" t="n"/>
      <c r="V18" s="59" t="n"/>
      <c r="W18" s="59" t="n"/>
      <c r="X18" s="59" t="n"/>
      <c r="Y18" s="59" t="n"/>
      <c r="Z18" s="59" t="n"/>
      <c r="AA18" s="59" t="n"/>
      <c r="AB18" s="59" t="n"/>
      <c r="AC18" s="59" t="n"/>
      <c r="AD18" s="59" t="n"/>
      <c r="AE18" s="59" t="n"/>
      <c r="AF18" s="59" t="n"/>
      <c r="AG18" s="59" t="n"/>
      <c r="AH18" s="59" t="n"/>
      <c r="AI18" s="59" t="n"/>
      <c r="AJ18" s="59" t="n"/>
      <c r="AK18" s="59" t="n"/>
      <c r="AL18" s="59" t="n"/>
      <c r="AM18" s="59" t="n"/>
      <c r="AN18" s="59" t="n"/>
      <c r="AO18" s="59" t="n"/>
      <c r="AP18" s="59" t="n"/>
      <c r="AQ18" s="59" t="n"/>
      <c r="AR18" s="59" t="n"/>
      <c r="AS18" s="54">
        <f>COUNTIF(D18:AR18,"C")</f>
        <v/>
      </c>
      <c r="AT18" s="54">
        <f>COUNTIF(D18:AR18,"R")</f>
        <v/>
      </c>
    </row>
    <row r="19">
      <c r="A19" s="57" t="n"/>
      <c r="B19" s="47" t="inlineStr">
        <is>
          <t>C05-02</t>
        </is>
      </c>
      <c r="C19" s="58">
        <f>IFERROR(INDEX(ケイパビリティマップ!$E:$E,MATCH(B19,ケイパビリティマップ!$A:$A,0)),"（IDなし）")</f>
        <v/>
      </c>
      <c r="D19" s="59" t="n"/>
      <c r="E19" s="59" t="n"/>
      <c r="F19" s="59" t="n"/>
      <c r="G19" s="59" t="n"/>
      <c r="H19" s="59" t="n"/>
      <c r="I19" s="59" t="n"/>
      <c r="J19" s="59" t="n"/>
      <c r="K19" s="59" t="n"/>
      <c r="L19" s="59" t="n"/>
      <c r="M19" s="59" t="n"/>
      <c r="N19" s="59" t="n"/>
      <c r="O19" s="59" t="n"/>
      <c r="P19" s="59" t="inlineStr">
        <is>
          <t>R</t>
        </is>
      </c>
      <c r="Q19" s="59" t="inlineStr">
        <is>
          <t>R</t>
        </is>
      </c>
      <c r="R19" s="59" t="n"/>
      <c r="S19" s="59" t="n"/>
      <c r="T19" s="59" t="inlineStr">
        <is>
          <t>C</t>
        </is>
      </c>
      <c r="U19" s="59" t="n"/>
      <c r="V19" s="59" t="n"/>
      <c r="W19" s="59" t="n"/>
      <c r="X19" s="59" t="n"/>
      <c r="Y19" s="59" t="n"/>
      <c r="Z19" s="59" t="inlineStr">
        <is>
          <t>R</t>
        </is>
      </c>
      <c r="AA19" s="59" t="n"/>
      <c r="AB19" s="59" t="n"/>
      <c r="AC19" s="59" t="inlineStr">
        <is>
          <t>R</t>
        </is>
      </c>
      <c r="AD19" s="59" t="n"/>
      <c r="AE19" s="59" t="inlineStr">
        <is>
          <t>R</t>
        </is>
      </c>
      <c r="AF19" s="59" t="n"/>
      <c r="AG19" s="59" t="n"/>
      <c r="AH19" s="59" t="n"/>
      <c r="AI19" s="59" t="n"/>
      <c r="AJ19" s="59" t="n"/>
      <c r="AK19" s="59" t="n"/>
      <c r="AL19" s="59" t="n"/>
      <c r="AM19" s="59" t="n"/>
      <c r="AN19" s="59" t="n"/>
      <c r="AO19" s="59" t="n"/>
      <c r="AP19" s="59" t="n"/>
      <c r="AQ19" s="59" t="n"/>
      <c r="AR19" s="59" t="n"/>
      <c r="AS19" s="54">
        <f>COUNTIF(D19:AR19,"C")</f>
        <v/>
      </c>
      <c r="AT19" s="54">
        <f>COUNTIF(D19:AR19,"R")</f>
        <v/>
      </c>
    </row>
    <row r="20">
      <c r="A20" s="57" t="n"/>
      <c r="B20" s="47" t="inlineStr">
        <is>
          <t>C05-03</t>
        </is>
      </c>
      <c r="C20" s="58">
        <f>IFERROR(INDEX(ケイパビリティマップ!$E:$E,MATCH(B20,ケイパビリティマップ!$A:$A,0)),"（IDなし）")</f>
        <v/>
      </c>
      <c r="D20" s="59" t="n"/>
      <c r="E20" s="59" t="inlineStr">
        <is>
          <t>R</t>
        </is>
      </c>
      <c r="F20" s="59" t="n"/>
      <c r="G20" s="59" t="n"/>
      <c r="H20" s="59" t="inlineStr">
        <is>
          <t>R</t>
        </is>
      </c>
      <c r="I20" s="59" t="n"/>
      <c r="J20" s="59" t="n"/>
      <c r="K20" s="59" t="n"/>
      <c r="L20" s="59" t="n"/>
      <c r="M20" s="59" t="n"/>
      <c r="N20" s="59" t="n"/>
      <c r="O20" s="59" t="n"/>
      <c r="P20" s="59" t="n"/>
      <c r="Q20" s="59" t="n"/>
      <c r="R20" s="59" t="n"/>
      <c r="S20" s="59" t="n"/>
      <c r="T20" s="59" t="inlineStr">
        <is>
          <t>R</t>
        </is>
      </c>
      <c r="U20" s="59" t="inlineStr">
        <is>
          <t>C</t>
        </is>
      </c>
      <c r="V20" s="59" t="n"/>
      <c r="W20" s="59" t="n"/>
      <c r="X20" s="59" t="n"/>
      <c r="Y20" s="59" t="n"/>
      <c r="Z20" s="59" t="n"/>
      <c r="AA20" s="59" t="n"/>
      <c r="AB20" s="59" t="n"/>
      <c r="AC20" s="59" t="n"/>
      <c r="AD20" s="59" t="n"/>
      <c r="AE20" s="59" t="n"/>
      <c r="AF20" s="59" t="n"/>
      <c r="AG20" s="59" t="n"/>
      <c r="AH20" s="59" t="n"/>
      <c r="AI20" s="59" t="n"/>
      <c r="AJ20" s="59" t="n"/>
      <c r="AK20" s="59" t="n"/>
      <c r="AL20" s="59" t="n"/>
      <c r="AM20" s="59" t="n"/>
      <c r="AN20" s="59" t="n"/>
      <c r="AO20" s="59" t="n"/>
      <c r="AP20" s="59" t="n"/>
      <c r="AQ20" s="59" t="n"/>
      <c r="AR20" s="59" t="n"/>
      <c r="AS20" s="54">
        <f>COUNTIF(D20:AR20,"C")</f>
        <v/>
      </c>
      <c r="AT20" s="54">
        <f>COUNTIF(D20:AR20,"R")</f>
        <v/>
      </c>
    </row>
    <row r="21">
      <c r="A21" s="57" t="inlineStr">
        <is>
          <t>C06 調達基盤</t>
        </is>
      </c>
      <c r="B21" s="47" t="inlineStr">
        <is>
          <t>C06-01</t>
        </is>
      </c>
      <c r="C21" s="58">
        <f>IFERROR(INDEX(ケイパビリティマップ!$E:$E,MATCH(B21,ケイパビリティマップ!$A:$A,0)),"（IDなし）")</f>
        <v/>
      </c>
      <c r="D21" s="59" t="inlineStr">
        <is>
          <t>C</t>
        </is>
      </c>
      <c r="E21" s="59" t="inlineStr">
        <is>
          <t>C</t>
        </is>
      </c>
      <c r="F21" s="59" t="n"/>
      <c r="G21" s="59" t="n"/>
      <c r="H21" s="59" t="n"/>
      <c r="I21" s="59" t="n"/>
      <c r="J21" s="59" t="n"/>
      <c r="K21" s="59" t="n"/>
      <c r="L21" s="59" t="n"/>
      <c r="M21" s="59" t="n"/>
      <c r="N21" s="59" t="n"/>
      <c r="O21" s="59" t="n"/>
      <c r="P21" s="59" t="n"/>
      <c r="Q21" s="59" t="n"/>
      <c r="R21" s="59" t="n"/>
      <c r="S21" s="59" t="n"/>
      <c r="T21" s="59" t="n"/>
      <c r="U21" s="59" t="n"/>
      <c r="V21" s="59" t="n"/>
      <c r="W21" s="59" t="inlineStr">
        <is>
          <t>R</t>
        </is>
      </c>
      <c r="X21" s="59" t="inlineStr">
        <is>
          <t>R</t>
        </is>
      </c>
      <c r="Y21" s="59" t="n"/>
      <c r="Z21" s="59" t="n"/>
      <c r="AA21" s="59" t="n"/>
      <c r="AB21" s="59" t="n"/>
      <c r="AC21" s="59" t="n"/>
      <c r="AD21" s="59" t="n"/>
      <c r="AE21" s="59" t="n"/>
      <c r="AF21" s="59" t="n"/>
      <c r="AG21" s="59" t="n"/>
      <c r="AH21" s="59" t="n"/>
      <c r="AI21" s="59" t="n"/>
      <c r="AJ21" s="59" t="n"/>
      <c r="AK21" s="59" t="n"/>
      <c r="AL21" s="59" t="n"/>
      <c r="AM21" s="59" t="n"/>
      <c r="AN21" s="59" t="n"/>
      <c r="AO21" s="59" t="n"/>
      <c r="AP21" s="59" t="n"/>
      <c r="AQ21" s="59" t="n"/>
      <c r="AR21" s="59" t="n"/>
      <c r="AS21" s="54">
        <f>COUNTIF(D21:AR21,"C")</f>
        <v/>
      </c>
      <c r="AT21" s="54">
        <f>COUNTIF(D21:AR21,"R")</f>
        <v/>
      </c>
    </row>
    <row r="22">
      <c r="A22" s="57" t="n"/>
      <c r="B22" s="47" t="inlineStr">
        <is>
          <t>C06-02</t>
        </is>
      </c>
      <c r="C22" s="58">
        <f>IFERROR(INDEX(ケイパビリティマップ!$E:$E,MATCH(B22,ケイパビリティマップ!$A:$A,0)),"（IDなし）")</f>
        <v/>
      </c>
      <c r="D22" s="59" t="n"/>
      <c r="E22" s="59" t="n"/>
      <c r="F22" s="59" t="n"/>
      <c r="G22" s="59" t="n"/>
      <c r="H22" s="59" t="inlineStr">
        <is>
          <t>R</t>
        </is>
      </c>
      <c r="I22" s="59" t="n"/>
      <c r="J22" s="59" t="n"/>
      <c r="K22" s="59" t="n"/>
      <c r="L22" s="59" t="n"/>
      <c r="M22" s="59" t="n"/>
      <c r="N22" s="59" t="n"/>
      <c r="O22" s="59" t="n"/>
      <c r="P22" s="59" t="inlineStr">
        <is>
          <t>R</t>
        </is>
      </c>
      <c r="Q22" s="59" t="n"/>
      <c r="R22" s="59" t="n"/>
      <c r="S22" s="59" t="n"/>
      <c r="T22" s="59" t="n"/>
      <c r="U22" s="59" t="n"/>
      <c r="V22" s="59" t="n"/>
      <c r="W22" s="59" t="n"/>
      <c r="X22" s="59" t="n"/>
      <c r="Y22" s="59" t="inlineStr">
        <is>
          <t>R</t>
        </is>
      </c>
      <c r="Z22" s="59" t="n"/>
      <c r="AA22" s="59" t="n"/>
      <c r="AB22" s="59" t="n"/>
      <c r="AC22" s="59" t="n"/>
      <c r="AD22" s="59" t="n"/>
      <c r="AE22" s="59" t="n"/>
      <c r="AF22" s="59" t="n"/>
      <c r="AG22" s="59" t="n"/>
      <c r="AH22" s="59" t="n"/>
      <c r="AI22" s="59" t="n"/>
      <c r="AJ22" s="59" t="n"/>
      <c r="AK22" s="59" t="n"/>
      <c r="AL22" s="59" t="inlineStr">
        <is>
          <t>R</t>
        </is>
      </c>
      <c r="AM22" s="59" t="n"/>
      <c r="AN22" s="59" t="n"/>
      <c r="AO22" s="59" t="n"/>
      <c r="AP22" s="59" t="inlineStr">
        <is>
          <t>C</t>
        </is>
      </c>
      <c r="AQ22" s="59" t="n"/>
      <c r="AR22" s="59" t="n"/>
      <c r="AS22" s="54">
        <f>COUNTIF(D22:AR22,"C")</f>
        <v/>
      </c>
      <c r="AT22" s="54">
        <f>COUNTIF(D22:AR22,"R")</f>
        <v/>
      </c>
    </row>
    <row r="23">
      <c r="A23" s="57" t="n"/>
      <c r="B23" s="47" t="inlineStr">
        <is>
          <t>C06-03</t>
        </is>
      </c>
      <c r="C23" s="58">
        <f>IFERROR(INDEX(ケイパビリティマップ!$E:$E,MATCH(B23,ケイパビリティマップ!$A:$A,0)),"（IDなし）")</f>
        <v/>
      </c>
      <c r="D23" s="59" t="n"/>
      <c r="E23" s="59" t="inlineStr">
        <is>
          <t>R</t>
        </is>
      </c>
      <c r="F23" s="59" t="inlineStr">
        <is>
          <t>R</t>
        </is>
      </c>
      <c r="G23" s="59" t="n"/>
      <c r="H23" s="59" t="n"/>
      <c r="I23" s="59" t="n"/>
      <c r="J23" s="59" t="n"/>
      <c r="K23" s="59" t="n"/>
      <c r="L23" s="59" t="n"/>
      <c r="M23" s="59" t="n"/>
      <c r="N23" s="59" t="n"/>
      <c r="O23" s="59" t="n"/>
      <c r="P23" s="59" t="n"/>
      <c r="Q23" s="59" t="inlineStr">
        <is>
          <t>R</t>
        </is>
      </c>
      <c r="R23" s="59" t="inlineStr">
        <is>
          <t>R</t>
        </is>
      </c>
      <c r="S23" s="59" t="inlineStr">
        <is>
          <t>R</t>
        </is>
      </c>
      <c r="T23" s="59" t="n"/>
      <c r="U23" s="59" t="n"/>
      <c r="V23" s="59" t="n"/>
      <c r="W23" s="59" t="n"/>
      <c r="X23" s="59" t="n"/>
      <c r="Y23" s="59" t="n"/>
      <c r="Z23" s="59" t="n"/>
      <c r="AA23" s="59" t="n"/>
      <c r="AB23" s="59" t="n"/>
      <c r="AC23" s="59" t="n"/>
      <c r="AD23" s="59" t="n"/>
      <c r="AE23" s="59" t="inlineStr">
        <is>
          <t>R</t>
        </is>
      </c>
      <c r="AF23" s="59" t="n"/>
      <c r="AG23" s="59" t="n"/>
      <c r="AH23" s="59" t="n"/>
      <c r="AI23" s="59" t="n"/>
      <c r="AJ23" s="59" t="inlineStr">
        <is>
          <t>R</t>
        </is>
      </c>
      <c r="AK23" s="59" t="n"/>
      <c r="AL23" s="59" t="n"/>
      <c r="AM23" s="59" t="n"/>
      <c r="AN23" s="59" t="n"/>
      <c r="AO23" s="59" t="inlineStr">
        <is>
          <t>R</t>
        </is>
      </c>
      <c r="AP23" s="59" t="n"/>
      <c r="AQ23" s="59" t="inlineStr">
        <is>
          <t>R</t>
        </is>
      </c>
      <c r="AR23" s="59" t="inlineStr">
        <is>
          <t>C</t>
        </is>
      </c>
      <c r="AS23" s="54">
        <f>COUNTIF(D23:AR23,"C")</f>
        <v/>
      </c>
      <c r="AT23" s="54">
        <f>COUNTIF(D23:AR23,"R")</f>
        <v/>
      </c>
    </row>
    <row r="24">
      <c r="C24" s="57" t="inlineStr">
        <is>
          <t>Cの数</t>
        </is>
      </c>
      <c r="D24" s="54">
        <f>COUNTIF(D$6:D$23,"C")</f>
        <v/>
      </c>
      <c r="E24" s="54">
        <f>COUNTIF(E$6:E$23,"C")</f>
        <v/>
      </c>
      <c r="F24" s="54">
        <f>COUNTIF(F$6:F$23,"C")</f>
        <v/>
      </c>
      <c r="G24" s="54">
        <f>COUNTIF(G$6:G$23,"C")</f>
        <v/>
      </c>
      <c r="H24" s="54">
        <f>COUNTIF(H$6:H$23,"C")</f>
        <v/>
      </c>
      <c r="I24" s="54">
        <f>COUNTIF(I$6:I$23,"C")</f>
        <v/>
      </c>
      <c r="J24" s="54">
        <f>COUNTIF(J$6:J$23,"C")</f>
        <v/>
      </c>
      <c r="K24" s="54">
        <f>COUNTIF(K$6:K$23,"C")</f>
        <v/>
      </c>
      <c r="L24" s="54">
        <f>COUNTIF(L$6:L$23,"C")</f>
        <v/>
      </c>
      <c r="M24" s="54">
        <f>COUNTIF(M$6:M$23,"C")</f>
        <v/>
      </c>
      <c r="N24" s="54">
        <f>COUNTIF(N$6:N$23,"C")</f>
        <v/>
      </c>
      <c r="O24" s="54">
        <f>COUNTIF(O$6:O$23,"C")</f>
        <v/>
      </c>
      <c r="P24" s="54">
        <f>COUNTIF(P$6:P$23,"C")</f>
        <v/>
      </c>
      <c r="Q24" s="54">
        <f>COUNTIF(Q$6:Q$23,"C")</f>
        <v/>
      </c>
      <c r="R24" s="54">
        <f>COUNTIF(R$6:R$23,"C")</f>
        <v/>
      </c>
      <c r="S24" s="54">
        <f>COUNTIF(S$6:S$23,"C")</f>
        <v/>
      </c>
      <c r="T24" s="54">
        <f>COUNTIF(T$6:T$23,"C")</f>
        <v/>
      </c>
      <c r="U24" s="54">
        <f>COUNTIF(U$6:U$23,"C")</f>
        <v/>
      </c>
      <c r="V24" s="54">
        <f>COUNTIF(V$6:V$23,"C")</f>
        <v/>
      </c>
      <c r="W24" s="54">
        <f>COUNTIF(W$6:W$23,"C")</f>
        <v/>
      </c>
      <c r="X24" s="54">
        <f>COUNTIF(X$6:X$23,"C")</f>
        <v/>
      </c>
      <c r="Y24" s="54">
        <f>COUNTIF(Y$6:Y$23,"C")</f>
        <v/>
      </c>
      <c r="Z24" s="54">
        <f>COUNTIF(Z$6:Z$23,"C")</f>
        <v/>
      </c>
      <c r="AA24" s="54">
        <f>COUNTIF(AA$6:AA$23,"C")</f>
        <v/>
      </c>
      <c r="AB24" s="54">
        <f>COUNTIF(AB$6:AB$23,"C")</f>
        <v/>
      </c>
      <c r="AC24" s="54">
        <f>COUNTIF(AC$6:AC$23,"C")</f>
        <v/>
      </c>
      <c r="AD24" s="54">
        <f>COUNTIF(AD$6:AD$23,"C")</f>
        <v/>
      </c>
      <c r="AE24" s="54">
        <f>COUNTIF(AE$6:AE$23,"C")</f>
        <v/>
      </c>
      <c r="AF24" s="54">
        <f>COUNTIF(AF$6:AF$23,"C")</f>
        <v/>
      </c>
      <c r="AG24" s="54">
        <f>COUNTIF(AG$6:AG$23,"C")</f>
        <v/>
      </c>
      <c r="AH24" s="54">
        <f>COUNTIF(AH$6:AH$23,"C")</f>
        <v/>
      </c>
      <c r="AI24" s="54">
        <f>COUNTIF(AI$6:AI$23,"C")</f>
        <v/>
      </c>
      <c r="AJ24" s="54">
        <f>COUNTIF(AJ$6:AJ$23,"C")</f>
        <v/>
      </c>
      <c r="AK24" s="54">
        <f>COUNTIF(AK$6:AK$23,"C")</f>
        <v/>
      </c>
      <c r="AL24" s="54">
        <f>COUNTIF(AL$6:AL$23,"C")</f>
        <v/>
      </c>
      <c r="AM24" s="54">
        <f>COUNTIF(AM$6:AM$23,"C")</f>
        <v/>
      </c>
      <c r="AN24" s="54">
        <f>COUNTIF(AN$6:AN$23,"C")</f>
        <v/>
      </c>
      <c r="AO24" s="54">
        <f>COUNTIF(AO$6:AO$23,"C")</f>
        <v/>
      </c>
      <c r="AP24" s="54">
        <f>COUNTIF(AP$6:AP$23,"C")</f>
        <v/>
      </c>
      <c r="AQ24" s="54">
        <f>COUNTIF(AQ$6:AQ$23,"C")</f>
        <v/>
      </c>
      <c r="AR24" s="54">
        <f>COUNTIF(AR$6:AR$23,"C")</f>
        <v/>
      </c>
    </row>
    <row r="25">
      <c r="C25" s="57" t="inlineStr">
        <is>
          <t>Rの数</t>
        </is>
      </c>
      <c r="D25" s="54">
        <f>COUNTIF(D$6:D$23,"R")</f>
        <v/>
      </c>
      <c r="E25" s="54">
        <f>COUNTIF(E$6:E$23,"R")</f>
        <v/>
      </c>
      <c r="F25" s="54">
        <f>COUNTIF(F$6:F$23,"R")</f>
        <v/>
      </c>
      <c r="G25" s="54">
        <f>COUNTIF(G$6:G$23,"R")</f>
        <v/>
      </c>
      <c r="H25" s="54">
        <f>COUNTIF(H$6:H$23,"R")</f>
        <v/>
      </c>
      <c r="I25" s="54">
        <f>COUNTIF(I$6:I$23,"R")</f>
        <v/>
      </c>
      <c r="J25" s="54">
        <f>COUNTIF(J$6:J$23,"R")</f>
        <v/>
      </c>
      <c r="K25" s="54">
        <f>COUNTIF(K$6:K$23,"R")</f>
        <v/>
      </c>
      <c r="L25" s="54">
        <f>COUNTIF(L$6:L$23,"R")</f>
        <v/>
      </c>
      <c r="M25" s="54">
        <f>COUNTIF(M$6:M$23,"R")</f>
        <v/>
      </c>
      <c r="N25" s="54">
        <f>COUNTIF(N$6:N$23,"R")</f>
        <v/>
      </c>
      <c r="O25" s="54">
        <f>COUNTIF(O$6:O$23,"R")</f>
        <v/>
      </c>
      <c r="P25" s="54">
        <f>COUNTIF(P$6:P$23,"R")</f>
        <v/>
      </c>
      <c r="Q25" s="54">
        <f>COUNTIF(Q$6:Q$23,"R")</f>
        <v/>
      </c>
      <c r="R25" s="54">
        <f>COUNTIF(R$6:R$23,"R")</f>
        <v/>
      </c>
      <c r="S25" s="54">
        <f>COUNTIF(S$6:S$23,"R")</f>
        <v/>
      </c>
      <c r="T25" s="54">
        <f>COUNTIF(T$6:T$23,"R")</f>
        <v/>
      </c>
      <c r="U25" s="54">
        <f>COUNTIF(U$6:U$23,"R")</f>
        <v/>
      </c>
      <c r="V25" s="54">
        <f>COUNTIF(V$6:V$23,"R")</f>
        <v/>
      </c>
      <c r="W25" s="54">
        <f>COUNTIF(W$6:W$23,"R")</f>
        <v/>
      </c>
      <c r="X25" s="54">
        <f>COUNTIF(X$6:X$23,"R")</f>
        <v/>
      </c>
      <c r="Y25" s="54">
        <f>COUNTIF(Y$6:Y$23,"R")</f>
        <v/>
      </c>
      <c r="Z25" s="54">
        <f>COUNTIF(Z$6:Z$23,"R")</f>
        <v/>
      </c>
      <c r="AA25" s="54">
        <f>COUNTIF(AA$6:AA$23,"R")</f>
        <v/>
      </c>
      <c r="AB25" s="54">
        <f>COUNTIF(AB$6:AB$23,"R")</f>
        <v/>
      </c>
      <c r="AC25" s="54">
        <f>COUNTIF(AC$6:AC$23,"R")</f>
        <v/>
      </c>
      <c r="AD25" s="54">
        <f>COUNTIF(AD$6:AD$23,"R")</f>
        <v/>
      </c>
      <c r="AE25" s="54">
        <f>COUNTIF(AE$6:AE$23,"R")</f>
        <v/>
      </c>
      <c r="AF25" s="54">
        <f>COUNTIF(AF$6:AF$23,"R")</f>
        <v/>
      </c>
      <c r="AG25" s="54">
        <f>COUNTIF(AG$6:AG$23,"R")</f>
        <v/>
      </c>
      <c r="AH25" s="54">
        <f>COUNTIF(AH$6:AH$23,"R")</f>
        <v/>
      </c>
      <c r="AI25" s="54">
        <f>COUNTIF(AI$6:AI$23,"R")</f>
        <v/>
      </c>
      <c r="AJ25" s="54">
        <f>COUNTIF(AJ$6:AJ$23,"R")</f>
        <v/>
      </c>
      <c r="AK25" s="54">
        <f>COUNTIF(AK$6:AK$23,"R")</f>
        <v/>
      </c>
      <c r="AL25" s="54">
        <f>COUNTIF(AL$6:AL$23,"R")</f>
        <v/>
      </c>
      <c r="AM25" s="54">
        <f>COUNTIF(AM$6:AM$23,"R")</f>
        <v/>
      </c>
      <c r="AN25" s="54">
        <f>COUNTIF(AN$6:AN$23,"R")</f>
        <v/>
      </c>
      <c r="AO25" s="54">
        <f>COUNTIF(AO$6:AO$23,"R")</f>
        <v/>
      </c>
      <c r="AP25" s="54">
        <f>COUNTIF(AP$6:AP$23,"R")</f>
        <v/>
      </c>
      <c r="AQ25" s="54">
        <f>COUNTIF(AQ$6:AQ$23,"R")</f>
        <v/>
      </c>
      <c r="AR25" s="54">
        <f>COUNTIF(AR$6:AR$23,"R")</f>
        <v/>
      </c>
    </row>
  </sheetData>
  <mergeCells count="14">
    <mergeCell ref="B4:B5"/>
    <mergeCell ref="C4:C5"/>
    <mergeCell ref="A4:A5"/>
    <mergeCell ref="AA4:AG4"/>
    <mergeCell ref="G4:J4"/>
    <mergeCell ref="D4:F4"/>
    <mergeCell ref="W4:Z4"/>
    <mergeCell ref="AH4:AO4"/>
    <mergeCell ref="AT4:AT5"/>
    <mergeCell ref="AS4:AS5"/>
    <mergeCell ref="AP4:AR4"/>
    <mergeCell ref="K4:L4"/>
    <mergeCell ref="R4:V4"/>
    <mergeCell ref="M4:Q4"/>
  </mergeCells>
  <conditionalFormatting sqref="D6:AR23">
    <cfRule type="cellIs" priority="1" operator="equal" dxfId="2">
      <formula>"C"</formula>
    </cfRule>
  </conditionalFormatting>
  <dataValidations count="1">
    <dataValidation sqref="D6:AR23" showDropDown="0" showInputMessage="0" showErrorMessage="0" allowBlank="1" type="list">
      <formula1>"C,R"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3A5F"/>
    <outlinePr summaryBelow="1" summaryRight="1"/>
    <pageSetUpPr/>
  </sheetPr>
  <dimension ref="A1:H23"/>
  <sheetViews>
    <sheetView showGridLines="1" zoomScale="10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3" max="3"/>
    <col width="26" customWidth="1" min="4" max="4"/>
    <col width="56" customWidth="1" min="5" max="5"/>
    <col width="14" customWidth="1" min="6" max="6"/>
    <col width="11" customWidth="1" min="7" max="7"/>
  </cols>
  <sheetData>
    <row r="1" ht="17.35" customHeight="1">
      <c r="A1" s="43" t="inlineStr">
        <is>
          <t>アプリケーション（正本：種類の単位）</t>
        </is>
      </c>
    </row>
    <row r="2" ht="15" customHeight="1">
      <c r="A2" s="44" t="inlineStr">
        <is>
          <t>1行1種類。製品名ではなく、機能のまとまり（種類）で定義する。現状のシステム名との対応は別の工程で行う。灰色の列は数式（編集しない）。電帳法・消費税法の保存要件に関わるものは、改ざん防止と検索性の要件を満たすように設定する。</t>
        </is>
      </c>
    </row>
    <row r="3" ht="30" customHeight="1">
      <c r="A3" s="45" t="inlineStr">
        <is>
          <t>ID</t>
        </is>
      </c>
      <c r="B3" s="45" t="inlineStr">
        <is>
          <t>領域</t>
        </is>
      </c>
      <c r="C3" s="45" t="inlineStr">
        <is>
          <t>アプリケーション種類</t>
        </is>
      </c>
      <c r="D3" s="45" t="inlineStr">
        <is>
          <t>略称・通称</t>
        </is>
      </c>
      <c r="E3" s="45" t="inlineStr">
        <is>
          <t>主な機能</t>
        </is>
      </c>
      <c r="F3" s="45" t="inlineStr">
        <is>
          <t>主な関連法令</t>
        </is>
      </c>
      <c r="G3" s="46" t="inlineStr">
        <is>
          <t>主に支える
ケイパビリティ数</t>
        </is>
      </c>
      <c r="H3" s="46" t="inlineStr">
        <is>
          <t>部分的に支える
ケイパビリティ数</t>
        </is>
      </c>
    </row>
    <row r="4" ht="26.85" customHeight="1">
      <c r="A4" s="47" t="inlineStr">
        <is>
          <t>APP-01</t>
        </is>
      </c>
      <c r="B4" s="48" t="inlineStr">
        <is>
          <t>購買</t>
        </is>
      </c>
      <c r="C4" s="49" t="inlineStr">
        <is>
          <t>購買管理</t>
        </is>
      </c>
      <c r="D4" s="51" t="inlineStr">
        <is>
          <t>ERP購買モジュール（MM）</t>
        </is>
      </c>
      <c r="E4" s="51" t="inlineStr">
        <is>
          <t>購買申請・発注・納期・受入の記録と、購買の実績を管理する</t>
        </is>
      </c>
      <c r="F4" s="48" t="inlineStr">
        <is>
          <t>取適法</t>
        </is>
      </c>
      <c r="G4" s="54">
        <f>COUNTIF('ケイパビリティ×アプリケーション'!D$6:D$23,"●")</f>
        <v/>
      </c>
      <c r="H4" s="54">
        <f>COUNTIF('ケイパビリティ×アプリケーション'!D$6:D$23,"○")</f>
        <v/>
      </c>
    </row>
    <row r="5" ht="26.85" customHeight="1">
      <c r="A5" s="47" t="inlineStr">
        <is>
          <t>APP-02</t>
        </is>
      </c>
      <c r="B5" s="48" t="inlineStr">
        <is>
          <t>購買</t>
        </is>
      </c>
      <c r="C5" s="49" t="inlineStr">
        <is>
          <t>カタログ購買</t>
        </is>
      </c>
      <c r="D5" s="51" t="inlineStr">
        <is>
          <t>Eプロキュアメント／購買サイト</t>
        </is>
      </c>
      <c r="E5" s="51" t="inlineStr">
        <is>
          <t>カタログから選んで申請・発注する（間接材）</t>
        </is>
      </c>
      <c r="F5" s="48" t="inlineStr">
        <is>
          <t>なし</t>
        </is>
      </c>
      <c r="G5" s="54">
        <f>COUNTIF('ケイパビリティ×アプリケーション'!E$6:E$23,"●")</f>
        <v/>
      </c>
      <c r="H5" s="54">
        <f>COUNTIF('ケイパビリティ×アプリケーション'!E$6:E$23,"○")</f>
        <v/>
      </c>
    </row>
    <row r="6" ht="26.85" customHeight="1">
      <c r="A6" s="47" t="inlineStr">
        <is>
          <t>APP-03</t>
        </is>
      </c>
      <c r="B6" s="48" t="inlineStr">
        <is>
          <t>購買</t>
        </is>
      </c>
      <c r="C6" s="49" t="inlineStr">
        <is>
          <t>ソーシング・サプライヤー管理</t>
        </is>
      </c>
      <c r="D6" s="51" t="inlineStr">
        <is>
          <t>SRM（電子見積・電子入札）</t>
        </is>
      </c>
      <c r="E6" s="51" t="inlineStr">
        <is>
          <t>RFI・RFP・RFQ、見積の比較、サプライヤーの評価を管理する</t>
        </is>
      </c>
      <c r="F6" s="48" t="inlineStr">
        <is>
          <t>なし</t>
        </is>
      </c>
      <c r="G6" s="54">
        <f>COUNTIF('ケイパビリティ×アプリケーション'!F$6:F$23,"●")</f>
        <v/>
      </c>
      <c r="H6" s="54">
        <f>COUNTIF('ケイパビリティ×アプリケーション'!F$6:F$23,"○")</f>
        <v/>
      </c>
    </row>
    <row r="7" ht="26.85" customHeight="1">
      <c r="A7" s="47" t="inlineStr">
        <is>
          <t>APP-04</t>
        </is>
      </c>
      <c r="B7" s="48" t="inlineStr">
        <is>
          <t>購買</t>
        </is>
      </c>
      <c r="C7" s="49" t="inlineStr">
        <is>
          <t>サプライヤーポータル</t>
        </is>
      </c>
      <c r="D7" s="51" t="inlineStr">
        <is>
          <t>サプライヤーポータル／EDI</t>
        </is>
      </c>
      <c r="E7" s="51" t="inlineStr">
        <is>
          <t>発注・請書・納期回答・出荷通知・請求をサプライヤーとやりとりする</t>
        </is>
      </c>
      <c r="F7" s="48" t="inlineStr">
        <is>
          <t>取適法</t>
        </is>
      </c>
      <c r="G7" s="54">
        <f>COUNTIF('ケイパビリティ×アプリケーション'!G$6:G$23,"●")</f>
        <v/>
      </c>
      <c r="H7" s="54">
        <f>COUNTIF('ケイパビリティ×アプリケーション'!G$6:G$23,"○")</f>
        <v/>
      </c>
    </row>
    <row r="8" ht="26.85" customHeight="1">
      <c r="A8" s="47" t="inlineStr">
        <is>
          <t>APP-05</t>
        </is>
      </c>
      <c r="B8" s="48" t="inlineStr">
        <is>
          <t>契約</t>
        </is>
      </c>
      <c r="C8" s="49" t="inlineStr">
        <is>
          <t>契約管理</t>
        </is>
      </c>
      <c r="D8" s="51" t="inlineStr">
        <is>
          <t>CLM</t>
        </is>
      </c>
      <c r="E8" s="51" t="inlineStr">
        <is>
          <t>契約書の作成・審査・承認・保管と、期限・更新を管理する</t>
        </is>
      </c>
      <c r="F8" s="48" t="inlineStr">
        <is>
          <t>民法</t>
        </is>
      </c>
      <c r="G8" s="54">
        <f>COUNTIF('ケイパビリティ×アプリケーション'!H$6:H$23,"●")</f>
        <v/>
      </c>
      <c r="H8" s="54">
        <f>COUNTIF('ケイパビリティ×アプリケーション'!H$6:H$23,"○")</f>
        <v/>
      </c>
    </row>
    <row r="9" ht="26.85" customHeight="1">
      <c r="A9" s="47" t="inlineStr">
        <is>
          <t>APP-06</t>
        </is>
      </c>
      <c r="B9" s="48" t="inlineStr">
        <is>
          <t>契約</t>
        </is>
      </c>
      <c r="C9" s="49" t="inlineStr">
        <is>
          <t>電子契約</t>
        </is>
      </c>
      <c r="D9" s="51" t="inlineStr">
        <is>
          <t>電子契約サービス</t>
        </is>
      </c>
      <c r="E9" s="51" t="inlineStr">
        <is>
          <t>契約・発注書を電子で締結・交付・保管する</t>
        </is>
      </c>
      <c r="F9" s="48" t="inlineStr">
        <is>
          <t>印紙税法・電帳法</t>
        </is>
      </c>
      <c r="G9" s="54">
        <f>COUNTIF('ケイパビリティ×アプリケーション'!I$6:I$23,"●")</f>
        <v/>
      </c>
      <c r="H9" s="54">
        <f>COUNTIF('ケイパビリティ×アプリケーション'!I$6:I$23,"○")</f>
        <v/>
      </c>
    </row>
    <row r="10" ht="26.85" customHeight="1">
      <c r="A10" s="47" t="inlineStr">
        <is>
          <t>APP-07</t>
        </is>
      </c>
      <c r="B10" s="48" t="inlineStr">
        <is>
          <t>共通</t>
        </is>
      </c>
      <c r="C10" s="49" t="inlineStr">
        <is>
          <t>ワークフロー</t>
        </is>
      </c>
      <c r="D10" s="51" t="inlineStr">
        <is>
          <t>電子承認（稟議）</t>
        </is>
      </c>
      <c r="E10" s="51" t="inlineStr">
        <is>
          <t>購買申請・稟議・支払などを職務権限に沿って承認する</t>
        </is>
      </c>
      <c r="F10" s="48" t="inlineStr">
        <is>
          <t>金商法</t>
        </is>
      </c>
      <c r="G10" s="54">
        <f>COUNTIF('ケイパビリティ×アプリケーション'!J$6:J$23,"●")</f>
        <v/>
      </c>
      <c r="H10" s="54">
        <f>COUNTIF('ケイパビリティ×アプリケーション'!J$6:J$23,"○")</f>
        <v/>
      </c>
    </row>
    <row r="11" ht="26.85" customHeight="1">
      <c r="A11" s="47" t="inlineStr">
        <is>
          <t>APP-08</t>
        </is>
      </c>
      <c r="B11" s="48" t="inlineStr">
        <is>
          <t>受入</t>
        </is>
      </c>
      <c r="C11" s="49" t="inlineStr">
        <is>
          <t>生産管理</t>
        </is>
      </c>
      <c r="D11" s="51" t="inlineStr">
        <is>
          <t>MRP</t>
        </is>
      </c>
      <c r="E11" s="51" t="inlineStr">
        <is>
          <t>生産計画から所要量を計算し、購買依頼を作る</t>
        </is>
      </c>
      <c r="F11" s="48" t="inlineStr">
        <is>
          <t>なし</t>
        </is>
      </c>
      <c r="G11" s="54">
        <f>COUNTIF('ケイパビリティ×アプリケーション'!K$6:K$23,"●")</f>
        <v/>
      </c>
      <c r="H11" s="54">
        <f>COUNTIF('ケイパビリティ×アプリケーション'!K$6:K$23,"○")</f>
        <v/>
      </c>
    </row>
    <row r="12" ht="26.85" customHeight="1">
      <c r="A12" s="47" t="inlineStr">
        <is>
          <t>APP-09</t>
        </is>
      </c>
      <c r="B12" s="48" t="inlineStr">
        <is>
          <t>受入</t>
        </is>
      </c>
      <c r="C12" s="49" t="inlineStr">
        <is>
          <t>倉庫管理</t>
        </is>
      </c>
      <c r="D12" s="51" t="inlineStr">
        <is>
          <t>WMS</t>
        </is>
      </c>
      <c r="E12" s="51" t="inlineStr">
        <is>
          <t>入荷・受入・入庫・在庫を管理する</t>
        </is>
      </c>
      <c r="F12" s="48" t="inlineStr">
        <is>
          <t>なし</t>
        </is>
      </c>
      <c r="G12" s="54">
        <f>COUNTIF('ケイパビリティ×アプリケーション'!L$6:L$23,"●")</f>
        <v/>
      </c>
      <c r="H12" s="54">
        <f>COUNTIF('ケイパビリティ×アプリケーション'!L$6:L$23,"○")</f>
        <v/>
      </c>
    </row>
    <row r="13" ht="26.85" customHeight="1">
      <c r="A13" s="47" t="inlineStr">
        <is>
          <t>APP-10</t>
        </is>
      </c>
      <c r="B13" s="48" t="inlineStr">
        <is>
          <t>受入</t>
        </is>
      </c>
      <c r="C13" s="49" t="inlineStr">
        <is>
          <t>受入検査・品質管理</t>
        </is>
      </c>
      <c r="D13" s="51" t="inlineStr">
        <is>
          <t>QMS（受入検査）</t>
        </is>
      </c>
      <c r="E13" s="51" t="inlineStr">
        <is>
          <t>受入検査の基準・結果と不適合を管理する</t>
        </is>
      </c>
      <c r="F13" s="48" t="inlineStr">
        <is>
          <t>なし</t>
        </is>
      </c>
      <c r="G13" s="54">
        <f>COUNTIF('ケイパビリティ×アプリケーション'!M$6:M$23,"●")</f>
        <v/>
      </c>
      <c r="H13" s="54">
        <f>COUNTIF('ケイパビリティ×アプリケーション'!M$6:M$23,"○")</f>
        <v/>
      </c>
    </row>
    <row r="14" ht="26.85" customHeight="1">
      <c r="A14" s="47" t="inlineStr">
        <is>
          <t>APP-11</t>
        </is>
      </c>
      <c r="B14" s="48" t="inlineStr">
        <is>
          <t>受入</t>
        </is>
      </c>
      <c r="C14" s="49" t="inlineStr">
        <is>
          <t>固定資産管理</t>
        </is>
      </c>
      <c r="D14" s="51" t="inlineStr">
        <is>
          <t>固定資産システム</t>
        </is>
      </c>
      <c r="E14" s="51" t="inlineStr">
        <is>
          <t>固定資産の登録と台帳を管理する</t>
        </is>
      </c>
      <c r="F14" s="48" t="inlineStr">
        <is>
          <t>法人税法</t>
        </is>
      </c>
      <c r="G14" s="54">
        <f>COUNTIF('ケイパビリティ×アプリケーション'!N$6:N$23,"●")</f>
        <v/>
      </c>
      <c r="H14" s="54">
        <f>COUNTIF('ケイパビリティ×アプリケーション'!N$6:N$23,"○")</f>
        <v/>
      </c>
    </row>
    <row r="15" ht="26.85" customHeight="1">
      <c r="A15" s="47" t="inlineStr">
        <is>
          <t>APP-12</t>
        </is>
      </c>
      <c r="B15" s="48" t="inlineStr">
        <is>
          <t>支払</t>
        </is>
      </c>
      <c r="C15" s="49" t="inlineStr">
        <is>
          <t>請求書受領</t>
        </is>
      </c>
      <c r="D15" s="51" t="inlineStr">
        <is>
          <t>請求書受領クラウド（AI-OCR／Peppol）</t>
        </is>
      </c>
      <c r="E15" s="51" t="inlineStr">
        <is>
          <t>請求書を受け取って電子化し、インボイスの要件を確認する</t>
        </is>
      </c>
      <c r="F15" s="48" t="inlineStr">
        <is>
          <t>消費税法・電帳法</t>
        </is>
      </c>
      <c r="G15" s="54">
        <f>COUNTIF('ケイパビリティ×アプリケーション'!O$6:O$23,"●")</f>
        <v/>
      </c>
      <c r="H15" s="54">
        <f>COUNTIF('ケイパビリティ×アプリケーション'!O$6:O$23,"○")</f>
        <v/>
      </c>
    </row>
    <row r="16" ht="26.85" customHeight="1">
      <c r="A16" s="47" t="inlineStr">
        <is>
          <t>APP-13</t>
        </is>
      </c>
      <c r="B16" s="48" t="inlineStr">
        <is>
          <t>支払</t>
        </is>
      </c>
      <c r="C16" s="49" t="inlineStr">
        <is>
          <t>財務会計・債務管理</t>
        </is>
      </c>
      <c r="D16" s="51" t="inlineStr">
        <is>
          <t>ERP会計モジュール（FI／AP）</t>
        </is>
      </c>
      <c r="E16" s="51" t="inlineStr">
        <is>
          <t>照合・債務計上・支払予定・仕訳・消費税の区分を管理する</t>
        </is>
      </c>
      <c r="F16" s="48" t="inlineStr">
        <is>
          <t>法人税法・消費税法</t>
        </is>
      </c>
      <c r="G16" s="54">
        <f>COUNTIF('ケイパビリティ×アプリケーション'!P$6:P$23,"●")</f>
        <v/>
      </c>
      <c r="H16" s="54">
        <f>COUNTIF('ケイパビリティ×アプリケーション'!P$6:P$23,"○")</f>
        <v/>
      </c>
    </row>
    <row r="17" ht="26.85" customHeight="1">
      <c r="A17" s="47" t="inlineStr">
        <is>
          <t>APP-14</t>
        </is>
      </c>
      <c r="B17" s="48" t="inlineStr">
        <is>
          <t>支払</t>
        </is>
      </c>
      <c r="C17" s="49" t="inlineStr">
        <is>
          <t>支払・資金管理</t>
        </is>
      </c>
      <c r="D17" s="51" t="inlineStr">
        <is>
          <t>ファームバンキング／資金管理</t>
        </is>
      </c>
      <c r="E17" s="51" t="inlineStr">
        <is>
          <t>振込データの作成・送信と資金の管理を行う</t>
        </is>
      </c>
      <c r="F17" s="48" t="inlineStr">
        <is>
          <t>なし</t>
        </is>
      </c>
      <c r="G17" s="54">
        <f>COUNTIF('ケイパビリティ×アプリケーション'!Q$6:Q$23,"●")</f>
        <v/>
      </c>
      <c r="H17" s="54">
        <f>COUNTIF('ケイパビリティ×アプリケーション'!Q$6:Q$23,"○")</f>
        <v/>
      </c>
    </row>
    <row r="18" ht="26.85" customHeight="1">
      <c r="A18" s="47" t="inlineStr">
        <is>
          <t>APP-15</t>
        </is>
      </c>
      <c r="B18" s="48" t="inlineStr">
        <is>
          <t>支払</t>
        </is>
      </c>
      <c r="C18" s="49" t="inlineStr">
        <is>
          <t>電子帳簿保存</t>
        </is>
      </c>
      <c r="D18" s="51" t="inlineStr">
        <is>
          <t>文書保存（電帳法対応）</t>
        </is>
      </c>
      <c r="E18" s="51" t="inlineStr">
        <is>
          <t>証憑を電帳法の要件（検索・改ざん防止）に沿って保存する</t>
        </is>
      </c>
      <c r="F18" s="48" t="inlineStr">
        <is>
          <t>電帳法</t>
        </is>
      </c>
      <c r="G18" s="54">
        <f>COUNTIF('ケイパビリティ×アプリケーション'!R$6:R$23,"●")</f>
        <v/>
      </c>
      <c r="H18" s="54">
        <f>COUNTIF('ケイパビリティ×アプリケーション'!R$6:R$23,"○")</f>
        <v/>
      </c>
    </row>
    <row r="19" ht="26.85" customHeight="1">
      <c r="A19" s="47" t="inlineStr">
        <is>
          <t>APP-16</t>
        </is>
      </c>
      <c r="B19" s="48" t="inlineStr">
        <is>
          <t>サプライヤー</t>
        </is>
      </c>
      <c r="C19" s="49" t="inlineStr">
        <is>
          <t>取引先審査</t>
        </is>
      </c>
      <c r="D19" s="51" t="inlineStr">
        <is>
          <t>与信・反社チェックサービス</t>
        </is>
      </c>
      <c r="E19" s="51" t="inlineStr">
        <is>
          <t>与信・反社会的勢力・インボイス登録番号の照会を行う</t>
        </is>
      </c>
      <c r="F19" s="48" t="inlineStr">
        <is>
          <t>暴排条例</t>
        </is>
      </c>
      <c r="G19" s="54">
        <f>COUNTIF('ケイパビリティ×アプリケーション'!S$6:S$23,"●")</f>
        <v/>
      </c>
      <c r="H19" s="54">
        <f>COUNTIF('ケイパビリティ×アプリケーション'!S$6:S$23,"○")</f>
        <v/>
      </c>
    </row>
    <row r="20" ht="26.85" customHeight="1">
      <c r="A20" s="47" t="inlineStr">
        <is>
          <t>APP-17</t>
        </is>
      </c>
      <c r="B20" s="48" t="inlineStr">
        <is>
          <t>サプライヤー</t>
        </is>
      </c>
      <c r="C20" s="49" t="inlineStr">
        <is>
          <t>サプライヤーリスク管理</t>
        </is>
      </c>
      <c r="D20" s="51" t="inlineStr">
        <is>
          <t>リスクモニタリング</t>
        </is>
      </c>
      <c r="E20" s="51" t="inlineStr">
        <is>
          <t>サプライヤーの信用・供給・ESGのリスクを監視する</t>
        </is>
      </c>
      <c r="F20" s="48" t="inlineStr">
        <is>
          <t>なし</t>
        </is>
      </c>
      <c r="G20" s="54">
        <f>COUNTIF('ケイパビリティ×アプリケーション'!T$6:T$23,"●")</f>
        <v/>
      </c>
      <c r="H20" s="54">
        <f>COUNTIF('ケイパビリティ×アプリケーション'!T$6:T$23,"○")</f>
        <v/>
      </c>
    </row>
    <row r="21" ht="26.85" customHeight="1">
      <c r="A21" s="47" t="inlineStr">
        <is>
          <t>APP-18</t>
        </is>
      </c>
      <c r="B21" s="48" t="inlineStr">
        <is>
          <t>共通</t>
        </is>
      </c>
      <c r="C21" s="49" t="inlineStr">
        <is>
          <t>マスタデータ管理</t>
        </is>
      </c>
      <c r="D21" s="51" t="inlineStr">
        <is>
          <t>MDM</t>
        </is>
      </c>
      <c r="E21" s="51" t="inlineStr">
        <is>
          <t>品目・取引先のマスタを統合し、品質を管理する</t>
        </is>
      </c>
      <c r="F21" s="48" t="inlineStr">
        <is>
          <t>なし</t>
        </is>
      </c>
      <c r="G21" s="54">
        <f>COUNTIF('ケイパビリティ×アプリケーション'!U$6:U$23,"●")</f>
        <v/>
      </c>
      <c r="H21" s="54">
        <f>COUNTIF('ケイパビリティ×アプリケーション'!U$6:U$23,"○")</f>
        <v/>
      </c>
    </row>
    <row r="22" ht="26.85" customHeight="1">
      <c r="A22" s="47" t="inlineStr">
        <is>
          <t>APP-19</t>
        </is>
      </c>
      <c r="B22" s="48" t="inlineStr">
        <is>
          <t>共通</t>
        </is>
      </c>
      <c r="C22" s="49" t="inlineStr">
        <is>
          <t>調達分析</t>
        </is>
      </c>
      <c r="D22" s="51" t="inlineStr">
        <is>
          <t>支出分析BI</t>
        </is>
      </c>
      <c r="E22" s="51" t="inlineStr">
        <is>
          <t>調達データを集約し、支出分析・レポートを提供する</t>
        </is>
      </c>
      <c r="F22" s="48" t="inlineStr">
        <is>
          <t>なし</t>
        </is>
      </c>
      <c r="G22" s="54">
        <f>COUNTIF('ケイパビリティ×アプリケーション'!V$6:V$23,"●")</f>
        <v/>
      </c>
      <c r="H22" s="54">
        <f>COUNTIF('ケイパビリティ×アプリケーション'!V$6:V$23,"○")</f>
        <v/>
      </c>
    </row>
    <row r="23" ht="26.85" customHeight="1">
      <c r="A23" s="47" t="inlineStr">
        <is>
          <t>APP-20</t>
        </is>
      </c>
      <c r="B23" s="48" t="inlineStr">
        <is>
          <t>共通</t>
        </is>
      </c>
      <c r="C23" s="49" t="inlineStr">
        <is>
          <t>ID・アクセス管理</t>
        </is>
      </c>
      <c r="D23" s="51" t="inlineStr">
        <is>
          <t>IAM／GRC</t>
        </is>
      </c>
      <c r="E23" s="51" t="inlineStr">
        <is>
          <t>職務分掌に沿って権限を付与・点検する</t>
        </is>
      </c>
      <c r="F23" s="48" t="inlineStr">
        <is>
          <t>金商法</t>
        </is>
      </c>
      <c r="G23" s="54">
        <f>COUNTIF('ケイパビリティ×アプリケーション'!W$6:W$23,"●")</f>
        <v/>
      </c>
      <c r="H23" s="54">
        <f>COUNTIF('ケイパビリティ×アプリケーション'!W$6:W$23,"○")</f>
        <v/>
      </c>
    </row>
  </sheetData>
  <autoFilter ref="A3:H2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8B57"/>
    <outlinePr summaryBelow="1" summaryRight="1"/>
    <pageSetUpPr/>
  </sheetPr>
  <dimension ref="A1:Y25"/>
  <sheetViews>
    <sheetView showGridLines="1" zoomScale="10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28" customWidth="1" min="3" max="3"/>
    <col width="4.6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7.5" customWidth="1" min="24" max="24"/>
    <col width="7.5" customWidth="1" min="25" max="25"/>
  </cols>
  <sheetData>
    <row r="1" ht="21.6" customHeight="1">
      <c r="A1" s="43" t="inlineStr">
        <is>
          <t>ケイパビリティ×アプリケーション（正本：行＝ケイパビリティL2 × 列＝アプリケーション種類）</t>
        </is>
      </c>
    </row>
    <row r="2" ht="15" customHeight="1">
      <c r="A2" s="44" t="inlineStr">
        <is>
          <t>●＝主に支える（その能力の中核の業務を実行するシステム）　○＝部分的に支える（一部の業務やデータの受け渡しで使う）　空欄＝関係なし。このシートに直接記入する。右端と最下行の数は数式。</t>
        </is>
      </c>
    </row>
    <row r="4" ht="29.85" customHeight="1">
      <c r="A4" s="45" t="inlineStr">
        <is>
          <t>ケイパビリティL1</t>
        </is>
      </c>
      <c r="B4" s="45" t="inlineStr">
        <is>
          <t>L2 ID</t>
        </is>
      </c>
      <c r="C4" s="45" t="inlineStr">
        <is>
          <t>ケイパビリティL2</t>
        </is>
      </c>
      <c r="D4" s="55" t="inlineStr">
        <is>
          <t>購買</t>
        </is>
      </c>
      <c r="H4" s="55" t="inlineStr">
        <is>
          <t>契約</t>
        </is>
      </c>
      <c r="J4" s="55" t="inlineStr">
        <is>
          <t>共通</t>
        </is>
      </c>
      <c r="K4" s="55" t="inlineStr">
        <is>
          <t>受入</t>
        </is>
      </c>
      <c r="O4" s="55" t="inlineStr">
        <is>
          <t>支払</t>
        </is>
      </c>
      <c r="S4" s="55" t="inlineStr">
        <is>
          <t>サプライヤー</t>
        </is>
      </c>
      <c r="U4" s="55" t="inlineStr">
        <is>
          <t>共通</t>
        </is>
      </c>
      <c r="X4" s="46" t="inlineStr">
        <is>
          <t>●の数</t>
        </is>
      </c>
      <c r="Y4" s="46" t="inlineStr">
        <is>
          <t>○の数</t>
        </is>
      </c>
    </row>
    <row r="5" ht="214.5" customHeight="1">
      <c r="D5" s="56">
        <f>アプリケーション!C4</f>
        <v/>
      </c>
      <c r="E5" s="56">
        <f>アプリケーション!C5</f>
        <v/>
      </c>
      <c r="F5" s="56">
        <f>アプリケーション!C6</f>
        <v/>
      </c>
      <c r="G5" s="56">
        <f>アプリケーション!C7</f>
        <v/>
      </c>
      <c r="H5" s="56">
        <f>アプリケーション!C8</f>
        <v/>
      </c>
      <c r="I5" s="56">
        <f>アプリケーション!C9</f>
        <v/>
      </c>
      <c r="J5" s="56">
        <f>アプリケーション!C10</f>
        <v/>
      </c>
      <c r="K5" s="56">
        <f>アプリケーション!C11</f>
        <v/>
      </c>
      <c r="L5" s="56">
        <f>アプリケーション!C12</f>
        <v/>
      </c>
      <c r="M5" s="56">
        <f>アプリケーション!C13</f>
        <v/>
      </c>
      <c r="N5" s="56">
        <f>アプリケーション!C14</f>
        <v/>
      </c>
      <c r="O5" s="56">
        <f>アプリケーション!C15</f>
        <v/>
      </c>
      <c r="P5" s="56">
        <f>アプリケーション!C16</f>
        <v/>
      </c>
      <c r="Q5" s="56">
        <f>アプリケーション!C17</f>
        <v/>
      </c>
      <c r="R5" s="56">
        <f>アプリケーション!C18</f>
        <v/>
      </c>
      <c r="S5" s="56">
        <f>アプリケーション!C19</f>
        <v/>
      </c>
      <c r="T5" s="56">
        <f>アプリケーション!C20</f>
        <v/>
      </c>
      <c r="U5" s="56">
        <f>アプリケーション!C21</f>
        <v/>
      </c>
      <c r="V5" s="56">
        <f>アプリケーション!C22</f>
        <v/>
      </c>
      <c r="W5" s="56">
        <f>アプリケーション!C23</f>
        <v/>
      </c>
    </row>
    <row r="6">
      <c r="A6" s="57" t="inlineStr">
        <is>
          <t>C01 調達戦略・ガバナンス</t>
        </is>
      </c>
      <c r="B6" s="47" t="inlineStr">
        <is>
          <t>C01-01</t>
        </is>
      </c>
      <c r="C6" s="58">
        <f>IFERROR(INDEX(ケイパビリティマップ!$E:$E,MATCH(B6,ケイパビリティマップ!$A:$A,0)),"（IDなし）")</f>
        <v/>
      </c>
      <c r="D6" s="59" t="inlineStr">
        <is>
          <t>○</t>
        </is>
      </c>
      <c r="E6" s="59" t="n"/>
      <c r="F6" s="59" t="n"/>
      <c r="G6" s="59" t="n"/>
      <c r="H6" s="59" t="n"/>
      <c r="I6" s="59" t="n"/>
      <c r="J6" s="59" t="n"/>
      <c r="K6" s="59" t="n"/>
      <c r="L6" s="59" t="n"/>
      <c r="M6" s="59" t="n"/>
      <c r="N6" s="59" t="n"/>
      <c r="O6" s="59" t="n"/>
      <c r="P6" s="59" t="inlineStr">
        <is>
          <t>○</t>
        </is>
      </c>
      <c r="Q6" s="59" t="n"/>
      <c r="R6" s="59" t="n"/>
      <c r="S6" s="59" t="n"/>
      <c r="T6" s="59" t="n"/>
      <c r="U6" s="59" t="n"/>
      <c r="V6" s="59" t="inlineStr">
        <is>
          <t>●</t>
        </is>
      </c>
      <c r="W6" s="59" t="n"/>
      <c r="X6" s="54">
        <f>COUNTIF(D6:W6,"●")</f>
        <v/>
      </c>
      <c r="Y6" s="54">
        <f>COUNTIF(D6:W6,"○")</f>
        <v/>
      </c>
    </row>
    <row r="7">
      <c r="A7" s="57" t="n"/>
      <c r="B7" s="47" t="inlineStr">
        <is>
          <t>C01-02</t>
        </is>
      </c>
      <c r="C7" s="58">
        <f>IFERROR(INDEX(ケイパビリティマップ!$E:$E,MATCH(B7,ケイパビリティマップ!$A:$A,0)),"（IDなし）")</f>
        <v/>
      </c>
      <c r="D7" s="59" t="n"/>
      <c r="E7" s="59" t="n"/>
      <c r="F7" s="59" t="n"/>
      <c r="G7" s="59" t="n"/>
      <c r="H7" s="59" t="inlineStr">
        <is>
          <t>○</t>
        </is>
      </c>
      <c r="I7" s="59" t="n"/>
      <c r="J7" s="59" t="inlineStr">
        <is>
          <t>○</t>
        </is>
      </c>
      <c r="K7" s="59" t="n"/>
      <c r="L7" s="59" t="n"/>
      <c r="M7" s="59" t="n"/>
      <c r="N7" s="59" t="n"/>
      <c r="O7" s="59" t="n"/>
      <c r="P7" s="59" t="n"/>
      <c r="Q7" s="59" t="n"/>
      <c r="R7" s="59" t="n"/>
      <c r="S7" s="59" t="n"/>
      <c r="T7" s="59" t="n"/>
      <c r="U7" s="59" t="n"/>
      <c r="V7" s="59" t="inlineStr">
        <is>
          <t>○</t>
        </is>
      </c>
      <c r="W7" s="59" t="n"/>
      <c r="X7" s="54">
        <f>COUNTIF(D7:W7,"●")</f>
        <v/>
      </c>
      <c r="Y7" s="54">
        <f>COUNTIF(D7:W7,"○")</f>
        <v/>
      </c>
    </row>
    <row r="8">
      <c r="A8" s="57" t="inlineStr">
        <is>
          <t>C02 調達・購買管理</t>
        </is>
      </c>
      <c r="B8" s="47" t="inlineStr">
        <is>
          <t>C02-01</t>
        </is>
      </c>
      <c r="C8" s="58">
        <f>IFERROR(INDEX(ケイパビリティマップ!$E:$E,MATCH(B8,ケイパビリティマップ!$A:$A,0)),"（IDなし）")</f>
        <v/>
      </c>
      <c r="D8" s="59" t="inlineStr">
        <is>
          <t>●</t>
        </is>
      </c>
      <c r="E8" s="59" t="inlineStr">
        <is>
          <t>●</t>
        </is>
      </c>
      <c r="F8" s="59" t="n"/>
      <c r="G8" s="59" t="n"/>
      <c r="H8" s="59" t="n"/>
      <c r="I8" s="59" t="n"/>
      <c r="J8" s="59" t="inlineStr">
        <is>
          <t>●</t>
        </is>
      </c>
      <c r="K8" s="59" t="inlineStr">
        <is>
          <t>○</t>
        </is>
      </c>
      <c r="L8" s="59" t="n"/>
      <c r="M8" s="59" t="n"/>
      <c r="N8" s="59" t="n"/>
      <c r="O8" s="59" t="n"/>
      <c r="P8" s="59" t="n"/>
      <c r="Q8" s="59" t="n"/>
      <c r="R8" s="59" t="n"/>
      <c r="S8" s="59" t="n"/>
      <c r="T8" s="59" t="n"/>
      <c r="U8" s="59" t="n"/>
      <c r="V8" s="59" t="n"/>
      <c r="W8" s="59" t="n"/>
      <c r="X8" s="54">
        <f>COUNTIF(D8:W8,"●")</f>
        <v/>
      </c>
      <c r="Y8" s="54">
        <f>COUNTIF(D8:W8,"○")</f>
        <v/>
      </c>
    </row>
    <row r="9">
      <c r="A9" s="57" t="n"/>
      <c r="B9" s="47" t="inlineStr">
        <is>
          <t>C02-02</t>
        </is>
      </c>
      <c r="C9" s="58">
        <f>IFERROR(INDEX(ケイパビリティマップ!$E:$E,MATCH(B9,ケイパビリティマップ!$A:$A,0)),"（IDなし）")</f>
        <v/>
      </c>
      <c r="D9" s="59" t="n"/>
      <c r="E9" s="59" t="n"/>
      <c r="F9" s="59" t="inlineStr">
        <is>
          <t>●</t>
        </is>
      </c>
      <c r="G9" s="59" t="inlineStr">
        <is>
          <t>○</t>
        </is>
      </c>
      <c r="H9" s="59" t="n"/>
      <c r="I9" s="59" t="n"/>
      <c r="J9" s="59" t="n"/>
      <c r="K9" s="59" t="n"/>
      <c r="L9" s="59" t="n"/>
      <c r="M9" s="59" t="n"/>
      <c r="N9" s="59" t="n"/>
      <c r="O9" s="59" t="n"/>
      <c r="P9" s="59" t="n"/>
      <c r="Q9" s="59" t="n"/>
      <c r="R9" s="59" t="n"/>
      <c r="S9" s="59" t="n"/>
      <c r="T9" s="59" t="n"/>
      <c r="U9" s="59" t="n"/>
      <c r="V9" s="59" t="n"/>
      <c r="W9" s="59" t="n"/>
      <c r="X9" s="54">
        <f>COUNTIF(D9:W9,"●")</f>
        <v/>
      </c>
      <c r="Y9" s="54">
        <f>COUNTIF(D9:W9,"○")</f>
        <v/>
      </c>
    </row>
    <row r="10">
      <c r="A10" s="57" t="n"/>
      <c r="B10" s="47" t="inlineStr">
        <is>
          <t>C02-03</t>
        </is>
      </c>
      <c r="C10" s="58">
        <f>IFERROR(INDEX(ケイパビリティマップ!$E:$E,MATCH(B10,ケイパビリティマップ!$A:$A,0)),"（IDなし）")</f>
        <v/>
      </c>
      <c r="D10" s="59" t="n"/>
      <c r="E10" s="59" t="inlineStr">
        <is>
          <t>○</t>
        </is>
      </c>
      <c r="F10" s="59" t="n"/>
      <c r="G10" s="59" t="n"/>
      <c r="H10" s="59" t="inlineStr">
        <is>
          <t>●</t>
        </is>
      </c>
      <c r="I10" s="59" t="inlineStr">
        <is>
          <t>●</t>
        </is>
      </c>
      <c r="J10" s="59" t="n"/>
      <c r="K10" s="59" t="n"/>
      <c r="L10" s="59" t="n"/>
      <c r="M10" s="59" t="n"/>
      <c r="N10" s="59" t="n"/>
      <c r="O10" s="59" t="n"/>
      <c r="P10" s="59" t="n"/>
      <c r="Q10" s="59" t="n"/>
      <c r="R10" s="59" t="n"/>
      <c r="S10" s="59" t="n"/>
      <c r="T10" s="59" t="n"/>
      <c r="U10" s="59" t="n"/>
      <c r="V10" s="59" t="n"/>
      <c r="W10" s="59" t="n"/>
      <c r="X10" s="54">
        <f>COUNTIF(D10:W10,"●")</f>
        <v/>
      </c>
      <c r="Y10" s="54">
        <f>COUNTIF(D10:W10,"○")</f>
        <v/>
      </c>
    </row>
    <row r="11">
      <c r="A11" s="57" t="n"/>
      <c r="B11" s="47" t="inlineStr">
        <is>
          <t>C02-04</t>
        </is>
      </c>
      <c r="C11" s="58">
        <f>IFERROR(INDEX(ケイパビリティマップ!$E:$E,MATCH(B11,ケイパビリティマップ!$A:$A,0)),"（IDなし）")</f>
        <v/>
      </c>
      <c r="D11" s="59" t="inlineStr">
        <is>
          <t>●</t>
        </is>
      </c>
      <c r="E11" s="59" t="n"/>
      <c r="F11" s="59" t="n"/>
      <c r="G11" s="59" t="inlineStr">
        <is>
          <t>●</t>
        </is>
      </c>
      <c r="H11" s="59" t="n"/>
      <c r="I11" s="59" t="inlineStr">
        <is>
          <t>○</t>
        </is>
      </c>
      <c r="J11" s="59" t="n"/>
      <c r="K11" s="59" t="n"/>
      <c r="L11" s="59" t="n"/>
      <c r="M11" s="59" t="n"/>
      <c r="N11" s="59" t="n"/>
      <c r="O11" s="59" t="n"/>
      <c r="P11" s="59" t="n"/>
      <c r="Q11" s="59" t="n"/>
      <c r="R11" s="59" t="n"/>
      <c r="S11" s="59" t="n"/>
      <c r="T11" s="59" t="n"/>
      <c r="U11" s="59" t="n"/>
      <c r="V11" s="59" t="n"/>
      <c r="W11" s="59" t="n"/>
      <c r="X11" s="54">
        <f>COUNTIF(D11:W11,"●")</f>
        <v/>
      </c>
      <c r="Y11" s="54">
        <f>COUNTIF(D11:W11,"○")</f>
        <v/>
      </c>
    </row>
    <row r="12">
      <c r="A12" s="57" t="inlineStr">
        <is>
          <t>C03 受入・ロジスティクス</t>
        </is>
      </c>
      <c r="B12" s="47" t="inlineStr">
        <is>
          <t>C03-01</t>
        </is>
      </c>
      <c r="C12" s="58">
        <f>IFERROR(INDEX(ケイパビリティマップ!$E:$E,MATCH(B12,ケイパビリティマップ!$A:$A,0)),"（IDなし）")</f>
        <v/>
      </c>
      <c r="D12" s="59" t="inlineStr">
        <is>
          <t>○</t>
        </is>
      </c>
      <c r="E12" s="59" t="n"/>
      <c r="F12" s="59" t="n"/>
      <c r="G12" s="59" t="inlineStr">
        <is>
          <t>○</t>
        </is>
      </c>
      <c r="H12" s="59" t="n"/>
      <c r="I12" s="59" t="n"/>
      <c r="J12" s="59" t="n"/>
      <c r="K12" s="59" t="n"/>
      <c r="L12" s="59" t="inlineStr">
        <is>
          <t>●</t>
        </is>
      </c>
      <c r="M12" s="59" t="inlineStr">
        <is>
          <t>●</t>
        </is>
      </c>
      <c r="N12" s="59" t="n"/>
      <c r="O12" s="59" t="n"/>
      <c r="P12" s="59" t="n"/>
      <c r="Q12" s="59" t="n"/>
      <c r="R12" s="59" t="n"/>
      <c r="S12" s="59" t="n"/>
      <c r="T12" s="59" t="n"/>
      <c r="U12" s="59" t="n"/>
      <c r="V12" s="59" t="n"/>
      <c r="W12" s="59" t="n"/>
      <c r="X12" s="54">
        <f>COUNTIF(D12:W12,"●")</f>
        <v/>
      </c>
      <c r="Y12" s="54">
        <f>COUNTIF(D12:W12,"○")</f>
        <v/>
      </c>
    </row>
    <row r="13">
      <c r="A13" s="57" t="n"/>
      <c r="B13" s="47" t="inlineStr">
        <is>
          <t>C03-02</t>
        </is>
      </c>
      <c r="C13" s="58">
        <f>IFERROR(INDEX(ケイパビリティマップ!$E:$E,MATCH(B13,ケイパビリティマップ!$A:$A,0)),"（IDなし）")</f>
        <v/>
      </c>
      <c r="D13" s="59" t="inlineStr">
        <is>
          <t>●</t>
        </is>
      </c>
      <c r="E13" s="59" t="n"/>
      <c r="F13" s="59" t="n"/>
      <c r="G13" s="59" t="inlineStr">
        <is>
          <t>○</t>
        </is>
      </c>
      <c r="H13" s="59" t="n"/>
      <c r="I13" s="59" t="n"/>
      <c r="J13" s="59" t="n"/>
      <c r="K13" s="59" t="n"/>
      <c r="L13" s="59" t="n"/>
      <c r="M13" s="59" t="inlineStr">
        <is>
          <t>○</t>
        </is>
      </c>
      <c r="N13" s="59" t="n"/>
      <c r="O13" s="59" t="n"/>
      <c r="P13" s="59" t="n"/>
      <c r="Q13" s="59" t="n"/>
      <c r="R13" s="59" t="n"/>
      <c r="S13" s="59" t="n"/>
      <c r="T13" s="59" t="n"/>
      <c r="U13" s="59" t="n"/>
      <c r="V13" s="59" t="n"/>
      <c r="W13" s="59" t="n"/>
      <c r="X13" s="54">
        <f>COUNTIF(D13:W13,"●")</f>
        <v/>
      </c>
      <c r="Y13" s="54">
        <f>COUNTIF(D13:W13,"○")</f>
        <v/>
      </c>
    </row>
    <row r="14">
      <c r="A14" s="57" t="n"/>
      <c r="B14" s="47" t="inlineStr">
        <is>
          <t>C03-03</t>
        </is>
      </c>
      <c r="C14" s="58">
        <f>IFERROR(INDEX(ケイパビリティマップ!$E:$E,MATCH(B14,ケイパビリティマップ!$A:$A,0)),"（IDなし）")</f>
        <v/>
      </c>
      <c r="D14" s="59" t="n"/>
      <c r="E14" s="59" t="n"/>
      <c r="F14" s="59" t="n"/>
      <c r="G14" s="59" t="n"/>
      <c r="H14" s="59" t="n"/>
      <c r="I14" s="59" t="n"/>
      <c r="J14" s="59" t="n"/>
      <c r="K14" s="59" t="n"/>
      <c r="L14" s="59" t="inlineStr">
        <is>
          <t>●</t>
        </is>
      </c>
      <c r="M14" s="59" t="n"/>
      <c r="N14" s="59" t="inlineStr">
        <is>
          <t>●</t>
        </is>
      </c>
      <c r="O14" s="59" t="n"/>
      <c r="P14" s="59" t="inlineStr">
        <is>
          <t>○</t>
        </is>
      </c>
      <c r="Q14" s="59" t="n"/>
      <c r="R14" s="59" t="n"/>
      <c r="S14" s="59" t="n"/>
      <c r="T14" s="59" t="n"/>
      <c r="U14" s="59" t="n"/>
      <c r="V14" s="59" t="n"/>
      <c r="W14" s="59" t="n"/>
      <c r="X14" s="54">
        <f>COUNTIF(D14:W14,"●")</f>
        <v/>
      </c>
      <c r="Y14" s="54">
        <f>COUNTIF(D14:W14,"○")</f>
        <v/>
      </c>
    </row>
    <row r="15">
      <c r="A15" s="57" t="inlineStr">
        <is>
          <t>C04 財務・債務管理</t>
        </is>
      </c>
      <c r="B15" s="47" t="inlineStr">
        <is>
          <t>C04-01</t>
        </is>
      </c>
      <c r="C15" s="58">
        <f>IFERROR(INDEX(ケイパビリティマップ!$E:$E,MATCH(B15,ケイパビリティマップ!$A:$A,0)),"（IDなし）")</f>
        <v/>
      </c>
      <c r="D15" s="59" t="n"/>
      <c r="E15" s="59" t="n"/>
      <c r="F15" s="59" t="n"/>
      <c r="G15" s="59" t="inlineStr">
        <is>
          <t>○</t>
        </is>
      </c>
      <c r="H15" s="59" t="n"/>
      <c r="I15" s="59" t="n"/>
      <c r="J15" s="59" t="n"/>
      <c r="K15" s="59" t="n"/>
      <c r="L15" s="59" t="n"/>
      <c r="M15" s="59" t="n"/>
      <c r="N15" s="59" t="n"/>
      <c r="O15" s="59" t="inlineStr">
        <is>
          <t>●</t>
        </is>
      </c>
      <c r="P15" s="59" t="inlineStr">
        <is>
          <t>●</t>
        </is>
      </c>
      <c r="Q15" s="59" t="n"/>
      <c r="R15" s="59" t="n"/>
      <c r="S15" s="59" t="n"/>
      <c r="T15" s="59" t="n"/>
      <c r="U15" s="59" t="n"/>
      <c r="V15" s="59" t="n"/>
      <c r="W15" s="59" t="n"/>
      <c r="X15" s="54">
        <f>COUNTIF(D15:W15,"●")</f>
        <v/>
      </c>
      <c r="Y15" s="54">
        <f>COUNTIF(D15:W15,"○")</f>
        <v/>
      </c>
    </row>
    <row r="16">
      <c r="A16" s="57" t="n"/>
      <c r="B16" s="47" t="inlineStr">
        <is>
          <t>C04-02</t>
        </is>
      </c>
      <c r="C16" s="58">
        <f>IFERROR(INDEX(ケイパビリティマップ!$E:$E,MATCH(B16,ケイパビリティマップ!$A:$A,0)),"（IDなし）")</f>
        <v/>
      </c>
      <c r="D16" s="59" t="n"/>
      <c r="E16" s="59" t="n"/>
      <c r="F16" s="59" t="n"/>
      <c r="G16" s="59" t="n"/>
      <c r="H16" s="59" t="n"/>
      <c r="I16" s="59" t="n"/>
      <c r="J16" s="59" t="inlineStr">
        <is>
          <t>○</t>
        </is>
      </c>
      <c r="K16" s="59" t="n"/>
      <c r="L16" s="59" t="n"/>
      <c r="M16" s="59" t="n"/>
      <c r="N16" s="59" t="n"/>
      <c r="O16" s="59" t="n"/>
      <c r="P16" s="59" t="inlineStr">
        <is>
          <t>●</t>
        </is>
      </c>
      <c r="Q16" s="59" t="inlineStr">
        <is>
          <t>●</t>
        </is>
      </c>
      <c r="R16" s="59" t="n"/>
      <c r="S16" s="59" t="n"/>
      <c r="T16" s="59" t="n"/>
      <c r="U16" s="59" t="n"/>
      <c r="V16" s="59" t="n"/>
      <c r="W16" s="59" t="n"/>
      <c r="X16" s="54">
        <f>COUNTIF(D16:W16,"●")</f>
        <v/>
      </c>
      <c r="Y16" s="54">
        <f>COUNTIF(D16:W16,"○")</f>
        <v/>
      </c>
    </row>
    <row r="17">
      <c r="A17" s="57" t="n"/>
      <c r="B17" s="47" t="inlineStr">
        <is>
          <t>C04-03</t>
        </is>
      </c>
      <c r="C17" s="58">
        <f>IFERROR(INDEX(ケイパビリティマップ!$E:$E,MATCH(B17,ケイパビリティマップ!$A:$A,0)),"（IDなし）")</f>
        <v/>
      </c>
      <c r="D17" s="59" t="n"/>
      <c r="E17" s="59" t="n"/>
      <c r="F17" s="59" t="n"/>
      <c r="G17" s="59" t="n"/>
      <c r="H17" s="59" t="n"/>
      <c r="I17" s="59" t="n"/>
      <c r="J17" s="59" t="n"/>
      <c r="K17" s="59" t="n"/>
      <c r="L17" s="59" t="n"/>
      <c r="M17" s="59" t="n"/>
      <c r="N17" s="59" t="n"/>
      <c r="O17" s="59" t="n"/>
      <c r="P17" s="59" t="inlineStr">
        <is>
          <t>●</t>
        </is>
      </c>
      <c r="Q17" s="59" t="n"/>
      <c r="R17" s="59" t="inlineStr">
        <is>
          <t>●</t>
        </is>
      </c>
      <c r="S17" s="59" t="n"/>
      <c r="T17" s="59" t="n"/>
      <c r="U17" s="59" t="n"/>
      <c r="V17" s="59" t="n"/>
      <c r="W17" s="59" t="n"/>
      <c r="X17" s="54">
        <f>COUNTIF(D17:W17,"●")</f>
        <v/>
      </c>
      <c r="Y17" s="54">
        <f>COUNTIF(D17:W17,"○")</f>
        <v/>
      </c>
    </row>
    <row r="18">
      <c r="A18" s="57" t="inlineStr">
        <is>
          <t>C05 サプライヤー管理</t>
        </is>
      </c>
      <c r="B18" s="47" t="inlineStr">
        <is>
          <t>C05-01</t>
        </is>
      </c>
      <c r="C18" s="58">
        <f>IFERROR(INDEX(ケイパビリティマップ!$E:$E,MATCH(B18,ケイパビリティマップ!$A:$A,0)),"（IDなし）")</f>
        <v/>
      </c>
      <c r="D18" s="59" t="n"/>
      <c r="E18" s="59" t="n"/>
      <c r="F18" s="59" t="inlineStr">
        <is>
          <t>○</t>
        </is>
      </c>
      <c r="G18" s="59" t="n"/>
      <c r="H18" s="59" t="n"/>
      <c r="I18" s="59" t="n"/>
      <c r="J18" s="59" t="n"/>
      <c r="K18" s="59" t="n"/>
      <c r="L18" s="59" t="n"/>
      <c r="M18" s="59" t="n"/>
      <c r="N18" s="59" t="n"/>
      <c r="O18" s="59" t="n"/>
      <c r="P18" s="59" t="n"/>
      <c r="Q18" s="59" t="n"/>
      <c r="R18" s="59" t="n"/>
      <c r="S18" s="59" t="inlineStr">
        <is>
          <t>●</t>
        </is>
      </c>
      <c r="T18" s="59" t="n"/>
      <c r="U18" s="59" t="inlineStr">
        <is>
          <t>●</t>
        </is>
      </c>
      <c r="V18" s="59" t="n"/>
      <c r="W18" s="59" t="n"/>
      <c r="X18" s="54">
        <f>COUNTIF(D18:W18,"●")</f>
        <v/>
      </c>
      <c r="Y18" s="54">
        <f>COUNTIF(D18:W18,"○")</f>
        <v/>
      </c>
    </row>
    <row r="19">
      <c r="A19" s="57" t="n"/>
      <c r="B19" s="47" t="inlineStr">
        <is>
          <t>C05-02</t>
        </is>
      </c>
      <c r="C19" s="58">
        <f>IFERROR(INDEX(ケイパビリティマップ!$E:$E,MATCH(B19,ケイパビリティマップ!$A:$A,0)),"（IDなし）")</f>
        <v/>
      </c>
      <c r="D19" s="59" t="n"/>
      <c r="E19" s="59" t="n"/>
      <c r="F19" s="59" t="inlineStr">
        <is>
          <t>●</t>
        </is>
      </c>
      <c r="G19" s="59" t="n"/>
      <c r="H19" s="59" t="n"/>
      <c r="I19" s="59" t="n"/>
      <c r="J19" s="59" t="n"/>
      <c r="K19" s="59" t="n"/>
      <c r="L19" s="59" t="n"/>
      <c r="M19" s="59" t="n"/>
      <c r="N19" s="59" t="n"/>
      <c r="O19" s="59" t="n"/>
      <c r="P19" s="59" t="n"/>
      <c r="Q19" s="59" t="n"/>
      <c r="R19" s="59" t="n"/>
      <c r="S19" s="59" t="n"/>
      <c r="T19" s="59" t="n"/>
      <c r="U19" s="59" t="n"/>
      <c r="V19" s="59" t="inlineStr">
        <is>
          <t>○</t>
        </is>
      </c>
      <c r="W19" s="59" t="n"/>
      <c r="X19" s="54">
        <f>COUNTIF(D19:W19,"●")</f>
        <v/>
      </c>
      <c r="Y19" s="54">
        <f>COUNTIF(D19:W19,"○")</f>
        <v/>
      </c>
    </row>
    <row r="20">
      <c r="A20" s="57" t="n"/>
      <c r="B20" s="47" t="inlineStr">
        <is>
          <t>C05-03</t>
        </is>
      </c>
      <c r="C20" s="58">
        <f>IFERROR(INDEX(ケイパビリティマップ!$E:$E,MATCH(B20,ケイパビリティマップ!$A:$A,0)),"（IDなし）")</f>
        <v/>
      </c>
      <c r="D20" s="59" t="n"/>
      <c r="E20" s="59" t="n"/>
      <c r="F20" s="59" t="inlineStr">
        <is>
          <t>○</t>
        </is>
      </c>
      <c r="G20" s="59" t="n"/>
      <c r="H20" s="59" t="n"/>
      <c r="I20" s="59" t="n"/>
      <c r="J20" s="59" t="n"/>
      <c r="K20" s="59" t="n"/>
      <c r="L20" s="59" t="n"/>
      <c r="M20" s="59" t="n"/>
      <c r="N20" s="59" t="n"/>
      <c r="O20" s="59" t="n"/>
      <c r="P20" s="59" t="n"/>
      <c r="Q20" s="59" t="n"/>
      <c r="R20" s="59" t="n"/>
      <c r="S20" s="59" t="n"/>
      <c r="T20" s="59" t="inlineStr">
        <is>
          <t>●</t>
        </is>
      </c>
      <c r="U20" s="59" t="n"/>
      <c r="V20" s="59" t="n"/>
      <c r="W20" s="59" t="n"/>
      <c r="X20" s="54">
        <f>COUNTIF(D20:W20,"●")</f>
        <v/>
      </c>
      <c r="Y20" s="54">
        <f>COUNTIF(D20:W20,"○")</f>
        <v/>
      </c>
    </row>
    <row r="21">
      <c r="A21" s="57" t="inlineStr">
        <is>
          <t>C06 調達基盤</t>
        </is>
      </c>
      <c r="B21" s="47" t="inlineStr">
        <is>
          <t>C06-01</t>
        </is>
      </c>
      <c r="C21" s="58">
        <f>IFERROR(INDEX(ケイパビリティマップ!$E:$E,MATCH(B21,ケイパビリティマップ!$A:$A,0)),"（IDなし）")</f>
        <v/>
      </c>
      <c r="D21" s="59" t="inlineStr">
        <is>
          <t>○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59" t="n"/>
      <c r="N21" s="59" t="n"/>
      <c r="O21" s="59" t="n"/>
      <c r="P21" s="59" t="n"/>
      <c r="Q21" s="59" t="n"/>
      <c r="R21" s="59" t="n"/>
      <c r="S21" s="59" t="n"/>
      <c r="T21" s="59" t="n"/>
      <c r="U21" s="59" t="inlineStr">
        <is>
          <t>●</t>
        </is>
      </c>
      <c r="V21" s="59" t="n"/>
      <c r="W21" s="59" t="n"/>
      <c r="X21" s="54">
        <f>COUNTIF(D21:W21,"●")</f>
        <v/>
      </c>
      <c r="Y21" s="54">
        <f>COUNTIF(D21:W21,"○")</f>
        <v/>
      </c>
    </row>
    <row r="22">
      <c r="A22" s="57" t="n"/>
      <c r="B22" s="47" t="inlineStr">
        <is>
          <t>C06-02</t>
        </is>
      </c>
      <c r="C22" s="58">
        <f>IFERROR(INDEX(ケイパビリティマップ!$E:$E,MATCH(B22,ケイパビリティマップ!$A:$A,0)),"（IDなし）")</f>
        <v/>
      </c>
      <c r="D22" s="59" t="n"/>
      <c r="E22" s="59" t="n"/>
      <c r="F22" s="59" t="n"/>
      <c r="G22" s="59" t="n"/>
      <c r="H22" s="59" t="n"/>
      <c r="I22" s="59" t="n"/>
      <c r="J22" s="59" t="n"/>
      <c r="K22" s="59" t="n"/>
      <c r="L22" s="59" t="n"/>
      <c r="M22" s="59" t="n"/>
      <c r="N22" s="59" t="n"/>
      <c r="O22" s="59" t="n"/>
      <c r="P22" s="59" t="n"/>
      <c r="Q22" s="59" t="n"/>
      <c r="R22" s="59" t="n"/>
      <c r="S22" s="59" t="n"/>
      <c r="T22" s="59" t="n"/>
      <c r="U22" s="59" t="n"/>
      <c r="V22" s="59" t="inlineStr">
        <is>
          <t>●</t>
        </is>
      </c>
      <c r="W22" s="59" t="n"/>
      <c r="X22" s="54">
        <f>COUNTIF(D22:W22,"●")</f>
        <v/>
      </c>
      <c r="Y22" s="54">
        <f>COUNTIF(D22:W22,"○")</f>
        <v/>
      </c>
    </row>
    <row r="23">
      <c r="A23" s="57" t="n"/>
      <c r="B23" s="47" t="inlineStr">
        <is>
          <t>C06-03</t>
        </is>
      </c>
      <c r="C23" s="58">
        <f>IFERROR(INDEX(ケイパビリティマップ!$E:$E,MATCH(B23,ケイパビリティマップ!$A:$A,0)),"（IDなし）")</f>
        <v/>
      </c>
      <c r="D23" s="59" t="n"/>
      <c r="E23" s="59" t="n"/>
      <c r="F23" s="59" t="n"/>
      <c r="G23" s="59" t="n"/>
      <c r="H23" s="59" t="n"/>
      <c r="I23" s="59" t="n"/>
      <c r="J23" s="59" t="inlineStr">
        <is>
          <t>○</t>
        </is>
      </c>
      <c r="K23" s="59" t="n"/>
      <c r="L23" s="59" t="n"/>
      <c r="M23" s="59" t="n"/>
      <c r="N23" s="59" t="n"/>
      <c r="O23" s="59" t="n"/>
      <c r="P23" s="59" t="n"/>
      <c r="Q23" s="59" t="n"/>
      <c r="R23" s="59" t="n"/>
      <c r="S23" s="59" t="n"/>
      <c r="T23" s="59" t="n"/>
      <c r="U23" s="59" t="n"/>
      <c r="V23" s="59" t="n"/>
      <c r="W23" s="59" t="inlineStr">
        <is>
          <t>●</t>
        </is>
      </c>
      <c r="X23" s="54">
        <f>COUNTIF(D23:W23,"●")</f>
        <v/>
      </c>
      <c r="Y23" s="54">
        <f>COUNTIF(D23:W23,"○")</f>
        <v/>
      </c>
    </row>
    <row r="24">
      <c r="C24" s="57" t="inlineStr">
        <is>
          <t>●の数</t>
        </is>
      </c>
      <c r="D24" s="54">
        <f>COUNTIF(D6:D23,"●")</f>
        <v/>
      </c>
      <c r="E24" s="54">
        <f>COUNTIF(E6:E23,"●")</f>
        <v/>
      </c>
      <c r="F24" s="54">
        <f>COUNTIF(F6:F23,"●")</f>
        <v/>
      </c>
      <c r="G24" s="54">
        <f>COUNTIF(G6:G23,"●")</f>
        <v/>
      </c>
      <c r="H24" s="54">
        <f>COUNTIF(H6:H23,"●")</f>
        <v/>
      </c>
      <c r="I24" s="54">
        <f>COUNTIF(I6:I23,"●")</f>
        <v/>
      </c>
      <c r="J24" s="54">
        <f>COUNTIF(J6:J23,"●")</f>
        <v/>
      </c>
      <c r="K24" s="54">
        <f>COUNTIF(K6:K23,"●")</f>
        <v/>
      </c>
      <c r="L24" s="54">
        <f>COUNTIF(L6:L23,"●")</f>
        <v/>
      </c>
      <c r="M24" s="54">
        <f>COUNTIF(M6:M23,"●")</f>
        <v/>
      </c>
      <c r="N24" s="54">
        <f>COUNTIF(N6:N23,"●")</f>
        <v/>
      </c>
      <c r="O24" s="54">
        <f>COUNTIF(O6:O23,"●")</f>
        <v/>
      </c>
      <c r="P24" s="54">
        <f>COUNTIF(P6:P23,"●")</f>
        <v/>
      </c>
      <c r="Q24" s="54">
        <f>COUNTIF(Q6:Q23,"●")</f>
        <v/>
      </c>
      <c r="R24" s="54">
        <f>COUNTIF(R6:R23,"●")</f>
        <v/>
      </c>
      <c r="S24" s="54">
        <f>COUNTIF(S6:S23,"●")</f>
        <v/>
      </c>
      <c r="T24" s="54">
        <f>COUNTIF(T6:T23,"●")</f>
        <v/>
      </c>
      <c r="U24" s="54">
        <f>COUNTIF(U6:U23,"●")</f>
        <v/>
      </c>
      <c r="V24" s="54">
        <f>COUNTIF(V6:V23,"●")</f>
        <v/>
      </c>
      <c r="W24" s="54">
        <f>COUNTIF(W6:W23,"●")</f>
        <v/>
      </c>
    </row>
    <row r="25">
      <c r="C25" s="57" t="inlineStr">
        <is>
          <t>○の数</t>
        </is>
      </c>
      <c r="D25" s="54">
        <f>COUNTIF(D6:D23,"○")</f>
        <v/>
      </c>
      <c r="E25" s="54">
        <f>COUNTIF(E6:E23,"○")</f>
        <v/>
      </c>
      <c r="F25" s="54">
        <f>COUNTIF(F6:F23,"○")</f>
        <v/>
      </c>
      <c r="G25" s="54">
        <f>COUNTIF(G6:G23,"○")</f>
        <v/>
      </c>
      <c r="H25" s="54">
        <f>COUNTIF(H6:H23,"○")</f>
        <v/>
      </c>
      <c r="I25" s="54">
        <f>COUNTIF(I6:I23,"○")</f>
        <v/>
      </c>
      <c r="J25" s="54">
        <f>COUNTIF(J6:J23,"○")</f>
        <v/>
      </c>
      <c r="K25" s="54">
        <f>COUNTIF(K6:K23,"○")</f>
        <v/>
      </c>
      <c r="L25" s="54">
        <f>COUNTIF(L6:L23,"○")</f>
        <v/>
      </c>
      <c r="M25" s="54">
        <f>COUNTIF(M6:M23,"○")</f>
        <v/>
      </c>
      <c r="N25" s="54">
        <f>COUNTIF(N6:N23,"○")</f>
        <v/>
      </c>
      <c r="O25" s="54">
        <f>COUNTIF(O6:O23,"○")</f>
        <v/>
      </c>
      <c r="P25" s="54">
        <f>COUNTIF(P6:P23,"○")</f>
        <v/>
      </c>
      <c r="Q25" s="54">
        <f>COUNTIF(Q6:Q23,"○")</f>
        <v/>
      </c>
      <c r="R25" s="54">
        <f>COUNTIF(R6:R23,"○")</f>
        <v/>
      </c>
      <c r="S25" s="54">
        <f>COUNTIF(S6:S23,"○")</f>
        <v/>
      </c>
      <c r="T25" s="54">
        <f>COUNTIF(T6:T23,"○")</f>
        <v/>
      </c>
      <c r="U25" s="54">
        <f>COUNTIF(U6:U23,"○")</f>
        <v/>
      </c>
      <c r="V25" s="54">
        <f>COUNTIF(V6:V23,"○")</f>
        <v/>
      </c>
      <c r="W25" s="54">
        <f>COUNTIF(W6:W23,"○")</f>
        <v/>
      </c>
    </row>
  </sheetData>
  <mergeCells count="11">
    <mergeCell ref="K4:N4"/>
    <mergeCell ref="O4:R4"/>
    <mergeCell ref="B4:B5"/>
    <mergeCell ref="C4:C5"/>
    <mergeCell ref="A4:A5"/>
    <mergeCell ref="X4:X5"/>
    <mergeCell ref="Y4:Y5"/>
    <mergeCell ref="U4:W4"/>
    <mergeCell ref="H4:I4"/>
    <mergeCell ref="S4:T4"/>
    <mergeCell ref="D4:G4"/>
  </mergeCells>
  <conditionalFormatting sqref="D6:W23">
    <cfRule type="cellIs" priority="1" operator="equal" dxfId="2">
      <formula>"●"</formula>
    </cfRule>
  </conditionalFormatting>
  <dataValidations count="1">
    <dataValidation sqref="D6:W23" showDropDown="0" showInputMessage="0" showErrorMessage="0" allowBlank="1" type="list">
      <formula1>"●,○"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E8B57"/>
    <outlinePr summaryBelow="1" summaryRight="1"/>
    <pageSetUpPr/>
  </sheetPr>
  <dimension ref="A1:AT27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28" customWidth="1" min="3" max="3"/>
    <col width="4.6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  <col width="4.6" customWidth="1" min="27" max="27"/>
    <col width="4.6" customWidth="1" min="28" max="28"/>
    <col width="4.6" customWidth="1" min="29" max="29"/>
    <col width="4.6" customWidth="1" min="30" max="30"/>
    <col width="4.6" customWidth="1" min="31" max="31"/>
    <col width="4.6" customWidth="1" min="32" max="32"/>
    <col width="4.6" customWidth="1" min="33" max="33"/>
    <col width="4.6" customWidth="1" min="34" max="34"/>
    <col width="4.6" customWidth="1" min="35" max="35"/>
    <col width="4.6" customWidth="1" min="36" max="36"/>
    <col width="4.6" customWidth="1" min="37" max="37"/>
    <col width="4.6" customWidth="1" min="38" max="38"/>
    <col width="4.6" customWidth="1" min="39" max="39"/>
    <col width="4.6" customWidth="1" min="40" max="40"/>
    <col width="4.6" customWidth="1" min="41" max="41"/>
    <col width="4.6" customWidth="1" min="42" max="42"/>
    <col width="4.6" customWidth="1" min="43" max="43"/>
    <col width="4.6" customWidth="1" min="44" max="44"/>
    <col width="7.5" customWidth="1" min="45" max="45"/>
    <col width="7.5" customWidth="1" min="46" max="46"/>
  </cols>
  <sheetData>
    <row r="1" ht="21.6" customHeight="1">
      <c r="A1" s="43" t="inlineStr">
        <is>
          <t>アプリケーション×情報オブジェクト（行＝アプリケーション × 列＝情報オブジェクト）</t>
        </is>
      </c>
    </row>
    <row r="2" ht="15" customHeight="1">
      <c r="A2" s="44" t="inlineStr">
        <is>
          <t>C＝作成・更新　R＝利用　空欄＝関係なし。ケイパビリティ経由で導出：アプリが●（主に支える）のL2で、そのL2がC／Rの情報オブジェクトを割り当て（CとRが重なる場合はC）</t>
        </is>
      </c>
    </row>
    <row r="4" ht="29.85" customHeight="1">
      <c r="A4" s="45" t="inlineStr">
        <is>
          <t>領域</t>
        </is>
      </c>
      <c r="B4" s="45" t="inlineStr">
        <is>
          <t>ID</t>
        </is>
      </c>
      <c r="C4" s="45" t="inlineStr">
        <is>
          <t>アプリケーション種類</t>
        </is>
      </c>
      <c r="D4" s="55" t="inlineStr">
        <is>
          <t>共通・マスタ</t>
        </is>
      </c>
      <c r="G4" s="55" t="inlineStr">
        <is>
          <t>計画・戦略</t>
        </is>
      </c>
      <c r="K4" s="55" t="inlineStr">
        <is>
          <t>需要・申請</t>
        </is>
      </c>
      <c r="M4" s="55" t="inlineStr">
        <is>
          <t>ソーシング</t>
        </is>
      </c>
      <c r="R4" s="55" t="inlineStr">
        <is>
          <t>サプライヤー</t>
        </is>
      </c>
      <c r="W4" s="55" t="inlineStr">
        <is>
          <t>契約・発注</t>
        </is>
      </c>
      <c r="AA4" s="55" t="inlineStr">
        <is>
          <t>受入・検収</t>
        </is>
      </c>
      <c r="AH4" s="55" t="inlineStr">
        <is>
          <t>請求・支払</t>
        </is>
      </c>
      <c r="AP4" s="55" t="inlineStr">
        <is>
          <t>分析・統制</t>
        </is>
      </c>
      <c r="AS4" s="46" t="inlineStr">
        <is>
          <t>Cの数</t>
        </is>
      </c>
      <c r="AT4" s="46" t="inlineStr">
        <is>
          <t>Rの数</t>
        </is>
      </c>
    </row>
    <row r="5" ht="214.5" customHeight="1">
      <c r="D5" s="56">
        <f>情報オブジェクト!C4</f>
        <v/>
      </c>
      <c r="E5" s="56">
        <f>情報オブジェクト!C5</f>
        <v/>
      </c>
      <c r="F5" s="56">
        <f>情報オブジェクト!C6</f>
        <v/>
      </c>
      <c r="G5" s="56">
        <f>情報オブジェクト!C7</f>
        <v/>
      </c>
      <c r="H5" s="56">
        <f>情報オブジェクト!C8</f>
        <v/>
      </c>
      <c r="I5" s="56">
        <f>情報オブジェクト!C9</f>
        <v/>
      </c>
      <c r="J5" s="56">
        <f>情報オブジェクト!C10</f>
        <v/>
      </c>
      <c r="K5" s="56">
        <f>情報オブジェクト!C11</f>
        <v/>
      </c>
      <c r="L5" s="56">
        <f>情報オブジェクト!C12</f>
        <v/>
      </c>
      <c r="M5" s="56">
        <f>情報オブジェクト!C13</f>
        <v/>
      </c>
      <c r="N5" s="56">
        <f>情報オブジェクト!C14</f>
        <v/>
      </c>
      <c r="O5" s="56">
        <f>情報オブジェクト!C15</f>
        <v/>
      </c>
      <c r="P5" s="56">
        <f>情報オブジェクト!C16</f>
        <v/>
      </c>
      <c r="Q5" s="56">
        <f>情報オブジェクト!C17</f>
        <v/>
      </c>
      <c r="R5" s="56">
        <f>情報オブジェクト!C18</f>
        <v/>
      </c>
      <c r="S5" s="56">
        <f>情報オブジェクト!C19</f>
        <v/>
      </c>
      <c r="T5" s="56">
        <f>情報オブジェクト!C20</f>
        <v/>
      </c>
      <c r="U5" s="56">
        <f>情報オブジェクト!C21</f>
        <v/>
      </c>
      <c r="V5" s="56">
        <f>情報オブジェクト!C22</f>
        <v/>
      </c>
      <c r="W5" s="56">
        <f>情報オブジェクト!C23</f>
        <v/>
      </c>
      <c r="X5" s="56">
        <f>情報オブジェクト!C24</f>
        <v/>
      </c>
      <c r="Y5" s="56">
        <f>情報オブジェクト!C25</f>
        <v/>
      </c>
      <c r="Z5" s="56">
        <f>情報オブジェクト!C26</f>
        <v/>
      </c>
      <c r="AA5" s="56">
        <f>情報オブジェクト!C27</f>
        <v/>
      </c>
      <c r="AB5" s="56">
        <f>情報オブジェクト!C28</f>
        <v/>
      </c>
      <c r="AC5" s="56">
        <f>情報オブジェクト!C29</f>
        <v/>
      </c>
      <c r="AD5" s="56">
        <f>情報オブジェクト!C30</f>
        <v/>
      </c>
      <c r="AE5" s="56">
        <f>情報オブジェクト!C31</f>
        <v/>
      </c>
      <c r="AF5" s="56">
        <f>情報オブジェクト!C32</f>
        <v/>
      </c>
      <c r="AG5" s="56">
        <f>情報オブジェクト!C33</f>
        <v/>
      </c>
      <c r="AH5" s="56">
        <f>情報オブジェクト!C34</f>
        <v/>
      </c>
      <c r="AI5" s="56">
        <f>情報オブジェクト!C35</f>
        <v/>
      </c>
      <c r="AJ5" s="56">
        <f>情報オブジェクト!C36</f>
        <v/>
      </c>
      <c r="AK5" s="56">
        <f>情報オブジェクト!C37</f>
        <v/>
      </c>
      <c r="AL5" s="56">
        <f>情報オブジェクト!C38</f>
        <v/>
      </c>
      <c r="AM5" s="56">
        <f>情報オブジェクト!C39</f>
        <v/>
      </c>
      <c r="AN5" s="56">
        <f>情報オブジェクト!C40</f>
        <v/>
      </c>
      <c r="AO5" s="56">
        <f>情報オブジェクト!C41</f>
        <v/>
      </c>
      <c r="AP5" s="56">
        <f>情報オブジェクト!C42</f>
        <v/>
      </c>
      <c r="AQ5" s="56">
        <f>情報オブジェクト!C43</f>
        <v/>
      </c>
      <c r="AR5" s="56">
        <f>情報オブジェクト!C44</f>
        <v/>
      </c>
    </row>
    <row r="6">
      <c r="A6" s="57" t="inlineStr">
        <is>
          <t>購買</t>
        </is>
      </c>
      <c r="B6" s="47" t="inlineStr">
        <is>
          <t>APP-01</t>
        </is>
      </c>
      <c r="C6" s="58">
        <f>IFERROR(INDEX(アプリケーション!$C:$C,MATCH(B6,アプリケーション!$A:$A,0)),"（IDなし）")</f>
        <v/>
      </c>
      <c r="D6" s="59" t="inlineStr">
        <is>
          <t>R</t>
        </is>
      </c>
      <c r="E6" s="59" t="inlineStr">
        <is>
          <t>R</t>
        </is>
      </c>
      <c r="F6" s="59" t="inlineStr">
        <is>
          <t>R</t>
        </is>
      </c>
      <c r="G6" s="59" t="inlineStr">
        <is>
          <t>C</t>
        </is>
      </c>
      <c r="H6" s="59" t="n"/>
      <c r="I6" s="59" t="n"/>
      <c r="J6" s="59" t="inlineStr">
        <is>
          <t>C</t>
        </is>
      </c>
      <c r="K6" s="59" t="inlineStr">
        <is>
          <t>C</t>
        </is>
      </c>
      <c r="L6" s="59" t="inlineStr">
        <is>
          <t>C</t>
        </is>
      </c>
      <c r="M6" s="59" t="n"/>
      <c r="N6" s="59" t="n"/>
      <c r="O6" s="59" t="n"/>
      <c r="P6" s="59" t="inlineStr">
        <is>
          <t>R</t>
        </is>
      </c>
      <c r="Q6" s="59" t="n"/>
      <c r="R6" s="59" t="n"/>
      <c r="S6" s="59" t="inlineStr">
        <is>
          <t>R</t>
        </is>
      </c>
      <c r="T6" s="59" t="n"/>
      <c r="U6" s="59" t="n"/>
      <c r="V6" s="59" t="n"/>
      <c r="W6" s="59" t="n"/>
      <c r="X6" s="59" t="inlineStr">
        <is>
          <t>R</t>
        </is>
      </c>
      <c r="Y6" s="59" t="inlineStr">
        <is>
          <t>C</t>
        </is>
      </c>
      <c r="Z6" s="59" t="inlineStr">
        <is>
          <t>C</t>
        </is>
      </c>
      <c r="AA6" s="59" t="n"/>
      <c r="AB6" s="59" t="n"/>
      <c r="AC6" s="59" t="inlineStr">
        <is>
          <t>R</t>
        </is>
      </c>
      <c r="AD6" s="59" t="inlineStr">
        <is>
          <t>C</t>
        </is>
      </c>
      <c r="AE6" s="59" t="inlineStr">
        <is>
          <t>C</t>
        </is>
      </c>
      <c r="AF6" s="59" t="inlineStr">
        <is>
          <t>R</t>
        </is>
      </c>
      <c r="AG6" s="59" t="n"/>
      <c r="AH6" s="59" t="n"/>
      <c r="AI6" s="59" t="inlineStr">
        <is>
          <t>R</t>
        </is>
      </c>
      <c r="AJ6" s="59" t="n"/>
      <c r="AK6" s="59" t="n"/>
      <c r="AL6" s="59" t="n"/>
      <c r="AM6" s="59" t="n"/>
      <c r="AN6" s="59" t="n"/>
      <c r="AO6" s="59" t="n"/>
      <c r="AP6" s="59" t="n"/>
      <c r="AQ6" s="59" t="n"/>
      <c r="AR6" s="59" t="n"/>
      <c r="AS6" s="54">
        <f>COUNTIF(D6:AR6,"C")</f>
        <v/>
      </c>
      <c r="AT6" s="54">
        <f>COUNTIF(D6:AR6,"R")</f>
        <v/>
      </c>
    </row>
    <row r="7">
      <c r="A7" s="57" t="n"/>
      <c r="B7" s="47" t="inlineStr">
        <is>
          <t>APP-02</t>
        </is>
      </c>
      <c r="C7" s="58">
        <f>IFERROR(INDEX(アプリケーション!$C:$C,MATCH(B7,アプリケーション!$A:$A,0)),"（IDなし）")</f>
        <v/>
      </c>
      <c r="D7" s="59" t="inlineStr">
        <is>
          <t>R</t>
        </is>
      </c>
      <c r="E7" s="59" t="n"/>
      <c r="F7" s="59" t="inlineStr">
        <is>
          <t>R</t>
        </is>
      </c>
      <c r="G7" s="59" t="inlineStr">
        <is>
          <t>C</t>
        </is>
      </c>
      <c r="H7" s="59" t="n"/>
      <c r="I7" s="59" t="n"/>
      <c r="J7" s="59" t="inlineStr">
        <is>
          <t>C</t>
        </is>
      </c>
      <c r="K7" s="59" t="inlineStr">
        <is>
          <t>C</t>
        </is>
      </c>
      <c r="L7" s="59" t="inlineStr">
        <is>
          <t>C</t>
        </is>
      </c>
      <c r="M7" s="59" t="n"/>
      <c r="N7" s="59" t="n"/>
      <c r="O7" s="59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inlineStr">
        <is>
          <t>R</t>
        </is>
      </c>
      <c r="Y7" s="59" t="n"/>
      <c r="Z7" s="59" t="n"/>
      <c r="AA7" s="59" t="n"/>
      <c r="AB7" s="59" t="n"/>
      <c r="AC7" s="59" t="n"/>
      <c r="AD7" s="59" t="n"/>
      <c r="AE7" s="59" t="n"/>
      <c r="AF7" s="59" t="inlineStr">
        <is>
          <t>R</t>
        </is>
      </c>
      <c r="AG7" s="59" t="n"/>
      <c r="AH7" s="59" t="n"/>
      <c r="AI7" s="59" t="n"/>
      <c r="AJ7" s="59" t="n"/>
      <c r="AK7" s="59" t="n"/>
      <c r="AL7" s="59" t="n"/>
      <c r="AM7" s="59" t="n"/>
      <c r="AN7" s="59" t="n"/>
      <c r="AO7" s="59" t="n"/>
      <c r="AP7" s="59" t="n"/>
      <c r="AQ7" s="59" t="n"/>
      <c r="AR7" s="59" t="n"/>
      <c r="AS7" s="54">
        <f>COUNTIF(D7:AR7,"C")</f>
        <v/>
      </c>
      <c r="AT7" s="54">
        <f>COUNTIF(D7:AR7,"R")</f>
        <v/>
      </c>
    </row>
    <row r="8">
      <c r="A8" s="57" t="n"/>
      <c r="B8" s="47" t="inlineStr">
        <is>
          <t>APP-03</t>
        </is>
      </c>
      <c r="C8" s="58">
        <f>IFERROR(INDEX(アプリケーション!$C:$C,MATCH(B8,アプリケーション!$A:$A,0)),"（IDなし）")</f>
        <v/>
      </c>
      <c r="D8" s="59" t="n"/>
      <c r="E8" s="59" t="n"/>
      <c r="F8" s="59" t="n"/>
      <c r="G8" s="59" t="n"/>
      <c r="H8" s="59" t="n"/>
      <c r="I8" s="59" t="inlineStr">
        <is>
          <t>R</t>
        </is>
      </c>
      <c r="J8" s="59" t="n"/>
      <c r="K8" s="59" t="inlineStr">
        <is>
          <t>R</t>
        </is>
      </c>
      <c r="L8" s="59" t="n"/>
      <c r="M8" s="59" t="inlineStr">
        <is>
          <t>C</t>
        </is>
      </c>
      <c r="N8" s="59" t="inlineStr">
        <is>
          <t>C</t>
        </is>
      </c>
      <c r="O8" s="59" t="inlineStr">
        <is>
          <t>C</t>
        </is>
      </c>
      <c r="P8" s="59" t="inlineStr">
        <is>
          <t>C</t>
        </is>
      </c>
      <c r="Q8" s="59" t="inlineStr">
        <is>
          <t>C</t>
        </is>
      </c>
      <c r="R8" s="59" t="n"/>
      <c r="S8" s="59" t="n"/>
      <c r="T8" s="59" t="inlineStr">
        <is>
          <t>C</t>
        </is>
      </c>
      <c r="U8" s="59" t="n"/>
      <c r="V8" s="59" t="n"/>
      <c r="W8" s="59" t="n"/>
      <c r="X8" s="59" t="n"/>
      <c r="Y8" s="59" t="n"/>
      <c r="Z8" s="59" t="inlineStr">
        <is>
          <t>R</t>
        </is>
      </c>
      <c r="AA8" s="59" t="n"/>
      <c r="AB8" s="59" t="n"/>
      <c r="AC8" s="59" t="inlineStr">
        <is>
          <t>R</t>
        </is>
      </c>
      <c r="AD8" s="59" t="n"/>
      <c r="AE8" s="59" t="inlineStr">
        <is>
          <t>R</t>
        </is>
      </c>
      <c r="AF8" s="59" t="n"/>
      <c r="AG8" s="59" t="n"/>
      <c r="AH8" s="59" t="n"/>
      <c r="AI8" s="59" t="n"/>
      <c r="AJ8" s="59" t="n"/>
      <c r="AK8" s="59" t="n"/>
      <c r="AL8" s="59" t="n"/>
      <c r="AM8" s="59" t="n"/>
      <c r="AN8" s="59" t="n"/>
      <c r="AO8" s="59" t="n"/>
      <c r="AP8" s="59" t="n"/>
      <c r="AQ8" s="59" t="n"/>
      <c r="AR8" s="59" t="n"/>
      <c r="AS8" s="54">
        <f>COUNTIF(D8:AR8,"C")</f>
        <v/>
      </c>
      <c r="AT8" s="54">
        <f>COUNTIF(D8:AR8,"R")</f>
        <v/>
      </c>
    </row>
    <row r="9">
      <c r="A9" s="57" t="n"/>
      <c r="B9" s="47" t="inlineStr">
        <is>
          <t>APP-04</t>
        </is>
      </c>
      <c r="C9" s="58">
        <f>IFERROR(INDEX(アプリケーション!$C:$C,MATCH(B9,アプリケーション!$A:$A,0)),"（IDなし）")</f>
        <v/>
      </c>
      <c r="D9" s="59" t="n"/>
      <c r="E9" s="59" t="inlineStr">
        <is>
          <t>R</t>
        </is>
      </c>
      <c r="F9" s="59" t="n"/>
      <c r="G9" s="59" t="n"/>
      <c r="H9" s="59" t="n"/>
      <c r="I9" s="59" t="n"/>
      <c r="J9" s="59" t="n"/>
      <c r="K9" s="59" t="n"/>
      <c r="L9" s="59" t="inlineStr">
        <is>
          <t>R</t>
        </is>
      </c>
      <c r="M9" s="59" t="n"/>
      <c r="N9" s="59" t="n"/>
      <c r="O9" s="59" t="n"/>
      <c r="P9" s="59" t="inlineStr">
        <is>
          <t>R</t>
        </is>
      </c>
      <c r="Q9" s="59" t="n"/>
      <c r="R9" s="59" t="n"/>
      <c r="S9" s="59" t="inlineStr">
        <is>
          <t>R</t>
        </is>
      </c>
      <c r="T9" s="59" t="n"/>
      <c r="U9" s="59" t="n"/>
      <c r="V9" s="59" t="n"/>
      <c r="W9" s="59" t="n"/>
      <c r="X9" s="59" t="inlineStr">
        <is>
          <t>R</t>
        </is>
      </c>
      <c r="Y9" s="59" t="inlineStr">
        <is>
          <t>C</t>
        </is>
      </c>
      <c r="Z9" s="59" t="inlineStr">
        <is>
          <t>C</t>
        </is>
      </c>
      <c r="AA9" s="59" t="n"/>
      <c r="AB9" s="59" t="n"/>
      <c r="AC9" s="59" t="n"/>
      <c r="AD9" s="59" t="n"/>
      <c r="AE9" s="59" t="inlineStr">
        <is>
          <t>R</t>
        </is>
      </c>
      <c r="AF9" s="59" t="n"/>
      <c r="AG9" s="59" t="n"/>
      <c r="AH9" s="59" t="n"/>
      <c r="AI9" s="59" t="inlineStr">
        <is>
          <t>R</t>
        </is>
      </c>
      <c r="AJ9" s="59" t="n"/>
      <c r="AK9" s="59" t="n"/>
      <c r="AL9" s="59" t="n"/>
      <c r="AM9" s="59" t="n"/>
      <c r="AN9" s="59" t="n"/>
      <c r="AO9" s="59" t="n"/>
      <c r="AP9" s="59" t="n"/>
      <c r="AQ9" s="59" t="n"/>
      <c r="AR9" s="59" t="n"/>
      <c r="AS9" s="54">
        <f>COUNTIF(D9:AR9,"C")</f>
        <v/>
      </c>
      <c r="AT9" s="54">
        <f>COUNTIF(D9:AR9,"R")</f>
        <v/>
      </c>
    </row>
    <row r="10">
      <c r="A10" s="57" t="inlineStr">
        <is>
          <t>契約</t>
        </is>
      </c>
      <c r="B10" s="47" t="inlineStr">
        <is>
          <t>APP-05</t>
        </is>
      </c>
      <c r="C10" s="58">
        <f>IFERROR(INDEX(アプリケーション!$C:$C,MATCH(B10,アプリケーション!$A:$A,0)),"（IDなし）")</f>
        <v/>
      </c>
      <c r="D10" s="59" t="inlineStr">
        <is>
          <t>R</t>
        </is>
      </c>
      <c r="E10" s="59" t="n"/>
      <c r="F10" s="59" t="n"/>
      <c r="G10" s="59" t="n"/>
      <c r="H10" s="59" t="n"/>
      <c r="I10" s="59" t="n"/>
      <c r="J10" s="59" t="n"/>
      <c r="K10" s="59" t="inlineStr">
        <is>
          <t>R</t>
        </is>
      </c>
      <c r="L10" s="59" t="inlineStr">
        <is>
          <t>R</t>
        </is>
      </c>
      <c r="M10" s="59" t="n"/>
      <c r="N10" s="59" t="n"/>
      <c r="O10" s="59" t="n"/>
      <c r="P10" s="59" t="inlineStr">
        <is>
          <t>R</t>
        </is>
      </c>
      <c r="Q10" s="59" t="inlineStr">
        <is>
          <t>R</t>
        </is>
      </c>
      <c r="R10" s="59" t="n"/>
      <c r="S10" s="59" t="n"/>
      <c r="T10" s="59" t="n"/>
      <c r="U10" s="59" t="n"/>
      <c r="V10" s="59" t="n"/>
      <c r="W10" s="59" t="inlineStr">
        <is>
          <t>C</t>
        </is>
      </c>
      <c r="X10" s="59" t="inlineStr">
        <is>
          <t>C</t>
        </is>
      </c>
      <c r="Y10" s="59" t="n"/>
      <c r="Z10" s="59" t="n"/>
      <c r="AA10" s="59" t="n"/>
      <c r="AB10" s="59" t="n"/>
      <c r="AC10" s="59" t="n"/>
      <c r="AD10" s="59" t="n"/>
      <c r="AE10" s="59" t="n"/>
      <c r="AF10" s="59" t="n"/>
      <c r="AG10" s="59" t="n"/>
      <c r="AH10" s="59" t="n"/>
      <c r="AI10" s="59" t="n"/>
      <c r="AJ10" s="59" t="n"/>
      <c r="AK10" s="59" t="n"/>
      <c r="AL10" s="59" t="n"/>
      <c r="AM10" s="59" t="n"/>
      <c r="AN10" s="59" t="n"/>
      <c r="AO10" s="59" t="n"/>
      <c r="AP10" s="59" t="n"/>
      <c r="AQ10" s="59" t="n"/>
      <c r="AR10" s="59" t="n"/>
      <c r="AS10" s="54">
        <f>COUNTIF(D10:AR10,"C")</f>
        <v/>
      </c>
      <c r="AT10" s="54">
        <f>COUNTIF(D10:AR10,"R")</f>
        <v/>
      </c>
    </row>
    <row r="11">
      <c r="A11" s="57" t="n"/>
      <c r="B11" s="47" t="inlineStr">
        <is>
          <t>APP-06</t>
        </is>
      </c>
      <c r="C11" s="58">
        <f>IFERROR(INDEX(アプリケーション!$C:$C,MATCH(B11,アプリケーション!$A:$A,0)),"（IDなし）")</f>
        <v/>
      </c>
      <c r="D11" s="59" t="inlineStr">
        <is>
          <t>R</t>
        </is>
      </c>
      <c r="E11" s="59" t="n"/>
      <c r="F11" s="59" t="n"/>
      <c r="G11" s="59" t="n"/>
      <c r="H11" s="59" t="n"/>
      <c r="I11" s="59" t="n"/>
      <c r="J11" s="59" t="n"/>
      <c r="K11" s="59" t="inlineStr">
        <is>
          <t>R</t>
        </is>
      </c>
      <c r="L11" s="59" t="inlineStr">
        <is>
          <t>R</t>
        </is>
      </c>
      <c r="M11" s="59" t="n"/>
      <c r="N11" s="59" t="n"/>
      <c r="O11" s="59" t="n"/>
      <c r="P11" s="59" t="inlineStr">
        <is>
          <t>R</t>
        </is>
      </c>
      <c r="Q11" s="59" t="inlineStr">
        <is>
          <t>R</t>
        </is>
      </c>
      <c r="R11" s="59" t="n"/>
      <c r="S11" s="59" t="n"/>
      <c r="T11" s="59" t="n"/>
      <c r="U11" s="59" t="n"/>
      <c r="V11" s="59" t="n"/>
      <c r="W11" s="59" t="inlineStr">
        <is>
          <t>C</t>
        </is>
      </c>
      <c r="X11" s="59" t="inlineStr">
        <is>
          <t>C</t>
        </is>
      </c>
      <c r="Y11" s="59" t="n"/>
      <c r="Z11" s="59" t="n"/>
      <c r="AA11" s="59" t="n"/>
      <c r="AB11" s="59" t="n"/>
      <c r="AC11" s="59" t="n"/>
      <c r="AD11" s="59" t="n"/>
      <c r="AE11" s="59" t="n"/>
      <c r="AF11" s="59" t="n"/>
      <c r="AG11" s="59" t="n"/>
      <c r="AH11" s="59" t="n"/>
      <c r="AI11" s="59" t="n"/>
      <c r="AJ11" s="59" t="n"/>
      <c r="AK11" s="59" t="n"/>
      <c r="AL11" s="59" t="n"/>
      <c r="AM11" s="59" t="n"/>
      <c r="AN11" s="59" t="n"/>
      <c r="AO11" s="59" t="n"/>
      <c r="AP11" s="59" t="n"/>
      <c r="AQ11" s="59" t="n"/>
      <c r="AR11" s="59" t="n"/>
      <c r="AS11" s="54">
        <f>COUNTIF(D11:AR11,"C")</f>
        <v/>
      </c>
      <c r="AT11" s="54">
        <f>COUNTIF(D11:AR11,"R")</f>
        <v/>
      </c>
    </row>
    <row r="12">
      <c r="A12" s="57" t="inlineStr">
        <is>
          <t>共通</t>
        </is>
      </c>
      <c r="B12" s="47" t="inlineStr">
        <is>
          <t>APP-07</t>
        </is>
      </c>
      <c r="C12" s="58">
        <f>IFERROR(INDEX(アプリケーション!$C:$C,MATCH(B12,アプリケーション!$A:$A,0)),"（IDなし）")</f>
        <v/>
      </c>
      <c r="D12" s="59" t="inlineStr">
        <is>
          <t>R</t>
        </is>
      </c>
      <c r="E12" s="59" t="n"/>
      <c r="F12" s="59" t="inlineStr">
        <is>
          <t>R</t>
        </is>
      </c>
      <c r="G12" s="59" t="inlineStr">
        <is>
          <t>C</t>
        </is>
      </c>
      <c r="H12" s="59" t="n"/>
      <c r="I12" s="59" t="n"/>
      <c r="J12" s="59" t="inlineStr">
        <is>
          <t>C</t>
        </is>
      </c>
      <c r="K12" s="59" t="inlineStr">
        <is>
          <t>C</t>
        </is>
      </c>
      <c r="L12" s="59" t="inlineStr">
        <is>
          <t>C</t>
        </is>
      </c>
      <c r="M12" s="59" t="n"/>
      <c r="N12" s="59" t="n"/>
      <c r="O12" s="59" t="n"/>
      <c r="P12" s="59" t="n"/>
      <c r="Q12" s="59" t="n"/>
      <c r="R12" s="59" t="n"/>
      <c r="S12" s="59" t="n"/>
      <c r="T12" s="59" t="n"/>
      <c r="U12" s="59" t="n"/>
      <c r="V12" s="59" t="n"/>
      <c r="W12" s="59" t="n"/>
      <c r="X12" s="59" t="inlineStr">
        <is>
          <t>R</t>
        </is>
      </c>
      <c r="Y12" s="59" t="n"/>
      <c r="Z12" s="59" t="n"/>
      <c r="AA12" s="59" t="n"/>
      <c r="AB12" s="59" t="n"/>
      <c r="AC12" s="59" t="n"/>
      <c r="AD12" s="59" t="n"/>
      <c r="AE12" s="59" t="n"/>
      <c r="AF12" s="59" t="inlineStr">
        <is>
          <t>R</t>
        </is>
      </c>
      <c r="AG12" s="59" t="n"/>
      <c r="AH12" s="59" t="n"/>
      <c r="AI12" s="59" t="n"/>
      <c r="AJ12" s="59" t="n"/>
      <c r="AK12" s="59" t="n"/>
      <c r="AL12" s="59" t="n"/>
      <c r="AM12" s="59" t="n"/>
      <c r="AN12" s="59" t="n"/>
      <c r="AO12" s="59" t="n"/>
      <c r="AP12" s="59" t="n"/>
      <c r="AQ12" s="59" t="n"/>
      <c r="AR12" s="59" t="n"/>
      <c r="AS12" s="54">
        <f>COUNTIF(D12:AR12,"C")</f>
        <v/>
      </c>
      <c r="AT12" s="54">
        <f>COUNTIF(D12:AR12,"R")</f>
        <v/>
      </c>
    </row>
    <row r="13">
      <c r="A13" s="57" t="inlineStr">
        <is>
          <t>受入</t>
        </is>
      </c>
      <c r="B13" s="47" t="inlineStr">
        <is>
          <t>APP-08</t>
        </is>
      </c>
      <c r="C13" s="58">
        <f>IFERROR(INDEX(アプリケーション!$C:$C,MATCH(B13,アプリケーション!$A:$A,0)),"（IDなし）")</f>
        <v/>
      </c>
      <c r="D13" s="59" t="n"/>
      <c r="E13" s="59" t="n"/>
      <c r="F13" s="59" t="n"/>
      <c r="G13" s="59" t="n"/>
      <c r="H13" s="59" t="n"/>
      <c r="I13" s="59" t="n"/>
      <c r="J13" s="59" t="n"/>
      <c r="K13" s="59" t="n"/>
      <c r="L13" s="59" t="n"/>
      <c r="M13" s="59" t="n"/>
      <c r="N13" s="59" t="n"/>
      <c r="O13" s="59" t="n"/>
      <c r="P13" s="59" t="n"/>
      <c r="Q13" s="59" t="n"/>
      <c r="R13" s="59" t="n"/>
      <c r="S13" s="59" t="n"/>
      <c r="T13" s="59" t="n"/>
      <c r="U13" s="59" t="n"/>
      <c r="V13" s="59" t="n"/>
      <c r="W13" s="59" t="n"/>
      <c r="X13" s="59" t="n"/>
      <c r="Y13" s="59" t="n"/>
      <c r="Z13" s="59" t="n"/>
      <c r="AA13" s="59" t="n"/>
      <c r="AB13" s="59" t="n"/>
      <c r="AC13" s="59" t="n"/>
      <c r="AD13" s="59" t="n"/>
      <c r="AE13" s="59" t="n"/>
      <c r="AF13" s="59" t="n"/>
      <c r="AG13" s="59" t="n"/>
      <c r="AH13" s="59" t="n"/>
      <c r="AI13" s="59" t="n"/>
      <c r="AJ13" s="59" t="n"/>
      <c r="AK13" s="59" t="n"/>
      <c r="AL13" s="59" t="n"/>
      <c r="AM13" s="59" t="n"/>
      <c r="AN13" s="59" t="n"/>
      <c r="AO13" s="59" t="n"/>
      <c r="AP13" s="59" t="n"/>
      <c r="AQ13" s="59" t="n"/>
      <c r="AR13" s="59" t="n"/>
      <c r="AS13" s="54">
        <f>COUNTIF(D13:AR13,"C")</f>
        <v/>
      </c>
      <c r="AT13" s="54">
        <f>COUNTIF(D13:AR13,"R")</f>
        <v/>
      </c>
    </row>
    <row r="14">
      <c r="A14" s="57" t="n"/>
      <c r="B14" s="47" t="inlineStr">
        <is>
          <t>APP-09</t>
        </is>
      </c>
      <c r="C14" s="58">
        <f>IFERROR(INDEX(アプリケーション!$C:$C,MATCH(B14,アプリケーション!$A:$A,0)),"（IDなし）")</f>
        <v/>
      </c>
      <c r="D14" s="59" t="inlineStr">
        <is>
          <t>R</t>
        </is>
      </c>
      <c r="E14" s="59" t="n"/>
      <c r="F14" s="59" t="n"/>
      <c r="G14" s="59" t="n"/>
      <c r="H14" s="59" t="n"/>
      <c r="I14" s="59" t="n"/>
      <c r="J14" s="59" t="inlineStr">
        <is>
          <t>R</t>
        </is>
      </c>
      <c r="K14" s="59" t="inlineStr">
        <is>
          <t>R</t>
        </is>
      </c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  <c r="U14" s="59" t="n"/>
      <c r="V14" s="59" t="n"/>
      <c r="W14" s="59" t="n"/>
      <c r="X14" s="59" t="n"/>
      <c r="Y14" s="59" t="inlineStr">
        <is>
          <t>R</t>
        </is>
      </c>
      <c r="Z14" s="59" t="inlineStr">
        <is>
          <t>R</t>
        </is>
      </c>
      <c r="AA14" s="59" t="inlineStr">
        <is>
          <t>C</t>
        </is>
      </c>
      <c r="AB14" s="59" t="inlineStr">
        <is>
          <t>C</t>
        </is>
      </c>
      <c r="AC14" s="59" t="inlineStr">
        <is>
          <t>C</t>
        </is>
      </c>
      <c r="AD14" s="59" t="inlineStr">
        <is>
          <t>R</t>
        </is>
      </c>
      <c r="AE14" s="59" t="n"/>
      <c r="AF14" s="59" t="inlineStr">
        <is>
          <t>C</t>
        </is>
      </c>
      <c r="AG14" s="59" t="inlineStr">
        <is>
          <t>C</t>
        </is>
      </c>
      <c r="AH14" s="59" t="n"/>
      <c r="AI14" s="59" t="n"/>
      <c r="AJ14" s="59" t="n"/>
      <c r="AK14" s="59" t="n"/>
      <c r="AL14" s="59" t="n"/>
      <c r="AM14" s="59" t="n"/>
      <c r="AN14" s="59" t="n"/>
      <c r="AO14" s="59" t="n"/>
      <c r="AP14" s="59" t="n"/>
      <c r="AQ14" s="59" t="n"/>
      <c r="AR14" s="59" t="n"/>
      <c r="AS14" s="54">
        <f>COUNTIF(D14:AR14,"C")</f>
        <v/>
      </c>
      <c r="AT14" s="54">
        <f>COUNTIF(D14:AR14,"R")</f>
        <v/>
      </c>
    </row>
    <row r="15">
      <c r="A15" s="57" t="n"/>
      <c r="B15" s="47" t="inlineStr">
        <is>
          <t>APP-10</t>
        </is>
      </c>
      <c r="C15" s="58">
        <f>IFERROR(INDEX(アプリケーション!$C:$C,MATCH(B15,アプリケーション!$A:$A,0)),"（IDなし）")</f>
        <v/>
      </c>
      <c r="D15" s="59" t="n"/>
      <c r="E15" s="59" t="n"/>
      <c r="F15" s="59" t="n"/>
      <c r="G15" s="59" t="n"/>
      <c r="H15" s="59" t="n"/>
      <c r="I15" s="59" t="n"/>
      <c r="J15" s="59" t="n"/>
      <c r="K15" s="59" t="inlineStr">
        <is>
          <t>R</t>
        </is>
      </c>
      <c r="L15" s="59" t="n"/>
      <c r="M15" s="59" t="n"/>
      <c r="N15" s="59" t="n"/>
      <c r="O15" s="59" t="n"/>
      <c r="P15" s="59" t="n"/>
      <c r="Q15" s="59" t="n"/>
      <c r="R15" s="59" t="n"/>
      <c r="S15" s="59" t="n"/>
      <c r="T15" s="59" t="n"/>
      <c r="U15" s="59" t="n"/>
      <c r="V15" s="59" t="n"/>
      <c r="W15" s="59" t="n"/>
      <c r="X15" s="59" t="n"/>
      <c r="Y15" s="59" t="inlineStr">
        <is>
          <t>R</t>
        </is>
      </c>
      <c r="Z15" s="59" t="inlineStr">
        <is>
          <t>R</t>
        </is>
      </c>
      <c r="AA15" s="59" t="inlineStr">
        <is>
          <t>C</t>
        </is>
      </c>
      <c r="AB15" s="59" t="inlineStr">
        <is>
          <t>C</t>
        </is>
      </c>
      <c r="AC15" s="59" t="inlineStr">
        <is>
          <t>C</t>
        </is>
      </c>
      <c r="AD15" s="59" t="n"/>
      <c r="AE15" s="59" t="n"/>
      <c r="AF15" s="59" t="n"/>
      <c r="AG15" s="59" t="n"/>
      <c r="AH15" s="59" t="n"/>
      <c r="AI15" s="59" t="n"/>
      <c r="AJ15" s="59" t="n"/>
      <c r="AK15" s="59" t="n"/>
      <c r="AL15" s="59" t="n"/>
      <c r="AM15" s="59" t="n"/>
      <c r="AN15" s="59" t="n"/>
      <c r="AO15" s="59" t="n"/>
      <c r="AP15" s="59" t="n"/>
      <c r="AQ15" s="59" t="n"/>
      <c r="AR15" s="59" t="n"/>
      <c r="AS15" s="54">
        <f>COUNTIF(D15:AR15,"C")</f>
        <v/>
      </c>
      <c r="AT15" s="54">
        <f>COUNTIF(D15:AR15,"R")</f>
        <v/>
      </c>
    </row>
    <row r="16">
      <c r="A16" s="57" t="n"/>
      <c r="B16" s="47" t="inlineStr">
        <is>
          <t>APP-11</t>
        </is>
      </c>
      <c r="C16" s="58">
        <f>IFERROR(INDEX(アプリケーション!$C:$C,MATCH(B16,アプリケーション!$A:$A,0)),"（IDなし）")</f>
        <v/>
      </c>
      <c r="D16" s="59" t="inlineStr">
        <is>
          <t>R</t>
        </is>
      </c>
      <c r="E16" s="59" t="n"/>
      <c r="F16" s="59" t="n"/>
      <c r="G16" s="59" t="n"/>
      <c r="H16" s="59" t="n"/>
      <c r="I16" s="59" t="n"/>
      <c r="J16" s="59" t="inlineStr">
        <is>
          <t>R</t>
        </is>
      </c>
      <c r="K16" s="59" t="n"/>
      <c r="L16" s="59" t="n"/>
      <c r="M16" s="59" t="n"/>
      <c r="N16" s="59" t="n"/>
      <c r="O16" s="59" t="n"/>
      <c r="P16" s="59" t="n"/>
      <c r="Q16" s="59" t="n"/>
      <c r="R16" s="59" t="n"/>
      <c r="S16" s="59" t="n"/>
      <c r="T16" s="59" t="n"/>
      <c r="U16" s="59" t="n"/>
      <c r="V16" s="59" t="n"/>
      <c r="W16" s="59" t="n"/>
      <c r="X16" s="59" t="n"/>
      <c r="Y16" s="59" t="inlineStr">
        <is>
          <t>R</t>
        </is>
      </c>
      <c r="Z16" s="59" t="n"/>
      <c r="AA16" s="59" t="n"/>
      <c r="AB16" s="59" t="n"/>
      <c r="AC16" s="59" t="inlineStr">
        <is>
          <t>R</t>
        </is>
      </c>
      <c r="AD16" s="59" t="inlineStr">
        <is>
          <t>R</t>
        </is>
      </c>
      <c r="AE16" s="59" t="n"/>
      <c r="AF16" s="59" t="inlineStr">
        <is>
          <t>C</t>
        </is>
      </c>
      <c r="AG16" s="59" t="inlineStr">
        <is>
          <t>C</t>
        </is>
      </c>
      <c r="AH16" s="59" t="n"/>
      <c r="AI16" s="59" t="n"/>
      <c r="AJ16" s="59" t="n"/>
      <c r="AK16" s="59" t="n"/>
      <c r="AL16" s="59" t="n"/>
      <c r="AM16" s="59" t="n"/>
      <c r="AN16" s="59" t="n"/>
      <c r="AO16" s="59" t="n"/>
      <c r="AP16" s="59" t="n"/>
      <c r="AQ16" s="59" t="n"/>
      <c r="AR16" s="59" t="n"/>
      <c r="AS16" s="54">
        <f>COUNTIF(D16:AR16,"C")</f>
        <v/>
      </c>
      <c r="AT16" s="54">
        <f>COUNTIF(D16:AR16,"R")</f>
        <v/>
      </c>
    </row>
    <row r="17">
      <c r="A17" s="57" t="inlineStr">
        <is>
          <t>支払</t>
        </is>
      </c>
      <c r="B17" s="47" t="inlineStr">
        <is>
          <t>APP-12</t>
        </is>
      </c>
      <c r="C17" s="58">
        <f>IFERROR(INDEX(アプリケーション!$C:$C,MATCH(B17,アプリケーション!$A:$A,0)),"（IDなし）")</f>
        <v/>
      </c>
      <c r="D17" s="59" t="n"/>
      <c r="E17" s="59" t="inlineStr">
        <is>
          <t>R</t>
        </is>
      </c>
      <c r="F17" s="59" t="n"/>
      <c r="G17" s="59" t="n"/>
      <c r="H17" s="59" t="n"/>
      <c r="I17" s="59" t="n"/>
      <c r="J17" s="59" t="n"/>
      <c r="K17" s="59" t="n"/>
      <c r="L17" s="59" t="n"/>
      <c r="M17" s="59" t="n"/>
      <c r="N17" s="59" t="n"/>
      <c r="O17" s="59" t="n"/>
      <c r="P17" s="59" t="n"/>
      <c r="Q17" s="59" t="n"/>
      <c r="R17" s="59" t="n"/>
      <c r="S17" s="59" t="n"/>
      <c r="T17" s="59" t="n"/>
      <c r="U17" s="59" t="n"/>
      <c r="V17" s="59" t="n"/>
      <c r="W17" s="59" t="n"/>
      <c r="X17" s="59" t="n"/>
      <c r="Y17" s="59" t="inlineStr">
        <is>
          <t>R</t>
        </is>
      </c>
      <c r="Z17" s="59" t="inlineStr">
        <is>
          <t>R</t>
        </is>
      </c>
      <c r="AA17" s="59" t="n"/>
      <c r="AB17" s="59" t="n"/>
      <c r="AC17" s="59" t="n"/>
      <c r="AD17" s="59" t="inlineStr">
        <is>
          <t>R</t>
        </is>
      </c>
      <c r="AE17" s="59" t="inlineStr">
        <is>
          <t>R</t>
        </is>
      </c>
      <c r="AF17" s="59" t="n"/>
      <c r="AG17" s="59" t="n"/>
      <c r="AH17" s="59" t="inlineStr">
        <is>
          <t>C</t>
        </is>
      </c>
      <c r="AI17" s="59" t="inlineStr">
        <is>
          <t>C</t>
        </is>
      </c>
      <c r="AJ17" s="59" t="n"/>
      <c r="AK17" s="59" t="n"/>
      <c r="AL17" s="59" t="n"/>
      <c r="AM17" s="59" t="n"/>
      <c r="AN17" s="59" t="n"/>
      <c r="AO17" s="59" t="n"/>
      <c r="AP17" s="59" t="n"/>
      <c r="AQ17" s="59" t="n"/>
      <c r="AR17" s="59" t="n"/>
      <c r="AS17" s="54">
        <f>COUNTIF(D17:AR17,"C")</f>
        <v/>
      </c>
      <c r="AT17" s="54">
        <f>COUNTIF(D17:AR17,"R")</f>
        <v/>
      </c>
    </row>
    <row r="18">
      <c r="A18" s="57" t="n"/>
      <c r="B18" s="47" t="inlineStr">
        <is>
          <t>APP-13</t>
        </is>
      </c>
      <c r="C18" s="58">
        <f>IFERROR(INDEX(アプリケーション!$C:$C,MATCH(B18,アプリケーション!$A:$A,0)),"（IDなし）")</f>
        <v/>
      </c>
      <c r="D18" s="59" t="n"/>
      <c r="E18" s="59" t="inlineStr">
        <is>
          <t>R</t>
        </is>
      </c>
      <c r="F18" s="59" t="inlineStr">
        <is>
          <t>R</t>
        </is>
      </c>
      <c r="G18" s="59" t="n"/>
      <c r="H18" s="59" t="n"/>
      <c r="I18" s="59" t="n"/>
      <c r="J18" s="59" t="n"/>
      <c r="K18" s="59" t="n"/>
      <c r="L18" s="59" t="n"/>
      <c r="M18" s="59" t="n"/>
      <c r="N18" s="59" t="n"/>
      <c r="O18" s="59" t="n"/>
      <c r="P18" s="59" t="n"/>
      <c r="Q18" s="59" t="n"/>
      <c r="R18" s="59" t="n"/>
      <c r="S18" s="59" t="inlineStr">
        <is>
          <t>R</t>
        </is>
      </c>
      <c r="T18" s="59" t="n"/>
      <c r="U18" s="59" t="n"/>
      <c r="V18" s="59" t="inlineStr">
        <is>
          <t>C</t>
        </is>
      </c>
      <c r="W18" s="59" t="inlineStr">
        <is>
          <t>R</t>
        </is>
      </c>
      <c r="X18" s="59" t="n"/>
      <c r="Y18" s="59" t="inlineStr">
        <is>
          <t>R</t>
        </is>
      </c>
      <c r="Z18" s="59" t="inlineStr">
        <is>
          <t>R</t>
        </is>
      </c>
      <c r="AA18" s="59" t="n"/>
      <c r="AB18" s="59" t="inlineStr">
        <is>
          <t>R</t>
        </is>
      </c>
      <c r="AC18" s="59" t="n"/>
      <c r="AD18" s="59" t="inlineStr">
        <is>
          <t>R</t>
        </is>
      </c>
      <c r="AE18" s="59" t="inlineStr">
        <is>
          <t>R</t>
        </is>
      </c>
      <c r="AF18" s="59" t="n"/>
      <c r="AG18" s="59" t="n"/>
      <c r="AH18" s="59" t="inlineStr">
        <is>
          <t>C</t>
        </is>
      </c>
      <c r="AI18" s="59" t="inlineStr">
        <is>
          <t>C</t>
        </is>
      </c>
      <c r="AJ18" s="59" t="inlineStr">
        <is>
          <t>C</t>
        </is>
      </c>
      <c r="AK18" s="59" t="inlineStr">
        <is>
          <t>C</t>
        </is>
      </c>
      <c r="AL18" s="59" t="inlineStr">
        <is>
          <t>C</t>
        </is>
      </c>
      <c r="AM18" s="59" t="inlineStr">
        <is>
          <t>C</t>
        </is>
      </c>
      <c r="AN18" s="59" t="inlineStr">
        <is>
          <t>C</t>
        </is>
      </c>
      <c r="AO18" s="59" t="inlineStr">
        <is>
          <t>C</t>
        </is>
      </c>
      <c r="AP18" s="59" t="n"/>
      <c r="AQ18" s="59" t="n"/>
      <c r="AR18" s="59" t="n"/>
      <c r="AS18" s="54">
        <f>COUNTIF(D18:AR18,"C")</f>
        <v/>
      </c>
      <c r="AT18" s="54">
        <f>COUNTIF(D18:AR18,"R")</f>
        <v/>
      </c>
    </row>
    <row r="19">
      <c r="A19" s="57" t="n"/>
      <c r="B19" s="47" t="inlineStr">
        <is>
          <t>APP-14</t>
        </is>
      </c>
      <c r="C19" s="58">
        <f>IFERROR(INDEX(アプリケーション!$C:$C,MATCH(B19,アプリケーション!$A:$A,0)),"（IDなし）")</f>
        <v/>
      </c>
      <c r="D19" s="59" t="n"/>
      <c r="E19" s="59" t="inlineStr">
        <is>
          <t>R</t>
        </is>
      </c>
      <c r="F19" s="59" t="inlineStr">
        <is>
          <t>R</t>
        </is>
      </c>
      <c r="G19" s="59" t="n"/>
      <c r="H19" s="59" t="n"/>
      <c r="I19" s="59" t="n"/>
      <c r="J19" s="59" t="n"/>
      <c r="K19" s="59" t="n"/>
      <c r="L19" s="59" t="n"/>
      <c r="M19" s="59" t="n"/>
      <c r="N19" s="59" t="n"/>
      <c r="O19" s="59" t="n"/>
      <c r="P19" s="59" t="n"/>
      <c r="Q19" s="59" t="n"/>
      <c r="R19" s="59" t="n"/>
      <c r="S19" s="59" t="inlineStr">
        <is>
          <t>R</t>
        </is>
      </c>
      <c r="T19" s="59" t="n"/>
      <c r="U19" s="59" t="n"/>
      <c r="V19" s="59" t="n"/>
      <c r="W19" s="59" t="n"/>
      <c r="X19" s="59" t="n"/>
      <c r="Y19" s="59" t="n"/>
      <c r="Z19" s="59" t="n"/>
      <c r="AA19" s="59" t="n"/>
      <c r="AB19" s="59" t="n"/>
      <c r="AC19" s="59" t="n"/>
      <c r="AD19" s="59" t="inlineStr">
        <is>
          <t>R</t>
        </is>
      </c>
      <c r="AE19" s="59" t="n"/>
      <c r="AF19" s="59" t="n"/>
      <c r="AG19" s="59" t="n"/>
      <c r="AH19" s="59" t="n"/>
      <c r="AI19" s="59" t="n"/>
      <c r="AJ19" s="59" t="inlineStr">
        <is>
          <t>C</t>
        </is>
      </c>
      <c r="AK19" s="59" t="inlineStr">
        <is>
          <t>C</t>
        </is>
      </c>
      <c r="AL19" s="59" t="inlineStr">
        <is>
          <t>R</t>
        </is>
      </c>
      <c r="AM19" s="59" t="n"/>
      <c r="AN19" s="59" t="n"/>
      <c r="AO19" s="59" t="n"/>
      <c r="AP19" s="59" t="n"/>
      <c r="AQ19" s="59" t="n"/>
      <c r="AR19" s="59" t="n"/>
      <c r="AS19" s="54">
        <f>COUNTIF(D19:AR19,"C")</f>
        <v/>
      </c>
      <c r="AT19" s="54">
        <f>COUNTIF(D19:AR19,"R")</f>
        <v/>
      </c>
    </row>
    <row r="20">
      <c r="A20" s="57" t="n"/>
      <c r="B20" s="47" t="inlineStr">
        <is>
          <t>APP-15</t>
        </is>
      </c>
      <c r="C20" s="58">
        <f>IFERROR(INDEX(アプリケーション!$C:$C,MATCH(B20,アプリケーション!$A:$A,0)),"（IDなし）")</f>
        <v/>
      </c>
      <c r="D20" s="59" t="n"/>
      <c r="E20" s="59" t="inlineStr">
        <is>
          <t>R</t>
        </is>
      </c>
      <c r="F20" s="59" t="n"/>
      <c r="G20" s="59" t="n"/>
      <c r="H20" s="59" t="n"/>
      <c r="I20" s="59" t="n"/>
      <c r="J20" s="59" t="n"/>
      <c r="K20" s="59" t="n"/>
      <c r="L20" s="59" t="n"/>
      <c r="M20" s="59" t="n"/>
      <c r="N20" s="59" t="n"/>
      <c r="O20" s="59" t="n"/>
      <c r="P20" s="59" t="n"/>
      <c r="Q20" s="59" t="n"/>
      <c r="R20" s="59" t="n"/>
      <c r="S20" s="59" t="n"/>
      <c r="T20" s="59" t="n"/>
      <c r="U20" s="59" t="n"/>
      <c r="V20" s="59" t="inlineStr">
        <is>
          <t>C</t>
        </is>
      </c>
      <c r="W20" s="59" t="inlineStr">
        <is>
          <t>R</t>
        </is>
      </c>
      <c r="X20" s="59" t="n"/>
      <c r="Y20" s="59" t="inlineStr">
        <is>
          <t>R</t>
        </is>
      </c>
      <c r="Z20" s="59" t="n"/>
      <c r="AA20" s="59" t="n"/>
      <c r="AB20" s="59" t="inlineStr">
        <is>
          <t>R</t>
        </is>
      </c>
      <c r="AC20" s="59" t="n"/>
      <c r="AD20" s="59" t="inlineStr">
        <is>
          <t>R</t>
        </is>
      </c>
      <c r="AE20" s="59" t="n"/>
      <c r="AF20" s="59" t="n"/>
      <c r="AG20" s="59" t="n"/>
      <c r="AH20" s="59" t="inlineStr">
        <is>
          <t>R</t>
        </is>
      </c>
      <c r="AI20" s="59" t="inlineStr">
        <is>
          <t>R</t>
        </is>
      </c>
      <c r="AJ20" s="59" t="n"/>
      <c r="AK20" s="59" t="inlineStr">
        <is>
          <t>R</t>
        </is>
      </c>
      <c r="AL20" s="59" t="inlineStr">
        <is>
          <t>C</t>
        </is>
      </c>
      <c r="AM20" s="59" t="inlineStr">
        <is>
          <t>C</t>
        </is>
      </c>
      <c r="AN20" s="59" t="inlineStr">
        <is>
          <t>C</t>
        </is>
      </c>
      <c r="AO20" s="59" t="inlineStr">
        <is>
          <t>C</t>
        </is>
      </c>
      <c r="AP20" s="59" t="n"/>
      <c r="AQ20" s="59" t="n"/>
      <c r="AR20" s="59" t="n"/>
      <c r="AS20" s="54">
        <f>COUNTIF(D20:AR20,"C")</f>
        <v/>
      </c>
      <c r="AT20" s="54">
        <f>COUNTIF(D20:AR20,"R")</f>
        <v/>
      </c>
    </row>
    <row r="21">
      <c r="A21" s="57" t="inlineStr">
        <is>
          <t>サプライヤー</t>
        </is>
      </c>
      <c r="B21" s="47" t="inlineStr">
        <is>
          <t>APP-16</t>
        </is>
      </c>
      <c r="C21" s="58">
        <f>IFERROR(INDEX(アプリケーション!$C:$C,MATCH(B21,アプリケーション!$A:$A,0)),"（IDなし）")</f>
        <v/>
      </c>
      <c r="D21" s="59" t="inlineStr">
        <is>
          <t>R</t>
        </is>
      </c>
      <c r="E21" s="59" t="inlineStr">
        <is>
          <t>C</t>
        </is>
      </c>
      <c r="F21" s="59" t="n"/>
      <c r="G21" s="59" t="n"/>
      <c r="H21" s="59" t="n"/>
      <c r="I21" s="59" t="n"/>
      <c r="J21" s="59" t="n"/>
      <c r="K21" s="59" t="inlineStr">
        <is>
          <t>R</t>
        </is>
      </c>
      <c r="L21" s="59" t="n"/>
      <c r="M21" s="59" t="inlineStr">
        <is>
          <t>R</t>
        </is>
      </c>
      <c r="N21" s="59" t="n"/>
      <c r="O21" s="59" t="n"/>
      <c r="P21" s="59" t="n"/>
      <c r="Q21" s="59" t="n"/>
      <c r="R21" s="59" t="inlineStr">
        <is>
          <t>C</t>
        </is>
      </c>
      <c r="S21" s="59" t="inlineStr">
        <is>
          <t>C</t>
        </is>
      </c>
      <c r="T21" s="59" t="n"/>
      <c r="U21" s="59" t="n"/>
      <c r="V21" s="59" t="n"/>
      <c r="W21" s="59" t="n"/>
      <c r="X21" s="59" t="n"/>
      <c r="Y21" s="59" t="n"/>
      <c r="Z21" s="59" t="n"/>
      <c r="AA21" s="59" t="n"/>
      <c r="AB21" s="59" t="n"/>
      <c r="AC21" s="59" t="n"/>
      <c r="AD21" s="59" t="n"/>
      <c r="AE21" s="59" t="n"/>
      <c r="AF21" s="59" t="n"/>
      <c r="AG21" s="59" t="n"/>
      <c r="AH21" s="59" t="n"/>
      <c r="AI21" s="59" t="n"/>
      <c r="AJ21" s="59" t="n"/>
      <c r="AK21" s="59" t="n"/>
      <c r="AL21" s="59" t="n"/>
      <c r="AM21" s="59" t="n"/>
      <c r="AN21" s="59" t="n"/>
      <c r="AO21" s="59" t="n"/>
      <c r="AP21" s="59" t="n"/>
      <c r="AQ21" s="59" t="n"/>
      <c r="AR21" s="59" t="n"/>
      <c r="AS21" s="54">
        <f>COUNTIF(D21:AR21,"C")</f>
        <v/>
      </c>
      <c r="AT21" s="54">
        <f>COUNTIF(D21:AR21,"R")</f>
        <v/>
      </c>
    </row>
    <row r="22">
      <c r="A22" s="57" t="n"/>
      <c r="B22" s="47" t="inlineStr">
        <is>
          <t>APP-17</t>
        </is>
      </c>
      <c r="C22" s="58">
        <f>IFERROR(INDEX(アプリケーション!$C:$C,MATCH(B22,アプリケーション!$A:$A,0)),"（IDなし）")</f>
        <v/>
      </c>
      <c r="D22" s="59" t="n"/>
      <c r="E22" s="59" t="inlineStr">
        <is>
          <t>R</t>
        </is>
      </c>
      <c r="F22" s="59" t="n"/>
      <c r="G22" s="59" t="n"/>
      <c r="H22" s="59" t="inlineStr">
        <is>
          <t>R</t>
        </is>
      </c>
      <c r="I22" s="59" t="n"/>
      <c r="J22" s="59" t="n"/>
      <c r="K22" s="59" t="n"/>
      <c r="L22" s="59" t="n"/>
      <c r="M22" s="59" t="n"/>
      <c r="N22" s="59" t="n"/>
      <c r="O22" s="59" t="n"/>
      <c r="P22" s="59" t="n"/>
      <c r="Q22" s="59" t="n"/>
      <c r="R22" s="59" t="n"/>
      <c r="S22" s="59" t="n"/>
      <c r="T22" s="59" t="inlineStr">
        <is>
          <t>R</t>
        </is>
      </c>
      <c r="U22" s="59" t="inlineStr">
        <is>
          <t>C</t>
        </is>
      </c>
      <c r="V22" s="59" t="n"/>
      <c r="W22" s="59" t="n"/>
      <c r="X22" s="59" t="n"/>
      <c r="Y22" s="59" t="n"/>
      <c r="Z22" s="59" t="n"/>
      <c r="AA22" s="59" t="n"/>
      <c r="AB22" s="59" t="n"/>
      <c r="AC22" s="59" t="n"/>
      <c r="AD22" s="59" t="n"/>
      <c r="AE22" s="59" t="n"/>
      <c r="AF22" s="59" t="n"/>
      <c r="AG22" s="59" t="n"/>
      <c r="AH22" s="59" t="n"/>
      <c r="AI22" s="59" t="n"/>
      <c r="AJ22" s="59" t="n"/>
      <c r="AK22" s="59" t="n"/>
      <c r="AL22" s="59" t="n"/>
      <c r="AM22" s="59" t="n"/>
      <c r="AN22" s="59" t="n"/>
      <c r="AO22" s="59" t="n"/>
      <c r="AP22" s="59" t="n"/>
      <c r="AQ22" s="59" t="n"/>
      <c r="AR22" s="59" t="n"/>
      <c r="AS22" s="54">
        <f>COUNTIF(D22:AR22,"C")</f>
        <v/>
      </c>
      <c r="AT22" s="54">
        <f>COUNTIF(D22:AR22,"R")</f>
        <v/>
      </c>
    </row>
    <row r="23">
      <c r="A23" s="57" t="inlineStr">
        <is>
          <t>共通</t>
        </is>
      </c>
      <c r="B23" s="47" t="inlineStr">
        <is>
          <t>APP-18</t>
        </is>
      </c>
      <c r="C23" s="58">
        <f>IFERROR(INDEX(アプリケーション!$C:$C,MATCH(B23,アプリケーション!$A:$A,0)),"（IDなし）")</f>
        <v/>
      </c>
      <c r="D23" s="59" t="inlineStr">
        <is>
          <t>C</t>
        </is>
      </c>
      <c r="E23" s="59" t="inlineStr">
        <is>
          <t>C</t>
        </is>
      </c>
      <c r="F23" s="59" t="n"/>
      <c r="G23" s="59" t="n"/>
      <c r="H23" s="59" t="n"/>
      <c r="I23" s="59" t="n"/>
      <c r="J23" s="59" t="n"/>
      <c r="K23" s="59" t="inlineStr">
        <is>
          <t>R</t>
        </is>
      </c>
      <c r="L23" s="59" t="n"/>
      <c r="M23" s="59" t="inlineStr">
        <is>
          <t>R</t>
        </is>
      </c>
      <c r="N23" s="59" t="n"/>
      <c r="O23" s="59" t="n"/>
      <c r="P23" s="59" t="n"/>
      <c r="Q23" s="59" t="n"/>
      <c r="R23" s="59" t="inlineStr">
        <is>
          <t>C</t>
        </is>
      </c>
      <c r="S23" s="59" t="inlineStr">
        <is>
          <t>C</t>
        </is>
      </c>
      <c r="T23" s="59" t="n"/>
      <c r="U23" s="59" t="n"/>
      <c r="V23" s="59" t="n"/>
      <c r="W23" s="59" t="inlineStr">
        <is>
          <t>R</t>
        </is>
      </c>
      <c r="X23" s="59" t="inlineStr">
        <is>
          <t>R</t>
        </is>
      </c>
      <c r="Y23" s="59" t="n"/>
      <c r="Z23" s="59" t="n"/>
      <c r="AA23" s="59" t="n"/>
      <c r="AB23" s="59" t="n"/>
      <c r="AC23" s="59" t="n"/>
      <c r="AD23" s="59" t="n"/>
      <c r="AE23" s="59" t="n"/>
      <c r="AF23" s="59" t="n"/>
      <c r="AG23" s="59" t="n"/>
      <c r="AH23" s="59" t="n"/>
      <c r="AI23" s="59" t="n"/>
      <c r="AJ23" s="59" t="n"/>
      <c r="AK23" s="59" t="n"/>
      <c r="AL23" s="59" t="n"/>
      <c r="AM23" s="59" t="n"/>
      <c r="AN23" s="59" t="n"/>
      <c r="AO23" s="59" t="n"/>
      <c r="AP23" s="59" t="n"/>
      <c r="AQ23" s="59" t="n"/>
      <c r="AR23" s="59" t="n"/>
      <c r="AS23" s="54">
        <f>COUNTIF(D23:AR23,"C")</f>
        <v/>
      </c>
      <c r="AT23" s="54">
        <f>COUNTIF(D23:AR23,"R")</f>
        <v/>
      </c>
    </row>
    <row r="24">
      <c r="A24" s="57" t="n"/>
      <c r="B24" s="47" t="inlineStr">
        <is>
          <t>APP-19</t>
        </is>
      </c>
      <c r="C24" s="58">
        <f>IFERROR(INDEX(アプリケーション!$C:$C,MATCH(B24,アプリケーション!$A:$A,0)),"（IDなし）")</f>
        <v/>
      </c>
      <c r="D24" s="59" t="n"/>
      <c r="E24" s="59" t="n"/>
      <c r="F24" s="59" t="n"/>
      <c r="G24" s="59" t="inlineStr">
        <is>
          <t>C</t>
        </is>
      </c>
      <c r="H24" s="59" t="inlineStr">
        <is>
          <t>C</t>
        </is>
      </c>
      <c r="I24" s="59" t="inlineStr">
        <is>
          <t>C</t>
        </is>
      </c>
      <c r="J24" s="59" t="n"/>
      <c r="K24" s="59" t="n"/>
      <c r="L24" s="59" t="inlineStr">
        <is>
          <t>R</t>
        </is>
      </c>
      <c r="M24" s="59" t="n"/>
      <c r="N24" s="59" t="n"/>
      <c r="O24" s="59" t="n"/>
      <c r="P24" s="59" t="inlineStr">
        <is>
          <t>R</t>
        </is>
      </c>
      <c r="Q24" s="59" t="n"/>
      <c r="R24" s="59" t="n"/>
      <c r="S24" s="59" t="n"/>
      <c r="T24" s="59" t="n"/>
      <c r="U24" s="59" t="inlineStr">
        <is>
          <t>R</t>
        </is>
      </c>
      <c r="V24" s="59" t="n"/>
      <c r="W24" s="59" t="n"/>
      <c r="X24" s="59" t="n"/>
      <c r="Y24" s="59" t="inlineStr">
        <is>
          <t>R</t>
        </is>
      </c>
      <c r="Z24" s="59" t="n"/>
      <c r="AA24" s="59" t="n"/>
      <c r="AB24" s="59" t="n"/>
      <c r="AC24" s="59" t="n"/>
      <c r="AD24" s="59" t="n"/>
      <c r="AE24" s="59" t="n"/>
      <c r="AF24" s="59" t="n"/>
      <c r="AG24" s="59" t="n"/>
      <c r="AH24" s="59" t="n"/>
      <c r="AI24" s="59" t="n"/>
      <c r="AJ24" s="59" t="n"/>
      <c r="AK24" s="59" t="n"/>
      <c r="AL24" s="59" t="inlineStr">
        <is>
          <t>R</t>
        </is>
      </c>
      <c r="AM24" s="59" t="n"/>
      <c r="AN24" s="59" t="n"/>
      <c r="AO24" s="59" t="n"/>
      <c r="AP24" s="59" t="inlineStr">
        <is>
          <t>C</t>
        </is>
      </c>
      <c r="AQ24" s="59" t="n"/>
      <c r="AR24" s="59" t="n"/>
      <c r="AS24" s="54">
        <f>COUNTIF(D24:AR24,"C")</f>
        <v/>
      </c>
      <c r="AT24" s="54">
        <f>COUNTIF(D24:AR24,"R")</f>
        <v/>
      </c>
    </row>
    <row r="25">
      <c r="A25" s="57" t="n"/>
      <c r="B25" s="47" t="inlineStr">
        <is>
          <t>APP-20</t>
        </is>
      </c>
      <c r="C25" s="58">
        <f>IFERROR(INDEX(アプリケーション!$C:$C,MATCH(B25,アプリケーション!$A:$A,0)),"（IDなし）")</f>
        <v/>
      </c>
      <c r="D25" s="59" t="n"/>
      <c r="E25" s="59" t="inlineStr">
        <is>
          <t>R</t>
        </is>
      </c>
      <c r="F25" s="59" t="inlineStr">
        <is>
          <t>R</t>
        </is>
      </c>
      <c r="G25" s="59" t="n"/>
      <c r="H25" s="59" t="n"/>
      <c r="I25" s="59" t="n"/>
      <c r="J25" s="59" t="n"/>
      <c r="K25" s="59" t="n"/>
      <c r="L25" s="59" t="n"/>
      <c r="M25" s="59" t="n"/>
      <c r="N25" s="59" t="n"/>
      <c r="O25" s="59" t="n"/>
      <c r="P25" s="59" t="n"/>
      <c r="Q25" s="59" t="inlineStr">
        <is>
          <t>R</t>
        </is>
      </c>
      <c r="R25" s="59" t="inlineStr">
        <is>
          <t>R</t>
        </is>
      </c>
      <c r="S25" s="59" t="inlineStr">
        <is>
          <t>R</t>
        </is>
      </c>
      <c r="T25" s="59" t="n"/>
      <c r="U25" s="59" t="n"/>
      <c r="V25" s="59" t="n"/>
      <c r="W25" s="59" t="n"/>
      <c r="X25" s="59" t="n"/>
      <c r="Y25" s="59" t="n"/>
      <c r="Z25" s="59" t="n"/>
      <c r="AA25" s="59" t="n"/>
      <c r="AB25" s="59" t="n"/>
      <c r="AC25" s="59" t="n"/>
      <c r="AD25" s="59" t="n"/>
      <c r="AE25" s="59" t="inlineStr">
        <is>
          <t>R</t>
        </is>
      </c>
      <c r="AF25" s="59" t="n"/>
      <c r="AG25" s="59" t="n"/>
      <c r="AH25" s="59" t="n"/>
      <c r="AI25" s="59" t="n"/>
      <c r="AJ25" s="59" t="inlineStr">
        <is>
          <t>R</t>
        </is>
      </c>
      <c r="AK25" s="59" t="n"/>
      <c r="AL25" s="59" t="n"/>
      <c r="AM25" s="59" t="n"/>
      <c r="AN25" s="59" t="n"/>
      <c r="AO25" s="59" t="inlineStr">
        <is>
          <t>R</t>
        </is>
      </c>
      <c r="AP25" s="59" t="n"/>
      <c r="AQ25" s="59" t="inlineStr">
        <is>
          <t>R</t>
        </is>
      </c>
      <c r="AR25" s="59" t="inlineStr">
        <is>
          <t>C</t>
        </is>
      </c>
      <c r="AS25" s="54">
        <f>COUNTIF(D25:AR25,"C")</f>
        <v/>
      </c>
      <c r="AT25" s="54">
        <f>COUNTIF(D25:AR25,"R")</f>
        <v/>
      </c>
    </row>
    <row r="26">
      <c r="C26" s="57" t="inlineStr">
        <is>
          <t>Cの数</t>
        </is>
      </c>
      <c r="D26" s="54">
        <f>COUNTIF(D$6:D$25,"C")</f>
        <v/>
      </c>
      <c r="E26" s="54">
        <f>COUNTIF(E$6:E$25,"C")</f>
        <v/>
      </c>
      <c r="F26" s="54">
        <f>COUNTIF(F$6:F$25,"C")</f>
        <v/>
      </c>
      <c r="G26" s="54">
        <f>COUNTIF(G$6:G$25,"C")</f>
        <v/>
      </c>
      <c r="H26" s="54">
        <f>COUNTIF(H$6:H$25,"C")</f>
        <v/>
      </c>
      <c r="I26" s="54">
        <f>COUNTIF(I$6:I$25,"C")</f>
        <v/>
      </c>
      <c r="J26" s="54">
        <f>COUNTIF(J$6:J$25,"C")</f>
        <v/>
      </c>
      <c r="K26" s="54">
        <f>COUNTIF(K$6:K$25,"C")</f>
        <v/>
      </c>
      <c r="L26" s="54">
        <f>COUNTIF(L$6:L$25,"C")</f>
        <v/>
      </c>
      <c r="M26" s="54">
        <f>COUNTIF(M$6:M$25,"C")</f>
        <v/>
      </c>
      <c r="N26" s="54">
        <f>COUNTIF(N$6:N$25,"C")</f>
        <v/>
      </c>
      <c r="O26" s="54">
        <f>COUNTIF(O$6:O$25,"C")</f>
        <v/>
      </c>
      <c r="P26" s="54">
        <f>COUNTIF(P$6:P$25,"C")</f>
        <v/>
      </c>
      <c r="Q26" s="54">
        <f>COUNTIF(Q$6:Q$25,"C")</f>
        <v/>
      </c>
      <c r="R26" s="54">
        <f>COUNTIF(R$6:R$25,"C")</f>
        <v/>
      </c>
      <c r="S26" s="54">
        <f>COUNTIF(S$6:S$25,"C")</f>
        <v/>
      </c>
      <c r="T26" s="54">
        <f>COUNTIF(T$6:T$25,"C")</f>
        <v/>
      </c>
      <c r="U26" s="54">
        <f>COUNTIF(U$6:U$25,"C")</f>
        <v/>
      </c>
      <c r="V26" s="54">
        <f>COUNTIF(V$6:V$25,"C")</f>
        <v/>
      </c>
      <c r="W26" s="54">
        <f>COUNTIF(W$6:W$25,"C")</f>
        <v/>
      </c>
      <c r="X26" s="54">
        <f>COUNTIF(X$6:X$25,"C")</f>
        <v/>
      </c>
      <c r="Y26" s="54">
        <f>COUNTIF(Y$6:Y$25,"C")</f>
        <v/>
      </c>
      <c r="Z26" s="54">
        <f>COUNTIF(Z$6:Z$25,"C")</f>
        <v/>
      </c>
      <c r="AA26" s="54">
        <f>COUNTIF(AA$6:AA$25,"C")</f>
        <v/>
      </c>
      <c r="AB26" s="54">
        <f>COUNTIF(AB$6:AB$25,"C")</f>
        <v/>
      </c>
      <c r="AC26" s="54">
        <f>COUNTIF(AC$6:AC$25,"C")</f>
        <v/>
      </c>
      <c r="AD26" s="54">
        <f>COUNTIF(AD$6:AD$25,"C")</f>
        <v/>
      </c>
      <c r="AE26" s="54">
        <f>COUNTIF(AE$6:AE$25,"C")</f>
        <v/>
      </c>
      <c r="AF26" s="54">
        <f>COUNTIF(AF$6:AF$25,"C")</f>
        <v/>
      </c>
      <c r="AG26" s="54">
        <f>COUNTIF(AG$6:AG$25,"C")</f>
        <v/>
      </c>
      <c r="AH26" s="54">
        <f>COUNTIF(AH$6:AH$25,"C")</f>
        <v/>
      </c>
      <c r="AI26" s="54">
        <f>COUNTIF(AI$6:AI$25,"C")</f>
        <v/>
      </c>
      <c r="AJ26" s="54">
        <f>COUNTIF(AJ$6:AJ$25,"C")</f>
        <v/>
      </c>
      <c r="AK26" s="54">
        <f>COUNTIF(AK$6:AK$25,"C")</f>
        <v/>
      </c>
      <c r="AL26" s="54">
        <f>COUNTIF(AL$6:AL$25,"C")</f>
        <v/>
      </c>
      <c r="AM26" s="54">
        <f>COUNTIF(AM$6:AM$25,"C")</f>
        <v/>
      </c>
      <c r="AN26" s="54">
        <f>COUNTIF(AN$6:AN$25,"C")</f>
        <v/>
      </c>
      <c r="AO26" s="54">
        <f>COUNTIF(AO$6:AO$25,"C")</f>
        <v/>
      </c>
      <c r="AP26" s="54">
        <f>COUNTIF(AP$6:AP$25,"C")</f>
        <v/>
      </c>
      <c r="AQ26" s="54">
        <f>COUNTIF(AQ$6:AQ$25,"C")</f>
        <v/>
      </c>
      <c r="AR26" s="54">
        <f>COUNTIF(AR$6:AR$25,"C")</f>
        <v/>
      </c>
    </row>
    <row r="27">
      <c r="C27" s="57" t="inlineStr">
        <is>
          <t>Rの数</t>
        </is>
      </c>
      <c r="D27" s="54">
        <f>COUNTIF(D$6:D$25,"R")</f>
        <v/>
      </c>
      <c r="E27" s="54">
        <f>COUNTIF(E$6:E$25,"R")</f>
        <v/>
      </c>
      <c r="F27" s="54">
        <f>COUNTIF(F$6:F$25,"R")</f>
        <v/>
      </c>
      <c r="G27" s="54">
        <f>COUNTIF(G$6:G$25,"R")</f>
        <v/>
      </c>
      <c r="H27" s="54">
        <f>COUNTIF(H$6:H$25,"R")</f>
        <v/>
      </c>
      <c r="I27" s="54">
        <f>COUNTIF(I$6:I$25,"R")</f>
        <v/>
      </c>
      <c r="J27" s="54">
        <f>COUNTIF(J$6:J$25,"R")</f>
        <v/>
      </c>
      <c r="K27" s="54">
        <f>COUNTIF(K$6:K$25,"R")</f>
        <v/>
      </c>
      <c r="L27" s="54">
        <f>COUNTIF(L$6:L$25,"R")</f>
        <v/>
      </c>
      <c r="M27" s="54">
        <f>COUNTIF(M$6:M$25,"R")</f>
        <v/>
      </c>
      <c r="N27" s="54">
        <f>COUNTIF(N$6:N$25,"R")</f>
        <v/>
      </c>
      <c r="O27" s="54">
        <f>COUNTIF(O$6:O$25,"R")</f>
        <v/>
      </c>
      <c r="P27" s="54">
        <f>COUNTIF(P$6:P$25,"R")</f>
        <v/>
      </c>
      <c r="Q27" s="54">
        <f>COUNTIF(Q$6:Q$25,"R")</f>
        <v/>
      </c>
      <c r="R27" s="54">
        <f>COUNTIF(R$6:R$25,"R")</f>
        <v/>
      </c>
      <c r="S27" s="54">
        <f>COUNTIF(S$6:S$25,"R")</f>
        <v/>
      </c>
      <c r="T27" s="54">
        <f>COUNTIF(T$6:T$25,"R")</f>
        <v/>
      </c>
      <c r="U27" s="54">
        <f>COUNTIF(U$6:U$25,"R")</f>
        <v/>
      </c>
      <c r="V27" s="54">
        <f>COUNTIF(V$6:V$25,"R")</f>
        <v/>
      </c>
      <c r="W27" s="54">
        <f>COUNTIF(W$6:W$25,"R")</f>
        <v/>
      </c>
      <c r="X27" s="54">
        <f>COUNTIF(X$6:X$25,"R")</f>
        <v/>
      </c>
      <c r="Y27" s="54">
        <f>COUNTIF(Y$6:Y$25,"R")</f>
        <v/>
      </c>
      <c r="Z27" s="54">
        <f>COUNTIF(Z$6:Z$25,"R")</f>
        <v/>
      </c>
      <c r="AA27" s="54">
        <f>COUNTIF(AA$6:AA$25,"R")</f>
        <v/>
      </c>
      <c r="AB27" s="54">
        <f>COUNTIF(AB$6:AB$25,"R")</f>
        <v/>
      </c>
      <c r="AC27" s="54">
        <f>COUNTIF(AC$6:AC$25,"R")</f>
        <v/>
      </c>
      <c r="AD27" s="54">
        <f>COUNTIF(AD$6:AD$25,"R")</f>
        <v/>
      </c>
      <c r="AE27" s="54">
        <f>COUNTIF(AE$6:AE$25,"R")</f>
        <v/>
      </c>
      <c r="AF27" s="54">
        <f>COUNTIF(AF$6:AF$25,"R")</f>
        <v/>
      </c>
      <c r="AG27" s="54">
        <f>COUNTIF(AG$6:AG$25,"R")</f>
        <v/>
      </c>
      <c r="AH27" s="54">
        <f>COUNTIF(AH$6:AH$25,"R")</f>
        <v/>
      </c>
      <c r="AI27" s="54">
        <f>COUNTIF(AI$6:AI$25,"R")</f>
        <v/>
      </c>
      <c r="AJ27" s="54">
        <f>COUNTIF(AJ$6:AJ$25,"R")</f>
        <v/>
      </c>
      <c r="AK27" s="54">
        <f>COUNTIF(AK$6:AK$25,"R")</f>
        <v/>
      </c>
      <c r="AL27" s="54">
        <f>COUNTIF(AL$6:AL$25,"R")</f>
        <v/>
      </c>
      <c r="AM27" s="54">
        <f>COUNTIF(AM$6:AM$25,"R")</f>
        <v/>
      </c>
      <c r="AN27" s="54">
        <f>COUNTIF(AN$6:AN$25,"R")</f>
        <v/>
      </c>
      <c r="AO27" s="54">
        <f>COUNTIF(AO$6:AO$25,"R")</f>
        <v/>
      </c>
      <c r="AP27" s="54">
        <f>COUNTIF(AP$6:AP$25,"R")</f>
        <v/>
      </c>
      <c r="AQ27" s="54">
        <f>COUNTIF(AQ$6:AQ$25,"R")</f>
        <v/>
      </c>
      <c r="AR27" s="54">
        <f>COUNTIF(AR$6:AR$25,"R")</f>
        <v/>
      </c>
    </row>
  </sheetData>
  <mergeCells count="14">
    <mergeCell ref="B4:B5"/>
    <mergeCell ref="C4:C5"/>
    <mergeCell ref="A4:A5"/>
    <mergeCell ref="AA4:AG4"/>
    <mergeCell ref="G4:J4"/>
    <mergeCell ref="D4:F4"/>
    <mergeCell ref="W4:Z4"/>
    <mergeCell ref="AH4:AO4"/>
    <mergeCell ref="AT4:AT5"/>
    <mergeCell ref="AS4:AS5"/>
    <mergeCell ref="AP4:AR4"/>
    <mergeCell ref="K4:L4"/>
    <mergeCell ref="R4:V4"/>
    <mergeCell ref="M4:Q4"/>
  </mergeCells>
  <conditionalFormatting sqref="D6:AR25">
    <cfRule type="cellIs" priority="1" operator="equal" dxfId="2">
      <formula>"C"</formula>
    </cfRule>
  </conditionalFormatting>
  <dataValidations count="1">
    <dataValidation sqref="D6:AR25" showDropDown="0" showInputMessage="0" showErrorMessage="0" allowBlank="1" type="list">
      <formula1>"C,R"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2026-09-20T03:56:02Z</dcterms:created>
  <dcterms:modified xmlns:dcterms="http://purl.org/dc/terms/" xmlns:xsi="http://www.w3.org/2001/XMLSchema-instance" xsi:type="dcterms:W3CDTF">2026-09-20T03:56:04Z</dcterms:modified>
</cp:coreProperties>
</file>