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バリューストリーム" sheetId="1" state="visible" r:id="rId1"/>
    <sheet xmlns:r="http://schemas.openxmlformats.org/officeDocument/2006/relationships" name="ケイパビリティマップ" sheetId="2" state="visible" r:id="rId2"/>
    <sheet xmlns:r="http://schemas.openxmlformats.org/officeDocument/2006/relationships" name="ケイパビリティレベル" sheetId="3" state="visible" r:id="rId3"/>
    <sheet xmlns:r="http://schemas.openxmlformats.org/officeDocument/2006/relationships" name="VS×ケイパビリティ関係" sheetId="4" state="visible" r:id="rId4"/>
    <sheet xmlns:r="http://schemas.openxmlformats.org/officeDocument/2006/relationships" name="VS×ケイパビリティ" sheetId="5" state="visible" r:id="rId5"/>
    <sheet xmlns:r="http://schemas.openxmlformats.org/officeDocument/2006/relationships" name="情報オブジェクト" sheetId="6" state="visible" r:id="rId6"/>
    <sheet xmlns:r="http://schemas.openxmlformats.org/officeDocument/2006/relationships" name="ケイパビリティ×情報オブジェクト" sheetId="7" state="visible" r:id="rId7"/>
    <sheet xmlns:r="http://schemas.openxmlformats.org/officeDocument/2006/relationships" name="アプリケーション" sheetId="8" state="visible" r:id="rId8"/>
    <sheet xmlns:r="http://schemas.openxmlformats.org/officeDocument/2006/relationships" name="ケイパビリティ×アプリケーション" sheetId="9" state="visible" r:id="rId9"/>
    <sheet xmlns:r="http://schemas.openxmlformats.org/officeDocument/2006/relationships" name="アプリケーション×情報オブジェクト" sheetId="10" state="visible" r:id="rId10"/>
    <sheet xmlns:r="http://schemas.openxmlformats.org/officeDocument/2006/relationships" name="選択肢（追加分）" sheetId="11" state="visible" r:id="rId11"/>
  </sheets>
  <definedNames>
    <definedName name="_xlnm._FilterDatabase" localSheetId="0" hidden="1">'バリューストリーム'!$A$3:$L$80</definedName>
    <definedName name="_xlnm._FilterDatabase" localSheetId="1" hidden="1">'ケイパビリティマップ'!$A$3:$J$108</definedName>
    <definedName name="_xlnm._FilterDatabase" localSheetId="2" hidden="1">'ケイパビリティレベル'!$A$10:$I$38</definedName>
    <definedName name="_xlnm._FilterDatabase" localSheetId="3" hidden="1">'VS×ケイパビリティ関係'!$A$3:$G$141</definedName>
    <definedName name="_xlnm._FilterDatabase" localSheetId="5" hidden="1">'情報オブジェクト'!$A$3:$M$53</definedName>
    <definedName name="_xlnm._FilterDatabase" localSheetId="7" hidden="1">'アプリケーション'!$A$3:$H$29</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Noto Sans CJK SC"/>
      <charset val="1"/>
      <family val="2"/>
      <b val="1"/>
      <color rgb="FF1F3A5F"/>
      <sz val="14"/>
    </font>
    <font>
      <name val="Noto Sans CJK SC"/>
      <charset val="1"/>
      <family val="2"/>
      <color rgb="FF555555"/>
      <sz val="9"/>
    </font>
    <font>
      <name val="Arial"/>
      <charset val="1"/>
      <family val="0"/>
      <b val="1"/>
      <color rgb="FFFFFFFF"/>
      <sz val="10"/>
    </font>
    <font>
      <name val="Noto Sans CJK SC"/>
      <charset val="1"/>
      <family val="2"/>
      <b val="1"/>
      <color rgb="FFFFFFFF"/>
      <sz val="10"/>
    </font>
    <font>
      <name val="Arial"/>
      <charset val="1"/>
      <family val="0"/>
      <color rgb="FF000000"/>
      <sz val="9"/>
    </font>
    <font>
      <name val="Arial"/>
      <charset val="1"/>
      <family val="0"/>
      <b val="1"/>
      <color rgb="FF000000"/>
      <sz val="9"/>
    </font>
    <font>
      <name val="Noto Sans CJK SC"/>
      <charset val="1"/>
      <family val="2"/>
      <color rgb="FF000000"/>
      <sz val="9"/>
    </font>
    <font>
      <name val="Noto Sans CJK SC"/>
      <charset val="1"/>
      <family val="2"/>
      <b val="1"/>
      <color rgb="FF000000"/>
      <sz val="9"/>
    </font>
    <font>
      <name val="Arial"/>
      <charset val="1"/>
      <family val="0"/>
      <b val="1"/>
      <color rgb="FF1F3A5F"/>
      <sz val="14"/>
    </font>
    <font>
      <name val="Arial"/>
      <charset val="1"/>
      <family val="0"/>
      <color rgb="FF555555"/>
      <sz val="9"/>
    </font>
    <font>
      <name val="Calibri"/>
      <charset val="1"/>
      <family val="2"/>
      <color theme="1"/>
      <sz val="11"/>
    </font>
    <font>
      <name val="Arial"/>
      <charset val="1"/>
      <family val="0"/>
      <color rgb="FF6B7785"/>
      <sz val="9"/>
    </font>
    <font>
      <name val="Noto Sans CJK SC"/>
      <charset val="1"/>
      <family val="0"/>
      <b val="1"/>
      <color rgb="FF1F3A5F"/>
      <sz val="14"/>
    </font>
    <font>
      <name val="Noto Sans CJK SC"/>
      <charset val="1"/>
      <family val="0"/>
      <color rgb="FF555555"/>
      <sz val="9"/>
    </font>
    <font>
      <name val="Noto Sans CJK SC"/>
      <charset val="1"/>
      <family val="0"/>
      <b val="1"/>
      <color rgb="FFFFFFFF"/>
      <sz val="10"/>
    </font>
    <font>
      <name val="Noto Sans CJK SC"/>
      <charset val="1"/>
      <family val="0"/>
      <color rgb="FF000000"/>
      <sz val="9"/>
    </font>
    <font>
      <name val="Noto Sans CJK SC"/>
      <charset val="1"/>
      <family val="0"/>
      <b val="1"/>
      <color rgb="FF000000"/>
      <sz val="9"/>
    </font>
    <font>
      <name val="Noto Sans CJK SC"/>
      <charset val="1"/>
      <family val="0"/>
      <b val="1"/>
      <color rgb="FFFFFFFF"/>
      <sz val="8"/>
    </font>
    <font>
      <name val="Arial"/>
      <charset val="1"/>
      <family val="0"/>
      <b val="1"/>
      <color rgb="FF1D6F6A"/>
      <sz val="10"/>
    </font>
    <font>
      <b val="1"/>
      <sz val="14"/>
    </font>
    <font>
      <b val="1"/>
      <sz val="10"/>
    </font>
    <font>
      <color rgb="00555555"/>
      <sz val="9"/>
    </font>
    <font>
      <i val="1"/>
      <color rgb="00777777"/>
      <sz val="10"/>
    </font>
  </fonts>
  <fills count="14">
    <fill>
      <patternFill/>
    </fill>
    <fill>
      <patternFill patternType="gray125"/>
    </fill>
    <fill>
      <patternFill patternType="solid">
        <fgColor rgb="FF1F3A5F"/>
        <bgColor rgb="FF1F2E35"/>
      </patternFill>
    </fill>
    <fill>
      <patternFill patternType="solid">
        <fgColor rgb="FF6B7785"/>
        <bgColor rgb="FF3E8A84"/>
      </patternFill>
    </fill>
    <fill>
      <patternFill patternType="solid">
        <fgColor rgb="FFC9D6E3"/>
        <bgColor rgb="FFD0D7DE"/>
      </patternFill>
    </fill>
    <fill>
      <patternFill patternType="solid">
        <fgColor rgb="FFDCE5EE"/>
        <bgColor rgb="FFDCE9F2"/>
      </patternFill>
    </fill>
    <fill>
      <patternFill patternType="solid">
        <fgColor rgb="FFEEF2F7"/>
        <bgColor rgb="FFEEEEEE"/>
      </patternFill>
    </fill>
    <fill>
      <patternFill patternType="solid">
        <fgColor rgb="FFEEEEEE"/>
        <bgColor rgb="FFEEF2F7"/>
      </patternFill>
    </fill>
    <fill>
      <patternFill patternType="solid">
        <fgColor rgb="FF3E8A84"/>
        <bgColor rgb="FF6B7785"/>
      </patternFill>
    </fill>
    <fill>
      <patternFill patternType="solid">
        <fgColor rgb="FF1D6F6A"/>
        <bgColor rgb="FF008080"/>
      </patternFill>
    </fill>
    <fill>
      <patternFill patternType="solid">
        <fgColor rgb="FF2F4F5A"/>
        <bgColor rgb="FF1F3A5F"/>
      </patternFill>
    </fill>
    <fill>
      <patternFill patternType="solid">
        <fgColor rgb="00EAEFEE"/>
      </patternFill>
    </fill>
    <fill>
      <patternFill patternType="solid">
        <fgColor rgb="00FBF7EA"/>
      </patternFill>
    </fill>
    <fill>
      <patternFill patternType="solid">
        <fgColor rgb="00F2F2F2"/>
      </patternFill>
    </fill>
  </fills>
  <borders count="11">
    <border>
      <left/>
      <right/>
      <top/>
      <bottom/>
      <diagonal/>
    </border>
    <border>
      <left style="thin">
        <color rgb="FFC8CDD3"/>
      </left>
      <right style="thin">
        <color rgb="FFC8CDD3"/>
      </right>
      <top style="thin">
        <color rgb="FFC8CDD3"/>
      </top>
      <bottom style="thin">
        <color rgb="FFC8CDD3"/>
      </bottom>
      <diagonal/>
    </border>
    <border>
      <left/>
      <right/>
      <top style="thin">
        <color rgb="FFC8CDD3"/>
      </top>
      <bottom style="thin">
        <color rgb="FFC8CDD3"/>
      </bottom>
      <diagonal/>
    </border>
    <border>
      <left/>
      <right style="thin">
        <color rgb="FFC8CDD3"/>
      </right>
      <top style="thin">
        <color rgb="FFC8CDD3"/>
      </top>
      <bottom style="thin">
        <color rgb="FFC8CDD3"/>
      </bottom>
      <diagonal/>
    </border>
    <border>
      <left/>
      <right/>
      <top style="thin">
        <color rgb="FFC8CDD3"/>
      </top>
      <bottom/>
      <diagonal/>
    </border>
    <border>
      <left/>
      <right style="thin">
        <color rgb="FFC8CDD3"/>
      </right>
      <top style="thin">
        <color rgb="FFC8CDD3"/>
      </top>
      <bottom/>
      <diagonal/>
    </border>
    <border>
      <left style="thin">
        <color rgb="FFC8CDD3"/>
      </left>
      <right style="thin">
        <color rgb="FFC8CDD3"/>
      </right>
      <top/>
      <bottom/>
      <diagonal/>
    </border>
    <border>
      <left style="thin">
        <color rgb="FFC8CDD3"/>
      </left>
      <right style="thin">
        <color rgb="FFC8CDD3"/>
      </right>
      <top/>
      <bottom style="thin">
        <color rgb="FFC8CDD3"/>
      </bottom>
      <diagonal/>
    </border>
    <border>
      <left style="thin">
        <color rgb="FFC8CDD3"/>
      </left>
      <right/>
      <top/>
      <bottom/>
      <diagonal/>
    </border>
    <border>
      <left style="thin">
        <color rgb="FFD0D7DE"/>
      </left>
      <right style="thin">
        <color rgb="FFD0D7DE"/>
      </right>
      <top style="thin">
        <color rgb="FFD0D7DE"/>
      </top>
      <bottom style="thin">
        <color rgb="FFD0D7DE"/>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2">
    <xf numFmtId="0" fontId="0" fillId="0" borderId="0" pivotButton="0" quotePrefix="0" xfId="0"/>
    <xf numFmtId="0" fontId="1" fillId="0" borderId="0" applyAlignment="1" pivotButton="0" quotePrefix="0" xfId="0">
      <alignment horizontal="general" vertical="bottom"/>
    </xf>
    <xf numFmtId="0" fontId="2" fillId="0" borderId="0" applyAlignment="1" pivotButton="0" quotePrefix="0" xfId="0">
      <alignment horizontal="general" vertical="bottom"/>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5" borderId="1" applyAlignment="1" pivotButton="0" quotePrefix="0" xfId="0">
      <alignment horizontal="center" vertical="top" wrapText="1"/>
    </xf>
    <xf numFmtId="0" fontId="8" fillId="5" borderId="1" applyAlignment="1" pivotButton="0" quotePrefix="0" xfId="0">
      <alignment horizontal="left" vertical="top" wrapText="1"/>
    </xf>
    <xf numFmtId="0" fontId="7" fillId="5" borderId="1" applyAlignment="1" pivotButton="0" quotePrefix="0" xfId="0">
      <alignment horizontal="left" vertical="top" wrapText="1"/>
    </xf>
    <xf numFmtId="0" fontId="5" fillId="6" borderId="1" applyAlignment="1" pivotButton="0" quotePrefix="0" xfId="0">
      <alignment horizontal="center" vertical="top" wrapText="1"/>
    </xf>
    <xf numFmtId="0" fontId="6" fillId="6" borderId="1" applyAlignment="1" pivotButton="0" quotePrefix="0" xfId="0">
      <alignment horizontal="center" vertical="top" wrapText="1"/>
    </xf>
    <xf numFmtId="0" fontId="8" fillId="6" borderId="1" applyAlignment="1" pivotButton="0" quotePrefix="0" xfId="0">
      <alignment horizontal="left" vertical="top" wrapText="1"/>
    </xf>
    <xf numFmtId="0" fontId="7" fillId="6" borderId="1" applyAlignment="1" pivotButton="0" quotePrefix="0" xfId="0">
      <alignment horizontal="left"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1" applyAlignment="1" pivotButton="0" quotePrefix="0" xfId="0">
      <alignment horizontal="left" vertical="top" wrapText="1"/>
    </xf>
    <xf numFmtId="0" fontId="5" fillId="7" borderId="1" applyAlignment="1" pivotButton="0" quotePrefix="0" xfId="0">
      <alignment horizontal="left" vertical="top" wrapText="1"/>
    </xf>
    <xf numFmtId="0" fontId="7" fillId="7" borderId="1" applyAlignment="1" pivotButton="0" quotePrefix="0" xfId="0">
      <alignment horizontal="left" vertical="top" wrapText="1"/>
    </xf>
    <xf numFmtId="0" fontId="7" fillId="0" borderId="1" applyAlignment="1" pivotButton="0" quotePrefix="0" xfId="0">
      <alignment horizontal="center" vertical="top" wrapText="1"/>
    </xf>
    <xf numFmtId="0" fontId="8" fillId="4" borderId="1" applyAlignment="1" pivotButton="0" quotePrefix="0" xfId="0">
      <alignment horizontal="left" vertical="top" wrapText="1"/>
    </xf>
    <xf numFmtId="0" fontId="7" fillId="4" borderId="1" applyAlignment="1" pivotButton="0" quotePrefix="0" xfId="0">
      <alignment horizontal="center" vertical="top" wrapText="1"/>
    </xf>
    <xf numFmtId="0" fontId="5" fillId="5" borderId="1" applyAlignment="1" pivotButton="0" quotePrefix="0" xfId="0">
      <alignment horizontal="left" vertical="top" wrapText="1"/>
    </xf>
    <xf numFmtId="0" fontId="0" fillId="0" borderId="2" pivotButton="0" quotePrefix="0" xfId="0"/>
    <xf numFmtId="0" fontId="0" fillId="0" borderId="3" pivotButton="0" quotePrefix="0" xfId="0"/>
    <xf numFmtId="0" fontId="8" fillId="0" borderId="1" applyAlignment="1" pivotButton="0" quotePrefix="0" xfId="0">
      <alignment horizontal="left" vertical="top" wrapText="1"/>
    </xf>
    <xf numFmtId="0" fontId="4" fillId="8" borderId="1" applyAlignment="1" pivotButton="0" quotePrefix="0" xfId="0">
      <alignment horizontal="center" vertical="center" wrapText="1"/>
    </xf>
    <xf numFmtId="0" fontId="5" fillId="0" borderId="1" applyAlignment="1" pivotButton="0" quotePrefix="0" xfId="0">
      <alignment horizontal="left"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3" fillId="3" borderId="1" applyAlignment="1" pivotButton="0" quotePrefix="0" xfId="0">
      <alignment horizontal="center" vertical="center" wrapText="1"/>
    </xf>
    <xf numFmtId="0" fontId="5" fillId="7" borderId="1" applyAlignment="1" pivotButton="0" quotePrefix="0" xfId="0">
      <alignment horizontal="center" vertical="top" wrapText="1"/>
    </xf>
    <xf numFmtId="0" fontId="11" fillId="0" borderId="0" pivotButton="0" quotePrefix="0" xfId="0"/>
    <xf numFmtId="0" fontId="12" fillId="0" borderId="0" applyAlignment="1" pivotButton="0" quotePrefix="0" xfId="0">
      <alignment horizontal="general" vertical="bottom"/>
    </xf>
    <xf numFmtId="0" fontId="3" fillId="9" borderId="1" applyAlignment="1" pivotButton="0" quotePrefix="0" xfId="0">
      <alignment horizontal="center" vertical="center" wrapText="1"/>
    </xf>
    <xf numFmtId="0" fontId="0" fillId="0" borderId="6" pivotButton="0" quotePrefix="0" xfId="0"/>
    <xf numFmtId="0" fontId="0" fillId="0" borderId="7" pivotButton="0" quotePrefix="0" xfId="0"/>
    <xf numFmtId="0" fontId="4" fillId="8" borderId="1" applyAlignment="1" pivotButton="0" quotePrefix="0" xfId="0">
      <alignment horizontal="center" vertical="bottom" textRotation="90" wrapText="1"/>
    </xf>
    <xf numFmtId="0" fontId="6" fillId="0" borderId="1" applyAlignment="1" pivotButton="0" quotePrefix="0" xfId="0">
      <alignment horizontal="left"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6" fillId="7" borderId="0" applyAlignment="1" pivotButton="0" quotePrefix="0" xfId="0">
      <alignment horizontal="center" vertical="center" wrapText="1"/>
    </xf>
    <xf numFmtId="0" fontId="16" fillId="7" borderId="0" applyAlignment="1" pivotButton="0" quotePrefix="0" xfId="0">
      <alignment horizontal="left" vertical="center" wrapText="1"/>
    </xf>
    <xf numFmtId="0" fontId="5" fillId="7" borderId="0" applyAlignment="1" pivotButton="0" quotePrefix="0" xfId="0">
      <alignment horizontal="center" vertical="center" wrapText="1"/>
    </xf>
    <xf numFmtId="0" fontId="15" fillId="10" borderId="0" applyAlignment="1" pivotButton="0" quotePrefix="0" xfId="0">
      <alignment horizontal="center" vertical="center" wrapText="1"/>
    </xf>
    <xf numFmtId="0" fontId="18" fillId="10" borderId="0" applyAlignment="1" pivotButton="0" quotePrefix="0" xfId="0">
      <alignment horizontal="center" vertical="bottom" textRotation="255" wrapText="1"/>
    </xf>
    <xf numFmtId="0" fontId="17" fillId="0" borderId="0" applyAlignment="1" pivotButton="0" quotePrefix="0" xfId="0">
      <alignment horizontal="general" vertical="bottom"/>
    </xf>
    <xf numFmtId="0" fontId="16" fillId="7" borderId="0" applyAlignment="1" pivotButton="0" quotePrefix="0" xfId="0">
      <alignment horizontal="general" vertical="bottom"/>
    </xf>
    <xf numFmtId="0" fontId="19" fillId="0" borderId="9" applyAlignment="1" pivotButton="0" quotePrefix="0" xfId="0">
      <alignment horizontal="center" vertical="center" wrapText="1"/>
    </xf>
    <xf numFmtId="0" fontId="20" fillId="0" borderId="0" pivotButton="0" quotePrefix="0" xfId="0"/>
    <xf numFmtId="0" fontId="21" fillId="11" borderId="0" pivotButton="0" quotePrefix="0" xfId="0"/>
    <xf numFmtId="0" fontId="22" fillId="0" borderId="0" pivotButton="0" quotePrefix="0" xfId="0"/>
    <xf numFmtId="0" fontId="21" fillId="11" borderId="10" applyAlignment="1" pivotButton="0" quotePrefix="0" xfId="0">
      <alignment horizontal="center" vertical="center" wrapText="1"/>
    </xf>
    <xf numFmtId="0" fontId="23" fillId="12" borderId="10" pivotButton="0" quotePrefix="0" xfId="0"/>
    <xf numFmtId="0" fontId="23" fillId="13" borderId="10" pivotButton="0" quotePrefix="0" xfId="0"/>
    <xf numFmtId="1" fontId="23" fillId="12" borderId="10" pivotButton="0" quotePrefix="0" xfId="0"/>
    <xf numFmtId="3" fontId="23" fillId="12" borderId="10" pivotButton="0" quotePrefix="0" xfId="0"/>
    <xf numFmtId="0" fontId="0" fillId="0" borderId="10" pivotButton="0" quotePrefix="0" xfId="0"/>
    <xf numFmtId="0" fontId="0" fillId="13" borderId="10" pivotButton="0" quotePrefix="0" xfId="0"/>
    <xf numFmtId="1" fontId="0" fillId="0" borderId="10" pivotButton="0" quotePrefix="0" xfId="0"/>
    <xf numFmtId="3" fontId="0" fillId="0" borderId="10" pivotButton="0" quotePrefix="0" xfId="0"/>
  </cellXfs>
  <cellStyles count="1">
    <cellStyle name="Normal" xfId="0" builtinId="0" hidden="0"/>
  </cellStyles>
  <dxfs count="3">
    <dxf>
      <font>
        <name val="Arial"/>
        <charset val="1"/>
        <family val="0"/>
        <b val="1"/>
        <color rgb="FFFFFFFF"/>
      </font>
      <fill>
        <patternFill>
          <bgColor rgb="FF1D6F6A"/>
        </patternFill>
      </fill>
    </dxf>
    <dxf>
      <font>
        <name val="Arial"/>
        <charset val="1"/>
        <family val="0"/>
        <color rgb="FF1D6F6A"/>
      </font>
      <fill>
        <patternFill>
          <bgColor rgb="FFCFE6E3"/>
        </patternFill>
      </fill>
    </dxf>
    <dxf>
      <fill>
        <patternFill>
          <bgColor rgb="FFCFE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L80"/>
  <sheetViews>
    <sheetView showGridLines="1" zoomScale="90" workbookViewId="0">
      <pane xSplit="6" ySplit="3" topLeftCell="G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5" customWidth="1" min="2" max="2"/>
    <col width="36" customWidth="1" min="6" max="6"/>
    <col width="44" customWidth="1" min="7" max="7"/>
    <col width="18" customWidth="1" min="8" max="8"/>
    <col width="26" customWidth="1" min="9" max="9"/>
    <col width="10" customWidth="1" min="11" max="11"/>
    <col width="28" customWidth="1" min="12" max="12"/>
  </cols>
  <sheetData>
    <row r="1" ht="21" customHeight="1">
      <c r="A1" s="1" t="inlineStr">
        <is>
          <t>バリューストリーム（L1〜L4）</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1行1項目。L1〜L4列の●がその行のレベル。L2はIT4IT（The Open Group）の4つのバリューストリーム（S2P・R2D・R2F・D2C）に対応する。出口はL2、入力・出力情報・関連法令・規制・主な関与者はL4の項目。 入力情報・出力情報はVS定義の過程で得られる正本（直接入力する）。情報オブジェクトはこれを取りまとめて一覧化したもの。★＝製薬のGxP規制、または日本のIT外部委託（請負・準委任、取適法）・IT全般統制（J-SOX）に固有の項目。</t>
        </is>
      </c>
    </row>
    <row r="3" ht="30" customHeight="1">
      <c r="A3" s="3" t="inlineStr">
        <is>
          <t>ID</t>
        </is>
      </c>
      <c r="B3" s="3" t="inlineStr">
        <is>
          <t>L1</t>
        </is>
      </c>
      <c r="C3" s="3" t="inlineStr">
        <is>
          <t>L2</t>
        </is>
      </c>
      <c r="D3" s="3" t="inlineStr">
        <is>
          <t>L3</t>
        </is>
      </c>
      <c r="E3" s="3" t="inlineStr">
        <is>
          <t>L4</t>
        </is>
      </c>
      <c r="F3" s="3" t="inlineStr">
        <is>
          <t>VS項目名</t>
        </is>
      </c>
      <c r="G3" s="3" t="inlineStr">
        <is>
          <t>VSの定義</t>
        </is>
      </c>
      <c r="H3" s="4" t="inlineStr">
        <is>
          <t>出口（ゲート）</t>
        </is>
      </c>
      <c r="I3" s="5" t="inlineStr">
        <is>
          <t>入力情報</t>
        </is>
      </c>
      <c r="J3" s="5" t="inlineStr">
        <is>
          <t>出力情報</t>
        </is>
      </c>
      <c r="K3" s="3" t="inlineStr">
        <is>
          <t>関連法令・規制</t>
        </is>
      </c>
      <c r="L3" s="4" t="inlineStr">
        <is>
          <t>主な関与者（社内／外部）</t>
        </is>
      </c>
    </row>
    <row r="4" ht="26.25" customHeight="1">
      <c r="A4" s="6" t="inlineStr">
        <is>
          <t>VS</t>
        </is>
      </c>
      <c r="B4" s="7" t="inlineStr">
        <is>
          <t>●</t>
        </is>
      </c>
      <c r="C4" s="7" t="n"/>
      <c r="D4" s="7" t="n"/>
      <c r="E4" s="7" t="n"/>
      <c r="F4" s="8" t="inlineStr">
        <is>
          <t>Manage IT / Digital Solutions</t>
        </is>
      </c>
      <c r="G4" s="9" t="inlineStr">
        <is>
          <t>事業戦略をIT投資とポートフォリオに変換し、要件からデジタルソリューションを開発・配備して、利用者の申請に応じて提供し、運用の中で障害を検知・是正するまで。事業に必要なデジタル機能とシステム資産を、GxP・法令に適合した状態で供給し続ける</t>
        </is>
      </c>
      <c r="H4" s="9" t="n"/>
      <c r="I4" s="9" t="n"/>
      <c r="J4" s="9" t="n"/>
      <c r="K4" s="6" t="n"/>
      <c r="L4" s="9" t="n"/>
    </row>
    <row r="5" ht="26.25" customHeight="1">
      <c r="A5" s="10" t="inlineStr">
        <is>
          <t>01</t>
        </is>
      </c>
      <c r="B5" s="11" t="n"/>
      <c r="C5" s="11" t="inlineStr">
        <is>
          <t>●</t>
        </is>
      </c>
      <c r="D5" s="11" t="n"/>
      <c r="E5" s="11" t="n"/>
      <c r="F5" s="12" t="inlineStr">
        <is>
          <t>戦略・ポートフォリオ（S2P）</t>
        </is>
      </c>
      <c r="G5" s="13" t="inlineStr">
        <is>
          <t>事業戦略をIT戦略とアーキテクチャに落とし込み、事業部門の需要を評価して、投資する案件をポートフォリオとして決める段階</t>
        </is>
      </c>
      <c r="H5" s="13" t="inlineStr">
        <is>
          <t>投資の承認（ポートフォリオへの組入れ）</t>
        </is>
      </c>
      <c r="I5" s="13" t="n"/>
      <c r="J5" s="13" t="n"/>
      <c r="K5" s="10" t="n"/>
      <c r="L5" s="13" t="n"/>
    </row>
    <row r="6" ht="26.25" customHeight="1">
      <c r="A6" s="14" t="inlineStr">
        <is>
          <t>01-01</t>
        </is>
      </c>
      <c r="B6" s="15" t="n"/>
      <c r="C6" s="15" t="n"/>
      <c r="D6" s="15" t="inlineStr">
        <is>
          <t>●</t>
        </is>
      </c>
      <c r="E6" s="15" t="n"/>
      <c r="F6" s="16" t="inlineStr">
        <is>
          <t>IT戦略・アーキテクチャの策定</t>
        </is>
      </c>
      <c r="G6" s="17" t="inlineStr">
        <is>
          <t>事業戦略・DX方針を受けて、IT戦略・ロードマップ、将来のアーキテクチャ、技術標準とIT規程を定める</t>
        </is>
      </c>
      <c r="H6" s="17" t="n"/>
      <c r="I6" s="17" t="n"/>
      <c r="J6" s="17" t="n"/>
      <c r="K6" s="14" t="n"/>
      <c r="L6" s="17" t="n"/>
    </row>
    <row r="7" ht="26.25" customHeight="1">
      <c r="A7" s="18" t="inlineStr">
        <is>
          <t>01-01-01</t>
        </is>
      </c>
      <c r="B7" s="19" t="n"/>
      <c r="C7" s="19" t="n"/>
      <c r="D7" s="19" t="n"/>
      <c r="E7" s="19" t="inlineStr">
        <is>
          <t>●</t>
        </is>
      </c>
      <c r="F7" s="20" t="inlineStr">
        <is>
          <t>事業戦略・DX方針の把握とIT課題の整理</t>
        </is>
      </c>
      <c r="G7" s="20" t="n"/>
      <c r="H7" s="20" t="n"/>
      <c r="I7" s="21" t="inlineStr">
        <is>
          <t>事業戦略・DX方針、アプリケーション台帳</t>
        </is>
      </c>
      <c r="J7" s="22" t="inlineStr">
        <is>
          <t>IT戦略・ロードマップ</t>
        </is>
      </c>
      <c r="K7" s="23" t="inlineStr">
        <is>
          <t>なし</t>
        </is>
      </c>
      <c r="L7" s="20" t="inlineStr">
        <is>
          <t>CIO・IT企画／経営企画</t>
        </is>
      </c>
    </row>
    <row r="8" ht="26.25" customHeight="1">
      <c r="A8" s="18" t="inlineStr">
        <is>
          <t>01-01-02</t>
        </is>
      </c>
      <c r="B8" s="19" t="n"/>
      <c r="C8" s="19" t="n"/>
      <c r="D8" s="19" t="n"/>
      <c r="E8" s="19" t="inlineStr">
        <is>
          <t>●</t>
        </is>
      </c>
      <c r="F8" s="20" t="inlineStr">
        <is>
          <t>IT戦略・ロードマップの策定</t>
        </is>
      </c>
      <c r="G8" s="20" t="n"/>
      <c r="H8" s="20" t="n"/>
      <c r="I8" s="21" t="inlineStr">
        <is>
          <t>事業戦略・DX方針、ITポートフォリオ、ITリスク登録簿</t>
        </is>
      </c>
      <c r="J8" s="22" t="inlineStr">
        <is>
          <t>IT戦略・ロードマップ</t>
        </is>
      </c>
      <c r="K8" s="23" t="inlineStr">
        <is>
          <t>なし</t>
        </is>
      </c>
      <c r="L8" s="20" t="inlineStr">
        <is>
          <t>CIO・IT企画／経営層</t>
        </is>
      </c>
    </row>
    <row r="9" ht="26.25" customHeight="1">
      <c r="A9" s="18" t="inlineStr">
        <is>
          <t>01-01-03</t>
        </is>
      </c>
      <c r="B9" s="19" t="n"/>
      <c r="C9" s="19" t="n"/>
      <c r="D9" s="19" t="n"/>
      <c r="E9" s="19" t="inlineStr">
        <is>
          <t>●</t>
        </is>
      </c>
      <c r="F9" s="20" t="inlineStr">
        <is>
          <t>現状・将来アーキテクチャの策定（業務・アプリケーション・データ・技術）</t>
        </is>
      </c>
      <c r="G9" s="20" t="n"/>
      <c r="H9" s="20" t="n"/>
      <c r="I9" s="21" t="inlineStr">
        <is>
          <t>IT戦略・ロードマップ、アプリケーション台帳、構成情報</t>
        </is>
      </c>
      <c r="J9" s="22" t="inlineStr">
        <is>
          <t>エンタープライズアーキテクチャ、データ定義・データカタログ</t>
        </is>
      </c>
      <c r="K9" s="23" t="inlineStr">
        <is>
          <t>なし</t>
        </is>
      </c>
      <c r="L9" s="20" t="inlineStr">
        <is>
          <t>ITアーキテクト／—</t>
        </is>
      </c>
    </row>
    <row r="10" ht="26.25" customHeight="1">
      <c r="A10" s="18" t="inlineStr">
        <is>
          <t>01-01-04</t>
        </is>
      </c>
      <c r="B10" s="19" t="n"/>
      <c r="C10" s="19" t="n"/>
      <c r="D10" s="19" t="n"/>
      <c r="E10" s="19" t="inlineStr">
        <is>
          <t>●</t>
        </is>
      </c>
      <c r="F10" s="20" t="inlineStr">
        <is>
          <t>技術標準の策定（クラウド・セキュリティ・連携の標準）</t>
        </is>
      </c>
      <c r="G10" s="20" t="n"/>
      <c r="H10" s="20" t="n"/>
      <c r="I10" s="21" t="inlineStr">
        <is>
          <t>エンタープライズアーキテクチャ、ITリスク登録簿</t>
        </is>
      </c>
      <c r="J10" s="22" t="inlineStr">
        <is>
          <t>技術標準</t>
        </is>
      </c>
      <c r="K10" s="23" t="inlineStr">
        <is>
          <t>なし</t>
        </is>
      </c>
      <c r="L10" s="20" t="inlineStr">
        <is>
          <t>ITアーキテクト・ITセキュリティ／—</t>
        </is>
      </c>
    </row>
    <row r="11" ht="26.25" customHeight="1">
      <c r="A11" s="18" t="inlineStr">
        <is>
          <t>01-01-05</t>
        </is>
      </c>
      <c r="B11" s="19" t="n"/>
      <c r="C11" s="19" t="n"/>
      <c r="D11" s="19" t="n"/>
      <c r="E11" s="19" t="inlineStr">
        <is>
          <t>●</t>
        </is>
      </c>
      <c r="F11" s="20" t="inlineStr">
        <is>
          <t>★IT規程・標準手順書の制定（CSV・IT全般統制・セキュリティ）</t>
        </is>
      </c>
      <c r="G11" s="20" t="n"/>
      <c r="H11" s="20" t="n"/>
      <c r="I11" s="21" t="inlineStr">
        <is>
          <t>技術標準、ITリスク登録簿</t>
        </is>
      </c>
      <c r="J11" s="22" t="inlineStr">
        <is>
          <t>IT規程・手順書</t>
        </is>
      </c>
      <c r="K11" s="23" t="inlineStr">
        <is>
          <t>GxP・金商法</t>
        </is>
      </c>
      <c r="L11" s="20" t="inlineStr">
        <is>
          <t>IT企画・品質保証（QA）・内部統制／—</t>
        </is>
      </c>
    </row>
    <row r="12" ht="26.25" customHeight="1">
      <c r="A12" s="14" t="inlineStr">
        <is>
          <t>01-02</t>
        </is>
      </c>
      <c r="B12" s="15" t="n"/>
      <c r="C12" s="15" t="n"/>
      <c r="D12" s="15" t="inlineStr">
        <is>
          <t>●</t>
        </is>
      </c>
      <c r="E12" s="15" t="n"/>
      <c r="F12" s="16" t="inlineStr">
        <is>
          <t>需要管理・構想</t>
        </is>
      </c>
      <c r="G12" s="17" t="inlineStr">
        <is>
          <t>事業部門の需要を受け付け、構想・概算見積・ソーシング方針とGxP該当性をまとめて投資要求にする</t>
        </is>
      </c>
      <c r="H12" s="17" t="n"/>
      <c r="I12" s="17" t="n"/>
      <c r="J12" s="17" t="n"/>
      <c r="K12" s="14" t="n"/>
      <c r="L12" s="17" t="n"/>
    </row>
    <row r="13" ht="26.25" customHeight="1">
      <c r="A13" s="18" t="inlineStr">
        <is>
          <t>01-02-01</t>
        </is>
      </c>
      <c r="B13" s="19" t="n"/>
      <c r="C13" s="19" t="n"/>
      <c r="D13" s="19" t="n"/>
      <c r="E13" s="19" t="inlineStr">
        <is>
          <t>●</t>
        </is>
      </c>
      <c r="F13" s="20" t="inlineStr">
        <is>
          <t>事業部門の需要（IT投資要求）の受付</t>
        </is>
      </c>
      <c r="G13" s="20" t="n"/>
      <c r="H13" s="20" t="n"/>
      <c r="I13" s="21" t="inlineStr">
        <is>
          <t>事業戦略・DX方針</t>
        </is>
      </c>
      <c r="J13" s="22" t="inlineStr">
        <is>
          <t>IT投資要求</t>
        </is>
      </c>
      <c r="K13" s="23" t="inlineStr">
        <is>
          <t>なし</t>
        </is>
      </c>
      <c r="L13" s="20" t="inlineStr">
        <is>
          <t>事業部門・ITビジネスパートナー／—</t>
        </is>
      </c>
    </row>
    <row r="14" ht="26.25" customHeight="1">
      <c r="A14" s="18" t="inlineStr">
        <is>
          <t>01-02-02</t>
        </is>
      </c>
      <c r="B14" s="19" t="n"/>
      <c r="C14" s="19" t="n"/>
      <c r="D14" s="19" t="n"/>
      <c r="E14" s="19" t="inlineStr">
        <is>
          <t>●</t>
        </is>
      </c>
      <c r="F14" s="20" t="inlineStr">
        <is>
          <t>構想・概算見積・ビジネスケースの作成</t>
        </is>
      </c>
      <c r="G14" s="20" t="n"/>
      <c r="H14" s="20" t="n"/>
      <c r="I14" s="21" t="inlineStr">
        <is>
          <t>IT投資要求、エンタープライズアーキテクチャ、技術標準</t>
        </is>
      </c>
      <c r="J14" s="22" t="inlineStr">
        <is>
          <t>ビジネスケース</t>
        </is>
      </c>
      <c r="K14" s="23" t="inlineStr">
        <is>
          <t>なし</t>
        </is>
      </c>
      <c r="L14" s="20" t="inlineStr">
        <is>
          <t>ITビジネスパートナー・事業部門／SIer（概算見積）</t>
        </is>
      </c>
    </row>
    <row r="15" ht="26.25" customHeight="1">
      <c r="A15" s="18" t="inlineStr">
        <is>
          <t>01-02-03</t>
        </is>
      </c>
      <c r="B15" s="19" t="n"/>
      <c r="C15" s="19" t="n"/>
      <c r="D15" s="19" t="n"/>
      <c r="E15" s="19" t="inlineStr">
        <is>
          <t>●</t>
        </is>
      </c>
      <c r="F15" s="20" t="inlineStr">
        <is>
          <t>★GxP該当性の初期判定（システム分類）</t>
        </is>
      </c>
      <c r="G15" s="20" t="n"/>
      <c r="H15" s="20" t="n"/>
      <c r="I15" s="21" t="inlineStr">
        <is>
          <t>IT投資要求、IT規程・手順書</t>
        </is>
      </c>
      <c r="J15" s="22" t="inlineStr">
        <is>
          <t>GxP該当性評価</t>
        </is>
      </c>
      <c r="K15" s="23" t="inlineStr">
        <is>
          <t>GxP</t>
        </is>
      </c>
      <c r="L15" s="20" t="inlineStr">
        <is>
          <t>システムオーナー・品質保証（QA）・IT／—</t>
        </is>
      </c>
    </row>
    <row r="16" ht="26.25" customHeight="1">
      <c r="A16" s="18" t="inlineStr">
        <is>
          <t>01-02-04</t>
        </is>
      </c>
      <c r="B16" s="19" t="n"/>
      <c r="C16" s="19" t="n"/>
      <c r="D16" s="19" t="n"/>
      <c r="E16" s="19" t="inlineStr">
        <is>
          <t>●</t>
        </is>
      </c>
      <c r="F16" s="20" t="inlineStr">
        <is>
          <t>★ソーシング方針の判断（内製・外部委託・SaaS）</t>
        </is>
      </c>
      <c r="G16" s="20" t="n"/>
      <c r="H16" s="20" t="n"/>
      <c r="I16" s="21" t="inlineStr">
        <is>
          <t>ビジネスケース、IT人材・スキル情報、ベンダー情報</t>
        </is>
      </c>
      <c r="J16" s="22" t="inlineStr">
        <is>
          <t>ビジネスケース</t>
        </is>
      </c>
      <c r="K16" s="23" t="inlineStr">
        <is>
          <t>なし</t>
        </is>
      </c>
      <c r="L16" s="20" t="inlineStr">
        <is>
          <t>IT企画・調達／—</t>
        </is>
      </c>
    </row>
    <row r="17" ht="26.25" customHeight="1">
      <c r="A17" s="14" t="inlineStr">
        <is>
          <t>01-03</t>
        </is>
      </c>
      <c r="B17" s="15" t="n"/>
      <c r="C17" s="15" t="n"/>
      <c r="D17" s="15" t="inlineStr">
        <is>
          <t>●</t>
        </is>
      </c>
      <c r="E17" s="15" t="n"/>
      <c r="F17" s="16" t="inlineStr">
        <is>
          <t>ポートフォリオ・投資判断</t>
        </is>
      </c>
      <c r="G17" s="17" t="inlineStr">
        <is>
          <t>案件を評価して優先順位を付け、予算を配分し、既存のシステムを含むポートフォリオを見直す</t>
        </is>
      </c>
      <c r="H17" s="17" t="n"/>
      <c r="I17" s="17" t="n"/>
      <c r="J17" s="17" t="n"/>
      <c r="K17" s="14" t="n"/>
      <c r="L17" s="17" t="n"/>
    </row>
    <row r="18" ht="26.25" customHeight="1">
      <c r="A18" s="18" t="inlineStr">
        <is>
          <t>01-03-01</t>
        </is>
      </c>
      <c r="B18" s="19" t="n"/>
      <c r="C18" s="19" t="n"/>
      <c r="D18" s="19" t="n"/>
      <c r="E18" s="19" t="inlineStr">
        <is>
          <t>●</t>
        </is>
      </c>
      <c r="F18" s="20" t="inlineStr">
        <is>
          <t>投資案件の評価・優先順位付け</t>
        </is>
      </c>
      <c r="G18" s="20" t="n"/>
      <c r="H18" s="20" t="n"/>
      <c r="I18" s="21" t="inlineStr">
        <is>
          <t>ビジネスケース、ITポートフォリオ、ITリスク登録簿</t>
        </is>
      </c>
      <c r="J18" s="22" t="inlineStr">
        <is>
          <t>ITポートフォリオ</t>
        </is>
      </c>
      <c r="K18" s="23" t="inlineStr">
        <is>
          <t>なし</t>
        </is>
      </c>
      <c r="L18" s="20" t="inlineStr">
        <is>
          <t>IT企画・経営層／—</t>
        </is>
      </c>
    </row>
    <row r="19" ht="26.25" customHeight="1">
      <c r="A19" s="18" t="inlineStr">
        <is>
          <t>01-03-02</t>
        </is>
      </c>
      <c r="B19" s="19" t="n"/>
      <c r="C19" s="19" t="n"/>
      <c r="D19" s="19" t="n"/>
      <c r="E19" s="19" t="inlineStr">
        <is>
          <t>●</t>
        </is>
      </c>
      <c r="F19" s="20" t="inlineStr">
        <is>
          <t>IT予算の配分・承認</t>
        </is>
      </c>
      <c r="G19" s="20" t="n"/>
      <c r="H19" s="20" t="n"/>
      <c r="I19" s="21" t="inlineStr">
        <is>
          <t>ITポートフォリオ、IT予算・費用実績</t>
        </is>
      </c>
      <c r="J19" s="22" t="inlineStr">
        <is>
          <t>IT予算・費用実績</t>
        </is>
      </c>
      <c r="K19" s="23" t="inlineStr">
        <is>
          <t>なし</t>
        </is>
      </c>
      <c r="L19" s="20" t="inlineStr">
        <is>
          <t>CIO・経理・経営層／—</t>
        </is>
      </c>
    </row>
    <row r="20" ht="26.25" customHeight="1">
      <c r="A20" s="18" t="inlineStr">
        <is>
          <t>01-03-03</t>
        </is>
      </c>
      <c r="B20" s="19" t="n"/>
      <c r="C20" s="19" t="n"/>
      <c r="D20" s="19" t="n"/>
      <c r="E20" s="19" t="inlineStr">
        <is>
          <t>●</t>
        </is>
      </c>
      <c r="F20" s="20" t="inlineStr">
        <is>
          <t>ポートフォリオの見直し（継続・統合・廃止）</t>
        </is>
      </c>
      <c r="G20" s="20" t="n"/>
      <c r="H20" s="20" t="n"/>
      <c r="I20" s="21" t="inlineStr">
        <is>
          <t>アプリケーション台帳、サービスレベル実績、IT予算・費用実績</t>
        </is>
      </c>
      <c r="J20" s="22" t="inlineStr">
        <is>
          <t>ITポートフォリオ、アプリケーション台帳</t>
        </is>
      </c>
      <c r="K20" s="23" t="inlineStr">
        <is>
          <t>なし</t>
        </is>
      </c>
      <c r="L20" s="20" t="inlineStr">
        <is>
          <t>IT企画・システムオーナー／—</t>
        </is>
      </c>
    </row>
    <row r="21" ht="26.25" customHeight="1">
      <c r="A21" s="10" t="inlineStr">
        <is>
          <t>02</t>
        </is>
      </c>
      <c r="B21" s="11" t="n"/>
      <c r="C21" s="11" t="inlineStr">
        <is>
          <t>●</t>
        </is>
      </c>
      <c r="D21" s="11" t="n"/>
      <c r="E21" s="11" t="n"/>
      <c r="F21" s="12" t="inlineStr">
        <is>
          <t>要件定義・開発・配備（R2D）</t>
        </is>
      </c>
      <c r="G21" s="13" t="inlineStr">
        <is>
          <t>承認された案件について、要件を定義し、設計・開発・テスト・バリデーションを行って本番環境に配備し、運用へ引き継ぐ段階</t>
        </is>
      </c>
      <c r="H21" s="13" t="inlineStr">
        <is>
          <t>本番稼働の承認（リリース判定）</t>
        </is>
      </c>
      <c r="I21" s="13" t="n"/>
      <c r="J21" s="13" t="n"/>
      <c r="K21" s="10" t="n"/>
      <c r="L21" s="13" t="n"/>
    </row>
    <row r="22" ht="26.25" customHeight="1">
      <c r="A22" s="14" t="inlineStr">
        <is>
          <t>02-01</t>
        </is>
      </c>
      <c r="B22" s="15" t="n"/>
      <c r="C22" s="15" t="n"/>
      <c r="D22" s="15" t="inlineStr">
        <is>
          <t>●</t>
        </is>
      </c>
      <c r="E22" s="15" t="n"/>
      <c r="F22" s="16" t="inlineStr">
        <is>
          <t>プロジェクト立上げ・委託</t>
        </is>
      </c>
      <c r="G22" s="17" t="inlineStr">
        <is>
          <t>計画と体制を決め、委託先を選んで契約し、GxPのリスクに応じたバリデーションの計画を立てる</t>
        </is>
      </c>
      <c r="H22" s="17" t="n"/>
      <c r="I22" s="17" t="n"/>
      <c r="J22" s="17" t="n"/>
      <c r="K22" s="14" t="n"/>
      <c r="L22" s="17" t="n"/>
    </row>
    <row r="23" ht="26.25" customHeight="1">
      <c r="A23" s="18" t="inlineStr">
        <is>
          <t>02-01-01</t>
        </is>
      </c>
      <c r="B23" s="19" t="n"/>
      <c r="C23" s="19" t="n"/>
      <c r="D23" s="19" t="n"/>
      <c r="E23" s="19" t="inlineStr">
        <is>
          <t>●</t>
        </is>
      </c>
      <c r="F23" s="20" t="inlineStr">
        <is>
          <t>プロジェクト計画・体制の決定（内製と委託の役割分担）</t>
        </is>
      </c>
      <c r="G23" s="20" t="n"/>
      <c r="H23" s="20" t="n"/>
      <c r="I23" s="21" t="inlineStr">
        <is>
          <t>ビジネスケース、ITポートフォリオ、IT人材・スキル情報</t>
        </is>
      </c>
      <c r="J23" s="22" t="inlineStr">
        <is>
          <t>プロジェクト計画</t>
        </is>
      </c>
      <c r="K23" s="23" t="inlineStr">
        <is>
          <t>なし</t>
        </is>
      </c>
      <c r="L23" s="20" t="inlineStr">
        <is>
          <t>PM・システムオーナー／—</t>
        </is>
      </c>
    </row>
    <row r="24" ht="26.25" customHeight="1">
      <c r="A24" s="18" t="inlineStr">
        <is>
          <t>02-01-02</t>
        </is>
      </c>
      <c r="B24" s="19" t="n"/>
      <c r="C24" s="19" t="n"/>
      <c r="D24" s="19" t="n"/>
      <c r="E24" s="19" t="inlineStr">
        <is>
          <t>●</t>
        </is>
      </c>
      <c r="F24" s="20" t="inlineStr">
        <is>
          <t>★委託先の選定と契約（請負・準委任の区別、発注内容の明示）</t>
        </is>
      </c>
      <c r="G24" s="20" t="n"/>
      <c r="H24" s="20" t="n"/>
      <c r="I24" s="21" t="inlineStr">
        <is>
          <t>ビジネスケース、ベンダー情報、ベンダー評価記録</t>
        </is>
      </c>
      <c r="J24" s="22" t="inlineStr">
        <is>
          <t>委託契約・発注書</t>
        </is>
      </c>
      <c r="K24" s="23" t="inlineStr">
        <is>
          <t>取適法・派遣法</t>
        </is>
      </c>
      <c r="L24" s="20" t="inlineStr">
        <is>
          <t>PM・調達・法務／SIer・ベンダー</t>
        </is>
      </c>
    </row>
    <row r="25" ht="26.25" customHeight="1">
      <c r="A25" s="18" t="inlineStr">
        <is>
          <t>02-01-03</t>
        </is>
      </c>
      <c r="B25" s="19" t="n"/>
      <c r="C25" s="19" t="n"/>
      <c r="D25" s="19" t="n"/>
      <c r="E25" s="19" t="inlineStr">
        <is>
          <t>●</t>
        </is>
      </c>
      <c r="F25" s="20" t="inlineStr">
        <is>
          <t>★リスクアセスメントとバリデーション計画（GxP・データインテグリティ）</t>
        </is>
      </c>
      <c r="G25" s="20" t="n"/>
      <c r="H25" s="20" t="n"/>
      <c r="I25" s="21" t="inlineStr">
        <is>
          <t>GxP該当性評価、プロジェクト計画</t>
        </is>
      </c>
      <c r="J25" s="22" t="inlineStr">
        <is>
          <t>リスクアセスメント、バリデーション計画書</t>
        </is>
      </c>
      <c r="K25" s="23" t="inlineStr">
        <is>
          <t>GxP</t>
        </is>
      </c>
      <c r="L25" s="20" t="inlineStr">
        <is>
          <t>PM・品質保証（QA）・システムオーナー／SIer</t>
        </is>
      </c>
    </row>
    <row r="26" ht="26.25" customHeight="1">
      <c r="A26" s="14" t="inlineStr">
        <is>
          <t>02-02</t>
        </is>
      </c>
      <c r="B26" s="15" t="n"/>
      <c r="C26" s="15" t="n"/>
      <c r="D26" s="15" t="inlineStr">
        <is>
          <t>●</t>
        </is>
      </c>
      <c r="E26" s="15" t="n"/>
      <c r="F26" s="16" t="inlineStr">
        <is>
          <t>要件定義・設計</t>
        </is>
      </c>
      <c r="G26" s="17" t="inlineStr">
        <is>
          <t>利用者の要求を仕様にまとめ、機能・構成を設計する。アクセス制御・監査証跡・電子署名などの要件を組み込む</t>
        </is>
      </c>
      <c r="H26" s="17" t="n"/>
      <c r="I26" s="17" t="n"/>
      <c r="J26" s="17" t="n"/>
      <c r="K26" s="14" t="n"/>
      <c r="L26" s="17" t="n"/>
    </row>
    <row r="27" ht="26.25" customHeight="1">
      <c r="A27" s="18" t="inlineStr">
        <is>
          <t>02-02-01</t>
        </is>
      </c>
      <c r="B27" s="19" t="n"/>
      <c r="C27" s="19" t="n"/>
      <c r="D27" s="19" t="n"/>
      <c r="E27" s="19" t="inlineStr">
        <is>
          <t>●</t>
        </is>
      </c>
      <c r="F27" s="20" t="inlineStr">
        <is>
          <t>ユーザー要求仕様（URS）の作成</t>
        </is>
      </c>
      <c r="G27" s="20" t="n"/>
      <c r="H27" s="20" t="n"/>
      <c r="I27" s="21" t="inlineStr">
        <is>
          <t>ビジネスケース、リスクアセスメント</t>
        </is>
      </c>
      <c r="J27" s="22" t="inlineStr">
        <is>
          <t>要求仕様書（URS）</t>
        </is>
      </c>
      <c r="K27" s="23" t="inlineStr">
        <is>
          <t>GxP</t>
        </is>
      </c>
      <c r="L27" s="20" t="inlineStr">
        <is>
          <t>システムオーナー・業務部門／—</t>
        </is>
      </c>
    </row>
    <row r="28" ht="26.25" customHeight="1">
      <c r="A28" s="18" t="inlineStr">
        <is>
          <t>02-02-02</t>
        </is>
      </c>
      <c r="B28" s="19" t="n"/>
      <c r="C28" s="19" t="n"/>
      <c r="D28" s="19" t="n"/>
      <c r="E28" s="19" t="inlineStr">
        <is>
          <t>●</t>
        </is>
      </c>
      <c r="F28" s="20" t="inlineStr">
        <is>
          <t>機能仕様・設計仕様の作成</t>
        </is>
      </c>
      <c r="G28" s="20" t="n"/>
      <c r="H28" s="20" t="n"/>
      <c r="I28" s="21" t="inlineStr">
        <is>
          <t>要求仕様書（URS）、技術標準、エンタープライズアーキテクチャ、データ定義・データカタログ</t>
        </is>
      </c>
      <c r="J28" s="22" t="inlineStr">
        <is>
          <t>設計書（機能・設計仕様）</t>
        </is>
      </c>
      <c r="K28" s="23" t="inlineStr">
        <is>
          <t>GxP</t>
        </is>
      </c>
      <c r="L28" s="20" t="inlineStr">
        <is>
          <t>ITアーキテクト・PM／SIer</t>
        </is>
      </c>
    </row>
    <row r="29" ht="26.25" customHeight="1">
      <c r="A29" s="18" t="inlineStr">
        <is>
          <t>02-02-03</t>
        </is>
      </c>
      <c r="B29" s="19" t="n"/>
      <c r="C29" s="19" t="n"/>
      <c r="D29" s="19" t="n"/>
      <c r="E29" s="19" t="inlineStr">
        <is>
          <t>●</t>
        </is>
      </c>
      <c r="F29" s="20" t="inlineStr">
        <is>
          <t>★セキュリティ・データインテグリティ要件の設計（アクセス制御・監査証跡・電子署名・個人情報）</t>
        </is>
      </c>
      <c r="G29" s="20" t="n"/>
      <c r="H29" s="20" t="n"/>
      <c r="I29" s="21" t="inlineStr">
        <is>
          <t>要求仕様書（URS）、リスクアセスメント、IT規程・手順書</t>
        </is>
      </c>
      <c r="J29" s="22" t="inlineStr">
        <is>
          <t>設計書（機能・設計仕様）、個人情報取扱台帳</t>
        </is>
      </c>
      <c r="K29" s="23" t="inlineStr">
        <is>
          <t>GxP・個人情報保護法</t>
        </is>
      </c>
      <c r="L29" s="20" t="inlineStr">
        <is>
          <t>ITセキュリティ・品質保証（QA）／SIer</t>
        </is>
      </c>
    </row>
    <row r="30" ht="26.25" customHeight="1">
      <c r="A30" s="14" t="inlineStr">
        <is>
          <t>02-03</t>
        </is>
      </c>
      <c r="B30" s="15" t="n"/>
      <c r="C30" s="15" t="n"/>
      <c r="D30" s="15" t="inlineStr">
        <is>
          <t>●</t>
        </is>
      </c>
      <c r="E30" s="15" t="n"/>
      <c r="F30" s="16" t="inlineStr">
        <is>
          <t>開発・構成・テスト</t>
        </is>
      </c>
      <c r="G30" s="17" t="inlineStr">
        <is>
          <t>アプリケーションを開発し、パッケージ・SaaSを設定してシステムを連携し、テストして委託先の成果物を検収する</t>
        </is>
      </c>
      <c r="H30" s="17" t="n"/>
      <c r="I30" s="17" t="n"/>
      <c r="J30" s="17" t="n"/>
      <c r="K30" s="14" t="n"/>
      <c r="L30" s="17" t="n"/>
    </row>
    <row r="31" ht="26.25" customHeight="1">
      <c r="A31" s="18" t="inlineStr">
        <is>
          <t>02-03-01</t>
        </is>
      </c>
      <c r="B31" s="19" t="n"/>
      <c r="C31" s="19" t="n"/>
      <c r="D31" s="19" t="n"/>
      <c r="E31" s="19" t="inlineStr">
        <is>
          <t>●</t>
        </is>
      </c>
      <c r="F31" s="20" t="inlineStr">
        <is>
          <t>アプリケーション開発・パッケージ／SaaSの設定</t>
        </is>
      </c>
      <c r="G31" s="20" t="n"/>
      <c r="H31" s="20" t="n"/>
      <c r="I31" s="21" t="inlineStr">
        <is>
          <t>設計書（機能・設計仕様）、技術標準</t>
        </is>
      </c>
      <c r="J31" s="22" t="inlineStr">
        <is>
          <t>ソースコード・構成設定</t>
        </is>
      </c>
      <c r="K31" s="23" t="inlineStr">
        <is>
          <t>なし</t>
        </is>
      </c>
      <c r="L31" s="20" t="inlineStr">
        <is>
          <t>開発チーム／SIer</t>
        </is>
      </c>
    </row>
    <row r="32" ht="26.25" customHeight="1">
      <c r="A32" s="18" t="inlineStr">
        <is>
          <t>02-03-02</t>
        </is>
      </c>
      <c r="B32" s="19" t="n"/>
      <c r="C32" s="19" t="n"/>
      <c r="D32" s="19" t="n"/>
      <c r="E32" s="19" t="inlineStr">
        <is>
          <t>●</t>
        </is>
      </c>
      <c r="F32" s="20" t="inlineStr">
        <is>
          <t>システム連携とデータ移行の準備</t>
        </is>
      </c>
      <c r="G32" s="20" t="n"/>
      <c r="H32" s="20" t="n"/>
      <c r="I32" s="21" t="inlineStr">
        <is>
          <t>設計書（機能・設計仕様）、データ定義・データカタログ</t>
        </is>
      </c>
      <c r="J32" s="22" t="inlineStr">
        <is>
          <t>ソースコード・構成設定、リリース・移行計画</t>
        </is>
      </c>
      <c r="K32" s="23" t="inlineStr">
        <is>
          <t>なし</t>
        </is>
      </c>
      <c r="L32" s="20" t="inlineStr">
        <is>
          <t>開発チーム・ITアーキテクト／SIer</t>
        </is>
      </c>
    </row>
    <row r="33" ht="26.25" customHeight="1">
      <c r="A33" s="18" t="inlineStr">
        <is>
          <t>02-03-03</t>
        </is>
      </c>
      <c r="B33" s="19" t="n"/>
      <c r="C33" s="19" t="n"/>
      <c r="D33" s="19" t="n"/>
      <c r="E33" s="19" t="inlineStr">
        <is>
          <t>●</t>
        </is>
      </c>
      <c r="F33" s="20" t="inlineStr">
        <is>
          <t>テストの実施（単体・結合・システム）</t>
        </is>
      </c>
      <c r="G33" s="20" t="n"/>
      <c r="H33" s="20" t="n"/>
      <c r="I33" s="21" t="inlineStr">
        <is>
          <t>設計書（機能・設計仕様）、ソースコード・構成設定</t>
        </is>
      </c>
      <c r="J33" s="22" t="inlineStr">
        <is>
          <t>テスト記録</t>
        </is>
      </c>
      <c r="K33" s="23" t="inlineStr">
        <is>
          <t>なし</t>
        </is>
      </c>
      <c r="L33" s="20" t="inlineStr">
        <is>
          <t>開発チーム・PM／SIer</t>
        </is>
      </c>
    </row>
    <row r="34" ht="26.25" customHeight="1">
      <c r="A34" s="18" t="inlineStr">
        <is>
          <t>02-03-04</t>
        </is>
      </c>
      <c r="B34" s="19" t="n"/>
      <c r="C34" s="19" t="n"/>
      <c r="D34" s="19" t="n"/>
      <c r="E34" s="19" t="inlineStr">
        <is>
          <t>●</t>
        </is>
      </c>
      <c r="F34" s="20" t="inlineStr">
        <is>
          <t>★委託先の成果物の検収</t>
        </is>
      </c>
      <c r="G34" s="20" t="n"/>
      <c r="H34" s="20" t="n"/>
      <c r="I34" s="21" t="inlineStr">
        <is>
          <t>委託契約・発注書、テスト記録</t>
        </is>
      </c>
      <c r="J34" s="22" t="inlineStr">
        <is>
          <t>検収記録</t>
        </is>
      </c>
      <c r="K34" s="23" t="inlineStr">
        <is>
          <t>取適法</t>
        </is>
      </c>
      <c r="L34" s="20" t="inlineStr">
        <is>
          <t>PM・調達／SIer</t>
        </is>
      </c>
    </row>
    <row r="35" ht="26.25" customHeight="1">
      <c r="A35" s="14" t="inlineStr">
        <is>
          <t>02-04</t>
        </is>
      </c>
      <c r="B35" s="15" t="n"/>
      <c r="C35" s="15" t="n"/>
      <c r="D35" s="15" t="inlineStr">
        <is>
          <t>●</t>
        </is>
      </c>
      <c r="E35" s="15" t="n"/>
      <c r="F35" s="16" t="inlineStr">
        <is>
          <t>バリデーション・リリース</t>
        </is>
      </c>
      <c r="G35" s="17" t="inlineStr">
        <is>
          <t>適格性を確認してデータを移行し、バリデーションの結果をもとにリリースを判定して、本番に配備し運用へ引き継ぐ</t>
        </is>
      </c>
      <c r="H35" s="17" t="n"/>
      <c r="I35" s="17" t="n"/>
      <c r="J35" s="17" t="n"/>
      <c r="K35" s="14" t="n"/>
      <c r="L35" s="17" t="n"/>
    </row>
    <row r="36" ht="26.25" customHeight="1">
      <c r="A36" s="18" t="inlineStr">
        <is>
          <t>02-04-01</t>
        </is>
      </c>
      <c r="B36" s="19" t="n"/>
      <c r="C36" s="19" t="n"/>
      <c r="D36" s="19" t="n"/>
      <c r="E36" s="19" t="inlineStr">
        <is>
          <t>●</t>
        </is>
      </c>
      <c r="F36" s="20" t="inlineStr">
        <is>
          <t>★据付時・運用時の適格性確認（IQ・OQ）</t>
        </is>
      </c>
      <c r="G36" s="20" t="n"/>
      <c r="H36" s="20" t="n"/>
      <c r="I36" s="21" t="inlineStr">
        <is>
          <t>バリデーション計画書、設計書（機能・設計仕様）、テスト記録</t>
        </is>
      </c>
      <c r="J36" s="22" t="inlineStr">
        <is>
          <t>テスト記録</t>
        </is>
      </c>
      <c r="K36" s="23" t="inlineStr">
        <is>
          <t>GxP</t>
        </is>
      </c>
      <c r="L36" s="20" t="inlineStr">
        <is>
          <t>品質保証（QA）・IT／SIer</t>
        </is>
      </c>
    </row>
    <row r="37" ht="26.25" customHeight="1">
      <c r="A37" s="18" t="inlineStr">
        <is>
          <t>02-04-02</t>
        </is>
      </c>
      <c r="B37" s="19" t="n"/>
      <c r="C37" s="19" t="n"/>
      <c r="D37" s="19" t="n"/>
      <c r="E37" s="19" t="inlineStr">
        <is>
          <t>●</t>
        </is>
      </c>
      <c r="F37" s="20" t="inlineStr">
        <is>
          <t>★ユーザー受入テスト・性能適格性確認（UAT・PQ）</t>
        </is>
      </c>
      <c r="G37" s="20" t="n"/>
      <c r="H37" s="20" t="n"/>
      <c r="I37" s="21" t="inlineStr">
        <is>
          <t>要求仕様書（URS）、バリデーション計画書</t>
        </is>
      </c>
      <c r="J37" s="22" t="inlineStr">
        <is>
          <t>テスト記録</t>
        </is>
      </c>
      <c r="K37" s="23" t="inlineStr">
        <is>
          <t>GxP</t>
        </is>
      </c>
      <c r="L37" s="20" t="inlineStr">
        <is>
          <t>システムオーナー・業務部門・品質保証（QA）／—</t>
        </is>
      </c>
    </row>
    <row r="38" ht="26.25" customHeight="1">
      <c r="A38" s="18" t="inlineStr">
        <is>
          <t>02-04-03</t>
        </is>
      </c>
      <c r="B38" s="19" t="n"/>
      <c r="C38" s="19" t="n"/>
      <c r="D38" s="19" t="n"/>
      <c r="E38" s="19" t="inlineStr">
        <is>
          <t>●</t>
        </is>
      </c>
      <c r="F38" s="20" t="inlineStr">
        <is>
          <t>データ移行と移行結果の検証</t>
        </is>
      </c>
      <c r="G38" s="20" t="n"/>
      <c r="H38" s="20" t="n"/>
      <c r="I38" s="21" t="inlineStr">
        <is>
          <t>リリース・移行計画、データ定義・データカタログ</t>
        </is>
      </c>
      <c r="J38" s="22" t="inlineStr">
        <is>
          <t>テスト記録</t>
        </is>
      </c>
      <c r="K38" s="23" t="inlineStr">
        <is>
          <t>GxP</t>
        </is>
      </c>
      <c r="L38" s="20" t="inlineStr">
        <is>
          <t>IT・業務部門／SIer</t>
        </is>
      </c>
    </row>
    <row r="39" ht="26.25" customHeight="1">
      <c r="A39" s="18" t="inlineStr">
        <is>
          <t>02-04-04</t>
        </is>
      </c>
      <c r="B39" s="19" t="n"/>
      <c r="C39" s="19" t="n"/>
      <c r="D39" s="19" t="n"/>
      <c r="E39" s="19" t="inlineStr">
        <is>
          <t>●</t>
        </is>
      </c>
      <c r="F39" s="20" t="inlineStr">
        <is>
          <t>★バリデーション報告とリリース判定</t>
        </is>
      </c>
      <c r="G39" s="20" t="n"/>
      <c r="H39" s="20" t="n"/>
      <c r="I39" s="21" t="inlineStr">
        <is>
          <t>テスト記録、要求仕様書（URS）、バリデーション計画書</t>
        </is>
      </c>
      <c r="J39" s="22" t="inlineStr">
        <is>
          <t>バリデーション報告書</t>
        </is>
      </c>
      <c r="K39" s="23" t="inlineStr">
        <is>
          <t>GxP</t>
        </is>
      </c>
      <c r="L39" s="20" t="inlineStr">
        <is>
          <t>品質保証（QA）・システムオーナー・PM／—</t>
        </is>
      </c>
    </row>
    <row r="40" ht="26.25" customHeight="1">
      <c r="A40" s="18" t="inlineStr">
        <is>
          <t>02-04-05</t>
        </is>
      </c>
      <c r="B40" s="19" t="n"/>
      <c r="C40" s="19" t="n"/>
      <c r="D40" s="19" t="n"/>
      <c r="E40" s="19" t="inlineStr">
        <is>
          <t>●</t>
        </is>
      </c>
      <c r="F40" s="20" t="inlineStr">
        <is>
          <t>本番配備と運用への引継ぎ（台帳・構成情報・カタログへの登録）</t>
        </is>
      </c>
      <c r="G40" s="20" t="n"/>
      <c r="H40" s="20" t="n"/>
      <c r="I40" s="21" t="inlineStr">
        <is>
          <t>バリデーション報告書、リリース・移行計画</t>
        </is>
      </c>
      <c r="J40" s="22" t="inlineStr">
        <is>
          <t>構成情報、アプリケーション台帳、ITサービスカタログ</t>
        </is>
      </c>
      <c r="K40" s="23" t="inlineStr">
        <is>
          <t>GxP</t>
        </is>
      </c>
      <c r="L40" s="20" t="inlineStr">
        <is>
          <t>IT運用・PM／SIer・運用委託先</t>
        </is>
      </c>
    </row>
    <row r="41" ht="26.25" customHeight="1">
      <c r="A41" s="18" t="inlineStr">
        <is>
          <t>02-04-06</t>
        </is>
      </c>
      <c r="B41" s="19" t="n"/>
      <c r="C41" s="19" t="n"/>
      <c r="D41" s="19" t="n"/>
      <c r="E41" s="19" t="inlineStr">
        <is>
          <t>●</t>
        </is>
      </c>
      <c r="F41" s="20" t="inlineStr">
        <is>
          <t>利用者教育と手順書の整備</t>
        </is>
      </c>
      <c r="G41" s="20" t="n"/>
      <c r="H41" s="20" t="n"/>
      <c r="I41" s="21" t="inlineStr">
        <is>
          <t>IT規程・手順書、設計書（機能・設計仕様）</t>
        </is>
      </c>
      <c r="J41" s="22" t="inlineStr">
        <is>
          <t>教育記録</t>
        </is>
      </c>
      <c r="K41" s="23" t="inlineStr">
        <is>
          <t>GxP</t>
        </is>
      </c>
      <c r="L41" s="20" t="inlineStr">
        <is>
          <t>システムオーナー・業務部門／—</t>
        </is>
      </c>
    </row>
    <row r="42" ht="26.25" customHeight="1">
      <c r="A42" s="10" t="inlineStr">
        <is>
          <t>03</t>
        </is>
      </c>
      <c r="B42" s="11" t="n"/>
      <c r="C42" s="11" t="inlineStr">
        <is>
          <t>●</t>
        </is>
      </c>
      <c r="D42" s="11" t="n"/>
      <c r="E42" s="11" t="n"/>
      <c r="F42" s="12" t="inlineStr">
        <is>
          <t>利用申請・提供（R2F）</t>
        </is>
      </c>
      <c r="G42" s="13" t="inlineStr">
        <is>
          <t>利用者がカタログからITサービスを申請し、承認を経て、アカウント・端末・ソフトウェア・クラウド資源などを提供し、利用と費用を管理する段階</t>
        </is>
      </c>
      <c r="H42" s="13" t="inlineStr">
        <is>
          <t>提供の完了（利用開始）</t>
        </is>
      </c>
      <c r="I42" s="13" t="n"/>
      <c r="J42" s="13" t="n"/>
      <c r="K42" s="10" t="n"/>
      <c r="L42" s="13" t="n"/>
    </row>
    <row r="43" ht="26.25" customHeight="1">
      <c r="A43" s="14" t="inlineStr">
        <is>
          <t>03-01</t>
        </is>
      </c>
      <c r="B43" s="15" t="n"/>
      <c r="C43" s="15" t="n"/>
      <c r="D43" s="15" t="inlineStr">
        <is>
          <t>●</t>
        </is>
      </c>
      <c r="E43" s="15" t="n"/>
      <c r="F43" s="16" t="inlineStr">
        <is>
          <t>サービスカタログの公開</t>
        </is>
      </c>
      <c r="G43" s="17" t="inlineStr">
        <is>
          <t>提供するITサービスを定義してカタログに載せ、サービスレベルと利用条件を合意する</t>
        </is>
      </c>
      <c r="H43" s="17" t="n"/>
      <c r="I43" s="17" t="n"/>
      <c r="J43" s="17" t="n"/>
      <c r="K43" s="14" t="n"/>
      <c r="L43" s="17" t="n"/>
    </row>
    <row r="44" ht="26.25" customHeight="1">
      <c r="A44" s="18" t="inlineStr">
        <is>
          <t>03-01-01</t>
        </is>
      </c>
      <c r="B44" s="19" t="n"/>
      <c r="C44" s="19" t="n"/>
      <c r="D44" s="19" t="n"/>
      <c r="E44" s="19" t="inlineStr">
        <is>
          <t>●</t>
        </is>
      </c>
      <c r="F44" s="20" t="inlineStr">
        <is>
          <t>サービスの定義とカタログへの掲載</t>
        </is>
      </c>
      <c r="G44" s="20" t="n"/>
      <c r="H44" s="20" t="n"/>
      <c r="I44" s="21" t="inlineStr">
        <is>
          <t>アプリケーション台帳、構成情報</t>
        </is>
      </c>
      <c r="J44" s="22" t="inlineStr">
        <is>
          <t>ITサービスカタログ</t>
        </is>
      </c>
      <c r="K44" s="23" t="inlineStr">
        <is>
          <t>なし</t>
        </is>
      </c>
      <c r="L44" s="20" t="inlineStr">
        <is>
          <t>ITサービス管理／—</t>
        </is>
      </c>
    </row>
    <row r="45" ht="26.25" customHeight="1">
      <c r="A45" s="18" t="inlineStr">
        <is>
          <t>03-01-02</t>
        </is>
      </c>
      <c r="B45" s="19" t="n"/>
      <c r="C45" s="19" t="n"/>
      <c r="D45" s="19" t="n"/>
      <c r="E45" s="19" t="inlineStr">
        <is>
          <t>●</t>
        </is>
      </c>
      <c r="F45" s="20" t="inlineStr">
        <is>
          <t>サービスレベル・利用条件の合意</t>
        </is>
      </c>
      <c r="G45" s="20" t="n"/>
      <c r="H45" s="20" t="n"/>
      <c r="I45" s="21" t="inlineStr">
        <is>
          <t>ITサービスカタログ</t>
        </is>
      </c>
      <c r="J45" s="22" t="inlineStr">
        <is>
          <t>サービスレベル合意（SLA）</t>
        </is>
      </c>
      <c r="K45" s="23" t="inlineStr">
        <is>
          <t>なし</t>
        </is>
      </c>
      <c r="L45" s="20" t="inlineStr">
        <is>
          <t>ITサービス管理・事業部門／運用委託先</t>
        </is>
      </c>
    </row>
    <row r="46" ht="26.25" customHeight="1">
      <c r="A46" s="14" t="inlineStr">
        <is>
          <t>03-02</t>
        </is>
      </c>
      <c r="B46" s="15" t="n"/>
      <c r="C46" s="15" t="n"/>
      <c r="D46" s="15" t="inlineStr">
        <is>
          <t>●</t>
        </is>
      </c>
      <c r="E46" s="15" t="n"/>
      <c r="F46" s="16" t="inlineStr">
        <is>
          <t>申請・承認</t>
        </is>
      </c>
      <c r="G46" s="17" t="inlineStr">
        <is>
          <t>利用者の申請を受け付け、上長・システムオーナーが職務分掌を確かめて承認する</t>
        </is>
      </c>
      <c r="H46" s="17" t="n"/>
      <c r="I46" s="17" t="n"/>
      <c r="J46" s="17" t="n"/>
      <c r="K46" s="14" t="n"/>
      <c r="L46" s="17" t="n"/>
    </row>
    <row r="47" ht="26.25" customHeight="1">
      <c r="A47" s="18" t="inlineStr">
        <is>
          <t>03-02-01</t>
        </is>
      </c>
      <c r="B47" s="19" t="n"/>
      <c r="C47" s="19" t="n"/>
      <c r="D47" s="19" t="n"/>
      <c r="E47" s="19" t="inlineStr">
        <is>
          <t>●</t>
        </is>
      </c>
      <c r="F47" s="20" t="inlineStr">
        <is>
          <t>サービス要求（利用申請）の受付</t>
        </is>
      </c>
      <c r="G47" s="20" t="n"/>
      <c r="H47" s="20" t="n"/>
      <c r="I47" s="21" t="inlineStr">
        <is>
          <t>ITサービスカタログ</t>
        </is>
      </c>
      <c r="J47" s="22" t="inlineStr">
        <is>
          <t>サービス要求</t>
        </is>
      </c>
      <c r="K47" s="23" t="inlineStr">
        <is>
          <t>なし</t>
        </is>
      </c>
      <c r="L47" s="20" t="inlineStr">
        <is>
          <t>利用者・サービスデスク／運用委託先</t>
        </is>
      </c>
    </row>
    <row r="48" ht="26.25" customHeight="1">
      <c r="A48" s="18" t="inlineStr">
        <is>
          <t>03-02-02</t>
        </is>
      </c>
      <c r="B48" s="19" t="n"/>
      <c r="C48" s="19" t="n"/>
      <c r="D48" s="19" t="n"/>
      <c r="E48" s="19" t="inlineStr">
        <is>
          <t>●</t>
        </is>
      </c>
      <c r="F48" s="20" t="inlineStr">
        <is>
          <t>★申請の承認（上長・システムオーナー、職務分掌の確認）</t>
        </is>
      </c>
      <c r="G48" s="20" t="n"/>
      <c r="H48" s="20" t="n"/>
      <c r="I48" s="21" t="inlineStr">
        <is>
          <t>サービス要求、ID・アカウント情報</t>
        </is>
      </c>
      <c r="J48" s="22" t="inlineStr">
        <is>
          <t>サービス要求</t>
        </is>
      </c>
      <c r="K48" s="23" t="inlineStr">
        <is>
          <t>GxP・金商法</t>
        </is>
      </c>
      <c r="L48" s="20" t="inlineStr">
        <is>
          <t>上長・システムオーナー／—</t>
        </is>
      </c>
    </row>
    <row r="49" ht="26.25" customHeight="1">
      <c r="A49" s="14" t="inlineStr">
        <is>
          <t>03-03</t>
        </is>
      </c>
      <c r="B49" s="15" t="n"/>
      <c r="C49" s="15" t="n"/>
      <c r="D49" s="15" t="inlineStr">
        <is>
          <t>●</t>
        </is>
      </c>
      <c r="E49" s="15" t="n"/>
      <c r="F49" s="16" t="inlineStr">
        <is>
          <t>提供</t>
        </is>
      </c>
      <c r="G49" s="17" t="inlineStr">
        <is>
          <t>アカウントとアクセス権を付与し、端末・ソフトウェア・クラウド資源を提供して、完了を記録する</t>
        </is>
      </c>
      <c r="H49" s="17" t="n"/>
      <c r="I49" s="17" t="n"/>
      <c r="J49" s="17" t="n"/>
      <c r="K49" s="14" t="n"/>
      <c r="L49" s="17" t="n"/>
    </row>
    <row r="50" ht="26.25" customHeight="1">
      <c r="A50" s="18" t="inlineStr">
        <is>
          <t>03-03-01</t>
        </is>
      </c>
      <c r="B50" s="19" t="n"/>
      <c r="C50" s="19" t="n"/>
      <c r="D50" s="19" t="n"/>
      <c r="E50" s="19" t="inlineStr">
        <is>
          <t>●</t>
        </is>
      </c>
      <c r="F50" s="20" t="inlineStr">
        <is>
          <t>★アカウントの作成・アクセス権の付与</t>
        </is>
      </c>
      <c r="G50" s="20" t="n"/>
      <c r="H50" s="20" t="n"/>
      <c r="I50" s="21" t="inlineStr">
        <is>
          <t>サービス要求、ID・アカウント情報</t>
        </is>
      </c>
      <c r="J50" s="22" t="inlineStr">
        <is>
          <t>ID・アカウント情報、アクセス権記録</t>
        </is>
      </c>
      <c r="K50" s="23" t="inlineStr">
        <is>
          <t>GxP・金商法</t>
        </is>
      </c>
      <c r="L50" s="20" t="inlineStr">
        <is>
          <t>IT運用・サービスデスク／運用委託先</t>
        </is>
      </c>
    </row>
    <row r="51" ht="26.25" customHeight="1">
      <c r="A51" s="18" t="inlineStr">
        <is>
          <t>03-03-02</t>
        </is>
      </c>
      <c r="B51" s="19" t="n"/>
      <c r="C51" s="19" t="n"/>
      <c r="D51" s="19" t="n"/>
      <c r="E51" s="19" t="inlineStr">
        <is>
          <t>●</t>
        </is>
      </c>
      <c r="F51" s="20" t="inlineStr">
        <is>
          <t>端末・ソフトウェアの提供（キッティング・ライセンスの割当）</t>
        </is>
      </c>
      <c r="G51" s="20" t="n"/>
      <c r="H51" s="20" t="n"/>
      <c r="I51" s="21" t="inlineStr">
        <is>
          <t>サービス要求、IT資産・ライセンス台帳</t>
        </is>
      </c>
      <c r="J51" s="22" t="inlineStr">
        <is>
          <t>IT資産・ライセンス台帳</t>
        </is>
      </c>
      <c r="K51" s="23" t="inlineStr">
        <is>
          <t>なし</t>
        </is>
      </c>
      <c r="L51" s="20" t="inlineStr">
        <is>
          <t>サービスデスク／運用委託先</t>
        </is>
      </c>
    </row>
    <row r="52" ht="26.25" customHeight="1">
      <c r="A52" s="18" t="inlineStr">
        <is>
          <t>03-03-03</t>
        </is>
      </c>
      <c r="B52" s="19" t="n"/>
      <c r="C52" s="19" t="n"/>
      <c r="D52" s="19" t="n"/>
      <c r="E52" s="19" t="inlineStr">
        <is>
          <t>●</t>
        </is>
      </c>
      <c r="F52" s="20" t="inlineStr">
        <is>
          <t>クラウド資源・環境の提供</t>
        </is>
      </c>
      <c r="G52" s="20" t="n"/>
      <c r="H52" s="20" t="n"/>
      <c r="I52" s="21" t="inlineStr">
        <is>
          <t>サービス要求、技術標準</t>
        </is>
      </c>
      <c r="J52" s="22" t="inlineStr">
        <is>
          <t>構成情報</t>
        </is>
      </c>
      <c r="K52" s="23" t="inlineStr">
        <is>
          <t>なし</t>
        </is>
      </c>
      <c r="L52" s="20" t="inlineStr">
        <is>
          <t>インフラ担当／クラウド事業者</t>
        </is>
      </c>
    </row>
    <row r="53" ht="26.25" customHeight="1">
      <c r="A53" s="18" t="inlineStr">
        <is>
          <t>03-03-04</t>
        </is>
      </c>
      <c r="B53" s="19" t="n"/>
      <c r="C53" s="19" t="n"/>
      <c r="D53" s="19" t="n"/>
      <c r="E53" s="19" t="inlineStr">
        <is>
          <t>●</t>
        </is>
      </c>
      <c r="F53" s="20" t="inlineStr">
        <is>
          <t>提供の記録と完了通知</t>
        </is>
      </c>
      <c r="G53" s="20" t="n"/>
      <c r="H53" s="20" t="n"/>
      <c r="I53" s="21" t="inlineStr">
        <is>
          <t>サービス要求</t>
        </is>
      </c>
      <c r="J53" s="22" t="inlineStr">
        <is>
          <t>サービス要求</t>
        </is>
      </c>
      <c r="K53" s="23" t="inlineStr">
        <is>
          <t>なし</t>
        </is>
      </c>
      <c r="L53" s="20" t="inlineStr">
        <is>
          <t>サービスデスク／運用委託先</t>
        </is>
      </c>
    </row>
    <row r="54" ht="26.25" customHeight="1">
      <c r="A54" s="14" t="inlineStr">
        <is>
          <t>03-04</t>
        </is>
      </c>
      <c r="B54" s="15" t="n"/>
      <c r="C54" s="15" t="n"/>
      <c r="D54" s="15" t="inlineStr">
        <is>
          <t>●</t>
        </is>
      </c>
      <c r="E54" s="15" t="n"/>
      <c r="F54" s="16" t="inlineStr">
        <is>
          <t>利用・費用管理</t>
        </is>
      </c>
      <c r="G54" s="17" t="inlineStr">
        <is>
          <t>利用状況とライセンスを把握して費用を配賦し、アクセス権を定期的に見直す</t>
        </is>
      </c>
      <c r="H54" s="17" t="n"/>
      <c r="I54" s="17" t="n"/>
      <c r="J54" s="17" t="n"/>
      <c r="K54" s="14" t="n"/>
      <c r="L54" s="17" t="n"/>
    </row>
    <row r="55" ht="26.25" customHeight="1">
      <c r="A55" s="18" t="inlineStr">
        <is>
          <t>03-04-01</t>
        </is>
      </c>
      <c r="B55" s="19" t="n"/>
      <c r="C55" s="19" t="n"/>
      <c r="D55" s="19" t="n"/>
      <c r="E55" s="19" t="inlineStr">
        <is>
          <t>●</t>
        </is>
      </c>
      <c r="F55" s="20" t="inlineStr">
        <is>
          <t>利用状況・ライセンスの把握</t>
        </is>
      </c>
      <c r="G55" s="20" t="n"/>
      <c r="H55" s="20" t="n"/>
      <c r="I55" s="21" t="inlineStr">
        <is>
          <t>IT資産・ライセンス台帳、ID・アカウント情報</t>
        </is>
      </c>
      <c r="J55" s="22" t="inlineStr">
        <is>
          <t>利用実績・費用配賦</t>
        </is>
      </c>
      <c r="K55" s="23" t="inlineStr">
        <is>
          <t>なし</t>
        </is>
      </c>
      <c r="L55" s="20" t="inlineStr">
        <is>
          <t>IT資産管理／—</t>
        </is>
      </c>
    </row>
    <row r="56" ht="26.25" customHeight="1">
      <c r="A56" s="18" t="inlineStr">
        <is>
          <t>03-04-02</t>
        </is>
      </c>
      <c r="B56" s="19" t="n"/>
      <c r="C56" s="19" t="n"/>
      <c r="D56" s="19" t="n"/>
      <c r="E56" s="19" t="inlineStr">
        <is>
          <t>●</t>
        </is>
      </c>
      <c r="F56" s="20" t="inlineStr">
        <is>
          <t>IT費用の部門への配賦</t>
        </is>
      </c>
      <c r="G56" s="20" t="n"/>
      <c r="H56" s="20" t="n"/>
      <c r="I56" s="21" t="inlineStr">
        <is>
          <t>利用実績・費用配賦、IT予算・費用実績</t>
        </is>
      </c>
      <c r="J56" s="22" t="inlineStr">
        <is>
          <t>IT予算・費用実績</t>
        </is>
      </c>
      <c r="K56" s="23" t="inlineStr">
        <is>
          <t>なし</t>
        </is>
      </c>
      <c r="L56" s="20" t="inlineStr">
        <is>
          <t>IT企画・経理／—</t>
        </is>
      </c>
    </row>
    <row r="57" ht="26.25" customHeight="1">
      <c r="A57" s="18" t="inlineStr">
        <is>
          <t>03-04-03</t>
        </is>
      </c>
      <c r="B57" s="19" t="n"/>
      <c r="C57" s="19" t="n"/>
      <c r="D57" s="19" t="n"/>
      <c r="E57" s="19" t="inlineStr">
        <is>
          <t>●</t>
        </is>
      </c>
      <c r="F57" s="20" t="inlineStr">
        <is>
          <t>★アクセス権の定期棚卸（異動・退職の反映）</t>
        </is>
      </c>
      <c r="G57" s="20" t="n"/>
      <c r="H57" s="20" t="n"/>
      <c r="I57" s="21" t="inlineStr">
        <is>
          <t>ID・アカウント情報、アクセス権記録</t>
        </is>
      </c>
      <c r="J57" s="22" t="inlineStr">
        <is>
          <t>アクセス権記録</t>
        </is>
      </c>
      <c r="K57" s="23" t="inlineStr">
        <is>
          <t>GxP・金商法</t>
        </is>
      </c>
      <c r="L57" s="20" t="inlineStr">
        <is>
          <t>システムオーナー・IT運用／—</t>
        </is>
      </c>
    </row>
    <row r="58" ht="26.25" customHeight="1">
      <c r="A58" s="10" t="inlineStr">
        <is>
          <t>04</t>
        </is>
      </c>
      <c r="B58" s="11" t="n"/>
      <c r="C58" s="11" t="inlineStr">
        <is>
          <t>●</t>
        </is>
      </c>
      <c r="D58" s="11" t="n"/>
      <c r="E58" s="11" t="n"/>
      <c r="F58" s="12" t="inlineStr">
        <is>
          <t>検知・是正（D2C）</t>
        </is>
      </c>
      <c r="G58" s="13" t="inlineStr">
        <is>
          <t>ITサービスを監視して異常を検知し、インシデントから復旧させ、問題の根本原因を変更によって是正し、定期的に評価して改善につなげる段階</t>
        </is>
      </c>
      <c r="H58" s="13" t="inlineStr">
        <is>
          <t>是正の完了（問題のクローズ）</t>
        </is>
      </c>
      <c r="I58" s="13" t="n"/>
      <c r="J58" s="13" t="n"/>
      <c r="K58" s="10" t="n"/>
      <c r="L58" s="13" t="n"/>
    </row>
    <row r="59" ht="26.25" customHeight="1">
      <c r="A59" s="14" t="inlineStr">
        <is>
          <t>04-01</t>
        </is>
      </c>
      <c r="B59" s="15" t="n"/>
      <c r="C59" s="15" t="n"/>
      <c r="D59" s="15" t="inlineStr">
        <is>
          <t>●</t>
        </is>
      </c>
      <c r="E59" s="15" t="n"/>
      <c r="F59" s="16" t="inlineStr">
        <is>
          <t>監視・検知</t>
        </is>
      </c>
      <c r="G59" s="17" t="inlineStr">
        <is>
          <t>システムの稼働・性能・セキュリティを監視し、ジョブとバックアップを運用して、異常を検知する</t>
        </is>
      </c>
      <c r="H59" s="17" t="n"/>
      <c r="I59" s="17" t="n"/>
      <c r="J59" s="17" t="n"/>
      <c r="K59" s="14" t="n"/>
      <c r="L59" s="17" t="n"/>
    </row>
    <row r="60" ht="26.25" customHeight="1">
      <c r="A60" s="18" t="inlineStr">
        <is>
          <t>04-01-01</t>
        </is>
      </c>
      <c r="B60" s="19" t="n"/>
      <c r="C60" s="19" t="n"/>
      <c r="D60" s="19" t="n"/>
      <c r="E60" s="19" t="inlineStr">
        <is>
          <t>●</t>
        </is>
      </c>
      <c r="F60" s="20" t="inlineStr">
        <is>
          <t>稼働・性能・容量の監視</t>
        </is>
      </c>
      <c r="G60" s="20" t="n"/>
      <c r="H60" s="20" t="n"/>
      <c r="I60" s="21" t="inlineStr">
        <is>
          <t>構成情報、サービスレベル合意（SLA）</t>
        </is>
      </c>
      <c r="J60" s="22" t="inlineStr">
        <is>
          <t>監視イベント</t>
        </is>
      </c>
      <c r="K60" s="23" t="inlineStr">
        <is>
          <t>なし</t>
        </is>
      </c>
      <c r="L60" s="20" t="inlineStr">
        <is>
          <t>IT運用／運用委託先</t>
        </is>
      </c>
    </row>
    <row r="61" ht="26.25" customHeight="1">
      <c r="A61" s="18" t="inlineStr">
        <is>
          <t>04-01-02</t>
        </is>
      </c>
      <c r="B61" s="19" t="n"/>
      <c r="C61" s="19" t="n"/>
      <c r="D61" s="19" t="n"/>
      <c r="E61" s="19" t="inlineStr">
        <is>
          <t>●</t>
        </is>
      </c>
      <c r="F61" s="20" t="inlineStr">
        <is>
          <t>★ジョブ・バックアップの運用（GxP記録の保護）</t>
        </is>
      </c>
      <c r="G61" s="20" t="n"/>
      <c r="H61" s="20" t="n"/>
      <c r="I61" s="21" t="inlineStr">
        <is>
          <t>構成情報、IT規程・手順書</t>
        </is>
      </c>
      <c r="J61" s="22" t="inlineStr">
        <is>
          <t>運用記録</t>
        </is>
      </c>
      <c r="K61" s="23" t="inlineStr">
        <is>
          <t>GxP</t>
        </is>
      </c>
      <c r="L61" s="20" t="inlineStr">
        <is>
          <t>IT運用／運用委託先</t>
        </is>
      </c>
    </row>
    <row r="62" ht="26.25" customHeight="1">
      <c r="A62" s="18" t="inlineStr">
        <is>
          <t>04-01-03</t>
        </is>
      </c>
      <c r="B62" s="19" t="n"/>
      <c r="C62" s="19" t="n"/>
      <c r="D62" s="19" t="n"/>
      <c r="E62" s="19" t="inlineStr">
        <is>
          <t>●</t>
        </is>
      </c>
      <c r="F62" s="20" t="inlineStr">
        <is>
          <t>セキュリティ監視（SOC）</t>
        </is>
      </c>
      <c r="G62" s="20" t="n"/>
      <c r="H62" s="20" t="n"/>
      <c r="I62" s="21" t="inlineStr">
        <is>
          <t>構成情報、脆弱性情報</t>
        </is>
      </c>
      <c r="J62" s="22" t="inlineStr">
        <is>
          <t>監視イベント</t>
        </is>
      </c>
      <c r="K62" s="23" t="inlineStr">
        <is>
          <t>なし</t>
        </is>
      </c>
      <c r="L62" s="20" t="inlineStr">
        <is>
          <t>ITセキュリティ／SOC事業者</t>
        </is>
      </c>
    </row>
    <row r="63" ht="26.25" customHeight="1">
      <c r="A63" s="14" t="inlineStr">
        <is>
          <t>04-02</t>
        </is>
      </c>
      <c r="B63" s="15" t="n"/>
      <c r="C63" s="15" t="n"/>
      <c r="D63" s="15" t="inlineStr">
        <is>
          <t>●</t>
        </is>
      </c>
      <c r="E63" s="15" t="n"/>
      <c r="F63" s="16" t="inlineStr">
        <is>
          <t>インシデント対応</t>
        </is>
      </c>
      <c r="G63" s="17" t="inlineStr">
        <is>
          <t>インシデントを記録・分類して復旧させる。GxPへの影響と個人情報の漏えいを評価し、必要な報告を行う</t>
        </is>
      </c>
      <c r="H63" s="17" t="n"/>
      <c r="I63" s="17" t="n"/>
      <c r="J63" s="17" t="n"/>
      <c r="K63" s="14" t="n"/>
      <c r="L63" s="17" t="n"/>
    </row>
    <row r="64" ht="26.25" customHeight="1">
      <c r="A64" s="18" t="inlineStr">
        <is>
          <t>04-02-01</t>
        </is>
      </c>
      <c r="B64" s="19" t="n"/>
      <c r="C64" s="19" t="n"/>
      <c r="D64" s="19" t="n"/>
      <c r="E64" s="19" t="inlineStr">
        <is>
          <t>●</t>
        </is>
      </c>
      <c r="F64" s="20" t="inlineStr">
        <is>
          <t>インシデントの記録・分類・優先度付け</t>
        </is>
      </c>
      <c r="G64" s="20" t="n"/>
      <c r="H64" s="20" t="n"/>
      <c r="I64" s="21" t="inlineStr">
        <is>
          <t>監視イベント、サービス要求</t>
        </is>
      </c>
      <c r="J64" s="22" t="inlineStr">
        <is>
          <t>インシデント記録</t>
        </is>
      </c>
      <c r="K64" s="23" t="inlineStr">
        <is>
          <t>なし</t>
        </is>
      </c>
      <c r="L64" s="20" t="inlineStr">
        <is>
          <t>サービスデスク／運用委託先</t>
        </is>
      </c>
    </row>
    <row r="65" ht="26.25" customHeight="1">
      <c r="A65" s="18" t="inlineStr">
        <is>
          <t>04-02-02</t>
        </is>
      </c>
      <c r="B65" s="19" t="n"/>
      <c r="C65" s="19" t="n"/>
      <c r="D65" s="19" t="n"/>
      <c r="E65" s="19" t="inlineStr">
        <is>
          <t>●</t>
        </is>
      </c>
      <c r="F65" s="20" t="inlineStr">
        <is>
          <t>切り分け・復旧（回避策の適用）</t>
        </is>
      </c>
      <c r="G65" s="20" t="n"/>
      <c r="H65" s="20" t="n"/>
      <c r="I65" s="21" t="inlineStr">
        <is>
          <t>インシデント記録、構成情報、ナレッジ記事</t>
        </is>
      </c>
      <c r="J65" s="22" t="inlineStr">
        <is>
          <t>インシデント記録、ナレッジ記事</t>
        </is>
      </c>
      <c r="K65" s="23" t="inlineStr">
        <is>
          <t>なし</t>
        </is>
      </c>
      <c r="L65" s="20" t="inlineStr">
        <is>
          <t>IT運用・サービスデスク／運用委託先・ベンダー</t>
        </is>
      </c>
    </row>
    <row r="66" ht="26.25" customHeight="1">
      <c r="A66" s="18" t="inlineStr">
        <is>
          <t>04-02-03</t>
        </is>
      </c>
      <c r="B66" s="19" t="n"/>
      <c r="C66" s="19" t="n"/>
      <c r="D66" s="19" t="n"/>
      <c r="E66" s="19" t="inlineStr">
        <is>
          <t>●</t>
        </is>
      </c>
      <c r="F66" s="20" t="inlineStr">
        <is>
          <t>★GxPシステムの障害によるデータへの影響評価（品質部門の逸脱処理と連携）</t>
        </is>
      </c>
      <c r="G66" s="20" t="n"/>
      <c r="H66" s="20" t="n"/>
      <c r="I66" s="21" t="inlineStr">
        <is>
          <t>インシデント記録、監査証跡・電子署名記録</t>
        </is>
      </c>
      <c r="J66" s="22" t="inlineStr">
        <is>
          <t>インシデント記録</t>
        </is>
      </c>
      <c r="K66" s="23" t="inlineStr">
        <is>
          <t>GxP</t>
        </is>
      </c>
      <c r="L66" s="20" t="inlineStr">
        <is>
          <t>システムオーナー・品質保証（QA）／—</t>
        </is>
      </c>
    </row>
    <row r="67" ht="26.25" customHeight="1">
      <c r="A67" s="18" t="inlineStr">
        <is>
          <t>04-02-04</t>
        </is>
      </c>
      <c r="B67" s="19" t="n"/>
      <c r="C67" s="19" t="n"/>
      <c r="D67" s="19" t="n"/>
      <c r="E67" s="19" t="inlineStr">
        <is>
          <t>●</t>
        </is>
      </c>
      <c r="F67" s="20" t="inlineStr">
        <is>
          <t>★セキュリティインシデントの対応と報告（個人情報の漏えい等の報告を含む）</t>
        </is>
      </c>
      <c r="G67" s="20" t="n"/>
      <c r="H67" s="20" t="n"/>
      <c r="I67" s="21" t="inlineStr">
        <is>
          <t>監視イベント、インシデント記録、個人情報取扱台帳</t>
        </is>
      </c>
      <c r="J67" s="22" t="inlineStr">
        <is>
          <t>セキュリティインシデント記録</t>
        </is>
      </c>
      <c r="K67" s="23" t="inlineStr">
        <is>
          <t>個人情報保護法</t>
        </is>
      </c>
      <c r="L67" s="20" t="inlineStr">
        <is>
          <t>CSIRT・法務・広報／外部専門事業者・個人情報保護委員会（報告先）</t>
        </is>
      </c>
    </row>
    <row r="68" ht="26.25" customHeight="1">
      <c r="A68" s="18" t="inlineStr">
        <is>
          <t>04-02-05</t>
        </is>
      </c>
      <c r="B68" s="19" t="n"/>
      <c r="C68" s="19" t="n"/>
      <c r="D68" s="19" t="n"/>
      <c r="E68" s="19" t="inlineStr">
        <is>
          <t>●</t>
        </is>
      </c>
      <c r="F68" s="20" t="inlineStr">
        <is>
          <t>大規模障害・災害からの復旧（IT-BCP）</t>
        </is>
      </c>
      <c r="G68" s="20" t="n"/>
      <c r="H68" s="20" t="n"/>
      <c r="I68" s="21" t="inlineStr">
        <is>
          <t>IT事業継続計画、構成情報</t>
        </is>
      </c>
      <c r="J68" s="22" t="inlineStr">
        <is>
          <t>インシデント記録</t>
        </is>
      </c>
      <c r="K68" s="23" t="inlineStr">
        <is>
          <t>なし</t>
        </is>
      </c>
      <c r="L68" s="20" t="inlineStr">
        <is>
          <t>IT運用・経営層／運用委託先・クラウド事業者</t>
        </is>
      </c>
    </row>
    <row r="69" ht="26.25" customHeight="1">
      <c r="A69" s="14" t="inlineStr">
        <is>
          <t>04-03</t>
        </is>
      </c>
      <c r="B69" s="15" t="n"/>
      <c r="C69" s="15" t="n"/>
      <c r="D69" s="15" t="inlineStr">
        <is>
          <t>●</t>
        </is>
      </c>
      <c r="E69" s="15" t="n"/>
      <c r="F69" s="16" t="inlineStr">
        <is>
          <t>問題・変更管理</t>
        </is>
      </c>
      <c r="G69" s="17" t="inlineStr">
        <is>
          <t>問題の根本原因を分析し、影響を評価した変更で是正する。GxPシステムは変更に応じて再バリデーションする</t>
        </is>
      </c>
      <c r="H69" s="17" t="n"/>
      <c r="I69" s="17" t="n"/>
      <c r="J69" s="17" t="n"/>
      <c r="K69" s="14" t="n"/>
      <c r="L69" s="17" t="n"/>
    </row>
    <row r="70" ht="26.25" customHeight="1">
      <c r="A70" s="18" t="inlineStr">
        <is>
          <t>04-03-01</t>
        </is>
      </c>
      <c r="B70" s="19" t="n"/>
      <c r="C70" s="19" t="n"/>
      <c r="D70" s="19" t="n"/>
      <c r="E70" s="19" t="inlineStr">
        <is>
          <t>●</t>
        </is>
      </c>
      <c r="F70" s="20" t="inlineStr">
        <is>
          <t>問題の根本原因分析</t>
        </is>
      </c>
      <c r="G70" s="20" t="n"/>
      <c r="H70" s="20" t="n"/>
      <c r="I70" s="21" t="inlineStr">
        <is>
          <t>インシデント記録、構成情報</t>
        </is>
      </c>
      <c r="J70" s="22" t="inlineStr">
        <is>
          <t>問題記録</t>
        </is>
      </c>
      <c r="K70" s="23" t="inlineStr">
        <is>
          <t>なし</t>
        </is>
      </c>
      <c r="L70" s="20" t="inlineStr">
        <is>
          <t>IT運用・開発チーム／ベンダー</t>
        </is>
      </c>
    </row>
    <row r="71" ht="26.25" customHeight="1">
      <c r="A71" s="18" t="inlineStr">
        <is>
          <t>04-03-02</t>
        </is>
      </c>
      <c r="B71" s="19" t="n"/>
      <c r="C71" s="19" t="n"/>
      <c r="D71" s="19" t="n"/>
      <c r="E71" s="19" t="inlineStr">
        <is>
          <t>●</t>
        </is>
      </c>
      <c r="F71" s="20" t="inlineStr">
        <is>
          <t>★変更要求と影響評価（GxP・データインテグリティ・セキュリティ）</t>
        </is>
      </c>
      <c r="G71" s="20" t="n"/>
      <c r="H71" s="20" t="n"/>
      <c r="I71" s="21" t="inlineStr">
        <is>
          <t>問題記録、脆弱性情報、構成情報</t>
        </is>
      </c>
      <c r="J71" s="22" t="inlineStr">
        <is>
          <t>変更記録</t>
        </is>
      </c>
      <c r="K71" s="23" t="inlineStr">
        <is>
          <t>GxP・金商法</t>
        </is>
      </c>
      <c r="L71" s="20" t="inlineStr">
        <is>
          <t>変更諮問委員会（CAB）・品質保証（QA）／—</t>
        </is>
      </c>
    </row>
    <row r="72" ht="26.25" customHeight="1">
      <c r="A72" s="18" t="inlineStr">
        <is>
          <t>04-03-03</t>
        </is>
      </c>
      <c r="B72" s="19" t="n"/>
      <c r="C72" s="19" t="n"/>
      <c r="D72" s="19" t="n"/>
      <c r="E72" s="19" t="inlineStr">
        <is>
          <t>●</t>
        </is>
      </c>
      <c r="F72" s="20" t="inlineStr">
        <is>
          <t>★変更の実施と再バリデーション</t>
        </is>
      </c>
      <c r="G72" s="20" t="n"/>
      <c r="H72" s="20" t="n"/>
      <c r="I72" s="21" t="inlineStr">
        <is>
          <t>変更記録、バリデーション計画書</t>
        </is>
      </c>
      <c r="J72" s="22" t="inlineStr">
        <is>
          <t>変更記録、テスト記録、構成情報</t>
        </is>
      </c>
      <c r="K72" s="23" t="inlineStr">
        <is>
          <t>GxP</t>
        </is>
      </c>
      <c r="L72" s="20" t="inlineStr">
        <is>
          <t>IT運用・開発チーム・品質保証（QA）／SIer</t>
        </is>
      </c>
    </row>
    <row r="73" ht="26.25" customHeight="1">
      <c r="A73" s="18" t="inlineStr">
        <is>
          <t>04-03-04</t>
        </is>
      </c>
      <c r="B73" s="19" t="n"/>
      <c r="C73" s="19" t="n"/>
      <c r="D73" s="19" t="n"/>
      <c r="E73" s="19" t="inlineStr">
        <is>
          <t>●</t>
        </is>
      </c>
      <c r="F73" s="20" t="inlineStr">
        <is>
          <t>脆弱性への対応（パッチの適用）</t>
        </is>
      </c>
      <c r="G73" s="20" t="n"/>
      <c r="H73" s="20" t="n"/>
      <c r="I73" s="21" t="inlineStr">
        <is>
          <t>脆弱性情報、構成情報</t>
        </is>
      </c>
      <c r="J73" s="22" t="inlineStr">
        <is>
          <t>脆弱性情報、変更記録</t>
        </is>
      </c>
      <c r="K73" s="23" t="inlineStr">
        <is>
          <t>なし</t>
        </is>
      </c>
      <c r="L73" s="20" t="inlineStr">
        <is>
          <t>ITセキュリティ・IT運用／ベンダー</t>
        </is>
      </c>
    </row>
    <row r="74" ht="26.25" customHeight="1">
      <c r="A74" s="14" t="inlineStr">
        <is>
          <t>04-04</t>
        </is>
      </c>
      <c r="B74" s="15" t="n"/>
      <c r="C74" s="15" t="n"/>
      <c r="D74" s="15" t="inlineStr">
        <is>
          <t>●</t>
        </is>
      </c>
      <c r="E74" s="15" t="n"/>
      <c r="F74" s="16" t="inlineStr">
        <is>
          <t>定期評価・継続的改善</t>
        </is>
      </c>
      <c r="G74" s="17" t="inlineStr">
        <is>
          <t>サービスレベル・GxPシステム・委託先・IT全般統制を定期的に評価し、廃止と改善の要求を次の投資判断につなげる</t>
        </is>
      </c>
      <c r="H74" s="17" t="n"/>
      <c r="I74" s="17" t="n"/>
      <c r="J74" s="17" t="n"/>
      <c r="K74" s="14" t="n"/>
      <c r="L74" s="17" t="n"/>
    </row>
    <row r="75" ht="26.25" customHeight="1">
      <c r="A75" s="18" t="inlineStr">
        <is>
          <t>04-04-01</t>
        </is>
      </c>
      <c r="B75" s="19" t="n"/>
      <c r="C75" s="19" t="n"/>
      <c r="D75" s="19" t="n"/>
      <c r="E75" s="19" t="inlineStr">
        <is>
          <t>●</t>
        </is>
      </c>
      <c r="F75" s="20" t="inlineStr">
        <is>
          <t>サービスレベル実績の報告・評価</t>
        </is>
      </c>
      <c r="G75" s="20" t="n"/>
      <c r="H75" s="20" t="n"/>
      <c r="I75" s="21" t="inlineStr">
        <is>
          <t>監視イベント、インシデント記録、サービスレベル合意（SLA）</t>
        </is>
      </c>
      <c r="J75" s="22" t="inlineStr">
        <is>
          <t>サービスレベル実績</t>
        </is>
      </c>
      <c r="K75" s="23" t="inlineStr">
        <is>
          <t>なし</t>
        </is>
      </c>
      <c r="L75" s="20" t="inlineStr">
        <is>
          <t>ITサービス管理・事業部門／運用委託先</t>
        </is>
      </c>
    </row>
    <row r="76" ht="26.25" customHeight="1">
      <c r="A76" s="18" t="inlineStr">
        <is>
          <t>04-04-02</t>
        </is>
      </c>
      <c r="B76" s="19" t="n"/>
      <c r="C76" s="19" t="n"/>
      <c r="D76" s="19" t="n"/>
      <c r="E76" s="19" t="inlineStr">
        <is>
          <t>●</t>
        </is>
      </c>
      <c r="F76" s="20" t="inlineStr">
        <is>
          <t>★GxPシステムの定期レビュー</t>
        </is>
      </c>
      <c r="G76" s="20" t="n"/>
      <c r="H76" s="20" t="n"/>
      <c r="I76" s="21" t="inlineStr">
        <is>
          <t>変更記録、インシデント記録、アクセス権記録、監査証跡・電子署名記録</t>
        </is>
      </c>
      <c r="J76" s="22" t="inlineStr">
        <is>
          <t>定期レビュー記録</t>
        </is>
      </c>
      <c r="K76" s="23" t="inlineStr">
        <is>
          <t>GxP</t>
        </is>
      </c>
      <c r="L76" s="20" t="inlineStr">
        <is>
          <t>システムオーナー・品質保証（QA）／—</t>
        </is>
      </c>
    </row>
    <row r="77" ht="26.25" customHeight="1">
      <c r="A77" s="18" t="inlineStr">
        <is>
          <t>04-04-03</t>
        </is>
      </c>
      <c r="B77" s="19" t="n"/>
      <c r="C77" s="19" t="n"/>
      <c r="D77" s="19" t="n"/>
      <c r="E77" s="19" t="inlineStr">
        <is>
          <t>●</t>
        </is>
      </c>
      <c r="F77" s="20" t="inlineStr">
        <is>
          <t>★委託先の評価・監督（SLA実績・監査・価格協議）</t>
        </is>
      </c>
      <c r="G77" s="20" t="n"/>
      <c r="H77" s="20" t="n"/>
      <c r="I77" s="21" t="inlineStr">
        <is>
          <t>サービスレベル実績、委託契約・発注書</t>
        </is>
      </c>
      <c r="J77" s="22" t="inlineStr">
        <is>
          <t>ベンダー評価記録</t>
        </is>
      </c>
      <c r="K77" s="23" t="inlineStr">
        <is>
          <t>GxP・取適法</t>
        </is>
      </c>
      <c r="L77" s="20" t="inlineStr">
        <is>
          <t>IT企画・調達・品質保証（QA）／SIer・運用委託先</t>
        </is>
      </c>
    </row>
    <row r="78" ht="26.25" customHeight="1">
      <c r="A78" s="18" t="inlineStr">
        <is>
          <t>04-04-04</t>
        </is>
      </c>
      <c r="B78" s="19" t="n"/>
      <c r="C78" s="19" t="n"/>
      <c r="D78" s="19" t="n"/>
      <c r="E78" s="19" t="inlineStr">
        <is>
          <t>●</t>
        </is>
      </c>
      <c r="F78" s="20" t="inlineStr">
        <is>
          <t>★IT全般統制の評価と監査への対応</t>
        </is>
      </c>
      <c r="G78" s="20" t="n"/>
      <c r="H78" s="20" t="n"/>
      <c r="I78" s="21" t="inlineStr">
        <is>
          <t>変更記録、アクセス権記録、運用記録</t>
        </is>
      </c>
      <c r="J78" s="22" t="inlineStr">
        <is>
          <t>ITリスク登録簿</t>
        </is>
      </c>
      <c r="K78" s="23" t="inlineStr">
        <is>
          <t>金商法</t>
        </is>
      </c>
      <c r="L78" s="20" t="inlineStr">
        <is>
          <t>IT企画・内部監査／監査法人</t>
        </is>
      </c>
    </row>
    <row r="79" ht="26.25" customHeight="1">
      <c r="A79" s="18" t="inlineStr">
        <is>
          <t>04-04-05</t>
        </is>
      </c>
      <c r="B79" s="19" t="n"/>
      <c r="C79" s="19" t="n"/>
      <c r="D79" s="19" t="n"/>
      <c r="E79" s="19" t="inlineStr">
        <is>
          <t>●</t>
        </is>
      </c>
      <c r="F79" s="20" t="inlineStr">
        <is>
          <t>★システムの廃止とGxP記録の保存（アーカイブ）</t>
        </is>
      </c>
      <c r="G79" s="20" t="n"/>
      <c r="H79" s="20" t="n"/>
      <c r="I79" s="21" t="inlineStr">
        <is>
          <t>ITポートフォリオ、アプリケーション台帳、データ定義・データカタログ</t>
        </is>
      </c>
      <c r="J79" s="22" t="inlineStr">
        <is>
          <t>記録保存・アーカイブ記録、アプリケーション台帳</t>
        </is>
      </c>
      <c r="K79" s="23" t="inlineStr">
        <is>
          <t>GxP</t>
        </is>
      </c>
      <c r="L79" s="20" t="inlineStr">
        <is>
          <t>システムオーナー・品質保証（QA）・IT運用／—</t>
        </is>
      </c>
    </row>
    <row r="80" ht="26.25" customHeight="1">
      <c r="A80" s="18" t="inlineStr">
        <is>
          <t>04-04-06</t>
        </is>
      </c>
      <c r="B80" s="19" t="n"/>
      <c r="C80" s="19" t="n"/>
      <c r="D80" s="19" t="n"/>
      <c r="E80" s="19" t="inlineStr">
        <is>
          <t>●</t>
        </is>
      </c>
      <c r="F80" s="20" t="inlineStr">
        <is>
          <t>改善の提案（次の投資要求へ）</t>
        </is>
      </c>
      <c r="G80" s="20" t="n"/>
      <c r="H80" s="20" t="n"/>
      <c r="I80" s="21" t="inlineStr">
        <is>
          <t>問題記録、サービスレベル実績、ITリスク登録簿</t>
        </is>
      </c>
      <c r="J80" s="22" t="inlineStr">
        <is>
          <t>IT投資要求</t>
        </is>
      </c>
      <c r="K80" s="23" t="inlineStr">
        <is>
          <t>なし</t>
        </is>
      </c>
      <c r="L80" s="20" t="inlineStr">
        <is>
          <t>IT企画・ITサービス管理／—</t>
        </is>
      </c>
    </row>
  </sheetData>
  <autoFilter ref="A3:L80"/>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J108"/>
  <sheetViews>
    <sheetView showGridLines="1" zoomScale="90"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30" customWidth="1" min="5" max="5"/>
    <col width="46" customWidth="1" min="6" max="6"/>
    <col width="8" customWidth="1" min="7" max="7"/>
    <col width="30" customWidth="1" min="8" max="8"/>
    <col width="32" customWidth="1" min="9" max="9"/>
    <col width="26" customWidth="1" min="10" max="10"/>
  </cols>
  <sheetData>
    <row r="1" ht="21" customHeight="1">
      <c r="A1" s="1" t="inlineStr">
        <is>
          <t>ビジネス・ケイパビリティマップ（L1〜L3）</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1行1項目。L1〜L3列の●がその行のレベル。区分はL1、範囲・アウトカムはL3の項目。★＝製薬のGxP規制、または日本のIT外部委託（請負・準委任、取適法）・IT全般統制（J-SOX）に固有、または特に強調する能力。</t>
        </is>
      </c>
    </row>
    <row r="3" ht="30" customHeight="1">
      <c r="A3" s="3" t="inlineStr">
        <is>
          <t>ID</t>
        </is>
      </c>
      <c r="B3" s="3" t="inlineStr">
        <is>
          <t>L1</t>
        </is>
      </c>
      <c r="C3" s="3" t="inlineStr">
        <is>
          <t>L2</t>
        </is>
      </c>
      <c r="D3" s="3" t="inlineStr">
        <is>
          <t>L3</t>
        </is>
      </c>
      <c r="E3" s="4" t="inlineStr">
        <is>
          <t>ケイパビリティ名</t>
        </is>
      </c>
      <c r="F3" s="4" t="inlineStr">
        <is>
          <t>ケイパビリティの定義</t>
        </is>
      </c>
      <c r="G3" s="4" t="inlineStr">
        <is>
          <t>区分</t>
        </is>
      </c>
      <c r="H3" s="4" t="inlineStr">
        <is>
          <t>範囲（含む）</t>
        </is>
      </c>
      <c r="I3" s="4" t="inlineStr">
        <is>
          <t>範囲（含まない）</t>
        </is>
      </c>
      <c r="J3" s="4" t="inlineStr">
        <is>
          <t>アウトカム</t>
        </is>
      </c>
    </row>
    <row r="4" ht="26.25" customHeight="1">
      <c r="A4" s="6" t="inlineStr">
        <is>
          <t>C01</t>
        </is>
      </c>
      <c r="B4" s="7" t="inlineStr">
        <is>
          <t>●</t>
        </is>
      </c>
      <c r="C4" s="7" t="n"/>
      <c r="D4" s="7" t="n"/>
      <c r="E4" s="24" t="inlineStr">
        <is>
          <t>IT戦略・ガバナンス</t>
        </is>
      </c>
      <c r="F4" s="9" t="inlineStr">
        <is>
          <t>事業戦略からIT戦略・アーキテクチャ・投資の方針を定め、規程・リスク・統制・予算でIT全体を統制する能力</t>
        </is>
      </c>
      <c r="G4" s="25" t="inlineStr">
        <is>
          <t>戦略</t>
        </is>
      </c>
      <c r="H4" s="9" t="n"/>
      <c r="I4" s="9" t="n"/>
      <c r="J4" s="9" t="n"/>
    </row>
    <row r="5" ht="26.25" customHeight="1">
      <c r="A5" s="10" t="inlineStr">
        <is>
          <t>C01-01</t>
        </is>
      </c>
      <c r="B5" s="11" t="n"/>
      <c r="C5" s="11" t="inlineStr">
        <is>
          <t>●</t>
        </is>
      </c>
      <c r="D5" s="11" t="n"/>
      <c r="E5" s="12" t="inlineStr">
        <is>
          <t>IT戦略・DX企画</t>
        </is>
      </c>
      <c r="F5" s="13" t="inlineStr">
        <is>
          <t>事業戦略を受けてIT戦略とロードマップを定め、デジタル技術による業務・事業の変革を企画する</t>
        </is>
      </c>
      <c r="G5" s="10" t="n"/>
      <c r="H5" s="26" t="n"/>
      <c r="I5" s="26" t="n"/>
      <c r="J5" s="26" t="n"/>
    </row>
    <row r="6" ht="26.25" customHeight="1">
      <c r="A6" s="14" t="inlineStr">
        <is>
          <t>C01-01-01</t>
        </is>
      </c>
      <c r="B6" s="15" t="n"/>
      <c r="C6" s="15" t="n"/>
      <c r="D6" s="15" t="inlineStr">
        <is>
          <t>●</t>
        </is>
      </c>
      <c r="E6" s="17" t="inlineStr">
        <is>
          <t>IT戦略・ロードマップ策定</t>
        </is>
      </c>
      <c r="F6" s="17" t="inlineStr">
        <is>
          <t>事業戦略・DX方針から、ITの目標・重点施策・中長期の実行計画を定める</t>
        </is>
      </c>
      <c r="G6" s="14" t="n"/>
      <c r="H6" s="17" t="inlineStr">
        <is>
          <t>IT戦略、ロードマップ、重点施策</t>
        </is>
      </c>
      <c r="I6" s="17" t="inlineStr">
        <is>
          <t>個別案件の評価（C01-03-02）</t>
        </is>
      </c>
      <c r="J6" s="17" t="inlineStr">
        <is>
          <t>事業の方向とそろったIT投資</t>
        </is>
      </c>
    </row>
    <row r="7" ht="26.25" customHeight="1">
      <c r="A7" s="14" t="inlineStr">
        <is>
          <t>C01-01-02</t>
        </is>
      </c>
      <c r="B7" s="15" t="n"/>
      <c r="C7" s="15" t="n"/>
      <c r="D7" s="15" t="inlineStr">
        <is>
          <t>●</t>
        </is>
      </c>
      <c r="E7" s="17" t="inlineStr">
        <is>
          <t>DX・デジタル企画</t>
        </is>
      </c>
      <c r="F7" s="17" t="inlineStr">
        <is>
          <t>データ・AI・クラウドなどを使った業務・事業の変革を企画し、事業部門と構想を描く</t>
        </is>
      </c>
      <c r="G7" s="14" t="n"/>
      <c r="H7" s="17" t="inlineStr">
        <is>
          <t>DXテーマの探索、構想、効果の仮説</t>
        </is>
      </c>
      <c r="I7" s="17" t="inlineStr">
        <is>
          <t>案件ごとの概算見積（C01-03-01）</t>
        </is>
      </c>
      <c r="J7" s="17" t="inlineStr">
        <is>
          <t>事業部門と共有された変革の構想</t>
        </is>
      </c>
    </row>
    <row r="8" ht="26.25" customHeight="1">
      <c r="A8" s="10" t="inlineStr">
        <is>
          <t>C01-02</t>
        </is>
      </c>
      <c r="B8" s="11" t="n"/>
      <c r="C8" s="11" t="inlineStr">
        <is>
          <t>●</t>
        </is>
      </c>
      <c r="D8" s="11" t="n"/>
      <c r="E8" s="12" t="inlineStr">
        <is>
          <t>エンタープライズアーキテクチャ</t>
        </is>
      </c>
      <c r="F8" s="13" t="inlineStr">
        <is>
          <t>業務・アプリケーション・データ・技術の現状と将来像を描き、技術標準とアプリケーションの全体を管理する</t>
        </is>
      </c>
      <c r="G8" s="10" t="n"/>
      <c r="H8" s="26" t="n"/>
      <c r="I8" s="26" t="n"/>
      <c r="J8" s="26" t="n"/>
    </row>
    <row r="9" ht="26.25" customHeight="1">
      <c r="A9" s="14" t="inlineStr">
        <is>
          <t>C01-02-01</t>
        </is>
      </c>
      <c r="B9" s="15" t="n"/>
      <c r="C9" s="15" t="n"/>
      <c r="D9" s="15" t="inlineStr">
        <is>
          <t>●</t>
        </is>
      </c>
      <c r="E9" s="17" t="inlineStr">
        <is>
          <t>アーキテクチャ設計（現状・将来像）</t>
        </is>
      </c>
      <c r="F9" s="17" t="inlineStr">
        <is>
          <t>業務・アプリケーション・データ・技術の現状と将来像、移行の道筋を描く</t>
        </is>
      </c>
      <c r="G9" s="14" t="n"/>
      <c r="H9" s="17" t="inlineStr">
        <is>
          <t>現状・将来のアーキテクチャ、移行計画</t>
        </is>
      </c>
      <c r="I9" s="17" t="inlineStr">
        <is>
          <t>個別システムの設計（C02-02-02）</t>
        </is>
      </c>
      <c r="J9" s="17" t="inlineStr">
        <is>
          <t>全体として整合したシステム構成</t>
        </is>
      </c>
    </row>
    <row r="10" ht="26.25" customHeight="1">
      <c r="A10" s="14" t="inlineStr">
        <is>
          <t>C01-02-02</t>
        </is>
      </c>
      <c r="B10" s="15" t="n"/>
      <c r="C10" s="15" t="n"/>
      <c r="D10" s="15" t="inlineStr">
        <is>
          <t>●</t>
        </is>
      </c>
      <c r="E10" s="17" t="inlineStr">
        <is>
          <t>技術標準・アーキテクチャレビュー</t>
        </is>
      </c>
      <c r="F10" s="17" t="inlineStr">
        <is>
          <t>採用する技術・製品・連携方式の標準を定め、案件の設計が標準に沿うかを審査する</t>
        </is>
      </c>
      <c r="G10" s="14" t="n"/>
      <c r="H10" s="17" t="inlineStr">
        <is>
          <t>技術標準、設計レビュー、例外の承認</t>
        </is>
      </c>
      <c r="I10" s="17" t="inlineStr">
        <is>
          <t>セキュリティの方針（C05-01-01）</t>
        </is>
      </c>
      <c r="J10" s="17" t="inlineStr">
        <is>
          <t>重複や乱立のない技術基盤</t>
        </is>
      </c>
    </row>
    <row r="11" ht="26.25" customHeight="1">
      <c r="A11" s="14" t="inlineStr">
        <is>
          <t>C01-02-03</t>
        </is>
      </c>
      <c r="B11" s="15" t="n"/>
      <c r="C11" s="15" t="n"/>
      <c r="D11" s="15" t="inlineStr">
        <is>
          <t>●</t>
        </is>
      </c>
      <c r="E11" s="17" t="inlineStr">
        <is>
          <t>アプリケーションポートフォリオ管理</t>
        </is>
      </c>
      <c r="F11" s="17" t="inlineStr">
        <is>
          <t>すべてのアプリケーションを台帳で管理し、価値・技術・コストの面から継続・統合・廃止を評価する</t>
        </is>
      </c>
      <c r="G11" s="14" t="n"/>
      <c r="H11" s="17" t="inlineStr">
        <is>
          <t>アプリケーション台帳、ライフサイクルの状態、評価</t>
        </is>
      </c>
      <c r="I11" s="17" t="inlineStr">
        <is>
          <t>投資案件の優先順位付け（C01-03-02）</t>
        </is>
      </c>
      <c r="J11" s="17" t="inlineStr">
        <is>
          <t>把握され、整理されたアプリケーション群</t>
        </is>
      </c>
    </row>
    <row r="12" ht="26.25" customHeight="1">
      <c r="A12" s="10" t="inlineStr">
        <is>
          <t>C01-03</t>
        </is>
      </c>
      <c r="B12" s="11" t="n"/>
      <c r="C12" s="11" t="inlineStr">
        <is>
          <t>●</t>
        </is>
      </c>
      <c r="D12" s="11" t="n"/>
      <c r="E12" s="12" t="inlineStr">
        <is>
          <t>ITポートフォリオ・需要管理</t>
        </is>
      </c>
      <c r="F12" s="13" t="inlineStr">
        <is>
          <t>事業部門の需要を受け付けて構想にまとめ、投資案件を評価・選択し、ポートフォリオ全体を監視する</t>
        </is>
      </c>
      <c r="G12" s="10" t="n"/>
      <c r="H12" s="26" t="n"/>
      <c r="I12" s="26" t="n"/>
      <c r="J12" s="26" t="n"/>
    </row>
    <row r="13" ht="26.25" customHeight="1">
      <c r="A13" s="14" t="inlineStr">
        <is>
          <t>C01-03-01</t>
        </is>
      </c>
      <c r="B13" s="15" t="n"/>
      <c r="C13" s="15" t="n"/>
      <c r="D13" s="15" t="inlineStr">
        <is>
          <t>●</t>
        </is>
      </c>
      <c r="E13" s="17" t="inlineStr">
        <is>
          <t>需要管理</t>
        </is>
      </c>
      <c r="F13" s="17" t="inlineStr">
        <is>
          <t>事業部門のIT需要を一つの窓口で受け付け、構想・概算見積・ビジネスケースにまとめる</t>
        </is>
      </c>
      <c r="G13" s="14" t="n"/>
      <c r="H13" s="17" t="inlineStr">
        <is>
          <t>需要の受付、構想、ビジネスケース</t>
        </is>
      </c>
      <c r="I13" s="17" t="inlineStr">
        <is>
          <t>予算の承認（C01-05-01）</t>
        </is>
      </c>
      <c r="J13" s="17" t="inlineStr">
        <is>
          <t>見える化され、比較できる需要</t>
        </is>
      </c>
    </row>
    <row r="14" ht="26.25" customHeight="1">
      <c r="A14" s="14" t="inlineStr">
        <is>
          <t>C01-03-02</t>
        </is>
      </c>
      <c r="B14" s="15" t="n"/>
      <c r="C14" s="15" t="n"/>
      <c r="D14" s="15" t="inlineStr">
        <is>
          <t>●</t>
        </is>
      </c>
      <c r="E14" s="17" t="inlineStr">
        <is>
          <t>投資評価・優先順位付け</t>
        </is>
      </c>
      <c r="F14" s="17" t="inlineStr">
        <is>
          <t>共通の基準で投資案件を評価し、優先順位を付けて、実施する案件を決める</t>
        </is>
      </c>
      <c r="G14" s="14" t="n"/>
      <c r="H14" s="17" t="inlineStr">
        <is>
          <t>評価基準、優先順位、投資判断</t>
        </is>
      </c>
      <c r="I14" s="17" t="inlineStr">
        <is>
          <t>個別プロジェクトの進捗管理（C02-01-01）</t>
        </is>
      </c>
      <c r="J14" s="17" t="inlineStr">
        <is>
          <t>価値の高い案件への資源の集中</t>
        </is>
      </c>
    </row>
    <row r="15" ht="26.25" customHeight="1">
      <c r="A15" s="14" t="inlineStr">
        <is>
          <t>C01-03-03</t>
        </is>
      </c>
      <c r="B15" s="15" t="n"/>
      <c r="C15" s="15" t="n"/>
      <c r="D15" s="15" t="inlineStr">
        <is>
          <t>●</t>
        </is>
      </c>
      <c r="E15" s="17" t="inlineStr">
        <is>
          <t>ポートフォリオの監視・見直し</t>
        </is>
      </c>
      <c r="F15" s="17" t="inlineStr">
        <is>
          <t>実行中の案件と既存システムの成果を監視し、継続・中止・統合を見直す</t>
        </is>
      </c>
      <c r="G15" s="14" t="n"/>
      <c r="H15" s="17" t="inlineStr">
        <is>
          <t>案件の監視、効果の検証、見直し</t>
        </is>
      </c>
      <c r="I15" s="17" t="inlineStr">
        <is>
          <t>アプリケーション台帳の維持（C01-02-03）</t>
        </is>
      </c>
      <c r="J15" s="17" t="inlineStr">
        <is>
          <t>成果に応じて組み替えられるポートフォリオ</t>
        </is>
      </c>
    </row>
    <row r="16" ht="26.25" customHeight="1">
      <c r="A16" s="10" t="inlineStr">
        <is>
          <t>C01-04</t>
        </is>
      </c>
      <c r="B16" s="11" t="n"/>
      <c r="C16" s="11" t="inlineStr">
        <is>
          <t>●</t>
        </is>
      </c>
      <c r="D16" s="11" t="n"/>
      <c r="E16" s="12" t="inlineStr">
        <is>
          <t>ITガバナンス・リスク管理★</t>
        </is>
      </c>
      <c r="F16" s="13" t="inlineStr">
        <is>
          <t>IT規程と標準手順を定め、ITのリスクを管理し、IT全般統制を整備・評価する</t>
        </is>
      </c>
      <c r="G16" s="10" t="n"/>
      <c r="H16" s="26" t="n"/>
      <c r="I16" s="26" t="n"/>
      <c r="J16" s="26" t="n"/>
    </row>
    <row r="17" ht="26.25" customHeight="1">
      <c r="A17" s="14" t="inlineStr">
        <is>
          <t>C01-04-01</t>
        </is>
      </c>
      <c r="B17" s="15" t="n"/>
      <c r="C17" s="15" t="n"/>
      <c r="D17" s="15" t="inlineStr">
        <is>
          <t>●</t>
        </is>
      </c>
      <c r="E17" s="17" t="inlineStr">
        <is>
          <t>IT規程・標準手順★</t>
        </is>
      </c>
      <c r="F17" s="17" t="inlineStr">
        <is>
          <t>IT規程と、CSV・変更管理・アクセス管理などの標準手順書（SOP）を定め、改訂する</t>
        </is>
      </c>
      <c r="G17" s="14" t="n"/>
      <c r="H17" s="17" t="inlineStr">
        <is>
          <t>IT規程、IT標準手順書、GxP関連のSOP</t>
        </is>
      </c>
      <c r="I17" s="17" t="inlineStr">
        <is>
          <t>個別システムの運用手順書（C07-03-01）</t>
        </is>
      </c>
      <c r="J17" s="17" t="inlineStr">
        <is>
          <t>規制と社内ルールに沿った一貫したIT業務</t>
        </is>
      </c>
    </row>
    <row r="18" ht="26.25" customHeight="1">
      <c r="A18" s="14" t="inlineStr">
        <is>
          <t>C01-04-02</t>
        </is>
      </c>
      <c r="B18" s="15" t="n"/>
      <c r="C18" s="15" t="n"/>
      <c r="D18" s="15" t="inlineStr">
        <is>
          <t>●</t>
        </is>
      </c>
      <c r="E18" s="17" t="inlineStr">
        <is>
          <t>テクノロジーリスク管理</t>
        </is>
      </c>
      <c r="F18" s="17" t="inlineStr">
        <is>
          <t>ITに関するリスク（老朽化・ベンダー依存・障害・サイバーなど）を洗い出し、評価して対策を管理する</t>
        </is>
      </c>
      <c r="G18" s="14" t="n"/>
      <c r="H18" s="17" t="inlineStr">
        <is>
          <t>ITリスク登録簿、リスク評価、対策の管理</t>
        </is>
      </c>
      <c r="I18" s="17" t="inlineStr">
        <is>
          <t>サイバーセキュリティの詳細なリスク評価（C05-01-01）</t>
        </is>
      </c>
      <c r="J18" s="17" t="inlineStr">
        <is>
          <t>経営が把握し、管理されたITリスク</t>
        </is>
      </c>
    </row>
    <row r="19" ht="26.25" customHeight="1">
      <c r="A19" s="14" t="inlineStr">
        <is>
          <t>C01-04-03</t>
        </is>
      </c>
      <c r="B19" s="15" t="n"/>
      <c r="C19" s="15" t="n"/>
      <c r="D19" s="15" t="inlineStr">
        <is>
          <t>●</t>
        </is>
      </c>
      <c r="E19" s="17" t="inlineStr">
        <is>
          <t>IT全般統制・監査対応★</t>
        </is>
      </c>
      <c r="F19" s="17" t="inlineStr">
        <is>
          <t>財務報告に関わるシステムのIT全般統制（開発・変更・運用・アクセス）を整備し、評価と監査に対応する</t>
        </is>
      </c>
      <c r="G19" s="14" t="n"/>
      <c r="H19" s="17" t="inlineStr">
        <is>
          <t>IT全般統制、統制の評価、監査対応</t>
        </is>
      </c>
      <c r="I19" s="17" t="inlineStr">
        <is>
          <t>GxPの定期レビュー（C06-01-03）</t>
        </is>
      </c>
      <c r="J19" s="17" t="inlineStr">
        <is>
          <t>有効性を説明できるIT統制</t>
        </is>
      </c>
    </row>
    <row r="20" ht="26.25" customHeight="1">
      <c r="A20" s="10" t="inlineStr">
        <is>
          <t>C01-05</t>
        </is>
      </c>
      <c r="B20" s="11" t="n"/>
      <c r="C20" s="11" t="inlineStr">
        <is>
          <t>●</t>
        </is>
      </c>
      <c r="D20" s="11" t="n"/>
      <c r="E20" s="12" t="inlineStr">
        <is>
          <t>IT財務管理</t>
        </is>
      </c>
      <c r="F20" s="13" t="inlineStr">
        <is>
          <t>IT予算を立てて配分し、費用の実績を把握して部門に配賦する</t>
        </is>
      </c>
      <c r="G20" s="10" t="n"/>
      <c r="H20" s="26" t="n"/>
      <c r="I20" s="26" t="n"/>
      <c r="J20" s="26" t="n"/>
    </row>
    <row r="21" ht="26.25" customHeight="1">
      <c r="A21" s="14" t="inlineStr">
        <is>
          <t>C01-05-01</t>
        </is>
      </c>
      <c r="B21" s="15" t="n"/>
      <c r="C21" s="15" t="n"/>
      <c r="D21" s="15" t="inlineStr">
        <is>
          <t>●</t>
        </is>
      </c>
      <c r="E21" s="17" t="inlineStr">
        <is>
          <t>IT予算管理</t>
        </is>
      </c>
      <c r="F21" s="17" t="inlineStr">
        <is>
          <t>IT予算を立てて案件・サービスに配分し、実績と比較する</t>
        </is>
      </c>
      <c r="G21" s="14" t="n"/>
      <c r="H21" s="17" t="inlineStr">
        <is>
          <t>IT予算、予実管理、概算見積の確認</t>
        </is>
      </c>
      <c r="I21" s="17" t="inlineStr">
        <is>
          <t>投資案件の評価（C01-03-02）</t>
        </is>
      </c>
      <c r="J21" s="17" t="inlineStr">
        <is>
          <t>予算内に管理されたIT支出</t>
        </is>
      </c>
    </row>
    <row r="22" ht="26.25" customHeight="1">
      <c r="A22" s="14" t="inlineStr">
        <is>
          <t>C01-05-02</t>
        </is>
      </c>
      <c r="B22" s="15" t="n"/>
      <c r="C22" s="15" t="n"/>
      <c r="D22" s="15" t="inlineStr">
        <is>
          <t>●</t>
        </is>
      </c>
      <c r="E22" s="17" t="inlineStr">
        <is>
          <t>IT費用の配賦・分析</t>
        </is>
      </c>
      <c r="F22" s="17" t="inlineStr">
        <is>
          <t>ITの費用をサービス・部門に配賦し、総保有コストを分析する</t>
        </is>
      </c>
      <c r="G22" s="14" t="n"/>
      <c r="H22" s="17" t="inlineStr">
        <is>
          <t>費用の配賦、TCO分析</t>
        </is>
      </c>
      <c r="I22" s="17" t="inlineStr">
        <is>
          <t>ライセンスの利用把握（C04-04-02）</t>
        </is>
      </c>
      <c r="J22" s="17" t="inlineStr">
        <is>
          <t>説明できるITのコスト</t>
        </is>
      </c>
    </row>
    <row r="23" ht="26.25" customHeight="1">
      <c r="A23" s="6" t="inlineStr">
        <is>
          <t>C02</t>
        </is>
      </c>
      <c r="B23" s="7" t="inlineStr">
        <is>
          <t>●</t>
        </is>
      </c>
      <c r="C23" s="7" t="n"/>
      <c r="D23" s="7" t="n"/>
      <c r="E23" s="24" t="inlineStr">
        <is>
          <t>ソリューション開発・導入</t>
        </is>
      </c>
      <c r="F23" s="9" t="inlineStr">
        <is>
          <t>承認された案件を、要件定義・設計・開発・テスト・リリースを通じて、内製と外部委託の組み合わせで実現する能力</t>
        </is>
      </c>
      <c r="G23" s="25" t="inlineStr">
        <is>
          <t>コア</t>
        </is>
      </c>
      <c r="H23" s="9" t="n"/>
      <c r="I23" s="9" t="n"/>
      <c r="J23" s="9" t="n"/>
    </row>
    <row r="24" ht="26.25" customHeight="1">
      <c r="A24" s="10" t="inlineStr">
        <is>
          <t>C02-01</t>
        </is>
      </c>
      <c r="B24" s="11" t="n"/>
      <c r="C24" s="11" t="inlineStr">
        <is>
          <t>●</t>
        </is>
      </c>
      <c r="D24" s="11" t="n"/>
      <c r="E24" s="12" t="inlineStr">
        <is>
          <t>プロジェクト管理★</t>
        </is>
      </c>
      <c r="F24" s="13" t="inlineStr">
        <is>
          <t>プロジェクトの計画・体制・進捗・品質を管理し、委託先の作業を監督する</t>
        </is>
      </c>
      <c r="G24" s="10" t="n"/>
      <c r="H24" s="26" t="n"/>
      <c r="I24" s="26" t="n"/>
      <c r="J24" s="26" t="n"/>
    </row>
    <row r="25" ht="26.25" customHeight="1">
      <c r="A25" s="14" t="inlineStr">
        <is>
          <t>C02-01-01</t>
        </is>
      </c>
      <c r="B25" s="15" t="n"/>
      <c r="C25" s="15" t="n"/>
      <c r="D25" s="15" t="inlineStr">
        <is>
          <t>●</t>
        </is>
      </c>
      <c r="E25" s="17" t="inlineStr">
        <is>
          <t>プロジェクト計画・進捗管理</t>
        </is>
      </c>
      <c r="F25" s="17" t="inlineStr">
        <is>
          <t>プロジェクトの計画・体制・スケジュールを立て、進捗・課題・リスクを管理する</t>
        </is>
      </c>
      <c r="G25" s="14" t="n"/>
      <c r="H25" s="17" t="inlineStr">
        <is>
          <t>計画、体制、進捗、課題・リスク</t>
        </is>
      </c>
      <c r="I25" s="17" t="inlineStr">
        <is>
          <t>ポートフォリオ全体の監視（C01-03-03）</t>
        </is>
      </c>
      <c r="J25" s="17" t="inlineStr">
        <is>
          <t>計画どおりに完了するプロジェクト</t>
        </is>
      </c>
    </row>
    <row r="26" ht="26.25" customHeight="1">
      <c r="A26" s="14" t="inlineStr">
        <is>
          <t>C02-01-02</t>
        </is>
      </c>
      <c r="B26" s="15" t="n"/>
      <c r="C26" s="15" t="n"/>
      <c r="D26" s="15" t="inlineStr">
        <is>
          <t>●</t>
        </is>
      </c>
      <c r="E26" s="17" t="inlineStr">
        <is>
          <t>委託先の開発管理★</t>
        </is>
      </c>
      <c r="F26" s="17" t="inlineStr">
        <is>
          <t>委託先の作業範囲・進捗・品質を監督し、成果物を検収する。請負と準委任の違いに応じて指揮の範囲を守る</t>
        </is>
      </c>
      <c r="G26" s="14" t="n"/>
      <c r="H26" s="17" t="inlineStr">
        <is>
          <t>作業範囲の管理、進捗・品質の監督、成果物の検収</t>
        </is>
      </c>
      <c r="I26" s="17" t="inlineStr">
        <is>
          <t>委託先の選定・契約（C07-01-02）</t>
        </is>
      </c>
      <c r="J26" s="17" t="inlineStr">
        <is>
          <t>丸投げにならず、中身を説明できる開発</t>
        </is>
      </c>
    </row>
    <row r="27" ht="26.25" customHeight="1">
      <c r="A27" s="10" t="inlineStr">
        <is>
          <t>C02-02</t>
        </is>
      </c>
      <c r="B27" s="11" t="n"/>
      <c r="C27" s="11" t="inlineStr">
        <is>
          <t>●</t>
        </is>
      </c>
      <c r="D27" s="11" t="n"/>
      <c r="E27" s="12" t="inlineStr">
        <is>
          <t>要件定義・設計</t>
        </is>
      </c>
      <c r="F27" s="13" t="inlineStr">
        <is>
          <t>利用者の要求を仕様にまとめ、機能・構成・連携を設計する</t>
        </is>
      </c>
      <c r="G27" s="10" t="n"/>
      <c r="H27" s="26" t="n"/>
      <c r="I27" s="26" t="n"/>
      <c r="J27" s="26" t="n"/>
    </row>
    <row r="28" ht="26.25" customHeight="1">
      <c r="A28" s="14" t="inlineStr">
        <is>
          <t>C02-02-01</t>
        </is>
      </c>
      <c r="B28" s="15" t="n"/>
      <c r="C28" s="15" t="n"/>
      <c r="D28" s="15" t="inlineStr">
        <is>
          <t>●</t>
        </is>
      </c>
      <c r="E28" s="17" t="inlineStr">
        <is>
          <t>要件定義</t>
        </is>
      </c>
      <c r="F28" s="17" t="inlineStr">
        <is>
          <t>業務の要求をユーザー要求仕様（URS）にまとめ、優先度と受入の基準を定める</t>
        </is>
      </c>
      <c r="G28" s="14" t="n"/>
      <c r="H28" s="17" t="inlineStr">
        <is>
          <t>ユーザー要求仕様、非機能要件、受入の基準</t>
        </is>
      </c>
      <c r="I28" s="17" t="inlineStr">
        <is>
          <t>構想・概算見積（C01-03-01）</t>
        </is>
      </c>
      <c r="J28" s="17" t="inlineStr">
        <is>
          <t>検証できる形でそろった要求</t>
        </is>
      </c>
    </row>
    <row r="29" ht="26.25" customHeight="1">
      <c r="A29" s="14" t="inlineStr">
        <is>
          <t>C02-02-02</t>
        </is>
      </c>
      <c r="B29" s="15" t="n"/>
      <c r="C29" s="15" t="n"/>
      <c r="D29" s="15" t="inlineStr">
        <is>
          <t>●</t>
        </is>
      </c>
      <c r="E29" s="17" t="inlineStr">
        <is>
          <t>設計（機能・設計仕様）</t>
        </is>
      </c>
      <c r="F29" s="17" t="inlineStr">
        <is>
          <t>要求を満たす機能・データ・画面・構成を設計し、機能仕様書・設計仕様書にまとめる</t>
        </is>
      </c>
      <c r="G29" s="14" t="n"/>
      <c r="H29" s="17" t="inlineStr">
        <is>
          <t>機能仕様、設計仕様、データ設計</t>
        </is>
      </c>
      <c r="I29" s="17" t="inlineStr">
        <is>
          <t>全社のアーキテクチャ（C01-02-01）</t>
        </is>
      </c>
      <c r="J29" s="17" t="inlineStr">
        <is>
          <t>要求を追跡できる設計</t>
        </is>
      </c>
    </row>
    <row r="30" ht="26.25" customHeight="1">
      <c r="A30" s="10" t="inlineStr">
        <is>
          <t>C02-03</t>
        </is>
      </c>
      <c r="B30" s="11" t="n"/>
      <c r="C30" s="11" t="inlineStr">
        <is>
          <t>●</t>
        </is>
      </c>
      <c r="D30" s="11" t="n"/>
      <c r="E30" s="12" t="inlineStr">
        <is>
          <t>開発・構成</t>
        </is>
      </c>
      <c r="F30" s="13" t="inlineStr">
        <is>
          <t>アプリケーションを開発し、パッケージ・SaaSを設定して、システム間を連携する</t>
        </is>
      </c>
      <c r="G30" s="10" t="n"/>
      <c r="H30" s="26" t="n"/>
      <c r="I30" s="26" t="n"/>
      <c r="J30" s="26" t="n"/>
    </row>
    <row r="31" ht="26.25" customHeight="1">
      <c r="A31" s="14" t="inlineStr">
        <is>
          <t>C02-03-01</t>
        </is>
      </c>
      <c r="B31" s="15" t="n"/>
      <c r="C31" s="15" t="n"/>
      <c r="D31" s="15" t="inlineStr">
        <is>
          <t>●</t>
        </is>
      </c>
      <c r="E31" s="17" t="inlineStr">
        <is>
          <t>アプリケーション開発</t>
        </is>
      </c>
      <c r="F31" s="17" t="inlineStr">
        <is>
          <t>アプリケーションをコーディングし、ソースコードを版管理する</t>
        </is>
      </c>
      <c r="G31" s="14" t="n"/>
      <c r="H31" s="17" t="inlineStr">
        <is>
          <t>コーディング、ソースコード管理、コードレビュー</t>
        </is>
      </c>
      <c r="I31" s="17" t="inlineStr">
        <is>
          <t>テスト（C02-04-01）</t>
        </is>
      </c>
      <c r="J31" s="17" t="inlineStr">
        <is>
          <t>保守できる品質のソフトウェア</t>
        </is>
      </c>
    </row>
    <row r="32" ht="26.25" customHeight="1">
      <c r="A32" s="14" t="inlineStr">
        <is>
          <t>C02-03-02</t>
        </is>
      </c>
      <c r="B32" s="15" t="n"/>
      <c r="C32" s="15" t="n"/>
      <c r="D32" s="15" t="inlineStr">
        <is>
          <t>●</t>
        </is>
      </c>
      <c r="E32" s="17" t="inlineStr">
        <is>
          <t>パッケージ・SaaSの設定</t>
        </is>
      </c>
      <c r="F32" s="17" t="inlineStr">
        <is>
          <t>パッケージ・SaaSを標準機能中心に設定し、設定内容を記録する</t>
        </is>
      </c>
      <c r="G32" s="14" t="n"/>
      <c r="H32" s="17" t="inlineStr">
        <is>
          <t>パラメータ設定、アドオンの抑制、設定の記録</t>
        </is>
      </c>
      <c r="I32" s="17" t="inlineStr">
        <is>
          <t>SaaSの契約（C04-04-02）</t>
        </is>
      </c>
      <c r="J32" s="17" t="inlineStr">
        <is>
          <t>標準に近く、更新しやすいシステム</t>
        </is>
      </c>
    </row>
    <row r="33" ht="26.25" customHeight="1">
      <c r="A33" s="14" t="inlineStr">
        <is>
          <t>C02-03-03</t>
        </is>
      </c>
      <c r="B33" s="15" t="n"/>
      <c r="C33" s="15" t="n"/>
      <c r="D33" s="15" t="inlineStr">
        <is>
          <t>●</t>
        </is>
      </c>
      <c r="E33" s="17" t="inlineStr">
        <is>
          <t>システム連携</t>
        </is>
      </c>
      <c r="F33" s="17" t="inlineStr">
        <is>
          <t>システム間のデータ連携・インターフェースを開発する</t>
        </is>
      </c>
      <c r="G33" s="14" t="n"/>
      <c r="H33" s="17" t="inlineStr">
        <is>
          <t>API、ファイル連携、連携基盤</t>
        </is>
      </c>
      <c r="I33" s="17" t="inlineStr">
        <is>
          <t>連携方式の標準（C01-02-02）</t>
        </is>
      </c>
      <c r="J33" s="17" t="inlineStr">
        <is>
          <t>正確で追跡できるデータ連携</t>
        </is>
      </c>
    </row>
    <row r="34" ht="26.25" customHeight="1">
      <c r="A34" s="10" t="inlineStr">
        <is>
          <t>C02-04</t>
        </is>
      </c>
      <c r="B34" s="11" t="n"/>
      <c r="C34" s="11" t="inlineStr">
        <is>
          <t>●</t>
        </is>
      </c>
      <c r="D34" s="11" t="n"/>
      <c r="E34" s="12" t="inlineStr">
        <is>
          <t>テスト・リリース</t>
        </is>
      </c>
      <c r="F34" s="13" t="inlineStr">
        <is>
          <t>テストを計画・実施し、データを移行して、本番環境に配備する</t>
        </is>
      </c>
      <c r="G34" s="10" t="n"/>
      <c r="H34" s="26" t="n"/>
      <c r="I34" s="26" t="n"/>
      <c r="J34" s="26" t="n"/>
    </row>
    <row r="35" ht="26.25" customHeight="1">
      <c r="A35" s="14" t="inlineStr">
        <is>
          <t>C02-04-01</t>
        </is>
      </c>
      <c r="B35" s="15" t="n"/>
      <c r="C35" s="15" t="n"/>
      <c r="D35" s="15" t="inlineStr">
        <is>
          <t>●</t>
        </is>
      </c>
      <c r="E35" s="17" t="inlineStr">
        <is>
          <t>テスト管理</t>
        </is>
      </c>
      <c r="F35" s="17" t="inlineStr">
        <is>
          <t>テストを計画・実施し、不具合を記録して是正を確認する</t>
        </is>
      </c>
      <c r="G35" s="14" t="n"/>
      <c r="H35" s="17" t="inlineStr">
        <is>
          <t>テスト計画、テスト記録、不具合管理</t>
        </is>
      </c>
      <c r="I35" s="17" t="inlineStr">
        <is>
          <t>GxPの適格性確認（C06-01-02）</t>
        </is>
      </c>
      <c r="J35" s="17" t="inlineStr">
        <is>
          <t>不具合が取り除かれたシステム</t>
        </is>
      </c>
    </row>
    <row r="36" ht="26.25" customHeight="1">
      <c r="A36" s="14" t="inlineStr">
        <is>
          <t>C02-04-02</t>
        </is>
      </c>
      <c r="B36" s="15" t="n"/>
      <c r="C36" s="15" t="n"/>
      <c r="D36" s="15" t="inlineStr">
        <is>
          <t>●</t>
        </is>
      </c>
      <c r="E36" s="17" t="inlineStr">
        <is>
          <t>データ移行</t>
        </is>
      </c>
      <c r="F36" s="17" t="inlineStr">
        <is>
          <t>旧システムのデータを移行し、件数・内容の正しさを検証する</t>
        </is>
      </c>
      <c r="G36" s="14" t="n"/>
      <c r="H36" s="17" t="inlineStr">
        <is>
          <t>移行計画、移行、移行結果の検証</t>
        </is>
      </c>
      <c r="I36" s="17" t="inlineStr">
        <is>
          <t>マスタの定義（C06-03-01）</t>
        </is>
      </c>
      <c r="J36" s="17" t="inlineStr">
        <is>
          <t>欠落・改変のない移行データ</t>
        </is>
      </c>
    </row>
    <row r="37" ht="26.25" customHeight="1">
      <c r="A37" s="14" t="inlineStr">
        <is>
          <t>C02-04-03</t>
        </is>
      </c>
      <c r="B37" s="15" t="n"/>
      <c r="C37" s="15" t="n"/>
      <c r="D37" s="15" t="inlineStr">
        <is>
          <t>●</t>
        </is>
      </c>
      <c r="E37" s="17" t="inlineStr">
        <is>
          <t>リリース・配備</t>
        </is>
      </c>
      <c r="F37" s="17" t="inlineStr">
        <is>
          <t>リリースを計画して本番環境に配備し、運用へ引き継ぐ</t>
        </is>
      </c>
      <c r="G37" s="14" t="n"/>
      <c r="H37" s="17" t="inlineStr">
        <is>
          <t>リリース計画、配備、運用への引継ぎ</t>
        </is>
      </c>
      <c r="I37" s="17" t="inlineStr">
        <is>
          <t>変更の承認（C03-05-01）</t>
        </is>
      </c>
      <c r="J37" s="17" t="inlineStr">
        <is>
          <t>安全に本番へ移行されたシステム</t>
        </is>
      </c>
    </row>
    <row r="38" ht="26.25" customHeight="1">
      <c r="A38" s="6" t="inlineStr">
        <is>
          <t>C03</t>
        </is>
      </c>
      <c r="B38" s="7" t="inlineStr">
        <is>
          <t>●</t>
        </is>
      </c>
      <c r="C38" s="7" t="n"/>
      <c r="D38" s="7" t="n"/>
      <c r="E38" s="24" t="inlineStr">
        <is>
          <t>ITサービス管理・運用</t>
        </is>
      </c>
      <c r="F38" s="9" t="inlineStr">
        <is>
          <t>ITサービスを定義して提供し、日々の運用・監視と、インシデント・問題・変更の管理で、合意したサービスレベルを保つ能力</t>
        </is>
      </c>
      <c r="G38" s="25" t="inlineStr">
        <is>
          <t>コア</t>
        </is>
      </c>
      <c r="H38" s="9" t="n"/>
      <c r="I38" s="9" t="n"/>
      <c r="J38" s="9" t="n"/>
    </row>
    <row r="39" ht="26.25" customHeight="1">
      <c r="A39" s="10" t="inlineStr">
        <is>
          <t>C03-01</t>
        </is>
      </c>
      <c r="B39" s="11" t="n"/>
      <c r="C39" s="11" t="inlineStr">
        <is>
          <t>●</t>
        </is>
      </c>
      <c r="D39" s="11" t="n"/>
      <c r="E39" s="12" t="inlineStr">
        <is>
          <t>サービスカタログ・サービスレベル管理</t>
        </is>
      </c>
      <c r="F39" s="13" t="inlineStr">
        <is>
          <t>ITサービスを定義してカタログに載せ、サービスレベルを合意し、実績を報告する</t>
        </is>
      </c>
      <c r="G39" s="10" t="n"/>
      <c r="H39" s="26" t="n"/>
      <c r="I39" s="26" t="n"/>
      <c r="J39" s="26" t="n"/>
    </row>
    <row r="40" ht="26.25" customHeight="1">
      <c r="A40" s="14" t="inlineStr">
        <is>
          <t>C03-01-01</t>
        </is>
      </c>
      <c r="B40" s="15" t="n"/>
      <c r="C40" s="15" t="n"/>
      <c r="D40" s="15" t="inlineStr">
        <is>
          <t>●</t>
        </is>
      </c>
      <c r="E40" s="17" t="inlineStr">
        <is>
          <t>サービスカタログ管理</t>
        </is>
      </c>
      <c r="F40" s="17" t="inlineStr">
        <is>
          <t>提供するITサービスの内容・条件・申請方法を定め、カタログとして公開する</t>
        </is>
      </c>
      <c r="G40" s="14" t="n"/>
      <c r="H40" s="17" t="inlineStr">
        <is>
          <t>サービスの定義、カタログの公開・改訂</t>
        </is>
      </c>
      <c r="I40" s="17" t="inlineStr">
        <is>
          <t>申請の処理（C03-02-02）</t>
        </is>
      </c>
      <c r="J40" s="17" t="inlineStr">
        <is>
          <t>利用者が選んで申請できるサービス</t>
        </is>
      </c>
    </row>
    <row r="41" ht="26.25" customHeight="1">
      <c r="A41" s="14" t="inlineStr">
        <is>
          <t>C03-01-02</t>
        </is>
      </c>
      <c r="B41" s="15" t="n"/>
      <c r="C41" s="15" t="n"/>
      <c r="D41" s="15" t="inlineStr">
        <is>
          <t>●</t>
        </is>
      </c>
      <c r="E41" s="17" t="inlineStr">
        <is>
          <t>サービスレベル管理</t>
        </is>
      </c>
      <c r="F41" s="17" t="inlineStr">
        <is>
          <t>サービスレベルを事業部門・委託先と合意し、実績を測定・報告する</t>
        </is>
      </c>
      <c r="G41" s="14" t="n"/>
      <c r="H41" s="17" t="inlineStr">
        <is>
          <t>SLA、実績の測定・報告、改善</t>
        </is>
      </c>
      <c r="I41" s="17" t="inlineStr">
        <is>
          <t>委託先の契約上の評価（C07-01-03）</t>
        </is>
      </c>
      <c r="J41" s="17" t="inlineStr">
        <is>
          <t>合意した水準で提供されるサービス</t>
        </is>
      </c>
    </row>
    <row r="42" ht="26.25" customHeight="1">
      <c r="A42" s="10" t="inlineStr">
        <is>
          <t>C03-02</t>
        </is>
      </c>
      <c r="B42" s="11" t="n"/>
      <c r="C42" s="11" t="inlineStr">
        <is>
          <t>●</t>
        </is>
      </c>
      <c r="D42" s="11" t="n"/>
      <c r="E42" s="12" t="inlineStr">
        <is>
          <t>サービスデスク・要求実現</t>
        </is>
      </c>
      <c r="F42" s="13" t="inlineStr">
        <is>
          <t>利用者の問合せと申請を一つの窓口で受け付け、処理する</t>
        </is>
      </c>
      <c r="G42" s="10" t="n"/>
      <c r="H42" s="26" t="n"/>
      <c r="I42" s="26" t="n"/>
      <c r="J42" s="26" t="n"/>
    </row>
    <row r="43" ht="26.25" customHeight="1">
      <c r="A43" s="14" t="inlineStr">
        <is>
          <t>C03-02-01</t>
        </is>
      </c>
      <c r="B43" s="15" t="n"/>
      <c r="C43" s="15" t="n"/>
      <c r="D43" s="15" t="inlineStr">
        <is>
          <t>●</t>
        </is>
      </c>
      <c r="E43" s="17" t="inlineStr">
        <is>
          <t>サービスデスク</t>
        </is>
      </c>
      <c r="F43" s="17" t="inlineStr">
        <is>
          <t>利用者からの問合せ・障害の連絡を受け付け、一次対応する</t>
        </is>
      </c>
      <c r="G43" s="14" t="n"/>
      <c r="H43" s="17" t="inlineStr">
        <is>
          <t>受付、一次対応、エスカレーション</t>
        </is>
      </c>
      <c r="I43" s="17" t="inlineStr">
        <is>
          <t>障害の復旧（C03-04-01）</t>
        </is>
      </c>
      <c r="J43" s="17" t="inlineStr">
        <is>
          <t>つながりやすく、すぐ解決する窓口</t>
        </is>
      </c>
    </row>
    <row r="44" ht="26.25" customHeight="1">
      <c r="A44" s="14" t="inlineStr">
        <is>
          <t>C03-02-02</t>
        </is>
      </c>
      <c r="B44" s="15" t="n"/>
      <c r="C44" s="15" t="n"/>
      <c r="D44" s="15" t="inlineStr">
        <is>
          <t>●</t>
        </is>
      </c>
      <c r="E44" s="17" t="inlineStr">
        <is>
          <t>要求実現</t>
        </is>
      </c>
      <c r="F44" s="17" t="inlineStr">
        <is>
          <t>カタログからの利用申請を、承認を経て処理し、完了を記録する</t>
        </is>
      </c>
      <c r="G44" s="14" t="n"/>
      <c r="H44" s="17" t="inlineStr">
        <is>
          <t>申請の受付・承認の確認・処理・完了</t>
        </is>
      </c>
      <c r="I44" s="17" t="inlineStr">
        <is>
          <t>アクセス権の設定の基準（C05-02-02）</t>
        </is>
      </c>
      <c r="J44" s="17" t="inlineStr">
        <is>
          <t>待たずに使い始められるサービス</t>
        </is>
      </c>
    </row>
    <row r="45" ht="26.25" customHeight="1">
      <c r="A45" s="10" t="inlineStr">
        <is>
          <t>C03-03</t>
        </is>
      </c>
      <c r="B45" s="11" t="n"/>
      <c r="C45" s="11" t="inlineStr">
        <is>
          <t>●</t>
        </is>
      </c>
      <c r="D45" s="11" t="n"/>
      <c r="E45" s="12" t="inlineStr">
        <is>
          <t>IT運用・監視</t>
        </is>
      </c>
      <c r="F45" s="13" t="inlineStr">
        <is>
          <t>システムの稼働を監視し、ジョブ・バックアップを運用して、容量と可用性を管理する</t>
        </is>
      </c>
      <c r="G45" s="10" t="n"/>
      <c r="H45" s="26" t="n"/>
      <c r="I45" s="26" t="n"/>
      <c r="J45" s="26" t="n"/>
    </row>
    <row r="46" ht="26.25" customHeight="1">
      <c r="A46" s="14" t="inlineStr">
        <is>
          <t>C03-03-01</t>
        </is>
      </c>
      <c r="B46" s="15" t="n"/>
      <c r="C46" s="15" t="n"/>
      <c r="D46" s="15" t="inlineStr">
        <is>
          <t>●</t>
        </is>
      </c>
      <c r="E46" s="17" t="inlineStr">
        <is>
          <t>監視・イベント管理</t>
        </is>
      </c>
      <c r="F46" s="17" t="inlineStr">
        <is>
          <t>システムの稼働・性能を監視し、イベントを検知・分類する</t>
        </is>
      </c>
      <c r="G46" s="14" t="n"/>
      <c r="H46" s="17" t="inlineStr">
        <is>
          <t>稼働・性能の監視、イベントの検知</t>
        </is>
      </c>
      <c r="I46" s="17" t="inlineStr">
        <is>
          <t>セキュリティの監視（C05-03-02）</t>
        </is>
      </c>
      <c r="J46" s="17" t="inlineStr">
        <is>
          <t>利用者より先に異常に気づく運用</t>
        </is>
      </c>
    </row>
    <row r="47" ht="26.25" customHeight="1">
      <c r="A47" s="14" t="inlineStr">
        <is>
          <t>C03-03-02</t>
        </is>
      </c>
      <c r="B47" s="15" t="n"/>
      <c r="C47" s="15" t="n"/>
      <c r="D47" s="15" t="inlineStr">
        <is>
          <t>●</t>
        </is>
      </c>
      <c r="E47" s="17" t="inlineStr">
        <is>
          <t>ジョブ・バックアップ運用</t>
        </is>
      </c>
      <c r="F47" s="17" t="inlineStr">
        <is>
          <t>ジョブを運用し、データをバックアップして、復元できることを確かめる</t>
        </is>
      </c>
      <c r="G47" s="14" t="n"/>
      <c r="H47" s="17" t="inlineStr">
        <is>
          <t>ジョブ運用、バックアップ、復元テスト</t>
        </is>
      </c>
      <c r="I47" s="17" t="inlineStr">
        <is>
          <t>記録の長期保存（C06-02-03）</t>
        </is>
      </c>
      <c r="J47" s="17" t="inlineStr">
        <is>
          <t>失われないデータ</t>
        </is>
      </c>
    </row>
    <row r="48" ht="26.25" customHeight="1">
      <c r="A48" s="14" t="inlineStr">
        <is>
          <t>C03-03-03</t>
        </is>
      </c>
      <c r="B48" s="15" t="n"/>
      <c r="C48" s="15" t="n"/>
      <c r="D48" s="15" t="inlineStr">
        <is>
          <t>●</t>
        </is>
      </c>
      <c r="E48" s="17" t="inlineStr">
        <is>
          <t>キャパシティ・可用性管理</t>
        </is>
      </c>
      <c r="F48" s="17" t="inlineStr">
        <is>
          <t>性能・容量の需要を予測し、必要な可用性を確保する</t>
        </is>
      </c>
      <c r="G48" s="14" t="n"/>
      <c r="H48" s="17" t="inlineStr">
        <is>
          <t>容量計画、可用性の設計・測定</t>
        </is>
      </c>
      <c r="I48" s="17" t="inlineStr">
        <is>
          <t>災害時の復旧（C03-04-03）</t>
        </is>
      </c>
      <c r="J48" s="17" t="inlineStr">
        <is>
          <t>必要なときに使えるシステム</t>
        </is>
      </c>
    </row>
    <row r="49" ht="26.25" customHeight="1">
      <c r="A49" s="10" t="inlineStr">
        <is>
          <t>C03-04</t>
        </is>
      </c>
      <c r="B49" s="11" t="n"/>
      <c r="C49" s="11" t="inlineStr">
        <is>
          <t>●</t>
        </is>
      </c>
      <c r="D49" s="11" t="n"/>
      <c r="E49" s="12" t="inlineStr">
        <is>
          <t>インシデント・問題管理</t>
        </is>
      </c>
      <c r="F49" s="13" t="inlineStr">
        <is>
          <t>インシデントから早く復旧させ、根本原因を取り除き、大規模な障害・災害に備える</t>
        </is>
      </c>
      <c r="G49" s="10" t="n"/>
      <c r="H49" s="26" t="n"/>
      <c r="I49" s="26" t="n"/>
      <c r="J49" s="26" t="n"/>
    </row>
    <row r="50" ht="26.25" customHeight="1">
      <c r="A50" s="14" t="inlineStr">
        <is>
          <t>C03-04-01</t>
        </is>
      </c>
      <c r="B50" s="15" t="n"/>
      <c r="C50" s="15" t="n"/>
      <c r="D50" s="15" t="inlineStr">
        <is>
          <t>●</t>
        </is>
      </c>
      <c r="E50" s="17" t="inlineStr">
        <is>
          <t>インシデント管理</t>
        </is>
      </c>
      <c r="F50" s="17" t="inlineStr">
        <is>
          <t>インシデントを記録・分類し、回避策で早くサービスを復旧させる</t>
        </is>
      </c>
      <c r="G50" s="14" t="n"/>
      <c r="H50" s="17" t="inlineStr">
        <is>
          <t>記録、分類・優先度、復旧、エスカレーション</t>
        </is>
      </c>
      <c r="I50" s="17" t="inlineStr">
        <is>
          <t>セキュリティインシデント（C05-03-03）</t>
        </is>
      </c>
      <c r="J50" s="17" t="inlineStr">
        <is>
          <t>短い停止時間</t>
        </is>
      </c>
    </row>
    <row r="51" ht="26.25" customHeight="1">
      <c r="A51" s="14" t="inlineStr">
        <is>
          <t>C03-04-02</t>
        </is>
      </c>
      <c r="B51" s="15" t="n"/>
      <c r="C51" s="15" t="n"/>
      <c r="D51" s="15" t="inlineStr">
        <is>
          <t>●</t>
        </is>
      </c>
      <c r="E51" s="17" t="inlineStr">
        <is>
          <t>問題管理</t>
        </is>
      </c>
      <c r="F51" s="17" t="inlineStr">
        <is>
          <t>インシデントの根本原因を分析し、再発を防ぐ対策を決める</t>
        </is>
      </c>
      <c r="G51" s="14" t="n"/>
      <c r="H51" s="17" t="inlineStr">
        <is>
          <t>根本原因分析、既知の誤り、再発防止</t>
        </is>
      </c>
      <c r="I51" s="17" t="inlineStr">
        <is>
          <t>変更の実施（C03-05-01）</t>
        </is>
      </c>
      <c r="J51" s="17" t="inlineStr">
        <is>
          <t>繰り返さない障害</t>
        </is>
      </c>
    </row>
    <row r="52" ht="26.25" customHeight="1">
      <c r="A52" s="14" t="inlineStr">
        <is>
          <t>C03-04-03</t>
        </is>
      </c>
      <c r="B52" s="15" t="n"/>
      <c r="C52" s="15" t="n"/>
      <c r="D52" s="15" t="inlineStr">
        <is>
          <t>●</t>
        </is>
      </c>
      <c r="E52" s="17" t="inlineStr">
        <is>
          <t>IT事業継続・災害復旧</t>
        </is>
      </c>
      <c r="F52" s="17" t="inlineStr">
        <is>
          <t>大規模な障害・災害に備えて復旧の計画を立て、訓練する</t>
        </is>
      </c>
      <c r="G52" s="14" t="n"/>
      <c r="H52" s="17" t="inlineStr">
        <is>
          <t>IT事業継続計画、災害復旧、訓練</t>
        </is>
      </c>
      <c r="I52" s="17" t="inlineStr">
        <is>
          <t>全社の事業継続計画</t>
        </is>
      </c>
      <c r="J52" s="17" t="inlineStr">
        <is>
          <t>決めた時間内に戻るシステム</t>
        </is>
      </c>
    </row>
    <row r="53" ht="26.25" customHeight="1">
      <c r="A53" s="10" t="inlineStr">
        <is>
          <t>C03-05</t>
        </is>
      </c>
      <c r="B53" s="11" t="n"/>
      <c r="C53" s="11" t="inlineStr">
        <is>
          <t>●</t>
        </is>
      </c>
      <c r="D53" s="11" t="n"/>
      <c r="E53" s="12" t="inlineStr">
        <is>
          <t>変更・構成管理★</t>
        </is>
      </c>
      <c r="F53" s="13" t="inlineStr">
        <is>
          <t>変更の影響を評価して承認・実施し、システムの構成を正確に管理する</t>
        </is>
      </c>
      <c r="G53" s="10" t="n"/>
      <c r="H53" s="26" t="n"/>
      <c r="I53" s="26" t="n"/>
      <c r="J53" s="26" t="n"/>
    </row>
    <row r="54" ht="26.25" customHeight="1">
      <c r="A54" s="14" t="inlineStr">
        <is>
          <t>C03-05-01</t>
        </is>
      </c>
      <c r="B54" s="15" t="n"/>
      <c r="C54" s="15" t="n"/>
      <c r="D54" s="15" t="inlineStr">
        <is>
          <t>●</t>
        </is>
      </c>
      <c r="E54" s="17" t="inlineStr">
        <is>
          <t>変更管理★</t>
        </is>
      </c>
      <c r="F54" s="17" t="inlineStr">
        <is>
          <t>変更を記録し、GxP・データインテグリティ・セキュリティへの影響を評価して承認し、実施を確認する</t>
        </is>
      </c>
      <c r="G54" s="14" t="n"/>
      <c r="H54" s="17" t="inlineStr">
        <is>
          <t>変更要求、影響評価、承認、実施の確認</t>
        </is>
      </c>
      <c r="I54" s="17" t="inlineStr">
        <is>
          <t>再バリデーションの実施（C06-01-02）</t>
        </is>
      </c>
      <c r="J54" s="17" t="inlineStr">
        <is>
          <t>管理された状態を保つ変更</t>
        </is>
      </c>
    </row>
    <row r="55" ht="26.25" customHeight="1">
      <c r="A55" s="14" t="inlineStr">
        <is>
          <t>C03-05-02</t>
        </is>
      </c>
      <c r="B55" s="15" t="n"/>
      <c r="C55" s="15" t="n"/>
      <c r="D55" s="15" t="inlineStr">
        <is>
          <t>●</t>
        </is>
      </c>
      <c r="E55" s="17" t="inlineStr">
        <is>
          <t>構成管理</t>
        </is>
      </c>
      <c r="F55" s="17" t="inlineStr">
        <is>
          <t>システムを構成する要素と関係を構成情報（CMDB）として正確に管理する</t>
        </is>
      </c>
      <c r="G55" s="14" t="n"/>
      <c r="H55" s="17" t="inlineStr">
        <is>
          <t>構成情報、関係、最新性の点検</t>
        </is>
      </c>
      <c r="I55" s="17" t="inlineStr">
        <is>
          <t>IT資産の台帳（C04-04-01）</t>
        </is>
      </c>
      <c r="J55" s="17" t="inlineStr">
        <is>
          <t>正確に分かるシステムの構成</t>
        </is>
      </c>
    </row>
    <row r="56" ht="26.25" customHeight="1">
      <c r="A56" s="6" t="inlineStr">
        <is>
          <t>C04</t>
        </is>
      </c>
      <c r="B56" s="7" t="inlineStr">
        <is>
          <t>●</t>
        </is>
      </c>
      <c r="C56" s="7" t="n"/>
      <c r="D56" s="7" t="n"/>
      <c r="E56" s="24" t="inlineStr">
        <is>
          <t>ITプラットフォーム</t>
        </is>
      </c>
      <c r="F56" s="9" t="inlineStr">
        <is>
          <t>クラウド・サーバー・ネットワーク・端末などの基盤を提供し、IT資産とライセンスを管理する能力</t>
        </is>
      </c>
      <c r="G56" s="25" t="inlineStr">
        <is>
          <t>コア</t>
        </is>
      </c>
      <c r="H56" s="9" t="n"/>
      <c r="I56" s="9" t="n"/>
      <c r="J56" s="9" t="n"/>
    </row>
    <row r="57" ht="26.25" customHeight="1">
      <c r="A57" s="10" t="inlineStr">
        <is>
          <t>C04-01</t>
        </is>
      </c>
      <c r="B57" s="11" t="n"/>
      <c r="C57" s="11" t="inlineStr">
        <is>
          <t>●</t>
        </is>
      </c>
      <c r="D57" s="11" t="n"/>
      <c r="E57" s="12" t="inlineStr">
        <is>
          <t>クラウド・データセンター</t>
        </is>
      </c>
      <c r="F57" s="13" t="inlineStr">
        <is>
          <t>クラウドとサーバー・ストレージの基盤を構築・運用する</t>
        </is>
      </c>
      <c r="G57" s="10" t="n"/>
      <c r="H57" s="26" t="n"/>
      <c r="I57" s="26" t="n"/>
      <c r="J57" s="26" t="n"/>
    </row>
    <row r="58" ht="26.25" customHeight="1">
      <c r="A58" s="14" t="inlineStr">
        <is>
          <t>C04-01-01</t>
        </is>
      </c>
      <c r="B58" s="15" t="n"/>
      <c r="C58" s="15" t="n"/>
      <c r="D58" s="15" t="inlineStr">
        <is>
          <t>●</t>
        </is>
      </c>
      <c r="E58" s="17" t="inlineStr">
        <is>
          <t>クラウド基盤管理</t>
        </is>
      </c>
      <c r="F58" s="17" t="inlineStr">
        <is>
          <t>クラウドの環境・アカウント・利用量を標準に沿って提供・管理する</t>
        </is>
      </c>
      <c r="G58" s="14" t="n"/>
      <c r="H58" s="17" t="inlineStr">
        <is>
          <t>クラウド環境の提供、設定の標準、利用量</t>
        </is>
      </c>
      <c r="I58" s="17" t="inlineStr">
        <is>
          <t>クラウドの契約（C07-01-02）</t>
        </is>
      </c>
      <c r="J58" s="17" t="inlineStr">
        <is>
          <t>速く安全に使えるクラウド</t>
        </is>
      </c>
    </row>
    <row r="59" ht="26.25" customHeight="1">
      <c r="A59" s="14" t="inlineStr">
        <is>
          <t>C04-01-02</t>
        </is>
      </c>
      <c r="B59" s="15" t="n"/>
      <c r="C59" s="15" t="n"/>
      <c r="D59" s="15" t="inlineStr">
        <is>
          <t>●</t>
        </is>
      </c>
      <c r="E59" s="17" t="inlineStr">
        <is>
          <t>サーバー・ストレージ管理</t>
        </is>
      </c>
      <c r="F59" s="17" t="inlineStr">
        <is>
          <t>オンプレミスのサーバー・ストレージを構築・運用・更新する</t>
        </is>
      </c>
      <c r="G59" s="14" t="n"/>
      <c r="H59" s="17" t="inlineStr">
        <is>
          <t>構築、運用、保守期限の管理</t>
        </is>
      </c>
      <c r="I59" s="17" t="inlineStr">
        <is>
          <t>監視（C03-03-01）</t>
        </is>
      </c>
      <c r="J59" s="17" t="inlineStr">
        <is>
          <t>保守期限内で安定した基盤</t>
        </is>
      </c>
    </row>
    <row r="60" ht="26.25" customHeight="1">
      <c r="A60" s="10" t="inlineStr">
        <is>
          <t>C04-02</t>
        </is>
      </c>
      <c r="B60" s="11" t="n"/>
      <c r="C60" s="11" t="inlineStr">
        <is>
          <t>●</t>
        </is>
      </c>
      <c r="D60" s="11" t="n"/>
      <c r="E60" s="12" t="inlineStr">
        <is>
          <t>ネットワーク</t>
        </is>
      </c>
      <c r="F60" s="13" t="inlineStr">
        <is>
          <t>社内・拠点のネットワークと、外部との接続を構築・運用する</t>
        </is>
      </c>
      <c r="G60" s="10" t="n"/>
      <c r="H60" s="26" t="n"/>
      <c r="I60" s="26" t="n"/>
      <c r="J60" s="26" t="n"/>
    </row>
    <row r="61" ht="26.25" customHeight="1">
      <c r="A61" s="14" t="inlineStr">
        <is>
          <t>C04-02-01</t>
        </is>
      </c>
      <c r="B61" s="15" t="n"/>
      <c r="C61" s="15" t="n"/>
      <c r="D61" s="15" t="inlineStr">
        <is>
          <t>●</t>
        </is>
      </c>
      <c r="E61" s="17" t="inlineStr">
        <is>
          <t>社内・拠点ネットワーク</t>
        </is>
      </c>
      <c r="F61" s="17" t="inlineStr">
        <is>
          <t>本社・研究所・工場などの拠点のネットワークを構築・運用する</t>
        </is>
      </c>
      <c r="G61" s="14" t="n"/>
      <c r="H61" s="17" t="inlineStr">
        <is>
          <t>LAN・WAN・無線、拠点間の接続</t>
        </is>
      </c>
      <c r="I61" s="17" t="inlineStr">
        <is>
          <t>工場の制御系ネットワークの設計</t>
        </is>
      </c>
      <c r="J61" s="17" t="inlineStr">
        <is>
          <t>止まらない拠点間の通信</t>
        </is>
      </c>
    </row>
    <row r="62" ht="26.25" customHeight="1">
      <c r="A62" s="14" t="inlineStr">
        <is>
          <t>C04-02-02</t>
        </is>
      </c>
      <c r="B62" s="15" t="n"/>
      <c r="C62" s="15" t="n"/>
      <c r="D62" s="15" t="inlineStr">
        <is>
          <t>●</t>
        </is>
      </c>
      <c r="E62" s="17" t="inlineStr">
        <is>
          <t>リモートアクセス・外部接続</t>
        </is>
      </c>
      <c r="F62" s="17" t="inlineStr">
        <is>
          <t>社外からの接続と、委託先・クラウドとの接続を安全に提供する</t>
        </is>
      </c>
      <c r="G62" s="14" t="n"/>
      <c r="H62" s="17" t="inlineStr">
        <is>
          <t>リモートアクセス、委託先・クラウドとの接続</t>
        </is>
      </c>
      <c r="I62" s="17" t="inlineStr">
        <is>
          <t>アクセス権の付与（C05-02-02）</t>
        </is>
      </c>
      <c r="J62" s="17" t="inlineStr">
        <is>
          <t>場所を問わず安全に使える環境</t>
        </is>
      </c>
    </row>
    <row r="63" ht="26.25" customHeight="1">
      <c r="A63" s="10" t="inlineStr">
        <is>
          <t>C04-03</t>
        </is>
      </c>
      <c r="B63" s="11" t="n"/>
      <c r="C63" s="11" t="inlineStr">
        <is>
          <t>●</t>
        </is>
      </c>
      <c r="D63" s="11" t="n"/>
      <c r="E63" s="12" t="inlineStr">
        <is>
          <t>エンドユーザー環境</t>
        </is>
      </c>
      <c r="F63" s="13" t="inlineStr">
        <is>
          <t>端末とコラボレーションの環境を提供・管理する</t>
        </is>
      </c>
      <c r="G63" s="10" t="n"/>
      <c r="H63" s="26" t="n"/>
      <c r="I63" s="26" t="n"/>
      <c r="J63" s="26" t="n"/>
    </row>
    <row r="64" ht="26.25" customHeight="1">
      <c r="A64" s="14" t="inlineStr">
        <is>
          <t>C04-03-01</t>
        </is>
      </c>
      <c r="B64" s="15" t="n"/>
      <c r="C64" s="15" t="n"/>
      <c r="D64" s="15" t="inlineStr">
        <is>
          <t>●</t>
        </is>
      </c>
      <c r="E64" s="17" t="inlineStr">
        <is>
          <t>端末管理</t>
        </is>
      </c>
      <c r="F64" s="17" t="inlineStr">
        <is>
          <t>PC・モバイル端末を調達・設定・配布し、更新と回収を管理する</t>
        </is>
      </c>
      <c r="G64" s="14" t="n"/>
      <c r="H64" s="17" t="inlineStr">
        <is>
          <t>キッティング、構成の管理、更新・回収</t>
        </is>
      </c>
      <c r="I64" s="17" t="inlineStr">
        <is>
          <t>端末の資産管理（C04-04-01）</t>
        </is>
      </c>
      <c r="J64" s="17" t="inlineStr">
        <is>
          <t>すぐに使え、安全な端末</t>
        </is>
      </c>
    </row>
    <row r="65" ht="26.25" customHeight="1">
      <c r="A65" s="14" t="inlineStr">
        <is>
          <t>C04-03-02</t>
        </is>
      </c>
      <c r="B65" s="15" t="n"/>
      <c r="C65" s="15" t="n"/>
      <c r="D65" s="15" t="inlineStr">
        <is>
          <t>●</t>
        </is>
      </c>
      <c r="E65" s="17" t="inlineStr">
        <is>
          <t>コラボレーション環境</t>
        </is>
      </c>
      <c r="F65" s="17" t="inlineStr">
        <is>
          <t>メール・会議・ファイル共有などの共同作業の環境を提供する</t>
        </is>
      </c>
      <c r="G65" s="14" t="n"/>
      <c r="H65" s="17" t="inlineStr">
        <is>
          <t>メール、会議、ファイル共有、チャット</t>
        </is>
      </c>
      <c r="I65" s="17" t="inlineStr">
        <is>
          <t>GxP文書の管理（C07-03-01）</t>
        </is>
      </c>
      <c r="J65" s="17" t="inlineStr">
        <is>
          <t>社内外と円滑に協働できる環境</t>
        </is>
      </c>
    </row>
    <row r="66" ht="26.25" customHeight="1">
      <c r="A66" s="10" t="inlineStr">
        <is>
          <t>C04-04</t>
        </is>
      </c>
      <c r="B66" s="11" t="n"/>
      <c r="C66" s="11" t="inlineStr">
        <is>
          <t>●</t>
        </is>
      </c>
      <c r="D66" s="11" t="n"/>
      <c r="E66" s="12" t="inlineStr">
        <is>
          <t>IT資産・ライセンス管理</t>
        </is>
      </c>
      <c r="F66" s="13" t="inlineStr">
        <is>
          <t>ハードウェアとソフトウェアの資産・ライセンスを台帳で管理する</t>
        </is>
      </c>
      <c r="G66" s="10" t="n"/>
      <c r="H66" s="26" t="n"/>
      <c r="I66" s="26" t="n"/>
      <c r="J66" s="26" t="n"/>
    </row>
    <row r="67" ht="26.25" customHeight="1">
      <c r="A67" s="14" t="inlineStr">
        <is>
          <t>C04-04-01</t>
        </is>
      </c>
      <c r="B67" s="15" t="n"/>
      <c r="C67" s="15" t="n"/>
      <c r="D67" s="15" t="inlineStr">
        <is>
          <t>●</t>
        </is>
      </c>
      <c r="E67" s="17" t="inlineStr">
        <is>
          <t>ハードウェア資産管理</t>
        </is>
      </c>
      <c r="F67" s="17" t="inlineStr">
        <is>
          <t>端末・機器を台帳で管理し、所在・利用者・保守期限を把握する</t>
        </is>
      </c>
      <c r="G67" s="14" t="n"/>
      <c r="H67" s="17" t="inlineStr">
        <is>
          <t>資産台帳、所在、廃棄</t>
        </is>
      </c>
      <c r="I67" s="17" t="inlineStr">
        <is>
          <t>構成情報（C03-05-02）</t>
        </is>
      </c>
      <c r="J67" s="17" t="inlineStr">
        <is>
          <t>所在の分かるIT資産</t>
        </is>
      </c>
    </row>
    <row r="68" ht="26.25" customHeight="1">
      <c r="A68" s="14" t="inlineStr">
        <is>
          <t>C04-04-02</t>
        </is>
      </c>
      <c r="B68" s="15" t="n"/>
      <c r="C68" s="15" t="n"/>
      <c r="D68" s="15" t="inlineStr">
        <is>
          <t>●</t>
        </is>
      </c>
      <c r="E68" s="17" t="inlineStr">
        <is>
          <t>ソフトウェアライセンス・SaaS管理</t>
        </is>
      </c>
      <c r="F68" s="17" t="inlineStr">
        <is>
          <t>ライセンスとSaaSの契約・割当・利用状況を管理し、過不足をなくす</t>
        </is>
      </c>
      <c r="G68" s="14" t="n"/>
      <c r="H68" s="17" t="inlineStr">
        <is>
          <t>ライセンスの割当、利用状況、SaaSの棚卸</t>
        </is>
      </c>
      <c r="I68" s="17" t="inlineStr">
        <is>
          <t>ベンダーとの契約交渉（C07-01-02）</t>
        </is>
      </c>
      <c r="J68" s="17" t="inlineStr">
        <is>
          <t>過不足も違反もないライセンス</t>
        </is>
      </c>
    </row>
    <row r="69" ht="26.25" customHeight="1">
      <c r="A69" s="6" t="inlineStr">
        <is>
          <t>C05</t>
        </is>
      </c>
      <c r="B69" s="7" t="inlineStr">
        <is>
          <t>●</t>
        </is>
      </c>
      <c r="C69" s="7" t="n"/>
      <c r="D69" s="7" t="n"/>
      <c r="E69" s="24" t="inlineStr">
        <is>
          <t>サイバーセキュリティ</t>
        </is>
      </c>
      <c r="F69" s="9" t="inlineStr">
        <is>
          <t>セキュリティの方針と教育、IDとアクセス権の管理、脅威の監視と対応で、情報資産を守る能力</t>
        </is>
      </c>
      <c r="G69" s="25" t="inlineStr">
        <is>
          <t>コア</t>
        </is>
      </c>
      <c r="H69" s="9" t="n"/>
      <c r="I69" s="9" t="n"/>
      <c r="J69" s="9" t="n"/>
    </row>
    <row r="70" ht="26.25" customHeight="1">
      <c r="A70" s="10" t="inlineStr">
        <is>
          <t>C05-01</t>
        </is>
      </c>
      <c r="B70" s="11" t="n"/>
      <c r="C70" s="11" t="inlineStr">
        <is>
          <t>●</t>
        </is>
      </c>
      <c r="D70" s="11" t="n"/>
      <c r="E70" s="12" t="inlineStr">
        <is>
          <t>セキュリティガバナンス</t>
        </is>
      </c>
      <c r="F70" s="13" t="inlineStr">
        <is>
          <t>セキュリティの方針を定め、リスクを評価し、教育・訓練を行う</t>
        </is>
      </c>
      <c r="G70" s="10" t="n"/>
      <c r="H70" s="26" t="n"/>
      <c r="I70" s="26" t="n"/>
      <c r="J70" s="26" t="n"/>
    </row>
    <row r="71" ht="26.25" customHeight="1">
      <c r="A71" s="14" t="inlineStr">
        <is>
          <t>C05-01-01</t>
        </is>
      </c>
      <c r="B71" s="15" t="n"/>
      <c r="C71" s="15" t="n"/>
      <c r="D71" s="15" t="inlineStr">
        <is>
          <t>●</t>
        </is>
      </c>
      <c r="E71" s="17" t="inlineStr">
        <is>
          <t>セキュリティ方針・リスク評価</t>
        </is>
      </c>
      <c r="F71" s="17" t="inlineStr">
        <is>
          <t>セキュリティの方針・基準を定め、システムと委託先のセキュリティのリスクを評価する</t>
        </is>
      </c>
      <c r="G71" s="14" t="n"/>
      <c r="H71" s="17" t="inlineStr">
        <is>
          <t>方針・基準、リスク評価、委託先の評価</t>
        </is>
      </c>
      <c r="I71" s="17" t="inlineStr">
        <is>
          <t>ITリスク全体の管理（C01-04-02）</t>
        </is>
      </c>
      <c r="J71" s="17" t="inlineStr">
        <is>
          <t>把握され、下げられたセキュリティリスク</t>
        </is>
      </c>
    </row>
    <row r="72" ht="26.25" customHeight="1">
      <c r="A72" s="14" t="inlineStr">
        <is>
          <t>C05-01-02</t>
        </is>
      </c>
      <c r="B72" s="15" t="n"/>
      <c r="C72" s="15" t="n"/>
      <c r="D72" s="15" t="inlineStr">
        <is>
          <t>●</t>
        </is>
      </c>
      <c r="E72" s="17" t="inlineStr">
        <is>
          <t>セキュリティ教育・訓練</t>
        </is>
      </c>
      <c r="F72" s="17" t="inlineStr">
        <is>
          <t>従業員と委託先に教育を行い、標的型メールなどの訓練を行う</t>
        </is>
      </c>
      <c r="G72" s="14" t="n"/>
      <c r="H72" s="17" t="inlineStr">
        <is>
          <t>教育、訓練、理解度の確認</t>
        </is>
      </c>
      <c r="I72" s="17" t="inlineStr">
        <is>
          <t>GxPの教育（C07-02-03）</t>
        </is>
      </c>
      <c r="J72" s="17" t="inlineStr">
        <is>
          <t>攻撃にだまされない従業員</t>
        </is>
      </c>
    </row>
    <row r="73" ht="26.25" customHeight="1">
      <c r="A73" s="10" t="inlineStr">
        <is>
          <t>C05-02</t>
        </is>
      </c>
      <c r="B73" s="11" t="n"/>
      <c r="C73" s="11" t="inlineStr">
        <is>
          <t>●</t>
        </is>
      </c>
      <c r="D73" s="11" t="n"/>
      <c r="E73" s="12" t="inlineStr">
        <is>
          <t>ID・アクセス管理★</t>
        </is>
      </c>
      <c r="F73" s="13" t="inlineStr">
        <is>
          <t>IDのライフサイクルとアクセス権を管理し、特権IDを統制する</t>
        </is>
      </c>
      <c r="G73" s="10" t="n"/>
      <c r="H73" s="26" t="n"/>
      <c r="I73" s="26" t="n"/>
      <c r="J73" s="26" t="n"/>
    </row>
    <row r="74" ht="26.25" customHeight="1">
      <c r="A74" s="14" t="inlineStr">
        <is>
          <t>C05-02-01</t>
        </is>
      </c>
      <c r="B74" s="15" t="n"/>
      <c r="C74" s="15" t="n"/>
      <c r="D74" s="15" t="inlineStr">
        <is>
          <t>●</t>
        </is>
      </c>
      <c r="E74" s="17" t="inlineStr">
        <is>
          <t>ID管理（入社・異動・退職）</t>
        </is>
      </c>
      <c r="F74" s="17" t="inlineStr">
        <is>
          <t>人事の情報と連携して、IDを作成・変更・無効化する</t>
        </is>
      </c>
      <c r="G74" s="14" t="n"/>
      <c r="H74" s="17" t="inlineStr">
        <is>
          <t>IDの作成・変更・無効化、人事との連携</t>
        </is>
      </c>
      <c r="I74" s="17" t="inlineStr">
        <is>
          <t>人事情報の管理</t>
        </is>
      </c>
      <c r="J74" s="17" t="inlineStr">
        <is>
          <t>在籍者だけが持つID</t>
        </is>
      </c>
    </row>
    <row r="75" ht="26.25" customHeight="1">
      <c r="A75" s="14" t="inlineStr">
        <is>
          <t>C05-02-02</t>
        </is>
      </c>
      <c r="B75" s="15" t="n"/>
      <c r="C75" s="15" t="n"/>
      <c r="D75" s="15" t="inlineStr">
        <is>
          <t>●</t>
        </is>
      </c>
      <c r="E75" s="17" t="inlineStr">
        <is>
          <t>アクセス権管理・定期棚卸★</t>
        </is>
      </c>
      <c r="F75" s="17" t="inlineStr">
        <is>
          <t>職務分掌に沿ってアクセス権を付与し、GxPシステムと財務報告に関わるシステムの権限を定期的に棚卸しする</t>
        </is>
      </c>
      <c r="G75" s="14" t="n"/>
      <c r="H75" s="17" t="inlineStr">
        <is>
          <t>権限の付与・変更・削除、職務分掌、定期棚卸</t>
        </is>
      </c>
      <c r="I75" s="17" t="inlineStr">
        <is>
          <t>特権IDの管理（C05-02-03）</t>
        </is>
      </c>
      <c r="J75" s="17" t="inlineStr">
        <is>
          <t>必要最小限で説明できるアクセス権</t>
        </is>
      </c>
    </row>
    <row r="76" ht="26.25" customHeight="1">
      <c r="A76" s="14" t="inlineStr">
        <is>
          <t>C05-02-03</t>
        </is>
      </c>
      <c r="B76" s="15" t="n"/>
      <c r="C76" s="15" t="n"/>
      <c r="D76" s="15" t="inlineStr">
        <is>
          <t>●</t>
        </is>
      </c>
      <c r="E76" s="17" t="inlineStr">
        <is>
          <t>特権ID管理</t>
        </is>
      </c>
      <c r="F76" s="17" t="inlineStr">
        <is>
          <t>管理者権限の付与と利用を記録・監視する</t>
        </is>
      </c>
      <c r="G76" s="14" t="n"/>
      <c r="H76" s="17" t="inlineStr">
        <is>
          <t>特権IDの申請・貸出・記録・点検</t>
        </is>
      </c>
      <c r="I76" s="17" t="inlineStr">
        <is>
          <t>委託先の作業の監督（C02-01-02）</t>
        </is>
      </c>
      <c r="J76" s="17" t="inlineStr">
        <is>
          <t>悪用も改ざんもできない管理者権限</t>
        </is>
      </c>
    </row>
    <row r="77" ht="26.25" customHeight="1">
      <c r="A77" s="10" t="inlineStr">
        <is>
          <t>C05-03</t>
        </is>
      </c>
      <c r="B77" s="11" t="n"/>
      <c r="C77" s="11" t="inlineStr">
        <is>
          <t>●</t>
        </is>
      </c>
      <c r="D77" s="11" t="n"/>
      <c r="E77" s="12" t="inlineStr">
        <is>
          <t>セキュリティ運用</t>
        </is>
      </c>
      <c r="F77" s="13" t="inlineStr">
        <is>
          <t>脆弱性を管理し、脅威を監視し、セキュリティインシデントに対応する</t>
        </is>
      </c>
      <c r="G77" s="10" t="n"/>
      <c r="H77" s="26" t="n"/>
      <c r="I77" s="26" t="n"/>
      <c r="J77" s="26" t="n"/>
    </row>
    <row r="78" ht="26.25" customHeight="1">
      <c r="A78" s="14" t="inlineStr">
        <is>
          <t>C05-03-01</t>
        </is>
      </c>
      <c r="B78" s="15" t="n"/>
      <c r="C78" s="15" t="n"/>
      <c r="D78" s="15" t="inlineStr">
        <is>
          <t>●</t>
        </is>
      </c>
      <c r="E78" s="17" t="inlineStr">
        <is>
          <t>脆弱性管理</t>
        </is>
      </c>
      <c r="F78" s="17" t="inlineStr">
        <is>
          <t>脆弱性の情報を集め、影響を評価して、パッチの適用と対策を管理する</t>
        </is>
      </c>
      <c r="G78" s="14" t="n"/>
      <c r="H78" s="17" t="inlineStr">
        <is>
          <t>脆弱性の収集・評価、対策の管理</t>
        </is>
      </c>
      <c r="I78" s="17" t="inlineStr">
        <is>
          <t>変更の承認（C03-05-01）</t>
        </is>
      </c>
      <c r="J78" s="17" t="inlineStr">
        <is>
          <t>悪用される前に塞がれた脆弱性</t>
        </is>
      </c>
    </row>
    <row r="79" ht="26.25" customHeight="1">
      <c r="A79" s="14" t="inlineStr">
        <is>
          <t>C05-03-02</t>
        </is>
      </c>
      <c r="B79" s="15" t="n"/>
      <c r="C79" s="15" t="n"/>
      <c r="D79" s="15" t="inlineStr">
        <is>
          <t>●</t>
        </is>
      </c>
      <c r="E79" s="17" t="inlineStr">
        <is>
          <t>脅威監視（SOC）</t>
        </is>
      </c>
      <c r="F79" s="17" t="inlineStr">
        <is>
          <t>ログと端末を監視して、攻撃の兆候を検知・分析する</t>
        </is>
      </c>
      <c r="G79" s="14" t="n"/>
      <c r="H79" s="17" t="inlineStr">
        <is>
          <t>ログ監視、端末の監視、脅威の分析</t>
        </is>
      </c>
      <c r="I79" s="17" t="inlineStr">
        <is>
          <t>システムの稼働監視（C03-03-01）</t>
        </is>
      </c>
      <c r="J79" s="17" t="inlineStr">
        <is>
          <t>早く見つかる攻撃</t>
        </is>
      </c>
    </row>
    <row r="80" ht="26.25" customHeight="1">
      <c r="A80" s="14" t="inlineStr">
        <is>
          <t>C05-03-03</t>
        </is>
      </c>
      <c r="B80" s="15" t="n"/>
      <c r="C80" s="15" t="n"/>
      <c r="D80" s="15" t="inlineStr">
        <is>
          <t>●</t>
        </is>
      </c>
      <c r="E80" s="17" t="inlineStr">
        <is>
          <t>セキュリティインシデント対応（CSIRT）</t>
        </is>
      </c>
      <c r="F80" s="17" t="inlineStr">
        <is>
          <t>セキュリティインシデントを封じ込め、復旧させ、社内外へ報告する</t>
        </is>
      </c>
      <c r="G80" s="14" t="n"/>
      <c r="H80" s="17" t="inlineStr">
        <is>
          <t>封じ込め、調査、復旧、報告</t>
        </is>
      </c>
      <c r="I80" s="17" t="inlineStr">
        <is>
          <t>通常の障害の対応（C03-04-01）</t>
        </is>
      </c>
      <c r="J80" s="17" t="inlineStr">
        <is>
          <t>被害が小さく、説明責任を果たせる対応</t>
        </is>
      </c>
    </row>
    <row r="81" ht="26.25" customHeight="1">
      <c r="A81" s="6" t="inlineStr">
        <is>
          <t>C06</t>
        </is>
      </c>
      <c r="B81" s="7" t="inlineStr">
        <is>
          <t>●</t>
        </is>
      </c>
      <c r="C81" s="7" t="n"/>
      <c r="D81" s="7" t="n"/>
      <c r="E81" s="24" t="inlineStr">
        <is>
          <t>データ・GxPコンプライアンス</t>
        </is>
      </c>
      <c r="F81" s="9" t="inlineStr">
        <is>
          <t>GxPに関わるシステムをバリデートし、電子記録の完全性を保ち、データと個人情報を管理する能力</t>
        </is>
      </c>
      <c r="G81" s="25" t="inlineStr">
        <is>
          <t>コア</t>
        </is>
      </c>
      <c r="H81" s="9" t="n"/>
      <c r="I81" s="9" t="n"/>
      <c r="J81" s="9" t="n"/>
    </row>
    <row r="82" ht="26.25" customHeight="1">
      <c r="A82" s="10" t="inlineStr">
        <is>
          <t>C06-01</t>
        </is>
      </c>
      <c r="B82" s="11" t="n"/>
      <c r="C82" s="11" t="inlineStr">
        <is>
          <t>●</t>
        </is>
      </c>
      <c r="D82" s="11" t="n"/>
      <c r="E82" s="12" t="inlineStr">
        <is>
          <t>GxPシステム管理（CSV）★</t>
        </is>
      </c>
      <c r="F82" s="13" t="inlineStr">
        <is>
          <t>GxPに関わるシステムを特定し、リスクに応じてバリデートし、バリデートされた状態を保つ</t>
        </is>
      </c>
      <c r="G82" s="10" t="n"/>
      <c r="H82" s="26" t="n"/>
      <c r="I82" s="26" t="n"/>
      <c r="J82" s="26" t="n"/>
    </row>
    <row r="83" ht="26.25" customHeight="1">
      <c r="A83" s="14" t="inlineStr">
        <is>
          <t>C06-01-01</t>
        </is>
      </c>
      <c r="B83" s="15" t="n"/>
      <c r="C83" s="15" t="n"/>
      <c r="D83" s="15" t="inlineStr">
        <is>
          <t>●</t>
        </is>
      </c>
      <c r="E83" s="17" t="inlineStr">
        <is>
          <t>GxP該当性評価・システム分類★</t>
        </is>
      </c>
      <c r="F83" s="17" t="inlineStr">
        <is>
          <t>システムがGxPに該当するかを判定し、カテゴリとリスクの大きさを分類する</t>
        </is>
      </c>
      <c r="G83" s="14" t="n"/>
      <c r="H83" s="17" t="inlineStr">
        <is>
          <t>GxP該当性の判定、ソフトウェアのカテゴリ、GxPシステムの一覧</t>
        </is>
      </c>
      <c r="I83" s="17" t="inlineStr">
        <is>
          <t>IT投資の評価（C01-03-02）</t>
        </is>
      </c>
      <c r="J83" s="17" t="inlineStr">
        <is>
          <t>漏れのないGxPシステムの把握</t>
        </is>
      </c>
    </row>
    <row r="84" ht="26.25" customHeight="1">
      <c r="A84" s="14" t="inlineStr">
        <is>
          <t>C06-01-02</t>
        </is>
      </c>
      <c r="B84" s="15" t="n"/>
      <c r="C84" s="15" t="n"/>
      <c r="D84" s="15" t="inlineStr">
        <is>
          <t>●</t>
        </is>
      </c>
      <c r="E84" s="17" t="inlineStr">
        <is>
          <t>バリデーション（CSV）★</t>
        </is>
      </c>
      <c r="F84" s="17" t="inlineStr">
        <is>
          <t>リスクに応じてバリデーションを計画し、適格性を確認して報告する</t>
        </is>
      </c>
      <c r="G84" s="14" t="n"/>
      <c r="H84" s="17" t="inlineStr">
        <is>
          <t>リスクアセスメント、バリデーション計画、IQ・OQ・PQ、トレーサビリティ、報告</t>
        </is>
      </c>
      <c r="I84" s="17" t="inlineStr">
        <is>
          <t>一般のテスト（C02-04-01）</t>
        </is>
      </c>
      <c r="J84" s="17" t="inlineStr">
        <is>
          <t>意図どおりに動くことを示せるシステム</t>
        </is>
      </c>
    </row>
    <row r="85" ht="26.25" customHeight="1">
      <c r="A85" s="14" t="inlineStr">
        <is>
          <t>C06-01-03</t>
        </is>
      </c>
      <c r="B85" s="15" t="n"/>
      <c r="C85" s="15" t="n"/>
      <c r="D85" s="15" t="inlineStr">
        <is>
          <t>●</t>
        </is>
      </c>
      <c r="E85" s="17" t="inlineStr">
        <is>
          <t>定期レビュー★</t>
        </is>
      </c>
      <c r="F85" s="17" t="inlineStr">
        <is>
          <t>GxPシステムの変更・障害・アクセス権・監査証跡を定期的に見直し、バリデートされた状態を確かめる</t>
        </is>
      </c>
      <c r="G85" s="14" t="n"/>
      <c r="H85" s="17" t="inlineStr">
        <is>
          <t>定期レビュー、是正の要否の判断</t>
        </is>
      </c>
      <c r="I85" s="17" t="inlineStr">
        <is>
          <t>IT全般統制の評価（C01-04-03）</t>
        </is>
      </c>
      <c r="J85" s="17" t="inlineStr">
        <is>
          <t>使い続ける間も保たれる適格性</t>
        </is>
      </c>
    </row>
    <row r="86" ht="26.25" customHeight="1">
      <c r="A86" s="10" t="inlineStr">
        <is>
          <t>C06-02</t>
        </is>
      </c>
      <c r="B86" s="11" t="n"/>
      <c r="C86" s="11" t="inlineStr">
        <is>
          <t>●</t>
        </is>
      </c>
      <c r="D86" s="11" t="n"/>
      <c r="E86" s="12" t="inlineStr">
        <is>
          <t>データインテグリティ★</t>
        </is>
      </c>
      <c r="F86" s="13" t="inlineStr">
        <is>
          <t>GxPの電子記録を、作成から廃棄まで完全・正確・追跡できる状態に保つ</t>
        </is>
      </c>
      <c r="G86" s="10" t="n"/>
      <c r="H86" s="26" t="n"/>
      <c r="I86" s="26" t="n"/>
      <c r="J86" s="26" t="n"/>
    </row>
    <row r="87" ht="26.25" customHeight="1">
      <c r="A87" s="14" t="inlineStr">
        <is>
          <t>C06-02-01</t>
        </is>
      </c>
      <c r="B87" s="15" t="n"/>
      <c r="C87" s="15" t="n"/>
      <c r="D87" s="15" t="inlineStr">
        <is>
          <t>●</t>
        </is>
      </c>
      <c r="E87" s="17" t="inlineStr">
        <is>
          <t>データインテグリティ管理（ALCOA+）★</t>
        </is>
      </c>
      <c r="F87" s="17" t="inlineStr">
        <is>
          <t>データのライフサイクル全体で、ALCOA+の原則に沿って記録の信頼性を確保する</t>
        </is>
      </c>
      <c r="G87" s="14" t="n"/>
      <c r="H87" s="17" t="inlineStr">
        <is>
          <t>データのリスク評価、ALCOA+の確保、障害時の影響評価</t>
        </is>
      </c>
      <c r="I87" s="17" t="inlineStr">
        <is>
          <t>個別システムのバリデーション（C06-01-02）</t>
        </is>
      </c>
      <c r="J87" s="17" t="inlineStr">
        <is>
          <t>当局に説明できる記録の信頼性</t>
        </is>
      </c>
    </row>
    <row r="88" ht="26.25" customHeight="1">
      <c r="A88" s="14" t="inlineStr">
        <is>
          <t>C06-02-02</t>
        </is>
      </c>
      <c r="B88" s="15" t="n"/>
      <c r="C88" s="15" t="n"/>
      <c r="D88" s="15" t="inlineStr">
        <is>
          <t>●</t>
        </is>
      </c>
      <c r="E88" s="17" t="inlineStr">
        <is>
          <t>監査証跡・電子署名★</t>
        </is>
      </c>
      <c r="F88" s="17" t="inlineStr">
        <is>
          <t>監査証跡と電子署名の要件を設計し、監査証跡を定期的に確認する</t>
        </is>
      </c>
      <c r="G88" s="14" t="n"/>
      <c r="H88" s="17" t="inlineStr">
        <is>
          <t>監査証跡、電子署名、確認の手順</t>
        </is>
      </c>
      <c r="I88" s="17" t="inlineStr">
        <is>
          <t>アクセス権の付与（C05-02-02）</t>
        </is>
      </c>
      <c r="J88" s="17" t="inlineStr">
        <is>
          <t>誰がいつ何をしたか追える記録</t>
        </is>
      </c>
    </row>
    <row r="89" ht="26.25" customHeight="1">
      <c r="A89" s="14" t="inlineStr">
        <is>
          <t>C06-02-03</t>
        </is>
      </c>
      <c r="B89" s="15" t="n"/>
      <c r="C89" s="15" t="n"/>
      <c r="D89" s="15" t="inlineStr">
        <is>
          <t>●</t>
        </is>
      </c>
      <c r="E89" s="17" t="inlineStr">
        <is>
          <t>記録の保存・アーカイブ★</t>
        </is>
      </c>
      <c r="F89" s="17" t="inlineStr">
        <is>
          <t>GxPの電子記録を保存期間の間、読める状態で保存し、システムの廃止時に移行・アーカイブする</t>
        </is>
      </c>
      <c r="G89" s="14" t="n"/>
      <c r="H89" s="17" t="inlineStr">
        <is>
          <t>保存期間、アーカイブ、廃止時のデータ移行</t>
        </is>
      </c>
      <c r="I89" s="17" t="inlineStr">
        <is>
          <t>日々のバックアップ（C03-03-02）</t>
        </is>
      </c>
      <c r="J89" s="17" t="inlineStr">
        <is>
          <t>システムがなくなっても読める記録</t>
        </is>
      </c>
    </row>
    <row r="90" ht="26.25" customHeight="1">
      <c r="A90" s="10" t="inlineStr">
        <is>
          <t>C06-03</t>
        </is>
      </c>
      <c r="B90" s="11" t="n"/>
      <c r="C90" s="11" t="inlineStr">
        <is>
          <t>●</t>
        </is>
      </c>
      <c r="D90" s="11" t="n"/>
      <c r="E90" s="12" t="inlineStr">
        <is>
          <t>データ管理</t>
        </is>
      </c>
      <c r="F90" s="13" t="inlineStr">
        <is>
          <t>マスタデータとデータの定義・品質を管理し、データ・分析の基盤を提供する</t>
        </is>
      </c>
      <c r="G90" s="10" t="n"/>
      <c r="H90" s="26" t="n"/>
      <c r="I90" s="26" t="n"/>
      <c r="J90" s="26" t="n"/>
    </row>
    <row r="91" ht="26.25" customHeight="1">
      <c r="A91" s="14" t="inlineStr">
        <is>
          <t>C06-03-01</t>
        </is>
      </c>
      <c r="B91" s="15" t="n"/>
      <c r="C91" s="15" t="n"/>
      <c r="D91" s="15" t="inlineStr">
        <is>
          <t>●</t>
        </is>
      </c>
      <c r="E91" s="17" t="inlineStr">
        <is>
          <t>マスタデータ管理</t>
        </is>
      </c>
      <c r="F91" s="17" t="inlineStr">
        <is>
          <t>全社で共通に使うマスタデータの定義と正本を管理する</t>
        </is>
      </c>
      <c r="G91" s="14" t="n"/>
      <c r="H91" s="17" t="inlineStr">
        <is>
          <t>マスタの定義、正本、品質</t>
        </is>
      </c>
      <c r="I91" s="17" t="inlineStr">
        <is>
          <t>個別システムのデータ設計（C02-02-02）</t>
        </is>
      </c>
      <c r="J91" s="17" t="inlineStr">
        <is>
          <t>一つに定まったマスタ</t>
        </is>
      </c>
    </row>
    <row r="92" ht="26.25" customHeight="1">
      <c r="A92" s="14" t="inlineStr">
        <is>
          <t>C06-03-02</t>
        </is>
      </c>
      <c r="B92" s="15" t="n"/>
      <c r="C92" s="15" t="n"/>
      <c r="D92" s="15" t="inlineStr">
        <is>
          <t>●</t>
        </is>
      </c>
      <c r="E92" s="17" t="inlineStr">
        <is>
          <t>データ品質・データカタログ</t>
        </is>
      </c>
      <c r="F92" s="17" t="inlineStr">
        <is>
          <t>データの定義・所在・責任者をカタログにまとめ、品質を測定・改善する</t>
        </is>
      </c>
      <c r="G92" s="14" t="n"/>
      <c r="H92" s="17" t="inlineStr">
        <is>
          <t>データカタログ、データの責任者、品質の測定</t>
        </is>
      </c>
      <c r="I92" s="17" t="inlineStr">
        <is>
          <t>マスタの維持（C06-03-01）</t>
        </is>
      </c>
      <c r="J92" s="17" t="inlineStr">
        <is>
          <t>探せて信頼できるデータ</t>
        </is>
      </c>
    </row>
    <row r="93" ht="26.25" customHeight="1">
      <c r="A93" s="14" t="inlineStr">
        <is>
          <t>C06-03-03</t>
        </is>
      </c>
      <c r="B93" s="15" t="n"/>
      <c r="C93" s="15" t="n"/>
      <c r="D93" s="15" t="inlineStr">
        <is>
          <t>●</t>
        </is>
      </c>
      <c r="E93" s="17" t="inlineStr">
        <is>
          <t>データ・分析基盤</t>
        </is>
      </c>
      <c r="F93" s="17" t="inlineStr">
        <is>
          <t>データを集約して分析・可視化・AI活用に使える基盤を提供する</t>
        </is>
      </c>
      <c r="G93" s="14" t="n"/>
      <c r="H93" s="17" t="inlineStr">
        <is>
          <t>データ基盤、BI、分析環境</t>
        </is>
      </c>
      <c r="I93" s="17" t="inlineStr">
        <is>
          <t>業務システムの開発（C02-03-01）</t>
        </is>
      </c>
      <c r="J93" s="17" t="inlineStr">
        <is>
          <t>すぐに使える分析用のデータ</t>
        </is>
      </c>
    </row>
    <row r="94" ht="26.25" customHeight="1">
      <c r="A94" s="10" t="inlineStr">
        <is>
          <t>C06-04</t>
        </is>
      </c>
      <c r="B94" s="11" t="n"/>
      <c r="C94" s="11" t="inlineStr">
        <is>
          <t>●</t>
        </is>
      </c>
      <c r="D94" s="11" t="n"/>
      <c r="E94" s="12" t="inlineStr">
        <is>
          <t>個人情報・データ保護</t>
        </is>
      </c>
      <c r="F94" s="13" t="inlineStr">
        <is>
          <t>個人情報を法令に沿って取り扱い、情報の分類と持出しを管理する</t>
        </is>
      </c>
      <c r="G94" s="10" t="n"/>
      <c r="H94" s="26" t="n"/>
      <c r="I94" s="26" t="n"/>
      <c r="J94" s="26" t="n"/>
    </row>
    <row r="95" ht="26.25" customHeight="1">
      <c r="A95" s="14" t="inlineStr">
        <is>
          <t>C06-04-01</t>
        </is>
      </c>
      <c r="B95" s="15" t="n"/>
      <c r="C95" s="15" t="n"/>
      <c r="D95" s="15" t="inlineStr">
        <is>
          <t>●</t>
        </is>
      </c>
      <c r="E95" s="17" t="inlineStr">
        <is>
          <t>個人情報保護</t>
        </is>
      </c>
      <c r="F95" s="17" t="inlineStr">
        <is>
          <t>被験者・患者・従業員などの個人情報の取扱いを台帳で管理し、漏えい等の報告に対応する</t>
        </is>
      </c>
      <c r="G95" s="14" t="n"/>
      <c r="H95" s="17" t="inlineStr">
        <is>
          <t>取扱台帳、安全管理措置、漏えい等の報告</t>
        </is>
      </c>
      <c r="I95" s="17" t="inlineStr">
        <is>
          <t>サイバー攻撃への技術的な対応（C05-03-03）</t>
        </is>
      </c>
      <c r="J95" s="17" t="inlineStr">
        <is>
          <t>法令に沿って守られた個人情報</t>
        </is>
      </c>
    </row>
    <row r="96" ht="26.25" customHeight="1">
      <c r="A96" s="14" t="inlineStr">
        <is>
          <t>C06-04-02</t>
        </is>
      </c>
      <c r="B96" s="15" t="n"/>
      <c r="C96" s="15" t="n"/>
      <c r="D96" s="15" t="inlineStr">
        <is>
          <t>●</t>
        </is>
      </c>
      <c r="E96" s="17" t="inlineStr">
        <is>
          <t>情報の分類・持出し管理</t>
        </is>
      </c>
      <c r="F96" s="17" t="inlineStr">
        <is>
          <t>情報を機密度で分類し、持出し・共有・外部送信を管理する</t>
        </is>
      </c>
      <c r="G96" s="14" t="n"/>
      <c r="H96" s="17" t="inlineStr">
        <is>
          <t>情報の分類、持出しの管理、DLP</t>
        </is>
      </c>
      <c r="I96" s="17" t="inlineStr">
        <is>
          <t>コラボレーション環境の提供（C04-03-02）</t>
        </is>
      </c>
      <c r="J96" s="17" t="inlineStr">
        <is>
          <t>機密度に応じて守られた情報</t>
        </is>
      </c>
    </row>
    <row r="97" ht="26.25" customHeight="1">
      <c r="A97" s="6" t="inlineStr">
        <is>
          <t>C07</t>
        </is>
      </c>
      <c r="B97" s="7" t="inlineStr">
        <is>
          <t>●</t>
        </is>
      </c>
      <c r="C97" s="7" t="n"/>
      <c r="D97" s="7" t="n"/>
      <c r="E97" s="24" t="inlineStr">
        <is>
          <t>IT組織・ソーシング基盤</t>
        </is>
      </c>
      <c r="F97" s="9" t="inlineStr">
        <is>
          <t>内製と外部委託の組み合わせを決め、委託先とIT人材を管理し、IT文書とナレッジを蓄積する能力</t>
        </is>
      </c>
      <c r="G97" s="25" t="inlineStr">
        <is>
          <t>支援</t>
        </is>
      </c>
      <c r="H97" s="9" t="n"/>
      <c r="I97" s="9" t="n"/>
      <c r="J97" s="9" t="n"/>
    </row>
    <row r="98" ht="26.25" customHeight="1">
      <c r="A98" s="10" t="inlineStr">
        <is>
          <t>C07-01</t>
        </is>
      </c>
      <c r="B98" s="11" t="n"/>
      <c r="C98" s="11" t="inlineStr">
        <is>
          <t>●</t>
        </is>
      </c>
      <c r="D98" s="11" t="n"/>
      <c r="E98" s="12" t="inlineStr">
        <is>
          <t>ITソーシング・ベンダー管理★</t>
        </is>
      </c>
      <c r="F98" s="13" t="inlineStr">
        <is>
          <t>内製と外部委託の方針を決め、委託先を選定・契約し、評価・監督する</t>
        </is>
      </c>
      <c r="G98" s="10" t="n"/>
      <c r="H98" s="26" t="n"/>
      <c r="I98" s="26" t="n"/>
      <c r="J98" s="26" t="n"/>
    </row>
    <row r="99" ht="26.25" customHeight="1">
      <c r="A99" s="14" t="inlineStr">
        <is>
          <t>C07-01-01</t>
        </is>
      </c>
      <c r="B99" s="15" t="n"/>
      <c r="C99" s="15" t="n"/>
      <c r="D99" s="15" t="inlineStr">
        <is>
          <t>●</t>
        </is>
      </c>
      <c r="E99" s="17" t="inlineStr">
        <is>
          <t>ソーシング方針（内製・委託）★</t>
        </is>
      </c>
      <c r="F99" s="17" t="inlineStr">
        <is>
          <t>どの業務・技術を社内に持ち、どこを委託・SaaSにするかを決める</t>
        </is>
      </c>
      <c r="G99" s="14" t="n"/>
      <c r="H99" s="17" t="inlineStr">
        <is>
          <t>内製・委託の判断基準、コア技術の特定</t>
        </is>
      </c>
      <c r="I99" s="17" t="inlineStr">
        <is>
          <t>個別案件の委託先の選定（C07-01-02）</t>
        </is>
      </c>
      <c r="J99" s="17" t="inlineStr">
        <is>
          <t>ベンダーに依存しすぎない体制</t>
        </is>
      </c>
    </row>
    <row r="100" ht="26.25" customHeight="1">
      <c r="A100" s="14" t="inlineStr">
        <is>
          <t>C07-01-02</t>
        </is>
      </c>
      <c r="B100" s="15" t="n"/>
      <c r="C100" s="15" t="n"/>
      <c r="D100" s="15" t="inlineStr">
        <is>
          <t>●</t>
        </is>
      </c>
      <c r="E100" s="17" t="inlineStr">
        <is>
          <t>委託先の選定・契約★</t>
        </is>
      </c>
      <c r="F100" s="17" t="inlineStr">
        <is>
          <t>委託先を比較して選び、請負・準委任などの契約形態と発注内容を明示して契約する</t>
        </is>
      </c>
      <c r="G100" s="14" t="n"/>
      <c r="H100" s="17" t="inlineStr">
        <is>
          <t>RFP、見積比較、契約形態、発注内容の明示</t>
        </is>
      </c>
      <c r="I100" s="17" t="inlineStr">
        <is>
          <t>委託先の作業の監督（C02-01-02）</t>
        </is>
      </c>
      <c r="J100" s="17" t="inlineStr">
        <is>
          <t>公正で責任の明確な委託</t>
        </is>
      </c>
    </row>
    <row r="101" ht="26.25" customHeight="1">
      <c r="A101" s="14" t="inlineStr">
        <is>
          <t>C07-01-03</t>
        </is>
      </c>
      <c r="B101" s="15" t="n"/>
      <c r="C101" s="15" t="n"/>
      <c r="D101" s="15" t="inlineStr">
        <is>
          <t>●</t>
        </is>
      </c>
      <c r="E101" s="17" t="inlineStr">
        <is>
          <t>委託先の評価・監督★</t>
        </is>
      </c>
      <c r="F101" s="17" t="inlineStr">
        <is>
          <t>委託先の品質・SLA・コストを評価し、GxPに関わる委託先を監査する</t>
        </is>
      </c>
      <c r="G101" s="14" t="n"/>
      <c r="H101" s="17" t="inlineStr">
        <is>
          <t>定期評価、供給者の監査、価格協議への対応</t>
        </is>
      </c>
      <c r="I101" s="17" t="inlineStr">
        <is>
          <t>サービスレベルの実績の測定（C03-01-02）</t>
        </is>
      </c>
      <c r="J101" s="17" t="inlineStr">
        <is>
          <t>品質を説明できる委託先</t>
        </is>
      </c>
    </row>
    <row r="102" ht="26.25" customHeight="1">
      <c r="A102" s="10" t="inlineStr">
        <is>
          <t>C07-02</t>
        </is>
      </c>
      <c r="B102" s="11" t="n"/>
      <c r="C102" s="11" t="inlineStr">
        <is>
          <t>●</t>
        </is>
      </c>
      <c r="D102" s="11" t="n"/>
      <c r="E102" s="12" t="inlineStr">
        <is>
          <t>IT人材・組織★</t>
        </is>
      </c>
      <c r="F102" s="13" t="inlineStr">
        <is>
          <t>IT人材を育成し、役割と体制を設計し、教育と資格を記録する</t>
        </is>
      </c>
      <c r="G102" s="10" t="n"/>
      <c r="H102" s="26" t="n"/>
      <c r="I102" s="26" t="n"/>
      <c r="J102" s="26" t="n"/>
    </row>
    <row r="103" ht="26.25" customHeight="1">
      <c r="A103" s="14" t="inlineStr">
        <is>
          <t>C07-02-01</t>
        </is>
      </c>
      <c r="B103" s="15" t="n"/>
      <c r="C103" s="15" t="n"/>
      <c r="D103" s="15" t="inlineStr">
        <is>
          <t>●</t>
        </is>
      </c>
      <c r="E103" s="17" t="inlineStr">
        <is>
          <t>IT人材の育成・スキル管理★</t>
        </is>
      </c>
      <c r="F103" s="17" t="inlineStr">
        <is>
          <t>ITの役割ごとのスキルを定め、評価し、育成・採用で内製の力を高める</t>
        </is>
      </c>
      <c r="G103" s="14" t="n"/>
      <c r="H103" s="17" t="inlineStr">
        <is>
          <t>スキルの定義・評価、育成計画</t>
        </is>
      </c>
      <c r="I103" s="17" t="inlineStr">
        <is>
          <t>全社の人事制度</t>
        </is>
      </c>
      <c r="J103" s="17" t="inlineStr">
        <is>
          <t>設計・判断を自社でできるIT組織</t>
        </is>
      </c>
    </row>
    <row r="104" ht="26.25" customHeight="1">
      <c r="A104" s="14" t="inlineStr">
        <is>
          <t>C07-02-02</t>
        </is>
      </c>
      <c r="B104" s="15" t="n"/>
      <c r="C104" s="15" t="n"/>
      <c r="D104" s="15" t="inlineStr">
        <is>
          <t>●</t>
        </is>
      </c>
      <c r="E104" s="17" t="inlineStr">
        <is>
          <t>IT組織・役割の設計</t>
        </is>
      </c>
      <c r="F104" s="17" t="inlineStr">
        <is>
          <t>ITの役割・責任・体制と、委託先との分担を設計する</t>
        </is>
      </c>
      <c r="G104" s="14" t="n"/>
      <c r="H104" s="17" t="inlineStr">
        <is>
          <t>役割定義、RACI、体制</t>
        </is>
      </c>
      <c r="I104" s="17" t="inlineStr">
        <is>
          <t>プロジェクトごとの体制（C02-01-01）</t>
        </is>
      </c>
      <c r="J104" s="17" t="inlineStr">
        <is>
          <t>責任の明確なIT組織</t>
        </is>
      </c>
    </row>
    <row r="105" ht="26.25" customHeight="1">
      <c r="A105" s="14" t="inlineStr">
        <is>
          <t>C07-02-03</t>
        </is>
      </c>
      <c r="B105" s="15" t="n"/>
      <c r="C105" s="15" t="n"/>
      <c r="D105" s="15" t="inlineStr">
        <is>
          <t>●</t>
        </is>
      </c>
      <c r="E105" s="17" t="inlineStr">
        <is>
          <t>教育・資格の記録★</t>
        </is>
      </c>
      <c r="F105" s="17" t="inlineStr">
        <is>
          <t>GxPに関わるIT担当者・委託先・利用者の教育と資格を記録する</t>
        </is>
      </c>
      <c r="G105" s="14" t="n"/>
      <c r="H105" s="17" t="inlineStr">
        <is>
          <t>教育の計画・実施・記録、資格</t>
        </is>
      </c>
      <c r="I105" s="17" t="inlineStr">
        <is>
          <t>セキュリティの教育（C05-01-02）</t>
        </is>
      </c>
      <c r="J105" s="17" t="inlineStr">
        <is>
          <t>教育を受けた人だけが行うGxP業務</t>
        </is>
      </c>
    </row>
    <row r="106" ht="26.25" customHeight="1">
      <c r="A106" s="10" t="inlineStr">
        <is>
          <t>C07-03</t>
        </is>
      </c>
      <c r="B106" s="11" t="n"/>
      <c r="C106" s="11" t="inlineStr">
        <is>
          <t>●</t>
        </is>
      </c>
      <c r="D106" s="11" t="n"/>
      <c r="E106" s="12" t="inlineStr">
        <is>
          <t>ITナレッジ・文書管理</t>
        </is>
      </c>
      <c r="F106" s="13" t="inlineStr">
        <is>
          <t>IT文書とナレッジを作成・承認・版管理し、共有する</t>
        </is>
      </c>
      <c r="G106" s="10" t="n"/>
      <c r="H106" s="26" t="n"/>
      <c r="I106" s="26" t="n"/>
      <c r="J106" s="26" t="n"/>
    </row>
    <row r="107" ht="26.25" customHeight="1">
      <c r="A107" s="14" t="inlineStr">
        <is>
          <t>C07-03-01</t>
        </is>
      </c>
      <c r="B107" s="15" t="n"/>
      <c r="C107" s="15" t="n"/>
      <c r="D107" s="15" t="inlineStr">
        <is>
          <t>●</t>
        </is>
      </c>
      <c r="E107" s="17" t="inlineStr">
        <is>
          <t>IT文書管理</t>
        </is>
      </c>
      <c r="F107" s="17" t="inlineStr">
        <is>
          <t>運用手順書・設計書などのIT文書を承認・版管理し、配布する</t>
        </is>
      </c>
      <c r="G107" s="14" t="n"/>
      <c r="H107" s="17" t="inlineStr">
        <is>
          <t>文書の承認・版管理・配布</t>
        </is>
      </c>
      <c r="I107" s="17" t="inlineStr">
        <is>
          <t>全社のIT規程（C01-04-01）</t>
        </is>
      </c>
      <c r="J107" s="17" t="inlineStr">
        <is>
          <t>最新で承認された手順書</t>
        </is>
      </c>
    </row>
    <row r="108" ht="26.25" customHeight="1">
      <c r="A108" s="14" t="inlineStr">
        <is>
          <t>C07-03-02</t>
        </is>
      </c>
      <c r="B108" s="15" t="n"/>
      <c r="C108" s="15" t="n"/>
      <c r="D108" s="15" t="inlineStr">
        <is>
          <t>●</t>
        </is>
      </c>
      <c r="E108" s="17" t="inlineStr">
        <is>
          <t>ナレッジ管理</t>
        </is>
      </c>
      <c r="F108" s="17" t="inlineStr">
        <is>
          <t>障害対応・問合せの知見を記事にまとめ、再利用する</t>
        </is>
      </c>
      <c r="G108" s="14" t="n"/>
      <c r="H108" s="17" t="inlineStr">
        <is>
          <t>ナレッジ記事、FAQ、再利用</t>
        </is>
      </c>
      <c r="I108" s="17" t="inlineStr">
        <is>
          <t>サービスデスクの一次対応（C03-02-01）</t>
        </is>
      </c>
      <c r="J108" s="17" t="inlineStr">
        <is>
          <t>属人化しない知見</t>
        </is>
      </c>
    </row>
  </sheetData>
  <autoFilter ref="A3:J108"/>
  <pageMargins left="0.75" right="0.75" top="1" bottom="1" header="0.5" footer="0.5"/>
</worksheet>
</file>

<file path=xl/worksheets/sheet3.xml><?xml version="1.0" encoding="utf-8"?>
<worksheet xmlns="http://schemas.openxmlformats.org/spreadsheetml/2006/main">
  <sheetPr>
    <tabColor rgb="001F3A5F"/>
    <outlinePr summaryBelow="1" summaryRight="1"/>
    <pageSetUpPr/>
  </sheetPr>
  <dimension ref="A1:I38"/>
  <sheetViews>
    <sheetView showGridLines="1" zoomScale="90" workbookViewId="0">
      <pane xSplit="3" ySplit="10" topLeftCell="D11"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22" customWidth="1" min="3" max="3"/>
    <col width="14" customWidth="1" min="4" max="4"/>
    <col width="30" customWidth="1" min="5" max="5"/>
  </cols>
  <sheetData>
    <row r="1" ht="21" customHeight="1">
      <c r="A1" s="1" t="inlineStr">
        <is>
          <t>ケイパビリティの成熟度レベル（L2ごとの定義）</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評価の対象はL2。規制上の最低水準：GxP・法令（GMP省令・ER/ES指針・金商法〔J-SOX〕・個人情報保護法・取適法など）が関わるL2はレベル3が事実上の最低水準。</t>
        </is>
      </c>
    </row>
    <row r="3" ht="15" customHeight="1">
      <c r="A3" s="4" t="inlineStr">
        <is>
          <t>レベル</t>
        </is>
      </c>
      <c r="B3" s="4" t="inlineStr">
        <is>
          <t>名称</t>
        </is>
      </c>
      <c r="C3" s="4" t="inlineStr">
        <is>
          <t>共通定義</t>
        </is>
      </c>
      <c r="D3" s="27" t="n"/>
      <c r="E3" s="27" t="n"/>
      <c r="F3" s="27" t="n"/>
      <c r="G3" s="27" t="n"/>
      <c r="H3" s="27" t="n"/>
      <c r="I3" s="28" t="n"/>
    </row>
    <row r="4" ht="15" customHeight="1">
      <c r="A4" s="19" t="n">
        <v>1</v>
      </c>
      <c r="B4" s="29" t="inlineStr">
        <is>
          <t>初期</t>
        </is>
      </c>
      <c r="C4" s="20" t="inlineStr">
        <is>
          <t>属人的・場当たり的。成果が個人に依存し、再現できない</t>
        </is>
      </c>
      <c r="D4" s="27" t="n"/>
      <c r="E4" s="27" t="n"/>
      <c r="F4" s="27" t="n"/>
      <c r="G4" s="27" t="n"/>
      <c r="H4" s="27" t="n"/>
      <c r="I4" s="28" t="n"/>
    </row>
    <row r="5" ht="15" customHeight="1">
      <c r="A5" s="19" t="n">
        <v>2</v>
      </c>
      <c r="B5" s="29" t="inlineStr">
        <is>
          <t>管理された</t>
        </is>
      </c>
      <c r="C5" s="20" t="inlineStr">
        <is>
          <t>案件・システムごとに計画・管理され、再現できる。ただし方法は案件・部門・委託先で異なる</t>
        </is>
      </c>
      <c r="D5" s="27" t="n"/>
      <c r="E5" s="27" t="n"/>
      <c r="F5" s="27" t="n"/>
      <c r="G5" s="27" t="n"/>
      <c r="H5" s="27" t="n"/>
      <c r="I5" s="28" t="n"/>
    </row>
    <row r="6" ht="15" customHeight="1">
      <c r="A6" s="19" t="n">
        <v>3</v>
      </c>
      <c r="B6" s="29" t="inlineStr">
        <is>
          <t>定義された</t>
        </is>
      </c>
      <c r="C6" s="20" t="inlineStr">
        <is>
          <t>全社標準のプロセス・役割・データ定義があり、一貫して運用される</t>
        </is>
      </c>
      <c r="D6" s="27" t="n"/>
      <c r="E6" s="27" t="n"/>
      <c r="F6" s="27" t="n"/>
      <c r="G6" s="27" t="n"/>
      <c r="H6" s="27" t="n"/>
      <c r="I6" s="28" t="n"/>
    </row>
    <row r="7" ht="15" customHeight="1">
      <c r="A7" s="19" t="n">
        <v>4</v>
      </c>
      <c r="B7" s="29" t="inlineStr">
        <is>
          <t>定量的に管理された</t>
        </is>
      </c>
      <c r="C7" s="20" t="inlineStr">
        <is>
          <t>指標で成果・品質を測定し、データに基づいて管理・予測する</t>
        </is>
      </c>
      <c r="D7" s="27" t="n"/>
      <c r="E7" s="27" t="n"/>
      <c r="F7" s="27" t="n"/>
      <c r="G7" s="27" t="n"/>
      <c r="H7" s="27" t="n"/>
      <c r="I7" s="28" t="n"/>
    </row>
    <row r="8" ht="15" customHeight="1">
      <c r="A8" s="19" t="n">
        <v>5</v>
      </c>
      <c r="B8" s="29" t="inlineStr">
        <is>
          <t>最適化された</t>
        </is>
      </c>
      <c r="C8" s="20" t="inlineStr">
        <is>
          <t>継続的な改善と先進的な手法により、変化に先回りし、先進的な水準にある</t>
        </is>
      </c>
      <c r="D8" s="27" t="n"/>
      <c r="E8" s="27" t="n"/>
      <c r="F8" s="27" t="n"/>
      <c r="G8" s="27" t="n"/>
      <c r="H8" s="27" t="n"/>
      <c r="I8" s="28" t="n"/>
    </row>
    <row r="10" ht="30" customHeight="1">
      <c r="A10" s="3" t="inlineStr">
        <is>
          <t>L2 ID</t>
        </is>
      </c>
      <c r="B10" s="4" t="inlineStr">
        <is>
          <t>ケイパビリティL1</t>
        </is>
      </c>
      <c r="C10" s="4" t="inlineStr">
        <is>
          <t>ケイパビリティL2</t>
        </is>
      </c>
      <c r="D10" s="4" t="inlineStr">
        <is>
          <t>規制上の最低水準</t>
        </is>
      </c>
      <c r="E10" s="30" t="inlineStr">
        <is>
          <t>レベル1 初期</t>
        </is>
      </c>
      <c r="F10" s="30" t="inlineStr">
        <is>
          <t>レベル2 管理された</t>
        </is>
      </c>
      <c r="G10" s="30" t="inlineStr">
        <is>
          <t>レベル3 定義された</t>
        </is>
      </c>
      <c r="H10" s="30" t="inlineStr">
        <is>
          <t>レベル4 定量的に管理された</t>
        </is>
      </c>
      <c r="I10" s="30" t="inlineStr">
        <is>
          <t>レベル5 最適化された</t>
        </is>
      </c>
    </row>
    <row r="11" ht="26.25" customHeight="1">
      <c r="A11" s="14" t="inlineStr">
        <is>
          <t>C01-01</t>
        </is>
      </c>
      <c r="B11" s="17" t="inlineStr">
        <is>
          <t>IT戦略・ガバナンス</t>
        </is>
      </c>
      <c r="C11" s="16" t="inlineStr">
        <is>
          <t>IT戦略・DX企画</t>
        </is>
      </c>
      <c r="D11" s="14" t="inlineStr">
        <is>
          <t>—</t>
        </is>
      </c>
      <c r="E11" s="17" t="inlineStr">
        <is>
          <t>ITの計画が年度予算の積み上げで、事業戦略との関係が説明できない</t>
        </is>
      </c>
      <c r="F11" s="17" t="inlineStr">
        <is>
          <t>重点システムについて中期の計画を立てる</t>
        </is>
      </c>
      <c r="G11" s="17" t="inlineStr">
        <is>
          <t>事業戦略とそろえたIT戦略・ロードマップを全社共通の方法で策定し、毎年見直す</t>
        </is>
      </c>
      <c r="H11" s="17" t="inlineStr">
        <is>
          <t>IT施策の事業への効果を指標で測定し、戦略に反映する</t>
        </is>
      </c>
      <c r="I11" s="17" t="inlineStr">
        <is>
          <t>事業部門と一体でデジタルによる事業の変革を先導する</t>
        </is>
      </c>
    </row>
    <row r="12" ht="26.25" customHeight="1">
      <c r="A12" s="18" t="inlineStr">
        <is>
          <t>C01-02</t>
        </is>
      </c>
      <c r="B12" s="31" t="n"/>
      <c r="C12" s="29" t="inlineStr">
        <is>
          <t>エンタープライズアーキテクチャ</t>
        </is>
      </c>
      <c r="D12" s="18" t="inlineStr">
        <is>
          <t>—</t>
        </is>
      </c>
      <c r="E12" s="20" t="inlineStr">
        <is>
          <t>システムの全体像を誰も把握していない</t>
        </is>
      </c>
      <c r="F12" s="20" t="inlineStr">
        <is>
          <t>主要システムの構成図と一覧を部門ごとに持つ</t>
        </is>
      </c>
      <c r="G12" s="20" t="inlineStr">
        <is>
          <t>全社のアプリケーション台帳・技術標準・将来像を持ち、案件を標準に照らして審査する</t>
        </is>
      </c>
      <c r="H12" s="20" t="inlineStr">
        <is>
          <t>重複・老朽化・標準からの逸脱を指標で監視する</t>
        </is>
      </c>
      <c r="I12" s="20" t="inlineStr">
        <is>
          <t>アーキテクチャが事業の変化に先回りして組み替えられる</t>
        </is>
      </c>
    </row>
    <row r="13" ht="26.25" customHeight="1">
      <c r="A13" s="18" t="inlineStr">
        <is>
          <t>C01-03</t>
        </is>
      </c>
      <c r="B13" s="31" t="n"/>
      <c r="C13" s="29" t="inlineStr">
        <is>
          <t>ITポートフォリオ・需要管理</t>
        </is>
      </c>
      <c r="D13" s="18" t="inlineStr">
        <is>
          <t>—</t>
        </is>
      </c>
      <c r="E13" s="20" t="inlineStr">
        <is>
          <t>声の大きい部門の要求から着手する</t>
        </is>
      </c>
      <c r="F13" s="20" t="inlineStr">
        <is>
          <t>案件ごとに稟議で投資を判断する</t>
        </is>
      </c>
      <c r="G13" s="20" t="inlineStr">
        <is>
          <t>全社共通の受付窓口と評価基準で、案件を比較して優先順位を決める</t>
        </is>
      </c>
      <c r="H13" s="20" t="inlineStr">
        <is>
          <t>投資の効果を事後に検証し、評価基準を改善する</t>
        </is>
      </c>
      <c r="I13" s="20" t="inlineStr">
        <is>
          <t>ポートフォリオ全体の価値とリスクを最適化し続ける</t>
        </is>
      </c>
    </row>
    <row r="14" ht="26.25" customHeight="1">
      <c r="A14" s="18" t="inlineStr">
        <is>
          <t>C01-04</t>
        </is>
      </c>
      <c r="B14" s="31" t="n"/>
      <c r="C14" s="29" t="inlineStr">
        <is>
          <t>ITガバナンス・リスク管理★</t>
        </is>
      </c>
      <c r="D14" s="18" t="inlineStr">
        <is>
          <t>レベル3（GMP省令・コンピュータ化システム適正管理ガイドライン・金商法）</t>
        </is>
      </c>
      <c r="E14" s="20" t="inlineStr">
        <is>
          <t>IT規程がなく、担当者の判断で作業する</t>
        </is>
      </c>
      <c r="F14" s="20" t="inlineStr">
        <is>
          <t>IT規程はあるが、手順書の整備と運用が部門・委託先ごとに異なる</t>
        </is>
      </c>
      <c r="G14" s="20" t="inlineStr">
        <is>
          <t>IT規程・標準手順書・IT全般統制を全社標準で整備し、一貫して運用する</t>
        </is>
      </c>
      <c r="H14" s="20" t="inlineStr">
        <is>
          <t>統制の不備・逸脱・リスクを指標で監視し、早期に是正する</t>
        </is>
      </c>
      <c r="I14" s="20" t="inlineStr">
        <is>
          <t>リスクの変化に先回りして、統制と手順を見直す</t>
        </is>
      </c>
    </row>
    <row r="15" ht="26.25" customHeight="1">
      <c r="A15" s="18" t="inlineStr">
        <is>
          <t>C01-05</t>
        </is>
      </c>
      <c r="B15" s="31" t="n"/>
      <c r="C15" s="29" t="inlineStr">
        <is>
          <t>IT財務管理</t>
        </is>
      </c>
      <c r="D15" s="18" t="inlineStr">
        <is>
          <t>—</t>
        </is>
      </c>
      <c r="E15" s="20" t="inlineStr">
        <is>
          <t>IT費用の全体を把握していない</t>
        </is>
      </c>
      <c r="F15" s="20" t="inlineStr">
        <is>
          <t>IT部門の予算と実績を年度で管理する</t>
        </is>
      </c>
      <c r="G15" s="20" t="inlineStr">
        <is>
          <t>案件・サービス別に予算と実績を管理し、部門へ配賦する</t>
        </is>
      </c>
      <c r="H15" s="20" t="inlineStr">
        <is>
          <t>総保有コストと単価を指標で管理し、比較する</t>
        </is>
      </c>
      <c r="I15" s="20" t="inlineStr">
        <is>
          <t>費用とサービスの価値を結び付けて投資配分を最適化する</t>
        </is>
      </c>
    </row>
    <row r="16" ht="26.25" customHeight="1">
      <c r="A16" s="14" t="inlineStr">
        <is>
          <t>C02-01</t>
        </is>
      </c>
      <c r="B16" s="17" t="inlineStr">
        <is>
          <t>ソリューション開発・導入</t>
        </is>
      </c>
      <c r="C16" s="16" t="inlineStr">
        <is>
          <t>プロジェクト管理★</t>
        </is>
      </c>
      <c r="D16" s="14" t="inlineStr">
        <is>
          <t>—</t>
        </is>
      </c>
      <c r="E16" s="17" t="inlineStr">
        <is>
          <t>計画がなく、委託先に任せきりで進捗が分からない</t>
        </is>
      </c>
      <c r="F16" s="17" t="inlineStr">
        <is>
          <t>案件ごとに計画を立て、委託先から報告を受ける</t>
        </is>
      </c>
      <c r="G16" s="17" t="inlineStr">
        <is>
          <t>全社標準のプロジェクト管理と委託先の監督の方法で、請負・準委任の区別を守って管理する</t>
        </is>
      </c>
      <c r="H16" s="17" t="inlineStr">
        <is>
          <t>品質・進捗・コストの実績を指標で管理し、予測する</t>
        </is>
      </c>
      <c r="I16" s="17" t="inlineStr">
        <is>
          <t>内製と委託を組み合わせ、変化に強い進め方を選べる</t>
        </is>
      </c>
    </row>
    <row r="17" ht="26.25" customHeight="1">
      <c r="A17" s="18" t="inlineStr">
        <is>
          <t>C02-02</t>
        </is>
      </c>
      <c r="B17" s="31" t="n"/>
      <c r="C17" s="29" t="inlineStr">
        <is>
          <t>要件定義・設計</t>
        </is>
      </c>
      <c r="D17" s="18" t="inlineStr">
        <is>
          <t>レベル3（GMP省令・コンピュータ化システム適正管理ガイドライン）</t>
        </is>
      </c>
      <c r="E17" s="20" t="inlineStr">
        <is>
          <t>要件が口頭や会議のメモだけで決まる</t>
        </is>
      </c>
      <c r="F17" s="20" t="inlineStr">
        <is>
          <t>案件ごとに要件定義書を作るが、形式と粒度がばらばら</t>
        </is>
      </c>
      <c r="G17" s="20" t="inlineStr">
        <is>
          <t>全社標準のURS・設計書の様式で、要求から設計まで追跡できる</t>
        </is>
      </c>
      <c r="H17" s="20" t="inlineStr">
        <is>
          <t>要件の変更・漏れを指標で管理する</t>
        </is>
      </c>
      <c r="I17" s="20" t="inlineStr">
        <is>
          <t>利用者と短い周期で要求を確かめながら設計する</t>
        </is>
      </c>
    </row>
    <row r="18" ht="26.25" customHeight="1">
      <c r="A18" s="18" t="inlineStr">
        <is>
          <t>C02-03</t>
        </is>
      </c>
      <c r="B18" s="31" t="n"/>
      <c r="C18" s="29" t="inlineStr">
        <is>
          <t>開発・構成</t>
        </is>
      </c>
      <c r="D18" s="18" t="inlineStr">
        <is>
          <t>—</t>
        </is>
      </c>
      <c r="E18" s="20" t="inlineStr">
        <is>
          <t>個人の書き方で開発し、ソースや設定の所在が分からない</t>
        </is>
      </c>
      <c r="F18" s="20" t="inlineStr">
        <is>
          <t>案件ごとにソースと設定を管理する</t>
        </is>
      </c>
      <c r="G18" s="20" t="inlineStr">
        <is>
          <t>全社標準のリポジトリ・コーディング規約・設定の記録で、版を管理する</t>
        </is>
      </c>
      <c r="H18" s="20" t="inlineStr">
        <is>
          <t>品質指標（不具合密度・レビューの指摘）で管理する</t>
        </is>
      </c>
      <c r="I18" s="20" t="inlineStr">
        <is>
          <t>自動化されたパイプラインで、速く安全に変更できる</t>
        </is>
      </c>
    </row>
    <row r="19" ht="26.25" customHeight="1">
      <c r="A19" s="18" t="inlineStr">
        <is>
          <t>C02-04</t>
        </is>
      </c>
      <c r="B19" s="31" t="n"/>
      <c r="C19" s="29" t="inlineStr">
        <is>
          <t>テスト・リリース</t>
        </is>
      </c>
      <c r="D19" s="18" t="inlineStr">
        <is>
          <t>レベル3（GMP省令・コンピュータ化システム適正管理ガイドライン）</t>
        </is>
      </c>
      <c r="E19" s="20" t="inlineStr">
        <is>
          <t>テストが担当者任せで、記録が残らない</t>
        </is>
      </c>
      <c r="F19" s="20" t="inlineStr">
        <is>
          <t>案件ごとにテストを計画し、結果を記録する</t>
        </is>
      </c>
      <c r="G19" s="20" t="inlineStr">
        <is>
          <t>全社標準のテスト・移行・リリースの手順で、判定基準を満たしてから本番に出す</t>
        </is>
      </c>
      <c r="H19" s="20" t="inlineStr">
        <is>
          <t>不具合の流出・リリース後の障害を指標で管理する</t>
        </is>
      </c>
      <c r="I19" s="20" t="inlineStr">
        <is>
          <t>テストと配備が自動化され、小さく頻繁にリリースできる</t>
        </is>
      </c>
    </row>
    <row r="20" ht="26.25" customHeight="1">
      <c r="A20" s="14" t="inlineStr">
        <is>
          <t>C03-01</t>
        </is>
      </c>
      <c r="B20" s="17" t="inlineStr">
        <is>
          <t>ITサービス管理・運用</t>
        </is>
      </c>
      <c r="C20" s="16" t="inlineStr">
        <is>
          <t>サービスカタログ・サービスレベル管理</t>
        </is>
      </c>
      <c r="D20" s="14" t="inlineStr">
        <is>
          <t>—</t>
        </is>
      </c>
      <c r="E20" s="17" t="inlineStr">
        <is>
          <t>提供するサービスの範囲と水準が決まっていない</t>
        </is>
      </c>
      <c r="F20" s="17" t="inlineStr">
        <is>
          <t>主要なシステムについて運用時間・連絡先を決める</t>
        </is>
      </c>
      <c r="G20" s="17" t="inlineStr">
        <is>
          <t>全社のサービスカタログとSLAを持ち、実績を定期的に報告する</t>
        </is>
      </c>
      <c r="H20" s="17" t="inlineStr">
        <is>
          <t>SLAの実績を指標で管理し、改善につなげる</t>
        </is>
      </c>
      <c r="I20" s="17" t="inlineStr">
        <is>
          <t>利用者の体験を測り、サービスを先回りして改善する</t>
        </is>
      </c>
    </row>
    <row r="21" ht="26.25" customHeight="1">
      <c r="A21" s="18" t="inlineStr">
        <is>
          <t>C03-02</t>
        </is>
      </c>
      <c r="B21" s="31" t="n"/>
      <c r="C21" s="29" t="inlineStr">
        <is>
          <t>サービスデスク・要求実現</t>
        </is>
      </c>
      <c r="D21" s="18" t="inlineStr">
        <is>
          <t>—</t>
        </is>
      </c>
      <c r="E21" s="20" t="inlineStr">
        <is>
          <t>問合せ先がシステムごとに異なり、記録が残らない</t>
        </is>
      </c>
      <c r="F21" s="20" t="inlineStr">
        <is>
          <t>主要な窓口を決めて問合せを記録する</t>
        </is>
      </c>
      <c r="G21" s="20" t="inlineStr">
        <is>
          <t>全社で一つの窓口とカタログからの申請で、受付から完了まで記録する</t>
        </is>
      </c>
      <c r="H21" s="20" t="inlineStr">
        <is>
          <t>解決までの時間・一次解決率を指標で管理する</t>
        </is>
      </c>
      <c r="I21" s="20" t="inlineStr">
        <is>
          <t>セルフサービスと自動化で、待たずに解決する</t>
        </is>
      </c>
    </row>
    <row r="22" ht="26.25" customHeight="1">
      <c r="A22" s="18" t="inlineStr">
        <is>
          <t>C03-03</t>
        </is>
      </c>
      <c r="B22" s="31" t="n"/>
      <c r="C22" s="29" t="inlineStr">
        <is>
          <t>IT運用・監視</t>
        </is>
      </c>
      <c r="D22" s="18" t="inlineStr">
        <is>
          <t>レベル3（GMP省令〔バックアップ〕・金商法）</t>
        </is>
      </c>
      <c r="E22" s="20" t="inlineStr">
        <is>
          <t>障害が利用者からの連絡で分かる</t>
        </is>
      </c>
      <c r="F22" s="20" t="inlineStr">
        <is>
          <t>主要なシステムを監視し、バックアップを取る</t>
        </is>
      </c>
      <c r="G22" s="20" t="inlineStr">
        <is>
          <t>全社標準の監視・ジョブ・バックアップと復元テストの手順で運用する</t>
        </is>
      </c>
      <c r="H22" s="20" t="inlineStr">
        <is>
          <t>稼働率・容量の傾向を指標で管理し、予測する</t>
        </is>
      </c>
      <c r="I22" s="20" t="inlineStr">
        <is>
          <t>異常を予兆で検知し、自動で回復する</t>
        </is>
      </c>
    </row>
    <row r="23" ht="26.25" customHeight="1">
      <c r="A23" s="18" t="inlineStr">
        <is>
          <t>C03-04</t>
        </is>
      </c>
      <c r="B23" s="31" t="n"/>
      <c r="C23" s="29" t="inlineStr">
        <is>
          <t>インシデント・問題管理</t>
        </is>
      </c>
      <c r="D23" s="18" t="inlineStr">
        <is>
          <t>レベル3（GMP省令）</t>
        </is>
      </c>
      <c r="E23" s="20" t="inlineStr">
        <is>
          <t>障害のたびに担当者が個別に対応し、記録が残らない</t>
        </is>
      </c>
      <c r="F23" s="20" t="inlineStr">
        <is>
          <t>インシデントを記録し、重大な障害は報告する</t>
        </is>
      </c>
      <c r="G23" s="20" t="inlineStr">
        <is>
          <t>全社標準のインシデント・問題管理とIT事業継続計画で対応し、GxPへの影響を評価する</t>
        </is>
      </c>
      <c r="H23" s="20" t="inlineStr">
        <is>
          <t>復旧時間・再発件数を指標で管理する</t>
        </is>
      </c>
      <c r="I23" s="20" t="inlineStr">
        <is>
          <t>傾向の分析で障害を未然に防ぐ</t>
        </is>
      </c>
    </row>
    <row r="24" ht="26.25" customHeight="1">
      <c r="A24" s="18" t="inlineStr">
        <is>
          <t>C03-05</t>
        </is>
      </c>
      <c r="B24" s="31" t="n"/>
      <c r="C24" s="29" t="inlineStr">
        <is>
          <t>変更・構成管理★</t>
        </is>
      </c>
      <c r="D24" s="18" t="inlineStr">
        <is>
          <t>レベル3（GMP省令・コンピュータ化システム適正管理ガイドライン・金商法）</t>
        </is>
      </c>
      <c r="E24" s="20" t="inlineStr">
        <is>
          <t>本番環境を担当者が承認なしに変更する</t>
        </is>
      </c>
      <c r="F24" s="20" t="inlineStr">
        <is>
          <t>変更を申請・承認するが、影響評価と構成情報が不十分</t>
        </is>
      </c>
      <c r="G24" s="20" t="inlineStr">
        <is>
          <t>全社標準の変更管理で、GxP・統制への影響を評価して承認し、構成情報を最新に保つ</t>
        </is>
      </c>
      <c r="H24" s="20" t="inlineStr">
        <is>
          <t>変更による障害・緊急変更の割合を指標で管理する</t>
        </is>
      </c>
      <c r="I24" s="20" t="inlineStr">
        <is>
          <t>自動化された検証で、安全な変更を速く行う</t>
        </is>
      </c>
    </row>
    <row r="25" ht="26.25" customHeight="1">
      <c r="A25" s="14" t="inlineStr">
        <is>
          <t>C04-01</t>
        </is>
      </c>
      <c r="B25" s="17" t="inlineStr">
        <is>
          <t>ITプラットフォーム</t>
        </is>
      </c>
      <c r="C25" s="16" t="inlineStr">
        <is>
          <t>クラウド・データセンター</t>
        </is>
      </c>
      <c r="D25" s="14" t="inlineStr">
        <is>
          <t>—</t>
        </is>
      </c>
      <c r="E25" s="17" t="inlineStr">
        <is>
          <t>サーバーやクラウドを部門が個別に用意する</t>
        </is>
      </c>
      <c r="F25" s="17" t="inlineStr">
        <is>
          <t>IT部門が基盤を用意するが、構成が案件ごとに異なる</t>
        </is>
      </c>
      <c r="G25" s="17" t="inlineStr">
        <is>
          <t>全社標準の構成で、クラウドとサーバーを提供・運用する</t>
        </is>
      </c>
      <c r="H25" s="17" t="inlineStr">
        <is>
          <t>利用率・費用・保守期限を指標で管理する</t>
        </is>
      </c>
      <c r="I25" s="17" t="inlineStr">
        <is>
          <t>需要に応じて自動で拡張・最適化される</t>
        </is>
      </c>
    </row>
    <row r="26" ht="26.25" customHeight="1">
      <c r="A26" s="18" t="inlineStr">
        <is>
          <t>C04-02</t>
        </is>
      </c>
      <c r="B26" s="31" t="n"/>
      <c r="C26" s="29" t="inlineStr">
        <is>
          <t>ネットワーク</t>
        </is>
      </c>
      <c r="D26" s="18" t="inlineStr">
        <is>
          <t>—</t>
        </is>
      </c>
      <c r="E26" s="20" t="inlineStr">
        <is>
          <t>拠点ごとにネットワークを構築し、全体の構成が分からない</t>
        </is>
      </c>
      <c r="F26" s="20" t="inlineStr">
        <is>
          <t>主要な拠点のネットワークを管理する</t>
        </is>
      </c>
      <c r="G26" s="20" t="inlineStr">
        <is>
          <t>全社標準の構成で拠点と外部の接続を管理する</t>
        </is>
      </c>
      <c r="H26" s="20" t="inlineStr">
        <is>
          <t>通信の品質・障害を指標で管理する</t>
        </is>
      </c>
      <c r="I26" s="20" t="inlineStr">
        <is>
          <t>場所に依存しない安全な接続（ゼロトラスト）を実現する</t>
        </is>
      </c>
    </row>
    <row r="27" ht="26.25" customHeight="1">
      <c r="A27" s="18" t="inlineStr">
        <is>
          <t>C04-03</t>
        </is>
      </c>
      <c r="B27" s="31" t="n"/>
      <c r="C27" s="29" t="inlineStr">
        <is>
          <t>エンドユーザー環境</t>
        </is>
      </c>
      <c r="D27" s="18" t="inlineStr">
        <is>
          <t>—</t>
        </is>
      </c>
      <c r="E27" s="20" t="inlineStr">
        <is>
          <t>端末を利用者が個別に設定する</t>
        </is>
      </c>
      <c r="F27" s="20" t="inlineStr">
        <is>
          <t>端末の設定と配布を手順化する</t>
        </is>
      </c>
      <c r="G27" s="20" t="inlineStr">
        <is>
          <t>全社標準の構成と管理ツールで、端末とコラボレーション環境を提供する</t>
        </is>
      </c>
      <c r="H27" s="20" t="inlineStr">
        <is>
          <t>更新の適用率・問合せ件数を指標で管理する</t>
        </is>
      </c>
      <c r="I27" s="20" t="inlineStr">
        <is>
          <t>利用者が自分で準備でき、どこでも同じ環境で働ける</t>
        </is>
      </c>
    </row>
    <row r="28" ht="26.25" customHeight="1">
      <c r="A28" s="18" t="inlineStr">
        <is>
          <t>C04-04</t>
        </is>
      </c>
      <c r="B28" s="31" t="n"/>
      <c r="C28" s="29" t="inlineStr">
        <is>
          <t>IT資産・ライセンス管理</t>
        </is>
      </c>
      <c r="D28" s="18" t="inlineStr">
        <is>
          <t>—</t>
        </is>
      </c>
      <c r="E28" s="20" t="inlineStr">
        <is>
          <t>資産とライセンスの台帳がない</t>
        </is>
      </c>
      <c r="F28" s="20" t="inlineStr">
        <is>
          <t>資産台帳を持つが、所在・利用者が最新でない</t>
        </is>
      </c>
      <c r="G28" s="20" t="inlineStr">
        <is>
          <t>全社の台帳で資産とライセンス・SaaSを管理し、定期的に棚卸しする</t>
        </is>
      </c>
      <c r="H28" s="20" t="inlineStr">
        <is>
          <t>利用率・過不足・保守期限を指標で管理する</t>
        </is>
      </c>
      <c r="I28" s="20" t="inlineStr">
        <is>
          <t>利用データに応じてライセンスを自動で最適化する</t>
        </is>
      </c>
    </row>
    <row r="29" ht="26.25" customHeight="1">
      <c r="A29" s="14" t="inlineStr">
        <is>
          <t>C05-01</t>
        </is>
      </c>
      <c r="B29" s="17" t="inlineStr">
        <is>
          <t>サイバーセキュリティ</t>
        </is>
      </c>
      <c r="C29" s="16" t="inlineStr">
        <is>
          <t>セキュリティガバナンス</t>
        </is>
      </c>
      <c r="D29" s="14" t="inlineStr">
        <is>
          <t>レベル3（個人情報保護法〔安全管理措置〕）</t>
        </is>
      </c>
      <c r="E29" s="17" t="inlineStr">
        <is>
          <t>セキュリティの方針がない</t>
        </is>
      </c>
      <c r="F29" s="17" t="inlineStr">
        <is>
          <t>方針はあるが、リスク評価と教育が年1回の形式にとどまる</t>
        </is>
      </c>
      <c r="G29" s="17" t="inlineStr">
        <is>
          <t>全社標準の方針・リスク評価・教育で、委託先を含めて管理する</t>
        </is>
      </c>
      <c r="H29" s="17" t="inlineStr">
        <is>
          <t>リスクと訓練の結果を指標で管理する</t>
        </is>
      </c>
      <c r="I29" s="17" t="inlineStr">
        <is>
          <t>脅威の変化に先回りして対策を組み替える</t>
        </is>
      </c>
    </row>
    <row r="30" ht="26.25" customHeight="1">
      <c r="A30" s="18" t="inlineStr">
        <is>
          <t>C05-02</t>
        </is>
      </c>
      <c r="B30" s="31" t="n"/>
      <c r="C30" s="29" t="inlineStr">
        <is>
          <t>ID・アクセス管理★</t>
        </is>
      </c>
      <c r="D30" s="18" t="inlineStr">
        <is>
          <t>レベル3（GMP省令・ER/ES指針・金商法）</t>
        </is>
      </c>
      <c r="E30" s="20" t="inlineStr">
        <is>
          <t>IDを共有し、退職者のIDが残る</t>
        </is>
      </c>
      <c r="F30" s="20" t="inlineStr">
        <is>
          <t>システムごとに申請書で権限を付与する</t>
        </is>
      </c>
      <c r="G30" s="20" t="inlineStr">
        <is>
          <t>人事と連携したID管理と、職務分掌に沿った権限付与・定期棚卸を全社標準で行う</t>
        </is>
      </c>
      <c r="H30" s="20" t="inlineStr">
        <is>
          <t>不要な権限・棚卸の指摘を指標で管理する</t>
        </is>
      </c>
      <c r="I30" s="20" t="inlineStr">
        <is>
          <t>権限の付与と見直しを自動化し、常に最小の権限に保つ</t>
        </is>
      </c>
    </row>
    <row r="31" ht="26.25" customHeight="1">
      <c r="A31" s="18" t="inlineStr">
        <is>
          <t>C05-03</t>
        </is>
      </c>
      <c r="B31" s="31" t="n"/>
      <c r="C31" s="29" t="inlineStr">
        <is>
          <t>セキュリティ運用</t>
        </is>
      </c>
      <c r="D31" s="18" t="inlineStr">
        <is>
          <t>レベル3（個人情報保護法〔漏えい等の報告〕）</t>
        </is>
      </c>
      <c r="E31" s="20" t="inlineStr">
        <is>
          <t>攻撃や脆弱性に気づかない</t>
        </is>
      </c>
      <c r="F31" s="20" t="inlineStr">
        <is>
          <t>主要な機器のパッチを当て、ウイルス対策を行う</t>
        </is>
      </c>
      <c r="G31" s="20" t="inlineStr">
        <is>
          <t>全社標準の脆弱性管理・監視・CSIRTの手順で対応する</t>
        </is>
      </c>
      <c r="H31" s="20" t="inlineStr">
        <is>
          <t>検知・対応の時間と未対応の脆弱性を指標で管理する</t>
        </is>
      </c>
      <c r="I31" s="20" t="inlineStr">
        <is>
          <t>脅威情報を使って攻撃を先回りして防ぐ</t>
        </is>
      </c>
    </row>
    <row r="32" ht="26.25" customHeight="1">
      <c r="A32" s="14" t="inlineStr">
        <is>
          <t>C06-01</t>
        </is>
      </c>
      <c r="B32" s="17" t="inlineStr">
        <is>
          <t>データ・GxPコンプライアンス</t>
        </is>
      </c>
      <c r="C32" s="16" t="inlineStr">
        <is>
          <t>GxPシステム管理（CSV）★</t>
        </is>
      </c>
      <c r="D32" s="14" t="inlineStr">
        <is>
          <t>レベル3（GMP省令・コンピュータ化システム適正管理ガイドライン）</t>
        </is>
      </c>
      <c r="E32" s="17" t="inlineStr">
        <is>
          <t>GxPに該当するシステムを把握していない</t>
        </is>
      </c>
      <c r="F32" s="17" t="inlineStr">
        <is>
          <t>案件ごとにバリデーション文書を作るが、方法と量がばらばら</t>
        </is>
      </c>
      <c r="G32" s="17" t="inlineStr">
        <is>
          <t>全社標準のGxP該当性評価と、リスクに応じたバリデーション・定期レビューを行う</t>
        </is>
      </c>
      <c r="H32" s="17" t="inlineStr">
        <is>
          <t>バリデーションの工数・指摘・逸脱を指標で管理する</t>
        </is>
      </c>
      <c r="I32" s="17" t="inlineStr">
        <is>
          <t>重要な機能に集中した合理的な保証（CSA）で、速く確実に使い始められる</t>
        </is>
      </c>
    </row>
    <row r="33" ht="26.25" customHeight="1">
      <c r="A33" s="18" t="inlineStr">
        <is>
          <t>C06-02</t>
        </is>
      </c>
      <c r="B33" s="31" t="n"/>
      <c r="C33" s="29" t="inlineStr">
        <is>
          <t>データインテグリティ★</t>
        </is>
      </c>
      <c r="D33" s="18" t="inlineStr">
        <is>
          <t>レベル3（GMP省令・ER/ES指針）</t>
        </is>
      </c>
      <c r="E33" s="20" t="inlineStr">
        <is>
          <t>紙と電子の記録が混在し、元の記録が分からない</t>
        </is>
      </c>
      <c r="F33" s="20" t="inlineStr">
        <is>
          <t>システムごとに監査証跡と保存を設定する</t>
        </is>
      </c>
      <c r="G33" s="20" t="inlineStr">
        <is>
          <t>全社標準のデータインテグリティの方針で、監査証跡・電子署名・保存・アーカイブを管理する</t>
        </is>
      </c>
      <c r="H33" s="20" t="inlineStr">
        <is>
          <t>データインテグリティの指摘・監査証跡の確認結果を指標で管理する</t>
        </is>
      </c>
      <c r="I33" s="20" t="inlineStr">
        <is>
          <t>データのライフサイクル全体でリスクを先回りして管理する</t>
        </is>
      </c>
    </row>
    <row r="34" ht="26.25" customHeight="1">
      <c r="A34" s="18" t="inlineStr">
        <is>
          <t>C06-03</t>
        </is>
      </c>
      <c r="B34" s="31" t="n"/>
      <c r="C34" s="29" t="inlineStr">
        <is>
          <t>データ管理</t>
        </is>
      </c>
      <c r="D34" s="18" t="inlineStr">
        <is>
          <t>—</t>
        </is>
      </c>
      <c r="E34" s="20" t="inlineStr">
        <is>
          <t>マスタとデータの定義がシステムごとに異なる</t>
        </is>
      </c>
      <c r="F34" s="20" t="inlineStr">
        <is>
          <t>主要なマスタを部門ごとに管理する</t>
        </is>
      </c>
      <c r="G34" s="20" t="inlineStr">
        <is>
          <t>全社標準のマスタの正本・データカタログ・品質の基準で管理する</t>
        </is>
      </c>
      <c r="H34" s="20" t="inlineStr">
        <is>
          <t>データの品質を指標で管理し、改善する</t>
        </is>
      </c>
      <c r="I34" s="20" t="inlineStr">
        <is>
          <t>データを全社の資産として活用し、新しい価値を生む</t>
        </is>
      </c>
    </row>
    <row r="35" ht="26.25" customHeight="1">
      <c r="A35" s="18" t="inlineStr">
        <is>
          <t>C06-04</t>
        </is>
      </c>
      <c r="B35" s="31" t="n"/>
      <c r="C35" s="29" t="inlineStr">
        <is>
          <t>個人情報・データ保護</t>
        </is>
      </c>
      <c r="D35" s="18" t="inlineStr">
        <is>
          <t>レベル3（個人情報保護法）</t>
        </is>
      </c>
      <c r="E35" s="20" t="inlineStr">
        <is>
          <t>どのシステムで個人情報を扱うか分からない</t>
        </is>
      </c>
      <c r="F35" s="20" t="inlineStr">
        <is>
          <t>主要なシステムについて個人情報の取扱いを確認する</t>
        </is>
      </c>
      <c r="G35" s="20" t="inlineStr">
        <is>
          <t>全社の取扱台帳と情報の分類で管理し、漏えい等の報告の手順を持つ</t>
        </is>
      </c>
      <c r="H35" s="20" t="inlineStr">
        <is>
          <t>持出し・誤送信などの件数を指標で管理する</t>
        </is>
      </c>
      <c r="I35" s="20" t="inlineStr">
        <is>
          <t>プライバシーを設計段階から組み込む（プライバシー・バイ・デザイン）</t>
        </is>
      </c>
    </row>
    <row r="36" ht="26.25" customHeight="1">
      <c r="A36" s="14" t="inlineStr">
        <is>
          <t>C07-01</t>
        </is>
      </c>
      <c r="B36" s="17" t="inlineStr">
        <is>
          <t>IT組織・ソーシング基盤</t>
        </is>
      </c>
      <c r="C36" s="16" t="inlineStr">
        <is>
          <t>ITソーシング・ベンダー管理★</t>
        </is>
      </c>
      <c r="D36" s="14" t="inlineStr">
        <is>
          <t>レベル3（取適法・派遣法・GMP省令〔供給者管理〕）</t>
        </is>
      </c>
      <c r="E36" s="17" t="inlineStr">
        <is>
          <t>特定のベンダーに任せきりで、比較も評価もしない</t>
        </is>
      </c>
      <c r="F36" s="17" t="inlineStr">
        <is>
          <t>案件ごとに見積を比較し、契約書を結ぶ</t>
        </is>
      </c>
      <c r="G36" s="17" t="inlineStr">
        <is>
          <t>全社標準のソーシング方針・選定・契約・評価の手順で、請負・準委任の区別と取適法を守る</t>
        </is>
      </c>
      <c r="H36" s="17" t="inlineStr">
        <is>
          <t>委託先の品質・SLA・コストを指標で比較・管理する</t>
        </is>
      </c>
      <c r="I36" s="17" t="inlineStr">
        <is>
          <t>戦略的なパートナーと、内製の力を保ちながら共同で改善する</t>
        </is>
      </c>
    </row>
    <row r="37" ht="26.25" customHeight="1">
      <c r="A37" s="18" t="inlineStr">
        <is>
          <t>C07-02</t>
        </is>
      </c>
      <c r="B37" s="31" t="n"/>
      <c r="C37" s="29" t="inlineStr">
        <is>
          <t>IT人材・組織★</t>
        </is>
      </c>
      <c r="D37" s="18" t="inlineStr">
        <is>
          <t>レベル3（GMP省令〔教育訓練〕）</t>
        </is>
      </c>
      <c r="E37" s="20" t="inlineStr">
        <is>
          <t>ITの役割とスキルが定義されておらず、ベンダー頼み</t>
        </is>
      </c>
      <c r="F37" s="20" t="inlineStr">
        <is>
          <t>主要な役割について担当者を育成する</t>
        </is>
      </c>
      <c r="G37" s="20" t="inlineStr">
        <is>
          <t>全社標準の役割定義・スキル評価・教育記録で、内製すべき力を計画的に育てる</t>
        </is>
      </c>
      <c r="H37" s="20" t="inlineStr">
        <is>
          <t>スキルの充足・育成の効果を指標で管理する</t>
        </is>
      </c>
      <c r="I37" s="20" t="inlineStr">
        <is>
          <t>必要な人材を先回りして育成・採用し、内製の力で変化に対応する</t>
        </is>
      </c>
    </row>
    <row r="38" ht="26.25" customHeight="1">
      <c r="A38" s="18" t="inlineStr">
        <is>
          <t>C07-03</t>
        </is>
      </c>
      <c r="B38" s="31" t="n"/>
      <c r="C38" s="29" t="inlineStr">
        <is>
          <t>ITナレッジ・文書管理</t>
        </is>
      </c>
      <c r="D38" s="18" t="inlineStr">
        <is>
          <t>—</t>
        </is>
      </c>
      <c r="E38" s="20" t="inlineStr">
        <is>
          <t>手順書が個人のPCにあり、最新版が分からない</t>
        </is>
      </c>
      <c r="F38" s="20" t="inlineStr">
        <is>
          <t>システムごとに手順書を管理する</t>
        </is>
      </c>
      <c r="G38" s="20" t="inlineStr">
        <is>
          <t>全社標準の文書管理とナレッジの仕組みで、承認・版・共有を管理する</t>
        </is>
      </c>
      <c r="H38" s="20" t="inlineStr">
        <is>
          <t>ナレッジの利用率・更新の状況を指標で管理する</t>
        </is>
      </c>
      <c r="I38" s="20" t="inlineStr">
        <is>
          <t>ナレッジが自動で集まり、誰でも使える</t>
        </is>
      </c>
    </row>
  </sheetData>
  <autoFilter ref="A10:I38"/>
  <mergeCells count="6">
    <mergeCell ref="C3:I3"/>
    <mergeCell ref="C8:I8"/>
    <mergeCell ref="C4:I4"/>
    <mergeCell ref="C6:I6"/>
    <mergeCell ref="C7:I7"/>
    <mergeCell ref="C5:I5"/>
  </mergeCells>
  <pageMargins left="0.75" right="0.75" top="1" bottom="1" header="0.5" footer="0.5"/>
</worksheet>
</file>

<file path=xl/worksheets/sheet4.xml><?xml version="1.0" encoding="utf-8"?>
<worksheet xmlns="http://schemas.openxmlformats.org/spreadsheetml/2006/main">
  <sheetPr>
    <tabColor rgb="00A6A6A6"/>
    <outlinePr summaryBelow="1" summaryRight="1"/>
    <pageSetUpPr/>
  </sheetPr>
  <dimension ref="A1:G341"/>
  <sheetViews>
    <sheetView showGridLines="1" zoomScale="90" workbookViewId="0">
      <pane ySplit="3" topLeftCell="A4" activePane="bottomLeft" state="frozen"/>
      <selection pane="bottomLeft" activeCell="A1" sqref="A1"/>
    </sheetView>
  </sheetViews>
  <sheetFormatPr baseColWidth="8" defaultRowHeight="15"/>
  <cols>
    <col width="10" customWidth="1" min="1" max="1"/>
    <col width="40" customWidth="1" min="2" max="2"/>
    <col width="13" customWidth="1" min="3" max="3"/>
    <col width="32" customWidth="1" min="4" max="4"/>
    <col width="7" customWidth="1" min="5" max="5"/>
    <col width="9" customWidth="1" min="6" max="6"/>
    <col width="11" customWidth="1" min="7" max="7"/>
  </cols>
  <sheetData>
    <row r="1" ht="21" customHeight="1">
      <c r="A1" s="32" t="inlineStr">
        <is>
          <t>VS×ケイパビリティ関係（正本：VS L4 × ケイパビリティL3）</t>
        </is>
      </c>
    </row>
    <row r="2" ht="15" customHeight="1">
      <c r="A2" s="33" t="inlineStr">
        <is>
          <t>1行1関係。区分は「主」（そのL4の中核）か「支援」（下支え）。マトリクスはこのシートから数式で集計する。関係の追加・変更はこのシートで行う。灰色の列は数式（編集しない）。</t>
        </is>
      </c>
    </row>
    <row r="3" ht="40.5" customHeight="1">
      <c r="A3" s="3" t="inlineStr">
        <is>
          <t>VS L4 ID</t>
        </is>
      </c>
      <c r="B3" s="3" t="inlineStr">
        <is>
          <t>VS L4</t>
        </is>
      </c>
      <c r="C3" s="4" t="inlineStr">
        <is>
          <t>ケイパビリティL3 ID</t>
        </is>
      </c>
      <c r="D3" s="4" t="inlineStr">
        <is>
          <t>ケイパビリティL3</t>
        </is>
      </c>
      <c r="E3" s="4" t="inlineStr">
        <is>
          <t>区分</t>
        </is>
      </c>
      <c r="F3" s="34" t="inlineStr">
        <is>
          <t>VS L3 ID</t>
        </is>
      </c>
      <c r="G3" s="5" t="inlineStr">
        <is>
          <t>ケイパビリティL2 ID</t>
        </is>
      </c>
    </row>
    <row r="4">
      <c r="A4" s="18" t="inlineStr">
        <is>
          <t>01-01-01</t>
        </is>
      </c>
      <c r="B4" s="20" t="inlineStr">
        <is>
          <t>事業戦略・DX方針の把握とIT課題の整理</t>
        </is>
      </c>
      <c r="C4" s="18" t="inlineStr">
        <is>
          <t>C01-01-01</t>
        </is>
      </c>
      <c r="D4" s="31">
        <f>IFERROR(INDEX(ケイパビリティマップ!$E:$E,MATCH(C4,ケイパビリティマップ!$A:$A,0)),"（IDなし）")</f>
        <v/>
      </c>
      <c r="E4" s="23" t="inlineStr">
        <is>
          <t>主</t>
        </is>
      </c>
      <c r="F4" s="35">
        <f>LEFT(A4,5)</f>
        <v/>
      </c>
      <c r="G4" s="35">
        <f>LEFT(C4,6)</f>
        <v/>
      </c>
    </row>
    <row r="5">
      <c r="A5" s="18" t="inlineStr">
        <is>
          <t>01-01-01</t>
        </is>
      </c>
      <c r="B5" s="20" t="inlineStr">
        <is>
          <t>事業戦略・DX方針の把握とIT課題の整理</t>
        </is>
      </c>
      <c r="C5" s="18" t="inlineStr">
        <is>
          <t>C01-01-02</t>
        </is>
      </c>
      <c r="D5" s="31">
        <f>IFERROR(INDEX(ケイパビリティマップ!$E:$E,MATCH(C5,ケイパビリティマップ!$A:$A,0)),"（IDなし）")</f>
        <v/>
      </c>
      <c r="E5" s="23" t="inlineStr">
        <is>
          <t>支援</t>
        </is>
      </c>
      <c r="F5" s="35">
        <f>LEFT(A5,5)</f>
        <v/>
      </c>
      <c r="G5" s="35">
        <f>LEFT(C5,6)</f>
        <v/>
      </c>
    </row>
    <row r="6">
      <c r="A6" s="18" t="inlineStr">
        <is>
          <t>01-01-01</t>
        </is>
      </c>
      <c r="B6" s="20" t="inlineStr">
        <is>
          <t>事業戦略・DX方針の把握とIT課題の整理</t>
        </is>
      </c>
      <c r="C6" s="18" t="inlineStr">
        <is>
          <t>C01-02-03</t>
        </is>
      </c>
      <c r="D6" s="31">
        <f>IFERROR(INDEX(ケイパビリティマップ!$E:$E,MATCH(C6,ケイパビリティマップ!$A:$A,0)),"（IDなし）")</f>
        <v/>
      </c>
      <c r="E6" s="23" t="inlineStr">
        <is>
          <t>支援</t>
        </is>
      </c>
      <c r="F6" s="35">
        <f>LEFT(A6,5)</f>
        <v/>
      </c>
      <c r="G6" s="35">
        <f>LEFT(C6,6)</f>
        <v/>
      </c>
    </row>
    <row r="7">
      <c r="A7" s="18" t="inlineStr">
        <is>
          <t>01-01-02</t>
        </is>
      </c>
      <c r="B7" s="20" t="inlineStr">
        <is>
          <t>IT戦略・ロードマップの策定</t>
        </is>
      </c>
      <c r="C7" s="18" t="inlineStr">
        <is>
          <t>C01-01-01</t>
        </is>
      </c>
      <c r="D7" s="31">
        <f>IFERROR(INDEX(ケイパビリティマップ!$E:$E,MATCH(C7,ケイパビリティマップ!$A:$A,0)),"（IDなし）")</f>
        <v/>
      </c>
      <c r="E7" s="23" t="inlineStr">
        <is>
          <t>主</t>
        </is>
      </c>
      <c r="F7" s="35">
        <f>LEFT(A7,5)</f>
        <v/>
      </c>
      <c r="G7" s="35">
        <f>LEFT(C7,6)</f>
        <v/>
      </c>
    </row>
    <row r="8">
      <c r="A8" s="18" t="inlineStr">
        <is>
          <t>01-01-02</t>
        </is>
      </c>
      <c r="B8" s="20" t="inlineStr">
        <is>
          <t>IT戦略・ロードマップの策定</t>
        </is>
      </c>
      <c r="C8" s="18" t="inlineStr">
        <is>
          <t>C01-01-02</t>
        </is>
      </c>
      <c r="D8" s="31">
        <f>IFERROR(INDEX(ケイパビリティマップ!$E:$E,MATCH(C8,ケイパビリティマップ!$A:$A,0)),"（IDなし）")</f>
        <v/>
      </c>
      <c r="E8" s="23" t="inlineStr">
        <is>
          <t>主</t>
        </is>
      </c>
      <c r="F8" s="35">
        <f>LEFT(A8,5)</f>
        <v/>
      </c>
      <c r="G8" s="35">
        <f>LEFT(C8,6)</f>
        <v/>
      </c>
    </row>
    <row r="9">
      <c r="A9" s="18" t="inlineStr">
        <is>
          <t>01-01-02</t>
        </is>
      </c>
      <c r="B9" s="20" t="inlineStr">
        <is>
          <t>IT戦略・ロードマップの策定</t>
        </is>
      </c>
      <c r="C9" s="18" t="inlineStr">
        <is>
          <t>C07-01-01</t>
        </is>
      </c>
      <c r="D9" s="31">
        <f>IFERROR(INDEX(ケイパビリティマップ!$E:$E,MATCH(C9,ケイパビリティマップ!$A:$A,0)),"（IDなし）")</f>
        <v/>
      </c>
      <c r="E9" s="23" t="inlineStr">
        <is>
          <t>支援</t>
        </is>
      </c>
      <c r="F9" s="35">
        <f>LEFT(A9,5)</f>
        <v/>
      </c>
      <c r="G9" s="35">
        <f>LEFT(C9,6)</f>
        <v/>
      </c>
    </row>
    <row r="10">
      <c r="A10" s="18" t="inlineStr">
        <is>
          <t>01-01-03</t>
        </is>
      </c>
      <c r="B10" s="20" t="inlineStr">
        <is>
          <t>現状・将来アーキテクチャの策定（業務・アプリケーション・データ・技術）</t>
        </is>
      </c>
      <c r="C10" s="18" t="inlineStr">
        <is>
          <t>C01-02-01</t>
        </is>
      </c>
      <c r="D10" s="31">
        <f>IFERROR(INDEX(ケイパビリティマップ!$E:$E,MATCH(C10,ケイパビリティマップ!$A:$A,0)),"（IDなし）")</f>
        <v/>
      </c>
      <c r="E10" s="23" t="inlineStr">
        <is>
          <t>主</t>
        </is>
      </c>
      <c r="F10" s="35">
        <f>LEFT(A10,5)</f>
        <v/>
      </c>
      <c r="G10" s="35">
        <f>LEFT(C10,6)</f>
        <v/>
      </c>
    </row>
    <row r="11">
      <c r="A11" s="18" t="inlineStr">
        <is>
          <t>01-01-03</t>
        </is>
      </c>
      <c r="B11" s="20" t="inlineStr">
        <is>
          <t>現状・将来アーキテクチャの策定（業務・アプリケーション・データ・技術）</t>
        </is>
      </c>
      <c r="C11" s="18" t="inlineStr">
        <is>
          <t>C01-02-03</t>
        </is>
      </c>
      <c r="D11" s="31">
        <f>IFERROR(INDEX(ケイパビリティマップ!$E:$E,MATCH(C11,ケイパビリティマップ!$A:$A,0)),"（IDなし）")</f>
        <v/>
      </c>
      <c r="E11" s="23" t="inlineStr">
        <is>
          <t>支援</t>
        </is>
      </c>
      <c r="F11" s="35">
        <f>LEFT(A11,5)</f>
        <v/>
      </c>
      <c r="G11" s="35">
        <f>LEFT(C11,6)</f>
        <v/>
      </c>
    </row>
    <row r="12">
      <c r="A12" s="18" t="inlineStr">
        <is>
          <t>01-01-03</t>
        </is>
      </c>
      <c r="B12" s="20" t="inlineStr">
        <is>
          <t>現状・将来アーキテクチャの策定（業務・アプリケーション・データ・技術）</t>
        </is>
      </c>
      <c r="C12" s="18" t="inlineStr">
        <is>
          <t>C06-03-02</t>
        </is>
      </c>
      <c r="D12" s="31">
        <f>IFERROR(INDEX(ケイパビリティマップ!$E:$E,MATCH(C12,ケイパビリティマップ!$A:$A,0)),"（IDなし）")</f>
        <v/>
      </c>
      <c r="E12" s="23" t="inlineStr">
        <is>
          <t>支援</t>
        </is>
      </c>
      <c r="F12" s="35">
        <f>LEFT(A12,5)</f>
        <v/>
      </c>
      <c r="G12" s="35">
        <f>LEFT(C12,6)</f>
        <v/>
      </c>
    </row>
    <row r="13">
      <c r="A13" s="18" t="inlineStr">
        <is>
          <t>01-01-04</t>
        </is>
      </c>
      <c r="B13" s="20" t="inlineStr">
        <is>
          <t>技術標準の策定（クラウド・セキュリティ・連携の標準）</t>
        </is>
      </c>
      <c r="C13" s="18" t="inlineStr">
        <is>
          <t>C01-02-02</t>
        </is>
      </c>
      <c r="D13" s="31">
        <f>IFERROR(INDEX(ケイパビリティマップ!$E:$E,MATCH(C13,ケイパビリティマップ!$A:$A,0)),"（IDなし）")</f>
        <v/>
      </c>
      <c r="E13" s="23" t="inlineStr">
        <is>
          <t>主</t>
        </is>
      </c>
      <c r="F13" s="35">
        <f>LEFT(A13,5)</f>
        <v/>
      </c>
      <c r="G13" s="35">
        <f>LEFT(C13,6)</f>
        <v/>
      </c>
    </row>
    <row r="14">
      <c r="A14" s="18" t="inlineStr">
        <is>
          <t>01-01-04</t>
        </is>
      </c>
      <c r="B14" s="20" t="inlineStr">
        <is>
          <t>技術標準の策定（クラウド・セキュリティ・連携の標準）</t>
        </is>
      </c>
      <c r="C14" s="18" t="inlineStr">
        <is>
          <t>C05-01-01</t>
        </is>
      </c>
      <c r="D14" s="31">
        <f>IFERROR(INDEX(ケイパビリティマップ!$E:$E,MATCH(C14,ケイパビリティマップ!$A:$A,0)),"（IDなし）")</f>
        <v/>
      </c>
      <c r="E14" s="23" t="inlineStr">
        <is>
          <t>支援</t>
        </is>
      </c>
      <c r="F14" s="35">
        <f>LEFT(A14,5)</f>
        <v/>
      </c>
      <c r="G14" s="35">
        <f>LEFT(C14,6)</f>
        <v/>
      </c>
    </row>
    <row r="15">
      <c r="A15" s="18" t="inlineStr">
        <is>
          <t>01-01-05</t>
        </is>
      </c>
      <c r="B15" s="20" t="inlineStr">
        <is>
          <t>★IT規程・標準手順書の制定（CSV・IT全般統制・セキュリティ）</t>
        </is>
      </c>
      <c r="C15" s="18" t="inlineStr">
        <is>
          <t>C01-04-01</t>
        </is>
      </c>
      <c r="D15" s="31">
        <f>IFERROR(INDEX(ケイパビリティマップ!$E:$E,MATCH(C15,ケイパビリティマップ!$A:$A,0)),"（IDなし）")</f>
        <v/>
      </c>
      <c r="E15" s="23" t="inlineStr">
        <is>
          <t>主</t>
        </is>
      </c>
      <c r="F15" s="35">
        <f>LEFT(A15,5)</f>
        <v/>
      </c>
      <c r="G15" s="35">
        <f>LEFT(C15,6)</f>
        <v/>
      </c>
    </row>
    <row r="16">
      <c r="A16" s="18" t="inlineStr">
        <is>
          <t>01-01-05</t>
        </is>
      </c>
      <c r="B16" s="20" t="inlineStr">
        <is>
          <t>★IT規程・標準手順書の制定（CSV・IT全般統制・セキュリティ）</t>
        </is>
      </c>
      <c r="C16" s="18" t="inlineStr">
        <is>
          <t>C01-04-03</t>
        </is>
      </c>
      <c r="D16" s="31">
        <f>IFERROR(INDEX(ケイパビリティマップ!$E:$E,MATCH(C16,ケイパビリティマップ!$A:$A,0)),"（IDなし）")</f>
        <v/>
      </c>
      <c r="E16" s="23" t="inlineStr">
        <is>
          <t>支援</t>
        </is>
      </c>
      <c r="F16" s="35">
        <f>LEFT(A16,5)</f>
        <v/>
      </c>
      <c r="G16" s="35">
        <f>LEFT(C16,6)</f>
        <v/>
      </c>
    </row>
    <row r="17">
      <c r="A17" s="18" t="inlineStr">
        <is>
          <t>01-01-05</t>
        </is>
      </c>
      <c r="B17" s="20" t="inlineStr">
        <is>
          <t>★IT規程・標準手順書の制定（CSV・IT全般統制・セキュリティ）</t>
        </is>
      </c>
      <c r="C17" s="18" t="inlineStr">
        <is>
          <t>C07-03-01</t>
        </is>
      </c>
      <c r="D17" s="31">
        <f>IFERROR(INDEX(ケイパビリティマップ!$E:$E,MATCH(C17,ケイパビリティマップ!$A:$A,0)),"（IDなし）")</f>
        <v/>
      </c>
      <c r="E17" s="23" t="inlineStr">
        <is>
          <t>支援</t>
        </is>
      </c>
      <c r="F17" s="35">
        <f>LEFT(A17,5)</f>
        <v/>
      </c>
      <c r="G17" s="35">
        <f>LEFT(C17,6)</f>
        <v/>
      </c>
    </row>
    <row r="18">
      <c r="A18" s="18" t="inlineStr">
        <is>
          <t>01-02-01</t>
        </is>
      </c>
      <c r="B18" s="20" t="inlineStr">
        <is>
          <t>事業部門の需要（IT投資要求）の受付</t>
        </is>
      </c>
      <c r="C18" s="18" t="inlineStr">
        <is>
          <t>C01-03-01</t>
        </is>
      </c>
      <c r="D18" s="31">
        <f>IFERROR(INDEX(ケイパビリティマップ!$E:$E,MATCH(C18,ケイパビリティマップ!$A:$A,0)),"（IDなし）")</f>
        <v/>
      </c>
      <c r="E18" s="23" t="inlineStr">
        <is>
          <t>主</t>
        </is>
      </c>
      <c r="F18" s="35">
        <f>LEFT(A18,5)</f>
        <v/>
      </c>
      <c r="G18" s="35">
        <f>LEFT(C18,6)</f>
        <v/>
      </c>
    </row>
    <row r="19">
      <c r="A19" s="18" t="inlineStr">
        <is>
          <t>01-02-01</t>
        </is>
      </c>
      <c r="B19" s="20" t="inlineStr">
        <is>
          <t>事業部門の需要（IT投資要求）の受付</t>
        </is>
      </c>
      <c r="C19" s="18" t="inlineStr">
        <is>
          <t>C01-01-02</t>
        </is>
      </c>
      <c r="D19" s="31">
        <f>IFERROR(INDEX(ケイパビリティマップ!$E:$E,MATCH(C19,ケイパビリティマップ!$A:$A,0)),"（IDなし）")</f>
        <v/>
      </c>
      <c r="E19" s="23" t="inlineStr">
        <is>
          <t>支援</t>
        </is>
      </c>
      <c r="F19" s="35">
        <f>LEFT(A19,5)</f>
        <v/>
      </c>
      <c r="G19" s="35">
        <f>LEFT(C19,6)</f>
        <v/>
      </c>
    </row>
    <row r="20">
      <c r="A20" s="18" t="inlineStr">
        <is>
          <t>01-02-02</t>
        </is>
      </c>
      <c r="B20" s="20" t="inlineStr">
        <is>
          <t>構想・概算見積・ビジネスケースの作成</t>
        </is>
      </c>
      <c r="C20" s="18" t="inlineStr">
        <is>
          <t>C01-03-01</t>
        </is>
      </c>
      <c r="D20" s="31">
        <f>IFERROR(INDEX(ケイパビリティマップ!$E:$E,MATCH(C20,ケイパビリティマップ!$A:$A,0)),"（IDなし）")</f>
        <v/>
      </c>
      <c r="E20" s="23" t="inlineStr">
        <is>
          <t>主</t>
        </is>
      </c>
      <c r="F20" s="35">
        <f>LEFT(A20,5)</f>
        <v/>
      </c>
      <c r="G20" s="35">
        <f>LEFT(C20,6)</f>
        <v/>
      </c>
    </row>
    <row r="21">
      <c r="A21" s="18" t="inlineStr">
        <is>
          <t>01-02-02</t>
        </is>
      </c>
      <c r="B21" s="20" t="inlineStr">
        <is>
          <t>構想・概算見積・ビジネスケースの作成</t>
        </is>
      </c>
      <c r="C21" s="18" t="inlineStr">
        <is>
          <t>C01-02-02</t>
        </is>
      </c>
      <c r="D21" s="31">
        <f>IFERROR(INDEX(ケイパビリティマップ!$E:$E,MATCH(C21,ケイパビリティマップ!$A:$A,0)),"（IDなし）")</f>
        <v/>
      </c>
      <c r="E21" s="23" t="inlineStr">
        <is>
          <t>支援</t>
        </is>
      </c>
      <c r="F21" s="35">
        <f>LEFT(A21,5)</f>
        <v/>
      </c>
      <c r="G21" s="35">
        <f>LEFT(C21,6)</f>
        <v/>
      </c>
    </row>
    <row r="22">
      <c r="A22" s="18" t="inlineStr">
        <is>
          <t>01-02-02</t>
        </is>
      </c>
      <c r="B22" s="20" t="inlineStr">
        <is>
          <t>構想・概算見積・ビジネスケースの作成</t>
        </is>
      </c>
      <c r="C22" s="18" t="inlineStr">
        <is>
          <t>C01-05-01</t>
        </is>
      </c>
      <c r="D22" s="31">
        <f>IFERROR(INDEX(ケイパビリティマップ!$E:$E,MATCH(C22,ケイパビリティマップ!$A:$A,0)),"（IDなし）")</f>
        <v/>
      </c>
      <c r="E22" s="23" t="inlineStr">
        <is>
          <t>支援</t>
        </is>
      </c>
      <c r="F22" s="35">
        <f>LEFT(A22,5)</f>
        <v/>
      </c>
      <c r="G22" s="35">
        <f>LEFT(C22,6)</f>
        <v/>
      </c>
    </row>
    <row r="23">
      <c r="A23" s="18" t="inlineStr">
        <is>
          <t>01-02-03</t>
        </is>
      </c>
      <c r="B23" s="20" t="inlineStr">
        <is>
          <t>★GxP該当性の初期判定（システム分類）</t>
        </is>
      </c>
      <c r="C23" s="18" t="inlineStr">
        <is>
          <t>C06-01-01</t>
        </is>
      </c>
      <c r="D23" s="31">
        <f>IFERROR(INDEX(ケイパビリティマップ!$E:$E,MATCH(C23,ケイパビリティマップ!$A:$A,0)),"（IDなし）")</f>
        <v/>
      </c>
      <c r="E23" s="23" t="inlineStr">
        <is>
          <t>主</t>
        </is>
      </c>
      <c r="F23" s="35">
        <f>LEFT(A23,5)</f>
        <v/>
      </c>
      <c r="G23" s="35">
        <f>LEFT(C23,6)</f>
        <v/>
      </c>
    </row>
    <row r="24">
      <c r="A24" s="18" t="inlineStr">
        <is>
          <t>01-02-03</t>
        </is>
      </c>
      <c r="B24" s="20" t="inlineStr">
        <is>
          <t>★GxP該当性の初期判定（システム分類）</t>
        </is>
      </c>
      <c r="C24" s="18" t="inlineStr">
        <is>
          <t>C01-03-01</t>
        </is>
      </c>
      <c r="D24" s="31">
        <f>IFERROR(INDEX(ケイパビリティマップ!$E:$E,MATCH(C24,ケイパビリティマップ!$A:$A,0)),"（IDなし）")</f>
        <v/>
      </c>
      <c r="E24" s="23" t="inlineStr">
        <is>
          <t>支援</t>
        </is>
      </c>
      <c r="F24" s="35">
        <f>LEFT(A24,5)</f>
        <v/>
      </c>
      <c r="G24" s="35">
        <f>LEFT(C24,6)</f>
        <v/>
      </c>
    </row>
    <row r="25">
      <c r="A25" s="18" t="inlineStr">
        <is>
          <t>01-02-04</t>
        </is>
      </c>
      <c r="B25" s="20" t="inlineStr">
        <is>
          <t>★ソーシング方針の判断（内製・外部委託・SaaS）</t>
        </is>
      </c>
      <c r="C25" s="18" t="inlineStr">
        <is>
          <t>C07-01-01</t>
        </is>
      </c>
      <c r="D25" s="31">
        <f>IFERROR(INDEX(ケイパビリティマップ!$E:$E,MATCH(C25,ケイパビリティマップ!$A:$A,0)),"（IDなし）")</f>
        <v/>
      </c>
      <c r="E25" s="23" t="inlineStr">
        <is>
          <t>主</t>
        </is>
      </c>
      <c r="F25" s="35">
        <f>LEFT(A25,5)</f>
        <v/>
      </c>
      <c r="G25" s="35">
        <f>LEFT(C25,6)</f>
        <v/>
      </c>
    </row>
    <row r="26">
      <c r="A26" s="18" t="inlineStr">
        <is>
          <t>01-02-04</t>
        </is>
      </c>
      <c r="B26" s="20" t="inlineStr">
        <is>
          <t>★ソーシング方針の判断（内製・外部委託・SaaS）</t>
        </is>
      </c>
      <c r="C26" s="18" t="inlineStr">
        <is>
          <t>C07-02-01</t>
        </is>
      </c>
      <c r="D26" s="31">
        <f>IFERROR(INDEX(ケイパビリティマップ!$E:$E,MATCH(C26,ケイパビリティマップ!$A:$A,0)),"（IDなし）")</f>
        <v/>
      </c>
      <c r="E26" s="23" t="inlineStr">
        <is>
          <t>支援</t>
        </is>
      </c>
      <c r="F26" s="35">
        <f>LEFT(A26,5)</f>
        <v/>
      </c>
      <c r="G26" s="35">
        <f>LEFT(C26,6)</f>
        <v/>
      </c>
    </row>
    <row r="27">
      <c r="A27" s="18" t="inlineStr">
        <is>
          <t>01-02-04</t>
        </is>
      </c>
      <c r="B27" s="20" t="inlineStr">
        <is>
          <t>★ソーシング方針の判断（内製・外部委託・SaaS）</t>
        </is>
      </c>
      <c r="C27" s="18" t="inlineStr">
        <is>
          <t>C01-03-01</t>
        </is>
      </c>
      <c r="D27" s="31">
        <f>IFERROR(INDEX(ケイパビリティマップ!$E:$E,MATCH(C27,ケイパビリティマップ!$A:$A,0)),"（IDなし）")</f>
        <v/>
      </c>
      <c r="E27" s="23" t="inlineStr">
        <is>
          <t>支援</t>
        </is>
      </c>
      <c r="F27" s="35">
        <f>LEFT(A27,5)</f>
        <v/>
      </c>
      <c r="G27" s="35">
        <f>LEFT(C27,6)</f>
        <v/>
      </c>
    </row>
    <row r="28">
      <c r="A28" s="18" t="inlineStr">
        <is>
          <t>01-03-01</t>
        </is>
      </c>
      <c r="B28" s="20" t="inlineStr">
        <is>
          <t>投資案件の評価・優先順位付け</t>
        </is>
      </c>
      <c r="C28" s="18" t="inlineStr">
        <is>
          <t>C01-03-02</t>
        </is>
      </c>
      <c r="D28" s="31">
        <f>IFERROR(INDEX(ケイパビリティマップ!$E:$E,MATCH(C28,ケイパビリティマップ!$A:$A,0)),"（IDなし）")</f>
        <v/>
      </c>
      <c r="E28" s="23" t="inlineStr">
        <is>
          <t>主</t>
        </is>
      </c>
      <c r="F28" s="35">
        <f>LEFT(A28,5)</f>
        <v/>
      </c>
      <c r="G28" s="35">
        <f>LEFT(C28,6)</f>
        <v/>
      </c>
    </row>
    <row r="29">
      <c r="A29" s="18" t="inlineStr">
        <is>
          <t>01-03-01</t>
        </is>
      </c>
      <c r="B29" s="20" t="inlineStr">
        <is>
          <t>投資案件の評価・優先順位付け</t>
        </is>
      </c>
      <c r="C29" s="18" t="inlineStr">
        <is>
          <t>C01-04-02</t>
        </is>
      </c>
      <c r="D29" s="31">
        <f>IFERROR(INDEX(ケイパビリティマップ!$E:$E,MATCH(C29,ケイパビリティマップ!$A:$A,0)),"（IDなし）")</f>
        <v/>
      </c>
      <c r="E29" s="23" t="inlineStr">
        <is>
          <t>支援</t>
        </is>
      </c>
      <c r="F29" s="35">
        <f>LEFT(A29,5)</f>
        <v/>
      </c>
      <c r="G29" s="35">
        <f>LEFT(C29,6)</f>
        <v/>
      </c>
    </row>
    <row r="30">
      <c r="A30" s="18" t="inlineStr">
        <is>
          <t>01-03-02</t>
        </is>
      </c>
      <c r="B30" s="20" t="inlineStr">
        <is>
          <t>IT予算の配分・承認</t>
        </is>
      </c>
      <c r="C30" s="18" t="inlineStr">
        <is>
          <t>C01-05-01</t>
        </is>
      </c>
      <c r="D30" s="31">
        <f>IFERROR(INDEX(ケイパビリティマップ!$E:$E,MATCH(C30,ケイパビリティマップ!$A:$A,0)),"（IDなし）")</f>
        <v/>
      </c>
      <c r="E30" s="23" t="inlineStr">
        <is>
          <t>主</t>
        </is>
      </c>
      <c r="F30" s="35">
        <f>LEFT(A30,5)</f>
        <v/>
      </c>
      <c r="G30" s="35">
        <f>LEFT(C30,6)</f>
        <v/>
      </c>
    </row>
    <row r="31">
      <c r="A31" s="18" t="inlineStr">
        <is>
          <t>01-03-02</t>
        </is>
      </c>
      <c r="B31" s="20" t="inlineStr">
        <is>
          <t>IT予算の配分・承認</t>
        </is>
      </c>
      <c r="C31" s="18" t="inlineStr">
        <is>
          <t>C01-03-02</t>
        </is>
      </c>
      <c r="D31" s="31">
        <f>IFERROR(INDEX(ケイパビリティマップ!$E:$E,MATCH(C31,ケイパビリティマップ!$A:$A,0)),"（IDなし）")</f>
        <v/>
      </c>
      <c r="E31" s="23" t="inlineStr">
        <is>
          <t>支援</t>
        </is>
      </c>
      <c r="F31" s="35">
        <f>LEFT(A31,5)</f>
        <v/>
      </c>
      <c r="G31" s="35">
        <f>LEFT(C31,6)</f>
        <v/>
      </c>
    </row>
    <row r="32">
      <c r="A32" s="18" t="inlineStr">
        <is>
          <t>01-03-03</t>
        </is>
      </c>
      <c r="B32" s="20" t="inlineStr">
        <is>
          <t>ポートフォリオの見直し（継続・統合・廃止）</t>
        </is>
      </c>
      <c r="C32" s="18" t="inlineStr">
        <is>
          <t>C01-03-03</t>
        </is>
      </c>
      <c r="D32" s="31">
        <f>IFERROR(INDEX(ケイパビリティマップ!$E:$E,MATCH(C32,ケイパビリティマップ!$A:$A,0)),"（IDなし）")</f>
        <v/>
      </c>
      <c r="E32" s="23" t="inlineStr">
        <is>
          <t>主</t>
        </is>
      </c>
      <c r="F32" s="35">
        <f>LEFT(A32,5)</f>
        <v/>
      </c>
      <c r="G32" s="35">
        <f>LEFT(C32,6)</f>
        <v/>
      </c>
    </row>
    <row r="33">
      <c r="A33" s="18" t="inlineStr">
        <is>
          <t>01-03-03</t>
        </is>
      </c>
      <c r="B33" s="20" t="inlineStr">
        <is>
          <t>ポートフォリオの見直し（継続・統合・廃止）</t>
        </is>
      </c>
      <c r="C33" s="18" t="inlineStr">
        <is>
          <t>C01-02-03</t>
        </is>
      </c>
      <c r="D33" s="31">
        <f>IFERROR(INDEX(ケイパビリティマップ!$E:$E,MATCH(C33,ケイパビリティマップ!$A:$A,0)),"（IDなし）")</f>
        <v/>
      </c>
      <c r="E33" s="23" t="inlineStr">
        <is>
          <t>主</t>
        </is>
      </c>
      <c r="F33" s="35">
        <f>LEFT(A33,5)</f>
        <v/>
      </c>
      <c r="G33" s="35">
        <f>LEFT(C33,6)</f>
        <v/>
      </c>
    </row>
    <row r="34">
      <c r="A34" s="18" t="inlineStr">
        <is>
          <t>01-03-03</t>
        </is>
      </c>
      <c r="B34" s="20" t="inlineStr">
        <is>
          <t>ポートフォリオの見直し（継続・統合・廃止）</t>
        </is>
      </c>
      <c r="C34" s="18" t="inlineStr">
        <is>
          <t>C01-05-02</t>
        </is>
      </c>
      <c r="D34" s="31">
        <f>IFERROR(INDEX(ケイパビリティマップ!$E:$E,MATCH(C34,ケイパビリティマップ!$A:$A,0)),"（IDなし）")</f>
        <v/>
      </c>
      <c r="E34" s="23" t="inlineStr">
        <is>
          <t>支援</t>
        </is>
      </c>
      <c r="F34" s="35">
        <f>LEFT(A34,5)</f>
        <v/>
      </c>
      <c r="G34" s="35">
        <f>LEFT(C34,6)</f>
        <v/>
      </c>
    </row>
    <row r="35">
      <c r="A35" s="18" t="inlineStr">
        <is>
          <t>02-01-01</t>
        </is>
      </c>
      <c r="B35" s="20" t="inlineStr">
        <is>
          <t>プロジェクト計画・体制の決定（内製と委託の役割分担）</t>
        </is>
      </c>
      <c r="C35" s="18" t="inlineStr">
        <is>
          <t>C02-01-01</t>
        </is>
      </c>
      <c r="D35" s="31">
        <f>IFERROR(INDEX(ケイパビリティマップ!$E:$E,MATCH(C35,ケイパビリティマップ!$A:$A,0)),"（IDなし）")</f>
        <v/>
      </c>
      <c r="E35" s="23" t="inlineStr">
        <is>
          <t>主</t>
        </is>
      </c>
      <c r="F35" s="35">
        <f>LEFT(A35,5)</f>
        <v/>
      </c>
      <c r="G35" s="35">
        <f>LEFT(C35,6)</f>
        <v/>
      </c>
    </row>
    <row r="36">
      <c r="A36" s="18" t="inlineStr">
        <is>
          <t>02-01-01</t>
        </is>
      </c>
      <c r="B36" s="20" t="inlineStr">
        <is>
          <t>プロジェクト計画・体制の決定（内製と委託の役割分担）</t>
        </is>
      </c>
      <c r="C36" s="18" t="inlineStr">
        <is>
          <t>C07-02-02</t>
        </is>
      </c>
      <c r="D36" s="31">
        <f>IFERROR(INDEX(ケイパビリティマップ!$E:$E,MATCH(C36,ケイパビリティマップ!$A:$A,0)),"（IDなし）")</f>
        <v/>
      </c>
      <c r="E36" s="23" t="inlineStr">
        <is>
          <t>支援</t>
        </is>
      </c>
      <c r="F36" s="35">
        <f>LEFT(A36,5)</f>
        <v/>
      </c>
      <c r="G36" s="35">
        <f>LEFT(C36,6)</f>
        <v/>
      </c>
    </row>
    <row r="37">
      <c r="A37" s="18" t="inlineStr">
        <is>
          <t>02-01-02</t>
        </is>
      </c>
      <c r="B37" s="20" t="inlineStr">
        <is>
          <t>★委託先の選定と契約（請負・準委任の区別、発注内容の明示）</t>
        </is>
      </c>
      <c r="C37" s="18" t="inlineStr">
        <is>
          <t>C07-01-02</t>
        </is>
      </c>
      <c r="D37" s="31">
        <f>IFERROR(INDEX(ケイパビリティマップ!$E:$E,MATCH(C37,ケイパビリティマップ!$A:$A,0)),"（IDなし）")</f>
        <v/>
      </c>
      <c r="E37" s="23" t="inlineStr">
        <is>
          <t>主</t>
        </is>
      </c>
      <c r="F37" s="35">
        <f>LEFT(A37,5)</f>
        <v/>
      </c>
      <c r="G37" s="35">
        <f>LEFT(C37,6)</f>
        <v/>
      </c>
    </row>
    <row r="38">
      <c r="A38" s="18" t="inlineStr">
        <is>
          <t>02-01-02</t>
        </is>
      </c>
      <c r="B38" s="20" t="inlineStr">
        <is>
          <t>★委託先の選定と契約（請負・準委任の区別、発注内容の明示）</t>
        </is>
      </c>
      <c r="C38" s="18" t="inlineStr">
        <is>
          <t>C02-01-02</t>
        </is>
      </c>
      <c r="D38" s="31">
        <f>IFERROR(INDEX(ケイパビリティマップ!$E:$E,MATCH(C38,ケイパビリティマップ!$A:$A,0)),"（IDなし）")</f>
        <v/>
      </c>
      <c r="E38" s="23" t="inlineStr">
        <is>
          <t>支援</t>
        </is>
      </c>
      <c r="F38" s="35">
        <f>LEFT(A38,5)</f>
        <v/>
      </c>
      <c r="G38" s="35">
        <f>LEFT(C38,6)</f>
        <v/>
      </c>
    </row>
    <row r="39">
      <c r="A39" s="18" t="inlineStr">
        <is>
          <t>02-01-02</t>
        </is>
      </c>
      <c r="B39" s="20" t="inlineStr">
        <is>
          <t>★委託先の選定と契約（請負・準委任の区別、発注内容の明示）</t>
        </is>
      </c>
      <c r="C39" s="18" t="inlineStr">
        <is>
          <t>C05-01-01</t>
        </is>
      </c>
      <c r="D39" s="31">
        <f>IFERROR(INDEX(ケイパビリティマップ!$E:$E,MATCH(C39,ケイパビリティマップ!$A:$A,0)),"（IDなし）")</f>
        <v/>
      </c>
      <c r="E39" s="23" t="inlineStr">
        <is>
          <t>支援</t>
        </is>
      </c>
      <c r="F39" s="35">
        <f>LEFT(A39,5)</f>
        <v/>
      </c>
      <c r="G39" s="35">
        <f>LEFT(C39,6)</f>
        <v/>
      </c>
    </row>
    <row r="40">
      <c r="A40" s="18" t="inlineStr">
        <is>
          <t>02-01-03</t>
        </is>
      </c>
      <c r="B40" s="20" t="inlineStr">
        <is>
          <t>★リスクアセスメントとバリデーション計画（GxP・データインテグリティ）</t>
        </is>
      </c>
      <c r="C40" s="18" t="inlineStr">
        <is>
          <t>C06-01-02</t>
        </is>
      </c>
      <c r="D40" s="31">
        <f>IFERROR(INDEX(ケイパビリティマップ!$E:$E,MATCH(C40,ケイパビリティマップ!$A:$A,0)),"（IDなし）")</f>
        <v/>
      </c>
      <c r="E40" s="23" t="inlineStr">
        <is>
          <t>主</t>
        </is>
      </c>
      <c r="F40" s="35">
        <f>LEFT(A40,5)</f>
        <v/>
      </c>
      <c r="G40" s="35">
        <f>LEFT(C40,6)</f>
        <v/>
      </c>
    </row>
    <row r="41">
      <c r="A41" s="18" t="inlineStr">
        <is>
          <t>02-01-03</t>
        </is>
      </c>
      <c r="B41" s="20" t="inlineStr">
        <is>
          <t>★リスクアセスメントとバリデーション計画（GxP・データインテグリティ）</t>
        </is>
      </c>
      <c r="C41" s="18" t="inlineStr">
        <is>
          <t>C06-02-01</t>
        </is>
      </c>
      <c r="D41" s="31">
        <f>IFERROR(INDEX(ケイパビリティマップ!$E:$E,MATCH(C41,ケイパビリティマップ!$A:$A,0)),"（IDなし）")</f>
        <v/>
      </c>
      <c r="E41" s="23" t="inlineStr">
        <is>
          <t>支援</t>
        </is>
      </c>
      <c r="F41" s="35">
        <f>LEFT(A41,5)</f>
        <v/>
      </c>
      <c r="G41" s="35">
        <f>LEFT(C41,6)</f>
        <v/>
      </c>
    </row>
    <row r="42">
      <c r="A42" s="18" t="inlineStr">
        <is>
          <t>02-02-01</t>
        </is>
      </c>
      <c r="B42" s="20" t="inlineStr">
        <is>
          <t>ユーザー要求仕様（URS）の作成</t>
        </is>
      </c>
      <c r="C42" s="18" t="inlineStr">
        <is>
          <t>C02-02-01</t>
        </is>
      </c>
      <c r="D42" s="31">
        <f>IFERROR(INDEX(ケイパビリティマップ!$E:$E,MATCH(C42,ケイパビリティマップ!$A:$A,0)),"（IDなし）")</f>
        <v/>
      </c>
      <c r="E42" s="23" t="inlineStr">
        <is>
          <t>主</t>
        </is>
      </c>
      <c r="F42" s="35">
        <f>LEFT(A42,5)</f>
        <v/>
      </c>
      <c r="G42" s="35">
        <f>LEFT(C42,6)</f>
        <v/>
      </c>
    </row>
    <row r="43">
      <c r="A43" s="18" t="inlineStr">
        <is>
          <t>02-02-02</t>
        </is>
      </c>
      <c r="B43" s="20" t="inlineStr">
        <is>
          <t>機能仕様・設計仕様の作成</t>
        </is>
      </c>
      <c r="C43" s="18" t="inlineStr">
        <is>
          <t>C02-02-02</t>
        </is>
      </c>
      <c r="D43" s="31">
        <f>IFERROR(INDEX(ケイパビリティマップ!$E:$E,MATCH(C43,ケイパビリティマップ!$A:$A,0)),"（IDなし）")</f>
        <v/>
      </c>
      <c r="E43" s="23" t="inlineStr">
        <is>
          <t>主</t>
        </is>
      </c>
      <c r="F43" s="35">
        <f>LEFT(A43,5)</f>
        <v/>
      </c>
      <c r="G43" s="35">
        <f>LEFT(C43,6)</f>
        <v/>
      </c>
    </row>
    <row r="44">
      <c r="A44" s="18" t="inlineStr">
        <is>
          <t>02-02-02</t>
        </is>
      </c>
      <c r="B44" s="20" t="inlineStr">
        <is>
          <t>機能仕様・設計仕様の作成</t>
        </is>
      </c>
      <c r="C44" s="18" t="inlineStr">
        <is>
          <t>C01-02-02</t>
        </is>
      </c>
      <c r="D44" s="31">
        <f>IFERROR(INDEX(ケイパビリティマップ!$E:$E,MATCH(C44,ケイパビリティマップ!$A:$A,0)),"（IDなし）")</f>
        <v/>
      </c>
      <c r="E44" s="23" t="inlineStr">
        <is>
          <t>支援</t>
        </is>
      </c>
      <c r="F44" s="35">
        <f>LEFT(A44,5)</f>
        <v/>
      </c>
      <c r="G44" s="35">
        <f>LEFT(C44,6)</f>
        <v/>
      </c>
    </row>
    <row r="45">
      <c r="A45" s="18" t="inlineStr">
        <is>
          <t>02-02-02</t>
        </is>
      </c>
      <c r="B45" s="20" t="inlineStr">
        <is>
          <t>機能仕様・設計仕様の作成</t>
        </is>
      </c>
      <c r="C45" s="18" t="inlineStr">
        <is>
          <t>C06-03-02</t>
        </is>
      </c>
      <c r="D45" s="31">
        <f>IFERROR(INDEX(ケイパビリティマップ!$E:$E,MATCH(C45,ケイパビリティマップ!$A:$A,0)),"（IDなし）")</f>
        <v/>
      </c>
      <c r="E45" s="23" t="inlineStr">
        <is>
          <t>支援</t>
        </is>
      </c>
      <c r="F45" s="35">
        <f>LEFT(A45,5)</f>
        <v/>
      </c>
      <c r="G45" s="35">
        <f>LEFT(C45,6)</f>
        <v/>
      </c>
    </row>
    <row r="46">
      <c r="A46" s="18" t="inlineStr">
        <is>
          <t>02-02-03</t>
        </is>
      </c>
      <c r="B46" s="20" t="inlineStr">
        <is>
          <t>★セキュリティ・データインテグリティ要件の設計（アクセス制御・監査証跡・電子署名・個人情報）</t>
        </is>
      </c>
      <c r="C46" s="18" t="inlineStr">
        <is>
          <t>C06-02-02</t>
        </is>
      </c>
      <c r="D46" s="31">
        <f>IFERROR(INDEX(ケイパビリティマップ!$E:$E,MATCH(C46,ケイパビリティマップ!$A:$A,0)),"（IDなし）")</f>
        <v/>
      </c>
      <c r="E46" s="23" t="inlineStr">
        <is>
          <t>主</t>
        </is>
      </c>
      <c r="F46" s="35">
        <f>LEFT(A46,5)</f>
        <v/>
      </c>
      <c r="G46" s="35">
        <f>LEFT(C46,6)</f>
        <v/>
      </c>
    </row>
    <row r="47">
      <c r="A47" s="18" t="inlineStr">
        <is>
          <t>02-02-03</t>
        </is>
      </c>
      <c r="B47" s="20" t="inlineStr">
        <is>
          <t>★セキュリティ・データインテグリティ要件の設計（アクセス制御・監査証跡・電子署名・個人情報）</t>
        </is>
      </c>
      <c r="C47" s="18" t="inlineStr">
        <is>
          <t>C05-01-01</t>
        </is>
      </c>
      <c r="D47" s="31">
        <f>IFERROR(INDEX(ケイパビリティマップ!$E:$E,MATCH(C47,ケイパビリティマップ!$A:$A,0)),"（IDなし）")</f>
        <v/>
      </c>
      <c r="E47" s="23" t="inlineStr">
        <is>
          <t>支援</t>
        </is>
      </c>
      <c r="F47" s="35">
        <f>LEFT(A47,5)</f>
        <v/>
      </c>
      <c r="G47" s="35">
        <f>LEFT(C47,6)</f>
        <v/>
      </c>
    </row>
    <row r="48">
      <c r="A48" s="18" t="inlineStr">
        <is>
          <t>02-02-03</t>
        </is>
      </c>
      <c r="B48" s="20" t="inlineStr">
        <is>
          <t>★セキュリティ・データインテグリティ要件の設計（アクセス制御・監査証跡・電子署名・個人情報）</t>
        </is>
      </c>
      <c r="C48" s="18" t="inlineStr">
        <is>
          <t>C06-04-01</t>
        </is>
      </c>
      <c r="D48" s="31">
        <f>IFERROR(INDEX(ケイパビリティマップ!$E:$E,MATCH(C48,ケイパビリティマップ!$A:$A,0)),"（IDなし）")</f>
        <v/>
      </c>
      <c r="E48" s="23" t="inlineStr">
        <is>
          <t>支援</t>
        </is>
      </c>
      <c r="F48" s="35">
        <f>LEFT(A48,5)</f>
        <v/>
      </c>
      <c r="G48" s="35">
        <f>LEFT(C48,6)</f>
        <v/>
      </c>
    </row>
    <row r="49">
      <c r="A49" s="18" t="inlineStr">
        <is>
          <t>02-03-01</t>
        </is>
      </c>
      <c r="B49" s="20" t="inlineStr">
        <is>
          <t>アプリケーション開発・パッケージ／SaaSの設定</t>
        </is>
      </c>
      <c r="C49" s="18" t="inlineStr">
        <is>
          <t>C02-03-01</t>
        </is>
      </c>
      <c r="D49" s="31">
        <f>IFERROR(INDEX(ケイパビリティマップ!$E:$E,MATCH(C49,ケイパビリティマップ!$A:$A,0)),"（IDなし）")</f>
        <v/>
      </c>
      <c r="E49" s="23" t="inlineStr">
        <is>
          <t>主</t>
        </is>
      </c>
      <c r="F49" s="35">
        <f>LEFT(A49,5)</f>
        <v/>
      </c>
      <c r="G49" s="35">
        <f>LEFT(C49,6)</f>
        <v/>
      </c>
    </row>
    <row r="50">
      <c r="A50" s="18" t="inlineStr">
        <is>
          <t>02-03-01</t>
        </is>
      </c>
      <c r="B50" s="20" t="inlineStr">
        <is>
          <t>アプリケーション開発・パッケージ／SaaSの設定</t>
        </is>
      </c>
      <c r="C50" s="18" t="inlineStr">
        <is>
          <t>C02-03-02</t>
        </is>
      </c>
      <c r="D50" s="31">
        <f>IFERROR(INDEX(ケイパビリティマップ!$E:$E,MATCH(C50,ケイパビリティマップ!$A:$A,0)),"（IDなし）")</f>
        <v/>
      </c>
      <c r="E50" s="23" t="inlineStr">
        <is>
          <t>主</t>
        </is>
      </c>
      <c r="F50" s="35">
        <f>LEFT(A50,5)</f>
        <v/>
      </c>
      <c r="G50" s="35">
        <f>LEFT(C50,6)</f>
        <v/>
      </c>
    </row>
    <row r="51">
      <c r="A51" s="18" t="inlineStr">
        <is>
          <t>02-03-01</t>
        </is>
      </c>
      <c r="B51" s="20" t="inlineStr">
        <is>
          <t>アプリケーション開発・パッケージ／SaaSの設定</t>
        </is>
      </c>
      <c r="C51" s="18" t="inlineStr">
        <is>
          <t>C02-01-02</t>
        </is>
      </c>
      <c r="D51" s="31">
        <f>IFERROR(INDEX(ケイパビリティマップ!$E:$E,MATCH(C51,ケイパビリティマップ!$A:$A,0)),"（IDなし）")</f>
        <v/>
      </c>
      <c r="E51" s="23" t="inlineStr">
        <is>
          <t>支援</t>
        </is>
      </c>
      <c r="F51" s="35">
        <f>LEFT(A51,5)</f>
        <v/>
      </c>
      <c r="G51" s="35">
        <f>LEFT(C51,6)</f>
        <v/>
      </c>
    </row>
    <row r="52">
      <c r="A52" s="18" t="inlineStr">
        <is>
          <t>02-03-02</t>
        </is>
      </c>
      <c r="B52" s="20" t="inlineStr">
        <is>
          <t>システム連携とデータ移行の準備</t>
        </is>
      </c>
      <c r="C52" s="18" t="inlineStr">
        <is>
          <t>C02-03-03</t>
        </is>
      </c>
      <c r="D52" s="31">
        <f>IFERROR(INDEX(ケイパビリティマップ!$E:$E,MATCH(C52,ケイパビリティマップ!$A:$A,0)),"（IDなし）")</f>
        <v/>
      </c>
      <c r="E52" s="23" t="inlineStr">
        <is>
          <t>主</t>
        </is>
      </c>
      <c r="F52" s="35">
        <f>LEFT(A52,5)</f>
        <v/>
      </c>
      <c r="G52" s="35">
        <f>LEFT(C52,6)</f>
        <v/>
      </c>
    </row>
    <row r="53">
      <c r="A53" s="18" t="inlineStr">
        <is>
          <t>02-03-02</t>
        </is>
      </c>
      <c r="B53" s="20" t="inlineStr">
        <is>
          <t>システム連携とデータ移行の準備</t>
        </is>
      </c>
      <c r="C53" s="18" t="inlineStr">
        <is>
          <t>C02-04-02</t>
        </is>
      </c>
      <c r="D53" s="31">
        <f>IFERROR(INDEX(ケイパビリティマップ!$E:$E,MATCH(C53,ケイパビリティマップ!$A:$A,0)),"（IDなし）")</f>
        <v/>
      </c>
      <c r="E53" s="23" t="inlineStr">
        <is>
          <t>支援</t>
        </is>
      </c>
      <c r="F53" s="35">
        <f>LEFT(A53,5)</f>
        <v/>
      </c>
      <c r="G53" s="35">
        <f>LEFT(C53,6)</f>
        <v/>
      </c>
    </row>
    <row r="54">
      <c r="A54" s="18" t="inlineStr">
        <is>
          <t>02-03-02</t>
        </is>
      </c>
      <c r="B54" s="20" t="inlineStr">
        <is>
          <t>システム連携とデータ移行の準備</t>
        </is>
      </c>
      <c r="C54" s="18" t="inlineStr">
        <is>
          <t>C06-03-01</t>
        </is>
      </c>
      <c r="D54" s="31">
        <f>IFERROR(INDEX(ケイパビリティマップ!$E:$E,MATCH(C54,ケイパビリティマップ!$A:$A,0)),"（IDなし）")</f>
        <v/>
      </c>
      <c r="E54" s="23" t="inlineStr">
        <is>
          <t>支援</t>
        </is>
      </c>
      <c r="F54" s="35">
        <f>LEFT(A54,5)</f>
        <v/>
      </c>
      <c r="G54" s="35">
        <f>LEFT(C54,6)</f>
        <v/>
      </c>
    </row>
    <row r="55">
      <c r="A55" s="18" t="inlineStr">
        <is>
          <t>02-03-03</t>
        </is>
      </c>
      <c r="B55" s="20" t="inlineStr">
        <is>
          <t>テストの実施（単体・結合・システム）</t>
        </is>
      </c>
      <c r="C55" s="18" t="inlineStr">
        <is>
          <t>C02-04-01</t>
        </is>
      </c>
      <c r="D55" s="31">
        <f>IFERROR(INDEX(ケイパビリティマップ!$E:$E,MATCH(C55,ケイパビリティマップ!$A:$A,0)),"（IDなし）")</f>
        <v/>
      </c>
      <c r="E55" s="23" t="inlineStr">
        <is>
          <t>主</t>
        </is>
      </c>
      <c r="F55" s="35">
        <f>LEFT(A55,5)</f>
        <v/>
      </c>
      <c r="G55" s="35">
        <f>LEFT(C55,6)</f>
        <v/>
      </c>
    </row>
    <row r="56">
      <c r="A56" s="18" t="inlineStr">
        <is>
          <t>02-03-04</t>
        </is>
      </c>
      <c r="B56" s="20" t="inlineStr">
        <is>
          <t>★委託先の成果物の検収</t>
        </is>
      </c>
      <c r="C56" s="18" t="inlineStr">
        <is>
          <t>C02-01-02</t>
        </is>
      </c>
      <c r="D56" s="31">
        <f>IFERROR(INDEX(ケイパビリティマップ!$E:$E,MATCH(C56,ケイパビリティマップ!$A:$A,0)),"（IDなし）")</f>
        <v/>
      </c>
      <c r="E56" s="23" t="inlineStr">
        <is>
          <t>主</t>
        </is>
      </c>
      <c r="F56" s="35">
        <f>LEFT(A56,5)</f>
        <v/>
      </c>
      <c r="G56" s="35">
        <f>LEFT(C56,6)</f>
        <v/>
      </c>
    </row>
    <row r="57">
      <c r="A57" s="18" t="inlineStr">
        <is>
          <t>02-03-04</t>
        </is>
      </c>
      <c r="B57" s="20" t="inlineStr">
        <is>
          <t>★委託先の成果物の検収</t>
        </is>
      </c>
      <c r="C57" s="18" t="inlineStr">
        <is>
          <t>C07-01-02</t>
        </is>
      </c>
      <c r="D57" s="31">
        <f>IFERROR(INDEX(ケイパビリティマップ!$E:$E,MATCH(C57,ケイパビリティマップ!$A:$A,0)),"（IDなし）")</f>
        <v/>
      </c>
      <c r="E57" s="23" t="inlineStr">
        <is>
          <t>支援</t>
        </is>
      </c>
      <c r="F57" s="35">
        <f>LEFT(A57,5)</f>
        <v/>
      </c>
      <c r="G57" s="35">
        <f>LEFT(C57,6)</f>
        <v/>
      </c>
    </row>
    <row r="58">
      <c r="A58" s="18" t="inlineStr">
        <is>
          <t>02-04-01</t>
        </is>
      </c>
      <c r="B58" s="20" t="inlineStr">
        <is>
          <t>★据付時・運用時の適格性確認（IQ・OQ）</t>
        </is>
      </c>
      <c r="C58" s="18" t="inlineStr">
        <is>
          <t>C06-01-02</t>
        </is>
      </c>
      <c r="D58" s="31">
        <f>IFERROR(INDEX(ケイパビリティマップ!$E:$E,MATCH(C58,ケイパビリティマップ!$A:$A,0)),"（IDなし）")</f>
        <v/>
      </c>
      <c r="E58" s="23" t="inlineStr">
        <is>
          <t>主</t>
        </is>
      </c>
      <c r="F58" s="35">
        <f>LEFT(A58,5)</f>
        <v/>
      </c>
      <c r="G58" s="35">
        <f>LEFT(C58,6)</f>
        <v/>
      </c>
    </row>
    <row r="59">
      <c r="A59" s="18" t="inlineStr">
        <is>
          <t>02-04-01</t>
        </is>
      </c>
      <c r="B59" s="20" t="inlineStr">
        <is>
          <t>★据付時・運用時の適格性確認（IQ・OQ）</t>
        </is>
      </c>
      <c r="C59" s="18" t="inlineStr">
        <is>
          <t>C02-04-01</t>
        </is>
      </c>
      <c r="D59" s="31">
        <f>IFERROR(INDEX(ケイパビリティマップ!$E:$E,MATCH(C59,ケイパビリティマップ!$A:$A,0)),"（IDなし）")</f>
        <v/>
      </c>
      <c r="E59" s="23" t="inlineStr">
        <is>
          <t>支援</t>
        </is>
      </c>
      <c r="F59" s="35">
        <f>LEFT(A59,5)</f>
        <v/>
      </c>
      <c r="G59" s="35">
        <f>LEFT(C59,6)</f>
        <v/>
      </c>
    </row>
    <row r="60">
      <c r="A60" s="18" t="inlineStr">
        <is>
          <t>02-04-02</t>
        </is>
      </c>
      <c r="B60" s="20" t="inlineStr">
        <is>
          <t>★ユーザー受入テスト・性能適格性確認（UAT・PQ）</t>
        </is>
      </c>
      <c r="C60" s="18" t="inlineStr">
        <is>
          <t>C06-01-02</t>
        </is>
      </c>
      <c r="D60" s="31">
        <f>IFERROR(INDEX(ケイパビリティマップ!$E:$E,MATCH(C60,ケイパビリティマップ!$A:$A,0)),"（IDなし）")</f>
        <v/>
      </c>
      <c r="E60" s="23" t="inlineStr">
        <is>
          <t>主</t>
        </is>
      </c>
      <c r="F60" s="35">
        <f>LEFT(A60,5)</f>
        <v/>
      </c>
      <c r="G60" s="35">
        <f>LEFT(C60,6)</f>
        <v/>
      </c>
    </row>
    <row r="61">
      <c r="A61" s="18" t="inlineStr">
        <is>
          <t>02-04-02</t>
        </is>
      </c>
      <c r="B61" s="20" t="inlineStr">
        <is>
          <t>★ユーザー受入テスト・性能適格性確認（UAT・PQ）</t>
        </is>
      </c>
      <c r="C61" s="18" t="inlineStr">
        <is>
          <t>C02-04-01</t>
        </is>
      </c>
      <c r="D61" s="31">
        <f>IFERROR(INDEX(ケイパビリティマップ!$E:$E,MATCH(C61,ケイパビリティマップ!$A:$A,0)),"（IDなし）")</f>
        <v/>
      </c>
      <c r="E61" s="23" t="inlineStr">
        <is>
          <t>支援</t>
        </is>
      </c>
      <c r="F61" s="35">
        <f>LEFT(A61,5)</f>
        <v/>
      </c>
      <c r="G61" s="35">
        <f>LEFT(C61,6)</f>
        <v/>
      </c>
    </row>
    <row r="62">
      <c r="A62" s="18" t="inlineStr">
        <is>
          <t>02-04-03</t>
        </is>
      </c>
      <c r="B62" s="20" t="inlineStr">
        <is>
          <t>データ移行と移行結果の検証</t>
        </is>
      </c>
      <c r="C62" s="18" t="inlineStr">
        <is>
          <t>C02-04-02</t>
        </is>
      </c>
      <c r="D62" s="31">
        <f>IFERROR(INDEX(ケイパビリティマップ!$E:$E,MATCH(C62,ケイパビリティマップ!$A:$A,0)),"（IDなし）")</f>
        <v/>
      </c>
      <c r="E62" s="23" t="inlineStr">
        <is>
          <t>主</t>
        </is>
      </c>
      <c r="F62" s="35">
        <f>LEFT(A62,5)</f>
        <v/>
      </c>
      <c r="G62" s="35">
        <f>LEFT(C62,6)</f>
        <v/>
      </c>
    </row>
    <row r="63">
      <c r="A63" s="18" t="inlineStr">
        <is>
          <t>02-04-03</t>
        </is>
      </c>
      <c r="B63" s="20" t="inlineStr">
        <is>
          <t>データ移行と移行結果の検証</t>
        </is>
      </c>
      <c r="C63" s="18" t="inlineStr">
        <is>
          <t>C06-02-01</t>
        </is>
      </c>
      <c r="D63" s="31">
        <f>IFERROR(INDEX(ケイパビリティマップ!$E:$E,MATCH(C63,ケイパビリティマップ!$A:$A,0)),"（IDなし）")</f>
        <v/>
      </c>
      <c r="E63" s="23" t="inlineStr">
        <is>
          <t>支援</t>
        </is>
      </c>
      <c r="F63" s="35">
        <f>LEFT(A63,5)</f>
        <v/>
      </c>
      <c r="G63" s="35">
        <f>LEFT(C63,6)</f>
        <v/>
      </c>
    </row>
    <row r="64">
      <c r="A64" s="18" t="inlineStr">
        <is>
          <t>02-04-03</t>
        </is>
      </c>
      <c r="B64" s="20" t="inlineStr">
        <is>
          <t>データ移行と移行結果の検証</t>
        </is>
      </c>
      <c r="C64" s="18" t="inlineStr">
        <is>
          <t>C06-03-01</t>
        </is>
      </c>
      <c r="D64" s="31">
        <f>IFERROR(INDEX(ケイパビリティマップ!$E:$E,MATCH(C64,ケイパビリティマップ!$A:$A,0)),"（IDなし）")</f>
        <v/>
      </c>
      <c r="E64" s="23" t="inlineStr">
        <is>
          <t>支援</t>
        </is>
      </c>
      <c r="F64" s="35">
        <f>LEFT(A64,5)</f>
        <v/>
      </c>
      <c r="G64" s="35">
        <f>LEFT(C64,6)</f>
        <v/>
      </c>
    </row>
    <row r="65">
      <c r="A65" s="18" t="inlineStr">
        <is>
          <t>02-04-04</t>
        </is>
      </c>
      <c r="B65" s="20" t="inlineStr">
        <is>
          <t>★バリデーション報告とリリース判定</t>
        </is>
      </c>
      <c r="C65" s="18" t="inlineStr">
        <is>
          <t>C06-01-02</t>
        </is>
      </c>
      <c r="D65" s="31">
        <f>IFERROR(INDEX(ケイパビリティマップ!$E:$E,MATCH(C65,ケイパビリティマップ!$A:$A,0)),"（IDなし）")</f>
        <v/>
      </c>
      <c r="E65" s="23" t="inlineStr">
        <is>
          <t>主</t>
        </is>
      </c>
      <c r="F65" s="35">
        <f>LEFT(A65,5)</f>
        <v/>
      </c>
      <c r="G65" s="35">
        <f>LEFT(C65,6)</f>
        <v/>
      </c>
    </row>
    <row r="66">
      <c r="A66" s="18" t="inlineStr">
        <is>
          <t>02-04-04</t>
        </is>
      </c>
      <c r="B66" s="20" t="inlineStr">
        <is>
          <t>★バリデーション報告とリリース判定</t>
        </is>
      </c>
      <c r="C66" s="18" t="inlineStr">
        <is>
          <t>C02-04-03</t>
        </is>
      </c>
      <c r="D66" s="31">
        <f>IFERROR(INDEX(ケイパビリティマップ!$E:$E,MATCH(C66,ケイパビリティマップ!$A:$A,0)),"（IDなし）")</f>
        <v/>
      </c>
      <c r="E66" s="23" t="inlineStr">
        <is>
          <t>支援</t>
        </is>
      </c>
      <c r="F66" s="35">
        <f>LEFT(A66,5)</f>
        <v/>
      </c>
      <c r="G66" s="35">
        <f>LEFT(C66,6)</f>
        <v/>
      </c>
    </row>
    <row r="67">
      <c r="A67" s="18" t="inlineStr">
        <is>
          <t>02-04-04</t>
        </is>
      </c>
      <c r="B67" s="20" t="inlineStr">
        <is>
          <t>★バリデーション報告とリリース判定</t>
        </is>
      </c>
      <c r="C67" s="18" t="inlineStr">
        <is>
          <t>C03-05-01</t>
        </is>
      </c>
      <c r="D67" s="31">
        <f>IFERROR(INDEX(ケイパビリティマップ!$E:$E,MATCH(C67,ケイパビリティマップ!$A:$A,0)),"（IDなし）")</f>
        <v/>
      </c>
      <c r="E67" s="23" t="inlineStr">
        <is>
          <t>支援</t>
        </is>
      </c>
      <c r="F67" s="35">
        <f>LEFT(A67,5)</f>
        <v/>
      </c>
      <c r="G67" s="35">
        <f>LEFT(C67,6)</f>
        <v/>
      </c>
    </row>
    <row r="68">
      <c r="A68" s="18" t="inlineStr">
        <is>
          <t>02-04-05</t>
        </is>
      </c>
      <c r="B68" s="20" t="inlineStr">
        <is>
          <t>本番配備と運用への引継ぎ（台帳・構成情報・カタログへの登録）</t>
        </is>
      </c>
      <c r="C68" s="18" t="inlineStr">
        <is>
          <t>C02-04-03</t>
        </is>
      </c>
      <c r="D68" s="31">
        <f>IFERROR(INDEX(ケイパビリティマップ!$E:$E,MATCH(C68,ケイパビリティマップ!$A:$A,0)),"（IDなし）")</f>
        <v/>
      </c>
      <c r="E68" s="23" t="inlineStr">
        <is>
          <t>主</t>
        </is>
      </c>
      <c r="F68" s="35">
        <f>LEFT(A68,5)</f>
        <v/>
      </c>
      <c r="G68" s="35">
        <f>LEFT(C68,6)</f>
        <v/>
      </c>
    </row>
    <row r="69">
      <c r="A69" s="18" t="inlineStr">
        <is>
          <t>02-04-05</t>
        </is>
      </c>
      <c r="B69" s="20" t="inlineStr">
        <is>
          <t>本番配備と運用への引継ぎ（台帳・構成情報・カタログへの登録）</t>
        </is>
      </c>
      <c r="C69" s="18" t="inlineStr">
        <is>
          <t>C03-05-02</t>
        </is>
      </c>
      <c r="D69" s="31">
        <f>IFERROR(INDEX(ケイパビリティマップ!$E:$E,MATCH(C69,ケイパビリティマップ!$A:$A,0)),"（IDなし）")</f>
        <v/>
      </c>
      <c r="E69" s="23" t="inlineStr">
        <is>
          <t>主</t>
        </is>
      </c>
      <c r="F69" s="35">
        <f>LEFT(A69,5)</f>
        <v/>
      </c>
      <c r="G69" s="35">
        <f>LEFT(C69,6)</f>
        <v/>
      </c>
    </row>
    <row r="70">
      <c r="A70" s="18" t="inlineStr">
        <is>
          <t>02-04-05</t>
        </is>
      </c>
      <c r="B70" s="20" t="inlineStr">
        <is>
          <t>本番配備と運用への引継ぎ（台帳・構成情報・カタログへの登録）</t>
        </is>
      </c>
      <c r="C70" s="18" t="inlineStr">
        <is>
          <t>C04-01-02</t>
        </is>
      </c>
      <c r="D70" s="31">
        <f>IFERROR(INDEX(ケイパビリティマップ!$E:$E,MATCH(C70,ケイパビリティマップ!$A:$A,0)),"（IDなし）")</f>
        <v/>
      </c>
      <c r="E70" s="23" t="inlineStr">
        <is>
          <t>支援</t>
        </is>
      </c>
      <c r="F70" s="35">
        <f>LEFT(A70,5)</f>
        <v/>
      </c>
      <c r="G70" s="35">
        <f>LEFT(C70,6)</f>
        <v/>
      </c>
    </row>
    <row r="71">
      <c r="A71" s="18" t="inlineStr">
        <is>
          <t>02-04-05</t>
        </is>
      </c>
      <c r="B71" s="20" t="inlineStr">
        <is>
          <t>本番配備と運用への引継ぎ（台帳・構成情報・カタログへの登録）</t>
        </is>
      </c>
      <c r="C71" s="18" t="inlineStr">
        <is>
          <t>C07-03-01</t>
        </is>
      </c>
      <c r="D71" s="31">
        <f>IFERROR(INDEX(ケイパビリティマップ!$E:$E,MATCH(C71,ケイパビリティマップ!$A:$A,0)),"（IDなし）")</f>
        <v/>
      </c>
      <c r="E71" s="23" t="inlineStr">
        <is>
          <t>支援</t>
        </is>
      </c>
      <c r="F71" s="35">
        <f>LEFT(A71,5)</f>
        <v/>
      </c>
      <c r="G71" s="35">
        <f>LEFT(C71,6)</f>
        <v/>
      </c>
    </row>
    <row r="72">
      <c r="A72" s="18" t="inlineStr">
        <is>
          <t>02-04-06</t>
        </is>
      </c>
      <c r="B72" s="20" t="inlineStr">
        <is>
          <t>利用者教育と手順書の整備</t>
        </is>
      </c>
      <c r="C72" s="18" t="inlineStr">
        <is>
          <t>C07-02-03</t>
        </is>
      </c>
      <c r="D72" s="31">
        <f>IFERROR(INDEX(ケイパビリティマップ!$E:$E,MATCH(C72,ケイパビリティマップ!$A:$A,0)),"（IDなし）")</f>
        <v/>
      </c>
      <c r="E72" s="23" t="inlineStr">
        <is>
          <t>主</t>
        </is>
      </c>
      <c r="F72" s="35">
        <f>LEFT(A72,5)</f>
        <v/>
      </c>
      <c r="G72" s="35">
        <f>LEFT(C72,6)</f>
        <v/>
      </c>
    </row>
    <row r="73">
      <c r="A73" s="18" t="inlineStr">
        <is>
          <t>02-04-06</t>
        </is>
      </c>
      <c r="B73" s="20" t="inlineStr">
        <is>
          <t>利用者教育と手順書の整備</t>
        </is>
      </c>
      <c r="C73" s="18" t="inlineStr">
        <is>
          <t>C07-03-01</t>
        </is>
      </c>
      <c r="D73" s="31">
        <f>IFERROR(INDEX(ケイパビリティマップ!$E:$E,MATCH(C73,ケイパビリティマップ!$A:$A,0)),"（IDなし）")</f>
        <v/>
      </c>
      <c r="E73" s="23" t="inlineStr">
        <is>
          <t>支援</t>
        </is>
      </c>
      <c r="F73" s="35">
        <f>LEFT(A73,5)</f>
        <v/>
      </c>
      <c r="G73" s="35">
        <f>LEFT(C73,6)</f>
        <v/>
      </c>
    </row>
    <row r="74">
      <c r="A74" s="18" t="inlineStr">
        <is>
          <t>02-04-06</t>
        </is>
      </c>
      <c r="B74" s="20" t="inlineStr">
        <is>
          <t>利用者教育と手順書の整備</t>
        </is>
      </c>
      <c r="C74" s="18" t="inlineStr">
        <is>
          <t>C05-01-02</t>
        </is>
      </c>
      <c r="D74" s="31">
        <f>IFERROR(INDEX(ケイパビリティマップ!$E:$E,MATCH(C74,ケイパビリティマップ!$A:$A,0)),"（IDなし）")</f>
        <v/>
      </c>
      <c r="E74" s="23" t="inlineStr">
        <is>
          <t>支援</t>
        </is>
      </c>
      <c r="F74" s="35">
        <f>LEFT(A74,5)</f>
        <v/>
      </c>
      <c r="G74" s="35">
        <f>LEFT(C74,6)</f>
        <v/>
      </c>
    </row>
    <row r="75">
      <c r="A75" s="18" t="inlineStr">
        <is>
          <t>03-01-01</t>
        </is>
      </c>
      <c r="B75" s="20" t="inlineStr">
        <is>
          <t>サービスの定義とカタログへの掲載</t>
        </is>
      </c>
      <c r="C75" s="18" t="inlineStr">
        <is>
          <t>C03-01-01</t>
        </is>
      </c>
      <c r="D75" s="31">
        <f>IFERROR(INDEX(ケイパビリティマップ!$E:$E,MATCH(C75,ケイパビリティマップ!$A:$A,0)),"（IDなし）")</f>
        <v/>
      </c>
      <c r="E75" s="23" t="inlineStr">
        <is>
          <t>主</t>
        </is>
      </c>
      <c r="F75" s="35">
        <f>LEFT(A75,5)</f>
        <v/>
      </c>
      <c r="G75" s="35">
        <f>LEFT(C75,6)</f>
        <v/>
      </c>
    </row>
    <row r="76">
      <c r="A76" s="18" t="inlineStr">
        <is>
          <t>03-01-02</t>
        </is>
      </c>
      <c r="B76" s="20" t="inlineStr">
        <is>
          <t>サービスレベル・利用条件の合意</t>
        </is>
      </c>
      <c r="C76" s="18" t="inlineStr">
        <is>
          <t>C03-01-02</t>
        </is>
      </c>
      <c r="D76" s="31">
        <f>IFERROR(INDEX(ケイパビリティマップ!$E:$E,MATCH(C76,ケイパビリティマップ!$A:$A,0)),"（IDなし）")</f>
        <v/>
      </c>
      <c r="E76" s="23" t="inlineStr">
        <is>
          <t>主</t>
        </is>
      </c>
      <c r="F76" s="35">
        <f>LEFT(A76,5)</f>
        <v/>
      </c>
      <c r="G76" s="35">
        <f>LEFT(C76,6)</f>
        <v/>
      </c>
    </row>
    <row r="77">
      <c r="A77" s="18" t="inlineStr">
        <is>
          <t>03-01-02</t>
        </is>
      </c>
      <c r="B77" s="20" t="inlineStr">
        <is>
          <t>サービスレベル・利用条件の合意</t>
        </is>
      </c>
      <c r="C77" s="18" t="inlineStr">
        <is>
          <t>C07-01-03</t>
        </is>
      </c>
      <c r="D77" s="31">
        <f>IFERROR(INDEX(ケイパビリティマップ!$E:$E,MATCH(C77,ケイパビリティマップ!$A:$A,0)),"（IDなし）")</f>
        <v/>
      </c>
      <c r="E77" s="23" t="inlineStr">
        <is>
          <t>支援</t>
        </is>
      </c>
      <c r="F77" s="35">
        <f>LEFT(A77,5)</f>
        <v/>
      </c>
      <c r="G77" s="35">
        <f>LEFT(C77,6)</f>
        <v/>
      </c>
    </row>
    <row r="78">
      <c r="A78" s="18" t="inlineStr">
        <is>
          <t>03-02-01</t>
        </is>
      </c>
      <c r="B78" s="20" t="inlineStr">
        <is>
          <t>サービス要求（利用申請）の受付</t>
        </is>
      </c>
      <c r="C78" s="18" t="inlineStr">
        <is>
          <t>C03-02-02</t>
        </is>
      </c>
      <c r="D78" s="31">
        <f>IFERROR(INDEX(ケイパビリティマップ!$E:$E,MATCH(C78,ケイパビリティマップ!$A:$A,0)),"（IDなし）")</f>
        <v/>
      </c>
      <c r="E78" s="23" t="inlineStr">
        <is>
          <t>主</t>
        </is>
      </c>
      <c r="F78" s="35">
        <f>LEFT(A78,5)</f>
        <v/>
      </c>
      <c r="G78" s="35">
        <f>LEFT(C78,6)</f>
        <v/>
      </c>
    </row>
    <row r="79">
      <c r="A79" s="18" t="inlineStr">
        <is>
          <t>03-02-01</t>
        </is>
      </c>
      <c r="B79" s="20" t="inlineStr">
        <is>
          <t>サービス要求（利用申請）の受付</t>
        </is>
      </c>
      <c r="C79" s="18" t="inlineStr">
        <is>
          <t>C03-02-01</t>
        </is>
      </c>
      <c r="D79" s="31">
        <f>IFERROR(INDEX(ケイパビリティマップ!$E:$E,MATCH(C79,ケイパビリティマップ!$A:$A,0)),"（IDなし）")</f>
        <v/>
      </c>
      <c r="E79" s="23" t="inlineStr">
        <is>
          <t>支援</t>
        </is>
      </c>
      <c r="F79" s="35">
        <f>LEFT(A79,5)</f>
        <v/>
      </c>
      <c r="G79" s="35">
        <f>LEFT(C79,6)</f>
        <v/>
      </c>
    </row>
    <row r="80">
      <c r="A80" s="18" t="inlineStr">
        <is>
          <t>03-02-02</t>
        </is>
      </c>
      <c r="B80" s="20" t="inlineStr">
        <is>
          <t>★申請の承認（上長・システムオーナー、職務分掌の確認）</t>
        </is>
      </c>
      <c r="C80" s="18" t="inlineStr">
        <is>
          <t>C03-02-02</t>
        </is>
      </c>
      <c r="D80" s="31">
        <f>IFERROR(INDEX(ケイパビリティマップ!$E:$E,MATCH(C80,ケイパビリティマップ!$A:$A,0)),"（IDなし）")</f>
        <v/>
      </c>
      <c r="E80" s="23" t="inlineStr">
        <is>
          <t>主</t>
        </is>
      </c>
      <c r="F80" s="35">
        <f>LEFT(A80,5)</f>
        <v/>
      </c>
      <c r="G80" s="35">
        <f>LEFT(C80,6)</f>
        <v/>
      </c>
    </row>
    <row r="81">
      <c r="A81" s="18" t="inlineStr">
        <is>
          <t>03-02-02</t>
        </is>
      </c>
      <c r="B81" s="20" t="inlineStr">
        <is>
          <t>★申請の承認（上長・システムオーナー、職務分掌の確認）</t>
        </is>
      </c>
      <c r="C81" s="18" t="inlineStr">
        <is>
          <t>C05-02-02</t>
        </is>
      </c>
      <c r="D81" s="31">
        <f>IFERROR(INDEX(ケイパビリティマップ!$E:$E,MATCH(C81,ケイパビリティマップ!$A:$A,0)),"（IDなし）")</f>
        <v/>
      </c>
      <c r="E81" s="23" t="inlineStr">
        <is>
          <t>支援</t>
        </is>
      </c>
      <c r="F81" s="35">
        <f>LEFT(A81,5)</f>
        <v/>
      </c>
      <c r="G81" s="35">
        <f>LEFT(C81,6)</f>
        <v/>
      </c>
    </row>
    <row r="82">
      <c r="A82" s="18" t="inlineStr">
        <is>
          <t>03-03-01</t>
        </is>
      </c>
      <c r="B82" s="20" t="inlineStr">
        <is>
          <t>★アカウントの作成・アクセス権の付与</t>
        </is>
      </c>
      <c r="C82" s="18" t="inlineStr">
        <is>
          <t>C05-02-01</t>
        </is>
      </c>
      <c r="D82" s="31">
        <f>IFERROR(INDEX(ケイパビリティマップ!$E:$E,MATCH(C82,ケイパビリティマップ!$A:$A,0)),"（IDなし）")</f>
        <v/>
      </c>
      <c r="E82" s="23" t="inlineStr">
        <is>
          <t>主</t>
        </is>
      </c>
      <c r="F82" s="35">
        <f>LEFT(A82,5)</f>
        <v/>
      </c>
      <c r="G82" s="35">
        <f>LEFT(C82,6)</f>
        <v/>
      </c>
    </row>
    <row r="83">
      <c r="A83" s="18" t="inlineStr">
        <is>
          <t>03-03-01</t>
        </is>
      </c>
      <c r="B83" s="20" t="inlineStr">
        <is>
          <t>★アカウントの作成・アクセス権の付与</t>
        </is>
      </c>
      <c r="C83" s="18" t="inlineStr">
        <is>
          <t>C05-02-02</t>
        </is>
      </c>
      <c r="D83" s="31">
        <f>IFERROR(INDEX(ケイパビリティマップ!$E:$E,MATCH(C83,ケイパビリティマップ!$A:$A,0)),"（IDなし）")</f>
        <v/>
      </c>
      <c r="E83" s="23" t="inlineStr">
        <is>
          <t>主</t>
        </is>
      </c>
      <c r="F83" s="35">
        <f>LEFT(A83,5)</f>
        <v/>
      </c>
      <c r="G83" s="35">
        <f>LEFT(C83,6)</f>
        <v/>
      </c>
    </row>
    <row r="84">
      <c r="A84" s="18" t="inlineStr">
        <is>
          <t>03-03-01</t>
        </is>
      </c>
      <c r="B84" s="20" t="inlineStr">
        <is>
          <t>★アカウントの作成・アクセス権の付与</t>
        </is>
      </c>
      <c r="C84" s="18" t="inlineStr">
        <is>
          <t>C04-03-02</t>
        </is>
      </c>
      <c r="D84" s="31">
        <f>IFERROR(INDEX(ケイパビリティマップ!$E:$E,MATCH(C84,ケイパビリティマップ!$A:$A,0)),"（IDなし）")</f>
        <v/>
      </c>
      <c r="E84" s="23" t="inlineStr">
        <is>
          <t>支援</t>
        </is>
      </c>
      <c r="F84" s="35">
        <f>LEFT(A84,5)</f>
        <v/>
      </c>
      <c r="G84" s="35">
        <f>LEFT(C84,6)</f>
        <v/>
      </c>
    </row>
    <row r="85">
      <c r="A85" s="18" t="inlineStr">
        <is>
          <t>03-03-02</t>
        </is>
      </c>
      <c r="B85" s="20" t="inlineStr">
        <is>
          <t>端末・ソフトウェアの提供（キッティング・ライセンスの割当）</t>
        </is>
      </c>
      <c r="C85" s="18" t="inlineStr">
        <is>
          <t>C04-03-01</t>
        </is>
      </c>
      <c r="D85" s="31">
        <f>IFERROR(INDEX(ケイパビリティマップ!$E:$E,MATCH(C85,ケイパビリティマップ!$A:$A,0)),"（IDなし）")</f>
        <v/>
      </c>
      <c r="E85" s="23" t="inlineStr">
        <is>
          <t>主</t>
        </is>
      </c>
      <c r="F85" s="35">
        <f>LEFT(A85,5)</f>
        <v/>
      </c>
      <c r="G85" s="35">
        <f>LEFT(C85,6)</f>
        <v/>
      </c>
    </row>
    <row r="86">
      <c r="A86" s="18" t="inlineStr">
        <is>
          <t>03-03-02</t>
        </is>
      </c>
      <c r="B86" s="20" t="inlineStr">
        <is>
          <t>端末・ソフトウェアの提供（キッティング・ライセンスの割当）</t>
        </is>
      </c>
      <c r="C86" s="18" t="inlineStr">
        <is>
          <t>C04-04-01</t>
        </is>
      </c>
      <c r="D86" s="31">
        <f>IFERROR(INDEX(ケイパビリティマップ!$E:$E,MATCH(C86,ケイパビリティマップ!$A:$A,0)),"（IDなし）")</f>
        <v/>
      </c>
      <c r="E86" s="23" t="inlineStr">
        <is>
          <t>支援</t>
        </is>
      </c>
      <c r="F86" s="35">
        <f>LEFT(A86,5)</f>
        <v/>
      </c>
      <c r="G86" s="35">
        <f>LEFT(C86,6)</f>
        <v/>
      </c>
    </row>
    <row r="87">
      <c r="A87" s="18" t="inlineStr">
        <is>
          <t>03-03-02</t>
        </is>
      </c>
      <c r="B87" s="20" t="inlineStr">
        <is>
          <t>端末・ソフトウェアの提供（キッティング・ライセンスの割当）</t>
        </is>
      </c>
      <c r="C87" s="18" t="inlineStr">
        <is>
          <t>C04-04-02</t>
        </is>
      </c>
      <c r="D87" s="31">
        <f>IFERROR(INDEX(ケイパビリティマップ!$E:$E,MATCH(C87,ケイパビリティマップ!$A:$A,0)),"（IDなし）")</f>
        <v/>
      </c>
      <c r="E87" s="23" t="inlineStr">
        <is>
          <t>支援</t>
        </is>
      </c>
      <c r="F87" s="35">
        <f>LEFT(A87,5)</f>
        <v/>
      </c>
      <c r="G87" s="35">
        <f>LEFT(C87,6)</f>
        <v/>
      </c>
    </row>
    <row r="88">
      <c r="A88" s="18" t="inlineStr">
        <is>
          <t>03-03-03</t>
        </is>
      </c>
      <c r="B88" s="20" t="inlineStr">
        <is>
          <t>クラウド資源・環境の提供</t>
        </is>
      </c>
      <c r="C88" s="18" t="inlineStr">
        <is>
          <t>C04-01-01</t>
        </is>
      </c>
      <c r="D88" s="31">
        <f>IFERROR(INDEX(ケイパビリティマップ!$E:$E,MATCH(C88,ケイパビリティマップ!$A:$A,0)),"（IDなし）")</f>
        <v/>
      </c>
      <c r="E88" s="23" t="inlineStr">
        <is>
          <t>主</t>
        </is>
      </c>
      <c r="F88" s="35">
        <f>LEFT(A88,5)</f>
        <v/>
      </c>
      <c r="G88" s="35">
        <f>LEFT(C88,6)</f>
        <v/>
      </c>
    </row>
    <row r="89">
      <c r="A89" s="18" t="inlineStr">
        <is>
          <t>03-03-03</t>
        </is>
      </c>
      <c r="B89" s="20" t="inlineStr">
        <is>
          <t>クラウド資源・環境の提供</t>
        </is>
      </c>
      <c r="C89" s="18" t="inlineStr">
        <is>
          <t>C04-02-01</t>
        </is>
      </c>
      <c r="D89" s="31">
        <f>IFERROR(INDEX(ケイパビリティマップ!$E:$E,MATCH(C89,ケイパビリティマップ!$A:$A,0)),"（IDなし）")</f>
        <v/>
      </c>
      <c r="E89" s="23" t="inlineStr">
        <is>
          <t>支援</t>
        </is>
      </c>
      <c r="F89" s="35">
        <f>LEFT(A89,5)</f>
        <v/>
      </c>
      <c r="G89" s="35">
        <f>LEFT(C89,6)</f>
        <v/>
      </c>
    </row>
    <row r="90">
      <c r="A90" s="18" t="inlineStr">
        <is>
          <t>03-03-03</t>
        </is>
      </c>
      <c r="B90" s="20" t="inlineStr">
        <is>
          <t>クラウド資源・環境の提供</t>
        </is>
      </c>
      <c r="C90" s="18" t="inlineStr">
        <is>
          <t>C03-05-02</t>
        </is>
      </c>
      <c r="D90" s="31">
        <f>IFERROR(INDEX(ケイパビリティマップ!$E:$E,MATCH(C90,ケイパビリティマップ!$A:$A,0)),"（IDなし）")</f>
        <v/>
      </c>
      <c r="E90" s="23" t="inlineStr">
        <is>
          <t>支援</t>
        </is>
      </c>
      <c r="F90" s="35">
        <f>LEFT(A90,5)</f>
        <v/>
      </c>
      <c r="G90" s="35">
        <f>LEFT(C90,6)</f>
        <v/>
      </c>
    </row>
    <row r="91">
      <c r="A91" s="18" t="inlineStr">
        <is>
          <t>03-03-04</t>
        </is>
      </c>
      <c r="B91" s="20" t="inlineStr">
        <is>
          <t>提供の記録と完了通知</t>
        </is>
      </c>
      <c r="C91" s="18" t="inlineStr">
        <is>
          <t>C03-02-02</t>
        </is>
      </c>
      <c r="D91" s="31">
        <f>IFERROR(INDEX(ケイパビリティマップ!$E:$E,MATCH(C91,ケイパビリティマップ!$A:$A,0)),"（IDなし）")</f>
        <v/>
      </c>
      <c r="E91" s="23" t="inlineStr">
        <is>
          <t>主</t>
        </is>
      </c>
      <c r="F91" s="35">
        <f>LEFT(A91,5)</f>
        <v/>
      </c>
      <c r="G91" s="35">
        <f>LEFT(C91,6)</f>
        <v/>
      </c>
    </row>
    <row r="92">
      <c r="A92" s="18" t="inlineStr">
        <is>
          <t>03-04-01</t>
        </is>
      </c>
      <c r="B92" s="20" t="inlineStr">
        <is>
          <t>利用状況・ライセンスの把握</t>
        </is>
      </c>
      <c r="C92" s="18" t="inlineStr">
        <is>
          <t>C04-04-02</t>
        </is>
      </c>
      <c r="D92" s="31">
        <f>IFERROR(INDEX(ケイパビリティマップ!$E:$E,MATCH(C92,ケイパビリティマップ!$A:$A,0)),"（IDなし）")</f>
        <v/>
      </c>
      <c r="E92" s="23" t="inlineStr">
        <is>
          <t>主</t>
        </is>
      </c>
      <c r="F92" s="35">
        <f>LEFT(A92,5)</f>
        <v/>
      </c>
      <c r="G92" s="35">
        <f>LEFT(C92,6)</f>
        <v/>
      </c>
    </row>
    <row r="93">
      <c r="A93" s="18" t="inlineStr">
        <is>
          <t>03-04-01</t>
        </is>
      </c>
      <c r="B93" s="20" t="inlineStr">
        <is>
          <t>利用状況・ライセンスの把握</t>
        </is>
      </c>
      <c r="C93" s="18" t="inlineStr">
        <is>
          <t>C04-04-01</t>
        </is>
      </c>
      <c r="D93" s="31">
        <f>IFERROR(INDEX(ケイパビリティマップ!$E:$E,MATCH(C93,ケイパビリティマップ!$A:$A,0)),"（IDなし）")</f>
        <v/>
      </c>
      <c r="E93" s="23" t="inlineStr">
        <is>
          <t>支援</t>
        </is>
      </c>
      <c r="F93" s="35">
        <f>LEFT(A93,5)</f>
        <v/>
      </c>
      <c r="G93" s="35">
        <f>LEFT(C93,6)</f>
        <v/>
      </c>
    </row>
    <row r="94">
      <c r="A94" s="18" t="inlineStr">
        <is>
          <t>03-04-02</t>
        </is>
      </c>
      <c r="B94" s="20" t="inlineStr">
        <is>
          <t>IT費用の部門への配賦</t>
        </is>
      </c>
      <c r="C94" s="18" t="inlineStr">
        <is>
          <t>C01-05-02</t>
        </is>
      </c>
      <c r="D94" s="31">
        <f>IFERROR(INDEX(ケイパビリティマップ!$E:$E,MATCH(C94,ケイパビリティマップ!$A:$A,0)),"（IDなし）")</f>
        <v/>
      </c>
      <c r="E94" s="23" t="inlineStr">
        <is>
          <t>主</t>
        </is>
      </c>
      <c r="F94" s="35">
        <f>LEFT(A94,5)</f>
        <v/>
      </c>
      <c r="G94" s="35">
        <f>LEFT(C94,6)</f>
        <v/>
      </c>
    </row>
    <row r="95">
      <c r="A95" s="18" t="inlineStr">
        <is>
          <t>03-04-03</t>
        </is>
      </c>
      <c r="B95" s="20" t="inlineStr">
        <is>
          <t>★アクセス権の定期棚卸（異動・退職の反映）</t>
        </is>
      </c>
      <c r="C95" s="18" t="inlineStr">
        <is>
          <t>C05-02-02</t>
        </is>
      </c>
      <c r="D95" s="31">
        <f>IFERROR(INDEX(ケイパビリティマップ!$E:$E,MATCH(C95,ケイパビリティマップ!$A:$A,0)),"（IDなし）")</f>
        <v/>
      </c>
      <c r="E95" s="23" t="inlineStr">
        <is>
          <t>主</t>
        </is>
      </c>
      <c r="F95" s="35">
        <f>LEFT(A95,5)</f>
        <v/>
      </c>
      <c r="G95" s="35">
        <f>LEFT(C95,6)</f>
        <v/>
      </c>
    </row>
    <row r="96">
      <c r="A96" s="18" t="inlineStr">
        <is>
          <t>03-04-03</t>
        </is>
      </c>
      <c r="B96" s="20" t="inlineStr">
        <is>
          <t>★アクセス権の定期棚卸（異動・退職の反映）</t>
        </is>
      </c>
      <c r="C96" s="18" t="inlineStr">
        <is>
          <t>C05-02-01</t>
        </is>
      </c>
      <c r="D96" s="31">
        <f>IFERROR(INDEX(ケイパビリティマップ!$E:$E,MATCH(C96,ケイパビリティマップ!$A:$A,0)),"（IDなし）")</f>
        <v/>
      </c>
      <c r="E96" s="23" t="inlineStr">
        <is>
          <t>支援</t>
        </is>
      </c>
      <c r="F96" s="35">
        <f>LEFT(A96,5)</f>
        <v/>
      </c>
      <c r="G96" s="35">
        <f>LEFT(C96,6)</f>
        <v/>
      </c>
    </row>
    <row r="97">
      <c r="A97" s="18" t="inlineStr">
        <is>
          <t>03-04-03</t>
        </is>
      </c>
      <c r="B97" s="20" t="inlineStr">
        <is>
          <t>★アクセス権の定期棚卸（異動・退職の反映）</t>
        </is>
      </c>
      <c r="C97" s="18" t="inlineStr">
        <is>
          <t>C01-04-03</t>
        </is>
      </c>
      <c r="D97" s="31">
        <f>IFERROR(INDEX(ケイパビリティマップ!$E:$E,MATCH(C97,ケイパビリティマップ!$A:$A,0)),"（IDなし）")</f>
        <v/>
      </c>
      <c r="E97" s="23" t="inlineStr">
        <is>
          <t>支援</t>
        </is>
      </c>
      <c r="F97" s="35">
        <f>LEFT(A97,5)</f>
        <v/>
      </c>
      <c r="G97" s="35">
        <f>LEFT(C97,6)</f>
        <v/>
      </c>
    </row>
    <row r="98">
      <c r="A98" s="18" t="inlineStr">
        <is>
          <t>04-01-01</t>
        </is>
      </c>
      <c r="B98" s="20" t="inlineStr">
        <is>
          <t>稼働・性能・容量の監視</t>
        </is>
      </c>
      <c r="C98" s="18" t="inlineStr">
        <is>
          <t>C03-03-01</t>
        </is>
      </c>
      <c r="D98" s="31">
        <f>IFERROR(INDEX(ケイパビリティマップ!$E:$E,MATCH(C98,ケイパビリティマップ!$A:$A,0)),"（IDなし）")</f>
        <v/>
      </c>
      <c r="E98" s="23" t="inlineStr">
        <is>
          <t>主</t>
        </is>
      </c>
      <c r="F98" s="35">
        <f>LEFT(A98,5)</f>
        <v/>
      </c>
      <c r="G98" s="35">
        <f>LEFT(C98,6)</f>
        <v/>
      </c>
    </row>
    <row r="99">
      <c r="A99" s="18" t="inlineStr">
        <is>
          <t>04-01-01</t>
        </is>
      </c>
      <c r="B99" s="20" t="inlineStr">
        <is>
          <t>稼働・性能・容量の監視</t>
        </is>
      </c>
      <c r="C99" s="18" t="inlineStr">
        <is>
          <t>C03-03-03</t>
        </is>
      </c>
      <c r="D99" s="31">
        <f>IFERROR(INDEX(ケイパビリティマップ!$E:$E,MATCH(C99,ケイパビリティマップ!$A:$A,0)),"（IDなし）")</f>
        <v/>
      </c>
      <c r="E99" s="23" t="inlineStr">
        <is>
          <t>支援</t>
        </is>
      </c>
      <c r="F99" s="35">
        <f>LEFT(A99,5)</f>
        <v/>
      </c>
      <c r="G99" s="35">
        <f>LEFT(C99,6)</f>
        <v/>
      </c>
    </row>
    <row r="100">
      <c r="A100" s="18" t="inlineStr">
        <is>
          <t>04-01-01</t>
        </is>
      </c>
      <c r="B100" s="20" t="inlineStr">
        <is>
          <t>稼働・性能・容量の監視</t>
        </is>
      </c>
      <c r="C100" s="18" t="inlineStr">
        <is>
          <t>C04-01-01</t>
        </is>
      </c>
      <c r="D100" s="31">
        <f>IFERROR(INDEX(ケイパビリティマップ!$E:$E,MATCH(C100,ケイパビリティマップ!$A:$A,0)),"（IDなし）")</f>
        <v/>
      </c>
      <c r="E100" s="23" t="inlineStr">
        <is>
          <t>支援</t>
        </is>
      </c>
      <c r="F100" s="35">
        <f>LEFT(A100,5)</f>
        <v/>
      </c>
      <c r="G100" s="35">
        <f>LEFT(C100,6)</f>
        <v/>
      </c>
    </row>
    <row r="101">
      <c r="A101" s="18" t="inlineStr">
        <is>
          <t>04-01-02</t>
        </is>
      </c>
      <c r="B101" s="20" t="inlineStr">
        <is>
          <t>★ジョブ・バックアップの運用（GxP記録の保護）</t>
        </is>
      </c>
      <c r="C101" s="18" t="inlineStr">
        <is>
          <t>C03-03-02</t>
        </is>
      </c>
      <c r="D101" s="31">
        <f>IFERROR(INDEX(ケイパビリティマップ!$E:$E,MATCH(C101,ケイパビリティマップ!$A:$A,0)),"（IDなし）")</f>
        <v/>
      </c>
      <c r="E101" s="23" t="inlineStr">
        <is>
          <t>主</t>
        </is>
      </c>
      <c r="F101" s="35">
        <f>LEFT(A101,5)</f>
        <v/>
      </c>
      <c r="G101" s="35">
        <f>LEFT(C101,6)</f>
        <v/>
      </c>
    </row>
    <row r="102">
      <c r="A102" s="18" t="inlineStr">
        <is>
          <t>04-01-02</t>
        </is>
      </c>
      <c r="B102" s="20" t="inlineStr">
        <is>
          <t>★ジョブ・バックアップの運用（GxP記録の保護）</t>
        </is>
      </c>
      <c r="C102" s="18" t="inlineStr">
        <is>
          <t>C06-02-01</t>
        </is>
      </c>
      <c r="D102" s="31">
        <f>IFERROR(INDEX(ケイパビリティマップ!$E:$E,MATCH(C102,ケイパビリティマップ!$A:$A,0)),"（IDなし）")</f>
        <v/>
      </c>
      <c r="E102" s="23" t="inlineStr">
        <is>
          <t>支援</t>
        </is>
      </c>
      <c r="F102" s="35">
        <f>LEFT(A102,5)</f>
        <v/>
      </c>
      <c r="G102" s="35">
        <f>LEFT(C102,6)</f>
        <v/>
      </c>
    </row>
    <row r="103">
      <c r="A103" s="18" t="inlineStr">
        <is>
          <t>04-01-03</t>
        </is>
      </c>
      <c r="B103" s="20" t="inlineStr">
        <is>
          <t>セキュリティ監視（SOC）</t>
        </is>
      </c>
      <c r="C103" s="18" t="inlineStr">
        <is>
          <t>C05-03-02</t>
        </is>
      </c>
      <c r="D103" s="31">
        <f>IFERROR(INDEX(ケイパビリティマップ!$E:$E,MATCH(C103,ケイパビリティマップ!$A:$A,0)),"（IDなし）")</f>
        <v/>
      </c>
      <c r="E103" s="23" t="inlineStr">
        <is>
          <t>主</t>
        </is>
      </c>
      <c r="F103" s="35">
        <f>LEFT(A103,5)</f>
        <v/>
      </c>
      <c r="G103" s="35">
        <f>LEFT(C103,6)</f>
        <v/>
      </c>
    </row>
    <row r="104">
      <c r="A104" s="18" t="inlineStr">
        <is>
          <t>04-01-03</t>
        </is>
      </c>
      <c r="B104" s="20" t="inlineStr">
        <is>
          <t>セキュリティ監視（SOC）</t>
        </is>
      </c>
      <c r="C104" s="18" t="inlineStr">
        <is>
          <t>C04-03-01</t>
        </is>
      </c>
      <c r="D104" s="31">
        <f>IFERROR(INDEX(ケイパビリティマップ!$E:$E,MATCH(C104,ケイパビリティマップ!$A:$A,0)),"（IDなし）")</f>
        <v/>
      </c>
      <c r="E104" s="23" t="inlineStr">
        <is>
          <t>支援</t>
        </is>
      </c>
      <c r="F104" s="35">
        <f>LEFT(A104,5)</f>
        <v/>
      </c>
      <c r="G104" s="35">
        <f>LEFT(C104,6)</f>
        <v/>
      </c>
    </row>
    <row r="105">
      <c r="A105" s="18" t="inlineStr">
        <is>
          <t>04-02-01</t>
        </is>
      </c>
      <c r="B105" s="20" t="inlineStr">
        <is>
          <t>インシデントの記録・分類・優先度付け</t>
        </is>
      </c>
      <c r="C105" s="18" t="inlineStr">
        <is>
          <t>C03-04-01</t>
        </is>
      </c>
      <c r="D105" s="31">
        <f>IFERROR(INDEX(ケイパビリティマップ!$E:$E,MATCH(C105,ケイパビリティマップ!$A:$A,0)),"（IDなし）")</f>
        <v/>
      </c>
      <c r="E105" s="23" t="inlineStr">
        <is>
          <t>主</t>
        </is>
      </c>
      <c r="F105" s="35">
        <f>LEFT(A105,5)</f>
        <v/>
      </c>
      <c r="G105" s="35">
        <f>LEFT(C105,6)</f>
        <v/>
      </c>
    </row>
    <row r="106">
      <c r="A106" s="18" t="inlineStr">
        <is>
          <t>04-02-01</t>
        </is>
      </c>
      <c r="B106" s="20" t="inlineStr">
        <is>
          <t>インシデントの記録・分類・優先度付け</t>
        </is>
      </c>
      <c r="C106" s="18" t="inlineStr">
        <is>
          <t>C03-02-01</t>
        </is>
      </c>
      <c r="D106" s="31">
        <f>IFERROR(INDEX(ケイパビリティマップ!$E:$E,MATCH(C106,ケイパビリティマップ!$A:$A,0)),"（IDなし）")</f>
        <v/>
      </c>
      <c r="E106" s="23" t="inlineStr">
        <is>
          <t>主</t>
        </is>
      </c>
      <c r="F106" s="35">
        <f>LEFT(A106,5)</f>
        <v/>
      </c>
      <c r="G106" s="35">
        <f>LEFT(C106,6)</f>
        <v/>
      </c>
    </row>
    <row r="107">
      <c r="A107" s="18" t="inlineStr">
        <is>
          <t>04-02-02</t>
        </is>
      </c>
      <c r="B107" s="20" t="inlineStr">
        <is>
          <t>切り分け・復旧（回避策の適用）</t>
        </is>
      </c>
      <c r="C107" s="18" t="inlineStr">
        <is>
          <t>C03-04-01</t>
        </is>
      </c>
      <c r="D107" s="31">
        <f>IFERROR(INDEX(ケイパビリティマップ!$E:$E,MATCH(C107,ケイパビリティマップ!$A:$A,0)),"（IDなし）")</f>
        <v/>
      </c>
      <c r="E107" s="23" t="inlineStr">
        <is>
          <t>主</t>
        </is>
      </c>
      <c r="F107" s="35">
        <f>LEFT(A107,5)</f>
        <v/>
      </c>
      <c r="G107" s="35">
        <f>LEFT(C107,6)</f>
        <v/>
      </c>
    </row>
    <row r="108">
      <c r="A108" s="18" t="inlineStr">
        <is>
          <t>04-02-02</t>
        </is>
      </c>
      <c r="B108" s="20" t="inlineStr">
        <is>
          <t>切り分け・復旧（回避策の適用）</t>
        </is>
      </c>
      <c r="C108" s="18" t="inlineStr">
        <is>
          <t>C04-01-02</t>
        </is>
      </c>
      <c r="D108" s="31">
        <f>IFERROR(INDEX(ケイパビリティマップ!$E:$E,MATCH(C108,ケイパビリティマップ!$A:$A,0)),"（IDなし）")</f>
        <v/>
      </c>
      <c r="E108" s="23" t="inlineStr">
        <is>
          <t>支援</t>
        </is>
      </c>
      <c r="F108" s="35">
        <f>LEFT(A108,5)</f>
        <v/>
      </c>
      <c r="G108" s="35">
        <f>LEFT(C108,6)</f>
        <v/>
      </c>
    </row>
    <row r="109">
      <c r="A109" s="18" t="inlineStr">
        <is>
          <t>04-02-02</t>
        </is>
      </c>
      <c r="B109" s="20" t="inlineStr">
        <is>
          <t>切り分け・復旧（回避策の適用）</t>
        </is>
      </c>
      <c r="C109" s="18" t="inlineStr">
        <is>
          <t>C04-02-01</t>
        </is>
      </c>
      <c r="D109" s="31">
        <f>IFERROR(INDEX(ケイパビリティマップ!$E:$E,MATCH(C109,ケイパビリティマップ!$A:$A,0)),"（IDなし）")</f>
        <v/>
      </c>
      <c r="E109" s="23" t="inlineStr">
        <is>
          <t>支援</t>
        </is>
      </c>
      <c r="F109" s="35">
        <f>LEFT(A109,5)</f>
        <v/>
      </c>
      <c r="G109" s="35">
        <f>LEFT(C109,6)</f>
        <v/>
      </c>
    </row>
    <row r="110">
      <c r="A110" s="18" t="inlineStr">
        <is>
          <t>04-02-02</t>
        </is>
      </c>
      <c r="B110" s="20" t="inlineStr">
        <is>
          <t>切り分け・復旧（回避策の適用）</t>
        </is>
      </c>
      <c r="C110" s="18" t="inlineStr">
        <is>
          <t>C07-03-02</t>
        </is>
      </c>
      <c r="D110" s="31">
        <f>IFERROR(INDEX(ケイパビリティマップ!$E:$E,MATCH(C110,ケイパビリティマップ!$A:$A,0)),"（IDなし）")</f>
        <v/>
      </c>
      <c r="E110" s="23" t="inlineStr">
        <is>
          <t>支援</t>
        </is>
      </c>
      <c r="F110" s="35">
        <f>LEFT(A110,5)</f>
        <v/>
      </c>
      <c r="G110" s="35">
        <f>LEFT(C110,6)</f>
        <v/>
      </c>
    </row>
    <row r="111">
      <c r="A111" s="18" t="inlineStr">
        <is>
          <t>04-02-03</t>
        </is>
      </c>
      <c r="B111" s="20" t="inlineStr">
        <is>
          <t>★GxPシステムの障害によるデータへの影響評価（品質部門の逸脱処理と連携）</t>
        </is>
      </c>
      <c r="C111" s="18" t="inlineStr">
        <is>
          <t>C06-02-01</t>
        </is>
      </c>
      <c r="D111" s="31">
        <f>IFERROR(INDEX(ケイパビリティマップ!$E:$E,MATCH(C111,ケイパビリティマップ!$A:$A,0)),"（IDなし）")</f>
        <v/>
      </c>
      <c r="E111" s="23" t="inlineStr">
        <is>
          <t>主</t>
        </is>
      </c>
      <c r="F111" s="35">
        <f>LEFT(A111,5)</f>
        <v/>
      </c>
      <c r="G111" s="35">
        <f>LEFT(C111,6)</f>
        <v/>
      </c>
    </row>
    <row r="112">
      <c r="A112" s="18" t="inlineStr">
        <is>
          <t>04-02-03</t>
        </is>
      </c>
      <c r="B112" s="20" t="inlineStr">
        <is>
          <t>★GxPシステムの障害によるデータへの影響評価（品質部門の逸脱処理と連携）</t>
        </is>
      </c>
      <c r="C112" s="18" t="inlineStr">
        <is>
          <t>C03-04-01</t>
        </is>
      </c>
      <c r="D112" s="31">
        <f>IFERROR(INDEX(ケイパビリティマップ!$E:$E,MATCH(C112,ケイパビリティマップ!$A:$A,0)),"（IDなし）")</f>
        <v/>
      </c>
      <c r="E112" s="23" t="inlineStr">
        <is>
          <t>支援</t>
        </is>
      </c>
      <c r="F112" s="35">
        <f>LEFT(A112,5)</f>
        <v/>
      </c>
      <c r="G112" s="35">
        <f>LEFT(C112,6)</f>
        <v/>
      </c>
    </row>
    <row r="113">
      <c r="A113" s="18" t="inlineStr">
        <is>
          <t>04-02-04</t>
        </is>
      </c>
      <c r="B113" s="20" t="inlineStr">
        <is>
          <t>★セキュリティインシデントの対応と報告（個人情報の漏えい等の報告を含む）</t>
        </is>
      </c>
      <c r="C113" s="18" t="inlineStr">
        <is>
          <t>C05-03-03</t>
        </is>
      </c>
      <c r="D113" s="31">
        <f>IFERROR(INDEX(ケイパビリティマップ!$E:$E,MATCH(C113,ケイパビリティマップ!$A:$A,0)),"（IDなし）")</f>
        <v/>
      </c>
      <c r="E113" s="23" t="inlineStr">
        <is>
          <t>主</t>
        </is>
      </c>
      <c r="F113" s="35">
        <f>LEFT(A113,5)</f>
        <v/>
      </c>
      <c r="G113" s="35">
        <f>LEFT(C113,6)</f>
        <v/>
      </c>
    </row>
    <row r="114">
      <c r="A114" s="18" t="inlineStr">
        <is>
          <t>04-02-04</t>
        </is>
      </c>
      <c r="B114" s="20" t="inlineStr">
        <is>
          <t>★セキュリティインシデントの対応と報告（個人情報の漏えい等の報告を含む）</t>
        </is>
      </c>
      <c r="C114" s="18" t="inlineStr">
        <is>
          <t>C06-04-01</t>
        </is>
      </c>
      <c r="D114" s="31">
        <f>IFERROR(INDEX(ケイパビリティマップ!$E:$E,MATCH(C114,ケイパビリティマップ!$A:$A,0)),"（IDなし）")</f>
        <v/>
      </c>
      <c r="E114" s="23" t="inlineStr">
        <is>
          <t>主</t>
        </is>
      </c>
      <c r="F114" s="35">
        <f>LEFT(A114,5)</f>
        <v/>
      </c>
      <c r="G114" s="35">
        <f>LEFT(C114,6)</f>
        <v/>
      </c>
    </row>
    <row r="115">
      <c r="A115" s="18" t="inlineStr">
        <is>
          <t>04-02-04</t>
        </is>
      </c>
      <c r="B115" s="20" t="inlineStr">
        <is>
          <t>★セキュリティインシデントの対応と報告（個人情報の漏えい等の報告を含む）</t>
        </is>
      </c>
      <c r="C115" s="18" t="inlineStr">
        <is>
          <t>C06-04-02</t>
        </is>
      </c>
      <c r="D115" s="31">
        <f>IFERROR(INDEX(ケイパビリティマップ!$E:$E,MATCH(C115,ケイパビリティマップ!$A:$A,0)),"（IDなし）")</f>
        <v/>
      </c>
      <c r="E115" s="23" t="inlineStr">
        <is>
          <t>支援</t>
        </is>
      </c>
      <c r="F115" s="35">
        <f>LEFT(A115,5)</f>
        <v/>
      </c>
      <c r="G115" s="35">
        <f>LEFT(C115,6)</f>
        <v/>
      </c>
    </row>
    <row r="116">
      <c r="A116" s="18" t="inlineStr">
        <is>
          <t>04-02-05</t>
        </is>
      </c>
      <c r="B116" s="20" t="inlineStr">
        <is>
          <t>大規模障害・災害からの復旧（IT-BCP）</t>
        </is>
      </c>
      <c r="C116" s="18" t="inlineStr">
        <is>
          <t>C03-04-03</t>
        </is>
      </c>
      <c r="D116" s="31">
        <f>IFERROR(INDEX(ケイパビリティマップ!$E:$E,MATCH(C116,ケイパビリティマップ!$A:$A,0)),"（IDなし）")</f>
        <v/>
      </c>
      <c r="E116" s="23" t="inlineStr">
        <is>
          <t>主</t>
        </is>
      </c>
      <c r="F116" s="35">
        <f>LEFT(A116,5)</f>
        <v/>
      </c>
      <c r="G116" s="35">
        <f>LEFT(C116,6)</f>
        <v/>
      </c>
    </row>
    <row r="117">
      <c r="A117" s="18" t="inlineStr">
        <is>
          <t>04-02-05</t>
        </is>
      </c>
      <c r="B117" s="20" t="inlineStr">
        <is>
          <t>大規模障害・災害からの復旧（IT-BCP）</t>
        </is>
      </c>
      <c r="C117" s="18" t="inlineStr">
        <is>
          <t>C04-01-01</t>
        </is>
      </c>
      <c r="D117" s="31">
        <f>IFERROR(INDEX(ケイパビリティマップ!$E:$E,MATCH(C117,ケイパビリティマップ!$A:$A,0)),"（IDなし）")</f>
        <v/>
      </c>
      <c r="E117" s="23" t="inlineStr">
        <is>
          <t>支援</t>
        </is>
      </c>
      <c r="F117" s="35">
        <f>LEFT(A117,5)</f>
        <v/>
      </c>
      <c r="G117" s="35">
        <f>LEFT(C117,6)</f>
        <v/>
      </c>
    </row>
    <row r="118">
      <c r="A118" s="18" t="inlineStr">
        <is>
          <t>04-02-05</t>
        </is>
      </c>
      <c r="B118" s="20" t="inlineStr">
        <is>
          <t>大規模障害・災害からの復旧（IT-BCP）</t>
        </is>
      </c>
      <c r="C118" s="18" t="inlineStr">
        <is>
          <t>C04-02-02</t>
        </is>
      </c>
      <c r="D118" s="31">
        <f>IFERROR(INDEX(ケイパビリティマップ!$E:$E,MATCH(C118,ケイパビリティマップ!$A:$A,0)),"（IDなし）")</f>
        <v/>
      </c>
      <c r="E118" s="23" t="inlineStr">
        <is>
          <t>支援</t>
        </is>
      </c>
      <c r="F118" s="35">
        <f>LEFT(A118,5)</f>
        <v/>
      </c>
      <c r="G118" s="35">
        <f>LEFT(C118,6)</f>
        <v/>
      </c>
    </row>
    <row r="119">
      <c r="A119" s="18" t="inlineStr">
        <is>
          <t>04-03-01</t>
        </is>
      </c>
      <c r="B119" s="20" t="inlineStr">
        <is>
          <t>問題の根本原因分析</t>
        </is>
      </c>
      <c r="C119" s="18" t="inlineStr">
        <is>
          <t>C03-04-02</t>
        </is>
      </c>
      <c r="D119" s="31">
        <f>IFERROR(INDEX(ケイパビリティマップ!$E:$E,MATCH(C119,ケイパビリティマップ!$A:$A,0)),"（IDなし）")</f>
        <v/>
      </c>
      <c r="E119" s="23" t="inlineStr">
        <is>
          <t>主</t>
        </is>
      </c>
      <c r="F119" s="35">
        <f>LEFT(A119,5)</f>
        <v/>
      </c>
      <c r="G119" s="35">
        <f>LEFT(C119,6)</f>
        <v/>
      </c>
    </row>
    <row r="120">
      <c r="A120" s="18" t="inlineStr">
        <is>
          <t>04-03-02</t>
        </is>
      </c>
      <c r="B120" s="20" t="inlineStr">
        <is>
          <t>★変更要求と影響評価（GxP・データインテグリティ・セキュリティ）</t>
        </is>
      </c>
      <c r="C120" s="18" t="inlineStr">
        <is>
          <t>C03-05-01</t>
        </is>
      </c>
      <c r="D120" s="31">
        <f>IFERROR(INDEX(ケイパビリティマップ!$E:$E,MATCH(C120,ケイパビリティマップ!$A:$A,0)),"（IDなし）")</f>
        <v/>
      </c>
      <c r="E120" s="23" t="inlineStr">
        <is>
          <t>主</t>
        </is>
      </c>
      <c r="F120" s="35">
        <f>LEFT(A120,5)</f>
        <v/>
      </c>
      <c r="G120" s="35">
        <f>LEFT(C120,6)</f>
        <v/>
      </c>
    </row>
    <row r="121">
      <c r="A121" s="18" t="inlineStr">
        <is>
          <t>04-03-02</t>
        </is>
      </c>
      <c r="B121" s="20" t="inlineStr">
        <is>
          <t>★変更要求と影響評価（GxP・データインテグリティ・セキュリティ）</t>
        </is>
      </c>
      <c r="C121" s="18" t="inlineStr">
        <is>
          <t>C06-01-02</t>
        </is>
      </c>
      <c r="D121" s="31">
        <f>IFERROR(INDEX(ケイパビリティマップ!$E:$E,MATCH(C121,ケイパビリティマップ!$A:$A,0)),"（IDなし）")</f>
        <v/>
      </c>
      <c r="E121" s="23" t="inlineStr">
        <is>
          <t>支援</t>
        </is>
      </c>
      <c r="F121" s="35">
        <f>LEFT(A121,5)</f>
        <v/>
      </c>
      <c r="G121" s="35">
        <f>LEFT(C121,6)</f>
        <v/>
      </c>
    </row>
    <row r="122">
      <c r="A122" s="18" t="inlineStr">
        <is>
          <t>04-03-02</t>
        </is>
      </c>
      <c r="B122" s="20" t="inlineStr">
        <is>
          <t>★変更要求と影響評価（GxP・データインテグリティ・セキュリティ）</t>
        </is>
      </c>
      <c r="C122" s="18" t="inlineStr">
        <is>
          <t>C01-04-03</t>
        </is>
      </c>
      <c r="D122" s="31">
        <f>IFERROR(INDEX(ケイパビリティマップ!$E:$E,MATCH(C122,ケイパビリティマップ!$A:$A,0)),"（IDなし）")</f>
        <v/>
      </c>
      <c r="E122" s="23" t="inlineStr">
        <is>
          <t>支援</t>
        </is>
      </c>
      <c r="F122" s="35">
        <f>LEFT(A122,5)</f>
        <v/>
      </c>
      <c r="G122" s="35">
        <f>LEFT(C122,6)</f>
        <v/>
      </c>
    </row>
    <row r="123">
      <c r="A123" s="18" t="inlineStr">
        <is>
          <t>04-03-03</t>
        </is>
      </c>
      <c r="B123" s="20" t="inlineStr">
        <is>
          <t>★変更の実施と再バリデーション</t>
        </is>
      </c>
      <c r="C123" s="18" t="inlineStr">
        <is>
          <t>C03-05-01</t>
        </is>
      </c>
      <c r="D123" s="31">
        <f>IFERROR(INDEX(ケイパビリティマップ!$E:$E,MATCH(C123,ケイパビリティマップ!$A:$A,0)),"（IDなし）")</f>
        <v/>
      </c>
      <c r="E123" s="23" t="inlineStr">
        <is>
          <t>主</t>
        </is>
      </c>
      <c r="F123" s="35">
        <f>LEFT(A123,5)</f>
        <v/>
      </c>
      <c r="G123" s="35">
        <f>LEFT(C123,6)</f>
        <v/>
      </c>
    </row>
    <row r="124">
      <c r="A124" s="18" t="inlineStr">
        <is>
          <t>04-03-03</t>
        </is>
      </c>
      <c r="B124" s="20" t="inlineStr">
        <is>
          <t>★変更の実施と再バリデーション</t>
        </is>
      </c>
      <c r="C124" s="18" t="inlineStr">
        <is>
          <t>C06-01-02</t>
        </is>
      </c>
      <c r="D124" s="31">
        <f>IFERROR(INDEX(ケイパビリティマップ!$E:$E,MATCH(C124,ケイパビリティマップ!$A:$A,0)),"（IDなし）")</f>
        <v/>
      </c>
      <c r="E124" s="23" t="inlineStr">
        <is>
          <t>主</t>
        </is>
      </c>
      <c r="F124" s="35">
        <f>LEFT(A124,5)</f>
        <v/>
      </c>
      <c r="G124" s="35">
        <f>LEFT(C124,6)</f>
        <v/>
      </c>
    </row>
    <row r="125">
      <c r="A125" s="18" t="inlineStr">
        <is>
          <t>04-03-03</t>
        </is>
      </c>
      <c r="B125" s="20" t="inlineStr">
        <is>
          <t>★変更の実施と再バリデーション</t>
        </is>
      </c>
      <c r="C125" s="18" t="inlineStr">
        <is>
          <t>C03-05-02</t>
        </is>
      </c>
      <c r="D125" s="31">
        <f>IFERROR(INDEX(ケイパビリティマップ!$E:$E,MATCH(C125,ケイパビリティマップ!$A:$A,0)),"（IDなし）")</f>
        <v/>
      </c>
      <c r="E125" s="23" t="inlineStr">
        <is>
          <t>支援</t>
        </is>
      </c>
      <c r="F125" s="35">
        <f>LEFT(A125,5)</f>
        <v/>
      </c>
      <c r="G125" s="35">
        <f>LEFT(C125,6)</f>
        <v/>
      </c>
    </row>
    <row r="126">
      <c r="A126" s="18" t="inlineStr">
        <is>
          <t>04-03-03</t>
        </is>
      </c>
      <c r="B126" s="20" t="inlineStr">
        <is>
          <t>★変更の実施と再バリデーション</t>
        </is>
      </c>
      <c r="C126" s="18" t="inlineStr">
        <is>
          <t>C05-02-03</t>
        </is>
      </c>
      <c r="D126" s="31">
        <f>IFERROR(INDEX(ケイパビリティマップ!$E:$E,MATCH(C126,ケイパビリティマップ!$A:$A,0)),"（IDなし）")</f>
        <v/>
      </c>
      <c r="E126" s="23" t="inlineStr">
        <is>
          <t>支援</t>
        </is>
      </c>
      <c r="F126" s="35">
        <f>LEFT(A126,5)</f>
        <v/>
      </c>
      <c r="G126" s="35">
        <f>LEFT(C126,6)</f>
        <v/>
      </c>
    </row>
    <row r="127">
      <c r="A127" s="18" t="inlineStr">
        <is>
          <t>04-03-04</t>
        </is>
      </c>
      <c r="B127" s="20" t="inlineStr">
        <is>
          <t>脆弱性への対応（パッチの適用）</t>
        </is>
      </c>
      <c r="C127" s="18" t="inlineStr">
        <is>
          <t>C05-03-01</t>
        </is>
      </c>
      <c r="D127" s="31">
        <f>IFERROR(INDEX(ケイパビリティマップ!$E:$E,MATCH(C127,ケイパビリティマップ!$A:$A,0)),"（IDなし）")</f>
        <v/>
      </c>
      <c r="E127" s="23" t="inlineStr">
        <is>
          <t>主</t>
        </is>
      </c>
      <c r="F127" s="35">
        <f>LEFT(A127,5)</f>
        <v/>
      </c>
      <c r="G127" s="35">
        <f>LEFT(C127,6)</f>
        <v/>
      </c>
    </row>
    <row r="128">
      <c r="A128" s="18" t="inlineStr">
        <is>
          <t>04-03-04</t>
        </is>
      </c>
      <c r="B128" s="20" t="inlineStr">
        <is>
          <t>脆弱性への対応（パッチの適用）</t>
        </is>
      </c>
      <c r="C128" s="18" t="inlineStr">
        <is>
          <t>C03-05-01</t>
        </is>
      </c>
      <c r="D128" s="31">
        <f>IFERROR(INDEX(ケイパビリティマップ!$E:$E,MATCH(C128,ケイパビリティマップ!$A:$A,0)),"（IDなし）")</f>
        <v/>
      </c>
      <c r="E128" s="23" t="inlineStr">
        <is>
          <t>支援</t>
        </is>
      </c>
      <c r="F128" s="35">
        <f>LEFT(A128,5)</f>
        <v/>
      </c>
      <c r="G128" s="35">
        <f>LEFT(C128,6)</f>
        <v/>
      </c>
    </row>
    <row r="129">
      <c r="A129" s="18" t="inlineStr">
        <is>
          <t>04-04-01</t>
        </is>
      </c>
      <c r="B129" s="20" t="inlineStr">
        <is>
          <t>サービスレベル実績の報告・評価</t>
        </is>
      </c>
      <c r="C129" s="18" t="inlineStr">
        <is>
          <t>C03-01-02</t>
        </is>
      </c>
      <c r="D129" s="31">
        <f>IFERROR(INDEX(ケイパビリティマップ!$E:$E,MATCH(C129,ケイパビリティマップ!$A:$A,0)),"（IDなし）")</f>
        <v/>
      </c>
      <c r="E129" s="23" t="inlineStr">
        <is>
          <t>主</t>
        </is>
      </c>
      <c r="F129" s="35">
        <f>LEFT(A129,5)</f>
        <v/>
      </c>
      <c r="G129" s="35">
        <f>LEFT(C129,6)</f>
        <v/>
      </c>
    </row>
    <row r="130">
      <c r="A130" s="18" t="inlineStr">
        <is>
          <t>04-04-01</t>
        </is>
      </c>
      <c r="B130" s="20" t="inlineStr">
        <is>
          <t>サービスレベル実績の報告・評価</t>
        </is>
      </c>
      <c r="C130" s="18" t="inlineStr">
        <is>
          <t>C06-03-03</t>
        </is>
      </c>
      <c r="D130" s="31">
        <f>IFERROR(INDEX(ケイパビリティマップ!$E:$E,MATCH(C130,ケイパビリティマップ!$A:$A,0)),"（IDなし）")</f>
        <v/>
      </c>
      <c r="E130" s="23" t="inlineStr">
        <is>
          <t>支援</t>
        </is>
      </c>
      <c r="F130" s="35">
        <f>LEFT(A130,5)</f>
        <v/>
      </c>
      <c r="G130" s="35">
        <f>LEFT(C130,6)</f>
        <v/>
      </c>
    </row>
    <row r="131">
      <c r="A131" s="18" t="inlineStr">
        <is>
          <t>04-04-02</t>
        </is>
      </c>
      <c r="B131" s="20" t="inlineStr">
        <is>
          <t>★GxPシステムの定期レビュー</t>
        </is>
      </c>
      <c r="C131" s="18" t="inlineStr">
        <is>
          <t>C06-01-03</t>
        </is>
      </c>
      <c r="D131" s="31">
        <f>IFERROR(INDEX(ケイパビリティマップ!$E:$E,MATCH(C131,ケイパビリティマップ!$A:$A,0)),"（IDなし）")</f>
        <v/>
      </c>
      <c r="E131" s="23" t="inlineStr">
        <is>
          <t>主</t>
        </is>
      </c>
      <c r="F131" s="35">
        <f>LEFT(A131,5)</f>
        <v/>
      </c>
      <c r="G131" s="35">
        <f>LEFT(C131,6)</f>
        <v/>
      </c>
    </row>
    <row r="132">
      <c r="A132" s="18" t="inlineStr">
        <is>
          <t>04-04-02</t>
        </is>
      </c>
      <c r="B132" s="20" t="inlineStr">
        <is>
          <t>★GxPシステムの定期レビュー</t>
        </is>
      </c>
      <c r="C132" s="18" t="inlineStr">
        <is>
          <t>C06-02-02</t>
        </is>
      </c>
      <c r="D132" s="31">
        <f>IFERROR(INDEX(ケイパビリティマップ!$E:$E,MATCH(C132,ケイパビリティマップ!$A:$A,0)),"（IDなし）")</f>
        <v/>
      </c>
      <c r="E132" s="23" t="inlineStr">
        <is>
          <t>支援</t>
        </is>
      </c>
      <c r="F132" s="35">
        <f>LEFT(A132,5)</f>
        <v/>
      </c>
      <c r="G132" s="35">
        <f>LEFT(C132,6)</f>
        <v/>
      </c>
    </row>
    <row r="133">
      <c r="A133" s="18" t="inlineStr">
        <is>
          <t>04-04-03</t>
        </is>
      </c>
      <c r="B133" s="20" t="inlineStr">
        <is>
          <t>★委託先の評価・監督（SLA実績・監査・価格協議）</t>
        </is>
      </c>
      <c r="C133" s="18" t="inlineStr">
        <is>
          <t>C07-01-03</t>
        </is>
      </c>
      <c r="D133" s="31">
        <f>IFERROR(INDEX(ケイパビリティマップ!$E:$E,MATCH(C133,ケイパビリティマップ!$A:$A,0)),"（IDなし）")</f>
        <v/>
      </c>
      <c r="E133" s="23" t="inlineStr">
        <is>
          <t>主</t>
        </is>
      </c>
      <c r="F133" s="35">
        <f>LEFT(A133,5)</f>
        <v/>
      </c>
      <c r="G133" s="35">
        <f>LEFT(C133,6)</f>
        <v/>
      </c>
    </row>
    <row r="134">
      <c r="A134" s="18" t="inlineStr">
        <is>
          <t>04-04-03</t>
        </is>
      </c>
      <c r="B134" s="20" t="inlineStr">
        <is>
          <t>★委託先の評価・監督（SLA実績・監査・価格協議）</t>
        </is>
      </c>
      <c r="C134" s="18" t="inlineStr">
        <is>
          <t>C03-01-02</t>
        </is>
      </c>
      <c r="D134" s="31">
        <f>IFERROR(INDEX(ケイパビリティマップ!$E:$E,MATCH(C134,ケイパビリティマップ!$A:$A,0)),"（IDなし）")</f>
        <v/>
      </c>
      <c r="E134" s="23" t="inlineStr">
        <is>
          <t>支援</t>
        </is>
      </c>
      <c r="F134" s="35">
        <f>LEFT(A134,5)</f>
        <v/>
      </c>
      <c r="G134" s="35">
        <f>LEFT(C134,6)</f>
        <v/>
      </c>
    </row>
    <row r="135">
      <c r="A135" s="18" t="inlineStr">
        <is>
          <t>04-04-04</t>
        </is>
      </c>
      <c r="B135" s="20" t="inlineStr">
        <is>
          <t>★IT全般統制の評価と監査への対応</t>
        </is>
      </c>
      <c r="C135" s="18" t="inlineStr">
        <is>
          <t>C01-04-03</t>
        </is>
      </c>
      <c r="D135" s="31">
        <f>IFERROR(INDEX(ケイパビリティマップ!$E:$E,MATCH(C135,ケイパビリティマップ!$A:$A,0)),"（IDなし）")</f>
        <v/>
      </c>
      <c r="E135" s="23" t="inlineStr">
        <is>
          <t>主</t>
        </is>
      </c>
      <c r="F135" s="35">
        <f>LEFT(A135,5)</f>
        <v/>
      </c>
      <c r="G135" s="35">
        <f>LEFT(C135,6)</f>
        <v/>
      </c>
    </row>
    <row r="136">
      <c r="A136" s="18" t="inlineStr">
        <is>
          <t>04-04-04</t>
        </is>
      </c>
      <c r="B136" s="20" t="inlineStr">
        <is>
          <t>★IT全般統制の評価と監査への対応</t>
        </is>
      </c>
      <c r="C136" s="18" t="inlineStr">
        <is>
          <t>C01-04-02</t>
        </is>
      </c>
      <c r="D136" s="31">
        <f>IFERROR(INDEX(ケイパビリティマップ!$E:$E,MATCH(C136,ケイパビリティマップ!$A:$A,0)),"（IDなし）")</f>
        <v/>
      </c>
      <c r="E136" s="23" t="inlineStr">
        <is>
          <t>支援</t>
        </is>
      </c>
      <c r="F136" s="35">
        <f>LEFT(A136,5)</f>
        <v/>
      </c>
      <c r="G136" s="35">
        <f>LEFT(C136,6)</f>
        <v/>
      </c>
    </row>
    <row r="137">
      <c r="A137" s="18" t="inlineStr">
        <is>
          <t>04-04-05</t>
        </is>
      </c>
      <c r="B137" s="20" t="inlineStr">
        <is>
          <t>★システムの廃止とGxP記録の保存（アーカイブ）</t>
        </is>
      </c>
      <c r="C137" s="18" t="inlineStr">
        <is>
          <t>C06-02-03</t>
        </is>
      </c>
      <c r="D137" s="31">
        <f>IFERROR(INDEX(ケイパビリティマップ!$E:$E,MATCH(C137,ケイパビリティマップ!$A:$A,0)),"（IDなし）")</f>
        <v/>
      </c>
      <c r="E137" s="23" t="inlineStr">
        <is>
          <t>主</t>
        </is>
      </c>
      <c r="F137" s="35">
        <f>LEFT(A137,5)</f>
        <v/>
      </c>
      <c r="G137" s="35">
        <f>LEFT(C137,6)</f>
        <v/>
      </c>
    </row>
    <row r="138">
      <c r="A138" s="18" t="inlineStr">
        <is>
          <t>04-04-05</t>
        </is>
      </c>
      <c r="B138" s="20" t="inlineStr">
        <is>
          <t>★システムの廃止とGxP記録の保存（アーカイブ）</t>
        </is>
      </c>
      <c r="C138" s="18" t="inlineStr">
        <is>
          <t>C01-02-03</t>
        </is>
      </c>
      <c r="D138" s="31">
        <f>IFERROR(INDEX(ケイパビリティマップ!$E:$E,MATCH(C138,ケイパビリティマップ!$A:$A,0)),"（IDなし）")</f>
        <v/>
      </c>
      <c r="E138" s="23" t="inlineStr">
        <is>
          <t>支援</t>
        </is>
      </c>
      <c r="F138" s="35">
        <f>LEFT(A138,5)</f>
        <v/>
      </c>
      <c r="G138" s="35">
        <f>LEFT(C138,6)</f>
        <v/>
      </c>
    </row>
    <row r="139">
      <c r="A139" s="18" t="inlineStr">
        <is>
          <t>04-04-05</t>
        </is>
      </c>
      <c r="B139" s="20" t="inlineStr">
        <is>
          <t>★システムの廃止とGxP記録の保存（アーカイブ）</t>
        </is>
      </c>
      <c r="C139" s="18" t="inlineStr">
        <is>
          <t>C03-05-02</t>
        </is>
      </c>
      <c r="D139" s="31">
        <f>IFERROR(INDEX(ケイパビリティマップ!$E:$E,MATCH(C139,ケイパビリティマップ!$A:$A,0)),"（IDなし）")</f>
        <v/>
      </c>
      <c r="E139" s="23" t="inlineStr">
        <is>
          <t>支援</t>
        </is>
      </c>
      <c r="F139" s="35">
        <f>LEFT(A139,5)</f>
        <v/>
      </c>
      <c r="G139" s="35">
        <f>LEFT(C139,6)</f>
        <v/>
      </c>
    </row>
    <row r="140">
      <c r="A140" s="18" t="inlineStr">
        <is>
          <t>04-04-06</t>
        </is>
      </c>
      <c r="B140" s="20" t="inlineStr">
        <is>
          <t>改善の提案（次の投資要求へ）</t>
        </is>
      </c>
      <c r="C140" s="18" t="inlineStr">
        <is>
          <t>C01-03-01</t>
        </is>
      </c>
      <c r="D140" s="31">
        <f>IFERROR(INDEX(ケイパビリティマップ!$E:$E,MATCH(C140,ケイパビリティマップ!$A:$A,0)),"（IDなし）")</f>
        <v/>
      </c>
      <c r="E140" s="23" t="inlineStr">
        <is>
          <t>主</t>
        </is>
      </c>
      <c r="F140" s="35">
        <f>LEFT(A140,5)</f>
        <v/>
      </c>
      <c r="G140" s="35">
        <f>LEFT(C140,6)</f>
        <v/>
      </c>
    </row>
    <row r="141">
      <c r="A141" s="18" t="inlineStr">
        <is>
          <t>04-04-06</t>
        </is>
      </c>
      <c r="B141" s="20" t="inlineStr">
        <is>
          <t>改善の提案（次の投資要求へ）</t>
        </is>
      </c>
      <c r="C141" s="18" t="inlineStr">
        <is>
          <t>C01-04-02</t>
        </is>
      </c>
      <c r="D141" s="31">
        <f>IFERROR(INDEX(ケイパビリティマップ!$E:$E,MATCH(C141,ケイパビリティマップ!$A:$A,0)),"（IDなし）")</f>
        <v/>
      </c>
      <c r="E141" s="23" t="inlineStr">
        <is>
          <t>支援</t>
        </is>
      </c>
      <c r="F141" s="35">
        <f>LEFT(A141,5)</f>
        <v/>
      </c>
      <c r="G141" s="35">
        <f>LEFT(C141,6)</f>
        <v/>
      </c>
    </row>
    <row r="142">
      <c r="A142" s="36" t="n"/>
      <c r="B142" s="36" t="n"/>
      <c r="C142" s="36" t="n"/>
      <c r="D142" s="37">
        <f>IF(C142="","",IFERROR(INDEX(ケイパビリティマップ!$E:$E,MATCH(C142,ケイパビリティマップ!$A:$A,0)),"（IDなし）"))</f>
        <v/>
      </c>
      <c r="E142" s="36" t="n"/>
      <c r="F142" s="37">
        <f>IF(A142="","",LEFT(A142,5))</f>
        <v/>
      </c>
      <c r="G142" s="37">
        <f>IF(C142="","",LEFT(C142,6))</f>
        <v/>
      </c>
    </row>
    <row r="143">
      <c r="A143" s="36" t="n"/>
      <c r="B143" s="36" t="n"/>
      <c r="C143" s="36" t="n"/>
      <c r="D143" s="37">
        <f>IF(C143="","",IFERROR(INDEX(ケイパビリティマップ!$E:$E,MATCH(C143,ケイパビリティマップ!$A:$A,0)),"（IDなし）"))</f>
        <v/>
      </c>
      <c r="E143" s="36" t="n"/>
      <c r="F143" s="37">
        <f>IF(A143="","",LEFT(A143,5))</f>
        <v/>
      </c>
      <c r="G143" s="37">
        <f>IF(C143="","",LEFT(C143,6))</f>
        <v/>
      </c>
    </row>
    <row r="144">
      <c r="A144" s="36" t="n"/>
      <c r="B144" s="36" t="n"/>
      <c r="C144" s="36" t="n"/>
      <c r="D144" s="37">
        <f>IF(C144="","",IFERROR(INDEX(ケイパビリティマップ!$E:$E,MATCH(C144,ケイパビリティマップ!$A:$A,0)),"（IDなし）"))</f>
        <v/>
      </c>
      <c r="E144" s="36" t="n"/>
      <c r="F144" s="37">
        <f>IF(A144="","",LEFT(A144,5))</f>
        <v/>
      </c>
      <c r="G144" s="37">
        <f>IF(C144="","",LEFT(C144,6))</f>
        <v/>
      </c>
    </row>
    <row r="145">
      <c r="A145" s="36" t="n"/>
      <c r="B145" s="36" t="n"/>
      <c r="C145" s="36" t="n"/>
      <c r="D145" s="37">
        <f>IF(C145="","",IFERROR(INDEX(ケイパビリティマップ!$E:$E,MATCH(C145,ケイパビリティマップ!$A:$A,0)),"（IDなし）"))</f>
        <v/>
      </c>
      <c r="E145" s="36" t="n"/>
      <c r="F145" s="37">
        <f>IF(A145="","",LEFT(A145,5))</f>
        <v/>
      </c>
      <c r="G145" s="37">
        <f>IF(C145="","",LEFT(C145,6))</f>
        <v/>
      </c>
    </row>
    <row r="146">
      <c r="A146" s="36" t="n"/>
      <c r="B146" s="36" t="n"/>
      <c r="C146" s="36" t="n"/>
      <c r="D146" s="37">
        <f>IF(C146="","",IFERROR(INDEX(ケイパビリティマップ!$E:$E,MATCH(C146,ケイパビリティマップ!$A:$A,0)),"（IDなし）"))</f>
        <v/>
      </c>
      <c r="E146" s="36" t="n"/>
      <c r="F146" s="37">
        <f>IF(A146="","",LEFT(A146,5))</f>
        <v/>
      </c>
      <c r="G146" s="37">
        <f>IF(C146="","",LEFT(C146,6))</f>
        <v/>
      </c>
    </row>
    <row r="147">
      <c r="A147" s="36" t="n"/>
      <c r="B147" s="36" t="n"/>
      <c r="C147" s="36" t="n"/>
      <c r="D147" s="37">
        <f>IF(C147="","",IFERROR(INDEX(ケイパビリティマップ!$E:$E,MATCH(C147,ケイパビリティマップ!$A:$A,0)),"（IDなし）"))</f>
        <v/>
      </c>
      <c r="E147" s="36" t="n"/>
      <c r="F147" s="37">
        <f>IF(A147="","",LEFT(A147,5))</f>
        <v/>
      </c>
      <c r="G147" s="37">
        <f>IF(C147="","",LEFT(C147,6))</f>
        <v/>
      </c>
    </row>
    <row r="148">
      <c r="A148" s="36" t="n"/>
      <c r="B148" s="36" t="n"/>
      <c r="C148" s="36" t="n"/>
      <c r="D148" s="37">
        <f>IF(C148="","",IFERROR(INDEX(ケイパビリティマップ!$E:$E,MATCH(C148,ケイパビリティマップ!$A:$A,0)),"（IDなし）"))</f>
        <v/>
      </c>
      <c r="E148" s="36" t="n"/>
      <c r="F148" s="37">
        <f>IF(A148="","",LEFT(A148,5))</f>
        <v/>
      </c>
      <c r="G148" s="37">
        <f>IF(C148="","",LEFT(C148,6))</f>
        <v/>
      </c>
    </row>
    <row r="149">
      <c r="A149" s="36" t="n"/>
      <c r="B149" s="36" t="n"/>
      <c r="C149" s="36" t="n"/>
      <c r="D149" s="37">
        <f>IF(C149="","",IFERROR(INDEX(ケイパビリティマップ!$E:$E,MATCH(C149,ケイパビリティマップ!$A:$A,0)),"（IDなし）"))</f>
        <v/>
      </c>
      <c r="E149" s="36" t="n"/>
      <c r="F149" s="37">
        <f>IF(A149="","",LEFT(A149,5))</f>
        <v/>
      </c>
      <c r="G149" s="37">
        <f>IF(C149="","",LEFT(C149,6))</f>
        <v/>
      </c>
    </row>
    <row r="150">
      <c r="A150" s="36" t="n"/>
      <c r="B150" s="36" t="n"/>
      <c r="C150" s="36" t="n"/>
      <c r="D150" s="37">
        <f>IF(C150="","",IFERROR(INDEX(ケイパビリティマップ!$E:$E,MATCH(C150,ケイパビリティマップ!$A:$A,0)),"（IDなし）"))</f>
        <v/>
      </c>
      <c r="E150" s="36" t="n"/>
      <c r="F150" s="37">
        <f>IF(A150="","",LEFT(A150,5))</f>
        <v/>
      </c>
      <c r="G150" s="37">
        <f>IF(C150="","",LEFT(C150,6))</f>
        <v/>
      </c>
    </row>
    <row r="151">
      <c r="A151" s="36" t="n"/>
      <c r="B151" s="36" t="n"/>
      <c r="C151" s="36" t="n"/>
      <c r="D151" s="37">
        <f>IF(C151="","",IFERROR(INDEX(ケイパビリティマップ!$E:$E,MATCH(C151,ケイパビリティマップ!$A:$A,0)),"（IDなし）"))</f>
        <v/>
      </c>
      <c r="E151" s="36" t="n"/>
      <c r="F151" s="37">
        <f>IF(A151="","",LEFT(A151,5))</f>
        <v/>
      </c>
      <c r="G151" s="37">
        <f>IF(C151="","",LEFT(C151,6))</f>
        <v/>
      </c>
    </row>
    <row r="152">
      <c r="A152" s="36" t="n"/>
      <c r="B152" s="36" t="n"/>
      <c r="C152" s="36" t="n"/>
      <c r="D152" s="37">
        <f>IF(C152="","",IFERROR(INDEX(ケイパビリティマップ!$E:$E,MATCH(C152,ケイパビリティマップ!$A:$A,0)),"（IDなし）"))</f>
        <v/>
      </c>
      <c r="E152" s="36" t="n"/>
      <c r="F152" s="37">
        <f>IF(A152="","",LEFT(A152,5))</f>
        <v/>
      </c>
      <c r="G152" s="37">
        <f>IF(C152="","",LEFT(C152,6))</f>
        <v/>
      </c>
    </row>
    <row r="153">
      <c r="A153" s="36" t="n"/>
      <c r="B153" s="36" t="n"/>
      <c r="C153" s="36" t="n"/>
      <c r="D153" s="37">
        <f>IF(C153="","",IFERROR(INDEX(ケイパビリティマップ!$E:$E,MATCH(C153,ケイパビリティマップ!$A:$A,0)),"（IDなし）"))</f>
        <v/>
      </c>
      <c r="E153" s="36" t="n"/>
      <c r="F153" s="37">
        <f>IF(A153="","",LEFT(A153,5))</f>
        <v/>
      </c>
      <c r="G153" s="37">
        <f>IF(C153="","",LEFT(C153,6))</f>
        <v/>
      </c>
    </row>
    <row r="154">
      <c r="A154" s="36" t="n"/>
      <c r="B154" s="36" t="n"/>
      <c r="C154" s="36" t="n"/>
      <c r="D154" s="37">
        <f>IF(C154="","",IFERROR(INDEX(ケイパビリティマップ!$E:$E,MATCH(C154,ケイパビリティマップ!$A:$A,0)),"（IDなし）"))</f>
        <v/>
      </c>
      <c r="E154" s="36" t="n"/>
      <c r="F154" s="37">
        <f>IF(A154="","",LEFT(A154,5))</f>
        <v/>
      </c>
      <c r="G154" s="37">
        <f>IF(C154="","",LEFT(C154,6))</f>
        <v/>
      </c>
    </row>
    <row r="155">
      <c r="A155" s="36" t="n"/>
      <c r="B155" s="36" t="n"/>
      <c r="C155" s="36" t="n"/>
      <c r="D155" s="37">
        <f>IF(C155="","",IFERROR(INDEX(ケイパビリティマップ!$E:$E,MATCH(C155,ケイパビリティマップ!$A:$A,0)),"（IDなし）"))</f>
        <v/>
      </c>
      <c r="E155" s="36" t="n"/>
      <c r="F155" s="37">
        <f>IF(A155="","",LEFT(A155,5))</f>
        <v/>
      </c>
      <c r="G155" s="37">
        <f>IF(C155="","",LEFT(C155,6))</f>
        <v/>
      </c>
    </row>
    <row r="156">
      <c r="A156" s="36" t="n"/>
      <c r="B156" s="36" t="n"/>
      <c r="C156" s="36" t="n"/>
      <c r="D156" s="37">
        <f>IF(C156="","",IFERROR(INDEX(ケイパビリティマップ!$E:$E,MATCH(C156,ケイパビリティマップ!$A:$A,0)),"（IDなし）"))</f>
        <v/>
      </c>
      <c r="E156" s="36" t="n"/>
      <c r="F156" s="37">
        <f>IF(A156="","",LEFT(A156,5))</f>
        <v/>
      </c>
      <c r="G156" s="37">
        <f>IF(C156="","",LEFT(C156,6))</f>
        <v/>
      </c>
    </row>
    <row r="157">
      <c r="A157" s="36" t="n"/>
      <c r="B157" s="36" t="n"/>
      <c r="C157" s="36" t="n"/>
      <c r="D157" s="37">
        <f>IF(C157="","",IFERROR(INDEX(ケイパビリティマップ!$E:$E,MATCH(C157,ケイパビリティマップ!$A:$A,0)),"（IDなし）"))</f>
        <v/>
      </c>
      <c r="E157" s="36" t="n"/>
      <c r="F157" s="37">
        <f>IF(A157="","",LEFT(A157,5))</f>
        <v/>
      </c>
      <c r="G157" s="37">
        <f>IF(C157="","",LEFT(C157,6))</f>
        <v/>
      </c>
    </row>
    <row r="158">
      <c r="A158" s="36" t="n"/>
      <c r="B158" s="36" t="n"/>
      <c r="C158" s="36" t="n"/>
      <c r="D158" s="37">
        <f>IF(C158="","",IFERROR(INDEX(ケイパビリティマップ!$E:$E,MATCH(C158,ケイパビリティマップ!$A:$A,0)),"（IDなし）"))</f>
        <v/>
      </c>
      <c r="E158" s="36" t="n"/>
      <c r="F158" s="37">
        <f>IF(A158="","",LEFT(A158,5))</f>
        <v/>
      </c>
      <c r="G158" s="37">
        <f>IF(C158="","",LEFT(C158,6))</f>
        <v/>
      </c>
    </row>
    <row r="159">
      <c r="A159" s="36" t="n"/>
      <c r="B159" s="36" t="n"/>
      <c r="C159" s="36" t="n"/>
      <c r="D159" s="37">
        <f>IF(C159="","",IFERROR(INDEX(ケイパビリティマップ!$E:$E,MATCH(C159,ケイパビリティマップ!$A:$A,0)),"（IDなし）"))</f>
        <v/>
      </c>
      <c r="E159" s="36" t="n"/>
      <c r="F159" s="37">
        <f>IF(A159="","",LEFT(A159,5))</f>
        <v/>
      </c>
      <c r="G159" s="37">
        <f>IF(C159="","",LEFT(C159,6))</f>
        <v/>
      </c>
    </row>
    <row r="160">
      <c r="A160" s="36" t="n"/>
      <c r="B160" s="36" t="n"/>
      <c r="C160" s="36" t="n"/>
      <c r="D160" s="37">
        <f>IF(C160="","",IFERROR(INDEX(ケイパビリティマップ!$E:$E,MATCH(C160,ケイパビリティマップ!$A:$A,0)),"（IDなし）"))</f>
        <v/>
      </c>
      <c r="E160" s="36" t="n"/>
      <c r="F160" s="37">
        <f>IF(A160="","",LEFT(A160,5))</f>
        <v/>
      </c>
      <c r="G160" s="37">
        <f>IF(C160="","",LEFT(C160,6))</f>
        <v/>
      </c>
    </row>
    <row r="161">
      <c r="A161" s="36" t="n"/>
      <c r="B161" s="36" t="n"/>
      <c r="C161" s="36" t="n"/>
      <c r="D161" s="37">
        <f>IF(C161="","",IFERROR(INDEX(ケイパビリティマップ!$E:$E,MATCH(C161,ケイパビリティマップ!$A:$A,0)),"（IDなし）"))</f>
        <v/>
      </c>
      <c r="E161" s="36" t="n"/>
      <c r="F161" s="37">
        <f>IF(A161="","",LEFT(A161,5))</f>
        <v/>
      </c>
      <c r="G161" s="37">
        <f>IF(C161="","",LEFT(C161,6))</f>
        <v/>
      </c>
    </row>
    <row r="162">
      <c r="A162" s="36" t="n"/>
      <c r="B162" s="36" t="n"/>
      <c r="C162" s="36" t="n"/>
      <c r="D162" s="37">
        <f>IF(C162="","",IFERROR(INDEX(ケイパビリティマップ!$E:$E,MATCH(C162,ケイパビリティマップ!$A:$A,0)),"（IDなし）"))</f>
        <v/>
      </c>
      <c r="E162" s="36" t="n"/>
      <c r="F162" s="37">
        <f>IF(A162="","",LEFT(A162,5))</f>
        <v/>
      </c>
      <c r="G162" s="37">
        <f>IF(C162="","",LEFT(C162,6))</f>
        <v/>
      </c>
    </row>
    <row r="163">
      <c r="A163" s="36" t="n"/>
      <c r="B163" s="36" t="n"/>
      <c r="C163" s="36" t="n"/>
      <c r="D163" s="37">
        <f>IF(C163="","",IFERROR(INDEX(ケイパビリティマップ!$E:$E,MATCH(C163,ケイパビリティマップ!$A:$A,0)),"（IDなし）"))</f>
        <v/>
      </c>
      <c r="E163" s="36" t="n"/>
      <c r="F163" s="37">
        <f>IF(A163="","",LEFT(A163,5))</f>
        <v/>
      </c>
      <c r="G163" s="37">
        <f>IF(C163="","",LEFT(C163,6))</f>
        <v/>
      </c>
    </row>
    <row r="164">
      <c r="A164" s="36" t="n"/>
      <c r="B164" s="36" t="n"/>
      <c r="C164" s="36" t="n"/>
      <c r="D164" s="37">
        <f>IF(C164="","",IFERROR(INDEX(ケイパビリティマップ!$E:$E,MATCH(C164,ケイパビリティマップ!$A:$A,0)),"（IDなし）"))</f>
        <v/>
      </c>
      <c r="E164" s="36" t="n"/>
      <c r="F164" s="37">
        <f>IF(A164="","",LEFT(A164,5))</f>
        <v/>
      </c>
      <c r="G164" s="37">
        <f>IF(C164="","",LEFT(C164,6))</f>
        <v/>
      </c>
    </row>
    <row r="165">
      <c r="A165" s="36" t="n"/>
      <c r="B165" s="36" t="n"/>
      <c r="C165" s="36" t="n"/>
      <c r="D165" s="37">
        <f>IF(C165="","",IFERROR(INDEX(ケイパビリティマップ!$E:$E,MATCH(C165,ケイパビリティマップ!$A:$A,0)),"（IDなし）"))</f>
        <v/>
      </c>
      <c r="E165" s="36" t="n"/>
      <c r="F165" s="37">
        <f>IF(A165="","",LEFT(A165,5))</f>
        <v/>
      </c>
      <c r="G165" s="37">
        <f>IF(C165="","",LEFT(C165,6))</f>
        <v/>
      </c>
    </row>
    <row r="166">
      <c r="A166" s="36" t="n"/>
      <c r="B166" s="36" t="n"/>
      <c r="C166" s="36" t="n"/>
      <c r="D166" s="37">
        <f>IF(C166="","",IFERROR(INDEX(ケイパビリティマップ!$E:$E,MATCH(C166,ケイパビリティマップ!$A:$A,0)),"（IDなし）"))</f>
        <v/>
      </c>
      <c r="E166" s="36" t="n"/>
      <c r="F166" s="37">
        <f>IF(A166="","",LEFT(A166,5))</f>
        <v/>
      </c>
      <c r="G166" s="37">
        <f>IF(C166="","",LEFT(C166,6))</f>
        <v/>
      </c>
    </row>
    <row r="167">
      <c r="A167" s="36" t="n"/>
      <c r="B167" s="36" t="n"/>
      <c r="C167" s="36" t="n"/>
      <c r="D167" s="37">
        <f>IF(C167="","",IFERROR(INDEX(ケイパビリティマップ!$E:$E,MATCH(C167,ケイパビリティマップ!$A:$A,0)),"（IDなし）"))</f>
        <v/>
      </c>
      <c r="E167" s="36" t="n"/>
      <c r="F167" s="37">
        <f>IF(A167="","",LEFT(A167,5))</f>
        <v/>
      </c>
      <c r="G167" s="37">
        <f>IF(C167="","",LEFT(C167,6))</f>
        <v/>
      </c>
    </row>
    <row r="168">
      <c r="A168" s="36" t="n"/>
      <c r="B168" s="36" t="n"/>
      <c r="C168" s="36" t="n"/>
      <c r="D168" s="37">
        <f>IF(C168="","",IFERROR(INDEX(ケイパビリティマップ!$E:$E,MATCH(C168,ケイパビリティマップ!$A:$A,0)),"（IDなし）"))</f>
        <v/>
      </c>
      <c r="E168" s="36" t="n"/>
      <c r="F168" s="37">
        <f>IF(A168="","",LEFT(A168,5))</f>
        <v/>
      </c>
      <c r="G168" s="37">
        <f>IF(C168="","",LEFT(C168,6))</f>
        <v/>
      </c>
    </row>
    <row r="169">
      <c r="A169" s="36" t="n"/>
      <c r="B169" s="36" t="n"/>
      <c r="C169" s="36" t="n"/>
      <c r="D169" s="37">
        <f>IF(C169="","",IFERROR(INDEX(ケイパビリティマップ!$E:$E,MATCH(C169,ケイパビリティマップ!$A:$A,0)),"（IDなし）"))</f>
        <v/>
      </c>
      <c r="E169" s="36" t="n"/>
      <c r="F169" s="37">
        <f>IF(A169="","",LEFT(A169,5))</f>
        <v/>
      </c>
      <c r="G169" s="37">
        <f>IF(C169="","",LEFT(C169,6))</f>
        <v/>
      </c>
    </row>
    <row r="170">
      <c r="A170" s="36" t="n"/>
      <c r="B170" s="36" t="n"/>
      <c r="C170" s="36" t="n"/>
      <c r="D170" s="37">
        <f>IF(C170="","",IFERROR(INDEX(ケイパビリティマップ!$E:$E,MATCH(C170,ケイパビリティマップ!$A:$A,0)),"（IDなし）"))</f>
        <v/>
      </c>
      <c r="E170" s="36" t="n"/>
      <c r="F170" s="37">
        <f>IF(A170="","",LEFT(A170,5))</f>
        <v/>
      </c>
      <c r="G170" s="37">
        <f>IF(C170="","",LEFT(C170,6))</f>
        <v/>
      </c>
    </row>
    <row r="171">
      <c r="A171" s="36" t="n"/>
      <c r="B171" s="36" t="n"/>
      <c r="C171" s="36" t="n"/>
      <c r="D171" s="37">
        <f>IF(C171="","",IFERROR(INDEX(ケイパビリティマップ!$E:$E,MATCH(C171,ケイパビリティマップ!$A:$A,0)),"（IDなし）"))</f>
        <v/>
      </c>
      <c r="E171" s="36" t="n"/>
      <c r="F171" s="37">
        <f>IF(A171="","",LEFT(A171,5))</f>
        <v/>
      </c>
      <c r="G171" s="37">
        <f>IF(C171="","",LEFT(C171,6))</f>
        <v/>
      </c>
    </row>
    <row r="172">
      <c r="A172" s="36" t="n"/>
      <c r="B172" s="36" t="n"/>
      <c r="C172" s="36" t="n"/>
      <c r="D172" s="37">
        <f>IF(C172="","",IFERROR(INDEX(ケイパビリティマップ!$E:$E,MATCH(C172,ケイパビリティマップ!$A:$A,0)),"（IDなし）"))</f>
        <v/>
      </c>
      <c r="E172" s="36" t="n"/>
      <c r="F172" s="37">
        <f>IF(A172="","",LEFT(A172,5))</f>
        <v/>
      </c>
      <c r="G172" s="37">
        <f>IF(C172="","",LEFT(C172,6))</f>
        <v/>
      </c>
    </row>
    <row r="173">
      <c r="A173" s="36" t="n"/>
      <c r="B173" s="36" t="n"/>
      <c r="C173" s="36" t="n"/>
      <c r="D173" s="37">
        <f>IF(C173="","",IFERROR(INDEX(ケイパビリティマップ!$E:$E,MATCH(C173,ケイパビリティマップ!$A:$A,0)),"（IDなし）"))</f>
        <v/>
      </c>
      <c r="E173" s="36" t="n"/>
      <c r="F173" s="37">
        <f>IF(A173="","",LEFT(A173,5))</f>
        <v/>
      </c>
      <c r="G173" s="37">
        <f>IF(C173="","",LEFT(C173,6))</f>
        <v/>
      </c>
    </row>
    <row r="174">
      <c r="A174" s="36" t="n"/>
      <c r="B174" s="36" t="n"/>
      <c r="C174" s="36" t="n"/>
      <c r="D174" s="37">
        <f>IF(C174="","",IFERROR(INDEX(ケイパビリティマップ!$E:$E,MATCH(C174,ケイパビリティマップ!$A:$A,0)),"（IDなし）"))</f>
        <v/>
      </c>
      <c r="E174" s="36" t="n"/>
      <c r="F174" s="37">
        <f>IF(A174="","",LEFT(A174,5))</f>
        <v/>
      </c>
      <c r="G174" s="37">
        <f>IF(C174="","",LEFT(C174,6))</f>
        <v/>
      </c>
    </row>
    <row r="175">
      <c r="A175" s="36" t="n"/>
      <c r="B175" s="36" t="n"/>
      <c r="C175" s="36" t="n"/>
      <c r="D175" s="37">
        <f>IF(C175="","",IFERROR(INDEX(ケイパビリティマップ!$E:$E,MATCH(C175,ケイパビリティマップ!$A:$A,0)),"（IDなし）"))</f>
        <v/>
      </c>
      <c r="E175" s="36" t="n"/>
      <c r="F175" s="37">
        <f>IF(A175="","",LEFT(A175,5))</f>
        <v/>
      </c>
      <c r="G175" s="37">
        <f>IF(C175="","",LEFT(C175,6))</f>
        <v/>
      </c>
    </row>
    <row r="176">
      <c r="A176" s="36" t="n"/>
      <c r="B176" s="36" t="n"/>
      <c r="C176" s="36" t="n"/>
      <c r="D176" s="37">
        <f>IF(C176="","",IFERROR(INDEX(ケイパビリティマップ!$E:$E,MATCH(C176,ケイパビリティマップ!$A:$A,0)),"（IDなし）"))</f>
        <v/>
      </c>
      <c r="E176" s="36" t="n"/>
      <c r="F176" s="37">
        <f>IF(A176="","",LEFT(A176,5))</f>
        <v/>
      </c>
      <c r="G176" s="37">
        <f>IF(C176="","",LEFT(C176,6))</f>
        <v/>
      </c>
    </row>
    <row r="177">
      <c r="A177" s="36" t="n"/>
      <c r="B177" s="36" t="n"/>
      <c r="C177" s="36" t="n"/>
      <c r="D177" s="37">
        <f>IF(C177="","",IFERROR(INDEX(ケイパビリティマップ!$E:$E,MATCH(C177,ケイパビリティマップ!$A:$A,0)),"（IDなし）"))</f>
        <v/>
      </c>
      <c r="E177" s="36" t="n"/>
      <c r="F177" s="37">
        <f>IF(A177="","",LEFT(A177,5))</f>
        <v/>
      </c>
      <c r="G177" s="37">
        <f>IF(C177="","",LEFT(C177,6))</f>
        <v/>
      </c>
    </row>
    <row r="178">
      <c r="A178" s="36" t="n"/>
      <c r="B178" s="36" t="n"/>
      <c r="C178" s="36" t="n"/>
      <c r="D178" s="37">
        <f>IF(C178="","",IFERROR(INDEX(ケイパビリティマップ!$E:$E,MATCH(C178,ケイパビリティマップ!$A:$A,0)),"（IDなし）"))</f>
        <v/>
      </c>
      <c r="E178" s="36" t="n"/>
      <c r="F178" s="37">
        <f>IF(A178="","",LEFT(A178,5))</f>
        <v/>
      </c>
      <c r="G178" s="37">
        <f>IF(C178="","",LEFT(C178,6))</f>
        <v/>
      </c>
    </row>
    <row r="179">
      <c r="A179" s="36" t="n"/>
      <c r="B179" s="36" t="n"/>
      <c r="C179" s="36" t="n"/>
      <c r="D179" s="37">
        <f>IF(C179="","",IFERROR(INDEX(ケイパビリティマップ!$E:$E,MATCH(C179,ケイパビリティマップ!$A:$A,0)),"（IDなし）"))</f>
        <v/>
      </c>
      <c r="E179" s="36" t="n"/>
      <c r="F179" s="37">
        <f>IF(A179="","",LEFT(A179,5))</f>
        <v/>
      </c>
      <c r="G179" s="37">
        <f>IF(C179="","",LEFT(C179,6))</f>
        <v/>
      </c>
    </row>
    <row r="180">
      <c r="A180" s="36" t="n"/>
      <c r="B180" s="36" t="n"/>
      <c r="C180" s="36" t="n"/>
      <c r="D180" s="37">
        <f>IF(C180="","",IFERROR(INDEX(ケイパビリティマップ!$E:$E,MATCH(C180,ケイパビリティマップ!$A:$A,0)),"（IDなし）"))</f>
        <v/>
      </c>
      <c r="E180" s="36" t="n"/>
      <c r="F180" s="37">
        <f>IF(A180="","",LEFT(A180,5))</f>
        <v/>
      </c>
      <c r="G180" s="37">
        <f>IF(C180="","",LEFT(C180,6))</f>
        <v/>
      </c>
    </row>
    <row r="181">
      <c r="A181" s="36" t="n"/>
      <c r="B181" s="36" t="n"/>
      <c r="C181" s="36" t="n"/>
      <c r="D181" s="37">
        <f>IF(C181="","",IFERROR(INDEX(ケイパビリティマップ!$E:$E,MATCH(C181,ケイパビリティマップ!$A:$A,0)),"（IDなし）"))</f>
        <v/>
      </c>
      <c r="E181" s="36" t="n"/>
      <c r="F181" s="37">
        <f>IF(A181="","",LEFT(A181,5))</f>
        <v/>
      </c>
      <c r="G181" s="37">
        <f>IF(C181="","",LEFT(C181,6))</f>
        <v/>
      </c>
    </row>
    <row r="182">
      <c r="A182" s="36" t="n"/>
      <c r="B182" s="36" t="n"/>
      <c r="C182" s="36" t="n"/>
      <c r="D182" s="37">
        <f>IF(C182="","",IFERROR(INDEX(ケイパビリティマップ!$E:$E,MATCH(C182,ケイパビリティマップ!$A:$A,0)),"（IDなし）"))</f>
        <v/>
      </c>
      <c r="E182" s="36" t="n"/>
      <c r="F182" s="37">
        <f>IF(A182="","",LEFT(A182,5))</f>
        <v/>
      </c>
      <c r="G182" s="37">
        <f>IF(C182="","",LEFT(C182,6))</f>
        <v/>
      </c>
    </row>
    <row r="183">
      <c r="A183" s="36" t="n"/>
      <c r="B183" s="36" t="n"/>
      <c r="C183" s="36" t="n"/>
      <c r="D183" s="37">
        <f>IF(C183="","",IFERROR(INDEX(ケイパビリティマップ!$E:$E,MATCH(C183,ケイパビリティマップ!$A:$A,0)),"（IDなし）"))</f>
        <v/>
      </c>
      <c r="E183" s="36" t="n"/>
      <c r="F183" s="37">
        <f>IF(A183="","",LEFT(A183,5))</f>
        <v/>
      </c>
      <c r="G183" s="37">
        <f>IF(C183="","",LEFT(C183,6))</f>
        <v/>
      </c>
    </row>
    <row r="184">
      <c r="A184" s="36" t="n"/>
      <c r="B184" s="36" t="n"/>
      <c r="C184" s="36" t="n"/>
      <c r="D184" s="37">
        <f>IF(C184="","",IFERROR(INDEX(ケイパビリティマップ!$E:$E,MATCH(C184,ケイパビリティマップ!$A:$A,0)),"（IDなし）"))</f>
        <v/>
      </c>
      <c r="E184" s="36" t="n"/>
      <c r="F184" s="37">
        <f>IF(A184="","",LEFT(A184,5))</f>
        <v/>
      </c>
      <c r="G184" s="37">
        <f>IF(C184="","",LEFT(C184,6))</f>
        <v/>
      </c>
    </row>
    <row r="185">
      <c r="A185" s="36" t="n"/>
      <c r="B185" s="36" t="n"/>
      <c r="C185" s="36" t="n"/>
      <c r="D185" s="37">
        <f>IF(C185="","",IFERROR(INDEX(ケイパビリティマップ!$E:$E,MATCH(C185,ケイパビリティマップ!$A:$A,0)),"（IDなし）"))</f>
        <v/>
      </c>
      <c r="E185" s="36" t="n"/>
      <c r="F185" s="37">
        <f>IF(A185="","",LEFT(A185,5))</f>
        <v/>
      </c>
      <c r="G185" s="37">
        <f>IF(C185="","",LEFT(C185,6))</f>
        <v/>
      </c>
    </row>
    <row r="186">
      <c r="A186" s="36" t="n"/>
      <c r="B186" s="36" t="n"/>
      <c r="C186" s="36" t="n"/>
      <c r="D186" s="37">
        <f>IF(C186="","",IFERROR(INDEX(ケイパビリティマップ!$E:$E,MATCH(C186,ケイパビリティマップ!$A:$A,0)),"（IDなし）"))</f>
        <v/>
      </c>
      <c r="E186" s="36" t="n"/>
      <c r="F186" s="37">
        <f>IF(A186="","",LEFT(A186,5))</f>
        <v/>
      </c>
      <c r="G186" s="37">
        <f>IF(C186="","",LEFT(C186,6))</f>
        <v/>
      </c>
    </row>
    <row r="187">
      <c r="A187" s="36" t="n"/>
      <c r="B187" s="36" t="n"/>
      <c r="C187" s="36" t="n"/>
      <c r="D187" s="37">
        <f>IF(C187="","",IFERROR(INDEX(ケイパビリティマップ!$E:$E,MATCH(C187,ケイパビリティマップ!$A:$A,0)),"（IDなし）"))</f>
        <v/>
      </c>
      <c r="E187" s="36" t="n"/>
      <c r="F187" s="37">
        <f>IF(A187="","",LEFT(A187,5))</f>
        <v/>
      </c>
      <c r="G187" s="37">
        <f>IF(C187="","",LEFT(C187,6))</f>
        <v/>
      </c>
    </row>
    <row r="188">
      <c r="A188" s="36" t="n"/>
      <c r="B188" s="36" t="n"/>
      <c r="C188" s="36" t="n"/>
      <c r="D188" s="37">
        <f>IF(C188="","",IFERROR(INDEX(ケイパビリティマップ!$E:$E,MATCH(C188,ケイパビリティマップ!$A:$A,0)),"（IDなし）"))</f>
        <v/>
      </c>
      <c r="E188" s="36" t="n"/>
      <c r="F188" s="37">
        <f>IF(A188="","",LEFT(A188,5))</f>
        <v/>
      </c>
      <c r="G188" s="37">
        <f>IF(C188="","",LEFT(C188,6))</f>
        <v/>
      </c>
    </row>
    <row r="189">
      <c r="A189" s="36" t="n"/>
      <c r="B189" s="36" t="n"/>
      <c r="C189" s="36" t="n"/>
      <c r="D189" s="37">
        <f>IF(C189="","",IFERROR(INDEX(ケイパビリティマップ!$E:$E,MATCH(C189,ケイパビリティマップ!$A:$A,0)),"（IDなし）"))</f>
        <v/>
      </c>
      <c r="E189" s="36" t="n"/>
      <c r="F189" s="37">
        <f>IF(A189="","",LEFT(A189,5))</f>
        <v/>
      </c>
      <c r="G189" s="37">
        <f>IF(C189="","",LEFT(C189,6))</f>
        <v/>
      </c>
    </row>
    <row r="190">
      <c r="A190" s="36" t="n"/>
      <c r="B190" s="36" t="n"/>
      <c r="C190" s="36" t="n"/>
      <c r="D190" s="37">
        <f>IF(C190="","",IFERROR(INDEX(ケイパビリティマップ!$E:$E,MATCH(C190,ケイパビリティマップ!$A:$A,0)),"（IDなし）"))</f>
        <v/>
      </c>
      <c r="E190" s="36" t="n"/>
      <c r="F190" s="37">
        <f>IF(A190="","",LEFT(A190,5))</f>
        <v/>
      </c>
      <c r="G190" s="37">
        <f>IF(C190="","",LEFT(C190,6))</f>
        <v/>
      </c>
    </row>
    <row r="191">
      <c r="A191" s="36" t="n"/>
      <c r="B191" s="36" t="n"/>
      <c r="C191" s="36" t="n"/>
      <c r="D191" s="37">
        <f>IF(C191="","",IFERROR(INDEX(ケイパビリティマップ!$E:$E,MATCH(C191,ケイパビリティマップ!$A:$A,0)),"（IDなし）"))</f>
        <v/>
      </c>
      <c r="E191" s="36" t="n"/>
      <c r="F191" s="37">
        <f>IF(A191="","",LEFT(A191,5))</f>
        <v/>
      </c>
      <c r="G191" s="37">
        <f>IF(C191="","",LEFT(C191,6))</f>
        <v/>
      </c>
    </row>
    <row r="192">
      <c r="A192" s="36" t="n"/>
      <c r="B192" s="36" t="n"/>
      <c r="C192" s="36" t="n"/>
      <c r="D192" s="37">
        <f>IF(C192="","",IFERROR(INDEX(ケイパビリティマップ!$E:$E,MATCH(C192,ケイパビリティマップ!$A:$A,0)),"（IDなし）"))</f>
        <v/>
      </c>
      <c r="E192" s="36" t="n"/>
      <c r="F192" s="37">
        <f>IF(A192="","",LEFT(A192,5))</f>
        <v/>
      </c>
      <c r="G192" s="37">
        <f>IF(C192="","",LEFT(C192,6))</f>
        <v/>
      </c>
    </row>
    <row r="193">
      <c r="A193" s="36" t="n"/>
      <c r="B193" s="36" t="n"/>
      <c r="C193" s="36" t="n"/>
      <c r="D193" s="37">
        <f>IF(C193="","",IFERROR(INDEX(ケイパビリティマップ!$E:$E,MATCH(C193,ケイパビリティマップ!$A:$A,0)),"（IDなし）"))</f>
        <v/>
      </c>
      <c r="E193" s="36" t="n"/>
      <c r="F193" s="37">
        <f>IF(A193="","",LEFT(A193,5))</f>
        <v/>
      </c>
      <c r="G193" s="37">
        <f>IF(C193="","",LEFT(C193,6))</f>
        <v/>
      </c>
    </row>
    <row r="194">
      <c r="A194" s="36" t="n"/>
      <c r="B194" s="36" t="n"/>
      <c r="C194" s="36" t="n"/>
      <c r="D194" s="37">
        <f>IF(C194="","",IFERROR(INDEX(ケイパビリティマップ!$E:$E,MATCH(C194,ケイパビリティマップ!$A:$A,0)),"（IDなし）"))</f>
        <v/>
      </c>
      <c r="E194" s="36" t="n"/>
      <c r="F194" s="37">
        <f>IF(A194="","",LEFT(A194,5))</f>
        <v/>
      </c>
      <c r="G194" s="37">
        <f>IF(C194="","",LEFT(C194,6))</f>
        <v/>
      </c>
    </row>
    <row r="195">
      <c r="A195" s="36" t="n"/>
      <c r="B195" s="36" t="n"/>
      <c r="C195" s="36" t="n"/>
      <c r="D195" s="37">
        <f>IF(C195="","",IFERROR(INDEX(ケイパビリティマップ!$E:$E,MATCH(C195,ケイパビリティマップ!$A:$A,0)),"（IDなし）"))</f>
        <v/>
      </c>
      <c r="E195" s="36" t="n"/>
      <c r="F195" s="37">
        <f>IF(A195="","",LEFT(A195,5))</f>
        <v/>
      </c>
      <c r="G195" s="37">
        <f>IF(C195="","",LEFT(C195,6))</f>
        <v/>
      </c>
    </row>
    <row r="196">
      <c r="A196" s="36" t="n"/>
      <c r="B196" s="36" t="n"/>
      <c r="C196" s="36" t="n"/>
      <c r="D196" s="37">
        <f>IF(C196="","",IFERROR(INDEX(ケイパビリティマップ!$E:$E,MATCH(C196,ケイパビリティマップ!$A:$A,0)),"（IDなし）"))</f>
        <v/>
      </c>
      <c r="E196" s="36" t="n"/>
      <c r="F196" s="37">
        <f>IF(A196="","",LEFT(A196,5))</f>
        <v/>
      </c>
      <c r="G196" s="37">
        <f>IF(C196="","",LEFT(C196,6))</f>
        <v/>
      </c>
    </row>
    <row r="197">
      <c r="A197" s="36" t="n"/>
      <c r="B197" s="36" t="n"/>
      <c r="C197" s="36" t="n"/>
      <c r="D197" s="37">
        <f>IF(C197="","",IFERROR(INDEX(ケイパビリティマップ!$E:$E,MATCH(C197,ケイパビリティマップ!$A:$A,0)),"（IDなし）"))</f>
        <v/>
      </c>
      <c r="E197" s="36" t="n"/>
      <c r="F197" s="37">
        <f>IF(A197="","",LEFT(A197,5))</f>
        <v/>
      </c>
      <c r="G197" s="37">
        <f>IF(C197="","",LEFT(C197,6))</f>
        <v/>
      </c>
    </row>
    <row r="198">
      <c r="A198" s="36" t="n"/>
      <c r="B198" s="36" t="n"/>
      <c r="C198" s="36" t="n"/>
      <c r="D198" s="37">
        <f>IF(C198="","",IFERROR(INDEX(ケイパビリティマップ!$E:$E,MATCH(C198,ケイパビリティマップ!$A:$A,0)),"（IDなし）"))</f>
        <v/>
      </c>
      <c r="E198" s="36" t="n"/>
      <c r="F198" s="37">
        <f>IF(A198="","",LEFT(A198,5))</f>
        <v/>
      </c>
      <c r="G198" s="37">
        <f>IF(C198="","",LEFT(C198,6))</f>
        <v/>
      </c>
    </row>
    <row r="199">
      <c r="A199" s="36" t="n"/>
      <c r="B199" s="36" t="n"/>
      <c r="C199" s="36" t="n"/>
      <c r="D199" s="37">
        <f>IF(C199="","",IFERROR(INDEX(ケイパビリティマップ!$E:$E,MATCH(C199,ケイパビリティマップ!$A:$A,0)),"（IDなし）"))</f>
        <v/>
      </c>
      <c r="E199" s="36" t="n"/>
      <c r="F199" s="37">
        <f>IF(A199="","",LEFT(A199,5))</f>
        <v/>
      </c>
      <c r="G199" s="37">
        <f>IF(C199="","",LEFT(C199,6))</f>
        <v/>
      </c>
    </row>
    <row r="200">
      <c r="A200" s="36" t="n"/>
      <c r="B200" s="36" t="n"/>
      <c r="C200" s="36" t="n"/>
      <c r="D200" s="37">
        <f>IF(C200="","",IFERROR(INDEX(ケイパビリティマップ!$E:$E,MATCH(C200,ケイパビリティマップ!$A:$A,0)),"（IDなし）"))</f>
        <v/>
      </c>
      <c r="E200" s="36" t="n"/>
      <c r="F200" s="37">
        <f>IF(A200="","",LEFT(A200,5))</f>
        <v/>
      </c>
      <c r="G200" s="37">
        <f>IF(C200="","",LEFT(C200,6))</f>
        <v/>
      </c>
    </row>
    <row r="201">
      <c r="A201" s="36" t="n"/>
      <c r="B201" s="36" t="n"/>
      <c r="C201" s="36" t="n"/>
      <c r="D201" s="37">
        <f>IF(C201="","",IFERROR(INDEX(ケイパビリティマップ!$E:$E,MATCH(C201,ケイパビリティマップ!$A:$A,0)),"（IDなし）"))</f>
        <v/>
      </c>
      <c r="E201" s="36" t="n"/>
      <c r="F201" s="37">
        <f>IF(A201="","",LEFT(A201,5))</f>
        <v/>
      </c>
      <c r="G201" s="37">
        <f>IF(C201="","",LEFT(C201,6))</f>
        <v/>
      </c>
    </row>
    <row r="202">
      <c r="A202" s="36" t="n"/>
      <c r="B202" s="36" t="n"/>
      <c r="C202" s="36" t="n"/>
      <c r="D202" s="37">
        <f>IF(C202="","",IFERROR(INDEX(ケイパビリティマップ!$E:$E,MATCH(C202,ケイパビリティマップ!$A:$A,0)),"（IDなし）"))</f>
        <v/>
      </c>
      <c r="E202" s="36" t="n"/>
      <c r="F202" s="37">
        <f>IF(A202="","",LEFT(A202,5))</f>
        <v/>
      </c>
      <c r="G202" s="37">
        <f>IF(C202="","",LEFT(C202,6))</f>
        <v/>
      </c>
    </row>
    <row r="203">
      <c r="A203" s="36" t="n"/>
      <c r="B203" s="36" t="n"/>
      <c r="C203" s="36" t="n"/>
      <c r="D203" s="37">
        <f>IF(C203="","",IFERROR(INDEX(ケイパビリティマップ!$E:$E,MATCH(C203,ケイパビリティマップ!$A:$A,0)),"（IDなし）"))</f>
        <v/>
      </c>
      <c r="E203" s="36" t="n"/>
      <c r="F203" s="37">
        <f>IF(A203="","",LEFT(A203,5))</f>
        <v/>
      </c>
      <c r="G203" s="37">
        <f>IF(C203="","",LEFT(C203,6))</f>
        <v/>
      </c>
    </row>
    <row r="204">
      <c r="A204" s="36" t="n"/>
      <c r="B204" s="36" t="n"/>
      <c r="C204" s="36" t="n"/>
      <c r="D204" s="37">
        <f>IF(C204="","",IFERROR(INDEX(ケイパビリティマップ!$E:$E,MATCH(C204,ケイパビリティマップ!$A:$A,0)),"（IDなし）"))</f>
        <v/>
      </c>
      <c r="E204" s="36" t="n"/>
      <c r="F204" s="37">
        <f>IF(A204="","",LEFT(A204,5))</f>
        <v/>
      </c>
      <c r="G204" s="37">
        <f>IF(C204="","",LEFT(C204,6))</f>
        <v/>
      </c>
    </row>
    <row r="205">
      <c r="A205" s="36" t="n"/>
      <c r="B205" s="36" t="n"/>
      <c r="C205" s="36" t="n"/>
      <c r="D205" s="37">
        <f>IF(C205="","",IFERROR(INDEX(ケイパビリティマップ!$E:$E,MATCH(C205,ケイパビリティマップ!$A:$A,0)),"（IDなし）"))</f>
        <v/>
      </c>
      <c r="E205" s="36" t="n"/>
      <c r="F205" s="37">
        <f>IF(A205="","",LEFT(A205,5))</f>
        <v/>
      </c>
      <c r="G205" s="37">
        <f>IF(C205="","",LEFT(C205,6))</f>
        <v/>
      </c>
    </row>
    <row r="206">
      <c r="A206" s="36" t="n"/>
      <c r="B206" s="36" t="n"/>
      <c r="C206" s="36" t="n"/>
      <c r="D206" s="37">
        <f>IF(C206="","",IFERROR(INDEX(ケイパビリティマップ!$E:$E,MATCH(C206,ケイパビリティマップ!$A:$A,0)),"（IDなし）"))</f>
        <v/>
      </c>
      <c r="E206" s="36" t="n"/>
      <c r="F206" s="37">
        <f>IF(A206="","",LEFT(A206,5))</f>
        <v/>
      </c>
      <c r="G206" s="37">
        <f>IF(C206="","",LEFT(C206,6))</f>
        <v/>
      </c>
    </row>
    <row r="207">
      <c r="A207" s="36" t="n"/>
      <c r="B207" s="36" t="n"/>
      <c r="C207" s="36" t="n"/>
      <c r="D207" s="37">
        <f>IF(C207="","",IFERROR(INDEX(ケイパビリティマップ!$E:$E,MATCH(C207,ケイパビリティマップ!$A:$A,0)),"（IDなし）"))</f>
        <v/>
      </c>
      <c r="E207" s="36" t="n"/>
      <c r="F207" s="37">
        <f>IF(A207="","",LEFT(A207,5))</f>
        <v/>
      </c>
      <c r="G207" s="37">
        <f>IF(C207="","",LEFT(C207,6))</f>
        <v/>
      </c>
    </row>
    <row r="208">
      <c r="A208" s="36" t="n"/>
      <c r="B208" s="36" t="n"/>
      <c r="C208" s="36" t="n"/>
      <c r="D208" s="37">
        <f>IF(C208="","",IFERROR(INDEX(ケイパビリティマップ!$E:$E,MATCH(C208,ケイパビリティマップ!$A:$A,0)),"（IDなし）"))</f>
        <v/>
      </c>
      <c r="E208" s="36" t="n"/>
      <c r="F208" s="37">
        <f>IF(A208="","",LEFT(A208,5))</f>
        <v/>
      </c>
      <c r="G208" s="37">
        <f>IF(C208="","",LEFT(C208,6))</f>
        <v/>
      </c>
    </row>
    <row r="209">
      <c r="A209" s="36" t="n"/>
      <c r="B209" s="36" t="n"/>
      <c r="C209" s="36" t="n"/>
      <c r="D209" s="37">
        <f>IF(C209="","",IFERROR(INDEX(ケイパビリティマップ!$E:$E,MATCH(C209,ケイパビリティマップ!$A:$A,0)),"（IDなし）"))</f>
        <v/>
      </c>
      <c r="E209" s="36" t="n"/>
      <c r="F209" s="37">
        <f>IF(A209="","",LEFT(A209,5))</f>
        <v/>
      </c>
      <c r="G209" s="37">
        <f>IF(C209="","",LEFT(C209,6))</f>
        <v/>
      </c>
    </row>
    <row r="210">
      <c r="A210" s="36" t="n"/>
      <c r="B210" s="36" t="n"/>
      <c r="C210" s="36" t="n"/>
      <c r="D210" s="37">
        <f>IF(C210="","",IFERROR(INDEX(ケイパビリティマップ!$E:$E,MATCH(C210,ケイパビリティマップ!$A:$A,0)),"（IDなし）"))</f>
        <v/>
      </c>
      <c r="E210" s="36" t="n"/>
      <c r="F210" s="37">
        <f>IF(A210="","",LEFT(A210,5))</f>
        <v/>
      </c>
      <c r="G210" s="37">
        <f>IF(C210="","",LEFT(C210,6))</f>
        <v/>
      </c>
    </row>
    <row r="211">
      <c r="A211" s="36" t="n"/>
      <c r="B211" s="36" t="n"/>
      <c r="C211" s="36" t="n"/>
      <c r="D211" s="37">
        <f>IF(C211="","",IFERROR(INDEX(ケイパビリティマップ!$E:$E,MATCH(C211,ケイパビリティマップ!$A:$A,0)),"（IDなし）"))</f>
        <v/>
      </c>
      <c r="E211" s="36" t="n"/>
      <c r="F211" s="37">
        <f>IF(A211="","",LEFT(A211,5))</f>
        <v/>
      </c>
      <c r="G211" s="37">
        <f>IF(C211="","",LEFT(C211,6))</f>
        <v/>
      </c>
    </row>
    <row r="212">
      <c r="A212" s="36" t="n"/>
      <c r="B212" s="36" t="n"/>
      <c r="C212" s="36" t="n"/>
      <c r="D212" s="37">
        <f>IF(C212="","",IFERROR(INDEX(ケイパビリティマップ!$E:$E,MATCH(C212,ケイパビリティマップ!$A:$A,0)),"（IDなし）"))</f>
        <v/>
      </c>
      <c r="E212" s="36" t="n"/>
      <c r="F212" s="37">
        <f>IF(A212="","",LEFT(A212,5))</f>
        <v/>
      </c>
      <c r="G212" s="37">
        <f>IF(C212="","",LEFT(C212,6))</f>
        <v/>
      </c>
    </row>
    <row r="213">
      <c r="A213" s="36" t="n"/>
      <c r="B213" s="36" t="n"/>
      <c r="C213" s="36" t="n"/>
      <c r="D213" s="37">
        <f>IF(C213="","",IFERROR(INDEX(ケイパビリティマップ!$E:$E,MATCH(C213,ケイパビリティマップ!$A:$A,0)),"（IDなし）"))</f>
        <v/>
      </c>
      <c r="E213" s="36" t="n"/>
      <c r="F213" s="37">
        <f>IF(A213="","",LEFT(A213,5))</f>
        <v/>
      </c>
      <c r="G213" s="37">
        <f>IF(C213="","",LEFT(C213,6))</f>
        <v/>
      </c>
    </row>
    <row r="214">
      <c r="A214" s="36" t="n"/>
      <c r="B214" s="36" t="n"/>
      <c r="C214" s="36" t="n"/>
      <c r="D214" s="37">
        <f>IF(C214="","",IFERROR(INDEX(ケイパビリティマップ!$E:$E,MATCH(C214,ケイパビリティマップ!$A:$A,0)),"（IDなし）"))</f>
        <v/>
      </c>
      <c r="E214" s="36" t="n"/>
      <c r="F214" s="37">
        <f>IF(A214="","",LEFT(A214,5))</f>
        <v/>
      </c>
      <c r="G214" s="37">
        <f>IF(C214="","",LEFT(C214,6))</f>
        <v/>
      </c>
    </row>
    <row r="215">
      <c r="A215" s="36" t="n"/>
      <c r="B215" s="36" t="n"/>
      <c r="C215" s="36" t="n"/>
      <c r="D215" s="37">
        <f>IF(C215="","",IFERROR(INDEX(ケイパビリティマップ!$E:$E,MATCH(C215,ケイパビリティマップ!$A:$A,0)),"（IDなし）"))</f>
        <v/>
      </c>
      <c r="E215" s="36" t="n"/>
      <c r="F215" s="37">
        <f>IF(A215="","",LEFT(A215,5))</f>
        <v/>
      </c>
      <c r="G215" s="37">
        <f>IF(C215="","",LEFT(C215,6))</f>
        <v/>
      </c>
    </row>
    <row r="216">
      <c r="A216" s="36" t="n"/>
      <c r="B216" s="36" t="n"/>
      <c r="C216" s="36" t="n"/>
      <c r="D216" s="37">
        <f>IF(C216="","",IFERROR(INDEX(ケイパビリティマップ!$E:$E,MATCH(C216,ケイパビリティマップ!$A:$A,0)),"（IDなし）"))</f>
        <v/>
      </c>
      <c r="E216" s="36" t="n"/>
      <c r="F216" s="37">
        <f>IF(A216="","",LEFT(A216,5))</f>
        <v/>
      </c>
      <c r="G216" s="37">
        <f>IF(C216="","",LEFT(C216,6))</f>
        <v/>
      </c>
    </row>
    <row r="217">
      <c r="A217" s="36" t="n"/>
      <c r="B217" s="36" t="n"/>
      <c r="C217" s="36" t="n"/>
      <c r="D217" s="37">
        <f>IF(C217="","",IFERROR(INDEX(ケイパビリティマップ!$E:$E,MATCH(C217,ケイパビリティマップ!$A:$A,0)),"（IDなし）"))</f>
        <v/>
      </c>
      <c r="E217" s="36" t="n"/>
      <c r="F217" s="37">
        <f>IF(A217="","",LEFT(A217,5))</f>
        <v/>
      </c>
      <c r="G217" s="37">
        <f>IF(C217="","",LEFT(C217,6))</f>
        <v/>
      </c>
    </row>
    <row r="218">
      <c r="A218" s="36" t="n"/>
      <c r="B218" s="36" t="n"/>
      <c r="C218" s="36" t="n"/>
      <c r="D218" s="37">
        <f>IF(C218="","",IFERROR(INDEX(ケイパビリティマップ!$E:$E,MATCH(C218,ケイパビリティマップ!$A:$A,0)),"（IDなし）"))</f>
        <v/>
      </c>
      <c r="E218" s="36" t="n"/>
      <c r="F218" s="37">
        <f>IF(A218="","",LEFT(A218,5))</f>
        <v/>
      </c>
      <c r="G218" s="37">
        <f>IF(C218="","",LEFT(C218,6))</f>
        <v/>
      </c>
    </row>
    <row r="219">
      <c r="A219" s="36" t="n"/>
      <c r="B219" s="36" t="n"/>
      <c r="C219" s="36" t="n"/>
      <c r="D219" s="37">
        <f>IF(C219="","",IFERROR(INDEX(ケイパビリティマップ!$E:$E,MATCH(C219,ケイパビリティマップ!$A:$A,0)),"（IDなし）"))</f>
        <v/>
      </c>
      <c r="E219" s="36" t="n"/>
      <c r="F219" s="37">
        <f>IF(A219="","",LEFT(A219,5))</f>
        <v/>
      </c>
      <c r="G219" s="37">
        <f>IF(C219="","",LEFT(C219,6))</f>
        <v/>
      </c>
    </row>
    <row r="220">
      <c r="A220" s="36" t="n"/>
      <c r="B220" s="36" t="n"/>
      <c r="C220" s="36" t="n"/>
      <c r="D220" s="37">
        <f>IF(C220="","",IFERROR(INDEX(ケイパビリティマップ!$E:$E,MATCH(C220,ケイパビリティマップ!$A:$A,0)),"（IDなし）"))</f>
        <v/>
      </c>
      <c r="E220" s="36" t="n"/>
      <c r="F220" s="37">
        <f>IF(A220="","",LEFT(A220,5))</f>
        <v/>
      </c>
      <c r="G220" s="37">
        <f>IF(C220="","",LEFT(C220,6))</f>
        <v/>
      </c>
    </row>
    <row r="221">
      <c r="A221" s="36" t="n"/>
      <c r="B221" s="36" t="n"/>
      <c r="C221" s="36" t="n"/>
      <c r="D221" s="37">
        <f>IF(C221="","",IFERROR(INDEX(ケイパビリティマップ!$E:$E,MATCH(C221,ケイパビリティマップ!$A:$A,0)),"（IDなし）"))</f>
        <v/>
      </c>
      <c r="E221" s="36" t="n"/>
      <c r="F221" s="37">
        <f>IF(A221="","",LEFT(A221,5))</f>
        <v/>
      </c>
      <c r="G221" s="37">
        <f>IF(C221="","",LEFT(C221,6))</f>
        <v/>
      </c>
    </row>
    <row r="222">
      <c r="A222" s="36" t="n"/>
      <c r="B222" s="36" t="n"/>
      <c r="C222" s="36" t="n"/>
      <c r="D222" s="37">
        <f>IF(C222="","",IFERROR(INDEX(ケイパビリティマップ!$E:$E,MATCH(C222,ケイパビリティマップ!$A:$A,0)),"（IDなし）"))</f>
        <v/>
      </c>
      <c r="E222" s="36" t="n"/>
      <c r="F222" s="37">
        <f>IF(A222="","",LEFT(A222,5))</f>
        <v/>
      </c>
      <c r="G222" s="37">
        <f>IF(C222="","",LEFT(C222,6))</f>
        <v/>
      </c>
    </row>
    <row r="223">
      <c r="A223" s="36" t="n"/>
      <c r="B223" s="36" t="n"/>
      <c r="C223" s="36" t="n"/>
      <c r="D223" s="37">
        <f>IF(C223="","",IFERROR(INDEX(ケイパビリティマップ!$E:$E,MATCH(C223,ケイパビリティマップ!$A:$A,0)),"（IDなし）"))</f>
        <v/>
      </c>
      <c r="E223" s="36" t="n"/>
      <c r="F223" s="37">
        <f>IF(A223="","",LEFT(A223,5))</f>
        <v/>
      </c>
      <c r="G223" s="37">
        <f>IF(C223="","",LEFT(C223,6))</f>
        <v/>
      </c>
    </row>
    <row r="224">
      <c r="A224" s="36" t="n"/>
      <c r="B224" s="36" t="n"/>
      <c r="C224" s="36" t="n"/>
      <c r="D224" s="37">
        <f>IF(C224="","",IFERROR(INDEX(ケイパビリティマップ!$E:$E,MATCH(C224,ケイパビリティマップ!$A:$A,0)),"（IDなし）"))</f>
        <v/>
      </c>
      <c r="E224" s="36" t="n"/>
      <c r="F224" s="37">
        <f>IF(A224="","",LEFT(A224,5))</f>
        <v/>
      </c>
      <c r="G224" s="37">
        <f>IF(C224="","",LEFT(C224,6))</f>
        <v/>
      </c>
    </row>
    <row r="225">
      <c r="A225" s="36" t="n"/>
      <c r="B225" s="36" t="n"/>
      <c r="C225" s="36" t="n"/>
      <c r="D225" s="37">
        <f>IF(C225="","",IFERROR(INDEX(ケイパビリティマップ!$E:$E,MATCH(C225,ケイパビリティマップ!$A:$A,0)),"（IDなし）"))</f>
        <v/>
      </c>
      <c r="E225" s="36" t="n"/>
      <c r="F225" s="37">
        <f>IF(A225="","",LEFT(A225,5))</f>
        <v/>
      </c>
      <c r="G225" s="37">
        <f>IF(C225="","",LEFT(C225,6))</f>
        <v/>
      </c>
    </row>
    <row r="226">
      <c r="A226" s="36" t="n"/>
      <c r="B226" s="36" t="n"/>
      <c r="C226" s="36" t="n"/>
      <c r="D226" s="37">
        <f>IF(C226="","",IFERROR(INDEX(ケイパビリティマップ!$E:$E,MATCH(C226,ケイパビリティマップ!$A:$A,0)),"（IDなし）"))</f>
        <v/>
      </c>
      <c r="E226" s="36" t="n"/>
      <c r="F226" s="37">
        <f>IF(A226="","",LEFT(A226,5))</f>
        <v/>
      </c>
      <c r="G226" s="37">
        <f>IF(C226="","",LEFT(C226,6))</f>
        <v/>
      </c>
    </row>
    <row r="227">
      <c r="A227" s="36" t="n"/>
      <c r="B227" s="36" t="n"/>
      <c r="C227" s="36" t="n"/>
      <c r="D227" s="37">
        <f>IF(C227="","",IFERROR(INDEX(ケイパビリティマップ!$E:$E,MATCH(C227,ケイパビリティマップ!$A:$A,0)),"（IDなし）"))</f>
        <v/>
      </c>
      <c r="E227" s="36" t="n"/>
      <c r="F227" s="37">
        <f>IF(A227="","",LEFT(A227,5))</f>
        <v/>
      </c>
      <c r="G227" s="37">
        <f>IF(C227="","",LEFT(C227,6))</f>
        <v/>
      </c>
    </row>
    <row r="228">
      <c r="A228" s="36" t="n"/>
      <c r="B228" s="36" t="n"/>
      <c r="C228" s="36" t="n"/>
      <c r="D228" s="37">
        <f>IF(C228="","",IFERROR(INDEX(ケイパビリティマップ!$E:$E,MATCH(C228,ケイパビリティマップ!$A:$A,0)),"（IDなし）"))</f>
        <v/>
      </c>
      <c r="E228" s="36" t="n"/>
      <c r="F228" s="37">
        <f>IF(A228="","",LEFT(A228,5))</f>
        <v/>
      </c>
      <c r="G228" s="37">
        <f>IF(C228="","",LEFT(C228,6))</f>
        <v/>
      </c>
    </row>
    <row r="229">
      <c r="A229" s="36" t="n"/>
      <c r="B229" s="36" t="n"/>
      <c r="C229" s="36" t="n"/>
      <c r="D229" s="37">
        <f>IF(C229="","",IFERROR(INDEX(ケイパビリティマップ!$E:$E,MATCH(C229,ケイパビリティマップ!$A:$A,0)),"（IDなし）"))</f>
        <v/>
      </c>
      <c r="E229" s="36" t="n"/>
      <c r="F229" s="37">
        <f>IF(A229="","",LEFT(A229,5))</f>
        <v/>
      </c>
      <c r="G229" s="37">
        <f>IF(C229="","",LEFT(C229,6))</f>
        <v/>
      </c>
    </row>
    <row r="230">
      <c r="A230" s="36" t="n"/>
      <c r="B230" s="36" t="n"/>
      <c r="C230" s="36" t="n"/>
      <c r="D230" s="37">
        <f>IF(C230="","",IFERROR(INDEX(ケイパビリティマップ!$E:$E,MATCH(C230,ケイパビリティマップ!$A:$A,0)),"（IDなし）"))</f>
        <v/>
      </c>
      <c r="E230" s="36" t="n"/>
      <c r="F230" s="37">
        <f>IF(A230="","",LEFT(A230,5))</f>
        <v/>
      </c>
      <c r="G230" s="37">
        <f>IF(C230="","",LEFT(C230,6))</f>
        <v/>
      </c>
    </row>
    <row r="231">
      <c r="A231" s="36" t="n"/>
      <c r="B231" s="36" t="n"/>
      <c r="C231" s="36" t="n"/>
      <c r="D231" s="37">
        <f>IF(C231="","",IFERROR(INDEX(ケイパビリティマップ!$E:$E,MATCH(C231,ケイパビリティマップ!$A:$A,0)),"（IDなし）"))</f>
        <v/>
      </c>
      <c r="E231" s="36" t="n"/>
      <c r="F231" s="37">
        <f>IF(A231="","",LEFT(A231,5))</f>
        <v/>
      </c>
      <c r="G231" s="37">
        <f>IF(C231="","",LEFT(C231,6))</f>
        <v/>
      </c>
    </row>
    <row r="232">
      <c r="A232" s="36" t="n"/>
      <c r="B232" s="36" t="n"/>
      <c r="C232" s="36" t="n"/>
      <c r="D232" s="37">
        <f>IF(C232="","",IFERROR(INDEX(ケイパビリティマップ!$E:$E,MATCH(C232,ケイパビリティマップ!$A:$A,0)),"（IDなし）"))</f>
        <v/>
      </c>
      <c r="E232" s="36" t="n"/>
      <c r="F232" s="37">
        <f>IF(A232="","",LEFT(A232,5))</f>
        <v/>
      </c>
      <c r="G232" s="37">
        <f>IF(C232="","",LEFT(C232,6))</f>
        <v/>
      </c>
    </row>
    <row r="233">
      <c r="A233" s="36" t="n"/>
      <c r="B233" s="36" t="n"/>
      <c r="C233" s="36" t="n"/>
      <c r="D233" s="37">
        <f>IF(C233="","",IFERROR(INDEX(ケイパビリティマップ!$E:$E,MATCH(C233,ケイパビリティマップ!$A:$A,0)),"（IDなし）"))</f>
        <v/>
      </c>
      <c r="E233" s="36" t="n"/>
      <c r="F233" s="37">
        <f>IF(A233="","",LEFT(A233,5))</f>
        <v/>
      </c>
      <c r="G233" s="37">
        <f>IF(C233="","",LEFT(C233,6))</f>
        <v/>
      </c>
    </row>
    <row r="234">
      <c r="A234" s="36" t="n"/>
      <c r="B234" s="36" t="n"/>
      <c r="C234" s="36" t="n"/>
      <c r="D234" s="37">
        <f>IF(C234="","",IFERROR(INDEX(ケイパビリティマップ!$E:$E,MATCH(C234,ケイパビリティマップ!$A:$A,0)),"（IDなし）"))</f>
        <v/>
      </c>
      <c r="E234" s="36" t="n"/>
      <c r="F234" s="37">
        <f>IF(A234="","",LEFT(A234,5))</f>
        <v/>
      </c>
      <c r="G234" s="37">
        <f>IF(C234="","",LEFT(C234,6))</f>
        <v/>
      </c>
    </row>
    <row r="235">
      <c r="A235" s="36" t="n"/>
      <c r="B235" s="36" t="n"/>
      <c r="C235" s="36" t="n"/>
      <c r="D235" s="37">
        <f>IF(C235="","",IFERROR(INDEX(ケイパビリティマップ!$E:$E,MATCH(C235,ケイパビリティマップ!$A:$A,0)),"（IDなし）"))</f>
        <v/>
      </c>
      <c r="E235" s="36" t="n"/>
      <c r="F235" s="37">
        <f>IF(A235="","",LEFT(A235,5))</f>
        <v/>
      </c>
      <c r="G235" s="37">
        <f>IF(C235="","",LEFT(C235,6))</f>
        <v/>
      </c>
    </row>
    <row r="236">
      <c r="A236" s="36" t="n"/>
      <c r="B236" s="36" t="n"/>
      <c r="C236" s="36" t="n"/>
      <c r="D236" s="37">
        <f>IF(C236="","",IFERROR(INDEX(ケイパビリティマップ!$E:$E,MATCH(C236,ケイパビリティマップ!$A:$A,0)),"（IDなし）"))</f>
        <v/>
      </c>
      <c r="E236" s="36" t="n"/>
      <c r="F236" s="37">
        <f>IF(A236="","",LEFT(A236,5))</f>
        <v/>
      </c>
      <c r="G236" s="37">
        <f>IF(C236="","",LEFT(C236,6))</f>
        <v/>
      </c>
    </row>
    <row r="237">
      <c r="A237" s="36" t="n"/>
      <c r="B237" s="36" t="n"/>
      <c r="C237" s="36" t="n"/>
      <c r="D237" s="37">
        <f>IF(C237="","",IFERROR(INDEX(ケイパビリティマップ!$E:$E,MATCH(C237,ケイパビリティマップ!$A:$A,0)),"（IDなし）"))</f>
        <v/>
      </c>
      <c r="E237" s="36" t="n"/>
      <c r="F237" s="37">
        <f>IF(A237="","",LEFT(A237,5))</f>
        <v/>
      </c>
      <c r="G237" s="37">
        <f>IF(C237="","",LEFT(C237,6))</f>
        <v/>
      </c>
    </row>
    <row r="238">
      <c r="A238" s="36" t="n"/>
      <c r="B238" s="36" t="n"/>
      <c r="C238" s="36" t="n"/>
      <c r="D238" s="37">
        <f>IF(C238="","",IFERROR(INDEX(ケイパビリティマップ!$E:$E,MATCH(C238,ケイパビリティマップ!$A:$A,0)),"（IDなし）"))</f>
        <v/>
      </c>
      <c r="E238" s="36" t="n"/>
      <c r="F238" s="37">
        <f>IF(A238="","",LEFT(A238,5))</f>
        <v/>
      </c>
      <c r="G238" s="37">
        <f>IF(C238="","",LEFT(C238,6))</f>
        <v/>
      </c>
    </row>
    <row r="239">
      <c r="A239" s="36" t="n"/>
      <c r="B239" s="36" t="n"/>
      <c r="C239" s="36" t="n"/>
      <c r="D239" s="37">
        <f>IF(C239="","",IFERROR(INDEX(ケイパビリティマップ!$E:$E,MATCH(C239,ケイパビリティマップ!$A:$A,0)),"（IDなし）"))</f>
        <v/>
      </c>
      <c r="E239" s="36" t="n"/>
      <c r="F239" s="37">
        <f>IF(A239="","",LEFT(A239,5))</f>
        <v/>
      </c>
      <c r="G239" s="37">
        <f>IF(C239="","",LEFT(C239,6))</f>
        <v/>
      </c>
    </row>
    <row r="240">
      <c r="A240" s="36" t="n"/>
      <c r="B240" s="36" t="n"/>
      <c r="C240" s="36" t="n"/>
      <c r="D240" s="37">
        <f>IF(C240="","",IFERROR(INDEX(ケイパビリティマップ!$E:$E,MATCH(C240,ケイパビリティマップ!$A:$A,0)),"（IDなし）"))</f>
        <v/>
      </c>
      <c r="E240" s="36" t="n"/>
      <c r="F240" s="37">
        <f>IF(A240="","",LEFT(A240,5))</f>
        <v/>
      </c>
      <c r="G240" s="37">
        <f>IF(C240="","",LEFT(C240,6))</f>
        <v/>
      </c>
    </row>
    <row r="241">
      <c r="A241" s="36" t="n"/>
      <c r="B241" s="36" t="n"/>
      <c r="C241" s="36" t="n"/>
      <c r="D241" s="37">
        <f>IF(C241="","",IFERROR(INDEX(ケイパビリティマップ!$E:$E,MATCH(C241,ケイパビリティマップ!$A:$A,0)),"（IDなし）"))</f>
        <v/>
      </c>
      <c r="E241" s="36" t="n"/>
      <c r="F241" s="37">
        <f>IF(A241="","",LEFT(A241,5))</f>
        <v/>
      </c>
      <c r="G241" s="37">
        <f>IF(C241="","",LEFT(C241,6))</f>
        <v/>
      </c>
    </row>
    <row r="242">
      <c r="A242" s="36" t="n"/>
      <c r="B242" s="36" t="n"/>
      <c r="C242" s="36" t="n"/>
      <c r="D242" s="37">
        <f>IF(C242="","",IFERROR(INDEX(ケイパビリティマップ!$E:$E,MATCH(C242,ケイパビリティマップ!$A:$A,0)),"（IDなし）"))</f>
        <v/>
      </c>
      <c r="E242" s="36" t="n"/>
      <c r="F242" s="37">
        <f>IF(A242="","",LEFT(A242,5))</f>
        <v/>
      </c>
      <c r="G242" s="37">
        <f>IF(C242="","",LEFT(C242,6))</f>
        <v/>
      </c>
    </row>
    <row r="243">
      <c r="A243" s="36" t="n"/>
      <c r="B243" s="36" t="n"/>
      <c r="C243" s="36" t="n"/>
      <c r="D243" s="37">
        <f>IF(C243="","",IFERROR(INDEX(ケイパビリティマップ!$E:$E,MATCH(C243,ケイパビリティマップ!$A:$A,0)),"（IDなし）"))</f>
        <v/>
      </c>
      <c r="E243" s="36" t="n"/>
      <c r="F243" s="37">
        <f>IF(A243="","",LEFT(A243,5))</f>
        <v/>
      </c>
      <c r="G243" s="37">
        <f>IF(C243="","",LEFT(C243,6))</f>
        <v/>
      </c>
    </row>
    <row r="244">
      <c r="A244" s="36" t="n"/>
      <c r="B244" s="36" t="n"/>
      <c r="C244" s="36" t="n"/>
      <c r="D244" s="37">
        <f>IF(C244="","",IFERROR(INDEX(ケイパビリティマップ!$E:$E,MATCH(C244,ケイパビリティマップ!$A:$A,0)),"（IDなし）"))</f>
        <v/>
      </c>
      <c r="E244" s="36" t="n"/>
      <c r="F244" s="37">
        <f>IF(A244="","",LEFT(A244,5))</f>
        <v/>
      </c>
      <c r="G244" s="37">
        <f>IF(C244="","",LEFT(C244,6))</f>
        <v/>
      </c>
    </row>
    <row r="245">
      <c r="A245" s="36" t="n"/>
      <c r="B245" s="36" t="n"/>
      <c r="C245" s="36" t="n"/>
      <c r="D245" s="37">
        <f>IF(C245="","",IFERROR(INDEX(ケイパビリティマップ!$E:$E,MATCH(C245,ケイパビリティマップ!$A:$A,0)),"（IDなし）"))</f>
        <v/>
      </c>
      <c r="E245" s="36" t="n"/>
      <c r="F245" s="37">
        <f>IF(A245="","",LEFT(A245,5))</f>
        <v/>
      </c>
      <c r="G245" s="37">
        <f>IF(C245="","",LEFT(C245,6))</f>
        <v/>
      </c>
    </row>
    <row r="246">
      <c r="A246" s="36" t="n"/>
      <c r="B246" s="36" t="n"/>
      <c r="C246" s="36" t="n"/>
      <c r="D246" s="37">
        <f>IF(C246="","",IFERROR(INDEX(ケイパビリティマップ!$E:$E,MATCH(C246,ケイパビリティマップ!$A:$A,0)),"（IDなし）"))</f>
        <v/>
      </c>
      <c r="E246" s="36" t="n"/>
      <c r="F246" s="37">
        <f>IF(A246="","",LEFT(A246,5))</f>
        <v/>
      </c>
      <c r="G246" s="37">
        <f>IF(C246="","",LEFT(C246,6))</f>
        <v/>
      </c>
    </row>
    <row r="247">
      <c r="A247" s="36" t="n"/>
      <c r="B247" s="36" t="n"/>
      <c r="C247" s="36" t="n"/>
      <c r="D247" s="37">
        <f>IF(C247="","",IFERROR(INDEX(ケイパビリティマップ!$E:$E,MATCH(C247,ケイパビリティマップ!$A:$A,0)),"（IDなし）"))</f>
        <v/>
      </c>
      <c r="E247" s="36" t="n"/>
      <c r="F247" s="37">
        <f>IF(A247="","",LEFT(A247,5))</f>
        <v/>
      </c>
      <c r="G247" s="37">
        <f>IF(C247="","",LEFT(C247,6))</f>
        <v/>
      </c>
    </row>
    <row r="248">
      <c r="A248" s="36" t="n"/>
      <c r="B248" s="36" t="n"/>
      <c r="C248" s="36" t="n"/>
      <c r="D248" s="37">
        <f>IF(C248="","",IFERROR(INDEX(ケイパビリティマップ!$E:$E,MATCH(C248,ケイパビリティマップ!$A:$A,0)),"（IDなし）"))</f>
        <v/>
      </c>
      <c r="E248" s="36" t="n"/>
      <c r="F248" s="37">
        <f>IF(A248="","",LEFT(A248,5))</f>
        <v/>
      </c>
      <c r="G248" s="37">
        <f>IF(C248="","",LEFT(C248,6))</f>
        <v/>
      </c>
    </row>
    <row r="249">
      <c r="A249" s="36" t="n"/>
      <c r="B249" s="36" t="n"/>
      <c r="C249" s="36" t="n"/>
      <c r="D249" s="37">
        <f>IF(C249="","",IFERROR(INDEX(ケイパビリティマップ!$E:$E,MATCH(C249,ケイパビリティマップ!$A:$A,0)),"（IDなし）"))</f>
        <v/>
      </c>
      <c r="E249" s="36" t="n"/>
      <c r="F249" s="37">
        <f>IF(A249="","",LEFT(A249,5))</f>
        <v/>
      </c>
      <c r="G249" s="37">
        <f>IF(C249="","",LEFT(C249,6))</f>
        <v/>
      </c>
    </row>
    <row r="250">
      <c r="A250" s="36" t="n"/>
      <c r="B250" s="36" t="n"/>
      <c r="C250" s="36" t="n"/>
      <c r="D250" s="37">
        <f>IF(C250="","",IFERROR(INDEX(ケイパビリティマップ!$E:$E,MATCH(C250,ケイパビリティマップ!$A:$A,0)),"（IDなし）"))</f>
        <v/>
      </c>
      <c r="E250" s="36" t="n"/>
      <c r="F250" s="37">
        <f>IF(A250="","",LEFT(A250,5))</f>
        <v/>
      </c>
      <c r="G250" s="37">
        <f>IF(C250="","",LEFT(C250,6))</f>
        <v/>
      </c>
    </row>
    <row r="251">
      <c r="A251" s="36" t="n"/>
      <c r="B251" s="36" t="n"/>
      <c r="C251" s="36" t="n"/>
      <c r="D251" s="37">
        <f>IF(C251="","",IFERROR(INDEX(ケイパビリティマップ!$E:$E,MATCH(C251,ケイパビリティマップ!$A:$A,0)),"（IDなし）"))</f>
        <v/>
      </c>
      <c r="E251" s="36" t="n"/>
      <c r="F251" s="37">
        <f>IF(A251="","",LEFT(A251,5))</f>
        <v/>
      </c>
      <c r="G251" s="37">
        <f>IF(C251="","",LEFT(C251,6))</f>
        <v/>
      </c>
    </row>
    <row r="252">
      <c r="A252" s="36" t="n"/>
      <c r="B252" s="36" t="n"/>
      <c r="C252" s="36" t="n"/>
      <c r="D252" s="37">
        <f>IF(C252="","",IFERROR(INDEX(ケイパビリティマップ!$E:$E,MATCH(C252,ケイパビリティマップ!$A:$A,0)),"（IDなし）"))</f>
        <v/>
      </c>
      <c r="E252" s="36" t="n"/>
      <c r="F252" s="37">
        <f>IF(A252="","",LEFT(A252,5))</f>
        <v/>
      </c>
      <c r="G252" s="37">
        <f>IF(C252="","",LEFT(C252,6))</f>
        <v/>
      </c>
    </row>
    <row r="253">
      <c r="A253" s="36" t="n"/>
      <c r="B253" s="36" t="n"/>
      <c r="C253" s="36" t="n"/>
      <c r="D253" s="37">
        <f>IF(C253="","",IFERROR(INDEX(ケイパビリティマップ!$E:$E,MATCH(C253,ケイパビリティマップ!$A:$A,0)),"（IDなし）"))</f>
        <v/>
      </c>
      <c r="E253" s="36" t="n"/>
      <c r="F253" s="37">
        <f>IF(A253="","",LEFT(A253,5))</f>
        <v/>
      </c>
      <c r="G253" s="37">
        <f>IF(C253="","",LEFT(C253,6))</f>
        <v/>
      </c>
    </row>
    <row r="254">
      <c r="A254" s="36" t="n"/>
      <c r="B254" s="36" t="n"/>
      <c r="C254" s="36" t="n"/>
      <c r="D254" s="37">
        <f>IF(C254="","",IFERROR(INDEX(ケイパビリティマップ!$E:$E,MATCH(C254,ケイパビリティマップ!$A:$A,0)),"（IDなし）"))</f>
        <v/>
      </c>
      <c r="E254" s="36" t="n"/>
      <c r="F254" s="37">
        <f>IF(A254="","",LEFT(A254,5))</f>
        <v/>
      </c>
      <c r="G254" s="37">
        <f>IF(C254="","",LEFT(C254,6))</f>
        <v/>
      </c>
    </row>
    <row r="255">
      <c r="A255" s="36" t="n"/>
      <c r="B255" s="36" t="n"/>
      <c r="C255" s="36" t="n"/>
      <c r="D255" s="37">
        <f>IF(C255="","",IFERROR(INDEX(ケイパビリティマップ!$E:$E,MATCH(C255,ケイパビリティマップ!$A:$A,0)),"（IDなし）"))</f>
        <v/>
      </c>
      <c r="E255" s="36" t="n"/>
      <c r="F255" s="37">
        <f>IF(A255="","",LEFT(A255,5))</f>
        <v/>
      </c>
      <c r="G255" s="37">
        <f>IF(C255="","",LEFT(C255,6))</f>
        <v/>
      </c>
    </row>
    <row r="256">
      <c r="A256" s="36" t="n"/>
      <c r="B256" s="36" t="n"/>
      <c r="C256" s="36" t="n"/>
      <c r="D256" s="37">
        <f>IF(C256="","",IFERROR(INDEX(ケイパビリティマップ!$E:$E,MATCH(C256,ケイパビリティマップ!$A:$A,0)),"（IDなし）"))</f>
        <v/>
      </c>
      <c r="E256" s="36" t="n"/>
      <c r="F256" s="37">
        <f>IF(A256="","",LEFT(A256,5))</f>
        <v/>
      </c>
      <c r="G256" s="37">
        <f>IF(C256="","",LEFT(C256,6))</f>
        <v/>
      </c>
    </row>
    <row r="257">
      <c r="A257" s="36" t="n"/>
      <c r="B257" s="36" t="n"/>
      <c r="C257" s="36" t="n"/>
      <c r="D257" s="37">
        <f>IF(C257="","",IFERROR(INDEX(ケイパビリティマップ!$E:$E,MATCH(C257,ケイパビリティマップ!$A:$A,0)),"（IDなし）"))</f>
        <v/>
      </c>
      <c r="E257" s="36" t="n"/>
      <c r="F257" s="37">
        <f>IF(A257="","",LEFT(A257,5))</f>
        <v/>
      </c>
      <c r="G257" s="37">
        <f>IF(C257="","",LEFT(C257,6))</f>
        <v/>
      </c>
    </row>
    <row r="258">
      <c r="A258" s="36" t="n"/>
      <c r="B258" s="36" t="n"/>
      <c r="C258" s="36" t="n"/>
      <c r="D258" s="37">
        <f>IF(C258="","",IFERROR(INDEX(ケイパビリティマップ!$E:$E,MATCH(C258,ケイパビリティマップ!$A:$A,0)),"（IDなし）"))</f>
        <v/>
      </c>
      <c r="E258" s="36" t="n"/>
      <c r="F258" s="37">
        <f>IF(A258="","",LEFT(A258,5))</f>
        <v/>
      </c>
      <c r="G258" s="37">
        <f>IF(C258="","",LEFT(C258,6))</f>
        <v/>
      </c>
    </row>
    <row r="259">
      <c r="A259" s="36" t="n"/>
      <c r="B259" s="36" t="n"/>
      <c r="C259" s="36" t="n"/>
      <c r="D259" s="37">
        <f>IF(C259="","",IFERROR(INDEX(ケイパビリティマップ!$E:$E,MATCH(C259,ケイパビリティマップ!$A:$A,0)),"（IDなし）"))</f>
        <v/>
      </c>
      <c r="E259" s="36" t="n"/>
      <c r="F259" s="37">
        <f>IF(A259="","",LEFT(A259,5))</f>
        <v/>
      </c>
      <c r="G259" s="37">
        <f>IF(C259="","",LEFT(C259,6))</f>
        <v/>
      </c>
    </row>
    <row r="260">
      <c r="A260" s="36" t="n"/>
      <c r="B260" s="36" t="n"/>
      <c r="C260" s="36" t="n"/>
      <c r="D260" s="37">
        <f>IF(C260="","",IFERROR(INDEX(ケイパビリティマップ!$E:$E,MATCH(C260,ケイパビリティマップ!$A:$A,0)),"（IDなし）"))</f>
        <v/>
      </c>
      <c r="E260" s="36" t="n"/>
      <c r="F260" s="37">
        <f>IF(A260="","",LEFT(A260,5))</f>
        <v/>
      </c>
      <c r="G260" s="37">
        <f>IF(C260="","",LEFT(C260,6))</f>
        <v/>
      </c>
    </row>
    <row r="261">
      <c r="A261" s="36" t="n"/>
      <c r="B261" s="36" t="n"/>
      <c r="C261" s="36" t="n"/>
      <c r="D261" s="37">
        <f>IF(C261="","",IFERROR(INDEX(ケイパビリティマップ!$E:$E,MATCH(C261,ケイパビリティマップ!$A:$A,0)),"（IDなし）"))</f>
        <v/>
      </c>
      <c r="E261" s="36" t="n"/>
      <c r="F261" s="37">
        <f>IF(A261="","",LEFT(A261,5))</f>
        <v/>
      </c>
      <c r="G261" s="37">
        <f>IF(C261="","",LEFT(C261,6))</f>
        <v/>
      </c>
    </row>
    <row r="262">
      <c r="A262" s="36" t="n"/>
      <c r="B262" s="36" t="n"/>
      <c r="C262" s="36" t="n"/>
      <c r="D262" s="37">
        <f>IF(C262="","",IFERROR(INDEX(ケイパビリティマップ!$E:$E,MATCH(C262,ケイパビリティマップ!$A:$A,0)),"（IDなし）"))</f>
        <v/>
      </c>
      <c r="E262" s="36" t="n"/>
      <c r="F262" s="37">
        <f>IF(A262="","",LEFT(A262,5))</f>
        <v/>
      </c>
      <c r="G262" s="37">
        <f>IF(C262="","",LEFT(C262,6))</f>
        <v/>
      </c>
    </row>
    <row r="263">
      <c r="A263" s="36" t="n"/>
      <c r="B263" s="36" t="n"/>
      <c r="C263" s="36" t="n"/>
      <c r="D263" s="37">
        <f>IF(C263="","",IFERROR(INDEX(ケイパビリティマップ!$E:$E,MATCH(C263,ケイパビリティマップ!$A:$A,0)),"（IDなし）"))</f>
        <v/>
      </c>
      <c r="E263" s="36" t="n"/>
      <c r="F263" s="37">
        <f>IF(A263="","",LEFT(A263,5))</f>
        <v/>
      </c>
      <c r="G263" s="37">
        <f>IF(C263="","",LEFT(C263,6))</f>
        <v/>
      </c>
    </row>
    <row r="264">
      <c r="A264" s="36" t="n"/>
      <c r="B264" s="36" t="n"/>
      <c r="C264" s="36" t="n"/>
      <c r="D264" s="37">
        <f>IF(C264="","",IFERROR(INDEX(ケイパビリティマップ!$E:$E,MATCH(C264,ケイパビリティマップ!$A:$A,0)),"（IDなし）"))</f>
        <v/>
      </c>
      <c r="E264" s="36" t="n"/>
      <c r="F264" s="37">
        <f>IF(A264="","",LEFT(A264,5))</f>
        <v/>
      </c>
      <c r="G264" s="37">
        <f>IF(C264="","",LEFT(C264,6))</f>
        <v/>
      </c>
    </row>
    <row r="265">
      <c r="A265" s="36" t="n"/>
      <c r="B265" s="36" t="n"/>
      <c r="C265" s="36" t="n"/>
      <c r="D265" s="37">
        <f>IF(C265="","",IFERROR(INDEX(ケイパビリティマップ!$E:$E,MATCH(C265,ケイパビリティマップ!$A:$A,0)),"（IDなし）"))</f>
        <v/>
      </c>
      <c r="E265" s="36" t="n"/>
      <c r="F265" s="37">
        <f>IF(A265="","",LEFT(A265,5))</f>
        <v/>
      </c>
      <c r="G265" s="37">
        <f>IF(C265="","",LEFT(C265,6))</f>
        <v/>
      </c>
    </row>
    <row r="266">
      <c r="A266" s="36" t="n"/>
      <c r="B266" s="36" t="n"/>
      <c r="C266" s="36" t="n"/>
      <c r="D266" s="37">
        <f>IF(C266="","",IFERROR(INDEX(ケイパビリティマップ!$E:$E,MATCH(C266,ケイパビリティマップ!$A:$A,0)),"（IDなし）"))</f>
        <v/>
      </c>
      <c r="E266" s="36" t="n"/>
      <c r="F266" s="37">
        <f>IF(A266="","",LEFT(A266,5))</f>
        <v/>
      </c>
      <c r="G266" s="37">
        <f>IF(C266="","",LEFT(C266,6))</f>
        <v/>
      </c>
    </row>
    <row r="267">
      <c r="A267" s="36" t="n"/>
      <c r="B267" s="36" t="n"/>
      <c r="C267" s="36" t="n"/>
      <c r="D267" s="37">
        <f>IF(C267="","",IFERROR(INDEX(ケイパビリティマップ!$E:$E,MATCH(C267,ケイパビリティマップ!$A:$A,0)),"（IDなし）"))</f>
        <v/>
      </c>
      <c r="E267" s="36" t="n"/>
      <c r="F267" s="37">
        <f>IF(A267="","",LEFT(A267,5))</f>
        <v/>
      </c>
      <c r="G267" s="37">
        <f>IF(C267="","",LEFT(C267,6))</f>
        <v/>
      </c>
    </row>
    <row r="268">
      <c r="A268" s="36" t="n"/>
      <c r="B268" s="36" t="n"/>
      <c r="C268" s="36" t="n"/>
      <c r="D268" s="37">
        <f>IF(C268="","",IFERROR(INDEX(ケイパビリティマップ!$E:$E,MATCH(C268,ケイパビリティマップ!$A:$A,0)),"（IDなし）"))</f>
        <v/>
      </c>
      <c r="E268" s="36" t="n"/>
      <c r="F268" s="37">
        <f>IF(A268="","",LEFT(A268,5))</f>
        <v/>
      </c>
      <c r="G268" s="37">
        <f>IF(C268="","",LEFT(C268,6))</f>
        <v/>
      </c>
    </row>
    <row r="269">
      <c r="A269" s="36" t="n"/>
      <c r="B269" s="36" t="n"/>
      <c r="C269" s="36" t="n"/>
      <c r="D269" s="37">
        <f>IF(C269="","",IFERROR(INDEX(ケイパビリティマップ!$E:$E,MATCH(C269,ケイパビリティマップ!$A:$A,0)),"（IDなし）"))</f>
        <v/>
      </c>
      <c r="E269" s="36" t="n"/>
      <c r="F269" s="37">
        <f>IF(A269="","",LEFT(A269,5))</f>
        <v/>
      </c>
      <c r="G269" s="37">
        <f>IF(C269="","",LEFT(C269,6))</f>
        <v/>
      </c>
    </row>
    <row r="270">
      <c r="A270" s="36" t="n"/>
      <c r="B270" s="36" t="n"/>
      <c r="C270" s="36" t="n"/>
      <c r="D270" s="37">
        <f>IF(C270="","",IFERROR(INDEX(ケイパビリティマップ!$E:$E,MATCH(C270,ケイパビリティマップ!$A:$A,0)),"（IDなし）"))</f>
        <v/>
      </c>
      <c r="E270" s="36" t="n"/>
      <c r="F270" s="37">
        <f>IF(A270="","",LEFT(A270,5))</f>
        <v/>
      </c>
      <c r="G270" s="37">
        <f>IF(C270="","",LEFT(C270,6))</f>
        <v/>
      </c>
    </row>
    <row r="271">
      <c r="A271" s="36" t="n"/>
      <c r="B271" s="36" t="n"/>
      <c r="C271" s="36" t="n"/>
      <c r="D271" s="37">
        <f>IF(C271="","",IFERROR(INDEX(ケイパビリティマップ!$E:$E,MATCH(C271,ケイパビリティマップ!$A:$A,0)),"（IDなし）"))</f>
        <v/>
      </c>
      <c r="E271" s="36" t="n"/>
      <c r="F271" s="37">
        <f>IF(A271="","",LEFT(A271,5))</f>
        <v/>
      </c>
      <c r="G271" s="37">
        <f>IF(C271="","",LEFT(C271,6))</f>
        <v/>
      </c>
    </row>
    <row r="272">
      <c r="A272" s="36" t="n"/>
      <c r="B272" s="36" t="n"/>
      <c r="C272" s="36" t="n"/>
      <c r="D272" s="37">
        <f>IF(C272="","",IFERROR(INDEX(ケイパビリティマップ!$E:$E,MATCH(C272,ケイパビリティマップ!$A:$A,0)),"（IDなし）"))</f>
        <v/>
      </c>
      <c r="E272" s="36" t="n"/>
      <c r="F272" s="37">
        <f>IF(A272="","",LEFT(A272,5))</f>
        <v/>
      </c>
      <c r="G272" s="37">
        <f>IF(C272="","",LEFT(C272,6))</f>
        <v/>
      </c>
    </row>
    <row r="273">
      <c r="A273" s="36" t="n"/>
      <c r="B273" s="36" t="n"/>
      <c r="C273" s="36" t="n"/>
      <c r="D273" s="37">
        <f>IF(C273="","",IFERROR(INDEX(ケイパビリティマップ!$E:$E,MATCH(C273,ケイパビリティマップ!$A:$A,0)),"（IDなし）"))</f>
        <v/>
      </c>
      <c r="E273" s="36" t="n"/>
      <c r="F273" s="37">
        <f>IF(A273="","",LEFT(A273,5))</f>
        <v/>
      </c>
      <c r="G273" s="37">
        <f>IF(C273="","",LEFT(C273,6))</f>
        <v/>
      </c>
    </row>
    <row r="274">
      <c r="A274" s="36" t="n"/>
      <c r="B274" s="36" t="n"/>
      <c r="C274" s="36" t="n"/>
      <c r="D274" s="37">
        <f>IF(C274="","",IFERROR(INDEX(ケイパビリティマップ!$E:$E,MATCH(C274,ケイパビリティマップ!$A:$A,0)),"（IDなし）"))</f>
        <v/>
      </c>
      <c r="E274" s="36" t="n"/>
      <c r="F274" s="37">
        <f>IF(A274="","",LEFT(A274,5))</f>
        <v/>
      </c>
      <c r="G274" s="37">
        <f>IF(C274="","",LEFT(C274,6))</f>
        <v/>
      </c>
    </row>
    <row r="275">
      <c r="A275" s="36" t="n"/>
      <c r="B275" s="36" t="n"/>
      <c r="C275" s="36" t="n"/>
      <c r="D275" s="37">
        <f>IF(C275="","",IFERROR(INDEX(ケイパビリティマップ!$E:$E,MATCH(C275,ケイパビリティマップ!$A:$A,0)),"（IDなし）"))</f>
        <v/>
      </c>
      <c r="E275" s="36" t="n"/>
      <c r="F275" s="37">
        <f>IF(A275="","",LEFT(A275,5))</f>
        <v/>
      </c>
      <c r="G275" s="37">
        <f>IF(C275="","",LEFT(C275,6))</f>
        <v/>
      </c>
    </row>
    <row r="276">
      <c r="A276" s="36" t="n"/>
      <c r="B276" s="36" t="n"/>
      <c r="C276" s="36" t="n"/>
      <c r="D276" s="37">
        <f>IF(C276="","",IFERROR(INDEX(ケイパビリティマップ!$E:$E,MATCH(C276,ケイパビリティマップ!$A:$A,0)),"（IDなし）"))</f>
        <v/>
      </c>
      <c r="E276" s="36" t="n"/>
      <c r="F276" s="37">
        <f>IF(A276="","",LEFT(A276,5))</f>
        <v/>
      </c>
      <c r="G276" s="37">
        <f>IF(C276="","",LEFT(C276,6))</f>
        <v/>
      </c>
    </row>
    <row r="277">
      <c r="A277" s="36" t="n"/>
      <c r="B277" s="36" t="n"/>
      <c r="C277" s="36" t="n"/>
      <c r="D277" s="37">
        <f>IF(C277="","",IFERROR(INDEX(ケイパビリティマップ!$E:$E,MATCH(C277,ケイパビリティマップ!$A:$A,0)),"（IDなし）"))</f>
        <v/>
      </c>
      <c r="E277" s="36" t="n"/>
      <c r="F277" s="37">
        <f>IF(A277="","",LEFT(A277,5))</f>
        <v/>
      </c>
      <c r="G277" s="37">
        <f>IF(C277="","",LEFT(C277,6))</f>
        <v/>
      </c>
    </row>
    <row r="278">
      <c r="A278" s="36" t="n"/>
      <c r="B278" s="36" t="n"/>
      <c r="C278" s="36" t="n"/>
      <c r="D278" s="37">
        <f>IF(C278="","",IFERROR(INDEX(ケイパビリティマップ!$E:$E,MATCH(C278,ケイパビリティマップ!$A:$A,0)),"（IDなし）"))</f>
        <v/>
      </c>
      <c r="E278" s="36" t="n"/>
      <c r="F278" s="37">
        <f>IF(A278="","",LEFT(A278,5))</f>
        <v/>
      </c>
      <c r="G278" s="37">
        <f>IF(C278="","",LEFT(C278,6))</f>
        <v/>
      </c>
    </row>
    <row r="279">
      <c r="A279" s="36" t="n"/>
      <c r="B279" s="36" t="n"/>
      <c r="C279" s="36" t="n"/>
      <c r="D279" s="37">
        <f>IF(C279="","",IFERROR(INDEX(ケイパビリティマップ!$E:$E,MATCH(C279,ケイパビリティマップ!$A:$A,0)),"（IDなし）"))</f>
        <v/>
      </c>
      <c r="E279" s="36" t="n"/>
      <c r="F279" s="37">
        <f>IF(A279="","",LEFT(A279,5))</f>
        <v/>
      </c>
      <c r="G279" s="37">
        <f>IF(C279="","",LEFT(C279,6))</f>
        <v/>
      </c>
    </row>
    <row r="280">
      <c r="A280" s="36" t="n"/>
      <c r="B280" s="36" t="n"/>
      <c r="C280" s="36" t="n"/>
      <c r="D280" s="37">
        <f>IF(C280="","",IFERROR(INDEX(ケイパビリティマップ!$E:$E,MATCH(C280,ケイパビリティマップ!$A:$A,0)),"（IDなし）"))</f>
        <v/>
      </c>
      <c r="E280" s="36" t="n"/>
      <c r="F280" s="37">
        <f>IF(A280="","",LEFT(A280,5))</f>
        <v/>
      </c>
      <c r="G280" s="37">
        <f>IF(C280="","",LEFT(C280,6))</f>
        <v/>
      </c>
    </row>
    <row r="281">
      <c r="A281" s="36" t="n"/>
      <c r="B281" s="36" t="n"/>
      <c r="C281" s="36" t="n"/>
      <c r="D281" s="37">
        <f>IF(C281="","",IFERROR(INDEX(ケイパビリティマップ!$E:$E,MATCH(C281,ケイパビリティマップ!$A:$A,0)),"（IDなし）"))</f>
        <v/>
      </c>
      <c r="E281" s="36" t="n"/>
      <c r="F281" s="37">
        <f>IF(A281="","",LEFT(A281,5))</f>
        <v/>
      </c>
      <c r="G281" s="37">
        <f>IF(C281="","",LEFT(C281,6))</f>
        <v/>
      </c>
    </row>
    <row r="282">
      <c r="A282" s="36" t="n"/>
      <c r="B282" s="36" t="n"/>
      <c r="C282" s="36" t="n"/>
      <c r="D282" s="37">
        <f>IF(C282="","",IFERROR(INDEX(ケイパビリティマップ!$E:$E,MATCH(C282,ケイパビリティマップ!$A:$A,0)),"（IDなし）"))</f>
        <v/>
      </c>
      <c r="E282" s="36" t="n"/>
      <c r="F282" s="37">
        <f>IF(A282="","",LEFT(A282,5))</f>
        <v/>
      </c>
      <c r="G282" s="37">
        <f>IF(C282="","",LEFT(C282,6))</f>
        <v/>
      </c>
    </row>
    <row r="283">
      <c r="A283" s="36" t="n"/>
      <c r="B283" s="36" t="n"/>
      <c r="C283" s="36" t="n"/>
      <c r="D283" s="37">
        <f>IF(C283="","",IFERROR(INDEX(ケイパビリティマップ!$E:$E,MATCH(C283,ケイパビリティマップ!$A:$A,0)),"（IDなし）"))</f>
        <v/>
      </c>
      <c r="E283" s="36" t="n"/>
      <c r="F283" s="37">
        <f>IF(A283="","",LEFT(A283,5))</f>
        <v/>
      </c>
      <c r="G283" s="37">
        <f>IF(C283="","",LEFT(C283,6))</f>
        <v/>
      </c>
    </row>
    <row r="284">
      <c r="A284" s="36" t="n"/>
      <c r="B284" s="36" t="n"/>
      <c r="C284" s="36" t="n"/>
      <c r="D284" s="37">
        <f>IF(C284="","",IFERROR(INDEX(ケイパビリティマップ!$E:$E,MATCH(C284,ケイパビリティマップ!$A:$A,0)),"（IDなし）"))</f>
        <v/>
      </c>
      <c r="E284" s="36" t="n"/>
      <c r="F284" s="37">
        <f>IF(A284="","",LEFT(A284,5))</f>
        <v/>
      </c>
      <c r="G284" s="37">
        <f>IF(C284="","",LEFT(C284,6))</f>
        <v/>
      </c>
    </row>
    <row r="285">
      <c r="A285" s="36" t="n"/>
      <c r="B285" s="36" t="n"/>
      <c r="C285" s="36" t="n"/>
      <c r="D285" s="37">
        <f>IF(C285="","",IFERROR(INDEX(ケイパビリティマップ!$E:$E,MATCH(C285,ケイパビリティマップ!$A:$A,0)),"（IDなし）"))</f>
        <v/>
      </c>
      <c r="E285" s="36" t="n"/>
      <c r="F285" s="37">
        <f>IF(A285="","",LEFT(A285,5))</f>
        <v/>
      </c>
      <c r="G285" s="37">
        <f>IF(C285="","",LEFT(C285,6))</f>
        <v/>
      </c>
    </row>
    <row r="286">
      <c r="A286" s="36" t="n"/>
      <c r="B286" s="36" t="n"/>
      <c r="C286" s="36" t="n"/>
      <c r="D286" s="37">
        <f>IF(C286="","",IFERROR(INDEX(ケイパビリティマップ!$E:$E,MATCH(C286,ケイパビリティマップ!$A:$A,0)),"（IDなし）"))</f>
        <v/>
      </c>
      <c r="E286" s="36" t="n"/>
      <c r="F286" s="37">
        <f>IF(A286="","",LEFT(A286,5))</f>
        <v/>
      </c>
      <c r="G286" s="37">
        <f>IF(C286="","",LEFT(C286,6))</f>
        <v/>
      </c>
    </row>
    <row r="287">
      <c r="A287" s="36" t="n"/>
      <c r="B287" s="36" t="n"/>
      <c r="C287" s="36" t="n"/>
      <c r="D287" s="37">
        <f>IF(C287="","",IFERROR(INDEX(ケイパビリティマップ!$E:$E,MATCH(C287,ケイパビリティマップ!$A:$A,0)),"（IDなし）"))</f>
        <v/>
      </c>
      <c r="E287" s="36" t="n"/>
      <c r="F287" s="37">
        <f>IF(A287="","",LEFT(A287,5))</f>
        <v/>
      </c>
      <c r="G287" s="37">
        <f>IF(C287="","",LEFT(C287,6))</f>
        <v/>
      </c>
    </row>
    <row r="288">
      <c r="A288" s="36" t="n"/>
      <c r="B288" s="36" t="n"/>
      <c r="C288" s="36" t="n"/>
      <c r="D288" s="37">
        <f>IF(C288="","",IFERROR(INDEX(ケイパビリティマップ!$E:$E,MATCH(C288,ケイパビリティマップ!$A:$A,0)),"（IDなし）"))</f>
        <v/>
      </c>
      <c r="E288" s="36" t="n"/>
      <c r="F288" s="37">
        <f>IF(A288="","",LEFT(A288,5))</f>
        <v/>
      </c>
      <c r="G288" s="37">
        <f>IF(C288="","",LEFT(C288,6))</f>
        <v/>
      </c>
    </row>
    <row r="289">
      <c r="A289" s="36" t="n"/>
      <c r="B289" s="36" t="n"/>
      <c r="C289" s="36" t="n"/>
      <c r="D289" s="37">
        <f>IF(C289="","",IFERROR(INDEX(ケイパビリティマップ!$E:$E,MATCH(C289,ケイパビリティマップ!$A:$A,0)),"（IDなし）"))</f>
        <v/>
      </c>
      <c r="E289" s="36" t="n"/>
      <c r="F289" s="37">
        <f>IF(A289="","",LEFT(A289,5))</f>
        <v/>
      </c>
      <c r="G289" s="37">
        <f>IF(C289="","",LEFT(C289,6))</f>
        <v/>
      </c>
    </row>
    <row r="290">
      <c r="A290" s="36" t="n"/>
      <c r="B290" s="36" t="n"/>
      <c r="C290" s="36" t="n"/>
      <c r="D290" s="37">
        <f>IF(C290="","",IFERROR(INDEX(ケイパビリティマップ!$E:$E,MATCH(C290,ケイパビリティマップ!$A:$A,0)),"（IDなし）"))</f>
        <v/>
      </c>
      <c r="E290" s="36" t="n"/>
      <c r="F290" s="37">
        <f>IF(A290="","",LEFT(A290,5))</f>
        <v/>
      </c>
      <c r="G290" s="37">
        <f>IF(C290="","",LEFT(C290,6))</f>
        <v/>
      </c>
    </row>
    <row r="291">
      <c r="A291" s="36" t="n"/>
      <c r="B291" s="36" t="n"/>
      <c r="C291" s="36" t="n"/>
      <c r="D291" s="37">
        <f>IF(C291="","",IFERROR(INDEX(ケイパビリティマップ!$E:$E,MATCH(C291,ケイパビリティマップ!$A:$A,0)),"（IDなし）"))</f>
        <v/>
      </c>
      <c r="E291" s="36" t="n"/>
      <c r="F291" s="37">
        <f>IF(A291="","",LEFT(A291,5))</f>
        <v/>
      </c>
      <c r="G291" s="37">
        <f>IF(C291="","",LEFT(C291,6))</f>
        <v/>
      </c>
    </row>
    <row r="292">
      <c r="A292" s="36" t="n"/>
      <c r="B292" s="36" t="n"/>
      <c r="C292" s="36" t="n"/>
      <c r="D292" s="37">
        <f>IF(C292="","",IFERROR(INDEX(ケイパビリティマップ!$E:$E,MATCH(C292,ケイパビリティマップ!$A:$A,0)),"（IDなし）"))</f>
        <v/>
      </c>
      <c r="E292" s="36" t="n"/>
      <c r="F292" s="37">
        <f>IF(A292="","",LEFT(A292,5))</f>
        <v/>
      </c>
      <c r="G292" s="37">
        <f>IF(C292="","",LEFT(C292,6))</f>
        <v/>
      </c>
    </row>
    <row r="293">
      <c r="A293" s="36" t="n"/>
      <c r="B293" s="36" t="n"/>
      <c r="C293" s="36" t="n"/>
      <c r="D293" s="37">
        <f>IF(C293="","",IFERROR(INDEX(ケイパビリティマップ!$E:$E,MATCH(C293,ケイパビリティマップ!$A:$A,0)),"（IDなし）"))</f>
        <v/>
      </c>
      <c r="E293" s="36" t="n"/>
      <c r="F293" s="37">
        <f>IF(A293="","",LEFT(A293,5))</f>
        <v/>
      </c>
      <c r="G293" s="37">
        <f>IF(C293="","",LEFT(C293,6))</f>
        <v/>
      </c>
    </row>
    <row r="294">
      <c r="A294" s="36" t="n"/>
      <c r="B294" s="36" t="n"/>
      <c r="C294" s="36" t="n"/>
      <c r="D294" s="37">
        <f>IF(C294="","",IFERROR(INDEX(ケイパビリティマップ!$E:$E,MATCH(C294,ケイパビリティマップ!$A:$A,0)),"（IDなし）"))</f>
        <v/>
      </c>
      <c r="E294" s="36" t="n"/>
      <c r="F294" s="37">
        <f>IF(A294="","",LEFT(A294,5))</f>
        <v/>
      </c>
      <c r="G294" s="37">
        <f>IF(C294="","",LEFT(C294,6))</f>
        <v/>
      </c>
    </row>
    <row r="295">
      <c r="A295" s="36" t="n"/>
      <c r="B295" s="36" t="n"/>
      <c r="C295" s="36" t="n"/>
      <c r="D295" s="37">
        <f>IF(C295="","",IFERROR(INDEX(ケイパビリティマップ!$E:$E,MATCH(C295,ケイパビリティマップ!$A:$A,0)),"（IDなし）"))</f>
        <v/>
      </c>
      <c r="E295" s="36" t="n"/>
      <c r="F295" s="37">
        <f>IF(A295="","",LEFT(A295,5))</f>
        <v/>
      </c>
      <c r="G295" s="37">
        <f>IF(C295="","",LEFT(C295,6))</f>
        <v/>
      </c>
    </row>
    <row r="296">
      <c r="A296" s="36" t="n"/>
      <c r="B296" s="36" t="n"/>
      <c r="C296" s="36" t="n"/>
      <c r="D296" s="37">
        <f>IF(C296="","",IFERROR(INDEX(ケイパビリティマップ!$E:$E,MATCH(C296,ケイパビリティマップ!$A:$A,0)),"（IDなし）"))</f>
        <v/>
      </c>
      <c r="E296" s="36" t="n"/>
      <c r="F296" s="37">
        <f>IF(A296="","",LEFT(A296,5))</f>
        <v/>
      </c>
      <c r="G296" s="37">
        <f>IF(C296="","",LEFT(C296,6))</f>
        <v/>
      </c>
    </row>
    <row r="297">
      <c r="A297" s="36" t="n"/>
      <c r="B297" s="36" t="n"/>
      <c r="C297" s="36" t="n"/>
      <c r="D297" s="37">
        <f>IF(C297="","",IFERROR(INDEX(ケイパビリティマップ!$E:$E,MATCH(C297,ケイパビリティマップ!$A:$A,0)),"（IDなし）"))</f>
        <v/>
      </c>
      <c r="E297" s="36" t="n"/>
      <c r="F297" s="37">
        <f>IF(A297="","",LEFT(A297,5))</f>
        <v/>
      </c>
      <c r="G297" s="37">
        <f>IF(C297="","",LEFT(C297,6))</f>
        <v/>
      </c>
    </row>
    <row r="298">
      <c r="A298" s="36" t="n"/>
      <c r="B298" s="36" t="n"/>
      <c r="C298" s="36" t="n"/>
      <c r="D298" s="37">
        <f>IF(C298="","",IFERROR(INDEX(ケイパビリティマップ!$E:$E,MATCH(C298,ケイパビリティマップ!$A:$A,0)),"（IDなし）"))</f>
        <v/>
      </c>
      <c r="E298" s="36" t="n"/>
      <c r="F298" s="37">
        <f>IF(A298="","",LEFT(A298,5))</f>
        <v/>
      </c>
      <c r="G298" s="37">
        <f>IF(C298="","",LEFT(C298,6))</f>
        <v/>
      </c>
    </row>
    <row r="299">
      <c r="A299" s="36" t="n"/>
      <c r="B299" s="36" t="n"/>
      <c r="C299" s="36" t="n"/>
      <c r="D299" s="37">
        <f>IF(C299="","",IFERROR(INDEX(ケイパビリティマップ!$E:$E,MATCH(C299,ケイパビリティマップ!$A:$A,0)),"（IDなし）"))</f>
        <v/>
      </c>
      <c r="E299" s="36" t="n"/>
      <c r="F299" s="37">
        <f>IF(A299="","",LEFT(A299,5))</f>
        <v/>
      </c>
      <c r="G299" s="37">
        <f>IF(C299="","",LEFT(C299,6))</f>
        <v/>
      </c>
    </row>
    <row r="300">
      <c r="A300" s="36" t="n"/>
      <c r="B300" s="36" t="n"/>
      <c r="C300" s="36" t="n"/>
      <c r="D300" s="37">
        <f>IF(C300="","",IFERROR(INDEX(ケイパビリティマップ!$E:$E,MATCH(C300,ケイパビリティマップ!$A:$A,0)),"（IDなし）"))</f>
        <v/>
      </c>
      <c r="E300" s="36" t="n"/>
      <c r="F300" s="37">
        <f>IF(A300="","",LEFT(A300,5))</f>
        <v/>
      </c>
      <c r="G300" s="37">
        <f>IF(C300="","",LEFT(C300,6))</f>
        <v/>
      </c>
    </row>
    <row r="301">
      <c r="A301" s="36" t="n"/>
      <c r="B301" s="36" t="n"/>
      <c r="C301" s="36" t="n"/>
      <c r="D301" s="37">
        <f>IF(C301="","",IFERROR(INDEX(ケイパビリティマップ!$E:$E,MATCH(C301,ケイパビリティマップ!$A:$A,0)),"（IDなし）"))</f>
        <v/>
      </c>
      <c r="E301" s="36" t="n"/>
      <c r="F301" s="37">
        <f>IF(A301="","",LEFT(A301,5))</f>
        <v/>
      </c>
      <c r="G301" s="37">
        <f>IF(C301="","",LEFT(C301,6))</f>
        <v/>
      </c>
    </row>
    <row r="302">
      <c r="A302" s="36" t="n"/>
      <c r="B302" s="36" t="n"/>
      <c r="C302" s="36" t="n"/>
      <c r="D302" s="37">
        <f>IF(C302="","",IFERROR(INDEX(ケイパビリティマップ!$E:$E,MATCH(C302,ケイパビリティマップ!$A:$A,0)),"（IDなし）"))</f>
        <v/>
      </c>
      <c r="E302" s="36" t="n"/>
      <c r="F302" s="37">
        <f>IF(A302="","",LEFT(A302,5))</f>
        <v/>
      </c>
      <c r="G302" s="37">
        <f>IF(C302="","",LEFT(C302,6))</f>
        <v/>
      </c>
    </row>
    <row r="303">
      <c r="A303" s="36" t="n"/>
      <c r="B303" s="36" t="n"/>
      <c r="C303" s="36" t="n"/>
      <c r="D303" s="37">
        <f>IF(C303="","",IFERROR(INDEX(ケイパビリティマップ!$E:$E,MATCH(C303,ケイパビリティマップ!$A:$A,0)),"（IDなし）"))</f>
        <v/>
      </c>
      <c r="E303" s="36" t="n"/>
      <c r="F303" s="37">
        <f>IF(A303="","",LEFT(A303,5))</f>
        <v/>
      </c>
      <c r="G303" s="37">
        <f>IF(C303="","",LEFT(C303,6))</f>
        <v/>
      </c>
    </row>
    <row r="304">
      <c r="A304" s="36" t="n"/>
      <c r="B304" s="36" t="n"/>
      <c r="C304" s="36" t="n"/>
      <c r="D304" s="37">
        <f>IF(C304="","",IFERROR(INDEX(ケイパビリティマップ!$E:$E,MATCH(C304,ケイパビリティマップ!$A:$A,0)),"（IDなし）"))</f>
        <v/>
      </c>
      <c r="E304" s="36" t="n"/>
      <c r="F304" s="37">
        <f>IF(A304="","",LEFT(A304,5))</f>
        <v/>
      </c>
      <c r="G304" s="37">
        <f>IF(C304="","",LEFT(C304,6))</f>
        <v/>
      </c>
    </row>
    <row r="305">
      <c r="A305" s="36" t="n"/>
      <c r="B305" s="36" t="n"/>
      <c r="C305" s="36" t="n"/>
      <c r="D305" s="37">
        <f>IF(C305="","",IFERROR(INDEX(ケイパビリティマップ!$E:$E,MATCH(C305,ケイパビリティマップ!$A:$A,0)),"（IDなし）"))</f>
        <v/>
      </c>
      <c r="E305" s="36" t="n"/>
      <c r="F305" s="37">
        <f>IF(A305="","",LEFT(A305,5))</f>
        <v/>
      </c>
      <c r="G305" s="37">
        <f>IF(C305="","",LEFT(C305,6))</f>
        <v/>
      </c>
    </row>
    <row r="306">
      <c r="A306" s="36" t="n"/>
      <c r="B306" s="36" t="n"/>
      <c r="C306" s="36" t="n"/>
      <c r="D306" s="37">
        <f>IF(C306="","",IFERROR(INDEX(ケイパビリティマップ!$E:$E,MATCH(C306,ケイパビリティマップ!$A:$A,0)),"（IDなし）"))</f>
        <v/>
      </c>
      <c r="E306" s="36" t="n"/>
      <c r="F306" s="37">
        <f>IF(A306="","",LEFT(A306,5))</f>
        <v/>
      </c>
      <c r="G306" s="37">
        <f>IF(C306="","",LEFT(C306,6))</f>
        <v/>
      </c>
    </row>
    <row r="307">
      <c r="A307" s="36" t="n"/>
      <c r="B307" s="36" t="n"/>
      <c r="C307" s="36" t="n"/>
      <c r="D307" s="37">
        <f>IF(C307="","",IFERROR(INDEX(ケイパビリティマップ!$E:$E,MATCH(C307,ケイパビリティマップ!$A:$A,0)),"（IDなし）"))</f>
        <v/>
      </c>
      <c r="E307" s="36" t="n"/>
      <c r="F307" s="37">
        <f>IF(A307="","",LEFT(A307,5))</f>
        <v/>
      </c>
      <c r="G307" s="37">
        <f>IF(C307="","",LEFT(C307,6))</f>
        <v/>
      </c>
    </row>
    <row r="308">
      <c r="A308" s="36" t="n"/>
      <c r="B308" s="36" t="n"/>
      <c r="C308" s="36" t="n"/>
      <c r="D308" s="37">
        <f>IF(C308="","",IFERROR(INDEX(ケイパビリティマップ!$E:$E,MATCH(C308,ケイパビリティマップ!$A:$A,0)),"（IDなし）"))</f>
        <v/>
      </c>
      <c r="E308" s="36" t="n"/>
      <c r="F308" s="37">
        <f>IF(A308="","",LEFT(A308,5))</f>
        <v/>
      </c>
      <c r="G308" s="37">
        <f>IF(C308="","",LEFT(C308,6))</f>
        <v/>
      </c>
    </row>
    <row r="309">
      <c r="A309" s="36" t="n"/>
      <c r="B309" s="36" t="n"/>
      <c r="C309" s="36" t="n"/>
      <c r="D309" s="37">
        <f>IF(C309="","",IFERROR(INDEX(ケイパビリティマップ!$E:$E,MATCH(C309,ケイパビリティマップ!$A:$A,0)),"（IDなし）"))</f>
        <v/>
      </c>
      <c r="E309" s="36" t="n"/>
      <c r="F309" s="37">
        <f>IF(A309="","",LEFT(A309,5))</f>
        <v/>
      </c>
      <c r="G309" s="37">
        <f>IF(C309="","",LEFT(C309,6))</f>
        <v/>
      </c>
    </row>
    <row r="310">
      <c r="A310" s="36" t="n"/>
      <c r="B310" s="36" t="n"/>
      <c r="C310" s="36" t="n"/>
      <c r="D310" s="37">
        <f>IF(C310="","",IFERROR(INDEX(ケイパビリティマップ!$E:$E,MATCH(C310,ケイパビリティマップ!$A:$A,0)),"（IDなし）"))</f>
        <v/>
      </c>
      <c r="E310" s="36" t="n"/>
      <c r="F310" s="37">
        <f>IF(A310="","",LEFT(A310,5))</f>
        <v/>
      </c>
      <c r="G310" s="37">
        <f>IF(C310="","",LEFT(C310,6))</f>
        <v/>
      </c>
    </row>
    <row r="311">
      <c r="A311" s="36" t="n"/>
      <c r="B311" s="36" t="n"/>
      <c r="C311" s="36" t="n"/>
      <c r="D311" s="37">
        <f>IF(C311="","",IFERROR(INDEX(ケイパビリティマップ!$E:$E,MATCH(C311,ケイパビリティマップ!$A:$A,0)),"（IDなし）"))</f>
        <v/>
      </c>
      <c r="E311" s="36" t="n"/>
      <c r="F311" s="37">
        <f>IF(A311="","",LEFT(A311,5))</f>
        <v/>
      </c>
      <c r="G311" s="37">
        <f>IF(C311="","",LEFT(C311,6))</f>
        <v/>
      </c>
    </row>
    <row r="312">
      <c r="A312" s="36" t="n"/>
      <c r="B312" s="36" t="n"/>
      <c r="C312" s="36" t="n"/>
      <c r="D312" s="37">
        <f>IF(C312="","",IFERROR(INDEX(ケイパビリティマップ!$E:$E,MATCH(C312,ケイパビリティマップ!$A:$A,0)),"（IDなし）"))</f>
        <v/>
      </c>
      <c r="E312" s="36" t="n"/>
      <c r="F312" s="37">
        <f>IF(A312="","",LEFT(A312,5))</f>
        <v/>
      </c>
      <c r="G312" s="37">
        <f>IF(C312="","",LEFT(C312,6))</f>
        <v/>
      </c>
    </row>
    <row r="313">
      <c r="A313" s="36" t="n"/>
      <c r="B313" s="36" t="n"/>
      <c r="C313" s="36" t="n"/>
      <c r="D313" s="37">
        <f>IF(C313="","",IFERROR(INDEX(ケイパビリティマップ!$E:$E,MATCH(C313,ケイパビリティマップ!$A:$A,0)),"（IDなし）"))</f>
        <v/>
      </c>
      <c r="E313" s="36" t="n"/>
      <c r="F313" s="37">
        <f>IF(A313="","",LEFT(A313,5))</f>
        <v/>
      </c>
      <c r="G313" s="37">
        <f>IF(C313="","",LEFT(C313,6))</f>
        <v/>
      </c>
    </row>
    <row r="314">
      <c r="A314" s="36" t="n"/>
      <c r="B314" s="36" t="n"/>
      <c r="C314" s="36" t="n"/>
      <c r="D314" s="37">
        <f>IF(C314="","",IFERROR(INDEX(ケイパビリティマップ!$E:$E,MATCH(C314,ケイパビリティマップ!$A:$A,0)),"（IDなし）"))</f>
        <v/>
      </c>
      <c r="E314" s="36" t="n"/>
      <c r="F314" s="37">
        <f>IF(A314="","",LEFT(A314,5))</f>
        <v/>
      </c>
      <c r="G314" s="37">
        <f>IF(C314="","",LEFT(C314,6))</f>
        <v/>
      </c>
    </row>
    <row r="315">
      <c r="A315" s="36" t="n"/>
      <c r="B315" s="36" t="n"/>
      <c r="C315" s="36" t="n"/>
      <c r="D315" s="37">
        <f>IF(C315="","",IFERROR(INDEX(ケイパビリティマップ!$E:$E,MATCH(C315,ケイパビリティマップ!$A:$A,0)),"（IDなし）"))</f>
        <v/>
      </c>
      <c r="E315" s="36" t="n"/>
      <c r="F315" s="37">
        <f>IF(A315="","",LEFT(A315,5))</f>
        <v/>
      </c>
      <c r="G315" s="37">
        <f>IF(C315="","",LEFT(C315,6))</f>
        <v/>
      </c>
    </row>
    <row r="316">
      <c r="A316" s="36" t="n"/>
      <c r="B316" s="36" t="n"/>
      <c r="C316" s="36" t="n"/>
      <c r="D316" s="37">
        <f>IF(C316="","",IFERROR(INDEX(ケイパビリティマップ!$E:$E,MATCH(C316,ケイパビリティマップ!$A:$A,0)),"（IDなし）"))</f>
        <v/>
      </c>
      <c r="E316" s="36" t="n"/>
      <c r="F316" s="37">
        <f>IF(A316="","",LEFT(A316,5))</f>
        <v/>
      </c>
      <c r="G316" s="37">
        <f>IF(C316="","",LEFT(C316,6))</f>
        <v/>
      </c>
    </row>
    <row r="317">
      <c r="A317" s="36" t="n"/>
      <c r="B317" s="36" t="n"/>
      <c r="C317" s="36" t="n"/>
      <c r="D317" s="37">
        <f>IF(C317="","",IFERROR(INDEX(ケイパビリティマップ!$E:$E,MATCH(C317,ケイパビリティマップ!$A:$A,0)),"（IDなし）"))</f>
        <v/>
      </c>
      <c r="E317" s="36" t="n"/>
      <c r="F317" s="37">
        <f>IF(A317="","",LEFT(A317,5))</f>
        <v/>
      </c>
      <c r="G317" s="37">
        <f>IF(C317="","",LEFT(C317,6))</f>
        <v/>
      </c>
    </row>
    <row r="318">
      <c r="A318" s="36" t="n"/>
      <c r="B318" s="36" t="n"/>
      <c r="C318" s="36" t="n"/>
      <c r="D318" s="37">
        <f>IF(C318="","",IFERROR(INDEX(ケイパビリティマップ!$E:$E,MATCH(C318,ケイパビリティマップ!$A:$A,0)),"（IDなし）"))</f>
        <v/>
      </c>
      <c r="E318" s="36" t="n"/>
      <c r="F318" s="37">
        <f>IF(A318="","",LEFT(A318,5))</f>
        <v/>
      </c>
      <c r="G318" s="37">
        <f>IF(C318="","",LEFT(C318,6))</f>
        <v/>
      </c>
    </row>
    <row r="319">
      <c r="A319" s="36" t="n"/>
      <c r="B319" s="36" t="n"/>
      <c r="C319" s="36" t="n"/>
      <c r="D319" s="37">
        <f>IF(C319="","",IFERROR(INDEX(ケイパビリティマップ!$E:$E,MATCH(C319,ケイパビリティマップ!$A:$A,0)),"（IDなし）"))</f>
        <v/>
      </c>
      <c r="E319" s="36" t="n"/>
      <c r="F319" s="37">
        <f>IF(A319="","",LEFT(A319,5))</f>
        <v/>
      </c>
      <c r="G319" s="37">
        <f>IF(C319="","",LEFT(C319,6))</f>
        <v/>
      </c>
    </row>
    <row r="320">
      <c r="A320" s="36" t="n"/>
      <c r="B320" s="36" t="n"/>
      <c r="C320" s="36" t="n"/>
      <c r="D320" s="37">
        <f>IF(C320="","",IFERROR(INDEX(ケイパビリティマップ!$E:$E,MATCH(C320,ケイパビリティマップ!$A:$A,0)),"（IDなし）"))</f>
        <v/>
      </c>
      <c r="E320" s="36" t="n"/>
      <c r="F320" s="37">
        <f>IF(A320="","",LEFT(A320,5))</f>
        <v/>
      </c>
      <c r="G320" s="37">
        <f>IF(C320="","",LEFT(C320,6))</f>
        <v/>
      </c>
    </row>
    <row r="321">
      <c r="A321" s="36" t="n"/>
      <c r="B321" s="36" t="n"/>
      <c r="C321" s="36" t="n"/>
      <c r="D321" s="37">
        <f>IF(C321="","",IFERROR(INDEX(ケイパビリティマップ!$E:$E,MATCH(C321,ケイパビリティマップ!$A:$A,0)),"（IDなし）"))</f>
        <v/>
      </c>
      <c r="E321" s="36" t="n"/>
      <c r="F321" s="37">
        <f>IF(A321="","",LEFT(A321,5))</f>
        <v/>
      </c>
      <c r="G321" s="37">
        <f>IF(C321="","",LEFT(C321,6))</f>
        <v/>
      </c>
    </row>
    <row r="322">
      <c r="A322" s="36" t="n"/>
      <c r="B322" s="36" t="n"/>
      <c r="C322" s="36" t="n"/>
      <c r="D322" s="37">
        <f>IF(C322="","",IFERROR(INDEX(ケイパビリティマップ!$E:$E,MATCH(C322,ケイパビリティマップ!$A:$A,0)),"（IDなし）"))</f>
        <v/>
      </c>
      <c r="E322" s="36" t="n"/>
      <c r="F322" s="37">
        <f>IF(A322="","",LEFT(A322,5))</f>
        <v/>
      </c>
      <c r="G322" s="37">
        <f>IF(C322="","",LEFT(C322,6))</f>
        <v/>
      </c>
    </row>
    <row r="323">
      <c r="A323" s="36" t="n"/>
      <c r="B323" s="36" t="n"/>
      <c r="C323" s="36" t="n"/>
      <c r="D323" s="37">
        <f>IF(C323="","",IFERROR(INDEX(ケイパビリティマップ!$E:$E,MATCH(C323,ケイパビリティマップ!$A:$A,0)),"（IDなし）"))</f>
        <v/>
      </c>
      <c r="E323" s="36" t="n"/>
      <c r="F323" s="37">
        <f>IF(A323="","",LEFT(A323,5))</f>
        <v/>
      </c>
      <c r="G323" s="37">
        <f>IF(C323="","",LEFT(C323,6))</f>
        <v/>
      </c>
    </row>
    <row r="324">
      <c r="A324" s="36" t="n"/>
      <c r="B324" s="36" t="n"/>
      <c r="C324" s="36" t="n"/>
      <c r="D324" s="37">
        <f>IF(C324="","",IFERROR(INDEX(ケイパビリティマップ!$E:$E,MATCH(C324,ケイパビリティマップ!$A:$A,0)),"（IDなし）"))</f>
        <v/>
      </c>
      <c r="E324" s="36" t="n"/>
      <c r="F324" s="37">
        <f>IF(A324="","",LEFT(A324,5))</f>
        <v/>
      </c>
      <c r="G324" s="37">
        <f>IF(C324="","",LEFT(C324,6))</f>
        <v/>
      </c>
    </row>
    <row r="325">
      <c r="A325" s="36" t="n"/>
      <c r="B325" s="36" t="n"/>
      <c r="C325" s="36" t="n"/>
      <c r="D325" s="37">
        <f>IF(C325="","",IFERROR(INDEX(ケイパビリティマップ!$E:$E,MATCH(C325,ケイパビリティマップ!$A:$A,0)),"（IDなし）"))</f>
        <v/>
      </c>
      <c r="E325" s="36" t="n"/>
      <c r="F325" s="37">
        <f>IF(A325="","",LEFT(A325,5))</f>
        <v/>
      </c>
      <c r="G325" s="37">
        <f>IF(C325="","",LEFT(C325,6))</f>
        <v/>
      </c>
    </row>
    <row r="326">
      <c r="A326" s="36" t="n"/>
      <c r="B326" s="36" t="n"/>
      <c r="C326" s="36" t="n"/>
      <c r="D326" s="37">
        <f>IF(C326="","",IFERROR(INDEX(ケイパビリティマップ!$E:$E,MATCH(C326,ケイパビリティマップ!$A:$A,0)),"（IDなし）"))</f>
        <v/>
      </c>
      <c r="E326" s="36" t="n"/>
      <c r="F326" s="37">
        <f>IF(A326="","",LEFT(A326,5))</f>
        <v/>
      </c>
      <c r="G326" s="37">
        <f>IF(C326="","",LEFT(C326,6))</f>
        <v/>
      </c>
    </row>
    <row r="327">
      <c r="A327" s="36" t="n"/>
      <c r="B327" s="36" t="n"/>
      <c r="C327" s="36" t="n"/>
      <c r="D327" s="37">
        <f>IF(C327="","",IFERROR(INDEX(ケイパビリティマップ!$E:$E,MATCH(C327,ケイパビリティマップ!$A:$A,0)),"（IDなし）"))</f>
        <v/>
      </c>
      <c r="E327" s="36" t="n"/>
      <c r="F327" s="37">
        <f>IF(A327="","",LEFT(A327,5))</f>
        <v/>
      </c>
      <c r="G327" s="37">
        <f>IF(C327="","",LEFT(C327,6))</f>
        <v/>
      </c>
    </row>
    <row r="328">
      <c r="A328" s="36" t="n"/>
      <c r="B328" s="36" t="n"/>
      <c r="C328" s="36" t="n"/>
      <c r="D328" s="37">
        <f>IF(C328="","",IFERROR(INDEX(ケイパビリティマップ!$E:$E,MATCH(C328,ケイパビリティマップ!$A:$A,0)),"（IDなし）"))</f>
        <v/>
      </c>
      <c r="E328" s="36" t="n"/>
      <c r="F328" s="37">
        <f>IF(A328="","",LEFT(A328,5))</f>
        <v/>
      </c>
      <c r="G328" s="37">
        <f>IF(C328="","",LEFT(C328,6))</f>
        <v/>
      </c>
    </row>
    <row r="329">
      <c r="A329" s="36" t="n"/>
      <c r="B329" s="36" t="n"/>
      <c r="C329" s="36" t="n"/>
      <c r="D329" s="37">
        <f>IF(C329="","",IFERROR(INDEX(ケイパビリティマップ!$E:$E,MATCH(C329,ケイパビリティマップ!$A:$A,0)),"（IDなし）"))</f>
        <v/>
      </c>
      <c r="E329" s="36" t="n"/>
      <c r="F329" s="37">
        <f>IF(A329="","",LEFT(A329,5))</f>
        <v/>
      </c>
      <c r="G329" s="37">
        <f>IF(C329="","",LEFT(C329,6))</f>
        <v/>
      </c>
    </row>
    <row r="330">
      <c r="A330" s="36" t="n"/>
      <c r="B330" s="36" t="n"/>
      <c r="C330" s="36" t="n"/>
      <c r="D330" s="37">
        <f>IF(C330="","",IFERROR(INDEX(ケイパビリティマップ!$E:$E,MATCH(C330,ケイパビリティマップ!$A:$A,0)),"（IDなし）"))</f>
        <v/>
      </c>
      <c r="E330" s="36" t="n"/>
      <c r="F330" s="37">
        <f>IF(A330="","",LEFT(A330,5))</f>
        <v/>
      </c>
      <c r="G330" s="37">
        <f>IF(C330="","",LEFT(C330,6))</f>
        <v/>
      </c>
    </row>
    <row r="331">
      <c r="A331" s="36" t="n"/>
      <c r="B331" s="36" t="n"/>
      <c r="C331" s="36" t="n"/>
      <c r="D331" s="37">
        <f>IF(C331="","",IFERROR(INDEX(ケイパビリティマップ!$E:$E,MATCH(C331,ケイパビリティマップ!$A:$A,0)),"（IDなし）"))</f>
        <v/>
      </c>
      <c r="E331" s="36" t="n"/>
      <c r="F331" s="37">
        <f>IF(A331="","",LEFT(A331,5))</f>
        <v/>
      </c>
      <c r="G331" s="37">
        <f>IF(C331="","",LEFT(C331,6))</f>
        <v/>
      </c>
    </row>
    <row r="332">
      <c r="A332" s="36" t="n"/>
      <c r="B332" s="36" t="n"/>
      <c r="C332" s="36" t="n"/>
      <c r="D332" s="37">
        <f>IF(C332="","",IFERROR(INDEX(ケイパビリティマップ!$E:$E,MATCH(C332,ケイパビリティマップ!$A:$A,0)),"（IDなし）"))</f>
        <v/>
      </c>
      <c r="E332" s="36" t="n"/>
      <c r="F332" s="37">
        <f>IF(A332="","",LEFT(A332,5))</f>
        <v/>
      </c>
      <c r="G332" s="37">
        <f>IF(C332="","",LEFT(C332,6))</f>
        <v/>
      </c>
    </row>
    <row r="333">
      <c r="A333" s="36" t="n"/>
      <c r="B333" s="36" t="n"/>
      <c r="C333" s="36" t="n"/>
      <c r="D333" s="37">
        <f>IF(C333="","",IFERROR(INDEX(ケイパビリティマップ!$E:$E,MATCH(C333,ケイパビリティマップ!$A:$A,0)),"（IDなし）"))</f>
        <v/>
      </c>
      <c r="E333" s="36" t="n"/>
      <c r="F333" s="37">
        <f>IF(A333="","",LEFT(A333,5))</f>
        <v/>
      </c>
      <c r="G333" s="37">
        <f>IF(C333="","",LEFT(C333,6))</f>
        <v/>
      </c>
    </row>
    <row r="334">
      <c r="A334" s="36" t="n"/>
      <c r="B334" s="36" t="n"/>
      <c r="C334" s="36" t="n"/>
      <c r="D334" s="37">
        <f>IF(C334="","",IFERROR(INDEX(ケイパビリティマップ!$E:$E,MATCH(C334,ケイパビリティマップ!$A:$A,0)),"（IDなし）"))</f>
        <v/>
      </c>
      <c r="E334" s="36" t="n"/>
      <c r="F334" s="37">
        <f>IF(A334="","",LEFT(A334,5))</f>
        <v/>
      </c>
      <c r="G334" s="37">
        <f>IF(C334="","",LEFT(C334,6))</f>
        <v/>
      </c>
    </row>
    <row r="335">
      <c r="A335" s="36" t="n"/>
      <c r="B335" s="36" t="n"/>
      <c r="C335" s="36" t="n"/>
      <c r="D335" s="37">
        <f>IF(C335="","",IFERROR(INDEX(ケイパビリティマップ!$E:$E,MATCH(C335,ケイパビリティマップ!$A:$A,0)),"（IDなし）"))</f>
        <v/>
      </c>
      <c r="E335" s="36" t="n"/>
      <c r="F335" s="37">
        <f>IF(A335="","",LEFT(A335,5))</f>
        <v/>
      </c>
      <c r="G335" s="37">
        <f>IF(C335="","",LEFT(C335,6))</f>
        <v/>
      </c>
    </row>
    <row r="336">
      <c r="A336" s="36" t="n"/>
      <c r="B336" s="36" t="n"/>
      <c r="C336" s="36" t="n"/>
      <c r="D336" s="37">
        <f>IF(C336="","",IFERROR(INDEX(ケイパビリティマップ!$E:$E,MATCH(C336,ケイパビリティマップ!$A:$A,0)),"（IDなし）"))</f>
        <v/>
      </c>
      <c r="E336" s="36" t="n"/>
      <c r="F336" s="37">
        <f>IF(A336="","",LEFT(A336,5))</f>
        <v/>
      </c>
      <c r="G336" s="37">
        <f>IF(C336="","",LEFT(C336,6))</f>
        <v/>
      </c>
    </row>
    <row r="337">
      <c r="A337" s="36" t="n"/>
      <c r="B337" s="36" t="n"/>
      <c r="C337" s="36" t="n"/>
      <c r="D337" s="37">
        <f>IF(C337="","",IFERROR(INDEX(ケイパビリティマップ!$E:$E,MATCH(C337,ケイパビリティマップ!$A:$A,0)),"（IDなし）"))</f>
        <v/>
      </c>
      <c r="E337" s="36" t="n"/>
      <c r="F337" s="37">
        <f>IF(A337="","",LEFT(A337,5))</f>
        <v/>
      </c>
      <c r="G337" s="37">
        <f>IF(C337="","",LEFT(C337,6))</f>
        <v/>
      </c>
    </row>
    <row r="338">
      <c r="A338" s="36" t="n"/>
      <c r="B338" s="36" t="n"/>
      <c r="C338" s="36" t="n"/>
      <c r="D338" s="37">
        <f>IF(C338="","",IFERROR(INDEX(ケイパビリティマップ!$E:$E,MATCH(C338,ケイパビリティマップ!$A:$A,0)),"（IDなし）"))</f>
        <v/>
      </c>
      <c r="E338" s="36" t="n"/>
      <c r="F338" s="37">
        <f>IF(A338="","",LEFT(A338,5))</f>
        <v/>
      </c>
      <c r="G338" s="37">
        <f>IF(C338="","",LEFT(C338,6))</f>
        <v/>
      </c>
    </row>
    <row r="339">
      <c r="A339" s="36" t="n"/>
      <c r="B339" s="36" t="n"/>
      <c r="C339" s="36" t="n"/>
      <c r="D339" s="37">
        <f>IF(C339="","",IFERROR(INDEX(ケイパビリティマップ!$E:$E,MATCH(C339,ケイパビリティマップ!$A:$A,0)),"（IDなし）"))</f>
        <v/>
      </c>
      <c r="E339" s="36" t="n"/>
      <c r="F339" s="37">
        <f>IF(A339="","",LEFT(A339,5))</f>
        <v/>
      </c>
      <c r="G339" s="37">
        <f>IF(C339="","",LEFT(C339,6))</f>
        <v/>
      </c>
    </row>
    <row r="340">
      <c r="A340" s="36" t="n"/>
      <c r="B340" s="36" t="n"/>
      <c r="C340" s="36" t="n"/>
      <c r="D340" s="37">
        <f>IF(C340="","",IFERROR(INDEX(ケイパビリティマップ!$E:$E,MATCH(C340,ケイパビリティマップ!$A:$A,0)),"（IDなし）"))</f>
        <v/>
      </c>
      <c r="E340" s="36" t="n"/>
      <c r="F340" s="37">
        <f>IF(A340="","",LEFT(A340,5))</f>
        <v/>
      </c>
      <c r="G340" s="37">
        <f>IF(C340="","",LEFT(C340,6))</f>
        <v/>
      </c>
    </row>
    <row r="341">
      <c r="A341" s="36" t="n"/>
      <c r="B341" s="36" t="n"/>
      <c r="C341" s="36" t="n"/>
      <c r="D341" s="37">
        <f>IF(C341="","",IFERROR(INDEX(ケイパビリティマップ!$E:$E,MATCH(C341,ケイパビリティマップ!$A:$A,0)),"（IDなし）"))</f>
        <v/>
      </c>
      <c r="E341" s="36" t="n"/>
      <c r="F341" s="37">
        <f>IF(A341="","",LEFT(A341,5))</f>
        <v/>
      </c>
      <c r="G341" s="37">
        <f>IF(C341="","",LEFT(C341,6))</f>
        <v/>
      </c>
    </row>
  </sheetData>
  <autoFilter ref="A3:G141"/>
  <dataValidations count="1">
    <dataValidation sqref="E4:E341" showDropDown="0" showInputMessage="0" showErrorMessage="0" allowBlank="1" type="list">
      <formula1>"主,支援"</formula1>
    </dataValidation>
  </dataValidations>
  <pageMargins left="0.75" right="0.75" top="1" bottom="1" header="0.5" footer="0.5"/>
</worksheet>
</file>

<file path=xl/worksheets/sheet5.xml><?xml version="1.0" encoding="utf-8"?>
<worksheet xmlns="http://schemas.openxmlformats.org/spreadsheetml/2006/main">
  <sheetPr>
    <tabColor rgb="002E8B57"/>
    <outlinePr summaryBelow="1" summaryRight="1"/>
    <pageSetUpPr/>
  </sheetPr>
  <dimension ref="A1:AG21"/>
  <sheetViews>
    <sheetView showGridLines="1" zoomScale="9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7" customWidth="1" min="2" max="2"/>
    <col width="3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7" customWidth="1" min="32" max="32"/>
    <col width="7" customWidth="1" min="33" max="33"/>
  </cols>
  <sheetData>
    <row r="1" ht="21" customHeight="1">
      <c r="A1" s="1" t="inlineStr">
        <is>
          <t>バリューストリーム×ケイパビリティマップ（行：バリューストリームL3 × 列：ケイパビリティL2）</t>
        </is>
      </c>
    </row>
    <row r="2" ht="15" customHeight="1">
      <c r="A2" s="2" t="inlineStr">
        <is>
          <t>●＝主（配下のL4×L3の関係に「主」が1つ以上）　○＝支援のみ　空欄＝関係なし。各セルは「VS×ケイパビリティ関係」シートから数式で集計（直接入力しない）。</t>
        </is>
      </c>
    </row>
    <row r="4" ht="42" customHeight="1">
      <c r="A4" s="3" t="inlineStr">
        <is>
          <t>VS L2</t>
        </is>
      </c>
      <c r="B4" s="3" t="inlineStr">
        <is>
          <t>L3 ID</t>
        </is>
      </c>
      <c r="C4" s="3" t="inlineStr">
        <is>
          <t>VS L3</t>
        </is>
      </c>
      <c r="D4" s="38" t="inlineStr">
        <is>
          <t>C01 IT戦略・ガバナンス</t>
        </is>
      </c>
      <c r="E4" s="27" t="n"/>
      <c r="F4" s="27" t="n"/>
      <c r="G4" s="27" t="n"/>
      <c r="H4" s="28" t="n"/>
      <c r="I4" s="38" t="inlineStr">
        <is>
          <t>C02 ソリューション開発・導入</t>
        </is>
      </c>
      <c r="J4" s="27" t="n"/>
      <c r="K4" s="27" t="n"/>
      <c r="L4" s="28" t="n"/>
      <c r="M4" s="38" t="inlineStr">
        <is>
          <t>C03 ITサービス管理・運用</t>
        </is>
      </c>
      <c r="N4" s="27" t="n"/>
      <c r="O4" s="27" t="n"/>
      <c r="P4" s="27" t="n"/>
      <c r="Q4" s="28" t="n"/>
      <c r="R4" s="38" t="inlineStr">
        <is>
          <t>C04 ITプラットフォーム</t>
        </is>
      </c>
      <c r="S4" s="27" t="n"/>
      <c r="T4" s="27" t="n"/>
      <c r="U4" s="28" t="n"/>
      <c r="V4" s="38" t="inlineStr">
        <is>
          <t>C05 サイバーセキュリティ</t>
        </is>
      </c>
      <c r="W4" s="27" t="n"/>
      <c r="X4" s="28" t="n"/>
      <c r="Y4" s="38" t="inlineStr">
        <is>
          <t>C06 データ・GxPコンプライアンス</t>
        </is>
      </c>
      <c r="Z4" s="27" t="n"/>
      <c r="AA4" s="27" t="n"/>
      <c r="AB4" s="28" t="n"/>
      <c r="AC4" s="38" t="inlineStr">
        <is>
          <t>C07 IT組織・ソーシング基盤</t>
        </is>
      </c>
      <c r="AD4" s="27" t="n"/>
      <c r="AE4" s="28" t="n"/>
      <c r="AF4" s="4" t="inlineStr">
        <is>
          <t>●の数</t>
        </is>
      </c>
      <c r="AG4" s="4" t="inlineStr">
        <is>
          <t>○の数</t>
        </is>
      </c>
    </row>
    <row r="5" ht="23.25" customHeight="1">
      <c r="A5" s="39" t="n"/>
      <c r="B5" s="39" t="n"/>
      <c r="C5" s="39" t="n"/>
      <c r="D5" s="38" t="inlineStr">
        <is>
          <t>C01-01</t>
        </is>
      </c>
      <c r="E5" s="38" t="inlineStr">
        <is>
          <t>C01-02</t>
        </is>
      </c>
      <c r="F5" s="38" t="inlineStr">
        <is>
          <t>C01-03</t>
        </is>
      </c>
      <c r="G5" s="38" t="inlineStr">
        <is>
          <t>C01-04</t>
        </is>
      </c>
      <c r="H5" s="38" t="inlineStr">
        <is>
          <t>C01-05</t>
        </is>
      </c>
      <c r="I5" s="38" t="inlineStr">
        <is>
          <t>C02-01</t>
        </is>
      </c>
      <c r="J5" s="38" t="inlineStr">
        <is>
          <t>C02-02</t>
        </is>
      </c>
      <c r="K5" s="38" t="inlineStr">
        <is>
          <t>C02-03</t>
        </is>
      </c>
      <c r="L5" s="38" t="inlineStr">
        <is>
          <t>C02-04</t>
        </is>
      </c>
      <c r="M5" s="38" t="inlineStr">
        <is>
          <t>C03-01</t>
        </is>
      </c>
      <c r="N5" s="38" t="inlineStr">
        <is>
          <t>C03-02</t>
        </is>
      </c>
      <c r="O5" s="38" t="inlineStr">
        <is>
          <t>C03-03</t>
        </is>
      </c>
      <c r="P5" s="38" t="inlineStr">
        <is>
          <t>C03-04</t>
        </is>
      </c>
      <c r="Q5" s="38" t="inlineStr">
        <is>
          <t>C03-05</t>
        </is>
      </c>
      <c r="R5" s="38" t="inlineStr">
        <is>
          <t>C04-01</t>
        </is>
      </c>
      <c r="S5" s="38" t="inlineStr">
        <is>
          <t>C04-02</t>
        </is>
      </c>
      <c r="T5" s="38" t="inlineStr">
        <is>
          <t>C04-03</t>
        </is>
      </c>
      <c r="U5" s="38" t="inlineStr">
        <is>
          <t>C04-04</t>
        </is>
      </c>
      <c r="V5" s="38" t="inlineStr">
        <is>
          <t>C05-01</t>
        </is>
      </c>
      <c r="W5" s="38" t="inlineStr">
        <is>
          <t>C05-02</t>
        </is>
      </c>
      <c r="X5" s="38" t="inlineStr">
        <is>
          <t>C05-03</t>
        </is>
      </c>
      <c r="Y5" s="38" t="inlineStr">
        <is>
          <t>C06-01</t>
        </is>
      </c>
      <c r="Z5" s="38" t="inlineStr">
        <is>
          <t>C06-02</t>
        </is>
      </c>
      <c r="AA5" s="38" t="inlineStr">
        <is>
          <t>C06-03</t>
        </is>
      </c>
      <c r="AB5" s="38" t="inlineStr">
        <is>
          <t>C06-04</t>
        </is>
      </c>
      <c r="AC5" s="38" t="inlineStr">
        <is>
          <t>C07-01</t>
        </is>
      </c>
      <c r="AD5" s="38" t="inlineStr">
        <is>
          <t>C07-02</t>
        </is>
      </c>
      <c r="AE5" s="38" t="inlineStr">
        <is>
          <t>C07-03</t>
        </is>
      </c>
      <c r="AF5" s="39" t="n"/>
      <c r="AG5" s="39" t="n"/>
    </row>
    <row r="6" ht="150" customHeight="1">
      <c r="A6" s="40" t="n"/>
      <c r="B6" s="40" t="n"/>
      <c r="C6" s="40" t="n"/>
      <c r="D6" s="41" t="inlineStr">
        <is>
          <t>IT戦略・DX企画</t>
        </is>
      </c>
      <c r="E6" s="41" t="inlineStr">
        <is>
          <t>エンタープライズアーキテクチャ</t>
        </is>
      </c>
      <c r="F6" s="41" t="inlineStr">
        <is>
          <t>ITポートフォリオ・需要管理</t>
        </is>
      </c>
      <c r="G6" s="41" t="inlineStr">
        <is>
          <t>ITガバナンス・リスク管理★</t>
        </is>
      </c>
      <c r="H6" s="41" t="inlineStr">
        <is>
          <t>IT財務管理</t>
        </is>
      </c>
      <c r="I6" s="41" t="inlineStr">
        <is>
          <t>プロジェクト管理★</t>
        </is>
      </c>
      <c r="J6" s="41" t="inlineStr">
        <is>
          <t>要件定義・設計</t>
        </is>
      </c>
      <c r="K6" s="41" t="inlineStr">
        <is>
          <t>開発・構成</t>
        </is>
      </c>
      <c r="L6" s="41" t="inlineStr">
        <is>
          <t>テスト・リリース</t>
        </is>
      </c>
      <c r="M6" s="41" t="inlineStr">
        <is>
          <t>サービスカタログ・サービスレベル管理</t>
        </is>
      </c>
      <c r="N6" s="41" t="inlineStr">
        <is>
          <t>サービスデスク・要求実現</t>
        </is>
      </c>
      <c r="O6" s="41" t="inlineStr">
        <is>
          <t>IT運用・監視</t>
        </is>
      </c>
      <c r="P6" s="41" t="inlineStr">
        <is>
          <t>インシデント・問題管理</t>
        </is>
      </c>
      <c r="Q6" s="41" t="inlineStr">
        <is>
          <t>変更・構成管理★</t>
        </is>
      </c>
      <c r="R6" s="41" t="inlineStr">
        <is>
          <t>クラウド・データセンター</t>
        </is>
      </c>
      <c r="S6" s="41" t="inlineStr">
        <is>
          <t>ネットワーク</t>
        </is>
      </c>
      <c r="T6" s="41" t="inlineStr">
        <is>
          <t>エンドユーザー環境</t>
        </is>
      </c>
      <c r="U6" s="41" t="inlineStr">
        <is>
          <t>IT資産・ライセンス管理</t>
        </is>
      </c>
      <c r="V6" s="41" t="inlineStr">
        <is>
          <t>セキュリティガバナンス</t>
        </is>
      </c>
      <c r="W6" s="41" t="inlineStr">
        <is>
          <t>ID・アクセス管理★</t>
        </is>
      </c>
      <c r="X6" s="41" t="inlineStr">
        <is>
          <t>セキュリティ運用</t>
        </is>
      </c>
      <c r="Y6" s="41" t="inlineStr">
        <is>
          <t>GxPシステム管理（CSV）★</t>
        </is>
      </c>
      <c r="Z6" s="41" t="inlineStr">
        <is>
          <t>データインテグリティ★</t>
        </is>
      </c>
      <c r="AA6" s="41" t="inlineStr">
        <is>
          <t>データ管理</t>
        </is>
      </c>
      <c r="AB6" s="41" t="inlineStr">
        <is>
          <t>個人情報・データ保護</t>
        </is>
      </c>
      <c r="AC6" s="41" t="inlineStr">
        <is>
          <t>ITソーシング・ベンダー管理★</t>
        </is>
      </c>
      <c r="AD6" s="41" t="inlineStr">
        <is>
          <t>IT人材・組織★</t>
        </is>
      </c>
      <c r="AE6" s="41" t="inlineStr">
        <is>
          <t>ITナレッジ・文書管理</t>
        </is>
      </c>
      <c r="AF6" s="40" t="n"/>
      <c r="AG6" s="40" t="n"/>
    </row>
    <row r="7">
      <c r="A7" s="42" t="inlineStr">
        <is>
          <t>01 戦略・ポートフォリオ（S2P）</t>
        </is>
      </c>
      <c r="B7" s="18" t="inlineStr">
        <is>
          <t>01-01</t>
        </is>
      </c>
      <c r="C7" s="20" t="inlineStr">
        <is>
          <t>IT戦略・アーキテクチャの策定</t>
        </is>
      </c>
      <c r="D7" s="18">
        <f>IF(COUNTIFS('VS×ケイパビリティ関係'!$F$4:$F$341,$B7,'VS×ケイパビリティ関係'!$G$4:$G$341,D$5,'VS×ケイパビリティ関係'!$E$4:$E$341,"主")&gt;0,"●",IF(COUNTIFS('VS×ケイパビリティ関係'!$F$4:$F$341,$B7,'VS×ケイパビリティ関係'!$G$4:$G$341,D$5,'VS×ケイパビリティ関係'!$E$4:$E$341,"支援")&gt;0,"○",""))</f>
        <v/>
      </c>
      <c r="E7" s="18">
        <f>IF(COUNTIFS('VS×ケイパビリティ関係'!$F$4:$F$341,$B7,'VS×ケイパビリティ関係'!$G$4:$G$341,E$5,'VS×ケイパビリティ関係'!$E$4:$E$341,"主")&gt;0,"●",IF(COUNTIFS('VS×ケイパビリティ関係'!$F$4:$F$341,$B7,'VS×ケイパビリティ関係'!$G$4:$G$341,E$5,'VS×ケイパビリティ関係'!$E$4:$E$341,"支援")&gt;0,"○",""))</f>
        <v/>
      </c>
      <c r="F7" s="18">
        <f>IF(COUNTIFS('VS×ケイパビリティ関係'!$F$4:$F$341,$B7,'VS×ケイパビリティ関係'!$G$4:$G$341,F$5,'VS×ケイパビリティ関係'!$E$4:$E$341,"主")&gt;0,"●",IF(COUNTIFS('VS×ケイパビリティ関係'!$F$4:$F$341,$B7,'VS×ケイパビリティ関係'!$G$4:$G$341,F$5,'VS×ケイパビリティ関係'!$E$4:$E$341,"支援")&gt;0,"○",""))</f>
        <v/>
      </c>
      <c r="G7" s="18">
        <f>IF(COUNTIFS('VS×ケイパビリティ関係'!$F$4:$F$341,$B7,'VS×ケイパビリティ関係'!$G$4:$G$341,G$5,'VS×ケイパビリティ関係'!$E$4:$E$341,"主")&gt;0,"●",IF(COUNTIFS('VS×ケイパビリティ関係'!$F$4:$F$341,$B7,'VS×ケイパビリティ関係'!$G$4:$G$341,G$5,'VS×ケイパビリティ関係'!$E$4:$E$341,"支援")&gt;0,"○",""))</f>
        <v/>
      </c>
      <c r="H7" s="18">
        <f>IF(COUNTIFS('VS×ケイパビリティ関係'!$F$4:$F$341,$B7,'VS×ケイパビリティ関係'!$G$4:$G$341,H$5,'VS×ケイパビリティ関係'!$E$4:$E$341,"主")&gt;0,"●",IF(COUNTIFS('VS×ケイパビリティ関係'!$F$4:$F$341,$B7,'VS×ケイパビリティ関係'!$G$4:$G$341,H$5,'VS×ケイパビリティ関係'!$E$4:$E$341,"支援")&gt;0,"○",""))</f>
        <v/>
      </c>
      <c r="I7" s="18">
        <f>IF(COUNTIFS('VS×ケイパビリティ関係'!$F$4:$F$341,$B7,'VS×ケイパビリティ関係'!$G$4:$G$341,I$5,'VS×ケイパビリティ関係'!$E$4:$E$341,"主")&gt;0,"●",IF(COUNTIFS('VS×ケイパビリティ関係'!$F$4:$F$341,$B7,'VS×ケイパビリティ関係'!$G$4:$G$341,I$5,'VS×ケイパビリティ関係'!$E$4:$E$341,"支援")&gt;0,"○",""))</f>
        <v/>
      </c>
      <c r="J7" s="18">
        <f>IF(COUNTIFS('VS×ケイパビリティ関係'!$F$4:$F$341,$B7,'VS×ケイパビリティ関係'!$G$4:$G$341,J$5,'VS×ケイパビリティ関係'!$E$4:$E$341,"主")&gt;0,"●",IF(COUNTIFS('VS×ケイパビリティ関係'!$F$4:$F$341,$B7,'VS×ケイパビリティ関係'!$G$4:$G$341,J$5,'VS×ケイパビリティ関係'!$E$4:$E$341,"支援")&gt;0,"○",""))</f>
        <v/>
      </c>
      <c r="K7" s="18">
        <f>IF(COUNTIFS('VS×ケイパビリティ関係'!$F$4:$F$341,$B7,'VS×ケイパビリティ関係'!$G$4:$G$341,K$5,'VS×ケイパビリティ関係'!$E$4:$E$341,"主")&gt;0,"●",IF(COUNTIFS('VS×ケイパビリティ関係'!$F$4:$F$341,$B7,'VS×ケイパビリティ関係'!$G$4:$G$341,K$5,'VS×ケイパビリティ関係'!$E$4:$E$341,"支援")&gt;0,"○",""))</f>
        <v/>
      </c>
      <c r="L7" s="18">
        <f>IF(COUNTIFS('VS×ケイパビリティ関係'!$F$4:$F$341,$B7,'VS×ケイパビリティ関係'!$G$4:$G$341,L$5,'VS×ケイパビリティ関係'!$E$4:$E$341,"主")&gt;0,"●",IF(COUNTIFS('VS×ケイパビリティ関係'!$F$4:$F$341,$B7,'VS×ケイパビリティ関係'!$G$4:$G$341,L$5,'VS×ケイパビリティ関係'!$E$4:$E$341,"支援")&gt;0,"○",""))</f>
        <v/>
      </c>
      <c r="M7" s="18">
        <f>IF(COUNTIFS('VS×ケイパビリティ関係'!$F$4:$F$341,$B7,'VS×ケイパビリティ関係'!$G$4:$G$341,M$5,'VS×ケイパビリティ関係'!$E$4:$E$341,"主")&gt;0,"●",IF(COUNTIFS('VS×ケイパビリティ関係'!$F$4:$F$341,$B7,'VS×ケイパビリティ関係'!$G$4:$G$341,M$5,'VS×ケイパビリティ関係'!$E$4:$E$341,"支援")&gt;0,"○",""))</f>
        <v/>
      </c>
      <c r="N7" s="18">
        <f>IF(COUNTIFS('VS×ケイパビリティ関係'!$F$4:$F$341,$B7,'VS×ケイパビリティ関係'!$G$4:$G$341,N$5,'VS×ケイパビリティ関係'!$E$4:$E$341,"主")&gt;0,"●",IF(COUNTIFS('VS×ケイパビリティ関係'!$F$4:$F$341,$B7,'VS×ケイパビリティ関係'!$G$4:$G$341,N$5,'VS×ケイパビリティ関係'!$E$4:$E$341,"支援")&gt;0,"○",""))</f>
        <v/>
      </c>
      <c r="O7" s="18">
        <f>IF(COUNTIFS('VS×ケイパビリティ関係'!$F$4:$F$341,$B7,'VS×ケイパビリティ関係'!$G$4:$G$341,O$5,'VS×ケイパビリティ関係'!$E$4:$E$341,"主")&gt;0,"●",IF(COUNTIFS('VS×ケイパビリティ関係'!$F$4:$F$341,$B7,'VS×ケイパビリティ関係'!$G$4:$G$341,O$5,'VS×ケイパビリティ関係'!$E$4:$E$341,"支援")&gt;0,"○",""))</f>
        <v/>
      </c>
      <c r="P7" s="18">
        <f>IF(COUNTIFS('VS×ケイパビリティ関係'!$F$4:$F$341,$B7,'VS×ケイパビリティ関係'!$G$4:$G$341,P$5,'VS×ケイパビリティ関係'!$E$4:$E$341,"主")&gt;0,"●",IF(COUNTIFS('VS×ケイパビリティ関係'!$F$4:$F$341,$B7,'VS×ケイパビリティ関係'!$G$4:$G$341,P$5,'VS×ケイパビリティ関係'!$E$4:$E$341,"支援")&gt;0,"○",""))</f>
        <v/>
      </c>
      <c r="Q7" s="18">
        <f>IF(COUNTIFS('VS×ケイパビリティ関係'!$F$4:$F$341,$B7,'VS×ケイパビリティ関係'!$G$4:$G$341,Q$5,'VS×ケイパビリティ関係'!$E$4:$E$341,"主")&gt;0,"●",IF(COUNTIFS('VS×ケイパビリティ関係'!$F$4:$F$341,$B7,'VS×ケイパビリティ関係'!$G$4:$G$341,Q$5,'VS×ケイパビリティ関係'!$E$4:$E$341,"支援")&gt;0,"○",""))</f>
        <v/>
      </c>
      <c r="R7" s="18">
        <f>IF(COUNTIFS('VS×ケイパビリティ関係'!$F$4:$F$341,$B7,'VS×ケイパビリティ関係'!$G$4:$G$341,R$5,'VS×ケイパビリティ関係'!$E$4:$E$341,"主")&gt;0,"●",IF(COUNTIFS('VS×ケイパビリティ関係'!$F$4:$F$341,$B7,'VS×ケイパビリティ関係'!$G$4:$G$341,R$5,'VS×ケイパビリティ関係'!$E$4:$E$341,"支援")&gt;0,"○",""))</f>
        <v/>
      </c>
      <c r="S7" s="18">
        <f>IF(COUNTIFS('VS×ケイパビリティ関係'!$F$4:$F$341,$B7,'VS×ケイパビリティ関係'!$G$4:$G$341,S$5,'VS×ケイパビリティ関係'!$E$4:$E$341,"主")&gt;0,"●",IF(COUNTIFS('VS×ケイパビリティ関係'!$F$4:$F$341,$B7,'VS×ケイパビリティ関係'!$G$4:$G$341,S$5,'VS×ケイパビリティ関係'!$E$4:$E$341,"支援")&gt;0,"○",""))</f>
        <v/>
      </c>
      <c r="T7" s="18">
        <f>IF(COUNTIFS('VS×ケイパビリティ関係'!$F$4:$F$341,$B7,'VS×ケイパビリティ関係'!$G$4:$G$341,T$5,'VS×ケイパビリティ関係'!$E$4:$E$341,"主")&gt;0,"●",IF(COUNTIFS('VS×ケイパビリティ関係'!$F$4:$F$341,$B7,'VS×ケイパビリティ関係'!$G$4:$G$341,T$5,'VS×ケイパビリティ関係'!$E$4:$E$341,"支援")&gt;0,"○",""))</f>
        <v/>
      </c>
      <c r="U7" s="18">
        <f>IF(COUNTIFS('VS×ケイパビリティ関係'!$F$4:$F$341,$B7,'VS×ケイパビリティ関係'!$G$4:$G$341,U$5,'VS×ケイパビリティ関係'!$E$4:$E$341,"主")&gt;0,"●",IF(COUNTIFS('VS×ケイパビリティ関係'!$F$4:$F$341,$B7,'VS×ケイパビリティ関係'!$G$4:$G$341,U$5,'VS×ケイパビリティ関係'!$E$4:$E$341,"支援")&gt;0,"○",""))</f>
        <v/>
      </c>
      <c r="V7" s="18">
        <f>IF(COUNTIFS('VS×ケイパビリティ関係'!$F$4:$F$341,$B7,'VS×ケイパビリティ関係'!$G$4:$G$341,V$5,'VS×ケイパビリティ関係'!$E$4:$E$341,"主")&gt;0,"●",IF(COUNTIFS('VS×ケイパビリティ関係'!$F$4:$F$341,$B7,'VS×ケイパビリティ関係'!$G$4:$G$341,V$5,'VS×ケイパビリティ関係'!$E$4:$E$341,"支援")&gt;0,"○",""))</f>
        <v/>
      </c>
      <c r="W7" s="18">
        <f>IF(COUNTIFS('VS×ケイパビリティ関係'!$F$4:$F$341,$B7,'VS×ケイパビリティ関係'!$G$4:$G$341,W$5,'VS×ケイパビリティ関係'!$E$4:$E$341,"主")&gt;0,"●",IF(COUNTIFS('VS×ケイパビリティ関係'!$F$4:$F$341,$B7,'VS×ケイパビリティ関係'!$G$4:$G$341,W$5,'VS×ケイパビリティ関係'!$E$4:$E$341,"支援")&gt;0,"○",""))</f>
        <v/>
      </c>
      <c r="X7" s="18">
        <f>IF(COUNTIFS('VS×ケイパビリティ関係'!$F$4:$F$341,$B7,'VS×ケイパビリティ関係'!$G$4:$G$341,X$5,'VS×ケイパビリティ関係'!$E$4:$E$341,"主")&gt;0,"●",IF(COUNTIFS('VS×ケイパビリティ関係'!$F$4:$F$341,$B7,'VS×ケイパビリティ関係'!$G$4:$G$341,X$5,'VS×ケイパビリティ関係'!$E$4:$E$341,"支援")&gt;0,"○",""))</f>
        <v/>
      </c>
      <c r="Y7" s="18">
        <f>IF(COUNTIFS('VS×ケイパビリティ関係'!$F$4:$F$341,$B7,'VS×ケイパビリティ関係'!$G$4:$G$341,Y$5,'VS×ケイパビリティ関係'!$E$4:$E$341,"主")&gt;0,"●",IF(COUNTIFS('VS×ケイパビリティ関係'!$F$4:$F$341,$B7,'VS×ケイパビリティ関係'!$G$4:$G$341,Y$5,'VS×ケイパビリティ関係'!$E$4:$E$341,"支援")&gt;0,"○",""))</f>
        <v/>
      </c>
      <c r="Z7" s="18">
        <f>IF(COUNTIFS('VS×ケイパビリティ関係'!$F$4:$F$341,$B7,'VS×ケイパビリティ関係'!$G$4:$G$341,Z$5,'VS×ケイパビリティ関係'!$E$4:$E$341,"主")&gt;0,"●",IF(COUNTIFS('VS×ケイパビリティ関係'!$F$4:$F$341,$B7,'VS×ケイパビリティ関係'!$G$4:$G$341,Z$5,'VS×ケイパビリティ関係'!$E$4:$E$341,"支援")&gt;0,"○",""))</f>
        <v/>
      </c>
      <c r="AA7" s="18">
        <f>IF(COUNTIFS('VS×ケイパビリティ関係'!$F$4:$F$341,$B7,'VS×ケイパビリティ関係'!$G$4:$G$341,AA$5,'VS×ケイパビリティ関係'!$E$4:$E$341,"主")&gt;0,"●",IF(COUNTIFS('VS×ケイパビリティ関係'!$F$4:$F$341,$B7,'VS×ケイパビリティ関係'!$G$4:$G$341,AA$5,'VS×ケイパビリティ関係'!$E$4:$E$341,"支援")&gt;0,"○",""))</f>
        <v/>
      </c>
      <c r="AB7" s="18">
        <f>IF(COUNTIFS('VS×ケイパビリティ関係'!$F$4:$F$341,$B7,'VS×ケイパビリティ関係'!$G$4:$G$341,AB$5,'VS×ケイパビリティ関係'!$E$4:$E$341,"主")&gt;0,"●",IF(COUNTIFS('VS×ケイパビリティ関係'!$F$4:$F$341,$B7,'VS×ケイパビリティ関係'!$G$4:$G$341,AB$5,'VS×ケイパビリティ関係'!$E$4:$E$341,"支援")&gt;0,"○",""))</f>
        <v/>
      </c>
      <c r="AC7" s="18">
        <f>IF(COUNTIFS('VS×ケイパビリティ関係'!$F$4:$F$341,$B7,'VS×ケイパビリティ関係'!$G$4:$G$341,AC$5,'VS×ケイパビリティ関係'!$E$4:$E$341,"主")&gt;0,"●",IF(COUNTIFS('VS×ケイパビリティ関係'!$F$4:$F$341,$B7,'VS×ケイパビリティ関係'!$G$4:$G$341,AC$5,'VS×ケイパビリティ関係'!$E$4:$E$341,"支援")&gt;0,"○",""))</f>
        <v/>
      </c>
      <c r="AD7" s="18">
        <f>IF(COUNTIFS('VS×ケイパビリティ関係'!$F$4:$F$341,$B7,'VS×ケイパビリティ関係'!$G$4:$G$341,AD$5,'VS×ケイパビリティ関係'!$E$4:$E$341,"主")&gt;0,"●",IF(COUNTIFS('VS×ケイパビリティ関係'!$F$4:$F$341,$B7,'VS×ケイパビリティ関係'!$G$4:$G$341,AD$5,'VS×ケイパビリティ関係'!$E$4:$E$341,"支援")&gt;0,"○",""))</f>
        <v/>
      </c>
      <c r="AE7" s="18">
        <f>IF(COUNTIFS('VS×ケイパビリティ関係'!$F$4:$F$341,$B7,'VS×ケイパビリティ関係'!$G$4:$G$341,AE$5,'VS×ケイパビリティ関係'!$E$4:$E$341,"主")&gt;0,"●",IF(COUNTIFS('VS×ケイパビリティ関係'!$F$4:$F$341,$B7,'VS×ケイパビリティ関係'!$G$4:$G$341,AE$5,'VS×ケイパビリティ関係'!$E$4:$E$341,"支援")&gt;0,"○",""))</f>
        <v/>
      </c>
      <c r="AF7" s="18">
        <f>COUNTIF(D7:AE7,"●")</f>
        <v/>
      </c>
      <c r="AG7" s="18">
        <f>COUNTIF(D7:AE7,"○")</f>
        <v/>
      </c>
    </row>
    <row r="8">
      <c r="A8" s="42" t="n"/>
      <c r="B8" s="18" t="inlineStr">
        <is>
          <t>01-02</t>
        </is>
      </c>
      <c r="C8" s="20" t="inlineStr">
        <is>
          <t>需要管理・構想</t>
        </is>
      </c>
      <c r="D8" s="18">
        <f>IF(COUNTIFS('VS×ケイパビリティ関係'!$F$4:$F$341,$B8,'VS×ケイパビリティ関係'!$G$4:$G$341,D$5,'VS×ケイパビリティ関係'!$E$4:$E$341,"主")&gt;0,"●",IF(COUNTIFS('VS×ケイパビリティ関係'!$F$4:$F$341,$B8,'VS×ケイパビリティ関係'!$G$4:$G$341,D$5,'VS×ケイパビリティ関係'!$E$4:$E$341,"支援")&gt;0,"○",""))</f>
        <v/>
      </c>
      <c r="E8" s="18">
        <f>IF(COUNTIFS('VS×ケイパビリティ関係'!$F$4:$F$341,$B8,'VS×ケイパビリティ関係'!$G$4:$G$341,E$5,'VS×ケイパビリティ関係'!$E$4:$E$341,"主")&gt;0,"●",IF(COUNTIFS('VS×ケイパビリティ関係'!$F$4:$F$341,$B8,'VS×ケイパビリティ関係'!$G$4:$G$341,E$5,'VS×ケイパビリティ関係'!$E$4:$E$341,"支援")&gt;0,"○",""))</f>
        <v/>
      </c>
      <c r="F8" s="18">
        <f>IF(COUNTIFS('VS×ケイパビリティ関係'!$F$4:$F$341,$B8,'VS×ケイパビリティ関係'!$G$4:$G$341,F$5,'VS×ケイパビリティ関係'!$E$4:$E$341,"主")&gt;0,"●",IF(COUNTIFS('VS×ケイパビリティ関係'!$F$4:$F$341,$B8,'VS×ケイパビリティ関係'!$G$4:$G$341,F$5,'VS×ケイパビリティ関係'!$E$4:$E$341,"支援")&gt;0,"○",""))</f>
        <v/>
      </c>
      <c r="G8" s="18">
        <f>IF(COUNTIFS('VS×ケイパビリティ関係'!$F$4:$F$341,$B8,'VS×ケイパビリティ関係'!$G$4:$G$341,G$5,'VS×ケイパビリティ関係'!$E$4:$E$341,"主")&gt;0,"●",IF(COUNTIFS('VS×ケイパビリティ関係'!$F$4:$F$341,$B8,'VS×ケイパビリティ関係'!$G$4:$G$341,G$5,'VS×ケイパビリティ関係'!$E$4:$E$341,"支援")&gt;0,"○",""))</f>
        <v/>
      </c>
      <c r="H8" s="18">
        <f>IF(COUNTIFS('VS×ケイパビリティ関係'!$F$4:$F$341,$B8,'VS×ケイパビリティ関係'!$G$4:$G$341,H$5,'VS×ケイパビリティ関係'!$E$4:$E$341,"主")&gt;0,"●",IF(COUNTIFS('VS×ケイパビリティ関係'!$F$4:$F$341,$B8,'VS×ケイパビリティ関係'!$G$4:$G$341,H$5,'VS×ケイパビリティ関係'!$E$4:$E$341,"支援")&gt;0,"○",""))</f>
        <v/>
      </c>
      <c r="I8" s="18">
        <f>IF(COUNTIFS('VS×ケイパビリティ関係'!$F$4:$F$341,$B8,'VS×ケイパビリティ関係'!$G$4:$G$341,I$5,'VS×ケイパビリティ関係'!$E$4:$E$341,"主")&gt;0,"●",IF(COUNTIFS('VS×ケイパビリティ関係'!$F$4:$F$341,$B8,'VS×ケイパビリティ関係'!$G$4:$G$341,I$5,'VS×ケイパビリティ関係'!$E$4:$E$341,"支援")&gt;0,"○",""))</f>
        <v/>
      </c>
      <c r="J8" s="18">
        <f>IF(COUNTIFS('VS×ケイパビリティ関係'!$F$4:$F$341,$B8,'VS×ケイパビリティ関係'!$G$4:$G$341,J$5,'VS×ケイパビリティ関係'!$E$4:$E$341,"主")&gt;0,"●",IF(COUNTIFS('VS×ケイパビリティ関係'!$F$4:$F$341,$B8,'VS×ケイパビリティ関係'!$G$4:$G$341,J$5,'VS×ケイパビリティ関係'!$E$4:$E$341,"支援")&gt;0,"○",""))</f>
        <v/>
      </c>
      <c r="K8" s="18">
        <f>IF(COUNTIFS('VS×ケイパビリティ関係'!$F$4:$F$341,$B8,'VS×ケイパビリティ関係'!$G$4:$G$341,K$5,'VS×ケイパビリティ関係'!$E$4:$E$341,"主")&gt;0,"●",IF(COUNTIFS('VS×ケイパビリティ関係'!$F$4:$F$341,$B8,'VS×ケイパビリティ関係'!$G$4:$G$341,K$5,'VS×ケイパビリティ関係'!$E$4:$E$341,"支援")&gt;0,"○",""))</f>
        <v/>
      </c>
      <c r="L8" s="18">
        <f>IF(COUNTIFS('VS×ケイパビリティ関係'!$F$4:$F$341,$B8,'VS×ケイパビリティ関係'!$G$4:$G$341,L$5,'VS×ケイパビリティ関係'!$E$4:$E$341,"主")&gt;0,"●",IF(COUNTIFS('VS×ケイパビリティ関係'!$F$4:$F$341,$B8,'VS×ケイパビリティ関係'!$G$4:$G$341,L$5,'VS×ケイパビリティ関係'!$E$4:$E$341,"支援")&gt;0,"○",""))</f>
        <v/>
      </c>
      <c r="M8" s="18">
        <f>IF(COUNTIFS('VS×ケイパビリティ関係'!$F$4:$F$341,$B8,'VS×ケイパビリティ関係'!$G$4:$G$341,M$5,'VS×ケイパビリティ関係'!$E$4:$E$341,"主")&gt;0,"●",IF(COUNTIFS('VS×ケイパビリティ関係'!$F$4:$F$341,$B8,'VS×ケイパビリティ関係'!$G$4:$G$341,M$5,'VS×ケイパビリティ関係'!$E$4:$E$341,"支援")&gt;0,"○",""))</f>
        <v/>
      </c>
      <c r="N8" s="18">
        <f>IF(COUNTIFS('VS×ケイパビリティ関係'!$F$4:$F$341,$B8,'VS×ケイパビリティ関係'!$G$4:$G$341,N$5,'VS×ケイパビリティ関係'!$E$4:$E$341,"主")&gt;0,"●",IF(COUNTIFS('VS×ケイパビリティ関係'!$F$4:$F$341,$B8,'VS×ケイパビリティ関係'!$G$4:$G$341,N$5,'VS×ケイパビリティ関係'!$E$4:$E$341,"支援")&gt;0,"○",""))</f>
        <v/>
      </c>
      <c r="O8" s="18">
        <f>IF(COUNTIFS('VS×ケイパビリティ関係'!$F$4:$F$341,$B8,'VS×ケイパビリティ関係'!$G$4:$G$341,O$5,'VS×ケイパビリティ関係'!$E$4:$E$341,"主")&gt;0,"●",IF(COUNTIFS('VS×ケイパビリティ関係'!$F$4:$F$341,$B8,'VS×ケイパビリティ関係'!$G$4:$G$341,O$5,'VS×ケイパビリティ関係'!$E$4:$E$341,"支援")&gt;0,"○",""))</f>
        <v/>
      </c>
      <c r="P8" s="18">
        <f>IF(COUNTIFS('VS×ケイパビリティ関係'!$F$4:$F$341,$B8,'VS×ケイパビリティ関係'!$G$4:$G$341,P$5,'VS×ケイパビリティ関係'!$E$4:$E$341,"主")&gt;0,"●",IF(COUNTIFS('VS×ケイパビリティ関係'!$F$4:$F$341,$B8,'VS×ケイパビリティ関係'!$G$4:$G$341,P$5,'VS×ケイパビリティ関係'!$E$4:$E$341,"支援")&gt;0,"○",""))</f>
        <v/>
      </c>
      <c r="Q8" s="18">
        <f>IF(COUNTIFS('VS×ケイパビリティ関係'!$F$4:$F$341,$B8,'VS×ケイパビリティ関係'!$G$4:$G$341,Q$5,'VS×ケイパビリティ関係'!$E$4:$E$341,"主")&gt;0,"●",IF(COUNTIFS('VS×ケイパビリティ関係'!$F$4:$F$341,$B8,'VS×ケイパビリティ関係'!$G$4:$G$341,Q$5,'VS×ケイパビリティ関係'!$E$4:$E$341,"支援")&gt;0,"○",""))</f>
        <v/>
      </c>
      <c r="R8" s="18">
        <f>IF(COUNTIFS('VS×ケイパビリティ関係'!$F$4:$F$341,$B8,'VS×ケイパビリティ関係'!$G$4:$G$341,R$5,'VS×ケイパビリティ関係'!$E$4:$E$341,"主")&gt;0,"●",IF(COUNTIFS('VS×ケイパビリティ関係'!$F$4:$F$341,$B8,'VS×ケイパビリティ関係'!$G$4:$G$341,R$5,'VS×ケイパビリティ関係'!$E$4:$E$341,"支援")&gt;0,"○",""))</f>
        <v/>
      </c>
      <c r="S8" s="18">
        <f>IF(COUNTIFS('VS×ケイパビリティ関係'!$F$4:$F$341,$B8,'VS×ケイパビリティ関係'!$G$4:$G$341,S$5,'VS×ケイパビリティ関係'!$E$4:$E$341,"主")&gt;0,"●",IF(COUNTIFS('VS×ケイパビリティ関係'!$F$4:$F$341,$B8,'VS×ケイパビリティ関係'!$G$4:$G$341,S$5,'VS×ケイパビリティ関係'!$E$4:$E$341,"支援")&gt;0,"○",""))</f>
        <v/>
      </c>
      <c r="T8" s="18">
        <f>IF(COUNTIFS('VS×ケイパビリティ関係'!$F$4:$F$341,$B8,'VS×ケイパビリティ関係'!$G$4:$G$341,T$5,'VS×ケイパビリティ関係'!$E$4:$E$341,"主")&gt;0,"●",IF(COUNTIFS('VS×ケイパビリティ関係'!$F$4:$F$341,$B8,'VS×ケイパビリティ関係'!$G$4:$G$341,T$5,'VS×ケイパビリティ関係'!$E$4:$E$341,"支援")&gt;0,"○",""))</f>
        <v/>
      </c>
      <c r="U8" s="18">
        <f>IF(COUNTIFS('VS×ケイパビリティ関係'!$F$4:$F$341,$B8,'VS×ケイパビリティ関係'!$G$4:$G$341,U$5,'VS×ケイパビリティ関係'!$E$4:$E$341,"主")&gt;0,"●",IF(COUNTIFS('VS×ケイパビリティ関係'!$F$4:$F$341,$B8,'VS×ケイパビリティ関係'!$G$4:$G$341,U$5,'VS×ケイパビリティ関係'!$E$4:$E$341,"支援")&gt;0,"○",""))</f>
        <v/>
      </c>
      <c r="V8" s="18">
        <f>IF(COUNTIFS('VS×ケイパビリティ関係'!$F$4:$F$341,$B8,'VS×ケイパビリティ関係'!$G$4:$G$341,V$5,'VS×ケイパビリティ関係'!$E$4:$E$341,"主")&gt;0,"●",IF(COUNTIFS('VS×ケイパビリティ関係'!$F$4:$F$341,$B8,'VS×ケイパビリティ関係'!$G$4:$G$341,V$5,'VS×ケイパビリティ関係'!$E$4:$E$341,"支援")&gt;0,"○",""))</f>
        <v/>
      </c>
      <c r="W8" s="18">
        <f>IF(COUNTIFS('VS×ケイパビリティ関係'!$F$4:$F$341,$B8,'VS×ケイパビリティ関係'!$G$4:$G$341,W$5,'VS×ケイパビリティ関係'!$E$4:$E$341,"主")&gt;0,"●",IF(COUNTIFS('VS×ケイパビリティ関係'!$F$4:$F$341,$B8,'VS×ケイパビリティ関係'!$G$4:$G$341,W$5,'VS×ケイパビリティ関係'!$E$4:$E$341,"支援")&gt;0,"○",""))</f>
        <v/>
      </c>
      <c r="X8" s="18">
        <f>IF(COUNTIFS('VS×ケイパビリティ関係'!$F$4:$F$341,$B8,'VS×ケイパビリティ関係'!$G$4:$G$341,X$5,'VS×ケイパビリティ関係'!$E$4:$E$341,"主")&gt;0,"●",IF(COUNTIFS('VS×ケイパビリティ関係'!$F$4:$F$341,$B8,'VS×ケイパビリティ関係'!$G$4:$G$341,X$5,'VS×ケイパビリティ関係'!$E$4:$E$341,"支援")&gt;0,"○",""))</f>
        <v/>
      </c>
      <c r="Y8" s="18">
        <f>IF(COUNTIFS('VS×ケイパビリティ関係'!$F$4:$F$341,$B8,'VS×ケイパビリティ関係'!$G$4:$G$341,Y$5,'VS×ケイパビリティ関係'!$E$4:$E$341,"主")&gt;0,"●",IF(COUNTIFS('VS×ケイパビリティ関係'!$F$4:$F$341,$B8,'VS×ケイパビリティ関係'!$G$4:$G$341,Y$5,'VS×ケイパビリティ関係'!$E$4:$E$341,"支援")&gt;0,"○",""))</f>
        <v/>
      </c>
      <c r="Z8" s="18">
        <f>IF(COUNTIFS('VS×ケイパビリティ関係'!$F$4:$F$341,$B8,'VS×ケイパビリティ関係'!$G$4:$G$341,Z$5,'VS×ケイパビリティ関係'!$E$4:$E$341,"主")&gt;0,"●",IF(COUNTIFS('VS×ケイパビリティ関係'!$F$4:$F$341,$B8,'VS×ケイパビリティ関係'!$G$4:$G$341,Z$5,'VS×ケイパビリティ関係'!$E$4:$E$341,"支援")&gt;0,"○",""))</f>
        <v/>
      </c>
      <c r="AA8" s="18">
        <f>IF(COUNTIFS('VS×ケイパビリティ関係'!$F$4:$F$341,$B8,'VS×ケイパビリティ関係'!$G$4:$G$341,AA$5,'VS×ケイパビリティ関係'!$E$4:$E$341,"主")&gt;0,"●",IF(COUNTIFS('VS×ケイパビリティ関係'!$F$4:$F$341,$B8,'VS×ケイパビリティ関係'!$G$4:$G$341,AA$5,'VS×ケイパビリティ関係'!$E$4:$E$341,"支援")&gt;0,"○",""))</f>
        <v/>
      </c>
      <c r="AB8" s="18">
        <f>IF(COUNTIFS('VS×ケイパビリティ関係'!$F$4:$F$341,$B8,'VS×ケイパビリティ関係'!$G$4:$G$341,AB$5,'VS×ケイパビリティ関係'!$E$4:$E$341,"主")&gt;0,"●",IF(COUNTIFS('VS×ケイパビリティ関係'!$F$4:$F$341,$B8,'VS×ケイパビリティ関係'!$G$4:$G$341,AB$5,'VS×ケイパビリティ関係'!$E$4:$E$341,"支援")&gt;0,"○",""))</f>
        <v/>
      </c>
      <c r="AC8" s="18">
        <f>IF(COUNTIFS('VS×ケイパビリティ関係'!$F$4:$F$341,$B8,'VS×ケイパビリティ関係'!$G$4:$G$341,AC$5,'VS×ケイパビリティ関係'!$E$4:$E$341,"主")&gt;0,"●",IF(COUNTIFS('VS×ケイパビリティ関係'!$F$4:$F$341,$B8,'VS×ケイパビリティ関係'!$G$4:$G$341,AC$5,'VS×ケイパビリティ関係'!$E$4:$E$341,"支援")&gt;0,"○",""))</f>
        <v/>
      </c>
      <c r="AD8" s="18">
        <f>IF(COUNTIFS('VS×ケイパビリティ関係'!$F$4:$F$341,$B8,'VS×ケイパビリティ関係'!$G$4:$G$341,AD$5,'VS×ケイパビリティ関係'!$E$4:$E$341,"主")&gt;0,"●",IF(COUNTIFS('VS×ケイパビリティ関係'!$F$4:$F$341,$B8,'VS×ケイパビリティ関係'!$G$4:$G$341,AD$5,'VS×ケイパビリティ関係'!$E$4:$E$341,"支援")&gt;0,"○",""))</f>
        <v/>
      </c>
      <c r="AE8" s="18">
        <f>IF(COUNTIFS('VS×ケイパビリティ関係'!$F$4:$F$341,$B8,'VS×ケイパビリティ関係'!$G$4:$G$341,AE$5,'VS×ケイパビリティ関係'!$E$4:$E$341,"主")&gt;0,"●",IF(COUNTIFS('VS×ケイパビリティ関係'!$F$4:$F$341,$B8,'VS×ケイパビリティ関係'!$G$4:$G$341,AE$5,'VS×ケイパビリティ関係'!$E$4:$E$341,"支援")&gt;0,"○",""))</f>
        <v/>
      </c>
      <c r="AF8" s="18">
        <f>COUNTIF(D8:AE8,"●")</f>
        <v/>
      </c>
      <c r="AG8" s="18">
        <f>COUNTIF(D8:AE8,"○")</f>
        <v/>
      </c>
    </row>
    <row r="9">
      <c r="A9" s="42" t="n"/>
      <c r="B9" s="18" t="inlineStr">
        <is>
          <t>01-03</t>
        </is>
      </c>
      <c r="C9" s="20" t="inlineStr">
        <is>
          <t>ポートフォリオ・投資判断</t>
        </is>
      </c>
      <c r="D9" s="18">
        <f>IF(COUNTIFS('VS×ケイパビリティ関係'!$F$4:$F$341,$B9,'VS×ケイパビリティ関係'!$G$4:$G$341,D$5,'VS×ケイパビリティ関係'!$E$4:$E$341,"主")&gt;0,"●",IF(COUNTIFS('VS×ケイパビリティ関係'!$F$4:$F$341,$B9,'VS×ケイパビリティ関係'!$G$4:$G$341,D$5,'VS×ケイパビリティ関係'!$E$4:$E$341,"支援")&gt;0,"○",""))</f>
        <v/>
      </c>
      <c r="E9" s="18">
        <f>IF(COUNTIFS('VS×ケイパビリティ関係'!$F$4:$F$341,$B9,'VS×ケイパビリティ関係'!$G$4:$G$341,E$5,'VS×ケイパビリティ関係'!$E$4:$E$341,"主")&gt;0,"●",IF(COUNTIFS('VS×ケイパビリティ関係'!$F$4:$F$341,$B9,'VS×ケイパビリティ関係'!$G$4:$G$341,E$5,'VS×ケイパビリティ関係'!$E$4:$E$341,"支援")&gt;0,"○",""))</f>
        <v/>
      </c>
      <c r="F9" s="18">
        <f>IF(COUNTIFS('VS×ケイパビリティ関係'!$F$4:$F$341,$B9,'VS×ケイパビリティ関係'!$G$4:$G$341,F$5,'VS×ケイパビリティ関係'!$E$4:$E$341,"主")&gt;0,"●",IF(COUNTIFS('VS×ケイパビリティ関係'!$F$4:$F$341,$B9,'VS×ケイパビリティ関係'!$G$4:$G$341,F$5,'VS×ケイパビリティ関係'!$E$4:$E$341,"支援")&gt;0,"○",""))</f>
        <v/>
      </c>
      <c r="G9" s="18">
        <f>IF(COUNTIFS('VS×ケイパビリティ関係'!$F$4:$F$341,$B9,'VS×ケイパビリティ関係'!$G$4:$G$341,G$5,'VS×ケイパビリティ関係'!$E$4:$E$341,"主")&gt;0,"●",IF(COUNTIFS('VS×ケイパビリティ関係'!$F$4:$F$341,$B9,'VS×ケイパビリティ関係'!$G$4:$G$341,G$5,'VS×ケイパビリティ関係'!$E$4:$E$341,"支援")&gt;0,"○",""))</f>
        <v/>
      </c>
      <c r="H9" s="18">
        <f>IF(COUNTIFS('VS×ケイパビリティ関係'!$F$4:$F$341,$B9,'VS×ケイパビリティ関係'!$G$4:$G$341,H$5,'VS×ケイパビリティ関係'!$E$4:$E$341,"主")&gt;0,"●",IF(COUNTIFS('VS×ケイパビリティ関係'!$F$4:$F$341,$B9,'VS×ケイパビリティ関係'!$G$4:$G$341,H$5,'VS×ケイパビリティ関係'!$E$4:$E$341,"支援")&gt;0,"○",""))</f>
        <v/>
      </c>
      <c r="I9" s="18">
        <f>IF(COUNTIFS('VS×ケイパビリティ関係'!$F$4:$F$341,$B9,'VS×ケイパビリティ関係'!$G$4:$G$341,I$5,'VS×ケイパビリティ関係'!$E$4:$E$341,"主")&gt;0,"●",IF(COUNTIFS('VS×ケイパビリティ関係'!$F$4:$F$341,$B9,'VS×ケイパビリティ関係'!$G$4:$G$341,I$5,'VS×ケイパビリティ関係'!$E$4:$E$341,"支援")&gt;0,"○",""))</f>
        <v/>
      </c>
      <c r="J9" s="18">
        <f>IF(COUNTIFS('VS×ケイパビリティ関係'!$F$4:$F$341,$B9,'VS×ケイパビリティ関係'!$G$4:$G$341,J$5,'VS×ケイパビリティ関係'!$E$4:$E$341,"主")&gt;0,"●",IF(COUNTIFS('VS×ケイパビリティ関係'!$F$4:$F$341,$B9,'VS×ケイパビリティ関係'!$G$4:$G$341,J$5,'VS×ケイパビリティ関係'!$E$4:$E$341,"支援")&gt;0,"○",""))</f>
        <v/>
      </c>
      <c r="K9" s="18">
        <f>IF(COUNTIFS('VS×ケイパビリティ関係'!$F$4:$F$341,$B9,'VS×ケイパビリティ関係'!$G$4:$G$341,K$5,'VS×ケイパビリティ関係'!$E$4:$E$341,"主")&gt;0,"●",IF(COUNTIFS('VS×ケイパビリティ関係'!$F$4:$F$341,$B9,'VS×ケイパビリティ関係'!$G$4:$G$341,K$5,'VS×ケイパビリティ関係'!$E$4:$E$341,"支援")&gt;0,"○",""))</f>
        <v/>
      </c>
      <c r="L9" s="18">
        <f>IF(COUNTIFS('VS×ケイパビリティ関係'!$F$4:$F$341,$B9,'VS×ケイパビリティ関係'!$G$4:$G$341,L$5,'VS×ケイパビリティ関係'!$E$4:$E$341,"主")&gt;0,"●",IF(COUNTIFS('VS×ケイパビリティ関係'!$F$4:$F$341,$B9,'VS×ケイパビリティ関係'!$G$4:$G$341,L$5,'VS×ケイパビリティ関係'!$E$4:$E$341,"支援")&gt;0,"○",""))</f>
        <v/>
      </c>
      <c r="M9" s="18">
        <f>IF(COUNTIFS('VS×ケイパビリティ関係'!$F$4:$F$341,$B9,'VS×ケイパビリティ関係'!$G$4:$G$341,M$5,'VS×ケイパビリティ関係'!$E$4:$E$341,"主")&gt;0,"●",IF(COUNTIFS('VS×ケイパビリティ関係'!$F$4:$F$341,$B9,'VS×ケイパビリティ関係'!$G$4:$G$341,M$5,'VS×ケイパビリティ関係'!$E$4:$E$341,"支援")&gt;0,"○",""))</f>
        <v/>
      </c>
      <c r="N9" s="18">
        <f>IF(COUNTIFS('VS×ケイパビリティ関係'!$F$4:$F$341,$B9,'VS×ケイパビリティ関係'!$G$4:$G$341,N$5,'VS×ケイパビリティ関係'!$E$4:$E$341,"主")&gt;0,"●",IF(COUNTIFS('VS×ケイパビリティ関係'!$F$4:$F$341,$B9,'VS×ケイパビリティ関係'!$G$4:$G$341,N$5,'VS×ケイパビリティ関係'!$E$4:$E$341,"支援")&gt;0,"○",""))</f>
        <v/>
      </c>
      <c r="O9" s="18">
        <f>IF(COUNTIFS('VS×ケイパビリティ関係'!$F$4:$F$341,$B9,'VS×ケイパビリティ関係'!$G$4:$G$341,O$5,'VS×ケイパビリティ関係'!$E$4:$E$341,"主")&gt;0,"●",IF(COUNTIFS('VS×ケイパビリティ関係'!$F$4:$F$341,$B9,'VS×ケイパビリティ関係'!$G$4:$G$341,O$5,'VS×ケイパビリティ関係'!$E$4:$E$341,"支援")&gt;0,"○",""))</f>
        <v/>
      </c>
      <c r="P9" s="18">
        <f>IF(COUNTIFS('VS×ケイパビリティ関係'!$F$4:$F$341,$B9,'VS×ケイパビリティ関係'!$G$4:$G$341,P$5,'VS×ケイパビリティ関係'!$E$4:$E$341,"主")&gt;0,"●",IF(COUNTIFS('VS×ケイパビリティ関係'!$F$4:$F$341,$B9,'VS×ケイパビリティ関係'!$G$4:$G$341,P$5,'VS×ケイパビリティ関係'!$E$4:$E$341,"支援")&gt;0,"○",""))</f>
        <v/>
      </c>
      <c r="Q9" s="18">
        <f>IF(COUNTIFS('VS×ケイパビリティ関係'!$F$4:$F$341,$B9,'VS×ケイパビリティ関係'!$G$4:$G$341,Q$5,'VS×ケイパビリティ関係'!$E$4:$E$341,"主")&gt;0,"●",IF(COUNTIFS('VS×ケイパビリティ関係'!$F$4:$F$341,$B9,'VS×ケイパビリティ関係'!$G$4:$G$341,Q$5,'VS×ケイパビリティ関係'!$E$4:$E$341,"支援")&gt;0,"○",""))</f>
        <v/>
      </c>
      <c r="R9" s="18">
        <f>IF(COUNTIFS('VS×ケイパビリティ関係'!$F$4:$F$341,$B9,'VS×ケイパビリティ関係'!$G$4:$G$341,R$5,'VS×ケイパビリティ関係'!$E$4:$E$341,"主")&gt;0,"●",IF(COUNTIFS('VS×ケイパビリティ関係'!$F$4:$F$341,$B9,'VS×ケイパビリティ関係'!$G$4:$G$341,R$5,'VS×ケイパビリティ関係'!$E$4:$E$341,"支援")&gt;0,"○",""))</f>
        <v/>
      </c>
      <c r="S9" s="18">
        <f>IF(COUNTIFS('VS×ケイパビリティ関係'!$F$4:$F$341,$B9,'VS×ケイパビリティ関係'!$G$4:$G$341,S$5,'VS×ケイパビリティ関係'!$E$4:$E$341,"主")&gt;0,"●",IF(COUNTIFS('VS×ケイパビリティ関係'!$F$4:$F$341,$B9,'VS×ケイパビリティ関係'!$G$4:$G$341,S$5,'VS×ケイパビリティ関係'!$E$4:$E$341,"支援")&gt;0,"○",""))</f>
        <v/>
      </c>
      <c r="T9" s="18">
        <f>IF(COUNTIFS('VS×ケイパビリティ関係'!$F$4:$F$341,$B9,'VS×ケイパビリティ関係'!$G$4:$G$341,T$5,'VS×ケイパビリティ関係'!$E$4:$E$341,"主")&gt;0,"●",IF(COUNTIFS('VS×ケイパビリティ関係'!$F$4:$F$341,$B9,'VS×ケイパビリティ関係'!$G$4:$G$341,T$5,'VS×ケイパビリティ関係'!$E$4:$E$341,"支援")&gt;0,"○",""))</f>
        <v/>
      </c>
      <c r="U9" s="18">
        <f>IF(COUNTIFS('VS×ケイパビリティ関係'!$F$4:$F$341,$B9,'VS×ケイパビリティ関係'!$G$4:$G$341,U$5,'VS×ケイパビリティ関係'!$E$4:$E$341,"主")&gt;0,"●",IF(COUNTIFS('VS×ケイパビリティ関係'!$F$4:$F$341,$B9,'VS×ケイパビリティ関係'!$G$4:$G$341,U$5,'VS×ケイパビリティ関係'!$E$4:$E$341,"支援")&gt;0,"○",""))</f>
        <v/>
      </c>
      <c r="V9" s="18">
        <f>IF(COUNTIFS('VS×ケイパビリティ関係'!$F$4:$F$341,$B9,'VS×ケイパビリティ関係'!$G$4:$G$341,V$5,'VS×ケイパビリティ関係'!$E$4:$E$341,"主")&gt;0,"●",IF(COUNTIFS('VS×ケイパビリティ関係'!$F$4:$F$341,$B9,'VS×ケイパビリティ関係'!$G$4:$G$341,V$5,'VS×ケイパビリティ関係'!$E$4:$E$341,"支援")&gt;0,"○",""))</f>
        <v/>
      </c>
      <c r="W9" s="18">
        <f>IF(COUNTIFS('VS×ケイパビリティ関係'!$F$4:$F$341,$B9,'VS×ケイパビリティ関係'!$G$4:$G$341,W$5,'VS×ケイパビリティ関係'!$E$4:$E$341,"主")&gt;0,"●",IF(COUNTIFS('VS×ケイパビリティ関係'!$F$4:$F$341,$B9,'VS×ケイパビリティ関係'!$G$4:$G$341,W$5,'VS×ケイパビリティ関係'!$E$4:$E$341,"支援")&gt;0,"○",""))</f>
        <v/>
      </c>
      <c r="X9" s="18">
        <f>IF(COUNTIFS('VS×ケイパビリティ関係'!$F$4:$F$341,$B9,'VS×ケイパビリティ関係'!$G$4:$G$341,X$5,'VS×ケイパビリティ関係'!$E$4:$E$341,"主")&gt;0,"●",IF(COUNTIFS('VS×ケイパビリティ関係'!$F$4:$F$341,$B9,'VS×ケイパビリティ関係'!$G$4:$G$341,X$5,'VS×ケイパビリティ関係'!$E$4:$E$341,"支援")&gt;0,"○",""))</f>
        <v/>
      </c>
      <c r="Y9" s="18">
        <f>IF(COUNTIFS('VS×ケイパビリティ関係'!$F$4:$F$341,$B9,'VS×ケイパビリティ関係'!$G$4:$G$341,Y$5,'VS×ケイパビリティ関係'!$E$4:$E$341,"主")&gt;0,"●",IF(COUNTIFS('VS×ケイパビリティ関係'!$F$4:$F$341,$B9,'VS×ケイパビリティ関係'!$G$4:$G$341,Y$5,'VS×ケイパビリティ関係'!$E$4:$E$341,"支援")&gt;0,"○",""))</f>
        <v/>
      </c>
      <c r="Z9" s="18">
        <f>IF(COUNTIFS('VS×ケイパビリティ関係'!$F$4:$F$341,$B9,'VS×ケイパビリティ関係'!$G$4:$G$341,Z$5,'VS×ケイパビリティ関係'!$E$4:$E$341,"主")&gt;0,"●",IF(COUNTIFS('VS×ケイパビリティ関係'!$F$4:$F$341,$B9,'VS×ケイパビリティ関係'!$G$4:$G$341,Z$5,'VS×ケイパビリティ関係'!$E$4:$E$341,"支援")&gt;0,"○",""))</f>
        <v/>
      </c>
      <c r="AA9" s="18">
        <f>IF(COUNTIFS('VS×ケイパビリティ関係'!$F$4:$F$341,$B9,'VS×ケイパビリティ関係'!$G$4:$G$341,AA$5,'VS×ケイパビリティ関係'!$E$4:$E$341,"主")&gt;0,"●",IF(COUNTIFS('VS×ケイパビリティ関係'!$F$4:$F$341,$B9,'VS×ケイパビリティ関係'!$G$4:$G$341,AA$5,'VS×ケイパビリティ関係'!$E$4:$E$341,"支援")&gt;0,"○",""))</f>
        <v/>
      </c>
      <c r="AB9" s="18">
        <f>IF(COUNTIFS('VS×ケイパビリティ関係'!$F$4:$F$341,$B9,'VS×ケイパビリティ関係'!$G$4:$G$341,AB$5,'VS×ケイパビリティ関係'!$E$4:$E$341,"主")&gt;0,"●",IF(COUNTIFS('VS×ケイパビリティ関係'!$F$4:$F$341,$B9,'VS×ケイパビリティ関係'!$G$4:$G$341,AB$5,'VS×ケイパビリティ関係'!$E$4:$E$341,"支援")&gt;0,"○",""))</f>
        <v/>
      </c>
      <c r="AC9" s="18">
        <f>IF(COUNTIFS('VS×ケイパビリティ関係'!$F$4:$F$341,$B9,'VS×ケイパビリティ関係'!$G$4:$G$341,AC$5,'VS×ケイパビリティ関係'!$E$4:$E$341,"主")&gt;0,"●",IF(COUNTIFS('VS×ケイパビリティ関係'!$F$4:$F$341,$B9,'VS×ケイパビリティ関係'!$G$4:$G$341,AC$5,'VS×ケイパビリティ関係'!$E$4:$E$341,"支援")&gt;0,"○",""))</f>
        <v/>
      </c>
      <c r="AD9" s="18">
        <f>IF(COUNTIFS('VS×ケイパビリティ関係'!$F$4:$F$341,$B9,'VS×ケイパビリティ関係'!$G$4:$G$341,AD$5,'VS×ケイパビリティ関係'!$E$4:$E$341,"主")&gt;0,"●",IF(COUNTIFS('VS×ケイパビリティ関係'!$F$4:$F$341,$B9,'VS×ケイパビリティ関係'!$G$4:$G$341,AD$5,'VS×ケイパビリティ関係'!$E$4:$E$341,"支援")&gt;0,"○",""))</f>
        <v/>
      </c>
      <c r="AE9" s="18">
        <f>IF(COUNTIFS('VS×ケイパビリティ関係'!$F$4:$F$341,$B9,'VS×ケイパビリティ関係'!$G$4:$G$341,AE$5,'VS×ケイパビリティ関係'!$E$4:$E$341,"主")&gt;0,"●",IF(COUNTIFS('VS×ケイパビリティ関係'!$F$4:$F$341,$B9,'VS×ケイパビリティ関係'!$G$4:$G$341,AE$5,'VS×ケイパビリティ関係'!$E$4:$E$341,"支援")&gt;0,"○",""))</f>
        <v/>
      </c>
      <c r="AF9" s="18">
        <f>COUNTIF(D9:AE9,"●")</f>
        <v/>
      </c>
      <c r="AG9" s="18">
        <f>COUNTIF(D9:AE9,"○")</f>
        <v/>
      </c>
    </row>
    <row r="10">
      <c r="A10" s="42" t="inlineStr">
        <is>
          <t>02 要件定義・開発・配備（R2D）</t>
        </is>
      </c>
      <c r="B10" s="18" t="inlineStr">
        <is>
          <t>02-01</t>
        </is>
      </c>
      <c r="C10" s="20" t="inlineStr">
        <is>
          <t>プロジェクト立上げ・委託</t>
        </is>
      </c>
      <c r="D10" s="18">
        <f>IF(COUNTIFS('VS×ケイパビリティ関係'!$F$4:$F$341,$B10,'VS×ケイパビリティ関係'!$G$4:$G$341,D$5,'VS×ケイパビリティ関係'!$E$4:$E$341,"主")&gt;0,"●",IF(COUNTIFS('VS×ケイパビリティ関係'!$F$4:$F$341,$B10,'VS×ケイパビリティ関係'!$G$4:$G$341,D$5,'VS×ケイパビリティ関係'!$E$4:$E$341,"支援")&gt;0,"○",""))</f>
        <v/>
      </c>
      <c r="E10" s="18">
        <f>IF(COUNTIFS('VS×ケイパビリティ関係'!$F$4:$F$341,$B10,'VS×ケイパビリティ関係'!$G$4:$G$341,E$5,'VS×ケイパビリティ関係'!$E$4:$E$341,"主")&gt;0,"●",IF(COUNTIFS('VS×ケイパビリティ関係'!$F$4:$F$341,$B10,'VS×ケイパビリティ関係'!$G$4:$G$341,E$5,'VS×ケイパビリティ関係'!$E$4:$E$341,"支援")&gt;0,"○",""))</f>
        <v/>
      </c>
      <c r="F10" s="18">
        <f>IF(COUNTIFS('VS×ケイパビリティ関係'!$F$4:$F$341,$B10,'VS×ケイパビリティ関係'!$G$4:$G$341,F$5,'VS×ケイパビリティ関係'!$E$4:$E$341,"主")&gt;0,"●",IF(COUNTIFS('VS×ケイパビリティ関係'!$F$4:$F$341,$B10,'VS×ケイパビリティ関係'!$G$4:$G$341,F$5,'VS×ケイパビリティ関係'!$E$4:$E$341,"支援")&gt;0,"○",""))</f>
        <v/>
      </c>
      <c r="G10" s="18">
        <f>IF(COUNTIFS('VS×ケイパビリティ関係'!$F$4:$F$341,$B10,'VS×ケイパビリティ関係'!$G$4:$G$341,G$5,'VS×ケイパビリティ関係'!$E$4:$E$341,"主")&gt;0,"●",IF(COUNTIFS('VS×ケイパビリティ関係'!$F$4:$F$341,$B10,'VS×ケイパビリティ関係'!$G$4:$G$341,G$5,'VS×ケイパビリティ関係'!$E$4:$E$341,"支援")&gt;0,"○",""))</f>
        <v/>
      </c>
      <c r="H10" s="18">
        <f>IF(COUNTIFS('VS×ケイパビリティ関係'!$F$4:$F$341,$B10,'VS×ケイパビリティ関係'!$G$4:$G$341,H$5,'VS×ケイパビリティ関係'!$E$4:$E$341,"主")&gt;0,"●",IF(COUNTIFS('VS×ケイパビリティ関係'!$F$4:$F$341,$B10,'VS×ケイパビリティ関係'!$G$4:$G$341,H$5,'VS×ケイパビリティ関係'!$E$4:$E$341,"支援")&gt;0,"○",""))</f>
        <v/>
      </c>
      <c r="I10" s="18">
        <f>IF(COUNTIFS('VS×ケイパビリティ関係'!$F$4:$F$341,$B10,'VS×ケイパビリティ関係'!$G$4:$G$341,I$5,'VS×ケイパビリティ関係'!$E$4:$E$341,"主")&gt;0,"●",IF(COUNTIFS('VS×ケイパビリティ関係'!$F$4:$F$341,$B10,'VS×ケイパビリティ関係'!$G$4:$G$341,I$5,'VS×ケイパビリティ関係'!$E$4:$E$341,"支援")&gt;0,"○",""))</f>
        <v/>
      </c>
      <c r="J10" s="18">
        <f>IF(COUNTIFS('VS×ケイパビリティ関係'!$F$4:$F$341,$B10,'VS×ケイパビリティ関係'!$G$4:$G$341,J$5,'VS×ケイパビリティ関係'!$E$4:$E$341,"主")&gt;0,"●",IF(COUNTIFS('VS×ケイパビリティ関係'!$F$4:$F$341,$B10,'VS×ケイパビリティ関係'!$G$4:$G$341,J$5,'VS×ケイパビリティ関係'!$E$4:$E$341,"支援")&gt;0,"○",""))</f>
        <v/>
      </c>
      <c r="K10" s="18">
        <f>IF(COUNTIFS('VS×ケイパビリティ関係'!$F$4:$F$341,$B10,'VS×ケイパビリティ関係'!$G$4:$G$341,K$5,'VS×ケイパビリティ関係'!$E$4:$E$341,"主")&gt;0,"●",IF(COUNTIFS('VS×ケイパビリティ関係'!$F$4:$F$341,$B10,'VS×ケイパビリティ関係'!$G$4:$G$341,K$5,'VS×ケイパビリティ関係'!$E$4:$E$341,"支援")&gt;0,"○",""))</f>
        <v/>
      </c>
      <c r="L10" s="18">
        <f>IF(COUNTIFS('VS×ケイパビリティ関係'!$F$4:$F$341,$B10,'VS×ケイパビリティ関係'!$G$4:$G$341,L$5,'VS×ケイパビリティ関係'!$E$4:$E$341,"主")&gt;0,"●",IF(COUNTIFS('VS×ケイパビリティ関係'!$F$4:$F$341,$B10,'VS×ケイパビリティ関係'!$G$4:$G$341,L$5,'VS×ケイパビリティ関係'!$E$4:$E$341,"支援")&gt;0,"○",""))</f>
        <v/>
      </c>
      <c r="M10" s="18">
        <f>IF(COUNTIFS('VS×ケイパビリティ関係'!$F$4:$F$341,$B10,'VS×ケイパビリティ関係'!$G$4:$G$341,M$5,'VS×ケイパビリティ関係'!$E$4:$E$341,"主")&gt;0,"●",IF(COUNTIFS('VS×ケイパビリティ関係'!$F$4:$F$341,$B10,'VS×ケイパビリティ関係'!$G$4:$G$341,M$5,'VS×ケイパビリティ関係'!$E$4:$E$341,"支援")&gt;0,"○",""))</f>
        <v/>
      </c>
      <c r="N10" s="18">
        <f>IF(COUNTIFS('VS×ケイパビリティ関係'!$F$4:$F$341,$B10,'VS×ケイパビリティ関係'!$G$4:$G$341,N$5,'VS×ケイパビリティ関係'!$E$4:$E$341,"主")&gt;0,"●",IF(COUNTIFS('VS×ケイパビリティ関係'!$F$4:$F$341,$B10,'VS×ケイパビリティ関係'!$G$4:$G$341,N$5,'VS×ケイパビリティ関係'!$E$4:$E$341,"支援")&gt;0,"○",""))</f>
        <v/>
      </c>
      <c r="O10" s="18">
        <f>IF(COUNTIFS('VS×ケイパビリティ関係'!$F$4:$F$341,$B10,'VS×ケイパビリティ関係'!$G$4:$G$341,O$5,'VS×ケイパビリティ関係'!$E$4:$E$341,"主")&gt;0,"●",IF(COUNTIFS('VS×ケイパビリティ関係'!$F$4:$F$341,$B10,'VS×ケイパビリティ関係'!$G$4:$G$341,O$5,'VS×ケイパビリティ関係'!$E$4:$E$341,"支援")&gt;0,"○",""))</f>
        <v/>
      </c>
      <c r="P10" s="18">
        <f>IF(COUNTIFS('VS×ケイパビリティ関係'!$F$4:$F$341,$B10,'VS×ケイパビリティ関係'!$G$4:$G$341,P$5,'VS×ケイパビリティ関係'!$E$4:$E$341,"主")&gt;0,"●",IF(COUNTIFS('VS×ケイパビリティ関係'!$F$4:$F$341,$B10,'VS×ケイパビリティ関係'!$G$4:$G$341,P$5,'VS×ケイパビリティ関係'!$E$4:$E$341,"支援")&gt;0,"○",""))</f>
        <v/>
      </c>
      <c r="Q10" s="18">
        <f>IF(COUNTIFS('VS×ケイパビリティ関係'!$F$4:$F$341,$B10,'VS×ケイパビリティ関係'!$G$4:$G$341,Q$5,'VS×ケイパビリティ関係'!$E$4:$E$341,"主")&gt;0,"●",IF(COUNTIFS('VS×ケイパビリティ関係'!$F$4:$F$341,$B10,'VS×ケイパビリティ関係'!$G$4:$G$341,Q$5,'VS×ケイパビリティ関係'!$E$4:$E$341,"支援")&gt;0,"○",""))</f>
        <v/>
      </c>
      <c r="R10" s="18">
        <f>IF(COUNTIFS('VS×ケイパビリティ関係'!$F$4:$F$341,$B10,'VS×ケイパビリティ関係'!$G$4:$G$341,R$5,'VS×ケイパビリティ関係'!$E$4:$E$341,"主")&gt;0,"●",IF(COUNTIFS('VS×ケイパビリティ関係'!$F$4:$F$341,$B10,'VS×ケイパビリティ関係'!$G$4:$G$341,R$5,'VS×ケイパビリティ関係'!$E$4:$E$341,"支援")&gt;0,"○",""))</f>
        <v/>
      </c>
      <c r="S10" s="18">
        <f>IF(COUNTIFS('VS×ケイパビリティ関係'!$F$4:$F$341,$B10,'VS×ケイパビリティ関係'!$G$4:$G$341,S$5,'VS×ケイパビリティ関係'!$E$4:$E$341,"主")&gt;0,"●",IF(COUNTIFS('VS×ケイパビリティ関係'!$F$4:$F$341,$B10,'VS×ケイパビリティ関係'!$G$4:$G$341,S$5,'VS×ケイパビリティ関係'!$E$4:$E$341,"支援")&gt;0,"○",""))</f>
        <v/>
      </c>
      <c r="T10" s="18">
        <f>IF(COUNTIFS('VS×ケイパビリティ関係'!$F$4:$F$341,$B10,'VS×ケイパビリティ関係'!$G$4:$G$341,T$5,'VS×ケイパビリティ関係'!$E$4:$E$341,"主")&gt;0,"●",IF(COUNTIFS('VS×ケイパビリティ関係'!$F$4:$F$341,$B10,'VS×ケイパビリティ関係'!$G$4:$G$341,T$5,'VS×ケイパビリティ関係'!$E$4:$E$341,"支援")&gt;0,"○",""))</f>
        <v/>
      </c>
      <c r="U10" s="18">
        <f>IF(COUNTIFS('VS×ケイパビリティ関係'!$F$4:$F$341,$B10,'VS×ケイパビリティ関係'!$G$4:$G$341,U$5,'VS×ケイパビリティ関係'!$E$4:$E$341,"主")&gt;0,"●",IF(COUNTIFS('VS×ケイパビリティ関係'!$F$4:$F$341,$B10,'VS×ケイパビリティ関係'!$G$4:$G$341,U$5,'VS×ケイパビリティ関係'!$E$4:$E$341,"支援")&gt;0,"○",""))</f>
        <v/>
      </c>
      <c r="V10" s="18">
        <f>IF(COUNTIFS('VS×ケイパビリティ関係'!$F$4:$F$341,$B10,'VS×ケイパビリティ関係'!$G$4:$G$341,V$5,'VS×ケイパビリティ関係'!$E$4:$E$341,"主")&gt;0,"●",IF(COUNTIFS('VS×ケイパビリティ関係'!$F$4:$F$341,$B10,'VS×ケイパビリティ関係'!$G$4:$G$341,V$5,'VS×ケイパビリティ関係'!$E$4:$E$341,"支援")&gt;0,"○",""))</f>
        <v/>
      </c>
      <c r="W10" s="18">
        <f>IF(COUNTIFS('VS×ケイパビリティ関係'!$F$4:$F$341,$B10,'VS×ケイパビリティ関係'!$G$4:$G$341,W$5,'VS×ケイパビリティ関係'!$E$4:$E$341,"主")&gt;0,"●",IF(COUNTIFS('VS×ケイパビリティ関係'!$F$4:$F$341,$B10,'VS×ケイパビリティ関係'!$G$4:$G$341,W$5,'VS×ケイパビリティ関係'!$E$4:$E$341,"支援")&gt;0,"○",""))</f>
        <v/>
      </c>
      <c r="X10" s="18">
        <f>IF(COUNTIFS('VS×ケイパビリティ関係'!$F$4:$F$341,$B10,'VS×ケイパビリティ関係'!$G$4:$G$341,X$5,'VS×ケイパビリティ関係'!$E$4:$E$341,"主")&gt;0,"●",IF(COUNTIFS('VS×ケイパビリティ関係'!$F$4:$F$341,$B10,'VS×ケイパビリティ関係'!$G$4:$G$341,X$5,'VS×ケイパビリティ関係'!$E$4:$E$341,"支援")&gt;0,"○",""))</f>
        <v/>
      </c>
      <c r="Y10" s="18">
        <f>IF(COUNTIFS('VS×ケイパビリティ関係'!$F$4:$F$341,$B10,'VS×ケイパビリティ関係'!$G$4:$G$341,Y$5,'VS×ケイパビリティ関係'!$E$4:$E$341,"主")&gt;0,"●",IF(COUNTIFS('VS×ケイパビリティ関係'!$F$4:$F$341,$B10,'VS×ケイパビリティ関係'!$G$4:$G$341,Y$5,'VS×ケイパビリティ関係'!$E$4:$E$341,"支援")&gt;0,"○",""))</f>
        <v/>
      </c>
      <c r="Z10" s="18">
        <f>IF(COUNTIFS('VS×ケイパビリティ関係'!$F$4:$F$341,$B10,'VS×ケイパビリティ関係'!$G$4:$G$341,Z$5,'VS×ケイパビリティ関係'!$E$4:$E$341,"主")&gt;0,"●",IF(COUNTIFS('VS×ケイパビリティ関係'!$F$4:$F$341,$B10,'VS×ケイパビリティ関係'!$G$4:$G$341,Z$5,'VS×ケイパビリティ関係'!$E$4:$E$341,"支援")&gt;0,"○",""))</f>
        <v/>
      </c>
      <c r="AA10" s="18">
        <f>IF(COUNTIFS('VS×ケイパビリティ関係'!$F$4:$F$341,$B10,'VS×ケイパビリティ関係'!$G$4:$G$341,AA$5,'VS×ケイパビリティ関係'!$E$4:$E$341,"主")&gt;0,"●",IF(COUNTIFS('VS×ケイパビリティ関係'!$F$4:$F$341,$B10,'VS×ケイパビリティ関係'!$G$4:$G$341,AA$5,'VS×ケイパビリティ関係'!$E$4:$E$341,"支援")&gt;0,"○",""))</f>
        <v/>
      </c>
      <c r="AB10" s="18">
        <f>IF(COUNTIFS('VS×ケイパビリティ関係'!$F$4:$F$341,$B10,'VS×ケイパビリティ関係'!$G$4:$G$341,AB$5,'VS×ケイパビリティ関係'!$E$4:$E$341,"主")&gt;0,"●",IF(COUNTIFS('VS×ケイパビリティ関係'!$F$4:$F$341,$B10,'VS×ケイパビリティ関係'!$G$4:$G$341,AB$5,'VS×ケイパビリティ関係'!$E$4:$E$341,"支援")&gt;0,"○",""))</f>
        <v/>
      </c>
      <c r="AC10" s="18">
        <f>IF(COUNTIFS('VS×ケイパビリティ関係'!$F$4:$F$341,$B10,'VS×ケイパビリティ関係'!$G$4:$G$341,AC$5,'VS×ケイパビリティ関係'!$E$4:$E$341,"主")&gt;0,"●",IF(COUNTIFS('VS×ケイパビリティ関係'!$F$4:$F$341,$B10,'VS×ケイパビリティ関係'!$G$4:$G$341,AC$5,'VS×ケイパビリティ関係'!$E$4:$E$341,"支援")&gt;0,"○",""))</f>
        <v/>
      </c>
      <c r="AD10" s="18">
        <f>IF(COUNTIFS('VS×ケイパビリティ関係'!$F$4:$F$341,$B10,'VS×ケイパビリティ関係'!$G$4:$G$341,AD$5,'VS×ケイパビリティ関係'!$E$4:$E$341,"主")&gt;0,"●",IF(COUNTIFS('VS×ケイパビリティ関係'!$F$4:$F$341,$B10,'VS×ケイパビリティ関係'!$G$4:$G$341,AD$5,'VS×ケイパビリティ関係'!$E$4:$E$341,"支援")&gt;0,"○",""))</f>
        <v/>
      </c>
      <c r="AE10" s="18">
        <f>IF(COUNTIFS('VS×ケイパビリティ関係'!$F$4:$F$341,$B10,'VS×ケイパビリティ関係'!$G$4:$G$341,AE$5,'VS×ケイパビリティ関係'!$E$4:$E$341,"主")&gt;0,"●",IF(COUNTIFS('VS×ケイパビリティ関係'!$F$4:$F$341,$B10,'VS×ケイパビリティ関係'!$G$4:$G$341,AE$5,'VS×ケイパビリティ関係'!$E$4:$E$341,"支援")&gt;0,"○",""))</f>
        <v/>
      </c>
      <c r="AF10" s="18">
        <f>COUNTIF(D10:AE10,"●")</f>
        <v/>
      </c>
      <c r="AG10" s="18">
        <f>COUNTIF(D10:AE10,"○")</f>
        <v/>
      </c>
    </row>
    <row r="11">
      <c r="A11" s="42" t="n"/>
      <c r="B11" s="18" t="inlineStr">
        <is>
          <t>02-02</t>
        </is>
      </c>
      <c r="C11" s="20" t="inlineStr">
        <is>
          <t>要件定義・設計</t>
        </is>
      </c>
      <c r="D11" s="18">
        <f>IF(COUNTIFS('VS×ケイパビリティ関係'!$F$4:$F$341,$B11,'VS×ケイパビリティ関係'!$G$4:$G$341,D$5,'VS×ケイパビリティ関係'!$E$4:$E$341,"主")&gt;0,"●",IF(COUNTIFS('VS×ケイパビリティ関係'!$F$4:$F$341,$B11,'VS×ケイパビリティ関係'!$G$4:$G$341,D$5,'VS×ケイパビリティ関係'!$E$4:$E$341,"支援")&gt;0,"○",""))</f>
        <v/>
      </c>
      <c r="E11" s="18">
        <f>IF(COUNTIFS('VS×ケイパビリティ関係'!$F$4:$F$341,$B11,'VS×ケイパビリティ関係'!$G$4:$G$341,E$5,'VS×ケイパビリティ関係'!$E$4:$E$341,"主")&gt;0,"●",IF(COUNTIFS('VS×ケイパビリティ関係'!$F$4:$F$341,$B11,'VS×ケイパビリティ関係'!$G$4:$G$341,E$5,'VS×ケイパビリティ関係'!$E$4:$E$341,"支援")&gt;0,"○",""))</f>
        <v/>
      </c>
      <c r="F11" s="18">
        <f>IF(COUNTIFS('VS×ケイパビリティ関係'!$F$4:$F$341,$B11,'VS×ケイパビリティ関係'!$G$4:$G$341,F$5,'VS×ケイパビリティ関係'!$E$4:$E$341,"主")&gt;0,"●",IF(COUNTIFS('VS×ケイパビリティ関係'!$F$4:$F$341,$B11,'VS×ケイパビリティ関係'!$G$4:$G$341,F$5,'VS×ケイパビリティ関係'!$E$4:$E$341,"支援")&gt;0,"○",""))</f>
        <v/>
      </c>
      <c r="G11" s="18">
        <f>IF(COUNTIFS('VS×ケイパビリティ関係'!$F$4:$F$341,$B11,'VS×ケイパビリティ関係'!$G$4:$G$341,G$5,'VS×ケイパビリティ関係'!$E$4:$E$341,"主")&gt;0,"●",IF(COUNTIFS('VS×ケイパビリティ関係'!$F$4:$F$341,$B11,'VS×ケイパビリティ関係'!$G$4:$G$341,G$5,'VS×ケイパビリティ関係'!$E$4:$E$341,"支援")&gt;0,"○",""))</f>
        <v/>
      </c>
      <c r="H11" s="18">
        <f>IF(COUNTIFS('VS×ケイパビリティ関係'!$F$4:$F$341,$B11,'VS×ケイパビリティ関係'!$G$4:$G$341,H$5,'VS×ケイパビリティ関係'!$E$4:$E$341,"主")&gt;0,"●",IF(COUNTIFS('VS×ケイパビリティ関係'!$F$4:$F$341,$B11,'VS×ケイパビリティ関係'!$G$4:$G$341,H$5,'VS×ケイパビリティ関係'!$E$4:$E$341,"支援")&gt;0,"○",""))</f>
        <v/>
      </c>
      <c r="I11" s="18">
        <f>IF(COUNTIFS('VS×ケイパビリティ関係'!$F$4:$F$341,$B11,'VS×ケイパビリティ関係'!$G$4:$G$341,I$5,'VS×ケイパビリティ関係'!$E$4:$E$341,"主")&gt;0,"●",IF(COUNTIFS('VS×ケイパビリティ関係'!$F$4:$F$341,$B11,'VS×ケイパビリティ関係'!$G$4:$G$341,I$5,'VS×ケイパビリティ関係'!$E$4:$E$341,"支援")&gt;0,"○",""))</f>
        <v/>
      </c>
      <c r="J11" s="18">
        <f>IF(COUNTIFS('VS×ケイパビリティ関係'!$F$4:$F$341,$B11,'VS×ケイパビリティ関係'!$G$4:$G$341,J$5,'VS×ケイパビリティ関係'!$E$4:$E$341,"主")&gt;0,"●",IF(COUNTIFS('VS×ケイパビリティ関係'!$F$4:$F$341,$B11,'VS×ケイパビリティ関係'!$G$4:$G$341,J$5,'VS×ケイパビリティ関係'!$E$4:$E$341,"支援")&gt;0,"○",""))</f>
        <v/>
      </c>
      <c r="K11" s="18">
        <f>IF(COUNTIFS('VS×ケイパビリティ関係'!$F$4:$F$341,$B11,'VS×ケイパビリティ関係'!$G$4:$G$341,K$5,'VS×ケイパビリティ関係'!$E$4:$E$341,"主")&gt;0,"●",IF(COUNTIFS('VS×ケイパビリティ関係'!$F$4:$F$341,$B11,'VS×ケイパビリティ関係'!$G$4:$G$341,K$5,'VS×ケイパビリティ関係'!$E$4:$E$341,"支援")&gt;0,"○",""))</f>
        <v/>
      </c>
      <c r="L11" s="18">
        <f>IF(COUNTIFS('VS×ケイパビリティ関係'!$F$4:$F$341,$B11,'VS×ケイパビリティ関係'!$G$4:$G$341,L$5,'VS×ケイパビリティ関係'!$E$4:$E$341,"主")&gt;0,"●",IF(COUNTIFS('VS×ケイパビリティ関係'!$F$4:$F$341,$B11,'VS×ケイパビリティ関係'!$G$4:$G$341,L$5,'VS×ケイパビリティ関係'!$E$4:$E$341,"支援")&gt;0,"○",""))</f>
        <v/>
      </c>
      <c r="M11" s="18">
        <f>IF(COUNTIFS('VS×ケイパビリティ関係'!$F$4:$F$341,$B11,'VS×ケイパビリティ関係'!$G$4:$G$341,M$5,'VS×ケイパビリティ関係'!$E$4:$E$341,"主")&gt;0,"●",IF(COUNTIFS('VS×ケイパビリティ関係'!$F$4:$F$341,$B11,'VS×ケイパビリティ関係'!$G$4:$G$341,M$5,'VS×ケイパビリティ関係'!$E$4:$E$341,"支援")&gt;0,"○",""))</f>
        <v/>
      </c>
      <c r="N11" s="18">
        <f>IF(COUNTIFS('VS×ケイパビリティ関係'!$F$4:$F$341,$B11,'VS×ケイパビリティ関係'!$G$4:$G$341,N$5,'VS×ケイパビリティ関係'!$E$4:$E$341,"主")&gt;0,"●",IF(COUNTIFS('VS×ケイパビリティ関係'!$F$4:$F$341,$B11,'VS×ケイパビリティ関係'!$G$4:$G$341,N$5,'VS×ケイパビリティ関係'!$E$4:$E$341,"支援")&gt;0,"○",""))</f>
        <v/>
      </c>
      <c r="O11" s="18">
        <f>IF(COUNTIFS('VS×ケイパビリティ関係'!$F$4:$F$341,$B11,'VS×ケイパビリティ関係'!$G$4:$G$341,O$5,'VS×ケイパビリティ関係'!$E$4:$E$341,"主")&gt;0,"●",IF(COUNTIFS('VS×ケイパビリティ関係'!$F$4:$F$341,$B11,'VS×ケイパビリティ関係'!$G$4:$G$341,O$5,'VS×ケイパビリティ関係'!$E$4:$E$341,"支援")&gt;0,"○",""))</f>
        <v/>
      </c>
      <c r="P11" s="18">
        <f>IF(COUNTIFS('VS×ケイパビリティ関係'!$F$4:$F$341,$B11,'VS×ケイパビリティ関係'!$G$4:$G$341,P$5,'VS×ケイパビリティ関係'!$E$4:$E$341,"主")&gt;0,"●",IF(COUNTIFS('VS×ケイパビリティ関係'!$F$4:$F$341,$B11,'VS×ケイパビリティ関係'!$G$4:$G$341,P$5,'VS×ケイパビリティ関係'!$E$4:$E$341,"支援")&gt;0,"○",""))</f>
        <v/>
      </c>
      <c r="Q11" s="18">
        <f>IF(COUNTIFS('VS×ケイパビリティ関係'!$F$4:$F$341,$B11,'VS×ケイパビリティ関係'!$G$4:$G$341,Q$5,'VS×ケイパビリティ関係'!$E$4:$E$341,"主")&gt;0,"●",IF(COUNTIFS('VS×ケイパビリティ関係'!$F$4:$F$341,$B11,'VS×ケイパビリティ関係'!$G$4:$G$341,Q$5,'VS×ケイパビリティ関係'!$E$4:$E$341,"支援")&gt;0,"○",""))</f>
        <v/>
      </c>
      <c r="R11" s="18">
        <f>IF(COUNTIFS('VS×ケイパビリティ関係'!$F$4:$F$341,$B11,'VS×ケイパビリティ関係'!$G$4:$G$341,R$5,'VS×ケイパビリティ関係'!$E$4:$E$341,"主")&gt;0,"●",IF(COUNTIFS('VS×ケイパビリティ関係'!$F$4:$F$341,$B11,'VS×ケイパビリティ関係'!$G$4:$G$341,R$5,'VS×ケイパビリティ関係'!$E$4:$E$341,"支援")&gt;0,"○",""))</f>
        <v/>
      </c>
      <c r="S11" s="18">
        <f>IF(COUNTIFS('VS×ケイパビリティ関係'!$F$4:$F$341,$B11,'VS×ケイパビリティ関係'!$G$4:$G$341,S$5,'VS×ケイパビリティ関係'!$E$4:$E$341,"主")&gt;0,"●",IF(COUNTIFS('VS×ケイパビリティ関係'!$F$4:$F$341,$B11,'VS×ケイパビリティ関係'!$G$4:$G$341,S$5,'VS×ケイパビリティ関係'!$E$4:$E$341,"支援")&gt;0,"○",""))</f>
        <v/>
      </c>
      <c r="T11" s="18">
        <f>IF(COUNTIFS('VS×ケイパビリティ関係'!$F$4:$F$341,$B11,'VS×ケイパビリティ関係'!$G$4:$G$341,T$5,'VS×ケイパビリティ関係'!$E$4:$E$341,"主")&gt;0,"●",IF(COUNTIFS('VS×ケイパビリティ関係'!$F$4:$F$341,$B11,'VS×ケイパビリティ関係'!$G$4:$G$341,T$5,'VS×ケイパビリティ関係'!$E$4:$E$341,"支援")&gt;0,"○",""))</f>
        <v/>
      </c>
      <c r="U11" s="18">
        <f>IF(COUNTIFS('VS×ケイパビリティ関係'!$F$4:$F$341,$B11,'VS×ケイパビリティ関係'!$G$4:$G$341,U$5,'VS×ケイパビリティ関係'!$E$4:$E$341,"主")&gt;0,"●",IF(COUNTIFS('VS×ケイパビリティ関係'!$F$4:$F$341,$B11,'VS×ケイパビリティ関係'!$G$4:$G$341,U$5,'VS×ケイパビリティ関係'!$E$4:$E$341,"支援")&gt;0,"○",""))</f>
        <v/>
      </c>
      <c r="V11" s="18">
        <f>IF(COUNTIFS('VS×ケイパビリティ関係'!$F$4:$F$341,$B11,'VS×ケイパビリティ関係'!$G$4:$G$341,V$5,'VS×ケイパビリティ関係'!$E$4:$E$341,"主")&gt;0,"●",IF(COUNTIFS('VS×ケイパビリティ関係'!$F$4:$F$341,$B11,'VS×ケイパビリティ関係'!$G$4:$G$341,V$5,'VS×ケイパビリティ関係'!$E$4:$E$341,"支援")&gt;0,"○",""))</f>
        <v/>
      </c>
      <c r="W11" s="18">
        <f>IF(COUNTIFS('VS×ケイパビリティ関係'!$F$4:$F$341,$B11,'VS×ケイパビリティ関係'!$G$4:$G$341,W$5,'VS×ケイパビリティ関係'!$E$4:$E$341,"主")&gt;0,"●",IF(COUNTIFS('VS×ケイパビリティ関係'!$F$4:$F$341,$B11,'VS×ケイパビリティ関係'!$G$4:$G$341,W$5,'VS×ケイパビリティ関係'!$E$4:$E$341,"支援")&gt;0,"○",""))</f>
        <v/>
      </c>
      <c r="X11" s="18">
        <f>IF(COUNTIFS('VS×ケイパビリティ関係'!$F$4:$F$341,$B11,'VS×ケイパビリティ関係'!$G$4:$G$341,X$5,'VS×ケイパビリティ関係'!$E$4:$E$341,"主")&gt;0,"●",IF(COUNTIFS('VS×ケイパビリティ関係'!$F$4:$F$341,$B11,'VS×ケイパビリティ関係'!$G$4:$G$341,X$5,'VS×ケイパビリティ関係'!$E$4:$E$341,"支援")&gt;0,"○",""))</f>
        <v/>
      </c>
      <c r="Y11" s="18">
        <f>IF(COUNTIFS('VS×ケイパビリティ関係'!$F$4:$F$341,$B11,'VS×ケイパビリティ関係'!$G$4:$G$341,Y$5,'VS×ケイパビリティ関係'!$E$4:$E$341,"主")&gt;0,"●",IF(COUNTIFS('VS×ケイパビリティ関係'!$F$4:$F$341,$B11,'VS×ケイパビリティ関係'!$G$4:$G$341,Y$5,'VS×ケイパビリティ関係'!$E$4:$E$341,"支援")&gt;0,"○",""))</f>
        <v/>
      </c>
      <c r="Z11" s="18">
        <f>IF(COUNTIFS('VS×ケイパビリティ関係'!$F$4:$F$341,$B11,'VS×ケイパビリティ関係'!$G$4:$G$341,Z$5,'VS×ケイパビリティ関係'!$E$4:$E$341,"主")&gt;0,"●",IF(COUNTIFS('VS×ケイパビリティ関係'!$F$4:$F$341,$B11,'VS×ケイパビリティ関係'!$G$4:$G$341,Z$5,'VS×ケイパビリティ関係'!$E$4:$E$341,"支援")&gt;0,"○",""))</f>
        <v/>
      </c>
      <c r="AA11" s="18">
        <f>IF(COUNTIFS('VS×ケイパビリティ関係'!$F$4:$F$341,$B11,'VS×ケイパビリティ関係'!$G$4:$G$341,AA$5,'VS×ケイパビリティ関係'!$E$4:$E$341,"主")&gt;0,"●",IF(COUNTIFS('VS×ケイパビリティ関係'!$F$4:$F$341,$B11,'VS×ケイパビリティ関係'!$G$4:$G$341,AA$5,'VS×ケイパビリティ関係'!$E$4:$E$341,"支援")&gt;0,"○",""))</f>
        <v/>
      </c>
      <c r="AB11" s="18">
        <f>IF(COUNTIFS('VS×ケイパビリティ関係'!$F$4:$F$341,$B11,'VS×ケイパビリティ関係'!$G$4:$G$341,AB$5,'VS×ケイパビリティ関係'!$E$4:$E$341,"主")&gt;0,"●",IF(COUNTIFS('VS×ケイパビリティ関係'!$F$4:$F$341,$B11,'VS×ケイパビリティ関係'!$G$4:$G$341,AB$5,'VS×ケイパビリティ関係'!$E$4:$E$341,"支援")&gt;0,"○",""))</f>
        <v/>
      </c>
      <c r="AC11" s="18">
        <f>IF(COUNTIFS('VS×ケイパビリティ関係'!$F$4:$F$341,$B11,'VS×ケイパビリティ関係'!$G$4:$G$341,AC$5,'VS×ケイパビリティ関係'!$E$4:$E$341,"主")&gt;0,"●",IF(COUNTIFS('VS×ケイパビリティ関係'!$F$4:$F$341,$B11,'VS×ケイパビリティ関係'!$G$4:$G$341,AC$5,'VS×ケイパビリティ関係'!$E$4:$E$341,"支援")&gt;0,"○",""))</f>
        <v/>
      </c>
      <c r="AD11" s="18">
        <f>IF(COUNTIFS('VS×ケイパビリティ関係'!$F$4:$F$341,$B11,'VS×ケイパビリティ関係'!$G$4:$G$341,AD$5,'VS×ケイパビリティ関係'!$E$4:$E$341,"主")&gt;0,"●",IF(COUNTIFS('VS×ケイパビリティ関係'!$F$4:$F$341,$B11,'VS×ケイパビリティ関係'!$G$4:$G$341,AD$5,'VS×ケイパビリティ関係'!$E$4:$E$341,"支援")&gt;0,"○",""))</f>
        <v/>
      </c>
      <c r="AE11" s="18">
        <f>IF(COUNTIFS('VS×ケイパビリティ関係'!$F$4:$F$341,$B11,'VS×ケイパビリティ関係'!$G$4:$G$341,AE$5,'VS×ケイパビリティ関係'!$E$4:$E$341,"主")&gt;0,"●",IF(COUNTIFS('VS×ケイパビリティ関係'!$F$4:$F$341,$B11,'VS×ケイパビリティ関係'!$G$4:$G$341,AE$5,'VS×ケイパビリティ関係'!$E$4:$E$341,"支援")&gt;0,"○",""))</f>
        <v/>
      </c>
      <c r="AF11" s="18">
        <f>COUNTIF(D11:AE11,"●")</f>
        <v/>
      </c>
      <c r="AG11" s="18">
        <f>COUNTIF(D11:AE11,"○")</f>
        <v/>
      </c>
    </row>
    <row r="12">
      <c r="A12" s="42" t="n"/>
      <c r="B12" s="18" t="inlineStr">
        <is>
          <t>02-03</t>
        </is>
      </c>
      <c r="C12" s="20" t="inlineStr">
        <is>
          <t>開発・構成・テスト</t>
        </is>
      </c>
      <c r="D12" s="18">
        <f>IF(COUNTIFS('VS×ケイパビリティ関係'!$F$4:$F$341,$B12,'VS×ケイパビリティ関係'!$G$4:$G$341,D$5,'VS×ケイパビリティ関係'!$E$4:$E$341,"主")&gt;0,"●",IF(COUNTIFS('VS×ケイパビリティ関係'!$F$4:$F$341,$B12,'VS×ケイパビリティ関係'!$G$4:$G$341,D$5,'VS×ケイパビリティ関係'!$E$4:$E$341,"支援")&gt;0,"○",""))</f>
        <v/>
      </c>
      <c r="E12" s="18">
        <f>IF(COUNTIFS('VS×ケイパビリティ関係'!$F$4:$F$341,$B12,'VS×ケイパビリティ関係'!$G$4:$G$341,E$5,'VS×ケイパビリティ関係'!$E$4:$E$341,"主")&gt;0,"●",IF(COUNTIFS('VS×ケイパビリティ関係'!$F$4:$F$341,$B12,'VS×ケイパビリティ関係'!$G$4:$G$341,E$5,'VS×ケイパビリティ関係'!$E$4:$E$341,"支援")&gt;0,"○",""))</f>
        <v/>
      </c>
      <c r="F12" s="18">
        <f>IF(COUNTIFS('VS×ケイパビリティ関係'!$F$4:$F$341,$B12,'VS×ケイパビリティ関係'!$G$4:$G$341,F$5,'VS×ケイパビリティ関係'!$E$4:$E$341,"主")&gt;0,"●",IF(COUNTIFS('VS×ケイパビリティ関係'!$F$4:$F$341,$B12,'VS×ケイパビリティ関係'!$G$4:$G$341,F$5,'VS×ケイパビリティ関係'!$E$4:$E$341,"支援")&gt;0,"○",""))</f>
        <v/>
      </c>
      <c r="G12" s="18">
        <f>IF(COUNTIFS('VS×ケイパビリティ関係'!$F$4:$F$341,$B12,'VS×ケイパビリティ関係'!$G$4:$G$341,G$5,'VS×ケイパビリティ関係'!$E$4:$E$341,"主")&gt;0,"●",IF(COUNTIFS('VS×ケイパビリティ関係'!$F$4:$F$341,$B12,'VS×ケイパビリティ関係'!$G$4:$G$341,G$5,'VS×ケイパビリティ関係'!$E$4:$E$341,"支援")&gt;0,"○",""))</f>
        <v/>
      </c>
      <c r="H12" s="18">
        <f>IF(COUNTIFS('VS×ケイパビリティ関係'!$F$4:$F$341,$B12,'VS×ケイパビリティ関係'!$G$4:$G$341,H$5,'VS×ケイパビリティ関係'!$E$4:$E$341,"主")&gt;0,"●",IF(COUNTIFS('VS×ケイパビリティ関係'!$F$4:$F$341,$B12,'VS×ケイパビリティ関係'!$G$4:$G$341,H$5,'VS×ケイパビリティ関係'!$E$4:$E$341,"支援")&gt;0,"○",""))</f>
        <v/>
      </c>
      <c r="I12" s="18">
        <f>IF(COUNTIFS('VS×ケイパビリティ関係'!$F$4:$F$341,$B12,'VS×ケイパビリティ関係'!$G$4:$G$341,I$5,'VS×ケイパビリティ関係'!$E$4:$E$341,"主")&gt;0,"●",IF(COUNTIFS('VS×ケイパビリティ関係'!$F$4:$F$341,$B12,'VS×ケイパビリティ関係'!$G$4:$G$341,I$5,'VS×ケイパビリティ関係'!$E$4:$E$341,"支援")&gt;0,"○",""))</f>
        <v/>
      </c>
      <c r="J12" s="18">
        <f>IF(COUNTIFS('VS×ケイパビリティ関係'!$F$4:$F$341,$B12,'VS×ケイパビリティ関係'!$G$4:$G$341,J$5,'VS×ケイパビリティ関係'!$E$4:$E$341,"主")&gt;0,"●",IF(COUNTIFS('VS×ケイパビリティ関係'!$F$4:$F$341,$B12,'VS×ケイパビリティ関係'!$G$4:$G$341,J$5,'VS×ケイパビリティ関係'!$E$4:$E$341,"支援")&gt;0,"○",""))</f>
        <v/>
      </c>
      <c r="K12" s="18">
        <f>IF(COUNTIFS('VS×ケイパビリティ関係'!$F$4:$F$341,$B12,'VS×ケイパビリティ関係'!$G$4:$G$341,K$5,'VS×ケイパビリティ関係'!$E$4:$E$341,"主")&gt;0,"●",IF(COUNTIFS('VS×ケイパビリティ関係'!$F$4:$F$341,$B12,'VS×ケイパビリティ関係'!$G$4:$G$341,K$5,'VS×ケイパビリティ関係'!$E$4:$E$341,"支援")&gt;0,"○",""))</f>
        <v/>
      </c>
      <c r="L12" s="18">
        <f>IF(COUNTIFS('VS×ケイパビリティ関係'!$F$4:$F$341,$B12,'VS×ケイパビリティ関係'!$G$4:$G$341,L$5,'VS×ケイパビリティ関係'!$E$4:$E$341,"主")&gt;0,"●",IF(COUNTIFS('VS×ケイパビリティ関係'!$F$4:$F$341,$B12,'VS×ケイパビリティ関係'!$G$4:$G$341,L$5,'VS×ケイパビリティ関係'!$E$4:$E$341,"支援")&gt;0,"○",""))</f>
        <v/>
      </c>
      <c r="M12" s="18">
        <f>IF(COUNTIFS('VS×ケイパビリティ関係'!$F$4:$F$341,$B12,'VS×ケイパビリティ関係'!$G$4:$G$341,M$5,'VS×ケイパビリティ関係'!$E$4:$E$341,"主")&gt;0,"●",IF(COUNTIFS('VS×ケイパビリティ関係'!$F$4:$F$341,$B12,'VS×ケイパビリティ関係'!$G$4:$G$341,M$5,'VS×ケイパビリティ関係'!$E$4:$E$341,"支援")&gt;0,"○",""))</f>
        <v/>
      </c>
      <c r="N12" s="18">
        <f>IF(COUNTIFS('VS×ケイパビリティ関係'!$F$4:$F$341,$B12,'VS×ケイパビリティ関係'!$G$4:$G$341,N$5,'VS×ケイパビリティ関係'!$E$4:$E$341,"主")&gt;0,"●",IF(COUNTIFS('VS×ケイパビリティ関係'!$F$4:$F$341,$B12,'VS×ケイパビリティ関係'!$G$4:$G$341,N$5,'VS×ケイパビリティ関係'!$E$4:$E$341,"支援")&gt;0,"○",""))</f>
        <v/>
      </c>
      <c r="O12" s="18">
        <f>IF(COUNTIFS('VS×ケイパビリティ関係'!$F$4:$F$341,$B12,'VS×ケイパビリティ関係'!$G$4:$G$341,O$5,'VS×ケイパビリティ関係'!$E$4:$E$341,"主")&gt;0,"●",IF(COUNTIFS('VS×ケイパビリティ関係'!$F$4:$F$341,$B12,'VS×ケイパビリティ関係'!$G$4:$G$341,O$5,'VS×ケイパビリティ関係'!$E$4:$E$341,"支援")&gt;0,"○",""))</f>
        <v/>
      </c>
      <c r="P12" s="18">
        <f>IF(COUNTIFS('VS×ケイパビリティ関係'!$F$4:$F$341,$B12,'VS×ケイパビリティ関係'!$G$4:$G$341,P$5,'VS×ケイパビリティ関係'!$E$4:$E$341,"主")&gt;0,"●",IF(COUNTIFS('VS×ケイパビリティ関係'!$F$4:$F$341,$B12,'VS×ケイパビリティ関係'!$G$4:$G$341,P$5,'VS×ケイパビリティ関係'!$E$4:$E$341,"支援")&gt;0,"○",""))</f>
        <v/>
      </c>
      <c r="Q12" s="18">
        <f>IF(COUNTIFS('VS×ケイパビリティ関係'!$F$4:$F$341,$B12,'VS×ケイパビリティ関係'!$G$4:$G$341,Q$5,'VS×ケイパビリティ関係'!$E$4:$E$341,"主")&gt;0,"●",IF(COUNTIFS('VS×ケイパビリティ関係'!$F$4:$F$341,$B12,'VS×ケイパビリティ関係'!$G$4:$G$341,Q$5,'VS×ケイパビリティ関係'!$E$4:$E$341,"支援")&gt;0,"○",""))</f>
        <v/>
      </c>
      <c r="R12" s="18">
        <f>IF(COUNTIFS('VS×ケイパビリティ関係'!$F$4:$F$341,$B12,'VS×ケイパビリティ関係'!$G$4:$G$341,R$5,'VS×ケイパビリティ関係'!$E$4:$E$341,"主")&gt;0,"●",IF(COUNTIFS('VS×ケイパビリティ関係'!$F$4:$F$341,$B12,'VS×ケイパビリティ関係'!$G$4:$G$341,R$5,'VS×ケイパビリティ関係'!$E$4:$E$341,"支援")&gt;0,"○",""))</f>
        <v/>
      </c>
      <c r="S12" s="18">
        <f>IF(COUNTIFS('VS×ケイパビリティ関係'!$F$4:$F$341,$B12,'VS×ケイパビリティ関係'!$G$4:$G$341,S$5,'VS×ケイパビリティ関係'!$E$4:$E$341,"主")&gt;0,"●",IF(COUNTIFS('VS×ケイパビリティ関係'!$F$4:$F$341,$B12,'VS×ケイパビリティ関係'!$G$4:$G$341,S$5,'VS×ケイパビリティ関係'!$E$4:$E$341,"支援")&gt;0,"○",""))</f>
        <v/>
      </c>
      <c r="T12" s="18">
        <f>IF(COUNTIFS('VS×ケイパビリティ関係'!$F$4:$F$341,$B12,'VS×ケイパビリティ関係'!$G$4:$G$341,T$5,'VS×ケイパビリティ関係'!$E$4:$E$341,"主")&gt;0,"●",IF(COUNTIFS('VS×ケイパビリティ関係'!$F$4:$F$341,$B12,'VS×ケイパビリティ関係'!$G$4:$G$341,T$5,'VS×ケイパビリティ関係'!$E$4:$E$341,"支援")&gt;0,"○",""))</f>
        <v/>
      </c>
      <c r="U12" s="18">
        <f>IF(COUNTIFS('VS×ケイパビリティ関係'!$F$4:$F$341,$B12,'VS×ケイパビリティ関係'!$G$4:$G$341,U$5,'VS×ケイパビリティ関係'!$E$4:$E$341,"主")&gt;0,"●",IF(COUNTIFS('VS×ケイパビリティ関係'!$F$4:$F$341,$B12,'VS×ケイパビリティ関係'!$G$4:$G$341,U$5,'VS×ケイパビリティ関係'!$E$4:$E$341,"支援")&gt;0,"○",""))</f>
        <v/>
      </c>
      <c r="V12" s="18">
        <f>IF(COUNTIFS('VS×ケイパビリティ関係'!$F$4:$F$341,$B12,'VS×ケイパビリティ関係'!$G$4:$G$341,V$5,'VS×ケイパビリティ関係'!$E$4:$E$341,"主")&gt;0,"●",IF(COUNTIFS('VS×ケイパビリティ関係'!$F$4:$F$341,$B12,'VS×ケイパビリティ関係'!$G$4:$G$341,V$5,'VS×ケイパビリティ関係'!$E$4:$E$341,"支援")&gt;0,"○",""))</f>
        <v/>
      </c>
      <c r="W12" s="18">
        <f>IF(COUNTIFS('VS×ケイパビリティ関係'!$F$4:$F$341,$B12,'VS×ケイパビリティ関係'!$G$4:$G$341,W$5,'VS×ケイパビリティ関係'!$E$4:$E$341,"主")&gt;0,"●",IF(COUNTIFS('VS×ケイパビリティ関係'!$F$4:$F$341,$B12,'VS×ケイパビリティ関係'!$G$4:$G$341,W$5,'VS×ケイパビリティ関係'!$E$4:$E$341,"支援")&gt;0,"○",""))</f>
        <v/>
      </c>
      <c r="X12" s="18">
        <f>IF(COUNTIFS('VS×ケイパビリティ関係'!$F$4:$F$341,$B12,'VS×ケイパビリティ関係'!$G$4:$G$341,X$5,'VS×ケイパビリティ関係'!$E$4:$E$341,"主")&gt;0,"●",IF(COUNTIFS('VS×ケイパビリティ関係'!$F$4:$F$341,$B12,'VS×ケイパビリティ関係'!$G$4:$G$341,X$5,'VS×ケイパビリティ関係'!$E$4:$E$341,"支援")&gt;0,"○",""))</f>
        <v/>
      </c>
      <c r="Y12" s="18">
        <f>IF(COUNTIFS('VS×ケイパビリティ関係'!$F$4:$F$341,$B12,'VS×ケイパビリティ関係'!$G$4:$G$341,Y$5,'VS×ケイパビリティ関係'!$E$4:$E$341,"主")&gt;0,"●",IF(COUNTIFS('VS×ケイパビリティ関係'!$F$4:$F$341,$B12,'VS×ケイパビリティ関係'!$G$4:$G$341,Y$5,'VS×ケイパビリティ関係'!$E$4:$E$341,"支援")&gt;0,"○",""))</f>
        <v/>
      </c>
      <c r="Z12" s="18">
        <f>IF(COUNTIFS('VS×ケイパビリティ関係'!$F$4:$F$341,$B12,'VS×ケイパビリティ関係'!$G$4:$G$341,Z$5,'VS×ケイパビリティ関係'!$E$4:$E$341,"主")&gt;0,"●",IF(COUNTIFS('VS×ケイパビリティ関係'!$F$4:$F$341,$B12,'VS×ケイパビリティ関係'!$G$4:$G$341,Z$5,'VS×ケイパビリティ関係'!$E$4:$E$341,"支援")&gt;0,"○",""))</f>
        <v/>
      </c>
      <c r="AA12" s="18">
        <f>IF(COUNTIFS('VS×ケイパビリティ関係'!$F$4:$F$341,$B12,'VS×ケイパビリティ関係'!$G$4:$G$341,AA$5,'VS×ケイパビリティ関係'!$E$4:$E$341,"主")&gt;0,"●",IF(COUNTIFS('VS×ケイパビリティ関係'!$F$4:$F$341,$B12,'VS×ケイパビリティ関係'!$G$4:$G$341,AA$5,'VS×ケイパビリティ関係'!$E$4:$E$341,"支援")&gt;0,"○",""))</f>
        <v/>
      </c>
      <c r="AB12" s="18">
        <f>IF(COUNTIFS('VS×ケイパビリティ関係'!$F$4:$F$341,$B12,'VS×ケイパビリティ関係'!$G$4:$G$341,AB$5,'VS×ケイパビリティ関係'!$E$4:$E$341,"主")&gt;0,"●",IF(COUNTIFS('VS×ケイパビリティ関係'!$F$4:$F$341,$B12,'VS×ケイパビリティ関係'!$G$4:$G$341,AB$5,'VS×ケイパビリティ関係'!$E$4:$E$341,"支援")&gt;0,"○",""))</f>
        <v/>
      </c>
      <c r="AC12" s="18">
        <f>IF(COUNTIFS('VS×ケイパビリティ関係'!$F$4:$F$341,$B12,'VS×ケイパビリティ関係'!$G$4:$G$341,AC$5,'VS×ケイパビリティ関係'!$E$4:$E$341,"主")&gt;0,"●",IF(COUNTIFS('VS×ケイパビリティ関係'!$F$4:$F$341,$B12,'VS×ケイパビリティ関係'!$G$4:$G$341,AC$5,'VS×ケイパビリティ関係'!$E$4:$E$341,"支援")&gt;0,"○",""))</f>
        <v/>
      </c>
      <c r="AD12" s="18">
        <f>IF(COUNTIFS('VS×ケイパビリティ関係'!$F$4:$F$341,$B12,'VS×ケイパビリティ関係'!$G$4:$G$341,AD$5,'VS×ケイパビリティ関係'!$E$4:$E$341,"主")&gt;0,"●",IF(COUNTIFS('VS×ケイパビリティ関係'!$F$4:$F$341,$B12,'VS×ケイパビリティ関係'!$G$4:$G$341,AD$5,'VS×ケイパビリティ関係'!$E$4:$E$341,"支援")&gt;0,"○",""))</f>
        <v/>
      </c>
      <c r="AE12" s="18">
        <f>IF(COUNTIFS('VS×ケイパビリティ関係'!$F$4:$F$341,$B12,'VS×ケイパビリティ関係'!$G$4:$G$341,AE$5,'VS×ケイパビリティ関係'!$E$4:$E$341,"主")&gt;0,"●",IF(COUNTIFS('VS×ケイパビリティ関係'!$F$4:$F$341,$B12,'VS×ケイパビリティ関係'!$G$4:$G$341,AE$5,'VS×ケイパビリティ関係'!$E$4:$E$341,"支援")&gt;0,"○",""))</f>
        <v/>
      </c>
      <c r="AF12" s="18">
        <f>COUNTIF(D12:AE12,"●")</f>
        <v/>
      </c>
      <c r="AG12" s="18">
        <f>COUNTIF(D12:AE12,"○")</f>
        <v/>
      </c>
    </row>
    <row r="13">
      <c r="A13" s="42" t="n"/>
      <c r="B13" s="18" t="inlineStr">
        <is>
          <t>02-04</t>
        </is>
      </c>
      <c r="C13" s="20" t="inlineStr">
        <is>
          <t>バリデーション・リリース</t>
        </is>
      </c>
      <c r="D13" s="18">
        <f>IF(COUNTIFS('VS×ケイパビリティ関係'!$F$4:$F$341,$B13,'VS×ケイパビリティ関係'!$G$4:$G$341,D$5,'VS×ケイパビリティ関係'!$E$4:$E$341,"主")&gt;0,"●",IF(COUNTIFS('VS×ケイパビリティ関係'!$F$4:$F$341,$B13,'VS×ケイパビリティ関係'!$G$4:$G$341,D$5,'VS×ケイパビリティ関係'!$E$4:$E$341,"支援")&gt;0,"○",""))</f>
        <v/>
      </c>
      <c r="E13" s="18">
        <f>IF(COUNTIFS('VS×ケイパビリティ関係'!$F$4:$F$341,$B13,'VS×ケイパビリティ関係'!$G$4:$G$341,E$5,'VS×ケイパビリティ関係'!$E$4:$E$341,"主")&gt;0,"●",IF(COUNTIFS('VS×ケイパビリティ関係'!$F$4:$F$341,$B13,'VS×ケイパビリティ関係'!$G$4:$G$341,E$5,'VS×ケイパビリティ関係'!$E$4:$E$341,"支援")&gt;0,"○",""))</f>
        <v/>
      </c>
      <c r="F13" s="18">
        <f>IF(COUNTIFS('VS×ケイパビリティ関係'!$F$4:$F$341,$B13,'VS×ケイパビリティ関係'!$G$4:$G$341,F$5,'VS×ケイパビリティ関係'!$E$4:$E$341,"主")&gt;0,"●",IF(COUNTIFS('VS×ケイパビリティ関係'!$F$4:$F$341,$B13,'VS×ケイパビリティ関係'!$G$4:$G$341,F$5,'VS×ケイパビリティ関係'!$E$4:$E$341,"支援")&gt;0,"○",""))</f>
        <v/>
      </c>
      <c r="G13" s="18">
        <f>IF(COUNTIFS('VS×ケイパビリティ関係'!$F$4:$F$341,$B13,'VS×ケイパビリティ関係'!$G$4:$G$341,G$5,'VS×ケイパビリティ関係'!$E$4:$E$341,"主")&gt;0,"●",IF(COUNTIFS('VS×ケイパビリティ関係'!$F$4:$F$341,$B13,'VS×ケイパビリティ関係'!$G$4:$G$341,G$5,'VS×ケイパビリティ関係'!$E$4:$E$341,"支援")&gt;0,"○",""))</f>
        <v/>
      </c>
      <c r="H13" s="18">
        <f>IF(COUNTIFS('VS×ケイパビリティ関係'!$F$4:$F$341,$B13,'VS×ケイパビリティ関係'!$G$4:$G$341,H$5,'VS×ケイパビリティ関係'!$E$4:$E$341,"主")&gt;0,"●",IF(COUNTIFS('VS×ケイパビリティ関係'!$F$4:$F$341,$B13,'VS×ケイパビリティ関係'!$G$4:$G$341,H$5,'VS×ケイパビリティ関係'!$E$4:$E$341,"支援")&gt;0,"○",""))</f>
        <v/>
      </c>
      <c r="I13" s="18">
        <f>IF(COUNTIFS('VS×ケイパビリティ関係'!$F$4:$F$341,$B13,'VS×ケイパビリティ関係'!$G$4:$G$341,I$5,'VS×ケイパビリティ関係'!$E$4:$E$341,"主")&gt;0,"●",IF(COUNTIFS('VS×ケイパビリティ関係'!$F$4:$F$341,$B13,'VS×ケイパビリティ関係'!$G$4:$G$341,I$5,'VS×ケイパビリティ関係'!$E$4:$E$341,"支援")&gt;0,"○",""))</f>
        <v/>
      </c>
      <c r="J13" s="18">
        <f>IF(COUNTIFS('VS×ケイパビリティ関係'!$F$4:$F$341,$B13,'VS×ケイパビリティ関係'!$G$4:$G$341,J$5,'VS×ケイパビリティ関係'!$E$4:$E$341,"主")&gt;0,"●",IF(COUNTIFS('VS×ケイパビリティ関係'!$F$4:$F$341,$B13,'VS×ケイパビリティ関係'!$G$4:$G$341,J$5,'VS×ケイパビリティ関係'!$E$4:$E$341,"支援")&gt;0,"○",""))</f>
        <v/>
      </c>
      <c r="K13" s="18">
        <f>IF(COUNTIFS('VS×ケイパビリティ関係'!$F$4:$F$341,$B13,'VS×ケイパビリティ関係'!$G$4:$G$341,K$5,'VS×ケイパビリティ関係'!$E$4:$E$341,"主")&gt;0,"●",IF(COUNTIFS('VS×ケイパビリティ関係'!$F$4:$F$341,$B13,'VS×ケイパビリティ関係'!$G$4:$G$341,K$5,'VS×ケイパビリティ関係'!$E$4:$E$341,"支援")&gt;0,"○",""))</f>
        <v/>
      </c>
      <c r="L13" s="18">
        <f>IF(COUNTIFS('VS×ケイパビリティ関係'!$F$4:$F$341,$B13,'VS×ケイパビリティ関係'!$G$4:$G$341,L$5,'VS×ケイパビリティ関係'!$E$4:$E$341,"主")&gt;0,"●",IF(COUNTIFS('VS×ケイパビリティ関係'!$F$4:$F$341,$B13,'VS×ケイパビリティ関係'!$G$4:$G$341,L$5,'VS×ケイパビリティ関係'!$E$4:$E$341,"支援")&gt;0,"○",""))</f>
        <v/>
      </c>
      <c r="M13" s="18">
        <f>IF(COUNTIFS('VS×ケイパビリティ関係'!$F$4:$F$341,$B13,'VS×ケイパビリティ関係'!$G$4:$G$341,M$5,'VS×ケイパビリティ関係'!$E$4:$E$341,"主")&gt;0,"●",IF(COUNTIFS('VS×ケイパビリティ関係'!$F$4:$F$341,$B13,'VS×ケイパビリティ関係'!$G$4:$G$341,M$5,'VS×ケイパビリティ関係'!$E$4:$E$341,"支援")&gt;0,"○",""))</f>
        <v/>
      </c>
      <c r="N13" s="18">
        <f>IF(COUNTIFS('VS×ケイパビリティ関係'!$F$4:$F$341,$B13,'VS×ケイパビリティ関係'!$G$4:$G$341,N$5,'VS×ケイパビリティ関係'!$E$4:$E$341,"主")&gt;0,"●",IF(COUNTIFS('VS×ケイパビリティ関係'!$F$4:$F$341,$B13,'VS×ケイパビリティ関係'!$G$4:$G$341,N$5,'VS×ケイパビリティ関係'!$E$4:$E$341,"支援")&gt;0,"○",""))</f>
        <v/>
      </c>
      <c r="O13" s="18">
        <f>IF(COUNTIFS('VS×ケイパビリティ関係'!$F$4:$F$341,$B13,'VS×ケイパビリティ関係'!$G$4:$G$341,O$5,'VS×ケイパビリティ関係'!$E$4:$E$341,"主")&gt;0,"●",IF(COUNTIFS('VS×ケイパビリティ関係'!$F$4:$F$341,$B13,'VS×ケイパビリティ関係'!$G$4:$G$341,O$5,'VS×ケイパビリティ関係'!$E$4:$E$341,"支援")&gt;0,"○",""))</f>
        <v/>
      </c>
      <c r="P13" s="18">
        <f>IF(COUNTIFS('VS×ケイパビリティ関係'!$F$4:$F$341,$B13,'VS×ケイパビリティ関係'!$G$4:$G$341,P$5,'VS×ケイパビリティ関係'!$E$4:$E$341,"主")&gt;0,"●",IF(COUNTIFS('VS×ケイパビリティ関係'!$F$4:$F$341,$B13,'VS×ケイパビリティ関係'!$G$4:$G$341,P$5,'VS×ケイパビリティ関係'!$E$4:$E$341,"支援")&gt;0,"○",""))</f>
        <v/>
      </c>
      <c r="Q13" s="18">
        <f>IF(COUNTIFS('VS×ケイパビリティ関係'!$F$4:$F$341,$B13,'VS×ケイパビリティ関係'!$G$4:$G$341,Q$5,'VS×ケイパビリティ関係'!$E$4:$E$341,"主")&gt;0,"●",IF(COUNTIFS('VS×ケイパビリティ関係'!$F$4:$F$341,$B13,'VS×ケイパビリティ関係'!$G$4:$G$341,Q$5,'VS×ケイパビリティ関係'!$E$4:$E$341,"支援")&gt;0,"○",""))</f>
        <v/>
      </c>
      <c r="R13" s="18">
        <f>IF(COUNTIFS('VS×ケイパビリティ関係'!$F$4:$F$341,$B13,'VS×ケイパビリティ関係'!$G$4:$G$341,R$5,'VS×ケイパビリティ関係'!$E$4:$E$341,"主")&gt;0,"●",IF(COUNTIFS('VS×ケイパビリティ関係'!$F$4:$F$341,$B13,'VS×ケイパビリティ関係'!$G$4:$G$341,R$5,'VS×ケイパビリティ関係'!$E$4:$E$341,"支援")&gt;0,"○",""))</f>
        <v/>
      </c>
      <c r="S13" s="18">
        <f>IF(COUNTIFS('VS×ケイパビリティ関係'!$F$4:$F$341,$B13,'VS×ケイパビリティ関係'!$G$4:$G$341,S$5,'VS×ケイパビリティ関係'!$E$4:$E$341,"主")&gt;0,"●",IF(COUNTIFS('VS×ケイパビリティ関係'!$F$4:$F$341,$B13,'VS×ケイパビリティ関係'!$G$4:$G$341,S$5,'VS×ケイパビリティ関係'!$E$4:$E$341,"支援")&gt;0,"○",""))</f>
        <v/>
      </c>
      <c r="T13" s="18">
        <f>IF(COUNTIFS('VS×ケイパビリティ関係'!$F$4:$F$341,$B13,'VS×ケイパビリティ関係'!$G$4:$G$341,T$5,'VS×ケイパビリティ関係'!$E$4:$E$341,"主")&gt;0,"●",IF(COUNTIFS('VS×ケイパビリティ関係'!$F$4:$F$341,$B13,'VS×ケイパビリティ関係'!$G$4:$G$341,T$5,'VS×ケイパビリティ関係'!$E$4:$E$341,"支援")&gt;0,"○",""))</f>
        <v/>
      </c>
      <c r="U13" s="18">
        <f>IF(COUNTIFS('VS×ケイパビリティ関係'!$F$4:$F$341,$B13,'VS×ケイパビリティ関係'!$G$4:$G$341,U$5,'VS×ケイパビリティ関係'!$E$4:$E$341,"主")&gt;0,"●",IF(COUNTIFS('VS×ケイパビリティ関係'!$F$4:$F$341,$B13,'VS×ケイパビリティ関係'!$G$4:$G$341,U$5,'VS×ケイパビリティ関係'!$E$4:$E$341,"支援")&gt;0,"○",""))</f>
        <v/>
      </c>
      <c r="V13" s="18">
        <f>IF(COUNTIFS('VS×ケイパビリティ関係'!$F$4:$F$341,$B13,'VS×ケイパビリティ関係'!$G$4:$G$341,V$5,'VS×ケイパビリティ関係'!$E$4:$E$341,"主")&gt;0,"●",IF(COUNTIFS('VS×ケイパビリティ関係'!$F$4:$F$341,$B13,'VS×ケイパビリティ関係'!$G$4:$G$341,V$5,'VS×ケイパビリティ関係'!$E$4:$E$341,"支援")&gt;0,"○",""))</f>
        <v/>
      </c>
      <c r="W13" s="18">
        <f>IF(COUNTIFS('VS×ケイパビリティ関係'!$F$4:$F$341,$B13,'VS×ケイパビリティ関係'!$G$4:$G$341,W$5,'VS×ケイパビリティ関係'!$E$4:$E$341,"主")&gt;0,"●",IF(COUNTIFS('VS×ケイパビリティ関係'!$F$4:$F$341,$B13,'VS×ケイパビリティ関係'!$G$4:$G$341,W$5,'VS×ケイパビリティ関係'!$E$4:$E$341,"支援")&gt;0,"○",""))</f>
        <v/>
      </c>
      <c r="X13" s="18">
        <f>IF(COUNTIFS('VS×ケイパビリティ関係'!$F$4:$F$341,$B13,'VS×ケイパビリティ関係'!$G$4:$G$341,X$5,'VS×ケイパビリティ関係'!$E$4:$E$341,"主")&gt;0,"●",IF(COUNTIFS('VS×ケイパビリティ関係'!$F$4:$F$341,$B13,'VS×ケイパビリティ関係'!$G$4:$G$341,X$5,'VS×ケイパビリティ関係'!$E$4:$E$341,"支援")&gt;0,"○",""))</f>
        <v/>
      </c>
      <c r="Y13" s="18">
        <f>IF(COUNTIFS('VS×ケイパビリティ関係'!$F$4:$F$341,$B13,'VS×ケイパビリティ関係'!$G$4:$G$341,Y$5,'VS×ケイパビリティ関係'!$E$4:$E$341,"主")&gt;0,"●",IF(COUNTIFS('VS×ケイパビリティ関係'!$F$4:$F$341,$B13,'VS×ケイパビリティ関係'!$G$4:$G$341,Y$5,'VS×ケイパビリティ関係'!$E$4:$E$341,"支援")&gt;0,"○",""))</f>
        <v/>
      </c>
      <c r="Z13" s="18">
        <f>IF(COUNTIFS('VS×ケイパビリティ関係'!$F$4:$F$341,$B13,'VS×ケイパビリティ関係'!$G$4:$G$341,Z$5,'VS×ケイパビリティ関係'!$E$4:$E$341,"主")&gt;0,"●",IF(COUNTIFS('VS×ケイパビリティ関係'!$F$4:$F$341,$B13,'VS×ケイパビリティ関係'!$G$4:$G$341,Z$5,'VS×ケイパビリティ関係'!$E$4:$E$341,"支援")&gt;0,"○",""))</f>
        <v/>
      </c>
      <c r="AA13" s="18">
        <f>IF(COUNTIFS('VS×ケイパビリティ関係'!$F$4:$F$341,$B13,'VS×ケイパビリティ関係'!$G$4:$G$341,AA$5,'VS×ケイパビリティ関係'!$E$4:$E$341,"主")&gt;0,"●",IF(COUNTIFS('VS×ケイパビリティ関係'!$F$4:$F$341,$B13,'VS×ケイパビリティ関係'!$G$4:$G$341,AA$5,'VS×ケイパビリティ関係'!$E$4:$E$341,"支援")&gt;0,"○",""))</f>
        <v/>
      </c>
      <c r="AB13" s="18">
        <f>IF(COUNTIFS('VS×ケイパビリティ関係'!$F$4:$F$341,$B13,'VS×ケイパビリティ関係'!$G$4:$G$341,AB$5,'VS×ケイパビリティ関係'!$E$4:$E$341,"主")&gt;0,"●",IF(COUNTIFS('VS×ケイパビリティ関係'!$F$4:$F$341,$B13,'VS×ケイパビリティ関係'!$G$4:$G$341,AB$5,'VS×ケイパビリティ関係'!$E$4:$E$341,"支援")&gt;0,"○",""))</f>
        <v/>
      </c>
      <c r="AC13" s="18">
        <f>IF(COUNTIFS('VS×ケイパビリティ関係'!$F$4:$F$341,$B13,'VS×ケイパビリティ関係'!$G$4:$G$341,AC$5,'VS×ケイパビリティ関係'!$E$4:$E$341,"主")&gt;0,"●",IF(COUNTIFS('VS×ケイパビリティ関係'!$F$4:$F$341,$B13,'VS×ケイパビリティ関係'!$G$4:$G$341,AC$5,'VS×ケイパビリティ関係'!$E$4:$E$341,"支援")&gt;0,"○",""))</f>
        <v/>
      </c>
      <c r="AD13" s="18">
        <f>IF(COUNTIFS('VS×ケイパビリティ関係'!$F$4:$F$341,$B13,'VS×ケイパビリティ関係'!$G$4:$G$341,AD$5,'VS×ケイパビリティ関係'!$E$4:$E$341,"主")&gt;0,"●",IF(COUNTIFS('VS×ケイパビリティ関係'!$F$4:$F$341,$B13,'VS×ケイパビリティ関係'!$G$4:$G$341,AD$5,'VS×ケイパビリティ関係'!$E$4:$E$341,"支援")&gt;0,"○",""))</f>
        <v/>
      </c>
      <c r="AE13" s="18">
        <f>IF(COUNTIFS('VS×ケイパビリティ関係'!$F$4:$F$341,$B13,'VS×ケイパビリティ関係'!$G$4:$G$341,AE$5,'VS×ケイパビリティ関係'!$E$4:$E$341,"主")&gt;0,"●",IF(COUNTIFS('VS×ケイパビリティ関係'!$F$4:$F$341,$B13,'VS×ケイパビリティ関係'!$G$4:$G$341,AE$5,'VS×ケイパビリティ関係'!$E$4:$E$341,"支援")&gt;0,"○",""))</f>
        <v/>
      </c>
      <c r="AF13" s="18">
        <f>COUNTIF(D13:AE13,"●")</f>
        <v/>
      </c>
      <c r="AG13" s="18">
        <f>COUNTIF(D13:AE13,"○")</f>
        <v/>
      </c>
    </row>
    <row r="14">
      <c r="A14" s="42" t="inlineStr">
        <is>
          <t>03 利用申請・提供（R2F）</t>
        </is>
      </c>
      <c r="B14" s="18" t="inlineStr">
        <is>
          <t>03-01</t>
        </is>
      </c>
      <c r="C14" s="20" t="inlineStr">
        <is>
          <t>サービスカタログの公開</t>
        </is>
      </c>
      <c r="D14" s="18">
        <f>IF(COUNTIFS('VS×ケイパビリティ関係'!$F$4:$F$341,$B14,'VS×ケイパビリティ関係'!$G$4:$G$341,D$5,'VS×ケイパビリティ関係'!$E$4:$E$341,"主")&gt;0,"●",IF(COUNTIFS('VS×ケイパビリティ関係'!$F$4:$F$341,$B14,'VS×ケイパビリティ関係'!$G$4:$G$341,D$5,'VS×ケイパビリティ関係'!$E$4:$E$341,"支援")&gt;0,"○",""))</f>
        <v/>
      </c>
      <c r="E14" s="18">
        <f>IF(COUNTIFS('VS×ケイパビリティ関係'!$F$4:$F$341,$B14,'VS×ケイパビリティ関係'!$G$4:$G$341,E$5,'VS×ケイパビリティ関係'!$E$4:$E$341,"主")&gt;0,"●",IF(COUNTIFS('VS×ケイパビリティ関係'!$F$4:$F$341,$B14,'VS×ケイパビリティ関係'!$G$4:$G$341,E$5,'VS×ケイパビリティ関係'!$E$4:$E$341,"支援")&gt;0,"○",""))</f>
        <v/>
      </c>
      <c r="F14" s="18">
        <f>IF(COUNTIFS('VS×ケイパビリティ関係'!$F$4:$F$341,$B14,'VS×ケイパビリティ関係'!$G$4:$G$341,F$5,'VS×ケイパビリティ関係'!$E$4:$E$341,"主")&gt;0,"●",IF(COUNTIFS('VS×ケイパビリティ関係'!$F$4:$F$341,$B14,'VS×ケイパビリティ関係'!$G$4:$G$341,F$5,'VS×ケイパビリティ関係'!$E$4:$E$341,"支援")&gt;0,"○",""))</f>
        <v/>
      </c>
      <c r="G14" s="18">
        <f>IF(COUNTIFS('VS×ケイパビリティ関係'!$F$4:$F$341,$B14,'VS×ケイパビリティ関係'!$G$4:$G$341,G$5,'VS×ケイパビリティ関係'!$E$4:$E$341,"主")&gt;0,"●",IF(COUNTIFS('VS×ケイパビリティ関係'!$F$4:$F$341,$B14,'VS×ケイパビリティ関係'!$G$4:$G$341,G$5,'VS×ケイパビリティ関係'!$E$4:$E$341,"支援")&gt;0,"○",""))</f>
        <v/>
      </c>
      <c r="H14" s="18">
        <f>IF(COUNTIFS('VS×ケイパビリティ関係'!$F$4:$F$341,$B14,'VS×ケイパビリティ関係'!$G$4:$G$341,H$5,'VS×ケイパビリティ関係'!$E$4:$E$341,"主")&gt;0,"●",IF(COUNTIFS('VS×ケイパビリティ関係'!$F$4:$F$341,$B14,'VS×ケイパビリティ関係'!$G$4:$G$341,H$5,'VS×ケイパビリティ関係'!$E$4:$E$341,"支援")&gt;0,"○",""))</f>
        <v/>
      </c>
      <c r="I14" s="18">
        <f>IF(COUNTIFS('VS×ケイパビリティ関係'!$F$4:$F$341,$B14,'VS×ケイパビリティ関係'!$G$4:$G$341,I$5,'VS×ケイパビリティ関係'!$E$4:$E$341,"主")&gt;0,"●",IF(COUNTIFS('VS×ケイパビリティ関係'!$F$4:$F$341,$B14,'VS×ケイパビリティ関係'!$G$4:$G$341,I$5,'VS×ケイパビリティ関係'!$E$4:$E$341,"支援")&gt;0,"○",""))</f>
        <v/>
      </c>
      <c r="J14" s="18">
        <f>IF(COUNTIFS('VS×ケイパビリティ関係'!$F$4:$F$341,$B14,'VS×ケイパビリティ関係'!$G$4:$G$341,J$5,'VS×ケイパビリティ関係'!$E$4:$E$341,"主")&gt;0,"●",IF(COUNTIFS('VS×ケイパビリティ関係'!$F$4:$F$341,$B14,'VS×ケイパビリティ関係'!$G$4:$G$341,J$5,'VS×ケイパビリティ関係'!$E$4:$E$341,"支援")&gt;0,"○",""))</f>
        <v/>
      </c>
      <c r="K14" s="18">
        <f>IF(COUNTIFS('VS×ケイパビリティ関係'!$F$4:$F$341,$B14,'VS×ケイパビリティ関係'!$G$4:$G$341,K$5,'VS×ケイパビリティ関係'!$E$4:$E$341,"主")&gt;0,"●",IF(COUNTIFS('VS×ケイパビリティ関係'!$F$4:$F$341,$B14,'VS×ケイパビリティ関係'!$G$4:$G$341,K$5,'VS×ケイパビリティ関係'!$E$4:$E$341,"支援")&gt;0,"○",""))</f>
        <v/>
      </c>
      <c r="L14" s="18">
        <f>IF(COUNTIFS('VS×ケイパビリティ関係'!$F$4:$F$341,$B14,'VS×ケイパビリティ関係'!$G$4:$G$341,L$5,'VS×ケイパビリティ関係'!$E$4:$E$341,"主")&gt;0,"●",IF(COUNTIFS('VS×ケイパビリティ関係'!$F$4:$F$341,$B14,'VS×ケイパビリティ関係'!$G$4:$G$341,L$5,'VS×ケイパビリティ関係'!$E$4:$E$341,"支援")&gt;0,"○",""))</f>
        <v/>
      </c>
      <c r="M14" s="18">
        <f>IF(COUNTIFS('VS×ケイパビリティ関係'!$F$4:$F$341,$B14,'VS×ケイパビリティ関係'!$G$4:$G$341,M$5,'VS×ケイパビリティ関係'!$E$4:$E$341,"主")&gt;0,"●",IF(COUNTIFS('VS×ケイパビリティ関係'!$F$4:$F$341,$B14,'VS×ケイパビリティ関係'!$G$4:$G$341,M$5,'VS×ケイパビリティ関係'!$E$4:$E$341,"支援")&gt;0,"○",""))</f>
        <v/>
      </c>
      <c r="N14" s="18">
        <f>IF(COUNTIFS('VS×ケイパビリティ関係'!$F$4:$F$341,$B14,'VS×ケイパビリティ関係'!$G$4:$G$341,N$5,'VS×ケイパビリティ関係'!$E$4:$E$341,"主")&gt;0,"●",IF(COUNTIFS('VS×ケイパビリティ関係'!$F$4:$F$341,$B14,'VS×ケイパビリティ関係'!$G$4:$G$341,N$5,'VS×ケイパビリティ関係'!$E$4:$E$341,"支援")&gt;0,"○",""))</f>
        <v/>
      </c>
      <c r="O14" s="18">
        <f>IF(COUNTIFS('VS×ケイパビリティ関係'!$F$4:$F$341,$B14,'VS×ケイパビリティ関係'!$G$4:$G$341,O$5,'VS×ケイパビリティ関係'!$E$4:$E$341,"主")&gt;0,"●",IF(COUNTIFS('VS×ケイパビリティ関係'!$F$4:$F$341,$B14,'VS×ケイパビリティ関係'!$G$4:$G$341,O$5,'VS×ケイパビリティ関係'!$E$4:$E$341,"支援")&gt;0,"○",""))</f>
        <v/>
      </c>
      <c r="P14" s="18">
        <f>IF(COUNTIFS('VS×ケイパビリティ関係'!$F$4:$F$341,$B14,'VS×ケイパビリティ関係'!$G$4:$G$341,P$5,'VS×ケイパビリティ関係'!$E$4:$E$341,"主")&gt;0,"●",IF(COUNTIFS('VS×ケイパビリティ関係'!$F$4:$F$341,$B14,'VS×ケイパビリティ関係'!$G$4:$G$341,P$5,'VS×ケイパビリティ関係'!$E$4:$E$341,"支援")&gt;0,"○",""))</f>
        <v/>
      </c>
      <c r="Q14" s="18">
        <f>IF(COUNTIFS('VS×ケイパビリティ関係'!$F$4:$F$341,$B14,'VS×ケイパビリティ関係'!$G$4:$G$341,Q$5,'VS×ケイパビリティ関係'!$E$4:$E$341,"主")&gt;0,"●",IF(COUNTIFS('VS×ケイパビリティ関係'!$F$4:$F$341,$B14,'VS×ケイパビリティ関係'!$G$4:$G$341,Q$5,'VS×ケイパビリティ関係'!$E$4:$E$341,"支援")&gt;0,"○",""))</f>
        <v/>
      </c>
      <c r="R14" s="18">
        <f>IF(COUNTIFS('VS×ケイパビリティ関係'!$F$4:$F$341,$B14,'VS×ケイパビリティ関係'!$G$4:$G$341,R$5,'VS×ケイパビリティ関係'!$E$4:$E$341,"主")&gt;0,"●",IF(COUNTIFS('VS×ケイパビリティ関係'!$F$4:$F$341,$B14,'VS×ケイパビリティ関係'!$G$4:$G$341,R$5,'VS×ケイパビリティ関係'!$E$4:$E$341,"支援")&gt;0,"○",""))</f>
        <v/>
      </c>
      <c r="S14" s="18">
        <f>IF(COUNTIFS('VS×ケイパビリティ関係'!$F$4:$F$341,$B14,'VS×ケイパビリティ関係'!$G$4:$G$341,S$5,'VS×ケイパビリティ関係'!$E$4:$E$341,"主")&gt;0,"●",IF(COUNTIFS('VS×ケイパビリティ関係'!$F$4:$F$341,$B14,'VS×ケイパビリティ関係'!$G$4:$G$341,S$5,'VS×ケイパビリティ関係'!$E$4:$E$341,"支援")&gt;0,"○",""))</f>
        <v/>
      </c>
      <c r="T14" s="18">
        <f>IF(COUNTIFS('VS×ケイパビリティ関係'!$F$4:$F$341,$B14,'VS×ケイパビリティ関係'!$G$4:$G$341,T$5,'VS×ケイパビリティ関係'!$E$4:$E$341,"主")&gt;0,"●",IF(COUNTIFS('VS×ケイパビリティ関係'!$F$4:$F$341,$B14,'VS×ケイパビリティ関係'!$G$4:$G$341,T$5,'VS×ケイパビリティ関係'!$E$4:$E$341,"支援")&gt;0,"○",""))</f>
        <v/>
      </c>
      <c r="U14" s="18">
        <f>IF(COUNTIFS('VS×ケイパビリティ関係'!$F$4:$F$341,$B14,'VS×ケイパビリティ関係'!$G$4:$G$341,U$5,'VS×ケイパビリティ関係'!$E$4:$E$341,"主")&gt;0,"●",IF(COUNTIFS('VS×ケイパビリティ関係'!$F$4:$F$341,$B14,'VS×ケイパビリティ関係'!$G$4:$G$341,U$5,'VS×ケイパビリティ関係'!$E$4:$E$341,"支援")&gt;0,"○",""))</f>
        <v/>
      </c>
      <c r="V14" s="18">
        <f>IF(COUNTIFS('VS×ケイパビリティ関係'!$F$4:$F$341,$B14,'VS×ケイパビリティ関係'!$G$4:$G$341,V$5,'VS×ケイパビリティ関係'!$E$4:$E$341,"主")&gt;0,"●",IF(COUNTIFS('VS×ケイパビリティ関係'!$F$4:$F$341,$B14,'VS×ケイパビリティ関係'!$G$4:$G$341,V$5,'VS×ケイパビリティ関係'!$E$4:$E$341,"支援")&gt;0,"○",""))</f>
        <v/>
      </c>
      <c r="W14" s="18">
        <f>IF(COUNTIFS('VS×ケイパビリティ関係'!$F$4:$F$341,$B14,'VS×ケイパビリティ関係'!$G$4:$G$341,W$5,'VS×ケイパビリティ関係'!$E$4:$E$341,"主")&gt;0,"●",IF(COUNTIFS('VS×ケイパビリティ関係'!$F$4:$F$341,$B14,'VS×ケイパビリティ関係'!$G$4:$G$341,W$5,'VS×ケイパビリティ関係'!$E$4:$E$341,"支援")&gt;0,"○",""))</f>
        <v/>
      </c>
      <c r="X14" s="18">
        <f>IF(COUNTIFS('VS×ケイパビリティ関係'!$F$4:$F$341,$B14,'VS×ケイパビリティ関係'!$G$4:$G$341,X$5,'VS×ケイパビリティ関係'!$E$4:$E$341,"主")&gt;0,"●",IF(COUNTIFS('VS×ケイパビリティ関係'!$F$4:$F$341,$B14,'VS×ケイパビリティ関係'!$G$4:$G$341,X$5,'VS×ケイパビリティ関係'!$E$4:$E$341,"支援")&gt;0,"○",""))</f>
        <v/>
      </c>
      <c r="Y14" s="18">
        <f>IF(COUNTIFS('VS×ケイパビリティ関係'!$F$4:$F$341,$B14,'VS×ケイパビリティ関係'!$G$4:$G$341,Y$5,'VS×ケイパビリティ関係'!$E$4:$E$341,"主")&gt;0,"●",IF(COUNTIFS('VS×ケイパビリティ関係'!$F$4:$F$341,$B14,'VS×ケイパビリティ関係'!$G$4:$G$341,Y$5,'VS×ケイパビリティ関係'!$E$4:$E$341,"支援")&gt;0,"○",""))</f>
        <v/>
      </c>
      <c r="Z14" s="18">
        <f>IF(COUNTIFS('VS×ケイパビリティ関係'!$F$4:$F$341,$B14,'VS×ケイパビリティ関係'!$G$4:$G$341,Z$5,'VS×ケイパビリティ関係'!$E$4:$E$341,"主")&gt;0,"●",IF(COUNTIFS('VS×ケイパビリティ関係'!$F$4:$F$341,$B14,'VS×ケイパビリティ関係'!$G$4:$G$341,Z$5,'VS×ケイパビリティ関係'!$E$4:$E$341,"支援")&gt;0,"○",""))</f>
        <v/>
      </c>
      <c r="AA14" s="18">
        <f>IF(COUNTIFS('VS×ケイパビリティ関係'!$F$4:$F$341,$B14,'VS×ケイパビリティ関係'!$G$4:$G$341,AA$5,'VS×ケイパビリティ関係'!$E$4:$E$341,"主")&gt;0,"●",IF(COUNTIFS('VS×ケイパビリティ関係'!$F$4:$F$341,$B14,'VS×ケイパビリティ関係'!$G$4:$G$341,AA$5,'VS×ケイパビリティ関係'!$E$4:$E$341,"支援")&gt;0,"○",""))</f>
        <v/>
      </c>
      <c r="AB14" s="18">
        <f>IF(COUNTIFS('VS×ケイパビリティ関係'!$F$4:$F$341,$B14,'VS×ケイパビリティ関係'!$G$4:$G$341,AB$5,'VS×ケイパビリティ関係'!$E$4:$E$341,"主")&gt;0,"●",IF(COUNTIFS('VS×ケイパビリティ関係'!$F$4:$F$341,$B14,'VS×ケイパビリティ関係'!$G$4:$G$341,AB$5,'VS×ケイパビリティ関係'!$E$4:$E$341,"支援")&gt;0,"○",""))</f>
        <v/>
      </c>
      <c r="AC14" s="18">
        <f>IF(COUNTIFS('VS×ケイパビリティ関係'!$F$4:$F$341,$B14,'VS×ケイパビリティ関係'!$G$4:$G$341,AC$5,'VS×ケイパビリティ関係'!$E$4:$E$341,"主")&gt;0,"●",IF(COUNTIFS('VS×ケイパビリティ関係'!$F$4:$F$341,$B14,'VS×ケイパビリティ関係'!$G$4:$G$341,AC$5,'VS×ケイパビリティ関係'!$E$4:$E$341,"支援")&gt;0,"○",""))</f>
        <v/>
      </c>
      <c r="AD14" s="18">
        <f>IF(COUNTIFS('VS×ケイパビリティ関係'!$F$4:$F$341,$B14,'VS×ケイパビリティ関係'!$G$4:$G$341,AD$5,'VS×ケイパビリティ関係'!$E$4:$E$341,"主")&gt;0,"●",IF(COUNTIFS('VS×ケイパビリティ関係'!$F$4:$F$341,$B14,'VS×ケイパビリティ関係'!$G$4:$G$341,AD$5,'VS×ケイパビリティ関係'!$E$4:$E$341,"支援")&gt;0,"○",""))</f>
        <v/>
      </c>
      <c r="AE14" s="18">
        <f>IF(COUNTIFS('VS×ケイパビリティ関係'!$F$4:$F$341,$B14,'VS×ケイパビリティ関係'!$G$4:$G$341,AE$5,'VS×ケイパビリティ関係'!$E$4:$E$341,"主")&gt;0,"●",IF(COUNTIFS('VS×ケイパビリティ関係'!$F$4:$F$341,$B14,'VS×ケイパビリティ関係'!$G$4:$G$341,AE$5,'VS×ケイパビリティ関係'!$E$4:$E$341,"支援")&gt;0,"○",""))</f>
        <v/>
      </c>
      <c r="AF14" s="18">
        <f>COUNTIF(D14:AE14,"●")</f>
        <v/>
      </c>
      <c r="AG14" s="18">
        <f>COUNTIF(D14:AE14,"○")</f>
        <v/>
      </c>
    </row>
    <row r="15">
      <c r="A15" s="42" t="n"/>
      <c r="B15" s="18" t="inlineStr">
        <is>
          <t>03-02</t>
        </is>
      </c>
      <c r="C15" s="20" t="inlineStr">
        <is>
          <t>申請・承認</t>
        </is>
      </c>
      <c r="D15" s="18">
        <f>IF(COUNTIFS('VS×ケイパビリティ関係'!$F$4:$F$341,$B15,'VS×ケイパビリティ関係'!$G$4:$G$341,D$5,'VS×ケイパビリティ関係'!$E$4:$E$341,"主")&gt;0,"●",IF(COUNTIFS('VS×ケイパビリティ関係'!$F$4:$F$341,$B15,'VS×ケイパビリティ関係'!$G$4:$G$341,D$5,'VS×ケイパビリティ関係'!$E$4:$E$341,"支援")&gt;0,"○",""))</f>
        <v/>
      </c>
      <c r="E15" s="18">
        <f>IF(COUNTIFS('VS×ケイパビリティ関係'!$F$4:$F$341,$B15,'VS×ケイパビリティ関係'!$G$4:$G$341,E$5,'VS×ケイパビリティ関係'!$E$4:$E$341,"主")&gt;0,"●",IF(COUNTIFS('VS×ケイパビリティ関係'!$F$4:$F$341,$B15,'VS×ケイパビリティ関係'!$G$4:$G$341,E$5,'VS×ケイパビリティ関係'!$E$4:$E$341,"支援")&gt;0,"○",""))</f>
        <v/>
      </c>
      <c r="F15" s="18">
        <f>IF(COUNTIFS('VS×ケイパビリティ関係'!$F$4:$F$341,$B15,'VS×ケイパビリティ関係'!$G$4:$G$341,F$5,'VS×ケイパビリティ関係'!$E$4:$E$341,"主")&gt;0,"●",IF(COUNTIFS('VS×ケイパビリティ関係'!$F$4:$F$341,$B15,'VS×ケイパビリティ関係'!$G$4:$G$341,F$5,'VS×ケイパビリティ関係'!$E$4:$E$341,"支援")&gt;0,"○",""))</f>
        <v/>
      </c>
      <c r="G15" s="18">
        <f>IF(COUNTIFS('VS×ケイパビリティ関係'!$F$4:$F$341,$B15,'VS×ケイパビリティ関係'!$G$4:$G$341,G$5,'VS×ケイパビリティ関係'!$E$4:$E$341,"主")&gt;0,"●",IF(COUNTIFS('VS×ケイパビリティ関係'!$F$4:$F$341,$B15,'VS×ケイパビリティ関係'!$G$4:$G$341,G$5,'VS×ケイパビリティ関係'!$E$4:$E$341,"支援")&gt;0,"○",""))</f>
        <v/>
      </c>
      <c r="H15" s="18">
        <f>IF(COUNTIFS('VS×ケイパビリティ関係'!$F$4:$F$341,$B15,'VS×ケイパビリティ関係'!$G$4:$G$341,H$5,'VS×ケイパビリティ関係'!$E$4:$E$341,"主")&gt;0,"●",IF(COUNTIFS('VS×ケイパビリティ関係'!$F$4:$F$341,$B15,'VS×ケイパビリティ関係'!$G$4:$G$341,H$5,'VS×ケイパビリティ関係'!$E$4:$E$341,"支援")&gt;0,"○",""))</f>
        <v/>
      </c>
      <c r="I15" s="18">
        <f>IF(COUNTIFS('VS×ケイパビリティ関係'!$F$4:$F$341,$B15,'VS×ケイパビリティ関係'!$G$4:$G$341,I$5,'VS×ケイパビリティ関係'!$E$4:$E$341,"主")&gt;0,"●",IF(COUNTIFS('VS×ケイパビリティ関係'!$F$4:$F$341,$B15,'VS×ケイパビリティ関係'!$G$4:$G$341,I$5,'VS×ケイパビリティ関係'!$E$4:$E$341,"支援")&gt;0,"○",""))</f>
        <v/>
      </c>
      <c r="J15" s="18">
        <f>IF(COUNTIFS('VS×ケイパビリティ関係'!$F$4:$F$341,$B15,'VS×ケイパビリティ関係'!$G$4:$G$341,J$5,'VS×ケイパビリティ関係'!$E$4:$E$341,"主")&gt;0,"●",IF(COUNTIFS('VS×ケイパビリティ関係'!$F$4:$F$341,$B15,'VS×ケイパビリティ関係'!$G$4:$G$341,J$5,'VS×ケイパビリティ関係'!$E$4:$E$341,"支援")&gt;0,"○",""))</f>
        <v/>
      </c>
      <c r="K15" s="18">
        <f>IF(COUNTIFS('VS×ケイパビリティ関係'!$F$4:$F$341,$B15,'VS×ケイパビリティ関係'!$G$4:$G$341,K$5,'VS×ケイパビリティ関係'!$E$4:$E$341,"主")&gt;0,"●",IF(COUNTIFS('VS×ケイパビリティ関係'!$F$4:$F$341,$B15,'VS×ケイパビリティ関係'!$G$4:$G$341,K$5,'VS×ケイパビリティ関係'!$E$4:$E$341,"支援")&gt;0,"○",""))</f>
        <v/>
      </c>
      <c r="L15" s="18">
        <f>IF(COUNTIFS('VS×ケイパビリティ関係'!$F$4:$F$341,$B15,'VS×ケイパビリティ関係'!$G$4:$G$341,L$5,'VS×ケイパビリティ関係'!$E$4:$E$341,"主")&gt;0,"●",IF(COUNTIFS('VS×ケイパビリティ関係'!$F$4:$F$341,$B15,'VS×ケイパビリティ関係'!$G$4:$G$341,L$5,'VS×ケイパビリティ関係'!$E$4:$E$341,"支援")&gt;0,"○",""))</f>
        <v/>
      </c>
      <c r="M15" s="18">
        <f>IF(COUNTIFS('VS×ケイパビリティ関係'!$F$4:$F$341,$B15,'VS×ケイパビリティ関係'!$G$4:$G$341,M$5,'VS×ケイパビリティ関係'!$E$4:$E$341,"主")&gt;0,"●",IF(COUNTIFS('VS×ケイパビリティ関係'!$F$4:$F$341,$B15,'VS×ケイパビリティ関係'!$G$4:$G$341,M$5,'VS×ケイパビリティ関係'!$E$4:$E$341,"支援")&gt;0,"○",""))</f>
        <v/>
      </c>
      <c r="N15" s="18">
        <f>IF(COUNTIFS('VS×ケイパビリティ関係'!$F$4:$F$341,$B15,'VS×ケイパビリティ関係'!$G$4:$G$341,N$5,'VS×ケイパビリティ関係'!$E$4:$E$341,"主")&gt;0,"●",IF(COUNTIFS('VS×ケイパビリティ関係'!$F$4:$F$341,$B15,'VS×ケイパビリティ関係'!$G$4:$G$341,N$5,'VS×ケイパビリティ関係'!$E$4:$E$341,"支援")&gt;0,"○",""))</f>
        <v/>
      </c>
      <c r="O15" s="18">
        <f>IF(COUNTIFS('VS×ケイパビリティ関係'!$F$4:$F$341,$B15,'VS×ケイパビリティ関係'!$G$4:$G$341,O$5,'VS×ケイパビリティ関係'!$E$4:$E$341,"主")&gt;0,"●",IF(COUNTIFS('VS×ケイパビリティ関係'!$F$4:$F$341,$B15,'VS×ケイパビリティ関係'!$G$4:$G$341,O$5,'VS×ケイパビリティ関係'!$E$4:$E$341,"支援")&gt;0,"○",""))</f>
        <v/>
      </c>
      <c r="P15" s="18">
        <f>IF(COUNTIFS('VS×ケイパビリティ関係'!$F$4:$F$341,$B15,'VS×ケイパビリティ関係'!$G$4:$G$341,P$5,'VS×ケイパビリティ関係'!$E$4:$E$341,"主")&gt;0,"●",IF(COUNTIFS('VS×ケイパビリティ関係'!$F$4:$F$341,$B15,'VS×ケイパビリティ関係'!$G$4:$G$341,P$5,'VS×ケイパビリティ関係'!$E$4:$E$341,"支援")&gt;0,"○",""))</f>
        <v/>
      </c>
      <c r="Q15" s="18">
        <f>IF(COUNTIFS('VS×ケイパビリティ関係'!$F$4:$F$341,$B15,'VS×ケイパビリティ関係'!$G$4:$G$341,Q$5,'VS×ケイパビリティ関係'!$E$4:$E$341,"主")&gt;0,"●",IF(COUNTIFS('VS×ケイパビリティ関係'!$F$4:$F$341,$B15,'VS×ケイパビリティ関係'!$G$4:$G$341,Q$5,'VS×ケイパビリティ関係'!$E$4:$E$341,"支援")&gt;0,"○",""))</f>
        <v/>
      </c>
      <c r="R15" s="18">
        <f>IF(COUNTIFS('VS×ケイパビリティ関係'!$F$4:$F$341,$B15,'VS×ケイパビリティ関係'!$G$4:$G$341,R$5,'VS×ケイパビリティ関係'!$E$4:$E$341,"主")&gt;0,"●",IF(COUNTIFS('VS×ケイパビリティ関係'!$F$4:$F$341,$B15,'VS×ケイパビリティ関係'!$G$4:$G$341,R$5,'VS×ケイパビリティ関係'!$E$4:$E$341,"支援")&gt;0,"○",""))</f>
        <v/>
      </c>
      <c r="S15" s="18">
        <f>IF(COUNTIFS('VS×ケイパビリティ関係'!$F$4:$F$341,$B15,'VS×ケイパビリティ関係'!$G$4:$G$341,S$5,'VS×ケイパビリティ関係'!$E$4:$E$341,"主")&gt;0,"●",IF(COUNTIFS('VS×ケイパビリティ関係'!$F$4:$F$341,$B15,'VS×ケイパビリティ関係'!$G$4:$G$341,S$5,'VS×ケイパビリティ関係'!$E$4:$E$341,"支援")&gt;0,"○",""))</f>
        <v/>
      </c>
      <c r="T15" s="18">
        <f>IF(COUNTIFS('VS×ケイパビリティ関係'!$F$4:$F$341,$B15,'VS×ケイパビリティ関係'!$G$4:$G$341,T$5,'VS×ケイパビリティ関係'!$E$4:$E$341,"主")&gt;0,"●",IF(COUNTIFS('VS×ケイパビリティ関係'!$F$4:$F$341,$B15,'VS×ケイパビリティ関係'!$G$4:$G$341,T$5,'VS×ケイパビリティ関係'!$E$4:$E$341,"支援")&gt;0,"○",""))</f>
        <v/>
      </c>
      <c r="U15" s="18">
        <f>IF(COUNTIFS('VS×ケイパビリティ関係'!$F$4:$F$341,$B15,'VS×ケイパビリティ関係'!$G$4:$G$341,U$5,'VS×ケイパビリティ関係'!$E$4:$E$341,"主")&gt;0,"●",IF(COUNTIFS('VS×ケイパビリティ関係'!$F$4:$F$341,$B15,'VS×ケイパビリティ関係'!$G$4:$G$341,U$5,'VS×ケイパビリティ関係'!$E$4:$E$341,"支援")&gt;0,"○",""))</f>
        <v/>
      </c>
      <c r="V15" s="18">
        <f>IF(COUNTIFS('VS×ケイパビリティ関係'!$F$4:$F$341,$B15,'VS×ケイパビリティ関係'!$G$4:$G$341,V$5,'VS×ケイパビリティ関係'!$E$4:$E$341,"主")&gt;0,"●",IF(COUNTIFS('VS×ケイパビリティ関係'!$F$4:$F$341,$B15,'VS×ケイパビリティ関係'!$G$4:$G$341,V$5,'VS×ケイパビリティ関係'!$E$4:$E$341,"支援")&gt;0,"○",""))</f>
        <v/>
      </c>
      <c r="W15" s="18">
        <f>IF(COUNTIFS('VS×ケイパビリティ関係'!$F$4:$F$341,$B15,'VS×ケイパビリティ関係'!$G$4:$G$341,W$5,'VS×ケイパビリティ関係'!$E$4:$E$341,"主")&gt;0,"●",IF(COUNTIFS('VS×ケイパビリティ関係'!$F$4:$F$341,$B15,'VS×ケイパビリティ関係'!$G$4:$G$341,W$5,'VS×ケイパビリティ関係'!$E$4:$E$341,"支援")&gt;0,"○",""))</f>
        <v/>
      </c>
      <c r="X15" s="18">
        <f>IF(COUNTIFS('VS×ケイパビリティ関係'!$F$4:$F$341,$B15,'VS×ケイパビリティ関係'!$G$4:$G$341,X$5,'VS×ケイパビリティ関係'!$E$4:$E$341,"主")&gt;0,"●",IF(COUNTIFS('VS×ケイパビリティ関係'!$F$4:$F$341,$B15,'VS×ケイパビリティ関係'!$G$4:$G$341,X$5,'VS×ケイパビリティ関係'!$E$4:$E$341,"支援")&gt;0,"○",""))</f>
        <v/>
      </c>
      <c r="Y15" s="18">
        <f>IF(COUNTIFS('VS×ケイパビリティ関係'!$F$4:$F$341,$B15,'VS×ケイパビリティ関係'!$G$4:$G$341,Y$5,'VS×ケイパビリティ関係'!$E$4:$E$341,"主")&gt;0,"●",IF(COUNTIFS('VS×ケイパビリティ関係'!$F$4:$F$341,$B15,'VS×ケイパビリティ関係'!$G$4:$G$341,Y$5,'VS×ケイパビリティ関係'!$E$4:$E$341,"支援")&gt;0,"○",""))</f>
        <v/>
      </c>
      <c r="Z15" s="18">
        <f>IF(COUNTIFS('VS×ケイパビリティ関係'!$F$4:$F$341,$B15,'VS×ケイパビリティ関係'!$G$4:$G$341,Z$5,'VS×ケイパビリティ関係'!$E$4:$E$341,"主")&gt;0,"●",IF(COUNTIFS('VS×ケイパビリティ関係'!$F$4:$F$341,$B15,'VS×ケイパビリティ関係'!$G$4:$G$341,Z$5,'VS×ケイパビリティ関係'!$E$4:$E$341,"支援")&gt;0,"○",""))</f>
        <v/>
      </c>
      <c r="AA15" s="18">
        <f>IF(COUNTIFS('VS×ケイパビリティ関係'!$F$4:$F$341,$B15,'VS×ケイパビリティ関係'!$G$4:$G$341,AA$5,'VS×ケイパビリティ関係'!$E$4:$E$341,"主")&gt;0,"●",IF(COUNTIFS('VS×ケイパビリティ関係'!$F$4:$F$341,$B15,'VS×ケイパビリティ関係'!$G$4:$G$341,AA$5,'VS×ケイパビリティ関係'!$E$4:$E$341,"支援")&gt;0,"○",""))</f>
        <v/>
      </c>
      <c r="AB15" s="18">
        <f>IF(COUNTIFS('VS×ケイパビリティ関係'!$F$4:$F$341,$B15,'VS×ケイパビリティ関係'!$G$4:$G$341,AB$5,'VS×ケイパビリティ関係'!$E$4:$E$341,"主")&gt;0,"●",IF(COUNTIFS('VS×ケイパビリティ関係'!$F$4:$F$341,$B15,'VS×ケイパビリティ関係'!$G$4:$G$341,AB$5,'VS×ケイパビリティ関係'!$E$4:$E$341,"支援")&gt;0,"○",""))</f>
        <v/>
      </c>
      <c r="AC15" s="18">
        <f>IF(COUNTIFS('VS×ケイパビリティ関係'!$F$4:$F$341,$B15,'VS×ケイパビリティ関係'!$G$4:$G$341,AC$5,'VS×ケイパビリティ関係'!$E$4:$E$341,"主")&gt;0,"●",IF(COUNTIFS('VS×ケイパビリティ関係'!$F$4:$F$341,$B15,'VS×ケイパビリティ関係'!$G$4:$G$341,AC$5,'VS×ケイパビリティ関係'!$E$4:$E$341,"支援")&gt;0,"○",""))</f>
        <v/>
      </c>
      <c r="AD15" s="18">
        <f>IF(COUNTIFS('VS×ケイパビリティ関係'!$F$4:$F$341,$B15,'VS×ケイパビリティ関係'!$G$4:$G$341,AD$5,'VS×ケイパビリティ関係'!$E$4:$E$341,"主")&gt;0,"●",IF(COUNTIFS('VS×ケイパビリティ関係'!$F$4:$F$341,$B15,'VS×ケイパビリティ関係'!$G$4:$G$341,AD$5,'VS×ケイパビリティ関係'!$E$4:$E$341,"支援")&gt;0,"○",""))</f>
        <v/>
      </c>
      <c r="AE15" s="18">
        <f>IF(COUNTIFS('VS×ケイパビリティ関係'!$F$4:$F$341,$B15,'VS×ケイパビリティ関係'!$G$4:$G$341,AE$5,'VS×ケイパビリティ関係'!$E$4:$E$341,"主")&gt;0,"●",IF(COUNTIFS('VS×ケイパビリティ関係'!$F$4:$F$341,$B15,'VS×ケイパビリティ関係'!$G$4:$G$341,AE$5,'VS×ケイパビリティ関係'!$E$4:$E$341,"支援")&gt;0,"○",""))</f>
        <v/>
      </c>
      <c r="AF15" s="18">
        <f>COUNTIF(D15:AE15,"●")</f>
        <v/>
      </c>
      <c r="AG15" s="18">
        <f>COUNTIF(D15:AE15,"○")</f>
        <v/>
      </c>
    </row>
    <row r="16">
      <c r="A16" s="42" t="n"/>
      <c r="B16" s="18" t="inlineStr">
        <is>
          <t>03-03</t>
        </is>
      </c>
      <c r="C16" s="20" t="inlineStr">
        <is>
          <t>提供</t>
        </is>
      </c>
      <c r="D16" s="18">
        <f>IF(COUNTIFS('VS×ケイパビリティ関係'!$F$4:$F$341,$B16,'VS×ケイパビリティ関係'!$G$4:$G$341,D$5,'VS×ケイパビリティ関係'!$E$4:$E$341,"主")&gt;0,"●",IF(COUNTIFS('VS×ケイパビリティ関係'!$F$4:$F$341,$B16,'VS×ケイパビリティ関係'!$G$4:$G$341,D$5,'VS×ケイパビリティ関係'!$E$4:$E$341,"支援")&gt;0,"○",""))</f>
        <v/>
      </c>
      <c r="E16" s="18">
        <f>IF(COUNTIFS('VS×ケイパビリティ関係'!$F$4:$F$341,$B16,'VS×ケイパビリティ関係'!$G$4:$G$341,E$5,'VS×ケイパビリティ関係'!$E$4:$E$341,"主")&gt;0,"●",IF(COUNTIFS('VS×ケイパビリティ関係'!$F$4:$F$341,$B16,'VS×ケイパビリティ関係'!$G$4:$G$341,E$5,'VS×ケイパビリティ関係'!$E$4:$E$341,"支援")&gt;0,"○",""))</f>
        <v/>
      </c>
      <c r="F16" s="18">
        <f>IF(COUNTIFS('VS×ケイパビリティ関係'!$F$4:$F$341,$B16,'VS×ケイパビリティ関係'!$G$4:$G$341,F$5,'VS×ケイパビリティ関係'!$E$4:$E$341,"主")&gt;0,"●",IF(COUNTIFS('VS×ケイパビリティ関係'!$F$4:$F$341,$B16,'VS×ケイパビリティ関係'!$G$4:$G$341,F$5,'VS×ケイパビリティ関係'!$E$4:$E$341,"支援")&gt;0,"○",""))</f>
        <v/>
      </c>
      <c r="G16" s="18">
        <f>IF(COUNTIFS('VS×ケイパビリティ関係'!$F$4:$F$341,$B16,'VS×ケイパビリティ関係'!$G$4:$G$341,G$5,'VS×ケイパビリティ関係'!$E$4:$E$341,"主")&gt;0,"●",IF(COUNTIFS('VS×ケイパビリティ関係'!$F$4:$F$341,$B16,'VS×ケイパビリティ関係'!$G$4:$G$341,G$5,'VS×ケイパビリティ関係'!$E$4:$E$341,"支援")&gt;0,"○",""))</f>
        <v/>
      </c>
      <c r="H16" s="18">
        <f>IF(COUNTIFS('VS×ケイパビリティ関係'!$F$4:$F$341,$B16,'VS×ケイパビリティ関係'!$G$4:$G$341,H$5,'VS×ケイパビリティ関係'!$E$4:$E$341,"主")&gt;0,"●",IF(COUNTIFS('VS×ケイパビリティ関係'!$F$4:$F$341,$B16,'VS×ケイパビリティ関係'!$G$4:$G$341,H$5,'VS×ケイパビリティ関係'!$E$4:$E$341,"支援")&gt;0,"○",""))</f>
        <v/>
      </c>
      <c r="I16" s="18">
        <f>IF(COUNTIFS('VS×ケイパビリティ関係'!$F$4:$F$341,$B16,'VS×ケイパビリティ関係'!$G$4:$G$341,I$5,'VS×ケイパビリティ関係'!$E$4:$E$341,"主")&gt;0,"●",IF(COUNTIFS('VS×ケイパビリティ関係'!$F$4:$F$341,$B16,'VS×ケイパビリティ関係'!$G$4:$G$341,I$5,'VS×ケイパビリティ関係'!$E$4:$E$341,"支援")&gt;0,"○",""))</f>
        <v/>
      </c>
      <c r="J16" s="18">
        <f>IF(COUNTIFS('VS×ケイパビリティ関係'!$F$4:$F$341,$B16,'VS×ケイパビリティ関係'!$G$4:$G$341,J$5,'VS×ケイパビリティ関係'!$E$4:$E$341,"主")&gt;0,"●",IF(COUNTIFS('VS×ケイパビリティ関係'!$F$4:$F$341,$B16,'VS×ケイパビリティ関係'!$G$4:$G$341,J$5,'VS×ケイパビリティ関係'!$E$4:$E$341,"支援")&gt;0,"○",""))</f>
        <v/>
      </c>
      <c r="K16" s="18">
        <f>IF(COUNTIFS('VS×ケイパビリティ関係'!$F$4:$F$341,$B16,'VS×ケイパビリティ関係'!$G$4:$G$341,K$5,'VS×ケイパビリティ関係'!$E$4:$E$341,"主")&gt;0,"●",IF(COUNTIFS('VS×ケイパビリティ関係'!$F$4:$F$341,$B16,'VS×ケイパビリティ関係'!$G$4:$G$341,K$5,'VS×ケイパビリティ関係'!$E$4:$E$341,"支援")&gt;0,"○",""))</f>
        <v/>
      </c>
      <c r="L16" s="18">
        <f>IF(COUNTIFS('VS×ケイパビリティ関係'!$F$4:$F$341,$B16,'VS×ケイパビリティ関係'!$G$4:$G$341,L$5,'VS×ケイパビリティ関係'!$E$4:$E$341,"主")&gt;0,"●",IF(COUNTIFS('VS×ケイパビリティ関係'!$F$4:$F$341,$B16,'VS×ケイパビリティ関係'!$G$4:$G$341,L$5,'VS×ケイパビリティ関係'!$E$4:$E$341,"支援")&gt;0,"○",""))</f>
        <v/>
      </c>
      <c r="M16" s="18">
        <f>IF(COUNTIFS('VS×ケイパビリティ関係'!$F$4:$F$341,$B16,'VS×ケイパビリティ関係'!$G$4:$G$341,M$5,'VS×ケイパビリティ関係'!$E$4:$E$341,"主")&gt;0,"●",IF(COUNTIFS('VS×ケイパビリティ関係'!$F$4:$F$341,$B16,'VS×ケイパビリティ関係'!$G$4:$G$341,M$5,'VS×ケイパビリティ関係'!$E$4:$E$341,"支援")&gt;0,"○",""))</f>
        <v/>
      </c>
      <c r="N16" s="18">
        <f>IF(COUNTIFS('VS×ケイパビリティ関係'!$F$4:$F$341,$B16,'VS×ケイパビリティ関係'!$G$4:$G$341,N$5,'VS×ケイパビリティ関係'!$E$4:$E$341,"主")&gt;0,"●",IF(COUNTIFS('VS×ケイパビリティ関係'!$F$4:$F$341,$B16,'VS×ケイパビリティ関係'!$G$4:$G$341,N$5,'VS×ケイパビリティ関係'!$E$4:$E$341,"支援")&gt;0,"○",""))</f>
        <v/>
      </c>
      <c r="O16" s="18">
        <f>IF(COUNTIFS('VS×ケイパビリティ関係'!$F$4:$F$341,$B16,'VS×ケイパビリティ関係'!$G$4:$G$341,O$5,'VS×ケイパビリティ関係'!$E$4:$E$341,"主")&gt;0,"●",IF(COUNTIFS('VS×ケイパビリティ関係'!$F$4:$F$341,$B16,'VS×ケイパビリティ関係'!$G$4:$G$341,O$5,'VS×ケイパビリティ関係'!$E$4:$E$341,"支援")&gt;0,"○",""))</f>
        <v/>
      </c>
      <c r="P16" s="18">
        <f>IF(COUNTIFS('VS×ケイパビリティ関係'!$F$4:$F$341,$B16,'VS×ケイパビリティ関係'!$G$4:$G$341,P$5,'VS×ケイパビリティ関係'!$E$4:$E$341,"主")&gt;0,"●",IF(COUNTIFS('VS×ケイパビリティ関係'!$F$4:$F$341,$B16,'VS×ケイパビリティ関係'!$G$4:$G$341,P$5,'VS×ケイパビリティ関係'!$E$4:$E$341,"支援")&gt;0,"○",""))</f>
        <v/>
      </c>
      <c r="Q16" s="18">
        <f>IF(COUNTIFS('VS×ケイパビリティ関係'!$F$4:$F$341,$B16,'VS×ケイパビリティ関係'!$G$4:$G$341,Q$5,'VS×ケイパビリティ関係'!$E$4:$E$341,"主")&gt;0,"●",IF(COUNTIFS('VS×ケイパビリティ関係'!$F$4:$F$341,$B16,'VS×ケイパビリティ関係'!$G$4:$G$341,Q$5,'VS×ケイパビリティ関係'!$E$4:$E$341,"支援")&gt;0,"○",""))</f>
        <v/>
      </c>
      <c r="R16" s="18">
        <f>IF(COUNTIFS('VS×ケイパビリティ関係'!$F$4:$F$341,$B16,'VS×ケイパビリティ関係'!$G$4:$G$341,R$5,'VS×ケイパビリティ関係'!$E$4:$E$341,"主")&gt;0,"●",IF(COUNTIFS('VS×ケイパビリティ関係'!$F$4:$F$341,$B16,'VS×ケイパビリティ関係'!$G$4:$G$341,R$5,'VS×ケイパビリティ関係'!$E$4:$E$341,"支援")&gt;0,"○",""))</f>
        <v/>
      </c>
      <c r="S16" s="18">
        <f>IF(COUNTIFS('VS×ケイパビリティ関係'!$F$4:$F$341,$B16,'VS×ケイパビリティ関係'!$G$4:$G$341,S$5,'VS×ケイパビリティ関係'!$E$4:$E$341,"主")&gt;0,"●",IF(COUNTIFS('VS×ケイパビリティ関係'!$F$4:$F$341,$B16,'VS×ケイパビリティ関係'!$G$4:$G$341,S$5,'VS×ケイパビリティ関係'!$E$4:$E$341,"支援")&gt;0,"○",""))</f>
        <v/>
      </c>
      <c r="T16" s="18">
        <f>IF(COUNTIFS('VS×ケイパビリティ関係'!$F$4:$F$341,$B16,'VS×ケイパビリティ関係'!$G$4:$G$341,T$5,'VS×ケイパビリティ関係'!$E$4:$E$341,"主")&gt;0,"●",IF(COUNTIFS('VS×ケイパビリティ関係'!$F$4:$F$341,$B16,'VS×ケイパビリティ関係'!$G$4:$G$341,T$5,'VS×ケイパビリティ関係'!$E$4:$E$341,"支援")&gt;0,"○",""))</f>
        <v/>
      </c>
      <c r="U16" s="18">
        <f>IF(COUNTIFS('VS×ケイパビリティ関係'!$F$4:$F$341,$B16,'VS×ケイパビリティ関係'!$G$4:$G$341,U$5,'VS×ケイパビリティ関係'!$E$4:$E$341,"主")&gt;0,"●",IF(COUNTIFS('VS×ケイパビリティ関係'!$F$4:$F$341,$B16,'VS×ケイパビリティ関係'!$G$4:$G$341,U$5,'VS×ケイパビリティ関係'!$E$4:$E$341,"支援")&gt;0,"○",""))</f>
        <v/>
      </c>
      <c r="V16" s="18">
        <f>IF(COUNTIFS('VS×ケイパビリティ関係'!$F$4:$F$341,$B16,'VS×ケイパビリティ関係'!$G$4:$G$341,V$5,'VS×ケイパビリティ関係'!$E$4:$E$341,"主")&gt;0,"●",IF(COUNTIFS('VS×ケイパビリティ関係'!$F$4:$F$341,$B16,'VS×ケイパビリティ関係'!$G$4:$G$341,V$5,'VS×ケイパビリティ関係'!$E$4:$E$341,"支援")&gt;0,"○",""))</f>
        <v/>
      </c>
      <c r="W16" s="18">
        <f>IF(COUNTIFS('VS×ケイパビリティ関係'!$F$4:$F$341,$B16,'VS×ケイパビリティ関係'!$G$4:$G$341,W$5,'VS×ケイパビリティ関係'!$E$4:$E$341,"主")&gt;0,"●",IF(COUNTIFS('VS×ケイパビリティ関係'!$F$4:$F$341,$B16,'VS×ケイパビリティ関係'!$G$4:$G$341,W$5,'VS×ケイパビリティ関係'!$E$4:$E$341,"支援")&gt;0,"○",""))</f>
        <v/>
      </c>
      <c r="X16" s="18">
        <f>IF(COUNTIFS('VS×ケイパビリティ関係'!$F$4:$F$341,$B16,'VS×ケイパビリティ関係'!$G$4:$G$341,X$5,'VS×ケイパビリティ関係'!$E$4:$E$341,"主")&gt;0,"●",IF(COUNTIFS('VS×ケイパビリティ関係'!$F$4:$F$341,$B16,'VS×ケイパビリティ関係'!$G$4:$G$341,X$5,'VS×ケイパビリティ関係'!$E$4:$E$341,"支援")&gt;0,"○",""))</f>
        <v/>
      </c>
      <c r="Y16" s="18">
        <f>IF(COUNTIFS('VS×ケイパビリティ関係'!$F$4:$F$341,$B16,'VS×ケイパビリティ関係'!$G$4:$G$341,Y$5,'VS×ケイパビリティ関係'!$E$4:$E$341,"主")&gt;0,"●",IF(COUNTIFS('VS×ケイパビリティ関係'!$F$4:$F$341,$B16,'VS×ケイパビリティ関係'!$G$4:$G$341,Y$5,'VS×ケイパビリティ関係'!$E$4:$E$341,"支援")&gt;0,"○",""))</f>
        <v/>
      </c>
      <c r="Z16" s="18">
        <f>IF(COUNTIFS('VS×ケイパビリティ関係'!$F$4:$F$341,$B16,'VS×ケイパビリティ関係'!$G$4:$G$341,Z$5,'VS×ケイパビリティ関係'!$E$4:$E$341,"主")&gt;0,"●",IF(COUNTIFS('VS×ケイパビリティ関係'!$F$4:$F$341,$B16,'VS×ケイパビリティ関係'!$G$4:$G$341,Z$5,'VS×ケイパビリティ関係'!$E$4:$E$341,"支援")&gt;0,"○",""))</f>
        <v/>
      </c>
      <c r="AA16" s="18">
        <f>IF(COUNTIFS('VS×ケイパビリティ関係'!$F$4:$F$341,$B16,'VS×ケイパビリティ関係'!$G$4:$G$341,AA$5,'VS×ケイパビリティ関係'!$E$4:$E$341,"主")&gt;0,"●",IF(COUNTIFS('VS×ケイパビリティ関係'!$F$4:$F$341,$B16,'VS×ケイパビリティ関係'!$G$4:$G$341,AA$5,'VS×ケイパビリティ関係'!$E$4:$E$341,"支援")&gt;0,"○",""))</f>
        <v/>
      </c>
      <c r="AB16" s="18">
        <f>IF(COUNTIFS('VS×ケイパビリティ関係'!$F$4:$F$341,$B16,'VS×ケイパビリティ関係'!$G$4:$G$341,AB$5,'VS×ケイパビリティ関係'!$E$4:$E$341,"主")&gt;0,"●",IF(COUNTIFS('VS×ケイパビリティ関係'!$F$4:$F$341,$B16,'VS×ケイパビリティ関係'!$G$4:$G$341,AB$5,'VS×ケイパビリティ関係'!$E$4:$E$341,"支援")&gt;0,"○",""))</f>
        <v/>
      </c>
      <c r="AC16" s="18">
        <f>IF(COUNTIFS('VS×ケイパビリティ関係'!$F$4:$F$341,$B16,'VS×ケイパビリティ関係'!$G$4:$G$341,AC$5,'VS×ケイパビリティ関係'!$E$4:$E$341,"主")&gt;0,"●",IF(COUNTIFS('VS×ケイパビリティ関係'!$F$4:$F$341,$B16,'VS×ケイパビリティ関係'!$G$4:$G$341,AC$5,'VS×ケイパビリティ関係'!$E$4:$E$341,"支援")&gt;0,"○",""))</f>
        <v/>
      </c>
      <c r="AD16" s="18">
        <f>IF(COUNTIFS('VS×ケイパビリティ関係'!$F$4:$F$341,$B16,'VS×ケイパビリティ関係'!$G$4:$G$341,AD$5,'VS×ケイパビリティ関係'!$E$4:$E$341,"主")&gt;0,"●",IF(COUNTIFS('VS×ケイパビリティ関係'!$F$4:$F$341,$B16,'VS×ケイパビリティ関係'!$G$4:$G$341,AD$5,'VS×ケイパビリティ関係'!$E$4:$E$341,"支援")&gt;0,"○",""))</f>
        <v/>
      </c>
      <c r="AE16" s="18">
        <f>IF(COUNTIFS('VS×ケイパビリティ関係'!$F$4:$F$341,$B16,'VS×ケイパビリティ関係'!$G$4:$G$341,AE$5,'VS×ケイパビリティ関係'!$E$4:$E$341,"主")&gt;0,"●",IF(COUNTIFS('VS×ケイパビリティ関係'!$F$4:$F$341,$B16,'VS×ケイパビリティ関係'!$G$4:$G$341,AE$5,'VS×ケイパビリティ関係'!$E$4:$E$341,"支援")&gt;0,"○",""))</f>
        <v/>
      </c>
      <c r="AF16" s="18">
        <f>COUNTIF(D16:AE16,"●")</f>
        <v/>
      </c>
      <c r="AG16" s="18">
        <f>COUNTIF(D16:AE16,"○")</f>
        <v/>
      </c>
    </row>
    <row r="17">
      <c r="A17" s="42" t="n"/>
      <c r="B17" s="18" t="inlineStr">
        <is>
          <t>03-04</t>
        </is>
      </c>
      <c r="C17" s="20" t="inlineStr">
        <is>
          <t>利用・費用管理</t>
        </is>
      </c>
      <c r="D17" s="18">
        <f>IF(COUNTIFS('VS×ケイパビリティ関係'!$F$4:$F$341,$B17,'VS×ケイパビリティ関係'!$G$4:$G$341,D$5,'VS×ケイパビリティ関係'!$E$4:$E$341,"主")&gt;0,"●",IF(COUNTIFS('VS×ケイパビリティ関係'!$F$4:$F$341,$B17,'VS×ケイパビリティ関係'!$G$4:$G$341,D$5,'VS×ケイパビリティ関係'!$E$4:$E$341,"支援")&gt;0,"○",""))</f>
        <v/>
      </c>
      <c r="E17" s="18">
        <f>IF(COUNTIFS('VS×ケイパビリティ関係'!$F$4:$F$341,$B17,'VS×ケイパビリティ関係'!$G$4:$G$341,E$5,'VS×ケイパビリティ関係'!$E$4:$E$341,"主")&gt;0,"●",IF(COUNTIFS('VS×ケイパビリティ関係'!$F$4:$F$341,$B17,'VS×ケイパビリティ関係'!$G$4:$G$341,E$5,'VS×ケイパビリティ関係'!$E$4:$E$341,"支援")&gt;0,"○",""))</f>
        <v/>
      </c>
      <c r="F17" s="18">
        <f>IF(COUNTIFS('VS×ケイパビリティ関係'!$F$4:$F$341,$B17,'VS×ケイパビリティ関係'!$G$4:$G$341,F$5,'VS×ケイパビリティ関係'!$E$4:$E$341,"主")&gt;0,"●",IF(COUNTIFS('VS×ケイパビリティ関係'!$F$4:$F$341,$B17,'VS×ケイパビリティ関係'!$G$4:$G$341,F$5,'VS×ケイパビリティ関係'!$E$4:$E$341,"支援")&gt;0,"○",""))</f>
        <v/>
      </c>
      <c r="G17" s="18">
        <f>IF(COUNTIFS('VS×ケイパビリティ関係'!$F$4:$F$341,$B17,'VS×ケイパビリティ関係'!$G$4:$G$341,G$5,'VS×ケイパビリティ関係'!$E$4:$E$341,"主")&gt;0,"●",IF(COUNTIFS('VS×ケイパビリティ関係'!$F$4:$F$341,$B17,'VS×ケイパビリティ関係'!$G$4:$G$341,G$5,'VS×ケイパビリティ関係'!$E$4:$E$341,"支援")&gt;0,"○",""))</f>
        <v/>
      </c>
      <c r="H17" s="18">
        <f>IF(COUNTIFS('VS×ケイパビリティ関係'!$F$4:$F$341,$B17,'VS×ケイパビリティ関係'!$G$4:$G$341,H$5,'VS×ケイパビリティ関係'!$E$4:$E$341,"主")&gt;0,"●",IF(COUNTIFS('VS×ケイパビリティ関係'!$F$4:$F$341,$B17,'VS×ケイパビリティ関係'!$G$4:$G$341,H$5,'VS×ケイパビリティ関係'!$E$4:$E$341,"支援")&gt;0,"○",""))</f>
        <v/>
      </c>
      <c r="I17" s="18">
        <f>IF(COUNTIFS('VS×ケイパビリティ関係'!$F$4:$F$341,$B17,'VS×ケイパビリティ関係'!$G$4:$G$341,I$5,'VS×ケイパビリティ関係'!$E$4:$E$341,"主")&gt;0,"●",IF(COUNTIFS('VS×ケイパビリティ関係'!$F$4:$F$341,$B17,'VS×ケイパビリティ関係'!$G$4:$G$341,I$5,'VS×ケイパビリティ関係'!$E$4:$E$341,"支援")&gt;0,"○",""))</f>
        <v/>
      </c>
      <c r="J17" s="18">
        <f>IF(COUNTIFS('VS×ケイパビリティ関係'!$F$4:$F$341,$B17,'VS×ケイパビリティ関係'!$G$4:$G$341,J$5,'VS×ケイパビリティ関係'!$E$4:$E$341,"主")&gt;0,"●",IF(COUNTIFS('VS×ケイパビリティ関係'!$F$4:$F$341,$B17,'VS×ケイパビリティ関係'!$G$4:$G$341,J$5,'VS×ケイパビリティ関係'!$E$4:$E$341,"支援")&gt;0,"○",""))</f>
        <v/>
      </c>
      <c r="K17" s="18">
        <f>IF(COUNTIFS('VS×ケイパビリティ関係'!$F$4:$F$341,$B17,'VS×ケイパビリティ関係'!$G$4:$G$341,K$5,'VS×ケイパビリティ関係'!$E$4:$E$341,"主")&gt;0,"●",IF(COUNTIFS('VS×ケイパビリティ関係'!$F$4:$F$341,$B17,'VS×ケイパビリティ関係'!$G$4:$G$341,K$5,'VS×ケイパビリティ関係'!$E$4:$E$341,"支援")&gt;0,"○",""))</f>
        <v/>
      </c>
      <c r="L17" s="18">
        <f>IF(COUNTIFS('VS×ケイパビリティ関係'!$F$4:$F$341,$B17,'VS×ケイパビリティ関係'!$G$4:$G$341,L$5,'VS×ケイパビリティ関係'!$E$4:$E$341,"主")&gt;0,"●",IF(COUNTIFS('VS×ケイパビリティ関係'!$F$4:$F$341,$B17,'VS×ケイパビリティ関係'!$G$4:$G$341,L$5,'VS×ケイパビリティ関係'!$E$4:$E$341,"支援")&gt;0,"○",""))</f>
        <v/>
      </c>
      <c r="M17" s="18">
        <f>IF(COUNTIFS('VS×ケイパビリティ関係'!$F$4:$F$341,$B17,'VS×ケイパビリティ関係'!$G$4:$G$341,M$5,'VS×ケイパビリティ関係'!$E$4:$E$341,"主")&gt;0,"●",IF(COUNTIFS('VS×ケイパビリティ関係'!$F$4:$F$341,$B17,'VS×ケイパビリティ関係'!$G$4:$G$341,M$5,'VS×ケイパビリティ関係'!$E$4:$E$341,"支援")&gt;0,"○",""))</f>
        <v/>
      </c>
      <c r="N17" s="18">
        <f>IF(COUNTIFS('VS×ケイパビリティ関係'!$F$4:$F$341,$B17,'VS×ケイパビリティ関係'!$G$4:$G$341,N$5,'VS×ケイパビリティ関係'!$E$4:$E$341,"主")&gt;0,"●",IF(COUNTIFS('VS×ケイパビリティ関係'!$F$4:$F$341,$B17,'VS×ケイパビリティ関係'!$G$4:$G$341,N$5,'VS×ケイパビリティ関係'!$E$4:$E$341,"支援")&gt;0,"○",""))</f>
        <v/>
      </c>
      <c r="O17" s="18">
        <f>IF(COUNTIFS('VS×ケイパビリティ関係'!$F$4:$F$341,$B17,'VS×ケイパビリティ関係'!$G$4:$G$341,O$5,'VS×ケイパビリティ関係'!$E$4:$E$341,"主")&gt;0,"●",IF(COUNTIFS('VS×ケイパビリティ関係'!$F$4:$F$341,$B17,'VS×ケイパビリティ関係'!$G$4:$G$341,O$5,'VS×ケイパビリティ関係'!$E$4:$E$341,"支援")&gt;0,"○",""))</f>
        <v/>
      </c>
      <c r="P17" s="18">
        <f>IF(COUNTIFS('VS×ケイパビリティ関係'!$F$4:$F$341,$B17,'VS×ケイパビリティ関係'!$G$4:$G$341,P$5,'VS×ケイパビリティ関係'!$E$4:$E$341,"主")&gt;0,"●",IF(COUNTIFS('VS×ケイパビリティ関係'!$F$4:$F$341,$B17,'VS×ケイパビリティ関係'!$G$4:$G$341,P$5,'VS×ケイパビリティ関係'!$E$4:$E$341,"支援")&gt;0,"○",""))</f>
        <v/>
      </c>
      <c r="Q17" s="18">
        <f>IF(COUNTIFS('VS×ケイパビリティ関係'!$F$4:$F$341,$B17,'VS×ケイパビリティ関係'!$G$4:$G$341,Q$5,'VS×ケイパビリティ関係'!$E$4:$E$341,"主")&gt;0,"●",IF(COUNTIFS('VS×ケイパビリティ関係'!$F$4:$F$341,$B17,'VS×ケイパビリティ関係'!$G$4:$G$341,Q$5,'VS×ケイパビリティ関係'!$E$4:$E$341,"支援")&gt;0,"○",""))</f>
        <v/>
      </c>
      <c r="R17" s="18">
        <f>IF(COUNTIFS('VS×ケイパビリティ関係'!$F$4:$F$341,$B17,'VS×ケイパビリティ関係'!$G$4:$G$341,R$5,'VS×ケイパビリティ関係'!$E$4:$E$341,"主")&gt;0,"●",IF(COUNTIFS('VS×ケイパビリティ関係'!$F$4:$F$341,$B17,'VS×ケイパビリティ関係'!$G$4:$G$341,R$5,'VS×ケイパビリティ関係'!$E$4:$E$341,"支援")&gt;0,"○",""))</f>
        <v/>
      </c>
      <c r="S17" s="18">
        <f>IF(COUNTIFS('VS×ケイパビリティ関係'!$F$4:$F$341,$B17,'VS×ケイパビリティ関係'!$G$4:$G$341,S$5,'VS×ケイパビリティ関係'!$E$4:$E$341,"主")&gt;0,"●",IF(COUNTIFS('VS×ケイパビリティ関係'!$F$4:$F$341,$B17,'VS×ケイパビリティ関係'!$G$4:$G$341,S$5,'VS×ケイパビリティ関係'!$E$4:$E$341,"支援")&gt;0,"○",""))</f>
        <v/>
      </c>
      <c r="T17" s="18">
        <f>IF(COUNTIFS('VS×ケイパビリティ関係'!$F$4:$F$341,$B17,'VS×ケイパビリティ関係'!$G$4:$G$341,T$5,'VS×ケイパビリティ関係'!$E$4:$E$341,"主")&gt;0,"●",IF(COUNTIFS('VS×ケイパビリティ関係'!$F$4:$F$341,$B17,'VS×ケイパビリティ関係'!$G$4:$G$341,T$5,'VS×ケイパビリティ関係'!$E$4:$E$341,"支援")&gt;0,"○",""))</f>
        <v/>
      </c>
      <c r="U17" s="18">
        <f>IF(COUNTIFS('VS×ケイパビリティ関係'!$F$4:$F$341,$B17,'VS×ケイパビリティ関係'!$G$4:$G$341,U$5,'VS×ケイパビリティ関係'!$E$4:$E$341,"主")&gt;0,"●",IF(COUNTIFS('VS×ケイパビリティ関係'!$F$4:$F$341,$B17,'VS×ケイパビリティ関係'!$G$4:$G$341,U$5,'VS×ケイパビリティ関係'!$E$4:$E$341,"支援")&gt;0,"○",""))</f>
        <v/>
      </c>
      <c r="V17" s="18">
        <f>IF(COUNTIFS('VS×ケイパビリティ関係'!$F$4:$F$341,$B17,'VS×ケイパビリティ関係'!$G$4:$G$341,V$5,'VS×ケイパビリティ関係'!$E$4:$E$341,"主")&gt;0,"●",IF(COUNTIFS('VS×ケイパビリティ関係'!$F$4:$F$341,$B17,'VS×ケイパビリティ関係'!$G$4:$G$341,V$5,'VS×ケイパビリティ関係'!$E$4:$E$341,"支援")&gt;0,"○",""))</f>
        <v/>
      </c>
      <c r="W17" s="18">
        <f>IF(COUNTIFS('VS×ケイパビリティ関係'!$F$4:$F$341,$B17,'VS×ケイパビリティ関係'!$G$4:$G$341,W$5,'VS×ケイパビリティ関係'!$E$4:$E$341,"主")&gt;0,"●",IF(COUNTIFS('VS×ケイパビリティ関係'!$F$4:$F$341,$B17,'VS×ケイパビリティ関係'!$G$4:$G$341,W$5,'VS×ケイパビリティ関係'!$E$4:$E$341,"支援")&gt;0,"○",""))</f>
        <v/>
      </c>
      <c r="X17" s="18">
        <f>IF(COUNTIFS('VS×ケイパビリティ関係'!$F$4:$F$341,$B17,'VS×ケイパビリティ関係'!$G$4:$G$341,X$5,'VS×ケイパビリティ関係'!$E$4:$E$341,"主")&gt;0,"●",IF(COUNTIFS('VS×ケイパビリティ関係'!$F$4:$F$341,$B17,'VS×ケイパビリティ関係'!$G$4:$G$341,X$5,'VS×ケイパビリティ関係'!$E$4:$E$341,"支援")&gt;0,"○",""))</f>
        <v/>
      </c>
      <c r="Y17" s="18">
        <f>IF(COUNTIFS('VS×ケイパビリティ関係'!$F$4:$F$341,$B17,'VS×ケイパビリティ関係'!$G$4:$G$341,Y$5,'VS×ケイパビリティ関係'!$E$4:$E$341,"主")&gt;0,"●",IF(COUNTIFS('VS×ケイパビリティ関係'!$F$4:$F$341,$B17,'VS×ケイパビリティ関係'!$G$4:$G$341,Y$5,'VS×ケイパビリティ関係'!$E$4:$E$341,"支援")&gt;0,"○",""))</f>
        <v/>
      </c>
      <c r="Z17" s="18">
        <f>IF(COUNTIFS('VS×ケイパビリティ関係'!$F$4:$F$341,$B17,'VS×ケイパビリティ関係'!$G$4:$G$341,Z$5,'VS×ケイパビリティ関係'!$E$4:$E$341,"主")&gt;0,"●",IF(COUNTIFS('VS×ケイパビリティ関係'!$F$4:$F$341,$B17,'VS×ケイパビリティ関係'!$G$4:$G$341,Z$5,'VS×ケイパビリティ関係'!$E$4:$E$341,"支援")&gt;0,"○",""))</f>
        <v/>
      </c>
      <c r="AA17" s="18">
        <f>IF(COUNTIFS('VS×ケイパビリティ関係'!$F$4:$F$341,$B17,'VS×ケイパビリティ関係'!$G$4:$G$341,AA$5,'VS×ケイパビリティ関係'!$E$4:$E$341,"主")&gt;0,"●",IF(COUNTIFS('VS×ケイパビリティ関係'!$F$4:$F$341,$B17,'VS×ケイパビリティ関係'!$G$4:$G$341,AA$5,'VS×ケイパビリティ関係'!$E$4:$E$341,"支援")&gt;0,"○",""))</f>
        <v/>
      </c>
      <c r="AB17" s="18">
        <f>IF(COUNTIFS('VS×ケイパビリティ関係'!$F$4:$F$341,$B17,'VS×ケイパビリティ関係'!$G$4:$G$341,AB$5,'VS×ケイパビリティ関係'!$E$4:$E$341,"主")&gt;0,"●",IF(COUNTIFS('VS×ケイパビリティ関係'!$F$4:$F$341,$B17,'VS×ケイパビリティ関係'!$G$4:$G$341,AB$5,'VS×ケイパビリティ関係'!$E$4:$E$341,"支援")&gt;0,"○",""))</f>
        <v/>
      </c>
      <c r="AC17" s="18">
        <f>IF(COUNTIFS('VS×ケイパビリティ関係'!$F$4:$F$341,$B17,'VS×ケイパビリティ関係'!$G$4:$G$341,AC$5,'VS×ケイパビリティ関係'!$E$4:$E$341,"主")&gt;0,"●",IF(COUNTIFS('VS×ケイパビリティ関係'!$F$4:$F$341,$B17,'VS×ケイパビリティ関係'!$G$4:$G$341,AC$5,'VS×ケイパビリティ関係'!$E$4:$E$341,"支援")&gt;0,"○",""))</f>
        <v/>
      </c>
      <c r="AD17" s="18">
        <f>IF(COUNTIFS('VS×ケイパビリティ関係'!$F$4:$F$341,$B17,'VS×ケイパビリティ関係'!$G$4:$G$341,AD$5,'VS×ケイパビリティ関係'!$E$4:$E$341,"主")&gt;0,"●",IF(COUNTIFS('VS×ケイパビリティ関係'!$F$4:$F$341,$B17,'VS×ケイパビリティ関係'!$G$4:$G$341,AD$5,'VS×ケイパビリティ関係'!$E$4:$E$341,"支援")&gt;0,"○",""))</f>
        <v/>
      </c>
      <c r="AE17" s="18">
        <f>IF(COUNTIFS('VS×ケイパビリティ関係'!$F$4:$F$341,$B17,'VS×ケイパビリティ関係'!$G$4:$G$341,AE$5,'VS×ケイパビリティ関係'!$E$4:$E$341,"主")&gt;0,"●",IF(COUNTIFS('VS×ケイパビリティ関係'!$F$4:$F$341,$B17,'VS×ケイパビリティ関係'!$G$4:$G$341,AE$5,'VS×ケイパビリティ関係'!$E$4:$E$341,"支援")&gt;0,"○",""))</f>
        <v/>
      </c>
      <c r="AF17" s="18">
        <f>COUNTIF(D17:AE17,"●")</f>
        <v/>
      </c>
      <c r="AG17" s="18">
        <f>COUNTIF(D17:AE17,"○")</f>
        <v/>
      </c>
    </row>
    <row r="18">
      <c r="A18" s="42" t="inlineStr">
        <is>
          <t>04 検知・是正（D2C）</t>
        </is>
      </c>
      <c r="B18" s="18" t="inlineStr">
        <is>
          <t>04-01</t>
        </is>
      </c>
      <c r="C18" s="20" t="inlineStr">
        <is>
          <t>監視・検知</t>
        </is>
      </c>
      <c r="D18" s="18">
        <f>IF(COUNTIFS('VS×ケイパビリティ関係'!$F$4:$F$341,$B18,'VS×ケイパビリティ関係'!$G$4:$G$341,D$5,'VS×ケイパビリティ関係'!$E$4:$E$341,"主")&gt;0,"●",IF(COUNTIFS('VS×ケイパビリティ関係'!$F$4:$F$341,$B18,'VS×ケイパビリティ関係'!$G$4:$G$341,D$5,'VS×ケイパビリティ関係'!$E$4:$E$341,"支援")&gt;0,"○",""))</f>
        <v/>
      </c>
      <c r="E18" s="18">
        <f>IF(COUNTIFS('VS×ケイパビリティ関係'!$F$4:$F$341,$B18,'VS×ケイパビリティ関係'!$G$4:$G$341,E$5,'VS×ケイパビリティ関係'!$E$4:$E$341,"主")&gt;0,"●",IF(COUNTIFS('VS×ケイパビリティ関係'!$F$4:$F$341,$B18,'VS×ケイパビリティ関係'!$G$4:$G$341,E$5,'VS×ケイパビリティ関係'!$E$4:$E$341,"支援")&gt;0,"○",""))</f>
        <v/>
      </c>
      <c r="F18" s="18">
        <f>IF(COUNTIFS('VS×ケイパビリティ関係'!$F$4:$F$341,$B18,'VS×ケイパビリティ関係'!$G$4:$G$341,F$5,'VS×ケイパビリティ関係'!$E$4:$E$341,"主")&gt;0,"●",IF(COUNTIFS('VS×ケイパビリティ関係'!$F$4:$F$341,$B18,'VS×ケイパビリティ関係'!$G$4:$G$341,F$5,'VS×ケイパビリティ関係'!$E$4:$E$341,"支援")&gt;0,"○",""))</f>
        <v/>
      </c>
      <c r="G18" s="18">
        <f>IF(COUNTIFS('VS×ケイパビリティ関係'!$F$4:$F$341,$B18,'VS×ケイパビリティ関係'!$G$4:$G$341,G$5,'VS×ケイパビリティ関係'!$E$4:$E$341,"主")&gt;0,"●",IF(COUNTIFS('VS×ケイパビリティ関係'!$F$4:$F$341,$B18,'VS×ケイパビリティ関係'!$G$4:$G$341,G$5,'VS×ケイパビリティ関係'!$E$4:$E$341,"支援")&gt;0,"○",""))</f>
        <v/>
      </c>
      <c r="H18" s="18">
        <f>IF(COUNTIFS('VS×ケイパビリティ関係'!$F$4:$F$341,$B18,'VS×ケイパビリティ関係'!$G$4:$G$341,H$5,'VS×ケイパビリティ関係'!$E$4:$E$341,"主")&gt;0,"●",IF(COUNTIFS('VS×ケイパビリティ関係'!$F$4:$F$341,$B18,'VS×ケイパビリティ関係'!$G$4:$G$341,H$5,'VS×ケイパビリティ関係'!$E$4:$E$341,"支援")&gt;0,"○",""))</f>
        <v/>
      </c>
      <c r="I18" s="18">
        <f>IF(COUNTIFS('VS×ケイパビリティ関係'!$F$4:$F$341,$B18,'VS×ケイパビリティ関係'!$G$4:$G$341,I$5,'VS×ケイパビリティ関係'!$E$4:$E$341,"主")&gt;0,"●",IF(COUNTIFS('VS×ケイパビリティ関係'!$F$4:$F$341,$B18,'VS×ケイパビリティ関係'!$G$4:$G$341,I$5,'VS×ケイパビリティ関係'!$E$4:$E$341,"支援")&gt;0,"○",""))</f>
        <v/>
      </c>
      <c r="J18" s="18">
        <f>IF(COUNTIFS('VS×ケイパビリティ関係'!$F$4:$F$341,$B18,'VS×ケイパビリティ関係'!$G$4:$G$341,J$5,'VS×ケイパビリティ関係'!$E$4:$E$341,"主")&gt;0,"●",IF(COUNTIFS('VS×ケイパビリティ関係'!$F$4:$F$341,$B18,'VS×ケイパビリティ関係'!$G$4:$G$341,J$5,'VS×ケイパビリティ関係'!$E$4:$E$341,"支援")&gt;0,"○",""))</f>
        <v/>
      </c>
      <c r="K18" s="18">
        <f>IF(COUNTIFS('VS×ケイパビリティ関係'!$F$4:$F$341,$B18,'VS×ケイパビリティ関係'!$G$4:$G$341,K$5,'VS×ケイパビリティ関係'!$E$4:$E$341,"主")&gt;0,"●",IF(COUNTIFS('VS×ケイパビリティ関係'!$F$4:$F$341,$B18,'VS×ケイパビリティ関係'!$G$4:$G$341,K$5,'VS×ケイパビリティ関係'!$E$4:$E$341,"支援")&gt;0,"○",""))</f>
        <v/>
      </c>
      <c r="L18" s="18">
        <f>IF(COUNTIFS('VS×ケイパビリティ関係'!$F$4:$F$341,$B18,'VS×ケイパビリティ関係'!$G$4:$G$341,L$5,'VS×ケイパビリティ関係'!$E$4:$E$341,"主")&gt;0,"●",IF(COUNTIFS('VS×ケイパビリティ関係'!$F$4:$F$341,$B18,'VS×ケイパビリティ関係'!$G$4:$G$341,L$5,'VS×ケイパビリティ関係'!$E$4:$E$341,"支援")&gt;0,"○",""))</f>
        <v/>
      </c>
      <c r="M18" s="18">
        <f>IF(COUNTIFS('VS×ケイパビリティ関係'!$F$4:$F$341,$B18,'VS×ケイパビリティ関係'!$G$4:$G$341,M$5,'VS×ケイパビリティ関係'!$E$4:$E$341,"主")&gt;0,"●",IF(COUNTIFS('VS×ケイパビリティ関係'!$F$4:$F$341,$B18,'VS×ケイパビリティ関係'!$G$4:$G$341,M$5,'VS×ケイパビリティ関係'!$E$4:$E$341,"支援")&gt;0,"○",""))</f>
        <v/>
      </c>
      <c r="N18" s="18">
        <f>IF(COUNTIFS('VS×ケイパビリティ関係'!$F$4:$F$341,$B18,'VS×ケイパビリティ関係'!$G$4:$G$341,N$5,'VS×ケイパビリティ関係'!$E$4:$E$341,"主")&gt;0,"●",IF(COUNTIFS('VS×ケイパビリティ関係'!$F$4:$F$341,$B18,'VS×ケイパビリティ関係'!$G$4:$G$341,N$5,'VS×ケイパビリティ関係'!$E$4:$E$341,"支援")&gt;0,"○",""))</f>
        <v/>
      </c>
      <c r="O18" s="18">
        <f>IF(COUNTIFS('VS×ケイパビリティ関係'!$F$4:$F$341,$B18,'VS×ケイパビリティ関係'!$G$4:$G$341,O$5,'VS×ケイパビリティ関係'!$E$4:$E$341,"主")&gt;0,"●",IF(COUNTIFS('VS×ケイパビリティ関係'!$F$4:$F$341,$B18,'VS×ケイパビリティ関係'!$G$4:$G$341,O$5,'VS×ケイパビリティ関係'!$E$4:$E$341,"支援")&gt;0,"○",""))</f>
        <v/>
      </c>
      <c r="P18" s="18">
        <f>IF(COUNTIFS('VS×ケイパビリティ関係'!$F$4:$F$341,$B18,'VS×ケイパビリティ関係'!$G$4:$G$341,P$5,'VS×ケイパビリティ関係'!$E$4:$E$341,"主")&gt;0,"●",IF(COUNTIFS('VS×ケイパビリティ関係'!$F$4:$F$341,$B18,'VS×ケイパビリティ関係'!$G$4:$G$341,P$5,'VS×ケイパビリティ関係'!$E$4:$E$341,"支援")&gt;0,"○",""))</f>
        <v/>
      </c>
      <c r="Q18" s="18">
        <f>IF(COUNTIFS('VS×ケイパビリティ関係'!$F$4:$F$341,$B18,'VS×ケイパビリティ関係'!$G$4:$G$341,Q$5,'VS×ケイパビリティ関係'!$E$4:$E$341,"主")&gt;0,"●",IF(COUNTIFS('VS×ケイパビリティ関係'!$F$4:$F$341,$B18,'VS×ケイパビリティ関係'!$G$4:$G$341,Q$5,'VS×ケイパビリティ関係'!$E$4:$E$341,"支援")&gt;0,"○",""))</f>
        <v/>
      </c>
      <c r="R18" s="18">
        <f>IF(COUNTIFS('VS×ケイパビリティ関係'!$F$4:$F$341,$B18,'VS×ケイパビリティ関係'!$G$4:$G$341,R$5,'VS×ケイパビリティ関係'!$E$4:$E$341,"主")&gt;0,"●",IF(COUNTIFS('VS×ケイパビリティ関係'!$F$4:$F$341,$B18,'VS×ケイパビリティ関係'!$G$4:$G$341,R$5,'VS×ケイパビリティ関係'!$E$4:$E$341,"支援")&gt;0,"○",""))</f>
        <v/>
      </c>
      <c r="S18" s="18">
        <f>IF(COUNTIFS('VS×ケイパビリティ関係'!$F$4:$F$341,$B18,'VS×ケイパビリティ関係'!$G$4:$G$341,S$5,'VS×ケイパビリティ関係'!$E$4:$E$341,"主")&gt;0,"●",IF(COUNTIFS('VS×ケイパビリティ関係'!$F$4:$F$341,$B18,'VS×ケイパビリティ関係'!$G$4:$G$341,S$5,'VS×ケイパビリティ関係'!$E$4:$E$341,"支援")&gt;0,"○",""))</f>
        <v/>
      </c>
      <c r="T18" s="18">
        <f>IF(COUNTIFS('VS×ケイパビリティ関係'!$F$4:$F$341,$B18,'VS×ケイパビリティ関係'!$G$4:$G$341,T$5,'VS×ケイパビリティ関係'!$E$4:$E$341,"主")&gt;0,"●",IF(COUNTIFS('VS×ケイパビリティ関係'!$F$4:$F$341,$B18,'VS×ケイパビリティ関係'!$G$4:$G$341,T$5,'VS×ケイパビリティ関係'!$E$4:$E$341,"支援")&gt;0,"○",""))</f>
        <v/>
      </c>
      <c r="U18" s="18">
        <f>IF(COUNTIFS('VS×ケイパビリティ関係'!$F$4:$F$341,$B18,'VS×ケイパビリティ関係'!$G$4:$G$341,U$5,'VS×ケイパビリティ関係'!$E$4:$E$341,"主")&gt;0,"●",IF(COUNTIFS('VS×ケイパビリティ関係'!$F$4:$F$341,$B18,'VS×ケイパビリティ関係'!$G$4:$G$341,U$5,'VS×ケイパビリティ関係'!$E$4:$E$341,"支援")&gt;0,"○",""))</f>
        <v/>
      </c>
      <c r="V18" s="18">
        <f>IF(COUNTIFS('VS×ケイパビリティ関係'!$F$4:$F$341,$B18,'VS×ケイパビリティ関係'!$G$4:$G$341,V$5,'VS×ケイパビリティ関係'!$E$4:$E$341,"主")&gt;0,"●",IF(COUNTIFS('VS×ケイパビリティ関係'!$F$4:$F$341,$B18,'VS×ケイパビリティ関係'!$G$4:$G$341,V$5,'VS×ケイパビリティ関係'!$E$4:$E$341,"支援")&gt;0,"○",""))</f>
        <v/>
      </c>
      <c r="W18" s="18">
        <f>IF(COUNTIFS('VS×ケイパビリティ関係'!$F$4:$F$341,$B18,'VS×ケイパビリティ関係'!$G$4:$G$341,W$5,'VS×ケイパビリティ関係'!$E$4:$E$341,"主")&gt;0,"●",IF(COUNTIFS('VS×ケイパビリティ関係'!$F$4:$F$341,$B18,'VS×ケイパビリティ関係'!$G$4:$G$341,W$5,'VS×ケイパビリティ関係'!$E$4:$E$341,"支援")&gt;0,"○",""))</f>
        <v/>
      </c>
      <c r="X18" s="18">
        <f>IF(COUNTIFS('VS×ケイパビリティ関係'!$F$4:$F$341,$B18,'VS×ケイパビリティ関係'!$G$4:$G$341,X$5,'VS×ケイパビリティ関係'!$E$4:$E$341,"主")&gt;0,"●",IF(COUNTIFS('VS×ケイパビリティ関係'!$F$4:$F$341,$B18,'VS×ケイパビリティ関係'!$G$4:$G$341,X$5,'VS×ケイパビリティ関係'!$E$4:$E$341,"支援")&gt;0,"○",""))</f>
        <v/>
      </c>
      <c r="Y18" s="18">
        <f>IF(COUNTIFS('VS×ケイパビリティ関係'!$F$4:$F$341,$B18,'VS×ケイパビリティ関係'!$G$4:$G$341,Y$5,'VS×ケイパビリティ関係'!$E$4:$E$341,"主")&gt;0,"●",IF(COUNTIFS('VS×ケイパビリティ関係'!$F$4:$F$341,$B18,'VS×ケイパビリティ関係'!$G$4:$G$341,Y$5,'VS×ケイパビリティ関係'!$E$4:$E$341,"支援")&gt;0,"○",""))</f>
        <v/>
      </c>
      <c r="Z18" s="18">
        <f>IF(COUNTIFS('VS×ケイパビリティ関係'!$F$4:$F$341,$B18,'VS×ケイパビリティ関係'!$G$4:$G$341,Z$5,'VS×ケイパビリティ関係'!$E$4:$E$341,"主")&gt;0,"●",IF(COUNTIFS('VS×ケイパビリティ関係'!$F$4:$F$341,$B18,'VS×ケイパビリティ関係'!$G$4:$G$341,Z$5,'VS×ケイパビリティ関係'!$E$4:$E$341,"支援")&gt;0,"○",""))</f>
        <v/>
      </c>
      <c r="AA18" s="18">
        <f>IF(COUNTIFS('VS×ケイパビリティ関係'!$F$4:$F$341,$B18,'VS×ケイパビリティ関係'!$G$4:$G$341,AA$5,'VS×ケイパビリティ関係'!$E$4:$E$341,"主")&gt;0,"●",IF(COUNTIFS('VS×ケイパビリティ関係'!$F$4:$F$341,$B18,'VS×ケイパビリティ関係'!$G$4:$G$341,AA$5,'VS×ケイパビリティ関係'!$E$4:$E$341,"支援")&gt;0,"○",""))</f>
        <v/>
      </c>
      <c r="AB18" s="18">
        <f>IF(COUNTIFS('VS×ケイパビリティ関係'!$F$4:$F$341,$B18,'VS×ケイパビリティ関係'!$G$4:$G$341,AB$5,'VS×ケイパビリティ関係'!$E$4:$E$341,"主")&gt;0,"●",IF(COUNTIFS('VS×ケイパビリティ関係'!$F$4:$F$341,$B18,'VS×ケイパビリティ関係'!$G$4:$G$341,AB$5,'VS×ケイパビリティ関係'!$E$4:$E$341,"支援")&gt;0,"○",""))</f>
        <v/>
      </c>
      <c r="AC18" s="18">
        <f>IF(COUNTIFS('VS×ケイパビリティ関係'!$F$4:$F$341,$B18,'VS×ケイパビリティ関係'!$G$4:$G$341,AC$5,'VS×ケイパビリティ関係'!$E$4:$E$341,"主")&gt;0,"●",IF(COUNTIFS('VS×ケイパビリティ関係'!$F$4:$F$341,$B18,'VS×ケイパビリティ関係'!$G$4:$G$341,AC$5,'VS×ケイパビリティ関係'!$E$4:$E$341,"支援")&gt;0,"○",""))</f>
        <v/>
      </c>
      <c r="AD18" s="18">
        <f>IF(COUNTIFS('VS×ケイパビリティ関係'!$F$4:$F$341,$B18,'VS×ケイパビリティ関係'!$G$4:$G$341,AD$5,'VS×ケイパビリティ関係'!$E$4:$E$341,"主")&gt;0,"●",IF(COUNTIFS('VS×ケイパビリティ関係'!$F$4:$F$341,$B18,'VS×ケイパビリティ関係'!$G$4:$G$341,AD$5,'VS×ケイパビリティ関係'!$E$4:$E$341,"支援")&gt;0,"○",""))</f>
        <v/>
      </c>
      <c r="AE18" s="18">
        <f>IF(COUNTIFS('VS×ケイパビリティ関係'!$F$4:$F$341,$B18,'VS×ケイパビリティ関係'!$G$4:$G$341,AE$5,'VS×ケイパビリティ関係'!$E$4:$E$341,"主")&gt;0,"●",IF(COUNTIFS('VS×ケイパビリティ関係'!$F$4:$F$341,$B18,'VS×ケイパビリティ関係'!$G$4:$G$341,AE$5,'VS×ケイパビリティ関係'!$E$4:$E$341,"支援")&gt;0,"○",""))</f>
        <v/>
      </c>
      <c r="AF18" s="18">
        <f>COUNTIF(D18:AE18,"●")</f>
        <v/>
      </c>
      <c r="AG18" s="18">
        <f>COUNTIF(D18:AE18,"○")</f>
        <v/>
      </c>
    </row>
    <row r="19">
      <c r="A19" s="42" t="n"/>
      <c r="B19" s="18" t="inlineStr">
        <is>
          <t>04-02</t>
        </is>
      </c>
      <c r="C19" s="20" t="inlineStr">
        <is>
          <t>インシデント対応</t>
        </is>
      </c>
      <c r="D19" s="18">
        <f>IF(COUNTIFS('VS×ケイパビリティ関係'!$F$4:$F$341,$B19,'VS×ケイパビリティ関係'!$G$4:$G$341,D$5,'VS×ケイパビリティ関係'!$E$4:$E$341,"主")&gt;0,"●",IF(COUNTIFS('VS×ケイパビリティ関係'!$F$4:$F$341,$B19,'VS×ケイパビリティ関係'!$G$4:$G$341,D$5,'VS×ケイパビリティ関係'!$E$4:$E$341,"支援")&gt;0,"○",""))</f>
        <v/>
      </c>
      <c r="E19" s="18">
        <f>IF(COUNTIFS('VS×ケイパビリティ関係'!$F$4:$F$341,$B19,'VS×ケイパビリティ関係'!$G$4:$G$341,E$5,'VS×ケイパビリティ関係'!$E$4:$E$341,"主")&gt;0,"●",IF(COUNTIFS('VS×ケイパビリティ関係'!$F$4:$F$341,$B19,'VS×ケイパビリティ関係'!$G$4:$G$341,E$5,'VS×ケイパビリティ関係'!$E$4:$E$341,"支援")&gt;0,"○",""))</f>
        <v/>
      </c>
      <c r="F19" s="18">
        <f>IF(COUNTIFS('VS×ケイパビリティ関係'!$F$4:$F$341,$B19,'VS×ケイパビリティ関係'!$G$4:$G$341,F$5,'VS×ケイパビリティ関係'!$E$4:$E$341,"主")&gt;0,"●",IF(COUNTIFS('VS×ケイパビリティ関係'!$F$4:$F$341,$B19,'VS×ケイパビリティ関係'!$G$4:$G$341,F$5,'VS×ケイパビリティ関係'!$E$4:$E$341,"支援")&gt;0,"○",""))</f>
        <v/>
      </c>
      <c r="G19" s="18">
        <f>IF(COUNTIFS('VS×ケイパビリティ関係'!$F$4:$F$341,$B19,'VS×ケイパビリティ関係'!$G$4:$G$341,G$5,'VS×ケイパビリティ関係'!$E$4:$E$341,"主")&gt;0,"●",IF(COUNTIFS('VS×ケイパビリティ関係'!$F$4:$F$341,$B19,'VS×ケイパビリティ関係'!$G$4:$G$341,G$5,'VS×ケイパビリティ関係'!$E$4:$E$341,"支援")&gt;0,"○",""))</f>
        <v/>
      </c>
      <c r="H19" s="18">
        <f>IF(COUNTIFS('VS×ケイパビリティ関係'!$F$4:$F$341,$B19,'VS×ケイパビリティ関係'!$G$4:$G$341,H$5,'VS×ケイパビリティ関係'!$E$4:$E$341,"主")&gt;0,"●",IF(COUNTIFS('VS×ケイパビリティ関係'!$F$4:$F$341,$B19,'VS×ケイパビリティ関係'!$G$4:$G$341,H$5,'VS×ケイパビリティ関係'!$E$4:$E$341,"支援")&gt;0,"○",""))</f>
        <v/>
      </c>
      <c r="I19" s="18">
        <f>IF(COUNTIFS('VS×ケイパビリティ関係'!$F$4:$F$341,$B19,'VS×ケイパビリティ関係'!$G$4:$G$341,I$5,'VS×ケイパビリティ関係'!$E$4:$E$341,"主")&gt;0,"●",IF(COUNTIFS('VS×ケイパビリティ関係'!$F$4:$F$341,$B19,'VS×ケイパビリティ関係'!$G$4:$G$341,I$5,'VS×ケイパビリティ関係'!$E$4:$E$341,"支援")&gt;0,"○",""))</f>
        <v/>
      </c>
      <c r="J19" s="18">
        <f>IF(COUNTIFS('VS×ケイパビリティ関係'!$F$4:$F$341,$B19,'VS×ケイパビリティ関係'!$G$4:$G$341,J$5,'VS×ケイパビリティ関係'!$E$4:$E$341,"主")&gt;0,"●",IF(COUNTIFS('VS×ケイパビリティ関係'!$F$4:$F$341,$B19,'VS×ケイパビリティ関係'!$G$4:$G$341,J$5,'VS×ケイパビリティ関係'!$E$4:$E$341,"支援")&gt;0,"○",""))</f>
        <v/>
      </c>
      <c r="K19" s="18">
        <f>IF(COUNTIFS('VS×ケイパビリティ関係'!$F$4:$F$341,$B19,'VS×ケイパビリティ関係'!$G$4:$G$341,K$5,'VS×ケイパビリティ関係'!$E$4:$E$341,"主")&gt;0,"●",IF(COUNTIFS('VS×ケイパビリティ関係'!$F$4:$F$341,$B19,'VS×ケイパビリティ関係'!$G$4:$G$341,K$5,'VS×ケイパビリティ関係'!$E$4:$E$341,"支援")&gt;0,"○",""))</f>
        <v/>
      </c>
      <c r="L19" s="18">
        <f>IF(COUNTIFS('VS×ケイパビリティ関係'!$F$4:$F$341,$B19,'VS×ケイパビリティ関係'!$G$4:$G$341,L$5,'VS×ケイパビリティ関係'!$E$4:$E$341,"主")&gt;0,"●",IF(COUNTIFS('VS×ケイパビリティ関係'!$F$4:$F$341,$B19,'VS×ケイパビリティ関係'!$G$4:$G$341,L$5,'VS×ケイパビリティ関係'!$E$4:$E$341,"支援")&gt;0,"○",""))</f>
        <v/>
      </c>
      <c r="M19" s="18">
        <f>IF(COUNTIFS('VS×ケイパビリティ関係'!$F$4:$F$341,$B19,'VS×ケイパビリティ関係'!$G$4:$G$341,M$5,'VS×ケイパビリティ関係'!$E$4:$E$341,"主")&gt;0,"●",IF(COUNTIFS('VS×ケイパビリティ関係'!$F$4:$F$341,$B19,'VS×ケイパビリティ関係'!$G$4:$G$341,M$5,'VS×ケイパビリティ関係'!$E$4:$E$341,"支援")&gt;0,"○",""))</f>
        <v/>
      </c>
      <c r="N19" s="18">
        <f>IF(COUNTIFS('VS×ケイパビリティ関係'!$F$4:$F$341,$B19,'VS×ケイパビリティ関係'!$G$4:$G$341,N$5,'VS×ケイパビリティ関係'!$E$4:$E$341,"主")&gt;0,"●",IF(COUNTIFS('VS×ケイパビリティ関係'!$F$4:$F$341,$B19,'VS×ケイパビリティ関係'!$G$4:$G$341,N$5,'VS×ケイパビリティ関係'!$E$4:$E$341,"支援")&gt;0,"○",""))</f>
        <v/>
      </c>
      <c r="O19" s="18">
        <f>IF(COUNTIFS('VS×ケイパビリティ関係'!$F$4:$F$341,$B19,'VS×ケイパビリティ関係'!$G$4:$G$341,O$5,'VS×ケイパビリティ関係'!$E$4:$E$341,"主")&gt;0,"●",IF(COUNTIFS('VS×ケイパビリティ関係'!$F$4:$F$341,$B19,'VS×ケイパビリティ関係'!$G$4:$G$341,O$5,'VS×ケイパビリティ関係'!$E$4:$E$341,"支援")&gt;0,"○",""))</f>
        <v/>
      </c>
      <c r="P19" s="18">
        <f>IF(COUNTIFS('VS×ケイパビリティ関係'!$F$4:$F$341,$B19,'VS×ケイパビリティ関係'!$G$4:$G$341,P$5,'VS×ケイパビリティ関係'!$E$4:$E$341,"主")&gt;0,"●",IF(COUNTIFS('VS×ケイパビリティ関係'!$F$4:$F$341,$B19,'VS×ケイパビリティ関係'!$G$4:$G$341,P$5,'VS×ケイパビリティ関係'!$E$4:$E$341,"支援")&gt;0,"○",""))</f>
        <v/>
      </c>
      <c r="Q19" s="18">
        <f>IF(COUNTIFS('VS×ケイパビリティ関係'!$F$4:$F$341,$B19,'VS×ケイパビリティ関係'!$G$4:$G$341,Q$5,'VS×ケイパビリティ関係'!$E$4:$E$341,"主")&gt;0,"●",IF(COUNTIFS('VS×ケイパビリティ関係'!$F$4:$F$341,$B19,'VS×ケイパビリティ関係'!$G$4:$G$341,Q$5,'VS×ケイパビリティ関係'!$E$4:$E$341,"支援")&gt;0,"○",""))</f>
        <v/>
      </c>
      <c r="R19" s="18">
        <f>IF(COUNTIFS('VS×ケイパビリティ関係'!$F$4:$F$341,$B19,'VS×ケイパビリティ関係'!$G$4:$G$341,R$5,'VS×ケイパビリティ関係'!$E$4:$E$341,"主")&gt;0,"●",IF(COUNTIFS('VS×ケイパビリティ関係'!$F$4:$F$341,$B19,'VS×ケイパビリティ関係'!$G$4:$G$341,R$5,'VS×ケイパビリティ関係'!$E$4:$E$341,"支援")&gt;0,"○",""))</f>
        <v/>
      </c>
      <c r="S19" s="18">
        <f>IF(COUNTIFS('VS×ケイパビリティ関係'!$F$4:$F$341,$B19,'VS×ケイパビリティ関係'!$G$4:$G$341,S$5,'VS×ケイパビリティ関係'!$E$4:$E$341,"主")&gt;0,"●",IF(COUNTIFS('VS×ケイパビリティ関係'!$F$4:$F$341,$B19,'VS×ケイパビリティ関係'!$G$4:$G$341,S$5,'VS×ケイパビリティ関係'!$E$4:$E$341,"支援")&gt;0,"○",""))</f>
        <v/>
      </c>
      <c r="T19" s="18">
        <f>IF(COUNTIFS('VS×ケイパビリティ関係'!$F$4:$F$341,$B19,'VS×ケイパビリティ関係'!$G$4:$G$341,T$5,'VS×ケイパビリティ関係'!$E$4:$E$341,"主")&gt;0,"●",IF(COUNTIFS('VS×ケイパビリティ関係'!$F$4:$F$341,$B19,'VS×ケイパビリティ関係'!$G$4:$G$341,T$5,'VS×ケイパビリティ関係'!$E$4:$E$341,"支援")&gt;0,"○",""))</f>
        <v/>
      </c>
      <c r="U19" s="18">
        <f>IF(COUNTIFS('VS×ケイパビリティ関係'!$F$4:$F$341,$B19,'VS×ケイパビリティ関係'!$G$4:$G$341,U$5,'VS×ケイパビリティ関係'!$E$4:$E$341,"主")&gt;0,"●",IF(COUNTIFS('VS×ケイパビリティ関係'!$F$4:$F$341,$B19,'VS×ケイパビリティ関係'!$G$4:$G$341,U$5,'VS×ケイパビリティ関係'!$E$4:$E$341,"支援")&gt;0,"○",""))</f>
        <v/>
      </c>
      <c r="V19" s="18">
        <f>IF(COUNTIFS('VS×ケイパビリティ関係'!$F$4:$F$341,$B19,'VS×ケイパビリティ関係'!$G$4:$G$341,V$5,'VS×ケイパビリティ関係'!$E$4:$E$341,"主")&gt;0,"●",IF(COUNTIFS('VS×ケイパビリティ関係'!$F$4:$F$341,$B19,'VS×ケイパビリティ関係'!$G$4:$G$341,V$5,'VS×ケイパビリティ関係'!$E$4:$E$341,"支援")&gt;0,"○",""))</f>
        <v/>
      </c>
      <c r="W19" s="18">
        <f>IF(COUNTIFS('VS×ケイパビリティ関係'!$F$4:$F$341,$B19,'VS×ケイパビリティ関係'!$G$4:$G$341,W$5,'VS×ケイパビリティ関係'!$E$4:$E$341,"主")&gt;0,"●",IF(COUNTIFS('VS×ケイパビリティ関係'!$F$4:$F$341,$B19,'VS×ケイパビリティ関係'!$G$4:$G$341,W$5,'VS×ケイパビリティ関係'!$E$4:$E$341,"支援")&gt;0,"○",""))</f>
        <v/>
      </c>
      <c r="X19" s="18">
        <f>IF(COUNTIFS('VS×ケイパビリティ関係'!$F$4:$F$341,$B19,'VS×ケイパビリティ関係'!$G$4:$G$341,X$5,'VS×ケイパビリティ関係'!$E$4:$E$341,"主")&gt;0,"●",IF(COUNTIFS('VS×ケイパビリティ関係'!$F$4:$F$341,$B19,'VS×ケイパビリティ関係'!$G$4:$G$341,X$5,'VS×ケイパビリティ関係'!$E$4:$E$341,"支援")&gt;0,"○",""))</f>
        <v/>
      </c>
      <c r="Y19" s="18">
        <f>IF(COUNTIFS('VS×ケイパビリティ関係'!$F$4:$F$341,$B19,'VS×ケイパビリティ関係'!$G$4:$G$341,Y$5,'VS×ケイパビリティ関係'!$E$4:$E$341,"主")&gt;0,"●",IF(COUNTIFS('VS×ケイパビリティ関係'!$F$4:$F$341,$B19,'VS×ケイパビリティ関係'!$G$4:$G$341,Y$5,'VS×ケイパビリティ関係'!$E$4:$E$341,"支援")&gt;0,"○",""))</f>
        <v/>
      </c>
      <c r="Z19" s="18">
        <f>IF(COUNTIFS('VS×ケイパビリティ関係'!$F$4:$F$341,$B19,'VS×ケイパビリティ関係'!$G$4:$G$341,Z$5,'VS×ケイパビリティ関係'!$E$4:$E$341,"主")&gt;0,"●",IF(COUNTIFS('VS×ケイパビリティ関係'!$F$4:$F$341,$B19,'VS×ケイパビリティ関係'!$G$4:$G$341,Z$5,'VS×ケイパビリティ関係'!$E$4:$E$341,"支援")&gt;0,"○",""))</f>
        <v/>
      </c>
      <c r="AA19" s="18">
        <f>IF(COUNTIFS('VS×ケイパビリティ関係'!$F$4:$F$341,$B19,'VS×ケイパビリティ関係'!$G$4:$G$341,AA$5,'VS×ケイパビリティ関係'!$E$4:$E$341,"主")&gt;0,"●",IF(COUNTIFS('VS×ケイパビリティ関係'!$F$4:$F$341,$B19,'VS×ケイパビリティ関係'!$G$4:$G$341,AA$5,'VS×ケイパビリティ関係'!$E$4:$E$341,"支援")&gt;0,"○",""))</f>
        <v/>
      </c>
      <c r="AB19" s="18">
        <f>IF(COUNTIFS('VS×ケイパビリティ関係'!$F$4:$F$341,$B19,'VS×ケイパビリティ関係'!$G$4:$G$341,AB$5,'VS×ケイパビリティ関係'!$E$4:$E$341,"主")&gt;0,"●",IF(COUNTIFS('VS×ケイパビリティ関係'!$F$4:$F$341,$B19,'VS×ケイパビリティ関係'!$G$4:$G$341,AB$5,'VS×ケイパビリティ関係'!$E$4:$E$341,"支援")&gt;0,"○",""))</f>
        <v/>
      </c>
      <c r="AC19" s="18">
        <f>IF(COUNTIFS('VS×ケイパビリティ関係'!$F$4:$F$341,$B19,'VS×ケイパビリティ関係'!$G$4:$G$341,AC$5,'VS×ケイパビリティ関係'!$E$4:$E$341,"主")&gt;0,"●",IF(COUNTIFS('VS×ケイパビリティ関係'!$F$4:$F$341,$B19,'VS×ケイパビリティ関係'!$G$4:$G$341,AC$5,'VS×ケイパビリティ関係'!$E$4:$E$341,"支援")&gt;0,"○",""))</f>
        <v/>
      </c>
      <c r="AD19" s="18">
        <f>IF(COUNTIFS('VS×ケイパビリティ関係'!$F$4:$F$341,$B19,'VS×ケイパビリティ関係'!$G$4:$G$341,AD$5,'VS×ケイパビリティ関係'!$E$4:$E$341,"主")&gt;0,"●",IF(COUNTIFS('VS×ケイパビリティ関係'!$F$4:$F$341,$B19,'VS×ケイパビリティ関係'!$G$4:$G$341,AD$5,'VS×ケイパビリティ関係'!$E$4:$E$341,"支援")&gt;0,"○",""))</f>
        <v/>
      </c>
      <c r="AE19" s="18">
        <f>IF(COUNTIFS('VS×ケイパビリティ関係'!$F$4:$F$341,$B19,'VS×ケイパビリティ関係'!$G$4:$G$341,AE$5,'VS×ケイパビリティ関係'!$E$4:$E$341,"主")&gt;0,"●",IF(COUNTIFS('VS×ケイパビリティ関係'!$F$4:$F$341,$B19,'VS×ケイパビリティ関係'!$G$4:$G$341,AE$5,'VS×ケイパビリティ関係'!$E$4:$E$341,"支援")&gt;0,"○",""))</f>
        <v/>
      </c>
      <c r="AF19" s="18">
        <f>COUNTIF(D19:AE19,"●")</f>
        <v/>
      </c>
      <c r="AG19" s="18">
        <f>COUNTIF(D19:AE19,"○")</f>
        <v/>
      </c>
    </row>
    <row r="20">
      <c r="A20" s="42" t="n"/>
      <c r="B20" s="18" t="inlineStr">
        <is>
          <t>04-03</t>
        </is>
      </c>
      <c r="C20" s="20" t="inlineStr">
        <is>
          <t>問題・変更管理</t>
        </is>
      </c>
      <c r="D20" s="18">
        <f>IF(COUNTIFS('VS×ケイパビリティ関係'!$F$4:$F$341,$B20,'VS×ケイパビリティ関係'!$G$4:$G$341,D$5,'VS×ケイパビリティ関係'!$E$4:$E$341,"主")&gt;0,"●",IF(COUNTIFS('VS×ケイパビリティ関係'!$F$4:$F$341,$B20,'VS×ケイパビリティ関係'!$G$4:$G$341,D$5,'VS×ケイパビリティ関係'!$E$4:$E$341,"支援")&gt;0,"○",""))</f>
        <v/>
      </c>
      <c r="E20" s="18">
        <f>IF(COUNTIFS('VS×ケイパビリティ関係'!$F$4:$F$341,$B20,'VS×ケイパビリティ関係'!$G$4:$G$341,E$5,'VS×ケイパビリティ関係'!$E$4:$E$341,"主")&gt;0,"●",IF(COUNTIFS('VS×ケイパビリティ関係'!$F$4:$F$341,$B20,'VS×ケイパビリティ関係'!$G$4:$G$341,E$5,'VS×ケイパビリティ関係'!$E$4:$E$341,"支援")&gt;0,"○",""))</f>
        <v/>
      </c>
      <c r="F20" s="18">
        <f>IF(COUNTIFS('VS×ケイパビリティ関係'!$F$4:$F$341,$B20,'VS×ケイパビリティ関係'!$G$4:$G$341,F$5,'VS×ケイパビリティ関係'!$E$4:$E$341,"主")&gt;0,"●",IF(COUNTIFS('VS×ケイパビリティ関係'!$F$4:$F$341,$B20,'VS×ケイパビリティ関係'!$G$4:$G$341,F$5,'VS×ケイパビリティ関係'!$E$4:$E$341,"支援")&gt;0,"○",""))</f>
        <v/>
      </c>
      <c r="G20" s="18">
        <f>IF(COUNTIFS('VS×ケイパビリティ関係'!$F$4:$F$341,$B20,'VS×ケイパビリティ関係'!$G$4:$G$341,G$5,'VS×ケイパビリティ関係'!$E$4:$E$341,"主")&gt;0,"●",IF(COUNTIFS('VS×ケイパビリティ関係'!$F$4:$F$341,$B20,'VS×ケイパビリティ関係'!$G$4:$G$341,G$5,'VS×ケイパビリティ関係'!$E$4:$E$341,"支援")&gt;0,"○",""))</f>
        <v/>
      </c>
      <c r="H20" s="18">
        <f>IF(COUNTIFS('VS×ケイパビリティ関係'!$F$4:$F$341,$B20,'VS×ケイパビリティ関係'!$G$4:$G$341,H$5,'VS×ケイパビリティ関係'!$E$4:$E$341,"主")&gt;0,"●",IF(COUNTIFS('VS×ケイパビリティ関係'!$F$4:$F$341,$B20,'VS×ケイパビリティ関係'!$G$4:$G$341,H$5,'VS×ケイパビリティ関係'!$E$4:$E$341,"支援")&gt;0,"○",""))</f>
        <v/>
      </c>
      <c r="I20" s="18">
        <f>IF(COUNTIFS('VS×ケイパビリティ関係'!$F$4:$F$341,$B20,'VS×ケイパビリティ関係'!$G$4:$G$341,I$5,'VS×ケイパビリティ関係'!$E$4:$E$341,"主")&gt;0,"●",IF(COUNTIFS('VS×ケイパビリティ関係'!$F$4:$F$341,$B20,'VS×ケイパビリティ関係'!$G$4:$G$341,I$5,'VS×ケイパビリティ関係'!$E$4:$E$341,"支援")&gt;0,"○",""))</f>
        <v/>
      </c>
      <c r="J20" s="18">
        <f>IF(COUNTIFS('VS×ケイパビリティ関係'!$F$4:$F$341,$B20,'VS×ケイパビリティ関係'!$G$4:$G$341,J$5,'VS×ケイパビリティ関係'!$E$4:$E$341,"主")&gt;0,"●",IF(COUNTIFS('VS×ケイパビリティ関係'!$F$4:$F$341,$B20,'VS×ケイパビリティ関係'!$G$4:$G$341,J$5,'VS×ケイパビリティ関係'!$E$4:$E$341,"支援")&gt;0,"○",""))</f>
        <v/>
      </c>
      <c r="K20" s="18">
        <f>IF(COUNTIFS('VS×ケイパビリティ関係'!$F$4:$F$341,$B20,'VS×ケイパビリティ関係'!$G$4:$G$341,K$5,'VS×ケイパビリティ関係'!$E$4:$E$341,"主")&gt;0,"●",IF(COUNTIFS('VS×ケイパビリティ関係'!$F$4:$F$341,$B20,'VS×ケイパビリティ関係'!$G$4:$G$341,K$5,'VS×ケイパビリティ関係'!$E$4:$E$341,"支援")&gt;0,"○",""))</f>
        <v/>
      </c>
      <c r="L20" s="18">
        <f>IF(COUNTIFS('VS×ケイパビリティ関係'!$F$4:$F$341,$B20,'VS×ケイパビリティ関係'!$G$4:$G$341,L$5,'VS×ケイパビリティ関係'!$E$4:$E$341,"主")&gt;0,"●",IF(COUNTIFS('VS×ケイパビリティ関係'!$F$4:$F$341,$B20,'VS×ケイパビリティ関係'!$G$4:$G$341,L$5,'VS×ケイパビリティ関係'!$E$4:$E$341,"支援")&gt;0,"○",""))</f>
        <v/>
      </c>
      <c r="M20" s="18">
        <f>IF(COUNTIFS('VS×ケイパビリティ関係'!$F$4:$F$341,$B20,'VS×ケイパビリティ関係'!$G$4:$G$341,M$5,'VS×ケイパビリティ関係'!$E$4:$E$341,"主")&gt;0,"●",IF(COUNTIFS('VS×ケイパビリティ関係'!$F$4:$F$341,$B20,'VS×ケイパビリティ関係'!$G$4:$G$341,M$5,'VS×ケイパビリティ関係'!$E$4:$E$341,"支援")&gt;0,"○",""))</f>
        <v/>
      </c>
      <c r="N20" s="18">
        <f>IF(COUNTIFS('VS×ケイパビリティ関係'!$F$4:$F$341,$B20,'VS×ケイパビリティ関係'!$G$4:$G$341,N$5,'VS×ケイパビリティ関係'!$E$4:$E$341,"主")&gt;0,"●",IF(COUNTIFS('VS×ケイパビリティ関係'!$F$4:$F$341,$B20,'VS×ケイパビリティ関係'!$G$4:$G$341,N$5,'VS×ケイパビリティ関係'!$E$4:$E$341,"支援")&gt;0,"○",""))</f>
        <v/>
      </c>
      <c r="O20" s="18">
        <f>IF(COUNTIFS('VS×ケイパビリティ関係'!$F$4:$F$341,$B20,'VS×ケイパビリティ関係'!$G$4:$G$341,O$5,'VS×ケイパビリティ関係'!$E$4:$E$341,"主")&gt;0,"●",IF(COUNTIFS('VS×ケイパビリティ関係'!$F$4:$F$341,$B20,'VS×ケイパビリティ関係'!$G$4:$G$341,O$5,'VS×ケイパビリティ関係'!$E$4:$E$341,"支援")&gt;0,"○",""))</f>
        <v/>
      </c>
      <c r="P20" s="18">
        <f>IF(COUNTIFS('VS×ケイパビリティ関係'!$F$4:$F$341,$B20,'VS×ケイパビリティ関係'!$G$4:$G$341,P$5,'VS×ケイパビリティ関係'!$E$4:$E$341,"主")&gt;0,"●",IF(COUNTIFS('VS×ケイパビリティ関係'!$F$4:$F$341,$B20,'VS×ケイパビリティ関係'!$G$4:$G$341,P$5,'VS×ケイパビリティ関係'!$E$4:$E$341,"支援")&gt;0,"○",""))</f>
        <v/>
      </c>
      <c r="Q20" s="18">
        <f>IF(COUNTIFS('VS×ケイパビリティ関係'!$F$4:$F$341,$B20,'VS×ケイパビリティ関係'!$G$4:$G$341,Q$5,'VS×ケイパビリティ関係'!$E$4:$E$341,"主")&gt;0,"●",IF(COUNTIFS('VS×ケイパビリティ関係'!$F$4:$F$341,$B20,'VS×ケイパビリティ関係'!$G$4:$G$341,Q$5,'VS×ケイパビリティ関係'!$E$4:$E$341,"支援")&gt;0,"○",""))</f>
        <v/>
      </c>
      <c r="R20" s="18">
        <f>IF(COUNTIFS('VS×ケイパビリティ関係'!$F$4:$F$341,$B20,'VS×ケイパビリティ関係'!$G$4:$G$341,R$5,'VS×ケイパビリティ関係'!$E$4:$E$341,"主")&gt;0,"●",IF(COUNTIFS('VS×ケイパビリティ関係'!$F$4:$F$341,$B20,'VS×ケイパビリティ関係'!$G$4:$G$341,R$5,'VS×ケイパビリティ関係'!$E$4:$E$341,"支援")&gt;0,"○",""))</f>
        <v/>
      </c>
      <c r="S20" s="18">
        <f>IF(COUNTIFS('VS×ケイパビリティ関係'!$F$4:$F$341,$B20,'VS×ケイパビリティ関係'!$G$4:$G$341,S$5,'VS×ケイパビリティ関係'!$E$4:$E$341,"主")&gt;0,"●",IF(COUNTIFS('VS×ケイパビリティ関係'!$F$4:$F$341,$B20,'VS×ケイパビリティ関係'!$G$4:$G$341,S$5,'VS×ケイパビリティ関係'!$E$4:$E$341,"支援")&gt;0,"○",""))</f>
        <v/>
      </c>
      <c r="T20" s="18">
        <f>IF(COUNTIFS('VS×ケイパビリティ関係'!$F$4:$F$341,$B20,'VS×ケイパビリティ関係'!$G$4:$G$341,T$5,'VS×ケイパビリティ関係'!$E$4:$E$341,"主")&gt;0,"●",IF(COUNTIFS('VS×ケイパビリティ関係'!$F$4:$F$341,$B20,'VS×ケイパビリティ関係'!$G$4:$G$341,T$5,'VS×ケイパビリティ関係'!$E$4:$E$341,"支援")&gt;0,"○",""))</f>
        <v/>
      </c>
      <c r="U20" s="18">
        <f>IF(COUNTIFS('VS×ケイパビリティ関係'!$F$4:$F$341,$B20,'VS×ケイパビリティ関係'!$G$4:$G$341,U$5,'VS×ケイパビリティ関係'!$E$4:$E$341,"主")&gt;0,"●",IF(COUNTIFS('VS×ケイパビリティ関係'!$F$4:$F$341,$B20,'VS×ケイパビリティ関係'!$G$4:$G$341,U$5,'VS×ケイパビリティ関係'!$E$4:$E$341,"支援")&gt;0,"○",""))</f>
        <v/>
      </c>
      <c r="V20" s="18">
        <f>IF(COUNTIFS('VS×ケイパビリティ関係'!$F$4:$F$341,$B20,'VS×ケイパビリティ関係'!$G$4:$G$341,V$5,'VS×ケイパビリティ関係'!$E$4:$E$341,"主")&gt;0,"●",IF(COUNTIFS('VS×ケイパビリティ関係'!$F$4:$F$341,$B20,'VS×ケイパビリティ関係'!$G$4:$G$341,V$5,'VS×ケイパビリティ関係'!$E$4:$E$341,"支援")&gt;0,"○",""))</f>
        <v/>
      </c>
      <c r="W20" s="18">
        <f>IF(COUNTIFS('VS×ケイパビリティ関係'!$F$4:$F$341,$B20,'VS×ケイパビリティ関係'!$G$4:$G$341,W$5,'VS×ケイパビリティ関係'!$E$4:$E$341,"主")&gt;0,"●",IF(COUNTIFS('VS×ケイパビリティ関係'!$F$4:$F$341,$B20,'VS×ケイパビリティ関係'!$G$4:$G$341,W$5,'VS×ケイパビリティ関係'!$E$4:$E$341,"支援")&gt;0,"○",""))</f>
        <v/>
      </c>
      <c r="X20" s="18">
        <f>IF(COUNTIFS('VS×ケイパビリティ関係'!$F$4:$F$341,$B20,'VS×ケイパビリティ関係'!$G$4:$G$341,X$5,'VS×ケイパビリティ関係'!$E$4:$E$341,"主")&gt;0,"●",IF(COUNTIFS('VS×ケイパビリティ関係'!$F$4:$F$341,$B20,'VS×ケイパビリティ関係'!$G$4:$G$341,X$5,'VS×ケイパビリティ関係'!$E$4:$E$341,"支援")&gt;0,"○",""))</f>
        <v/>
      </c>
      <c r="Y20" s="18">
        <f>IF(COUNTIFS('VS×ケイパビリティ関係'!$F$4:$F$341,$B20,'VS×ケイパビリティ関係'!$G$4:$G$341,Y$5,'VS×ケイパビリティ関係'!$E$4:$E$341,"主")&gt;0,"●",IF(COUNTIFS('VS×ケイパビリティ関係'!$F$4:$F$341,$B20,'VS×ケイパビリティ関係'!$G$4:$G$341,Y$5,'VS×ケイパビリティ関係'!$E$4:$E$341,"支援")&gt;0,"○",""))</f>
        <v/>
      </c>
      <c r="Z20" s="18">
        <f>IF(COUNTIFS('VS×ケイパビリティ関係'!$F$4:$F$341,$B20,'VS×ケイパビリティ関係'!$G$4:$G$341,Z$5,'VS×ケイパビリティ関係'!$E$4:$E$341,"主")&gt;0,"●",IF(COUNTIFS('VS×ケイパビリティ関係'!$F$4:$F$341,$B20,'VS×ケイパビリティ関係'!$G$4:$G$341,Z$5,'VS×ケイパビリティ関係'!$E$4:$E$341,"支援")&gt;0,"○",""))</f>
        <v/>
      </c>
      <c r="AA20" s="18">
        <f>IF(COUNTIFS('VS×ケイパビリティ関係'!$F$4:$F$341,$B20,'VS×ケイパビリティ関係'!$G$4:$G$341,AA$5,'VS×ケイパビリティ関係'!$E$4:$E$341,"主")&gt;0,"●",IF(COUNTIFS('VS×ケイパビリティ関係'!$F$4:$F$341,$B20,'VS×ケイパビリティ関係'!$G$4:$G$341,AA$5,'VS×ケイパビリティ関係'!$E$4:$E$341,"支援")&gt;0,"○",""))</f>
        <v/>
      </c>
      <c r="AB20" s="18">
        <f>IF(COUNTIFS('VS×ケイパビリティ関係'!$F$4:$F$341,$B20,'VS×ケイパビリティ関係'!$G$4:$G$341,AB$5,'VS×ケイパビリティ関係'!$E$4:$E$341,"主")&gt;0,"●",IF(COUNTIFS('VS×ケイパビリティ関係'!$F$4:$F$341,$B20,'VS×ケイパビリティ関係'!$G$4:$G$341,AB$5,'VS×ケイパビリティ関係'!$E$4:$E$341,"支援")&gt;0,"○",""))</f>
        <v/>
      </c>
      <c r="AC20" s="18">
        <f>IF(COUNTIFS('VS×ケイパビリティ関係'!$F$4:$F$341,$B20,'VS×ケイパビリティ関係'!$G$4:$G$341,AC$5,'VS×ケイパビリティ関係'!$E$4:$E$341,"主")&gt;0,"●",IF(COUNTIFS('VS×ケイパビリティ関係'!$F$4:$F$341,$B20,'VS×ケイパビリティ関係'!$G$4:$G$341,AC$5,'VS×ケイパビリティ関係'!$E$4:$E$341,"支援")&gt;0,"○",""))</f>
        <v/>
      </c>
      <c r="AD20" s="18">
        <f>IF(COUNTIFS('VS×ケイパビリティ関係'!$F$4:$F$341,$B20,'VS×ケイパビリティ関係'!$G$4:$G$341,AD$5,'VS×ケイパビリティ関係'!$E$4:$E$341,"主")&gt;0,"●",IF(COUNTIFS('VS×ケイパビリティ関係'!$F$4:$F$341,$B20,'VS×ケイパビリティ関係'!$G$4:$G$341,AD$5,'VS×ケイパビリティ関係'!$E$4:$E$341,"支援")&gt;0,"○",""))</f>
        <v/>
      </c>
      <c r="AE20" s="18">
        <f>IF(COUNTIFS('VS×ケイパビリティ関係'!$F$4:$F$341,$B20,'VS×ケイパビリティ関係'!$G$4:$G$341,AE$5,'VS×ケイパビリティ関係'!$E$4:$E$341,"主")&gt;0,"●",IF(COUNTIFS('VS×ケイパビリティ関係'!$F$4:$F$341,$B20,'VS×ケイパビリティ関係'!$G$4:$G$341,AE$5,'VS×ケイパビリティ関係'!$E$4:$E$341,"支援")&gt;0,"○",""))</f>
        <v/>
      </c>
      <c r="AF20" s="18">
        <f>COUNTIF(D20:AE20,"●")</f>
        <v/>
      </c>
      <c r="AG20" s="18">
        <f>COUNTIF(D20:AE20,"○")</f>
        <v/>
      </c>
    </row>
    <row r="21">
      <c r="A21" s="42" t="n"/>
      <c r="B21" s="18" t="inlineStr">
        <is>
          <t>04-04</t>
        </is>
      </c>
      <c r="C21" s="20" t="inlineStr">
        <is>
          <t>定期評価・継続的改善</t>
        </is>
      </c>
      <c r="D21" s="18">
        <f>IF(COUNTIFS('VS×ケイパビリティ関係'!$F$4:$F$341,$B21,'VS×ケイパビリティ関係'!$G$4:$G$341,D$5,'VS×ケイパビリティ関係'!$E$4:$E$341,"主")&gt;0,"●",IF(COUNTIFS('VS×ケイパビリティ関係'!$F$4:$F$341,$B21,'VS×ケイパビリティ関係'!$G$4:$G$341,D$5,'VS×ケイパビリティ関係'!$E$4:$E$341,"支援")&gt;0,"○",""))</f>
        <v/>
      </c>
      <c r="E21" s="18">
        <f>IF(COUNTIFS('VS×ケイパビリティ関係'!$F$4:$F$341,$B21,'VS×ケイパビリティ関係'!$G$4:$G$341,E$5,'VS×ケイパビリティ関係'!$E$4:$E$341,"主")&gt;0,"●",IF(COUNTIFS('VS×ケイパビリティ関係'!$F$4:$F$341,$B21,'VS×ケイパビリティ関係'!$G$4:$G$341,E$5,'VS×ケイパビリティ関係'!$E$4:$E$341,"支援")&gt;0,"○",""))</f>
        <v/>
      </c>
      <c r="F21" s="18">
        <f>IF(COUNTIFS('VS×ケイパビリティ関係'!$F$4:$F$341,$B21,'VS×ケイパビリティ関係'!$G$4:$G$341,F$5,'VS×ケイパビリティ関係'!$E$4:$E$341,"主")&gt;0,"●",IF(COUNTIFS('VS×ケイパビリティ関係'!$F$4:$F$341,$B21,'VS×ケイパビリティ関係'!$G$4:$G$341,F$5,'VS×ケイパビリティ関係'!$E$4:$E$341,"支援")&gt;0,"○",""))</f>
        <v/>
      </c>
      <c r="G21" s="18">
        <f>IF(COUNTIFS('VS×ケイパビリティ関係'!$F$4:$F$341,$B21,'VS×ケイパビリティ関係'!$G$4:$G$341,G$5,'VS×ケイパビリティ関係'!$E$4:$E$341,"主")&gt;0,"●",IF(COUNTIFS('VS×ケイパビリティ関係'!$F$4:$F$341,$B21,'VS×ケイパビリティ関係'!$G$4:$G$341,G$5,'VS×ケイパビリティ関係'!$E$4:$E$341,"支援")&gt;0,"○",""))</f>
        <v/>
      </c>
      <c r="H21" s="18">
        <f>IF(COUNTIFS('VS×ケイパビリティ関係'!$F$4:$F$341,$B21,'VS×ケイパビリティ関係'!$G$4:$G$341,H$5,'VS×ケイパビリティ関係'!$E$4:$E$341,"主")&gt;0,"●",IF(COUNTIFS('VS×ケイパビリティ関係'!$F$4:$F$341,$B21,'VS×ケイパビリティ関係'!$G$4:$G$341,H$5,'VS×ケイパビリティ関係'!$E$4:$E$341,"支援")&gt;0,"○",""))</f>
        <v/>
      </c>
      <c r="I21" s="18">
        <f>IF(COUNTIFS('VS×ケイパビリティ関係'!$F$4:$F$341,$B21,'VS×ケイパビリティ関係'!$G$4:$G$341,I$5,'VS×ケイパビリティ関係'!$E$4:$E$341,"主")&gt;0,"●",IF(COUNTIFS('VS×ケイパビリティ関係'!$F$4:$F$341,$B21,'VS×ケイパビリティ関係'!$G$4:$G$341,I$5,'VS×ケイパビリティ関係'!$E$4:$E$341,"支援")&gt;0,"○",""))</f>
        <v/>
      </c>
      <c r="J21" s="18">
        <f>IF(COUNTIFS('VS×ケイパビリティ関係'!$F$4:$F$341,$B21,'VS×ケイパビリティ関係'!$G$4:$G$341,J$5,'VS×ケイパビリティ関係'!$E$4:$E$341,"主")&gt;0,"●",IF(COUNTIFS('VS×ケイパビリティ関係'!$F$4:$F$341,$B21,'VS×ケイパビリティ関係'!$G$4:$G$341,J$5,'VS×ケイパビリティ関係'!$E$4:$E$341,"支援")&gt;0,"○",""))</f>
        <v/>
      </c>
      <c r="K21" s="18">
        <f>IF(COUNTIFS('VS×ケイパビリティ関係'!$F$4:$F$341,$B21,'VS×ケイパビリティ関係'!$G$4:$G$341,K$5,'VS×ケイパビリティ関係'!$E$4:$E$341,"主")&gt;0,"●",IF(COUNTIFS('VS×ケイパビリティ関係'!$F$4:$F$341,$B21,'VS×ケイパビリティ関係'!$G$4:$G$341,K$5,'VS×ケイパビリティ関係'!$E$4:$E$341,"支援")&gt;0,"○",""))</f>
        <v/>
      </c>
      <c r="L21" s="18">
        <f>IF(COUNTIFS('VS×ケイパビリティ関係'!$F$4:$F$341,$B21,'VS×ケイパビリティ関係'!$G$4:$G$341,L$5,'VS×ケイパビリティ関係'!$E$4:$E$341,"主")&gt;0,"●",IF(COUNTIFS('VS×ケイパビリティ関係'!$F$4:$F$341,$B21,'VS×ケイパビリティ関係'!$G$4:$G$341,L$5,'VS×ケイパビリティ関係'!$E$4:$E$341,"支援")&gt;0,"○",""))</f>
        <v/>
      </c>
      <c r="M21" s="18">
        <f>IF(COUNTIFS('VS×ケイパビリティ関係'!$F$4:$F$341,$B21,'VS×ケイパビリティ関係'!$G$4:$G$341,M$5,'VS×ケイパビリティ関係'!$E$4:$E$341,"主")&gt;0,"●",IF(COUNTIFS('VS×ケイパビリティ関係'!$F$4:$F$341,$B21,'VS×ケイパビリティ関係'!$G$4:$G$341,M$5,'VS×ケイパビリティ関係'!$E$4:$E$341,"支援")&gt;0,"○",""))</f>
        <v/>
      </c>
      <c r="N21" s="18">
        <f>IF(COUNTIFS('VS×ケイパビリティ関係'!$F$4:$F$341,$B21,'VS×ケイパビリティ関係'!$G$4:$G$341,N$5,'VS×ケイパビリティ関係'!$E$4:$E$341,"主")&gt;0,"●",IF(COUNTIFS('VS×ケイパビリティ関係'!$F$4:$F$341,$B21,'VS×ケイパビリティ関係'!$G$4:$G$341,N$5,'VS×ケイパビリティ関係'!$E$4:$E$341,"支援")&gt;0,"○",""))</f>
        <v/>
      </c>
      <c r="O21" s="18">
        <f>IF(COUNTIFS('VS×ケイパビリティ関係'!$F$4:$F$341,$B21,'VS×ケイパビリティ関係'!$G$4:$G$341,O$5,'VS×ケイパビリティ関係'!$E$4:$E$341,"主")&gt;0,"●",IF(COUNTIFS('VS×ケイパビリティ関係'!$F$4:$F$341,$B21,'VS×ケイパビリティ関係'!$G$4:$G$341,O$5,'VS×ケイパビリティ関係'!$E$4:$E$341,"支援")&gt;0,"○",""))</f>
        <v/>
      </c>
      <c r="P21" s="18">
        <f>IF(COUNTIFS('VS×ケイパビリティ関係'!$F$4:$F$341,$B21,'VS×ケイパビリティ関係'!$G$4:$G$341,P$5,'VS×ケイパビリティ関係'!$E$4:$E$341,"主")&gt;0,"●",IF(COUNTIFS('VS×ケイパビリティ関係'!$F$4:$F$341,$B21,'VS×ケイパビリティ関係'!$G$4:$G$341,P$5,'VS×ケイパビリティ関係'!$E$4:$E$341,"支援")&gt;0,"○",""))</f>
        <v/>
      </c>
      <c r="Q21" s="18">
        <f>IF(COUNTIFS('VS×ケイパビリティ関係'!$F$4:$F$341,$B21,'VS×ケイパビリティ関係'!$G$4:$G$341,Q$5,'VS×ケイパビリティ関係'!$E$4:$E$341,"主")&gt;0,"●",IF(COUNTIFS('VS×ケイパビリティ関係'!$F$4:$F$341,$B21,'VS×ケイパビリティ関係'!$G$4:$G$341,Q$5,'VS×ケイパビリティ関係'!$E$4:$E$341,"支援")&gt;0,"○",""))</f>
        <v/>
      </c>
      <c r="R21" s="18">
        <f>IF(COUNTIFS('VS×ケイパビリティ関係'!$F$4:$F$341,$B21,'VS×ケイパビリティ関係'!$G$4:$G$341,R$5,'VS×ケイパビリティ関係'!$E$4:$E$341,"主")&gt;0,"●",IF(COUNTIFS('VS×ケイパビリティ関係'!$F$4:$F$341,$B21,'VS×ケイパビリティ関係'!$G$4:$G$341,R$5,'VS×ケイパビリティ関係'!$E$4:$E$341,"支援")&gt;0,"○",""))</f>
        <v/>
      </c>
      <c r="S21" s="18">
        <f>IF(COUNTIFS('VS×ケイパビリティ関係'!$F$4:$F$341,$B21,'VS×ケイパビリティ関係'!$G$4:$G$341,S$5,'VS×ケイパビリティ関係'!$E$4:$E$341,"主")&gt;0,"●",IF(COUNTIFS('VS×ケイパビリティ関係'!$F$4:$F$341,$B21,'VS×ケイパビリティ関係'!$G$4:$G$341,S$5,'VS×ケイパビリティ関係'!$E$4:$E$341,"支援")&gt;0,"○",""))</f>
        <v/>
      </c>
      <c r="T21" s="18">
        <f>IF(COUNTIFS('VS×ケイパビリティ関係'!$F$4:$F$341,$B21,'VS×ケイパビリティ関係'!$G$4:$G$341,T$5,'VS×ケイパビリティ関係'!$E$4:$E$341,"主")&gt;0,"●",IF(COUNTIFS('VS×ケイパビリティ関係'!$F$4:$F$341,$B21,'VS×ケイパビリティ関係'!$G$4:$G$341,T$5,'VS×ケイパビリティ関係'!$E$4:$E$341,"支援")&gt;0,"○",""))</f>
        <v/>
      </c>
      <c r="U21" s="18">
        <f>IF(COUNTIFS('VS×ケイパビリティ関係'!$F$4:$F$341,$B21,'VS×ケイパビリティ関係'!$G$4:$G$341,U$5,'VS×ケイパビリティ関係'!$E$4:$E$341,"主")&gt;0,"●",IF(COUNTIFS('VS×ケイパビリティ関係'!$F$4:$F$341,$B21,'VS×ケイパビリティ関係'!$G$4:$G$341,U$5,'VS×ケイパビリティ関係'!$E$4:$E$341,"支援")&gt;0,"○",""))</f>
        <v/>
      </c>
      <c r="V21" s="18">
        <f>IF(COUNTIFS('VS×ケイパビリティ関係'!$F$4:$F$341,$B21,'VS×ケイパビリティ関係'!$G$4:$G$341,V$5,'VS×ケイパビリティ関係'!$E$4:$E$341,"主")&gt;0,"●",IF(COUNTIFS('VS×ケイパビリティ関係'!$F$4:$F$341,$B21,'VS×ケイパビリティ関係'!$G$4:$G$341,V$5,'VS×ケイパビリティ関係'!$E$4:$E$341,"支援")&gt;0,"○",""))</f>
        <v/>
      </c>
      <c r="W21" s="18">
        <f>IF(COUNTIFS('VS×ケイパビリティ関係'!$F$4:$F$341,$B21,'VS×ケイパビリティ関係'!$G$4:$G$341,W$5,'VS×ケイパビリティ関係'!$E$4:$E$341,"主")&gt;0,"●",IF(COUNTIFS('VS×ケイパビリティ関係'!$F$4:$F$341,$B21,'VS×ケイパビリティ関係'!$G$4:$G$341,W$5,'VS×ケイパビリティ関係'!$E$4:$E$341,"支援")&gt;0,"○",""))</f>
        <v/>
      </c>
      <c r="X21" s="18">
        <f>IF(COUNTIFS('VS×ケイパビリティ関係'!$F$4:$F$341,$B21,'VS×ケイパビリティ関係'!$G$4:$G$341,X$5,'VS×ケイパビリティ関係'!$E$4:$E$341,"主")&gt;0,"●",IF(COUNTIFS('VS×ケイパビリティ関係'!$F$4:$F$341,$B21,'VS×ケイパビリティ関係'!$G$4:$G$341,X$5,'VS×ケイパビリティ関係'!$E$4:$E$341,"支援")&gt;0,"○",""))</f>
        <v/>
      </c>
      <c r="Y21" s="18">
        <f>IF(COUNTIFS('VS×ケイパビリティ関係'!$F$4:$F$341,$B21,'VS×ケイパビリティ関係'!$G$4:$G$341,Y$5,'VS×ケイパビリティ関係'!$E$4:$E$341,"主")&gt;0,"●",IF(COUNTIFS('VS×ケイパビリティ関係'!$F$4:$F$341,$B21,'VS×ケイパビリティ関係'!$G$4:$G$341,Y$5,'VS×ケイパビリティ関係'!$E$4:$E$341,"支援")&gt;0,"○",""))</f>
        <v/>
      </c>
      <c r="Z21" s="18">
        <f>IF(COUNTIFS('VS×ケイパビリティ関係'!$F$4:$F$341,$B21,'VS×ケイパビリティ関係'!$G$4:$G$341,Z$5,'VS×ケイパビリティ関係'!$E$4:$E$341,"主")&gt;0,"●",IF(COUNTIFS('VS×ケイパビリティ関係'!$F$4:$F$341,$B21,'VS×ケイパビリティ関係'!$G$4:$G$341,Z$5,'VS×ケイパビリティ関係'!$E$4:$E$341,"支援")&gt;0,"○",""))</f>
        <v/>
      </c>
      <c r="AA21" s="18">
        <f>IF(COUNTIFS('VS×ケイパビリティ関係'!$F$4:$F$341,$B21,'VS×ケイパビリティ関係'!$G$4:$G$341,AA$5,'VS×ケイパビリティ関係'!$E$4:$E$341,"主")&gt;0,"●",IF(COUNTIFS('VS×ケイパビリティ関係'!$F$4:$F$341,$B21,'VS×ケイパビリティ関係'!$G$4:$G$341,AA$5,'VS×ケイパビリティ関係'!$E$4:$E$341,"支援")&gt;0,"○",""))</f>
        <v/>
      </c>
      <c r="AB21" s="18">
        <f>IF(COUNTIFS('VS×ケイパビリティ関係'!$F$4:$F$341,$B21,'VS×ケイパビリティ関係'!$G$4:$G$341,AB$5,'VS×ケイパビリティ関係'!$E$4:$E$341,"主")&gt;0,"●",IF(COUNTIFS('VS×ケイパビリティ関係'!$F$4:$F$341,$B21,'VS×ケイパビリティ関係'!$G$4:$G$341,AB$5,'VS×ケイパビリティ関係'!$E$4:$E$341,"支援")&gt;0,"○",""))</f>
        <v/>
      </c>
      <c r="AC21" s="18">
        <f>IF(COUNTIFS('VS×ケイパビリティ関係'!$F$4:$F$341,$B21,'VS×ケイパビリティ関係'!$G$4:$G$341,AC$5,'VS×ケイパビリティ関係'!$E$4:$E$341,"主")&gt;0,"●",IF(COUNTIFS('VS×ケイパビリティ関係'!$F$4:$F$341,$B21,'VS×ケイパビリティ関係'!$G$4:$G$341,AC$5,'VS×ケイパビリティ関係'!$E$4:$E$341,"支援")&gt;0,"○",""))</f>
        <v/>
      </c>
      <c r="AD21" s="18">
        <f>IF(COUNTIFS('VS×ケイパビリティ関係'!$F$4:$F$341,$B21,'VS×ケイパビリティ関係'!$G$4:$G$341,AD$5,'VS×ケイパビリティ関係'!$E$4:$E$341,"主")&gt;0,"●",IF(COUNTIFS('VS×ケイパビリティ関係'!$F$4:$F$341,$B21,'VS×ケイパビリティ関係'!$G$4:$G$341,AD$5,'VS×ケイパビリティ関係'!$E$4:$E$341,"支援")&gt;0,"○",""))</f>
        <v/>
      </c>
      <c r="AE21" s="18">
        <f>IF(COUNTIFS('VS×ケイパビリティ関係'!$F$4:$F$341,$B21,'VS×ケイパビリティ関係'!$G$4:$G$341,AE$5,'VS×ケイパビリティ関係'!$E$4:$E$341,"主")&gt;0,"●",IF(COUNTIFS('VS×ケイパビリティ関係'!$F$4:$F$341,$B21,'VS×ケイパビリティ関係'!$G$4:$G$341,AE$5,'VS×ケイパビリティ関係'!$E$4:$E$341,"支援")&gt;0,"○",""))</f>
        <v/>
      </c>
      <c r="AF21" s="18">
        <f>COUNTIF(D21:AE21,"●")</f>
        <v/>
      </c>
      <c r="AG21" s="18">
        <f>COUNTIF(D21:AE21,"○")</f>
        <v/>
      </c>
    </row>
  </sheetData>
  <mergeCells count="12">
    <mergeCell ref="A4:A6"/>
    <mergeCell ref="AF4:AF6"/>
    <mergeCell ref="AG4:AG6"/>
    <mergeCell ref="B4:B6"/>
    <mergeCell ref="R4:U4"/>
    <mergeCell ref="I4:L4"/>
    <mergeCell ref="Y4:AB4"/>
    <mergeCell ref="V4:X4"/>
    <mergeCell ref="D4:H4"/>
    <mergeCell ref="AC4:AE4"/>
    <mergeCell ref="C4:C6"/>
    <mergeCell ref="M4:Q4"/>
  </mergeCells>
  <conditionalFormatting sqref="D7:AE21">
    <cfRule type="cellIs" priority="1" operator="equal" dxfId="0">
      <formula>"●"</formula>
    </cfRule>
    <cfRule type="cellIs" priority="2" operator="equal" dxfId="1">
      <formula>"○"</formula>
    </cfRule>
  </conditionalFormatting>
  <pageMargins left="0.75" right="0.75" top="1" bottom="1" header="0.5" footer="0.5"/>
</worksheet>
</file>

<file path=xl/worksheets/sheet6.xml><?xml version="1.0" encoding="utf-8"?>
<worksheet xmlns="http://schemas.openxmlformats.org/spreadsheetml/2006/main">
  <sheetPr>
    <tabColor rgb="001F3A5F"/>
    <outlinePr summaryBelow="1" summaryRight="1"/>
    <pageSetUpPr/>
  </sheetPr>
  <dimension ref="A1:M53"/>
  <sheetViews>
    <sheetView showGridLines="1" zoomScale="10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2" customWidth="1" min="2" max="2"/>
    <col width="24" customWidth="1" min="3" max="3"/>
    <col width="48" customWidth="1" min="5" max="5"/>
    <col width="12" customWidth="1" min="6" max="6"/>
    <col width="14" customWidth="1" min="7" max="7"/>
    <col width="12" customWidth="1" min="9" max="9"/>
    <col width="22" customWidth="1" min="11" max="11"/>
    <col width="9" customWidth="1" min="12" max="12"/>
  </cols>
  <sheetData>
    <row r="1" ht="17.35" customHeight="1">
      <c r="A1" s="43" t="inlineStr">
        <is>
          <t>情報オブジェクト（正本：用語集と分類）</t>
        </is>
      </c>
    </row>
    <row r="2" ht="15" customHeight="1">
      <c r="A2" s="44" t="inlineStr">
        <is>
          <t>1行1オブジェクト。業務上ひとまとまりで管理される情報の単位（状態の違いは属性として扱う）。名称・分類・オーナーはこのシートで編集する。灰色の列は数式（編集しない）。GxP記録の対象：関連法令・規制にGxPを含むもの。ER/ES指針の要件（監査証跡・電子署名・保存）を満たすべき電子記録の候補。</t>
        </is>
      </c>
    </row>
    <row r="3" ht="30" customHeight="1">
      <c r="A3" s="45" t="inlineStr">
        <is>
          <t>ID</t>
        </is>
      </c>
      <c r="B3" s="45" t="inlineStr">
        <is>
          <t>領域</t>
        </is>
      </c>
      <c r="C3" s="45" t="inlineStr">
        <is>
          <t>情報オブジェクト</t>
        </is>
      </c>
      <c r="D3" s="45" t="inlineStr">
        <is>
          <t>英語名</t>
        </is>
      </c>
      <c r="E3" s="45" t="inlineStr">
        <is>
          <t>説明</t>
        </is>
      </c>
      <c r="F3" s="45" t="inlineStr">
        <is>
          <t>データ種別</t>
        </is>
      </c>
      <c r="G3" s="45" t="inlineStr">
        <is>
          <t>関連法令・規制</t>
        </is>
      </c>
      <c r="H3" s="46" t="inlineStr">
        <is>
          <t>GxP記録
の対象</t>
        </is>
      </c>
      <c r="I3" s="45" t="inlineStr">
        <is>
          <t>個人情報</t>
        </is>
      </c>
      <c r="J3" s="45" t="inlineStr">
        <is>
          <t>オーナー
ケイパビリティL2 ID</t>
        </is>
      </c>
      <c r="K3" s="46" t="inlineStr">
        <is>
          <t>オーナー
ケイパビリティL2</t>
        </is>
      </c>
      <c r="L3" s="46" t="inlineStr">
        <is>
          <t>作成する
ケイパビリティL2の数</t>
        </is>
      </c>
      <c r="M3" s="46" t="inlineStr">
        <is>
          <t>利用する
ケイパビリティL2の数</t>
        </is>
      </c>
    </row>
    <row r="4" ht="26.85" customHeight="1">
      <c r="A4" s="47" t="inlineStr">
        <is>
          <t>MST-01</t>
        </is>
      </c>
      <c r="B4" s="48" t="inlineStr">
        <is>
          <t>共通・マスタ</t>
        </is>
      </c>
      <c r="C4" s="49" t="inlineStr">
        <is>
          <t>アプリケーション台帳</t>
        </is>
      </c>
      <c r="D4" s="50" t="inlineStr">
        <is>
          <t>Application Inventory</t>
        </is>
      </c>
      <c r="E4" s="51" t="inlineStr">
        <is>
          <t>全アプリケーションの名称・オーナー・GxP区分・ライフサイクルの状態・委託先</t>
        </is>
      </c>
      <c r="F4" s="48" t="inlineStr">
        <is>
          <t>マスタ</t>
        </is>
      </c>
      <c r="G4" s="48" t="inlineStr">
        <is>
          <t>GxP</t>
        </is>
      </c>
      <c r="H4" s="52">
        <f>IF(ISNUMBER(SEARCH("GxP",G4)),"対象候補","—")</f>
        <v/>
      </c>
      <c r="I4" s="48" t="inlineStr">
        <is>
          <t>なし</t>
        </is>
      </c>
      <c r="J4" s="47" t="inlineStr">
        <is>
          <t>C01-02</t>
        </is>
      </c>
      <c r="K4" s="53">
        <f>IFERROR(INDEX(ケイパビリティマップ!$E:$E,MATCH(J4,ケイパビリティマップ!$A:$A,0)),"（IDなし）")</f>
        <v/>
      </c>
      <c r="L4" s="54">
        <f>COUNTIF('ケイパビリティ×情報オブジェクト'!D$6:D$33,"C")</f>
        <v/>
      </c>
      <c r="M4" s="54">
        <f>COUNTIF('ケイパビリティ×情報オブジェクト'!D$6:D$33,"R")</f>
        <v/>
      </c>
    </row>
    <row r="5" ht="26.85" customHeight="1">
      <c r="A5" s="47" t="inlineStr">
        <is>
          <t>MST-02</t>
        </is>
      </c>
      <c r="B5" s="48" t="inlineStr">
        <is>
          <t>共通・マスタ</t>
        </is>
      </c>
      <c r="C5" s="49" t="inlineStr">
        <is>
          <t>構成情報</t>
        </is>
      </c>
      <c r="D5" s="50" t="inlineStr">
        <is>
          <t>Configuration Item (CMDB)</t>
        </is>
      </c>
      <c r="E5" s="51" t="inlineStr">
        <is>
          <t>システムを構成するサーバー・ソフトウェア・設定・連携と、その関係</t>
        </is>
      </c>
      <c r="F5" s="48" t="inlineStr">
        <is>
          <t>マスタ</t>
        </is>
      </c>
      <c r="G5" s="48" t="inlineStr">
        <is>
          <t>金商法</t>
        </is>
      </c>
      <c r="H5" s="52">
        <f>IF(ISNUMBER(SEARCH("GxP",G5)),"対象候補","—")</f>
        <v/>
      </c>
      <c r="I5" s="48" t="inlineStr">
        <is>
          <t>なし</t>
        </is>
      </c>
      <c r="J5" s="47" t="inlineStr">
        <is>
          <t>C03-05</t>
        </is>
      </c>
      <c r="K5" s="53">
        <f>IFERROR(INDEX(ケイパビリティマップ!$E:$E,MATCH(J5,ケイパビリティマップ!$A:$A,0)),"（IDなし）")</f>
        <v/>
      </c>
      <c r="L5" s="54">
        <f>COUNTIF('ケイパビリティ×情報オブジェクト'!E$6:E$33,"C")</f>
        <v/>
      </c>
      <c r="M5" s="54">
        <f>COUNTIF('ケイパビリティ×情報オブジェクト'!E$6:E$33,"R")</f>
        <v/>
      </c>
    </row>
    <row r="6" ht="26.85" customHeight="1">
      <c r="A6" s="47" t="inlineStr">
        <is>
          <t>MST-03</t>
        </is>
      </c>
      <c r="B6" s="48" t="inlineStr">
        <is>
          <t>共通・マスタ</t>
        </is>
      </c>
      <c r="C6" s="49" t="inlineStr">
        <is>
          <t>IT資産・ライセンス台帳</t>
        </is>
      </c>
      <c r="D6" s="50" t="inlineStr">
        <is>
          <t>IT Asset &amp; License Register</t>
        </is>
      </c>
      <c r="E6" s="51" t="inlineStr">
        <is>
          <t>端末・機器の所在・利用者と、ソフトウェアライセンス・SaaSの契約・割当</t>
        </is>
      </c>
      <c r="F6" s="48" t="inlineStr">
        <is>
          <t>マスタ</t>
        </is>
      </c>
      <c r="G6" s="48" t="inlineStr">
        <is>
          <t>なし</t>
        </is>
      </c>
      <c r="H6" s="52">
        <f>IF(ISNUMBER(SEARCH("GxP",G6)),"対象候補","—")</f>
        <v/>
      </c>
      <c r="I6" s="48" t="inlineStr">
        <is>
          <t>従業員</t>
        </is>
      </c>
      <c r="J6" s="47" t="inlineStr">
        <is>
          <t>C04-04</t>
        </is>
      </c>
      <c r="K6" s="53">
        <f>IFERROR(INDEX(ケイパビリティマップ!$E:$E,MATCH(J6,ケイパビリティマップ!$A:$A,0)),"（IDなし）")</f>
        <v/>
      </c>
      <c r="L6" s="54">
        <f>COUNTIF('ケイパビリティ×情報オブジェクト'!F$6:F$33,"C")</f>
        <v/>
      </c>
      <c r="M6" s="54">
        <f>COUNTIF('ケイパビリティ×情報オブジェクト'!F$6:F$33,"R")</f>
        <v/>
      </c>
    </row>
    <row r="7" ht="26.85" customHeight="1">
      <c r="A7" s="47" t="inlineStr">
        <is>
          <t>MST-04</t>
        </is>
      </c>
      <c r="B7" s="48" t="inlineStr">
        <is>
          <t>共通・マスタ</t>
        </is>
      </c>
      <c r="C7" s="49" t="inlineStr">
        <is>
          <t>ITサービスカタログ</t>
        </is>
      </c>
      <c r="D7" s="50" t="inlineStr">
        <is>
          <t>IT Service Catalog</t>
        </is>
      </c>
      <c r="E7" s="51" t="inlineStr">
        <is>
          <t>提供するITサービスの内容・条件・申請方法・承認者</t>
        </is>
      </c>
      <c r="F7" s="48" t="inlineStr">
        <is>
          <t>定義・仕様</t>
        </is>
      </c>
      <c r="G7" s="48" t="inlineStr">
        <is>
          <t>なし</t>
        </is>
      </c>
      <c r="H7" s="52">
        <f>IF(ISNUMBER(SEARCH("GxP",G7)),"対象候補","—")</f>
        <v/>
      </c>
      <c r="I7" s="48" t="inlineStr">
        <is>
          <t>なし</t>
        </is>
      </c>
      <c r="J7" s="47" t="inlineStr">
        <is>
          <t>C03-01</t>
        </is>
      </c>
      <c r="K7" s="53">
        <f>IFERROR(INDEX(ケイパビリティマップ!$E:$E,MATCH(J7,ケイパビリティマップ!$A:$A,0)),"（IDなし）")</f>
        <v/>
      </c>
      <c r="L7" s="54">
        <f>COUNTIF('ケイパビリティ×情報オブジェクト'!G$6:G$33,"C")</f>
        <v/>
      </c>
      <c r="M7" s="54">
        <f>COUNTIF('ケイパビリティ×情報オブジェクト'!G$6:G$33,"R")</f>
        <v/>
      </c>
    </row>
    <row r="8" ht="26.85" customHeight="1">
      <c r="A8" s="47" t="inlineStr">
        <is>
          <t>MST-05</t>
        </is>
      </c>
      <c r="B8" s="48" t="inlineStr">
        <is>
          <t>共通・マスタ</t>
        </is>
      </c>
      <c r="C8" s="49" t="inlineStr">
        <is>
          <t>ID・アカウント情報</t>
        </is>
      </c>
      <c r="D8" s="50" t="inlineStr">
        <is>
          <t>Identity &amp; Account</t>
        </is>
      </c>
      <c r="E8" s="51" t="inlineStr">
        <is>
          <t>利用者のID・所属・雇用状態と、各システムのアカウント</t>
        </is>
      </c>
      <c r="F8" s="48" t="inlineStr">
        <is>
          <t>マスタ</t>
        </is>
      </c>
      <c r="G8" s="48" t="inlineStr">
        <is>
          <t>GxP・金商法</t>
        </is>
      </c>
      <c r="H8" s="52">
        <f>IF(ISNUMBER(SEARCH("GxP",G8)),"対象候補","—")</f>
        <v/>
      </c>
      <c r="I8" s="48" t="inlineStr">
        <is>
          <t>従業員</t>
        </is>
      </c>
      <c r="J8" s="47" t="inlineStr">
        <is>
          <t>C05-02</t>
        </is>
      </c>
      <c r="K8" s="53">
        <f>IFERROR(INDEX(ケイパビリティマップ!$E:$E,MATCH(J8,ケイパビリティマップ!$A:$A,0)),"（IDなし）")</f>
        <v/>
      </c>
      <c r="L8" s="54">
        <f>COUNTIF('ケイパビリティ×情報オブジェクト'!H$6:H$33,"C")</f>
        <v/>
      </c>
      <c r="M8" s="54">
        <f>COUNTIF('ケイパビリティ×情報オブジェクト'!H$6:H$33,"R")</f>
        <v/>
      </c>
    </row>
    <row r="9" ht="26.85" customHeight="1">
      <c r="A9" s="47" t="inlineStr">
        <is>
          <t>MST-06</t>
        </is>
      </c>
      <c r="B9" s="48" t="inlineStr">
        <is>
          <t>共通・マスタ</t>
        </is>
      </c>
      <c r="C9" s="49" t="inlineStr">
        <is>
          <t>データ定義・データカタログ</t>
        </is>
      </c>
      <c r="D9" s="50" t="inlineStr">
        <is>
          <t>Data Definition &amp; Catalog</t>
        </is>
      </c>
      <c r="E9" s="51" t="inlineStr">
        <is>
          <t>データ項目の定義・所在・正本・責任者と、マスタデータの定義</t>
        </is>
      </c>
      <c r="F9" s="48" t="inlineStr">
        <is>
          <t>定義・仕様</t>
        </is>
      </c>
      <c r="G9" s="48" t="inlineStr">
        <is>
          <t>なし</t>
        </is>
      </c>
      <c r="H9" s="52">
        <f>IF(ISNUMBER(SEARCH("GxP",G9)),"対象候補","—")</f>
        <v/>
      </c>
      <c r="I9" s="48" t="inlineStr">
        <is>
          <t>なし</t>
        </is>
      </c>
      <c r="J9" s="47" t="inlineStr">
        <is>
          <t>C06-03</t>
        </is>
      </c>
      <c r="K9" s="53">
        <f>IFERROR(INDEX(ケイパビリティマップ!$E:$E,MATCH(J9,ケイパビリティマップ!$A:$A,0)),"（IDなし）")</f>
        <v/>
      </c>
      <c r="L9" s="54">
        <f>COUNTIF('ケイパビリティ×情報オブジェクト'!I$6:I$33,"C")</f>
        <v/>
      </c>
      <c r="M9" s="54">
        <f>COUNTIF('ケイパビリティ×情報オブジェクト'!I$6:I$33,"R")</f>
        <v/>
      </c>
    </row>
    <row r="10" ht="26.85" customHeight="1">
      <c r="A10" s="47" t="inlineStr">
        <is>
          <t>MST-07</t>
        </is>
      </c>
      <c r="B10" s="48" t="inlineStr">
        <is>
          <t>共通・マスタ</t>
        </is>
      </c>
      <c r="C10" s="49" t="inlineStr">
        <is>
          <t>ベンダー情報</t>
        </is>
      </c>
      <c r="D10" s="50" t="inlineStr">
        <is>
          <t>Vendor Profile</t>
        </is>
      </c>
      <c r="E10" s="51" t="inlineStr">
        <is>
          <t>委託先・SaaS事業者の名称・取引の区分（取適法の対象か）・担当範囲・資格</t>
        </is>
      </c>
      <c r="F10" s="48" t="inlineStr">
        <is>
          <t>マスタ</t>
        </is>
      </c>
      <c r="G10" s="48" t="inlineStr">
        <is>
          <t>取適法</t>
        </is>
      </c>
      <c r="H10" s="52">
        <f>IF(ISNUMBER(SEARCH("GxP",G10)),"対象候補","—")</f>
        <v/>
      </c>
      <c r="I10" s="48" t="inlineStr">
        <is>
          <t>なし</t>
        </is>
      </c>
      <c r="J10" s="47" t="inlineStr">
        <is>
          <t>C07-01</t>
        </is>
      </c>
      <c r="K10" s="53">
        <f>IFERROR(INDEX(ケイパビリティマップ!$E:$E,MATCH(J10,ケイパビリティマップ!$A:$A,0)),"（IDなし）")</f>
        <v/>
      </c>
      <c r="L10" s="54">
        <f>COUNTIF('ケイパビリティ×情報オブジェクト'!J$6:J$33,"C")</f>
        <v/>
      </c>
      <c r="M10" s="54">
        <f>COUNTIF('ケイパビリティ×情報オブジェクト'!J$6:J$33,"R")</f>
        <v/>
      </c>
    </row>
    <row r="11" ht="26.85" customHeight="1">
      <c r="A11" s="47" t="inlineStr">
        <is>
          <t>STR-01</t>
        </is>
      </c>
      <c r="B11" s="48" t="inlineStr">
        <is>
          <t>戦略・投資</t>
        </is>
      </c>
      <c r="C11" s="49" t="inlineStr">
        <is>
          <t>事業戦略・DX方針</t>
        </is>
      </c>
      <c r="D11" s="50" t="inlineStr">
        <is>
          <t>Business Strategy &amp; DX Policy</t>
        </is>
      </c>
      <c r="E11" s="51" t="inlineStr">
        <is>
          <t>中期経営計画、事業部門の戦略、DXの方針（ITが受け取る入力）</t>
        </is>
      </c>
      <c r="F11" s="48" t="inlineStr">
        <is>
          <t>文書</t>
        </is>
      </c>
      <c r="G11" s="48" t="inlineStr">
        <is>
          <t>なし</t>
        </is>
      </c>
      <c r="H11" s="52">
        <f>IF(ISNUMBER(SEARCH("GxP",G11)),"対象候補","—")</f>
        <v/>
      </c>
      <c r="I11" s="48" t="inlineStr">
        <is>
          <t>なし</t>
        </is>
      </c>
      <c r="J11" s="47" t="inlineStr">
        <is>
          <t>C01-01</t>
        </is>
      </c>
      <c r="K11" s="53">
        <f>IFERROR(INDEX(ケイパビリティマップ!$E:$E,MATCH(J11,ケイパビリティマップ!$A:$A,0)),"（IDなし）")</f>
        <v/>
      </c>
      <c r="L11" s="54">
        <f>COUNTIF('ケイパビリティ×情報オブジェクト'!K$6:K$33,"C")</f>
        <v/>
      </c>
      <c r="M11" s="54">
        <f>COUNTIF('ケイパビリティ×情報オブジェクト'!K$6:K$33,"R")</f>
        <v/>
      </c>
    </row>
    <row r="12" ht="26.85" customHeight="1">
      <c r="A12" s="47" t="inlineStr">
        <is>
          <t>STR-02</t>
        </is>
      </c>
      <c r="B12" s="48" t="inlineStr">
        <is>
          <t>戦略・投資</t>
        </is>
      </c>
      <c r="C12" s="49" t="inlineStr">
        <is>
          <t>IT戦略・ロードマップ</t>
        </is>
      </c>
      <c r="D12" s="50" t="inlineStr">
        <is>
          <t>IT Strategy &amp; Roadmap</t>
        </is>
      </c>
      <c r="E12" s="51" t="inlineStr">
        <is>
          <t>ITの目標・重点施策と、中長期の実行計画</t>
        </is>
      </c>
      <c r="F12" s="48" t="inlineStr">
        <is>
          <t>文書</t>
        </is>
      </c>
      <c r="G12" s="48" t="inlineStr">
        <is>
          <t>なし</t>
        </is>
      </c>
      <c r="H12" s="52">
        <f>IF(ISNUMBER(SEARCH("GxP",G12)),"対象候補","—")</f>
        <v/>
      </c>
      <c r="I12" s="48" t="inlineStr">
        <is>
          <t>なし</t>
        </is>
      </c>
      <c r="J12" s="47" t="inlineStr">
        <is>
          <t>C01-01</t>
        </is>
      </c>
      <c r="K12" s="53">
        <f>IFERROR(INDEX(ケイパビリティマップ!$E:$E,MATCH(J12,ケイパビリティマップ!$A:$A,0)),"（IDなし）")</f>
        <v/>
      </c>
      <c r="L12" s="54">
        <f>COUNTIF('ケイパビリティ×情報オブジェクト'!L$6:L$33,"C")</f>
        <v/>
      </c>
      <c r="M12" s="54">
        <f>COUNTIF('ケイパビリティ×情報オブジェクト'!L$6:L$33,"R")</f>
        <v/>
      </c>
    </row>
    <row r="13" ht="26.85" customHeight="1">
      <c r="A13" s="47" t="inlineStr">
        <is>
          <t>STR-03</t>
        </is>
      </c>
      <c r="B13" s="48" t="inlineStr">
        <is>
          <t>戦略・投資</t>
        </is>
      </c>
      <c r="C13" s="49" t="inlineStr">
        <is>
          <t>エンタープライズアーキテクチャ</t>
        </is>
      </c>
      <c r="D13" s="50" t="inlineStr">
        <is>
          <t>Enterprise Architecture</t>
        </is>
      </c>
      <c r="E13" s="51" t="inlineStr">
        <is>
          <t>業務・アプリケーション・データ・技術の現状と将来像、移行の道筋</t>
        </is>
      </c>
      <c r="F13" s="48" t="inlineStr">
        <is>
          <t>定義・仕様</t>
        </is>
      </c>
      <c r="G13" s="48" t="inlineStr">
        <is>
          <t>なし</t>
        </is>
      </c>
      <c r="H13" s="52">
        <f>IF(ISNUMBER(SEARCH("GxP",G13)),"対象候補","—")</f>
        <v/>
      </c>
      <c r="I13" s="48" t="inlineStr">
        <is>
          <t>なし</t>
        </is>
      </c>
      <c r="J13" s="47" t="inlineStr">
        <is>
          <t>C01-02</t>
        </is>
      </c>
      <c r="K13" s="53">
        <f>IFERROR(INDEX(ケイパビリティマップ!$E:$E,MATCH(J13,ケイパビリティマップ!$A:$A,0)),"（IDなし）")</f>
        <v/>
      </c>
      <c r="L13" s="54">
        <f>COUNTIF('ケイパビリティ×情報オブジェクト'!M$6:M$33,"C")</f>
        <v/>
      </c>
      <c r="M13" s="54">
        <f>COUNTIF('ケイパビリティ×情報オブジェクト'!M$6:M$33,"R")</f>
        <v/>
      </c>
    </row>
    <row r="14" ht="26.85" customHeight="1">
      <c r="A14" s="47" t="inlineStr">
        <is>
          <t>STR-04</t>
        </is>
      </c>
      <c r="B14" s="48" t="inlineStr">
        <is>
          <t>戦略・投資</t>
        </is>
      </c>
      <c r="C14" s="49" t="inlineStr">
        <is>
          <t>技術標準</t>
        </is>
      </c>
      <c r="D14" s="50" t="inlineStr">
        <is>
          <t>Technology Standards</t>
        </is>
      </c>
      <c r="E14" s="51" t="inlineStr">
        <is>
          <t>採用する技術・製品・連携方式の標準と、例外の記録</t>
        </is>
      </c>
      <c r="F14" s="48" t="inlineStr">
        <is>
          <t>定義・仕様</t>
        </is>
      </c>
      <c r="G14" s="48" t="inlineStr">
        <is>
          <t>なし</t>
        </is>
      </c>
      <c r="H14" s="52">
        <f>IF(ISNUMBER(SEARCH("GxP",G14)),"対象候補","—")</f>
        <v/>
      </c>
      <c r="I14" s="48" t="inlineStr">
        <is>
          <t>なし</t>
        </is>
      </c>
      <c r="J14" s="47" t="inlineStr">
        <is>
          <t>C01-02</t>
        </is>
      </c>
      <c r="K14" s="53">
        <f>IFERROR(INDEX(ケイパビリティマップ!$E:$E,MATCH(J14,ケイパビリティマップ!$A:$A,0)),"（IDなし）")</f>
        <v/>
      </c>
      <c r="L14" s="54">
        <f>COUNTIF('ケイパビリティ×情報オブジェクト'!N$6:N$33,"C")</f>
        <v/>
      </c>
      <c r="M14" s="54">
        <f>COUNTIF('ケイパビリティ×情報オブジェクト'!N$6:N$33,"R")</f>
        <v/>
      </c>
    </row>
    <row r="15" ht="26.85" customHeight="1">
      <c r="A15" s="47" t="inlineStr">
        <is>
          <t>STR-05</t>
        </is>
      </c>
      <c r="B15" s="48" t="inlineStr">
        <is>
          <t>戦略・投資</t>
        </is>
      </c>
      <c r="C15" s="49" t="inlineStr">
        <is>
          <t>IT規程・手順書</t>
        </is>
      </c>
      <c r="D15" s="50" t="inlineStr">
        <is>
          <t>IT Policies &amp; SOPs</t>
        </is>
      </c>
      <c r="E15" s="51" t="inlineStr">
        <is>
          <t>IT規程と、CSV・変更管理・アクセス管理・バックアップなどの標準手順書</t>
        </is>
      </c>
      <c r="F15" s="48" t="inlineStr">
        <is>
          <t>文書</t>
        </is>
      </c>
      <c r="G15" s="48" t="inlineStr">
        <is>
          <t>GxP・金商法</t>
        </is>
      </c>
      <c r="H15" s="52">
        <f>IF(ISNUMBER(SEARCH("GxP",G15)),"対象候補","—")</f>
        <v/>
      </c>
      <c r="I15" s="48" t="inlineStr">
        <is>
          <t>なし</t>
        </is>
      </c>
      <c r="J15" s="47" t="inlineStr">
        <is>
          <t>C01-04</t>
        </is>
      </c>
      <c r="K15" s="53">
        <f>IFERROR(INDEX(ケイパビリティマップ!$E:$E,MATCH(J15,ケイパビリティマップ!$A:$A,0)),"（IDなし）")</f>
        <v/>
      </c>
      <c r="L15" s="54">
        <f>COUNTIF('ケイパビリティ×情報オブジェクト'!O$6:O$33,"C")</f>
        <v/>
      </c>
      <c r="M15" s="54">
        <f>COUNTIF('ケイパビリティ×情報オブジェクト'!O$6:O$33,"R")</f>
        <v/>
      </c>
    </row>
    <row r="16" ht="26.85" customHeight="1">
      <c r="A16" s="47" t="inlineStr">
        <is>
          <t>STR-06</t>
        </is>
      </c>
      <c r="B16" s="48" t="inlineStr">
        <is>
          <t>戦略・投資</t>
        </is>
      </c>
      <c r="C16" s="49" t="inlineStr">
        <is>
          <t>IT投資要求</t>
        </is>
      </c>
      <c r="D16" s="50" t="inlineStr">
        <is>
          <t>IT Demand Request</t>
        </is>
      </c>
      <c r="E16" s="51" t="inlineStr">
        <is>
          <t>事業部門からのIT需要・改善要求（目的・範囲・期限）</t>
        </is>
      </c>
      <c r="F16" s="48" t="inlineStr">
        <is>
          <t>トランザクション</t>
        </is>
      </c>
      <c r="G16" s="48" t="inlineStr">
        <is>
          <t>なし</t>
        </is>
      </c>
      <c r="H16" s="52">
        <f>IF(ISNUMBER(SEARCH("GxP",G16)),"対象候補","—")</f>
        <v/>
      </c>
      <c r="I16" s="48" t="inlineStr">
        <is>
          <t>なし</t>
        </is>
      </c>
      <c r="J16" s="47" t="inlineStr">
        <is>
          <t>C01-03</t>
        </is>
      </c>
      <c r="K16" s="53">
        <f>IFERROR(INDEX(ケイパビリティマップ!$E:$E,MATCH(J16,ケイパビリティマップ!$A:$A,0)),"（IDなし）")</f>
        <v/>
      </c>
      <c r="L16" s="54">
        <f>COUNTIF('ケイパビリティ×情報オブジェクト'!P$6:P$33,"C")</f>
        <v/>
      </c>
      <c r="M16" s="54">
        <f>COUNTIF('ケイパビリティ×情報オブジェクト'!P$6:P$33,"R")</f>
        <v/>
      </c>
    </row>
    <row r="17" ht="26.85" customHeight="1">
      <c r="A17" s="47" t="inlineStr">
        <is>
          <t>STR-07</t>
        </is>
      </c>
      <c r="B17" s="48" t="inlineStr">
        <is>
          <t>戦略・投資</t>
        </is>
      </c>
      <c r="C17" s="49" t="inlineStr">
        <is>
          <t>ビジネスケース</t>
        </is>
      </c>
      <c r="D17" s="50" t="inlineStr">
        <is>
          <t>Business Case</t>
        </is>
      </c>
      <c r="E17" s="51" t="inlineStr">
        <is>
          <t>構想・概算見積・効果・リスクと、内製・委託・SaaSのソーシング方針</t>
        </is>
      </c>
      <c r="F17" s="48" t="inlineStr">
        <is>
          <t>文書</t>
        </is>
      </c>
      <c r="G17" s="48" t="inlineStr">
        <is>
          <t>なし</t>
        </is>
      </c>
      <c r="H17" s="52">
        <f>IF(ISNUMBER(SEARCH("GxP",G17)),"対象候補","—")</f>
        <v/>
      </c>
      <c r="I17" s="48" t="inlineStr">
        <is>
          <t>なし</t>
        </is>
      </c>
      <c r="J17" s="47" t="inlineStr">
        <is>
          <t>C01-03</t>
        </is>
      </c>
      <c r="K17" s="53">
        <f>IFERROR(INDEX(ケイパビリティマップ!$E:$E,MATCH(J17,ケイパビリティマップ!$A:$A,0)),"（IDなし）")</f>
        <v/>
      </c>
      <c r="L17" s="54">
        <f>COUNTIF('ケイパビリティ×情報オブジェクト'!Q$6:Q$33,"C")</f>
        <v/>
      </c>
      <c r="M17" s="54">
        <f>COUNTIF('ケイパビリティ×情報オブジェクト'!Q$6:Q$33,"R")</f>
        <v/>
      </c>
    </row>
    <row r="18" ht="26.85" customHeight="1">
      <c r="A18" s="47" t="inlineStr">
        <is>
          <t>STR-08</t>
        </is>
      </c>
      <c r="B18" s="48" t="inlineStr">
        <is>
          <t>戦略・投資</t>
        </is>
      </c>
      <c r="C18" s="49" t="inlineStr">
        <is>
          <t>ITポートフォリオ</t>
        </is>
      </c>
      <c r="D18" s="50" t="inlineStr">
        <is>
          <t>IT Portfolio</t>
        </is>
      </c>
      <c r="E18" s="51" t="inlineStr">
        <is>
          <t>投資案件と既存システムの一覧・評価・優先順位・継続／廃止の判断</t>
        </is>
      </c>
      <c r="F18" s="48" t="inlineStr">
        <is>
          <t>分析・評価</t>
        </is>
      </c>
      <c r="G18" s="48" t="inlineStr">
        <is>
          <t>なし</t>
        </is>
      </c>
      <c r="H18" s="52">
        <f>IF(ISNUMBER(SEARCH("GxP",G18)),"対象候補","—")</f>
        <v/>
      </c>
      <c r="I18" s="48" t="inlineStr">
        <is>
          <t>なし</t>
        </is>
      </c>
      <c r="J18" s="47" t="inlineStr">
        <is>
          <t>C01-03</t>
        </is>
      </c>
      <c r="K18" s="53">
        <f>IFERROR(INDEX(ケイパビリティマップ!$E:$E,MATCH(J18,ケイパビリティマップ!$A:$A,0)),"（IDなし）")</f>
        <v/>
      </c>
      <c r="L18" s="54">
        <f>COUNTIF('ケイパビリティ×情報オブジェクト'!R$6:R$33,"C")</f>
        <v/>
      </c>
      <c r="M18" s="54">
        <f>COUNTIF('ケイパビリティ×情報オブジェクト'!R$6:R$33,"R")</f>
        <v/>
      </c>
    </row>
    <row r="19" ht="26.85" customHeight="1">
      <c r="A19" s="47" t="inlineStr">
        <is>
          <t>STR-09</t>
        </is>
      </c>
      <c r="B19" s="48" t="inlineStr">
        <is>
          <t>戦略・投資</t>
        </is>
      </c>
      <c r="C19" s="49" t="inlineStr">
        <is>
          <t>IT予算・費用実績</t>
        </is>
      </c>
      <c r="D19" s="50" t="inlineStr">
        <is>
          <t>IT Budget &amp; Actuals</t>
        </is>
      </c>
      <c r="E19" s="51" t="inlineStr">
        <is>
          <t>IT予算の配分と、案件・サービス別の費用の実績</t>
        </is>
      </c>
      <c r="F19" s="48" t="inlineStr">
        <is>
          <t>トランザクション</t>
        </is>
      </c>
      <c r="G19" s="48" t="inlineStr">
        <is>
          <t>なし</t>
        </is>
      </c>
      <c r="H19" s="52">
        <f>IF(ISNUMBER(SEARCH("GxP",G19)),"対象候補","—")</f>
        <v/>
      </c>
      <c r="I19" s="48" t="inlineStr">
        <is>
          <t>なし</t>
        </is>
      </c>
      <c r="J19" s="47" t="inlineStr">
        <is>
          <t>C01-05</t>
        </is>
      </c>
      <c r="K19" s="53">
        <f>IFERROR(INDEX(ケイパビリティマップ!$E:$E,MATCH(J19,ケイパビリティマップ!$A:$A,0)),"（IDなし）")</f>
        <v/>
      </c>
      <c r="L19" s="54">
        <f>COUNTIF('ケイパビリティ×情報オブジェクト'!S$6:S$33,"C")</f>
        <v/>
      </c>
      <c r="M19" s="54">
        <f>COUNTIF('ケイパビリティ×情報オブジェクト'!S$6:S$33,"R")</f>
        <v/>
      </c>
    </row>
    <row r="20" ht="26.85" customHeight="1">
      <c r="A20" s="47" t="inlineStr">
        <is>
          <t>STR-10</t>
        </is>
      </c>
      <c r="B20" s="48" t="inlineStr">
        <is>
          <t>戦略・投資</t>
        </is>
      </c>
      <c r="C20" s="49" t="inlineStr">
        <is>
          <t>利用実績・費用配賦</t>
        </is>
      </c>
      <c r="D20" s="50" t="inlineStr">
        <is>
          <t>Usage &amp; Chargeback</t>
        </is>
      </c>
      <c r="E20" s="51" t="inlineStr">
        <is>
          <t>サービス・ライセンスの利用量と、部門への費用の配賦</t>
        </is>
      </c>
      <c r="F20" s="48" t="inlineStr">
        <is>
          <t>分析・評価</t>
        </is>
      </c>
      <c r="G20" s="48" t="inlineStr">
        <is>
          <t>なし</t>
        </is>
      </c>
      <c r="H20" s="52">
        <f>IF(ISNUMBER(SEARCH("GxP",G20)),"対象候補","—")</f>
        <v/>
      </c>
      <c r="I20" s="48" t="inlineStr">
        <is>
          <t>なし</t>
        </is>
      </c>
      <c r="J20" s="47" t="inlineStr">
        <is>
          <t>C01-05</t>
        </is>
      </c>
      <c r="K20" s="53">
        <f>IFERROR(INDEX(ケイパビリティマップ!$E:$E,MATCH(J20,ケイパビリティマップ!$A:$A,0)),"（IDなし）")</f>
        <v/>
      </c>
      <c r="L20" s="54">
        <f>COUNTIF('ケイパビリティ×情報オブジェクト'!T$6:T$33,"C")</f>
        <v/>
      </c>
      <c r="M20" s="54">
        <f>COUNTIF('ケイパビリティ×情報オブジェクト'!T$6:T$33,"R")</f>
        <v/>
      </c>
    </row>
    <row r="21" ht="26.85" customHeight="1">
      <c r="A21" s="47" t="inlineStr">
        <is>
          <t>STR-11</t>
        </is>
      </c>
      <c r="B21" s="48" t="inlineStr">
        <is>
          <t>戦略・投資</t>
        </is>
      </c>
      <c r="C21" s="49" t="inlineStr">
        <is>
          <t>ITリスク登録簿</t>
        </is>
      </c>
      <c r="D21" s="50" t="inlineStr">
        <is>
          <t>IT Risk Register</t>
        </is>
      </c>
      <c r="E21" s="51" t="inlineStr">
        <is>
          <t>ITリスク（老朽化・ベンダー依存・統制の不備など）の評価と対策の状況</t>
        </is>
      </c>
      <c r="F21" s="48" t="inlineStr">
        <is>
          <t>分析・評価</t>
        </is>
      </c>
      <c r="G21" s="48" t="inlineStr">
        <is>
          <t>金商法</t>
        </is>
      </c>
      <c r="H21" s="52">
        <f>IF(ISNUMBER(SEARCH("GxP",G21)),"対象候補","—")</f>
        <v/>
      </c>
      <c r="I21" s="48" t="inlineStr">
        <is>
          <t>なし</t>
        </is>
      </c>
      <c r="J21" s="47" t="inlineStr">
        <is>
          <t>C01-04</t>
        </is>
      </c>
      <c r="K21" s="53">
        <f>IFERROR(INDEX(ケイパビリティマップ!$E:$E,MATCH(J21,ケイパビリティマップ!$A:$A,0)),"（IDなし）")</f>
        <v/>
      </c>
      <c r="L21" s="54">
        <f>COUNTIF('ケイパビリティ×情報オブジェクト'!U$6:U$33,"C")</f>
        <v/>
      </c>
      <c r="M21" s="54">
        <f>COUNTIF('ケイパビリティ×情報オブジェクト'!U$6:U$33,"R")</f>
        <v/>
      </c>
    </row>
    <row r="22" ht="26.85" customHeight="1">
      <c r="A22" s="47" t="inlineStr">
        <is>
          <t>DEV-01</t>
        </is>
      </c>
      <c r="B22" s="48" t="inlineStr">
        <is>
          <t>開発・導入</t>
        </is>
      </c>
      <c r="C22" s="49" t="inlineStr">
        <is>
          <t>プロジェクト計画</t>
        </is>
      </c>
      <c r="D22" s="50" t="inlineStr">
        <is>
          <t>Project Plan</t>
        </is>
      </c>
      <c r="E22" s="51" t="inlineStr">
        <is>
          <t>範囲・体制（内製と委託の分担）・スケジュール・課題・リスク</t>
        </is>
      </c>
      <c r="F22" s="48" t="inlineStr">
        <is>
          <t>文書</t>
        </is>
      </c>
      <c r="G22" s="48" t="inlineStr">
        <is>
          <t>なし</t>
        </is>
      </c>
      <c r="H22" s="52">
        <f>IF(ISNUMBER(SEARCH("GxP",G22)),"対象候補","—")</f>
        <v/>
      </c>
      <c r="I22" s="48" t="inlineStr">
        <is>
          <t>なし</t>
        </is>
      </c>
      <c r="J22" s="47" t="inlineStr">
        <is>
          <t>C02-01</t>
        </is>
      </c>
      <c r="K22" s="53">
        <f>IFERROR(INDEX(ケイパビリティマップ!$E:$E,MATCH(J22,ケイパビリティマップ!$A:$A,0)),"（IDなし）")</f>
        <v/>
      </c>
      <c r="L22" s="54">
        <f>COUNTIF('ケイパビリティ×情報オブジェクト'!V$6:V$33,"C")</f>
        <v/>
      </c>
      <c r="M22" s="54">
        <f>COUNTIF('ケイパビリティ×情報オブジェクト'!V$6:V$33,"R")</f>
        <v/>
      </c>
    </row>
    <row r="23" ht="26.85" customHeight="1">
      <c r="A23" s="47" t="inlineStr">
        <is>
          <t>DEV-02</t>
        </is>
      </c>
      <c r="B23" s="48" t="inlineStr">
        <is>
          <t>開発・導入</t>
        </is>
      </c>
      <c r="C23" s="49" t="inlineStr">
        <is>
          <t>要求仕様書（URS）</t>
        </is>
      </c>
      <c r="D23" s="50" t="inlineStr">
        <is>
          <t>User Requirements Specification</t>
        </is>
      </c>
      <c r="E23" s="51" t="inlineStr">
        <is>
          <t>業務の要求、GxP・データインテグリティの要求、受入の基準</t>
        </is>
      </c>
      <c r="F23" s="48" t="inlineStr">
        <is>
          <t>定義・仕様</t>
        </is>
      </c>
      <c r="G23" s="48" t="inlineStr">
        <is>
          <t>GxP</t>
        </is>
      </c>
      <c r="H23" s="52">
        <f>IF(ISNUMBER(SEARCH("GxP",G23)),"対象候補","—")</f>
        <v/>
      </c>
      <c r="I23" s="48" t="inlineStr">
        <is>
          <t>なし</t>
        </is>
      </c>
      <c r="J23" s="47" t="inlineStr">
        <is>
          <t>C02-02</t>
        </is>
      </c>
      <c r="K23" s="53">
        <f>IFERROR(INDEX(ケイパビリティマップ!$E:$E,MATCH(J23,ケイパビリティマップ!$A:$A,0)),"（IDなし）")</f>
        <v/>
      </c>
      <c r="L23" s="54">
        <f>COUNTIF('ケイパビリティ×情報オブジェクト'!W$6:W$33,"C")</f>
        <v/>
      </c>
      <c r="M23" s="54">
        <f>COUNTIF('ケイパビリティ×情報オブジェクト'!W$6:W$33,"R")</f>
        <v/>
      </c>
    </row>
    <row r="24" ht="26.85" customHeight="1">
      <c r="A24" s="47" t="inlineStr">
        <is>
          <t>DEV-03</t>
        </is>
      </c>
      <c r="B24" s="48" t="inlineStr">
        <is>
          <t>開発・導入</t>
        </is>
      </c>
      <c r="C24" s="49" t="inlineStr">
        <is>
          <t>設計書（機能・設計仕様）</t>
        </is>
      </c>
      <c r="D24" s="50" t="inlineStr">
        <is>
          <t>Functional &amp; Design Specification</t>
        </is>
      </c>
      <c r="E24" s="51" t="inlineStr">
        <is>
          <t>機能・データ・画面・構成・連携と、アクセス制御・監査証跡・電子署名の設計</t>
        </is>
      </c>
      <c r="F24" s="48" t="inlineStr">
        <is>
          <t>定義・仕様</t>
        </is>
      </c>
      <c r="G24" s="48" t="inlineStr">
        <is>
          <t>GxP</t>
        </is>
      </c>
      <c r="H24" s="52">
        <f>IF(ISNUMBER(SEARCH("GxP",G24)),"対象候補","—")</f>
        <v/>
      </c>
      <c r="I24" s="48" t="inlineStr">
        <is>
          <t>なし</t>
        </is>
      </c>
      <c r="J24" s="47" t="inlineStr">
        <is>
          <t>C02-02</t>
        </is>
      </c>
      <c r="K24" s="53">
        <f>IFERROR(INDEX(ケイパビリティマップ!$E:$E,MATCH(J24,ケイパビリティマップ!$A:$A,0)),"（IDなし）")</f>
        <v/>
      </c>
      <c r="L24" s="54">
        <f>COUNTIF('ケイパビリティ×情報オブジェクト'!X$6:X$33,"C")</f>
        <v/>
      </c>
      <c r="M24" s="54">
        <f>COUNTIF('ケイパビリティ×情報オブジェクト'!X$6:X$33,"R")</f>
        <v/>
      </c>
    </row>
    <row r="25" ht="26.85" customHeight="1">
      <c r="A25" s="47" t="inlineStr">
        <is>
          <t>DEV-04</t>
        </is>
      </c>
      <c r="B25" s="48" t="inlineStr">
        <is>
          <t>開発・導入</t>
        </is>
      </c>
      <c r="C25" s="49" t="inlineStr">
        <is>
          <t>ソースコード・構成設定</t>
        </is>
      </c>
      <c r="D25" s="50" t="inlineStr">
        <is>
          <t>Source Code &amp; Configuration</t>
        </is>
      </c>
      <c r="E25" s="51" t="inlineStr">
        <is>
          <t>ソースコードと、パッケージ・SaaSの設定値（版の管理を含む）</t>
        </is>
      </c>
      <c r="F25" s="48" t="inlineStr">
        <is>
          <t>定義・仕様</t>
        </is>
      </c>
      <c r="G25" s="48" t="inlineStr">
        <is>
          <t>なし</t>
        </is>
      </c>
      <c r="H25" s="52">
        <f>IF(ISNUMBER(SEARCH("GxP",G25)),"対象候補","—")</f>
        <v/>
      </c>
      <c r="I25" s="48" t="inlineStr">
        <is>
          <t>なし</t>
        </is>
      </c>
      <c r="J25" s="47" t="inlineStr">
        <is>
          <t>C02-03</t>
        </is>
      </c>
      <c r="K25" s="53">
        <f>IFERROR(INDEX(ケイパビリティマップ!$E:$E,MATCH(J25,ケイパビリティマップ!$A:$A,0)),"（IDなし）")</f>
        <v/>
      </c>
      <c r="L25" s="54">
        <f>COUNTIF('ケイパビリティ×情報オブジェクト'!Y$6:Y$33,"C")</f>
        <v/>
      </c>
      <c r="M25" s="54">
        <f>COUNTIF('ケイパビリティ×情報オブジェクト'!Y$6:Y$33,"R")</f>
        <v/>
      </c>
    </row>
    <row r="26" ht="26.85" customHeight="1">
      <c r="A26" s="47" t="inlineStr">
        <is>
          <t>DEV-05</t>
        </is>
      </c>
      <c r="B26" s="48" t="inlineStr">
        <is>
          <t>開発・導入</t>
        </is>
      </c>
      <c r="C26" s="49" t="inlineStr">
        <is>
          <t>テスト記録</t>
        </is>
      </c>
      <c r="D26" s="50" t="inlineStr">
        <is>
          <t>Test Records</t>
        </is>
      </c>
      <c r="E26" s="51" t="inlineStr">
        <is>
          <t>テストの手順・結果・不具合と、IQ・OQ・PQ・UATの実施記録</t>
        </is>
      </c>
      <c r="F26" s="48" t="inlineStr">
        <is>
          <t>測定データ</t>
        </is>
      </c>
      <c r="G26" s="48" t="inlineStr">
        <is>
          <t>GxP</t>
        </is>
      </c>
      <c r="H26" s="52">
        <f>IF(ISNUMBER(SEARCH("GxP",G26)),"対象候補","—")</f>
        <v/>
      </c>
      <c r="I26" s="48" t="inlineStr">
        <is>
          <t>なし</t>
        </is>
      </c>
      <c r="J26" s="47" t="inlineStr">
        <is>
          <t>C02-04</t>
        </is>
      </c>
      <c r="K26" s="53">
        <f>IFERROR(INDEX(ケイパビリティマップ!$E:$E,MATCH(J26,ケイパビリティマップ!$A:$A,0)),"（IDなし）")</f>
        <v/>
      </c>
      <c r="L26" s="54">
        <f>COUNTIF('ケイパビリティ×情報オブジェクト'!Z$6:Z$33,"C")</f>
        <v/>
      </c>
      <c r="M26" s="54">
        <f>COUNTIF('ケイパビリティ×情報オブジェクト'!Z$6:Z$33,"R")</f>
        <v/>
      </c>
    </row>
    <row r="27" ht="26.85" customHeight="1">
      <c r="A27" s="47" t="inlineStr">
        <is>
          <t>DEV-06</t>
        </is>
      </c>
      <c r="B27" s="48" t="inlineStr">
        <is>
          <t>開発・導入</t>
        </is>
      </c>
      <c r="C27" s="49" t="inlineStr">
        <is>
          <t>リリース・移行計画</t>
        </is>
      </c>
      <c r="D27" s="50" t="inlineStr">
        <is>
          <t>Release &amp; Migration Plan</t>
        </is>
      </c>
      <c r="E27" s="51" t="inlineStr">
        <is>
          <t>リリースの手順・判定基準と、データ移行の方法・検証方法</t>
        </is>
      </c>
      <c r="F27" s="48" t="inlineStr">
        <is>
          <t>文書</t>
        </is>
      </c>
      <c r="G27" s="48" t="inlineStr">
        <is>
          <t>GxP</t>
        </is>
      </c>
      <c r="H27" s="52">
        <f>IF(ISNUMBER(SEARCH("GxP",G27)),"対象候補","—")</f>
        <v/>
      </c>
      <c r="I27" s="48" t="inlineStr">
        <is>
          <t>なし</t>
        </is>
      </c>
      <c r="J27" s="47" t="inlineStr">
        <is>
          <t>C02-04</t>
        </is>
      </c>
      <c r="K27" s="53">
        <f>IFERROR(INDEX(ケイパビリティマップ!$E:$E,MATCH(J27,ケイパビリティマップ!$A:$A,0)),"（IDなし）")</f>
        <v/>
      </c>
      <c r="L27" s="54">
        <f>COUNTIF('ケイパビリティ×情報オブジェクト'!AA$6:AA$33,"C")</f>
        <v/>
      </c>
      <c r="M27" s="54">
        <f>COUNTIF('ケイパビリティ×情報オブジェクト'!AA$6:AA$33,"R")</f>
        <v/>
      </c>
    </row>
    <row r="28" ht="26.85" customHeight="1">
      <c r="A28" s="47" t="inlineStr">
        <is>
          <t>GXP-01</t>
        </is>
      </c>
      <c r="B28" s="48" t="inlineStr">
        <is>
          <t>GxP・データ</t>
        </is>
      </c>
      <c r="C28" s="49" t="inlineStr">
        <is>
          <t>GxP該当性評価</t>
        </is>
      </c>
      <c r="D28" s="50" t="inlineStr">
        <is>
          <t>GxP Assessment &amp; System Classification</t>
        </is>
      </c>
      <c r="E28" s="51" t="inlineStr">
        <is>
          <t>GxPへの該当性、ソフトウェアのカテゴリ、影響する記録・業務</t>
        </is>
      </c>
      <c r="F28" s="48" t="inlineStr">
        <is>
          <t>分析・評価</t>
        </is>
      </c>
      <c r="G28" s="48" t="inlineStr">
        <is>
          <t>GxP</t>
        </is>
      </c>
      <c r="H28" s="52">
        <f>IF(ISNUMBER(SEARCH("GxP",G28)),"対象候補","—")</f>
        <v/>
      </c>
      <c r="I28" s="48" t="inlineStr">
        <is>
          <t>なし</t>
        </is>
      </c>
      <c r="J28" s="47" t="inlineStr">
        <is>
          <t>C06-01</t>
        </is>
      </c>
      <c r="K28" s="53">
        <f>IFERROR(INDEX(ケイパビリティマップ!$E:$E,MATCH(J28,ケイパビリティマップ!$A:$A,0)),"（IDなし）")</f>
        <v/>
      </c>
      <c r="L28" s="54">
        <f>COUNTIF('ケイパビリティ×情報オブジェクト'!AB$6:AB$33,"C")</f>
        <v/>
      </c>
      <c r="M28" s="54">
        <f>COUNTIF('ケイパビリティ×情報オブジェクト'!AB$6:AB$33,"R")</f>
        <v/>
      </c>
    </row>
    <row r="29" ht="26.85" customHeight="1">
      <c r="A29" s="47" t="inlineStr">
        <is>
          <t>GXP-02</t>
        </is>
      </c>
      <c r="B29" s="48" t="inlineStr">
        <is>
          <t>GxP・データ</t>
        </is>
      </c>
      <c r="C29" s="49" t="inlineStr">
        <is>
          <t>リスクアセスメント</t>
        </is>
      </c>
      <c r="D29" s="50" t="inlineStr">
        <is>
          <t>Risk Assessment</t>
        </is>
      </c>
      <c r="E29" s="51" t="inlineStr">
        <is>
          <t>機能ごとの患者安全・製品品質・データインテグリティへのリスクと、管理策</t>
        </is>
      </c>
      <c r="F29" s="48" t="inlineStr">
        <is>
          <t>分析・評価</t>
        </is>
      </c>
      <c r="G29" s="48" t="inlineStr">
        <is>
          <t>GxP</t>
        </is>
      </c>
      <c r="H29" s="52">
        <f>IF(ISNUMBER(SEARCH("GxP",G29)),"対象候補","—")</f>
        <v/>
      </c>
      <c r="I29" s="48" t="inlineStr">
        <is>
          <t>なし</t>
        </is>
      </c>
      <c r="J29" s="47" t="inlineStr">
        <is>
          <t>C06-01</t>
        </is>
      </c>
      <c r="K29" s="53">
        <f>IFERROR(INDEX(ケイパビリティマップ!$E:$E,MATCH(J29,ケイパビリティマップ!$A:$A,0)),"（IDなし）")</f>
        <v/>
      </c>
      <c r="L29" s="54">
        <f>COUNTIF('ケイパビリティ×情報オブジェクト'!AC$6:AC$33,"C")</f>
        <v/>
      </c>
      <c r="M29" s="54">
        <f>COUNTIF('ケイパビリティ×情報オブジェクト'!AC$6:AC$33,"R")</f>
        <v/>
      </c>
    </row>
    <row r="30" ht="26.85" customHeight="1">
      <c r="A30" s="47" t="inlineStr">
        <is>
          <t>GXP-03</t>
        </is>
      </c>
      <c r="B30" s="48" t="inlineStr">
        <is>
          <t>GxP・データ</t>
        </is>
      </c>
      <c r="C30" s="49" t="inlineStr">
        <is>
          <t>バリデーション計画書</t>
        </is>
      </c>
      <c r="D30" s="50" t="inlineStr">
        <is>
          <t>Validation Plan</t>
        </is>
      </c>
      <c r="E30" s="51" t="inlineStr">
        <is>
          <t>バリデーションの範囲・方法・体制・受入の基準</t>
        </is>
      </c>
      <c r="F30" s="48" t="inlineStr">
        <is>
          <t>文書</t>
        </is>
      </c>
      <c r="G30" s="48" t="inlineStr">
        <is>
          <t>GxP</t>
        </is>
      </c>
      <c r="H30" s="52">
        <f>IF(ISNUMBER(SEARCH("GxP",G30)),"対象候補","—")</f>
        <v/>
      </c>
      <c r="I30" s="48" t="inlineStr">
        <is>
          <t>なし</t>
        </is>
      </c>
      <c r="J30" s="47" t="inlineStr">
        <is>
          <t>C06-01</t>
        </is>
      </c>
      <c r="K30" s="53">
        <f>IFERROR(INDEX(ケイパビリティマップ!$E:$E,MATCH(J30,ケイパビリティマップ!$A:$A,0)),"（IDなし）")</f>
        <v/>
      </c>
      <c r="L30" s="54">
        <f>COUNTIF('ケイパビリティ×情報オブジェクト'!AD$6:AD$33,"C")</f>
        <v/>
      </c>
      <c r="M30" s="54">
        <f>COUNTIF('ケイパビリティ×情報オブジェクト'!AD$6:AD$33,"R")</f>
        <v/>
      </c>
    </row>
    <row r="31" ht="26.85" customHeight="1">
      <c r="A31" s="47" t="inlineStr">
        <is>
          <t>GXP-04</t>
        </is>
      </c>
      <c r="B31" s="48" t="inlineStr">
        <is>
          <t>GxP・データ</t>
        </is>
      </c>
      <c r="C31" s="49" t="inlineStr">
        <is>
          <t>バリデーション報告書</t>
        </is>
      </c>
      <c r="D31" s="50" t="inlineStr">
        <is>
          <t>Validation Report</t>
        </is>
      </c>
      <c r="E31" s="51" t="inlineStr">
        <is>
          <t>適格性確認の結果・逸脱・トレーサビリティと、使用可否の結論</t>
        </is>
      </c>
      <c r="F31" s="48" t="inlineStr">
        <is>
          <t>文書</t>
        </is>
      </c>
      <c r="G31" s="48" t="inlineStr">
        <is>
          <t>GxP</t>
        </is>
      </c>
      <c r="H31" s="52">
        <f>IF(ISNUMBER(SEARCH("GxP",G31)),"対象候補","—")</f>
        <v/>
      </c>
      <c r="I31" s="48" t="inlineStr">
        <is>
          <t>なし</t>
        </is>
      </c>
      <c r="J31" s="47" t="inlineStr">
        <is>
          <t>C06-01</t>
        </is>
      </c>
      <c r="K31" s="53">
        <f>IFERROR(INDEX(ケイパビリティマップ!$E:$E,MATCH(J31,ケイパビリティマップ!$A:$A,0)),"（IDなし）")</f>
        <v/>
      </c>
      <c r="L31" s="54">
        <f>COUNTIF('ケイパビリティ×情報オブジェクト'!AE$6:AE$33,"C")</f>
        <v/>
      </c>
      <c r="M31" s="54">
        <f>COUNTIF('ケイパビリティ×情報オブジェクト'!AE$6:AE$33,"R")</f>
        <v/>
      </c>
    </row>
    <row r="32" ht="26.85" customHeight="1">
      <c r="A32" s="47" t="inlineStr">
        <is>
          <t>GXP-05</t>
        </is>
      </c>
      <c r="B32" s="48" t="inlineStr">
        <is>
          <t>GxP・データ</t>
        </is>
      </c>
      <c r="C32" s="49" t="inlineStr">
        <is>
          <t>定期レビュー記録</t>
        </is>
      </c>
      <c r="D32" s="50" t="inlineStr">
        <is>
          <t>Periodic Review Record</t>
        </is>
      </c>
      <c r="E32" s="51" t="inlineStr">
        <is>
          <t>GxPシステムの変更・障害・アクセス権・監査証跡の見直しの結果と是正</t>
        </is>
      </c>
      <c r="F32" s="48" t="inlineStr">
        <is>
          <t>分析・評価</t>
        </is>
      </c>
      <c r="G32" s="48" t="inlineStr">
        <is>
          <t>GxP</t>
        </is>
      </c>
      <c r="H32" s="52">
        <f>IF(ISNUMBER(SEARCH("GxP",G32)),"対象候補","—")</f>
        <v/>
      </c>
      <c r="I32" s="48" t="inlineStr">
        <is>
          <t>なし</t>
        </is>
      </c>
      <c r="J32" s="47" t="inlineStr">
        <is>
          <t>C06-01</t>
        </is>
      </c>
      <c r="K32" s="53">
        <f>IFERROR(INDEX(ケイパビリティマップ!$E:$E,MATCH(J32,ケイパビリティマップ!$A:$A,0)),"（IDなし）")</f>
        <v/>
      </c>
      <c r="L32" s="54">
        <f>COUNTIF('ケイパビリティ×情報オブジェクト'!AF$6:AF$33,"C")</f>
        <v/>
      </c>
      <c r="M32" s="54">
        <f>COUNTIF('ケイパビリティ×情報オブジェクト'!AF$6:AF$33,"R")</f>
        <v/>
      </c>
    </row>
    <row r="33" ht="26.85" customHeight="1">
      <c r="A33" s="47" t="inlineStr">
        <is>
          <t>GXP-06</t>
        </is>
      </c>
      <c r="B33" s="48" t="inlineStr">
        <is>
          <t>GxP・データ</t>
        </is>
      </c>
      <c r="C33" s="49" t="inlineStr">
        <is>
          <t>監査証跡・電子署名記録</t>
        </is>
      </c>
      <c r="D33" s="50" t="inlineStr">
        <is>
          <t>Audit Trail &amp; E-Signature</t>
        </is>
      </c>
      <c r="E33" s="51" t="inlineStr">
        <is>
          <t>電子記録の作成・変更・削除の履歴と、電子署名（誰が・いつ・何を・なぜ）</t>
        </is>
      </c>
      <c r="F33" s="48" t="inlineStr">
        <is>
          <t>トランザクション</t>
        </is>
      </c>
      <c r="G33" s="48" t="inlineStr">
        <is>
          <t>GxP</t>
        </is>
      </c>
      <c r="H33" s="52">
        <f>IF(ISNUMBER(SEARCH("GxP",G33)),"対象候補","—")</f>
        <v/>
      </c>
      <c r="I33" s="48" t="inlineStr">
        <is>
          <t>従業員</t>
        </is>
      </c>
      <c r="J33" s="47" t="inlineStr">
        <is>
          <t>C06-02</t>
        </is>
      </c>
      <c r="K33" s="53">
        <f>IFERROR(INDEX(ケイパビリティマップ!$E:$E,MATCH(J33,ケイパビリティマップ!$A:$A,0)),"（IDなし）")</f>
        <v/>
      </c>
      <c r="L33" s="54">
        <f>COUNTIF('ケイパビリティ×情報オブジェクト'!AG$6:AG$33,"C")</f>
        <v/>
      </c>
      <c r="M33" s="54">
        <f>COUNTIF('ケイパビリティ×情報オブジェクト'!AG$6:AG$33,"R")</f>
        <v/>
      </c>
    </row>
    <row r="34" ht="26.85" customHeight="1">
      <c r="A34" s="47" t="inlineStr">
        <is>
          <t>GXP-07</t>
        </is>
      </c>
      <c r="B34" s="48" t="inlineStr">
        <is>
          <t>GxP・データ</t>
        </is>
      </c>
      <c r="C34" s="49" t="inlineStr">
        <is>
          <t>記録保存・アーカイブ記録</t>
        </is>
      </c>
      <c r="D34" s="50" t="inlineStr">
        <is>
          <t>Record Retention &amp; Archive</t>
        </is>
      </c>
      <c r="E34" s="51" t="inlineStr">
        <is>
          <t>保存期間・保存場所・移行やアーカイブの方法と、読み出しの確認の記録</t>
        </is>
      </c>
      <c r="F34" s="48" t="inlineStr">
        <is>
          <t>文書</t>
        </is>
      </c>
      <c r="G34" s="48" t="inlineStr">
        <is>
          <t>GxP</t>
        </is>
      </c>
      <c r="H34" s="52">
        <f>IF(ISNUMBER(SEARCH("GxP",G34)),"対象候補","—")</f>
        <v/>
      </c>
      <c r="I34" s="48" t="inlineStr">
        <is>
          <t>なし</t>
        </is>
      </c>
      <c r="J34" s="47" t="inlineStr">
        <is>
          <t>C06-02</t>
        </is>
      </c>
      <c r="K34" s="53">
        <f>IFERROR(INDEX(ケイパビリティマップ!$E:$E,MATCH(J34,ケイパビリティマップ!$A:$A,0)),"（IDなし）")</f>
        <v/>
      </c>
      <c r="L34" s="54">
        <f>COUNTIF('ケイパビリティ×情報オブジェクト'!AH$6:AH$33,"C")</f>
        <v/>
      </c>
      <c r="M34" s="54">
        <f>COUNTIF('ケイパビリティ×情報オブジェクト'!AH$6:AH$33,"R")</f>
        <v/>
      </c>
    </row>
    <row r="35" ht="26.85" customHeight="1">
      <c r="A35" s="47" t="inlineStr">
        <is>
          <t>GXP-08</t>
        </is>
      </c>
      <c r="B35" s="48" t="inlineStr">
        <is>
          <t>GxP・データ</t>
        </is>
      </c>
      <c r="C35" s="49" t="inlineStr">
        <is>
          <t>個人情報取扱台帳</t>
        </is>
      </c>
      <c r="D35" s="50" t="inlineStr">
        <is>
          <t>Personal Data Inventory</t>
        </is>
      </c>
      <c r="E35" s="51" t="inlineStr">
        <is>
          <t>システムごとに扱う個人情報の種類・目的・保存場所・委託先・安全管理措置</t>
        </is>
      </c>
      <c r="F35" s="48" t="inlineStr">
        <is>
          <t>定義・仕様</t>
        </is>
      </c>
      <c r="G35" s="48" t="inlineStr">
        <is>
          <t>個人情報保護法</t>
        </is>
      </c>
      <c r="H35" s="52">
        <f>IF(ISNUMBER(SEARCH("GxP",G35)),"対象候補","—")</f>
        <v/>
      </c>
      <c r="I35" s="48" t="inlineStr">
        <is>
          <t>なし</t>
        </is>
      </c>
      <c r="J35" s="47" t="inlineStr">
        <is>
          <t>C06-04</t>
        </is>
      </c>
      <c r="K35" s="53">
        <f>IFERROR(INDEX(ケイパビリティマップ!$E:$E,MATCH(J35,ケイパビリティマップ!$A:$A,0)),"（IDなし）")</f>
        <v/>
      </c>
      <c r="L35" s="54">
        <f>COUNTIF('ケイパビリティ×情報オブジェクト'!AI$6:AI$33,"C")</f>
        <v/>
      </c>
      <c r="M35" s="54">
        <f>COUNTIF('ケイパビリティ×情報オブジェクト'!AI$6:AI$33,"R")</f>
        <v/>
      </c>
    </row>
    <row r="36" ht="26.85" customHeight="1">
      <c r="A36" s="47" t="inlineStr">
        <is>
          <t>SVC-01</t>
        </is>
      </c>
      <c r="B36" s="48" t="inlineStr">
        <is>
          <t>サービス提供</t>
        </is>
      </c>
      <c r="C36" s="49" t="inlineStr">
        <is>
          <t>サービスレベル合意（SLA）</t>
        </is>
      </c>
      <c r="D36" s="50" t="inlineStr">
        <is>
          <t>Service Level Agreement</t>
        </is>
      </c>
      <c r="E36" s="51" t="inlineStr">
        <is>
          <t>サービスの提供時間・可用性・応答・復旧の目標と、測定の方法</t>
        </is>
      </c>
      <c r="F36" s="48" t="inlineStr">
        <is>
          <t>定義・仕様</t>
        </is>
      </c>
      <c r="G36" s="48" t="inlineStr">
        <is>
          <t>なし</t>
        </is>
      </c>
      <c r="H36" s="52">
        <f>IF(ISNUMBER(SEARCH("GxP",G36)),"対象候補","—")</f>
        <v/>
      </c>
      <c r="I36" s="48" t="inlineStr">
        <is>
          <t>なし</t>
        </is>
      </c>
      <c r="J36" s="47" t="inlineStr">
        <is>
          <t>C03-01</t>
        </is>
      </c>
      <c r="K36" s="53">
        <f>IFERROR(INDEX(ケイパビリティマップ!$E:$E,MATCH(J36,ケイパビリティマップ!$A:$A,0)),"（IDなし）")</f>
        <v/>
      </c>
      <c r="L36" s="54">
        <f>COUNTIF('ケイパビリティ×情報オブジェクト'!AJ$6:AJ$33,"C")</f>
        <v/>
      </c>
      <c r="M36" s="54">
        <f>COUNTIF('ケイパビリティ×情報オブジェクト'!AJ$6:AJ$33,"R")</f>
        <v/>
      </c>
    </row>
    <row r="37" ht="26.85" customHeight="1">
      <c r="A37" s="47" t="inlineStr">
        <is>
          <t>SVC-02</t>
        </is>
      </c>
      <c r="B37" s="48" t="inlineStr">
        <is>
          <t>サービス提供</t>
        </is>
      </c>
      <c r="C37" s="49" t="inlineStr">
        <is>
          <t>サービス要求</t>
        </is>
      </c>
      <c r="D37" s="50" t="inlineStr">
        <is>
          <t>Service Request</t>
        </is>
      </c>
      <c r="E37" s="51" t="inlineStr">
        <is>
          <t>利用者の申請（アカウント・端末・ソフトウェア・環境など）と承認・処理の記録</t>
        </is>
      </c>
      <c r="F37" s="48" t="inlineStr">
        <is>
          <t>トランザクション</t>
        </is>
      </c>
      <c r="G37" s="48" t="inlineStr">
        <is>
          <t>なし</t>
        </is>
      </c>
      <c r="H37" s="52">
        <f>IF(ISNUMBER(SEARCH("GxP",G37)),"対象候補","—")</f>
        <v/>
      </c>
      <c r="I37" s="48" t="inlineStr">
        <is>
          <t>従業員</t>
        </is>
      </c>
      <c r="J37" s="47" t="inlineStr">
        <is>
          <t>C03-02</t>
        </is>
      </c>
      <c r="K37" s="53">
        <f>IFERROR(INDEX(ケイパビリティマップ!$E:$E,MATCH(J37,ケイパビリティマップ!$A:$A,0)),"（IDなし）")</f>
        <v/>
      </c>
      <c r="L37" s="54">
        <f>COUNTIF('ケイパビリティ×情報オブジェクト'!AK$6:AK$33,"C")</f>
        <v/>
      </c>
      <c r="M37" s="54">
        <f>COUNTIF('ケイパビリティ×情報オブジェクト'!AK$6:AK$33,"R")</f>
        <v/>
      </c>
    </row>
    <row r="38" ht="26.85" customHeight="1">
      <c r="A38" s="47" t="inlineStr">
        <is>
          <t>SVC-03</t>
        </is>
      </c>
      <c r="B38" s="48" t="inlineStr">
        <is>
          <t>サービス提供</t>
        </is>
      </c>
      <c r="C38" s="49" t="inlineStr">
        <is>
          <t>アクセス権記録</t>
        </is>
      </c>
      <c r="D38" s="50" t="inlineStr">
        <is>
          <t>Access Rights Record</t>
        </is>
      </c>
      <c r="E38" s="51" t="inlineStr">
        <is>
          <t>システムごとのアクセス権の付与・変更・削除と、定期棚卸の結果</t>
        </is>
      </c>
      <c r="F38" s="48" t="inlineStr">
        <is>
          <t>トランザクション</t>
        </is>
      </c>
      <c r="G38" s="48" t="inlineStr">
        <is>
          <t>GxP・金商法</t>
        </is>
      </c>
      <c r="H38" s="52">
        <f>IF(ISNUMBER(SEARCH("GxP",G38)),"対象候補","—")</f>
        <v/>
      </c>
      <c r="I38" s="48" t="inlineStr">
        <is>
          <t>従業員</t>
        </is>
      </c>
      <c r="J38" s="47" t="inlineStr">
        <is>
          <t>C05-02</t>
        </is>
      </c>
      <c r="K38" s="53">
        <f>IFERROR(INDEX(ケイパビリティマップ!$E:$E,MATCH(J38,ケイパビリティマップ!$A:$A,0)),"（IDなし）")</f>
        <v/>
      </c>
      <c r="L38" s="54">
        <f>COUNTIF('ケイパビリティ×情報オブジェクト'!AL$6:AL$33,"C")</f>
        <v/>
      </c>
      <c r="M38" s="54">
        <f>COUNTIF('ケイパビリティ×情報オブジェクト'!AL$6:AL$33,"R")</f>
        <v/>
      </c>
    </row>
    <row r="39" ht="26.85" customHeight="1">
      <c r="A39" s="47" t="inlineStr">
        <is>
          <t>SVC-04</t>
        </is>
      </c>
      <c r="B39" s="48" t="inlineStr">
        <is>
          <t>サービス提供</t>
        </is>
      </c>
      <c r="C39" s="49" t="inlineStr">
        <is>
          <t>ナレッジ記事</t>
        </is>
      </c>
      <c r="D39" s="50" t="inlineStr">
        <is>
          <t>Knowledge Article</t>
        </is>
      </c>
      <c r="E39" s="51" t="inlineStr">
        <is>
          <t>障害の対処・問合せへの回答・回避策の手順</t>
        </is>
      </c>
      <c r="F39" s="48" t="inlineStr">
        <is>
          <t>文書</t>
        </is>
      </c>
      <c r="G39" s="48" t="inlineStr">
        <is>
          <t>なし</t>
        </is>
      </c>
      <c r="H39" s="52">
        <f>IF(ISNUMBER(SEARCH("GxP",G39)),"対象候補","—")</f>
        <v/>
      </c>
      <c r="I39" s="48" t="inlineStr">
        <is>
          <t>なし</t>
        </is>
      </c>
      <c r="J39" s="47" t="inlineStr">
        <is>
          <t>C07-03</t>
        </is>
      </c>
      <c r="K39" s="53">
        <f>IFERROR(INDEX(ケイパビリティマップ!$E:$E,MATCH(J39,ケイパビリティマップ!$A:$A,0)),"（IDなし）")</f>
        <v/>
      </c>
      <c r="L39" s="54">
        <f>COUNTIF('ケイパビリティ×情報オブジェクト'!AM$6:AM$33,"C")</f>
        <v/>
      </c>
      <c r="M39" s="54">
        <f>COUNTIF('ケイパビリティ×情報オブジェクト'!AM$6:AM$33,"R")</f>
        <v/>
      </c>
    </row>
    <row r="40" ht="26.85" customHeight="1">
      <c r="A40" s="47" t="inlineStr">
        <is>
          <t>OPS-01</t>
        </is>
      </c>
      <c r="B40" s="48" t="inlineStr">
        <is>
          <t>運用</t>
        </is>
      </c>
      <c r="C40" s="49" t="inlineStr">
        <is>
          <t>監視イベント</t>
        </is>
      </c>
      <c r="D40" s="50" t="inlineStr">
        <is>
          <t>Monitoring Event</t>
        </is>
      </c>
      <c r="E40" s="51" t="inlineStr">
        <is>
          <t>稼働・性能・容量・セキュリティの監視で検知したイベントとアラート</t>
        </is>
      </c>
      <c r="F40" s="48" t="inlineStr">
        <is>
          <t>測定データ</t>
        </is>
      </c>
      <c r="G40" s="48" t="inlineStr">
        <is>
          <t>なし</t>
        </is>
      </c>
      <c r="H40" s="52">
        <f>IF(ISNUMBER(SEARCH("GxP",G40)),"対象候補","—")</f>
        <v/>
      </c>
      <c r="I40" s="48" t="inlineStr">
        <is>
          <t>なし</t>
        </is>
      </c>
      <c r="J40" s="47" t="inlineStr">
        <is>
          <t>C03-03</t>
        </is>
      </c>
      <c r="K40" s="53">
        <f>IFERROR(INDEX(ケイパビリティマップ!$E:$E,MATCH(J40,ケイパビリティマップ!$A:$A,0)),"（IDなし）")</f>
        <v/>
      </c>
      <c r="L40" s="54">
        <f>COUNTIF('ケイパビリティ×情報オブジェクト'!AN$6:AN$33,"C")</f>
        <v/>
      </c>
      <c r="M40" s="54">
        <f>COUNTIF('ケイパビリティ×情報オブジェクト'!AN$6:AN$33,"R")</f>
        <v/>
      </c>
    </row>
    <row r="41" ht="26.85" customHeight="1">
      <c r="A41" s="47" t="inlineStr">
        <is>
          <t>OPS-02</t>
        </is>
      </c>
      <c r="B41" s="48" t="inlineStr">
        <is>
          <t>運用</t>
        </is>
      </c>
      <c r="C41" s="49" t="inlineStr">
        <is>
          <t>運用記録</t>
        </is>
      </c>
      <c r="D41" s="50" t="inlineStr">
        <is>
          <t>Operations Log</t>
        </is>
      </c>
      <c r="E41" s="51" t="inlineStr">
        <is>
          <t>ジョブの実行結果、バックアップの取得・復元テストの記録</t>
        </is>
      </c>
      <c r="F41" s="48" t="inlineStr">
        <is>
          <t>測定データ</t>
        </is>
      </c>
      <c r="G41" s="48" t="inlineStr">
        <is>
          <t>GxP・金商法</t>
        </is>
      </c>
      <c r="H41" s="52">
        <f>IF(ISNUMBER(SEARCH("GxP",G41)),"対象候補","—")</f>
        <v/>
      </c>
      <c r="I41" s="48" t="inlineStr">
        <is>
          <t>なし</t>
        </is>
      </c>
      <c r="J41" s="47" t="inlineStr">
        <is>
          <t>C03-03</t>
        </is>
      </c>
      <c r="K41" s="53">
        <f>IFERROR(INDEX(ケイパビリティマップ!$E:$E,MATCH(J41,ケイパビリティマップ!$A:$A,0)),"（IDなし）")</f>
        <v/>
      </c>
      <c r="L41" s="54">
        <f>COUNTIF('ケイパビリティ×情報オブジェクト'!AO$6:AO$33,"C")</f>
        <v/>
      </c>
      <c r="M41" s="54">
        <f>COUNTIF('ケイパビリティ×情報オブジェクト'!AO$6:AO$33,"R")</f>
        <v/>
      </c>
    </row>
    <row r="42" ht="26.85" customHeight="1">
      <c r="A42" s="47" t="inlineStr">
        <is>
          <t>OPS-03</t>
        </is>
      </c>
      <c r="B42" s="48" t="inlineStr">
        <is>
          <t>運用</t>
        </is>
      </c>
      <c r="C42" s="49" t="inlineStr">
        <is>
          <t>インシデント記録</t>
        </is>
      </c>
      <c r="D42" s="50" t="inlineStr">
        <is>
          <t>Incident Record</t>
        </is>
      </c>
      <c r="E42" s="51" t="inlineStr">
        <is>
          <t>インシデントの内容・影響・対応・復旧と、GxPデータへの影響評価</t>
        </is>
      </c>
      <c r="F42" s="48" t="inlineStr">
        <is>
          <t>トランザクション</t>
        </is>
      </c>
      <c r="G42" s="48" t="inlineStr">
        <is>
          <t>GxP</t>
        </is>
      </c>
      <c r="H42" s="52">
        <f>IF(ISNUMBER(SEARCH("GxP",G42)),"対象候補","—")</f>
        <v/>
      </c>
      <c r="I42" s="48" t="inlineStr">
        <is>
          <t>なし</t>
        </is>
      </c>
      <c r="J42" s="47" t="inlineStr">
        <is>
          <t>C03-04</t>
        </is>
      </c>
      <c r="K42" s="53">
        <f>IFERROR(INDEX(ケイパビリティマップ!$E:$E,MATCH(J42,ケイパビリティマップ!$A:$A,0)),"（IDなし）")</f>
        <v/>
      </c>
      <c r="L42" s="54">
        <f>COUNTIF('ケイパビリティ×情報オブジェクト'!AP$6:AP$33,"C")</f>
        <v/>
      </c>
      <c r="M42" s="54">
        <f>COUNTIF('ケイパビリティ×情報オブジェクト'!AP$6:AP$33,"R")</f>
        <v/>
      </c>
    </row>
    <row r="43" ht="26.85" customHeight="1">
      <c r="A43" s="47" t="inlineStr">
        <is>
          <t>OPS-04</t>
        </is>
      </c>
      <c r="B43" s="48" t="inlineStr">
        <is>
          <t>運用</t>
        </is>
      </c>
      <c r="C43" s="49" t="inlineStr">
        <is>
          <t>問題記録</t>
        </is>
      </c>
      <c r="D43" s="50" t="inlineStr">
        <is>
          <t>Problem Record</t>
        </is>
      </c>
      <c r="E43" s="51" t="inlineStr">
        <is>
          <t>根本原因・既知の誤り・再発防止策</t>
        </is>
      </c>
      <c r="F43" s="48" t="inlineStr">
        <is>
          <t>トランザクション</t>
        </is>
      </c>
      <c r="G43" s="48" t="inlineStr">
        <is>
          <t>なし</t>
        </is>
      </c>
      <c r="H43" s="52">
        <f>IF(ISNUMBER(SEARCH("GxP",G43)),"対象候補","—")</f>
        <v/>
      </c>
      <c r="I43" s="48" t="inlineStr">
        <is>
          <t>なし</t>
        </is>
      </c>
      <c r="J43" s="47" t="inlineStr">
        <is>
          <t>C03-04</t>
        </is>
      </c>
      <c r="K43" s="53">
        <f>IFERROR(INDEX(ケイパビリティマップ!$E:$E,MATCH(J43,ケイパビリティマップ!$A:$A,0)),"（IDなし）")</f>
        <v/>
      </c>
      <c r="L43" s="54">
        <f>COUNTIF('ケイパビリティ×情報オブジェクト'!AQ$6:AQ$33,"C")</f>
        <v/>
      </c>
      <c r="M43" s="54">
        <f>COUNTIF('ケイパビリティ×情報オブジェクト'!AQ$6:AQ$33,"R")</f>
        <v/>
      </c>
    </row>
    <row r="44" ht="26.85" customHeight="1">
      <c r="A44" s="47" t="inlineStr">
        <is>
          <t>OPS-05</t>
        </is>
      </c>
      <c r="B44" s="48" t="inlineStr">
        <is>
          <t>運用</t>
        </is>
      </c>
      <c r="C44" s="49" t="inlineStr">
        <is>
          <t>変更記録</t>
        </is>
      </c>
      <c r="D44" s="50" t="inlineStr">
        <is>
          <t>Change Record</t>
        </is>
      </c>
      <c r="E44" s="51" t="inlineStr">
        <is>
          <t>変更要求・影響評価・承認・実施・検証の記録</t>
        </is>
      </c>
      <c r="F44" s="48" t="inlineStr">
        <is>
          <t>トランザクション</t>
        </is>
      </c>
      <c r="G44" s="48" t="inlineStr">
        <is>
          <t>GxP・金商法</t>
        </is>
      </c>
      <c r="H44" s="52">
        <f>IF(ISNUMBER(SEARCH("GxP",G44)),"対象候補","—")</f>
        <v/>
      </c>
      <c r="I44" s="48" t="inlineStr">
        <is>
          <t>なし</t>
        </is>
      </c>
      <c r="J44" s="47" t="inlineStr">
        <is>
          <t>C03-05</t>
        </is>
      </c>
      <c r="K44" s="53">
        <f>IFERROR(INDEX(ケイパビリティマップ!$E:$E,MATCH(J44,ケイパビリティマップ!$A:$A,0)),"（IDなし）")</f>
        <v/>
      </c>
      <c r="L44" s="54">
        <f>COUNTIF('ケイパビリティ×情報オブジェクト'!AR$6:AR$33,"C")</f>
        <v/>
      </c>
      <c r="M44" s="54">
        <f>COUNTIF('ケイパビリティ×情報オブジェクト'!AR$6:AR$33,"R")</f>
        <v/>
      </c>
    </row>
    <row r="45" ht="26.85" customHeight="1">
      <c r="A45" s="47" t="inlineStr">
        <is>
          <t>OPS-06</t>
        </is>
      </c>
      <c r="B45" s="48" t="inlineStr">
        <is>
          <t>運用</t>
        </is>
      </c>
      <c r="C45" s="49" t="inlineStr">
        <is>
          <t>サービスレベル実績</t>
        </is>
      </c>
      <c r="D45" s="50" t="inlineStr">
        <is>
          <t>Service Level Report</t>
        </is>
      </c>
      <c r="E45" s="51" t="inlineStr">
        <is>
          <t>SLAに対する実績（可用性・応答・復旧）と改善の状況</t>
        </is>
      </c>
      <c r="F45" s="48" t="inlineStr">
        <is>
          <t>分析・評価</t>
        </is>
      </c>
      <c r="G45" s="48" t="inlineStr">
        <is>
          <t>なし</t>
        </is>
      </c>
      <c r="H45" s="52">
        <f>IF(ISNUMBER(SEARCH("GxP",G45)),"対象候補","—")</f>
        <v/>
      </c>
      <c r="I45" s="48" t="inlineStr">
        <is>
          <t>なし</t>
        </is>
      </c>
      <c r="J45" s="47" t="inlineStr">
        <is>
          <t>C03-01</t>
        </is>
      </c>
      <c r="K45" s="53">
        <f>IFERROR(INDEX(ケイパビリティマップ!$E:$E,MATCH(J45,ケイパビリティマップ!$A:$A,0)),"（IDなし）")</f>
        <v/>
      </c>
      <c r="L45" s="54">
        <f>COUNTIF('ケイパビリティ×情報オブジェクト'!AS$6:AS$33,"C")</f>
        <v/>
      </c>
      <c r="M45" s="54">
        <f>COUNTIF('ケイパビリティ×情報オブジェクト'!AS$6:AS$33,"R")</f>
        <v/>
      </c>
    </row>
    <row r="46" ht="26.85" customHeight="1">
      <c r="A46" s="47" t="inlineStr">
        <is>
          <t>OPS-07</t>
        </is>
      </c>
      <c r="B46" s="48" t="inlineStr">
        <is>
          <t>運用</t>
        </is>
      </c>
      <c r="C46" s="49" t="inlineStr">
        <is>
          <t>IT事業継続計画</t>
        </is>
      </c>
      <c r="D46" s="50" t="inlineStr">
        <is>
          <t>IT Continuity &amp; DR Plan</t>
        </is>
      </c>
      <c r="E46" s="51" t="inlineStr">
        <is>
          <t>重要システムの目標復旧時間・復旧手順・代替手段と訓練の結果</t>
        </is>
      </c>
      <c r="F46" s="48" t="inlineStr">
        <is>
          <t>文書</t>
        </is>
      </c>
      <c r="G46" s="48" t="inlineStr">
        <is>
          <t>なし</t>
        </is>
      </c>
      <c r="H46" s="52">
        <f>IF(ISNUMBER(SEARCH("GxP",G46)),"対象候補","—")</f>
        <v/>
      </c>
      <c r="I46" s="48" t="inlineStr">
        <is>
          <t>なし</t>
        </is>
      </c>
      <c r="J46" s="47" t="inlineStr">
        <is>
          <t>C03-04</t>
        </is>
      </c>
      <c r="K46" s="53">
        <f>IFERROR(INDEX(ケイパビリティマップ!$E:$E,MATCH(J46,ケイパビリティマップ!$A:$A,0)),"（IDなし）")</f>
        <v/>
      </c>
      <c r="L46" s="54">
        <f>COUNTIF('ケイパビリティ×情報オブジェクト'!AT$6:AT$33,"C")</f>
        <v/>
      </c>
      <c r="M46" s="54">
        <f>COUNTIF('ケイパビリティ×情報オブジェクト'!AT$6:AT$33,"R")</f>
        <v/>
      </c>
    </row>
    <row r="47" ht="26.85" customHeight="1">
      <c r="A47" s="47" t="inlineStr">
        <is>
          <t>SEC-01</t>
        </is>
      </c>
      <c r="B47" s="48" t="inlineStr">
        <is>
          <t>セキュリティ</t>
        </is>
      </c>
      <c r="C47" s="49" t="inlineStr">
        <is>
          <t>脆弱性情報</t>
        </is>
      </c>
      <c r="D47" s="50" t="inlineStr">
        <is>
          <t>Vulnerability Record</t>
        </is>
      </c>
      <c r="E47" s="51" t="inlineStr">
        <is>
          <t>脆弱性の情報・影響を受ける構成・深刻度・対応状況</t>
        </is>
      </c>
      <c r="F47" s="48" t="inlineStr">
        <is>
          <t>トランザクション</t>
        </is>
      </c>
      <c r="G47" s="48" t="inlineStr">
        <is>
          <t>なし</t>
        </is>
      </c>
      <c r="H47" s="52">
        <f>IF(ISNUMBER(SEARCH("GxP",G47)),"対象候補","—")</f>
        <v/>
      </c>
      <c r="I47" s="48" t="inlineStr">
        <is>
          <t>なし</t>
        </is>
      </c>
      <c r="J47" s="47" t="inlineStr">
        <is>
          <t>C05-03</t>
        </is>
      </c>
      <c r="K47" s="53">
        <f>IFERROR(INDEX(ケイパビリティマップ!$E:$E,MATCH(J47,ケイパビリティマップ!$A:$A,0)),"（IDなし）")</f>
        <v/>
      </c>
      <c r="L47" s="54">
        <f>COUNTIF('ケイパビリティ×情報オブジェクト'!AU$6:AU$33,"C")</f>
        <v/>
      </c>
      <c r="M47" s="54">
        <f>COUNTIF('ケイパビリティ×情報オブジェクト'!AU$6:AU$33,"R")</f>
        <v/>
      </c>
    </row>
    <row r="48" ht="26.85" customHeight="1">
      <c r="A48" s="47" t="inlineStr">
        <is>
          <t>SEC-02</t>
        </is>
      </c>
      <c r="B48" s="48" t="inlineStr">
        <is>
          <t>セキュリティ</t>
        </is>
      </c>
      <c r="C48" s="49" t="inlineStr">
        <is>
          <t>セキュリティインシデント記録</t>
        </is>
      </c>
      <c r="D48" s="50" t="inlineStr">
        <is>
          <t>Security Incident Record</t>
        </is>
      </c>
      <c r="E48" s="51" t="inlineStr">
        <is>
          <t>攻撃・漏えいの内容・影響範囲・対応と、当局・本人への報告</t>
        </is>
      </c>
      <c r="F48" s="48" t="inlineStr">
        <is>
          <t>トランザクション</t>
        </is>
      </c>
      <c r="G48" s="48" t="inlineStr">
        <is>
          <t>個人情報保護法</t>
        </is>
      </c>
      <c r="H48" s="52">
        <f>IF(ISNUMBER(SEARCH("GxP",G48)),"対象候補","—")</f>
        <v/>
      </c>
      <c r="I48" s="48" t="inlineStr">
        <is>
          <t>なし</t>
        </is>
      </c>
      <c r="J48" s="47" t="inlineStr">
        <is>
          <t>C05-03</t>
        </is>
      </c>
      <c r="K48" s="53">
        <f>IFERROR(INDEX(ケイパビリティマップ!$E:$E,MATCH(J48,ケイパビリティマップ!$A:$A,0)),"（IDなし）")</f>
        <v/>
      </c>
      <c r="L48" s="54">
        <f>COUNTIF('ケイパビリティ×情報オブジェクト'!AV$6:AV$33,"C")</f>
        <v/>
      </c>
      <c r="M48" s="54">
        <f>COUNTIF('ケイパビリティ×情報オブジェクト'!AV$6:AV$33,"R")</f>
        <v/>
      </c>
    </row>
    <row r="49" ht="26.85" customHeight="1">
      <c r="A49" s="47" t="inlineStr">
        <is>
          <t>SRC-01</t>
        </is>
      </c>
      <c r="B49" s="48" t="inlineStr">
        <is>
          <t>ソーシング・人材</t>
        </is>
      </c>
      <c r="C49" s="49" t="inlineStr">
        <is>
          <t>委託契約・発注書</t>
        </is>
      </c>
      <c r="D49" s="50" t="inlineStr">
        <is>
          <t>Outsourcing Contract &amp; Order</t>
        </is>
      </c>
      <c r="E49" s="51" t="inlineStr">
        <is>
          <t>契約形態（請負・準委任）・作業範囲・成果物・代金・支払期日・SLA・品質取決め</t>
        </is>
      </c>
      <c r="F49" s="48" t="inlineStr">
        <is>
          <t>文書</t>
        </is>
      </c>
      <c r="G49" s="48" t="inlineStr">
        <is>
          <t>取適法・派遣法</t>
        </is>
      </c>
      <c r="H49" s="52">
        <f>IF(ISNUMBER(SEARCH("GxP",G49)),"対象候補","—")</f>
        <v/>
      </c>
      <c r="I49" s="48" t="inlineStr">
        <is>
          <t>なし</t>
        </is>
      </c>
      <c r="J49" s="47" t="inlineStr">
        <is>
          <t>C07-01</t>
        </is>
      </c>
      <c r="K49" s="53">
        <f>IFERROR(INDEX(ケイパビリティマップ!$E:$E,MATCH(J49,ケイパビリティマップ!$A:$A,0)),"（IDなし）")</f>
        <v/>
      </c>
      <c r="L49" s="54">
        <f>COUNTIF('ケイパビリティ×情報オブジェクト'!AW$6:AW$33,"C")</f>
        <v/>
      </c>
      <c r="M49" s="54">
        <f>COUNTIF('ケイパビリティ×情報オブジェクト'!AW$6:AW$33,"R")</f>
        <v/>
      </c>
    </row>
    <row r="50" ht="26.85" customHeight="1">
      <c r="A50" s="47" t="inlineStr">
        <is>
          <t>SRC-02</t>
        </is>
      </c>
      <c r="B50" s="48" t="inlineStr">
        <is>
          <t>ソーシング・人材</t>
        </is>
      </c>
      <c r="C50" s="49" t="inlineStr">
        <is>
          <t>検収記録</t>
        </is>
      </c>
      <c r="D50" s="50" t="inlineStr">
        <is>
          <t>Acceptance Record</t>
        </is>
      </c>
      <c r="E50" s="51" t="inlineStr">
        <is>
          <t>委託先の成果物の検査結果と検収日</t>
        </is>
      </c>
      <c r="F50" s="48" t="inlineStr">
        <is>
          <t>トランザクション</t>
        </is>
      </c>
      <c r="G50" s="48" t="inlineStr">
        <is>
          <t>取適法</t>
        </is>
      </c>
      <c r="H50" s="52">
        <f>IF(ISNUMBER(SEARCH("GxP",G50)),"対象候補","—")</f>
        <v/>
      </c>
      <c r="I50" s="48" t="inlineStr">
        <is>
          <t>なし</t>
        </is>
      </c>
      <c r="J50" s="47" t="inlineStr">
        <is>
          <t>C07-01</t>
        </is>
      </c>
      <c r="K50" s="53">
        <f>IFERROR(INDEX(ケイパビリティマップ!$E:$E,MATCH(J50,ケイパビリティマップ!$A:$A,0)),"（IDなし）")</f>
        <v/>
      </c>
      <c r="L50" s="54">
        <f>COUNTIF('ケイパビリティ×情報オブジェクト'!AX$6:AX$33,"C")</f>
        <v/>
      </c>
      <c r="M50" s="54">
        <f>COUNTIF('ケイパビリティ×情報オブジェクト'!AX$6:AX$33,"R")</f>
        <v/>
      </c>
    </row>
    <row r="51" ht="26.85" customHeight="1">
      <c r="A51" s="47" t="inlineStr">
        <is>
          <t>SRC-03</t>
        </is>
      </c>
      <c r="B51" s="48" t="inlineStr">
        <is>
          <t>ソーシング・人材</t>
        </is>
      </c>
      <c r="C51" s="49" t="inlineStr">
        <is>
          <t>ベンダー評価記録</t>
        </is>
      </c>
      <c r="D51" s="50" t="inlineStr">
        <is>
          <t>Vendor Evaluation &amp; Audit</t>
        </is>
      </c>
      <c r="E51" s="51" t="inlineStr">
        <is>
          <t>委託先の品質・SLA・コストの評価と、GxPの供給者監査の結果</t>
        </is>
      </c>
      <c r="F51" s="48" t="inlineStr">
        <is>
          <t>分析・評価</t>
        </is>
      </c>
      <c r="G51" s="48" t="inlineStr">
        <is>
          <t>GxP</t>
        </is>
      </c>
      <c r="H51" s="52">
        <f>IF(ISNUMBER(SEARCH("GxP",G51)),"対象候補","—")</f>
        <v/>
      </c>
      <c r="I51" s="48" t="inlineStr">
        <is>
          <t>なし</t>
        </is>
      </c>
      <c r="J51" s="47" t="inlineStr">
        <is>
          <t>C07-01</t>
        </is>
      </c>
      <c r="K51" s="53">
        <f>IFERROR(INDEX(ケイパビリティマップ!$E:$E,MATCH(J51,ケイパビリティマップ!$A:$A,0)),"（IDなし）")</f>
        <v/>
      </c>
      <c r="L51" s="54">
        <f>COUNTIF('ケイパビリティ×情報オブジェクト'!AY$6:AY$33,"C")</f>
        <v/>
      </c>
      <c r="M51" s="54">
        <f>COUNTIF('ケイパビリティ×情報オブジェクト'!AY$6:AY$33,"R")</f>
        <v/>
      </c>
    </row>
    <row r="52" ht="26.85" customHeight="1">
      <c r="A52" s="47" t="inlineStr">
        <is>
          <t>SRC-04</t>
        </is>
      </c>
      <c r="B52" s="48" t="inlineStr">
        <is>
          <t>ソーシング・人材</t>
        </is>
      </c>
      <c r="C52" s="49" t="inlineStr">
        <is>
          <t>IT人材・スキル情報</t>
        </is>
      </c>
      <c r="D52" s="50" t="inlineStr">
        <is>
          <t>IT Workforce &amp; Skills</t>
        </is>
      </c>
      <c r="E52" s="51" t="inlineStr">
        <is>
          <t>ITの役割・人員・スキルの評価と、内製・委託の分担</t>
        </is>
      </c>
      <c r="F52" s="48" t="inlineStr">
        <is>
          <t>マスタ</t>
        </is>
      </c>
      <c r="G52" s="48" t="inlineStr">
        <is>
          <t>なし</t>
        </is>
      </c>
      <c r="H52" s="52">
        <f>IF(ISNUMBER(SEARCH("GxP",G52)),"対象候補","—")</f>
        <v/>
      </c>
      <c r="I52" s="48" t="inlineStr">
        <is>
          <t>従業員</t>
        </is>
      </c>
      <c r="J52" s="47" t="inlineStr">
        <is>
          <t>C07-02</t>
        </is>
      </c>
      <c r="K52" s="53">
        <f>IFERROR(INDEX(ケイパビリティマップ!$E:$E,MATCH(J52,ケイパビリティマップ!$A:$A,0)),"（IDなし）")</f>
        <v/>
      </c>
      <c r="L52" s="54">
        <f>COUNTIF('ケイパビリティ×情報オブジェクト'!AZ$6:AZ$33,"C")</f>
        <v/>
      </c>
      <c r="M52" s="54">
        <f>COUNTIF('ケイパビリティ×情報オブジェクト'!AZ$6:AZ$33,"R")</f>
        <v/>
      </c>
    </row>
    <row r="53" ht="26.85" customHeight="1">
      <c r="A53" s="47" t="inlineStr">
        <is>
          <t>SRC-05</t>
        </is>
      </c>
      <c r="B53" s="48" t="inlineStr">
        <is>
          <t>ソーシング・人材</t>
        </is>
      </c>
      <c r="C53" s="49" t="inlineStr">
        <is>
          <t>教育記録</t>
        </is>
      </c>
      <c r="D53" s="50" t="inlineStr">
        <is>
          <t>Training Record</t>
        </is>
      </c>
      <c r="E53" s="51" t="inlineStr">
        <is>
          <t>GxP・システム操作・セキュリティの教育の受講と資格</t>
        </is>
      </c>
      <c r="F53" s="48" t="inlineStr">
        <is>
          <t>トランザクション</t>
        </is>
      </c>
      <c r="G53" s="48" t="inlineStr">
        <is>
          <t>GxP</t>
        </is>
      </c>
      <c r="H53" s="52">
        <f>IF(ISNUMBER(SEARCH("GxP",G53)),"対象候補","—")</f>
        <v/>
      </c>
      <c r="I53" s="48" t="inlineStr">
        <is>
          <t>従業員</t>
        </is>
      </c>
      <c r="J53" s="47" t="inlineStr">
        <is>
          <t>C07-02</t>
        </is>
      </c>
      <c r="K53" s="53">
        <f>IFERROR(INDEX(ケイパビリティマップ!$E:$E,MATCH(J53,ケイパビリティマップ!$A:$A,0)),"（IDなし）")</f>
        <v/>
      </c>
      <c r="L53" s="54">
        <f>COUNTIF('ケイパビリティ×情報オブジェクト'!BA$6:BA$33,"C")</f>
        <v/>
      </c>
      <c r="M53" s="54">
        <f>COUNTIF('ケイパビリティ×情報オブジェクト'!BA$6:BA$33,"R")</f>
        <v/>
      </c>
    </row>
  </sheetData>
  <autoFilter ref="A3:M53"/>
  <dataValidations count="2">
    <dataValidation sqref="F4:F53" showDropDown="0" showInputMessage="0" showErrorMessage="0" allowBlank="1" type="list">
      <formula1>"マスタ,定義・仕様,トランザクション,測定データ,分析・評価,文書"</formula1>
    </dataValidation>
    <dataValidation sqref="I4:I53" showDropDown="0" showInputMessage="0" showErrorMessage="0" allowBlank="1" type="list">
      <formula1>"従業員,患者・被験者,なし"</formula1>
    </dataValidation>
  </dataValidations>
  <pageMargins left="0.75" right="0.75" top="1" bottom="1" header="0.5" footer="0.5"/>
</worksheet>
</file>

<file path=xl/worksheets/sheet7.xml><?xml version="1.0" encoding="utf-8"?>
<worksheet xmlns="http://schemas.openxmlformats.org/spreadsheetml/2006/main">
  <sheetPr>
    <tabColor rgb="002E8B57"/>
    <outlinePr summaryBelow="1" summaryRight="1"/>
    <pageSetUpPr/>
  </sheetPr>
  <dimension ref="A1:BC35"/>
  <sheetViews>
    <sheetView zoomScale="10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 width="4.6" customWidth="1" min="38" max="38"/>
    <col width="4.6"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4.6" customWidth="1" min="53" max="53"/>
    <col width="7.5" customWidth="1" min="54" max="54"/>
    <col width="7.5" customWidth="1" min="55" max="55"/>
  </cols>
  <sheetData>
    <row r="1" ht="21.6" customHeight="1">
      <c r="A1" s="43" t="inlineStr">
        <is>
          <t>ケイパビリティ×情報オブジェクト（正本：行＝ケイパビリティL2 × 列＝情報オブジェクト）</t>
        </is>
      </c>
    </row>
    <row r="2" ht="15" customHeight="1">
      <c r="A2" s="44" t="inlineStr">
        <is>
          <t>C＝作成・更新（その能力の中で生み出す／維持する情報。オーナーのL2は必ずC）　R＝利用（その能力が入力として参照する情報）　空欄＝関係なし。VSのL4の入力情報（R）・出力情報（主の能力はC、支援の能力はR）から導いたうえで、オーナーのL2をCとした。</t>
        </is>
      </c>
    </row>
    <row r="4" ht="29.85" customHeight="1">
      <c r="A4" s="45" t="inlineStr">
        <is>
          <t>ケイパビリティL1</t>
        </is>
      </c>
      <c r="B4" s="45" t="inlineStr">
        <is>
          <t>L2 ID</t>
        </is>
      </c>
      <c r="C4" s="45" t="inlineStr">
        <is>
          <t>ケイパビリティL2</t>
        </is>
      </c>
      <c r="D4" s="55" t="inlineStr">
        <is>
          <t>共通・マスタ</t>
        </is>
      </c>
      <c r="K4" s="55" t="inlineStr">
        <is>
          <t>戦略・投資</t>
        </is>
      </c>
      <c r="V4" s="55" t="inlineStr">
        <is>
          <t>開発・導入</t>
        </is>
      </c>
      <c r="AB4" s="55" t="inlineStr">
        <is>
          <t>GxP・データ</t>
        </is>
      </c>
      <c r="AJ4" s="55" t="inlineStr">
        <is>
          <t>サービス提供</t>
        </is>
      </c>
      <c r="AN4" s="55" t="inlineStr">
        <is>
          <t>運用</t>
        </is>
      </c>
      <c r="AU4" s="55" t="inlineStr">
        <is>
          <t>セキュリティ</t>
        </is>
      </c>
      <c r="AW4" s="55" t="inlineStr">
        <is>
          <t>ソーシング・人材</t>
        </is>
      </c>
      <c r="BB4" s="46" t="inlineStr">
        <is>
          <t>Cの数</t>
        </is>
      </c>
      <c r="BC4" s="46" t="inlineStr">
        <is>
          <t>Rの数</t>
        </is>
      </c>
    </row>
    <row r="5" ht="214.5" customHeight="1">
      <c r="D5" s="56">
        <f>情報オブジェクト!C4</f>
        <v/>
      </c>
      <c r="E5" s="56">
        <f>情報オブジェクト!C5</f>
        <v/>
      </c>
      <c r="F5" s="56">
        <f>情報オブジェクト!C6</f>
        <v/>
      </c>
      <c r="G5" s="56">
        <f>情報オブジェクト!C7</f>
        <v/>
      </c>
      <c r="H5" s="56">
        <f>情報オブジェクト!C8</f>
        <v/>
      </c>
      <c r="I5" s="56">
        <f>情報オブジェクト!C9</f>
        <v/>
      </c>
      <c r="J5" s="56">
        <f>情報オブジェクト!C10</f>
        <v/>
      </c>
      <c r="K5" s="56">
        <f>情報オブジェクト!C11</f>
        <v/>
      </c>
      <c r="L5" s="56">
        <f>情報オブジェクト!C12</f>
        <v/>
      </c>
      <c r="M5" s="56">
        <f>情報オブジェクト!C13</f>
        <v/>
      </c>
      <c r="N5" s="56">
        <f>情報オブジェクト!C14</f>
        <v/>
      </c>
      <c r="O5" s="56">
        <f>情報オブジェクト!C15</f>
        <v/>
      </c>
      <c r="P5" s="56">
        <f>情報オブジェクト!C16</f>
        <v/>
      </c>
      <c r="Q5" s="56">
        <f>情報オブジェクト!C17</f>
        <v/>
      </c>
      <c r="R5" s="56">
        <f>情報オブジェクト!C18</f>
        <v/>
      </c>
      <c r="S5" s="56">
        <f>情報オブジェクト!C19</f>
        <v/>
      </c>
      <c r="T5" s="56">
        <f>情報オブジェクト!C20</f>
        <v/>
      </c>
      <c r="U5" s="56">
        <f>情報オブジェクト!C21</f>
        <v/>
      </c>
      <c r="V5" s="56">
        <f>情報オブジェクト!C22</f>
        <v/>
      </c>
      <c r="W5" s="56">
        <f>情報オブジェクト!C23</f>
        <v/>
      </c>
      <c r="X5" s="56">
        <f>情報オブジェクト!C24</f>
        <v/>
      </c>
      <c r="Y5" s="56">
        <f>情報オブジェクト!C25</f>
        <v/>
      </c>
      <c r="Z5" s="56">
        <f>情報オブジェクト!C26</f>
        <v/>
      </c>
      <c r="AA5" s="56">
        <f>情報オブジェクト!C27</f>
        <v/>
      </c>
      <c r="AB5" s="56">
        <f>情報オブジェクト!C28</f>
        <v/>
      </c>
      <c r="AC5" s="56">
        <f>情報オブジェクト!C29</f>
        <v/>
      </c>
      <c r="AD5" s="56">
        <f>情報オブジェクト!C30</f>
        <v/>
      </c>
      <c r="AE5" s="56">
        <f>情報オブジェクト!C31</f>
        <v/>
      </c>
      <c r="AF5" s="56">
        <f>情報オブジェクト!C32</f>
        <v/>
      </c>
      <c r="AG5" s="56">
        <f>情報オブジェクト!C33</f>
        <v/>
      </c>
      <c r="AH5" s="56">
        <f>情報オブジェクト!C34</f>
        <v/>
      </c>
      <c r="AI5" s="56">
        <f>情報オブジェクト!C35</f>
        <v/>
      </c>
      <c r="AJ5" s="56">
        <f>情報オブジェクト!C36</f>
        <v/>
      </c>
      <c r="AK5" s="56">
        <f>情報オブジェクト!C37</f>
        <v/>
      </c>
      <c r="AL5" s="56">
        <f>情報オブジェクト!C38</f>
        <v/>
      </c>
      <c r="AM5" s="56">
        <f>情報オブジェクト!C39</f>
        <v/>
      </c>
      <c r="AN5" s="56">
        <f>情報オブジェクト!C40</f>
        <v/>
      </c>
      <c r="AO5" s="56">
        <f>情報オブジェクト!C41</f>
        <v/>
      </c>
      <c r="AP5" s="56">
        <f>情報オブジェクト!C42</f>
        <v/>
      </c>
      <c r="AQ5" s="56">
        <f>情報オブジェクト!C43</f>
        <v/>
      </c>
      <c r="AR5" s="56">
        <f>情報オブジェクト!C44</f>
        <v/>
      </c>
      <c r="AS5" s="56">
        <f>情報オブジェクト!C45</f>
        <v/>
      </c>
      <c r="AT5" s="56">
        <f>情報オブジェクト!C46</f>
        <v/>
      </c>
      <c r="AU5" s="56">
        <f>情報オブジェクト!C47</f>
        <v/>
      </c>
      <c r="AV5" s="56">
        <f>情報オブジェクト!C48</f>
        <v/>
      </c>
      <c r="AW5" s="56">
        <f>情報オブジェクト!C49</f>
        <v/>
      </c>
      <c r="AX5" s="56">
        <f>情報オブジェクト!C50</f>
        <v/>
      </c>
      <c r="AY5" s="56">
        <f>情報オブジェクト!C51</f>
        <v/>
      </c>
      <c r="AZ5" s="56">
        <f>情報オブジェクト!C52</f>
        <v/>
      </c>
      <c r="BA5" s="56">
        <f>情報オブジェクト!C53</f>
        <v/>
      </c>
    </row>
    <row r="6">
      <c r="A6" s="57" t="inlineStr">
        <is>
          <t>C01 IT戦略・ガバナンス</t>
        </is>
      </c>
      <c r="B6" s="47" t="inlineStr">
        <is>
          <t>C01-01</t>
        </is>
      </c>
      <c r="C6" s="58">
        <f>IFERROR(INDEX(ケイパビリティマップ!$E:$E,MATCH(B6,ケイパビリティマップ!$A:$A,0)),"（IDなし）")</f>
        <v/>
      </c>
      <c r="D6" s="59" t="inlineStr">
        <is>
          <t>R</t>
        </is>
      </c>
      <c r="E6" s="59" t="n"/>
      <c r="F6" s="59" t="n"/>
      <c r="G6" s="59" t="n"/>
      <c r="H6" s="59" t="n"/>
      <c r="I6" s="59" t="n"/>
      <c r="J6" s="59" t="n"/>
      <c r="K6" s="59" t="inlineStr">
        <is>
          <t>C</t>
        </is>
      </c>
      <c r="L6" s="59" t="inlineStr">
        <is>
          <t>C</t>
        </is>
      </c>
      <c r="M6" s="59" t="n"/>
      <c r="N6" s="59" t="n"/>
      <c r="O6" s="59" t="n"/>
      <c r="P6" s="59" t="inlineStr">
        <is>
          <t>R</t>
        </is>
      </c>
      <c r="Q6" s="59" t="n"/>
      <c r="R6" s="59" t="inlineStr">
        <is>
          <t>R</t>
        </is>
      </c>
      <c r="S6" s="59" t="n"/>
      <c r="T6" s="59" t="n"/>
      <c r="U6" s="59" t="inlineStr">
        <is>
          <t>R</t>
        </is>
      </c>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4">
        <f>COUNTIF(D6:BA6,"C")</f>
        <v/>
      </c>
      <c r="BC6" s="54">
        <f>COUNTIF(D6:BA6,"R")</f>
        <v/>
      </c>
    </row>
    <row r="7">
      <c r="A7" s="57" t="n"/>
      <c r="B7" s="47" t="inlineStr">
        <is>
          <t>C01-02</t>
        </is>
      </c>
      <c r="C7" s="58">
        <f>IFERROR(INDEX(ケイパビリティマップ!$E:$E,MATCH(B7,ケイパビリティマップ!$A:$A,0)),"（IDなし）")</f>
        <v/>
      </c>
      <c r="D7" s="59" t="inlineStr">
        <is>
          <t>C</t>
        </is>
      </c>
      <c r="E7" s="59" t="inlineStr">
        <is>
          <t>R</t>
        </is>
      </c>
      <c r="F7" s="59" t="n"/>
      <c r="G7" s="59" t="n"/>
      <c r="H7" s="59" t="n"/>
      <c r="I7" s="59" t="inlineStr">
        <is>
          <t>C</t>
        </is>
      </c>
      <c r="J7" s="59" t="n"/>
      <c r="K7" s="59" t="inlineStr">
        <is>
          <t>R</t>
        </is>
      </c>
      <c r="L7" s="59" t="inlineStr">
        <is>
          <t>R</t>
        </is>
      </c>
      <c r="M7" s="59" t="inlineStr">
        <is>
          <t>C</t>
        </is>
      </c>
      <c r="N7" s="59" t="inlineStr">
        <is>
          <t>C</t>
        </is>
      </c>
      <c r="O7" s="59" t="n"/>
      <c r="P7" s="59" t="inlineStr">
        <is>
          <t>R</t>
        </is>
      </c>
      <c r="Q7" s="59" t="inlineStr">
        <is>
          <t>R</t>
        </is>
      </c>
      <c r="R7" s="59" t="inlineStr">
        <is>
          <t>C</t>
        </is>
      </c>
      <c r="S7" s="59" t="inlineStr">
        <is>
          <t>R</t>
        </is>
      </c>
      <c r="T7" s="59" t="n"/>
      <c r="U7" s="59" t="inlineStr">
        <is>
          <t>R</t>
        </is>
      </c>
      <c r="V7" s="59" t="n"/>
      <c r="W7" s="59" t="inlineStr">
        <is>
          <t>R</t>
        </is>
      </c>
      <c r="X7" s="59" t="inlineStr">
        <is>
          <t>R</t>
        </is>
      </c>
      <c r="Y7" s="59" t="n"/>
      <c r="Z7" s="59" t="n"/>
      <c r="AA7" s="59" t="n"/>
      <c r="AB7" s="59" t="n"/>
      <c r="AC7" s="59" t="n"/>
      <c r="AD7" s="59" t="n"/>
      <c r="AE7" s="59" t="n"/>
      <c r="AF7" s="59" t="n"/>
      <c r="AG7" s="59" t="n"/>
      <c r="AH7" s="59" t="inlineStr">
        <is>
          <t>R</t>
        </is>
      </c>
      <c r="AI7" s="59" t="n"/>
      <c r="AJ7" s="59" t="n"/>
      <c r="AK7" s="59" t="n"/>
      <c r="AL7" s="59" t="n"/>
      <c r="AM7" s="59" t="n"/>
      <c r="AN7" s="59" t="n"/>
      <c r="AO7" s="59" t="n"/>
      <c r="AP7" s="59" t="n"/>
      <c r="AQ7" s="59" t="n"/>
      <c r="AR7" s="59" t="n"/>
      <c r="AS7" s="59" t="inlineStr">
        <is>
          <t>R</t>
        </is>
      </c>
      <c r="AT7" s="59" t="n"/>
      <c r="AU7" s="59" t="n"/>
      <c r="AV7" s="59" t="n"/>
      <c r="AW7" s="59" t="n"/>
      <c r="AX7" s="59" t="n"/>
      <c r="AY7" s="59" t="n"/>
      <c r="AZ7" s="59" t="n"/>
      <c r="BA7" s="59" t="n"/>
      <c r="BB7" s="54">
        <f>COUNTIF(D7:BA7,"C")</f>
        <v/>
      </c>
      <c r="BC7" s="54">
        <f>COUNTIF(D7:BA7,"R")</f>
        <v/>
      </c>
    </row>
    <row r="8">
      <c r="A8" s="57" t="n"/>
      <c r="B8" s="47" t="inlineStr">
        <is>
          <t>C01-03</t>
        </is>
      </c>
      <c r="C8" s="58">
        <f>IFERROR(INDEX(ケイパビリティマップ!$E:$E,MATCH(B8,ケイパビリティマップ!$A:$A,0)),"（IDなし）")</f>
        <v/>
      </c>
      <c r="D8" s="59" t="inlineStr">
        <is>
          <t>C</t>
        </is>
      </c>
      <c r="E8" s="59" t="n"/>
      <c r="F8" s="59" t="n"/>
      <c r="G8" s="59" t="n"/>
      <c r="H8" s="59" t="n"/>
      <c r="I8" s="59" t="n"/>
      <c r="J8" s="59" t="inlineStr">
        <is>
          <t>R</t>
        </is>
      </c>
      <c r="K8" s="59" t="inlineStr">
        <is>
          <t>R</t>
        </is>
      </c>
      <c r="L8" s="59" t="n"/>
      <c r="M8" s="59" t="inlineStr">
        <is>
          <t>R</t>
        </is>
      </c>
      <c r="N8" s="59" t="inlineStr">
        <is>
          <t>R</t>
        </is>
      </c>
      <c r="O8" s="59" t="inlineStr">
        <is>
          <t>R</t>
        </is>
      </c>
      <c r="P8" s="59" t="inlineStr">
        <is>
          <t>C</t>
        </is>
      </c>
      <c r="Q8" s="59" t="inlineStr">
        <is>
          <t>C</t>
        </is>
      </c>
      <c r="R8" s="59" t="inlineStr">
        <is>
          <t>C</t>
        </is>
      </c>
      <c r="S8" s="59" t="inlineStr">
        <is>
          <t>R</t>
        </is>
      </c>
      <c r="T8" s="59" t="n"/>
      <c r="U8" s="59" t="inlineStr">
        <is>
          <t>R</t>
        </is>
      </c>
      <c r="V8" s="59" t="n"/>
      <c r="W8" s="59" t="n"/>
      <c r="X8" s="59" t="n"/>
      <c r="Y8" s="59" t="n"/>
      <c r="Z8" s="59" t="n"/>
      <c r="AA8" s="59" t="n"/>
      <c r="AB8" s="59" t="inlineStr">
        <is>
          <t>R</t>
        </is>
      </c>
      <c r="AC8" s="59" t="n"/>
      <c r="AD8" s="59" t="n"/>
      <c r="AE8" s="59" t="n"/>
      <c r="AF8" s="59" t="n"/>
      <c r="AG8" s="59" t="n"/>
      <c r="AH8" s="59" t="n"/>
      <c r="AI8" s="59" t="n"/>
      <c r="AJ8" s="59" t="n"/>
      <c r="AK8" s="59" t="n"/>
      <c r="AL8" s="59" t="n"/>
      <c r="AM8" s="59" t="n"/>
      <c r="AN8" s="59" t="n"/>
      <c r="AO8" s="59" t="n"/>
      <c r="AP8" s="59" t="n"/>
      <c r="AQ8" s="59" t="inlineStr">
        <is>
          <t>R</t>
        </is>
      </c>
      <c r="AR8" s="59" t="n"/>
      <c r="AS8" s="59" t="inlineStr">
        <is>
          <t>R</t>
        </is>
      </c>
      <c r="AT8" s="59" t="n"/>
      <c r="AU8" s="59" t="n"/>
      <c r="AV8" s="59" t="n"/>
      <c r="AW8" s="59" t="n"/>
      <c r="AX8" s="59" t="n"/>
      <c r="AY8" s="59" t="n"/>
      <c r="AZ8" s="59" t="inlineStr">
        <is>
          <t>R</t>
        </is>
      </c>
      <c r="BA8" s="59" t="n"/>
      <c r="BB8" s="54">
        <f>COUNTIF(D8:BA8,"C")</f>
        <v/>
      </c>
      <c r="BC8" s="54">
        <f>COUNTIF(D8:BA8,"R")</f>
        <v/>
      </c>
    </row>
    <row r="9">
      <c r="A9" s="57" t="n"/>
      <c r="B9" s="47" t="inlineStr">
        <is>
          <t>C01-04</t>
        </is>
      </c>
      <c r="C9" s="58">
        <f>IFERROR(INDEX(ケイパビリティマップ!$E:$E,MATCH(B9,ケイパビリティマップ!$A:$A,0)),"（IDなし）")</f>
        <v/>
      </c>
      <c r="D9" s="59" t="n"/>
      <c r="E9" s="59" t="inlineStr">
        <is>
          <t>R</t>
        </is>
      </c>
      <c r="F9" s="59" t="n"/>
      <c r="G9" s="59" t="n"/>
      <c r="H9" s="59" t="inlineStr">
        <is>
          <t>R</t>
        </is>
      </c>
      <c r="I9" s="59" t="n"/>
      <c r="J9" s="59" t="n"/>
      <c r="K9" s="59" t="n"/>
      <c r="L9" s="59" t="n"/>
      <c r="M9" s="59" t="n"/>
      <c r="N9" s="59" t="inlineStr">
        <is>
          <t>R</t>
        </is>
      </c>
      <c r="O9" s="59" t="inlineStr">
        <is>
          <t>C</t>
        </is>
      </c>
      <c r="P9" s="59" t="inlineStr">
        <is>
          <t>R</t>
        </is>
      </c>
      <c r="Q9" s="59" t="inlineStr">
        <is>
          <t>R</t>
        </is>
      </c>
      <c r="R9" s="59" t="inlineStr">
        <is>
          <t>R</t>
        </is>
      </c>
      <c r="S9" s="59" t="n"/>
      <c r="T9" s="59" t="n"/>
      <c r="U9" s="59" t="inlineStr">
        <is>
          <t>C</t>
        </is>
      </c>
      <c r="V9" s="59" t="n"/>
      <c r="W9" s="59" t="n"/>
      <c r="X9" s="59" t="n"/>
      <c r="Y9" s="59" t="n"/>
      <c r="Z9" s="59" t="n"/>
      <c r="AA9" s="59" t="n"/>
      <c r="AB9" s="59" t="n"/>
      <c r="AC9" s="59" t="n"/>
      <c r="AD9" s="59" t="n"/>
      <c r="AE9" s="59" t="n"/>
      <c r="AF9" s="59" t="n"/>
      <c r="AG9" s="59" t="n"/>
      <c r="AH9" s="59" t="n"/>
      <c r="AI9" s="59" t="n"/>
      <c r="AJ9" s="59" t="n"/>
      <c r="AK9" s="59" t="n"/>
      <c r="AL9" s="59" t="inlineStr">
        <is>
          <t>R</t>
        </is>
      </c>
      <c r="AM9" s="59" t="n"/>
      <c r="AN9" s="59" t="n"/>
      <c r="AO9" s="59" t="inlineStr">
        <is>
          <t>R</t>
        </is>
      </c>
      <c r="AP9" s="59" t="n"/>
      <c r="AQ9" s="59" t="inlineStr">
        <is>
          <t>R</t>
        </is>
      </c>
      <c r="AR9" s="59" t="inlineStr">
        <is>
          <t>R</t>
        </is>
      </c>
      <c r="AS9" s="59" t="inlineStr">
        <is>
          <t>R</t>
        </is>
      </c>
      <c r="AT9" s="59" t="n"/>
      <c r="AU9" s="59" t="inlineStr">
        <is>
          <t>R</t>
        </is>
      </c>
      <c r="AV9" s="59" t="n"/>
      <c r="AW9" s="59" t="n"/>
      <c r="AX9" s="59" t="n"/>
      <c r="AY9" s="59" t="n"/>
      <c r="AZ9" s="59" t="n"/>
      <c r="BA9" s="59" t="n"/>
      <c r="BB9" s="54">
        <f>COUNTIF(D9:BA9,"C")</f>
        <v/>
      </c>
      <c r="BC9" s="54">
        <f>COUNTIF(D9:BA9,"R")</f>
        <v/>
      </c>
    </row>
    <row r="10">
      <c r="A10" s="57" t="n"/>
      <c r="B10" s="47" t="inlineStr">
        <is>
          <t>C01-05</t>
        </is>
      </c>
      <c r="C10" s="58">
        <f>IFERROR(INDEX(ケイパビリティマップ!$E:$E,MATCH(B10,ケイパビリティマップ!$A:$A,0)),"（IDなし）")</f>
        <v/>
      </c>
      <c r="D10" s="59" t="inlineStr">
        <is>
          <t>R</t>
        </is>
      </c>
      <c r="E10" s="59" t="n"/>
      <c r="F10" s="59" t="n"/>
      <c r="G10" s="59" t="n"/>
      <c r="H10" s="59" t="n"/>
      <c r="I10" s="59" t="n"/>
      <c r="J10" s="59" t="n"/>
      <c r="K10" s="59" t="n"/>
      <c r="L10" s="59" t="n"/>
      <c r="M10" s="59" t="inlineStr">
        <is>
          <t>R</t>
        </is>
      </c>
      <c r="N10" s="59" t="inlineStr">
        <is>
          <t>R</t>
        </is>
      </c>
      <c r="O10" s="59" t="n"/>
      <c r="P10" s="59" t="inlineStr">
        <is>
          <t>R</t>
        </is>
      </c>
      <c r="Q10" s="59" t="inlineStr">
        <is>
          <t>R</t>
        </is>
      </c>
      <c r="R10" s="59" t="inlineStr">
        <is>
          <t>R</t>
        </is>
      </c>
      <c r="S10" s="59" t="inlineStr">
        <is>
          <t>C</t>
        </is>
      </c>
      <c r="T10" s="59" t="inlineStr">
        <is>
          <t>C</t>
        </is>
      </c>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inlineStr">
        <is>
          <t>R</t>
        </is>
      </c>
      <c r="AT10" s="59" t="n"/>
      <c r="AU10" s="59" t="n"/>
      <c r="AV10" s="59" t="n"/>
      <c r="AW10" s="59" t="n"/>
      <c r="AX10" s="59" t="n"/>
      <c r="AY10" s="59" t="n"/>
      <c r="AZ10" s="59" t="n"/>
      <c r="BA10" s="59" t="n"/>
      <c r="BB10" s="54">
        <f>COUNTIF(D10:BA10,"C")</f>
        <v/>
      </c>
      <c r="BC10" s="54">
        <f>COUNTIF(D10:BA10,"R")</f>
        <v/>
      </c>
    </row>
    <row r="11">
      <c r="A11" s="57" t="inlineStr">
        <is>
          <t>C02 ソリューション開発・導入</t>
        </is>
      </c>
      <c r="B11" s="47" t="inlineStr">
        <is>
          <t>C02-01</t>
        </is>
      </c>
      <c r="C11" s="58">
        <f>IFERROR(INDEX(ケイパビリティマップ!$E:$E,MATCH(B11,ケイパビリティマップ!$A:$A,0)),"（IDなし）")</f>
        <v/>
      </c>
      <c r="D11" s="59" t="n"/>
      <c r="E11" s="59" t="n"/>
      <c r="F11" s="59" t="n"/>
      <c r="G11" s="59" t="n"/>
      <c r="H11" s="59" t="n"/>
      <c r="I11" s="59" t="n"/>
      <c r="J11" s="59" t="inlineStr">
        <is>
          <t>R</t>
        </is>
      </c>
      <c r="K11" s="59" t="n"/>
      <c r="L11" s="59" t="n"/>
      <c r="M11" s="59" t="n"/>
      <c r="N11" s="59" t="inlineStr">
        <is>
          <t>R</t>
        </is>
      </c>
      <c r="O11" s="59" t="n"/>
      <c r="P11" s="59" t="n"/>
      <c r="Q11" s="59" t="inlineStr">
        <is>
          <t>R</t>
        </is>
      </c>
      <c r="R11" s="59" t="inlineStr">
        <is>
          <t>R</t>
        </is>
      </c>
      <c r="S11" s="59" t="n"/>
      <c r="T11" s="59" t="n"/>
      <c r="U11" s="59" t="n"/>
      <c r="V11" s="59" t="inlineStr">
        <is>
          <t>C</t>
        </is>
      </c>
      <c r="W11" s="59" t="n"/>
      <c r="X11" s="59" t="inlineStr">
        <is>
          <t>R</t>
        </is>
      </c>
      <c r="Y11" s="59" t="inlineStr">
        <is>
          <t>R</t>
        </is>
      </c>
      <c r="Z11" s="59" t="inlineStr">
        <is>
          <t>R</t>
        </is>
      </c>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inlineStr">
        <is>
          <t>R</t>
        </is>
      </c>
      <c r="AX11" s="59" t="inlineStr">
        <is>
          <t>C</t>
        </is>
      </c>
      <c r="AY11" s="59" t="inlineStr">
        <is>
          <t>R</t>
        </is>
      </c>
      <c r="AZ11" s="59" t="inlineStr">
        <is>
          <t>R</t>
        </is>
      </c>
      <c r="BA11" s="59" t="n"/>
      <c r="BB11" s="54">
        <f>COUNTIF(D11:BA11,"C")</f>
        <v/>
      </c>
      <c r="BC11" s="54">
        <f>COUNTIF(D11:BA11,"R")</f>
        <v/>
      </c>
    </row>
    <row r="12">
      <c r="A12" s="57" t="n"/>
      <c r="B12" s="47" t="inlineStr">
        <is>
          <t>C02-02</t>
        </is>
      </c>
      <c r="C12" s="58">
        <f>IFERROR(INDEX(ケイパビリティマップ!$E:$E,MATCH(B12,ケイパビリティマップ!$A:$A,0)),"（IDなし）")</f>
        <v/>
      </c>
      <c r="D12" s="59" t="n"/>
      <c r="E12" s="59" t="n"/>
      <c r="F12" s="59" t="n"/>
      <c r="G12" s="59" t="n"/>
      <c r="H12" s="59" t="n"/>
      <c r="I12" s="59" t="inlineStr">
        <is>
          <t>R</t>
        </is>
      </c>
      <c r="J12" s="59" t="n"/>
      <c r="K12" s="59" t="n"/>
      <c r="L12" s="59" t="n"/>
      <c r="M12" s="59" t="inlineStr">
        <is>
          <t>R</t>
        </is>
      </c>
      <c r="N12" s="59" t="inlineStr">
        <is>
          <t>R</t>
        </is>
      </c>
      <c r="O12" s="59" t="n"/>
      <c r="P12" s="59" t="n"/>
      <c r="Q12" s="59" t="inlineStr">
        <is>
          <t>R</t>
        </is>
      </c>
      <c r="R12" s="59" t="n"/>
      <c r="S12" s="59" t="n"/>
      <c r="T12" s="59" t="n"/>
      <c r="U12" s="59" t="n"/>
      <c r="V12" s="59" t="n"/>
      <c r="W12" s="59" t="inlineStr">
        <is>
          <t>C</t>
        </is>
      </c>
      <c r="X12" s="59" t="inlineStr">
        <is>
          <t>C</t>
        </is>
      </c>
      <c r="Y12" s="59" t="n"/>
      <c r="Z12" s="59" t="n"/>
      <c r="AA12" s="59" t="n"/>
      <c r="AB12" s="59" t="n"/>
      <c r="AC12" s="59" t="inlineStr">
        <is>
          <t>R</t>
        </is>
      </c>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4">
        <f>COUNTIF(D12:BA12,"C")</f>
        <v/>
      </c>
      <c r="BC12" s="54">
        <f>COUNTIF(D12:BA12,"R")</f>
        <v/>
      </c>
    </row>
    <row r="13">
      <c r="A13" s="57" t="n"/>
      <c r="B13" s="47" t="inlineStr">
        <is>
          <t>C02-03</t>
        </is>
      </c>
      <c r="C13" s="58">
        <f>IFERROR(INDEX(ケイパビリティマップ!$E:$E,MATCH(B13,ケイパビリティマップ!$A:$A,0)),"（IDなし）")</f>
        <v/>
      </c>
      <c r="D13" s="59" t="n"/>
      <c r="E13" s="59" t="n"/>
      <c r="F13" s="59" t="n"/>
      <c r="G13" s="59" t="n"/>
      <c r="H13" s="59" t="n"/>
      <c r="I13" s="59" t="inlineStr">
        <is>
          <t>R</t>
        </is>
      </c>
      <c r="J13" s="59" t="n"/>
      <c r="K13" s="59" t="n"/>
      <c r="L13" s="59" t="n"/>
      <c r="M13" s="59" t="n"/>
      <c r="N13" s="59" t="inlineStr">
        <is>
          <t>R</t>
        </is>
      </c>
      <c r="O13" s="59" t="n"/>
      <c r="P13" s="59" t="n"/>
      <c r="Q13" s="59" t="n"/>
      <c r="R13" s="59" t="n"/>
      <c r="S13" s="59" t="n"/>
      <c r="T13" s="59" t="n"/>
      <c r="U13" s="59" t="n"/>
      <c r="V13" s="59" t="n"/>
      <c r="W13" s="59" t="n"/>
      <c r="X13" s="59" t="inlineStr">
        <is>
          <t>R</t>
        </is>
      </c>
      <c r="Y13" s="59" t="inlineStr">
        <is>
          <t>C</t>
        </is>
      </c>
      <c r="Z13" s="59" t="n"/>
      <c r="AA13" s="59" t="inlineStr">
        <is>
          <t>C</t>
        </is>
      </c>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4">
        <f>COUNTIF(D13:BA13,"C")</f>
        <v/>
      </c>
      <c r="BC13" s="54">
        <f>COUNTIF(D13:BA13,"R")</f>
        <v/>
      </c>
    </row>
    <row r="14">
      <c r="A14" s="57" t="n"/>
      <c r="B14" s="47" t="inlineStr">
        <is>
          <t>C02-04</t>
        </is>
      </c>
      <c r="C14" s="58">
        <f>IFERROR(INDEX(ケイパビリティマップ!$E:$E,MATCH(B14,ケイパビリティマップ!$A:$A,0)),"（IDなし）")</f>
        <v/>
      </c>
      <c r="D14" s="59" t="inlineStr">
        <is>
          <t>C</t>
        </is>
      </c>
      <c r="E14" s="59" t="inlineStr">
        <is>
          <t>C</t>
        </is>
      </c>
      <c r="F14" s="59" t="n"/>
      <c r="G14" s="59" t="inlineStr">
        <is>
          <t>C</t>
        </is>
      </c>
      <c r="H14" s="59" t="n"/>
      <c r="I14" s="59" t="inlineStr">
        <is>
          <t>R</t>
        </is>
      </c>
      <c r="J14" s="59" t="n"/>
      <c r="K14" s="59" t="n"/>
      <c r="L14" s="59" t="n"/>
      <c r="M14" s="59" t="n"/>
      <c r="N14" s="59" t="n"/>
      <c r="O14" s="59" t="n"/>
      <c r="P14" s="59" t="n"/>
      <c r="Q14" s="59" t="n"/>
      <c r="R14" s="59" t="n"/>
      <c r="S14" s="59" t="n"/>
      <c r="T14" s="59" t="n"/>
      <c r="U14" s="59" t="n"/>
      <c r="V14" s="59" t="n"/>
      <c r="W14" s="59" t="inlineStr">
        <is>
          <t>R</t>
        </is>
      </c>
      <c r="X14" s="59" t="inlineStr">
        <is>
          <t>R</t>
        </is>
      </c>
      <c r="Y14" s="59" t="inlineStr">
        <is>
          <t>R</t>
        </is>
      </c>
      <c r="Z14" s="59" t="inlineStr">
        <is>
          <t>C</t>
        </is>
      </c>
      <c r="AA14" s="59" t="inlineStr">
        <is>
          <t>C</t>
        </is>
      </c>
      <c r="AB14" s="59" t="n"/>
      <c r="AC14" s="59" t="n"/>
      <c r="AD14" s="59" t="inlineStr">
        <is>
          <t>R</t>
        </is>
      </c>
      <c r="AE14" s="59" t="inlineStr">
        <is>
          <t>R</t>
        </is>
      </c>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4">
        <f>COUNTIF(D14:BA14,"C")</f>
        <v/>
      </c>
      <c r="BC14" s="54">
        <f>COUNTIF(D14:BA14,"R")</f>
        <v/>
      </c>
    </row>
    <row r="15">
      <c r="A15" s="57" t="inlineStr">
        <is>
          <t>C03 ITサービス管理・運用</t>
        </is>
      </c>
      <c r="B15" s="47" t="inlineStr">
        <is>
          <t>C03-01</t>
        </is>
      </c>
      <c r="C15" s="58">
        <f>IFERROR(INDEX(ケイパビリティマップ!$E:$E,MATCH(B15,ケイパビリティマップ!$A:$A,0)),"（IDなし）")</f>
        <v/>
      </c>
      <c r="D15" s="59" t="inlineStr">
        <is>
          <t>R</t>
        </is>
      </c>
      <c r="E15" s="59" t="inlineStr">
        <is>
          <t>R</t>
        </is>
      </c>
      <c r="F15" s="59" t="n"/>
      <c r="G15" s="59" t="inlineStr">
        <is>
          <t>C</t>
        </is>
      </c>
      <c r="H15" s="59" t="n"/>
      <c r="I15" s="59" t="n"/>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59" t="n"/>
      <c r="AJ15" s="59" t="inlineStr">
        <is>
          <t>C</t>
        </is>
      </c>
      <c r="AK15" s="59" t="n"/>
      <c r="AL15" s="59" t="n"/>
      <c r="AM15" s="59" t="n"/>
      <c r="AN15" s="59" t="inlineStr">
        <is>
          <t>R</t>
        </is>
      </c>
      <c r="AO15" s="59" t="n"/>
      <c r="AP15" s="59" t="inlineStr">
        <is>
          <t>R</t>
        </is>
      </c>
      <c r="AQ15" s="59" t="n"/>
      <c r="AR15" s="59" t="n"/>
      <c r="AS15" s="59" t="inlineStr">
        <is>
          <t>C</t>
        </is>
      </c>
      <c r="AT15" s="59" t="n"/>
      <c r="AU15" s="59" t="n"/>
      <c r="AV15" s="59" t="n"/>
      <c r="AW15" s="59" t="inlineStr">
        <is>
          <t>R</t>
        </is>
      </c>
      <c r="AX15" s="59" t="n"/>
      <c r="AY15" s="59" t="inlineStr">
        <is>
          <t>R</t>
        </is>
      </c>
      <c r="AZ15" s="59" t="n"/>
      <c r="BA15" s="59" t="n"/>
      <c r="BB15" s="54">
        <f>COUNTIF(D15:BA15,"C")</f>
        <v/>
      </c>
      <c r="BC15" s="54">
        <f>COUNTIF(D15:BA15,"R")</f>
        <v/>
      </c>
    </row>
    <row r="16">
      <c r="A16" s="57" t="n"/>
      <c r="B16" s="47" t="inlineStr">
        <is>
          <t>C03-02</t>
        </is>
      </c>
      <c r="C16" s="58">
        <f>IFERROR(INDEX(ケイパビリティマップ!$E:$E,MATCH(B16,ケイパビリティマップ!$A:$A,0)),"（IDなし）")</f>
        <v/>
      </c>
      <c r="D16" s="59" t="n"/>
      <c r="E16" s="59" t="n"/>
      <c r="F16" s="59" t="n"/>
      <c r="G16" s="59" t="inlineStr">
        <is>
          <t>R</t>
        </is>
      </c>
      <c r="H16" s="59" t="inlineStr">
        <is>
          <t>R</t>
        </is>
      </c>
      <c r="I16" s="59" t="n"/>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inlineStr">
        <is>
          <t>C</t>
        </is>
      </c>
      <c r="AL16" s="59" t="n"/>
      <c r="AM16" s="59" t="n"/>
      <c r="AN16" s="59" t="inlineStr">
        <is>
          <t>R</t>
        </is>
      </c>
      <c r="AO16" s="59" t="n"/>
      <c r="AP16" s="59" t="inlineStr">
        <is>
          <t>C</t>
        </is>
      </c>
      <c r="AQ16" s="59" t="n"/>
      <c r="AR16" s="59" t="n"/>
      <c r="AS16" s="59" t="n"/>
      <c r="AT16" s="59" t="n"/>
      <c r="AU16" s="59" t="n"/>
      <c r="AV16" s="59" t="n"/>
      <c r="AW16" s="59" t="n"/>
      <c r="AX16" s="59" t="n"/>
      <c r="AY16" s="59" t="n"/>
      <c r="AZ16" s="59" t="n"/>
      <c r="BA16" s="59" t="n"/>
      <c r="BB16" s="54">
        <f>COUNTIF(D16:BA16,"C")</f>
        <v/>
      </c>
      <c r="BC16" s="54">
        <f>COUNTIF(D16:BA16,"R")</f>
        <v/>
      </c>
    </row>
    <row r="17">
      <c r="A17" s="57" t="n"/>
      <c r="B17" s="47" t="inlineStr">
        <is>
          <t>C03-03</t>
        </is>
      </c>
      <c r="C17" s="58">
        <f>IFERROR(INDEX(ケイパビリティマップ!$E:$E,MATCH(B17,ケイパビリティマップ!$A:$A,0)),"（IDなし）")</f>
        <v/>
      </c>
      <c r="D17" s="59" t="n"/>
      <c r="E17" s="59" t="inlineStr">
        <is>
          <t>R</t>
        </is>
      </c>
      <c r="F17" s="59" t="n"/>
      <c r="G17" s="59" t="n"/>
      <c r="H17" s="59" t="n"/>
      <c r="I17" s="59" t="n"/>
      <c r="J17" s="59" t="n"/>
      <c r="K17" s="59" t="n"/>
      <c r="L17" s="59" t="n"/>
      <c r="M17" s="59" t="n"/>
      <c r="N17" s="59" t="n"/>
      <c r="O17" s="59" t="inlineStr">
        <is>
          <t>R</t>
        </is>
      </c>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inlineStr">
        <is>
          <t>R</t>
        </is>
      </c>
      <c r="AK17" s="59" t="n"/>
      <c r="AL17" s="59" t="n"/>
      <c r="AM17" s="59" t="n"/>
      <c r="AN17" s="59" t="inlineStr">
        <is>
          <t>C</t>
        </is>
      </c>
      <c r="AO17" s="59" t="inlineStr">
        <is>
          <t>C</t>
        </is>
      </c>
      <c r="AP17" s="59" t="n"/>
      <c r="AQ17" s="59" t="n"/>
      <c r="AR17" s="59" t="n"/>
      <c r="AS17" s="59" t="n"/>
      <c r="AT17" s="59" t="n"/>
      <c r="AU17" s="59" t="n"/>
      <c r="AV17" s="59" t="n"/>
      <c r="AW17" s="59" t="n"/>
      <c r="AX17" s="59" t="n"/>
      <c r="AY17" s="59" t="n"/>
      <c r="AZ17" s="59" t="n"/>
      <c r="BA17" s="59" t="n"/>
      <c r="BB17" s="54">
        <f>COUNTIF(D17:BA17,"C")</f>
        <v/>
      </c>
      <c r="BC17" s="54">
        <f>COUNTIF(D17:BA17,"R")</f>
        <v/>
      </c>
    </row>
    <row r="18">
      <c r="A18" s="57" t="n"/>
      <c r="B18" s="47" t="inlineStr">
        <is>
          <t>C03-04</t>
        </is>
      </c>
      <c r="C18" s="58">
        <f>IFERROR(INDEX(ケイパビリティマップ!$E:$E,MATCH(B18,ケイパビリティマップ!$A:$A,0)),"（IDなし）")</f>
        <v/>
      </c>
      <c r="D18" s="59" t="n"/>
      <c r="E18" s="59" t="inlineStr">
        <is>
          <t>R</t>
        </is>
      </c>
      <c r="F18" s="59" t="n"/>
      <c r="G18" s="59" t="n"/>
      <c r="H18" s="59" t="n"/>
      <c r="I18" s="59" t="n"/>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inlineStr">
        <is>
          <t>R</t>
        </is>
      </c>
      <c r="AH18" s="59" t="n"/>
      <c r="AI18" s="59" t="n"/>
      <c r="AJ18" s="59" t="n"/>
      <c r="AK18" s="59" t="inlineStr">
        <is>
          <t>R</t>
        </is>
      </c>
      <c r="AL18" s="59" t="n"/>
      <c r="AM18" s="59" t="inlineStr">
        <is>
          <t>C</t>
        </is>
      </c>
      <c r="AN18" s="59" t="inlineStr">
        <is>
          <t>R</t>
        </is>
      </c>
      <c r="AO18" s="59" t="n"/>
      <c r="AP18" s="59" t="inlineStr">
        <is>
          <t>C</t>
        </is>
      </c>
      <c r="AQ18" s="59" t="inlineStr">
        <is>
          <t>C</t>
        </is>
      </c>
      <c r="AR18" s="59" t="n"/>
      <c r="AS18" s="59" t="n"/>
      <c r="AT18" s="59" t="inlineStr">
        <is>
          <t>C</t>
        </is>
      </c>
      <c r="AU18" s="59" t="n"/>
      <c r="AV18" s="59" t="n"/>
      <c r="AW18" s="59" t="n"/>
      <c r="AX18" s="59" t="n"/>
      <c r="AY18" s="59" t="n"/>
      <c r="AZ18" s="59" t="n"/>
      <c r="BA18" s="59" t="n"/>
      <c r="BB18" s="54">
        <f>COUNTIF(D18:BA18,"C")</f>
        <v/>
      </c>
      <c r="BC18" s="54">
        <f>COUNTIF(D18:BA18,"R")</f>
        <v/>
      </c>
    </row>
    <row r="19">
      <c r="A19" s="57" t="n"/>
      <c r="B19" s="47" t="inlineStr">
        <is>
          <t>C03-05</t>
        </is>
      </c>
      <c r="C19" s="58">
        <f>IFERROR(INDEX(ケイパビリティマップ!$E:$E,MATCH(B19,ケイパビリティマップ!$A:$A,0)),"（IDなし）")</f>
        <v/>
      </c>
      <c r="D19" s="59" t="inlineStr">
        <is>
          <t>C</t>
        </is>
      </c>
      <c r="E19" s="59" t="inlineStr">
        <is>
          <t>C</t>
        </is>
      </c>
      <c r="F19" s="59" t="n"/>
      <c r="G19" s="59" t="inlineStr">
        <is>
          <t>C</t>
        </is>
      </c>
      <c r="H19" s="59" t="n"/>
      <c r="I19" s="59" t="inlineStr">
        <is>
          <t>R</t>
        </is>
      </c>
      <c r="J19" s="59" t="n"/>
      <c r="K19" s="59" t="n"/>
      <c r="L19" s="59" t="n"/>
      <c r="M19" s="59" t="n"/>
      <c r="N19" s="59" t="inlineStr">
        <is>
          <t>R</t>
        </is>
      </c>
      <c r="O19" s="59" t="n"/>
      <c r="P19" s="59" t="n"/>
      <c r="Q19" s="59" t="n"/>
      <c r="R19" s="59" t="inlineStr">
        <is>
          <t>R</t>
        </is>
      </c>
      <c r="S19" s="59" t="n"/>
      <c r="T19" s="59" t="n"/>
      <c r="U19" s="59" t="n"/>
      <c r="V19" s="59" t="n"/>
      <c r="W19" s="59" t="inlineStr">
        <is>
          <t>R</t>
        </is>
      </c>
      <c r="X19" s="59" t="n"/>
      <c r="Y19" s="59" t="n"/>
      <c r="Z19" s="59" t="inlineStr">
        <is>
          <t>C</t>
        </is>
      </c>
      <c r="AA19" s="59" t="inlineStr">
        <is>
          <t>R</t>
        </is>
      </c>
      <c r="AB19" s="59" t="n"/>
      <c r="AC19" s="59" t="n"/>
      <c r="AD19" s="59" t="inlineStr">
        <is>
          <t>R</t>
        </is>
      </c>
      <c r="AE19" s="59" t="inlineStr">
        <is>
          <t>R</t>
        </is>
      </c>
      <c r="AF19" s="59" t="n"/>
      <c r="AG19" s="59" t="n"/>
      <c r="AH19" s="59" t="inlineStr">
        <is>
          <t>R</t>
        </is>
      </c>
      <c r="AI19" s="59" t="n"/>
      <c r="AJ19" s="59" t="n"/>
      <c r="AK19" s="59" t="inlineStr">
        <is>
          <t>R</t>
        </is>
      </c>
      <c r="AL19" s="59" t="n"/>
      <c r="AM19" s="59" t="n"/>
      <c r="AN19" s="59" t="n"/>
      <c r="AO19" s="59" t="n"/>
      <c r="AP19" s="59" t="n"/>
      <c r="AQ19" s="59" t="inlineStr">
        <is>
          <t>R</t>
        </is>
      </c>
      <c r="AR19" s="59" t="inlineStr">
        <is>
          <t>C</t>
        </is>
      </c>
      <c r="AS19" s="59" t="n"/>
      <c r="AT19" s="59" t="n"/>
      <c r="AU19" s="59" t="inlineStr">
        <is>
          <t>R</t>
        </is>
      </c>
      <c r="AV19" s="59" t="n"/>
      <c r="AW19" s="59" t="n"/>
      <c r="AX19" s="59" t="n"/>
      <c r="AY19" s="59" t="n"/>
      <c r="AZ19" s="59" t="n"/>
      <c r="BA19" s="59" t="n"/>
      <c r="BB19" s="54">
        <f>COUNTIF(D19:BA19,"C")</f>
        <v/>
      </c>
      <c r="BC19" s="54">
        <f>COUNTIF(D19:BA19,"R")</f>
        <v/>
      </c>
    </row>
    <row r="20">
      <c r="A20" s="57" t="inlineStr">
        <is>
          <t>C04 ITプラットフォーム</t>
        </is>
      </c>
      <c r="B20" s="47" t="inlineStr">
        <is>
          <t>C04-01</t>
        </is>
      </c>
      <c r="C20" s="58">
        <f>IFERROR(INDEX(ケイパビリティマップ!$E:$E,MATCH(B20,ケイパビリティマップ!$A:$A,0)),"（IDなし）")</f>
        <v/>
      </c>
      <c r="D20" s="59" t="inlineStr">
        <is>
          <t>R</t>
        </is>
      </c>
      <c r="E20" s="59" t="inlineStr">
        <is>
          <t>C</t>
        </is>
      </c>
      <c r="F20" s="59" t="n"/>
      <c r="G20" s="59" t="inlineStr">
        <is>
          <t>R</t>
        </is>
      </c>
      <c r="H20" s="59" t="n"/>
      <c r="I20" s="59" t="n"/>
      <c r="J20" s="59" t="n"/>
      <c r="K20" s="59" t="n"/>
      <c r="L20" s="59" t="n"/>
      <c r="M20" s="59" t="n"/>
      <c r="N20" s="59" t="inlineStr">
        <is>
          <t>R</t>
        </is>
      </c>
      <c r="O20" s="59" t="n"/>
      <c r="P20" s="59" t="n"/>
      <c r="Q20" s="59" t="n"/>
      <c r="R20" s="59" t="n"/>
      <c r="S20" s="59" t="n"/>
      <c r="T20" s="59" t="n"/>
      <c r="U20" s="59" t="n"/>
      <c r="V20" s="59" t="n"/>
      <c r="W20" s="59" t="n"/>
      <c r="X20" s="59" t="n"/>
      <c r="Y20" s="59" t="n"/>
      <c r="Z20" s="59" t="n"/>
      <c r="AA20" s="59" t="inlineStr">
        <is>
          <t>R</t>
        </is>
      </c>
      <c r="AB20" s="59" t="n"/>
      <c r="AC20" s="59" t="n"/>
      <c r="AD20" s="59" t="n"/>
      <c r="AE20" s="59" t="inlineStr">
        <is>
          <t>R</t>
        </is>
      </c>
      <c r="AF20" s="59" t="n"/>
      <c r="AG20" s="59" t="n"/>
      <c r="AH20" s="59" t="n"/>
      <c r="AI20" s="59" t="n"/>
      <c r="AJ20" s="59" t="inlineStr">
        <is>
          <t>R</t>
        </is>
      </c>
      <c r="AK20" s="59" t="inlineStr">
        <is>
          <t>R</t>
        </is>
      </c>
      <c r="AL20" s="59" t="n"/>
      <c r="AM20" s="59" t="inlineStr">
        <is>
          <t>R</t>
        </is>
      </c>
      <c r="AN20" s="59" t="inlineStr">
        <is>
          <t>R</t>
        </is>
      </c>
      <c r="AO20" s="59" t="n"/>
      <c r="AP20" s="59" t="inlineStr">
        <is>
          <t>R</t>
        </is>
      </c>
      <c r="AQ20" s="59" t="n"/>
      <c r="AR20" s="59" t="n"/>
      <c r="AS20" s="59" t="n"/>
      <c r="AT20" s="59" t="inlineStr">
        <is>
          <t>R</t>
        </is>
      </c>
      <c r="AU20" s="59" t="n"/>
      <c r="AV20" s="59" t="n"/>
      <c r="AW20" s="59" t="n"/>
      <c r="AX20" s="59" t="n"/>
      <c r="AY20" s="59" t="n"/>
      <c r="AZ20" s="59" t="n"/>
      <c r="BA20" s="59" t="n"/>
      <c r="BB20" s="54">
        <f>COUNTIF(D20:BA20,"C")</f>
        <v/>
      </c>
      <c r="BC20" s="54">
        <f>COUNTIF(D20:BA20,"R")</f>
        <v/>
      </c>
    </row>
    <row r="21">
      <c r="A21" s="57" t="n"/>
      <c r="B21" s="47" t="inlineStr">
        <is>
          <t>C04-02</t>
        </is>
      </c>
      <c r="C21" s="58">
        <f>IFERROR(INDEX(ケイパビリティマップ!$E:$E,MATCH(B21,ケイパビリティマップ!$A:$A,0)),"（IDなし）")</f>
        <v/>
      </c>
      <c r="D21" s="59" t="n"/>
      <c r="E21" s="59" t="inlineStr">
        <is>
          <t>R</t>
        </is>
      </c>
      <c r="F21" s="59" t="n"/>
      <c r="G21" s="59" t="n"/>
      <c r="H21" s="59" t="n"/>
      <c r="I21" s="59" t="n"/>
      <c r="J21" s="59" t="n"/>
      <c r="K21" s="59" t="n"/>
      <c r="L21" s="59" t="n"/>
      <c r="M21" s="59" t="n"/>
      <c r="N21" s="59" t="inlineStr">
        <is>
          <t>R</t>
        </is>
      </c>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inlineStr">
        <is>
          <t>R</t>
        </is>
      </c>
      <c r="AL21" s="59" t="n"/>
      <c r="AM21" s="59" t="inlineStr">
        <is>
          <t>R</t>
        </is>
      </c>
      <c r="AN21" s="59" t="n"/>
      <c r="AO21" s="59" t="n"/>
      <c r="AP21" s="59" t="inlineStr">
        <is>
          <t>R</t>
        </is>
      </c>
      <c r="AQ21" s="59" t="n"/>
      <c r="AR21" s="59" t="n"/>
      <c r="AS21" s="59" t="n"/>
      <c r="AT21" s="59" t="inlineStr">
        <is>
          <t>R</t>
        </is>
      </c>
      <c r="AU21" s="59" t="n"/>
      <c r="AV21" s="59" t="n"/>
      <c r="AW21" s="59" t="n"/>
      <c r="AX21" s="59" t="n"/>
      <c r="AY21" s="59" t="n"/>
      <c r="AZ21" s="59" t="n"/>
      <c r="BA21" s="59" t="n"/>
      <c r="BB21" s="54">
        <f>COUNTIF(D21:BA21,"C")</f>
        <v/>
      </c>
      <c r="BC21" s="54">
        <f>COUNTIF(D21:BA21,"R")</f>
        <v/>
      </c>
    </row>
    <row r="22">
      <c r="A22" s="57" t="n"/>
      <c r="B22" s="47" t="inlineStr">
        <is>
          <t>C04-03</t>
        </is>
      </c>
      <c r="C22" s="58">
        <f>IFERROR(INDEX(ケイパビリティマップ!$E:$E,MATCH(B22,ケイパビリティマップ!$A:$A,0)),"（IDなし）")</f>
        <v/>
      </c>
      <c r="D22" s="59" t="n"/>
      <c r="E22" s="59" t="inlineStr">
        <is>
          <t>R</t>
        </is>
      </c>
      <c r="F22" s="59" t="inlineStr">
        <is>
          <t>C</t>
        </is>
      </c>
      <c r="G22" s="59" t="n"/>
      <c r="H22" s="59" t="inlineStr">
        <is>
          <t>R</t>
        </is>
      </c>
      <c r="I22" s="59" t="n"/>
      <c r="J22" s="59" t="n"/>
      <c r="K22" s="59" t="n"/>
      <c r="L22" s="59" t="n"/>
      <c r="M22" s="59" t="n"/>
      <c r="N22" s="59" t="n"/>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59" t="n"/>
      <c r="AJ22" s="59" t="n"/>
      <c r="AK22" s="59" t="inlineStr">
        <is>
          <t>R</t>
        </is>
      </c>
      <c r="AL22" s="59" t="inlineStr">
        <is>
          <t>R</t>
        </is>
      </c>
      <c r="AM22" s="59" t="n"/>
      <c r="AN22" s="59" t="inlineStr">
        <is>
          <t>R</t>
        </is>
      </c>
      <c r="AO22" s="59" t="n"/>
      <c r="AP22" s="59" t="n"/>
      <c r="AQ22" s="59" t="n"/>
      <c r="AR22" s="59" t="n"/>
      <c r="AS22" s="59" t="n"/>
      <c r="AT22" s="59" t="n"/>
      <c r="AU22" s="59" t="inlineStr">
        <is>
          <t>R</t>
        </is>
      </c>
      <c r="AV22" s="59" t="n"/>
      <c r="AW22" s="59" t="n"/>
      <c r="AX22" s="59" t="n"/>
      <c r="AY22" s="59" t="n"/>
      <c r="AZ22" s="59" t="n"/>
      <c r="BA22" s="59" t="n"/>
      <c r="BB22" s="54">
        <f>COUNTIF(D22:BA22,"C")</f>
        <v/>
      </c>
      <c r="BC22" s="54">
        <f>COUNTIF(D22:BA22,"R")</f>
        <v/>
      </c>
    </row>
    <row r="23">
      <c r="A23" s="57" t="n"/>
      <c r="B23" s="47" t="inlineStr">
        <is>
          <t>C04-04</t>
        </is>
      </c>
      <c r="C23" s="58">
        <f>IFERROR(INDEX(ケイパビリティマップ!$E:$E,MATCH(B23,ケイパビリティマップ!$A:$A,0)),"（IDなし）")</f>
        <v/>
      </c>
      <c r="D23" s="59" t="n"/>
      <c r="E23" s="59" t="n"/>
      <c r="F23" s="59" t="inlineStr">
        <is>
          <t>C</t>
        </is>
      </c>
      <c r="G23" s="59" t="n"/>
      <c r="H23" s="59" t="inlineStr">
        <is>
          <t>R</t>
        </is>
      </c>
      <c r="I23" s="59" t="n"/>
      <c r="J23" s="59" t="n"/>
      <c r="K23" s="59" t="n"/>
      <c r="L23" s="59" t="n"/>
      <c r="M23" s="59" t="n"/>
      <c r="N23" s="59" t="n"/>
      <c r="O23" s="59" t="n"/>
      <c r="P23" s="59" t="n"/>
      <c r="Q23" s="59" t="n"/>
      <c r="R23" s="59" t="n"/>
      <c r="S23" s="59" t="n"/>
      <c r="T23" s="59" t="inlineStr">
        <is>
          <t>C</t>
        </is>
      </c>
      <c r="U23" s="59" t="n"/>
      <c r="V23" s="59" t="n"/>
      <c r="W23" s="59" t="n"/>
      <c r="X23" s="59" t="n"/>
      <c r="Y23" s="59" t="n"/>
      <c r="Z23" s="59" t="n"/>
      <c r="AA23" s="59" t="n"/>
      <c r="AB23" s="59" t="n"/>
      <c r="AC23" s="59" t="n"/>
      <c r="AD23" s="59" t="n"/>
      <c r="AE23" s="59" t="n"/>
      <c r="AF23" s="59" t="n"/>
      <c r="AG23" s="59" t="n"/>
      <c r="AH23" s="59" t="n"/>
      <c r="AI23" s="59" t="n"/>
      <c r="AJ23" s="59" t="n"/>
      <c r="AK23" s="59" t="inlineStr">
        <is>
          <t>R</t>
        </is>
      </c>
      <c r="AL23" s="59" t="n"/>
      <c r="AM23" s="59" t="n"/>
      <c r="AN23" s="59" t="n"/>
      <c r="AO23" s="59" t="n"/>
      <c r="AP23" s="59" t="n"/>
      <c r="AQ23" s="59" t="n"/>
      <c r="AR23" s="59" t="n"/>
      <c r="AS23" s="59" t="n"/>
      <c r="AT23" s="59" t="n"/>
      <c r="AU23" s="59" t="n"/>
      <c r="AV23" s="59" t="n"/>
      <c r="AW23" s="59" t="n"/>
      <c r="AX23" s="59" t="n"/>
      <c r="AY23" s="59" t="n"/>
      <c r="AZ23" s="59" t="n"/>
      <c r="BA23" s="59" t="n"/>
      <c r="BB23" s="54">
        <f>COUNTIF(D23:BA23,"C")</f>
        <v/>
      </c>
      <c r="BC23" s="54">
        <f>COUNTIF(D23:BA23,"R")</f>
        <v/>
      </c>
    </row>
    <row r="24">
      <c r="A24" s="57" t="inlineStr">
        <is>
          <t>C05 サイバーセキュリティ</t>
        </is>
      </c>
      <c r="B24" s="47" t="inlineStr">
        <is>
          <t>C05-01</t>
        </is>
      </c>
      <c r="C24" s="58">
        <f>IFERROR(INDEX(ケイパビリティマップ!$E:$E,MATCH(B24,ケイパビリティマップ!$A:$A,0)),"（IDなし）")</f>
        <v/>
      </c>
      <c r="D24" s="59" t="n"/>
      <c r="E24" s="59" t="n"/>
      <c r="F24" s="59" t="n"/>
      <c r="G24" s="59" t="n"/>
      <c r="H24" s="59" t="n"/>
      <c r="I24" s="59" t="n"/>
      <c r="J24" s="59" t="inlineStr">
        <is>
          <t>R</t>
        </is>
      </c>
      <c r="K24" s="59" t="n"/>
      <c r="L24" s="59" t="n"/>
      <c r="M24" s="59" t="inlineStr">
        <is>
          <t>R</t>
        </is>
      </c>
      <c r="N24" s="59" t="inlineStr">
        <is>
          <t>R</t>
        </is>
      </c>
      <c r="O24" s="59" t="inlineStr">
        <is>
          <t>R</t>
        </is>
      </c>
      <c r="P24" s="59" t="n"/>
      <c r="Q24" s="59" t="inlineStr">
        <is>
          <t>R</t>
        </is>
      </c>
      <c r="R24" s="59" t="n"/>
      <c r="S24" s="59" t="n"/>
      <c r="T24" s="59" t="n"/>
      <c r="U24" s="59" t="inlineStr">
        <is>
          <t>R</t>
        </is>
      </c>
      <c r="V24" s="59" t="n"/>
      <c r="W24" s="59" t="inlineStr">
        <is>
          <t>R</t>
        </is>
      </c>
      <c r="X24" s="59" t="inlineStr">
        <is>
          <t>R</t>
        </is>
      </c>
      <c r="Y24" s="59" t="n"/>
      <c r="Z24" s="59" t="n"/>
      <c r="AA24" s="59" t="n"/>
      <c r="AB24" s="59" t="n"/>
      <c r="AC24" s="59" t="inlineStr">
        <is>
          <t>R</t>
        </is>
      </c>
      <c r="AD24" s="59" t="n"/>
      <c r="AE24" s="59" t="n"/>
      <c r="AF24" s="59" t="n"/>
      <c r="AG24" s="59" t="n"/>
      <c r="AH24" s="59" t="n"/>
      <c r="AI24" s="59" t="inlineStr">
        <is>
          <t>R</t>
        </is>
      </c>
      <c r="AJ24" s="59" t="n"/>
      <c r="AK24" s="59" t="n"/>
      <c r="AL24" s="59" t="n"/>
      <c r="AM24" s="59" t="n"/>
      <c r="AN24" s="59" t="n"/>
      <c r="AO24" s="59" t="n"/>
      <c r="AP24" s="59" t="n"/>
      <c r="AQ24" s="59" t="n"/>
      <c r="AR24" s="59" t="n"/>
      <c r="AS24" s="59" t="n"/>
      <c r="AT24" s="59" t="n"/>
      <c r="AU24" s="59" t="n"/>
      <c r="AV24" s="59" t="n"/>
      <c r="AW24" s="59" t="inlineStr">
        <is>
          <t>R</t>
        </is>
      </c>
      <c r="AX24" s="59" t="n"/>
      <c r="AY24" s="59" t="inlineStr">
        <is>
          <t>R</t>
        </is>
      </c>
      <c r="AZ24" s="59" t="n"/>
      <c r="BA24" s="59" t="inlineStr">
        <is>
          <t>R</t>
        </is>
      </c>
      <c r="BB24" s="54">
        <f>COUNTIF(D24:BA24,"C")</f>
        <v/>
      </c>
      <c r="BC24" s="54">
        <f>COUNTIF(D24:BA24,"R")</f>
        <v/>
      </c>
    </row>
    <row r="25">
      <c r="A25" s="57" t="n"/>
      <c r="B25" s="47" t="inlineStr">
        <is>
          <t>C05-02</t>
        </is>
      </c>
      <c r="C25" s="58">
        <f>IFERROR(INDEX(ケイパビリティマップ!$E:$E,MATCH(B25,ケイパビリティマップ!$A:$A,0)),"（IDなし）")</f>
        <v/>
      </c>
      <c r="D25" s="59" t="n"/>
      <c r="E25" s="59" t="inlineStr">
        <is>
          <t>R</t>
        </is>
      </c>
      <c r="F25" s="59" t="n"/>
      <c r="G25" s="59" t="n"/>
      <c r="H25" s="59" t="inlineStr">
        <is>
          <t>C</t>
        </is>
      </c>
      <c r="I25" s="59" t="n"/>
      <c r="J25" s="59" t="n"/>
      <c r="K25" s="59" t="n"/>
      <c r="L25" s="59" t="n"/>
      <c r="M25" s="59" t="n"/>
      <c r="N25" s="59" t="n"/>
      <c r="O25" s="59" t="n"/>
      <c r="P25" s="59" t="n"/>
      <c r="Q25" s="59" t="n"/>
      <c r="R25" s="59" t="n"/>
      <c r="S25" s="59" t="n"/>
      <c r="T25" s="59" t="n"/>
      <c r="U25" s="59" t="n"/>
      <c r="V25" s="59" t="n"/>
      <c r="W25" s="59" t="n"/>
      <c r="X25" s="59" t="n"/>
      <c r="Y25" s="59" t="n"/>
      <c r="Z25" s="59" t="inlineStr">
        <is>
          <t>R</t>
        </is>
      </c>
      <c r="AA25" s="59" t="n"/>
      <c r="AB25" s="59" t="n"/>
      <c r="AC25" s="59" t="n"/>
      <c r="AD25" s="59" t="inlineStr">
        <is>
          <t>R</t>
        </is>
      </c>
      <c r="AE25" s="59" t="n"/>
      <c r="AF25" s="59" t="n"/>
      <c r="AG25" s="59" t="n"/>
      <c r="AH25" s="59" t="n"/>
      <c r="AI25" s="59" t="n"/>
      <c r="AJ25" s="59" t="n"/>
      <c r="AK25" s="59" t="inlineStr">
        <is>
          <t>R</t>
        </is>
      </c>
      <c r="AL25" s="59" t="inlineStr">
        <is>
          <t>C</t>
        </is>
      </c>
      <c r="AM25" s="59" t="n"/>
      <c r="AN25" s="59" t="n"/>
      <c r="AO25" s="59" t="n"/>
      <c r="AP25" s="59" t="n"/>
      <c r="AQ25" s="59" t="n"/>
      <c r="AR25" s="59" t="inlineStr">
        <is>
          <t>R</t>
        </is>
      </c>
      <c r="AS25" s="59" t="n"/>
      <c r="AT25" s="59" t="n"/>
      <c r="AU25" s="59" t="n"/>
      <c r="AV25" s="59" t="n"/>
      <c r="AW25" s="59" t="n"/>
      <c r="AX25" s="59" t="n"/>
      <c r="AY25" s="59" t="n"/>
      <c r="AZ25" s="59" t="n"/>
      <c r="BA25" s="59" t="n"/>
      <c r="BB25" s="54">
        <f>COUNTIF(D25:BA25,"C")</f>
        <v/>
      </c>
      <c r="BC25" s="54">
        <f>COUNTIF(D25:BA25,"R")</f>
        <v/>
      </c>
    </row>
    <row r="26">
      <c r="A26" s="57" t="n"/>
      <c r="B26" s="47" t="inlineStr">
        <is>
          <t>C05-03</t>
        </is>
      </c>
      <c r="C26" s="58">
        <f>IFERROR(INDEX(ケイパビリティマップ!$E:$E,MATCH(B26,ケイパビリティマップ!$A:$A,0)),"（IDなし）")</f>
        <v/>
      </c>
      <c r="D26" s="59" t="n"/>
      <c r="E26" s="59" t="inlineStr">
        <is>
          <t>R</t>
        </is>
      </c>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inlineStr">
        <is>
          <t>R</t>
        </is>
      </c>
      <c r="AJ26" s="59" t="n"/>
      <c r="AK26" s="59" t="n"/>
      <c r="AL26" s="59" t="n"/>
      <c r="AM26" s="59" t="n"/>
      <c r="AN26" s="59" t="inlineStr">
        <is>
          <t>C</t>
        </is>
      </c>
      <c r="AO26" s="59" t="n"/>
      <c r="AP26" s="59" t="inlineStr">
        <is>
          <t>R</t>
        </is>
      </c>
      <c r="AQ26" s="59" t="n"/>
      <c r="AR26" s="59" t="inlineStr">
        <is>
          <t>C</t>
        </is>
      </c>
      <c r="AS26" s="59" t="n"/>
      <c r="AT26" s="59" t="n"/>
      <c r="AU26" s="59" t="inlineStr">
        <is>
          <t>C</t>
        </is>
      </c>
      <c r="AV26" s="59" t="inlineStr">
        <is>
          <t>C</t>
        </is>
      </c>
      <c r="AW26" s="59" t="n"/>
      <c r="AX26" s="59" t="n"/>
      <c r="AY26" s="59" t="n"/>
      <c r="AZ26" s="59" t="n"/>
      <c r="BA26" s="59" t="n"/>
      <c r="BB26" s="54">
        <f>COUNTIF(D26:BA26,"C")</f>
        <v/>
      </c>
      <c r="BC26" s="54">
        <f>COUNTIF(D26:BA26,"R")</f>
        <v/>
      </c>
    </row>
    <row r="27">
      <c r="A27" s="57" t="inlineStr">
        <is>
          <t>C06 データ・GxPコンプライアンス</t>
        </is>
      </c>
      <c r="B27" s="47" t="inlineStr">
        <is>
          <t>C06-01</t>
        </is>
      </c>
      <c r="C27" s="58">
        <f>IFERROR(INDEX(ケイパビリティマップ!$E:$E,MATCH(B27,ケイパビリティマップ!$A:$A,0)),"（IDなし）")</f>
        <v/>
      </c>
      <c r="D27" s="59" t="n"/>
      <c r="E27" s="59" t="inlineStr">
        <is>
          <t>C</t>
        </is>
      </c>
      <c r="F27" s="59" t="n"/>
      <c r="G27" s="59" t="n"/>
      <c r="H27" s="59" t="n"/>
      <c r="I27" s="59" t="n"/>
      <c r="J27" s="59" t="n"/>
      <c r="K27" s="59" t="n"/>
      <c r="L27" s="59" t="n"/>
      <c r="M27" s="59" t="n"/>
      <c r="N27" s="59" t="n"/>
      <c r="O27" s="59" t="inlineStr">
        <is>
          <t>R</t>
        </is>
      </c>
      <c r="P27" s="59" t="inlineStr">
        <is>
          <t>R</t>
        </is>
      </c>
      <c r="Q27" s="59" t="n"/>
      <c r="R27" s="59" t="n"/>
      <c r="S27" s="59" t="n"/>
      <c r="T27" s="59" t="n"/>
      <c r="U27" s="59" t="n"/>
      <c r="V27" s="59" t="inlineStr">
        <is>
          <t>R</t>
        </is>
      </c>
      <c r="W27" s="59" t="inlineStr">
        <is>
          <t>R</t>
        </is>
      </c>
      <c r="X27" s="59" t="inlineStr">
        <is>
          <t>R</t>
        </is>
      </c>
      <c r="Y27" s="59" t="n"/>
      <c r="Z27" s="59" t="inlineStr">
        <is>
          <t>C</t>
        </is>
      </c>
      <c r="AA27" s="59" t="n"/>
      <c r="AB27" s="59" t="inlineStr">
        <is>
          <t>C</t>
        </is>
      </c>
      <c r="AC27" s="59" t="inlineStr">
        <is>
          <t>C</t>
        </is>
      </c>
      <c r="AD27" s="59" t="inlineStr">
        <is>
          <t>C</t>
        </is>
      </c>
      <c r="AE27" s="59" t="inlineStr">
        <is>
          <t>C</t>
        </is>
      </c>
      <c r="AF27" s="59" t="inlineStr">
        <is>
          <t>C</t>
        </is>
      </c>
      <c r="AG27" s="59" t="inlineStr">
        <is>
          <t>R</t>
        </is>
      </c>
      <c r="AH27" s="59" t="n"/>
      <c r="AI27" s="59" t="n"/>
      <c r="AJ27" s="59" t="n"/>
      <c r="AK27" s="59" t="n"/>
      <c r="AL27" s="59" t="inlineStr">
        <is>
          <t>R</t>
        </is>
      </c>
      <c r="AM27" s="59" t="n"/>
      <c r="AN27" s="59" t="n"/>
      <c r="AO27" s="59" t="n"/>
      <c r="AP27" s="59" t="inlineStr">
        <is>
          <t>R</t>
        </is>
      </c>
      <c r="AQ27" s="59" t="inlineStr">
        <is>
          <t>R</t>
        </is>
      </c>
      <c r="AR27" s="59" t="inlineStr">
        <is>
          <t>C</t>
        </is>
      </c>
      <c r="AS27" s="59" t="n"/>
      <c r="AT27" s="59" t="n"/>
      <c r="AU27" s="59" t="inlineStr">
        <is>
          <t>R</t>
        </is>
      </c>
      <c r="AV27" s="59" t="n"/>
      <c r="AW27" s="59" t="n"/>
      <c r="AX27" s="59" t="n"/>
      <c r="AY27" s="59" t="n"/>
      <c r="AZ27" s="59" t="n"/>
      <c r="BA27" s="59" t="n"/>
      <c r="BB27" s="54">
        <f>COUNTIF(D27:BA27,"C")</f>
        <v/>
      </c>
      <c r="BC27" s="54">
        <f>COUNTIF(D27:BA27,"R")</f>
        <v/>
      </c>
    </row>
    <row r="28">
      <c r="A28" s="57" t="n"/>
      <c r="B28" s="47" t="inlineStr">
        <is>
          <t>C06-02</t>
        </is>
      </c>
      <c r="C28" s="58">
        <f>IFERROR(INDEX(ケイパビリティマップ!$E:$E,MATCH(B28,ケイパビリティマップ!$A:$A,0)),"（IDなし）")</f>
        <v/>
      </c>
      <c r="D28" s="59" t="inlineStr">
        <is>
          <t>C</t>
        </is>
      </c>
      <c r="E28" s="59" t="inlineStr">
        <is>
          <t>R</t>
        </is>
      </c>
      <c r="F28" s="59" t="n"/>
      <c r="G28" s="59" t="n"/>
      <c r="H28" s="59" t="n"/>
      <c r="I28" s="59" t="inlineStr">
        <is>
          <t>R</t>
        </is>
      </c>
      <c r="J28" s="59" t="n"/>
      <c r="K28" s="59" t="n"/>
      <c r="L28" s="59" t="n"/>
      <c r="M28" s="59" t="n"/>
      <c r="N28" s="59" t="n"/>
      <c r="O28" s="59" t="inlineStr">
        <is>
          <t>R</t>
        </is>
      </c>
      <c r="P28" s="59" t="n"/>
      <c r="Q28" s="59" t="n"/>
      <c r="R28" s="59" t="inlineStr">
        <is>
          <t>R</t>
        </is>
      </c>
      <c r="S28" s="59" t="n"/>
      <c r="T28" s="59" t="n"/>
      <c r="U28" s="59" t="n"/>
      <c r="V28" s="59" t="inlineStr">
        <is>
          <t>R</t>
        </is>
      </c>
      <c r="W28" s="59" t="inlineStr">
        <is>
          <t>R</t>
        </is>
      </c>
      <c r="X28" s="59" t="inlineStr">
        <is>
          <t>C</t>
        </is>
      </c>
      <c r="Y28" s="59" t="n"/>
      <c r="Z28" s="59" t="inlineStr">
        <is>
          <t>R</t>
        </is>
      </c>
      <c r="AA28" s="59" t="inlineStr">
        <is>
          <t>R</t>
        </is>
      </c>
      <c r="AB28" s="59" t="inlineStr">
        <is>
          <t>R</t>
        </is>
      </c>
      <c r="AC28" s="59" t="inlineStr">
        <is>
          <t>R</t>
        </is>
      </c>
      <c r="AD28" s="59" t="inlineStr">
        <is>
          <t>R</t>
        </is>
      </c>
      <c r="AE28" s="59" t="n"/>
      <c r="AF28" s="59" t="inlineStr">
        <is>
          <t>R</t>
        </is>
      </c>
      <c r="AG28" s="59" t="inlineStr">
        <is>
          <t>C</t>
        </is>
      </c>
      <c r="AH28" s="59" t="inlineStr">
        <is>
          <t>C</t>
        </is>
      </c>
      <c r="AI28" s="59" t="inlineStr">
        <is>
          <t>C</t>
        </is>
      </c>
      <c r="AJ28" s="59" t="n"/>
      <c r="AK28" s="59" t="n"/>
      <c r="AL28" s="59" t="inlineStr">
        <is>
          <t>R</t>
        </is>
      </c>
      <c r="AM28" s="59" t="n"/>
      <c r="AN28" s="59" t="n"/>
      <c r="AO28" s="59" t="inlineStr">
        <is>
          <t>R</t>
        </is>
      </c>
      <c r="AP28" s="59" t="inlineStr">
        <is>
          <t>C</t>
        </is>
      </c>
      <c r="AQ28" s="59" t="n"/>
      <c r="AR28" s="59" t="inlineStr">
        <is>
          <t>R</t>
        </is>
      </c>
      <c r="AS28" s="59" t="n"/>
      <c r="AT28" s="59" t="n"/>
      <c r="AU28" s="59" t="n"/>
      <c r="AV28" s="59" t="n"/>
      <c r="AW28" s="59" t="n"/>
      <c r="AX28" s="59" t="n"/>
      <c r="AY28" s="59" t="n"/>
      <c r="AZ28" s="59" t="n"/>
      <c r="BA28" s="59" t="n"/>
      <c r="BB28" s="54">
        <f>COUNTIF(D28:BA28,"C")</f>
        <v/>
      </c>
      <c r="BC28" s="54">
        <f>COUNTIF(D28:BA28,"R")</f>
        <v/>
      </c>
    </row>
    <row r="29">
      <c r="A29" s="57" t="n"/>
      <c r="B29" s="47" t="inlineStr">
        <is>
          <t>C06-03</t>
        </is>
      </c>
      <c r="C29" s="58">
        <f>IFERROR(INDEX(ケイパビリティマップ!$E:$E,MATCH(B29,ケイパビリティマップ!$A:$A,0)),"（IDなし）")</f>
        <v/>
      </c>
      <c r="D29" s="59" t="inlineStr">
        <is>
          <t>R</t>
        </is>
      </c>
      <c r="E29" s="59" t="inlineStr">
        <is>
          <t>R</t>
        </is>
      </c>
      <c r="F29" s="59" t="n"/>
      <c r="G29" s="59" t="n"/>
      <c r="H29" s="59" t="n"/>
      <c r="I29" s="59" t="inlineStr">
        <is>
          <t>C</t>
        </is>
      </c>
      <c r="J29" s="59" t="n"/>
      <c r="K29" s="59" t="n"/>
      <c r="L29" s="59" t="inlineStr">
        <is>
          <t>R</t>
        </is>
      </c>
      <c r="M29" s="59" t="inlineStr">
        <is>
          <t>R</t>
        </is>
      </c>
      <c r="N29" s="59" t="inlineStr">
        <is>
          <t>R</t>
        </is>
      </c>
      <c r="O29" s="59" t="n"/>
      <c r="P29" s="59" t="n"/>
      <c r="Q29" s="59" t="n"/>
      <c r="R29" s="59" t="n"/>
      <c r="S29" s="59" t="n"/>
      <c r="T29" s="59" t="n"/>
      <c r="U29" s="59" t="n"/>
      <c r="V29" s="59" t="n"/>
      <c r="W29" s="59" t="inlineStr">
        <is>
          <t>R</t>
        </is>
      </c>
      <c r="X29" s="59" t="inlineStr">
        <is>
          <t>R</t>
        </is>
      </c>
      <c r="Y29" s="59" t="inlineStr">
        <is>
          <t>R</t>
        </is>
      </c>
      <c r="Z29" s="59" t="inlineStr">
        <is>
          <t>R</t>
        </is>
      </c>
      <c r="AA29" s="59" t="inlineStr">
        <is>
          <t>R</t>
        </is>
      </c>
      <c r="AB29" s="59" t="n"/>
      <c r="AC29" s="59" t="n"/>
      <c r="AD29" s="59" t="n"/>
      <c r="AE29" s="59" t="n"/>
      <c r="AF29" s="59" t="n"/>
      <c r="AG29" s="59" t="n"/>
      <c r="AH29" s="59" t="n"/>
      <c r="AI29" s="59" t="n"/>
      <c r="AJ29" s="59" t="inlineStr">
        <is>
          <t>R</t>
        </is>
      </c>
      <c r="AK29" s="59" t="n"/>
      <c r="AL29" s="59" t="n"/>
      <c r="AM29" s="59" t="n"/>
      <c r="AN29" s="59" t="inlineStr">
        <is>
          <t>R</t>
        </is>
      </c>
      <c r="AO29" s="59" t="n"/>
      <c r="AP29" s="59" t="inlineStr">
        <is>
          <t>R</t>
        </is>
      </c>
      <c r="AQ29" s="59" t="n"/>
      <c r="AR29" s="59" t="n"/>
      <c r="AS29" s="59" t="inlineStr">
        <is>
          <t>R</t>
        </is>
      </c>
      <c r="AT29" s="59" t="n"/>
      <c r="AU29" s="59" t="n"/>
      <c r="AV29" s="59" t="n"/>
      <c r="AW29" s="59" t="n"/>
      <c r="AX29" s="59" t="n"/>
      <c r="AY29" s="59" t="n"/>
      <c r="AZ29" s="59" t="n"/>
      <c r="BA29" s="59" t="n"/>
      <c r="BB29" s="54">
        <f>COUNTIF(D29:BA29,"C")</f>
        <v/>
      </c>
      <c r="BC29" s="54">
        <f>COUNTIF(D29:BA29,"R")</f>
        <v/>
      </c>
    </row>
    <row r="30">
      <c r="A30" s="57" t="n"/>
      <c r="B30" s="47" t="inlineStr">
        <is>
          <t>C06-04</t>
        </is>
      </c>
      <c r="C30" s="58">
        <f>IFERROR(INDEX(ケイパビリティマップ!$E:$E,MATCH(B30,ケイパビリティマップ!$A:$A,0)),"（IDなし）")</f>
        <v/>
      </c>
      <c r="D30" s="59" t="n"/>
      <c r="E30" s="59" t="n"/>
      <c r="F30" s="59" t="n"/>
      <c r="G30" s="59" t="n"/>
      <c r="H30" s="59" t="n"/>
      <c r="I30" s="59" t="n"/>
      <c r="J30" s="59" t="n"/>
      <c r="K30" s="59" t="n"/>
      <c r="L30" s="59" t="n"/>
      <c r="M30" s="59" t="n"/>
      <c r="N30" s="59" t="n"/>
      <c r="O30" s="59" t="inlineStr">
        <is>
          <t>R</t>
        </is>
      </c>
      <c r="P30" s="59" t="n"/>
      <c r="Q30" s="59" t="n"/>
      <c r="R30" s="59" t="n"/>
      <c r="S30" s="59" t="n"/>
      <c r="T30" s="59" t="n"/>
      <c r="U30" s="59" t="n"/>
      <c r="V30" s="59" t="n"/>
      <c r="W30" s="59" t="inlineStr">
        <is>
          <t>R</t>
        </is>
      </c>
      <c r="X30" s="59" t="inlineStr">
        <is>
          <t>R</t>
        </is>
      </c>
      <c r="Y30" s="59" t="n"/>
      <c r="Z30" s="59" t="n"/>
      <c r="AA30" s="59" t="n"/>
      <c r="AB30" s="59" t="n"/>
      <c r="AC30" s="59" t="inlineStr">
        <is>
          <t>R</t>
        </is>
      </c>
      <c r="AD30" s="59" t="n"/>
      <c r="AE30" s="59" t="n"/>
      <c r="AF30" s="59" t="n"/>
      <c r="AG30" s="59" t="n"/>
      <c r="AH30" s="59" t="n"/>
      <c r="AI30" s="59" t="inlineStr">
        <is>
          <t>C</t>
        </is>
      </c>
      <c r="AJ30" s="59" t="n"/>
      <c r="AK30" s="59" t="n"/>
      <c r="AL30" s="59" t="n"/>
      <c r="AM30" s="59" t="n"/>
      <c r="AN30" s="59" t="inlineStr">
        <is>
          <t>R</t>
        </is>
      </c>
      <c r="AO30" s="59" t="n"/>
      <c r="AP30" s="59" t="inlineStr">
        <is>
          <t>R</t>
        </is>
      </c>
      <c r="AQ30" s="59" t="n"/>
      <c r="AR30" s="59" t="n"/>
      <c r="AS30" s="59" t="n"/>
      <c r="AT30" s="59" t="n"/>
      <c r="AU30" s="59" t="n"/>
      <c r="AV30" s="59" t="inlineStr">
        <is>
          <t>C</t>
        </is>
      </c>
      <c r="AW30" s="59" t="n"/>
      <c r="AX30" s="59" t="n"/>
      <c r="AY30" s="59" t="n"/>
      <c r="AZ30" s="59" t="n"/>
      <c r="BA30" s="59" t="n"/>
      <c r="BB30" s="54">
        <f>COUNTIF(D30:BA30,"C")</f>
        <v/>
      </c>
      <c r="BC30" s="54">
        <f>COUNTIF(D30:BA30,"R")</f>
        <v/>
      </c>
    </row>
    <row r="31">
      <c r="A31" s="57" t="inlineStr">
        <is>
          <t>C07 IT組織・ソーシング基盤</t>
        </is>
      </c>
      <c r="B31" s="47" t="inlineStr">
        <is>
          <t>C07-01</t>
        </is>
      </c>
      <c r="C31" s="58">
        <f>IFERROR(INDEX(ケイパビリティマップ!$E:$E,MATCH(B31,ケイパビリティマップ!$A:$A,0)),"（IDなし）")</f>
        <v/>
      </c>
      <c r="D31" s="59" t="n"/>
      <c r="E31" s="59" t="n"/>
      <c r="F31" s="59" t="n"/>
      <c r="G31" s="59" t="inlineStr">
        <is>
          <t>R</t>
        </is>
      </c>
      <c r="H31" s="59" t="n"/>
      <c r="I31" s="59" t="n"/>
      <c r="J31" s="59" t="inlineStr">
        <is>
          <t>C</t>
        </is>
      </c>
      <c r="K31" s="59" t="inlineStr">
        <is>
          <t>R</t>
        </is>
      </c>
      <c r="L31" s="59" t="inlineStr">
        <is>
          <t>R</t>
        </is>
      </c>
      <c r="M31" s="59" t="n"/>
      <c r="N31" s="59" t="n"/>
      <c r="O31" s="59" t="n"/>
      <c r="P31" s="59" t="n"/>
      <c r="Q31" s="59" t="inlineStr">
        <is>
          <t>C</t>
        </is>
      </c>
      <c r="R31" s="59" t="inlineStr">
        <is>
          <t>R</t>
        </is>
      </c>
      <c r="S31" s="59" t="n"/>
      <c r="T31" s="59" t="n"/>
      <c r="U31" s="59" t="inlineStr">
        <is>
          <t>R</t>
        </is>
      </c>
      <c r="V31" s="59" t="n"/>
      <c r="W31" s="59" t="n"/>
      <c r="X31" s="59" t="n"/>
      <c r="Y31" s="59" t="n"/>
      <c r="Z31" s="59" t="inlineStr">
        <is>
          <t>R</t>
        </is>
      </c>
      <c r="AA31" s="59" t="n"/>
      <c r="AB31" s="59" t="n"/>
      <c r="AC31" s="59" t="n"/>
      <c r="AD31" s="59" t="n"/>
      <c r="AE31" s="59" t="n"/>
      <c r="AF31" s="59" t="n"/>
      <c r="AG31" s="59" t="n"/>
      <c r="AH31" s="59" t="n"/>
      <c r="AI31" s="59" t="n"/>
      <c r="AJ31" s="59" t="inlineStr">
        <is>
          <t>R</t>
        </is>
      </c>
      <c r="AK31" s="59" t="n"/>
      <c r="AL31" s="59" t="n"/>
      <c r="AM31" s="59" t="n"/>
      <c r="AN31" s="59" t="n"/>
      <c r="AO31" s="59" t="n"/>
      <c r="AP31" s="59" t="n"/>
      <c r="AQ31" s="59" t="n"/>
      <c r="AR31" s="59" t="n"/>
      <c r="AS31" s="59" t="inlineStr">
        <is>
          <t>R</t>
        </is>
      </c>
      <c r="AT31" s="59" t="n"/>
      <c r="AU31" s="59" t="n"/>
      <c r="AV31" s="59" t="n"/>
      <c r="AW31" s="59" t="inlineStr">
        <is>
          <t>C</t>
        </is>
      </c>
      <c r="AX31" s="59" t="inlineStr">
        <is>
          <t>C</t>
        </is>
      </c>
      <c r="AY31" s="59" t="inlineStr">
        <is>
          <t>C</t>
        </is>
      </c>
      <c r="AZ31" s="59" t="inlineStr">
        <is>
          <t>R</t>
        </is>
      </c>
      <c r="BA31" s="59" t="n"/>
      <c r="BB31" s="54">
        <f>COUNTIF(D31:BA31,"C")</f>
        <v/>
      </c>
      <c r="BC31" s="54">
        <f>COUNTIF(D31:BA31,"R")</f>
        <v/>
      </c>
    </row>
    <row r="32">
      <c r="A32" s="57" t="n"/>
      <c r="B32" s="47" t="inlineStr">
        <is>
          <t>C07-02</t>
        </is>
      </c>
      <c r="C32" s="58">
        <f>IFERROR(INDEX(ケイパビリティマップ!$E:$E,MATCH(B32,ケイパビリティマップ!$A:$A,0)),"（IDなし）")</f>
        <v/>
      </c>
      <c r="D32" s="59" t="n"/>
      <c r="E32" s="59" t="n"/>
      <c r="F32" s="59" t="n"/>
      <c r="G32" s="59" t="n"/>
      <c r="H32" s="59" t="n"/>
      <c r="I32" s="59" t="n"/>
      <c r="J32" s="59" t="inlineStr">
        <is>
          <t>R</t>
        </is>
      </c>
      <c r="K32" s="59" t="n"/>
      <c r="L32" s="59" t="n"/>
      <c r="M32" s="59" t="n"/>
      <c r="N32" s="59" t="n"/>
      <c r="O32" s="59" t="inlineStr">
        <is>
          <t>R</t>
        </is>
      </c>
      <c r="P32" s="59" t="n"/>
      <c r="Q32" s="59" t="inlineStr">
        <is>
          <t>R</t>
        </is>
      </c>
      <c r="R32" s="59" t="inlineStr">
        <is>
          <t>R</t>
        </is>
      </c>
      <c r="S32" s="59" t="n"/>
      <c r="T32" s="59" t="n"/>
      <c r="U32" s="59" t="n"/>
      <c r="V32" s="59" t="inlineStr">
        <is>
          <t>R</t>
        </is>
      </c>
      <c r="W32" s="59" t="n"/>
      <c r="X32" s="59" t="inlineStr">
        <is>
          <t>R</t>
        </is>
      </c>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inlineStr">
        <is>
          <t>C</t>
        </is>
      </c>
      <c r="BA32" s="59" t="inlineStr">
        <is>
          <t>C</t>
        </is>
      </c>
      <c r="BB32" s="54">
        <f>COUNTIF(D32:BA32,"C")</f>
        <v/>
      </c>
      <c r="BC32" s="54">
        <f>COUNTIF(D32:BA32,"R")</f>
        <v/>
      </c>
    </row>
    <row r="33">
      <c r="A33" s="57" t="n"/>
      <c r="B33" s="47" t="inlineStr">
        <is>
          <t>C07-03</t>
        </is>
      </c>
      <c r="C33" s="58">
        <f>IFERROR(INDEX(ケイパビリティマップ!$E:$E,MATCH(B33,ケイパビリティマップ!$A:$A,0)),"（IDなし）")</f>
        <v/>
      </c>
      <c r="D33" s="59" t="inlineStr">
        <is>
          <t>R</t>
        </is>
      </c>
      <c r="E33" s="59" t="inlineStr">
        <is>
          <t>R</t>
        </is>
      </c>
      <c r="F33" s="59" t="n"/>
      <c r="G33" s="59" t="inlineStr">
        <is>
          <t>R</t>
        </is>
      </c>
      <c r="H33" s="59" t="n"/>
      <c r="I33" s="59" t="n"/>
      <c r="J33" s="59" t="n"/>
      <c r="K33" s="59" t="n"/>
      <c r="L33" s="59" t="n"/>
      <c r="M33" s="59" t="n"/>
      <c r="N33" s="59" t="inlineStr">
        <is>
          <t>R</t>
        </is>
      </c>
      <c r="O33" s="59" t="inlineStr">
        <is>
          <t>R</t>
        </is>
      </c>
      <c r="P33" s="59" t="n"/>
      <c r="Q33" s="59" t="n"/>
      <c r="R33" s="59" t="n"/>
      <c r="S33" s="59" t="n"/>
      <c r="T33" s="59" t="n"/>
      <c r="U33" s="59" t="inlineStr">
        <is>
          <t>R</t>
        </is>
      </c>
      <c r="V33" s="59" t="n"/>
      <c r="W33" s="59" t="n"/>
      <c r="X33" s="59" t="inlineStr">
        <is>
          <t>R</t>
        </is>
      </c>
      <c r="Y33" s="59" t="n"/>
      <c r="Z33" s="59" t="n"/>
      <c r="AA33" s="59" t="inlineStr">
        <is>
          <t>R</t>
        </is>
      </c>
      <c r="AB33" s="59" t="n"/>
      <c r="AC33" s="59" t="n"/>
      <c r="AD33" s="59" t="n"/>
      <c r="AE33" s="59" t="inlineStr">
        <is>
          <t>R</t>
        </is>
      </c>
      <c r="AF33" s="59" t="n"/>
      <c r="AG33" s="59" t="n"/>
      <c r="AH33" s="59" t="n"/>
      <c r="AI33" s="59" t="n"/>
      <c r="AJ33" s="59" t="n"/>
      <c r="AK33" s="59" t="n"/>
      <c r="AL33" s="59" t="n"/>
      <c r="AM33" s="59" t="inlineStr">
        <is>
          <t>C</t>
        </is>
      </c>
      <c r="AN33" s="59" t="n"/>
      <c r="AO33" s="59" t="n"/>
      <c r="AP33" s="59" t="inlineStr">
        <is>
          <t>R</t>
        </is>
      </c>
      <c r="AQ33" s="59" t="n"/>
      <c r="AR33" s="59" t="n"/>
      <c r="AS33" s="59" t="n"/>
      <c r="AT33" s="59" t="n"/>
      <c r="AU33" s="59" t="n"/>
      <c r="AV33" s="59" t="n"/>
      <c r="AW33" s="59" t="n"/>
      <c r="AX33" s="59" t="n"/>
      <c r="AY33" s="59" t="n"/>
      <c r="AZ33" s="59" t="n"/>
      <c r="BA33" s="59" t="inlineStr">
        <is>
          <t>R</t>
        </is>
      </c>
      <c r="BB33" s="54">
        <f>COUNTIF(D33:BA33,"C")</f>
        <v/>
      </c>
      <c r="BC33" s="54">
        <f>COUNTIF(D33:BA33,"R")</f>
        <v/>
      </c>
    </row>
    <row r="34">
      <c r="C34" s="57" t="inlineStr">
        <is>
          <t>Cの数</t>
        </is>
      </c>
      <c r="D34" s="54">
        <f>COUNTIF(D$6:D$33,"C")</f>
        <v/>
      </c>
      <c r="E34" s="54">
        <f>COUNTIF(E$6:E$33,"C")</f>
        <v/>
      </c>
      <c r="F34" s="54">
        <f>COUNTIF(F$6:F$33,"C")</f>
        <v/>
      </c>
      <c r="G34" s="54">
        <f>COUNTIF(G$6:G$33,"C")</f>
        <v/>
      </c>
      <c r="H34" s="54">
        <f>COUNTIF(H$6:H$33,"C")</f>
        <v/>
      </c>
      <c r="I34" s="54">
        <f>COUNTIF(I$6:I$33,"C")</f>
        <v/>
      </c>
      <c r="J34" s="54">
        <f>COUNTIF(J$6:J$33,"C")</f>
        <v/>
      </c>
      <c r="K34" s="54">
        <f>COUNTIF(K$6:K$33,"C")</f>
        <v/>
      </c>
      <c r="L34" s="54">
        <f>COUNTIF(L$6:L$33,"C")</f>
        <v/>
      </c>
      <c r="M34" s="54">
        <f>COUNTIF(M$6:M$33,"C")</f>
        <v/>
      </c>
      <c r="N34" s="54">
        <f>COUNTIF(N$6:N$33,"C")</f>
        <v/>
      </c>
      <c r="O34" s="54">
        <f>COUNTIF(O$6:O$33,"C")</f>
        <v/>
      </c>
      <c r="P34" s="54">
        <f>COUNTIF(P$6:P$33,"C")</f>
        <v/>
      </c>
      <c r="Q34" s="54">
        <f>COUNTIF(Q$6:Q$33,"C")</f>
        <v/>
      </c>
      <c r="R34" s="54">
        <f>COUNTIF(R$6:R$33,"C")</f>
        <v/>
      </c>
      <c r="S34" s="54">
        <f>COUNTIF(S$6:S$33,"C")</f>
        <v/>
      </c>
      <c r="T34" s="54">
        <f>COUNTIF(T$6:T$33,"C")</f>
        <v/>
      </c>
      <c r="U34" s="54">
        <f>COUNTIF(U$6:U$33,"C")</f>
        <v/>
      </c>
      <c r="V34" s="54">
        <f>COUNTIF(V$6:V$33,"C")</f>
        <v/>
      </c>
      <c r="W34" s="54">
        <f>COUNTIF(W$6:W$33,"C")</f>
        <v/>
      </c>
      <c r="X34" s="54">
        <f>COUNTIF(X$6:X$33,"C")</f>
        <v/>
      </c>
      <c r="Y34" s="54">
        <f>COUNTIF(Y$6:Y$33,"C")</f>
        <v/>
      </c>
      <c r="Z34" s="54">
        <f>COUNTIF(Z$6:Z$33,"C")</f>
        <v/>
      </c>
      <c r="AA34" s="54">
        <f>COUNTIF(AA$6:AA$33,"C")</f>
        <v/>
      </c>
      <c r="AB34" s="54">
        <f>COUNTIF(AB$6:AB$33,"C")</f>
        <v/>
      </c>
      <c r="AC34" s="54">
        <f>COUNTIF(AC$6:AC$33,"C")</f>
        <v/>
      </c>
      <c r="AD34" s="54">
        <f>COUNTIF(AD$6:AD$33,"C")</f>
        <v/>
      </c>
      <c r="AE34" s="54">
        <f>COUNTIF(AE$6:AE$33,"C")</f>
        <v/>
      </c>
      <c r="AF34" s="54">
        <f>COUNTIF(AF$6:AF$33,"C")</f>
        <v/>
      </c>
      <c r="AG34" s="54">
        <f>COUNTIF(AG$6:AG$33,"C")</f>
        <v/>
      </c>
      <c r="AH34" s="54">
        <f>COUNTIF(AH$6:AH$33,"C")</f>
        <v/>
      </c>
      <c r="AI34" s="54">
        <f>COUNTIF(AI$6:AI$33,"C")</f>
        <v/>
      </c>
      <c r="AJ34" s="54">
        <f>COUNTIF(AJ$6:AJ$33,"C")</f>
        <v/>
      </c>
      <c r="AK34" s="54">
        <f>COUNTIF(AK$6:AK$33,"C")</f>
        <v/>
      </c>
      <c r="AL34" s="54">
        <f>COUNTIF(AL$6:AL$33,"C")</f>
        <v/>
      </c>
      <c r="AM34" s="54">
        <f>COUNTIF(AM$6:AM$33,"C")</f>
        <v/>
      </c>
      <c r="AN34" s="54">
        <f>COUNTIF(AN$6:AN$33,"C")</f>
        <v/>
      </c>
      <c r="AO34" s="54">
        <f>COUNTIF(AO$6:AO$33,"C")</f>
        <v/>
      </c>
      <c r="AP34" s="54">
        <f>COUNTIF(AP$6:AP$33,"C")</f>
        <v/>
      </c>
      <c r="AQ34" s="54">
        <f>COUNTIF(AQ$6:AQ$33,"C")</f>
        <v/>
      </c>
      <c r="AR34" s="54">
        <f>COUNTIF(AR$6:AR$33,"C")</f>
        <v/>
      </c>
      <c r="AS34" s="54">
        <f>COUNTIF(AS$6:AS$33,"C")</f>
        <v/>
      </c>
      <c r="AT34" s="54">
        <f>COUNTIF(AT$6:AT$33,"C")</f>
        <v/>
      </c>
      <c r="AU34" s="54">
        <f>COUNTIF(AU$6:AU$33,"C")</f>
        <v/>
      </c>
      <c r="AV34" s="54">
        <f>COUNTIF(AV$6:AV$33,"C")</f>
        <v/>
      </c>
      <c r="AW34" s="54">
        <f>COUNTIF(AW$6:AW$33,"C")</f>
        <v/>
      </c>
      <c r="AX34" s="54">
        <f>COUNTIF(AX$6:AX$33,"C")</f>
        <v/>
      </c>
      <c r="AY34" s="54">
        <f>COUNTIF(AY$6:AY$33,"C")</f>
        <v/>
      </c>
      <c r="AZ34" s="54">
        <f>COUNTIF(AZ$6:AZ$33,"C")</f>
        <v/>
      </c>
      <c r="BA34" s="54">
        <f>COUNTIF(BA$6:BA$33,"C")</f>
        <v/>
      </c>
    </row>
    <row r="35">
      <c r="C35" s="57" t="inlineStr">
        <is>
          <t>Rの数</t>
        </is>
      </c>
      <c r="D35" s="54">
        <f>COUNTIF(D$6:D$33,"R")</f>
        <v/>
      </c>
      <c r="E35" s="54">
        <f>COUNTIF(E$6:E$33,"R")</f>
        <v/>
      </c>
      <c r="F35" s="54">
        <f>COUNTIF(F$6:F$33,"R")</f>
        <v/>
      </c>
      <c r="G35" s="54">
        <f>COUNTIF(G$6:G$33,"R")</f>
        <v/>
      </c>
      <c r="H35" s="54">
        <f>COUNTIF(H$6:H$33,"R")</f>
        <v/>
      </c>
      <c r="I35" s="54">
        <f>COUNTIF(I$6:I$33,"R")</f>
        <v/>
      </c>
      <c r="J35" s="54">
        <f>COUNTIF(J$6:J$33,"R")</f>
        <v/>
      </c>
      <c r="K35" s="54">
        <f>COUNTIF(K$6:K$33,"R")</f>
        <v/>
      </c>
      <c r="L35" s="54">
        <f>COUNTIF(L$6:L$33,"R")</f>
        <v/>
      </c>
      <c r="M35" s="54">
        <f>COUNTIF(M$6:M$33,"R")</f>
        <v/>
      </c>
      <c r="N35" s="54">
        <f>COUNTIF(N$6:N$33,"R")</f>
        <v/>
      </c>
      <c r="O35" s="54">
        <f>COUNTIF(O$6:O$33,"R")</f>
        <v/>
      </c>
      <c r="P35" s="54">
        <f>COUNTIF(P$6:P$33,"R")</f>
        <v/>
      </c>
      <c r="Q35" s="54">
        <f>COUNTIF(Q$6:Q$33,"R")</f>
        <v/>
      </c>
      <c r="R35" s="54">
        <f>COUNTIF(R$6:R$33,"R")</f>
        <v/>
      </c>
      <c r="S35" s="54">
        <f>COUNTIF(S$6:S$33,"R")</f>
        <v/>
      </c>
      <c r="T35" s="54">
        <f>COUNTIF(T$6:T$33,"R")</f>
        <v/>
      </c>
      <c r="U35" s="54">
        <f>COUNTIF(U$6:U$33,"R")</f>
        <v/>
      </c>
      <c r="V35" s="54">
        <f>COUNTIF(V$6:V$33,"R")</f>
        <v/>
      </c>
      <c r="W35" s="54">
        <f>COUNTIF(W$6:W$33,"R")</f>
        <v/>
      </c>
      <c r="X35" s="54">
        <f>COUNTIF(X$6:X$33,"R")</f>
        <v/>
      </c>
      <c r="Y35" s="54">
        <f>COUNTIF(Y$6:Y$33,"R")</f>
        <v/>
      </c>
      <c r="Z35" s="54">
        <f>COUNTIF(Z$6:Z$33,"R")</f>
        <v/>
      </c>
      <c r="AA35" s="54">
        <f>COUNTIF(AA$6:AA$33,"R")</f>
        <v/>
      </c>
      <c r="AB35" s="54">
        <f>COUNTIF(AB$6:AB$33,"R")</f>
        <v/>
      </c>
      <c r="AC35" s="54">
        <f>COUNTIF(AC$6:AC$33,"R")</f>
        <v/>
      </c>
      <c r="AD35" s="54">
        <f>COUNTIF(AD$6:AD$33,"R")</f>
        <v/>
      </c>
      <c r="AE35" s="54">
        <f>COUNTIF(AE$6:AE$33,"R")</f>
        <v/>
      </c>
      <c r="AF35" s="54">
        <f>COUNTIF(AF$6:AF$33,"R")</f>
        <v/>
      </c>
      <c r="AG35" s="54">
        <f>COUNTIF(AG$6:AG$33,"R")</f>
        <v/>
      </c>
      <c r="AH35" s="54">
        <f>COUNTIF(AH$6:AH$33,"R")</f>
        <v/>
      </c>
      <c r="AI35" s="54">
        <f>COUNTIF(AI$6:AI$33,"R")</f>
        <v/>
      </c>
      <c r="AJ35" s="54">
        <f>COUNTIF(AJ$6:AJ$33,"R")</f>
        <v/>
      </c>
      <c r="AK35" s="54">
        <f>COUNTIF(AK$6:AK$33,"R")</f>
        <v/>
      </c>
      <c r="AL35" s="54">
        <f>COUNTIF(AL$6:AL$33,"R")</f>
        <v/>
      </c>
      <c r="AM35" s="54">
        <f>COUNTIF(AM$6:AM$33,"R")</f>
        <v/>
      </c>
      <c r="AN35" s="54">
        <f>COUNTIF(AN$6:AN$33,"R")</f>
        <v/>
      </c>
      <c r="AO35" s="54">
        <f>COUNTIF(AO$6:AO$33,"R")</f>
        <v/>
      </c>
      <c r="AP35" s="54">
        <f>COUNTIF(AP$6:AP$33,"R")</f>
        <v/>
      </c>
      <c r="AQ35" s="54">
        <f>COUNTIF(AQ$6:AQ$33,"R")</f>
        <v/>
      </c>
      <c r="AR35" s="54">
        <f>COUNTIF(AR$6:AR$33,"R")</f>
        <v/>
      </c>
      <c r="AS35" s="54">
        <f>COUNTIF(AS$6:AS$33,"R")</f>
        <v/>
      </c>
      <c r="AT35" s="54">
        <f>COUNTIF(AT$6:AT$33,"R")</f>
        <v/>
      </c>
      <c r="AU35" s="54">
        <f>COUNTIF(AU$6:AU$33,"R")</f>
        <v/>
      </c>
      <c r="AV35" s="54">
        <f>COUNTIF(AV$6:AV$33,"R")</f>
        <v/>
      </c>
      <c r="AW35" s="54">
        <f>COUNTIF(AW$6:AW$33,"R")</f>
        <v/>
      </c>
      <c r="AX35" s="54">
        <f>COUNTIF(AX$6:AX$33,"R")</f>
        <v/>
      </c>
      <c r="AY35" s="54">
        <f>COUNTIF(AY$6:AY$33,"R")</f>
        <v/>
      </c>
      <c r="AZ35" s="54">
        <f>COUNTIF(AZ$6:AZ$33,"R")</f>
        <v/>
      </c>
      <c r="BA35" s="54">
        <f>COUNTIF(BA$6:BA$33,"R")</f>
        <v/>
      </c>
    </row>
  </sheetData>
  <mergeCells count="13">
    <mergeCell ref="D4:J4"/>
    <mergeCell ref="AB4:AI4"/>
    <mergeCell ref="AW4:BA4"/>
    <mergeCell ref="B4:B5"/>
    <mergeCell ref="C4:C5"/>
    <mergeCell ref="A4:A5"/>
    <mergeCell ref="BB4:BB5"/>
    <mergeCell ref="AJ4:AM4"/>
    <mergeCell ref="BC4:BC5"/>
    <mergeCell ref="AN4:AT4"/>
    <mergeCell ref="V4:AA4"/>
    <mergeCell ref="K4:U4"/>
    <mergeCell ref="AU4:AV4"/>
  </mergeCells>
  <conditionalFormatting sqref="D6:BA33">
    <cfRule type="cellIs" priority="1" operator="equal" dxfId="2">
      <formula>"C"</formula>
    </cfRule>
  </conditionalFormatting>
  <dataValidations count="1">
    <dataValidation sqref="D6:BA33" showDropDown="0" showInputMessage="0" showErrorMessage="0" allowBlank="1" type="list">
      <formula1>"C,R"</formula1>
    </dataValidation>
  </dataValidations>
  <pageMargins left="0.75" right="0.75" top="1" bottom="1" header="0.5" footer="0.5"/>
</worksheet>
</file>

<file path=xl/worksheets/sheet8.xml><?xml version="1.0" encoding="utf-8"?>
<worksheet xmlns="http://schemas.openxmlformats.org/spreadsheetml/2006/main">
  <sheetPr>
    <tabColor rgb="001F3A5F"/>
    <outlinePr summaryBelow="1" summaryRight="1"/>
    <pageSetUpPr/>
  </sheetPr>
  <dimension ref="A1:H29"/>
  <sheetViews>
    <sheetView showGridLines="1" zoomScale="10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1" customWidth="1" min="2" max="2"/>
    <col width="24" customWidth="1" min="3" max="3"/>
    <col width="26" customWidth="1" min="4" max="4"/>
    <col width="56" customWidth="1" min="5" max="5"/>
    <col width="14" customWidth="1" min="6" max="6"/>
    <col width="11" customWidth="1" min="7" max="7"/>
  </cols>
  <sheetData>
    <row r="1" ht="17.35" customHeight="1">
      <c r="A1" s="43" t="inlineStr">
        <is>
          <t>アプリケーション（正本：種類の単位）</t>
        </is>
      </c>
    </row>
    <row r="2" ht="15" customHeight="1">
      <c r="A2" s="44" t="inlineStr">
        <is>
          <t>1行1種類。製品名ではなく、機能のまとまり（種類）で定義する。現状のシステム名との対応は別の工程で行う。灰色の列は数式（編集しない）。関連法令・規制がGxPのものは、コンピュータ化システムバリデーションの対象候補。金商法のものは、IT全般統制の評価の対象候補。</t>
        </is>
      </c>
    </row>
    <row r="3" ht="30" customHeight="1">
      <c r="A3" s="45" t="inlineStr">
        <is>
          <t>ID</t>
        </is>
      </c>
      <c r="B3" s="45" t="inlineStr">
        <is>
          <t>領域</t>
        </is>
      </c>
      <c r="C3" s="45" t="inlineStr">
        <is>
          <t>アプリケーション種類</t>
        </is>
      </c>
      <c r="D3" s="45" t="inlineStr">
        <is>
          <t>略称・通称</t>
        </is>
      </c>
      <c r="E3" s="45" t="inlineStr">
        <is>
          <t>主な機能</t>
        </is>
      </c>
      <c r="F3" s="45" t="inlineStr">
        <is>
          <t>主な関連法令・規制</t>
        </is>
      </c>
      <c r="G3" s="46" t="inlineStr">
        <is>
          <t>主に支える
ケイパビリティ数</t>
        </is>
      </c>
      <c r="H3" s="46" t="inlineStr">
        <is>
          <t>部分的に支える
ケイパビリティ数</t>
        </is>
      </c>
    </row>
    <row r="4" ht="26.85" customHeight="1">
      <c r="A4" s="47" t="inlineStr">
        <is>
          <t>APP-01</t>
        </is>
      </c>
      <c r="B4" s="48" t="inlineStr">
        <is>
          <t>戦略</t>
        </is>
      </c>
      <c r="C4" s="49" t="inlineStr">
        <is>
          <t>ITポートフォリオ・プロジェクト管理</t>
        </is>
      </c>
      <c r="D4" s="51" t="inlineStr">
        <is>
          <t>PPM／SPM</t>
        </is>
      </c>
      <c r="E4" s="51" t="inlineStr">
        <is>
          <t>需要・投資案件・ポートフォリオと、プロジェクトの計画・進捗・資源を管理する</t>
        </is>
      </c>
      <c r="F4" s="48" t="inlineStr">
        <is>
          <t>なし</t>
        </is>
      </c>
      <c r="G4" s="54">
        <f>COUNTIF('ケイパビリティ×アプリケーション'!D$6:D$33,"●")</f>
        <v/>
      </c>
      <c r="H4" s="54">
        <f>COUNTIF('ケイパビリティ×アプリケーション'!D$6:D$33,"○")</f>
        <v/>
      </c>
    </row>
    <row r="5" ht="26.85" customHeight="1">
      <c r="A5" s="47" t="inlineStr">
        <is>
          <t>APP-02</t>
        </is>
      </c>
      <c r="B5" s="48" t="inlineStr">
        <is>
          <t>戦略</t>
        </is>
      </c>
      <c r="C5" s="49" t="inlineStr">
        <is>
          <t>EA・アプリケーションポートフォリオ管理</t>
        </is>
      </c>
      <c r="D5" s="51" t="inlineStr">
        <is>
          <t>EAツール／APM</t>
        </is>
      </c>
      <c r="E5" s="51" t="inlineStr">
        <is>
          <t>アーキテクチャのモデルとアプリケーション台帳を管理し、ライフサイクルを評価する</t>
        </is>
      </c>
      <c r="F5" s="48" t="inlineStr">
        <is>
          <t>GxP</t>
        </is>
      </c>
      <c r="G5" s="54">
        <f>COUNTIF('ケイパビリティ×アプリケーション'!E$6:E$33,"●")</f>
        <v/>
      </c>
      <c r="H5" s="54">
        <f>COUNTIF('ケイパビリティ×アプリケーション'!E$6:E$33,"○")</f>
        <v/>
      </c>
    </row>
    <row r="6" ht="26.85" customHeight="1">
      <c r="A6" s="47" t="inlineStr">
        <is>
          <t>APP-03</t>
        </is>
      </c>
      <c r="B6" s="48" t="inlineStr">
        <is>
          <t>戦略</t>
        </is>
      </c>
      <c r="C6" s="49" t="inlineStr">
        <is>
          <t>IT財務管理</t>
        </is>
      </c>
      <c r="D6" s="51" t="inlineStr">
        <is>
          <t>ITFM／TBM</t>
        </is>
      </c>
      <c r="E6" s="51" t="inlineStr">
        <is>
          <t>IT予算・費用の実績と、サービス・部門への配賦を管理する</t>
        </is>
      </c>
      <c r="F6" s="48" t="inlineStr">
        <is>
          <t>なし</t>
        </is>
      </c>
      <c r="G6" s="54">
        <f>COUNTIF('ケイパビリティ×アプリケーション'!F$6:F$33,"●")</f>
        <v/>
      </c>
      <c r="H6" s="54">
        <f>COUNTIF('ケイパビリティ×アプリケーション'!F$6:F$33,"○")</f>
        <v/>
      </c>
    </row>
    <row r="7" ht="26.85" customHeight="1">
      <c r="A7" s="47" t="inlineStr">
        <is>
          <t>APP-04</t>
        </is>
      </c>
      <c r="B7" s="48" t="inlineStr">
        <is>
          <t>開発</t>
        </is>
      </c>
      <c r="C7" s="49" t="inlineStr">
        <is>
          <t>要件・テスト管理</t>
        </is>
      </c>
      <c r="D7" s="51" t="inlineStr">
        <is>
          <t>ALM</t>
        </is>
      </c>
      <c r="E7" s="51" t="inlineStr">
        <is>
          <t>要求・設計・テストを管理し、トレーサビリティを保つ</t>
        </is>
      </c>
      <c r="F7" s="48" t="inlineStr">
        <is>
          <t>GxP</t>
        </is>
      </c>
      <c r="G7" s="54">
        <f>COUNTIF('ケイパビリティ×アプリケーション'!G$6:G$33,"●")</f>
        <v/>
      </c>
      <c r="H7" s="54">
        <f>COUNTIF('ケイパビリティ×アプリケーション'!G$6:G$33,"○")</f>
        <v/>
      </c>
    </row>
    <row r="8" ht="26.85" customHeight="1">
      <c r="A8" s="47" t="inlineStr">
        <is>
          <t>APP-05</t>
        </is>
      </c>
      <c r="B8" s="48" t="inlineStr">
        <is>
          <t>開発</t>
        </is>
      </c>
      <c r="C8" s="49" t="inlineStr">
        <is>
          <t>ソースコード管理・CI/CD</t>
        </is>
      </c>
      <c r="D8" s="51" t="inlineStr">
        <is>
          <t>コードリポジトリ／CI/CDパイプライン</t>
        </is>
      </c>
      <c r="E8" s="51" t="inlineStr">
        <is>
          <t>ソースコードと設定を版管理し、ビルド・テスト・配備を自動化する</t>
        </is>
      </c>
      <c r="F8" s="48" t="inlineStr">
        <is>
          <t>なし</t>
        </is>
      </c>
      <c r="G8" s="54">
        <f>COUNTIF('ケイパビリティ×アプリケーション'!H$6:H$33,"●")</f>
        <v/>
      </c>
      <c r="H8" s="54">
        <f>COUNTIF('ケイパビリティ×アプリケーション'!H$6:H$33,"○")</f>
        <v/>
      </c>
    </row>
    <row r="9" ht="26.85" customHeight="1">
      <c r="A9" s="47" t="inlineStr">
        <is>
          <t>APP-06</t>
        </is>
      </c>
      <c r="B9" s="48" t="inlineStr">
        <is>
          <t>GxP</t>
        </is>
      </c>
      <c r="C9" s="49" t="inlineStr">
        <is>
          <t>バリデーション管理</t>
        </is>
      </c>
      <c r="D9" s="51" t="inlineStr">
        <is>
          <t>VLMS（ペーパーレスバリデーション）</t>
        </is>
      </c>
      <c r="E9" s="51" t="inlineStr">
        <is>
          <t>バリデーションの計画・実施・承認を電子的に行い、トレーサビリティを保つ</t>
        </is>
      </c>
      <c r="F9" s="48" t="inlineStr">
        <is>
          <t>GxP</t>
        </is>
      </c>
      <c r="G9" s="54">
        <f>COUNTIF('ケイパビリティ×アプリケーション'!I$6:I$33,"●")</f>
        <v/>
      </c>
      <c r="H9" s="54">
        <f>COUNTIF('ケイパビリティ×アプリケーション'!I$6:I$33,"○")</f>
        <v/>
      </c>
    </row>
    <row r="10" ht="26.85" customHeight="1">
      <c r="A10" s="47" t="inlineStr">
        <is>
          <t>APP-07</t>
        </is>
      </c>
      <c r="B10" s="48" t="inlineStr">
        <is>
          <t>GxP</t>
        </is>
      </c>
      <c r="C10" s="49" t="inlineStr">
        <is>
          <t>文書管理</t>
        </is>
      </c>
      <c r="D10" s="51" t="inlineStr">
        <is>
          <t>eDMS</t>
        </is>
      </c>
      <c r="E10" s="51" t="inlineStr">
        <is>
          <t>IT規程・手順書・バリデーション文書を版管理し、承認と電子署名を行う</t>
        </is>
      </c>
      <c r="F10" s="48" t="inlineStr">
        <is>
          <t>GxP</t>
        </is>
      </c>
      <c r="G10" s="54">
        <f>COUNTIF('ケイパビリティ×アプリケーション'!J$6:J$33,"●")</f>
        <v/>
      </c>
      <c r="H10" s="54">
        <f>COUNTIF('ケイパビリティ×アプリケーション'!J$6:J$33,"○")</f>
        <v/>
      </c>
    </row>
    <row r="11" ht="26.85" customHeight="1">
      <c r="A11" s="47" t="inlineStr">
        <is>
          <t>APP-08</t>
        </is>
      </c>
      <c r="B11" s="48" t="inlineStr">
        <is>
          <t>GxP</t>
        </is>
      </c>
      <c r="C11" s="49" t="inlineStr">
        <is>
          <t>教育管理</t>
        </is>
      </c>
      <c r="D11" s="51" t="inlineStr">
        <is>
          <t>LMS</t>
        </is>
      </c>
      <c r="E11" s="51" t="inlineStr">
        <is>
          <t>教育の計画・受講・記録と、資格を管理する</t>
        </is>
      </c>
      <c r="F11" s="48" t="inlineStr">
        <is>
          <t>GxP</t>
        </is>
      </c>
      <c r="G11" s="54">
        <f>COUNTIF('ケイパビリティ×アプリケーション'!K$6:K$33,"●")</f>
        <v/>
      </c>
      <c r="H11" s="54">
        <f>COUNTIF('ケイパビリティ×アプリケーション'!K$6:K$33,"○")</f>
        <v/>
      </c>
    </row>
    <row r="12" ht="26.85" customHeight="1">
      <c r="A12" s="47" t="inlineStr">
        <is>
          <t>APP-09</t>
        </is>
      </c>
      <c r="B12" s="48" t="inlineStr">
        <is>
          <t>サービス</t>
        </is>
      </c>
      <c r="C12" s="49" t="inlineStr">
        <is>
          <t>ITサービス管理</t>
        </is>
      </c>
      <c r="D12" s="51" t="inlineStr">
        <is>
          <t>ITSM</t>
        </is>
      </c>
      <c r="E12" s="51" t="inlineStr">
        <is>
          <t>サービスデスク・申請・インシデント・問題・変更・SLAを一元管理する</t>
        </is>
      </c>
      <c r="F12" s="48" t="inlineStr">
        <is>
          <t>GxP・金商法</t>
        </is>
      </c>
      <c r="G12" s="54">
        <f>COUNTIF('ケイパビリティ×アプリケーション'!L$6:L$33,"●")</f>
        <v/>
      </c>
      <c r="H12" s="54">
        <f>COUNTIF('ケイパビリティ×アプリケーション'!L$6:L$33,"○")</f>
        <v/>
      </c>
    </row>
    <row r="13" ht="26.85" customHeight="1">
      <c r="A13" s="47" t="inlineStr">
        <is>
          <t>APP-10</t>
        </is>
      </c>
      <c r="B13" s="48" t="inlineStr">
        <is>
          <t>サービス</t>
        </is>
      </c>
      <c r="C13" s="49" t="inlineStr">
        <is>
          <t>構成管理データベース</t>
        </is>
      </c>
      <c r="D13" s="51" t="inlineStr">
        <is>
          <t>CMDB</t>
        </is>
      </c>
      <c r="E13" s="51" t="inlineStr">
        <is>
          <t>構成情報と関係を管理し、変更・障害の影響範囲を示す</t>
        </is>
      </c>
      <c r="F13" s="48" t="inlineStr">
        <is>
          <t>金商法</t>
        </is>
      </c>
      <c r="G13" s="54">
        <f>COUNTIF('ケイパビリティ×アプリケーション'!M$6:M$33,"●")</f>
        <v/>
      </c>
      <c r="H13" s="54">
        <f>COUNTIF('ケイパビリティ×アプリケーション'!M$6:M$33,"○")</f>
        <v/>
      </c>
    </row>
    <row r="14" ht="26.85" customHeight="1">
      <c r="A14" s="47" t="inlineStr">
        <is>
          <t>APP-11</t>
        </is>
      </c>
      <c r="B14" s="48" t="inlineStr">
        <is>
          <t>運用</t>
        </is>
      </c>
      <c r="C14" s="49" t="inlineStr">
        <is>
          <t>統合監視</t>
        </is>
      </c>
      <c r="D14" s="51" t="inlineStr">
        <is>
          <t>監視ツール／オブザーバビリティ</t>
        </is>
      </c>
      <c r="E14" s="51" t="inlineStr">
        <is>
          <t>稼働・性能・ログを監視し、アラートを通知する</t>
        </is>
      </c>
      <c r="F14" s="48" t="inlineStr">
        <is>
          <t>なし</t>
        </is>
      </c>
      <c r="G14" s="54">
        <f>COUNTIF('ケイパビリティ×アプリケーション'!N$6:N$33,"●")</f>
        <v/>
      </c>
      <c r="H14" s="54">
        <f>COUNTIF('ケイパビリティ×アプリケーション'!N$6:N$33,"○")</f>
        <v/>
      </c>
    </row>
    <row r="15" ht="26.85" customHeight="1">
      <c r="A15" s="47" t="inlineStr">
        <is>
          <t>APP-12</t>
        </is>
      </c>
      <c r="B15" s="48" t="inlineStr">
        <is>
          <t>運用</t>
        </is>
      </c>
      <c r="C15" s="49" t="inlineStr">
        <is>
          <t>ジョブ管理・バックアップ</t>
        </is>
      </c>
      <c r="D15" s="51" t="inlineStr">
        <is>
          <t>ジョブスケジューラ／バックアップ</t>
        </is>
      </c>
      <c r="E15" s="51" t="inlineStr">
        <is>
          <t>ジョブを自動実行し、データをバックアップ・復元する</t>
        </is>
      </c>
      <c r="F15" s="48" t="inlineStr">
        <is>
          <t>GxP・金商法</t>
        </is>
      </c>
      <c r="G15" s="54">
        <f>COUNTIF('ケイパビリティ×アプリケーション'!O$6:O$33,"●")</f>
        <v/>
      </c>
      <c r="H15" s="54">
        <f>COUNTIF('ケイパビリティ×アプリケーション'!O$6:O$33,"○")</f>
        <v/>
      </c>
    </row>
    <row r="16" ht="26.85" customHeight="1">
      <c r="A16" s="47" t="inlineStr">
        <is>
          <t>APP-13</t>
        </is>
      </c>
      <c r="B16" s="48" t="inlineStr">
        <is>
          <t>基盤</t>
        </is>
      </c>
      <c r="C16" s="49" t="inlineStr">
        <is>
          <t>クラウド管理</t>
        </is>
      </c>
      <c r="D16" s="51" t="inlineStr">
        <is>
          <t>クラウド管理ポータル／FinOps</t>
        </is>
      </c>
      <c r="E16" s="51" t="inlineStr">
        <is>
          <t>クラウドの環境・設定・利用量・費用を管理する</t>
        </is>
      </c>
      <c r="F16" s="48" t="inlineStr">
        <is>
          <t>なし</t>
        </is>
      </c>
      <c r="G16" s="54">
        <f>COUNTIF('ケイパビリティ×アプリケーション'!P$6:P$33,"●")</f>
        <v/>
      </c>
      <c r="H16" s="54">
        <f>COUNTIF('ケイパビリティ×アプリケーション'!P$6:P$33,"○")</f>
        <v/>
      </c>
    </row>
    <row r="17" ht="26.85" customHeight="1">
      <c r="A17" s="47" t="inlineStr">
        <is>
          <t>APP-14</t>
        </is>
      </c>
      <c r="B17" s="48" t="inlineStr">
        <is>
          <t>基盤</t>
        </is>
      </c>
      <c r="C17" s="49" t="inlineStr">
        <is>
          <t>ネットワーク管理</t>
        </is>
      </c>
      <c r="D17" s="51" t="inlineStr">
        <is>
          <t>NMS／SASE</t>
        </is>
      </c>
      <c r="E17" s="51" t="inlineStr">
        <is>
          <t>ネットワーク機器・接続と、社外からの安全な接続を管理する</t>
        </is>
      </c>
      <c r="F17" s="48" t="inlineStr">
        <is>
          <t>なし</t>
        </is>
      </c>
      <c r="G17" s="54">
        <f>COUNTIF('ケイパビリティ×アプリケーション'!Q$6:Q$33,"●")</f>
        <v/>
      </c>
      <c r="H17" s="54">
        <f>COUNTIF('ケイパビリティ×アプリケーション'!Q$6:Q$33,"○")</f>
        <v/>
      </c>
    </row>
    <row r="18" ht="26.85" customHeight="1">
      <c r="A18" s="47" t="inlineStr">
        <is>
          <t>APP-15</t>
        </is>
      </c>
      <c r="B18" s="48" t="inlineStr">
        <is>
          <t>基盤</t>
        </is>
      </c>
      <c r="C18" s="49" t="inlineStr">
        <is>
          <t>エンドポイント管理</t>
        </is>
      </c>
      <c r="D18" s="51" t="inlineStr">
        <is>
          <t>UEM（MDM）</t>
        </is>
      </c>
      <c r="E18" s="51" t="inlineStr">
        <is>
          <t>端末の設定・配布・更新・紛失時の対応を管理する</t>
        </is>
      </c>
      <c r="F18" s="48" t="inlineStr">
        <is>
          <t>なし</t>
        </is>
      </c>
      <c r="G18" s="54">
        <f>COUNTIF('ケイパビリティ×アプリケーション'!R$6:R$33,"●")</f>
        <v/>
      </c>
      <c r="H18" s="54">
        <f>COUNTIF('ケイパビリティ×アプリケーション'!R$6:R$33,"○")</f>
        <v/>
      </c>
    </row>
    <row r="19" ht="26.85" customHeight="1">
      <c r="A19" s="47" t="inlineStr">
        <is>
          <t>APP-16</t>
        </is>
      </c>
      <c r="B19" s="48" t="inlineStr">
        <is>
          <t>基盤</t>
        </is>
      </c>
      <c r="C19" s="49" t="inlineStr">
        <is>
          <t>コラボレーション基盤</t>
        </is>
      </c>
      <c r="D19" s="51" t="inlineStr">
        <is>
          <t>メール・会議・ファイル共有</t>
        </is>
      </c>
      <c r="E19" s="51" t="inlineStr">
        <is>
          <t>メール・会議・チャット・ファイル共有を提供する</t>
        </is>
      </c>
      <c r="F19" s="48" t="inlineStr">
        <is>
          <t>個人情報保護法</t>
        </is>
      </c>
      <c r="G19" s="54">
        <f>COUNTIF('ケイパビリティ×アプリケーション'!S$6:S$33,"●")</f>
        <v/>
      </c>
      <c r="H19" s="54">
        <f>COUNTIF('ケイパビリティ×アプリケーション'!S$6:S$33,"○")</f>
        <v/>
      </c>
    </row>
    <row r="20" ht="26.85" customHeight="1">
      <c r="A20" s="47" t="inlineStr">
        <is>
          <t>APP-17</t>
        </is>
      </c>
      <c r="B20" s="48" t="inlineStr">
        <is>
          <t>基盤</t>
        </is>
      </c>
      <c r="C20" s="49" t="inlineStr">
        <is>
          <t>IT資産・ライセンス管理</t>
        </is>
      </c>
      <c r="D20" s="51" t="inlineStr">
        <is>
          <t>ITAM／SAM</t>
        </is>
      </c>
      <c r="E20" s="51" t="inlineStr">
        <is>
          <t>ハードウェア資産とライセンス・SaaSの割当・利用を管理する</t>
        </is>
      </c>
      <c r="F20" s="48" t="inlineStr">
        <is>
          <t>なし</t>
        </is>
      </c>
      <c r="G20" s="54">
        <f>COUNTIF('ケイパビリティ×アプリケーション'!T$6:T$33,"●")</f>
        <v/>
      </c>
      <c r="H20" s="54">
        <f>COUNTIF('ケイパビリティ×アプリケーション'!T$6:T$33,"○")</f>
        <v/>
      </c>
    </row>
    <row r="21" ht="26.85" customHeight="1">
      <c r="A21" s="47" t="inlineStr">
        <is>
          <t>APP-18</t>
        </is>
      </c>
      <c r="B21" s="48" t="inlineStr">
        <is>
          <t>セキュリティ</t>
        </is>
      </c>
      <c r="C21" s="49" t="inlineStr">
        <is>
          <t>ID・アクセス管理</t>
        </is>
      </c>
      <c r="D21" s="51" t="inlineStr">
        <is>
          <t>IAM／IGA・SSO</t>
        </is>
      </c>
      <c r="E21" s="51" t="inlineStr">
        <is>
          <t>IDのライフサイクル・認証・権限の付与と棚卸を管理する</t>
        </is>
      </c>
      <c r="F21" s="48" t="inlineStr">
        <is>
          <t>GxP・金商法</t>
        </is>
      </c>
      <c r="G21" s="54">
        <f>COUNTIF('ケイパビリティ×アプリケーション'!U$6:U$33,"●")</f>
        <v/>
      </c>
      <c r="H21" s="54">
        <f>COUNTIF('ケイパビリティ×アプリケーション'!U$6:U$33,"○")</f>
        <v/>
      </c>
    </row>
    <row r="22" ht="26.85" customHeight="1">
      <c r="A22" s="47" t="inlineStr">
        <is>
          <t>APP-19</t>
        </is>
      </c>
      <c r="B22" s="48" t="inlineStr">
        <is>
          <t>セキュリティ</t>
        </is>
      </c>
      <c r="C22" s="49" t="inlineStr">
        <is>
          <t>特権ID管理</t>
        </is>
      </c>
      <c r="D22" s="51" t="inlineStr">
        <is>
          <t>PAM</t>
        </is>
      </c>
      <c r="E22" s="51" t="inlineStr">
        <is>
          <t>管理者権限の貸出・記録・点検を行う</t>
        </is>
      </c>
      <c r="F22" s="48" t="inlineStr">
        <is>
          <t>GxP・金商法</t>
        </is>
      </c>
      <c r="G22" s="54">
        <f>COUNTIF('ケイパビリティ×アプリケーション'!V$6:V$33,"●")</f>
        <v/>
      </c>
      <c r="H22" s="54">
        <f>COUNTIF('ケイパビリティ×アプリケーション'!V$6:V$33,"○")</f>
        <v/>
      </c>
    </row>
    <row r="23" ht="26.85" customHeight="1">
      <c r="A23" s="47" t="inlineStr">
        <is>
          <t>APP-20</t>
        </is>
      </c>
      <c r="B23" s="48" t="inlineStr">
        <is>
          <t>セキュリティ</t>
        </is>
      </c>
      <c r="C23" s="49" t="inlineStr">
        <is>
          <t>セキュリティ監視</t>
        </is>
      </c>
      <c r="D23" s="51" t="inlineStr">
        <is>
          <t>SIEM／EDR</t>
        </is>
      </c>
      <c r="E23" s="51" t="inlineStr">
        <is>
          <t>ログと端末を監視し、攻撃の兆候を検知・分析する</t>
        </is>
      </c>
      <c r="F23" s="48" t="inlineStr">
        <is>
          <t>なし</t>
        </is>
      </c>
      <c r="G23" s="54">
        <f>COUNTIF('ケイパビリティ×アプリケーション'!W$6:W$33,"●")</f>
        <v/>
      </c>
      <c r="H23" s="54">
        <f>COUNTIF('ケイパビリティ×アプリケーション'!W$6:W$33,"○")</f>
        <v/>
      </c>
    </row>
    <row r="24" ht="26.85" customHeight="1">
      <c r="A24" s="47" t="inlineStr">
        <is>
          <t>APP-21</t>
        </is>
      </c>
      <c r="B24" s="48" t="inlineStr">
        <is>
          <t>セキュリティ</t>
        </is>
      </c>
      <c r="C24" s="49" t="inlineStr">
        <is>
          <t>脆弱性管理</t>
        </is>
      </c>
      <c r="D24" s="51" t="inlineStr">
        <is>
          <t>脆弱性スキャナ／ASM</t>
        </is>
      </c>
      <c r="E24" s="51" t="inlineStr">
        <is>
          <t>脆弱性を検出し、深刻度と対応の状況を管理する</t>
        </is>
      </c>
      <c r="F24" s="48" t="inlineStr">
        <is>
          <t>なし</t>
        </is>
      </c>
      <c r="G24" s="54">
        <f>COUNTIF('ケイパビリティ×アプリケーション'!X$6:X$33,"●")</f>
        <v/>
      </c>
      <c r="H24" s="54">
        <f>COUNTIF('ケイパビリティ×アプリケーション'!X$6:X$33,"○")</f>
        <v/>
      </c>
    </row>
    <row r="25" ht="26.85" customHeight="1">
      <c r="A25" s="47" t="inlineStr">
        <is>
          <t>APP-22</t>
        </is>
      </c>
      <c r="B25" s="48" t="inlineStr">
        <is>
          <t>データ</t>
        </is>
      </c>
      <c r="C25" s="49" t="inlineStr">
        <is>
          <t>マスタデータ管理・データカタログ</t>
        </is>
      </c>
      <c r="D25" s="51" t="inlineStr">
        <is>
          <t>MDM／データカタログ</t>
        </is>
      </c>
      <c r="E25" s="51" t="inlineStr">
        <is>
          <t>マスタデータの正本と、データの定義・所在・責任者を管理する</t>
        </is>
      </c>
      <c r="F25" s="48" t="inlineStr">
        <is>
          <t>なし</t>
        </is>
      </c>
      <c r="G25" s="54">
        <f>COUNTIF('ケイパビリティ×アプリケーション'!Y$6:Y$33,"●")</f>
        <v/>
      </c>
      <c r="H25" s="54">
        <f>COUNTIF('ケイパビリティ×アプリケーション'!Y$6:Y$33,"○")</f>
        <v/>
      </c>
    </row>
    <row r="26" ht="26.85" customHeight="1">
      <c r="A26" s="47" t="inlineStr">
        <is>
          <t>APP-23</t>
        </is>
      </c>
      <c r="B26" s="48" t="inlineStr">
        <is>
          <t>データ</t>
        </is>
      </c>
      <c r="C26" s="49" t="inlineStr">
        <is>
          <t>データ・分析基盤</t>
        </is>
      </c>
      <c r="D26" s="51" t="inlineStr">
        <is>
          <t>データレイク／DWH／BI</t>
        </is>
      </c>
      <c r="E26" s="51" t="inlineStr">
        <is>
          <t>データを集約し、分析・可視化する</t>
        </is>
      </c>
      <c r="F26" s="48" t="inlineStr">
        <is>
          <t>なし</t>
        </is>
      </c>
      <c r="G26" s="54">
        <f>COUNTIF('ケイパビリティ×アプリケーション'!Z$6:Z$33,"●")</f>
        <v/>
      </c>
      <c r="H26" s="54">
        <f>COUNTIF('ケイパビリティ×アプリケーション'!Z$6:Z$33,"○")</f>
        <v/>
      </c>
    </row>
    <row r="27" ht="26.85" customHeight="1">
      <c r="A27" s="47" t="inlineStr">
        <is>
          <t>APP-24</t>
        </is>
      </c>
      <c r="B27" s="48" t="inlineStr">
        <is>
          <t>データ</t>
        </is>
      </c>
      <c r="C27" s="49" t="inlineStr">
        <is>
          <t>個人情報管理</t>
        </is>
      </c>
      <c r="D27" s="51" t="inlineStr">
        <is>
          <t>プライバシー管理ツール</t>
        </is>
      </c>
      <c r="E27" s="51" t="inlineStr">
        <is>
          <t>個人情報の取扱台帳と、漏えい等の報告の対応を管理する</t>
        </is>
      </c>
      <c r="F27" s="48" t="inlineStr">
        <is>
          <t>個人情報保護法</t>
        </is>
      </c>
      <c r="G27" s="54">
        <f>COUNTIF('ケイパビリティ×アプリケーション'!AA$6:AA$33,"●")</f>
        <v/>
      </c>
      <c r="H27" s="54">
        <f>COUNTIF('ケイパビリティ×アプリケーション'!AA$6:AA$33,"○")</f>
        <v/>
      </c>
    </row>
    <row r="28" ht="26.85" customHeight="1">
      <c r="A28" s="47" t="inlineStr">
        <is>
          <t>APP-25</t>
        </is>
      </c>
      <c r="B28" s="48" t="inlineStr">
        <is>
          <t>共通</t>
        </is>
      </c>
      <c r="C28" s="49" t="inlineStr">
        <is>
          <t>GRC・IT統制管理</t>
        </is>
      </c>
      <c r="D28" s="51" t="inlineStr">
        <is>
          <t>GRC</t>
        </is>
      </c>
      <c r="E28" s="51" t="inlineStr">
        <is>
          <t>IT規程・リスク登録簿・統制の評価・監査の指摘を管理する</t>
        </is>
      </c>
      <c r="F28" s="48" t="inlineStr">
        <is>
          <t>金商法</t>
        </is>
      </c>
      <c r="G28" s="54">
        <f>COUNTIF('ケイパビリティ×アプリケーション'!AB$6:AB$33,"●")</f>
        <v/>
      </c>
      <c r="H28" s="54">
        <f>COUNTIF('ケイパビリティ×アプリケーション'!AB$6:AB$33,"○")</f>
        <v/>
      </c>
    </row>
    <row r="29" ht="26.85" customHeight="1">
      <c r="A29" s="47" t="inlineStr">
        <is>
          <t>APP-26</t>
        </is>
      </c>
      <c r="B29" s="48" t="inlineStr">
        <is>
          <t>共通</t>
        </is>
      </c>
      <c r="C29" s="49" t="inlineStr">
        <is>
          <t>ベンダー・契約管理</t>
        </is>
      </c>
      <c r="D29" s="51" t="inlineStr">
        <is>
          <t>CLM／購買システム</t>
        </is>
      </c>
      <c r="E29" s="51" t="inlineStr">
        <is>
          <t>委託先の情報・契約・発注・検収と評価を管理する</t>
        </is>
      </c>
      <c r="F29" s="48" t="inlineStr">
        <is>
          <t>取適法</t>
        </is>
      </c>
      <c r="G29" s="54">
        <f>COUNTIF('ケイパビリティ×アプリケーション'!AC$6:AC$33,"●")</f>
        <v/>
      </c>
      <c r="H29" s="54">
        <f>COUNTIF('ケイパビリティ×アプリケーション'!AC$6:AC$33,"○")</f>
        <v/>
      </c>
    </row>
  </sheetData>
  <autoFilter ref="A3:H29"/>
  <pageMargins left="0.75" right="0.75" top="1" bottom="1" header="0.5" footer="0.5"/>
</worksheet>
</file>

<file path=xl/worksheets/sheet9.xml><?xml version="1.0" encoding="utf-8"?>
<worksheet xmlns="http://schemas.openxmlformats.org/spreadsheetml/2006/main">
  <sheetPr>
    <tabColor rgb="002E8B57"/>
    <outlinePr summaryBelow="1" summaryRight="1"/>
    <pageSetUpPr/>
  </sheetPr>
  <dimension ref="A1:AE35"/>
  <sheetViews>
    <sheetView showGridLines="1" zoomScale="10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7.5" customWidth="1" min="30" max="30"/>
    <col width="7.5" customWidth="1" min="31" max="31"/>
  </cols>
  <sheetData>
    <row r="1" ht="21.6" customHeight="1">
      <c r="A1" s="43" t="inlineStr">
        <is>
          <t>ケイパビリティ×アプリケーション（正本：行＝ケイパビリティL2 × 列＝アプリケーション種類）</t>
        </is>
      </c>
    </row>
    <row r="2" ht="15" customHeight="1">
      <c r="A2" s="44" t="inlineStr">
        <is>
          <t>●＝主に支える（その能力の中核の業務を実行するシステム）　○＝部分的に支える（一部の業務やデータの受け渡しで使う）　空欄＝関係なし。このシートに直接記入する。右端と最下行の数は数式。</t>
        </is>
      </c>
    </row>
    <row r="4" ht="29.85" customHeight="1">
      <c r="A4" s="45" t="inlineStr">
        <is>
          <t>ケイパビリティL1</t>
        </is>
      </c>
      <c r="B4" s="45" t="inlineStr">
        <is>
          <t>L2 ID</t>
        </is>
      </c>
      <c r="C4" s="45" t="inlineStr">
        <is>
          <t>ケイパビリティL2</t>
        </is>
      </c>
      <c r="D4" s="55" t="inlineStr">
        <is>
          <t>戦略</t>
        </is>
      </c>
      <c r="G4" s="55" t="inlineStr">
        <is>
          <t>開発</t>
        </is>
      </c>
      <c r="I4" s="55" t="inlineStr">
        <is>
          <t>GxP</t>
        </is>
      </c>
      <c r="L4" s="55" t="inlineStr">
        <is>
          <t>サービス</t>
        </is>
      </c>
      <c r="N4" s="55" t="inlineStr">
        <is>
          <t>運用</t>
        </is>
      </c>
      <c r="P4" s="55" t="inlineStr">
        <is>
          <t>基盤</t>
        </is>
      </c>
      <c r="U4" s="55" t="inlineStr">
        <is>
          <t>セキュリティ</t>
        </is>
      </c>
      <c r="Y4" s="55" t="inlineStr">
        <is>
          <t>データ</t>
        </is>
      </c>
      <c r="AB4" s="55" t="inlineStr">
        <is>
          <t>共通</t>
        </is>
      </c>
      <c r="AD4" s="46" t="inlineStr">
        <is>
          <t>●の数</t>
        </is>
      </c>
      <c r="AE4" s="46" t="inlineStr">
        <is>
          <t>○の数</t>
        </is>
      </c>
    </row>
    <row r="5" ht="214.5" customHeight="1">
      <c r="D5" s="56">
        <f>アプリケーション!C4</f>
        <v/>
      </c>
      <c r="E5" s="56">
        <f>アプリケーション!C5</f>
        <v/>
      </c>
      <c r="F5" s="56">
        <f>アプリケーション!C6</f>
        <v/>
      </c>
      <c r="G5" s="56">
        <f>アプリケーション!C7</f>
        <v/>
      </c>
      <c r="H5" s="56">
        <f>アプリケーション!C8</f>
        <v/>
      </c>
      <c r="I5" s="56">
        <f>アプリケーション!C9</f>
        <v/>
      </c>
      <c r="J5" s="56">
        <f>アプリケーション!C10</f>
        <v/>
      </c>
      <c r="K5" s="56">
        <f>アプリケーション!C11</f>
        <v/>
      </c>
      <c r="L5" s="56">
        <f>アプリケーション!C12</f>
        <v/>
      </c>
      <c r="M5" s="56">
        <f>アプリケーション!C13</f>
        <v/>
      </c>
      <c r="N5" s="56">
        <f>アプリケーション!C14</f>
        <v/>
      </c>
      <c r="O5" s="56">
        <f>アプリケーション!C15</f>
        <v/>
      </c>
      <c r="P5" s="56">
        <f>アプリケーション!C16</f>
        <v/>
      </c>
      <c r="Q5" s="56">
        <f>アプリケーション!C17</f>
        <v/>
      </c>
      <c r="R5" s="56">
        <f>アプリケーション!C18</f>
        <v/>
      </c>
      <c r="S5" s="56">
        <f>アプリケーション!C19</f>
        <v/>
      </c>
      <c r="T5" s="56">
        <f>アプリケーション!C20</f>
        <v/>
      </c>
      <c r="U5" s="56">
        <f>アプリケーション!C21</f>
        <v/>
      </c>
      <c r="V5" s="56">
        <f>アプリケーション!C22</f>
        <v/>
      </c>
      <c r="W5" s="56">
        <f>アプリケーション!C23</f>
        <v/>
      </c>
      <c r="X5" s="56">
        <f>アプリケーション!C24</f>
        <v/>
      </c>
      <c r="Y5" s="56">
        <f>アプリケーション!C25</f>
        <v/>
      </c>
      <c r="Z5" s="56">
        <f>アプリケーション!C26</f>
        <v/>
      </c>
      <c r="AA5" s="56">
        <f>アプリケーション!C27</f>
        <v/>
      </c>
      <c r="AB5" s="56">
        <f>アプリケーション!C28</f>
        <v/>
      </c>
      <c r="AC5" s="56">
        <f>アプリケーション!C29</f>
        <v/>
      </c>
    </row>
    <row r="6">
      <c r="A6" s="57" t="inlineStr">
        <is>
          <t>C01 IT戦略・ガバナンス</t>
        </is>
      </c>
      <c r="B6" s="47" t="inlineStr">
        <is>
          <t>C01-01</t>
        </is>
      </c>
      <c r="C6" s="58">
        <f>IFERROR(INDEX(ケイパビリティマップ!$E:$E,MATCH(B6,ケイパビリティマップ!$A:$A,0)),"（IDなし）")</f>
        <v/>
      </c>
      <c r="D6" s="59" t="inlineStr">
        <is>
          <t>○</t>
        </is>
      </c>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4">
        <f>COUNTIF(D6:AC6,"●")</f>
        <v/>
      </c>
      <c r="AE6" s="54">
        <f>COUNTIF(D6:AC6,"○")</f>
        <v/>
      </c>
    </row>
    <row r="7">
      <c r="A7" s="57" t="n"/>
      <c r="B7" s="47" t="inlineStr">
        <is>
          <t>C01-02</t>
        </is>
      </c>
      <c r="C7" s="58">
        <f>IFERROR(INDEX(ケイパビリティマップ!$E:$E,MATCH(B7,ケイパビリティマップ!$A:$A,0)),"（IDなし）")</f>
        <v/>
      </c>
      <c r="D7" s="59" t="n"/>
      <c r="E7" s="59" t="inlineStr">
        <is>
          <t>●</t>
        </is>
      </c>
      <c r="F7" s="59" t="n"/>
      <c r="G7" s="59" t="n"/>
      <c r="H7" s="59" t="n"/>
      <c r="I7" s="59" t="n"/>
      <c r="J7" s="59" t="n"/>
      <c r="K7" s="59" t="n"/>
      <c r="L7" s="59" t="n"/>
      <c r="M7" s="59" t="inlineStr">
        <is>
          <t>○</t>
        </is>
      </c>
      <c r="N7" s="59" t="n"/>
      <c r="O7" s="59" t="n"/>
      <c r="P7" s="59" t="n"/>
      <c r="Q7" s="59" t="n"/>
      <c r="R7" s="59" t="n"/>
      <c r="S7" s="59" t="n"/>
      <c r="T7" s="59" t="n"/>
      <c r="U7" s="59" t="n"/>
      <c r="V7" s="59" t="n"/>
      <c r="W7" s="59" t="n"/>
      <c r="X7" s="59" t="n"/>
      <c r="Y7" s="59" t="inlineStr">
        <is>
          <t>○</t>
        </is>
      </c>
      <c r="Z7" s="59" t="n"/>
      <c r="AA7" s="59" t="n"/>
      <c r="AB7" s="59" t="n"/>
      <c r="AC7" s="59" t="n"/>
      <c r="AD7" s="54">
        <f>COUNTIF(D7:AC7,"●")</f>
        <v/>
      </c>
      <c r="AE7" s="54">
        <f>COUNTIF(D7:AC7,"○")</f>
        <v/>
      </c>
    </row>
    <row r="8">
      <c r="A8" s="57" t="n"/>
      <c r="B8" s="47" t="inlineStr">
        <is>
          <t>C01-03</t>
        </is>
      </c>
      <c r="C8" s="58">
        <f>IFERROR(INDEX(ケイパビリティマップ!$E:$E,MATCH(B8,ケイパビリティマップ!$A:$A,0)),"（IDなし）")</f>
        <v/>
      </c>
      <c r="D8" s="59" t="inlineStr">
        <is>
          <t>●</t>
        </is>
      </c>
      <c r="E8" s="59" t="inlineStr">
        <is>
          <t>○</t>
        </is>
      </c>
      <c r="F8" s="59" t="inlineStr">
        <is>
          <t>○</t>
        </is>
      </c>
      <c r="G8" s="59" t="n"/>
      <c r="H8" s="59"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4">
        <f>COUNTIF(D8:AC8,"●")</f>
        <v/>
      </c>
      <c r="AE8" s="54">
        <f>COUNTIF(D8:AC8,"○")</f>
        <v/>
      </c>
    </row>
    <row r="9">
      <c r="A9" s="57" t="n"/>
      <c r="B9" s="47" t="inlineStr">
        <is>
          <t>C01-04</t>
        </is>
      </c>
      <c r="C9" s="58">
        <f>IFERROR(INDEX(ケイパビリティマップ!$E:$E,MATCH(B9,ケイパビリティマップ!$A:$A,0)),"（IDなし）")</f>
        <v/>
      </c>
      <c r="D9" s="59" t="n"/>
      <c r="E9" s="59" t="n"/>
      <c r="F9" s="59" t="n"/>
      <c r="G9" s="59" t="n"/>
      <c r="H9" s="59" t="n"/>
      <c r="I9" s="59" t="n"/>
      <c r="J9" s="59" t="inlineStr">
        <is>
          <t>○</t>
        </is>
      </c>
      <c r="K9" s="59" t="n"/>
      <c r="L9" s="59" t="n"/>
      <c r="M9" s="59" t="n"/>
      <c r="N9" s="59" t="n"/>
      <c r="O9" s="59" t="n"/>
      <c r="P9" s="59" t="n"/>
      <c r="Q9" s="59" t="n"/>
      <c r="R9" s="59" t="n"/>
      <c r="S9" s="59" t="n"/>
      <c r="T9" s="59" t="n"/>
      <c r="U9" s="59" t="inlineStr">
        <is>
          <t>○</t>
        </is>
      </c>
      <c r="V9" s="59" t="n"/>
      <c r="W9" s="59" t="n"/>
      <c r="X9" s="59" t="n"/>
      <c r="Y9" s="59" t="n"/>
      <c r="Z9" s="59" t="n"/>
      <c r="AA9" s="59" t="n"/>
      <c r="AB9" s="59" t="inlineStr">
        <is>
          <t>●</t>
        </is>
      </c>
      <c r="AC9" s="59" t="n"/>
      <c r="AD9" s="54">
        <f>COUNTIF(D9:AC9,"●")</f>
        <v/>
      </c>
      <c r="AE9" s="54">
        <f>COUNTIF(D9:AC9,"○")</f>
        <v/>
      </c>
    </row>
    <row r="10">
      <c r="A10" s="57" t="n"/>
      <c r="B10" s="47" t="inlineStr">
        <is>
          <t>C01-05</t>
        </is>
      </c>
      <c r="C10" s="58">
        <f>IFERROR(INDEX(ケイパビリティマップ!$E:$E,MATCH(B10,ケイパビリティマップ!$A:$A,0)),"（IDなし）")</f>
        <v/>
      </c>
      <c r="D10" s="59" t="inlineStr">
        <is>
          <t>○</t>
        </is>
      </c>
      <c r="E10" s="59" t="n"/>
      <c r="F10" s="59" t="inlineStr">
        <is>
          <t>●</t>
        </is>
      </c>
      <c r="G10" s="59" t="n"/>
      <c r="H10" s="59" t="n"/>
      <c r="I10" s="59" t="n"/>
      <c r="J10" s="59" t="n"/>
      <c r="K10" s="59" t="n"/>
      <c r="L10" s="59" t="n"/>
      <c r="M10" s="59" t="n"/>
      <c r="N10" s="59" t="n"/>
      <c r="O10" s="59" t="n"/>
      <c r="P10" s="59" t="inlineStr">
        <is>
          <t>○</t>
        </is>
      </c>
      <c r="Q10" s="59" t="n"/>
      <c r="R10" s="59" t="n"/>
      <c r="S10" s="59" t="n"/>
      <c r="T10" s="59" t="inlineStr">
        <is>
          <t>○</t>
        </is>
      </c>
      <c r="U10" s="59" t="n"/>
      <c r="V10" s="59" t="n"/>
      <c r="W10" s="59" t="n"/>
      <c r="X10" s="59" t="n"/>
      <c r="Y10" s="59" t="n"/>
      <c r="Z10" s="59" t="n"/>
      <c r="AA10" s="59" t="n"/>
      <c r="AB10" s="59" t="n"/>
      <c r="AC10" s="59" t="n"/>
      <c r="AD10" s="54">
        <f>COUNTIF(D10:AC10,"●")</f>
        <v/>
      </c>
      <c r="AE10" s="54">
        <f>COUNTIF(D10:AC10,"○")</f>
        <v/>
      </c>
    </row>
    <row r="11">
      <c r="A11" s="57" t="inlineStr">
        <is>
          <t>C02 ソリューション開発・導入</t>
        </is>
      </c>
      <c r="B11" s="47" t="inlineStr">
        <is>
          <t>C02-01</t>
        </is>
      </c>
      <c r="C11" s="58">
        <f>IFERROR(INDEX(ケイパビリティマップ!$E:$E,MATCH(B11,ケイパビリティマップ!$A:$A,0)),"（IDなし）")</f>
        <v/>
      </c>
      <c r="D11" s="59" t="inlineStr">
        <is>
          <t>●</t>
        </is>
      </c>
      <c r="E11" s="59" t="n"/>
      <c r="F11" s="59" t="n"/>
      <c r="G11" s="59" t="n"/>
      <c r="H11" s="59" t="n"/>
      <c r="I11" s="59" t="n"/>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inlineStr">
        <is>
          <t>○</t>
        </is>
      </c>
      <c r="AD11" s="54">
        <f>COUNTIF(D11:AC11,"●")</f>
        <v/>
      </c>
      <c r="AE11" s="54">
        <f>COUNTIF(D11:AC11,"○")</f>
        <v/>
      </c>
    </row>
    <row r="12">
      <c r="A12" s="57" t="n"/>
      <c r="B12" s="47" t="inlineStr">
        <is>
          <t>C02-02</t>
        </is>
      </c>
      <c r="C12" s="58">
        <f>IFERROR(INDEX(ケイパビリティマップ!$E:$E,MATCH(B12,ケイパビリティマップ!$A:$A,0)),"（IDなし）")</f>
        <v/>
      </c>
      <c r="D12" s="59" t="n"/>
      <c r="E12" s="59" t="n"/>
      <c r="F12" s="59" t="n"/>
      <c r="G12" s="59" t="inlineStr">
        <is>
          <t>●</t>
        </is>
      </c>
      <c r="H12" s="59" t="n"/>
      <c r="I12" s="59" t="n"/>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4">
        <f>COUNTIF(D12:AC12,"●")</f>
        <v/>
      </c>
      <c r="AE12" s="54">
        <f>COUNTIF(D12:AC12,"○")</f>
        <v/>
      </c>
    </row>
    <row r="13">
      <c r="A13" s="57" t="n"/>
      <c r="B13" s="47" t="inlineStr">
        <is>
          <t>C02-03</t>
        </is>
      </c>
      <c r="C13" s="58">
        <f>IFERROR(INDEX(ケイパビリティマップ!$E:$E,MATCH(B13,ケイパビリティマップ!$A:$A,0)),"（IDなし）")</f>
        <v/>
      </c>
      <c r="D13" s="59" t="n"/>
      <c r="E13" s="59" t="n"/>
      <c r="F13" s="59" t="n"/>
      <c r="G13" s="59" t="inlineStr">
        <is>
          <t>○</t>
        </is>
      </c>
      <c r="H13" s="59" t="inlineStr">
        <is>
          <t>●</t>
        </is>
      </c>
      <c r="I13" s="59" t="n"/>
      <c r="J13" s="59"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4">
        <f>COUNTIF(D13:AC13,"●")</f>
        <v/>
      </c>
      <c r="AE13" s="54">
        <f>COUNTIF(D13:AC13,"○")</f>
        <v/>
      </c>
    </row>
    <row r="14">
      <c r="A14" s="57" t="n"/>
      <c r="B14" s="47" t="inlineStr">
        <is>
          <t>C02-04</t>
        </is>
      </c>
      <c r="C14" s="58">
        <f>IFERROR(INDEX(ケイパビリティマップ!$E:$E,MATCH(B14,ケイパビリティマップ!$A:$A,0)),"（IDなし）")</f>
        <v/>
      </c>
      <c r="D14" s="59" t="n"/>
      <c r="E14" s="59" t="n"/>
      <c r="F14" s="59" t="n"/>
      <c r="G14" s="59" t="inlineStr">
        <is>
          <t>●</t>
        </is>
      </c>
      <c r="H14" s="59" t="inlineStr">
        <is>
          <t>○</t>
        </is>
      </c>
      <c r="I14" s="59" t="inlineStr">
        <is>
          <t>○</t>
        </is>
      </c>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4">
        <f>COUNTIF(D14:AC14,"●")</f>
        <v/>
      </c>
      <c r="AE14" s="54">
        <f>COUNTIF(D14:AC14,"○")</f>
        <v/>
      </c>
    </row>
    <row r="15">
      <c r="A15" s="57" t="inlineStr">
        <is>
          <t>C03 ITサービス管理・運用</t>
        </is>
      </c>
      <c r="B15" s="47" t="inlineStr">
        <is>
          <t>C03-01</t>
        </is>
      </c>
      <c r="C15" s="58">
        <f>IFERROR(INDEX(ケイパビリティマップ!$E:$E,MATCH(B15,ケイパビリティマップ!$A:$A,0)),"（IDなし）")</f>
        <v/>
      </c>
      <c r="D15" s="59" t="n"/>
      <c r="E15" s="59" t="n"/>
      <c r="F15" s="59" t="n"/>
      <c r="G15" s="59" t="n"/>
      <c r="H15" s="59" t="n"/>
      <c r="I15" s="59" t="n"/>
      <c r="J15" s="59" t="n"/>
      <c r="K15" s="59" t="n"/>
      <c r="L15" s="59" t="inlineStr">
        <is>
          <t>●</t>
        </is>
      </c>
      <c r="M15" s="59" t="n"/>
      <c r="N15" s="59" t="inlineStr">
        <is>
          <t>○</t>
        </is>
      </c>
      <c r="O15" s="59" t="n"/>
      <c r="P15" s="59" t="n"/>
      <c r="Q15" s="59" t="n"/>
      <c r="R15" s="59" t="n"/>
      <c r="S15" s="59" t="n"/>
      <c r="T15" s="59" t="n"/>
      <c r="U15" s="59" t="n"/>
      <c r="V15" s="59" t="n"/>
      <c r="W15" s="59" t="n"/>
      <c r="X15" s="59" t="n"/>
      <c r="Y15" s="59" t="n"/>
      <c r="Z15" s="59" t="inlineStr">
        <is>
          <t>○</t>
        </is>
      </c>
      <c r="AA15" s="59" t="n"/>
      <c r="AB15" s="59" t="n"/>
      <c r="AC15" s="59" t="n"/>
      <c r="AD15" s="54">
        <f>COUNTIF(D15:AC15,"●")</f>
        <v/>
      </c>
      <c r="AE15" s="54">
        <f>COUNTIF(D15:AC15,"○")</f>
        <v/>
      </c>
    </row>
    <row r="16">
      <c r="A16" s="57" t="n"/>
      <c r="B16" s="47" t="inlineStr">
        <is>
          <t>C03-02</t>
        </is>
      </c>
      <c r="C16" s="58">
        <f>IFERROR(INDEX(ケイパビリティマップ!$E:$E,MATCH(B16,ケイパビリティマップ!$A:$A,0)),"（IDなし）")</f>
        <v/>
      </c>
      <c r="D16" s="59" t="n"/>
      <c r="E16" s="59" t="n"/>
      <c r="F16" s="59" t="n"/>
      <c r="G16" s="59" t="n"/>
      <c r="H16" s="59" t="n"/>
      <c r="I16" s="59" t="n"/>
      <c r="J16" s="59" t="n"/>
      <c r="K16" s="59" t="n"/>
      <c r="L16" s="59" t="inlineStr">
        <is>
          <t>●</t>
        </is>
      </c>
      <c r="M16" s="59" t="n"/>
      <c r="N16" s="59" t="n"/>
      <c r="O16" s="59" t="n"/>
      <c r="P16" s="59" t="n"/>
      <c r="Q16" s="59" t="n"/>
      <c r="R16" s="59" t="n"/>
      <c r="S16" s="59" t="n"/>
      <c r="T16" s="59" t="n"/>
      <c r="U16" s="59" t="n"/>
      <c r="V16" s="59" t="n"/>
      <c r="W16" s="59" t="n"/>
      <c r="X16" s="59" t="n"/>
      <c r="Y16" s="59" t="n"/>
      <c r="Z16" s="59" t="n"/>
      <c r="AA16" s="59" t="n"/>
      <c r="AB16" s="59" t="n"/>
      <c r="AC16" s="59" t="n"/>
      <c r="AD16" s="54">
        <f>COUNTIF(D16:AC16,"●")</f>
        <v/>
      </c>
      <c r="AE16" s="54">
        <f>COUNTIF(D16:AC16,"○")</f>
        <v/>
      </c>
    </row>
    <row r="17">
      <c r="A17" s="57" t="n"/>
      <c r="B17" s="47" t="inlineStr">
        <is>
          <t>C03-03</t>
        </is>
      </c>
      <c r="C17" s="58">
        <f>IFERROR(INDEX(ケイパビリティマップ!$E:$E,MATCH(B17,ケイパビリティマップ!$A:$A,0)),"（IDなし）")</f>
        <v/>
      </c>
      <c r="D17" s="59" t="n"/>
      <c r="E17" s="59" t="n"/>
      <c r="F17" s="59" t="n"/>
      <c r="G17" s="59" t="n"/>
      <c r="H17" s="59" t="n"/>
      <c r="I17" s="59" t="n"/>
      <c r="J17" s="59" t="n"/>
      <c r="K17" s="59" t="n"/>
      <c r="L17" s="59" t="n"/>
      <c r="M17" s="59" t="n"/>
      <c r="N17" s="59" t="inlineStr">
        <is>
          <t>●</t>
        </is>
      </c>
      <c r="O17" s="59" t="inlineStr">
        <is>
          <t>●</t>
        </is>
      </c>
      <c r="P17" s="59" t="n"/>
      <c r="Q17" s="59" t="n"/>
      <c r="R17" s="59" t="n"/>
      <c r="S17" s="59" t="n"/>
      <c r="T17" s="59" t="n"/>
      <c r="U17" s="59" t="n"/>
      <c r="V17" s="59" t="n"/>
      <c r="W17" s="59" t="n"/>
      <c r="X17" s="59" t="n"/>
      <c r="Y17" s="59" t="n"/>
      <c r="Z17" s="59" t="n"/>
      <c r="AA17" s="59" t="n"/>
      <c r="AB17" s="59" t="n"/>
      <c r="AC17" s="59" t="n"/>
      <c r="AD17" s="54">
        <f>COUNTIF(D17:AC17,"●")</f>
        <v/>
      </c>
      <c r="AE17" s="54">
        <f>COUNTIF(D17:AC17,"○")</f>
        <v/>
      </c>
    </row>
    <row r="18">
      <c r="A18" s="57" t="n"/>
      <c r="B18" s="47" t="inlineStr">
        <is>
          <t>C03-04</t>
        </is>
      </c>
      <c r="C18" s="58">
        <f>IFERROR(INDEX(ケイパビリティマップ!$E:$E,MATCH(B18,ケイパビリティマップ!$A:$A,0)),"（IDなし）")</f>
        <v/>
      </c>
      <c r="D18" s="59" t="n"/>
      <c r="E18" s="59" t="n"/>
      <c r="F18" s="59" t="n"/>
      <c r="G18" s="59" t="n"/>
      <c r="H18" s="59" t="n"/>
      <c r="I18" s="59" t="n"/>
      <c r="J18" s="59" t="n"/>
      <c r="K18" s="59" t="n"/>
      <c r="L18" s="59" t="inlineStr">
        <is>
          <t>●</t>
        </is>
      </c>
      <c r="M18" s="59" t="inlineStr">
        <is>
          <t>○</t>
        </is>
      </c>
      <c r="N18" s="59" t="inlineStr">
        <is>
          <t>○</t>
        </is>
      </c>
      <c r="O18" s="59" t="n"/>
      <c r="P18" s="59" t="n"/>
      <c r="Q18" s="59" t="n"/>
      <c r="R18" s="59" t="n"/>
      <c r="S18" s="59" t="n"/>
      <c r="T18" s="59" t="n"/>
      <c r="U18" s="59" t="n"/>
      <c r="V18" s="59" t="n"/>
      <c r="W18" s="59" t="n"/>
      <c r="X18" s="59" t="n"/>
      <c r="Y18" s="59" t="n"/>
      <c r="Z18" s="59" t="n"/>
      <c r="AA18" s="59" t="n"/>
      <c r="AB18" s="59" t="n"/>
      <c r="AC18" s="59" t="n"/>
      <c r="AD18" s="54">
        <f>COUNTIF(D18:AC18,"●")</f>
        <v/>
      </c>
      <c r="AE18" s="54">
        <f>COUNTIF(D18:AC18,"○")</f>
        <v/>
      </c>
    </row>
    <row r="19">
      <c r="A19" s="57" t="n"/>
      <c r="B19" s="47" t="inlineStr">
        <is>
          <t>C03-05</t>
        </is>
      </c>
      <c r="C19" s="58">
        <f>IFERROR(INDEX(ケイパビリティマップ!$E:$E,MATCH(B19,ケイパビリティマップ!$A:$A,0)),"（IDなし）")</f>
        <v/>
      </c>
      <c r="D19" s="59" t="n"/>
      <c r="E19" s="59" t="n"/>
      <c r="F19" s="59" t="n"/>
      <c r="G19" s="59" t="n"/>
      <c r="H19" s="59" t="inlineStr">
        <is>
          <t>○</t>
        </is>
      </c>
      <c r="I19" s="59" t="n"/>
      <c r="J19" s="59" t="n"/>
      <c r="K19" s="59" t="n"/>
      <c r="L19" s="59" t="inlineStr">
        <is>
          <t>●</t>
        </is>
      </c>
      <c r="M19" s="59" t="inlineStr">
        <is>
          <t>●</t>
        </is>
      </c>
      <c r="N19" s="59" t="n"/>
      <c r="O19" s="59" t="n"/>
      <c r="P19" s="59" t="n"/>
      <c r="Q19" s="59" t="n"/>
      <c r="R19" s="59" t="n"/>
      <c r="S19" s="59" t="n"/>
      <c r="T19" s="59" t="n"/>
      <c r="U19" s="59" t="n"/>
      <c r="V19" s="59" t="n"/>
      <c r="W19" s="59" t="n"/>
      <c r="X19" s="59" t="n"/>
      <c r="Y19" s="59" t="n"/>
      <c r="Z19" s="59" t="n"/>
      <c r="AA19" s="59" t="n"/>
      <c r="AB19" s="59" t="n"/>
      <c r="AC19" s="59" t="n"/>
      <c r="AD19" s="54">
        <f>COUNTIF(D19:AC19,"●")</f>
        <v/>
      </c>
      <c r="AE19" s="54">
        <f>COUNTIF(D19:AC19,"○")</f>
        <v/>
      </c>
    </row>
    <row r="20">
      <c r="A20" s="57" t="inlineStr">
        <is>
          <t>C04 ITプラットフォーム</t>
        </is>
      </c>
      <c r="B20" s="47" t="inlineStr">
        <is>
          <t>C04-01</t>
        </is>
      </c>
      <c r="C20" s="58">
        <f>IFERROR(INDEX(ケイパビリティマップ!$E:$E,MATCH(B20,ケイパビリティマップ!$A:$A,0)),"（IDなし）")</f>
        <v/>
      </c>
      <c r="D20" s="59" t="n"/>
      <c r="E20" s="59" t="n"/>
      <c r="F20" s="59" t="n"/>
      <c r="G20" s="59" t="n"/>
      <c r="H20" s="59" t="n"/>
      <c r="I20" s="59" t="n"/>
      <c r="J20" s="59" t="n"/>
      <c r="K20" s="59" t="n"/>
      <c r="L20" s="59" t="n"/>
      <c r="M20" s="59" t="n"/>
      <c r="N20" s="59" t="inlineStr">
        <is>
          <t>○</t>
        </is>
      </c>
      <c r="O20" s="59" t="n"/>
      <c r="P20" s="59" t="inlineStr">
        <is>
          <t>●</t>
        </is>
      </c>
      <c r="Q20" s="59" t="n"/>
      <c r="R20" s="59" t="n"/>
      <c r="S20" s="59" t="n"/>
      <c r="T20" s="59" t="n"/>
      <c r="U20" s="59" t="n"/>
      <c r="V20" s="59" t="n"/>
      <c r="W20" s="59" t="n"/>
      <c r="X20" s="59" t="n"/>
      <c r="Y20" s="59" t="n"/>
      <c r="Z20" s="59" t="n"/>
      <c r="AA20" s="59" t="n"/>
      <c r="AB20" s="59" t="n"/>
      <c r="AC20" s="59" t="n"/>
      <c r="AD20" s="54">
        <f>COUNTIF(D20:AC20,"●")</f>
        <v/>
      </c>
      <c r="AE20" s="54">
        <f>COUNTIF(D20:AC20,"○")</f>
        <v/>
      </c>
    </row>
    <row r="21">
      <c r="A21" s="57" t="n"/>
      <c r="B21" s="47" t="inlineStr">
        <is>
          <t>C04-02</t>
        </is>
      </c>
      <c r="C21" s="58">
        <f>IFERROR(INDEX(ケイパビリティマップ!$E:$E,MATCH(B21,ケイパビリティマップ!$A:$A,0)),"（IDなし）")</f>
        <v/>
      </c>
      <c r="D21" s="59" t="n"/>
      <c r="E21" s="59" t="n"/>
      <c r="F21" s="59" t="n"/>
      <c r="G21" s="59" t="n"/>
      <c r="H21" s="59" t="n"/>
      <c r="I21" s="59" t="n"/>
      <c r="J21" s="59" t="n"/>
      <c r="K21" s="59" t="n"/>
      <c r="L21" s="59" t="n"/>
      <c r="M21" s="59" t="n"/>
      <c r="N21" s="59" t="n"/>
      <c r="O21" s="59" t="n"/>
      <c r="P21" s="59" t="n"/>
      <c r="Q21" s="59" t="inlineStr">
        <is>
          <t>●</t>
        </is>
      </c>
      <c r="R21" s="59" t="n"/>
      <c r="S21" s="59" t="n"/>
      <c r="T21" s="59" t="n"/>
      <c r="U21" s="59" t="n"/>
      <c r="V21" s="59" t="n"/>
      <c r="W21" s="59" t="n"/>
      <c r="X21" s="59" t="n"/>
      <c r="Y21" s="59" t="n"/>
      <c r="Z21" s="59" t="n"/>
      <c r="AA21" s="59" t="n"/>
      <c r="AB21" s="59" t="n"/>
      <c r="AC21" s="59" t="n"/>
      <c r="AD21" s="54">
        <f>COUNTIF(D21:AC21,"●")</f>
        <v/>
      </c>
      <c r="AE21" s="54">
        <f>COUNTIF(D21:AC21,"○")</f>
        <v/>
      </c>
    </row>
    <row r="22">
      <c r="A22" s="57" t="n"/>
      <c r="B22" s="47" t="inlineStr">
        <is>
          <t>C04-03</t>
        </is>
      </c>
      <c r="C22" s="58">
        <f>IFERROR(INDEX(ケイパビリティマップ!$E:$E,MATCH(B22,ケイパビリティマップ!$A:$A,0)),"（IDなし）")</f>
        <v/>
      </c>
      <c r="D22" s="59" t="n"/>
      <c r="E22" s="59" t="n"/>
      <c r="F22" s="59" t="n"/>
      <c r="G22" s="59" t="n"/>
      <c r="H22" s="59" t="n"/>
      <c r="I22" s="59" t="n"/>
      <c r="J22" s="59" t="n"/>
      <c r="K22" s="59" t="n"/>
      <c r="L22" s="59" t="n"/>
      <c r="M22" s="59" t="n"/>
      <c r="N22" s="59" t="n"/>
      <c r="O22" s="59" t="n"/>
      <c r="P22" s="59" t="n"/>
      <c r="Q22" s="59" t="n"/>
      <c r="R22" s="59" t="inlineStr">
        <is>
          <t>●</t>
        </is>
      </c>
      <c r="S22" s="59" t="inlineStr">
        <is>
          <t>●</t>
        </is>
      </c>
      <c r="T22" s="59" t="n"/>
      <c r="U22" s="59" t="n"/>
      <c r="V22" s="59" t="n"/>
      <c r="W22" s="59" t="n"/>
      <c r="X22" s="59" t="n"/>
      <c r="Y22" s="59" t="n"/>
      <c r="Z22" s="59" t="n"/>
      <c r="AA22" s="59" t="n"/>
      <c r="AB22" s="59" t="n"/>
      <c r="AC22" s="59" t="n"/>
      <c r="AD22" s="54">
        <f>COUNTIF(D22:AC22,"●")</f>
        <v/>
      </c>
      <c r="AE22" s="54">
        <f>COUNTIF(D22:AC22,"○")</f>
        <v/>
      </c>
    </row>
    <row r="23">
      <c r="A23" s="57" t="n"/>
      <c r="B23" s="47" t="inlineStr">
        <is>
          <t>C04-04</t>
        </is>
      </c>
      <c r="C23" s="58">
        <f>IFERROR(INDEX(ケイパビリティマップ!$E:$E,MATCH(B23,ケイパビリティマップ!$A:$A,0)),"（IDなし）")</f>
        <v/>
      </c>
      <c r="D23" s="59" t="n"/>
      <c r="E23" s="59" t="n"/>
      <c r="F23" s="59" t="n"/>
      <c r="G23" s="59" t="n"/>
      <c r="H23" s="59" t="n"/>
      <c r="I23" s="59" t="n"/>
      <c r="J23" s="59" t="n"/>
      <c r="K23" s="59" t="n"/>
      <c r="L23" s="59" t="n"/>
      <c r="M23" s="59" t="inlineStr">
        <is>
          <t>○</t>
        </is>
      </c>
      <c r="N23" s="59" t="n"/>
      <c r="O23" s="59" t="n"/>
      <c r="P23" s="59" t="n"/>
      <c r="Q23" s="59" t="n"/>
      <c r="R23" s="59" t="inlineStr">
        <is>
          <t>○</t>
        </is>
      </c>
      <c r="S23" s="59" t="n"/>
      <c r="T23" s="59" t="inlineStr">
        <is>
          <t>●</t>
        </is>
      </c>
      <c r="U23" s="59" t="n"/>
      <c r="V23" s="59" t="n"/>
      <c r="W23" s="59" t="n"/>
      <c r="X23" s="59" t="n"/>
      <c r="Y23" s="59" t="n"/>
      <c r="Z23" s="59" t="n"/>
      <c r="AA23" s="59" t="n"/>
      <c r="AB23" s="59" t="n"/>
      <c r="AC23" s="59" t="n"/>
      <c r="AD23" s="54">
        <f>COUNTIF(D23:AC23,"●")</f>
        <v/>
      </c>
      <c r="AE23" s="54">
        <f>COUNTIF(D23:AC23,"○")</f>
        <v/>
      </c>
    </row>
    <row r="24">
      <c r="A24" s="57" t="inlineStr">
        <is>
          <t>C05 サイバーセキュリティ</t>
        </is>
      </c>
      <c r="B24" s="47" t="inlineStr">
        <is>
          <t>C05-01</t>
        </is>
      </c>
      <c r="C24" s="58">
        <f>IFERROR(INDEX(ケイパビリティマップ!$E:$E,MATCH(B24,ケイパビリティマップ!$A:$A,0)),"（IDなし）")</f>
        <v/>
      </c>
      <c r="D24" s="59" t="n"/>
      <c r="E24" s="59" t="n"/>
      <c r="F24" s="59" t="n"/>
      <c r="G24" s="59" t="n"/>
      <c r="H24" s="59" t="n"/>
      <c r="I24" s="59" t="n"/>
      <c r="J24" s="59" t="n"/>
      <c r="K24" s="59" t="inlineStr">
        <is>
          <t>○</t>
        </is>
      </c>
      <c r="L24" s="59" t="n"/>
      <c r="M24" s="59" t="n"/>
      <c r="N24" s="59" t="n"/>
      <c r="O24" s="59" t="n"/>
      <c r="P24" s="59" t="n"/>
      <c r="Q24" s="59" t="n"/>
      <c r="R24" s="59" t="n"/>
      <c r="S24" s="59" t="n"/>
      <c r="T24" s="59" t="n"/>
      <c r="U24" s="59" t="n"/>
      <c r="V24" s="59" t="n"/>
      <c r="W24" s="59" t="n"/>
      <c r="X24" s="59" t="n"/>
      <c r="Y24" s="59" t="n"/>
      <c r="Z24" s="59" t="n"/>
      <c r="AA24" s="59" t="n"/>
      <c r="AB24" s="59" t="inlineStr">
        <is>
          <t>●</t>
        </is>
      </c>
      <c r="AC24" s="59" t="n"/>
      <c r="AD24" s="54">
        <f>COUNTIF(D24:AC24,"●")</f>
        <v/>
      </c>
      <c r="AE24" s="54">
        <f>COUNTIF(D24:AC24,"○")</f>
        <v/>
      </c>
    </row>
    <row r="25">
      <c r="A25" s="57" t="n"/>
      <c r="B25" s="47" t="inlineStr">
        <is>
          <t>C05-02</t>
        </is>
      </c>
      <c r="C25" s="58">
        <f>IFERROR(INDEX(ケイパビリティマップ!$E:$E,MATCH(B25,ケイパビリティマップ!$A:$A,0)),"（IDなし）")</f>
        <v/>
      </c>
      <c r="D25" s="59" t="n"/>
      <c r="E25" s="59" t="n"/>
      <c r="F25" s="59" t="n"/>
      <c r="G25" s="59" t="n"/>
      <c r="H25" s="59" t="n"/>
      <c r="I25" s="59" t="n"/>
      <c r="J25" s="59" t="n"/>
      <c r="K25" s="59" t="n"/>
      <c r="L25" s="59" t="inlineStr">
        <is>
          <t>○</t>
        </is>
      </c>
      <c r="M25" s="59" t="n"/>
      <c r="N25" s="59" t="n"/>
      <c r="O25" s="59" t="n"/>
      <c r="P25" s="59" t="n"/>
      <c r="Q25" s="59" t="n"/>
      <c r="R25" s="59" t="n"/>
      <c r="S25" s="59" t="n"/>
      <c r="T25" s="59" t="n"/>
      <c r="U25" s="59" t="inlineStr">
        <is>
          <t>●</t>
        </is>
      </c>
      <c r="V25" s="59" t="inlineStr">
        <is>
          <t>●</t>
        </is>
      </c>
      <c r="W25" s="59" t="n"/>
      <c r="X25" s="59" t="n"/>
      <c r="Y25" s="59" t="n"/>
      <c r="Z25" s="59" t="n"/>
      <c r="AA25" s="59" t="n"/>
      <c r="AB25" s="59" t="n"/>
      <c r="AC25" s="59" t="n"/>
      <c r="AD25" s="54">
        <f>COUNTIF(D25:AC25,"●")</f>
        <v/>
      </c>
      <c r="AE25" s="54">
        <f>COUNTIF(D25:AC25,"○")</f>
        <v/>
      </c>
    </row>
    <row r="26">
      <c r="A26" s="57" t="n"/>
      <c r="B26" s="47" t="inlineStr">
        <is>
          <t>C05-03</t>
        </is>
      </c>
      <c r="C26" s="58">
        <f>IFERROR(INDEX(ケイパビリティマップ!$E:$E,MATCH(B26,ケイパビリティマップ!$A:$A,0)),"（IDなし）")</f>
        <v/>
      </c>
      <c r="D26" s="59" t="n"/>
      <c r="E26" s="59" t="n"/>
      <c r="F26" s="59" t="n"/>
      <c r="G26" s="59" t="n"/>
      <c r="H26" s="59" t="n"/>
      <c r="I26" s="59" t="n"/>
      <c r="J26" s="59" t="n"/>
      <c r="K26" s="59" t="n"/>
      <c r="L26" s="59" t="inlineStr">
        <is>
          <t>○</t>
        </is>
      </c>
      <c r="M26" s="59" t="n"/>
      <c r="N26" s="59" t="n"/>
      <c r="O26" s="59" t="n"/>
      <c r="P26" s="59" t="n"/>
      <c r="Q26" s="59" t="n"/>
      <c r="R26" s="59" t="n"/>
      <c r="S26" s="59" t="n"/>
      <c r="T26" s="59" t="n"/>
      <c r="U26" s="59" t="n"/>
      <c r="V26" s="59" t="n"/>
      <c r="W26" s="59" t="inlineStr">
        <is>
          <t>●</t>
        </is>
      </c>
      <c r="X26" s="59" t="inlineStr">
        <is>
          <t>●</t>
        </is>
      </c>
      <c r="Y26" s="59" t="n"/>
      <c r="Z26" s="59" t="n"/>
      <c r="AA26" s="59" t="n"/>
      <c r="AB26" s="59" t="n"/>
      <c r="AC26" s="59" t="n"/>
      <c r="AD26" s="54">
        <f>COUNTIF(D26:AC26,"●")</f>
        <v/>
      </c>
      <c r="AE26" s="54">
        <f>COUNTIF(D26:AC26,"○")</f>
        <v/>
      </c>
    </row>
    <row r="27">
      <c r="A27" s="57" t="inlineStr">
        <is>
          <t>C06 データ・GxPコンプライアンス</t>
        </is>
      </c>
      <c r="B27" s="47" t="inlineStr">
        <is>
          <t>C06-01</t>
        </is>
      </c>
      <c r="C27" s="58">
        <f>IFERROR(INDEX(ケイパビリティマップ!$E:$E,MATCH(B27,ケイパビリティマップ!$A:$A,0)),"（IDなし）")</f>
        <v/>
      </c>
      <c r="D27" s="59" t="n"/>
      <c r="E27" s="59" t="n"/>
      <c r="F27" s="59" t="n"/>
      <c r="G27" s="59" t="inlineStr">
        <is>
          <t>○</t>
        </is>
      </c>
      <c r="H27" s="59" t="n"/>
      <c r="I27" s="59" t="inlineStr">
        <is>
          <t>●</t>
        </is>
      </c>
      <c r="J27" s="59" t="inlineStr">
        <is>
          <t>○</t>
        </is>
      </c>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4">
        <f>COUNTIF(D27:AC27,"●")</f>
        <v/>
      </c>
      <c r="AE27" s="54">
        <f>COUNTIF(D27:AC27,"○")</f>
        <v/>
      </c>
    </row>
    <row r="28">
      <c r="A28" s="57" t="n"/>
      <c r="B28" s="47" t="inlineStr">
        <is>
          <t>C06-02</t>
        </is>
      </c>
      <c r="C28" s="58">
        <f>IFERROR(INDEX(ケイパビリティマップ!$E:$E,MATCH(B28,ケイパビリティマップ!$A:$A,0)),"（IDなし）")</f>
        <v/>
      </c>
      <c r="D28" s="59" t="n"/>
      <c r="E28" s="59" t="n"/>
      <c r="F28" s="59" t="n"/>
      <c r="G28" s="59" t="n"/>
      <c r="H28" s="59" t="n"/>
      <c r="I28" s="59" t="n"/>
      <c r="J28" s="59" t="inlineStr">
        <is>
          <t>●</t>
        </is>
      </c>
      <c r="K28" s="59" t="n"/>
      <c r="L28" s="59" t="n"/>
      <c r="M28" s="59" t="n"/>
      <c r="N28" s="59" t="n"/>
      <c r="O28" s="59" t="inlineStr">
        <is>
          <t>○</t>
        </is>
      </c>
      <c r="P28" s="59" t="n"/>
      <c r="Q28" s="59" t="n"/>
      <c r="R28" s="59" t="n"/>
      <c r="S28" s="59" t="n"/>
      <c r="T28" s="59" t="n"/>
      <c r="U28" s="59" t="n"/>
      <c r="V28" s="59" t="inlineStr">
        <is>
          <t>○</t>
        </is>
      </c>
      <c r="W28" s="59" t="n"/>
      <c r="X28" s="59" t="n"/>
      <c r="Y28" s="59" t="n"/>
      <c r="Z28" s="59" t="n"/>
      <c r="AA28" s="59" t="n"/>
      <c r="AB28" s="59" t="n"/>
      <c r="AC28" s="59" t="n"/>
      <c r="AD28" s="54">
        <f>COUNTIF(D28:AC28,"●")</f>
        <v/>
      </c>
      <c r="AE28" s="54">
        <f>COUNTIF(D28:AC28,"○")</f>
        <v/>
      </c>
    </row>
    <row r="29">
      <c r="A29" s="57" t="n"/>
      <c r="B29" s="47" t="inlineStr">
        <is>
          <t>C06-03</t>
        </is>
      </c>
      <c r="C29" s="58">
        <f>IFERROR(INDEX(ケイパビリティマップ!$E:$E,MATCH(B29,ケイパビリティマップ!$A:$A,0)),"（IDなし）")</f>
        <v/>
      </c>
      <c r="D29" s="59" t="n"/>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inlineStr">
        <is>
          <t>●</t>
        </is>
      </c>
      <c r="Z29" s="59" t="inlineStr">
        <is>
          <t>●</t>
        </is>
      </c>
      <c r="AA29" s="59" t="n"/>
      <c r="AB29" s="59" t="n"/>
      <c r="AC29" s="59" t="n"/>
      <c r="AD29" s="54">
        <f>COUNTIF(D29:AC29,"●")</f>
        <v/>
      </c>
      <c r="AE29" s="54">
        <f>COUNTIF(D29:AC29,"○")</f>
        <v/>
      </c>
    </row>
    <row r="30">
      <c r="A30" s="57" t="n"/>
      <c r="B30" s="47" t="inlineStr">
        <is>
          <t>C06-04</t>
        </is>
      </c>
      <c r="C30" s="58">
        <f>IFERROR(INDEX(ケイパビリティマップ!$E:$E,MATCH(B30,ケイパビリティマップ!$A:$A,0)),"（IDなし）")</f>
        <v/>
      </c>
      <c r="D30" s="59" t="n"/>
      <c r="E30" s="59" t="n"/>
      <c r="F30" s="59" t="n"/>
      <c r="G30" s="59" t="n"/>
      <c r="H30" s="59" t="n"/>
      <c r="I30" s="59" t="n"/>
      <c r="J30" s="59" t="n"/>
      <c r="K30" s="59" t="n"/>
      <c r="L30" s="59" t="n"/>
      <c r="M30" s="59" t="n"/>
      <c r="N30" s="59" t="n"/>
      <c r="O30" s="59" t="n"/>
      <c r="P30" s="59" t="n"/>
      <c r="Q30" s="59" t="n"/>
      <c r="R30" s="59" t="n"/>
      <c r="S30" s="59" t="inlineStr">
        <is>
          <t>○</t>
        </is>
      </c>
      <c r="T30" s="59" t="n"/>
      <c r="U30" s="59" t="n"/>
      <c r="V30" s="59" t="n"/>
      <c r="W30" s="59" t="inlineStr">
        <is>
          <t>○</t>
        </is>
      </c>
      <c r="X30" s="59" t="n"/>
      <c r="Y30" s="59" t="n"/>
      <c r="Z30" s="59" t="n"/>
      <c r="AA30" s="59" t="inlineStr">
        <is>
          <t>●</t>
        </is>
      </c>
      <c r="AB30" s="59" t="n"/>
      <c r="AC30" s="59" t="n"/>
      <c r="AD30" s="54">
        <f>COUNTIF(D30:AC30,"●")</f>
        <v/>
      </c>
      <c r="AE30" s="54">
        <f>COUNTIF(D30:AC30,"○")</f>
        <v/>
      </c>
    </row>
    <row r="31">
      <c r="A31" s="57" t="inlineStr">
        <is>
          <t>C07 IT組織・ソーシング基盤</t>
        </is>
      </c>
      <c r="B31" s="47" t="inlineStr">
        <is>
          <t>C07-01</t>
        </is>
      </c>
      <c r="C31" s="58">
        <f>IFERROR(INDEX(ケイパビリティマップ!$E:$E,MATCH(B31,ケイパビリティマップ!$A:$A,0)),"（IDなし）")</f>
        <v/>
      </c>
      <c r="D31" s="59" t="n"/>
      <c r="E31" s="59" t="n"/>
      <c r="F31" s="59" t="n"/>
      <c r="G31" s="59" t="n"/>
      <c r="H31" s="59" t="n"/>
      <c r="I31" s="59" t="n"/>
      <c r="J31" s="59" t="n"/>
      <c r="K31" s="59" t="n"/>
      <c r="L31" s="59" t="n"/>
      <c r="M31" s="59" t="n"/>
      <c r="N31" s="59" t="n"/>
      <c r="O31" s="59" t="n"/>
      <c r="P31" s="59" t="n"/>
      <c r="Q31" s="59" t="n"/>
      <c r="R31" s="59" t="n"/>
      <c r="S31" s="59" t="n"/>
      <c r="T31" s="59" t="n"/>
      <c r="U31" s="59" t="n"/>
      <c r="V31" s="59" t="n"/>
      <c r="W31" s="59" t="n"/>
      <c r="X31" s="59" t="n"/>
      <c r="Y31" s="59" t="n"/>
      <c r="Z31" s="59" t="n"/>
      <c r="AA31" s="59" t="n"/>
      <c r="AB31" s="59" t="inlineStr">
        <is>
          <t>○</t>
        </is>
      </c>
      <c r="AC31" s="59" t="inlineStr">
        <is>
          <t>●</t>
        </is>
      </c>
      <c r="AD31" s="54">
        <f>COUNTIF(D31:AC31,"●")</f>
        <v/>
      </c>
      <c r="AE31" s="54">
        <f>COUNTIF(D31:AC31,"○")</f>
        <v/>
      </c>
    </row>
    <row r="32">
      <c r="A32" s="57" t="n"/>
      <c r="B32" s="47" t="inlineStr">
        <is>
          <t>C07-02</t>
        </is>
      </c>
      <c r="C32" s="58">
        <f>IFERROR(INDEX(ケイパビリティマップ!$E:$E,MATCH(B32,ケイパビリティマップ!$A:$A,0)),"（IDなし）")</f>
        <v/>
      </c>
      <c r="D32" s="59" t="n"/>
      <c r="E32" s="59" t="n"/>
      <c r="F32" s="59" t="n"/>
      <c r="G32" s="59" t="n"/>
      <c r="H32" s="59" t="n"/>
      <c r="I32" s="59" t="n"/>
      <c r="J32" s="59" t="n"/>
      <c r="K32" s="59" t="inlineStr">
        <is>
          <t>●</t>
        </is>
      </c>
      <c r="L32" s="59" t="n"/>
      <c r="M32" s="59" t="n"/>
      <c r="N32" s="59" t="n"/>
      <c r="O32" s="59" t="n"/>
      <c r="P32" s="59" t="n"/>
      <c r="Q32" s="59" t="n"/>
      <c r="R32" s="59" t="n"/>
      <c r="S32" s="59" t="n"/>
      <c r="T32" s="59" t="n"/>
      <c r="U32" s="59" t="n"/>
      <c r="V32" s="59" t="n"/>
      <c r="W32" s="59" t="n"/>
      <c r="X32" s="59" t="n"/>
      <c r="Y32" s="59" t="n"/>
      <c r="Z32" s="59" t="n"/>
      <c r="AA32" s="59" t="n"/>
      <c r="AB32" s="59" t="n"/>
      <c r="AC32" s="59" t="n"/>
      <c r="AD32" s="54">
        <f>COUNTIF(D32:AC32,"●")</f>
        <v/>
      </c>
      <c r="AE32" s="54">
        <f>COUNTIF(D32:AC32,"○")</f>
        <v/>
      </c>
    </row>
    <row r="33">
      <c r="A33" s="57" t="n"/>
      <c r="B33" s="47" t="inlineStr">
        <is>
          <t>C07-03</t>
        </is>
      </c>
      <c r="C33" s="58">
        <f>IFERROR(INDEX(ケイパビリティマップ!$E:$E,MATCH(B33,ケイパビリティマップ!$A:$A,0)),"（IDなし）")</f>
        <v/>
      </c>
      <c r="D33" s="59" t="n"/>
      <c r="E33" s="59" t="n"/>
      <c r="F33" s="59" t="n"/>
      <c r="G33" s="59" t="n"/>
      <c r="H33" s="59" t="n"/>
      <c r="I33" s="59" t="n"/>
      <c r="J33" s="59" t="inlineStr">
        <is>
          <t>●</t>
        </is>
      </c>
      <c r="K33" s="59" t="n"/>
      <c r="L33" s="59" t="inlineStr">
        <is>
          <t>○</t>
        </is>
      </c>
      <c r="M33" s="59" t="n"/>
      <c r="N33" s="59" t="n"/>
      <c r="O33" s="59" t="n"/>
      <c r="P33" s="59" t="n"/>
      <c r="Q33" s="59" t="n"/>
      <c r="R33" s="59" t="n"/>
      <c r="S33" s="59" t="n"/>
      <c r="T33" s="59" t="n"/>
      <c r="U33" s="59" t="n"/>
      <c r="V33" s="59" t="n"/>
      <c r="W33" s="59" t="n"/>
      <c r="X33" s="59" t="n"/>
      <c r="Y33" s="59" t="n"/>
      <c r="Z33" s="59" t="n"/>
      <c r="AA33" s="59" t="n"/>
      <c r="AB33" s="59" t="n"/>
      <c r="AC33" s="59" t="n"/>
      <c r="AD33" s="54">
        <f>COUNTIF(D33:AC33,"●")</f>
        <v/>
      </c>
      <c r="AE33" s="54">
        <f>COUNTIF(D33:AC33,"○")</f>
        <v/>
      </c>
    </row>
    <row r="34">
      <c r="C34" s="57" t="inlineStr">
        <is>
          <t>●の数</t>
        </is>
      </c>
      <c r="D34" s="54">
        <f>COUNTIF(D$6:D$33,"●")</f>
        <v/>
      </c>
      <c r="E34" s="54">
        <f>COUNTIF(E$6:E$33,"●")</f>
        <v/>
      </c>
      <c r="F34" s="54">
        <f>COUNTIF(F$6:F$33,"●")</f>
        <v/>
      </c>
      <c r="G34" s="54">
        <f>COUNTIF(G$6:G$33,"●")</f>
        <v/>
      </c>
      <c r="H34" s="54">
        <f>COUNTIF(H$6:H$33,"●")</f>
        <v/>
      </c>
      <c r="I34" s="54">
        <f>COUNTIF(I$6:I$33,"●")</f>
        <v/>
      </c>
      <c r="J34" s="54">
        <f>COUNTIF(J$6:J$33,"●")</f>
        <v/>
      </c>
      <c r="K34" s="54">
        <f>COUNTIF(K$6:K$33,"●")</f>
        <v/>
      </c>
      <c r="L34" s="54">
        <f>COUNTIF(L$6:L$33,"●")</f>
        <v/>
      </c>
      <c r="M34" s="54">
        <f>COUNTIF(M$6:M$33,"●")</f>
        <v/>
      </c>
      <c r="N34" s="54">
        <f>COUNTIF(N$6:N$33,"●")</f>
        <v/>
      </c>
      <c r="O34" s="54">
        <f>COUNTIF(O$6:O$33,"●")</f>
        <v/>
      </c>
      <c r="P34" s="54">
        <f>COUNTIF(P$6:P$33,"●")</f>
        <v/>
      </c>
      <c r="Q34" s="54">
        <f>COUNTIF(Q$6:Q$33,"●")</f>
        <v/>
      </c>
      <c r="R34" s="54">
        <f>COUNTIF(R$6:R$33,"●")</f>
        <v/>
      </c>
      <c r="S34" s="54">
        <f>COUNTIF(S$6:S$33,"●")</f>
        <v/>
      </c>
      <c r="T34" s="54">
        <f>COUNTIF(T$6:T$33,"●")</f>
        <v/>
      </c>
      <c r="U34" s="54">
        <f>COUNTIF(U$6:U$33,"●")</f>
        <v/>
      </c>
      <c r="V34" s="54">
        <f>COUNTIF(V$6:V$33,"●")</f>
        <v/>
      </c>
      <c r="W34" s="54">
        <f>COUNTIF(W$6:W$33,"●")</f>
        <v/>
      </c>
      <c r="X34" s="54">
        <f>COUNTIF(X$6:X$33,"●")</f>
        <v/>
      </c>
      <c r="Y34" s="54">
        <f>COUNTIF(Y$6:Y$33,"●")</f>
        <v/>
      </c>
      <c r="Z34" s="54">
        <f>COUNTIF(Z$6:Z$33,"●")</f>
        <v/>
      </c>
      <c r="AA34" s="54">
        <f>COUNTIF(AA$6:AA$33,"●")</f>
        <v/>
      </c>
      <c r="AB34" s="54">
        <f>COUNTIF(AB$6:AB$33,"●")</f>
        <v/>
      </c>
      <c r="AC34" s="54">
        <f>COUNTIF(AC$6:AC$33,"●")</f>
        <v/>
      </c>
    </row>
    <row r="35">
      <c r="C35" s="57" t="inlineStr">
        <is>
          <t>○の数</t>
        </is>
      </c>
      <c r="D35" s="54">
        <f>COUNTIF(D$6:D$33,"○")</f>
        <v/>
      </c>
      <c r="E35" s="54">
        <f>COUNTIF(E$6:E$33,"○")</f>
        <v/>
      </c>
      <c r="F35" s="54">
        <f>COUNTIF(F$6:F$33,"○")</f>
        <v/>
      </c>
      <c r="G35" s="54">
        <f>COUNTIF(G$6:G$33,"○")</f>
        <v/>
      </c>
      <c r="H35" s="54">
        <f>COUNTIF(H$6:H$33,"○")</f>
        <v/>
      </c>
      <c r="I35" s="54">
        <f>COUNTIF(I$6:I$33,"○")</f>
        <v/>
      </c>
      <c r="J35" s="54">
        <f>COUNTIF(J$6:J$33,"○")</f>
        <v/>
      </c>
      <c r="K35" s="54">
        <f>COUNTIF(K$6:K$33,"○")</f>
        <v/>
      </c>
      <c r="L35" s="54">
        <f>COUNTIF(L$6:L$33,"○")</f>
        <v/>
      </c>
      <c r="M35" s="54">
        <f>COUNTIF(M$6:M$33,"○")</f>
        <v/>
      </c>
      <c r="N35" s="54">
        <f>COUNTIF(N$6:N$33,"○")</f>
        <v/>
      </c>
      <c r="O35" s="54">
        <f>COUNTIF(O$6:O$33,"○")</f>
        <v/>
      </c>
      <c r="P35" s="54">
        <f>COUNTIF(P$6:P$33,"○")</f>
        <v/>
      </c>
      <c r="Q35" s="54">
        <f>COUNTIF(Q$6:Q$33,"○")</f>
        <v/>
      </c>
      <c r="R35" s="54">
        <f>COUNTIF(R$6:R$33,"○")</f>
        <v/>
      </c>
      <c r="S35" s="54">
        <f>COUNTIF(S$6:S$33,"○")</f>
        <v/>
      </c>
      <c r="T35" s="54">
        <f>COUNTIF(T$6:T$33,"○")</f>
        <v/>
      </c>
      <c r="U35" s="54">
        <f>COUNTIF(U$6:U$33,"○")</f>
        <v/>
      </c>
      <c r="V35" s="54">
        <f>COUNTIF(V$6:V$33,"○")</f>
        <v/>
      </c>
      <c r="W35" s="54">
        <f>COUNTIF(W$6:W$33,"○")</f>
        <v/>
      </c>
      <c r="X35" s="54">
        <f>COUNTIF(X$6:X$33,"○")</f>
        <v/>
      </c>
      <c r="Y35" s="54">
        <f>COUNTIF(Y$6:Y$33,"○")</f>
        <v/>
      </c>
      <c r="Z35" s="54">
        <f>COUNTIF(Z$6:Z$33,"○")</f>
        <v/>
      </c>
      <c r="AA35" s="54">
        <f>COUNTIF(AA$6:AA$33,"○")</f>
        <v/>
      </c>
      <c r="AB35" s="54">
        <f>COUNTIF(AB$6:AB$33,"○")</f>
        <v/>
      </c>
      <c r="AC35" s="54">
        <f>COUNTIF(AC$6:AC$33,"○")</f>
        <v/>
      </c>
    </row>
  </sheetData>
  <mergeCells count="14">
    <mergeCell ref="G4:H4"/>
    <mergeCell ref="P4:T4"/>
    <mergeCell ref="B4:B5"/>
    <mergeCell ref="L4:M4"/>
    <mergeCell ref="C4:C5"/>
    <mergeCell ref="A4:A5"/>
    <mergeCell ref="U4:X4"/>
    <mergeCell ref="D4:F4"/>
    <mergeCell ref="AE4:AE5"/>
    <mergeCell ref="AD4:AD5"/>
    <mergeCell ref="I4:K4"/>
    <mergeCell ref="Y4:AA4"/>
    <mergeCell ref="AB4:AC4"/>
    <mergeCell ref="N4:O4"/>
  </mergeCells>
  <conditionalFormatting sqref="D6:AC33">
    <cfRule type="cellIs" priority="1" operator="equal" dxfId="2">
      <formula>"●"</formula>
    </cfRule>
  </conditionalFormatting>
  <dataValidations count="1">
    <dataValidation sqref="D6:AC33"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tabColor rgb="002E8B57"/>
    <outlinePr summaryBelow="1" summaryRight="1"/>
    <pageSetUpPr/>
  </sheetPr>
  <dimension ref="A1:BC33"/>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 width="4.6" customWidth="1" min="38" max="38"/>
    <col width="4.6"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4.6" customWidth="1" min="53" max="53"/>
    <col width="7.5" customWidth="1" min="54" max="54"/>
    <col width="7.5" customWidth="1" min="55" max="55"/>
  </cols>
  <sheetData>
    <row r="1" ht="21.6" customHeight="1">
      <c r="A1" s="43" t="inlineStr">
        <is>
          <t>アプリケーション×情報オブジェクト（行＝アプリケーション × 列＝情報オブジェクト）</t>
        </is>
      </c>
    </row>
    <row r="2" ht="15" customHeight="1">
      <c r="A2" s="44" t="inlineStr">
        <is>
          <t>C＝作成・更新　R＝利用　空欄＝関係なし。ケイパビリティ経由で導出：アプリが●（主に支える）のL2で、そのL2がC／Rの情報オブジェクトを割り当て（CとRが重なる場合はC）</t>
        </is>
      </c>
    </row>
    <row r="4" ht="29.85" customHeight="1">
      <c r="A4" s="45" t="inlineStr">
        <is>
          <t>領域</t>
        </is>
      </c>
      <c r="B4" s="45" t="inlineStr">
        <is>
          <t>ID</t>
        </is>
      </c>
      <c r="C4" s="45" t="inlineStr">
        <is>
          <t>アプリケーション種類</t>
        </is>
      </c>
      <c r="D4" s="55" t="inlineStr">
        <is>
          <t>共通・マスタ</t>
        </is>
      </c>
      <c r="K4" s="55" t="inlineStr">
        <is>
          <t>戦略・投資</t>
        </is>
      </c>
      <c r="V4" s="55" t="inlineStr">
        <is>
          <t>開発・導入</t>
        </is>
      </c>
      <c r="AB4" s="55" t="inlineStr">
        <is>
          <t>GxP・データ</t>
        </is>
      </c>
      <c r="AJ4" s="55" t="inlineStr">
        <is>
          <t>サービス提供</t>
        </is>
      </c>
      <c r="AN4" s="55" t="inlineStr">
        <is>
          <t>運用</t>
        </is>
      </c>
      <c r="AU4" s="55" t="inlineStr">
        <is>
          <t>セキュリティ</t>
        </is>
      </c>
      <c r="AW4" s="55" t="inlineStr">
        <is>
          <t>ソーシング・人材</t>
        </is>
      </c>
      <c r="BB4" s="46" t="inlineStr">
        <is>
          <t>Cの数</t>
        </is>
      </c>
      <c r="BC4" s="46" t="inlineStr">
        <is>
          <t>Rの数</t>
        </is>
      </c>
    </row>
    <row r="5" ht="214.5" customHeight="1">
      <c r="D5" s="56">
        <f>情報オブジェクト!C4</f>
        <v/>
      </c>
      <c r="E5" s="56">
        <f>情報オブジェクト!C5</f>
        <v/>
      </c>
      <c r="F5" s="56">
        <f>情報オブジェクト!C6</f>
        <v/>
      </c>
      <c r="G5" s="56">
        <f>情報オブジェクト!C7</f>
        <v/>
      </c>
      <c r="H5" s="56">
        <f>情報オブジェクト!C8</f>
        <v/>
      </c>
      <c r="I5" s="56">
        <f>情報オブジェクト!C9</f>
        <v/>
      </c>
      <c r="J5" s="56">
        <f>情報オブジェクト!C10</f>
        <v/>
      </c>
      <c r="K5" s="56">
        <f>情報オブジェクト!C11</f>
        <v/>
      </c>
      <c r="L5" s="56">
        <f>情報オブジェクト!C12</f>
        <v/>
      </c>
      <c r="M5" s="56">
        <f>情報オブジェクト!C13</f>
        <v/>
      </c>
      <c r="N5" s="56">
        <f>情報オブジェクト!C14</f>
        <v/>
      </c>
      <c r="O5" s="56">
        <f>情報オブジェクト!C15</f>
        <v/>
      </c>
      <c r="P5" s="56">
        <f>情報オブジェクト!C16</f>
        <v/>
      </c>
      <c r="Q5" s="56">
        <f>情報オブジェクト!C17</f>
        <v/>
      </c>
      <c r="R5" s="56">
        <f>情報オブジェクト!C18</f>
        <v/>
      </c>
      <c r="S5" s="56">
        <f>情報オブジェクト!C19</f>
        <v/>
      </c>
      <c r="T5" s="56">
        <f>情報オブジェクト!C20</f>
        <v/>
      </c>
      <c r="U5" s="56">
        <f>情報オブジェクト!C21</f>
        <v/>
      </c>
      <c r="V5" s="56">
        <f>情報オブジェクト!C22</f>
        <v/>
      </c>
      <c r="W5" s="56">
        <f>情報オブジェクト!C23</f>
        <v/>
      </c>
      <c r="X5" s="56">
        <f>情報オブジェクト!C24</f>
        <v/>
      </c>
      <c r="Y5" s="56">
        <f>情報オブジェクト!C25</f>
        <v/>
      </c>
      <c r="Z5" s="56">
        <f>情報オブジェクト!C26</f>
        <v/>
      </c>
      <c r="AA5" s="56">
        <f>情報オブジェクト!C27</f>
        <v/>
      </c>
      <c r="AB5" s="56">
        <f>情報オブジェクト!C28</f>
        <v/>
      </c>
      <c r="AC5" s="56">
        <f>情報オブジェクト!C29</f>
        <v/>
      </c>
      <c r="AD5" s="56">
        <f>情報オブジェクト!C30</f>
        <v/>
      </c>
      <c r="AE5" s="56">
        <f>情報オブジェクト!C31</f>
        <v/>
      </c>
      <c r="AF5" s="56">
        <f>情報オブジェクト!C32</f>
        <v/>
      </c>
      <c r="AG5" s="56">
        <f>情報オブジェクト!C33</f>
        <v/>
      </c>
      <c r="AH5" s="56">
        <f>情報オブジェクト!C34</f>
        <v/>
      </c>
      <c r="AI5" s="56">
        <f>情報オブジェクト!C35</f>
        <v/>
      </c>
      <c r="AJ5" s="56">
        <f>情報オブジェクト!C36</f>
        <v/>
      </c>
      <c r="AK5" s="56">
        <f>情報オブジェクト!C37</f>
        <v/>
      </c>
      <c r="AL5" s="56">
        <f>情報オブジェクト!C38</f>
        <v/>
      </c>
      <c r="AM5" s="56">
        <f>情報オブジェクト!C39</f>
        <v/>
      </c>
      <c r="AN5" s="56">
        <f>情報オブジェクト!C40</f>
        <v/>
      </c>
      <c r="AO5" s="56">
        <f>情報オブジェクト!C41</f>
        <v/>
      </c>
      <c r="AP5" s="56">
        <f>情報オブジェクト!C42</f>
        <v/>
      </c>
      <c r="AQ5" s="56">
        <f>情報オブジェクト!C43</f>
        <v/>
      </c>
      <c r="AR5" s="56">
        <f>情報オブジェクト!C44</f>
        <v/>
      </c>
      <c r="AS5" s="56">
        <f>情報オブジェクト!C45</f>
        <v/>
      </c>
      <c r="AT5" s="56">
        <f>情報オブジェクト!C46</f>
        <v/>
      </c>
      <c r="AU5" s="56">
        <f>情報オブジェクト!C47</f>
        <v/>
      </c>
      <c r="AV5" s="56">
        <f>情報オブジェクト!C48</f>
        <v/>
      </c>
      <c r="AW5" s="56">
        <f>情報オブジェクト!C49</f>
        <v/>
      </c>
      <c r="AX5" s="56">
        <f>情報オブジェクト!C50</f>
        <v/>
      </c>
      <c r="AY5" s="56">
        <f>情報オブジェクト!C51</f>
        <v/>
      </c>
      <c r="AZ5" s="56">
        <f>情報オブジェクト!C52</f>
        <v/>
      </c>
      <c r="BA5" s="56">
        <f>情報オブジェクト!C53</f>
        <v/>
      </c>
    </row>
    <row r="6">
      <c r="A6" s="57" t="inlineStr">
        <is>
          <t>戦略</t>
        </is>
      </c>
      <c r="B6" s="47" t="inlineStr">
        <is>
          <t>APP-01</t>
        </is>
      </c>
      <c r="C6" s="58">
        <f>IFERROR(INDEX(アプリケーション!$C:$C,MATCH(B6,アプリケーション!$A:$A,0)),"（IDなし）")</f>
        <v/>
      </c>
      <c r="D6" s="59" t="inlineStr">
        <is>
          <t>C</t>
        </is>
      </c>
      <c r="E6" s="59" t="n"/>
      <c r="F6" s="59" t="n"/>
      <c r="G6" s="59" t="n"/>
      <c r="H6" s="59" t="n"/>
      <c r="I6" s="59" t="n"/>
      <c r="J6" s="59" t="inlineStr">
        <is>
          <t>R</t>
        </is>
      </c>
      <c r="K6" s="59" t="inlineStr">
        <is>
          <t>R</t>
        </is>
      </c>
      <c r="L6" s="59" t="n"/>
      <c r="M6" s="59" t="inlineStr">
        <is>
          <t>R</t>
        </is>
      </c>
      <c r="N6" s="59" t="inlineStr">
        <is>
          <t>R</t>
        </is>
      </c>
      <c r="O6" s="59" t="inlineStr">
        <is>
          <t>R</t>
        </is>
      </c>
      <c r="P6" s="59" t="inlineStr">
        <is>
          <t>C</t>
        </is>
      </c>
      <c r="Q6" s="59" t="inlineStr">
        <is>
          <t>C</t>
        </is>
      </c>
      <c r="R6" s="59" t="inlineStr">
        <is>
          <t>C</t>
        </is>
      </c>
      <c r="S6" s="59" t="inlineStr">
        <is>
          <t>R</t>
        </is>
      </c>
      <c r="T6" s="59" t="n"/>
      <c r="U6" s="59" t="inlineStr">
        <is>
          <t>R</t>
        </is>
      </c>
      <c r="V6" s="59" t="inlineStr">
        <is>
          <t>C</t>
        </is>
      </c>
      <c r="W6" s="59" t="n"/>
      <c r="X6" s="59" t="inlineStr">
        <is>
          <t>R</t>
        </is>
      </c>
      <c r="Y6" s="59" t="inlineStr">
        <is>
          <t>R</t>
        </is>
      </c>
      <c r="Z6" s="59" t="inlineStr">
        <is>
          <t>R</t>
        </is>
      </c>
      <c r="AA6" s="59" t="n"/>
      <c r="AB6" s="59" t="inlineStr">
        <is>
          <t>R</t>
        </is>
      </c>
      <c r="AC6" s="59" t="n"/>
      <c r="AD6" s="59" t="n"/>
      <c r="AE6" s="59" t="n"/>
      <c r="AF6" s="59" t="n"/>
      <c r="AG6" s="59" t="n"/>
      <c r="AH6" s="59" t="n"/>
      <c r="AI6" s="59" t="n"/>
      <c r="AJ6" s="59" t="n"/>
      <c r="AK6" s="59" t="n"/>
      <c r="AL6" s="59" t="n"/>
      <c r="AM6" s="59" t="n"/>
      <c r="AN6" s="59" t="n"/>
      <c r="AO6" s="59" t="n"/>
      <c r="AP6" s="59" t="n"/>
      <c r="AQ6" s="59" t="inlineStr">
        <is>
          <t>R</t>
        </is>
      </c>
      <c r="AR6" s="59" t="n"/>
      <c r="AS6" s="59" t="inlineStr">
        <is>
          <t>R</t>
        </is>
      </c>
      <c r="AT6" s="59" t="n"/>
      <c r="AU6" s="59" t="n"/>
      <c r="AV6" s="59" t="n"/>
      <c r="AW6" s="59" t="inlineStr">
        <is>
          <t>R</t>
        </is>
      </c>
      <c r="AX6" s="59" t="inlineStr">
        <is>
          <t>C</t>
        </is>
      </c>
      <c r="AY6" s="59" t="inlineStr">
        <is>
          <t>R</t>
        </is>
      </c>
      <c r="AZ6" s="59" t="inlineStr">
        <is>
          <t>R</t>
        </is>
      </c>
      <c r="BA6" s="59" t="n"/>
      <c r="BB6" s="54">
        <f>COUNTIF(D6:BA6,"C")</f>
        <v/>
      </c>
      <c r="BC6" s="54">
        <f>COUNTIF(D6:BA6,"R")</f>
        <v/>
      </c>
    </row>
    <row r="7">
      <c r="A7" s="57" t="n"/>
      <c r="B7" s="47" t="inlineStr">
        <is>
          <t>APP-02</t>
        </is>
      </c>
      <c r="C7" s="58">
        <f>IFERROR(INDEX(アプリケーション!$C:$C,MATCH(B7,アプリケーション!$A:$A,0)),"（IDなし）")</f>
        <v/>
      </c>
      <c r="D7" s="59" t="inlineStr">
        <is>
          <t>C</t>
        </is>
      </c>
      <c r="E7" s="59" t="inlineStr">
        <is>
          <t>R</t>
        </is>
      </c>
      <c r="F7" s="59" t="n"/>
      <c r="G7" s="59" t="n"/>
      <c r="H7" s="59" t="n"/>
      <c r="I7" s="59" t="inlineStr">
        <is>
          <t>C</t>
        </is>
      </c>
      <c r="J7" s="59" t="n"/>
      <c r="K7" s="59" t="inlineStr">
        <is>
          <t>R</t>
        </is>
      </c>
      <c r="L7" s="59" t="inlineStr">
        <is>
          <t>R</t>
        </is>
      </c>
      <c r="M7" s="59" t="inlineStr">
        <is>
          <t>C</t>
        </is>
      </c>
      <c r="N7" s="59" t="inlineStr">
        <is>
          <t>C</t>
        </is>
      </c>
      <c r="O7" s="59" t="n"/>
      <c r="P7" s="59" t="inlineStr">
        <is>
          <t>R</t>
        </is>
      </c>
      <c r="Q7" s="59" t="inlineStr">
        <is>
          <t>R</t>
        </is>
      </c>
      <c r="R7" s="59" t="inlineStr">
        <is>
          <t>C</t>
        </is>
      </c>
      <c r="S7" s="59" t="inlineStr">
        <is>
          <t>R</t>
        </is>
      </c>
      <c r="T7" s="59" t="n"/>
      <c r="U7" s="59" t="inlineStr">
        <is>
          <t>R</t>
        </is>
      </c>
      <c r="V7" s="59" t="n"/>
      <c r="W7" s="59" t="inlineStr">
        <is>
          <t>R</t>
        </is>
      </c>
      <c r="X7" s="59" t="inlineStr">
        <is>
          <t>R</t>
        </is>
      </c>
      <c r="Y7" s="59" t="n"/>
      <c r="Z7" s="59" t="n"/>
      <c r="AA7" s="59" t="n"/>
      <c r="AB7" s="59" t="n"/>
      <c r="AC7" s="59" t="n"/>
      <c r="AD7" s="59" t="n"/>
      <c r="AE7" s="59" t="n"/>
      <c r="AF7" s="59" t="n"/>
      <c r="AG7" s="59" t="n"/>
      <c r="AH7" s="59" t="inlineStr">
        <is>
          <t>R</t>
        </is>
      </c>
      <c r="AI7" s="59" t="n"/>
      <c r="AJ7" s="59" t="n"/>
      <c r="AK7" s="59" t="n"/>
      <c r="AL7" s="59" t="n"/>
      <c r="AM7" s="59" t="n"/>
      <c r="AN7" s="59" t="n"/>
      <c r="AO7" s="59" t="n"/>
      <c r="AP7" s="59" t="n"/>
      <c r="AQ7" s="59" t="n"/>
      <c r="AR7" s="59" t="n"/>
      <c r="AS7" s="59" t="inlineStr">
        <is>
          <t>R</t>
        </is>
      </c>
      <c r="AT7" s="59" t="n"/>
      <c r="AU7" s="59" t="n"/>
      <c r="AV7" s="59" t="n"/>
      <c r="AW7" s="59" t="n"/>
      <c r="AX7" s="59" t="n"/>
      <c r="AY7" s="59" t="n"/>
      <c r="AZ7" s="59" t="n"/>
      <c r="BA7" s="59" t="n"/>
      <c r="BB7" s="54">
        <f>COUNTIF(D7:BA7,"C")</f>
        <v/>
      </c>
      <c r="BC7" s="54">
        <f>COUNTIF(D7:BA7,"R")</f>
        <v/>
      </c>
    </row>
    <row r="8">
      <c r="A8" s="57" t="n"/>
      <c r="B8" s="47" t="inlineStr">
        <is>
          <t>APP-03</t>
        </is>
      </c>
      <c r="C8" s="58">
        <f>IFERROR(INDEX(アプリケーション!$C:$C,MATCH(B8,アプリケーション!$A:$A,0)),"（IDなし）")</f>
        <v/>
      </c>
      <c r="D8" s="59" t="inlineStr">
        <is>
          <t>R</t>
        </is>
      </c>
      <c r="E8" s="59" t="n"/>
      <c r="F8" s="59" t="n"/>
      <c r="G8" s="59" t="n"/>
      <c r="H8" s="59" t="n"/>
      <c r="I8" s="59" t="n"/>
      <c r="J8" s="59" t="n"/>
      <c r="K8" s="59" t="n"/>
      <c r="L8" s="59" t="n"/>
      <c r="M8" s="59" t="inlineStr">
        <is>
          <t>R</t>
        </is>
      </c>
      <c r="N8" s="59" t="inlineStr">
        <is>
          <t>R</t>
        </is>
      </c>
      <c r="O8" s="59" t="n"/>
      <c r="P8" s="59" t="inlineStr">
        <is>
          <t>R</t>
        </is>
      </c>
      <c r="Q8" s="59" t="inlineStr">
        <is>
          <t>R</t>
        </is>
      </c>
      <c r="R8" s="59" t="inlineStr">
        <is>
          <t>R</t>
        </is>
      </c>
      <c r="S8" s="59" t="inlineStr">
        <is>
          <t>C</t>
        </is>
      </c>
      <c r="T8" s="59" t="inlineStr">
        <is>
          <t>C</t>
        </is>
      </c>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inlineStr">
        <is>
          <t>R</t>
        </is>
      </c>
      <c r="AT8" s="59" t="n"/>
      <c r="AU8" s="59" t="n"/>
      <c r="AV8" s="59" t="n"/>
      <c r="AW8" s="59" t="n"/>
      <c r="AX8" s="59" t="n"/>
      <c r="AY8" s="59" t="n"/>
      <c r="AZ8" s="59" t="n"/>
      <c r="BA8" s="59" t="n"/>
      <c r="BB8" s="54">
        <f>COUNTIF(D8:BA8,"C")</f>
        <v/>
      </c>
      <c r="BC8" s="54">
        <f>COUNTIF(D8:BA8,"R")</f>
        <v/>
      </c>
    </row>
    <row r="9">
      <c r="A9" s="57" t="inlineStr">
        <is>
          <t>開発</t>
        </is>
      </c>
      <c r="B9" s="47" t="inlineStr">
        <is>
          <t>APP-04</t>
        </is>
      </c>
      <c r="C9" s="58">
        <f>IFERROR(INDEX(アプリケーション!$C:$C,MATCH(B9,アプリケーション!$A:$A,0)),"（IDなし）")</f>
        <v/>
      </c>
      <c r="D9" s="59" t="inlineStr">
        <is>
          <t>C</t>
        </is>
      </c>
      <c r="E9" s="59" t="inlineStr">
        <is>
          <t>C</t>
        </is>
      </c>
      <c r="F9" s="59" t="n"/>
      <c r="G9" s="59" t="inlineStr">
        <is>
          <t>C</t>
        </is>
      </c>
      <c r="H9" s="59" t="n"/>
      <c r="I9" s="59" t="inlineStr">
        <is>
          <t>R</t>
        </is>
      </c>
      <c r="J9" s="59" t="n"/>
      <c r="K9" s="59" t="n"/>
      <c r="L9" s="59" t="n"/>
      <c r="M9" s="59" t="inlineStr">
        <is>
          <t>R</t>
        </is>
      </c>
      <c r="N9" s="59" t="inlineStr">
        <is>
          <t>R</t>
        </is>
      </c>
      <c r="O9" s="59" t="n"/>
      <c r="P9" s="59" t="n"/>
      <c r="Q9" s="59" t="inlineStr">
        <is>
          <t>R</t>
        </is>
      </c>
      <c r="R9" s="59" t="n"/>
      <c r="S9" s="59" t="n"/>
      <c r="T9" s="59" t="n"/>
      <c r="U9" s="59" t="n"/>
      <c r="V9" s="59" t="n"/>
      <c r="W9" s="59" t="inlineStr">
        <is>
          <t>C</t>
        </is>
      </c>
      <c r="X9" s="59" t="inlineStr">
        <is>
          <t>C</t>
        </is>
      </c>
      <c r="Y9" s="59" t="inlineStr">
        <is>
          <t>R</t>
        </is>
      </c>
      <c r="Z9" s="59" t="inlineStr">
        <is>
          <t>C</t>
        </is>
      </c>
      <c r="AA9" s="59" t="inlineStr">
        <is>
          <t>C</t>
        </is>
      </c>
      <c r="AB9" s="59" t="n"/>
      <c r="AC9" s="59" t="inlineStr">
        <is>
          <t>R</t>
        </is>
      </c>
      <c r="AD9" s="59" t="inlineStr">
        <is>
          <t>R</t>
        </is>
      </c>
      <c r="AE9" s="59" t="inlineStr">
        <is>
          <t>R</t>
        </is>
      </c>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4">
        <f>COUNTIF(D9:BA9,"C")</f>
        <v/>
      </c>
      <c r="BC9" s="54">
        <f>COUNTIF(D9:BA9,"R")</f>
        <v/>
      </c>
    </row>
    <row r="10">
      <c r="A10" s="57" t="n"/>
      <c r="B10" s="47" t="inlineStr">
        <is>
          <t>APP-05</t>
        </is>
      </c>
      <c r="C10" s="58">
        <f>IFERROR(INDEX(アプリケーション!$C:$C,MATCH(B10,アプリケーション!$A:$A,0)),"（IDなし）")</f>
        <v/>
      </c>
      <c r="D10" s="59" t="n"/>
      <c r="E10" s="59" t="n"/>
      <c r="F10" s="59" t="n"/>
      <c r="G10" s="59" t="n"/>
      <c r="H10" s="59" t="n"/>
      <c r="I10" s="59" t="inlineStr">
        <is>
          <t>R</t>
        </is>
      </c>
      <c r="J10" s="59" t="n"/>
      <c r="K10" s="59" t="n"/>
      <c r="L10" s="59" t="n"/>
      <c r="M10" s="59" t="n"/>
      <c r="N10" s="59" t="inlineStr">
        <is>
          <t>R</t>
        </is>
      </c>
      <c r="O10" s="59" t="n"/>
      <c r="P10" s="59" t="n"/>
      <c r="Q10" s="59" t="n"/>
      <c r="R10" s="59" t="n"/>
      <c r="S10" s="59" t="n"/>
      <c r="T10" s="59" t="n"/>
      <c r="U10" s="59" t="n"/>
      <c r="V10" s="59" t="n"/>
      <c r="W10" s="59" t="n"/>
      <c r="X10" s="59" t="inlineStr">
        <is>
          <t>R</t>
        </is>
      </c>
      <c r="Y10" s="59" t="inlineStr">
        <is>
          <t>C</t>
        </is>
      </c>
      <c r="Z10" s="59" t="n"/>
      <c r="AA10" s="59" t="inlineStr">
        <is>
          <t>C</t>
        </is>
      </c>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4">
        <f>COUNTIF(D10:BA10,"C")</f>
        <v/>
      </c>
      <c r="BC10" s="54">
        <f>COUNTIF(D10:BA10,"R")</f>
        <v/>
      </c>
    </row>
    <row r="11">
      <c r="A11" s="57" t="inlineStr">
        <is>
          <t>GxP</t>
        </is>
      </c>
      <c r="B11" s="47" t="inlineStr">
        <is>
          <t>APP-06</t>
        </is>
      </c>
      <c r="C11" s="58">
        <f>IFERROR(INDEX(アプリケーション!$C:$C,MATCH(B11,アプリケーション!$A:$A,0)),"（IDなし）")</f>
        <v/>
      </c>
      <c r="D11" s="59" t="n"/>
      <c r="E11" s="59" t="inlineStr">
        <is>
          <t>C</t>
        </is>
      </c>
      <c r="F11" s="59" t="n"/>
      <c r="G11" s="59" t="n"/>
      <c r="H11" s="59" t="n"/>
      <c r="I11" s="59" t="n"/>
      <c r="J11" s="59" t="n"/>
      <c r="K11" s="59" t="n"/>
      <c r="L11" s="59" t="n"/>
      <c r="M11" s="59" t="n"/>
      <c r="N11" s="59" t="n"/>
      <c r="O11" s="59" t="inlineStr">
        <is>
          <t>R</t>
        </is>
      </c>
      <c r="P11" s="59" t="inlineStr">
        <is>
          <t>R</t>
        </is>
      </c>
      <c r="Q11" s="59" t="n"/>
      <c r="R11" s="59" t="n"/>
      <c r="S11" s="59" t="n"/>
      <c r="T11" s="59" t="n"/>
      <c r="U11" s="59" t="n"/>
      <c r="V11" s="59" t="inlineStr">
        <is>
          <t>R</t>
        </is>
      </c>
      <c r="W11" s="59" t="inlineStr">
        <is>
          <t>R</t>
        </is>
      </c>
      <c r="X11" s="59" t="inlineStr">
        <is>
          <t>R</t>
        </is>
      </c>
      <c r="Y11" s="59" t="n"/>
      <c r="Z11" s="59" t="inlineStr">
        <is>
          <t>C</t>
        </is>
      </c>
      <c r="AA11" s="59" t="n"/>
      <c r="AB11" s="59" t="inlineStr">
        <is>
          <t>C</t>
        </is>
      </c>
      <c r="AC11" s="59" t="inlineStr">
        <is>
          <t>C</t>
        </is>
      </c>
      <c r="AD11" s="59" t="inlineStr">
        <is>
          <t>C</t>
        </is>
      </c>
      <c r="AE11" s="59" t="inlineStr">
        <is>
          <t>C</t>
        </is>
      </c>
      <c r="AF11" s="59" t="inlineStr">
        <is>
          <t>C</t>
        </is>
      </c>
      <c r="AG11" s="59" t="inlineStr">
        <is>
          <t>R</t>
        </is>
      </c>
      <c r="AH11" s="59" t="n"/>
      <c r="AI11" s="59" t="n"/>
      <c r="AJ11" s="59" t="n"/>
      <c r="AK11" s="59" t="n"/>
      <c r="AL11" s="59" t="inlineStr">
        <is>
          <t>R</t>
        </is>
      </c>
      <c r="AM11" s="59" t="n"/>
      <c r="AN11" s="59" t="n"/>
      <c r="AO11" s="59" t="n"/>
      <c r="AP11" s="59" t="inlineStr">
        <is>
          <t>R</t>
        </is>
      </c>
      <c r="AQ11" s="59" t="inlineStr">
        <is>
          <t>R</t>
        </is>
      </c>
      <c r="AR11" s="59" t="inlineStr">
        <is>
          <t>C</t>
        </is>
      </c>
      <c r="AS11" s="59" t="n"/>
      <c r="AT11" s="59" t="n"/>
      <c r="AU11" s="59" t="inlineStr">
        <is>
          <t>R</t>
        </is>
      </c>
      <c r="AV11" s="59" t="n"/>
      <c r="AW11" s="59" t="n"/>
      <c r="AX11" s="59" t="n"/>
      <c r="AY11" s="59" t="n"/>
      <c r="AZ11" s="59" t="n"/>
      <c r="BA11" s="59" t="n"/>
      <c r="BB11" s="54">
        <f>COUNTIF(D11:BA11,"C")</f>
        <v/>
      </c>
      <c r="BC11" s="54">
        <f>COUNTIF(D11:BA11,"R")</f>
        <v/>
      </c>
    </row>
    <row r="12">
      <c r="A12" s="57" t="n"/>
      <c r="B12" s="47" t="inlineStr">
        <is>
          <t>APP-07</t>
        </is>
      </c>
      <c r="C12" s="58">
        <f>IFERROR(INDEX(アプリケーション!$C:$C,MATCH(B12,アプリケーション!$A:$A,0)),"（IDなし）")</f>
        <v/>
      </c>
      <c r="D12" s="59" t="inlineStr">
        <is>
          <t>C</t>
        </is>
      </c>
      <c r="E12" s="59" t="inlineStr">
        <is>
          <t>R</t>
        </is>
      </c>
      <c r="F12" s="59" t="n"/>
      <c r="G12" s="59" t="inlineStr">
        <is>
          <t>R</t>
        </is>
      </c>
      <c r="H12" s="59" t="n"/>
      <c r="I12" s="59" t="inlineStr">
        <is>
          <t>R</t>
        </is>
      </c>
      <c r="J12" s="59" t="n"/>
      <c r="K12" s="59" t="n"/>
      <c r="L12" s="59" t="n"/>
      <c r="M12" s="59" t="n"/>
      <c r="N12" s="59" t="inlineStr">
        <is>
          <t>R</t>
        </is>
      </c>
      <c r="O12" s="59" t="inlineStr">
        <is>
          <t>R</t>
        </is>
      </c>
      <c r="P12" s="59" t="n"/>
      <c r="Q12" s="59" t="n"/>
      <c r="R12" s="59" t="inlineStr">
        <is>
          <t>R</t>
        </is>
      </c>
      <c r="S12" s="59" t="n"/>
      <c r="T12" s="59" t="n"/>
      <c r="U12" s="59" t="inlineStr">
        <is>
          <t>R</t>
        </is>
      </c>
      <c r="V12" s="59" t="inlineStr">
        <is>
          <t>R</t>
        </is>
      </c>
      <c r="W12" s="59" t="inlineStr">
        <is>
          <t>R</t>
        </is>
      </c>
      <c r="X12" s="59" t="inlineStr">
        <is>
          <t>C</t>
        </is>
      </c>
      <c r="Y12" s="59" t="n"/>
      <c r="Z12" s="59" t="inlineStr">
        <is>
          <t>R</t>
        </is>
      </c>
      <c r="AA12" s="59" t="inlineStr">
        <is>
          <t>R</t>
        </is>
      </c>
      <c r="AB12" s="59" t="inlineStr">
        <is>
          <t>R</t>
        </is>
      </c>
      <c r="AC12" s="59" t="inlineStr">
        <is>
          <t>R</t>
        </is>
      </c>
      <c r="AD12" s="59" t="inlineStr">
        <is>
          <t>R</t>
        </is>
      </c>
      <c r="AE12" s="59" t="inlineStr">
        <is>
          <t>R</t>
        </is>
      </c>
      <c r="AF12" s="59" t="inlineStr">
        <is>
          <t>R</t>
        </is>
      </c>
      <c r="AG12" s="59" t="inlineStr">
        <is>
          <t>C</t>
        </is>
      </c>
      <c r="AH12" s="59" t="inlineStr">
        <is>
          <t>C</t>
        </is>
      </c>
      <c r="AI12" s="59" t="inlineStr">
        <is>
          <t>C</t>
        </is>
      </c>
      <c r="AJ12" s="59" t="n"/>
      <c r="AK12" s="59" t="n"/>
      <c r="AL12" s="59" t="inlineStr">
        <is>
          <t>R</t>
        </is>
      </c>
      <c r="AM12" s="59" t="inlineStr">
        <is>
          <t>C</t>
        </is>
      </c>
      <c r="AN12" s="59" t="n"/>
      <c r="AO12" s="59" t="inlineStr">
        <is>
          <t>R</t>
        </is>
      </c>
      <c r="AP12" s="59" t="inlineStr">
        <is>
          <t>C</t>
        </is>
      </c>
      <c r="AQ12" s="59" t="n"/>
      <c r="AR12" s="59" t="inlineStr">
        <is>
          <t>R</t>
        </is>
      </c>
      <c r="AS12" s="59" t="n"/>
      <c r="AT12" s="59" t="n"/>
      <c r="AU12" s="59" t="n"/>
      <c r="AV12" s="59" t="n"/>
      <c r="AW12" s="59" t="n"/>
      <c r="AX12" s="59" t="n"/>
      <c r="AY12" s="59" t="n"/>
      <c r="AZ12" s="59" t="n"/>
      <c r="BA12" s="59" t="inlineStr">
        <is>
          <t>R</t>
        </is>
      </c>
      <c r="BB12" s="54">
        <f>COUNTIF(D12:BA12,"C")</f>
        <v/>
      </c>
      <c r="BC12" s="54">
        <f>COUNTIF(D12:BA12,"R")</f>
        <v/>
      </c>
    </row>
    <row r="13">
      <c r="A13" s="57" t="n"/>
      <c r="B13" s="47" t="inlineStr">
        <is>
          <t>APP-08</t>
        </is>
      </c>
      <c r="C13" s="58">
        <f>IFERROR(INDEX(アプリケーション!$C:$C,MATCH(B13,アプリケーション!$A:$A,0)),"（IDなし）")</f>
        <v/>
      </c>
      <c r="D13" s="59" t="n"/>
      <c r="E13" s="59" t="n"/>
      <c r="F13" s="59" t="n"/>
      <c r="G13" s="59" t="n"/>
      <c r="H13" s="59" t="n"/>
      <c r="I13" s="59" t="n"/>
      <c r="J13" s="59" t="inlineStr">
        <is>
          <t>R</t>
        </is>
      </c>
      <c r="K13" s="59" t="n"/>
      <c r="L13" s="59" t="n"/>
      <c r="M13" s="59" t="n"/>
      <c r="N13" s="59" t="n"/>
      <c r="O13" s="59" t="inlineStr">
        <is>
          <t>R</t>
        </is>
      </c>
      <c r="P13" s="59" t="n"/>
      <c r="Q13" s="59" t="inlineStr">
        <is>
          <t>R</t>
        </is>
      </c>
      <c r="R13" s="59" t="inlineStr">
        <is>
          <t>R</t>
        </is>
      </c>
      <c r="S13" s="59" t="n"/>
      <c r="T13" s="59" t="n"/>
      <c r="U13" s="59" t="n"/>
      <c r="V13" s="59" t="inlineStr">
        <is>
          <t>R</t>
        </is>
      </c>
      <c r="W13" s="59" t="n"/>
      <c r="X13" s="59" t="inlineStr">
        <is>
          <t>R</t>
        </is>
      </c>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inlineStr">
        <is>
          <t>C</t>
        </is>
      </c>
      <c r="BA13" s="59" t="inlineStr">
        <is>
          <t>C</t>
        </is>
      </c>
      <c r="BB13" s="54">
        <f>COUNTIF(D13:BA13,"C")</f>
        <v/>
      </c>
      <c r="BC13" s="54">
        <f>COUNTIF(D13:BA13,"R")</f>
        <v/>
      </c>
    </row>
    <row r="14">
      <c r="A14" s="57" t="inlineStr">
        <is>
          <t>サービス</t>
        </is>
      </c>
      <c r="B14" s="47" t="inlineStr">
        <is>
          <t>APP-09</t>
        </is>
      </c>
      <c r="C14" s="58">
        <f>IFERROR(INDEX(アプリケーション!$C:$C,MATCH(B14,アプリケーション!$A:$A,0)),"（IDなし）")</f>
        <v/>
      </c>
      <c r="D14" s="59" t="inlineStr">
        <is>
          <t>C</t>
        </is>
      </c>
      <c r="E14" s="59" t="inlineStr">
        <is>
          <t>C</t>
        </is>
      </c>
      <c r="F14" s="59" t="n"/>
      <c r="G14" s="59" t="inlineStr">
        <is>
          <t>C</t>
        </is>
      </c>
      <c r="H14" s="59" t="inlineStr">
        <is>
          <t>R</t>
        </is>
      </c>
      <c r="I14" s="59" t="inlineStr">
        <is>
          <t>R</t>
        </is>
      </c>
      <c r="J14" s="59" t="n"/>
      <c r="K14" s="59" t="n"/>
      <c r="L14" s="59" t="n"/>
      <c r="M14" s="59" t="n"/>
      <c r="N14" s="59" t="inlineStr">
        <is>
          <t>R</t>
        </is>
      </c>
      <c r="O14" s="59" t="n"/>
      <c r="P14" s="59" t="n"/>
      <c r="Q14" s="59" t="n"/>
      <c r="R14" s="59" t="inlineStr">
        <is>
          <t>R</t>
        </is>
      </c>
      <c r="S14" s="59" t="n"/>
      <c r="T14" s="59" t="n"/>
      <c r="U14" s="59" t="n"/>
      <c r="V14" s="59" t="n"/>
      <c r="W14" s="59" t="inlineStr">
        <is>
          <t>R</t>
        </is>
      </c>
      <c r="X14" s="59" t="n"/>
      <c r="Y14" s="59" t="n"/>
      <c r="Z14" s="59" t="inlineStr">
        <is>
          <t>C</t>
        </is>
      </c>
      <c r="AA14" s="59" t="inlineStr">
        <is>
          <t>R</t>
        </is>
      </c>
      <c r="AB14" s="59" t="n"/>
      <c r="AC14" s="59" t="n"/>
      <c r="AD14" s="59" t="inlineStr">
        <is>
          <t>R</t>
        </is>
      </c>
      <c r="AE14" s="59" t="inlineStr">
        <is>
          <t>R</t>
        </is>
      </c>
      <c r="AF14" s="59" t="n"/>
      <c r="AG14" s="59" t="inlineStr">
        <is>
          <t>R</t>
        </is>
      </c>
      <c r="AH14" s="59" t="inlineStr">
        <is>
          <t>R</t>
        </is>
      </c>
      <c r="AI14" s="59" t="n"/>
      <c r="AJ14" s="59" t="inlineStr">
        <is>
          <t>C</t>
        </is>
      </c>
      <c r="AK14" s="59" t="inlineStr">
        <is>
          <t>C</t>
        </is>
      </c>
      <c r="AL14" s="59" t="n"/>
      <c r="AM14" s="59" t="inlineStr">
        <is>
          <t>C</t>
        </is>
      </c>
      <c r="AN14" s="59" t="inlineStr">
        <is>
          <t>R</t>
        </is>
      </c>
      <c r="AO14" s="59" t="n"/>
      <c r="AP14" s="59" t="inlineStr">
        <is>
          <t>C</t>
        </is>
      </c>
      <c r="AQ14" s="59" t="inlineStr">
        <is>
          <t>C</t>
        </is>
      </c>
      <c r="AR14" s="59" t="inlineStr">
        <is>
          <t>C</t>
        </is>
      </c>
      <c r="AS14" s="59" t="inlineStr">
        <is>
          <t>C</t>
        </is>
      </c>
      <c r="AT14" s="59" t="inlineStr">
        <is>
          <t>C</t>
        </is>
      </c>
      <c r="AU14" s="59" t="inlineStr">
        <is>
          <t>R</t>
        </is>
      </c>
      <c r="AV14" s="59" t="n"/>
      <c r="AW14" s="59" t="inlineStr">
        <is>
          <t>R</t>
        </is>
      </c>
      <c r="AX14" s="59" t="n"/>
      <c r="AY14" s="59" t="inlineStr">
        <is>
          <t>R</t>
        </is>
      </c>
      <c r="AZ14" s="59" t="n"/>
      <c r="BA14" s="59" t="n"/>
      <c r="BB14" s="54">
        <f>COUNTIF(D14:BA14,"C")</f>
        <v/>
      </c>
      <c r="BC14" s="54">
        <f>COUNTIF(D14:BA14,"R")</f>
        <v/>
      </c>
    </row>
    <row r="15">
      <c r="A15" s="57" t="n"/>
      <c r="B15" s="47" t="inlineStr">
        <is>
          <t>APP-10</t>
        </is>
      </c>
      <c r="C15" s="58">
        <f>IFERROR(INDEX(アプリケーション!$C:$C,MATCH(B15,アプリケーション!$A:$A,0)),"（IDなし）")</f>
        <v/>
      </c>
      <c r="D15" s="59" t="inlineStr">
        <is>
          <t>C</t>
        </is>
      </c>
      <c r="E15" s="59" t="inlineStr">
        <is>
          <t>C</t>
        </is>
      </c>
      <c r="F15" s="59" t="n"/>
      <c r="G15" s="59" t="inlineStr">
        <is>
          <t>C</t>
        </is>
      </c>
      <c r="H15" s="59" t="n"/>
      <c r="I15" s="59" t="inlineStr">
        <is>
          <t>R</t>
        </is>
      </c>
      <c r="J15" s="59" t="n"/>
      <c r="K15" s="59" t="n"/>
      <c r="L15" s="59" t="n"/>
      <c r="M15" s="59" t="n"/>
      <c r="N15" s="59" t="inlineStr">
        <is>
          <t>R</t>
        </is>
      </c>
      <c r="O15" s="59" t="n"/>
      <c r="P15" s="59" t="n"/>
      <c r="Q15" s="59" t="n"/>
      <c r="R15" s="59" t="inlineStr">
        <is>
          <t>R</t>
        </is>
      </c>
      <c r="S15" s="59" t="n"/>
      <c r="T15" s="59" t="n"/>
      <c r="U15" s="59" t="n"/>
      <c r="V15" s="59" t="n"/>
      <c r="W15" s="59" t="inlineStr">
        <is>
          <t>R</t>
        </is>
      </c>
      <c r="X15" s="59" t="n"/>
      <c r="Y15" s="59" t="n"/>
      <c r="Z15" s="59" t="inlineStr">
        <is>
          <t>C</t>
        </is>
      </c>
      <c r="AA15" s="59" t="inlineStr">
        <is>
          <t>R</t>
        </is>
      </c>
      <c r="AB15" s="59" t="n"/>
      <c r="AC15" s="59" t="n"/>
      <c r="AD15" s="59" t="inlineStr">
        <is>
          <t>R</t>
        </is>
      </c>
      <c r="AE15" s="59" t="inlineStr">
        <is>
          <t>R</t>
        </is>
      </c>
      <c r="AF15" s="59" t="n"/>
      <c r="AG15" s="59" t="n"/>
      <c r="AH15" s="59" t="inlineStr">
        <is>
          <t>R</t>
        </is>
      </c>
      <c r="AI15" s="59" t="n"/>
      <c r="AJ15" s="59" t="n"/>
      <c r="AK15" s="59" t="inlineStr">
        <is>
          <t>R</t>
        </is>
      </c>
      <c r="AL15" s="59" t="n"/>
      <c r="AM15" s="59" t="n"/>
      <c r="AN15" s="59" t="n"/>
      <c r="AO15" s="59" t="n"/>
      <c r="AP15" s="59" t="n"/>
      <c r="AQ15" s="59" t="inlineStr">
        <is>
          <t>R</t>
        </is>
      </c>
      <c r="AR15" s="59" t="inlineStr">
        <is>
          <t>C</t>
        </is>
      </c>
      <c r="AS15" s="59" t="n"/>
      <c r="AT15" s="59" t="n"/>
      <c r="AU15" s="59" t="inlineStr">
        <is>
          <t>R</t>
        </is>
      </c>
      <c r="AV15" s="59" t="n"/>
      <c r="AW15" s="59" t="n"/>
      <c r="AX15" s="59" t="n"/>
      <c r="AY15" s="59" t="n"/>
      <c r="AZ15" s="59" t="n"/>
      <c r="BA15" s="59" t="n"/>
      <c r="BB15" s="54">
        <f>COUNTIF(D15:BA15,"C")</f>
        <v/>
      </c>
      <c r="BC15" s="54">
        <f>COUNTIF(D15:BA15,"R")</f>
        <v/>
      </c>
    </row>
    <row r="16">
      <c r="A16" s="57" t="inlineStr">
        <is>
          <t>運用</t>
        </is>
      </c>
      <c r="B16" s="47" t="inlineStr">
        <is>
          <t>APP-11</t>
        </is>
      </c>
      <c r="C16" s="58">
        <f>IFERROR(INDEX(アプリケーション!$C:$C,MATCH(B16,アプリケーション!$A:$A,0)),"（IDなし）")</f>
        <v/>
      </c>
      <c r="D16" s="59" t="n"/>
      <c r="E16" s="59" t="inlineStr">
        <is>
          <t>R</t>
        </is>
      </c>
      <c r="F16" s="59" t="n"/>
      <c r="G16" s="59" t="n"/>
      <c r="H16" s="59" t="n"/>
      <c r="I16" s="59" t="n"/>
      <c r="J16" s="59" t="n"/>
      <c r="K16" s="59" t="n"/>
      <c r="L16" s="59" t="n"/>
      <c r="M16" s="59" t="n"/>
      <c r="N16" s="59" t="n"/>
      <c r="O16" s="59" t="inlineStr">
        <is>
          <t>R</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inlineStr">
        <is>
          <t>R</t>
        </is>
      </c>
      <c r="AK16" s="59" t="n"/>
      <c r="AL16" s="59" t="n"/>
      <c r="AM16" s="59" t="n"/>
      <c r="AN16" s="59" t="inlineStr">
        <is>
          <t>C</t>
        </is>
      </c>
      <c r="AO16" s="59" t="inlineStr">
        <is>
          <t>C</t>
        </is>
      </c>
      <c r="AP16" s="59" t="n"/>
      <c r="AQ16" s="59" t="n"/>
      <c r="AR16" s="59" t="n"/>
      <c r="AS16" s="59" t="n"/>
      <c r="AT16" s="59" t="n"/>
      <c r="AU16" s="59" t="n"/>
      <c r="AV16" s="59" t="n"/>
      <c r="AW16" s="59" t="n"/>
      <c r="AX16" s="59" t="n"/>
      <c r="AY16" s="59" t="n"/>
      <c r="AZ16" s="59" t="n"/>
      <c r="BA16" s="59" t="n"/>
      <c r="BB16" s="54">
        <f>COUNTIF(D16:BA16,"C")</f>
        <v/>
      </c>
      <c r="BC16" s="54">
        <f>COUNTIF(D16:BA16,"R")</f>
        <v/>
      </c>
    </row>
    <row r="17">
      <c r="A17" s="57" t="n"/>
      <c r="B17" s="47" t="inlineStr">
        <is>
          <t>APP-12</t>
        </is>
      </c>
      <c r="C17" s="58">
        <f>IFERROR(INDEX(アプリケーション!$C:$C,MATCH(B17,アプリケーション!$A:$A,0)),"（IDなし）")</f>
        <v/>
      </c>
      <c r="D17" s="59" t="n"/>
      <c r="E17" s="59" t="inlineStr">
        <is>
          <t>R</t>
        </is>
      </c>
      <c r="F17" s="59" t="n"/>
      <c r="G17" s="59" t="n"/>
      <c r="H17" s="59" t="n"/>
      <c r="I17" s="59" t="n"/>
      <c r="J17" s="59" t="n"/>
      <c r="K17" s="59" t="n"/>
      <c r="L17" s="59" t="n"/>
      <c r="M17" s="59" t="n"/>
      <c r="N17" s="59" t="n"/>
      <c r="O17" s="59" t="inlineStr">
        <is>
          <t>R</t>
        </is>
      </c>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inlineStr">
        <is>
          <t>R</t>
        </is>
      </c>
      <c r="AK17" s="59" t="n"/>
      <c r="AL17" s="59" t="n"/>
      <c r="AM17" s="59" t="n"/>
      <c r="AN17" s="59" t="inlineStr">
        <is>
          <t>C</t>
        </is>
      </c>
      <c r="AO17" s="59" t="inlineStr">
        <is>
          <t>C</t>
        </is>
      </c>
      <c r="AP17" s="59" t="n"/>
      <c r="AQ17" s="59" t="n"/>
      <c r="AR17" s="59" t="n"/>
      <c r="AS17" s="59" t="n"/>
      <c r="AT17" s="59" t="n"/>
      <c r="AU17" s="59" t="n"/>
      <c r="AV17" s="59" t="n"/>
      <c r="AW17" s="59" t="n"/>
      <c r="AX17" s="59" t="n"/>
      <c r="AY17" s="59" t="n"/>
      <c r="AZ17" s="59" t="n"/>
      <c r="BA17" s="59" t="n"/>
      <c r="BB17" s="54">
        <f>COUNTIF(D17:BA17,"C")</f>
        <v/>
      </c>
      <c r="BC17" s="54">
        <f>COUNTIF(D17:BA17,"R")</f>
        <v/>
      </c>
    </row>
    <row r="18">
      <c r="A18" s="57" t="inlineStr">
        <is>
          <t>基盤</t>
        </is>
      </c>
      <c r="B18" s="47" t="inlineStr">
        <is>
          <t>APP-13</t>
        </is>
      </c>
      <c r="C18" s="58">
        <f>IFERROR(INDEX(アプリケーション!$C:$C,MATCH(B18,アプリケーション!$A:$A,0)),"（IDなし）")</f>
        <v/>
      </c>
      <c r="D18" s="59" t="inlineStr">
        <is>
          <t>R</t>
        </is>
      </c>
      <c r="E18" s="59" t="inlineStr">
        <is>
          <t>C</t>
        </is>
      </c>
      <c r="F18" s="59" t="n"/>
      <c r="G18" s="59" t="inlineStr">
        <is>
          <t>R</t>
        </is>
      </c>
      <c r="H18" s="59" t="n"/>
      <c r="I18" s="59" t="n"/>
      <c r="J18" s="59" t="n"/>
      <c r="K18" s="59" t="n"/>
      <c r="L18" s="59" t="n"/>
      <c r="M18" s="59" t="n"/>
      <c r="N18" s="59" t="inlineStr">
        <is>
          <t>R</t>
        </is>
      </c>
      <c r="O18" s="59" t="n"/>
      <c r="P18" s="59" t="n"/>
      <c r="Q18" s="59" t="n"/>
      <c r="R18" s="59" t="n"/>
      <c r="S18" s="59" t="n"/>
      <c r="T18" s="59" t="n"/>
      <c r="U18" s="59" t="n"/>
      <c r="V18" s="59" t="n"/>
      <c r="W18" s="59" t="n"/>
      <c r="X18" s="59" t="n"/>
      <c r="Y18" s="59" t="n"/>
      <c r="Z18" s="59" t="n"/>
      <c r="AA18" s="59" t="inlineStr">
        <is>
          <t>R</t>
        </is>
      </c>
      <c r="AB18" s="59" t="n"/>
      <c r="AC18" s="59" t="n"/>
      <c r="AD18" s="59" t="n"/>
      <c r="AE18" s="59" t="inlineStr">
        <is>
          <t>R</t>
        </is>
      </c>
      <c r="AF18" s="59" t="n"/>
      <c r="AG18" s="59" t="n"/>
      <c r="AH18" s="59" t="n"/>
      <c r="AI18" s="59" t="n"/>
      <c r="AJ18" s="59" t="inlineStr">
        <is>
          <t>R</t>
        </is>
      </c>
      <c r="AK18" s="59" t="inlineStr">
        <is>
          <t>R</t>
        </is>
      </c>
      <c r="AL18" s="59" t="n"/>
      <c r="AM18" s="59" t="inlineStr">
        <is>
          <t>R</t>
        </is>
      </c>
      <c r="AN18" s="59" t="inlineStr">
        <is>
          <t>R</t>
        </is>
      </c>
      <c r="AO18" s="59" t="n"/>
      <c r="AP18" s="59" t="inlineStr">
        <is>
          <t>R</t>
        </is>
      </c>
      <c r="AQ18" s="59" t="n"/>
      <c r="AR18" s="59" t="n"/>
      <c r="AS18" s="59" t="n"/>
      <c r="AT18" s="59" t="inlineStr">
        <is>
          <t>R</t>
        </is>
      </c>
      <c r="AU18" s="59" t="n"/>
      <c r="AV18" s="59" t="n"/>
      <c r="AW18" s="59" t="n"/>
      <c r="AX18" s="59" t="n"/>
      <c r="AY18" s="59" t="n"/>
      <c r="AZ18" s="59" t="n"/>
      <c r="BA18" s="59" t="n"/>
      <c r="BB18" s="54">
        <f>COUNTIF(D18:BA18,"C")</f>
        <v/>
      </c>
      <c r="BC18" s="54">
        <f>COUNTIF(D18:BA18,"R")</f>
        <v/>
      </c>
    </row>
    <row r="19">
      <c r="A19" s="57" t="n"/>
      <c r="B19" s="47" t="inlineStr">
        <is>
          <t>APP-14</t>
        </is>
      </c>
      <c r="C19" s="58">
        <f>IFERROR(INDEX(アプリケーション!$C:$C,MATCH(B19,アプリケーション!$A:$A,0)),"（IDなし）")</f>
        <v/>
      </c>
      <c r="D19" s="59" t="n"/>
      <c r="E19" s="59" t="inlineStr">
        <is>
          <t>R</t>
        </is>
      </c>
      <c r="F19" s="59" t="n"/>
      <c r="G19" s="59" t="n"/>
      <c r="H19" s="59" t="n"/>
      <c r="I19" s="59" t="n"/>
      <c r="J19" s="59" t="n"/>
      <c r="K19" s="59" t="n"/>
      <c r="L19" s="59" t="n"/>
      <c r="M19" s="59" t="n"/>
      <c r="N19" s="59" t="inlineStr">
        <is>
          <t>R</t>
        </is>
      </c>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inlineStr">
        <is>
          <t>R</t>
        </is>
      </c>
      <c r="AL19" s="59" t="n"/>
      <c r="AM19" s="59" t="inlineStr">
        <is>
          <t>R</t>
        </is>
      </c>
      <c r="AN19" s="59" t="n"/>
      <c r="AO19" s="59" t="n"/>
      <c r="AP19" s="59" t="inlineStr">
        <is>
          <t>R</t>
        </is>
      </c>
      <c r="AQ19" s="59" t="n"/>
      <c r="AR19" s="59" t="n"/>
      <c r="AS19" s="59" t="n"/>
      <c r="AT19" s="59" t="inlineStr">
        <is>
          <t>R</t>
        </is>
      </c>
      <c r="AU19" s="59" t="n"/>
      <c r="AV19" s="59" t="n"/>
      <c r="AW19" s="59" t="n"/>
      <c r="AX19" s="59" t="n"/>
      <c r="AY19" s="59" t="n"/>
      <c r="AZ19" s="59" t="n"/>
      <c r="BA19" s="59" t="n"/>
      <c r="BB19" s="54">
        <f>COUNTIF(D19:BA19,"C")</f>
        <v/>
      </c>
      <c r="BC19" s="54">
        <f>COUNTIF(D19:BA19,"R")</f>
        <v/>
      </c>
    </row>
    <row r="20">
      <c r="A20" s="57" t="n"/>
      <c r="B20" s="47" t="inlineStr">
        <is>
          <t>APP-15</t>
        </is>
      </c>
      <c r="C20" s="58">
        <f>IFERROR(INDEX(アプリケーション!$C:$C,MATCH(B20,アプリケーション!$A:$A,0)),"（IDなし）")</f>
        <v/>
      </c>
      <c r="D20" s="59" t="n"/>
      <c r="E20" s="59" t="inlineStr">
        <is>
          <t>R</t>
        </is>
      </c>
      <c r="F20" s="59" t="inlineStr">
        <is>
          <t>C</t>
        </is>
      </c>
      <c r="G20" s="59" t="n"/>
      <c r="H20" s="59" t="inlineStr">
        <is>
          <t>R</t>
        </is>
      </c>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inlineStr">
        <is>
          <t>R</t>
        </is>
      </c>
      <c r="AL20" s="59" t="inlineStr">
        <is>
          <t>R</t>
        </is>
      </c>
      <c r="AM20" s="59" t="n"/>
      <c r="AN20" s="59" t="inlineStr">
        <is>
          <t>R</t>
        </is>
      </c>
      <c r="AO20" s="59" t="n"/>
      <c r="AP20" s="59" t="n"/>
      <c r="AQ20" s="59" t="n"/>
      <c r="AR20" s="59" t="n"/>
      <c r="AS20" s="59" t="n"/>
      <c r="AT20" s="59" t="n"/>
      <c r="AU20" s="59" t="inlineStr">
        <is>
          <t>R</t>
        </is>
      </c>
      <c r="AV20" s="59" t="n"/>
      <c r="AW20" s="59" t="n"/>
      <c r="AX20" s="59" t="n"/>
      <c r="AY20" s="59" t="n"/>
      <c r="AZ20" s="59" t="n"/>
      <c r="BA20" s="59" t="n"/>
      <c r="BB20" s="54">
        <f>COUNTIF(D20:BA20,"C")</f>
        <v/>
      </c>
      <c r="BC20" s="54">
        <f>COUNTIF(D20:BA20,"R")</f>
        <v/>
      </c>
    </row>
    <row r="21">
      <c r="A21" s="57" t="n"/>
      <c r="B21" s="47" t="inlineStr">
        <is>
          <t>APP-16</t>
        </is>
      </c>
      <c r="C21" s="58">
        <f>IFERROR(INDEX(アプリケーション!$C:$C,MATCH(B21,アプリケーション!$A:$A,0)),"（IDなし）")</f>
        <v/>
      </c>
      <c r="D21" s="59" t="n"/>
      <c r="E21" s="59" t="inlineStr">
        <is>
          <t>R</t>
        </is>
      </c>
      <c r="F21" s="59" t="inlineStr">
        <is>
          <t>C</t>
        </is>
      </c>
      <c r="G21" s="59" t="n"/>
      <c r="H21" s="59" t="inlineStr">
        <is>
          <t>R</t>
        </is>
      </c>
      <c r="I21" s="59" t="n"/>
      <c r="J21" s="59"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inlineStr">
        <is>
          <t>R</t>
        </is>
      </c>
      <c r="AL21" s="59" t="inlineStr">
        <is>
          <t>R</t>
        </is>
      </c>
      <c r="AM21" s="59" t="n"/>
      <c r="AN21" s="59" t="inlineStr">
        <is>
          <t>R</t>
        </is>
      </c>
      <c r="AO21" s="59" t="n"/>
      <c r="AP21" s="59" t="n"/>
      <c r="AQ21" s="59" t="n"/>
      <c r="AR21" s="59" t="n"/>
      <c r="AS21" s="59" t="n"/>
      <c r="AT21" s="59" t="n"/>
      <c r="AU21" s="59" t="inlineStr">
        <is>
          <t>R</t>
        </is>
      </c>
      <c r="AV21" s="59" t="n"/>
      <c r="AW21" s="59" t="n"/>
      <c r="AX21" s="59" t="n"/>
      <c r="AY21" s="59" t="n"/>
      <c r="AZ21" s="59" t="n"/>
      <c r="BA21" s="59" t="n"/>
      <c r="BB21" s="54">
        <f>COUNTIF(D21:BA21,"C")</f>
        <v/>
      </c>
      <c r="BC21" s="54">
        <f>COUNTIF(D21:BA21,"R")</f>
        <v/>
      </c>
    </row>
    <row r="22">
      <c r="A22" s="57" t="n"/>
      <c r="B22" s="47" t="inlineStr">
        <is>
          <t>APP-17</t>
        </is>
      </c>
      <c r="C22" s="58">
        <f>IFERROR(INDEX(アプリケーション!$C:$C,MATCH(B22,アプリケーション!$A:$A,0)),"（IDなし）")</f>
        <v/>
      </c>
      <c r="D22" s="59" t="n"/>
      <c r="E22" s="59" t="n"/>
      <c r="F22" s="59" t="inlineStr">
        <is>
          <t>C</t>
        </is>
      </c>
      <c r="G22" s="59" t="n"/>
      <c r="H22" s="59" t="inlineStr">
        <is>
          <t>R</t>
        </is>
      </c>
      <c r="I22" s="59" t="n"/>
      <c r="J22" s="59" t="n"/>
      <c r="K22" s="59" t="n"/>
      <c r="L22" s="59" t="n"/>
      <c r="M22" s="59" t="n"/>
      <c r="N22" s="59" t="n"/>
      <c r="O22" s="59" t="n"/>
      <c r="P22" s="59" t="n"/>
      <c r="Q22" s="59" t="n"/>
      <c r="R22" s="59" t="n"/>
      <c r="S22" s="59" t="n"/>
      <c r="T22" s="59" t="inlineStr">
        <is>
          <t>C</t>
        </is>
      </c>
      <c r="U22" s="59" t="n"/>
      <c r="V22" s="59" t="n"/>
      <c r="W22" s="59" t="n"/>
      <c r="X22" s="59" t="n"/>
      <c r="Y22" s="59" t="n"/>
      <c r="Z22" s="59" t="n"/>
      <c r="AA22" s="59" t="n"/>
      <c r="AB22" s="59" t="n"/>
      <c r="AC22" s="59" t="n"/>
      <c r="AD22" s="59" t="n"/>
      <c r="AE22" s="59" t="n"/>
      <c r="AF22" s="59" t="n"/>
      <c r="AG22" s="59" t="n"/>
      <c r="AH22" s="59" t="n"/>
      <c r="AI22" s="59" t="n"/>
      <c r="AJ22" s="59" t="n"/>
      <c r="AK22" s="59" t="inlineStr">
        <is>
          <t>R</t>
        </is>
      </c>
      <c r="AL22" s="59" t="n"/>
      <c r="AM22" s="59" t="n"/>
      <c r="AN22" s="59" t="n"/>
      <c r="AO22" s="59" t="n"/>
      <c r="AP22" s="59" t="n"/>
      <c r="AQ22" s="59" t="n"/>
      <c r="AR22" s="59" t="n"/>
      <c r="AS22" s="59" t="n"/>
      <c r="AT22" s="59" t="n"/>
      <c r="AU22" s="59" t="n"/>
      <c r="AV22" s="59" t="n"/>
      <c r="AW22" s="59" t="n"/>
      <c r="AX22" s="59" t="n"/>
      <c r="AY22" s="59" t="n"/>
      <c r="AZ22" s="59" t="n"/>
      <c r="BA22" s="59" t="n"/>
      <c r="BB22" s="54">
        <f>COUNTIF(D22:BA22,"C")</f>
        <v/>
      </c>
      <c r="BC22" s="54">
        <f>COUNTIF(D22:BA22,"R")</f>
        <v/>
      </c>
    </row>
    <row r="23">
      <c r="A23" s="57" t="inlineStr">
        <is>
          <t>セキュリティ</t>
        </is>
      </c>
      <c r="B23" s="47" t="inlineStr">
        <is>
          <t>APP-18</t>
        </is>
      </c>
      <c r="C23" s="58">
        <f>IFERROR(INDEX(アプリケーション!$C:$C,MATCH(B23,アプリケーション!$A:$A,0)),"（IDなし）")</f>
        <v/>
      </c>
      <c r="D23" s="59" t="n"/>
      <c r="E23" s="59" t="inlineStr">
        <is>
          <t>R</t>
        </is>
      </c>
      <c r="F23" s="59" t="n"/>
      <c r="G23" s="59" t="n"/>
      <c r="H23" s="59" t="inlineStr">
        <is>
          <t>C</t>
        </is>
      </c>
      <c r="I23" s="59" t="n"/>
      <c r="J23" s="59" t="n"/>
      <c r="K23" s="59" t="n"/>
      <c r="L23" s="59" t="n"/>
      <c r="M23" s="59" t="n"/>
      <c r="N23" s="59" t="n"/>
      <c r="O23" s="59" t="n"/>
      <c r="P23" s="59" t="n"/>
      <c r="Q23" s="59" t="n"/>
      <c r="R23" s="59" t="n"/>
      <c r="S23" s="59" t="n"/>
      <c r="T23" s="59" t="n"/>
      <c r="U23" s="59" t="n"/>
      <c r="V23" s="59" t="n"/>
      <c r="W23" s="59" t="n"/>
      <c r="X23" s="59" t="n"/>
      <c r="Y23" s="59" t="n"/>
      <c r="Z23" s="59" t="inlineStr">
        <is>
          <t>R</t>
        </is>
      </c>
      <c r="AA23" s="59" t="n"/>
      <c r="AB23" s="59" t="n"/>
      <c r="AC23" s="59" t="n"/>
      <c r="AD23" s="59" t="inlineStr">
        <is>
          <t>R</t>
        </is>
      </c>
      <c r="AE23" s="59" t="n"/>
      <c r="AF23" s="59" t="n"/>
      <c r="AG23" s="59" t="n"/>
      <c r="AH23" s="59" t="n"/>
      <c r="AI23" s="59" t="n"/>
      <c r="AJ23" s="59" t="n"/>
      <c r="AK23" s="59" t="inlineStr">
        <is>
          <t>R</t>
        </is>
      </c>
      <c r="AL23" s="59" t="inlineStr">
        <is>
          <t>C</t>
        </is>
      </c>
      <c r="AM23" s="59" t="n"/>
      <c r="AN23" s="59" t="n"/>
      <c r="AO23" s="59" t="n"/>
      <c r="AP23" s="59" t="n"/>
      <c r="AQ23" s="59" t="n"/>
      <c r="AR23" s="59" t="inlineStr">
        <is>
          <t>R</t>
        </is>
      </c>
      <c r="AS23" s="59" t="n"/>
      <c r="AT23" s="59" t="n"/>
      <c r="AU23" s="59" t="n"/>
      <c r="AV23" s="59" t="n"/>
      <c r="AW23" s="59" t="n"/>
      <c r="AX23" s="59" t="n"/>
      <c r="AY23" s="59" t="n"/>
      <c r="AZ23" s="59" t="n"/>
      <c r="BA23" s="59" t="n"/>
      <c r="BB23" s="54">
        <f>COUNTIF(D23:BA23,"C")</f>
        <v/>
      </c>
      <c r="BC23" s="54">
        <f>COUNTIF(D23:BA23,"R")</f>
        <v/>
      </c>
    </row>
    <row r="24">
      <c r="A24" s="57" t="n"/>
      <c r="B24" s="47" t="inlineStr">
        <is>
          <t>APP-19</t>
        </is>
      </c>
      <c r="C24" s="58">
        <f>IFERROR(INDEX(アプリケーション!$C:$C,MATCH(B24,アプリケーション!$A:$A,0)),"（IDなし）")</f>
        <v/>
      </c>
      <c r="D24" s="59" t="n"/>
      <c r="E24" s="59" t="inlineStr">
        <is>
          <t>R</t>
        </is>
      </c>
      <c r="F24" s="59" t="n"/>
      <c r="G24" s="59" t="n"/>
      <c r="H24" s="59" t="inlineStr">
        <is>
          <t>C</t>
        </is>
      </c>
      <c r="I24" s="59" t="n"/>
      <c r="J24" s="59" t="n"/>
      <c r="K24" s="59" t="n"/>
      <c r="L24" s="59" t="n"/>
      <c r="M24" s="59" t="n"/>
      <c r="N24" s="59" t="n"/>
      <c r="O24" s="59" t="n"/>
      <c r="P24" s="59" t="n"/>
      <c r="Q24" s="59" t="n"/>
      <c r="R24" s="59" t="n"/>
      <c r="S24" s="59" t="n"/>
      <c r="T24" s="59" t="n"/>
      <c r="U24" s="59" t="n"/>
      <c r="V24" s="59" t="n"/>
      <c r="W24" s="59" t="n"/>
      <c r="X24" s="59" t="n"/>
      <c r="Y24" s="59" t="n"/>
      <c r="Z24" s="59" t="inlineStr">
        <is>
          <t>R</t>
        </is>
      </c>
      <c r="AA24" s="59" t="n"/>
      <c r="AB24" s="59" t="n"/>
      <c r="AC24" s="59" t="n"/>
      <c r="AD24" s="59" t="inlineStr">
        <is>
          <t>R</t>
        </is>
      </c>
      <c r="AE24" s="59" t="n"/>
      <c r="AF24" s="59" t="n"/>
      <c r="AG24" s="59" t="n"/>
      <c r="AH24" s="59" t="n"/>
      <c r="AI24" s="59" t="n"/>
      <c r="AJ24" s="59" t="n"/>
      <c r="AK24" s="59" t="inlineStr">
        <is>
          <t>R</t>
        </is>
      </c>
      <c r="AL24" s="59" t="inlineStr">
        <is>
          <t>C</t>
        </is>
      </c>
      <c r="AM24" s="59" t="n"/>
      <c r="AN24" s="59" t="n"/>
      <c r="AO24" s="59" t="n"/>
      <c r="AP24" s="59" t="n"/>
      <c r="AQ24" s="59" t="n"/>
      <c r="AR24" s="59" t="inlineStr">
        <is>
          <t>R</t>
        </is>
      </c>
      <c r="AS24" s="59" t="n"/>
      <c r="AT24" s="59" t="n"/>
      <c r="AU24" s="59" t="n"/>
      <c r="AV24" s="59" t="n"/>
      <c r="AW24" s="59" t="n"/>
      <c r="AX24" s="59" t="n"/>
      <c r="AY24" s="59" t="n"/>
      <c r="AZ24" s="59" t="n"/>
      <c r="BA24" s="59" t="n"/>
      <c r="BB24" s="54">
        <f>COUNTIF(D24:BA24,"C")</f>
        <v/>
      </c>
      <c r="BC24" s="54">
        <f>COUNTIF(D24:BA24,"R")</f>
        <v/>
      </c>
    </row>
    <row r="25">
      <c r="A25" s="57" t="n"/>
      <c r="B25" s="47" t="inlineStr">
        <is>
          <t>APP-20</t>
        </is>
      </c>
      <c r="C25" s="58">
        <f>IFERROR(INDEX(アプリケーション!$C:$C,MATCH(B25,アプリケーション!$A:$A,0)),"（IDなし）")</f>
        <v/>
      </c>
      <c r="D25" s="59" t="n"/>
      <c r="E25" s="59" t="inlineStr">
        <is>
          <t>R</t>
        </is>
      </c>
      <c r="F25" s="59" t="n"/>
      <c r="G25" s="59" t="n"/>
      <c r="H25" s="59" t="n"/>
      <c r="I25" s="59" t="n"/>
      <c r="J25" s="59"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c r="AH25" s="59" t="n"/>
      <c r="AI25" s="59" t="inlineStr">
        <is>
          <t>R</t>
        </is>
      </c>
      <c r="AJ25" s="59" t="n"/>
      <c r="AK25" s="59" t="n"/>
      <c r="AL25" s="59" t="n"/>
      <c r="AM25" s="59" t="n"/>
      <c r="AN25" s="59" t="inlineStr">
        <is>
          <t>C</t>
        </is>
      </c>
      <c r="AO25" s="59" t="n"/>
      <c r="AP25" s="59" t="inlineStr">
        <is>
          <t>R</t>
        </is>
      </c>
      <c r="AQ25" s="59" t="n"/>
      <c r="AR25" s="59" t="inlineStr">
        <is>
          <t>C</t>
        </is>
      </c>
      <c r="AS25" s="59" t="n"/>
      <c r="AT25" s="59" t="n"/>
      <c r="AU25" s="59" t="inlineStr">
        <is>
          <t>C</t>
        </is>
      </c>
      <c r="AV25" s="59" t="inlineStr">
        <is>
          <t>C</t>
        </is>
      </c>
      <c r="AW25" s="59" t="n"/>
      <c r="AX25" s="59" t="n"/>
      <c r="AY25" s="59" t="n"/>
      <c r="AZ25" s="59" t="n"/>
      <c r="BA25" s="59" t="n"/>
      <c r="BB25" s="54">
        <f>COUNTIF(D25:BA25,"C")</f>
        <v/>
      </c>
      <c r="BC25" s="54">
        <f>COUNTIF(D25:BA25,"R")</f>
        <v/>
      </c>
    </row>
    <row r="26">
      <c r="A26" s="57" t="n"/>
      <c r="B26" s="47" t="inlineStr">
        <is>
          <t>APP-21</t>
        </is>
      </c>
      <c r="C26" s="58">
        <f>IFERROR(INDEX(アプリケーション!$C:$C,MATCH(B26,アプリケーション!$A:$A,0)),"（IDなし）")</f>
        <v/>
      </c>
      <c r="D26" s="59" t="n"/>
      <c r="E26" s="59" t="inlineStr">
        <is>
          <t>R</t>
        </is>
      </c>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inlineStr">
        <is>
          <t>R</t>
        </is>
      </c>
      <c r="AJ26" s="59" t="n"/>
      <c r="AK26" s="59" t="n"/>
      <c r="AL26" s="59" t="n"/>
      <c r="AM26" s="59" t="n"/>
      <c r="AN26" s="59" t="inlineStr">
        <is>
          <t>C</t>
        </is>
      </c>
      <c r="AO26" s="59" t="n"/>
      <c r="AP26" s="59" t="inlineStr">
        <is>
          <t>R</t>
        </is>
      </c>
      <c r="AQ26" s="59" t="n"/>
      <c r="AR26" s="59" t="inlineStr">
        <is>
          <t>C</t>
        </is>
      </c>
      <c r="AS26" s="59" t="n"/>
      <c r="AT26" s="59" t="n"/>
      <c r="AU26" s="59" t="inlineStr">
        <is>
          <t>C</t>
        </is>
      </c>
      <c r="AV26" s="59" t="inlineStr">
        <is>
          <t>C</t>
        </is>
      </c>
      <c r="AW26" s="59" t="n"/>
      <c r="AX26" s="59" t="n"/>
      <c r="AY26" s="59" t="n"/>
      <c r="AZ26" s="59" t="n"/>
      <c r="BA26" s="59" t="n"/>
      <c r="BB26" s="54">
        <f>COUNTIF(D26:BA26,"C")</f>
        <v/>
      </c>
      <c r="BC26" s="54">
        <f>COUNTIF(D26:BA26,"R")</f>
        <v/>
      </c>
    </row>
    <row r="27">
      <c r="A27" s="57" t="inlineStr">
        <is>
          <t>データ</t>
        </is>
      </c>
      <c r="B27" s="47" t="inlineStr">
        <is>
          <t>APP-22</t>
        </is>
      </c>
      <c r="C27" s="58">
        <f>IFERROR(INDEX(アプリケーション!$C:$C,MATCH(B27,アプリケーション!$A:$A,0)),"（IDなし）")</f>
        <v/>
      </c>
      <c r="D27" s="59" t="inlineStr">
        <is>
          <t>R</t>
        </is>
      </c>
      <c r="E27" s="59" t="inlineStr">
        <is>
          <t>R</t>
        </is>
      </c>
      <c r="F27" s="59" t="n"/>
      <c r="G27" s="59" t="n"/>
      <c r="H27" s="59" t="n"/>
      <c r="I27" s="59" t="inlineStr">
        <is>
          <t>C</t>
        </is>
      </c>
      <c r="J27" s="59" t="n"/>
      <c r="K27" s="59" t="n"/>
      <c r="L27" s="59" t="inlineStr">
        <is>
          <t>R</t>
        </is>
      </c>
      <c r="M27" s="59" t="inlineStr">
        <is>
          <t>R</t>
        </is>
      </c>
      <c r="N27" s="59" t="inlineStr">
        <is>
          <t>R</t>
        </is>
      </c>
      <c r="O27" s="59" t="n"/>
      <c r="P27" s="59" t="n"/>
      <c r="Q27" s="59" t="n"/>
      <c r="R27" s="59" t="n"/>
      <c r="S27" s="59" t="n"/>
      <c r="T27" s="59" t="n"/>
      <c r="U27" s="59" t="n"/>
      <c r="V27" s="59" t="n"/>
      <c r="W27" s="59" t="inlineStr">
        <is>
          <t>R</t>
        </is>
      </c>
      <c r="X27" s="59" t="inlineStr">
        <is>
          <t>R</t>
        </is>
      </c>
      <c r="Y27" s="59" t="inlineStr">
        <is>
          <t>R</t>
        </is>
      </c>
      <c r="Z27" s="59" t="inlineStr">
        <is>
          <t>R</t>
        </is>
      </c>
      <c r="AA27" s="59" t="inlineStr">
        <is>
          <t>R</t>
        </is>
      </c>
      <c r="AB27" s="59" t="n"/>
      <c r="AC27" s="59" t="n"/>
      <c r="AD27" s="59" t="n"/>
      <c r="AE27" s="59" t="n"/>
      <c r="AF27" s="59" t="n"/>
      <c r="AG27" s="59" t="n"/>
      <c r="AH27" s="59" t="n"/>
      <c r="AI27" s="59" t="n"/>
      <c r="AJ27" s="59" t="inlineStr">
        <is>
          <t>R</t>
        </is>
      </c>
      <c r="AK27" s="59" t="n"/>
      <c r="AL27" s="59" t="n"/>
      <c r="AM27" s="59" t="n"/>
      <c r="AN27" s="59" t="inlineStr">
        <is>
          <t>R</t>
        </is>
      </c>
      <c r="AO27" s="59" t="n"/>
      <c r="AP27" s="59" t="inlineStr">
        <is>
          <t>R</t>
        </is>
      </c>
      <c r="AQ27" s="59" t="n"/>
      <c r="AR27" s="59" t="n"/>
      <c r="AS27" s="59" t="inlineStr">
        <is>
          <t>R</t>
        </is>
      </c>
      <c r="AT27" s="59" t="n"/>
      <c r="AU27" s="59" t="n"/>
      <c r="AV27" s="59" t="n"/>
      <c r="AW27" s="59" t="n"/>
      <c r="AX27" s="59" t="n"/>
      <c r="AY27" s="59" t="n"/>
      <c r="AZ27" s="59" t="n"/>
      <c r="BA27" s="59" t="n"/>
      <c r="BB27" s="54">
        <f>COUNTIF(D27:BA27,"C")</f>
        <v/>
      </c>
      <c r="BC27" s="54">
        <f>COUNTIF(D27:BA27,"R")</f>
        <v/>
      </c>
    </row>
    <row r="28">
      <c r="A28" s="57" t="n"/>
      <c r="B28" s="47" t="inlineStr">
        <is>
          <t>APP-23</t>
        </is>
      </c>
      <c r="C28" s="58">
        <f>IFERROR(INDEX(アプリケーション!$C:$C,MATCH(B28,アプリケーション!$A:$A,0)),"（IDなし）")</f>
        <v/>
      </c>
      <c r="D28" s="59" t="inlineStr">
        <is>
          <t>R</t>
        </is>
      </c>
      <c r="E28" s="59" t="inlineStr">
        <is>
          <t>R</t>
        </is>
      </c>
      <c r="F28" s="59" t="n"/>
      <c r="G28" s="59" t="n"/>
      <c r="H28" s="59" t="n"/>
      <c r="I28" s="59" t="inlineStr">
        <is>
          <t>C</t>
        </is>
      </c>
      <c r="J28" s="59" t="n"/>
      <c r="K28" s="59" t="n"/>
      <c r="L28" s="59" t="inlineStr">
        <is>
          <t>R</t>
        </is>
      </c>
      <c r="M28" s="59" t="inlineStr">
        <is>
          <t>R</t>
        </is>
      </c>
      <c r="N28" s="59" t="inlineStr">
        <is>
          <t>R</t>
        </is>
      </c>
      <c r="O28" s="59" t="n"/>
      <c r="P28" s="59" t="n"/>
      <c r="Q28" s="59" t="n"/>
      <c r="R28" s="59" t="n"/>
      <c r="S28" s="59" t="n"/>
      <c r="T28" s="59" t="n"/>
      <c r="U28" s="59" t="n"/>
      <c r="V28" s="59" t="n"/>
      <c r="W28" s="59" t="inlineStr">
        <is>
          <t>R</t>
        </is>
      </c>
      <c r="X28" s="59" t="inlineStr">
        <is>
          <t>R</t>
        </is>
      </c>
      <c r="Y28" s="59" t="inlineStr">
        <is>
          <t>R</t>
        </is>
      </c>
      <c r="Z28" s="59" t="inlineStr">
        <is>
          <t>R</t>
        </is>
      </c>
      <c r="AA28" s="59" t="inlineStr">
        <is>
          <t>R</t>
        </is>
      </c>
      <c r="AB28" s="59" t="n"/>
      <c r="AC28" s="59" t="n"/>
      <c r="AD28" s="59" t="n"/>
      <c r="AE28" s="59" t="n"/>
      <c r="AF28" s="59" t="n"/>
      <c r="AG28" s="59" t="n"/>
      <c r="AH28" s="59" t="n"/>
      <c r="AI28" s="59" t="n"/>
      <c r="AJ28" s="59" t="inlineStr">
        <is>
          <t>R</t>
        </is>
      </c>
      <c r="AK28" s="59" t="n"/>
      <c r="AL28" s="59" t="n"/>
      <c r="AM28" s="59" t="n"/>
      <c r="AN28" s="59" t="inlineStr">
        <is>
          <t>R</t>
        </is>
      </c>
      <c r="AO28" s="59" t="n"/>
      <c r="AP28" s="59" t="inlineStr">
        <is>
          <t>R</t>
        </is>
      </c>
      <c r="AQ28" s="59" t="n"/>
      <c r="AR28" s="59" t="n"/>
      <c r="AS28" s="59" t="inlineStr">
        <is>
          <t>R</t>
        </is>
      </c>
      <c r="AT28" s="59" t="n"/>
      <c r="AU28" s="59" t="n"/>
      <c r="AV28" s="59" t="n"/>
      <c r="AW28" s="59" t="n"/>
      <c r="AX28" s="59" t="n"/>
      <c r="AY28" s="59" t="n"/>
      <c r="AZ28" s="59" t="n"/>
      <c r="BA28" s="59" t="n"/>
      <c r="BB28" s="54">
        <f>COUNTIF(D28:BA28,"C")</f>
        <v/>
      </c>
      <c r="BC28" s="54">
        <f>COUNTIF(D28:BA28,"R")</f>
        <v/>
      </c>
    </row>
    <row r="29">
      <c r="A29" s="57" t="n"/>
      <c r="B29" s="47" t="inlineStr">
        <is>
          <t>APP-24</t>
        </is>
      </c>
      <c r="C29" s="58">
        <f>IFERROR(INDEX(アプリケーション!$C:$C,MATCH(B29,アプリケーション!$A:$A,0)),"（IDなし）")</f>
        <v/>
      </c>
      <c r="D29" s="59" t="n"/>
      <c r="E29" s="59" t="n"/>
      <c r="F29" s="59" t="n"/>
      <c r="G29" s="59" t="n"/>
      <c r="H29" s="59" t="n"/>
      <c r="I29" s="59" t="n"/>
      <c r="J29" s="59" t="n"/>
      <c r="K29" s="59" t="n"/>
      <c r="L29" s="59" t="n"/>
      <c r="M29" s="59" t="n"/>
      <c r="N29" s="59" t="n"/>
      <c r="O29" s="59" t="inlineStr">
        <is>
          <t>R</t>
        </is>
      </c>
      <c r="P29" s="59" t="n"/>
      <c r="Q29" s="59" t="n"/>
      <c r="R29" s="59" t="n"/>
      <c r="S29" s="59" t="n"/>
      <c r="T29" s="59" t="n"/>
      <c r="U29" s="59" t="n"/>
      <c r="V29" s="59" t="n"/>
      <c r="W29" s="59" t="inlineStr">
        <is>
          <t>R</t>
        </is>
      </c>
      <c r="X29" s="59" t="inlineStr">
        <is>
          <t>R</t>
        </is>
      </c>
      <c r="Y29" s="59" t="n"/>
      <c r="Z29" s="59" t="n"/>
      <c r="AA29" s="59" t="n"/>
      <c r="AB29" s="59" t="n"/>
      <c r="AC29" s="59" t="inlineStr">
        <is>
          <t>R</t>
        </is>
      </c>
      <c r="AD29" s="59" t="n"/>
      <c r="AE29" s="59" t="n"/>
      <c r="AF29" s="59" t="n"/>
      <c r="AG29" s="59" t="n"/>
      <c r="AH29" s="59" t="n"/>
      <c r="AI29" s="59" t="inlineStr">
        <is>
          <t>C</t>
        </is>
      </c>
      <c r="AJ29" s="59" t="n"/>
      <c r="AK29" s="59" t="n"/>
      <c r="AL29" s="59" t="n"/>
      <c r="AM29" s="59" t="n"/>
      <c r="AN29" s="59" t="inlineStr">
        <is>
          <t>R</t>
        </is>
      </c>
      <c r="AO29" s="59" t="n"/>
      <c r="AP29" s="59" t="inlineStr">
        <is>
          <t>R</t>
        </is>
      </c>
      <c r="AQ29" s="59" t="n"/>
      <c r="AR29" s="59" t="n"/>
      <c r="AS29" s="59" t="n"/>
      <c r="AT29" s="59" t="n"/>
      <c r="AU29" s="59" t="n"/>
      <c r="AV29" s="59" t="inlineStr">
        <is>
          <t>C</t>
        </is>
      </c>
      <c r="AW29" s="59" t="n"/>
      <c r="AX29" s="59" t="n"/>
      <c r="AY29" s="59" t="n"/>
      <c r="AZ29" s="59" t="n"/>
      <c r="BA29" s="59" t="n"/>
      <c r="BB29" s="54">
        <f>COUNTIF(D29:BA29,"C")</f>
        <v/>
      </c>
      <c r="BC29" s="54">
        <f>COUNTIF(D29:BA29,"R")</f>
        <v/>
      </c>
    </row>
    <row r="30">
      <c r="A30" s="57" t="inlineStr">
        <is>
          <t>共通</t>
        </is>
      </c>
      <c r="B30" s="47" t="inlineStr">
        <is>
          <t>APP-25</t>
        </is>
      </c>
      <c r="C30" s="58">
        <f>IFERROR(INDEX(アプリケーション!$C:$C,MATCH(B30,アプリケーション!$A:$A,0)),"（IDなし）")</f>
        <v/>
      </c>
      <c r="D30" s="59" t="n"/>
      <c r="E30" s="59" t="inlineStr">
        <is>
          <t>R</t>
        </is>
      </c>
      <c r="F30" s="59" t="n"/>
      <c r="G30" s="59" t="n"/>
      <c r="H30" s="59" t="inlineStr">
        <is>
          <t>R</t>
        </is>
      </c>
      <c r="I30" s="59" t="n"/>
      <c r="J30" s="59" t="inlineStr">
        <is>
          <t>R</t>
        </is>
      </c>
      <c r="K30" s="59" t="n"/>
      <c r="L30" s="59" t="n"/>
      <c r="M30" s="59" t="inlineStr">
        <is>
          <t>R</t>
        </is>
      </c>
      <c r="N30" s="59" t="inlineStr">
        <is>
          <t>R</t>
        </is>
      </c>
      <c r="O30" s="59" t="inlineStr">
        <is>
          <t>C</t>
        </is>
      </c>
      <c r="P30" s="59" t="inlineStr">
        <is>
          <t>R</t>
        </is>
      </c>
      <c r="Q30" s="59" t="inlineStr">
        <is>
          <t>R</t>
        </is>
      </c>
      <c r="R30" s="59" t="inlineStr">
        <is>
          <t>R</t>
        </is>
      </c>
      <c r="S30" s="59" t="n"/>
      <c r="T30" s="59" t="n"/>
      <c r="U30" s="59" t="inlineStr">
        <is>
          <t>C</t>
        </is>
      </c>
      <c r="V30" s="59" t="n"/>
      <c r="W30" s="59" t="inlineStr">
        <is>
          <t>R</t>
        </is>
      </c>
      <c r="X30" s="59" t="inlineStr">
        <is>
          <t>R</t>
        </is>
      </c>
      <c r="Y30" s="59" t="n"/>
      <c r="Z30" s="59" t="n"/>
      <c r="AA30" s="59" t="n"/>
      <c r="AB30" s="59" t="n"/>
      <c r="AC30" s="59" t="inlineStr">
        <is>
          <t>R</t>
        </is>
      </c>
      <c r="AD30" s="59" t="n"/>
      <c r="AE30" s="59" t="n"/>
      <c r="AF30" s="59" t="n"/>
      <c r="AG30" s="59" t="n"/>
      <c r="AH30" s="59" t="n"/>
      <c r="AI30" s="59" t="inlineStr">
        <is>
          <t>R</t>
        </is>
      </c>
      <c r="AJ30" s="59" t="n"/>
      <c r="AK30" s="59" t="n"/>
      <c r="AL30" s="59" t="inlineStr">
        <is>
          <t>R</t>
        </is>
      </c>
      <c r="AM30" s="59" t="n"/>
      <c r="AN30" s="59" t="n"/>
      <c r="AO30" s="59" t="inlineStr">
        <is>
          <t>R</t>
        </is>
      </c>
      <c r="AP30" s="59" t="n"/>
      <c r="AQ30" s="59" t="inlineStr">
        <is>
          <t>R</t>
        </is>
      </c>
      <c r="AR30" s="59" t="inlineStr">
        <is>
          <t>R</t>
        </is>
      </c>
      <c r="AS30" s="59" t="inlineStr">
        <is>
          <t>R</t>
        </is>
      </c>
      <c r="AT30" s="59" t="n"/>
      <c r="AU30" s="59" t="inlineStr">
        <is>
          <t>R</t>
        </is>
      </c>
      <c r="AV30" s="59" t="n"/>
      <c r="AW30" s="59" t="inlineStr">
        <is>
          <t>R</t>
        </is>
      </c>
      <c r="AX30" s="59" t="n"/>
      <c r="AY30" s="59" t="inlineStr">
        <is>
          <t>R</t>
        </is>
      </c>
      <c r="AZ30" s="59" t="n"/>
      <c r="BA30" s="59" t="inlineStr">
        <is>
          <t>R</t>
        </is>
      </c>
      <c r="BB30" s="54">
        <f>COUNTIF(D30:BA30,"C")</f>
        <v/>
      </c>
      <c r="BC30" s="54">
        <f>COUNTIF(D30:BA30,"R")</f>
        <v/>
      </c>
    </row>
    <row r="31">
      <c r="A31" s="57" t="n"/>
      <c r="B31" s="47" t="inlineStr">
        <is>
          <t>APP-26</t>
        </is>
      </c>
      <c r="C31" s="58">
        <f>IFERROR(INDEX(アプリケーション!$C:$C,MATCH(B31,アプリケーション!$A:$A,0)),"（IDなし）")</f>
        <v/>
      </c>
      <c r="D31" s="59" t="n"/>
      <c r="E31" s="59" t="n"/>
      <c r="F31" s="59" t="n"/>
      <c r="G31" s="59" t="inlineStr">
        <is>
          <t>R</t>
        </is>
      </c>
      <c r="H31" s="59" t="n"/>
      <c r="I31" s="59" t="n"/>
      <c r="J31" s="59" t="inlineStr">
        <is>
          <t>C</t>
        </is>
      </c>
      <c r="K31" s="59" t="inlineStr">
        <is>
          <t>R</t>
        </is>
      </c>
      <c r="L31" s="59" t="inlineStr">
        <is>
          <t>R</t>
        </is>
      </c>
      <c r="M31" s="59" t="n"/>
      <c r="N31" s="59" t="n"/>
      <c r="O31" s="59" t="n"/>
      <c r="P31" s="59" t="n"/>
      <c r="Q31" s="59" t="inlineStr">
        <is>
          <t>C</t>
        </is>
      </c>
      <c r="R31" s="59" t="inlineStr">
        <is>
          <t>R</t>
        </is>
      </c>
      <c r="S31" s="59" t="n"/>
      <c r="T31" s="59" t="n"/>
      <c r="U31" s="59" t="inlineStr">
        <is>
          <t>R</t>
        </is>
      </c>
      <c r="V31" s="59" t="n"/>
      <c r="W31" s="59" t="n"/>
      <c r="X31" s="59" t="n"/>
      <c r="Y31" s="59" t="n"/>
      <c r="Z31" s="59" t="inlineStr">
        <is>
          <t>R</t>
        </is>
      </c>
      <c r="AA31" s="59" t="n"/>
      <c r="AB31" s="59" t="n"/>
      <c r="AC31" s="59" t="n"/>
      <c r="AD31" s="59" t="n"/>
      <c r="AE31" s="59" t="n"/>
      <c r="AF31" s="59" t="n"/>
      <c r="AG31" s="59" t="n"/>
      <c r="AH31" s="59" t="n"/>
      <c r="AI31" s="59" t="n"/>
      <c r="AJ31" s="59" t="inlineStr">
        <is>
          <t>R</t>
        </is>
      </c>
      <c r="AK31" s="59" t="n"/>
      <c r="AL31" s="59" t="n"/>
      <c r="AM31" s="59" t="n"/>
      <c r="AN31" s="59" t="n"/>
      <c r="AO31" s="59" t="n"/>
      <c r="AP31" s="59" t="n"/>
      <c r="AQ31" s="59" t="n"/>
      <c r="AR31" s="59" t="n"/>
      <c r="AS31" s="59" t="inlineStr">
        <is>
          <t>R</t>
        </is>
      </c>
      <c r="AT31" s="59" t="n"/>
      <c r="AU31" s="59" t="n"/>
      <c r="AV31" s="59" t="n"/>
      <c r="AW31" s="59" t="inlineStr">
        <is>
          <t>C</t>
        </is>
      </c>
      <c r="AX31" s="59" t="inlineStr">
        <is>
          <t>C</t>
        </is>
      </c>
      <c r="AY31" s="59" t="inlineStr">
        <is>
          <t>C</t>
        </is>
      </c>
      <c r="AZ31" s="59" t="inlineStr">
        <is>
          <t>R</t>
        </is>
      </c>
      <c r="BA31" s="59" t="n"/>
      <c r="BB31" s="54">
        <f>COUNTIF(D31:BA31,"C")</f>
        <v/>
      </c>
      <c r="BC31" s="54">
        <f>COUNTIF(D31:BA31,"R")</f>
        <v/>
      </c>
    </row>
    <row r="32">
      <c r="C32" s="57" t="inlineStr">
        <is>
          <t>Cの数</t>
        </is>
      </c>
      <c r="D32" s="54">
        <f>COUNTIF(D$6:D$31,"C")</f>
        <v/>
      </c>
      <c r="E32" s="54">
        <f>COUNTIF(E$6:E$31,"C")</f>
        <v/>
      </c>
      <c r="F32" s="54">
        <f>COUNTIF(F$6:F$31,"C")</f>
        <v/>
      </c>
      <c r="G32" s="54">
        <f>COUNTIF(G$6:G$31,"C")</f>
        <v/>
      </c>
      <c r="H32" s="54">
        <f>COUNTIF(H$6:H$31,"C")</f>
        <v/>
      </c>
      <c r="I32" s="54">
        <f>COUNTIF(I$6:I$31,"C")</f>
        <v/>
      </c>
      <c r="J32" s="54">
        <f>COUNTIF(J$6:J$31,"C")</f>
        <v/>
      </c>
      <c r="K32" s="54">
        <f>COUNTIF(K$6:K$31,"C")</f>
        <v/>
      </c>
      <c r="L32" s="54">
        <f>COUNTIF(L$6:L$31,"C")</f>
        <v/>
      </c>
      <c r="M32" s="54">
        <f>COUNTIF(M$6:M$31,"C")</f>
        <v/>
      </c>
      <c r="N32" s="54">
        <f>COUNTIF(N$6:N$31,"C")</f>
        <v/>
      </c>
      <c r="O32" s="54">
        <f>COUNTIF(O$6:O$31,"C")</f>
        <v/>
      </c>
      <c r="P32" s="54">
        <f>COUNTIF(P$6:P$31,"C")</f>
        <v/>
      </c>
      <c r="Q32" s="54">
        <f>COUNTIF(Q$6:Q$31,"C")</f>
        <v/>
      </c>
      <c r="R32" s="54">
        <f>COUNTIF(R$6:R$31,"C")</f>
        <v/>
      </c>
      <c r="S32" s="54">
        <f>COUNTIF(S$6:S$31,"C")</f>
        <v/>
      </c>
      <c r="T32" s="54">
        <f>COUNTIF(T$6:T$31,"C")</f>
        <v/>
      </c>
      <c r="U32" s="54">
        <f>COUNTIF(U$6:U$31,"C")</f>
        <v/>
      </c>
      <c r="V32" s="54">
        <f>COUNTIF(V$6:V$31,"C")</f>
        <v/>
      </c>
      <c r="W32" s="54">
        <f>COUNTIF(W$6:W$31,"C")</f>
        <v/>
      </c>
      <c r="X32" s="54">
        <f>COUNTIF(X$6:X$31,"C")</f>
        <v/>
      </c>
      <c r="Y32" s="54">
        <f>COUNTIF(Y$6:Y$31,"C")</f>
        <v/>
      </c>
      <c r="Z32" s="54">
        <f>COUNTIF(Z$6:Z$31,"C")</f>
        <v/>
      </c>
      <c r="AA32" s="54">
        <f>COUNTIF(AA$6:AA$31,"C")</f>
        <v/>
      </c>
      <c r="AB32" s="54">
        <f>COUNTIF(AB$6:AB$31,"C")</f>
        <v/>
      </c>
      <c r="AC32" s="54">
        <f>COUNTIF(AC$6:AC$31,"C")</f>
        <v/>
      </c>
      <c r="AD32" s="54">
        <f>COUNTIF(AD$6:AD$31,"C")</f>
        <v/>
      </c>
      <c r="AE32" s="54">
        <f>COUNTIF(AE$6:AE$31,"C")</f>
        <v/>
      </c>
      <c r="AF32" s="54">
        <f>COUNTIF(AF$6:AF$31,"C")</f>
        <v/>
      </c>
      <c r="AG32" s="54">
        <f>COUNTIF(AG$6:AG$31,"C")</f>
        <v/>
      </c>
      <c r="AH32" s="54">
        <f>COUNTIF(AH$6:AH$31,"C")</f>
        <v/>
      </c>
      <c r="AI32" s="54">
        <f>COUNTIF(AI$6:AI$31,"C")</f>
        <v/>
      </c>
      <c r="AJ32" s="54">
        <f>COUNTIF(AJ$6:AJ$31,"C")</f>
        <v/>
      </c>
      <c r="AK32" s="54">
        <f>COUNTIF(AK$6:AK$31,"C")</f>
        <v/>
      </c>
      <c r="AL32" s="54">
        <f>COUNTIF(AL$6:AL$31,"C")</f>
        <v/>
      </c>
      <c r="AM32" s="54">
        <f>COUNTIF(AM$6:AM$31,"C")</f>
        <v/>
      </c>
      <c r="AN32" s="54">
        <f>COUNTIF(AN$6:AN$31,"C")</f>
        <v/>
      </c>
      <c r="AO32" s="54">
        <f>COUNTIF(AO$6:AO$31,"C")</f>
        <v/>
      </c>
      <c r="AP32" s="54">
        <f>COUNTIF(AP$6:AP$31,"C")</f>
        <v/>
      </c>
      <c r="AQ32" s="54">
        <f>COUNTIF(AQ$6:AQ$31,"C")</f>
        <v/>
      </c>
      <c r="AR32" s="54">
        <f>COUNTIF(AR$6:AR$31,"C")</f>
        <v/>
      </c>
      <c r="AS32" s="54">
        <f>COUNTIF(AS$6:AS$31,"C")</f>
        <v/>
      </c>
      <c r="AT32" s="54">
        <f>COUNTIF(AT$6:AT$31,"C")</f>
        <v/>
      </c>
      <c r="AU32" s="54">
        <f>COUNTIF(AU$6:AU$31,"C")</f>
        <v/>
      </c>
      <c r="AV32" s="54">
        <f>COUNTIF(AV$6:AV$31,"C")</f>
        <v/>
      </c>
      <c r="AW32" s="54">
        <f>COUNTIF(AW$6:AW$31,"C")</f>
        <v/>
      </c>
      <c r="AX32" s="54">
        <f>COUNTIF(AX$6:AX$31,"C")</f>
        <v/>
      </c>
      <c r="AY32" s="54">
        <f>COUNTIF(AY$6:AY$31,"C")</f>
        <v/>
      </c>
      <c r="AZ32" s="54">
        <f>COUNTIF(AZ$6:AZ$31,"C")</f>
        <v/>
      </c>
      <c r="BA32" s="54">
        <f>COUNTIF(BA$6:BA$31,"C")</f>
        <v/>
      </c>
    </row>
    <row r="33">
      <c r="C33" s="57" t="inlineStr">
        <is>
          <t>Rの数</t>
        </is>
      </c>
      <c r="D33" s="54">
        <f>COUNTIF(D$6:D$31,"R")</f>
        <v/>
      </c>
      <c r="E33" s="54">
        <f>COUNTIF(E$6:E$31,"R")</f>
        <v/>
      </c>
      <c r="F33" s="54">
        <f>COUNTIF(F$6:F$31,"R")</f>
        <v/>
      </c>
      <c r="G33" s="54">
        <f>COUNTIF(G$6:G$31,"R")</f>
        <v/>
      </c>
      <c r="H33" s="54">
        <f>COUNTIF(H$6:H$31,"R")</f>
        <v/>
      </c>
      <c r="I33" s="54">
        <f>COUNTIF(I$6:I$31,"R")</f>
        <v/>
      </c>
      <c r="J33" s="54">
        <f>COUNTIF(J$6:J$31,"R")</f>
        <v/>
      </c>
      <c r="K33" s="54">
        <f>COUNTIF(K$6:K$31,"R")</f>
        <v/>
      </c>
      <c r="L33" s="54">
        <f>COUNTIF(L$6:L$31,"R")</f>
        <v/>
      </c>
      <c r="M33" s="54">
        <f>COUNTIF(M$6:M$31,"R")</f>
        <v/>
      </c>
      <c r="N33" s="54">
        <f>COUNTIF(N$6:N$31,"R")</f>
        <v/>
      </c>
      <c r="O33" s="54">
        <f>COUNTIF(O$6:O$31,"R")</f>
        <v/>
      </c>
      <c r="P33" s="54">
        <f>COUNTIF(P$6:P$31,"R")</f>
        <v/>
      </c>
      <c r="Q33" s="54">
        <f>COUNTIF(Q$6:Q$31,"R")</f>
        <v/>
      </c>
      <c r="R33" s="54">
        <f>COUNTIF(R$6:R$31,"R")</f>
        <v/>
      </c>
      <c r="S33" s="54">
        <f>COUNTIF(S$6:S$31,"R")</f>
        <v/>
      </c>
      <c r="T33" s="54">
        <f>COUNTIF(T$6:T$31,"R")</f>
        <v/>
      </c>
      <c r="U33" s="54">
        <f>COUNTIF(U$6:U$31,"R")</f>
        <v/>
      </c>
      <c r="V33" s="54">
        <f>COUNTIF(V$6:V$31,"R")</f>
        <v/>
      </c>
      <c r="W33" s="54">
        <f>COUNTIF(W$6:W$31,"R")</f>
        <v/>
      </c>
      <c r="X33" s="54">
        <f>COUNTIF(X$6:X$31,"R")</f>
        <v/>
      </c>
      <c r="Y33" s="54">
        <f>COUNTIF(Y$6:Y$31,"R")</f>
        <v/>
      </c>
      <c r="Z33" s="54">
        <f>COUNTIF(Z$6:Z$31,"R")</f>
        <v/>
      </c>
      <c r="AA33" s="54">
        <f>COUNTIF(AA$6:AA$31,"R")</f>
        <v/>
      </c>
      <c r="AB33" s="54">
        <f>COUNTIF(AB$6:AB$31,"R")</f>
        <v/>
      </c>
      <c r="AC33" s="54">
        <f>COUNTIF(AC$6:AC$31,"R")</f>
        <v/>
      </c>
      <c r="AD33" s="54">
        <f>COUNTIF(AD$6:AD$31,"R")</f>
        <v/>
      </c>
      <c r="AE33" s="54">
        <f>COUNTIF(AE$6:AE$31,"R")</f>
        <v/>
      </c>
      <c r="AF33" s="54">
        <f>COUNTIF(AF$6:AF$31,"R")</f>
        <v/>
      </c>
      <c r="AG33" s="54">
        <f>COUNTIF(AG$6:AG$31,"R")</f>
        <v/>
      </c>
      <c r="AH33" s="54">
        <f>COUNTIF(AH$6:AH$31,"R")</f>
        <v/>
      </c>
      <c r="AI33" s="54">
        <f>COUNTIF(AI$6:AI$31,"R")</f>
        <v/>
      </c>
      <c r="AJ33" s="54">
        <f>COUNTIF(AJ$6:AJ$31,"R")</f>
        <v/>
      </c>
      <c r="AK33" s="54">
        <f>COUNTIF(AK$6:AK$31,"R")</f>
        <v/>
      </c>
      <c r="AL33" s="54">
        <f>COUNTIF(AL$6:AL$31,"R")</f>
        <v/>
      </c>
      <c r="AM33" s="54">
        <f>COUNTIF(AM$6:AM$31,"R")</f>
        <v/>
      </c>
      <c r="AN33" s="54">
        <f>COUNTIF(AN$6:AN$31,"R")</f>
        <v/>
      </c>
      <c r="AO33" s="54">
        <f>COUNTIF(AO$6:AO$31,"R")</f>
        <v/>
      </c>
      <c r="AP33" s="54">
        <f>COUNTIF(AP$6:AP$31,"R")</f>
        <v/>
      </c>
      <c r="AQ33" s="54">
        <f>COUNTIF(AQ$6:AQ$31,"R")</f>
        <v/>
      </c>
      <c r="AR33" s="54">
        <f>COUNTIF(AR$6:AR$31,"R")</f>
        <v/>
      </c>
      <c r="AS33" s="54">
        <f>COUNTIF(AS$6:AS$31,"R")</f>
        <v/>
      </c>
      <c r="AT33" s="54">
        <f>COUNTIF(AT$6:AT$31,"R")</f>
        <v/>
      </c>
      <c r="AU33" s="54">
        <f>COUNTIF(AU$6:AU$31,"R")</f>
        <v/>
      </c>
      <c r="AV33" s="54">
        <f>COUNTIF(AV$6:AV$31,"R")</f>
        <v/>
      </c>
      <c r="AW33" s="54">
        <f>COUNTIF(AW$6:AW$31,"R")</f>
        <v/>
      </c>
      <c r="AX33" s="54">
        <f>COUNTIF(AX$6:AX$31,"R")</f>
        <v/>
      </c>
      <c r="AY33" s="54">
        <f>COUNTIF(AY$6:AY$31,"R")</f>
        <v/>
      </c>
      <c r="AZ33" s="54">
        <f>COUNTIF(AZ$6:AZ$31,"R")</f>
        <v/>
      </c>
      <c r="BA33" s="54">
        <f>COUNTIF(BA$6:BA$31,"R")</f>
        <v/>
      </c>
    </row>
  </sheetData>
  <mergeCells count="13">
    <mergeCell ref="D4:J4"/>
    <mergeCell ref="AB4:AI4"/>
    <mergeCell ref="AW4:BA4"/>
    <mergeCell ref="B4:B5"/>
    <mergeCell ref="C4:C5"/>
    <mergeCell ref="A4:A5"/>
    <mergeCell ref="BB4:BB5"/>
    <mergeCell ref="AJ4:AM4"/>
    <mergeCell ref="BC4:BC5"/>
    <mergeCell ref="AN4:AT4"/>
    <mergeCell ref="V4:AA4"/>
    <mergeCell ref="K4:U4"/>
    <mergeCell ref="AU4:AV4"/>
  </mergeCells>
  <conditionalFormatting sqref="D6:BA31">
    <cfRule type="cellIs" priority="1" operator="equal" dxfId="2">
      <formula>"C"</formula>
    </cfRule>
  </conditionalFormatting>
  <dataValidations count="1">
    <dataValidation sqref="D6:BA31" showDropDown="0" showInputMessage="0" showErrorMessage="0" allowBlank="1" type="list">
      <formula1>"C,R"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16" customWidth="1" min="3" max="3"/>
  </cols>
  <sheetData>
    <row r="1">
      <c r="A1" s="60" t="inlineStr">
        <is>
          <t>入力規則の選択肢（追加したシート用）</t>
        </is>
      </c>
    </row>
    <row r="4">
      <c r="A4" s="61" t="inlineStr">
        <is>
          <t>共有地区分</t>
        </is>
      </c>
      <c r="C4" s="61" t="inlineStr">
        <is>
          <t>主従</t>
        </is>
      </c>
    </row>
    <row r="5">
      <c r="A5" t="inlineStr">
        <is>
          <t>共有地</t>
        </is>
      </c>
      <c r="C5" t="inlineStr">
        <is>
          <t>主</t>
        </is>
      </c>
    </row>
    <row r="6">
      <c r="A6" t="inlineStr">
        <is>
          <t>現場</t>
        </is>
      </c>
      <c r="C6" t="inlineStr">
        <is>
          <t>従</t>
        </is>
      </c>
    </row>
    <row r="7">
      <c r="A7" t="inlineStr">
        <is>
          <t>混在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2026-09-20T04:58:00Z</dcterms:created>
  <dcterms:modified xmlns:dcterms="http://purl.org/dc/terms/" xmlns:xsi="http://www.w3.org/2001/XMLSchema-instance" xsi:type="dcterms:W3CDTF">2026-09-21T05:20:44Z</dcterms:modified>
</cp:coreProperties>
</file>