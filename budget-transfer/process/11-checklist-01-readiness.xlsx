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項目マスタ" sheetId="2" state="visible" r:id="rId2"/>
    <sheet xmlns:r="http://schemas.openxmlformats.org/officeDocument/2006/relationships" name="記録" sheetId="3" state="visible" r:id="rId3"/>
    <sheet xmlns:r="http://schemas.openxmlformats.org/officeDocument/2006/relationships" name="改訂履歴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yyyy-mm-dd"/>
  </numFmts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Yu Gothic"/>
      <charset val="1"/>
      <family val="0"/>
      <b val="1"/>
      <color rgb="FF1C2B45"/>
      <sz val="14"/>
    </font>
    <font>
      <name val="Noto Sans CJK SC"/>
      <family val="2"/>
      <b val="1"/>
      <color rgb="FF1C2B45"/>
      <sz val="14"/>
    </font>
    <font>
      <name val="Noto Sans CJK SC"/>
      <family val="2"/>
      <b val="1"/>
      <sz val="10"/>
    </font>
    <font>
      <name val="Yu Gothic"/>
      <charset val="1"/>
      <family val="0"/>
      <sz val="10"/>
    </font>
    <font>
      <name val="Noto Sans CJK SC"/>
      <family val="2"/>
      <sz val="10"/>
    </font>
    <font>
      <name val="Noto Sans CJK SC"/>
      <family val="2"/>
      <color rgb="FF333F50"/>
      <sz val="9"/>
    </font>
    <font>
      <name val="Yu Gothic"/>
      <charset val="1"/>
      <family val="0"/>
      <color rgb="FF333F50"/>
      <sz val="9"/>
    </font>
    <font>
      <name val="Noto Sans CJK SC"/>
      <family val="2"/>
      <i val="1"/>
      <color rgb="FF7F7F7F"/>
      <sz val="10"/>
    </font>
    <font>
      <name val="Yu Gothic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Yu Gothic"/>
      <charset val="1"/>
      <family val="0"/>
      <i val="1"/>
      <color rgb="FF7F7F7F"/>
      <sz val="10"/>
    </font>
    <font>
      <name val="Yu Gothic"/>
      <charset val="1"/>
      <family val="0"/>
      <b val="1"/>
      <sz val="10"/>
    </font>
    <font>
      <name val="Yu Gothic"/>
      <charset val="1"/>
      <family val="2"/>
      <color theme="1"/>
      <sz val="11"/>
    </font>
    <font>
      <name val="Yu Gothic"/>
      <family val="2"/>
      <b val="1"/>
      <sz val="10"/>
    </font>
    <font>
      <name val="Yu Gothic"/>
      <family val="2"/>
      <color rgb="FF333F50"/>
      <sz val="9"/>
    </font>
    <font>
      <name val="Yu Gothic"/>
      <family val="2"/>
      <sz val="10"/>
    </font>
    <font>
      <name val="Yu Gothic"/>
      <family val="2"/>
      <i val="1"/>
      <color rgb="FF7F7F7F"/>
      <sz val="10"/>
    </font>
    <font>
      <name val="Yu Gothic"/>
      <family val="2"/>
      <b val="1"/>
      <color rgb="FF1C2B45"/>
      <sz val="14"/>
    </font>
    <font>
      <name val="Yu Gothic"/>
      <family val="2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F4F6F9"/>
        <bgColor rgb="FFEAF1F8"/>
      </patternFill>
    </fill>
    <fill>
      <patternFill patternType="solid">
        <fgColor rgb="FFEAF1F8"/>
        <bgColor rgb="FFF4F6F9"/>
      </patternFill>
    </fill>
    <fill>
      <patternFill patternType="solid">
        <fgColor rgb="FFFFF9DB"/>
        <bgColor rgb="FFF4F6F9"/>
      </patternFill>
    </fill>
    <fill>
      <patternFill patternType="solid">
        <fgColor rgb="FF1C2B45"/>
        <bgColor rgb="FF333F5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5" fillId="2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center" wrapText="1"/>
    </xf>
    <xf numFmtId="0" fontId="13" fillId="5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15" fillId="2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13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4" borderId="1" applyAlignment="1" pivotButton="0" quotePrefix="0" xfId="0">
      <alignment horizontal="general" vertical="top" wrapText="1"/>
    </xf>
    <xf numFmtId="0" fontId="16" fillId="0" borderId="0" pivotButton="0" quotePrefix="0" xfId="0"/>
    <xf numFmtId="0" fontId="17" fillId="2" borderId="1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3" borderId="0" applyAlignment="1" pivotButton="0" quotePrefix="0" xfId="0">
      <alignment horizontal="general" vertical="top" wrapText="1"/>
    </xf>
    <xf numFmtId="0" fontId="19" fillId="4" borderId="1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center" wrapText="1"/>
    </xf>
    <xf numFmtId="164" fontId="7" fillId="4" borderId="1" applyAlignment="1" pivotButton="0" quotePrefix="0" xfId="0">
      <alignment horizontal="general" vertical="bottom"/>
    </xf>
    <xf numFmtId="0" fontId="22" fillId="5" borderId="1" applyAlignment="1" pivotButton="0" quotePrefix="0" xfId="0">
      <alignment horizontal="general" vertical="bottom"/>
    </xf>
    <xf numFmtId="0" fontId="19" fillId="4" borderId="1" applyAlignment="1" pivotButton="0" quotePrefix="0" xfId="0">
      <alignment horizontal="general" vertical="top" wrapText="1"/>
    </xf>
    <xf numFmtId="164" fontId="7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Yu Gothic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9DB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6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C2B45"/>
      <rgbColor rgb="FF339966"/>
      <rgbColor rgb="FF003300"/>
      <rgbColor rgb="FF333300"/>
      <rgbColor rgb="FF993300"/>
      <rgbColor rgb="FF993366"/>
      <rgbColor rgb="FF333399"/>
      <rgbColor rgb="FF333F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1" min="1" max="1"/>
    <col width="90" customWidth="1" style="21" min="2" max="2"/>
  </cols>
  <sheetData>
    <row r="1" ht="21.6" customHeight="1" s="22">
      <c r="A1" s="23" t="inlineStr">
        <is>
          <t>IT予算移管 チェックリスト：準備完了チェック</t>
        </is>
      </c>
      <c r="B1" s="43" t="n"/>
    </row>
    <row r="2">
      <c r="A2" s="43" t="n"/>
      <c r="B2" s="43" t="n"/>
    </row>
    <row r="3" ht="15" customHeight="1" s="22">
      <c r="A3" s="44" t="inlineStr">
        <is>
          <t>文書番号</t>
        </is>
      </c>
      <c r="B3" s="25" t="inlineStr">
        <is>
          <t>BTR-P-11-01</t>
        </is>
      </c>
    </row>
    <row r="4" ht="15" customHeight="1" s="22">
      <c r="A4" s="44" t="inlineStr">
        <is>
          <t>版</t>
        </is>
      </c>
      <c r="B4" s="25" t="inlineStr">
        <is>
          <t>1.3</t>
        </is>
      </c>
    </row>
    <row r="5" ht="15" customHeight="1" s="22">
      <c r="A5" s="44" t="inlineStr">
        <is>
          <t>所管</t>
        </is>
      </c>
      <c r="B5" s="25" t="inlineStr">
        <is>
          <t>予算移管事務局</t>
        </is>
      </c>
    </row>
    <row r="6" ht="15" customHeight="1" s="22">
      <c r="A6" s="44" t="inlineStr">
        <is>
          <t>承認者</t>
        </is>
      </c>
      <c r="B6" s="25" t="inlineStr">
        <is>
          <t>IT部門長</t>
        </is>
      </c>
    </row>
    <row r="7" ht="15" customHeight="1" s="22">
      <c r="A7" s="44" t="inlineStr">
        <is>
          <t>最終改訂日</t>
        </is>
      </c>
      <c r="B7" s="25" t="inlineStr">
        <is>
          <t>2026-10-12</t>
        </is>
      </c>
    </row>
    <row r="8" ht="15" customHeight="1" s="22">
      <c r="A8" s="44" t="inlineStr">
        <is>
          <t>上位文書</t>
        </is>
      </c>
      <c r="B8" s="25" t="inlineStr">
        <is>
          <t>IT予算移管 憲章（BTR-R-02）、Runbook（BTR-P-08-01 進行役編・08-04 案件担当編）</t>
        </is>
      </c>
    </row>
    <row r="9">
      <c r="A9" s="43" t="n"/>
      <c r="B9" s="43" t="n"/>
    </row>
    <row r="10" ht="15" customHeight="1" s="22">
      <c r="A10" s="45" t="inlineStr">
        <is>
          <t>使い方</t>
        </is>
      </c>
      <c r="B10" s="43" t="n"/>
    </row>
    <row r="11" ht="30" customHeight="1" s="22">
      <c r="A11" s="46" t="inlineStr">
        <is>
          <t>案件ごとに「記録」シートを複製し、結果を記入する。確認項目は「項目マスタ」から自動で表示される。</t>
        </is>
      </c>
    </row>
    <row r="12" ht="30" customHeight="1" s="22">
      <c r="A12" s="46" t="inlineStr">
        <is>
          <t>移管ステータスが「合意済み」の案件について、合意済みになったら、引継ぎに合わせて確認する（Runbook 案件担当編 §3.8）。判定が「完了」になったら、移管ステータスを「準備完了」にする。</t>
        </is>
      </c>
    </row>
    <row r="13" ht="30" customHeight="1" s="22">
      <c r="A13" s="46" t="inlineStr">
        <is>
          <t>結果が NG の項目は「NGのときの対応」に従う。判断が要る状況は、この表で判定せず、Runbook 案件担当編 §4 の例外対応へ回す。</t>
        </is>
      </c>
    </row>
    <row r="14" ht="30" customHeight="1" s="22">
      <c r="A14" s="46" t="inlineStr">
        <is>
          <t>確認項目を変えるときは「項目マスタ」を改訂し、改訂履歴に記録する。</t>
        </is>
      </c>
    </row>
    <row r="15" ht="30" customHeight="1" s="22">
      <c r="A15" s="46" t="n"/>
    </row>
    <row r="16" ht="15" customHeight="1" s="22">
      <c r="A16" s="45" t="inlineStr">
        <is>
          <t>凡例</t>
        </is>
      </c>
      <c r="B16" s="43" t="n"/>
    </row>
    <row r="17" ht="15" customHeight="1" s="22">
      <c r="A17" s="47" t="inlineStr">
        <is>
          <t>黄色のセル</t>
        </is>
      </c>
      <c r="B17" s="48" t="inlineStr">
        <is>
          <t>入力するセル</t>
        </is>
      </c>
    </row>
    <row r="18" ht="15" customHeight="1" s="22">
      <c r="A18" s="49" t="inlineStr">
        <is>
          <t>（TBD: 〜）</t>
        </is>
      </c>
      <c r="B18" s="48" t="inlineStr">
        <is>
          <t>未確定事項。決定記録の保留課題に登録する</t>
        </is>
      </c>
    </row>
    <row r="19" ht="15" customHeight="1" s="22">
      <c r="A19" s="25" t="inlineStr">
        <is>
          <t>結果</t>
        </is>
      </c>
      <c r="B19" s="48" t="inlineStr">
        <is>
          <t>OK／NG／該当なし から選ぶ。NGが1つでもあれば判定は「要対応」になる（A型では差し戻し、C・D型では是正を求める）</t>
        </is>
      </c>
    </row>
    <row r="20" ht="15" customHeight="1" s="22">
      <c r="A20" s="48" t="n"/>
      <c r="B20" s="48" t="n"/>
    </row>
    <row r="21" ht="15" customHeight="1" s="22">
      <c r="A21" s="48" t="n"/>
      <c r="B21" s="25" t="n"/>
    </row>
  </sheetData>
  <mergeCells count="5">
    <mergeCell ref="A15:B15"/>
    <mergeCell ref="A11:B11"/>
    <mergeCell ref="A13:B13"/>
    <mergeCell ref="A14:B14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14" customWidth="1" style="21" min="2" max="2"/>
    <col width="44" customWidth="1" style="21" min="3" max="3"/>
    <col width="40" customWidth="1" style="21" min="4" max="4"/>
    <col width="20" customWidth="1" style="21" min="5" max="5"/>
    <col width="30" customWidth="1" style="21" min="6" max="6"/>
  </cols>
  <sheetData>
    <row r="1" ht="17.35" customHeight="1" s="22">
      <c r="A1" s="50" t="inlineStr">
        <is>
          <t>確認項目マスタ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 ht="15" customHeight="1" s="22">
      <c r="A3" s="32" t="inlineStr">
        <is>
          <t>No.</t>
        </is>
      </c>
      <c r="B3" s="51" t="inlineStr">
        <is>
          <t>区分</t>
        </is>
      </c>
      <c r="C3" s="51" t="inlineStr">
        <is>
          <t>確認項目</t>
        </is>
      </c>
      <c r="D3" s="51" t="inlineStr">
        <is>
          <t>確認方法</t>
        </is>
      </c>
      <c r="E3" s="51" t="inlineStr">
        <is>
          <t>根拠</t>
        </is>
      </c>
      <c r="F3" s="32" t="inlineStr">
        <is>
          <t>NGのときの対応</t>
        </is>
      </c>
    </row>
    <row r="4" ht="29.85" customHeight="1" s="22">
      <c r="A4" s="35" t="n">
        <v>1</v>
      </c>
      <c r="B4" s="35" t="inlineStr">
        <is>
          <t>合意</t>
        </is>
      </c>
      <c r="C4" s="35" t="inlineStr">
        <is>
          <t>合意文書（間接業務の引継ぎの方法、IT関連業務の扱い、経過措置）が移管元の責任者に承認され、決定記録「決定事項」に登録されているか</t>
        </is>
      </c>
      <c r="D4" s="35" t="inlineStr">
        <is>
          <t>保存された合意文書、決定記録「決定事項」、予算移管シート「進捗」の A-03 を確認する</t>
        </is>
      </c>
      <c r="E4" s="35" t="inlineStr">
        <is>
          <t>憲章 第10条、Runbook 案件担当編 §3.5</t>
        </is>
      </c>
      <c r="F4" s="35" t="inlineStr">
        <is>
          <t>案件担当が Runbook 案件担当編 §3.4・§3.5 を行う</t>
        </is>
      </c>
    </row>
    <row r="5" ht="15" customHeight="1" s="22">
      <c r="A5" s="35" t="n">
        <v>2</v>
      </c>
      <c r="B5" s="35" t="inlineStr">
        <is>
          <t>業務</t>
        </is>
      </c>
      <c r="C5" s="35" t="inlineStr">
        <is>
          <t>移管する間接業務の全てが、引継ぎ要領に沿って受け手に渡され、2027年1月から受け手が始められるか（契約は、契約書の写しと相手先の請求の窓口を渡したか）</t>
        </is>
      </c>
      <c r="D5" s="35" t="inlineStr">
        <is>
          <t>予算移管シート「業務」で業務区分が間接業務の業務と、引継ぎ要領（Runbook 案件担当編 付録）の受け手、「進捗」の C-07 を突き合わせる</t>
        </is>
      </c>
      <c r="E5" s="35" t="inlineStr">
        <is>
          <t>憲章 第10条、Runbook 案件担当編 §3.7</t>
        </is>
      </c>
      <c r="F5" s="35" t="inlineStr">
        <is>
          <t>案件担当が引継ぎを行う（案件担当編 §3.7）。引継ぎ要領に足りないことがあれば、進行役が付録を改める（進行役編 §3.3）</t>
        </is>
      </c>
    </row>
    <row r="6" ht="15" customHeight="1" s="22">
      <c r="A6" s="35" t="n">
        <v>3</v>
      </c>
      <c r="B6" s="35" t="inlineStr">
        <is>
          <t>経過措置</t>
        </is>
      </c>
      <c r="C6" s="35" t="inlineStr">
        <is>
          <t>経過措置とする業務（担当の変更に正式な手続きが要る業務）について、変更手続きが起票され、完了予定が合意文書と業務シート（S列）に記録されているか（手続きの完了は問わない）</t>
        </is>
      </c>
      <c r="D6" s="35" t="inlineStr">
        <is>
          <t>「業務」の S列・T列が入った間接業務と、合意文書、変更手続きの起票の記録（例：GxP の変更管理）を突き合わせる</t>
        </is>
      </c>
      <c r="E6" s="35" t="inlineStr">
        <is>
          <t>憲章 第9条第3項・第10条第3項</t>
        </is>
      </c>
      <c r="F6" s="35" t="inlineStr">
        <is>
          <t>案件担当が移管対象部門の担当者と調整して、IT部門側の手順の改定を含めて手続きを起票し、完了予定を記入する（案件担当編 §3.4・§3.7）。起票できなければ、その業務は今の担当のまま行うことを合意文書に書き、案件担当編 §4 へ</t>
        </is>
      </c>
    </row>
    <row r="7" ht="15" customHeight="1" s="22">
      <c r="A7" s="35" t="n"/>
      <c r="B7" s="35" t="n"/>
      <c r="C7" s="35" t="n"/>
      <c r="D7" s="35" t="n"/>
      <c r="E7" s="35" t="n"/>
      <c r="F7" s="35" t="n"/>
    </row>
    <row r="8" ht="15" customHeight="1" s="22">
      <c r="A8" s="35" t="n"/>
      <c r="B8" s="35" t="n"/>
      <c r="C8" s="35" t="n"/>
      <c r="D8" s="35" t="n"/>
      <c r="E8" s="35" t="n"/>
      <c r="F8" s="35" t="n"/>
    </row>
    <row r="9" ht="15" customHeight="1" s="22">
      <c r="A9" s="35" t="n"/>
      <c r="B9" s="35" t="n"/>
      <c r="C9" s="35" t="n"/>
      <c r="D9" s="35" t="n"/>
      <c r="E9" s="35" t="n"/>
      <c r="F9" s="35" t="n"/>
    </row>
    <row r="10" ht="15" customHeight="1" s="22">
      <c r="A10" s="35" t="n"/>
      <c r="B10" s="35" t="n"/>
      <c r="C10" s="35" t="n"/>
      <c r="D10" s="35" t="n"/>
      <c r="E10" s="35" t="n"/>
      <c r="F10" s="35" t="n"/>
    </row>
    <row r="11" ht="15" customHeight="1" s="22">
      <c r="A11" s="35" t="n"/>
      <c r="B11" s="35" t="n"/>
      <c r="C11" s="35" t="n"/>
      <c r="D11" s="35" t="n"/>
      <c r="E11" s="35" t="n"/>
      <c r="F11" s="35" t="n"/>
    </row>
    <row r="12" ht="15" customHeight="1" s="22">
      <c r="A12" s="35" t="n"/>
      <c r="B12" s="35" t="n"/>
      <c r="C12" s="35" t="n"/>
      <c r="D12" s="35" t="n"/>
      <c r="E12" s="35" t="n"/>
      <c r="F12" s="35" t="n"/>
    </row>
    <row r="13" ht="15" customHeight="1" s="22">
      <c r="A13" s="35" t="n"/>
      <c r="B13" s="35" t="n"/>
      <c r="C13" s="35" t="n"/>
      <c r="D13" s="35" t="n"/>
      <c r="E13" s="35" t="n"/>
      <c r="F13" s="35" t="n"/>
    </row>
    <row r="14" ht="15" customHeight="1" s="22">
      <c r="A14" s="35" t="n"/>
      <c r="B14" s="35" t="n"/>
      <c r="C14" s="35" t="n"/>
      <c r="D14" s="35" t="n"/>
      <c r="E14" s="35" t="n"/>
      <c r="F14" s="35" t="n"/>
    </row>
    <row r="15" ht="15" customHeight="1" s="22">
      <c r="A15" s="35" t="n"/>
      <c r="B15" s="35" t="n"/>
      <c r="C15" s="35" t="n"/>
      <c r="D15" s="35" t="n"/>
      <c r="E15" s="35" t="n"/>
      <c r="F15" s="35" t="n"/>
    </row>
    <row r="16" ht="15" customHeight="1" s="22">
      <c r="A16" s="35" t="n"/>
      <c r="B16" s="35" t="n"/>
      <c r="C16" s="35" t="n"/>
      <c r="D16" s="35" t="n"/>
      <c r="E16" s="35" t="n"/>
      <c r="F16" s="35" t="n"/>
    </row>
    <row r="17" ht="15" customHeight="1" s="22">
      <c r="A17" s="35" t="n"/>
      <c r="B17" s="35" t="n"/>
      <c r="C17" s="35" t="n"/>
      <c r="D17" s="35" t="n"/>
      <c r="E17" s="35" t="n"/>
      <c r="F17" s="35" t="n"/>
    </row>
    <row r="18" ht="15" customHeight="1" s="22">
      <c r="A18" s="35" t="n"/>
      <c r="B18" s="35" t="n"/>
      <c r="C18" s="35" t="n"/>
      <c r="D18" s="35" t="n"/>
      <c r="E18" s="35" t="n"/>
      <c r="F18" s="35" t="n"/>
    </row>
    <row r="19" ht="15" customHeight="1" s="22">
      <c r="A19" s="35" t="n"/>
      <c r="B19" s="35" t="n"/>
      <c r="C19" s="35" t="n"/>
      <c r="D19" s="35" t="n"/>
      <c r="E19" s="35" t="n"/>
      <c r="F19" s="35" t="n"/>
    </row>
    <row r="20" ht="15" customHeight="1" s="22">
      <c r="A20" s="35" t="n"/>
      <c r="B20" s="35" t="n"/>
      <c r="C20" s="35" t="n"/>
      <c r="D20" s="35" t="n"/>
      <c r="E20" s="35" t="n"/>
      <c r="F20" s="35" t="n"/>
    </row>
    <row r="21" ht="15" customHeight="1" s="22">
      <c r="A21" s="35" t="n"/>
      <c r="B21" s="35" t="n"/>
      <c r="C21" s="35" t="n"/>
      <c r="D21" s="35" t="n"/>
      <c r="E21" s="35" t="n"/>
      <c r="F21" s="35" t="n"/>
    </row>
    <row r="22" ht="15" customHeight="1" s="22">
      <c r="A22" s="35" t="n"/>
      <c r="B22" s="35" t="n"/>
      <c r="C22" s="35" t="n"/>
      <c r="D22" s="35" t="n"/>
      <c r="E22" s="35" t="n"/>
      <c r="F22" s="35" t="n"/>
    </row>
    <row r="23" ht="15" customHeight="1" s="22">
      <c r="A23" s="35" t="n"/>
      <c r="B23" s="35" t="n"/>
      <c r="C23" s="35" t="n"/>
      <c r="D23" s="35" t="n"/>
      <c r="E23" s="35" t="n"/>
      <c r="F23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1" min="1" max="1"/>
    <col width="14" customWidth="1" style="21" min="2" max="2"/>
    <col width="50" customWidth="1" style="21" min="3" max="3"/>
    <col width="12" customWidth="1" style="21" min="4" max="4"/>
    <col width="30" customWidth="1" style="21" min="5" max="5"/>
    <col width="20" customWidth="1" style="21" min="6" max="6"/>
  </cols>
  <sheetData>
    <row r="1" ht="17.35" customHeight="1" s="22">
      <c r="A1" s="50" t="inlineStr">
        <is>
          <t>チェック記録</t>
        </is>
      </c>
      <c r="B1" s="43" t="n"/>
      <c r="C1" s="43" t="n"/>
      <c r="D1" s="43" t="n"/>
      <c r="E1" s="43" t="n"/>
      <c r="F1" s="43" t="n"/>
    </row>
    <row r="2">
      <c r="A2" s="43" t="n"/>
      <c r="B2" s="43" t="n"/>
      <c r="C2" s="43" t="n"/>
      <c r="D2" s="43" t="n"/>
      <c r="E2" s="43" t="n"/>
      <c r="F2" s="43" t="n"/>
    </row>
    <row r="3" ht="15" customHeight="1" s="22">
      <c r="A3" s="44" t="inlineStr">
        <is>
          <t>案件ID／点検回</t>
        </is>
      </c>
      <c r="B3" s="47" t="n"/>
      <c r="C3" s="43" t="n"/>
      <c r="D3" s="43" t="n"/>
      <c r="E3" s="36" t="inlineStr">
        <is>
          <t>OK</t>
        </is>
      </c>
      <c r="F3" s="37">
        <f>COUNTIF(D10:D29,"OK")</f>
        <v/>
      </c>
    </row>
    <row r="4" ht="15" customHeight="1" s="22">
      <c r="A4" s="44" t="inlineStr">
        <is>
          <t>件名／点検の対象</t>
        </is>
      </c>
      <c r="B4" s="47" t="n"/>
      <c r="C4" s="43" t="n"/>
      <c r="D4" s="43" t="n"/>
      <c r="E4" s="36" t="inlineStr">
        <is>
          <t>NG</t>
        </is>
      </c>
      <c r="F4" s="37">
        <f>COUNTIF(D10:D29,"NG")</f>
        <v/>
      </c>
    </row>
    <row r="5" ht="15" customHeight="1" s="22">
      <c r="A5" s="44" t="inlineStr">
        <is>
          <t>確認日</t>
        </is>
      </c>
      <c r="B5" s="52" t="n"/>
      <c r="C5" s="43" t="n"/>
      <c r="D5" s="43" t="n"/>
      <c r="E5" s="44" t="inlineStr">
        <is>
          <t>該当なし</t>
        </is>
      </c>
      <c r="F5" s="37">
        <f>COUNTIF(D10:D29,"該当なし")</f>
        <v/>
      </c>
    </row>
    <row r="6" ht="15" customHeight="1" s="22">
      <c r="A6" s="44" t="inlineStr">
        <is>
          <t>確認者</t>
        </is>
      </c>
      <c r="B6" s="38" t="n"/>
      <c r="C6" s="43" t="n"/>
      <c r="D6" s="43" t="n"/>
      <c r="E6" s="44" t="inlineStr">
        <is>
          <t>未記入</t>
        </is>
      </c>
      <c r="F6" s="37">
        <f>COUNTIF(C10:C29,"?*")-COUNTA(D10:D29)</f>
        <v/>
      </c>
    </row>
    <row r="7" ht="15" customHeight="1" s="22">
      <c r="A7" s="43" t="n"/>
      <c r="B7" s="43" t="n"/>
      <c r="C7" s="43" t="n"/>
      <c r="D7" s="43" t="n"/>
      <c r="E7" s="44" t="inlineStr">
        <is>
          <t>判定</t>
        </is>
      </c>
      <c r="F7" s="37">
        <f>IF(COUNTIF(C10:C29,"?*")=0,"項目未設定",IF(F4&gt;0,"要対応",IF(F6&gt;0,"確認中","完了")))</f>
        <v/>
      </c>
    </row>
    <row r="8">
      <c r="A8" s="43" t="n"/>
      <c r="B8" s="43" t="n"/>
      <c r="C8" s="43" t="n"/>
      <c r="D8" s="43" t="n"/>
      <c r="E8" s="43" t="n"/>
      <c r="F8" s="43" t="n"/>
    </row>
    <row r="9" ht="15" customHeight="1" s="22">
      <c r="A9" s="39" t="inlineStr">
        <is>
          <t>No.</t>
        </is>
      </c>
      <c r="B9" s="53" t="inlineStr">
        <is>
          <t>区分</t>
        </is>
      </c>
      <c r="C9" s="53" t="inlineStr">
        <is>
          <t>確認項目</t>
        </is>
      </c>
      <c r="D9" s="53" t="inlineStr">
        <is>
          <t>結果</t>
        </is>
      </c>
      <c r="E9" s="53" t="inlineStr">
        <is>
          <t>コメント</t>
        </is>
      </c>
      <c r="F9" s="53" t="inlineStr">
        <is>
          <t>根拠</t>
        </is>
      </c>
    </row>
    <row r="10" ht="15" customHeight="1" s="22">
      <c r="A10" s="41">
        <f>IF(項目マスタ!C4="","",項目マスタ!A4&amp;"")</f>
        <v/>
      </c>
      <c r="B10" s="41">
        <f>IF(項目マスタ!C4="","",項目マスタ!B4&amp;"")</f>
        <v/>
      </c>
      <c r="C10" s="41">
        <f>IF(項目マスタ!C4="","",項目マスタ!C4&amp;"")</f>
        <v/>
      </c>
      <c r="D10" s="35" t="n"/>
      <c r="E10" s="35" t="n"/>
      <c r="F10" s="41">
        <f>IF(項目マスタ!C4="","",項目マスタ!E4&amp;"")</f>
        <v/>
      </c>
    </row>
    <row r="11" ht="15" customHeight="1" s="22">
      <c r="A11" s="41">
        <f>IF(項目マスタ!C5="","",項目マスタ!A5&amp;"")</f>
        <v/>
      </c>
      <c r="B11" s="41">
        <f>IF(項目マスタ!C5="","",項目マスタ!B5&amp;"")</f>
        <v/>
      </c>
      <c r="C11" s="41">
        <f>IF(項目マスタ!C5="","",項目マスタ!C5&amp;"")</f>
        <v/>
      </c>
      <c r="D11" s="35" t="n"/>
      <c r="E11" s="35" t="n"/>
      <c r="F11" s="41">
        <f>IF(項目マスタ!C5="","",項目マスタ!E5&amp;"")</f>
        <v/>
      </c>
    </row>
    <row r="12" ht="15" customHeight="1" s="22">
      <c r="A12" s="41">
        <f>IF(項目マスタ!C6="","",項目マスタ!A6&amp;"")</f>
        <v/>
      </c>
      <c r="B12" s="41">
        <f>IF(項目マスタ!C6="","",項目マスタ!B6&amp;"")</f>
        <v/>
      </c>
      <c r="C12" s="41">
        <f>IF(項目マスタ!C6="","",項目マスタ!C6&amp;"")</f>
        <v/>
      </c>
      <c r="D12" s="35" t="n"/>
      <c r="E12" s="35" t="n"/>
      <c r="F12" s="41">
        <f>IF(項目マスタ!C6="","",項目マスタ!E6&amp;"")</f>
        <v/>
      </c>
    </row>
    <row r="13" ht="15" customHeight="1" s="22">
      <c r="A13" s="41">
        <f>IF(項目マスタ!C7="","",項目マスタ!A7&amp;"")</f>
        <v/>
      </c>
      <c r="B13" s="41">
        <f>IF(項目マスタ!C7="","",項目マスタ!B7&amp;"")</f>
        <v/>
      </c>
      <c r="C13" s="41">
        <f>IF(項目マスタ!C7="","",項目マスタ!C7&amp;"")</f>
        <v/>
      </c>
      <c r="D13" s="35" t="n"/>
      <c r="E13" s="35" t="n"/>
      <c r="F13" s="41">
        <f>IF(項目マスタ!C7="","",項目マスタ!E7&amp;"")</f>
        <v/>
      </c>
    </row>
    <row r="14" ht="15" customHeight="1" s="22">
      <c r="A14" s="41">
        <f>IF(項目マスタ!C8="","",項目マスタ!A8&amp;"")</f>
        <v/>
      </c>
      <c r="B14" s="41">
        <f>IF(項目マスタ!C8="","",項目マスタ!B8&amp;"")</f>
        <v/>
      </c>
      <c r="C14" s="41">
        <f>IF(項目マスタ!C8="","",項目マスタ!C8&amp;"")</f>
        <v/>
      </c>
      <c r="D14" s="35" t="n"/>
      <c r="E14" s="35" t="n"/>
      <c r="F14" s="41">
        <f>IF(項目マスタ!C8="","",項目マスタ!E8&amp;"")</f>
        <v/>
      </c>
    </row>
    <row r="15" ht="15" customHeight="1" s="22">
      <c r="A15" s="41">
        <f>IF(項目マスタ!C9="","",項目マスタ!A9&amp;"")</f>
        <v/>
      </c>
      <c r="B15" s="41">
        <f>IF(項目マスタ!C9="","",項目マスタ!B9&amp;"")</f>
        <v/>
      </c>
      <c r="C15" s="41">
        <f>IF(項目マスタ!C9="","",項目マスタ!C9&amp;"")</f>
        <v/>
      </c>
      <c r="D15" s="35" t="n"/>
      <c r="E15" s="35" t="n"/>
      <c r="F15" s="41">
        <f>IF(項目マスタ!C9="","",項目マスタ!E9&amp;"")</f>
        <v/>
      </c>
    </row>
    <row r="16" ht="15" customHeight="1" s="22">
      <c r="A16" s="41">
        <f>IF(項目マスタ!C10="","",項目マスタ!A10&amp;"")</f>
        <v/>
      </c>
      <c r="B16" s="41">
        <f>IF(項目マスタ!C10="","",項目マスタ!B10&amp;"")</f>
        <v/>
      </c>
      <c r="C16" s="41">
        <f>IF(項目マスタ!C10="","",項目マスタ!C10&amp;"")</f>
        <v/>
      </c>
      <c r="D16" s="35" t="n"/>
      <c r="E16" s="35" t="n"/>
      <c r="F16" s="41">
        <f>IF(項目マスタ!C10="","",項目マスタ!E10&amp;"")</f>
        <v/>
      </c>
    </row>
    <row r="17" ht="15" customHeight="1" s="22">
      <c r="A17" s="41">
        <f>IF(項目マスタ!C11="","",項目マスタ!A11&amp;"")</f>
        <v/>
      </c>
      <c r="B17" s="41">
        <f>IF(項目マスタ!C11="","",項目マスタ!B11&amp;"")</f>
        <v/>
      </c>
      <c r="C17" s="41">
        <f>IF(項目マスタ!C11="","",項目マスタ!C11&amp;"")</f>
        <v/>
      </c>
      <c r="D17" s="35" t="n"/>
      <c r="E17" s="35" t="n"/>
      <c r="F17" s="41">
        <f>IF(項目マスタ!C11="","",項目マスタ!E11&amp;"")</f>
        <v/>
      </c>
    </row>
    <row r="18" ht="15" customHeight="1" s="22">
      <c r="A18" s="41">
        <f>IF(項目マスタ!C12="","",項目マスタ!A12&amp;"")</f>
        <v/>
      </c>
      <c r="B18" s="41">
        <f>IF(項目マスタ!C12="","",項目マスタ!B12&amp;"")</f>
        <v/>
      </c>
      <c r="C18" s="41">
        <f>IF(項目マスタ!C12="","",項目マスタ!C12&amp;"")</f>
        <v/>
      </c>
      <c r="D18" s="35" t="n"/>
      <c r="E18" s="35" t="n"/>
      <c r="F18" s="41">
        <f>IF(項目マスタ!C12="","",項目マスタ!E12&amp;"")</f>
        <v/>
      </c>
    </row>
    <row r="19" ht="15" customHeight="1" s="22">
      <c r="A19" s="41">
        <f>IF(項目マスタ!C13="","",項目マスタ!A13&amp;"")</f>
        <v/>
      </c>
      <c r="B19" s="41">
        <f>IF(項目マスタ!C13="","",項目マスタ!B13&amp;"")</f>
        <v/>
      </c>
      <c r="C19" s="41">
        <f>IF(項目マスタ!C13="","",項目マスタ!C13&amp;"")</f>
        <v/>
      </c>
      <c r="D19" s="35" t="n"/>
      <c r="E19" s="35" t="n"/>
      <c r="F19" s="41">
        <f>IF(項目マスタ!C13="","",項目マスタ!E13&amp;"")</f>
        <v/>
      </c>
    </row>
    <row r="20" ht="15" customHeight="1" s="22">
      <c r="A20" s="41">
        <f>IF(項目マスタ!C14="","",項目マスタ!A14&amp;"")</f>
        <v/>
      </c>
      <c r="B20" s="41">
        <f>IF(項目マスタ!C14="","",項目マスタ!B14&amp;"")</f>
        <v/>
      </c>
      <c r="C20" s="41">
        <f>IF(項目マスタ!C14="","",項目マスタ!C14&amp;"")</f>
        <v/>
      </c>
      <c r="D20" s="35" t="n"/>
      <c r="E20" s="35" t="n"/>
      <c r="F20" s="41">
        <f>IF(項目マスタ!C14="","",項目マスタ!E14&amp;"")</f>
        <v/>
      </c>
    </row>
    <row r="21" ht="15" customHeight="1" s="22">
      <c r="A21" s="41">
        <f>IF(項目マスタ!C15="","",項目マスタ!A15&amp;"")</f>
        <v/>
      </c>
      <c r="B21" s="41">
        <f>IF(項目マスタ!C15="","",項目マスタ!B15&amp;"")</f>
        <v/>
      </c>
      <c r="C21" s="41">
        <f>IF(項目マスタ!C15="","",項目マスタ!C15&amp;"")</f>
        <v/>
      </c>
      <c r="D21" s="35" t="n"/>
      <c r="E21" s="35" t="n"/>
      <c r="F21" s="41">
        <f>IF(項目マスタ!C15="","",項目マスタ!E15&amp;"")</f>
        <v/>
      </c>
    </row>
    <row r="22" ht="15" customHeight="1" s="22">
      <c r="A22" s="41">
        <f>IF(項目マスタ!C16="","",項目マスタ!A16&amp;"")</f>
        <v/>
      </c>
      <c r="B22" s="41">
        <f>IF(項目マスタ!C16="","",項目マスタ!B16&amp;"")</f>
        <v/>
      </c>
      <c r="C22" s="41">
        <f>IF(項目マスタ!C16="","",項目マスタ!C16&amp;"")</f>
        <v/>
      </c>
      <c r="D22" s="35" t="n"/>
      <c r="E22" s="35" t="n"/>
      <c r="F22" s="41">
        <f>IF(項目マスタ!C16="","",項目マスタ!E16&amp;"")</f>
        <v/>
      </c>
    </row>
    <row r="23" ht="15" customHeight="1" s="22">
      <c r="A23" s="41">
        <f>IF(項目マスタ!C17="","",項目マスタ!A17&amp;"")</f>
        <v/>
      </c>
      <c r="B23" s="41">
        <f>IF(項目マスタ!C17="","",項目マスタ!B17&amp;"")</f>
        <v/>
      </c>
      <c r="C23" s="41">
        <f>IF(項目マスタ!C17="","",項目マスタ!C17&amp;"")</f>
        <v/>
      </c>
      <c r="D23" s="35" t="n"/>
      <c r="E23" s="35" t="n"/>
      <c r="F23" s="41">
        <f>IF(項目マスタ!C17="","",項目マスタ!E17&amp;"")</f>
        <v/>
      </c>
    </row>
    <row r="24" ht="15" customHeight="1" s="22">
      <c r="A24" s="41">
        <f>IF(項目マスタ!C18="","",項目マスタ!A18&amp;"")</f>
        <v/>
      </c>
      <c r="B24" s="41">
        <f>IF(項目マスタ!C18="","",項目マスタ!B18&amp;"")</f>
        <v/>
      </c>
      <c r="C24" s="41">
        <f>IF(項目マスタ!C18="","",項目マスタ!C18&amp;"")</f>
        <v/>
      </c>
      <c r="D24" s="35" t="n"/>
      <c r="E24" s="35" t="n"/>
      <c r="F24" s="41">
        <f>IF(項目マスタ!C18="","",項目マスタ!E18&amp;"")</f>
        <v/>
      </c>
    </row>
    <row r="25" ht="15" customHeight="1" s="22">
      <c r="A25" s="41">
        <f>IF(項目マスタ!C19="","",項目マスタ!A19&amp;"")</f>
        <v/>
      </c>
      <c r="B25" s="41">
        <f>IF(項目マスタ!C19="","",項目マスタ!B19&amp;"")</f>
        <v/>
      </c>
      <c r="C25" s="41">
        <f>IF(項目マスタ!C19="","",項目マスタ!C19&amp;"")</f>
        <v/>
      </c>
      <c r="D25" s="35" t="n"/>
      <c r="E25" s="35" t="n"/>
      <c r="F25" s="41">
        <f>IF(項目マスタ!C19="","",項目マスタ!E19&amp;"")</f>
        <v/>
      </c>
    </row>
    <row r="26" ht="15" customHeight="1" s="22">
      <c r="A26" s="41">
        <f>IF(項目マスタ!C20="","",項目マスタ!A20&amp;"")</f>
        <v/>
      </c>
      <c r="B26" s="41">
        <f>IF(項目マスタ!C20="","",項目マスタ!B20&amp;"")</f>
        <v/>
      </c>
      <c r="C26" s="41">
        <f>IF(項目マスタ!C20="","",項目マスタ!C20&amp;"")</f>
        <v/>
      </c>
      <c r="D26" s="35" t="n"/>
      <c r="E26" s="35" t="n"/>
      <c r="F26" s="41">
        <f>IF(項目マスタ!C20="","",項目マスタ!E20&amp;"")</f>
        <v/>
      </c>
    </row>
    <row r="27" ht="15" customHeight="1" s="22">
      <c r="A27" s="41">
        <f>IF(項目マスタ!C21="","",項目マスタ!A21&amp;"")</f>
        <v/>
      </c>
      <c r="B27" s="41">
        <f>IF(項目マスタ!C21="","",項目マスタ!B21&amp;"")</f>
        <v/>
      </c>
      <c r="C27" s="41">
        <f>IF(項目マスタ!C21="","",項目マスタ!C21&amp;"")</f>
        <v/>
      </c>
      <c r="D27" s="35" t="n"/>
      <c r="E27" s="35" t="n"/>
      <c r="F27" s="41">
        <f>IF(項目マスタ!C21="","",項目マスタ!E21&amp;"")</f>
        <v/>
      </c>
    </row>
    <row r="28" ht="15" customHeight="1" s="22">
      <c r="A28" s="41">
        <f>IF(項目マスタ!C22="","",項目マスタ!A22&amp;"")</f>
        <v/>
      </c>
      <c r="B28" s="41">
        <f>IF(項目マスタ!C22="","",項目マスタ!B22&amp;"")</f>
        <v/>
      </c>
      <c r="C28" s="41">
        <f>IF(項目マスタ!C22="","",項目マスタ!C22&amp;"")</f>
        <v/>
      </c>
      <c r="D28" s="35" t="n"/>
      <c r="E28" s="35" t="n"/>
      <c r="F28" s="41">
        <f>IF(項目マスタ!C22="","",項目マスタ!E22&amp;"")</f>
        <v/>
      </c>
    </row>
    <row r="29" ht="15" customHeight="1" s="22">
      <c r="A29" s="41">
        <f>IF(項目マスタ!C23="","",項目マスタ!A23&amp;"")</f>
        <v/>
      </c>
      <c r="B29" s="41">
        <f>IF(項目マスタ!C23="","",項目マスタ!B23&amp;"")</f>
        <v/>
      </c>
      <c r="C29" s="41">
        <f>IF(項目マスタ!C23="","",項目マスタ!C23&amp;"")</f>
        <v/>
      </c>
      <c r="D29" s="35" t="n"/>
      <c r="E29" s="35" t="n"/>
      <c r="F29" s="41">
        <f>IF(項目マスタ!C23="","",項目マスタ!E23&amp;"")</f>
        <v/>
      </c>
    </row>
  </sheetData>
  <conditionalFormatting sqref="D10:D29">
    <cfRule type="expression" rank="0" priority="2" equalAverage="0" aboveAverage="0" dxfId="0" text="" percent="0" bottom="0">
      <formula>D10="NG"</formula>
    </cfRule>
  </conditionalFormatting>
  <dataValidations count="1">
    <dataValidation sqref="D10:D29" showDropDown="0" showInputMessage="0" showErrorMessage="0" allowBlank="1" type="list" errorStyle="stop" operator="between">
      <formula1>"OK,NG,該当なし"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21" min="1" max="1"/>
    <col width="14" customWidth="1" style="21" min="2" max="2"/>
    <col width="60" customWidth="1" style="21" min="3" max="3"/>
    <col width="16" customWidth="1" style="21" min="4" max="5"/>
  </cols>
  <sheetData>
    <row r="1" ht="17.35" customHeight="1" s="22">
      <c r="A1" s="50" t="inlineStr">
        <is>
          <t>改訂履歴</t>
        </is>
      </c>
      <c r="B1" s="43" t="n"/>
      <c r="C1" s="43" t="n"/>
      <c r="D1" s="43" t="n"/>
      <c r="E1" s="43" t="n"/>
    </row>
    <row r="2">
      <c r="A2" s="43" t="n"/>
      <c r="B2" s="43" t="n"/>
      <c r="C2" s="43" t="n"/>
      <c r="D2" s="43" t="n"/>
      <c r="E2" s="43" t="n"/>
    </row>
    <row r="3" ht="15" customHeight="1" s="22">
      <c r="A3" s="51" t="inlineStr">
        <is>
          <t>版</t>
        </is>
      </c>
      <c r="B3" s="51" t="inlineStr">
        <is>
          <t>日付</t>
        </is>
      </c>
      <c r="C3" s="51" t="inlineStr">
        <is>
          <t>改訂内容</t>
        </is>
      </c>
      <c r="D3" s="51" t="inlineStr">
        <is>
          <t>改訂者</t>
        </is>
      </c>
      <c r="E3" s="51" t="inlineStr">
        <is>
          <t>承認者</t>
        </is>
      </c>
    </row>
    <row r="4" ht="15" customHeight="1" s="22">
      <c r="A4" s="35" t="inlineStr">
        <is>
          <t>1.0</t>
        </is>
      </c>
      <c r="B4" s="55" t="n">
        <v>46306</v>
      </c>
      <c r="C4" s="54" t="inlineStr">
        <is>
          <t>制定（承認前の案）</t>
        </is>
      </c>
      <c r="D4" s="35" t="inlineStr">
        <is>
          <t>予算移管事務局</t>
        </is>
      </c>
      <c r="E4" s="35" t="n"/>
    </row>
    <row r="5" ht="15" customHeight="1" s="22">
      <c r="A5" s="35" t="inlineStr">
        <is>
          <t>1.1</t>
        </is>
      </c>
      <c r="B5" s="55" t="n">
        <v>46306</v>
      </c>
      <c r="C5" s="54" t="inlineStr">
        <is>
          <t>名義変更の手配の項目（旧No.3）を削除し、個別移管の項目（No.5）を足した。予算の項目を、案件全体が一括であることの確認に改めた</t>
        </is>
      </c>
      <c r="D5" s="35" t="inlineStr">
        <is>
          <t>予算移管事務局</t>
        </is>
      </c>
      <c r="E5" s="35" t="n"/>
    </row>
    <row r="6" ht="15" customHeight="1" s="22">
      <c r="A6" s="35" t="inlineStr">
        <is>
          <t>1.2</t>
        </is>
      </c>
      <c r="B6" s="55" t="n">
        <v>46306</v>
      </c>
      <c r="C6" s="54" t="inlineStr">
        <is>
          <t>移管の稟議の承認を確かめる項目（旧No.4）を削除した（稟議の期限は12/31で、準備完了の確認の期限12/18より後のため）。GxPの項目（No.3）を、変更管理の起票と完了予定の確認に改めた（SOPの改訂の完了は問わない）。No.2 に、1月から受け手が始められることを加えた</t>
        </is>
      </c>
      <c r="D6" s="35" t="inlineStr">
        <is>
          <t>予算移管事務局</t>
        </is>
      </c>
      <c r="E6" s="35" t="n"/>
    </row>
    <row r="7" ht="15" customHeight="1" s="22">
      <c r="A7" s="35" t="inlineStr">
        <is>
          <t>1.3</t>
        </is>
      </c>
      <c r="B7" s="55" t="n">
        <v>46307</v>
      </c>
      <c r="C7" s="54" t="inlineStr">
        <is>
          <t>個別移管の項目（旧No.4）を削除した。No.1 を合意文書の承認に、No.3 を経過措置の手続きの起票と完了予定の記録に改めた</t>
        </is>
      </c>
      <c r="D7" s="35" t="inlineStr">
        <is>
          <t>予算移管事務局</t>
        </is>
      </c>
      <c r="E7" s="35" t="n"/>
    </row>
    <row r="8" ht="15" customHeight="1" s="22">
      <c r="A8" s="35" t="n"/>
      <c r="B8" s="35" t="n"/>
      <c r="C8" s="35" t="n"/>
      <c r="D8" s="35" t="n"/>
      <c r="E8" s="35" t="n"/>
    </row>
    <row r="9" ht="15" customHeight="1" s="22">
      <c r="A9" s="35" t="n"/>
      <c r="B9" s="35" t="n"/>
      <c r="C9" s="35" t="n"/>
      <c r="D9" s="35" t="n"/>
      <c r="E9" s="3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2026-09-29T22:34:21Z</dcterms:created>
  <dcterms:modified xmlns:dcterms="http://purl.org/dc/terms/" xmlns:xsi="http://www.w3.org/2001/XMLSchema-instance" xsi:type="dcterms:W3CDTF">2026-10-12T05:13:25Z</dcterms:modified>
  <cp:revision>0</cp:revision>
</cp:coreProperties>
</file>