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算一覧" sheetId="1" state="visible" r:id="rId1"/>
    <sheet xmlns:r="http://schemas.openxmlformats.org/officeDocument/2006/relationships" name="モニタリング" sheetId="2" state="visible" r:id="rId2"/>
    <sheet xmlns:r="http://schemas.openxmlformats.org/officeDocument/2006/relationships" name="進捗" sheetId="3" state="visible" r:id="rId3"/>
    <sheet xmlns:r="http://schemas.openxmlformats.org/officeDocument/2006/relationships" name="窓口" sheetId="4" state="visible" r:id="rId4"/>
    <sheet xmlns:r="http://schemas.openxmlformats.org/officeDocument/2006/relationships" name="紐付け" sheetId="5" state="visible" r:id="rId5"/>
    <sheet xmlns:r="http://schemas.openxmlformats.org/officeDocument/2006/relationships" name="システム" sheetId="6" state="visible" r:id="rId6"/>
    <sheet xmlns:r="http://schemas.openxmlformats.org/officeDocument/2006/relationships" name="業務" sheetId="7" state="visible" r:id="rId7"/>
    <sheet xmlns:r="http://schemas.openxmlformats.org/officeDocument/2006/relationships" name="契約" sheetId="8" state="visible" r:id="rId8"/>
    <sheet xmlns:r="http://schemas.openxmlformats.org/officeDocument/2006/relationships" name="タスク一覧" sheetId="9" state="visible" r:id="rId9"/>
    <sheet xmlns:r="http://schemas.openxmlformats.org/officeDocument/2006/relationships" name="判定表" sheetId="10" state="visible" r:id="rId10"/>
    <sheet xmlns:r="http://schemas.openxmlformats.org/officeDocument/2006/relationships" name="選択肢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  <sz val="10"/>
    </font>
    <font>
      <b val="1"/>
      <color rgb="00FFFFFF"/>
      <sz val="9"/>
    </font>
    <font>
      <color rgb="00777777"/>
      <sz val="10"/>
    </font>
    <font>
      <b val="1"/>
      <sz val="11"/>
    </font>
    <font>
      <b val="1"/>
    </font>
    <font>
      <sz val="10"/>
    </font>
  </fonts>
  <fills count="11">
    <fill>
      <patternFill/>
    </fill>
    <fill>
      <patternFill patternType="gray125"/>
    </fill>
    <fill>
      <patternFill patternType="solid">
        <fgColor rgb="00EAEFEE"/>
      </patternFill>
    </fill>
    <fill>
      <patternFill patternType="solid">
        <fgColor rgb="005A6B70"/>
      </patternFill>
    </fill>
    <fill>
      <patternFill patternType="solid">
        <fgColor rgb="007A8A8F"/>
      </patternFill>
    </fill>
    <fill>
      <patternFill patternType="solid">
        <fgColor rgb="003B7A4B"/>
      </patternFill>
    </fill>
    <fill>
      <patternFill patternType="solid">
        <fgColor rgb="009C5F17"/>
      </patternFill>
    </fill>
    <fill>
      <patternFill patternType="solid">
        <fgColor rgb="001C2B45"/>
      </patternFill>
    </fill>
    <fill>
      <patternFill patternType="solid">
        <fgColor rgb="00FBF7EA"/>
      </patternFill>
    </fill>
    <fill>
      <patternFill patternType="solid">
        <fgColor rgb="00F2F2F2"/>
      </patternFill>
    </fill>
    <fill>
      <patternFill patternType="solid">
        <fgColor rgb="00E2F0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6" borderId="0" pivotButton="0" quotePrefix="0" xfId="0"/>
    <xf numFmtId="0" fontId="4" fillId="7" borderId="0" applyAlignment="1" pivotButton="0" quotePrefix="0" xfId="0">
      <alignment horizontal="center"/>
    </xf>
    <xf numFmtId="0" fontId="0" fillId="7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8" borderId="1" pivotButton="0" quotePrefix="0" xfId="0"/>
    <xf numFmtId="3" fontId="5" fillId="8" borderId="1" pivotButton="0" quotePrefix="0" xfId="0"/>
    <xf numFmtId="3" fontId="5" fillId="9" borderId="1" pivotButton="0" quotePrefix="0" xfId="0"/>
    <xf numFmtId="0" fontId="5" fillId="9" borderId="1" pivotButton="0" quotePrefix="0" xfId="0"/>
    <xf numFmtId="164" fontId="5" fillId="8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9" borderId="1" pivotButton="0" quotePrefix="0" xfId="0"/>
    <xf numFmtId="0" fontId="0" fillId="9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164" fontId="5" fillId="9" borderId="1" pivotButton="0" quotePrefix="0" xfId="0"/>
    <xf numFmtId="164" fontId="0" fillId="9" borderId="1" pivotButton="0" quotePrefix="0" xfId="0"/>
    <xf numFmtId="0" fontId="8" fillId="0" borderId="1" pivotButton="0" quotePrefix="0" xfId="0"/>
    <xf numFmtId="0" fontId="3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3" fillId="2" borderId="0" pivotButton="0" quotePrefix="0" xfId="0"/>
    <xf numFmtId="164" fontId="5" fillId="8" borderId="1" pivotButton="0" quotePrefix="0" xfId="0"/>
    <xf numFmtId="164" fontId="0" fillId="0" borderId="1" pivotButton="0" quotePrefix="0" xfId="0"/>
    <xf numFmtId="164" fontId="5" fillId="9" borderId="1" pivotButton="0" quotePrefix="0" xfId="0"/>
    <xf numFmtId="164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2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3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3" customWidth="1" min="32" max="32"/>
    <col width="12" customWidth="1" min="33" max="33"/>
    <col width="12" customWidth="1" min="34" max="34"/>
    <col width="14" customWidth="1" min="35" max="35"/>
    <col width="11" customWidth="1" min="36" max="36"/>
    <col width="40" customWidth="1" min="37" max="37"/>
    <col width="11" customWidth="1" min="38" max="38"/>
    <col width="11" customWidth="1" min="39" max="39"/>
    <col width="11" customWidth="1" min="40" max="40"/>
    <col width="12" customWidth="1" min="41" max="41"/>
    <col width="13" customWidth="1" min="42" max="42"/>
    <col width="12" customWidth="1" min="43" max="43"/>
    <col width="22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width="14" customWidth="1" min="51" max="51"/>
    <col width="14" customWidth="1" min="52" max="52"/>
    <col width="16" customWidth="1" min="53" max="53"/>
  </cols>
  <sheetData>
    <row r="1">
      <c r="A1" s="1" t="inlineStr">
        <is>
          <t>予算一覧（案件一覧）</t>
        </is>
      </c>
    </row>
    <row r="2">
      <c r="A2" s="2" t="inlineStr">
        <is>
          <t>移管対象部門の予算シートに、移管に必要な列を足したもの。1行＝1案件。投資予算と経費予算が混在する案件は行を分ける。移管するのは予算・契約と、契約に基づく間接業務。直接業務は移管対象部門に残る。今年度から続く投資案件（投資の区分＝継続）は対象外で、移管対象部門に残る。移管判定（AL〜AN）は自動（移管／対象外／判定保留／—）。判定保留は入力が足りないことを示す。窓口担当（AY）は事務局が割り当てる。移管ステータス（AP）は窓口担当が更新し、「確認（自動）」に判定との食い違いを表示する。予算は全ての案件で一括移管の実施日に移す。経過措置（AO）は、担当の変更に正式な手続きが要るため、手続きが完了するまで今の担当のまま行う間接業務がある案件に「あり」と表示する。薄い色の行は記入例なので、使うときは削除する。</t>
        </is>
      </c>
    </row>
    <row r="3">
      <c r="A3" s="3" t="inlineStr">
        <is>
          <t>基本（移管対象部門の予算シート）</t>
        </is>
      </c>
      <c r="G3" s="5" t="inlineStr">
        <is>
          <t>今年度実績（見込み含む）</t>
        </is>
      </c>
      <c r="T3" s="5" t="inlineStr">
        <is>
          <t>来年度予算</t>
        </is>
      </c>
      <c r="AG3" s="3" t="inlineStr">
        <is>
          <t>予算移管事務局が記入</t>
        </is>
      </c>
      <c r="AK3" s="7" t="inlineStr">
        <is>
          <t>移管対象部門から</t>
        </is>
      </c>
      <c r="AL3" s="8" t="inlineStr">
        <is>
          <t>移管判定（自動）</t>
        </is>
      </c>
      <c r="AP3" s="10" t="inlineStr">
        <is>
          <t>移管ステータス</t>
        </is>
      </c>
      <c r="AY3" s="3" t="inlineStr">
        <is>
          <t>予算移管事務局が記入</t>
        </is>
      </c>
    </row>
    <row r="4" ht="34" customHeight="1">
      <c r="A4" s="12" t="inlineStr">
        <is>
          <t>案件ID</t>
        </is>
      </c>
      <c r="B4" s="12" t="inlineStr">
        <is>
          <t>案件名</t>
        </is>
      </c>
      <c r="C4" s="12" t="inlineStr">
        <is>
          <t>案件概要</t>
        </is>
      </c>
      <c r="D4" s="12" t="inlineStr">
        <is>
          <t>担当者</t>
        </is>
      </c>
      <c r="E4" s="12" t="inlineStr">
        <is>
          <t>コストセンター</t>
        </is>
      </c>
      <c r="F4" s="12" t="inlineStr">
        <is>
          <t>勘定科目</t>
        </is>
      </c>
      <c r="G4" s="12" t="inlineStr">
        <is>
          <t>1月</t>
        </is>
      </c>
      <c r="H4" s="12" t="inlineStr">
        <is>
          <t>2月</t>
        </is>
      </c>
      <c r="I4" s="12" t="inlineStr">
        <is>
          <t>3月</t>
        </is>
      </c>
      <c r="J4" s="12" t="inlineStr">
        <is>
          <t>4月</t>
        </is>
      </c>
      <c r="K4" s="12" t="inlineStr">
        <is>
          <t>5月</t>
        </is>
      </c>
      <c r="L4" s="12" t="inlineStr">
        <is>
          <t>6月</t>
        </is>
      </c>
      <c r="M4" s="12" t="inlineStr">
        <is>
          <t>7月</t>
        </is>
      </c>
      <c r="N4" s="12" t="inlineStr">
        <is>
          <t>8月</t>
        </is>
      </c>
      <c r="O4" s="12" t="inlineStr">
        <is>
          <t>9月</t>
        </is>
      </c>
      <c r="P4" s="12" t="inlineStr">
        <is>
          <t>10月</t>
        </is>
      </c>
      <c r="Q4" s="12" t="inlineStr">
        <is>
          <t>11月</t>
        </is>
      </c>
      <c r="R4" s="12" t="inlineStr">
        <is>
          <t>12月</t>
        </is>
      </c>
      <c r="S4" s="12" t="inlineStr">
        <is>
          <t>年額</t>
        </is>
      </c>
      <c r="T4" s="12" t="inlineStr">
        <is>
          <t>1月</t>
        </is>
      </c>
      <c r="U4" s="12" t="inlineStr">
        <is>
          <t>2月</t>
        </is>
      </c>
      <c r="V4" s="12" t="inlineStr">
        <is>
          <t>3月</t>
        </is>
      </c>
      <c r="W4" s="12" t="inlineStr">
        <is>
          <t>4月</t>
        </is>
      </c>
      <c r="X4" s="12" t="inlineStr">
        <is>
          <t>5月</t>
        </is>
      </c>
      <c r="Y4" s="12" t="inlineStr">
        <is>
          <t>6月</t>
        </is>
      </c>
      <c r="Z4" s="12" t="inlineStr">
        <is>
          <t>7月</t>
        </is>
      </c>
      <c r="AA4" s="12" t="inlineStr">
        <is>
          <t>8月</t>
        </is>
      </c>
      <c r="AB4" s="12" t="inlineStr">
        <is>
          <t>9月</t>
        </is>
      </c>
      <c r="AC4" s="12" t="inlineStr">
        <is>
          <t>10月</t>
        </is>
      </c>
      <c r="AD4" s="12" t="inlineStr">
        <is>
          <t>11月</t>
        </is>
      </c>
      <c r="AE4" s="12" t="inlineStr">
        <is>
          <t>12月</t>
        </is>
      </c>
      <c r="AF4" s="12" t="inlineStr">
        <is>
          <t>年額</t>
        </is>
      </c>
      <c r="AG4" s="12" t="inlineStr">
        <is>
          <t>部門</t>
        </is>
      </c>
      <c r="AH4" s="12" t="inlineStr">
        <is>
          <t>予算区分</t>
        </is>
      </c>
      <c r="AI4" s="12" t="inlineStr">
        <is>
          <t>費用の性質
（経費予算のみ）</t>
        </is>
      </c>
      <c r="AJ4" s="12" t="inlineStr">
        <is>
          <t>システム関連</t>
        </is>
      </c>
      <c r="AK4" s="12" t="inlineStr">
        <is>
          <t>移管対象部門のコメント
（懸念・条件）</t>
        </is>
      </c>
      <c r="AL4" s="12" t="inlineStr">
        <is>
          <t>予算（自動）</t>
        </is>
      </c>
      <c r="AM4" s="12" t="inlineStr">
        <is>
          <t>契約（自動）</t>
        </is>
      </c>
      <c r="AN4" s="12" t="inlineStr">
        <is>
          <t>間接業務（自動）</t>
        </is>
      </c>
      <c r="AO4" s="12" t="inlineStr">
        <is>
          <t>経過措置（自動）</t>
        </is>
      </c>
      <c r="AP4" s="12" t="inlineStr">
        <is>
          <t>移管ステータス</t>
        </is>
      </c>
      <c r="AQ4" s="12" t="inlineStr">
        <is>
          <t>ステータス更新日</t>
        </is>
      </c>
      <c r="AR4" s="12" t="inlineStr">
        <is>
          <t>確認（自動）</t>
        </is>
      </c>
      <c r="AS4" s="12" t="inlineStr">
        <is>
          <t>紐付けシステム数</t>
        </is>
      </c>
      <c r="AT4" s="12" t="inlineStr">
        <is>
          <t>業務のないシステム数</t>
        </is>
      </c>
      <c r="AU4" s="12" t="inlineStr">
        <is>
          <t>棚卸し未了の業務数</t>
        </is>
      </c>
      <c r="AV4" s="12" t="inlineStr">
        <is>
          <t>契約数</t>
        </is>
      </c>
      <c r="AW4" s="12" t="inlineStr">
        <is>
          <t>経過措置の業務数</t>
        </is>
      </c>
      <c r="AX4" s="12" t="n"/>
      <c r="AY4" s="12" t="inlineStr">
        <is>
          <t>窓口担当
（IT部門）</t>
        </is>
      </c>
      <c r="AZ4" s="12" t="inlineStr">
        <is>
          <t>投資の区分
（投資予算のみ）</t>
        </is>
      </c>
      <c r="BA4" s="12" t="n"/>
    </row>
    <row r="5">
      <c r="A5" s="13" t="inlineStr">
        <is>
          <t>BUD-001</t>
        </is>
      </c>
      <c r="B5" s="13" t="inlineStr">
        <is>
          <t>クラウド基盤の利用料（研究本部）</t>
        </is>
      </c>
      <c r="C5" s="13" t="inlineStr">
        <is>
          <t>研究本部が利用しているクラウド環境の利用料と運用委託</t>
        </is>
      </c>
      <c r="D5" s="13" t="inlineStr">
        <is>
          <t>山田</t>
        </is>
      </c>
      <c r="E5" s="13" t="inlineStr">
        <is>
          <t>CC-4100</t>
        </is>
      </c>
      <c r="F5" s="13" t="inlineStr">
        <is>
          <t>支払手数料</t>
        </is>
      </c>
      <c r="G5" s="14" t="n">
        <v>1200000</v>
      </c>
      <c r="H5" s="14" t="n">
        <v>1200000</v>
      </c>
      <c r="I5" s="14" t="n">
        <v>1200000</v>
      </c>
      <c r="J5" s="14" t="n">
        <v>1200000</v>
      </c>
      <c r="K5" s="14" t="n">
        <v>1200000</v>
      </c>
      <c r="L5" s="14" t="n">
        <v>1200000</v>
      </c>
      <c r="M5" s="14" t="n">
        <v>1200000</v>
      </c>
      <c r="N5" s="14" t="n">
        <v>1200000</v>
      </c>
      <c r="O5" s="14" t="n">
        <v>1200000</v>
      </c>
      <c r="P5" s="14" t="n">
        <v>1200000</v>
      </c>
      <c r="Q5" s="14" t="n">
        <v>1200000</v>
      </c>
      <c r="R5" s="14" t="n">
        <v>1200000</v>
      </c>
      <c r="S5" s="15">
        <f>IF(COUNT(G5:R5)=0,"",SUM(G5:R5))</f>
        <v/>
      </c>
      <c r="T5" s="14" t="n">
        <v>1250000</v>
      </c>
      <c r="U5" s="14" t="n">
        <v>1250000</v>
      </c>
      <c r="V5" s="14" t="n">
        <v>1250000</v>
      </c>
      <c r="W5" s="14" t="n">
        <v>1250000</v>
      </c>
      <c r="X5" s="14" t="n">
        <v>1250000</v>
      </c>
      <c r="Y5" s="14" t="n">
        <v>1250000</v>
      </c>
      <c r="Z5" s="14" t="n">
        <v>1250000</v>
      </c>
      <c r="AA5" s="14" t="n">
        <v>1250000</v>
      </c>
      <c r="AB5" s="14" t="n">
        <v>1250000</v>
      </c>
      <c r="AC5" s="14" t="n">
        <v>1250000</v>
      </c>
      <c r="AD5" s="14" t="n">
        <v>1250000</v>
      </c>
      <c r="AE5" s="14" t="n">
        <v>1250000</v>
      </c>
      <c r="AF5" s="15">
        <f>IF(COUNT(T5:AE5)=0,"",SUM(T5:AE5))</f>
        <v/>
      </c>
      <c r="AG5" s="13" t="inlineStr">
        <is>
          <t>研究本部</t>
        </is>
      </c>
      <c r="AH5" s="13" t="inlineStr">
        <is>
          <t>経費予算</t>
        </is>
      </c>
      <c r="AI5" s="13" t="inlineStr">
        <is>
          <t>変動費</t>
        </is>
      </c>
      <c r="AJ5" s="13" t="inlineStr">
        <is>
          <t>はい</t>
        </is>
      </c>
      <c r="AK5" s="13" t="inlineStr">
        <is>
          <t>基盤の運用は任せたい。構成変更への回答は今までどおり早くしてほしい</t>
        </is>
      </c>
      <c r="AL5" s="16">
        <f>IF($A5="","",IF(AJ5="いいえ","対象外",IF(AND(AH5="投資予算",AZ5="継続"),"対象外",IF(OR(AH5="",AJ5="",AJ5="未確認",AND(AH5="投資予算",OR(AZ5="",AZ5="未確認")),AM5="判定保留",AN5="判定保留"),"判定保留","移管"))))</f>
        <v/>
      </c>
      <c r="AM5" s="16">
        <f>IF($A5="","",IF(AJ5="いいえ","対象外",IF(AND(AH5="投資予算",AZ5="継続"),"対象外",IF(OR(AJ5="",AJ5="未確認"),"判定保留",IF(AV5=0,"—","移管")))))</f>
        <v/>
      </c>
      <c r="AN5" s="16">
        <f>IF($A5="","",IF(AJ5="いいえ","対象外",IF(AH5="投資予算","—",IF(OR(AH5="",AJ5="",AJ5="未確認",AS5=0,AT5&gt;0,AU5&gt;0),"判定保留","移管"))))</f>
        <v/>
      </c>
      <c r="AO5" s="16">
        <f>IF($A5="","",IF(AL5&lt;&gt;"移管","—",IF(AW5&gt;0,"あり","なし")))</f>
        <v/>
      </c>
      <c r="AP5" s="13" t="inlineStr">
        <is>
          <t>合意済み</t>
        </is>
      </c>
      <c r="AQ5" s="32" t="n">
        <v>46357</v>
      </c>
      <c r="AR5" s="16">
        <f>IF($A5="","",IF(AP5="","ステータス未設定",IF(AND(AL5="対象外",AP5&lt;&gt;"対象外"),"判定は対象外",IF(AND(AL5&lt;&gt;"対象外",AP5="対象外"),"判定は対象外ではない",IF(AND(AL5="判定保留",AP5&lt;&gt;"棚卸し中"),"判定保留が残っている",IF(AND(AL5="移管",AP5="棚卸し中"),"判定保留なし（棚卸し済みへ）",""))))))</f>
        <v/>
      </c>
      <c r="AS5" s="16">
        <f>IF($A5="","",COUNTIFS('紐付け'!$A$4:$A$200,$A5,'紐付け'!$C$4:$C$200,"&lt;&gt;"))</f>
        <v/>
      </c>
      <c r="AT5" s="16">
        <f>IF($A5="","",SUMPRODUCT(('紐付け'!$A$4:$A$200=$A5)*('紐付け'!$C$4:$C$200&lt;&gt;"")*(COUNTIFS('業務'!$C$4:$C$200,'紐付け'!$C$4:$C$200,'業務'!$F$4:$F$200,"間接業務",'業務'!$U$4:$U$200,$A5)=0)))</f>
        <v/>
      </c>
      <c r="AU5" s="16">
        <f>IF($A5="","",COUNTIFS('業務'!$U$4:$U$200,$A5,'業務'!$A$4:$A$200,"&lt;&gt;",'業務'!$J$4:$J$200,"&lt;&gt;済"))</f>
        <v/>
      </c>
      <c r="AV5" s="16">
        <f>IF($A5="","",COUNTIF('契約'!$C$4:$C$200,$A5))</f>
        <v/>
      </c>
      <c r="AW5" s="16">
        <f>IF($A5="","",COUNTIFS('業務'!$U$4:$U$200,$A5,'業務'!$A$4:$A$200,"&lt;&gt;",'業務'!$S$4:$S$200,"&lt;&gt;",'業務'!$F$4:$F$200,"間接業務"))</f>
        <v/>
      </c>
      <c r="AX5" s="16" t="n"/>
      <c r="AY5" s="13" t="inlineStr">
        <is>
          <t>（記入例）</t>
        </is>
      </c>
      <c r="AZ5" s="13" t="n"/>
      <c r="BA5" s="15" t="n"/>
    </row>
    <row r="6">
      <c r="A6" s="13" t="inlineStr">
        <is>
          <t>BUD-002</t>
        </is>
      </c>
      <c r="B6" s="13" t="inlineStr">
        <is>
          <t>品質文書システムの保守</t>
        </is>
      </c>
      <c r="C6" s="13" t="inlineStr">
        <is>
          <t>eDMSの保守契約とバリデーション支援</t>
        </is>
      </c>
      <c r="D6" s="13" t="inlineStr">
        <is>
          <t>佐藤</t>
        </is>
      </c>
      <c r="E6" s="13" t="inlineStr">
        <is>
          <t>CC-3200</t>
        </is>
      </c>
      <c r="F6" s="13" t="inlineStr">
        <is>
          <t>修繕費</t>
        </is>
      </c>
      <c r="G6" s="14" t="n">
        <v>0</v>
      </c>
      <c r="H6" s="14" t="n">
        <v>0</v>
      </c>
      <c r="I6" s="14" t="n">
        <v>0</v>
      </c>
      <c r="J6" s="14" t="n">
        <v>4500000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4500000</v>
      </c>
      <c r="Q6" s="14" t="n">
        <v>0</v>
      </c>
      <c r="R6" s="14" t="n">
        <v>0</v>
      </c>
      <c r="S6" s="15">
        <f>IF(COUNT(G6:R6)=0,"",SUM(G6:R6))</f>
        <v/>
      </c>
      <c r="T6" s="14" t="n">
        <v>0</v>
      </c>
      <c r="U6" s="14" t="n">
        <v>0</v>
      </c>
      <c r="V6" s="14" t="n">
        <v>0</v>
      </c>
      <c r="W6" s="14" t="n">
        <v>4700000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4700000</v>
      </c>
      <c r="AD6" s="14" t="n">
        <v>0</v>
      </c>
      <c r="AE6" s="14" t="n">
        <v>0</v>
      </c>
      <c r="AF6" s="15">
        <f>IF(COUNT(T6:AE6)=0,"",SUM(T6:AE6))</f>
        <v/>
      </c>
      <c r="AG6" s="13" t="inlineStr">
        <is>
          <t>品質保証部</t>
        </is>
      </c>
      <c r="AH6" s="13" t="inlineStr">
        <is>
          <t>経費予算</t>
        </is>
      </c>
      <c r="AI6" s="13" t="inlineStr">
        <is>
          <t>固定費</t>
        </is>
      </c>
      <c r="AJ6" s="13" t="inlineStr">
        <is>
          <t>はい</t>
        </is>
      </c>
      <c r="AK6" s="13" t="inlineStr">
        <is>
          <t>アカウント管理は部門の担当者が行っている。GxPの手順を変えずに引き継いでほしい</t>
        </is>
      </c>
      <c r="AL6" s="16">
        <f>IF($A6="","",IF(AJ6="いいえ","対象外",IF(AND(AH6="投資予算",AZ6="継続"),"対象外",IF(OR(AH6="",AJ6="",AJ6="未確認",AND(AH6="投資予算",OR(AZ6="",AZ6="未確認")),AM6="判定保留",AN6="判定保留"),"判定保留","移管"))))</f>
        <v/>
      </c>
      <c r="AM6" s="16">
        <f>IF($A6="","",IF(AJ6="いいえ","対象外",IF(AND(AH6="投資予算",AZ6="継続"),"対象外",IF(OR(AJ6="",AJ6="未確認"),"判定保留",IF(AV6=0,"—","移管")))))</f>
        <v/>
      </c>
      <c r="AN6" s="16">
        <f>IF($A6="","",IF(AJ6="いいえ","対象外",IF(AH6="投資予算","—",IF(OR(AH6="",AJ6="",AJ6="未確認",AS6=0,AT6&gt;0,AU6&gt;0),"判定保留","移管"))))</f>
        <v/>
      </c>
      <c r="AO6" s="16">
        <f>IF($A6="","",IF(AL6&lt;&gt;"移管","—",IF(AW6&gt;0,"あり","なし")))</f>
        <v/>
      </c>
      <c r="AP6" s="13" t="inlineStr">
        <is>
          <t>合意済み</t>
        </is>
      </c>
      <c r="AQ6" s="32" t="n">
        <v>46366</v>
      </c>
      <c r="AR6" s="16">
        <f>IF($A6="","",IF(AP6="","ステータス未設定",IF(AND(AL6="対象外",AP6&lt;&gt;"対象外"),"判定は対象外",IF(AND(AL6&lt;&gt;"対象外",AP6="対象外"),"判定は対象外ではない",IF(AND(AL6="判定保留",AP6&lt;&gt;"棚卸し中"),"判定保留が残っている",IF(AND(AL6="移管",AP6="棚卸し中"),"判定保留なし（棚卸し済みへ）",""))))))</f>
        <v/>
      </c>
      <c r="AS6" s="16">
        <f>IF($A6="","",COUNTIFS('紐付け'!$A$4:$A$200,$A6,'紐付け'!$C$4:$C$200,"&lt;&gt;"))</f>
        <v/>
      </c>
      <c r="AT6" s="16">
        <f>IF($A6="","",SUMPRODUCT(('紐付け'!$A$4:$A$200=$A6)*('紐付け'!$C$4:$C$200&lt;&gt;"")*(COUNTIFS('業務'!$C$4:$C$200,'紐付け'!$C$4:$C$200,'業務'!$F$4:$F$200,"間接業務",'業務'!$U$4:$U$200,$A6)=0)))</f>
        <v/>
      </c>
      <c r="AU6" s="16">
        <f>IF($A6="","",COUNTIFS('業務'!$U$4:$U$200,$A6,'業務'!$A$4:$A$200,"&lt;&gt;",'業務'!$J$4:$J$200,"&lt;&gt;済"))</f>
        <v/>
      </c>
      <c r="AV6" s="16">
        <f>IF($A6="","",COUNTIF('契約'!$C$4:$C$200,$A6))</f>
        <v/>
      </c>
      <c r="AW6" s="16">
        <f>IF($A6="","",COUNTIFS('業務'!$U$4:$U$200,$A6,'業務'!$A$4:$A$200,"&lt;&gt;",'業務'!$S$4:$S$200,"&lt;&gt;",'業務'!$F$4:$F$200,"間接業務"))</f>
        <v/>
      </c>
      <c r="AX6" s="16" t="n"/>
      <c r="AY6" s="13" t="inlineStr">
        <is>
          <t>（記入例）</t>
        </is>
      </c>
      <c r="AZ6" s="13" t="n"/>
      <c r="BA6" s="15" t="n"/>
    </row>
    <row r="7">
      <c r="A7" s="13" t="inlineStr">
        <is>
          <t>BUD-003</t>
        </is>
      </c>
      <c r="B7" s="13" t="inlineStr">
        <is>
          <t>実験データ集計ツールの改修</t>
        </is>
      </c>
      <c r="C7" s="13" t="inlineStr">
        <is>
          <t>研究本部だけで使う集計ツールの機能追加</t>
        </is>
      </c>
      <c r="D7" s="13" t="inlineStr">
        <is>
          <t>鈴木</t>
        </is>
      </c>
      <c r="E7" s="13" t="inlineStr">
        <is>
          <t>CC-4100</t>
        </is>
      </c>
      <c r="F7" s="13" t="inlineStr">
        <is>
          <t>外注費</t>
        </is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5">
        <f>IF(COUNT(G7:R7)=0,"",SUM(G7:R7))</f>
        <v/>
      </c>
      <c r="T7" s="14" t="n">
        <v>0</v>
      </c>
      <c r="U7" s="14" t="n">
        <v>0</v>
      </c>
      <c r="V7" s="14" t="n">
        <v>3000000</v>
      </c>
      <c r="W7" s="14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5">
        <f>IF(COUNT(T7:AE7)=0,"",SUM(T7:AE7))</f>
        <v/>
      </c>
      <c r="AG7" s="13" t="inlineStr">
        <is>
          <t>研究本部</t>
        </is>
      </c>
      <c r="AH7" s="13" t="inlineStr">
        <is>
          <t>投資予算</t>
        </is>
      </c>
      <c r="AI7" s="13" t="n"/>
      <c r="AJ7" s="13" t="inlineStr">
        <is>
          <t>はい</t>
        </is>
      </c>
      <c r="AK7" s="13" t="inlineStr">
        <is>
          <t>要件は引き続き部門で決めたい</t>
        </is>
      </c>
      <c r="AL7" s="16">
        <f>IF($A7="","",IF(AJ7="いいえ","対象外",IF(AND(AH7="投資予算",AZ7="継続"),"対象外",IF(OR(AH7="",AJ7="",AJ7="未確認",AND(AH7="投資予算",OR(AZ7="",AZ7="未確認")),AM7="判定保留",AN7="判定保留"),"判定保留","移管"))))</f>
        <v/>
      </c>
      <c r="AM7" s="16">
        <f>IF($A7="","",IF(AJ7="いいえ","対象外",IF(AND(AH7="投資予算",AZ7="継続"),"対象外",IF(OR(AJ7="",AJ7="未確認"),"判定保留",IF(AV7=0,"—","移管")))))</f>
        <v/>
      </c>
      <c r="AN7" s="16">
        <f>IF($A7="","",IF(AJ7="いいえ","対象外",IF(AH7="投資予算","—",IF(OR(AH7="",AJ7="",AJ7="未確認",AS7=0,AT7&gt;0,AU7&gt;0),"判定保留","移管"))))</f>
        <v/>
      </c>
      <c r="AO7" s="16">
        <f>IF($A7="","",IF(AL7&lt;&gt;"移管","—",IF(AW7&gt;0,"あり","なし")))</f>
        <v/>
      </c>
      <c r="AP7" s="13" t="inlineStr">
        <is>
          <t>対象外</t>
        </is>
      </c>
      <c r="AQ7" s="32" t="n">
        <v>46346</v>
      </c>
      <c r="AR7" s="16">
        <f>IF($A7="","",IF(AP7="","ステータス未設定",IF(AND(AL7="対象外",AP7&lt;&gt;"対象外"),"判定は対象外",IF(AND(AL7&lt;&gt;"対象外",AP7="対象外"),"判定は対象外ではない",IF(AND(AL7="判定保留",AP7&lt;&gt;"棚卸し中"),"判定保留が残っている",IF(AND(AL7="移管",AP7="棚卸し中"),"判定保留なし（棚卸し済みへ）",""))))))</f>
        <v/>
      </c>
      <c r="AS7" s="16">
        <f>IF($A7="","",COUNTIFS('紐付け'!$A$4:$A$200,$A7,'紐付け'!$C$4:$C$200,"&lt;&gt;"))</f>
        <v/>
      </c>
      <c r="AT7" s="16">
        <f>IF($A7="","",SUMPRODUCT(('紐付け'!$A$4:$A$200=$A7)*('紐付け'!$C$4:$C$200&lt;&gt;"")*(COUNTIFS('業務'!$C$4:$C$200,'紐付け'!$C$4:$C$200,'業務'!$F$4:$F$200,"間接業務",'業務'!$U$4:$U$200,$A7)=0)))</f>
        <v/>
      </c>
      <c r="AU7" s="16">
        <f>IF($A7="","",COUNTIFS('業務'!$U$4:$U$200,$A7,'業務'!$A$4:$A$200,"&lt;&gt;",'業務'!$J$4:$J$200,"&lt;&gt;済"))</f>
        <v/>
      </c>
      <c r="AV7" s="16">
        <f>IF($A7="","",COUNTIF('契約'!$C$4:$C$200,$A7))</f>
        <v/>
      </c>
      <c r="AW7" s="16">
        <f>IF($A7="","",COUNTIFS('業務'!$U$4:$U$200,$A7,'業務'!$A$4:$A$200,"&lt;&gt;",'業務'!$S$4:$S$200,"&lt;&gt;",'業務'!$F$4:$F$200,"間接業務"))</f>
        <v/>
      </c>
      <c r="AX7" s="16" t="n"/>
      <c r="AY7" s="13" t="inlineStr">
        <is>
          <t>（記入例）</t>
        </is>
      </c>
      <c r="AZ7" s="13" t="inlineStr">
        <is>
          <t>継続</t>
        </is>
      </c>
      <c r="BA7" s="15" t="n"/>
    </row>
    <row r="8">
      <c r="A8" s="18" t="n"/>
      <c r="B8" s="18" t="n"/>
      <c r="C8" s="18" t="n"/>
      <c r="D8" s="18" t="n"/>
      <c r="E8" s="18" t="n"/>
      <c r="F8" s="18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20">
        <f>IF(COUNT(G8:R8)=0,"",SUM(G8:R8))</f>
        <v/>
      </c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20">
        <f>IF(COUNT(T8:AE8)=0,"",SUM(T8:AE8))</f>
        <v/>
      </c>
      <c r="AG8" s="18" t="n"/>
      <c r="AH8" s="18" t="n"/>
      <c r="AI8" s="18" t="n"/>
      <c r="AJ8" s="18" t="n"/>
      <c r="AK8" s="18" t="n"/>
      <c r="AL8" s="21">
        <f>IF($A8="","",IF(AJ8="いいえ","対象外",IF(AND(AH8="投資予算",AZ8="継続"),"対象外",IF(OR(AH8="",AJ8="",AJ8="未確認",AND(AH8="投資予算",OR(AZ8="",AZ8="未確認")),AM8="判定保留",AN8="判定保留"),"判定保留","移管"))))</f>
        <v/>
      </c>
      <c r="AM8" s="21">
        <f>IF($A8="","",IF(AJ8="いいえ","対象外",IF(AND(AH8="投資予算",AZ8="継続"),"対象外",IF(OR(AJ8="",AJ8="未確認"),"判定保留",IF(AV8=0,"—","移管")))))</f>
        <v/>
      </c>
      <c r="AN8" s="21">
        <f>IF($A8="","",IF(AJ8="いいえ","対象外",IF(AH8="投資予算","—",IF(OR(AH8="",AJ8="",AJ8="未確認",AS8=0,AT8&gt;0,AU8&gt;0),"判定保留","移管"))))</f>
        <v/>
      </c>
      <c r="AO8" s="21">
        <f>IF($A8="","",IF(AL8&lt;&gt;"移管","—",IF(AW8&gt;0,"あり","なし")))</f>
        <v/>
      </c>
      <c r="AP8" s="18" t="n"/>
      <c r="AQ8" s="33" t="n"/>
      <c r="AR8" s="21">
        <f>IF($A8="","",IF(AP8="","ステータス未設定",IF(AND(AL8="対象外",AP8&lt;&gt;"対象外"),"判定は対象外",IF(AND(AL8&lt;&gt;"対象外",AP8="対象外"),"判定は対象外ではない",IF(AND(AL8="判定保留",AP8&lt;&gt;"棚卸し中"),"判定保留が残っている",IF(AND(AL8="移管",AP8="棚卸し中"),"判定保留なし（棚卸し済みへ）",""))))))</f>
        <v/>
      </c>
      <c r="AS8" s="21">
        <f>IF($A8="","",COUNTIFS('紐付け'!$A$4:$A$200,$A8,'紐付け'!$C$4:$C$200,"&lt;&gt;"))</f>
        <v/>
      </c>
      <c r="AT8" s="21">
        <f>IF($A8="","",SUMPRODUCT(('紐付け'!$A$4:$A$200=$A8)*('紐付け'!$C$4:$C$200&lt;&gt;"")*(COUNTIFS('業務'!$C$4:$C$200,'紐付け'!$C$4:$C$200,'業務'!$F$4:$F$200,"間接業務",'業務'!$U$4:$U$200,$A8)=0)))</f>
        <v/>
      </c>
      <c r="AU8" s="21">
        <f>IF($A8="","",COUNTIFS('業務'!$U$4:$U$200,$A8,'業務'!$A$4:$A$200,"&lt;&gt;",'業務'!$J$4:$J$200,"&lt;&gt;済"))</f>
        <v/>
      </c>
      <c r="AV8" s="21">
        <f>IF($A8="","",COUNTIF('契約'!$C$4:$C$200,$A8))</f>
        <v/>
      </c>
      <c r="AW8" s="21">
        <f>IF($A8="","",COUNTIFS('業務'!$U$4:$U$200,$A8,'業務'!$A$4:$A$200,"&lt;&gt;",'業務'!$S$4:$S$200,"&lt;&gt;",'業務'!$F$4:$F$200,"間接業務"))</f>
        <v/>
      </c>
      <c r="AX8" s="21" t="n"/>
      <c r="AY8" s="18" t="n"/>
      <c r="AZ8" s="18" t="n"/>
      <c r="BA8" s="20" t="n"/>
    </row>
    <row r="9">
      <c r="A9" s="18" t="n"/>
      <c r="B9" s="18" t="n"/>
      <c r="C9" s="18" t="n"/>
      <c r="D9" s="18" t="n"/>
      <c r="E9" s="18" t="n"/>
      <c r="F9" s="18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20">
        <f>IF(COUNT(G9:R9)=0,"",SUM(G9:R9))</f>
        <v/>
      </c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20">
        <f>IF(COUNT(T9:AE9)=0,"",SUM(T9:AE9))</f>
        <v/>
      </c>
      <c r="AG9" s="18" t="n"/>
      <c r="AH9" s="18" t="n"/>
      <c r="AI9" s="18" t="n"/>
      <c r="AJ9" s="18" t="n"/>
      <c r="AK9" s="18" t="n"/>
      <c r="AL9" s="21">
        <f>IF($A9="","",IF(AJ9="いいえ","対象外",IF(AND(AH9="投資予算",AZ9="継続"),"対象外",IF(OR(AH9="",AJ9="",AJ9="未確認",AND(AH9="投資予算",OR(AZ9="",AZ9="未確認")),AM9="判定保留",AN9="判定保留"),"判定保留","移管"))))</f>
        <v/>
      </c>
      <c r="AM9" s="21">
        <f>IF($A9="","",IF(AJ9="いいえ","対象外",IF(AND(AH9="投資予算",AZ9="継続"),"対象外",IF(OR(AJ9="",AJ9="未確認"),"判定保留",IF(AV9=0,"—","移管")))))</f>
        <v/>
      </c>
      <c r="AN9" s="21">
        <f>IF($A9="","",IF(AJ9="いいえ","対象外",IF(AH9="投資予算","—",IF(OR(AH9="",AJ9="",AJ9="未確認",AS9=0,AT9&gt;0,AU9&gt;0),"判定保留","移管"))))</f>
        <v/>
      </c>
      <c r="AO9" s="21">
        <f>IF($A9="","",IF(AL9&lt;&gt;"移管","—",IF(AW9&gt;0,"あり","なし")))</f>
        <v/>
      </c>
      <c r="AP9" s="18" t="n"/>
      <c r="AQ9" s="33" t="n"/>
      <c r="AR9" s="21">
        <f>IF($A9="","",IF(AP9="","ステータス未設定",IF(AND(AL9="対象外",AP9&lt;&gt;"対象外"),"判定は対象外",IF(AND(AL9&lt;&gt;"対象外",AP9="対象外"),"判定は対象外ではない",IF(AND(AL9="判定保留",AP9&lt;&gt;"棚卸し中"),"判定保留が残っている",IF(AND(AL9="移管",AP9="棚卸し中"),"判定保留なし（棚卸し済みへ）",""))))))</f>
        <v/>
      </c>
      <c r="AS9" s="21">
        <f>IF($A9="","",COUNTIFS('紐付け'!$A$4:$A$200,$A9,'紐付け'!$C$4:$C$200,"&lt;&gt;"))</f>
        <v/>
      </c>
      <c r="AT9" s="21">
        <f>IF($A9="","",SUMPRODUCT(('紐付け'!$A$4:$A$200=$A9)*('紐付け'!$C$4:$C$200&lt;&gt;"")*(COUNTIFS('業務'!$C$4:$C$200,'紐付け'!$C$4:$C$200,'業務'!$F$4:$F$200,"間接業務",'業務'!$U$4:$U$200,$A9)=0)))</f>
        <v/>
      </c>
      <c r="AU9" s="21">
        <f>IF($A9="","",COUNTIFS('業務'!$U$4:$U$200,$A9,'業務'!$A$4:$A$200,"&lt;&gt;",'業務'!$J$4:$J$200,"&lt;&gt;済"))</f>
        <v/>
      </c>
      <c r="AV9" s="21">
        <f>IF($A9="","",COUNTIF('契約'!$C$4:$C$200,$A9))</f>
        <v/>
      </c>
      <c r="AW9" s="21">
        <f>IF($A9="","",COUNTIFS('業務'!$U$4:$U$200,$A9,'業務'!$A$4:$A$200,"&lt;&gt;",'業務'!$S$4:$S$200,"&lt;&gt;",'業務'!$F$4:$F$200,"間接業務"))</f>
        <v/>
      </c>
      <c r="AX9" s="21" t="n"/>
      <c r="AY9" s="18" t="n"/>
      <c r="AZ9" s="18" t="n"/>
      <c r="BA9" s="20" t="n"/>
    </row>
    <row r="10">
      <c r="A10" s="18" t="n"/>
      <c r="B10" s="18" t="n"/>
      <c r="C10" s="18" t="n"/>
      <c r="D10" s="18" t="n"/>
      <c r="E10" s="18" t="n"/>
      <c r="F10" s="18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20">
        <f>IF(COUNT(G10:R10)=0,"",SUM(G10:R10))</f>
        <v/>
      </c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20">
        <f>IF(COUNT(T10:AE10)=0,"",SUM(T10:AE10))</f>
        <v/>
      </c>
      <c r="AG10" s="18" t="n"/>
      <c r="AH10" s="18" t="n"/>
      <c r="AI10" s="18" t="n"/>
      <c r="AJ10" s="18" t="n"/>
      <c r="AK10" s="18" t="n"/>
      <c r="AL10" s="21">
        <f>IF($A10="","",IF(AJ10="いいえ","対象外",IF(AND(AH10="投資予算",AZ10="継続"),"対象外",IF(OR(AH10="",AJ10="",AJ10="未確認",AND(AH10="投資予算",OR(AZ10="",AZ10="未確認")),AM10="判定保留",AN10="判定保留"),"判定保留","移管"))))</f>
        <v/>
      </c>
      <c r="AM10" s="21">
        <f>IF($A10="","",IF(AJ10="いいえ","対象外",IF(AND(AH10="投資予算",AZ10="継続"),"対象外",IF(OR(AJ10="",AJ10="未確認"),"判定保留",IF(AV10=0,"—","移管")))))</f>
        <v/>
      </c>
      <c r="AN10" s="21">
        <f>IF($A10="","",IF(AJ10="いいえ","対象外",IF(AH10="投資予算","—",IF(OR(AH10="",AJ10="",AJ10="未確認",AS10=0,AT10&gt;0,AU10&gt;0),"判定保留","移管"))))</f>
        <v/>
      </c>
      <c r="AO10" s="21">
        <f>IF($A10="","",IF(AL10&lt;&gt;"移管","—",IF(AW10&gt;0,"あり","なし")))</f>
        <v/>
      </c>
      <c r="AP10" s="18" t="n"/>
      <c r="AQ10" s="33" t="n"/>
      <c r="AR10" s="21">
        <f>IF($A10="","",IF(AP10="","ステータス未設定",IF(AND(AL10="対象外",AP10&lt;&gt;"対象外"),"判定は対象外",IF(AND(AL10&lt;&gt;"対象外",AP10="対象外"),"判定は対象外ではない",IF(AND(AL10="判定保留",AP10&lt;&gt;"棚卸し中"),"判定保留が残っている",IF(AND(AL10="移管",AP10="棚卸し中"),"判定保留なし（棚卸し済みへ）",""))))))</f>
        <v/>
      </c>
      <c r="AS10" s="21">
        <f>IF($A10="","",COUNTIFS('紐付け'!$A$4:$A$200,$A10,'紐付け'!$C$4:$C$200,"&lt;&gt;"))</f>
        <v/>
      </c>
      <c r="AT10" s="21">
        <f>IF($A10="","",SUMPRODUCT(('紐付け'!$A$4:$A$200=$A10)*('紐付け'!$C$4:$C$200&lt;&gt;"")*(COUNTIFS('業務'!$C$4:$C$200,'紐付け'!$C$4:$C$200,'業務'!$F$4:$F$200,"間接業務",'業務'!$U$4:$U$200,$A10)=0)))</f>
        <v/>
      </c>
      <c r="AU10" s="21">
        <f>IF($A10="","",COUNTIFS('業務'!$U$4:$U$200,$A10,'業務'!$A$4:$A$200,"&lt;&gt;",'業務'!$J$4:$J$200,"&lt;&gt;済"))</f>
        <v/>
      </c>
      <c r="AV10" s="21">
        <f>IF($A10="","",COUNTIF('契約'!$C$4:$C$200,$A10))</f>
        <v/>
      </c>
      <c r="AW10" s="21">
        <f>IF($A10="","",COUNTIFS('業務'!$U$4:$U$200,$A10,'業務'!$A$4:$A$200,"&lt;&gt;",'業務'!$S$4:$S$200,"&lt;&gt;",'業務'!$F$4:$F$200,"間接業務"))</f>
        <v/>
      </c>
      <c r="AX10" s="21" t="n"/>
      <c r="AY10" s="18" t="n"/>
      <c r="AZ10" s="18" t="n"/>
      <c r="BA10" s="20" t="n"/>
    </row>
    <row r="11">
      <c r="A11" s="18" t="n"/>
      <c r="B11" s="18" t="n"/>
      <c r="C11" s="18" t="n"/>
      <c r="D11" s="18" t="n"/>
      <c r="E11" s="18" t="n"/>
      <c r="F11" s="18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20">
        <f>IF(COUNT(G11:R11)=0,"",SUM(G11:R11))</f>
        <v/>
      </c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20">
        <f>IF(COUNT(T11:AE11)=0,"",SUM(T11:AE11))</f>
        <v/>
      </c>
      <c r="AG11" s="18" t="n"/>
      <c r="AH11" s="18" t="n"/>
      <c r="AI11" s="18" t="n"/>
      <c r="AJ11" s="18" t="n"/>
      <c r="AK11" s="18" t="n"/>
      <c r="AL11" s="21">
        <f>IF($A11="","",IF(AJ11="いいえ","対象外",IF(AND(AH11="投資予算",AZ11="継続"),"対象外",IF(OR(AH11="",AJ11="",AJ11="未確認",AND(AH11="投資予算",OR(AZ11="",AZ11="未確認")),AM11="判定保留",AN11="判定保留"),"判定保留","移管"))))</f>
        <v/>
      </c>
      <c r="AM11" s="21">
        <f>IF($A11="","",IF(AJ11="いいえ","対象外",IF(AND(AH11="投資予算",AZ11="継続"),"対象外",IF(OR(AJ11="",AJ11="未確認"),"判定保留",IF(AV11=0,"—","移管")))))</f>
        <v/>
      </c>
      <c r="AN11" s="21">
        <f>IF($A11="","",IF(AJ11="いいえ","対象外",IF(AH11="投資予算","—",IF(OR(AH11="",AJ11="",AJ11="未確認",AS11=0,AT11&gt;0,AU11&gt;0),"判定保留","移管"))))</f>
        <v/>
      </c>
      <c r="AO11" s="21">
        <f>IF($A11="","",IF(AL11&lt;&gt;"移管","—",IF(AW11&gt;0,"あり","なし")))</f>
        <v/>
      </c>
      <c r="AP11" s="18" t="n"/>
      <c r="AQ11" s="33" t="n"/>
      <c r="AR11" s="21">
        <f>IF($A11="","",IF(AP11="","ステータス未設定",IF(AND(AL11="対象外",AP11&lt;&gt;"対象外"),"判定は対象外",IF(AND(AL11&lt;&gt;"対象外",AP11="対象外"),"判定は対象外ではない",IF(AND(AL11="判定保留",AP11&lt;&gt;"棚卸し中"),"判定保留が残っている",IF(AND(AL11="移管",AP11="棚卸し中"),"判定保留なし（棚卸し済みへ）",""))))))</f>
        <v/>
      </c>
      <c r="AS11" s="21">
        <f>IF($A11="","",COUNTIFS('紐付け'!$A$4:$A$200,$A11,'紐付け'!$C$4:$C$200,"&lt;&gt;"))</f>
        <v/>
      </c>
      <c r="AT11" s="21">
        <f>IF($A11="","",SUMPRODUCT(('紐付け'!$A$4:$A$200=$A11)*('紐付け'!$C$4:$C$200&lt;&gt;"")*(COUNTIFS('業務'!$C$4:$C$200,'紐付け'!$C$4:$C$200,'業務'!$F$4:$F$200,"間接業務",'業務'!$U$4:$U$200,$A11)=0)))</f>
        <v/>
      </c>
      <c r="AU11" s="21">
        <f>IF($A11="","",COUNTIFS('業務'!$U$4:$U$200,$A11,'業務'!$A$4:$A$200,"&lt;&gt;",'業務'!$J$4:$J$200,"&lt;&gt;済"))</f>
        <v/>
      </c>
      <c r="AV11" s="21">
        <f>IF($A11="","",COUNTIF('契約'!$C$4:$C$200,$A11))</f>
        <v/>
      </c>
      <c r="AW11" s="21">
        <f>IF($A11="","",COUNTIFS('業務'!$U$4:$U$200,$A11,'業務'!$A$4:$A$200,"&lt;&gt;",'業務'!$S$4:$S$200,"&lt;&gt;",'業務'!$F$4:$F$200,"間接業務"))</f>
        <v/>
      </c>
      <c r="AX11" s="21" t="n"/>
      <c r="AY11" s="18" t="n"/>
      <c r="AZ11" s="18" t="n"/>
      <c r="BA11" s="20" t="n"/>
    </row>
    <row r="12">
      <c r="A12" s="18" t="n"/>
      <c r="B12" s="18" t="n"/>
      <c r="C12" s="18" t="n"/>
      <c r="D12" s="18" t="n"/>
      <c r="E12" s="18" t="n"/>
      <c r="F12" s="18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20">
        <f>IF(COUNT(G12:R12)=0,"",SUM(G12:R12))</f>
        <v/>
      </c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20">
        <f>IF(COUNT(T12:AE12)=0,"",SUM(T12:AE12))</f>
        <v/>
      </c>
      <c r="AG12" s="18" t="n"/>
      <c r="AH12" s="18" t="n"/>
      <c r="AI12" s="18" t="n"/>
      <c r="AJ12" s="18" t="n"/>
      <c r="AK12" s="18" t="n"/>
      <c r="AL12" s="21">
        <f>IF($A12="","",IF(AJ12="いいえ","対象外",IF(AND(AH12="投資予算",AZ12="継続"),"対象外",IF(OR(AH12="",AJ12="",AJ12="未確認",AND(AH12="投資予算",OR(AZ12="",AZ12="未確認")),AM12="判定保留",AN12="判定保留"),"判定保留","移管"))))</f>
        <v/>
      </c>
      <c r="AM12" s="21">
        <f>IF($A12="","",IF(AJ12="いいえ","対象外",IF(AND(AH12="投資予算",AZ12="継続"),"対象外",IF(OR(AJ12="",AJ12="未確認"),"判定保留",IF(AV12=0,"—","移管")))))</f>
        <v/>
      </c>
      <c r="AN12" s="21">
        <f>IF($A12="","",IF(AJ12="いいえ","対象外",IF(AH12="投資予算","—",IF(OR(AH12="",AJ12="",AJ12="未確認",AS12=0,AT12&gt;0,AU12&gt;0),"判定保留","移管"))))</f>
        <v/>
      </c>
      <c r="AO12" s="21">
        <f>IF($A12="","",IF(AL12&lt;&gt;"移管","—",IF(AW12&gt;0,"あり","なし")))</f>
        <v/>
      </c>
      <c r="AP12" s="18" t="n"/>
      <c r="AQ12" s="33" t="n"/>
      <c r="AR12" s="21">
        <f>IF($A12="","",IF(AP12="","ステータス未設定",IF(AND(AL12="対象外",AP12&lt;&gt;"対象外"),"判定は対象外",IF(AND(AL12&lt;&gt;"対象外",AP12="対象外"),"判定は対象外ではない",IF(AND(AL12="判定保留",AP12&lt;&gt;"棚卸し中"),"判定保留が残っている",IF(AND(AL12="移管",AP12="棚卸し中"),"判定保留なし（棚卸し済みへ）",""))))))</f>
        <v/>
      </c>
      <c r="AS12" s="21">
        <f>IF($A12="","",COUNTIFS('紐付け'!$A$4:$A$200,$A12,'紐付け'!$C$4:$C$200,"&lt;&gt;"))</f>
        <v/>
      </c>
      <c r="AT12" s="21">
        <f>IF($A12="","",SUMPRODUCT(('紐付け'!$A$4:$A$200=$A12)*('紐付け'!$C$4:$C$200&lt;&gt;"")*(COUNTIFS('業務'!$C$4:$C$200,'紐付け'!$C$4:$C$200,'業務'!$F$4:$F$200,"間接業務",'業務'!$U$4:$U$200,$A12)=0)))</f>
        <v/>
      </c>
      <c r="AU12" s="21">
        <f>IF($A12="","",COUNTIFS('業務'!$U$4:$U$200,$A12,'業務'!$A$4:$A$200,"&lt;&gt;",'業務'!$J$4:$J$200,"&lt;&gt;済"))</f>
        <v/>
      </c>
      <c r="AV12" s="21">
        <f>IF($A12="","",COUNTIF('契約'!$C$4:$C$200,$A12))</f>
        <v/>
      </c>
      <c r="AW12" s="21">
        <f>IF($A12="","",COUNTIFS('業務'!$U$4:$U$200,$A12,'業務'!$A$4:$A$200,"&lt;&gt;",'業務'!$S$4:$S$200,"&lt;&gt;",'業務'!$F$4:$F$200,"間接業務"))</f>
        <v/>
      </c>
      <c r="AX12" s="21" t="n"/>
      <c r="AY12" s="18" t="n"/>
      <c r="AZ12" s="18" t="n"/>
      <c r="BA12" s="20" t="n"/>
    </row>
    <row r="13">
      <c r="A13" s="18" t="n"/>
      <c r="B13" s="18" t="n"/>
      <c r="C13" s="18" t="n"/>
      <c r="D13" s="18" t="n"/>
      <c r="E13" s="18" t="n"/>
      <c r="F13" s="18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20">
        <f>IF(COUNT(G13:R13)=0,"",SUM(G13:R13))</f>
        <v/>
      </c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20">
        <f>IF(COUNT(T13:AE13)=0,"",SUM(T13:AE13))</f>
        <v/>
      </c>
      <c r="AG13" s="18" t="n"/>
      <c r="AH13" s="18" t="n"/>
      <c r="AI13" s="18" t="n"/>
      <c r="AJ13" s="18" t="n"/>
      <c r="AK13" s="18" t="n"/>
      <c r="AL13" s="21">
        <f>IF($A13="","",IF(AJ13="いいえ","対象外",IF(AND(AH13="投資予算",AZ13="継続"),"対象外",IF(OR(AH13="",AJ13="",AJ13="未確認",AND(AH13="投資予算",OR(AZ13="",AZ13="未確認")),AM13="判定保留",AN13="判定保留"),"判定保留","移管"))))</f>
        <v/>
      </c>
      <c r="AM13" s="21">
        <f>IF($A13="","",IF(AJ13="いいえ","対象外",IF(AND(AH13="投資予算",AZ13="継続"),"対象外",IF(OR(AJ13="",AJ13="未確認"),"判定保留",IF(AV13=0,"—","移管")))))</f>
        <v/>
      </c>
      <c r="AN13" s="21">
        <f>IF($A13="","",IF(AJ13="いいえ","対象外",IF(AH13="投資予算","—",IF(OR(AH13="",AJ13="",AJ13="未確認",AS13=0,AT13&gt;0,AU13&gt;0),"判定保留","移管"))))</f>
        <v/>
      </c>
      <c r="AO13" s="21">
        <f>IF($A13="","",IF(AL13&lt;&gt;"移管","—",IF(AW13&gt;0,"あり","なし")))</f>
        <v/>
      </c>
      <c r="AP13" s="18" t="n"/>
      <c r="AQ13" s="33" t="n"/>
      <c r="AR13" s="21">
        <f>IF($A13="","",IF(AP13="","ステータス未設定",IF(AND(AL13="対象外",AP13&lt;&gt;"対象外"),"判定は対象外",IF(AND(AL13&lt;&gt;"対象外",AP13="対象外"),"判定は対象外ではない",IF(AND(AL13="判定保留",AP13&lt;&gt;"棚卸し中"),"判定保留が残っている",IF(AND(AL13="移管",AP13="棚卸し中"),"判定保留なし（棚卸し済みへ）",""))))))</f>
        <v/>
      </c>
      <c r="AS13" s="21">
        <f>IF($A13="","",COUNTIFS('紐付け'!$A$4:$A$200,$A13,'紐付け'!$C$4:$C$200,"&lt;&gt;"))</f>
        <v/>
      </c>
      <c r="AT13" s="21">
        <f>IF($A13="","",SUMPRODUCT(('紐付け'!$A$4:$A$200=$A13)*('紐付け'!$C$4:$C$200&lt;&gt;"")*(COUNTIFS('業務'!$C$4:$C$200,'紐付け'!$C$4:$C$200,'業務'!$F$4:$F$200,"間接業務",'業務'!$U$4:$U$200,$A13)=0)))</f>
        <v/>
      </c>
      <c r="AU13" s="21">
        <f>IF($A13="","",COUNTIFS('業務'!$U$4:$U$200,$A13,'業務'!$A$4:$A$200,"&lt;&gt;",'業務'!$J$4:$J$200,"&lt;&gt;済"))</f>
        <v/>
      </c>
      <c r="AV13" s="21">
        <f>IF($A13="","",COUNTIF('契約'!$C$4:$C$200,$A13))</f>
        <v/>
      </c>
      <c r="AW13" s="21">
        <f>IF($A13="","",COUNTIFS('業務'!$U$4:$U$200,$A13,'業務'!$A$4:$A$200,"&lt;&gt;",'業務'!$S$4:$S$200,"&lt;&gt;",'業務'!$F$4:$F$200,"間接業務"))</f>
        <v/>
      </c>
      <c r="AX13" s="21" t="n"/>
      <c r="AY13" s="18" t="n"/>
      <c r="AZ13" s="18" t="n"/>
      <c r="BA13" s="20" t="n"/>
    </row>
    <row r="14">
      <c r="A14" s="18" t="n"/>
      <c r="B14" s="18" t="n"/>
      <c r="C14" s="18" t="n"/>
      <c r="D14" s="18" t="n"/>
      <c r="E14" s="18" t="n"/>
      <c r="F14" s="18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20">
        <f>IF(COUNT(G14:R14)=0,"",SUM(G14:R14))</f>
        <v/>
      </c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20">
        <f>IF(COUNT(T14:AE14)=0,"",SUM(T14:AE14))</f>
        <v/>
      </c>
      <c r="AG14" s="18" t="n"/>
      <c r="AH14" s="18" t="n"/>
      <c r="AI14" s="18" t="n"/>
      <c r="AJ14" s="18" t="n"/>
      <c r="AK14" s="18" t="n"/>
      <c r="AL14" s="21">
        <f>IF($A14="","",IF(AJ14="いいえ","対象外",IF(AND(AH14="投資予算",AZ14="継続"),"対象外",IF(OR(AH14="",AJ14="",AJ14="未確認",AND(AH14="投資予算",OR(AZ14="",AZ14="未確認")),AM14="判定保留",AN14="判定保留"),"判定保留","移管"))))</f>
        <v/>
      </c>
      <c r="AM14" s="21">
        <f>IF($A14="","",IF(AJ14="いいえ","対象外",IF(AND(AH14="投資予算",AZ14="継続"),"対象外",IF(OR(AJ14="",AJ14="未確認"),"判定保留",IF(AV14=0,"—","移管")))))</f>
        <v/>
      </c>
      <c r="AN14" s="21">
        <f>IF($A14="","",IF(AJ14="いいえ","対象外",IF(AH14="投資予算","—",IF(OR(AH14="",AJ14="",AJ14="未確認",AS14=0,AT14&gt;0,AU14&gt;0),"判定保留","移管"))))</f>
        <v/>
      </c>
      <c r="AO14" s="21">
        <f>IF($A14="","",IF(AL14&lt;&gt;"移管","—",IF(AW14&gt;0,"あり","なし")))</f>
        <v/>
      </c>
      <c r="AP14" s="18" t="n"/>
      <c r="AQ14" s="33" t="n"/>
      <c r="AR14" s="21">
        <f>IF($A14="","",IF(AP14="","ステータス未設定",IF(AND(AL14="対象外",AP14&lt;&gt;"対象外"),"判定は対象外",IF(AND(AL14&lt;&gt;"対象外",AP14="対象外"),"判定は対象外ではない",IF(AND(AL14="判定保留",AP14&lt;&gt;"棚卸し中"),"判定保留が残っている",IF(AND(AL14="移管",AP14="棚卸し中"),"判定保留なし（棚卸し済みへ）",""))))))</f>
        <v/>
      </c>
      <c r="AS14" s="21">
        <f>IF($A14="","",COUNTIFS('紐付け'!$A$4:$A$200,$A14,'紐付け'!$C$4:$C$200,"&lt;&gt;"))</f>
        <v/>
      </c>
      <c r="AT14" s="21">
        <f>IF($A14="","",SUMPRODUCT(('紐付け'!$A$4:$A$200=$A14)*('紐付け'!$C$4:$C$200&lt;&gt;"")*(COUNTIFS('業務'!$C$4:$C$200,'紐付け'!$C$4:$C$200,'業務'!$F$4:$F$200,"間接業務",'業務'!$U$4:$U$200,$A14)=0)))</f>
        <v/>
      </c>
      <c r="AU14" s="21">
        <f>IF($A14="","",COUNTIFS('業務'!$U$4:$U$200,$A14,'業務'!$A$4:$A$200,"&lt;&gt;",'業務'!$J$4:$J$200,"&lt;&gt;済"))</f>
        <v/>
      </c>
      <c r="AV14" s="21">
        <f>IF($A14="","",COUNTIF('契約'!$C$4:$C$200,$A14))</f>
        <v/>
      </c>
      <c r="AW14" s="21">
        <f>IF($A14="","",COUNTIFS('業務'!$U$4:$U$200,$A14,'業務'!$A$4:$A$200,"&lt;&gt;",'業務'!$S$4:$S$200,"&lt;&gt;",'業務'!$F$4:$F$200,"間接業務"))</f>
        <v/>
      </c>
      <c r="AX14" s="21" t="n"/>
      <c r="AY14" s="18" t="n"/>
      <c r="AZ14" s="18" t="n"/>
      <c r="BA14" s="20" t="n"/>
    </row>
    <row r="15">
      <c r="A15" s="18" t="n"/>
      <c r="B15" s="18" t="n"/>
      <c r="C15" s="18" t="n"/>
      <c r="D15" s="18" t="n"/>
      <c r="E15" s="18" t="n"/>
      <c r="F15" s="18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20">
        <f>IF(COUNT(G15:R15)=0,"",SUM(G15:R15))</f>
        <v/>
      </c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20">
        <f>IF(COUNT(T15:AE15)=0,"",SUM(T15:AE15))</f>
        <v/>
      </c>
      <c r="AG15" s="18" t="n"/>
      <c r="AH15" s="18" t="n"/>
      <c r="AI15" s="18" t="n"/>
      <c r="AJ15" s="18" t="n"/>
      <c r="AK15" s="18" t="n"/>
      <c r="AL15" s="21">
        <f>IF($A15="","",IF(AJ15="いいえ","対象外",IF(AND(AH15="投資予算",AZ15="継続"),"対象外",IF(OR(AH15="",AJ15="",AJ15="未確認",AND(AH15="投資予算",OR(AZ15="",AZ15="未確認")),AM15="判定保留",AN15="判定保留"),"判定保留","移管"))))</f>
        <v/>
      </c>
      <c r="AM15" s="21">
        <f>IF($A15="","",IF(AJ15="いいえ","対象外",IF(AND(AH15="投資予算",AZ15="継続"),"対象外",IF(OR(AJ15="",AJ15="未確認"),"判定保留",IF(AV15=0,"—","移管")))))</f>
        <v/>
      </c>
      <c r="AN15" s="21">
        <f>IF($A15="","",IF(AJ15="いいえ","対象外",IF(AH15="投資予算","—",IF(OR(AH15="",AJ15="",AJ15="未確認",AS15=0,AT15&gt;0,AU15&gt;0),"判定保留","移管"))))</f>
        <v/>
      </c>
      <c r="AO15" s="21">
        <f>IF($A15="","",IF(AL15&lt;&gt;"移管","—",IF(AW15&gt;0,"あり","なし")))</f>
        <v/>
      </c>
      <c r="AP15" s="18" t="n"/>
      <c r="AQ15" s="33" t="n"/>
      <c r="AR15" s="21">
        <f>IF($A15="","",IF(AP15="","ステータス未設定",IF(AND(AL15="対象外",AP15&lt;&gt;"対象外"),"判定は対象外",IF(AND(AL15&lt;&gt;"対象外",AP15="対象外"),"判定は対象外ではない",IF(AND(AL15="判定保留",AP15&lt;&gt;"棚卸し中"),"判定保留が残っている",IF(AND(AL15="移管",AP15="棚卸し中"),"判定保留なし（棚卸し済みへ）",""))))))</f>
        <v/>
      </c>
      <c r="AS15" s="21">
        <f>IF($A15="","",COUNTIFS('紐付け'!$A$4:$A$200,$A15,'紐付け'!$C$4:$C$200,"&lt;&gt;"))</f>
        <v/>
      </c>
      <c r="AT15" s="21">
        <f>IF($A15="","",SUMPRODUCT(('紐付け'!$A$4:$A$200=$A15)*('紐付け'!$C$4:$C$200&lt;&gt;"")*(COUNTIFS('業務'!$C$4:$C$200,'紐付け'!$C$4:$C$200,'業務'!$F$4:$F$200,"間接業務",'業務'!$U$4:$U$200,$A15)=0)))</f>
        <v/>
      </c>
      <c r="AU15" s="21">
        <f>IF($A15="","",COUNTIFS('業務'!$U$4:$U$200,$A15,'業務'!$A$4:$A$200,"&lt;&gt;",'業務'!$J$4:$J$200,"&lt;&gt;済"))</f>
        <v/>
      </c>
      <c r="AV15" s="21">
        <f>IF($A15="","",COUNTIF('契約'!$C$4:$C$200,$A15))</f>
        <v/>
      </c>
      <c r="AW15" s="21">
        <f>IF($A15="","",COUNTIFS('業務'!$U$4:$U$200,$A15,'業務'!$A$4:$A$200,"&lt;&gt;",'業務'!$S$4:$S$200,"&lt;&gt;",'業務'!$F$4:$F$200,"間接業務"))</f>
        <v/>
      </c>
      <c r="AX15" s="21" t="n"/>
      <c r="AY15" s="18" t="n"/>
      <c r="AZ15" s="18" t="n"/>
      <c r="BA15" s="20" t="n"/>
    </row>
    <row r="16">
      <c r="A16" s="18" t="n"/>
      <c r="B16" s="18" t="n"/>
      <c r="C16" s="18" t="n"/>
      <c r="D16" s="18" t="n"/>
      <c r="E16" s="18" t="n"/>
      <c r="F16" s="18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20">
        <f>IF(COUNT(G16:R16)=0,"",SUM(G16:R16))</f>
        <v/>
      </c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20">
        <f>IF(COUNT(T16:AE16)=0,"",SUM(T16:AE16))</f>
        <v/>
      </c>
      <c r="AG16" s="18" t="n"/>
      <c r="AH16" s="18" t="n"/>
      <c r="AI16" s="18" t="n"/>
      <c r="AJ16" s="18" t="n"/>
      <c r="AK16" s="18" t="n"/>
      <c r="AL16" s="21">
        <f>IF($A16="","",IF(AJ16="いいえ","対象外",IF(AND(AH16="投資予算",AZ16="継続"),"対象外",IF(OR(AH16="",AJ16="",AJ16="未確認",AND(AH16="投資予算",OR(AZ16="",AZ16="未確認")),AM16="判定保留",AN16="判定保留"),"判定保留","移管"))))</f>
        <v/>
      </c>
      <c r="AM16" s="21">
        <f>IF($A16="","",IF(AJ16="いいえ","対象外",IF(AND(AH16="投資予算",AZ16="継続"),"対象外",IF(OR(AJ16="",AJ16="未確認"),"判定保留",IF(AV16=0,"—","移管")))))</f>
        <v/>
      </c>
      <c r="AN16" s="21">
        <f>IF($A16="","",IF(AJ16="いいえ","対象外",IF(AH16="投資予算","—",IF(OR(AH16="",AJ16="",AJ16="未確認",AS16=0,AT16&gt;0,AU16&gt;0),"判定保留","移管"))))</f>
        <v/>
      </c>
      <c r="AO16" s="21">
        <f>IF($A16="","",IF(AL16&lt;&gt;"移管","—",IF(AW16&gt;0,"あり","なし")))</f>
        <v/>
      </c>
      <c r="AP16" s="18" t="n"/>
      <c r="AQ16" s="33" t="n"/>
      <c r="AR16" s="21">
        <f>IF($A16="","",IF(AP16="","ステータス未設定",IF(AND(AL16="対象外",AP16&lt;&gt;"対象外"),"判定は対象外",IF(AND(AL16&lt;&gt;"対象外",AP16="対象外"),"判定は対象外ではない",IF(AND(AL16="判定保留",AP16&lt;&gt;"棚卸し中"),"判定保留が残っている",IF(AND(AL16="移管",AP16="棚卸し中"),"判定保留なし（棚卸し済みへ）",""))))))</f>
        <v/>
      </c>
      <c r="AS16" s="21">
        <f>IF($A16="","",COUNTIFS('紐付け'!$A$4:$A$200,$A16,'紐付け'!$C$4:$C$200,"&lt;&gt;"))</f>
        <v/>
      </c>
      <c r="AT16" s="21">
        <f>IF($A16="","",SUMPRODUCT(('紐付け'!$A$4:$A$200=$A16)*('紐付け'!$C$4:$C$200&lt;&gt;"")*(COUNTIFS('業務'!$C$4:$C$200,'紐付け'!$C$4:$C$200,'業務'!$F$4:$F$200,"間接業務",'業務'!$U$4:$U$200,$A16)=0)))</f>
        <v/>
      </c>
      <c r="AU16" s="21">
        <f>IF($A16="","",COUNTIFS('業務'!$U$4:$U$200,$A16,'業務'!$A$4:$A$200,"&lt;&gt;",'業務'!$J$4:$J$200,"&lt;&gt;済"))</f>
        <v/>
      </c>
      <c r="AV16" s="21">
        <f>IF($A16="","",COUNTIF('契約'!$C$4:$C$200,$A16))</f>
        <v/>
      </c>
      <c r="AW16" s="21">
        <f>IF($A16="","",COUNTIFS('業務'!$U$4:$U$200,$A16,'業務'!$A$4:$A$200,"&lt;&gt;",'業務'!$S$4:$S$200,"&lt;&gt;",'業務'!$F$4:$F$200,"間接業務"))</f>
        <v/>
      </c>
      <c r="AX16" s="21" t="n"/>
      <c r="AY16" s="18" t="n"/>
      <c r="AZ16" s="18" t="n"/>
      <c r="BA16" s="20" t="n"/>
    </row>
    <row r="17">
      <c r="A17" s="18" t="n"/>
      <c r="B17" s="18" t="n"/>
      <c r="C17" s="18" t="n"/>
      <c r="D17" s="18" t="n"/>
      <c r="E17" s="18" t="n"/>
      <c r="F17" s="18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20">
        <f>IF(COUNT(G17:R17)=0,"",SUM(G17:R17))</f>
        <v/>
      </c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20">
        <f>IF(COUNT(T17:AE17)=0,"",SUM(T17:AE17))</f>
        <v/>
      </c>
      <c r="AG17" s="18" t="n"/>
      <c r="AH17" s="18" t="n"/>
      <c r="AI17" s="18" t="n"/>
      <c r="AJ17" s="18" t="n"/>
      <c r="AK17" s="18" t="n"/>
      <c r="AL17" s="21">
        <f>IF($A17="","",IF(AJ17="いいえ","対象外",IF(AND(AH17="投資予算",AZ17="継続"),"対象外",IF(OR(AH17="",AJ17="",AJ17="未確認",AND(AH17="投資予算",OR(AZ17="",AZ17="未確認")),AM17="判定保留",AN17="判定保留"),"判定保留","移管"))))</f>
        <v/>
      </c>
      <c r="AM17" s="21">
        <f>IF($A17="","",IF(AJ17="いいえ","対象外",IF(AND(AH17="投資予算",AZ17="継続"),"対象外",IF(OR(AJ17="",AJ17="未確認"),"判定保留",IF(AV17=0,"—","移管")))))</f>
        <v/>
      </c>
      <c r="AN17" s="21">
        <f>IF($A17="","",IF(AJ17="いいえ","対象外",IF(AH17="投資予算","—",IF(OR(AH17="",AJ17="",AJ17="未確認",AS17=0,AT17&gt;0,AU17&gt;0),"判定保留","移管"))))</f>
        <v/>
      </c>
      <c r="AO17" s="21">
        <f>IF($A17="","",IF(AL17&lt;&gt;"移管","—",IF(AW17&gt;0,"あり","なし")))</f>
        <v/>
      </c>
      <c r="AP17" s="18" t="n"/>
      <c r="AQ17" s="33" t="n"/>
      <c r="AR17" s="21">
        <f>IF($A17="","",IF(AP17="","ステータス未設定",IF(AND(AL17="対象外",AP17&lt;&gt;"対象外"),"判定は対象外",IF(AND(AL17&lt;&gt;"対象外",AP17="対象外"),"判定は対象外ではない",IF(AND(AL17="判定保留",AP17&lt;&gt;"棚卸し中"),"判定保留が残っている",IF(AND(AL17="移管",AP17="棚卸し中"),"判定保留なし（棚卸し済みへ）",""))))))</f>
        <v/>
      </c>
      <c r="AS17" s="21">
        <f>IF($A17="","",COUNTIFS('紐付け'!$A$4:$A$200,$A17,'紐付け'!$C$4:$C$200,"&lt;&gt;"))</f>
        <v/>
      </c>
      <c r="AT17" s="21">
        <f>IF($A17="","",SUMPRODUCT(('紐付け'!$A$4:$A$200=$A17)*('紐付け'!$C$4:$C$200&lt;&gt;"")*(COUNTIFS('業務'!$C$4:$C$200,'紐付け'!$C$4:$C$200,'業務'!$F$4:$F$200,"間接業務",'業務'!$U$4:$U$200,$A17)=0)))</f>
        <v/>
      </c>
      <c r="AU17" s="21">
        <f>IF($A17="","",COUNTIFS('業務'!$U$4:$U$200,$A17,'業務'!$A$4:$A$200,"&lt;&gt;",'業務'!$J$4:$J$200,"&lt;&gt;済"))</f>
        <v/>
      </c>
      <c r="AV17" s="21">
        <f>IF($A17="","",COUNTIF('契約'!$C$4:$C$200,$A17))</f>
        <v/>
      </c>
      <c r="AW17" s="21">
        <f>IF($A17="","",COUNTIFS('業務'!$U$4:$U$200,$A17,'業務'!$A$4:$A$200,"&lt;&gt;",'業務'!$S$4:$S$200,"&lt;&gt;",'業務'!$F$4:$F$200,"間接業務"))</f>
        <v/>
      </c>
      <c r="AX17" s="21" t="n"/>
      <c r="AY17" s="18" t="n"/>
      <c r="AZ17" s="18" t="n"/>
      <c r="BA17" s="20" t="n"/>
    </row>
    <row r="18">
      <c r="A18" s="18" t="n"/>
      <c r="B18" s="18" t="n"/>
      <c r="C18" s="18" t="n"/>
      <c r="D18" s="18" t="n"/>
      <c r="E18" s="18" t="n"/>
      <c r="F18" s="18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20">
        <f>IF(COUNT(G18:R18)=0,"",SUM(G18:R18))</f>
        <v/>
      </c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20">
        <f>IF(COUNT(T18:AE18)=0,"",SUM(T18:AE18))</f>
        <v/>
      </c>
      <c r="AG18" s="18" t="n"/>
      <c r="AH18" s="18" t="n"/>
      <c r="AI18" s="18" t="n"/>
      <c r="AJ18" s="18" t="n"/>
      <c r="AK18" s="18" t="n"/>
      <c r="AL18" s="21">
        <f>IF($A18="","",IF(AJ18="いいえ","対象外",IF(AND(AH18="投資予算",AZ18="継続"),"対象外",IF(OR(AH18="",AJ18="",AJ18="未確認",AND(AH18="投資予算",OR(AZ18="",AZ18="未確認")),AM18="判定保留",AN18="判定保留"),"判定保留","移管"))))</f>
        <v/>
      </c>
      <c r="AM18" s="21">
        <f>IF($A18="","",IF(AJ18="いいえ","対象外",IF(AND(AH18="投資予算",AZ18="継続"),"対象外",IF(OR(AJ18="",AJ18="未確認"),"判定保留",IF(AV18=0,"—","移管")))))</f>
        <v/>
      </c>
      <c r="AN18" s="21">
        <f>IF($A18="","",IF(AJ18="いいえ","対象外",IF(AH18="投資予算","—",IF(OR(AH18="",AJ18="",AJ18="未確認",AS18=0,AT18&gt;0,AU18&gt;0),"判定保留","移管"))))</f>
        <v/>
      </c>
      <c r="AO18" s="21">
        <f>IF($A18="","",IF(AL18&lt;&gt;"移管","—",IF(AW18&gt;0,"あり","なし")))</f>
        <v/>
      </c>
      <c r="AP18" s="18" t="n"/>
      <c r="AQ18" s="33" t="n"/>
      <c r="AR18" s="21">
        <f>IF($A18="","",IF(AP18="","ステータス未設定",IF(AND(AL18="対象外",AP18&lt;&gt;"対象外"),"判定は対象外",IF(AND(AL18&lt;&gt;"対象外",AP18="対象外"),"判定は対象外ではない",IF(AND(AL18="判定保留",AP18&lt;&gt;"棚卸し中"),"判定保留が残っている",IF(AND(AL18="移管",AP18="棚卸し中"),"判定保留なし（棚卸し済みへ）",""))))))</f>
        <v/>
      </c>
      <c r="AS18" s="21">
        <f>IF($A18="","",COUNTIFS('紐付け'!$A$4:$A$200,$A18,'紐付け'!$C$4:$C$200,"&lt;&gt;"))</f>
        <v/>
      </c>
      <c r="AT18" s="21">
        <f>IF($A18="","",SUMPRODUCT(('紐付け'!$A$4:$A$200=$A18)*('紐付け'!$C$4:$C$200&lt;&gt;"")*(COUNTIFS('業務'!$C$4:$C$200,'紐付け'!$C$4:$C$200,'業務'!$F$4:$F$200,"間接業務",'業務'!$U$4:$U$200,$A18)=0)))</f>
        <v/>
      </c>
      <c r="AU18" s="21">
        <f>IF($A18="","",COUNTIFS('業務'!$U$4:$U$200,$A18,'業務'!$A$4:$A$200,"&lt;&gt;",'業務'!$J$4:$J$200,"&lt;&gt;済"))</f>
        <v/>
      </c>
      <c r="AV18" s="21">
        <f>IF($A18="","",COUNTIF('契約'!$C$4:$C$200,$A18))</f>
        <v/>
      </c>
      <c r="AW18" s="21">
        <f>IF($A18="","",COUNTIFS('業務'!$U$4:$U$200,$A18,'業務'!$A$4:$A$200,"&lt;&gt;",'業務'!$S$4:$S$200,"&lt;&gt;",'業務'!$F$4:$F$200,"間接業務"))</f>
        <v/>
      </c>
      <c r="AX18" s="21" t="n"/>
      <c r="AY18" s="18" t="n"/>
      <c r="AZ18" s="18" t="n"/>
      <c r="BA18" s="20" t="n"/>
    </row>
    <row r="19">
      <c r="A19" s="18" t="n"/>
      <c r="B19" s="18" t="n"/>
      <c r="C19" s="18" t="n"/>
      <c r="D19" s="18" t="n"/>
      <c r="E19" s="18" t="n"/>
      <c r="F19" s="18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20">
        <f>IF(COUNT(G19:R19)=0,"",SUM(G19:R19))</f>
        <v/>
      </c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20">
        <f>IF(COUNT(T19:AE19)=0,"",SUM(T19:AE19))</f>
        <v/>
      </c>
      <c r="AG19" s="18" t="n"/>
      <c r="AH19" s="18" t="n"/>
      <c r="AI19" s="18" t="n"/>
      <c r="AJ19" s="18" t="n"/>
      <c r="AK19" s="18" t="n"/>
      <c r="AL19" s="21">
        <f>IF($A19="","",IF(AJ19="いいえ","対象外",IF(AND(AH19="投資予算",AZ19="継続"),"対象外",IF(OR(AH19="",AJ19="",AJ19="未確認",AND(AH19="投資予算",OR(AZ19="",AZ19="未確認")),AM19="判定保留",AN19="判定保留"),"判定保留","移管"))))</f>
        <v/>
      </c>
      <c r="AM19" s="21">
        <f>IF($A19="","",IF(AJ19="いいえ","対象外",IF(AND(AH19="投資予算",AZ19="継続"),"対象外",IF(OR(AJ19="",AJ19="未確認"),"判定保留",IF(AV19=0,"—","移管")))))</f>
        <v/>
      </c>
      <c r="AN19" s="21">
        <f>IF($A19="","",IF(AJ19="いいえ","対象外",IF(AH19="投資予算","—",IF(OR(AH19="",AJ19="",AJ19="未確認",AS19=0,AT19&gt;0,AU19&gt;0),"判定保留","移管"))))</f>
        <v/>
      </c>
      <c r="AO19" s="21">
        <f>IF($A19="","",IF(AL19&lt;&gt;"移管","—",IF(AW19&gt;0,"あり","なし")))</f>
        <v/>
      </c>
      <c r="AP19" s="18" t="n"/>
      <c r="AQ19" s="33" t="n"/>
      <c r="AR19" s="21">
        <f>IF($A19="","",IF(AP19="","ステータス未設定",IF(AND(AL19="対象外",AP19&lt;&gt;"対象外"),"判定は対象外",IF(AND(AL19&lt;&gt;"対象外",AP19="対象外"),"判定は対象外ではない",IF(AND(AL19="判定保留",AP19&lt;&gt;"棚卸し中"),"判定保留が残っている",IF(AND(AL19="移管",AP19="棚卸し中"),"判定保留なし（棚卸し済みへ）",""))))))</f>
        <v/>
      </c>
      <c r="AS19" s="21">
        <f>IF($A19="","",COUNTIFS('紐付け'!$A$4:$A$200,$A19,'紐付け'!$C$4:$C$200,"&lt;&gt;"))</f>
        <v/>
      </c>
      <c r="AT19" s="21">
        <f>IF($A19="","",SUMPRODUCT(('紐付け'!$A$4:$A$200=$A19)*('紐付け'!$C$4:$C$200&lt;&gt;"")*(COUNTIFS('業務'!$C$4:$C$200,'紐付け'!$C$4:$C$200,'業務'!$F$4:$F$200,"間接業務",'業務'!$U$4:$U$200,$A19)=0)))</f>
        <v/>
      </c>
      <c r="AU19" s="21">
        <f>IF($A19="","",COUNTIFS('業務'!$U$4:$U$200,$A19,'業務'!$A$4:$A$200,"&lt;&gt;",'業務'!$J$4:$J$200,"&lt;&gt;済"))</f>
        <v/>
      </c>
      <c r="AV19" s="21">
        <f>IF($A19="","",COUNTIF('契約'!$C$4:$C$200,$A19))</f>
        <v/>
      </c>
      <c r="AW19" s="21">
        <f>IF($A19="","",COUNTIFS('業務'!$U$4:$U$200,$A19,'業務'!$A$4:$A$200,"&lt;&gt;",'業務'!$S$4:$S$200,"&lt;&gt;",'業務'!$F$4:$F$200,"間接業務"))</f>
        <v/>
      </c>
      <c r="AX19" s="21" t="n"/>
      <c r="AY19" s="18" t="n"/>
      <c r="AZ19" s="18" t="n"/>
      <c r="BA19" s="20" t="n"/>
    </row>
    <row r="20">
      <c r="A20" s="18" t="n"/>
      <c r="B20" s="18" t="n"/>
      <c r="C20" s="18" t="n"/>
      <c r="D20" s="18" t="n"/>
      <c r="E20" s="18" t="n"/>
      <c r="F20" s="18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20">
        <f>IF(COUNT(G20:R20)=0,"",SUM(G20:R20))</f>
        <v/>
      </c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20">
        <f>IF(COUNT(T20:AE20)=0,"",SUM(T20:AE20))</f>
        <v/>
      </c>
      <c r="AG20" s="18" t="n"/>
      <c r="AH20" s="18" t="n"/>
      <c r="AI20" s="18" t="n"/>
      <c r="AJ20" s="18" t="n"/>
      <c r="AK20" s="18" t="n"/>
      <c r="AL20" s="21">
        <f>IF($A20="","",IF(AJ20="いいえ","対象外",IF(AND(AH20="投資予算",AZ20="継続"),"対象外",IF(OR(AH20="",AJ20="",AJ20="未確認",AND(AH20="投資予算",OR(AZ20="",AZ20="未確認")),AM20="判定保留",AN20="判定保留"),"判定保留","移管"))))</f>
        <v/>
      </c>
      <c r="AM20" s="21">
        <f>IF($A20="","",IF(AJ20="いいえ","対象外",IF(AND(AH20="投資予算",AZ20="継続"),"対象外",IF(OR(AJ20="",AJ20="未確認"),"判定保留",IF(AV20=0,"—","移管")))))</f>
        <v/>
      </c>
      <c r="AN20" s="21">
        <f>IF($A20="","",IF(AJ20="いいえ","対象外",IF(AH20="投資予算","—",IF(OR(AH20="",AJ20="",AJ20="未確認",AS20=0,AT20&gt;0,AU20&gt;0),"判定保留","移管"))))</f>
        <v/>
      </c>
      <c r="AO20" s="21">
        <f>IF($A20="","",IF(AL20&lt;&gt;"移管","—",IF(AW20&gt;0,"あり","なし")))</f>
        <v/>
      </c>
      <c r="AP20" s="18" t="n"/>
      <c r="AQ20" s="33" t="n"/>
      <c r="AR20" s="21">
        <f>IF($A20="","",IF(AP20="","ステータス未設定",IF(AND(AL20="対象外",AP20&lt;&gt;"対象外"),"判定は対象外",IF(AND(AL20&lt;&gt;"対象外",AP20="対象外"),"判定は対象外ではない",IF(AND(AL20="判定保留",AP20&lt;&gt;"棚卸し中"),"判定保留が残っている",IF(AND(AL20="移管",AP20="棚卸し中"),"判定保留なし（棚卸し済みへ）",""))))))</f>
        <v/>
      </c>
      <c r="AS20" s="21">
        <f>IF($A20="","",COUNTIFS('紐付け'!$A$4:$A$200,$A20,'紐付け'!$C$4:$C$200,"&lt;&gt;"))</f>
        <v/>
      </c>
      <c r="AT20" s="21">
        <f>IF($A20="","",SUMPRODUCT(('紐付け'!$A$4:$A$200=$A20)*('紐付け'!$C$4:$C$200&lt;&gt;"")*(COUNTIFS('業務'!$C$4:$C$200,'紐付け'!$C$4:$C$200,'業務'!$F$4:$F$200,"間接業務",'業務'!$U$4:$U$200,$A20)=0)))</f>
        <v/>
      </c>
      <c r="AU20" s="21">
        <f>IF($A20="","",COUNTIFS('業務'!$U$4:$U$200,$A20,'業務'!$A$4:$A$200,"&lt;&gt;",'業務'!$J$4:$J$200,"&lt;&gt;済"))</f>
        <v/>
      </c>
      <c r="AV20" s="21">
        <f>IF($A20="","",COUNTIF('契約'!$C$4:$C$200,$A20))</f>
        <v/>
      </c>
      <c r="AW20" s="21">
        <f>IF($A20="","",COUNTIFS('業務'!$U$4:$U$200,$A20,'業務'!$A$4:$A$200,"&lt;&gt;",'業務'!$S$4:$S$200,"&lt;&gt;",'業務'!$F$4:$F$200,"間接業務"))</f>
        <v/>
      </c>
      <c r="AX20" s="21" t="n"/>
      <c r="AY20" s="18" t="n"/>
      <c r="AZ20" s="18" t="n"/>
      <c r="BA20" s="20" t="n"/>
    </row>
    <row r="21">
      <c r="A21" s="18" t="n"/>
      <c r="B21" s="18" t="n"/>
      <c r="C21" s="18" t="n"/>
      <c r="D21" s="18" t="n"/>
      <c r="E21" s="18" t="n"/>
      <c r="F21" s="18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20">
        <f>IF(COUNT(G21:R21)=0,"",SUM(G21:R21))</f>
        <v/>
      </c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20">
        <f>IF(COUNT(T21:AE21)=0,"",SUM(T21:AE21))</f>
        <v/>
      </c>
      <c r="AG21" s="18" t="n"/>
      <c r="AH21" s="18" t="n"/>
      <c r="AI21" s="18" t="n"/>
      <c r="AJ21" s="18" t="n"/>
      <c r="AK21" s="18" t="n"/>
      <c r="AL21" s="21">
        <f>IF($A21="","",IF(AJ21="いいえ","対象外",IF(AND(AH21="投資予算",AZ21="継続"),"対象外",IF(OR(AH21="",AJ21="",AJ21="未確認",AND(AH21="投資予算",OR(AZ21="",AZ21="未確認")),AM21="判定保留",AN21="判定保留"),"判定保留","移管"))))</f>
        <v/>
      </c>
      <c r="AM21" s="21">
        <f>IF($A21="","",IF(AJ21="いいえ","対象外",IF(AND(AH21="投資予算",AZ21="継続"),"対象外",IF(OR(AJ21="",AJ21="未確認"),"判定保留",IF(AV21=0,"—","移管")))))</f>
        <v/>
      </c>
      <c r="AN21" s="21">
        <f>IF($A21="","",IF(AJ21="いいえ","対象外",IF(AH21="投資予算","—",IF(OR(AH21="",AJ21="",AJ21="未確認",AS21=0,AT21&gt;0,AU21&gt;0),"判定保留","移管"))))</f>
        <v/>
      </c>
      <c r="AO21" s="21">
        <f>IF($A21="","",IF(AL21&lt;&gt;"移管","—",IF(AW21&gt;0,"あり","なし")))</f>
        <v/>
      </c>
      <c r="AP21" s="18" t="n"/>
      <c r="AQ21" s="33" t="n"/>
      <c r="AR21" s="21">
        <f>IF($A21="","",IF(AP21="","ステータス未設定",IF(AND(AL21="対象外",AP21&lt;&gt;"対象外"),"判定は対象外",IF(AND(AL21&lt;&gt;"対象外",AP21="対象外"),"判定は対象外ではない",IF(AND(AL21="判定保留",AP21&lt;&gt;"棚卸し中"),"判定保留が残っている",IF(AND(AL21="移管",AP21="棚卸し中"),"判定保留なし（棚卸し済みへ）",""))))))</f>
        <v/>
      </c>
      <c r="AS21" s="21">
        <f>IF($A21="","",COUNTIFS('紐付け'!$A$4:$A$200,$A21,'紐付け'!$C$4:$C$200,"&lt;&gt;"))</f>
        <v/>
      </c>
      <c r="AT21" s="21">
        <f>IF($A21="","",SUMPRODUCT(('紐付け'!$A$4:$A$200=$A21)*('紐付け'!$C$4:$C$200&lt;&gt;"")*(COUNTIFS('業務'!$C$4:$C$200,'紐付け'!$C$4:$C$200,'業務'!$F$4:$F$200,"間接業務",'業務'!$U$4:$U$200,$A21)=0)))</f>
        <v/>
      </c>
      <c r="AU21" s="21">
        <f>IF($A21="","",COUNTIFS('業務'!$U$4:$U$200,$A21,'業務'!$A$4:$A$200,"&lt;&gt;",'業務'!$J$4:$J$200,"&lt;&gt;済"))</f>
        <v/>
      </c>
      <c r="AV21" s="21">
        <f>IF($A21="","",COUNTIF('契約'!$C$4:$C$200,$A21))</f>
        <v/>
      </c>
      <c r="AW21" s="21">
        <f>IF($A21="","",COUNTIFS('業務'!$U$4:$U$200,$A21,'業務'!$A$4:$A$200,"&lt;&gt;",'業務'!$S$4:$S$200,"&lt;&gt;",'業務'!$F$4:$F$200,"間接業務"))</f>
        <v/>
      </c>
      <c r="AX21" s="21" t="n"/>
      <c r="AY21" s="18" t="n"/>
      <c r="AZ21" s="18" t="n"/>
      <c r="BA21" s="20" t="n"/>
    </row>
    <row r="22">
      <c r="A22" s="18" t="n"/>
      <c r="B22" s="18" t="n"/>
      <c r="C22" s="18" t="n"/>
      <c r="D22" s="18" t="n"/>
      <c r="E22" s="18" t="n"/>
      <c r="F22" s="18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20">
        <f>IF(COUNT(G22:R22)=0,"",SUM(G22:R22))</f>
        <v/>
      </c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20">
        <f>IF(COUNT(T22:AE22)=0,"",SUM(T22:AE22))</f>
        <v/>
      </c>
      <c r="AG22" s="18" t="n"/>
      <c r="AH22" s="18" t="n"/>
      <c r="AI22" s="18" t="n"/>
      <c r="AJ22" s="18" t="n"/>
      <c r="AK22" s="18" t="n"/>
      <c r="AL22" s="21">
        <f>IF($A22="","",IF(AJ22="いいえ","対象外",IF(AND(AH22="投資予算",AZ22="継続"),"対象外",IF(OR(AH22="",AJ22="",AJ22="未確認",AND(AH22="投資予算",OR(AZ22="",AZ22="未確認")),AM22="判定保留",AN22="判定保留"),"判定保留","移管"))))</f>
        <v/>
      </c>
      <c r="AM22" s="21">
        <f>IF($A22="","",IF(AJ22="いいえ","対象外",IF(AND(AH22="投資予算",AZ22="継続"),"対象外",IF(OR(AJ22="",AJ22="未確認"),"判定保留",IF(AV22=0,"—","移管")))))</f>
        <v/>
      </c>
      <c r="AN22" s="21">
        <f>IF($A22="","",IF(AJ22="いいえ","対象外",IF(AH22="投資予算","—",IF(OR(AH22="",AJ22="",AJ22="未確認",AS22=0,AT22&gt;0,AU22&gt;0),"判定保留","移管"))))</f>
        <v/>
      </c>
      <c r="AO22" s="21">
        <f>IF($A22="","",IF(AL22&lt;&gt;"移管","—",IF(AW22&gt;0,"あり","なし")))</f>
        <v/>
      </c>
      <c r="AP22" s="18" t="n"/>
      <c r="AQ22" s="33" t="n"/>
      <c r="AR22" s="21">
        <f>IF($A22="","",IF(AP22="","ステータス未設定",IF(AND(AL22="対象外",AP22&lt;&gt;"対象外"),"判定は対象外",IF(AND(AL22&lt;&gt;"対象外",AP22="対象外"),"判定は対象外ではない",IF(AND(AL22="判定保留",AP22&lt;&gt;"棚卸し中"),"判定保留が残っている",IF(AND(AL22="移管",AP22="棚卸し中"),"判定保留なし（棚卸し済みへ）",""))))))</f>
        <v/>
      </c>
      <c r="AS22" s="21">
        <f>IF($A22="","",COUNTIFS('紐付け'!$A$4:$A$200,$A22,'紐付け'!$C$4:$C$200,"&lt;&gt;"))</f>
        <v/>
      </c>
      <c r="AT22" s="21">
        <f>IF($A22="","",SUMPRODUCT(('紐付け'!$A$4:$A$200=$A22)*('紐付け'!$C$4:$C$200&lt;&gt;"")*(COUNTIFS('業務'!$C$4:$C$200,'紐付け'!$C$4:$C$200,'業務'!$F$4:$F$200,"間接業務",'業務'!$U$4:$U$200,$A22)=0)))</f>
        <v/>
      </c>
      <c r="AU22" s="21">
        <f>IF($A22="","",COUNTIFS('業務'!$U$4:$U$200,$A22,'業務'!$A$4:$A$200,"&lt;&gt;",'業務'!$J$4:$J$200,"&lt;&gt;済"))</f>
        <v/>
      </c>
      <c r="AV22" s="21">
        <f>IF($A22="","",COUNTIF('契約'!$C$4:$C$200,$A22))</f>
        <v/>
      </c>
      <c r="AW22" s="21">
        <f>IF($A22="","",COUNTIFS('業務'!$U$4:$U$200,$A22,'業務'!$A$4:$A$200,"&lt;&gt;",'業務'!$S$4:$S$200,"&lt;&gt;",'業務'!$F$4:$F$200,"間接業務"))</f>
        <v/>
      </c>
      <c r="AX22" s="21" t="n"/>
      <c r="AY22" s="18" t="n"/>
      <c r="AZ22" s="18" t="n"/>
      <c r="BA22" s="20" t="n"/>
    </row>
    <row r="23">
      <c r="A23" s="18" t="n"/>
      <c r="B23" s="18" t="n"/>
      <c r="C23" s="18" t="n"/>
      <c r="D23" s="18" t="n"/>
      <c r="E23" s="18" t="n"/>
      <c r="F23" s="18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20">
        <f>IF(COUNT(G23:R23)=0,"",SUM(G23:R23))</f>
        <v/>
      </c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20">
        <f>IF(COUNT(T23:AE23)=0,"",SUM(T23:AE23))</f>
        <v/>
      </c>
      <c r="AG23" s="18" t="n"/>
      <c r="AH23" s="18" t="n"/>
      <c r="AI23" s="18" t="n"/>
      <c r="AJ23" s="18" t="n"/>
      <c r="AK23" s="18" t="n"/>
      <c r="AL23" s="21">
        <f>IF($A23="","",IF(AJ23="いいえ","対象外",IF(AND(AH23="投資予算",AZ23="継続"),"対象外",IF(OR(AH23="",AJ23="",AJ23="未確認",AND(AH23="投資予算",OR(AZ23="",AZ23="未確認")),AM23="判定保留",AN23="判定保留"),"判定保留","移管"))))</f>
        <v/>
      </c>
      <c r="AM23" s="21">
        <f>IF($A23="","",IF(AJ23="いいえ","対象外",IF(AND(AH23="投資予算",AZ23="継続"),"対象外",IF(OR(AJ23="",AJ23="未確認"),"判定保留",IF(AV23=0,"—","移管")))))</f>
        <v/>
      </c>
      <c r="AN23" s="21">
        <f>IF($A23="","",IF(AJ23="いいえ","対象外",IF(AH23="投資予算","—",IF(OR(AH23="",AJ23="",AJ23="未確認",AS23=0,AT23&gt;0,AU23&gt;0),"判定保留","移管"))))</f>
        <v/>
      </c>
      <c r="AO23" s="21">
        <f>IF($A23="","",IF(AL23&lt;&gt;"移管","—",IF(AW23&gt;0,"あり","なし")))</f>
        <v/>
      </c>
      <c r="AP23" s="18" t="n"/>
      <c r="AQ23" s="33" t="n"/>
      <c r="AR23" s="21">
        <f>IF($A23="","",IF(AP23="","ステータス未設定",IF(AND(AL23="対象外",AP23&lt;&gt;"対象外"),"判定は対象外",IF(AND(AL23&lt;&gt;"対象外",AP23="対象外"),"判定は対象外ではない",IF(AND(AL23="判定保留",AP23&lt;&gt;"棚卸し中"),"判定保留が残っている",IF(AND(AL23="移管",AP23="棚卸し中"),"判定保留なし（棚卸し済みへ）",""))))))</f>
        <v/>
      </c>
      <c r="AS23" s="21">
        <f>IF($A23="","",COUNTIFS('紐付け'!$A$4:$A$200,$A23,'紐付け'!$C$4:$C$200,"&lt;&gt;"))</f>
        <v/>
      </c>
      <c r="AT23" s="21">
        <f>IF($A23="","",SUMPRODUCT(('紐付け'!$A$4:$A$200=$A23)*('紐付け'!$C$4:$C$200&lt;&gt;"")*(COUNTIFS('業務'!$C$4:$C$200,'紐付け'!$C$4:$C$200,'業務'!$F$4:$F$200,"間接業務",'業務'!$U$4:$U$200,$A23)=0)))</f>
        <v/>
      </c>
      <c r="AU23" s="21">
        <f>IF($A23="","",COUNTIFS('業務'!$U$4:$U$200,$A23,'業務'!$A$4:$A$200,"&lt;&gt;",'業務'!$J$4:$J$200,"&lt;&gt;済"))</f>
        <v/>
      </c>
      <c r="AV23" s="21">
        <f>IF($A23="","",COUNTIF('契約'!$C$4:$C$200,$A23))</f>
        <v/>
      </c>
      <c r="AW23" s="21">
        <f>IF($A23="","",COUNTIFS('業務'!$U$4:$U$200,$A23,'業務'!$A$4:$A$200,"&lt;&gt;",'業務'!$S$4:$S$200,"&lt;&gt;",'業務'!$F$4:$F$200,"間接業務"))</f>
        <v/>
      </c>
      <c r="AX23" s="21" t="n"/>
      <c r="AY23" s="18" t="n"/>
      <c r="AZ23" s="18" t="n"/>
      <c r="BA23" s="20" t="n"/>
    </row>
    <row r="24">
      <c r="A24" s="18" t="n"/>
      <c r="B24" s="18" t="n"/>
      <c r="C24" s="18" t="n"/>
      <c r="D24" s="18" t="n"/>
      <c r="E24" s="18" t="n"/>
      <c r="F24" s="18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20">
        <f>IF(COUNT(G24:R24)=0,"",SUM(G24:R24))</f>
        <v/>
      </c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20">
        <f>IF(COUNT(T24:AE24)=0,"",SUM(T24:AE24))</f>
        <v/>
      </c>
      <c r="AG24" s="18" t="n"/>
      <c r="AH24" s="18" t="n"/>
      <c r="AI24" s="18" t="n"/>
      <c r="AJ24" s="18" t="n"/>
      <c r="AK24" s="18" t="n"/>
      <c r="AL24" s="21">
        <f>IF($A24="","",IF(AJ24="いいえ","対象外",IF(AND(AH24="投資予算",AZ24="継続"),"対象外",IF(OR(AH24="",AJ24="",AJ24="未確認",AND(AH24="投資予算",OR(AZ24="",AZ24="未確認")),AM24="判定保留",AN24="判定保留"),"判定保留","移管"))))</f>
        <v/>
      </c>
      <c r="AM24" s="21">
        <f>IF($A24="","",IF(AJ24="いいえ","対象外",IF(AND(AH24="投資予算",AZ24="継続"),"対象外",IF(OR(AJ24="",AJ24="未確認"),"判定保留",IF(AV24=0,"—","移管")))))</f>
        <v/>
      </c>
      <c r="AN24" s="21">
        <f>IF($A24="","",IF(AJ24="いいえ","対象外",IF(AH24="投資予算","—",IF(OR(AH24="",AJ24="",AJ24="未確認",AS24=0,AT24&gt;0,AU24&gt;0),"判定保留","移管"))))</f>
        <v/>
      </c>
      <c r="AO24" s="21">
        <f>IF($A24="","",IF(AL24&lt;&gt;"移管","—",IF(AW24&gt;0,"あり","なし")))</f>
        <v/>
      </c>
      <c r="AP24" s="18" t="n"/>
      <c r="AQ24" s="33" t="n"/>
      <c r="AR24" s="21">
        <f>IF($A24="","",IF(AP24="","ステータス未設定",IF(AND(AL24="対象外",AP24&lt;&gt;"対象外"),"判定は対象外",IF(AND(AL24&lt;&gt;"対象外",AP24="対象外"),"判定は対象外ではない",IF(AND(AL24="判定保留",AP24&lt;&gt;"棚卸し中"),"判定保留が残っている",IF(AND(AL24="移管",AP24="棚卸し中"),"判定保留なし（棚卸し済みへ）",""))))))</f>
        <v/>
      </c>
      <c r="AS24" s="21">
        <f>IF($A24="","",COUNTIFS('紐付け'!$A$4:$A$200,$A24,'紐付け'!$C$4:$C$200,"&lt;&gt;"))</f>
        <v/>
      </c>
      <c r="AT24" s="21">
        <f>IF($A24="","",SUMPRODUCT(('紐付け'!$A$4:$A$200=$A24)*('紐付け'!$C$4:$C$200&lt;&gt;"")*(COUNTIFS('業務'!$C$4:$C$200,'紐付け'!$C$4:$C$200,'業務'!$F$4:$F$200,"間接業務",'業務'!$U$4:$U$200,$A24)=0)))</f>
        <v/>
      </c>
      <c r="AU24" s="21">
        <f>IF($A24="","",COUNTIFS('業務'!$U$4:$U$200,$A24,'業務'!$A$4:$A$200,"&lt;&gt;",'業務'!$J$4:$J$200,"&lt;&gt;済"))</f>
        <v/>
      </c>
      <c r="AV24" s="21">
        <f>IF($A24="","",COUNTIF('契約'!$C$4:$C$200,$A24))</f>
        <v/>
      </c>
      <c r="AW24" s="21">
        <f>IF($A24="","",COUNTIFS('業務'!$U$4:$U$200,$A24,'業務'!$A$4:$A$200,"&lt;&gt;",'業務'!$S$4:$S$200,"&lt;&gt;",'業務'!$F$4:$F$200,"間接業務"))</f>
        <v/>
      </c>
      <c r="AX24" s="21" t="n"/>
      <c r="AY24" s="18" t="n"/>
      <c r="AZ24" s="18" t="n"/>
      <c r="BA24" s="20" t="n"/>
    </row>
    <row r="25">
      <c r="A25" s="18" t="n"/>
      <c r="B25" s="18" t="n"/>
      <c r="C25" s="18" t="n"/>
      <c r="D25" s="18" t="n"/>
      <c r="E25" s="18" t="n"/>
      <c r="F25" s="18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20">
        <f>IF(COUNT(G25:R25)=0,"",SUM(G25:R25))</f>
        <v/>
      </c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20">
        <f>IF(COUNT(T25:AE25)=0,"",SUM(T25:AE25))</f>
        <v/>
      </c>
      <c r="AG25" s="18" t="n"/>
      <c r="AH25" s="18" t="n"/>
      <c r="AI25" s="18" t="n"/>
      <c r="AJ25" s="18" t="n"/>
      <c r="AK25" s="18" t="n"/>
      <c r="AL25" s="21">
        <f>IF($A25="","",IF(AJ25="いいえ","対象外",IF(AND(AH25="投資予算",AZ25="継続"),"対象外",IF(OR(AH25="",AJ25="",AJ25="未確認",AND(AH25="投資予算",OR(AZ25="",AZ25="未確認")),AM25="判定保留",AN25="判定保留"),"判定保留","移管"))))</f>
        <v/>
      </c>
      <c r="AM25" s="21">
        <f>IF($A25="","",IF(AJ25="いいえ","対象外",IF(AND(AH25="投資予算",AZ25="継続"),"対象外",IF(OR(AJ25="",AJ25="未確認"),"判定保留",IF(AV25=0,"—","移管")))))</f>
        <v/>
      </c>
      <c r="AN25" s="21">
        <f>IF($A25="","",IF(AJ25="いいえ","対象外",IF(AH25="投資予算","—",IF(OR(AH25="",AJ25="",AJ25="未確認",AS25=0,AT25&gt;0,AU25&gt;0),"判定保留","移管"))))</f>
        <v/>
      </c>
      <c r="AO25" s="21">
        <f>IF($A25="","",IF(AL25&lt;&gt;"移管","—",IF(AW25&gt;0,"あり","なし")))</f>
        <v/>
      </c>
      <c r="AP25" s="18" t="n"/>
      <c r="AQ25" s="33" t="n"/>
      <c r="AR25" s="21">
        <f>IF($A25="","",IF(AP25="","ステータス未設定",IF(AND(AL25="対象外",AP25&lt;&gt;"対象外"),"判定は対象外",IF(AND(AL25&lt;&gt;"対象外",AP25="対象外"),"判定は対象外ではない",IF(AND(AL25="判定保留",AP25&lt;&gt;"棚卸し中"),"判定保留が残っている",IF(AND(AL25="移管",AP25="棚卸し中"),"判定保留なし（棚卸し済みへ）",""))))))</f>
        <v/>
      </c>
      <c r="AS25" s="21">
        <f>IF($A25="","",COUNTIFS('紐付け'!$A$4:$A$200,$A25,'紐付け'!$C$4:$C$200,"&lt;&gt;"))</f>
        <v/>
      </c>
      <c r="AT25" s="21">
        <f>IF($A25="","",SUMPRODUCT(('紐付け'!$A$4:$A$200=$A25)*('紐付け'!$C$4:$C$200&lt;&gt;"")*(COUNTIFS('業務'!$C$4:$C$200,'紐付け'!$C$4:$C$200,'業務'!$F$4:$F$200,"間接業務",'業務'!$U$4:$U$200,$A25)=0)))</f>
        <v/>
      </c>
      <c r="AU25" s="21">
        <f>IF($A25="","",COUNTIFS('業務'!$U$4:$U$200,$A25,'業務'!$A$4:$A$200,"&lt;&gt;",'業務'!$J$4:$J$200,"&lt;&gt;済"))</f>
        <v/>
      </c>
      <c r="AV25" s="21">
        <f>IF($A25="","",COUNTIF('契約'!$C$4:$C$200,$A25))</f>
        <v/>
      </c>
      <c r="AW25" s="21">
        <f>IF($A25="","",COUNTIFS('業務'!$U$4:$U$200,$A25,'業務'!$A$4:$A$200,"&lt;&gt;",'業務'!$S$4:$S$200,"&lt;&gt;",'業務'!$F$4:$F$200,"間接業務"))</f>
        <v/>
      </c>
      <c r="AX25" s="21" t="n"/>
      <c r="AY25" s="18" t="n"/>
      <c r="AZ25" s="18" t="n"/>
      <c r="BA25" s="20" t="n"/>
    </row>
    <row r="26">
      <c r="A26" s="18" t="n"/>
      <c r="B26" s="18" t="n"/>
      <c r="C26" s="18" t="n"/>
      <c r="D26" s="18" t="n"/>
      <c r="E26" s="18" t="n"/>
      <c r="F26" s="18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20">
        <f>IF(COUNT(G26:R26)=0,"",SUM(G26:R26))</f>
        <v/>
      </c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20">
        <f>IF(COUNT(T26:AE26)=0,"",SUM(T26:AE26))</f>
        <v/>
      </c>
      <c r="AG26" s="18" t="n"/>
      <c r="AH26" s="18" t="n"/>
      <c r="AI26" s="18" t="n"/>
      <c r="AJ26" s="18" t="n"/>
      <c r="AK26" s="18" t="n"/>
      <c r="AL26" s="21">
        <f>IF($A26="","",IF(AJ26="いいえ","対象外",IF(AND(AH26="投資予算",AZ26="継続"),"対象外",IF(OR(AH26="",AJ26="",AJ26="未確認",AND(AH26="投資予算",OR(AZ26="",AZ26="未確認")),AM26="判定保留",AN26="判定保留"),"判定保留","移管"))))</f>
        <v/>
      </c>
      <c r="AM26" s="21">
        <f>IF($A26="","",IF(AJ26="いいえ","対象外",IF(AND(AH26="投資予算",AZ26="継続"),"対象外",IF(OR(AJ26="",AJ26="未確認"),"判定保留",IF(AV26=0,"—","移管")))))</f>
        <v/>
      </c>
      <c r="AN26" s="21">
        <f>IF($A26="","",IF(AJ26="いいえ","対象外",IF(AH26="投資予算","—",IF(OR(AH26="",AJ26="",AJ26="未確認",AS26=0,AT26&gt;0,AU26&gt;0),"判定保留","移管"))))</f>
        <v/>
      </c>
      <c r="AO26" s="21">
        <f>IF($A26="","",IF(AL26&lt;&gt;"移管","—",IF(AW26&gt;0,"あり","なし")))</f>
        <v/>
      </c>
      <c r="AP26" s="18" t="n"/>
      <c r="AQ26" s="33" t="n"/>
      <c r="AR26" s="21">
        <f>IF($A26="","",IF(AP26="","ステータス未設定",IF(AND(AL26="対象外",AP26&lt;&gt;"対象外"),"判定は対象外",IF(AND(AL26&lt;&gt;"対象外",AP26="対象外"),"判定は対象外ではない",IF(AND(AL26="判定保留",AP26&lt;&gt;"棚卸し中"),"判定保留が残っている",IF(AND(AL26="移管",AP26="棚卸し中"),"判定保留なし（棚卸し済みへ）",""))))))</f>
        <v/>
      </c>
      <c r="AS26" s="21">
        <f>IF($A26="","",COUNTIFS('紐付け'!$A$4:$A$200,$A26,'紐付け'!$C$4:$C$200,"&lt;&gt;"))</f>
        <v/>
      </c>
      <c r="AT26" s="21">
        <f>IF($A26="","",SUMPRODUCT(('紐付け'!$A$4:$A$200=$A26)*('紐付け'!$C$4:$C$200&lt;&gt;"")*(COUNTIFS('業務'!$C$4:$C$200,'紐付け'!$C$4:$C$200,'業務'!$F$4:$F$200,"間接業務",'業務'!$U$4:$U$200,$A26)=0)))</f>
        <v/>
      </c>
      <c r="AU26" s="21">
        <f>IF($A26="","",COUNTIFS('業務'!$U$4:$U$200,$A26,'業務'!$A$4:$A$200,"&lt;&gt;",'業務'!$J$4:$J$200,"&lt;&gt;済"))</f>
        <v/>
      </c>
      <c r="AV26" s="21">
        <f>IF($A26="","",COUNTIF('契約'!$C$4:$C$200,$A26))</f>
        <v/>
      </c>
      <c r="AW26" s="21">
        <f>IF($A26="","",COUNTIFS('業務'!$U$4:$U$200,$A26,'業務'!$A$4:$A$200,"&lt;&gt;",'業務'!$S$4:$S$200,"&lt;&gt;",'業務'!$F$4:$F$200,"間接業務"))</f>
        <v/>
      </c>
      <c r="AX26" s="21" t="n"/>
      <c r="AY26" s="18" t="n"/>
      <c r="AZ26" s="18" t="n"/>
      <c r="BA26" s="20" t="n"/>
    </row>
    <row r="27">
      <c r="A27" s="18" t="n"/>
      <c r="B27" s="18" t="n"/>
      <c r="C27" s="18" t="n"/>
      <c r="D27" s="18" t="n"/>
      <c r="E27" s="18" t="n"/>
      <c r="F27" s="18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20">
        <f>IF(COUNT(G27:R27)=0,"",SUM(G27:R27))</f>
        <v/>
      </c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20">
        <f>IF(COUNT(T27:AE27)=0,"",SUM(T27:AE27))</f>
        <v/>
      </c>
      <c r="AG27" s="18" t="n"/>
      <c r="AH27" s="18" t="n"/>
      <c r="AI27" s="18" t="n"/>
      <c r="AJ27" s="18" t="n"/>
      <c r="AK27" s="18" t="n"/>
      <c r="AL27" s="21">
        <f>IF($A27="","",IF(AJ27="いいえ","対象外",IF(AND(AH27="投資予算",AZ27="継続"),"対象外",IF(OR(AH27="",AJ27="",AJ27="未確認",AND(AH27="投資予算",OR(AZ27="",AZ27="未確認")),AM27="判定保留",AN27="判定保留"),"判定保留","移管"))))</f>
        <v/>
      </c>
      <c r="AM27" s="21">
        <f>IF($A27="","",IF(AJ27="いいえ","対象外",IF(AND(AH27="投資予算",AZ27="継続"),"対象外",IF(OR(AJ27="",AJ27="未確認"),"判定保留",IF(AV27=0,"—","移管")))))</f>
        <v/>
      </c>
      <c r="AN27" s="21">
        <f>IF($A27="","",IF(AJ27="いいえ","対象外",IF(AH27="投資予算","—",IF(OR(AH27="",AJ27="",AJ27="未確認",AS27=0,AT27&gt;0,AU27&gt;0),"判定保留","移管"))))</f>
        <v/>
      </c>
      <c r="AO27" s="21">
        <f>IF($A27="","",IF(AL27&lt;&gt;"移管","—",IF(AW27&gt;0,"あり","なし")))</f>
        <v/>
      </c>
      <c r="AP27" s="18" t="n"/>
      <c r="AQ27" s="33" t="n"/>
      <c r="AR27" s="21">
        <f>IF($A27="","",IF(AP27="","ステータス未設定",IF(AND(AL27="対象外",AP27&lt;&gt;"対象外"),"判定は対象外",IF(AND(AL27&lt;&gt;"対象外",AP27="対象外"),"判定は対象外ではない",IF(AND(AL27="判定保留",AP27&lt;&gt;"棚卸し中"),"判定保留が残っている",IF(AND(AL27="移管",AP27="棚卸し中"),"判定保留なし（棚卸し済みへ）",""))))))</f>
        <v/>
      </c>
      <c r="AS27" s="21">
        <f>IF($A27="","",COUNTIFS('紐付け'!$A$4:$A$200,$A27,'紐付け'!$C$4:$C$200,"&lt;&gt;"))</f>
        <v/>
      </c>
      <c r="AT27" s="21">
        <f>IF($A27="","",SUMPRODUCT(('紐付け'!$A$4:$A$200=$A27)*('紐付け'!$C$4:$C$200&lt;&gt;"")*(COUNTIFS('業務'!$C$4:$C$200,'紐付け'!$C$4:$C$200,'業務'!$F$4:$F$200,"間接業務",'業務'!$U$4:$U$200,$A27)=0)))</f>
        <v/>
      </c>
      <c r="AU27" s="21">
        <f>IF($A27="","",COUNTIFS('業務'!$U$4:$U$200,$A27,'業務'!$A$4:$A$200,"&lt;&gt;",'業務'!$J$4:$J$200,"&lt;&gt;済"))</f>
        <v/>
      </c>
      <c r="AV27" s="21">
        <f>IF($A27="","",COUNTIF('契約'!$C$4:$C$200,$A27))</f>
        <v/>
      </c>
      <c r="AW27" s="21">
        <f>IF($A27="","",COUNTIFS('業務'!$U$4:$U$200,$A27,'業務'!$A$4:$A$200,"&lt;&gt;",'業務'!$S$4:$S$200,"&lt;&gt;",'業務'!$F$4:$F$200,"間接業務"))</f>
        <v/>
      </c>
      <c r="AX27" s="21" t="n"/>
      <c r="AY27" s="18" t="n"/>
      <c r="AZ27" s="18" t="n"/>
      <c r="BA27" s="20" t="n"/>
    </row>
    <row r="28">
      <c r="A28" s="18" t="n"/>
      <c r="B28" s="18" t="n"/>
      <c r="C28" s="18" t="n"/>
      <c r="D28" s="18" t="n"/>
      <c r="E28" s="18" t="n"/>
      <c r="F28" s="18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20">
        <f>IF(COUNT(G28:R28)=0,"",SUM(G28:R28))</f>
        <v/>
      </c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20">
        <f>IF(COUNT(T28:AE28)=0,"",SUM(T28:AE28))</f>
        <v/>
      </c>
      <c r="AG28" s="18" t="n"/>
      <c r="AH28" s="18" t="n"/>
      <c r="AI28" s="18" t="n"/>
      <c r="AJ28" s="18" t="n"/>
      <c r="AK28" s="18" t="n"/>
      <c r="AL28" s="21">
        <f>IF($A28="","",IF(AJ28="いいえ","対象外",IF(AND(AH28="投資予算",AZ28="継続"),"対象外",IF(OR(AH28="",AJ28="",AJ28="未確認",AND(AH28="投資予算",OR(AZ28="",AZ28="未確認")),AM28="判定保留",AN28="判定保留"),"判定保留","移管"))))</f>
        <v/>
      </c>
      <c r="AM28" s="21">
        <f>IF($A28="","",IF(AJ28="いいえ","対象外",IF(AND(AH28="投資予算",AZ28="継続"),"対象外",IF(OR(AJ28="",AJ28="未確認"),"判定保留",IF(AV28=0,"—","移管")))))</f>
        <v/>
      </c>
      <c r="AN28" s="21">
        <f>IF($A28="","",IF(AJ28="いいえ","対象外",IF(AH28="投資予算","—",IF(OR(AH28="",AJ28="",AJ28="未確認",AS28=0,AT28&gt;0,AU28&gt;0),"判定保留","移管"))))</f>
        <v/>
      </c>
      <c r="AO28" s="21">
        <f>IF($A28="","",IF(AL28&lt;&gt;"移管","—",IF(AW28&gt;0,"あり","なし")))</f>
        <v/>
      </c>
      <c r="AP28" s="18" t="n"/>
      <c r="AQ28" s="33" t="n"/>
      <c r="AR28" s="21">
        <f>IF($A28="","",IF(AP28="","ステータス未設定",IF(AND(AL28="対象外",AP28&lt;&gt;"対象外"),"判定は対象外",IF(AND(AL28&lt;&gt;"対象外",AP28="対象外"),"判定は対象外ではない",IF(AND(AL28="判定保留",AP28&lt;&gt;"棚卸し中"),"判定保留が残っている",IF(AND(AL28="移管",AP28="棚卸し中"),"判定保留なし（棚卸し済みへ）",""))))))</f>
        <v/>
      </c>
      <c r="AS28" s="21">
        <f>IF($A28="","",COUNTIFS('紐付け'!$A$4:$A$200,$A28,'紐付け'!$C$4:$C$200,"&lt;&gt;"))</f>
        <v/>
      </c>
      <c r="AT28" s="21">
        <f>IF($A28="","",SUMPRODUCT(('紐付け'!$A$4:$A$200=$A28)*('紐付け'!$C$4:$C$200&lt;&gt;"")*(COUNTIFS('業務'!$C$4:$C$200,'紐付け'!$C$4:$C$200,'業務'!$F$4:$F$200,"間接業務",'業務'!$U$4:$U$200,$A28)=0)))</f>
        <v/>
      </c>
      <c r="AU28" s="21">
        <f>IF($A28="","",COUNTIFS('業務'!$U$4:$U$200,$A28,'業務'!$A$4:$A$200,"&lt;&gt;",'業務'!$J$4:$J$200,"&lt;&gt;済"))</f>
        <v/>
      </c>
      <c r="AV28" s="21">
        <f>IF($A28="","",COUNTIF('契約'!$C$4:$C$200,$A28))</f>
        <v/>
      </c>
      <c r="AW28" s="21">
        <f>IF($A28="","",COUNTIFS('業務'!$U$4:$U$200,$A28,'業務'!$A$4:$A$200,"&lt;&gt;",'業務'!$S$4:$S$200,"&lt;&gt;",'業務'!$F$4:$F$200,"間接業務"))</f>
        <v/>
      </c>
      <c r="AX28" s="21" t="n"/>
      <c r="AY28" s="18" t="n"/>
      <c r="AZ28" s="18" t="n"/>
      <c r="BA28" s="20" t="n"/>
    </row>
    <row r="29">
      <c r="A29" s="18" t="n"/>
      <c r="B29" s="18" t="n"/>
      <c r="C29" s="18" t="n"/>
      <c r="D29" s="18" t="n"/>
      <c r="E29" s="18" t="n"/>
      <c r="F29" s="18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20">
        <f>IF(COUNT(G29:R29)=0,"",SUM(G29:R29))</f>
        <v/>
      </c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20">
        <f>IF(COUNT(T29:AE29)=0,"",SUM(T29:AE29))</f>
        <v/>
      </c>
      <c r="AG29" s="18" t="n"/>
      <c r="AH29" s="18" t="n"/>
      <c r="AI29" s="18" t="n"/>
      <c r="AJ29" s="18" t="n"/>
      <c r="AK29" s="18" t="n"/>
      <c r="AL29" s="21">
        <f>IF($A29="","",IF(AJ29="いいえ","対象外",IF(AND(AH29="投資予算",AZ29="継続"),"対象外",IF(OR(AH29="",AJ29="",AJ29="未確認",AND(AH29="投資予算",OR(AZ29="",AZ29="未確認")),AM29="判定保留",AN29="判定保留"),"判定保留","移管"))))</f>
        <v/>
      </c>
      <c r="AM29" s="21">
        <f>IF($A29="","",IF(AJ29="いいえ","対象外",IF(AND(AH29="投資予算",AZ29="継続"),"対象外",IF(OR(AJ29="",AJ29="未確認"),"判定保留",IF(AV29=0,"—","移管")))))</f>
        <v/>
      </c>
      <c r="AN29" s="21">
        <f>IF($A29="","",IF(AJ29="いいえ","対象外",IF(AH29="投資予算","—",IF(OR(AH29="",AJ29="",AJ29="未確認",AS29=0,AT29&gt;0,AU29&gt;0),"判定保留","移管"))))</f>
        <v/>
      </c>
      <c r="AO29" s="21">
        <f>IF($A29="","",IF(AL29&lt;&gt;"移管","—",IF(AW29&gt;0,"あり","なし")))</f>
        <v/>
      </c>
      <c r="AP29" s="18" t="n"/>
      <c r="AQ29" s="33" t="n"/>
      <c r="AR29" s="21">
        <f>IF($A29="","",IF(AP29="","ステータス未設定",IF(AND(AL29="対象外",AP29&lt;&gt;"対象外"),"判定は対象外",IF(AND(AL29&lt;&gt;"対象外",AP29="対象外"),"判定は対象外ではない",IF(AND(AL29="判定保留",AP29&lt;&gt;"棚卸し中"),"判定保留が残っている",IF(AND(AL29="移管",AP29="棚卸し中"),"判定保留なし（棚卸し済みへ）",""))))))</f>
        <v/>
      </c>
      <c r="AS29" s="21">
        <f>IF($A29="","",COUNTIFS('紐付け'!$A$4:$A$200,$A29,'紐付け'!$C$4:$C$200,"&lt;&gt;"))</f>
        <v/>
      </c>
      <c r="AT29" s="21">
        <f>IF($A29="","",SUMPRODUCT(('紐付け'!$A$4:$A$200=$A29)*('紐付け'!$C$4:$C$200&lt;&gt;"")*(COUNTIFS('業務'!$C$4:$C$200,'紐付け'!$C$4:$C$200,'業務'!$F$4:$F$200,"間接業務",'業務'!$U$4:$U$200,$A29)=0)))</f>
        <v/>
      </c>
      <c r="AU29" s="21">
        <f>IF($A29="","",COUNTIFS('業務'!$U$4:$U$200,$A29,'業務'!$A$4:$A$200,"&lt;&gt;",'業務'!$J$4:$J$200,"&lt;&gt;済"))</f>
        <v/>
      </c>
      <c r="AV29" s="21">
        <f>IF($A29="","",COUNTIF('契約'!$C$4:$C$200,$A29))</f>
        <v/>
      </c>
      <c r="AW29" s="21">
        <f>IF($A29="","",COUNTIFS('業務'!$U$4:$U$200,$A29,'業務'!$A$4:$A$200,"&lt;&gt;",'業務'!$S$4:$S$200,"&lt;&gt;",'業務'!$F$4:$F$200,"間接業務"))</f>
        <v/>
      </c>
      <c r="AX29" s="21" t="n"/>
      <c r="AY29" s="18" t="n"/>
      <c r="AZ29" s="18" t="n"/>
      <c r="BA29" s="20" t="n"/>
    </row>
    <row r="30">
      <c r="A30" s="18" t="n"/>
      <c r="B30" s="18" t="n"/>
      <c r="C30" s="18" t="n"/>
      <c r="D30" s="18" t="n"/>
      <c r="E30" s="18" t="n"/>
      <c r="F30" s="18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20">
        <f>IF(COUNT(G30:R30)=0,"",SUM(G30:R30))</f>
        <v/>
      </c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20">
        <f>IF(COUNT(T30:AE30)=0,"",SUM(T30:AE30))</f>
        <v/>
      </c>
      <c r="AG30" s="18" t="n"/>
      <c r="AH30" s="18" t="n"/>
      <c r="AI30" s="18" t="n"/>
      <c r="AJ30" s="18" t="n"/>
      <c r="AK30" s="18" t="n"/>
      <c r="AL30" s="21">
        <f>IF($A30="","",IF(AJ30="いいえ","対象外",IF(AND(AH30="投資予算",AZ30="継続"),"対象外",IF(OR(AH30="",AJ30="",AJ30="未確認",AND(AH30="投資予算",OR(AZ30="",AZ30="未確認")),AM30="判定保留",AN30="判定保留"),"判定保留","移管"))))</f>
        <v/>
      </c>
      <c r="AM30" s="21">
        <f>IF($A30="","",IF(AJ30="いいえ","対象外",IF(AND(AH30="投資予算",AZ30="継続"),"対象外",IF(OR(AJ30="",AJ30="未確認"),"判定保留",IF(AV30=0,"—","移管")))))</f>
        <v/>
      </c>
      <c r="AN30" s="21">
        <f>IF($A30="","",IF(AJ30="いいえ","対象外",IF(AH30="投資予算","—",IF(OR(AH30="",AJ30="",AJ30="未確認",AS30=0,AT30&gt;0,AU30&gt;0),"判定保留","移管"))))</f>
        <v/>
      </c>
      <c r="AO30" s="21">
        <f>IF($A30="","",IF(AL30&lt;&gt;"移管","—",IF(AW30&gt;0,"あり","なし")))</f>
        <v/>
      </c>
      <c r="AP30" s="18" t="n"/>
      <c r="AQ30" s="33" t="n"/>
      <c r="AR30" s="21">
        <f>IF($A30="","",IF(AP30="","ステータス未設定",IF(AND(AL30="対象外",AP30&lt;&gt;"対象外"),"判定は対象外",IF(AND(AL30&lt;&gt;"対象外",AP30="対象外"),"判定は対象外ではない",IF(AND(AL30="判定保留",AP30&lt;&gt;"棚卸し中"),"判定保留が残っている",IF(AND(AL30="移管",AP30="棚卸し中"),"判定保留なし（棚卸し済みへ）",""))))))</f>
        <v/>
      </c>
      <c r="AS30" s="21">
        <f>IF($A30="","",COUNTIFS('紐付け'!$A$4:$A$200,$A30,'紐付け'!$C$4:$C$200,"&lt;&gt;"))</f>
        <v/>
      </c>
      <c r="AT30" s="21">
        <f>IF($A30="","",SUMPRODUCT(('紐付け'!$A$4:$A$200=$A30)*('紐付け'!$C$4:$C$200&lt;&gt;"")*(COUNTIFS('業務'!$C$4:$C$200,'紐付け'!$C$4:$C$200,'業務'!$F$4:$F$200,"間接業務",'業務'!$U$4:$U$200,$A30)=0)))</f>
        <v/>
      </c>
      <c r="AU30" s="21">
        <f>IF($A30="","",COUNTIFS('業務'!$U$4:$U$200,$A30,'業務'!$A$4:$A$200,"&lt;&gt;",'業務'!$J$4:$J$200,"&lt;&gt;済"))</f>
        <v/>
      </c>
      <c r="AV30" s="21">
        <f>IF($A30="","",COUNTIF('契約'!$C$4:$C$200,$A30))</f>
        <v/>
      </c>
      <c r="AW30" s="21">
        <f>IF($A30="","",COUNTIFS('業務'!$U$4:$U$200,$A30,'業務'!$A$4:$A$200,"&lt;&gt;",'業務'!$S$4:$S$200,"&lt;&gt;",'業務'!$F$4:$F$200,"間接業務"))</f>
        <v/>
      </c>
      <c r="AX30" s="21" t="n"/>
      <c r="AY30" s="18" t="n"/>
      <c r="AZ30" s="18" t="n"/>
      <c r="BA30" s="20" t="n"/>
    </row>
    <row r="31">
      <c r="A31" s="18" t="n"/>
      <c r="B31" s="18" t="n"/>
      <c r="C31" s="18" t="n"/>
      <c r="D31" s="18" t="n"/>
      <c r="E31" s="18" t="n"/>
      <c r="F31" s="18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20">
        <f>IF(COUNT(G31:R31)=0,"",SUM(G31:R31))</f>
        <v/>
      </c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20">
        <f>IF(COUNT(T31:AE31)=0,"",SUM(T31:AE31))</f>
        <v/>
      </c>
      <c r="AG31" s="18" t="n"/>
      <c r="AH31" s="18" t="n"/>
      <c r="AI31" s="18" t="n"/>
      <c r="AJ31" s="18" t="n"/>
      <c r="AK31" s="18" t="n"/>
      <c r="AL31" s="21">
        <f>IF($A31="","",IF(AJ31="いいえ","対象外",IF(AND(AH31="投資予算",AZ31="継続"),"対象外",IF(OR(AH31="",AJ31="",AJ31="未確認",AND(AH31="投資予算",OR(AZ31="",AZ31="未確認")),AM31="判定保留",AN31="判定保留"),"判定保留","移管"))))</f>
        <v/>
      </c>
      <c r="AM31" s="21">
        <f>IF($A31="","",IF(AJ31="いいえ","対象外",IF(AND(AH31="投資予算",AZ31="継続"),"対象外",IF(OR(AJ31="",AJ31="未確認"),"判定保留",IF(AV31=0,"—","移管")))))</f>
        <v/>
      </c>
      <c r="AN31" s="21">
        <f>IF($A31="","",IF(AJ31="いいえ","対象外",IF(AH31="投資予算","—",IF(OR(AH31="",AJ31="",AJ31="未確認",AS31=0,AT31&gt;0,AU31&gt;0),"判定保留","移管"))))</f>
        <v/>
      </c>
      <c r="AO31" s="21">
        <f>IF($A31="","",IF(AL31&lt;&gt;"移管","—",IF(AW31&gt;0,"あり","なし")))</f>
        <v/>
      </c>
      <c r="AP31" s="18" t="n"/>
      <c r="AQ31" s="33" t="n"/>
      <c r="AR31" s="21">
        <f>IF($A31="","",IF(AP31="","ステータス未設定",IF(AND(AL31="対象外",AP31&lt;&gt;"対象外"),"判定は対象外",IF(AND(AL31&lt;&gt;"対象外",AP31="対象外"),"判定は対象外ではない",IF(AND(AL31="判定保留",AP31&lt;&gt;"棚卸し中"),"判定保留が残っている",IF(AND(AL31="移管",AP31="棚卸し中"),"判定保留なし（棚卸し済みへ）",""))))))</f>
        <v/>
      </c>
      <c r="AS31" s="21">
        <f>IF($A31="","",COUNTIFS('紐付け'!$A$4:$A$200,$A31,'紐付け'!$C$4:$C$200,"&lt;&gt;"))</f>
        <v/>
      </c>
      <c r="AT31" s="21">
        <f>IF($A31="","",SUMPRODUCT(('紐付け'!$A$4:$A$200=$A31)*('紐付け'!$C$4:$C$200&lt;&gt;"")*(COUNTIFS('業務'!$C$4:$C$200,'紐付け'!$C$4:$C$200,'業務'!$F$4:$F$200,"間接業務",'業務'!$U$4:$U$200,$A31)=0)))</f>
        <v/>
      </c>
      <c r="AU31" s="21">
        <f>IF($A31="","",COUNTIFS('業務'!$U$4:$U$200,$A31,'業務'!$A$4:$A$200,"&lt;&gt;",'業務'!$J$4:$J$200,"&lt;&gt;済"))</f>
        <v/>
      </c>
      <c r="AV31" s="21">
        <f>IF($A31="","",COUNTIF('契約'!$C$4:$C$200,$A31))</f>
        <v/>
      </c>
      <c r="AW31" s="21">
        <f>IF($A31="","",COUNTIFS('業務'!$U$4:$U$200,$A31,'業務'!$A$4:$A$200,"&lt;&gt;",'業務'!$S$4:$S$200,"&lt;&gt;",'業務'!$F$4:$F$200,"間接業務"))</f>
        <v/>
      </c>
      <c r="AX31" s="21" t="n"/>
      <c r="AY31" s="18" t="n"/>
      <c r="AZ31" s="18" t="n"/>
      <c r="BA31" s="20" t="n"/>
    </row>
    <row r="32">
      <c r="A32" s="18" t="n"/>
      <c r="B32" s="18" t="n"/>
      <c r="C32" s="18" t="n"/>
      <c r="D32" s="18" t="n"/>
      <c r="E32" s="18" t="n"/>
      <c r="F32" s="18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20">
        <f>IF(COUNT(G32:R32)=0,"",SUM(G32:R32))</f>
        <v/>
      </c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20">
        <f>IF(COUNT(T32:AE32)=0,"",SUM(T32:AE32))</f>
        <v/>
      </c>
      <c r="AG32" s="18" t="n"/>
      <c r="AH32" s="18" t="n"/>
      <c r="AI32" s="18" t="n"/>
      <c r="AJ32" s="18" t="n"/>
      <c r="AK32" s="18" t="n"/>
      <c r="AL32" s="21">
        <f>IF($A32="","",IF(AJ32="いいえ","対象外",IF(AND(AH32="投資予算",AZ32="継続"),"対象外",IF(OR(AH32="",AJ32="",AJ32="未確認",AND(AH32="投資予算",OR(AZ32="",AZ32="未確認")),AM32="判定保留",AN32="判定保留"),"判定保留","移管"))))</f>
        <v/>
      </c>
      <c r="AM32" s="21">
        <f>IF($A32="","",IF(AJ32="いいえ","対象外",IF(AND(AH32="投資予算",AZ32="継続"),"対象外",IF(OR(AJ32="",AJ32="未確認"),"判定保留",IF(AV32=0,"—","移管")))))</f>
        <v/>
      </c>
      <c r="AN32" s="21">
        <f>IF($A32="","",IF(AJ32="いいえ","対象外",IF(AH32="投資予算","—",IF(OR(AH32="",AJ32="",AJ32="未確認",AS32=0,AT32&gt;0,AU32&gt;0),"判定保留","移管"))))</f>
        <v/>
      </c>
      <c r="AO32" s="21">
        <f>IF($A32="","",IF(AL32&lt;&gt;"移管","—",IF(AW32&gt;0,"あり","なし")))</f>
        <v/>
      </c>
      <c r="AP32" s="18" t="n"/>
      <c r="AQ32" s="33" t="n"/>
      <c r="AR32" s="21">
        <f>IF($A32="","",IF(AP32="","ステータス未設定",IF(AND(AL32="対象外",AP32&lt;&gt;"対象外"),"判定は対象外",IF(AND(AL32&lt;&gt;"対象外",AP32="対象外"),"判定は対象外ではない",IF(AND(AL32="判定保留",AP32&lt;&gt;"棚卸し中"),"判定保留が残っている",IF(AND(AL32="移管",AP32="棚卸し中"),"判定保留なし（棚卸し済みへ）",""))))))</f>
        <v/>
      </c>
      <c r="AS32" s="21">
        <f>IF($A32="","",COUNTIFS('紐付け'!$A$4:$A$200,$A32,'紐付け'!$C$4:$C$200,"&lt;&gt;"))</f>
        <v/>
      </c>
      <c r="AT32" s="21">
        <f>IF($A32="","",SUMPRODUCT(('紐付け'!$A$4:$A$200=$A32)*('紐付け'!$C$4:$C$200&lt;&gt;"")*(COUNTIFS('業務'!$C$4:$C$200,'紐付け'!$C$4:$C$200,'業務'!$F$4:$F$200,"間接業務",'業務'!$U$4:$U$200,$A32)=0)))</f>
        <v/>
      </c>
      <c r="AU32" s="21">
        <f>IF($A32="","",COUNTIFS('業務'!$U$4:$U$200,$A32,'業務'!$A$4:$A$200,"&lt;&gt;",'業務'!$J$4:$J$200,"&lt;&gt;済"))</f>
        <v/>
      </c>
      <c r="AV32" s="21">
        <f>IF($A32="","",COUNTIF('契約'!$C$4:$C$200,$A32))</f>
        <v/>
      </c>
      <c r="AW32" s="21">
        <f>IF($A32="","",COUNTIFS('業務'!$U$4:$U$200,$A32,'業務'!$A$4:$A$200,"&lt;&gt;",'業務'!$S$4:$S$200,"&lt;&gt;",'業務'!$F$4:$F$200,"間接業務"))</f>
        <v/>
      </c>
      <c r="AX32" s="21" t="n"/>
      <c r="AY32" s="18" t="n"/>
      <c r="AZ32" s="18" t="n"/>
      <c r="BA32" s="20" t="n"/>
    </row>
    <row r="33">
      <c r="A33" s="18" t="n"/>
      <c r="B33" s="18" t="n"/>
      <c r="C33" s="18" t="n"/>
      <c r="D33" s="18" t="n"/>
      <c r="E33" s="18" t="n"/>
      <c r="F33" s="18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20">
        <f>IF(COUNT(G33:R33)=0,"",SUM(G33:R33))</f>
        <v/>
      </c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20">
        <f>IF(COUNT(T33:AE33)=0,"",SUM(T33:AE33))</f>
        <v/>
      </c>
      <c r="AG33" s="18" t="n"/>
      <c r="AH33" s="18" t="n"/>
      <c r="AI33" s="18" t="n"/>
      <c r="AJ33" s="18" t="n"/>
      <c r="AK33" s="18" t="n"/>
      <c r="AL33" s="21">
        <f>IF($A33="","",IF(AJ33="いいえ","対象外",IF(AND(AH33="投資予算",AZ33="継続"),"対象外",IF(OR(AH33="",AJ33="",AJ33="未確認",AND(AH33="投資予算",OR(AZ33="",AZ33="未確認")),AM33="判定保留",AN33="判定保留"),"判定保留","移管"))))</f>
        <v/>
      </c>
      <c r="AM33" s="21">
        <f>IF($A33="","",IF(AJ33="いいえ","対象外",IF(AND(AH33="投資予算",AZ33="継続"),"対象外",IF(OR(AJ33="",AJ33="未確認"),"判定保留",IF(AV33=0,"—","移管")))))</f>
        <v/>
      </c>
      <c r="AN33" s="21">
        <f>IF($A33="","",IF(AJ33="いいえ","対象外",IF(AH33="投資予算","—",IF(OR(AH33="",AJ33="",AJ33="未確認",AS33=0,AT33&gt;0,AU33&gt;0),"判定保留","移管"))))</f>
        <v/>
      </c>
      <c r="AO33" s="21">
        <f>IF($A33="","",IF(AL33&lt;&gt;"移管","—",IF(AW33&gt;0,"あり","なし")))</f>
        <v/>
      </c>
      <c r="AP33" s="18" t="n"/>
      <c r="AQ33" s="33" t="n"/>
      <c r="AR33" s="21">
        <f>IF($A33="","",IF(AP33="","ステータス未設定",IF(AND(AL33="対象外",AP33&lt;&gt;"対象外"),"判定は対象外",IF(AND(AL33&lt;&gt;"対象外",AP33="対象外"),"判定は対象外ではない",IF(AND(AL33="判定保留",AP33&lt;&gt;"棚卸し中"),"判定保留が残っている",IF(AND(AL33="移管",AP33="棚卸し中"),"判定保留なし（棚卸し済みへ）",""))))))</f>
        <v/>
      </c>
      <c r="AS33" s="21">
        <f>IF($A33="","",COUNTIFS('紐付け'!$A$4:$A$200,$A33,'紐付け'!$C$4:$C$200,"&lt;&gt;"))</f>
        <v/>
      </c>
      <c r="AT33" s="21">
        <f>IF($A33="","",SUMPRODUCT(('紐付け'!$A$4:$A$200=$A33)*('紐付け'!$C$4:$C$200&lt;&gt;"")*(COUNTIFS('業務'!$C$4:$C$200,'紐付け'!$C$4:$C$200,'業務'!$F$4:$F$200,"間接業務",'業務'!$U$4:$U$200,$A33)=0)))</f>
        <v/>
      </c>
      <c r="AU33" s="21">
        <f>IF($A33="","",COUNTIFS('業務'!$U$4:$U$200,$A33,'業務'!$A$4:$A$200,"&lt;&gt;",'業務'!$J$4:$J$200,"&lt;&gt;済"))</f>
        <v/>
      </c>
      <c r="AV33" s="21">
        <f>IF($A33="","",COUNTIF('契約'!$C$4:$C$200,$A33))</f>
        <v/>
      </c>
      <c r="AW33" s="21">
        <f>IF($A33="","",COUNTIFS('業務'!$U$4:$U$200,$A33,'業務'!$A$4:$A$200,"&lt;&gt;",'業務'!$S$4:$S$200,"&lt;&gt;",'業務'!$F$4:$F$200,"間接業務"))</f>
        <v/>
      </c>
      <c r="AX33" s="21" t="n"/>
      <c r="AY33" s="18" t="n"/>
      <c r="AZ33" s="18" t="n"/>
      <c r="BA33" s="20" t="n"/>
    </row>
    <row r="34">
      <c r="A34" s="18" t="n"/>
      <c r="B34" s="18" t="n"/>
      <c r="C34" s="18" t="n"/>
      <c r="D34" s="18" t="n"/>
      <c r="E34" s="18" t="n"/>
      <c r="F34" s="18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20">
        <f>IF(COUNT(G34:R34)=0,"",SUM(G34:R34))</f>
        <v/>
      </c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20">
        <f>IF(COUNT(T34:AE34)=0,"",SUM(T34:AE34))</f>
        <v/>
      </c>
      <c r="AG34" s="18" t="n"/>
      <c r="AH34" s="18" t="n"/>
      <c r="AI34" s="18" t="n"/>
      <c r="AJ34" s="18" t="n"/>
      <c r="AK34" s="18" t="n"/>
      <c r="AL34" s="21">
        <f>IF($A34="","",IF(AJ34="いいえ","対象外",IF(AND(AH34="投資予算",AZ34="継続"),"対象外",IF(OR(AH34="",AJ34="",AJ34="未確認",AND(AH34="投資予算",OR(AZ34="",AZ34="未確認")),AM34="判定保留",AN34="判定保留"),"判定保留","移管"))))</f>
        <v/>
      </c>
      <c r="AM34" s="21">
        <f>IF($A34="","",IF(AJ34="いいえ","対象外",IF(AND(AH34="投資予算",AZ34="継続"),"対象外",IF(OR(AJ34="",AJ34="未確認"),"判定保留",IF(AV34=0,"—","移管")))))</f>
        <v/>
      </c>
      <c r="AN34" s="21">
        <f>IF($A34="","",IF(AJ34="いいえ","対象外",IF(AH34="投資予算","—",IF(OR(AH34="",AJ34="",AJ34="未確認",AS34=0,AT34&gt;0,AU34&gt;0),"判定保留","移管"))))</f>
        <v/>
      </c>
      <c r="AO34" s="21">
        <f>IF($A34="","",IF(AL34&lt;&gt;"移管","—",IF(AW34&gt;0,"あり","なし")))</f>
        <v/>
      </c>
      <c r="AP34" s="18" t="n"/>
      <c r="AQ34" s="33" t="n"/>
      <c r="AR34" s="21">
        <f>IF($A34="","",IF(AP34="","ステータス未設定",IF(AND(AL34="対象外",AP34&lt;&gt;"対象外"),"判定は対象外",IF(AND(AL34&lt;&gt;"対象外",AP34="対象外"),"判定は対象外ではない",IF(AND(AL34="判定保留",AP34&lt;&gt;"棚卸し中"),"判定保留が残っている",IF(AND(AL34="移管",AP34="棚卸し中"),"判定保留なし（棚卸し済みへ）",""))))))</f>
        <v/>
      </c>
      <c r="AS34" s="21">
        <f>IF($A34="","",COUNTIFS('紐付け'!$A$4:$A$200,$A34,'紐付け'!$C$4:$C$200,"&lt;&gt;"))</f>
        <v/>
      </c>
      <c r="AT34" s="21">
        <f>IF($A34="","",SUMPRODUCT(('紐付け'!$A$4:$A$200=$A34)*('紐付け'!$C$4:$C$200&lt;&gt;"")*(COUNTIFS('業務'!$C$4:$C$200,'紐付け'!$C$4:$C$200,'業務'!$F$4:$F$200,"間接業務",'業務'!$U$4:$U$200,$A34)=0)))</f>
        <v/>
      </c>
      <c r="AU34" s="21">
        <f>IF($A34="","",COUNTIFS('業務'!$U$4:$U$200,$A34,'業務'!$A$4:$A$200,"&lt;&gt;",'業務'!$J$4:$J$200,"&lt;&gt;済"))</f>
        <v/>
      </c>
      <c r="AV34" s="21">
        <f>IF($A34="","",COUNTIF('契約'!$C$4:$C$200,$A34))</f>
        <v/>
      </c>
      <c r="AW34" s="21">
        <f>IF($A34="","",COUNTIFS('業務'!$U$4:$U$200,$A34,'業務'!$A$4:$A$200,"&lt;&gt;",'業務'!$S$4:$S$200,"&lt;&gt;",'業務'!$F$4:$F$200,"間接業務"))</f>
        <v/>
      </c>
      <c r="AX34" s="21" t="n"/>
      <c r="AY34" s="18" t="n"/>
      <c r="AZ34" s="18" t="n"/>
      <c r="BA34" s="20" t="n"/>
    </row>
    <row r="35">
      <c r="A35" s="18" t="n"/>
      <c r="B35" s="18" t="n"/>
      <c r="C35" s="18" t="n"/>
      <c r="D35" s="18" t="n"/>
      <c r="E35" s="18" t="n"/>
      <c r="F35" s="18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20">
        <f>IF(COUNT(G35:R35)=0,"",SUM(G35:R35))</f>
        <v/>
      </c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20">
        <f>IF(COUNT(T35:AE35)=0,"",SUM(T35:AE35))</f>
        <v/>
      </c>
      <c r="AG35" s="18" t="n"/>
      <c r="AH35" s="18" t="n"/>
      <c r="AI35" s="18" t="n"/>
      <c r="AJ35" s="18" t="n"/>
      <c r="AK35" s="18" t="n"/>
      <c r="AL35" s="21">
        <f>IF($A35="","",IF(AJ35="いいえ","対象外",IF(AND(AH35="投資予算",AZ35="継続"),"対象外",IF(OR(AH35="",AJ35="",AJ35="未確認",AND(AH35="投資予算",OR(AZ35="",AZ35="未確認")),AM35="判定保留",AN35="判定保留"),"判定保留","移管"))))</f>
        <v/>
      </c>
      <c r="AM35" s="21">
        <f>IF($A35="","",IF(AJ35="いいえ","対象外",IF(AND(AH35="投資予算",AZ35="継続"),"対象外",IF(OR(AJ35="",AJ35="未確認"),"判定保留",IF(AV35=0,"—","移管")))))</f>
        <v/>
      </c>
      <c r="AN35" s="21">
        <f>IF($A35="","",IF(AJ35="いいえ","対象外",IF(AH35="投資予算","—",IF(OR(AH35="",AJ35="",AJ35="未確認",AS35=0,AT35&gt;0,AU35&gt;0),"判定保留","移管"))))</f>
        <v/>
      </c>
      <c r="AO35" s="21">
        <f>IF($A35="","",IF(AL35&lt;&gt;"移管","—",IF(AW35&gt;0,"あり","なし")))</f>
        <v/>
      </c>
      <c r="AP35" s="18" t="n"/>
      <c r="AQ35" s="33" t="n"/>
      <c r="AR35" s="21">
        <f>IF($A35="","",IF(AP35="","ステータス未設定",IF(AND(AL35="対象外",AP35&lt;&gt;"対象外"),"判定は対象外",IF(AND(AL35&lt;&gt;"対象外",AP35="対象外"),"判定は対象外ではない",IF(AND(AL35="判定保留",AP35&lt;&gt;"棚卸し中"),"判定保留が残っている",IF(AND(AL35="移管",AP35="棚卸し中"),"判定保留なし（棚卸し済みへ）",""))))))</f>
        <v/>
      </c>
      <c r="AS35" s="21">
        <f>IF($A35="","",COUNTIFS('紐付け'!$A$4:$A$200,$A35,'紐付け'!$C$4:$C$200,"&lt;&gt;"))</f>
        <v/>
      </c>
      <c r="AT35" s="21">
        <f>IF($A35="","",SUMPRODUCT(('紐付け'!$A$4:$A$200=$A35)*('紐付け'!$C$4:$C$200&lt;&gt;"")*(COUNTIFS('業務'!$C$4:$C$200,'紐付け'!$C$4:$C$200,'業務'!$F$4:$F$200,"間接業務",'業務'!$U$4:$U$200,$A35)=0)))</f>
        <v/>
      </c>
      <c r="AU35" s="21">
        <f>IF($A35="","",COUNTIFS('業務'!$U$4:$U$200,$A35,'業務'!$A$4:$A$200,"&lt;&gt;",'業務'!$J$4:$J$200,"&lt;&gt;済"))</f>
        <v/>
      </c>
      <c r="AV35" s="21">
        <f>IF($A35="","",COUNTIF('契約'!$C$4:$C$200,$A35))</f>
        <v/>
      </c>
      <c r="AW35" s="21">
        <f>IF($A35="","",COUNTIFS('業務'!$U$4:$U$200,$A35,'業務'!$A$4:$A$200,"&lt;&gt;",'業務'!$S$4:$S$200,"&lt;&gt;",'業務'!$F$4:$F$200,"間接業務"))</f>
        <v/>
      </c>
      <c r="AX35" s="21" t="n"/>
      <c r="AY35" s="18" t="n"/>
      <c r="AZ35" s="18" t="n"/>
      <c r="BA35" s="20" t="n"/>
    </row>
    <row r="36">
      <c r="A36" s="18" t="n"/>
      <c r="B36" s="18" t="n"/>
      <c r="C36" s="18" t="n"/>
      <c r="D36" s="18" t="n"/>
      <c r="E36" s="18" t="n"/>
      <c r="F36" s="18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20">
        <f>IF(COUNT(G36:R36)=0,"",SUM(G36:R36))</f>
        <v/>
      </c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20">
        <f>IF(COUNT(T36:AE36)=0,"",SUM(T36:AE36))</f>
        <v/>
      </c>
      <c r="AG36" s="18" t="n"/>
      <c r="AH36" s="18" t="n"/>
      <c r="AI36" s="18" t="n"/>
      <c r="AJ36" s="18" t="n"/>
      <c r="AK36" s="18" t="n"/>
      <c r="AL36" s="21">
        <f>IF($A36="","",IF(AJ36="いいえ","対象外",IF(AND(AH36="投資予算",AZ36="継続"),"対象外",IF(OR(AH36="",AJ36="",AJ36="未確認",AND(AH36="投資予算",OR(AZ36="",AZ36="未確認")),AM36="判定保留",AN36="判定保留"),"判定保留","移管"))))</f>
        <v/>
      </c>
      <c r="AM36" s="21">
        <f>IF($A36="","",IF(AJ36="いいえ","対象外",IF(AND(AH36="投資予算",AZ36="継続"),"対象外",IF(OR(AJ36="",AJ36="未確認"),"判定保留",IF(AV36=0,"—","移管")))))</f>
        <v/>
      </c>
      <c r="AN36" s="21">
        <f>IF($A36="","",IF(AJ36="いいえ","対象外",IF(AH36="投資予算","—",IF(OR(AH36="",AJ36="",AJ36="未確認",AS36=0,AT36&gt;0,AU36&gt;0),"判定保留","移管"))))</f>
        <v/>
      </c>
      <c r="AO36" s="21">
        <f>IF($A36="","",IF(AL36&lt;&gt;"移管","—",IF(AW36&gt;0,"あり","なし")))</f>
        <v/>
      </c>
      <c r="AP36" s="18" t="n"/>
      <c r="AQ36" s="33" t="n"/>
      <c r="AR36" s="21">
        <f>IF($A36="","",IF(AP36="","ステータス未設定",IF(AND(AL36="対象外",AP36&lt;&gt;"対象外"),"判定は対象外",IF(AND(AL36&lt;&gt;"対象外",AP36="対象外"),"判定は対象外ではない",IF(AND(AL36="判定保留",AP36&lt;&gt;"棚卸し中"),"判定保留が残っている",IF(AND(AL36="移管",AP36="棚卸し中"),"判定保留なし（棚卸し済みへ）",""))))))</f>
        <v/>
      </c>
      <c r="AS36" s="21">
        <f>IF($A36="","",COUNTIFS('紐付け'!$A$4:$A$200,$A36,'紐付け'!$C$4:$C$200,"&lt;&gt;"))</f>
        <v/>
      </c>
      <c r="AT36" s="21">
        <f>IF($A36="","",SUMPRODUCT(('紐付け'!$A$4:$A$200=$A36)*('紐付け'!$C$4:$C$200&lt;&gt;"")*(COUNTIFS('業務'!$C$4:$C$200,'紐付け'!$C$4:$C$200,'業務'!$F$4:$F$200,"間接業務",'業務'!$U$4:$U$200,$A36)=0)))</f>
        <v/>
      </c>
      <c r="AU36" s="21">
        <f>IF($A36="","",COUNTIFS('業務'!$U$4:$U$200,$A36,'業務'!$A$4:$A$200,"&lt;&gt;",'業務'!$J$4:$J$200,"&lt;&gt;済"))</f>
        <v/>
      </c>
      <c r="AV36" s="21">
        <f>IF($A36="","",COUNTIF('契約'!$C$4:$C$200,$A36))</f>
        <v/>
      </c>
      <c r="AW36" s="21">
        <f>IF($A36="","",COUNTIFS('業務'!$U$4:$U$200,$A36,'業務'!$A$4:$A$200,"&lt;&gt;",'業務'!$S$4:$S$200,"&lt;&gt;",'業務'!$F$4:$F$200,"間接業務"))</f>
        <v/>
      </c>
      <c r="AX36" s="21" t="n"/>
      <c r="AY36" s="18" t="n"/>
      <c r="AZ36" s="18" t="n"/>
      <c r="BA36" s="20" t="n"/>
    </row>
    <row r="37">
      <c r="A37" s="18" t="n"/>
      <c r="B37" s="18" t="n"/>
      <c r="C37" s="18" t="n"/>
      <c r="D37" s="18" t="n"/>
      <c r="E37" s="18" t="n"/>
      <c r="F37" s="18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>
        <f>IF(COUNT(G37:R37)=0,"",SUM(G37:R37))</f>
        <v/>
      </c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20">
        <f>IF(COUNT(T37:AE37)=0,"",SUM(T37:AE37))</f>
        <v/>
      </c>
      <c r="AG37" s="18" t="n"/>
      <c r="AH37" s="18" t="n"/>
      <c r="AI37" s="18" t="n"/>
      <c r="AJ37" s="18" t="n"/>
      <c r="AK37" s="18" t="n"/>
      <c r="AL37" s="21">
        <f>IF($A37="","",IF(AJ37="いいえ","対象外",IF(AND(AH37="投資予算",AZ37="継続"),"対象外",IF(OR(AH37="",AJ37="",AJ37="未確認",AND(AH37="投資予算",OR(AZ37="",AZ37="未確認")),AM37="判定保留",AN37="判定保留"),"判定保留","移管"))))</f>
        <v/>
      </c>
      <c r="AM37" s="21">
        <f>IF($A37="","",IF(AJ37="いいえ","対象外",IF(AND(AH37="投資予算",AZ37="継続"),"対象外",IF(OR(AJ37="",AJ37="未確認"),"判定保留",IF(AV37=0,"—","移管")))))</f>
        <v/>
      </c>
      <c r="AN37" s="21">
        <f>IF($A37="","",IF(AJ37="いいえ","対象外",IF(AH37="投資予算","—",IF(OR(AH37="",AJ37="",AJ37="未確認",AS37=0,AT37&gt;0,AU37&gt;0),"判定保留","移管"))))</f>
        <v/>
      </c>
      <c r="AO37" s="21">
        <f>IF($A37="","",IF(AL37&lt;&gt;"移管","—",IF(AW37&gt;0,"あり","なし")))</f>
        <v/>
      </c>
      <c r="AP37" s="18" t="n"/>
      <c r="AQ37" s="33" t="n"/>
      <c r="AR37" s="21">
        <f>IF($A37="","",IF(AP37="","ステータス未設定",IF(AND(AL37="対象外",AP37&lt;&gt;"対象外"),"判定は対象外",IF(AND(AL37&lt;&gt;"対象外",AP37="対象外"),"判定は対象外ではない",IF(AND(AL37="判定保留",AP37&lt;&gt;"棚卸し中"),"判定保留が残っている",IF(AND(AL37="移管",AP37="棚卸し中"),"判定保留なし（棚卸し済みへ）",""))))))</f>
        <v/>
      </c>
      <c r="AS37" s="21">
        <f>IF($A37="","",COUNTIFS('紐付け'!$A$4:$A$200,$A37,'紐付け'!$C$4:$C$200,"&lt;&gt;"))</f>
        <v/>
      </c>
      <c r="AT37" s="21">
        <f>IF($A37="","",SUMPRODUCT(('紐付け'!$A$4:$A$200=$A37)*('紐付け'!$C$4:$C$200&lt;&gt;"")*(COUNTIFS('業務'!$C$4:$C$200,'紐付け'!$C$4:$C$200,'業務'!$F$4:$F$200,"間接業務",'業務'!$U$4:$U$200,$A37)=0)))</f>
        <v/>
      </c>
      <c r="AU37" s="21">
        <f>IF($A37="","",COUNTIFS('業務'!$U$4:$U$200,$A37,'業務'!$A$4:$A$200,"&lt;&gt;",'業務'!$J$4:$J$200,"&lt;&gt;済"))</f>
        <v/>
      </c>
      <c r="AV37" s="21">
        <f>IF($A37="","",COUNTIF('契約'!$C$4:$C$200,$A37))</f>
        <v/>
      </c>
      <c r="AW37" s="21">
        <f>IF($A37="","",COUNTIFS('業務'!$U$4:$U$200,$A37,'業務'!$A$4:$A$200,"&lt;&gt;",'業務'!$S$4:$S$200,"&lt;&gt;",'業務'!$F$4:$F$200,"間接業務"))</f>
        <v/>
      </c>
      <c r="AX37" s="21" t="n"/>
      <c r="AY37" s="18" t="n"/>
      <c r="AZ37" s="18" t="n"/>
      <c r="BA37" s="20" t="n"/>
    </row>
    <row r="38">
      <c r="A38" s="18" t="n"/>
      <c r="B38" s="18" t="n"/>
      <c r="C38" s="18" t="n"/>
      <c r="D38" s="18" t="n"/>
      <c r="E38" s="18" t="n"/>
      <c r="F38" s="18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20">
        <f>IF(COUNT(G38:R38)=0,"",SUM(G38:R38))</f>
        <v/>
      </c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20">
        <f>IF(COUNT(T38:AE38)=0,"",SUM(T38:AE38))</f>
        <v/>
      </c>
      <c r="AG38" s="18" t="n"/>
      <c r="AH38" s="18" t="n"/>
      <c r="AI38" s="18" t="n"/>
      <c r="AJ38" s="18" t="n"/>
      <c r="AK38" s="18" t="n"/>
      <c r="AL38" s="21">
        <f>IF($A38="","",IF(AJ38="いいえ","対象外",IF(AND(AH38="投資予算",AZ38="継続"),"対象外",IF(OR(AH38="",AJ38="",AJ38="未確認",AND(AH38="投資予算",OR(AZ38="",AZ38="未確認")),AM38="判定保留",AN38="判定保留"),"判定保留","移管"))))</f>
        <v/>
      </c>
      <c r="AM38" s="21">
        <f>IF($A38="","",IF(AJ38="いいえ","対象外",IF(AND(AH38="投資予算",AZ38="継続"),"対象外",IF(OR(AJ38="",AJ38="未確認"),"判定保留",IF(AV38=0,"—","移管")))))</f>
        <v/>
      </c>
      <c r="AN38" s="21">
        <f>IF($A38="","",IF(AJ38="いいえ","対象外",IF(AH38="投資予算","—",IF(OR(AH38="",AJ38="",AJ38="未確認",AS38=0,AT38&gt;0,AU38&gt;0),"判定保留","移管"))))</f>
        <v/>
      </c>
      <c r="AO38" s="21">
        <f>IF($A38="","",IF(AL38&lt;&gt;"移管","—",IF(AW38&gt;0,"あり","なし")))</f>
        <v/>
      </c>
      <c r="AP38" s="18" t="n"/>
      <c r="AQ38" s="33" t="n"/>
      <c r="AR38" s="21">
        <f>IF($A38="","",IF(AP38="","ステータス未設定",IF(AND(AL38="対象外",AP38&lt;&gt;"対象外"),"判定は対象外",IF(AND(AL38&lt;&gt;"対象外",AP38="対象外"),"判定は対象外ではない",IF(AND(AL38="判定保留",AP38&lt;&gt;"棚卸し中"),"判定保留が残っている",IF(AND(AL38="移管",AP38="棚卸し中"),"判定保留なし（棚卸し済みへ）",""))))))</f>
        <v/>
      </c>
      <c r="AS38" s="21">
        <f>IF($A38="","",COUNTIFS('紐付け'!$A$4:$A$200,$A38,'紐付け'!$C$4:$C$200,"&lt;&gt;"))</f>
        <v/>
      </c>
      <c r="AT38" s="21">
        <f>IF($A38="","",SUMPRODUCT(('紐付け'!$A$4:$A$200=$A38)*('紐付け'!$C$4:$C$200&lt;&gt;"")*(COUNTIFS('業務'!$C$4:$C$200,'紐付け'!$C$4:$C$200,'業務'!$F$4:$F$200,"間接業務",'業務'!$U$4:$U$200,$A38)=0)))</f>
        <v/>
      </c>
      <c r="AU38" s="21">
        <f>IF($A38="","",COUNTIFS('業務'!$U$4:$U$200,$A38,'業務'!$A$4:$A$200,"&lt;&gt;",'業務'!$J$4:$J$200,"&lt;&gt;済"))</f>
        <v/>
      </c>
      <c r="AV38" s="21">
        <f>IF($A38="","",COUNTIF('契約'!$C$4:$C$200,$A38))</f>
        <v/>
      </c>
      <c r="AW38" s="21">
        <f>IF($A38="","",COUNTIFS('業務'!$U$4:$U$200,$A38,'業務'!$A$4:$A$200,"&lt;&gt;",'業務'!$S$4:$S$200,"&lt;&gt;",'業務'!$F$4:$F$200,"間接業務"))</f>
        <v/>
      </c>
      <c r="AX38" s="21" t="n"/>
      <c r="AY38" s="18" t="n"/>
      <c r="AZ38" s="18" t="n"/>
      <c r="BA38" s="20" t="n"/>
    </row>
    <row r="39">
      <c r="A39" s="18" t="n"/>
      <c r="B39" s="18" t="n"/>
      <c r="C39" s="18" t="n"/>
      <c r="D39" s="18" t="n"/>
      <c r="E39" s="18" t="n"/>
      <c r="F39" s="18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20">
        <f>IF(COUNT(G39:R39)=0,"",SUM(G39:R39))</f>
        <v/>
      </c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20">
        <f>IF(COUNT(T39:AE39)=0,"",SUM(T39:AE39))</f>
        <v/>
      </c>
      <c r="AG39" s="18" t="n"/>
      <c r="AH39" s="18" t="n"/>
      <c r="AI39" s="18" t="n"/>
      <c r="AJ39" s="18" t="n"/>
      <c r="AK39" s="18" t="n"/>
      <c r="AL39" s="21">
        <f>IF($A39="","",IF(AJ39="いいえ","対象外",IF(AND(AH39="投資予算",AZ39="継続"),"対象外",IF(OR(AH39="",AJ39="",AJ39="未確認",AND(AH39="投資予算",OR(AZ39="",AZ39="未確認")),AM39="判定保留",AN39="判定保留"),"判定保留","移管"))))</f>
        <v/>
      </c>
      <c r="AM39" s="21">
        <f>IF($A39="","",IF(AJ39="いいえ","対象外",IF(AND(AH39="投資予算",AZ39="継続"),"対象外",IF(OR(AJ39="",AJ39="未確認"),"判定保留",IF(AV39=0,"—","移管")))))</f>
        <v/>
      </c>
      <c r="AN39" s="21">
        <f>IF($A39="","",IF(AJ39="いいえ","対象外",IF(AH39="投資予算","—",IF(OR(AH39="",AJ39="",AJ39="未確認",AS39=0,AT39&gt;0,AU39&gt;0),"判定保留","移管"))))</f>
        <v/>
      </c>
      <c r="AO39" s="21">
        <f>IF($A39="","",IF(AL39&lt;&gt;"移管","—",IF(AW39&gt;0,"あり","なし")))</f>
        <v/>
      </c>
      <c r="AP39" s="18" t="n"/>
      <c r="AQ39" s="33" t="n"/>
      <c r="AR39" s="21">
        <f>IF($A39="","",IF(AP39="","ステータス未設定",IF(AND(AL39="対象外",AP39&lt;&gt;"対象外"),"判定は対象外",IF(AND(AL39&lt;&gt;"対象外",AP39="対象外"),"判定は対象外ではない",IF(AND(AL39="判定保留",AP39&lt;&gt;"棚卸し中"),"判定保留が残っている",IF(AND(AL39="移管",AP39="棚卸し中"),"判定保留なし（棚卸し済みへ）",""))))))</f>
        <v/>
      </c>
      <c r="AS39" s="21">
        <f>IF($A39="","",COUNTIFS('紐付け'!$A$4:$A$200,$A39,'紐付け'!$C$4:$C$200,"&lt;&gt;"))</f>
        <v/>
      </c>
      <c r="AT39" s="21">
        <f>IF($A39="","",SUMPRODUCT(('紐付け'!$A$4:$A$200=$A39)*('紐付け'!$C$4:$C$200&lt;&gt;"")*(COUNTIFS('業務'!$C$4:$C$200,'紐付け'!$C$4:$C$200,'業務'!$F$4:$F$200,"間接業務",'業務'!$U$4:$U$200,$A39)=0)))</f>
        <v/>
      </c>
      <c r="AU39" s="21">
        <f>IF($A39="","",COUNTIFS('業務'!$U$4:$U$200,$A39,'業務'!$A$4:$A$200,"&lt;&gt;",'業務'!$J$4:$J$200,"&lt;&gt;済"))</f>
        <v/>
      </c>
      <c r="AV39" s="21">
        <f>IF($A39="","",COUNTIF('契約'!$C$4:$C$200,$A39))</f>
        <v/>
      </c>
      <c r="AW39" s="21">
        <f>IF($A39="","",COUNTIFS('業務'!$U$4:$U$200,$A39,'業務'!$A$4:$A$200,"&lt;&gt;",'業務'!$S$4:$S$200,"&lt;&gt;",'業務'!$F$4:$F$200,"間接業務"))</f>
        <v/>
      </c>
      <c r="AX39" s="21" t="n"/>
      <c r="AY39" s="18" t="n"/>
      <c r="AZ39" s="18" t="n"/>
      <c r="BA39" s="20" t="n"/>
    </row>
    <row r="40">
      <c r="A40" s="18" t="n"/>
      <c r="B40" s="18" t="n"/>
      <c r="C40" s="18" t="n"/>
      <c r="D40" s="18" t="n"/>
      <c r="E40" s="18" t="n"/>
      <c r="F40" s="18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20">
        <f>IF(COUNT(G40:R40)=0,"",SUM(G40:R40))</f>
        <v/>
      </c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20">
        <f>IF(COUNT(T40:AE40)=0,"",SUM(T40:AE40))</f>
        <v/>
      </c>
      <c r="AG40" s="18" t="n"/>
      <c r="AH40" s="18" t="n"/>
      <c r="AI40" s="18" t="n"/>
      <c r="AJ40" s="18" t="n"/>
      <c r="AK40" s="18" t="n"/>
      <c r="AL40" s="21">
        <f>IF($A40="","",IF(AJ40="いいえ","対象外",IF(AND(AH40="投資予算",AZ40="継続"),"対象外",IF(OR(AH40="",AJ40="",AJ40="未確認",AND(AH40="投資予算",OR(AZ40="",AZ40="未確認")),AM40="判定保留",AN40="判定保留"),"判定保留","移管"))))</f>
        <v/>
      </c>
      <c r="AM40" s="21">
        <f>IF($A40="","",IF(AJ40="いいえ","対象外",IF(AND(AH40="投資予算",AZ40="継続"),"対象外",IF(OR(AJ40="",AJ40="未確認"),"判定保留",IF(AV40=0,"—","移管")))))</f>
        <v/>
      </c>
      <c r="AN40" s="21">
        <f>IF($A40="","",IF(AJ40="いいえ","対象外",IF(AH40="投資予算","—",IF(OR(AH40="",AJ40="",AJ40="未確認",AS40=0,AT40&gt;0,AU40&gt;0),"判定保留","移管"))))</f>
        <v/>
      </c>
      <c r="AO40" s="21">
        <f>IF($A40="","",IF(AL40&lt;&gt;"移管","—",IF(AW40&gt;0,"あり","なし")))</f>
        <v/>
      </c>
      <c r="AP40" s="18" t="n"/>
      <c r="AQ40" s="33" t="n"/>
      <c r="AR40" s="21">
        <f>IF($A40="","",IF(AP40="","ステータス未設定",IF(AND(AL40="対象外",AP40&lt;&gt;"対象外"),"判定は対象外",IF(AND(AL40&lt;&gt;"対象外",AP40="対象外"),"判定は対象外ではない",IF(AND(AL40="判定保留",AP40&lt;&gt;"棚卸し中"),"判定保留が残っている",IF(AND(AL40="移管",AP40="棚卸し中"),"判定保留なし（棚卸し済みへ）",""))))))</f>
        <v/>
      </c>
      <c r="AS40" s="21">
        <f>IF($A40="","",COUNTIFS('紐付け'!$A$4:$A$200,$A40,'紐付け'!$C$4:$C$200,"&lt;&gt;"))</f>
        <v/>
      </c>
      <c r="AT40" s="21">
        <f>IF($A40="","",SUMPRODUCT(('紐付け'!$A$4:$A$200=$A40)*('紐付け'!$C$4:$C$200&lt;&gt;"")*(COUNTIFS('業務'!$C$4:$C$200,'紐付け'!$C$4:$C$200,'業務'!$F$4:$F$200,"間接業務",'業務'!$U$4:$U$200,$A40)=0)))</f>
        <v/>
      </c>
      <c r="AU40" s="21">
        <f>IF($A40="","",COUNTIFS('業務'!$U$4:$U$200,$A40,'業務'!$A$4:$A$200,"&lt;&gt;",'業務'!$J$4:$J$200,"&lt;&gt;済"))</f>
        <v/>
      </c>
      <c r="AV40" s="21">
        <f>IF($A40="","",COUNTIF('契約'!$C$4:$C$200,$A40))</f>
        <v/>
      </c>
      <c r="AW40" s="21">
        <f>IF($A40="","",COUNTIFS('業務'!$U$4:$U$200,$A40,'業務'!$A$4:$A$200,"&lt;&gt;",'業務'!$S$4:$S$200,"&lt;&gt;",'業務'!$F$4:$F$200,"間接業務"))</f>
        <v/>
      </c>
      <c r="AX40" s="21" t="n"/>
      <c r="AY40" s="18" t="n"/>
      <c r="AZ40" s="18" t="n"/>
      <c r="BA40" s="20" t="n"/>
    </row>
    <row r="41">
      <c r="A41" s="18" t="n"/>
      <c r="B41" s="18" t="n"/>
      <c r="C41" s="18" t="n"/>
      <c r="D41" s="18" t="n"/>
      <c r="E41" s="18" t="n"/>
      <c r="F41" s="18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20">
        <f>IF(COUNT(G41:R41)=0,"",SUM(G41:R41))</f>
        <v/>
      </c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20">
        <f>IF(COUNT(T41:AE41)=0,"",SUM(T41:AE41))</f>
        <v/>
      </c>
      <c r="AG41" s="18" t="n"/>
      <c r="AH41" s="18" t="n"/>
      <c r="AI41" s="18" t="n"/>
      <c r="AJ41" s="18" t="n"/>
      <c r="AK41" s="18" t="n"/>
      <c r="AL41" s="21">
        <f>IF($A41="","",IF(AJ41="いいえ","対象外",IF(AND(AH41="投資予算",AZ41="継続"),"対象外",IF(OR(AH41="",AJ41="",AJ41="未確認",AND(AH41="投資予算",OR(AZ41="",AZ41="未確認")),AM41="判定保留",AN41="判定保留"),"判定保留","移管"))))</f>
        <v/>
      </c>
      <c r="AM41" s="21">
        <f>IF($A41="","",IF(AJ41="いいえ","対象外",IF(AND(AH41="投資予算",AZ41="継続"),"対象外",IF(OR(AJ41="",AJ41="未確認"),"判定保留",IF(AV41=0,"—","移管")))))</f>
        <v/>
      </c>
      <c r="AN41" s="21">
        <f>IF($A41="","",IF(AJ41="いいえ","対象外",IF(AH41="投資予算","—",IF(OR(AH41="",AJ41="",AJ41="未確認",AS41=0,AT41&gt;0,AU41&gt;0),"判定保留","移管"))))</f>
        <v/>
      </c>
      <c r="AO41" s="21">
        <f>IF($A41="","",IF(AL41&lt;&gt;"移管","—",IF(AW41&gt;0,"あり","なし")))</f>
        <v/>
      </c>
      <c r="AP41" s="18" t="n"/>
      <c r="AQ41" s="33" t="n"/>
      <c r="AR41" s="21">
        <f>IF($A41="","",IF(AP41="","ステータス未設定",IF(AND(AL41="対象外",AP41&lt;&gt;"対象外"),"判定は対象外",IF(AND(AL41&lt;&gt;"対象外",AP41="対象外"),"判定は対象外ではない",IF(AND(AL41="判定保留",AP41&lt;&gt;"棚卸し中"),"判定保留が残っている",IF(AND(AL41="移管",AP41="棚卸し中"),"判定保留なし（棚卸し済みへ）",""))))))</f>
        <v/>
      </c>
      <c r="AS41" s="21">
        <f>IF($A41="","",COUNTIFS('紐付け'!$A$4:$A$200,$A41,'紐付け'!$C$4:$C$200,"&lt;&gt;"))</f>
        <v/>
      </c>
      <c r="AT41" s="21">
        <f>IF($A41="","",SUMPRODUCT(('紐付け'!$A$4:$A$200=$A41)*('紐付け'!$C$4:$C$200&lt;&gt;"")*(COUNTIFS('業務'!$C$4:$C$200,'紐付け'!$C$4:$C$200,'業務'!$F$4:$F$200,"間接業務",'業務'!$U$4:$U$200,$A41)=0)))</f>
        <v/>
      </c>
      <c r="AU41" s="21">
        <f>IF($A41="","",COUNTIFS('業務'!$U$4:$U$200,$A41,'業務'!$A$4:$A$200,"&lt;&gt;",'業務'!$J$4:$J$200,"&lt;&gt;済"))</f>
        <v/>
      </c>
      <c r="AV41" s="21">
        <f>IF($A41="","",COUNTIF('契約'!$C$4:$C$200,$A41))</f>
        <v/>
      </c>
      <c r="AW41" s="21">
        <f>IF($A41="","",COUNTIFS('業務'!$U$4:$U$200,$A41,'業務'!$A$4:$A$200,"&lt;&gt;",'業務'!$S$4:$S$200,"&lt;&gt;",'業務'!$F$4:$F$200,"間接業務"))</f>
        <v/>
      </c>
      <c r="AX41" s="21" t="n"/>
      <c r="AY41" s="18" t="n"/>
      <c r="AZ41" s="18" t="n"/>
      <c r="BA41" s="20" t="n"/>
    </row>
    <row r="42">
      <c r="A42" s="18" t="n"/>
      <c r="B42" s="18" t="n"/>
      <c r="C42" s="18" t="n"/>
      <c r="D42" s="18" t="n"/>
      <c r="E42" s="18" t="n"/>
      <c r="F42" s="18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20">
        <f>IF(COUNT(G42:R42)=0,"",SUM(G42:R42))</f>
        <v/>
      </c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20">
        <f>IF(COUNT(T42:AE42)=0,"",SUM(T42:AE42))</f>
        <v/>
      </c>
      <c r="AG42" s="18" t="n"/>
      <c r="AH42" s="18" t="n"/>
      <c r="AI42" s="18" t="n"/>
      <c r="AJ42" s="18" t="n"/>
      <c r="AK42" s="18" t="n"/>
      <c r="AL42" s="21">
        <f>IF($A42="","",IF(AJ42="いいえ","対象外",IF(AND(AH42="投資予算",AZ42="継続"),"対象外",IF(OR(AH42="",AJ42="",AJ42="未確認",AND(AH42="投資予算",OR(AZ42="",AZ42="未確認")),AM42="判定保留",AN42="判定保留"),"判定保留","移管"))))</f>
        <v/>
      </c>
      <c r="AM42" s="21">
        <f>IF($A42="","",IF(AJ42="いいえ","対象外",IF(AND(AH42="投資予算",AZ42="継続"),"対象外",IF(OR(AJ42="",AJ42="未確認"),"判定保留",IF(AV42=0,"—","移管")))))</f>
        <v/>
      </c>
      <c r="AN42" s="21">
        <f>IF($A42="","",IF(AJ42="いいえ","対象外",IF(AH42="投資予算","—",IF(OR(AH42="",AJ42="",AJ42="未確認",AS42=0,AT42&gt;0,AU42&gt;0),"判定保留","移管"))))</f>
        <v/>
      </c>
      <c r="AO42" s="21">
        <f>IF($A42="","",IF(AL42&lt;&gt;"移管","—",IF(AW42&gt;0,"あり","なし")))</f>
        <v/>
      </c>
      <c r="AP42" s="18" t="n"/>
      <c r="AQ42" s="33" t="n"/>
      <c r="AR42" s="21">
        <f>IF($A42="","",IF(AP42="","ステータス未設定",IF(AND(AL42="対象外",AP42&lt;&gt;"対象外"),"判定は対象外",IF(AND(AL42&lt;&gt;"対象外",AP42="対象外"),"判定は対象外ではない",IF(AND(AL42="判定保留",AP42&lt;&gt;"棚卸し中"),"判定保留が残っている",IF(AND(AL42="移管",AP42="棚卸し中"),"判定保留なし（棚卸し済みへ）",""))))))</f>
        <v/>
      </c>
      <c r="AS42" s="21">
        <f>IF($A42="","",COUNTIFS('紐付け'!$A$4:$A$200,$A42,'紐付け'!$C$4:$C$200,"&lt;&gt;"))</f>
        <v/>
      </c>
      <c r="AT42" s="21">
        <f>IF($A42="","",SUMPRODUCT(('紐付け'!$A$4:$A$200=$A42)*('紐付け'!$C$4:$C$200&lt;&gt;"")*(COUNTIFS('業務'!$C$4:$C$200,'紐付け'!$C$4:$C$200,'業務'!$F$4:$F$200,"間接業務",'業務'!$U$4:$U$200,$A42)=0)))</f>
        <v/>
      </c>
      <c r="AU42" s="21">
        <f>IF($A42="","",COUNTIFS('業務'!$U$4:$U$200,$A42,'業務'!$A$4:$A$200,"&lt;&gt;",'業務'!$J$4:$J$200,"&lt;&gt;済"))</f>
        <v/>
      </c>
      <c r="AV42" s="21">
        <f>IF($A42="","",COUNTIF('契約'!$C$4:$C$200,$A42))</f>
        <v/>
      </c>
      <c r="AW42" s="21">
        <f>IF($A42="","",COUNTIFS('業務'!$U$4:$U$200,$A42,'業務'!$A$4:$A$200,"&lt;&gt;",'業務'!$S$4:$S$200,"&lt;&gt;",'業務'!$F$4:$F$200,"間接業務"))</f>
        <v/>
      </c>
      <c r="AX42" s="21" t="n"/>
      <c r="AY42" s="18" t="n"/>
      <c r="AZ42" s="18" t="n"/>
      <c r="BA42" s="20" t="n"/>
    </row>
    <row r="43">
      <c r="A43" s="18" t="n"/>
      <c r="B43" s="18" t="n"/>
      <c r="C43" s="18" t="n"/>
      <c r="D43" s="18" t="n"/>
      <c r="E43" s="18" t="n"/>
      <c r="F43" s="18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20">
        <f>IF(COUNT(G43:R43)=0,"",SUM(G43:R43))</f>
        <v/>
      </c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20">
        <f>IF(COUNT(T43:AE43)=0,"",SUM(T43:AE43))</f>
        <v/>
      </c>
      <c r="AG43" s="18" t="n"/>
      <c r="AH43" s="18" t="n"/>
      <c r="AI43" s="18" t="n"/>
      <c r="AJ43" s="18" t="n"/>
      <c r="AK43" s="18" t="n"/>
      <c r="AL43" s="21">
        <f>IF($A43="","",IF(AJ43="いいえ","対象外",IF(AND(AH43="投資予算",AZ43="継続"),"対象外",IF(OR(AH43="",AJ43="",AJ43="未確認",AND(AH43="投資予算",OR(AZ43="",AZ43="未確認")),AM43="判定保留",AN43="判定保留"),"判定保留","移管"))))</f>
        <v/>
      </c>
      <c r="AM43" s="21">
        <f>IF($A43="","",IF(AJ43="いいえ","対象外",IF(AND(AH43="投資予算",AZ43="継続"),"対象外",IF(OR(AJ43="",AJ43="未確認"),"判定保留",IF(AV43=0,"—","移管")))))</f>
        <v/>
      </c>
      <c r="AN43" s="21">
        <f>IF($A43="","",IF(AJ43="いいえ","対象外",IF(AH43="投資予算","—",IF(OR(AH43="",AJ43="",AJ43="未確認",AS43=0,AT43&gt;0,AU43&gt;0),"判定保留","移管"))))</f>
        <v/>
      </c>
      <c r="AO43" s="21">
        <f>IF($A43="","",IF(AL43&lt;&gt;"移管","—",IF(AW43&gt;0,"あり","なし")))</f>
        <v/>
      </c>
      <c r="AP43" s="18" t="n"/>
      <c r="AQ43" s="33" t="n"/>
      <c r="AR43" s="21">
        <f>IF($A43="","",IF(AP43="","ステータス未設定",IF(AND(AL43="対象外",AP43&lt;&gt;"対象外"),"判定は対象外",IF(AND(AL43&lt;&gt;"対象外",AP43="対象外"),"判定は対象外ではない",IF(AND(AL43="判定保留",AP43&lt;&gt;"棚卸し中"),"判定保留が残っている",IF(AND(AL43="移管",AP43="棚卸し中"),"判定保留なし（棚卸し済みへ）",""))))))</f>
        <v/>
      </c>
      <c r="AS43" s="21">
        <f>IF($A43="","",COUNTIFS('紐付け'!$A$4:$A$200,$A43,'紐付け'!$C$4:$C$200,"&lt;&gt;"))</f>
        <v/>
      </c>
      <c r="AT43" s="21">
        <f>IF($A43="","",SUMPRODUCT(('紐付け'!$A$4:$A$200=$A43)*('紐付け'!$C$4:$C$200&lt;&gt;"")*(COUNTIFS('業務'!$C$4:$C$200,'紐付け'!$C$4:$C$200,'業務'!$F$4:$F$200,"間接業務",'業務'!$U$4:$U$200,$A43)=0)))</f>
        <v/>
      </c>
      <c r="AU43" s="21">
        <f>IF($A43="","",COUNTIFS('業務'!$U$4:$U$200,$A43,'業務'!$A$4:$A$200,"&lt;&gt;",'業務'!$J$4:$J$200,"&lt;&gt;済"))</f>
        <v/>
      </c>
      <c r="AV43" s="21">
        <f>IF($A43="","",COUNTIF('契約'!$C$4:$C$200,$A43))</f>
        <v/>
      </c>
      <c r="AW43" s="21">
        <f>IF($A43="","",COUNTIFS('業務'!$U$4:$U$200,$A43,'業務'!$A$4:$A$200,"&lt;&gt;",'業務'!$S$4:$S$200,"&lt;&gt;",'業務'!$F$4:$F$200,"間接業務"))</f>
        <v/>
      </c>
      <c r="AX43" s="21" t="n"/>
      <c r="AY43" s="18" t="n"/>
      <c r="AZ43" s="18" t="n"/>
      <c r="BA43" s="20" t="n"/>
    </row>
    <row r="44">
      <c r="A44" s="18" t="n"/>
      <c r="B44" s="18" t="n"/>
      <c r="C44" s="18" t="n"/>
      <c r="D44" s="18" t="n"/>
      <c r="E44" s="18" t="n"/>
      <c r="F44" s="18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20">
        <f>IF(COUNT(G44:R44)=0,"",SUM(G44:R44))</f>
        <v/>
      </c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20">
        <f>IF(COUNT(T44:AE44)=0,"",SUM(T44:AE44))</f>
        <v/>
      </c>
      <c r="AG44" s="18" t="n"/>
      <c r="AH44" s="18" t="n"/>
      <c r="AI44" s="18" t="n"/>
      <c r="AJ44" s="18" t="n"/>
      <c r="AK44" s="18" t="n"/>
      <c r="AL44" s="21">
        <f>IF($A44="","",IF(AJ44="いいえ","対象外",IF(AND(AH44="投資予算",AZ44="継続"),"対象外",IF(OR(AH44="",AJ44="",AJ44="未確認",AND(AH44="投資予算",OR(AZ44="",AZ44="未確認")),AM44="判定保留",AN44="判定保留"),"判定保留","移管"))))</f>
        <v/>
      </c>
      <c r="AM44" s="21">
        <f>IF($A44="","",IF(AJ44="いいえ","対象外",IF(AND(AH44="投資予算",AZ44="継続"),"対象外",IF(OR(AJ44="",AJ44="未確認"),"判定保留",IF(AV44=0,"—","移管")))))</f>
        <v/>
      </c>
      <c r="AN44" s="21">
        <f>IF($A44="","",IF(AJ44="いいえ","対象外",IF(AH44="投資予算","—",IF(OR(AH44="",AJ44="",AJ44="未確認",AS44=0,AT44&gt;0,AU44&gt;0),"判定保留","移管"))))</f>
        <v/>
      </c>
      <c r="AO44" s="21">
        <f>IF($A44="","",IF(AL44&lt;&gt;"移管","—",IF(AW44&gt;0,"あり","なし")))</f>
        <v/>
      </c>
      <c r="AP44" s="18" t="n"/>
      <c r="AQ44" s="33" t="n"/>
      <c r="AR44" s="21">
        <f>IF($A44="","",IF(AP44="","ステータス未設定",IF(AND(AL44="対象外",AP44&lt;&gt;"対象外"),"判定は対象外",IF(AND(AL44&lt;&gt;"対象外",AP44="対象外"),"判定は対象外ではない",IF(AND(AL44="判定保留",AP44&lt;&gt;"棚卸し中"),"判定保留が残っている",IF(AND(AL44="移管",AP44="棚卸し中"),"判定保留なし（棚卸し済みへ）",""))))))</f>
        <v/>
      </c>
      <c r="AS44" s="21">
        <f>IF($A44="","",COUNTIFS('紐付け'!$A$4:$A$200,$A44,'紐付け'!$C$4:$C$200,"&lt;&gt;"))</f>
        <v/>
      </c>
      <c r="AT44" s="21">
        <f>IF($A44="","",SUMPRODUCT(('紐付け'!$A$4:$A$200=$A44)*('紐付け'!$C$4:$C$200&lt;&gt;"")*(COUNTIFS('業務'!$C$4:$C$200,'紐付け'!$C$4:$C$200,'業務'!$F$4:$F$200,"間接業務",'業務'!$U$4:$U$200,$A44)=0)))</f>
        <v/>
      </c>
      <c r="AU44" s="21">
        <f>IF($A44="","",COUNTIFS('業務'!$U$4:$U$200,$A44,'業務'!$A$4:$A$200,"&lt;&gt;",'業務'!$J$4:$J$200,"&lt;&gt;済"))</f>
        <v/>
      </c>
      <c r="AV44" s="21">
        <f>IF($A44="","",COUNTIF('契約'!$C$4:$C$200,$A44))</f>
        <v/>
      </c>
      <c r="AW44" s="21">
        <f>IF($A44="","",COUNTIFS('業務'!$U$4:$U$200,$A44,'業務'!$A$4:$A$200,"&lt;&gt;",'業務'!$S$4:$S$200,"&lt;&gt;",'業務'!$F$4:$F$200,"間接業務"))</f>
        <v/>
      </c>
      <c r="AX44" s="21" t="n"/>
      <c r="AY44" s="18" t="n"/>
      <c r="AZ44" s="18" t="n"/>
      <c r="BA44" s="20" t="n"/>
    </row>
    <row r="45">
      <c r="A45" s="18" t="n"/>
      <c r="B45" s="18" t="n"/>
      <c r="C45" s="18" t="n"/>
      <c r="D45" s="18" t="n"/>
      <c r="E45" s="18" t="n"/>
      <c r="F45" s="18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20">
        <f>IF(COUNT(G45:R45)=0,"",SUM(G45:R45))</f>
        <v/>
      </c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20">
        <f>IF(COUNT(T45:AE45)=0,"",SUM(T45:AE45))</f>
        <v/>
      </c>
      <c r="AG45" s="18" t="n"/>
      <c r="AH45" s="18" t="n"/>
      <c r="AI45" s="18" t="n"/>
      <c r="AJ45" s="18" t="n"/>
      <c r="AK45" s="18" t="n"/>
      <c r="AL45" s="21">
        <f>IF($A45="","",IF(AJ45="いいえ","対象外",IF(AND(AH45="投資予算",AZ45="継続"),"対象外",IF(OR(AH45="",AJ45="",AJ45="未確認",AND(AH45="投資予算",OR(AZ45="",AZ45="未確認")),AM45="判定保留",AN45="判定保留"),"判定保留","移管"))))</f>
        <v/>
      </c>
      <c r="AM45" s="21">
        <f>IF($A45="","",IF(AJ45="いいえ","対象外",IF(AND(AH45="投資予算",AZ45="継続"),"対象外",IF(OR(AJ45="",AJ45="未確認"),"判定保留",IF(AV45=0,"—","移管")))))</f>
        <v/>
      </c>
      <c r="AN45" s="21">
        <f>IF($A45="","",IF(AJ45="いいえ","対象外",IF(AH45="投資予算","—",IF(OR(AH45="",AJ45="",AJ45="未確認",AS45=0,AT45&gt;0,AU45&gt;0),"判定保留","移管"))))</f>
        <v/>
      </c>
      <c r="AO45" s="21">
        <f>IF($A45="","",IF(AL45&lt;&gt;"移管","—",IF(AW45&gt;0,"あり","なし")))</f>
        <v/>
      </c>
      <c r="AP45" s="18" t="n"/>
      <c r="AQ45" s="33" t="n"/>
      <c r="AR45" s="21">
        <f>IF($A45="","",IF(AP45="","ステータス未設定",IF(AND(AL45="対象外",AP45&lt;&gt;"対象外"),"判定は対象外",IF(AND(AL45&lt;&gt;"対象外",AP45="対象外"),"判定は対象外ではない",IF(AND(AL45="判定保留",AP45&lt;&gt;"棚卸し中"),"判定保留が残っている",IF(AND(AL45="移管",AP45="棚卸し中"),"判定保留なし（棚卸し済みへ）",""))))))</f>
        <v/>
      </c>
      <c r="AS45" s="21">
        <f>IF($A45="","",COUNTIFS('紐付け'!$A$4:$A$200,$A45,'紐付け'!$C$4:$C$200,"&lt;&gt;"))</f>
        <v/>
      </c>
      <c r="AT45" s="21">
        <f>IF($A45="","",SUMPRODUCT(('紐付け'!$A$4:$A$200=$A45)*('紐付け'!$C$4:$C$200&lt;&gt;"")*(COUNTIFS('業務'!$C$4:$C$200,'紐付け'!$C$4:$C$200,'業務'!$F$4:$F$200,"間接業務",'業務'!$U$4:$U$200,$A45)=0)))</f>
        <v/>
      </c>
      <c r="AU45" s="21">
        <f>IF($A45="","",COUNTIFS('業務'!$U$4:$U$200,$A45,'業務'!$A$4:$A$200,"&lt;&gt;",'業務'!$J$4:$J$200,"&lt;&gt;済"))</f>
        <v/>
      </c>
      <c r="AV45" s="21">
        <f>IF($A45="","",COUNTIF('契約'!$C$4:$C$200,$A45))</f>
        <v/>
      </c>
      <c r="AW45" s="21">
        <f>IF($A45="","",COUNTIFS('業務'!$U$4:$U$200,$A45,'業務'!$A$4:$A$200,"&lt;&gt;",'業務'!$S$4:$S$200,"&lt;&gt;",'業務'!$F$4:$F$200,"間接業務"))</f>
        <v/>
      </c>
      <c r="AX45" s="21" t="n"/>
      <c r="AY45" s="18" t="n"/>
      <c r="AZ45" s="18" t="n"/>
      <c r="BA45" s="20" t="n"/>
    </row>
    <row r="46">
      <c r="A46" s="18" t="n"/>
      <c r="B46" s="18" t="n"/>
      <c r="C46" s="18" t="n"/>
      <c r="D46" s="18" t="n"/>
      <c r="E46" s="18" t="n"/>
      <c r="F46" s="18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20">
        <f>IF(COUNT(G46:R46)=0,"",SUM(G46:R46))</f>
        <v/>
      </c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20">
        <f>IF(COUNT(T46:AE46)=0,"",SUM(T46:AE46))</f>
        <v/>
      </c>
      <c r="AG46" s="18" t="n"/>
      <c r="AH46" s="18" t="n"/>
      <c r="AI46" s="18" t="n"/>
      <c r="AJ46" s="18" t="n"/>
      <c r="AK46" s="18" t="n"/>
      <c r="AL46" s="21">
        <f>IF($A46="","",IF(AJ46="いいえ","対象外",IF(AND(AH46="投資予算",AZ46="継続"),"対象外",IF(OR(AH46="",AJ46="",AJ46="未確認",AND(AH46="投資予算",OR(AZ46="",AZ46="未確認")),AM46="判定保留",AN46="判定保留"),"判定保留","移管"))))</f>
        <v/>
      </c>
      <c r="AM46" s="21">
        <f>IF($A46="","",IF(AJ46="いいえ","対象外",IF(AND(AH46="投資予算",AZ46="継続"),"対象外",IF(OR(AJ46="",AJ46="未確認"),"判定保留",IF(AV46=0,"—","移管")))))</f>
        <v/>
      </c>
      <c r="AN46" s="21">
        <f>IF($A46="","",IF(AJ46="いいえ","対象外",IF(AH46="投資予算","—",IF(OR(AH46="",AJ46="",AJ46="未確認",AS46=0,AT46&gt;0,AU46&gt;0),"判定保留","移管"))))</f>
        <v/>
      </c>
      <c r="AO46" s="21">
        <f>IF($A46="","",IF(AL46&lt;&gt;"移管","—",IF(AW46&gt;0,"あり","なし")))</f>
        <v/>
      </c>
      <c r="AP46" s="18" t="n"/>
      <c r="AQ46" s="33" t="n"/>
      <c r="AR46" s="21">
        <f>IF($A46="","",IF(AP46="","ステータス未設定",IF(AND(AL46="対象外",AP46&lt;&gt;"対象外"),"判定は対象外",IF(AND(AL46&lt;&gt;"対象外",AP46="対象外"),"判定は対象外ではない",IF(AND(AL46="判定保留",AP46&lt;&gt;"棚卸し中"),"判定保留が残っている",IF(AND(AL46="移管",AP46="棚卸し中"),"判定保留なし（棚卸し済みへ）",""))))))</f>
        <v/>
      </c>
      <c r="AS46" s="21">
        <f>IF($A46="","",COUNTIFS('紐付け'!$A$4:$A$200,$A46,'紐付け'!$C$4:$C$200,"&lt;&gt;"))</f>
        <v/>
      </c>
      <c r="AT46" s="21">
        <f>IF($A46="","",SUMPRODUCT(('紐付け'!$A$4:$A$200=$A46)*('紐付け'!$C$4:$C$200&lt;&gt;"")*(COUNTIFS('業務'!$C$4:$C$200,'紐付け'!$C$4:$C$200,'業務'!$F$4:$F$200,"間接業務",'業務'!$U$4:$U$200,$A46)=0)))</f>
        <v/>
      </c>
      <c r="AU46" s="21">
        <f>IF($A46="","",COUNTIFS('業務'!$U$4:$U$200,$A46,'業務'!$A$4:$A$200,"&lt;&gt;",'業務'!$J$4:$J$200,"&lt;&gt;済"))</f>
        <v/>
      </c>
      <c r="AV46" s="21">
        <f>IF($A46="","",COUNTIF('契約'!$C$4:$C$200,$A46))</f>
        <v/>
      </c>
      <c r="AW46" s="21">
        <f>IF($A46="","",COUNTIFS('業務'!$U$4:$U$200,$A46,'業務'!$A$4:$A$200,"&lt;&gt;",'業務'!$S$4:$S$200,"&lt;&gt;",'業務'!$F$4:$F$200,"間接業務"))</f>
        <v/>
      </c>
      <c r="AX46" s="21" t="n"/>
      <c r="AY46" s="18" t="n"/>
      <c r="AZ46" s="18" t="n"/>
      <c r="BA46" s="20" t="n"/>
    </row>
    <row r="47">
      <c r="A47" s="18" t="n"/>
      <c r="B47" s="18" t="n"/>
      <c r="C47" s="18" t="n"/>
      <c r="D47" s="18" t="n"/>
      <c r="E47" s="18" t="n"/>
      <c r="F47" s="18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20">
        <f>IF(COUNT(G47:R47)=0,"",SUM(G47:R47))</f>
        <v/>
      </c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20">
        <f>IF(COUNT(T47:AE47)=0,"",SUM(T47:AE47))</f>
        <v/>
      </c>
      <c r="AG47" s="18" t="n"/>
      <c r="AH47" s="18" t="n"/>
      <c r="AI47" s="18" t="n"/>
      <c r="AJ47" s="18" t="n"/>
      <c r="AK47" s="18" t="n"/>
      <c r="AL47" s="21">
        <f>IF($A47="","",IF(AJ47="いいえ","対象外",IF(AND(AH47="投資予算",AZ47="継続"),"対象外",IF(OR(AH47="",AJ47="",AJ47="未確認",AND(AH47="投資予算",OR(AZ47="",AZ47="未確認")),AM47="判定保留",AN47="判定保留"),"判定保留","移管"))))</f>
        <v/>
      </c>
      <c r="AM47" s="21">
        <f>IF($A47="","",IF(AJ47="いいえ","対象外",IF(AND(AH47="投資予算",AZ47="継続"),"対象外",IF(OR(AJ47="",AJ47="未確認"),"判定保留",IF(AV47=0,"—","移管")))))</f>
        <v/>
      </c>
      <c r="AN47" s="21">
        <f>IF($A47="","",IF(AJ47="いいえ","対象外",IF(AH47="投資予算","—",IF(OR(AH47="",AJ47="",AJ47="未確認",AS47=0,AT47&gt;0,AU47&gt;0),"判定保留","移管"))))</f>
        <v/>
      </c>
      <c r="AO47" s="21">
        <f>IF($A47="","",IF(AL47&lt;&gt;"移管","—",IF(AW47&gt;0,"あり","なし")))</f>
        <v/>
      </c>
      <c r="AP47" s="18" t="n"/>
      <c r="AQ47" s="33" t="n"/>
      <c r="AR47" s="21">
        <f>IF($A47="","",IF(AP47="","ステータス未設定",IF(AND(AL47="対象外",AP47&lt;&gt;"対象外"),"判定は対象外",IF(AND(AL47&lt;&gt;"対象外",AP47="対象外"),"判定は対象外ではない",IF(AND(AL47="判定保留",AP47&lt;&gt;"棚卸し中"),"判定保留が残っている",IF(AND(AL47="移管",AP47="棚卸し中"),"判定保留なし（棚卸し済みへ）",""))))))</f>
        <v/>
      </c>
      <c r="AS47" s="21">
        <f>IF($A47="","",COUNTIFS('紐付け'!$A$4:$A$200,$A47,'紐付け'!$C$4:$C$200,"&lt;&gt;"))</f>
        <v/>
      </c>
      <c r="AT47" s="21">
        <f>IF($A47="","",SUMPRODUCT(('紐付け'!$A$4:$A$200=$A47)*('紐付け'!$C$4:$C$200&lt;&gt;"")*(COUNTIFS('業務'!$C$4:$C$200,'紐付け'!$C$4:$C$200,'業務'!$F$4:$F$200,"間接業務",'業務'!$U$4:$U$200,$A47)=0)))</f>
        <v/>
      </c>
      <c r="AU47" s="21">
        <f>IF($A47="","",COUNTIFS('業務'!$U$4:$U$200,$A47,'業務'!$A$4:$A$200,"&lt;&gt;",'業務'!$J$4:$J$200,"&lt;&gt;済"))</f>
        <v/>
      </c>
      <c r="AV47" s="21">
        <f>IF($A47="","",COUNTIF('契約'!$C$4:$C$200,$A47))</f>
        <v/>
      </c>
      <c r="AW47" s="21">
        <f>IF($A47="","",COUNTIFS('業務'!$U$4:$U$200,$A47,'業務'!$A$4:$A$200,"&lt;&gt;",'業務'!$S$4:$S$200,"&lt;&gt;",'業務'!$F$4:$F$200,"間接業務"))</f>
        <v/>
      </c>
      <c r="AX47" s="21" t="n"/>
      <c r="AY47" s="18" t="n"/>
      <c r="AZ47" s="18" t="n"/>
      <c r="BA47" s="20" t="n"/>
    </row>
    <row r="48">
      <c r="A48" s="18" t="n"/>
      <c r="B48" s="18" t="n"/>
      <c r="C48" s="18" t="n"/>
      <c r="D48" s="18" t="n"/>
      <c r="E48" s="18" t="n"/>
      <c r="F48" s="18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20">
        <f>IF(COUNT(G48:R48)=0,"",SUM(G48:R48))</f>
        <v/>
      </c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20">
        <f>IF(COUNT(T48:AE48)=0,"",SUM(T48:AE48))</f>
        <v/>
      </c>
      <c r="AG48" s="18" t="n"/>
      <c r="AH48" s="18" t="n"/>
      <c r="AI48" s="18" t="n"/>
      <c r="AJ48" s="18" t="n"/>
      <c r="AK48" s="18" t="n"/>
      <c r="AL48" s="21">
        <f>IF($A48="","",IF(AJ48="いいえ","対象外",IF(AND(AH48="投資予算",AZ48="継続"),"対象外",IF(OR(AH48="",AJ48="",AJ48="未確認",AND(AH48="投資予算",OR(AZ48="",AZ48="未確認")),AM48="判定保留",AN48="判定保留"),"判定保留","移管"))))</f>
        <v/>
      </c>
      <c r="AM48" s="21">
        <f>IF($A48="","",IF(AJ48="いいえ","対象外",IF(AND(AH48="投資予算",AZ48="継続"),"対象外",IF(OR(AJ48="",AJ48="未確認"),"判定保留",IF(AV48=0,"—","移管")))))</f>
        <v/>
      </c>
      <c r="AN48" s="21">
        <f>IF($A48="","",IF(AJ48="いいえ","対象外",IF(AH48="投資予算","—",IF(OR(AH48="",AJ48="",AJ48="未確認",AS48=0,AT48&gt;0,AU48&gt;0),"判定保留","移管"))))</f>
        <v/>
      </c>
      <c r="AO48" s="21">
        <f>IF($A48="","",IF(AL48&lt;&gt;"移管","—",IF(AW48&gt;0,"あり","なし")))</f>
        <v/>
      </c>
      <c r="AP48" s="18" t="n"/>
      <c r="AQ48" s="33" t="n"/>
      <c r="AR48" s="21">
        <f>IF($A48="","",IF(AP48="","ステータス未設定",IF(AND(AL48="対象外",AP48&lt;&gt;"対象外"),"判定は対象外",IF(AND(AL48&lt;&gt;"対象外",AP48="対象外"),"判定は対象外ではない",IF(AND(AL48="判定保留",AP48&lt;&gt;"棚卸し中"),"判定保留が残っている",IF(AND(AL48="移管",AP48="棚卸し中"),"判定保留なし（棚卸し済みへ）",""))))))</f>
        <v/>
      </c>
      <c r="AS48" s="21">
        <f>IF($A48="","",COUNTIFS('紐付け'!$A$4:$A$200,$A48,'紐付け'!$C$4:$C$200,"&lt;&gt;"))</f>
        <v/>
      </c>
      <c r="AT48" s="21">
        <f>IF($A48="","",SUMPRODUCT(('紐付け'!$A$4:$A$200=$A48)*('紐付け'!$C$4:$C$200&lt;&gt;"")*(COUNTIFS('業務'!$C$4:$C$200,'紐付け'!$C$4:$C$200,'業務'!$F$4:$F$200,"間接業務",'業務'!$U$4:$U$200,$A48)=0)))</f>
        <v/>
      </c>
      <c r="AU48" s="21">
        <f>IF($A48="","",COUNTIFS('業務'!$U$4:$U$200,$A48,'業務'!$A$4:$A$200,"&lt;&gt;",'業務'!$J$4:$J$200,"&lt;&gt;済"))</f>
        <v/>
      </c>
      <c r="AV48" s="21">
        <f>IF($A48="","",COUNTIF('契約'!$C$4:$C$200,$A48))</f>
        <v/>
      </c>
      <c r="AW48" s="21">
        <f>IF($A48="","",COUNTIFS('業務'!$U$4:$U$200,$A48,'業務'!$A$4:$A$200,"&lt;&gt;",'業務'!$S$4:$S$200,"&lt;&gt;",'業務'!$F$4:$F$200,"間接業務"))</f>
        <v/>
      </c>
      <c r="AX48" s="21" t="n"/>
      <c r="AY48" s="18" t="n"/>
      <c r="AZ48" s="18" t="n"/>
      <c r="BA48" s="20" t="n"/>
    </row>
    <row r="49">
      <c r="A49" s="18" t="n"/>
      <c r="B49" s="18" t="n"/>
      <c r="C49" s="18" t="n"/>
      <c r="D49" s="18" t="n"/>
      <c r="E49" s="18" t="n"/>
      <c r="F49" s="18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20">
        <f>IF(COUNT(G49:R49)=0,"",SUM(G49:R49))</f>
        <v/>
      </c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20">
        <f>IF(COUNT(T49:AE49)=0,"",SUM(T49:AE49))</f>
        <v/>
      </c>
      <c r="AG49" s="18" t="n"/>
      <c r="AH49" s="18" t="n"/>
      <c r="AI49" s="18" t="n"/>
      <c r="AJ49" s="18" t="n"/>
      <c r="AK49" s="18" t="n"/>
      <c r="AL49" s="21">
        <f>IF($A49="","",IF(AJ49="いいえ","対象外",IF(AND(AH49="投資予算",AZ49="継続"),"対象外",IF(OR(AH49="",AJ49="",AJ49="未確認",AND(AH49="投資予算",OR(AZ49="",AZ49="未確認")),AM49="判定保留",AN49="判定保留"),"判定保留","移管"))))</f>
        <v/>
      </c>
      <c r="AM49" s="21">
        <f>IF($A49="","",IF(AJ49="いいえ","対象外",IF(AND(AH49="投資予算",AZ49="継続"),"対象外",IF(OR(AJ49="",AJ49="未確認"),"判定保留",IF(AV49=0,"—","移管")))))</f>
        <v/>
      </c>
      <c r="AN49" s="21">
        <f>IF($A49="","",IF(AJ49="いいえ","対象外",IF(AH49="投資予算","—",IF(OR(AH49="",AJ49="",AJ49="未確認",AS49=0,AT49&gt;0,AU49&gt;0),"判定保留","移管"))))</f>
        <v/>
      </c>
      <c r="AO49" s="21">
        <f>IF($A49="","",IF(AL49&lt;&gt;"移管","—",IF(AW49&gt;0,"あり","なし")))</f>
        <v/>
      </c>
      <c r="AP49" s="18" t="n"/>
      <c r="AQ49" s="33" t="n"/>
      <c r="AR49" s="21">
        <f>IF($A49="","",IF(AP49="","ステータス未設定",IF(AND(AL49="対象外",AP49&lt;&gt;"対象外"),"判定は対象外",IF(AND(AL49&lt;&gt;"対象外",AP49="対象外"),"判定は対象外ではない",IF(AND(AL49="判定保留",AP49&lt;&gt;"棚卸し中"),"判定保留が残っている",IF(AND(AL49="移管",AP49="棚卸し中"),"判定保留なし（棚卸し済みへ）",""))))))</f>
        <v/>
      </c>
      <c r="AS49" s="21">
        <f>IF($A49="","",COUNTIFS('紐付け'!$A$4:$A$200,$A49,'紐付け'!$C$4:$C$200,"&lt;&gt;"))</f>
        <v/>
      </c>
      <c r="AT49" s="21">
        <f>IF($A49="","",SUMPRODUCT(('紐付け'!$A$4:$A$200=$A49)*('紐付け'!$C$4:$C$200&lt;&gt;"")*(COUNTIFS('業務'!$C$4:$C$200,'紐付け'!$C$4:$C$200,'業務'!$F$4:$F$200,"間接業務",'業務'!$U$4:$U$200,$A49)=0)))</f>
        <v/>
      </c>
      <c r="AU49" s="21">
        <f>IF($A49="","",COUNTIFS('業務'!$U$4:$U$200,$A49,'業務'!$A$4:$A$200,"&lt;&gt;",'業務'!$J$4:$J$200,"&lt;&gt;済"))</f>
        <v/>
      </c>
      <c r="AV49" s="21">
        <f>IF($A49="","",COUNTIF('契約'!$C$4:$C$200,$A49))</f>
        <v/>
      </c>
      <c r="AW49" s="21">
        <f>IF($A49="","",COUNTIFS('業務'!$U$4:$U$200,$A49,'業務'!$A$4:$A$200,"&lt;&gt;",'業務'!$S$4:$S$200,"&lt;&gt;",'業務'!$F$4:$F$200,"間接業務"))</f>
        <v/>
      </c>
      <c r="AX49" s="21" t="n"/>
      <c r="AY49" s="18" t="n"/>
      <c r="AZ49" s="18" t="n"/>
      <c r="BA49" s="20" t="n"/>
    </row>
    <row r="50">
      <c r="A50" s="18" t="n"/>
      <c r="B50" s="18" t="n"/>
      <c r="C50" s="18" t="n"/>
      <c r="D50" s="18" t="n"/>
      <c r="E50" s="18" t="n"/>
      <c r="F50" s="18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20">
        <f>IF(COUNT(G50:R50)=0,"",SUM(G50:R50))</f>
        <v/>
      </c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20">
        <f>IF(COUNT(T50:AE50)=0,"",SUM(T50:AE50))</f>
        <v/>
      </c>
      <c r="AG50" s="18" t="n"/>
      <c r="AH50" s="18" t="n"/>
      <c r="AI50" s="18" t="n"/>
      <c r="AJ50" s="18" t="n"/>
      <c r="AK50" s="18" t="n"/>
      <c r="AL50" s="21">
        <f>IF($A50="","",IF(AJ50="いいえ","対象外",IF(AND(AH50="投資予算",AZ50="継続"),"対象外",IF(OR(AH50="",AJ50="",AJ50="未確認",AND(AH50="投資予算",OR(AZ50="",AZ50="未確認")),AM50="判定保留",AN50="判定保留"),"判定保留","移管"))))</f>
        <v/>
      </c>
      <c r="AM50" s="21">
        <f>IF($A50="","",IF(AJ50="いいえ","対象外",IF(AND(AH50="投資予算",AZ50="継続"),"対象外",IF(OR(AJ50="",AJ50="未確認"),"判定保留",IF(AV50=0,"—","移管")))))</f>
        <v/>
      </c>
      <c r="AN50" s="21">
        <f>IF($A50="","",IF(AJ50="いいえ","対象外",IF(AH50="投資予算","—",IF(OR(AH50="",AJ50="",AJ50="未確認",AS50=0,AT50&gt;0,AU50&gt;0),"判定保留","移管"))))</f>
        <v/>
      </c>
      <c r="AO50" s="21">
        <f>IF($A50="","",IF(AL50&lt;&gt;"移管","—",IF(AW50&gt;0,"あり","なし")))</f>
        <v/>
      </c>
      <c r="AP50" s="18" t="n"/>
      <c r="AQ50" s="33" t="n"/>
      <c r="AR50" s="21">
        <f>IF($A50="","",IF(AP50="","ステータス未設定",IF(AND(AL50="対象外",AP50&lt;&gt;"対象外"),"判定は対象外",IF(AND(AL50&lt;&gt;"対象外",AP50="対象外"),"判定は対象外ではない",IF(AND(AL50="判定保留",AP50&lt;&gt;"棚卸し中"),"判定保留が残っている",IF(AND(AL50="移管",AP50="棚卸し中"),"判定保留なし（棚卸し済みへ）",""))))))</f>
        <v/>
      </c>
      <c r="AS50" s="21">
        <f>IF($A50="","",COUNTIFS('紐付け'!$A$4:$A$200,$A50,'紐付け'!$C$4:$C$200,"&lt;&gt;"))</f>
        <v/>
      </c>
      <c r="AT50" s="21">
        <f>IF($A50="","",SUMPRODUCT(('紐付け'!$A$4:$A$200=$A50)*('紐付け'!$C$4:$C$200&lt;&gt;"")*(COUNTIFS('業務'!$C$4:$C$200,'紐付け'!$C$4:$C$200,'業務'!$F$4:$F$200,"間接業務",'業務'!$U$4:$U$200,$A50)=0)))</f>
        <v/>
      </c>
      <c r="AU50" s="21">
        <f>IF($A50="","",COUNTIFS('業務'!$U$4:$U$200,$A50,'業務'!$A$4:$A$200,"&lt;&gt;",'業務'!$J$4:$J$200,"&lt;&gt;済"))</f>
        <v/>
      </c>
      <c r="AV50" s="21">
        <f>IF($A50="","",COUNTIF('契約'!$C$4:$C$200,$A50))</f>
        <v/>
      </c>
      <c r="AW50" s="21">
        <f>IF($A50="","",COUNTIFS('業務'!$U$4:$U$200,$A50,'業務'!$A$4:$A$200,"&lt;&gt;",'業務'!$S$4:$S$200,"&lt;&gt;",'業務'!$F$4:$F$200,"間接業務"))</f>
        <v/>
      </c>
      <c r="AX50" s="21" t="n"/>
      <c r="AY50" s="18" t="n"/>
      <c r="AZ50" s="18" t="n"/>
      <c r="BA50" s="20" t="n"/>
    </row>
    <row r="51">
      <c r="A51" s="18" t="n"/>
      <c r="B51" s="18" t="n"/>
      <c r="C51" s="18" t="n"/>
      <c r="D51" s="18" t="n"/>
      <c r="E51" s="18" t="n"/>
      <c r="F51" s="18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20">
        <f>IF(COUNT(G51:R51)=0,"",SUM(G51:R51))</f>
        <v/>
      </c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20">
        <f>IF(COUNT(T51:AE51)=0,"",SUM(T51:AE51))</f>
        <v/>
      </c>
      <c r="AG51" s="18" t="n"/>
      <c r="AH51" s="18" t="n"/>
      <c r="AI51" s="18" t="n"/>
      <c r="AJ51" s="18" t="n"/>
      <c r="AK51" s="18" t="n"/>
      <c r="AL51" s="21">
        <f>IF($A51="","",IF(AJ51="いいえ","対象外",IF(AND(AH51="投資予算",AZ51="継続"),"対象外",IF(OR(AH51="",AJ51="",AJ51="未確認",AND(AH51="投資予算",OR(AZ51="",AZ51="未確認")),AM51="判定保留",AN51="判定保留"),"判定保留","移管"))))</f>
        <v/>
      </c>
      <c r="AM51" s="21">
        <f>IF($A51="","",IF(AJ51="いいえ","対象外",IF(AND(AH51="投資予算",AZ51="継続"),"対象外",IF(OR(AJ51="",AJ51="未確認"),"判定保留",IF(AV51=0,"—","移管")))))</f>
        <v/>
      </c>
      <c r="AN51" s="21">
        <f>IF($A51="","",IF(AJ51="いいえ","対象外",IF(AH51="投資予算","—",IF(OR(AH51="",AJ51="",AJ51="未確認",AS51=0,AT51&gt;0,AU51&gt;0),"判定保留","移管"))))</f>
        <v/>
      </c>
      <c r="AO51" s="21">
        <f>IF($A51="","",IF(AL51&lt;&gt;"移管","—",IF(AW51&gt;0,"あり","なし")))</f>
        <v/>
      </c>
      <c r="AP51" s="18" t="n"/>
      <c r="AQ51" s="33" t="n"/>
      <c r="AR51" s="21">
        <f>IF($A51="","",IF(AP51="","ステータス未設定",IF(AND(AL51="対象外",AP51&lt;&gt;"対象外"),"判定は対象外",IF(AND(AL51&lt;&gt;"対象外",AP51="対象外"),"判定は対象外ではない",IF(AND(AL51="判定保留",AP51&lt;&gt;"棚卸し中"),"判定保留が残っている",IF(AND(AL51="移管",AP51="棚卸し中"),"判定保留なし（棚卸し済みへ）",""))))))</f>
        <v/>
      </c>
      <c r="AS51" s="21">
        <f>IF($A51="","",COUNTIFS('紐付け'!$A$4:$A$200,$A51,'紐付け'!$C$4:$C$200,"&lt;&gt;"))</f>
        <v/>
      </c>
      <c r="AT51" s="21">
        <f>IF($A51="","",SUMPRODUCT(('紐付け'!$A$4:$A$200=$A51)*('紐付け'!$C$4:$C$200&lt;&gt;"")*(COUNTIFS('業務'!$C$4:$C$200,'紐付け'!$C$4:$C$200,'業務'!$F$4:$F$200,"間接業務",'業務'!$U$4:$U$200,$A51)=0)))</f>
        <v/>
      </c>
      <c r="AU51" s="21">
        <f>IF($A51="","",COUNTIFS('業務'!$U$4:$U$200,$A51,'業務'!$A$4:$A$200,"&lt;&gt;",'業務'!$J$4:$J$200,"&lt;&gt;済"))</f>
        <v/>
      </c>
      <c r="AV51" s="21">
        <f>IF($A51="","",COUNTIF('契約'!$C$4:$C$200,$A51))</f>
        <v/>
      </c>
      <c r="AW51" s="21">
        <f>IF($A51="","",COUNTIFS('業務'!$U$4:$U$200,$A51,'業務'!$A$4:$A$200,"&lt;&gt;",'業務'!$S$4:$S$200,"&lt;&gt;",'業務'!$F$4:$F$200,"間接業務"))</f>
        <v/>
      </c>
      <c r="AX51" s="21" t="n"/>
      <c r="AY51" s="18" t="n"/>
      <c r="AZ51" s="18" t="n"/>
      <c r="BA51" s="20" t="n"/>
    </row>
    <row r="52">
      <c r="A52" s="18" t="n"/>
      <c r="B52" s="18" t="n"/>
      <c r="C52" s="18" t="n"/>
      <c r="D52" s="18" t="n"/>
      <c r="E52" s="18" t="n"/>
      <c r="F52" s="18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20">
        <f>IF(COUNT(G52:R52)=0,"",SUM(G52:R52))</f>
        <v/>
      </c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20">
        <f>IF(COUNT(T52:AE52)=0,"",SUM(T52:AE52))</f>
        <v/>
      </c>
      <c r="AG52" s="18" t="n"/>
      <c r="AH52" s="18" t="n"/>
      <c r="AI52" s="18" t="n"/>
      <c r="AJ52" s="18" t="n"/>
      <c r="AK52" s="18" t="n"/>
      <c r="AL52" s="21">
        <f>IF($A52="","",IF(AJ52="いいえ","対象外",IF(AND(AH52="投資予算",AZ52="継続"),"対象外",IF(OR(AH52="",AJ52="",AJ52="未確認",AND(AH52="投資予算",OR(AZ52="",AZ52="未確認")),AM52="判定保留",AN52="判定保留"),"判定保留","移管"))))</f>
        <v/>
      </c>
      <c r="AM52" s="21">
        <f>IF($A52="","",IF(AJ52="いいえ","対象外",IF(AND(AH52="投資予算",AZ52="継続"),"対象外",IF(OR(AJ52="",AJ52="未確認"),"判定保留",IF(AV52=0,"—","移管")))))</f>
        <v/>
      </c>
      <c r="AN52" s="21">
        <f>IF($A52="","",IF(AJ52="いいえ","対象外",IF(AH52="投資予算","—",IF(OR(AH52="",AJ52="",AJ52="未確認",AS52=0,AT52&gt;0,AU52&gt;0),"判定保留","移管"))))</f>
        <v/>
      </c>
      <c r="AO52" s="21">
        <f>IF($A52="","",IF(AL52&lt;&gt;"移管","—",IF(AW52&gt;0,"あり","なし")))</f>
        <v/>
      </c>
      <c r="AP52" s="18" t="n"/>
      <c r="AQ52" s="33" t="n"/>
      <c r="AR52" s="21">
        <f>IF($A52="","",IF(AP52="","ステータス未設定",IF(AND(AL52="対象外",AP52&lt;&gt;"対象外"),"判定は対象外",IF(AND(AL52&lt;&gt;"対象外",AP52="対象外"),"判定は対象外ではない",IF(AND(AL52="判定保留",AP52&lt;&gt;"棚卸し中"),"判定保留が残っている",IF(AND(AL52="移管",AP52="棚卸し中"),"判定保留なし（棚卸し済みへ）",""))))))</f>
        <v/>
      </c>
      <c r="AS52" s="21">
        <f>IF($A52="","",COUNTIFS('紐付け'!$A$4:$A$200,$A52,'紐付け'!$C$4:$C$200,"&lt;&gt;"))</f>
        <v/>
      </c>
      <c r="AT52" s="21">
        <f>IF($A52="","",SUMPRODUCT(('紐付け'!$A$4:$A$200=$A52)*('紐付け'!$C$4:$C$200&lt;&gt;"")*(COUNTIFS('業務'!$C$4:$C$200,'紐付け'!$C$4:$C$200,'業務'!$F$4:$F$200,"間接業務",'業務'!$U$4:$U$200,$A52)=0)))</f>
        <v/>
      </c>
      <c r="AU52" s="21">
        <f>IF($A52="","",COUNTIFS('業務'!$U$4:$U$200,$A52,'業務'!$A$4:$A$200,"&lt;&gt;",'業務'!$J$4:$J$200,"&lt;&gt;済"))</f>
        <v/>
      </c>
      <c r="AV52" s="21">
        <f>IF($A52="","",COUNTIF('契約'!$C$4:$C$200,$A52))</f>
        <v/>
      </c>
      <c r="AW52" s="21">
        <f>IF($A52="","",COUNTIFS('業務'!$U$4:$U$200,$A52,'業務'!$A$4:$A$200,"&lt;&gt;",'業務'!$S$4:$S$200,"&lt;&gt;",'業務'!$F$4:$F$200,"間接業務"))</f>
        <v/>
      </c>
      <c r="AX52" s="21" t="n"/>
      <c r="AY52" s="18" t="n"/>
      <c r="AZ52" s="18" t="n"/>
      <c r="BA52" s="20" t="n"/>
    </row>
    <row r="53">
      <c r="A53" s="18" t="n"/>
      <c r="B53" s="18" t="n"/>
      <c r="C53" s="18" t="n"/>
      <c r="D53" s="18" t="n"/>
      <c r="E53" s="18" t="n"/>
      <c r="F53" s="18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20">
        <f>IF(COUNT(G53:R53)=0,"",SUM(G53:R53))</f>
        <v/>
      </c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20">
        <f>IF(COUNT(T53:AE53)=0,"",SUM(T53:AE53))</f>
        <v/>
      </c>
      <c r="AG53" s="18" t="n"/>
      <c r="AH53" s="18" t="n"/>
      <c r="AI53" s="18" t="n"/>
      <c r="AJ53" s="18" t="n"/>
      <c r="AK53" s="18" t="n"/>
      <c r="AL53" s="21">
        <f>IF($A53="","",IF(AJ53="いいえ","対象外",IF(AND(AH53="投資予算",AZ53="継続"),"対象外",IF(OR(AH53="",AJ53="",AJ53="未確認",AND(AH53="投資予算",OR(AZ53="",AZ53="未確認")),AM53="判定保留",AN53="判定保留"),"判定保留","移管"))))</f>
        <v/>
      </c>
      <c r="AM53" s="21">
        <f>IF($A53="","",IF(AJ53="いいえ","対象外",IF(AND(AH53="投資予算",AZ53="継続"),"対象外",IF(OR(AJ53="",AJ53="未確認"),"判定保留",IF(AV53=0,"—","移管")))))</f>
        <v/>
      </c>
      <c r="AN53" s="21">
        <f>IF($A53="","",IF(AJ53="いいえ","対象外",IF(AH53="投資予算","—",IF(OR(AH53="",AJ53="",AJ53="未確認",AS53=0,AT53&gt;0,AU53&gt;0),"判定保留","移管"))))</f>
        <v/>
      </c>
      <c r="AO53" s="21">
        <f>IF($A53="","",IF(AL53&lt;&gt;"移管","—",IF(AW53&gt;0,"あり","なし")))</f>
        <v/>
      </c>
      <c r="AP53" s="18" t="n"/>
      <c r="AQ53" s="33" t="n"/>
      <c r="AR53" s="21">
        <f>IF($A53="","",IF(AP53="","ステータス未設定",IF(AND(AL53="対象外",AP53&lt;&gt;"対象外"),"判定は対象外",IF(AND(AL53&lt;&gt;"対象外",AP53="対象外"),"判定は対象外ではない",IF(AND(AL53="判定保留",AP53&lt;&gt;"棚卸し中"),"判定保留が残っている",IF(AND(AL53="移管",AP53="棚卸し中"),"判定保留なし（棚卸し済みへ）",""))))))</f>
        <v/>
      </c>
      <c r="AS53" s="21">
        <f>IF($A53="","",COUNTIFS('紐付け'!$A$4:$A$200,$A53,'紐付け'!$C$4:$C$200,"&lt;&gt;"))</f>
        <v/>
      </c>
      <c r="AT53" s="21">
        <f>IF($A53="","",SUMPRODUCT(('紐付け'!$A$4:$A$200=$A53)*('紐付け'!$C$4:$C$200&lt;&gt;"")*(COUNTIFS('業務'!$C$4:$C$200,'紐付け'!$C$4:$C$200,'業務'!$F$4:$F$200,"間接業務",'業務'!$U$4:$U$200,$A53)=0)))</f>
        <v/>
      </c>
      <c r="AU53" s="21">
        <f>IF($A53="","",COUNTIFS('業務'!$U$4:$U$200,$A53,'業務'!$A$4:$A$200,"&lt;&gt;",'業務'!$J$4:$J$200,"&lt;&gt;済"))</f>
        <v/>
      </c>
      <c r="AV53" s="21">
        <f>IF($A53="","",COUNTIF('契約'!$C$4:$C$200,$A53))</f>
        <v/>
      </c>
      <c r="AW53" s="21">
        <f>IF($A53="","",COUNTIFS('業務'!$U$4:$U$200,$A53,'業務'!$A$4:$A$200,"&lt;&gt;",'業務'!$S$4:$S$200,"&lt;&gt;",'業務'!$F$4:$F$200,"間接業務"))</f>
        <v/>
      </c>
      <c r="AX53" s="21" t="n"/>
      <c r="AY53" s="18" t="n"/>
      <c r="AZ53" s="18" t="n"/>
      <c r="BA53" s="20" t="n"/>
    </row>
    <row r="54">
      <c r="A54" s="18" t="n"/>
      <c r="B54" s="18" t="n"/>
      <c r="C54" s="18" t="n"/>
      <c r="D54" s="18" t="n"/>
      <c r="E54" s="18" t="n"/>
      <c r="F54" s="18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20">
        <f>IF(COUNT(G54:R54)=0,"",SUM(G54:R54))</f>
        <v/>
      </c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20">
        <f>IF(COUNT(T54:AE54)=0,"",SUM(T54:AE54))</f>
        <v/>
      </c>
      <c r="AG54" s="18" t="n"/>
      <c r="AH54" s="18" t="n"/>
      <c r="AI54" s="18" t="n"/>
      <c r="AJ54" s="18" t="n"/>
      <c r="AK54" s="18" t="n"/>
      <c r="AL54" s="21">
        <f>IF($A54="","",IF(AJ54="いいえ","対象外",IF(AND(AH54="投資予算",AZ54="継続"),"対象外",IF(OR(AH54="",AJ54="",AJ54="未確認",AND(AH54="投資予算",OR(AZ54="",AZ54="未確認")),AM54="判定保留",AN54="判定保留"),"判定保留","移管"))))</f>
        <v/>
      </c>
      <c r="AM54" s="21">
        <f>IF($A54="","",IF(AJ54="いいえ","対象外",IF(AND(AH54="投資予算",AZ54="継続"),"対象外",IF(OR(AJ54="",AJ54="未確認"),"判定保留",IF(AV54=0,"—","移管")))))</f>
        <v/>
      </c>
      <c r="AN54" s="21">
        <f>IF($A54="","",IF(AJ54="いいえ","対象外",IF(AH54="投資予算","—",IF(OR(AH54="",AJ54="",AJ54="未確認",AS54=0,AT54&gt;0,AU54&gt;0),"判定保留","移管"))))</f>
        <v/>
      </c>
      <c r="AO54" s="21">
        <f>IF($A54="","",IF(AL54&lt;&gt;"移管","—",IF(AW54&gt;0,"あり","なし")))</f>
        <v/>
      </c>
      <c r="AP54" s="18" t="n"/>
      <c r="AQ54" s="33" t="n"/>
      <c r="AR54" s="21">
        <f>IF($A54="","",IF(AP54="","ステータス未設定",IF(AND(AL54="対象外",AP54&lt;&gt;"対象外"),"判定は対象外",IF(AND(AL54&lt;&gt;"対象外",AP54="対象外"),"判定は対象外ではない",IF(AND(AL54="判定保留",AP54&lt;&gt;"棚卸し中"),"判定保留が残っている",IF(AND(AL54="移管",AP54="棚卸し中"),"判定保留なし（棚卸し済みへ）",""))))))</f>
        <v/>
      </c>
      <c r="AS54" s="21">
        <f>IF($A54="","",COUNTIFS('紐付け'!$A$4:$A$200,$A54,'紐付け'!$C$4:$C$200,"&lt;&gt;"))</f>
        <v/>
      </c>
      <c r="AT54" s="21">
        <f>IF($A54="","",SUMPRODUCT(('紐付け'!$A$4:$A$200=$A54)*('紐付け'!$C$4:$C$200&lt;&gt;"")*(COUNTIFS('業務'!$C$4:$C$200,'紐付け'!$C$4:$C$200,'業務'!$F$4:$F$200,"間接業務",'業務'!$U$4:$U$200,$A54)=0)))</f>
        <v/>
      </c>
      <c r="AU54" s="21">
        <f>IF($A54="","",COUNTIFS('業務'!$U$4:$U$200,$A54,'業務'!$A$4:$A$200,"&lt;&gt;",'業務'!$J$4:$J$200,"&lt;&gt;済"))</f>
        <v/>
      </c>
      <c r="AV54" s="21">
        <f>IF($A54="","",COUNTIF('契約'!$C$4:$C$200,$A54))</f>
        <v/>
      </c>
      <c r="AW54" s="21">
        <f>IF($A54="","",COUNTIFS('業務'!$U$4:$U$200,$A54,'業務'!$A$4:$A$200,"&lt;&gt;",'業務'!$S$4:$S$200,"&lt;&gt;",'業務'!$F$4:$F$200,"間接業務"))</f>
        <v/>
      </c>
      <c r="AX54" s="21" t="n"/>
      <c r="AY54" s="18" t="n"/>
      <c r="AZ54" s="18" t="n"/>
      <c r="BA54" s="20" t="n"/>
    </row>
    <row r="55">
      <c r="A55" s="18" t="n"/>
      <c r="B55" s="18" t="n"/>
      <c r="C55" s="18" t="n"/>
      <c r="D55" s="18" t="n"/>
      <c r="E55" s="18" t="n"/>
      <c r="F55" s="18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20">
        <f>IF(COUNT(G55:R55)=0,"",SUM(G55:R55))</f>
        <v/>
      </c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20">
        <f>IF(COUNT(T55:AE55)=0,"",SUM(T55:AE55))</f>
        <v/>
      </c>
      <c r="AG55" s="18" t="n"/>
      <c r="AH55" s="18" t="n"/>
      <c r="AI55" s="18" t="n"/>
      <c r="AJ55" s="18" t="n"/>
      <c r="AK55" s="18" t="n"/>
      <c r="AL55" s="21">
        <f>IF($A55="","",IF(AJ55="いいえ","対象外",IF(AND(AH55="投資予算",AZ55="継続"),"対象外",IF(OR(AH55="",AJ55="",AJ55="未確認",AND(AH55="投資予算",OR(AZ55="",AZ55="未確認")),AM55="判定保留",AN55="判定保留"),"判定保留","移管"))))</f>
        <v/>
      </c>
      <c r="AM55" s="21">
        <f>IF($A55="","",IF(AJ55="いいえ","対象外",IF(AND(AH55="投資予算",AZ55="継続"),"対象外",IF(OR(AJ55="",AJ55="未確認"),"判定保留",IF(AV55=0,"—","移管")))))</f>
        <v/>
      </c>
      <c r="AN55" s="21">
        <f>IF($A55="","",IF(AJ55="いいえ","対象外",IF(AH55="投資予算","—",IF(OR(AH55="",AJ55="",AJ55="未確認",AS55=0,AT55&gt;0,AU55&gt;0),"判定保留","移管"))))</f>
        <v/>
      </c>
      <c r="AO55" s="21">
        <f>IF($A55="","",IF(AL55&lt;&gt;"移管","—",IF(AW55&gt;0,"あり","なし")))</f>
        <v/>
      </c>
      <c r="AP55" s="18" t="n"/>
      <c r="AQ55" s="33" t="n"/>
      <c r="AR55" s="21">
        <f>IF($A55="","",IF(AP55="","ステータス未設定",IF(AND(AL55="対象外",AP55&lt;&gt;"対象外"),"判定は対象外",IF(AND(AL55&lt;&gt;"対象外",AP55="対象外"),"判定は対象外ではない",IF(AND(AL55="判定保留",AP55&lt;&gt;"棚卸し中"),"判定保留が残っている",IF(AND(AL55="移管",AP55="棚卸し中"),"判定保留なし（棚卸し済みへ）",""))))))</f>
        <v/>
      </c>
      <c r="AS55" s="21">
        <f>IF($A55="","",COUNTIFS('紐付け'!$A$4:$A$200,$A55,'紐付け'!$C$4:$C$200,"&lt;&gt;"))</f>
        <v/>
      </c>
      <c r="AT55" s="21">
        <f>IF($A55="","",SUMPRODUCT(('紐付け'!$A$4:$A$200=$A55)*('紐付け'!$C$4:$C$200&lt;&gt;"")*(COUNTIFS('業務'!$C$4:$C$200,'紐付け'!$C$4:$C$200,'業務'!$F$4:$F$200,"間接業務",'業務'!$U$4:$U$200,$A55)=0)))</f>
        <v/>
      </c>
      <c r="AU55" s="21">
        <f>IF($A55="","",COUNTIFS('業務'!$U$4:$U$200,$A55,'業務'!$A$4:$A$200,"&lt;&gt;",'業務'!$J$4:$J$200,"&lt;&gt;済"))</f>
        <v/>
      </c>
      <c r="AV55" s="21">
        <f>IF($A55="","",COUNTIF('契約'!$C$4:$C$200,$A55))</f>
        <v/>
      </c>
      <c r="AW55" s="21">
        <f>IF($A55="","",COUNTIFS('業務'!$U$4:$U$200,$A55,'業務'!$A$4:$A$200,"&lt;&gt;",'業務'!$S$4:$S$200,"&lt;&gt;",'業務'!$F$4:$F$200,"間接業務"))</f>
        <v/>
      </c>
      <c r="AX55" s="21" t="n"/>
      <c r="AY55" s="18" t="n"/>
      <c r="AZ55" s="18" t="n"/>
      <c r="BA55" s="20" t="n"/>
    </row>
    <row r="56">
      <c r="A56" s="18" t="n"/>
      <c r="B56" s="18" t="n"/>
      <c r="C56" s="18" t="n"/>
      <c r="D56" s="18" t="n"/>
      <c r="E56" s="18" t="n"/>
      <c r="F56" s="18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20">
        <f>IF(COUNT(G56:R56)=0,"",SUM(G56:R56))</f>
        <v/>
      </c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20">
        <f>IF(COUNT(T56:AE56)=0,"",SUM(T56:AE56))</f>
        <v/>
      </c>
      <c r="AG56" s="18" t="n"/>
      <c r="AH56" s="18" t="n"/>
      <c r="AI56" s="18" t="n"/>
      <c r="AJ56" s="18" t="n"/>
      <c r="AK56" s="18" t="n"/>
      <c r="AL56" s="21">
        <f>IF($A56="","",IF(AJ56="いいえ","対象外",IF(AND(AH56="投資予算",AZ56="継続"),"対象外",IF(OR(AH56="",AJ56="",AJ56="未確認",AND(AH56="投資予算",OR(AZ56="",AZ56="未確認")),AM56="判定保留",AN56="判定保留"),"判定保留","移管"))))</f>
        <v/>
      </c>
      <c r="AM56" s="21">
        <f>IF($A56="","",IF(AJ56="いいえ","対象外",IF(AND(AH56="投資予算",AZ56="継続"),"対象外",IF(OR(AJ56="",AJ56="未確認"),"判定保留",IF(AV56=0,"—","移管")))))</f>
        <v/>
      </c>
      <c r="AN56" s="21">
        <f>IF($A56="","",IF(AJ56="いいえ","対象外",IF(AH56="投資予算","—",IF(OR(AH56="",AJ56="",AJ56="未確認",AS56=0,AT56&gt;0,AU56&gt;0),"判定保留","移管"))))</f>
        <v/>
      </c>
      <c r="AO56" s="21">
        <f>IF($A56="","",IF(AL56&lt;&gt;"移管","—",IF(AW56&gt;0,"あり","なし")))</f>
        <v/>
      </c>
      <c r="AP56" s="18" t="n"/>
      <c r="AQ56" s="33" t="n"/>
      <c r="AR56" s="21">
        <f>IF($A56="","",IF(AP56="","ステータス未設定",IF(AND(AL56="対象外",AP56&lt;&gt;"対象外"),"判定は対象外",IF(AND(AL56&lt;&gt;"対象外",AP56="対象外"),"判定は対象外ではない",IF(AND(AL56="判定保留",AP56&lt;&gt;"棚卸し中"),"判定保留が残っている",IF(AND(AL56="移管",AP56="棚卸し中"),"判定保留なし（棚卸し済みへ）",""))))))</f>
        <v/>
      </c>
      <c r="AS56" s="21">
        <f>IF($A56="","",COUNTIFS('紐付け'!$A$4:$A$200,$A56,'紐付け'!$C$4:$C$200,"&lt;&gt;"))</f>
        <v/>
      </c>
      <c r="AT56" s="21">
        <f>IF($A56="","",SUMPRODUCT(('紐付け'!$A$4:$A$200=$A56)*('紐付け'!$C$4:$C$200&lt;&gt;"")*(COUNTIFS('業務'!$C$4:$C$200,'紐付け'!$C$4:$C$200,'業務'!$F$4:$F$200,"間接業務",'業務'!$U$4:$U$200,$A56)=0)))</f>
        <v/>
      </c>
      <c r="AU56" s="21">
        <f>IF($A56="","",COUNTIFS('業務'!$U$4:$U$200,$A56,'業務'!$A$4:$A$200,"&lt;&gt;",'業務'!$J$4:$J$200,"&lt;&gt;済"))</f>
        <v/>
      </c>
      <c r="AV56" s="21">
        <f>IF($A56="","",COUNTIF('契約'!$C$4:$C$200,$A56))</f>
        <v/>
      </c>
      <c r="AW56" s="21">
        <f>IF($A56="","",COUNTIFS('業務'!$U$4:$U$200,$A56,'業務'!$A$4:$A$200,"&lt;&gt;",'業務'!$S$4:$S$200,"&lt;&gt;",'業務'!$F$4:$F$200,"間接業務"))</f>
        <v/>
      </c>
      <c r="AX56" s="21" t="n"/>
      <c r="AY56" s="18" t="n"/>
      <c r="AZ56" s="18" t="n"/>
      <c r="BA56" s="20" t="n"/>
    </row>
    <row r="57">
      <c r="A57" s="18" t="n"/>
      <c r="B57" s="18" t="n"/>
      <c r="C57" s="18" t="n"/>
      <c r="D57" s="18" t="n"/>
      <c r="E57" s="18" t="n"/>
      <c r="F57" s="18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20">
        <f>IF(COUNT(G57:R57)=0,"",SUM(G57:R57))</f>
        <v/>
      </c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20">
        <f>IF(COUNT(T57:AE57)=0,"",SUM(T57:AE57))</f>
        <v/>
      </c>
      <c r="AG57" s="18" t="n"/>
      <c r="AH57" s="18" t="n"/>
      <c r="AI57" s="18" t="n"/>
      <c r="AJ57" s="18" t="n"/>
      <c r="AK57" s="18" t="n"/>
      <c r="AL57" s="21">
        <f>IF($A57="","",IF(AJ57="いいえ","対象外",IF(AND(AH57="投資予算",AZ57="継続"),"対象外",IF(OR(AH57="",AJ57="",AJ57="未確認",AND(AH57="投資予算",OR(AZ57="",AZ57="未確認")),AM57="判定保留",AN57="判定保留"),"判定保留","移管"))))</f>
        <v/>
      </c>
      <c r="AM57" s="21">
        <f>IF($A57="","",IF(AJ57="いいえ","対象外",IF(AND(AH57="投資予算",AZ57="継続"),"対象外",IF(OR(AJ57="",AJ57="未確認"),"判定保留",IF(AV57=0,"—","移管")))))</f>
        <v/>
      </c>
      <c r="AN57" s="21">
        <f>IF($A57="","",IF(AJ57="いいえ","対象外",IF(AH57="投資予算","—",IF(OR(AH57="",AJ57="",AJ57="未確認",AS57=0,AT57&gt;0,AU57&gt;0),"判定保留","移管"))))</f>
        <v/>
      </c>
      <c r="AO57" s="21">
        <f>IF($A57="","",IF(AL57&lt;&gt;"移管","—",IF(AW57&gt;0,"あり","なし")))</f>
        <v/>
      </c>
      <c r="AP57" s="18" t="n"/>
      <c r="AQ57" s="33" t="n"/>
      <c r="AR57" s="21">
        <f>IF($A57="","",IF(AP57="","ステータス未設定",IF(AND(AL57="対象外",AP57&lt;&gt;"対象外"),"判定は対象外",IF(AND(AL57&lt;&gt;"対象外",AP57="対象外"),"判定は対象外ではない",IF(AND(AL57="判定保留",AP57&lt;&gt;"棚卸し中"),"判定保留が残っている",IF(AND(AL57="移管",AP57="棚卸し中"),"判定保留なし（棚卸し済みへ）",""))))))</f>
        <v/>
      </c>
      <c r="AS57" s="21">
        <f>IF($A57="","",COUNTIFS('紐付け'!$A$4:$A$200,$A57,'紐付け'!$C$4:$C$200,"&lt;&gt;"))</f>
        <v/>
      </c>
      <c r="AT57" s="21">
        <f>IF($A57="","",SUMPRODUCT(('紐付け'!$A$4:$A$200=$A57)*('紐付け'!$C$4:$C$200&lt;&gt;"")*(COUNTIFS('業務'!$C$4:$C$200,'紐付け'!$C$4:$C$200,'業務'!$F$4:$F$200,"間接業務",'業務'!$U$4:$U$200,$A57)=0)))</f>
        <v/>
      </c>
      <c r="AU57" s="21">
        <f>IF($A57="","",COUNTIFS('業務'!$U$4:$U$200,$A57,'業務'!$A$4:$A$200,"&lt;&gt;",'業務'!$J$4:$J$200,"&lt;&gt;済"))</f>
        <v/>
      </c>
      <c r="AV57" s="21">
        <f>IF($A57="","",COUNTIF('契約'!$C$4:$C$200,$A57))</f>
        <v/>
      </c>
      <c r="AW57" s="21">
        <f>IF($A57="","",COUNTIFS('業務'!$U$4:$U$200,$A57,'業務'!$A$4:$A$200,"&lt;&gt;",'業務'!$S$4:$S$200,"&lt;&gt;",'業務'!$F$4:$F$200,"間接業務"))</f>
        <v/>
      </c>
      <c r="AX57" s="21" t="n"/>
      <c r="AY57" s="18" t="n"/>
      <c r="AZ57" s="18" t="n"/>
      <c r="BA57" s="20" t="n"/>
    </row>
    <row r="58">
      <c r="A58" s="18" t="n"/>
      <c r="B58" s="18" t="n"/>
      <c r="C58" s="18" t="n"/>
      <c r="D58" s="18" t="n"/>
      <c r="E58" s="18" t="n"/>
      <c r="F58" s="18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20">
        <f>IF(COUNT(G58:R58)=0,"",SUM(G58:R58))</f>
        <v/>
      </c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20">
        <f>IF(COUNT(T58:AE58)=0,"",SUM(T58:AE58))</f>
        <v/>
      </c>
      <c r="AG58" s="18" t="n"/>
      <c r="AH58" s="18" t="n"/>
      <c r="AI58" s="18" t="n"/>
      <c r="AJ58" s="18" t="n"/>
      <c r="AK58" s="18" t="n"/>
      <c r="AL58" s="21">
        <f>IF($A58="","",IF(AJ58="いいえ","対象外",IF(AND(AH58="投資予算",AZ58="継続"),"対象外",IF(OR(AH58="",AJ58="",AJ58="未確認",AND(AH58="投資予算",OR(AZ58="",AZ58="未確認")),AM58="判定保留",AN58="判定保留"),"判定保留","移管"))))</f>
        <v/>
      </c>
      <c r="AM58" s="21">
        <f>IF($A58="","",IF(AJ58="いいえ","対象外",IF(AND(AH58="投資予算",AZ58="継続"),"対象外",IF(OR(AJ58="",AJ58="未確認"),"判定保留",IF(AV58=0,"—","移管")))))</f>
        <v/>
      </c>
      <c r="AN58" s="21">
        <f>IF($A58="","",IF(AJ58="いいえ","対象外",IF(AH58="投資予算","—",IF(OR(AH58="",AJ58="",AJ58="未確認",AS58=0,AT58&gt;0,AU58&gt;0),"判定保留","移管"))))</f>
        <v/>
      </c>
      <c r="AO58" s="21">
        <f>IF($A58="","",IF(AL58&lt;&gt;"移管","—",IF(AW58&gt;0,"あり","なし")))</f>
        <v/>
      </c>
      <c r="AP58" s="18" t="n"/>
      <c r="AQ58" s="33" t="n"/>
      <c r="AR58" s="21">
        <f>IF($A58="","",IF(AP58="","ステータス未設定",IF(AND(AL58="対象外",AP58&lt;&gt;"対象外"),"判定は対象外",IF(AND(AL58&lt;&gt;"対象外",AP58="対象外"),"判定は対象外ではない",IF(AND(AL58="判定保留",AP58&lt;&gt;"棚卸し中"),"判定保留が残っている",IF(AND(AL58="移管",AP58="棚卸し中"),"判定保留なし（棚卸し済みへ）",""))))))</f>
        <v/>
      </c>
      <c r="AS58" s="21">
        <f>IF($A58="","",COUNTIFS('紐付け'!$A$4:$A$200,$A58,'紐付け'!$C$4:$C$200,"&lt;&gt;"))</f>
        <v/>
      </c>
      <c r="AT58" s="21">
        <f>IF($A58="","",SUMPRODUCT(('紐付け'!$A$4:$A$200=$A58)*('紐付け'!$C$4:$C$200&lt;&gt;"")*(COUNTIFS('業務'!$C$4:$C$200,'紐付け'!$C$4:$C$200,'業務'!$F$4:$F$200,"間接業務",'業務'!$U$4:$U$200,$A58)=0)))</f>
        <v/>
      </c>
      <c r="AU58" s="21">
        <f>IF($A58="","",COUNTIFS('業務'!$U$4:$U$200,$A58,'業務'!$A$4:$A$200,"&lt;&gt;",'業務'!$J$4:$J$200,"&lt;&gt;済"))</f>
        <v/>
      </c>
      <c r="AV58" s="21">
        <f>IF($A58="","",COUNTIF('契約'!$C$4:$C$200,$A58))</f>
        <v/>
      </c>
      <c r="AW58" s="21">
        <f>IF($A58="","",COUNTIFS('業務'!$U$4:$U$200,$A58,'業務'!$A$4:$A$200,"&lt;&gt;",'業務'!$S$4:$S$200,"&lt;&gt;",'業務'!$F$4:$F$200,"間接業務"))</f>
        <v/>
      </c>
      <c r="AX58" s="21" t="n"/>
      <c r="AY58" s="18" t="n"/>
      <c r="AZ58" s="18" t="n"/>
      <c r="BA58" s="20" t="n"/>
    </row>
    <row r="59">
      <c r="A59" s="18" t="n"/>
      <c r="B59" s="18" t="n"/>
      <c r="C59" s="18" t="n"/>
      <c r="D59" s="18" t="n"/>
      <c r="E59" s="18" t="n"/>
      <c r="F59" s="18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20">
        <f>IF(COUNT(G59:R59)=0,"",SUM(G59:R59))</f>
        <v/>
      </c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20">
        <f>IF(COUNT(T59:AE59)=0,"",SUM(T59:AE59))</f>
        <v/>
      </c>
      <c r="AG59" s="18" t="n"/>
      <c r="AH59" s="18" t="n"/>
      <c r="AI59" s="18" t="n"/>
      <c r="AJ59" s="18" t="n"/>
      <c r="AK59" s="18" t="n"/>
      <c r="AL59" s="21">
        <f>IF($A59="","",IF(AJ59="いいえ","対象外",IF(AND(AH59="投資予算",AZ59="継続"),"対象外",IF(OR(AH59="",AJ59="",AJ59="未確認",AND(AH59="投資予算",OR(AZ59="",AZ59="未確認")),AM59="判定保留",AN59="判定保留"),"判定保留","移管"))))</f>
        <v/>
      </c>
      <c r="AM59" s="21">
        <f>IF($A59="","",IF(AJ59="いいえ","対象外",IF(AND(AH59="投資予算",AZ59="継続"),"対象外",IF(OR(AJ59="",AJ59="未確認"),"判定保留",IF(AV59=0,"—","移管")))))</f>
        <v/>
      </c>
      <c r="AN59" s="21">
        <f>IF($A59="","",IF(AJ59="いいえ","対象外",IF(AH59="投資予算","—",IF(OR(AH59="",AJ59="",AJ59="未確認",AS59=0,AT59&gt;0,AU59&gt;0),"判定保留","移管"))))</f>
        <v/>
      </c>
      <c r="AO59" s="21">
        <f>IF($A59="","",IF(AL59&lt;&gt;"移管","—",IF(AW59&gt;0,"あり","なし")))</f>
        <v/>
      </c>
      <c r="AP59" s="18" t="n"/>
      <c r="AQ59" s="33" t="n"/>
      <c r="AR59" s="21">
        <f>IF($A59="","",IF(AP59="","ステータス未設定",IF(AND(AL59="対象外",AP59&lt;&gt;"対象外"),"判定は対象外",IF(AND(AL59&lt;&gt;"対象外",AP59="対象外"),"判定は対象外ではない",IF(AND(AL59="判定保留",AP59&lt;&gt;"棚卸し中"),"判定保留が残っている",IF(AND(AL59="移管",AP59="棚卸し中"),"判定保留なし（棚卸し済みへ）",""))))))</f>
        <v/>
      </c>
      <c r="AS59" s="21">
        <f>IF($A59="","",COUNTIFS('紐付け'!$A$4:$A$200,$A59,'紐付け'!$C$4:$C$200,"&lt;&gt;"))</f>
        <v/>
      </c>
      <c r="AT59" s="21">
        <f>IF($A59="","",SUMPRODUCT(('紐付け'!$A$4:$A$200=$A59)*('紐付け'!$C$4:$C$200&lt;&gt;"")*(COUNTIFS('業務'!$C$4:$C$200,'紐付け'!$C$4:$C$200,'業務'!$F$4:$F$200,"間接業務",'業務'!$U$4:$U$200,$A59)=0)))</f>
        <v/>
      </c>
      <c r="AU59" s="21">
        <f>IF($A59="","",COUNTIFS('業務'!$U$4:$U$200,$A59,'業務'!$A$4:$A$200,"&lt;&gt;",'業務'!$J$4:$J$200,"&lt;&gt;済"))</f>
        <v/>
      </c>
      <c r="AV59" s="21">
        <f>IF($A59="","",COUNTIF('契約'!$C$4:$C$200,$A59))</f>
        <v/>
      </c>
      <c r="AW59" s="21">
        <f>IF($A59="","",COUNTIFS('業務'!$U$4:$U$200,$A59,'業務'!$A$4:$A$200,"&lt;&gt;",'業務'!$S$4:$S$200,"&lt;&gt;",'業務'!$F$4:$F$200,"間接業務"))</f>
        <v/>
      </c>
      <c r="AX59" s="21" t="n"/>
      <c r="AY59" s="18" t="n"/>
      <c r="AZ59" s="18" t="n"/>
      <c r="BA59" s="20" t="n"/>
    </row>
    <row r="60">
      <c r="A60" s="18" t="n"/>
      <c r="B60" s="18" t="n"/>
      <c r="C60" s="18" t="n"/>
      <c r="D60" s="18" t="n"/>
      <c r="E60" s="18" t="n"/>
      <c r="F60" s="18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20">
        <f>IF(COUNT(G60:R60)=0,"",SUM(G60:R60))</f>
        <v/>
      </c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20">
        <f>IF(COUNT(T60:AE60)=0,"",SUM(T60:AE60))</f>
        <v/>
      </c>
      <c r="AG60" s="18" t="n"/>
      <c r="AH60" s="18" t="n"/>
      <c r="AI60" s="18" t="n"/>
      <c r="AJ60" s="18" t="n"/>
      <c r="AK60" s="18" t="n"/>
      <c r="AL60" s="21">
        <f>IF($A60="","",IF(AJ60="いいえ","対象外",IF(AND(AH60="投資予算",AZ60="継続"),"対象外",IF(OR(AH60="",AJ60="",AJ60="未確認",AND(AH60="投資予算",OR(AZ60="",AZ60="未確認")),AM60="判定保留",AN60="判定保留"),"判定保留","移管"))))</f>
        <v/>
      </c>
      <c r="AM60" s="21">
        <f>IF($A60="","",IF(AJ60="いいえ","対象外",IF(AND(AH60="投資予算",AZ60="継続"),"対象外",IF(OR(AJ60="",AJ60="未確認"),"判定保留",IF(AV60=0,"—","移管")))))</f>
        <v/>
      </c>
      <c r="AN60" s="21">
        <f>IF($A60="","",IF(AJ60="いいえ","対象外",IF(AH60="投資予算","—",IF(OR(AH60="",AJ60="",AJ60="未確認",AS60=0,AT60&gt;0,AU60&gt;0),"判定保留","移管"))))</f>
        <v/>
      </c>
      <c r="AO60" s="21">
        <f>IF($A60="","",IF(AL60&lt;&gt;"移管","—",IF(AW60&gt;0,"あり","なし")))</f>
        <v/>
      </c>
      <c r="AP60" s="18" t="n"/>
      <c r="AQ60" s="33" t="n"/>
      <c r="AR60" s="21">
        <f>IF($A60="","",IF(AP60="","ステータス未設定",IF(AND(AL60="対象外",AP60&lt;&gt;"対象外"),"判定は対象外",IF(AND(AL60&lt;&gt;"対象外",AP60="対象外"),"判定は対象外ではない",IF(AND(AL60="判定保留",AP60&lt;&gt;"棚卸し中"),"判定保留が残っている",IF(AND(AL60="移管",AP60="棚卸し中"),"判定保留なし（棚卸し済みへ）",""))))))</f>
        <v/>
      </c>
      <c r="AS60" s="21">
        <f>IF($A60="","",COUNTIFS('紐付け'!$A$4:$A$200,$A60,'紐付け'!$C$4:$C$200,"&lt;&gt;"))</f>
        <v/>
      </c>
      <c r="AT60" s="21">
        <f>IF($A60="","",SUMPRODUCT(('紐付け'!$A$4:$A$200=$A60)*('紐付け'!$C$4:$C$200&lt;&gt;"")*(COUNTIFS('業務'!$C$4:$C$200,'紐付け'!$C$4:$C$200,'業務'!$F$4:$F$200,"間接業務",'業務'!$U$4:$U$200,$A60)=0)))</f>
        <v/>
      </c>
      <c r="AU60" s="21">
        <f>IF($A60="","",COUNTIFS('業務'!$U$4:$U$200,$A60,'業務'!$A$4:$A$200,"&lt;&gt;",'業務'!$J$4:$J$200,"&lt;&gt;済"))</f>
        <v/>
      </c>
      <c r="AV60" s="21">
        <f>IF($A60="","",COUNTIF('契約'!$C$4:$C$200,$A60))</f>
        <v/>
      </c>
      <c r="AW60" s="21">
        <f>IF($A60="","",COUNTIFS('業務'!$U$4:$U$200,$A60,'業務'!$A$4:$A$200,"&lt;&gt;",'業務'!$S$4:$S$200,"&lt;&gt;",'業務'!$F$4:$F$200,"間接業務"))</f>
        <v/>
      </c>
      <c r="AX60" s="21" t="n"/>
      <c r="AY60" s="18" t="n"/>
      <c r="AZ60" s="18" t="n"/>
      <c r="BA60" s="20" t="n"/>
    </row>
    <row r="61">
      <c r="A61" s="18" t="n"/>
      <c r="B61" s="18" t="n"/>
      <c r="C61" s="18" t="n"/>
      <c r="D61" s="18" t="n"/>
      <c r="E61" s="18" t="n"/>
      <c r="F61" s="18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20">
        <f>IF(COUNT(G61:R61)=0,"",SUM(G61:R61))</f>
        <v/>
      </c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20">
        <f>IF(COUNT(T61:AE61)=0,"",SUM(T61:AE61))</f>
        <v/>
      </c>
      <c r="AG61" s="18" t="n"/>
      <c r="AH61" s="18" t="n"/>
      <c r="AI61" s="18" t="n"/>
      <c r="AJ61" s="18" t="n"/>
      <c r="AK61" s="18" t="n"/>
      <c r="AL61" s="21">
        <f>IF($A61="","",IF(AJ61="いいえ","対象外",IF(AND(AH61="投資予算",AZ61="継続"),"対象外",IF(OR(AH61="",AJ61="",AJ61="未確認",AND(AH61="投資予算",OR(AZ61="",AZ61="未確認")),AM61="判定保留",AN61="判定保留"),"判定保留","移管"))))</f>
        <v/>
      </c>
      <c r="AM61" s="21">
        <f>IF($A61="","",IF(AJ61="いいえ","対象外",IF(AND(AH61="投資予算",AZ61="継続"),"対象外",IF(OR(AJ61="",AJ61="未確認"),"判定保留",IF(AV61=0,"—","移管")))))</f>
        <v/>
      </c>
      <c r="AN61" s="21">
        <f>IF($A61="","",IF(AJ61="いいえ","対象外",IF(AH61="投資予算","—",IF(OR(AH61="",AJ61="",AJ61="未確認",AS61=0,AT61&gt;0,AU61&gt;0),"判定保留","移管"))))</f>
        <v/>
      </c>
      <c r="AO61" s="21">
        <f>IF($A61="","",IF(AL61&lt;&gt;"移管","—",IF(AW61&gt;0,"あり","なし")))</f>
        <v/>
      </c>
      <c r="AP61" s="18" t="n"/>
      <c r="AQ61" s="33" t="n"/>
      <c r="AR61" s="21">
        <f>IF($A61="","",IF(AP61="","ステータス未設定",IF(AND(AL61="対象外",AP61&lt;&gt;"対象外"),"判定は対象外",IF(AND(AL61&lt;&gt;"対象外",AP61="対象外"),"判定は対象外ではない",IF(AND(AL61="判定保留",AP61&lt;&gt;"棚卸し中"),"判定保留が残っている",IF(AND(AL61="移管",AP61="棚卸し中"),"判定保留なし（棚卸し済みへ）",""))))))</f>
        <v/>
      </c>
      <c r="AS61" s="21">
        <f>IF($A61="","",COUNTIFS('紐付け'!$A$4:$A$200,$A61,'紐付け'!$C$4:$C$200,"&lt;&gt;"))</f>
        <v/>
      </c>
      <c r="AT61" s="21">
        <f>IF($A61="","",SUMPRODUCT(('紐付け'!$A$4:$A$200=$A61)*('紐付け'!$C$4:$C$200&lt;&gt;"")*(COUNTIFS('業務'!$C$4:$C$200,'紐付け'!$C$4:$C$200,'業務'!$F$4:$F$200,"間接業務",'業務'!$U$4:$U$200,$A61)=0)))</f>
        <v/>
      </c>
      <c r="AU61" s="21">
        <f>IF($A61="","",COUNTIFS('業務'!$U$4:$U$200,$A61,'業務'!$A$4:$A$200,"&lt;&gt;",'業務'!$J$4:$J$200,"&lt;&gt;済"))</f>
        <v/>
      </c>
      <c r="AV61" s="21">
        <f>IF($A61="","",COUNTIF('契約'!$C$4:$C$200,$A61))</f>
        <v/>
      </c>
      <c r="AW61" s="21">
        <f>IF($A61="","",COUNTIFS('業務'!$U$4:$U$200,$A61,'業務'!$A$4:$A$200,"&lt;&gt;",'業務'!$S$4:$S$200,"&lt;&gt;",'業務'!$F$4:$F$200,"間接業務"))</f>
        <v/>
      </c>
      <c r="AX61" s="21" t="n"/>
      <c r="AY61" s="18" t="n"/>
      <c r="AZ61" s="18" t="n"/>
      <c r="BA61" s="20" t="n"/>
    </row>
    <row r="62">
      <c r="A62" s="18" t="n"/>
      <c r="B62" s="18" t="n"/>
      <c r="C62" s="18" t="n"/>
      <c r="D62" s="18" t="n"/>
      <c r="E62" s="18" t="n"/>
      <c r="F62" s="18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20">
        <f>IF(COUNT(G62:R62)=0,"",SUM(G62:R62))</f>
        <v/>
      </c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20">
        <f>IF(COUNT(T62:AE62)=0,"",SUM(T62:AE62))</f>
        <v/>
      </c>
      <c r="AG62" s="18" t="n"/>
      <c r="AH62" s="18" t="n"/>
      <c r="AI62" s="18" t="n"/>
      <c r="AJ62" s="18" t="n"/>
      <c r="AK62" s="18" t="n"/>
      <c r="AL62" s="21">
        <f>IF($A62="","",IF(AJ62="いいえ","対象外",IF(AND(AH62="投資予算",AZ62="継続"),"対象外",IF(OR(AH62="",AJ62="",AJ62="未確認",AND(AH62="投資予算",OR(AZ62="",AZ62="未確認")),AM62="判定保留",AN62="判定保留"),"判定保留","移管"))))</f>
        <v/>
      </c>
      <c r="AM62" s="21">
        <f>IF($A62="","",IF(AJ62="いいえ","対象外",IF(AND(AH62="投資予算",AZ62="継続"),"対象外",IF(OR(AJ62="",AJ62="未確認"),"判定保留",IF(AV62=0,"—","移管")))))</f>
        <v/>
      </c>
      <c r="AN62" s="21">
        <f>IF($A62="","",IF(AJ62="いいえ","対象外",IF(AH62="投資予算","—",IF(OR(AH62="",AJ62="",AJ62="未確認",AS62=0,AT62&gt;0,AU62&gt;0),"判定保留","移管"))))</f>
        <v/>
      </c>
      <c r="AO62" s="21">
        <f>IF($A62="","",IF(AL62&lt;&gt;"移管","—",IF(AW62&gt;0,"あり","なし")))</f>
        <v/>
      </c>
      <c r="AP62" s="18" t="n"/>
      <c r="AQ62" s="33" t="n"/>
      <c r="AR62" s="21">
        <f>IF($A62="","",IF(AP62="","ステータス未設定",IF(AND(AL62="対象外",AP62&lt;&gt;"対象外"),"判定は対象外",IF(AND(AL62&lt;&gt;"対象外",AP62="対象外"),"判定は対象外ではない",IF(AND(AL62="判定保留",AP62&lt;&gt;"棚卸し中"),"判定保留が残っている",IF(AND(AL62="移管",AP62="棚卸し中"),"判定保留なし（棚卸し済みへ）",""))))))</f>
        <v/>
      </c>
      <c r="AS62" s="21">
        <f>IF($A62="","",COUNTIFS('紐付け'!$A$4:$A$200,$A62,'紐付け'!$C$4:$C$200,"&lt;&gt;"))</f>
        <v/>
      </c>
      <c r="AT62" s="21">
        <f>IF($A62="","",SUMPRODUCT(('紐付け'!$A$4:$A$200=$A62)*('紐付け'!$C$4:$C$200&lt;&gt;"")*(COUNTIFS('業務'!$C$4:$C$200,'紐付け'!$C$4:$C$200,'業務'!$F$4:$F$200,"間接業務",'業務'!$U$4:$U$200,$A62)=0)))</f>
        <v/>
      </c>
      <c r="AU62" s="21">
        <f>IF($A62="","",COUNTIFS('業務'!$U$4:$U$200,$A62,'業務'!$A$4:$A$200,"&lt;&gt;",'業務'!$J$4:$J$200,"&lt;&gt;済"))</f>
        <v/>
      </c>
      <c r="AV62" s="21">
        <f>IF($A62="","",COUNTIF('契約'!$C$4:$C$200,$A62))</f>
        <v/>
      </c>
      <c r="AW62" s="21">
        <f>IF($A62="","",COUNTIFS('業務'!$U$4:$U$200,$A62,'業務'!$A$4:$A$200,"&lt;&gt;",'業務'!$S$4:$S$200,"&lt;&gt;",'業務'!$F$4:$F$200,"間接業務"))</f>
        <v/>
      </c>
      <c r="AX62" s="21" t="n"/>
      <c r="AY62" s="18" t="n"/>
      <c r="AZ62" s="18" t="n"/>
      <c r="BA62" s="20" t="n"/>
    </row>
    <row r="63">
      <c r="A63" s="18" t="n"/>
      <c r="B63" s="18" t="n"/>
      <c r="C63" s="18" t="n"/>
      <c r="D63" s="18" t="n"/>
      <c r="E63" s="18" t="n"/>
      <c r="F63" s="18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20">
        <f>IF(COUNT(G63:R63)=0,"",SUM(G63:R63))</f>
        <v/>
      </c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20">
        <f>IF(COUNT(T63:AE63)=0,"",SUM(T63:AE63))</f>
        <v/>
      </c>
      <c r="AG63" s="18" t="n"/>
      <c r="AH63" s="18" t="n"/>
      <c r="AI63" s="18" t="n"/>
      <c r="AJ63" s="18" t="n"/>
      <c r="AK63" s="18" t="n"/>
      <c r="AL63" s="21">
        <f>IF($A63="","",IF(AJ63="いいえ","対象外",IF(AND(AH63="投資予算",AZ63="継続"),"対象外",IF(OR(AH63="",AJ63="",AJ63="未確認",AND(AH63="投資予算",OR(AZ63="",AZ63="未確認")),AM63="判定保留",AN63="判定保留"),"判定保留","移管"))))</f>
        <v/>
      </c>
      <c r="AM63" s="21">
        <f>IF($A63="","",IF(AJ63="いいえ","対象外",IF(AND(AH63="投資予算",AZ63="継続"),"対象外",IF(OR(AJ63="",AJ63="未確認"),"判定保留",IF(AV63=0,"—","移管")))))</f>
        <v/>
      </c>
      <c r="AN63" s="21">
        <f>IF($A63="","",IF(AJ63="いいえ","対象外",IF(AH63="投資予算","—",IF(OR(AH63="",AJ63="",AJ63="未確認",AS63=0,AT63&gt;0,AU63&gt;0),"判定保留","移管"))))</f>
        <v/>
      </c>
      <c r="AO63" s="21">
        <f>IF($A63="","",IF(AL63&lt;&gt;"移管","—",IF(AW63&gt;0,"あり","なし")))</f>
        <v/>
      </c>
      <c r="AP63" s="18" t="n"/>
      <c r="AQ63" s="33" t="n"/>
      <c r="AR63" s="21">
        <f>IF($A63="","",IF(AP63="","ステータス未設定",IF(AND(AL63="対象外",AP63&lt;&gt;"対象外"),"判定は対象外",IF(AND(AL63&lt;&gt;"対象外",AP63="対象外"),"判定は対象外ではない",IF(AND(AL63="判定保留",AP63&lt;&gt;"棚卸し中"),"判定保留が残っている",IF(AND(AL63="移管",AP63="棚卸し中"),"判定保留なし（棚卸し済みへ）",""))))))</f>
        <v/>
      </c>
      <c r="AS63" s="21">
        <f>IF($A63="","",COUNTIFS('紐付け'!$A$4:$A$200,$A63,'紐付け'!$C$4:$C$200,"&lt;&gt;"))</f>
        <v/>
      </c>
      <c r="AT63" s="21">
        <f>IF($A63="","",SUMPRODUCT(('紐付け'!$A$4:$A$200=$A63)*('紐付け'!$C$4:$C$200&lt;&gt;"")*(COUNTIFS('業務'!$C$4:$C$200,'紐付け'!$C$4:$C$200,'業務'!$F$4:$F$200,"間接業務",'業務'!$U$4:$U$200,$A63)=0)))</f>
        <v/>
      </c>
      <c r="AU63" s="21">
        <f>IF($A63="","",COUNTIFS('業務'!$U$4:$U$200,$A63,'業務'!$A$4:$A$200,"&lt;&gt;",'業務'!$J$4:$J$200,"&lt;&gt;済"))</f>
        <v/>
      </c>
      <c r="AV63" s="21">
        <f>IF($A63="","",COUNTIF('契約'!$C$4:$C$200,$A63))</f>
        <v/>
      </c>
      <c r="AW63" s="21">
        <f>IF($A63="","",COUNTIFS('業務'!$U$4:$U$200,$A63,'業務'!$A$4:$A$200,"&lt;&gt;",'業務'!$S$4:$S$200,"&lt;&gt;",'業務'!$F$4:$F$200,"間接業務"))</f>
        <v/>
      </c>
      <c r="AX63" s="21" t="n"/>
      <c r="AY63" s="18" t="n"/>
      <c r="AZ63" s="18" t="n"/>
      <c r="BA63" s="20" t="n"/>
    </row>
    <row r="64">
      <c r="A64" s="18" t="n"/>
      <c r="B64" s="18" t="n"/>
      <c r="C64" s="18" t="n"/>
      <c r="D64" s="18" t="n"/>
      <c r="E64" s="18" t="n"/>
      <c r="F64" s="18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20">
        <f>IF(COUNT(G64:R64)=0,"",SUM(G64:R64))</f>
        <v/>
      </c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20">
        <f>IF(COUNT(T64:AE64)=0,"",SUM(T64:AE64))</f>
        <v/>
      </c>
      <c r="AG64" s="18" t="n"/>
      <c r="AH64" s="18" t="n"/>
      <c r="AI64" s="18" t="n"/>
      <c r="AJ64" s="18" t="n"/>
      <c r="AK64" s="18" t="n"/>
      <c r="AL64" s="21">
        <f>IF($A64="","",IF(AJ64="いいえ","対象外",IF(AND(AH64="投資予算",AZ64="継続"),"対象外",IF(OR(AH64="",AJ64="",AJ64="未確認",AND(AH64="投資予算",OR(AZ64="",AZ64="未確認")),AM64="判定保留",AN64="判定保留"),"判定保留","移管"))))</f>
        <v/>
      </c>
      <c r="AM64" s="21">
        <f>IF($A64="","",IF(AJ64="いいえ","対象外",IF(AND(AH64="投資予算",AZ64="継続"),"対象外",IF(OR(AJ64="",AJ64="未確認"),"判定保留",IF(AV64=0,"—","移管")))))</f>
        <v/>
      </c>
      <c r="AN64" s="21">
        <f>IF($A64="","",IF(AJ64="いいえ","対象外",IF(AH64="投資予算","—",IF(OR(AH64="",AJ64="",AJ64="未確認",AS64=0,AT64&gt;0,AU64&gt;0),"判定保留","移管"))))</f>
        <v/>
      </c>
      <c r="AO64" s="21">
        <f>IF($A64="","",IF(AL64&lt;&gt;"移管","—",IF(AW64&gt;0,"あり","なし")))</f>
        <v/>
      </c>
      <c r="AP64" s="18" t="n"/>
      <c r="AQ64" s="33" t="n"/>
      <c r="AR64" s="21">
        <f>IF($A64="","",IF(AP64="","ステータス未設定",IF(AND(AL64="対象外",AP64&lt;&gt;"対象外"),"判定は対象外",IF(AND(AL64&lt;&gt;"対象外",AP64="対象外"),"判定は対象外ではない",IF(AND(AL64="判定保留",AP64&lt;&gt;"棚卸し中"),"判定保留が残っている",IF(AND(AL64="移管",AP64="棚卸し中"),"判定保留なし（棚卸し済みへ）",""))))))</f>
        <v/>
      </c>
      <c r="AS64" s="21">
        <f>IF($A64="","",COUNTIFS('紐付け'!$A$4:$A$200,$A64,'紐付け'!$C$4:$C$200,"&lt;&gt;"))</f>
        <v/>
      </c>
      <c r="AT64" s="21">
        <f>IF($A64="","",SUMPRODUCT(('紐付け'!$A$4:$A$200=$A64)*('紐付け'!$C$4:$C$200&lt;&gt;"")*(COUNTIFS('業務'!$C$4:$C$200,'紐付け'!$C$4:$C$200,'業務'!$F$4:$F$200,"間接業務",'業務'!$U$4:$U$200,$A64)=0)))</f>
        <v/>
      </c>
      <c r="AU64" s="21">
        <f>IF($A64="","",COUNTIFS('業務'!$U$4:$U$200,$A64,'業務'!$A$4:$A$200,"&lt;&gt;",'業務'!$J$4:$J$200,"&lt;&gt;済"))</f>
        <v/>
      </c>
      <c r="AV64" s="21">
        <f>IF($A64="","",COUNTIF('契約'!$C$4:$C$200,$A64))</f>
        <v/>
      </c>
      <c r="AW64" s="21">
        <f>IF($A64="","",COUNTIFS('業務'!$U$4:$U$200,$A64,'業務'!$A$4:$A$200,"&lt;&gt;",'業務'!$S$4:$S$200,"&lt;&gt;",'業務'!$F$4:$F$200,"間接業務"))</f>
        <v/>
      </c>
      <c r="AX64" s="21" t="n"/>
      <c r="AY64" s="18" t="n"/>
      <c r="AZ64" s="18" t="n"/>
      <c r="BA64" s="20" t="n"/>
    </row>
    <row r="65">
      <c r="A65" s="18" t="n"/>
      <c r="B65" s="18" t="n"/>
      <c r="C65" s="18" t="n"/>
      <c r="D65" s="18" t="n"/>
      <c r="E65" s="18" t="n"/>
      <c r="F65" s="18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20">
        <f>IF(COUNT(G65:R65)=0,"",SUM(G65:R65))</f>
        <v/>
      </c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20">
        <f>IF(COUNT(T65:AE65)=0,"",SUM(T65:AE65))</f>
        <v/>
      </c>
      <c r="AG65" s="18" t="n"/>
      <c r="AH65" s="18" t="n"/>
      <c r="AI65" s="18" t="n"/>
      <c r="AJ65" s="18" t="n"/>
      <c r="AK65" s="18" t="n"/>
      <c r="AL65" s="21">
        <f>IF($A65="","",IF(AJ65="いいえ","対象外",IF(AND(AH65="投資予算",AZ65="継続"),"対象外",IF(OR(AH65="",AJ65="",AJ65="未確認",AND(AH65="投資予算",OR(AZ65="",AZ65="未確認")),AM65="判定保留",AN65="判定保留"),"判定保留","移管"))))</f>
        <v/>
      </c>
      <c r="AM65" s="21">
        <f>IF($A65="","",IF(AJ65="いいえ","対象外",IF(AND(AH65="投資予算",AZ65="継続"),"対象外",IF(OR(AJ65="",AJ65="未確認"),"判定保留",IF(AV65=0,"—","移管")))))</f>
        <v/>
      </c>
      <c r="AN65" s="21">
        <f>IF($A65="","",IF(AJ65="いいえ","対象外",IF(AH65="投資予算","—",IF(OR(AH65="",AJ65="",AJ65="未確認",AS65=0,AT65&gt;0,AU65&gt;0),"判定保留","移管"))))</f>
        <v/>
      </c>
      <c r="AO65" s="21">
        <f>IF($A65="","",IF(AL65&lt;&gt;"移管","—",IF(AW65&gt;0,"あり","なし")))</f>
        <v/>
      </c>
      <c r="AP65" s="18" t="n"/>
      <c r="AQ65" s="33" t="n"/>
      <c r="AR65" s="21">
        <f>IF($A65="","",IF(AP65="","ステータス未設定",IF(AND(AL65="対象外",AP65&lt;&gt;"対象外"),"判定は対象外",IF(AND(AL65&lt;&gt;"対象外",AP65="対象外"),"判定は対象外ではない",IF(AND(AL65="判定保留",AP65&lt;&gt;"棚卸し中"),"判定保留が残っている",IF(AND(AL65="移管",AP65="棚卸し中"),"判定保留なし（棚卸し済みへ）",""))))))</f>
        <v/>
      </c>
      <c r="AS65" s="21">
        <f>IF($A65="","",COUNTIFS('紐付け'!$A$4:$A$200,$A65,'紐付け'!$C$4:$C$200,"&lt;&gt;"))</f>
        <v/>
      </c>
      <c r="AT65" s="21">
        <f>IF($A65="","",SUMPRODUCT(('紐付け'!$A$4:$A$200=$A65)*('紐付け'!$C$4:$C$200&lt;&gt;"")*(COUNTIFS('業務'!$C$4:$C$200,'紐付け'!$C$4:$C$200,'業務'!$F$4:$F$200,"間接業務",'業務'!$U$4:$U$200,$A65)=0)))</f>
        <v/>
      </c>
      <c r="AU65" s="21">
        <f>IF($A65="","",COUNTIFS('業務'!$U$4:$U$200,$A65,'業務'!$A$4:$A$200,"&lt;&gt;",'業務'!$J$4:$J$200,"&lt;&gt;済"))</f>
        <v/>
      </c>
      <c r="AV65" s="21">
        <f>IF($A65="","",COUNTIF('契約'!$C$4:$C$200,$A65))</f>
        <v/>
      </c>
      <c r="AW65" s="21">
        <f>IF($A65="","",COUNTIFS('業務'!$U$4:$U$200,$A65,'業務'!$A$4:$A$200,"&lt;&gt;",'業務'!$S$4:$S$200,"&lt;&gt;",'業務'!$F$4:$F$200,"間接業務"))</f>
        <v/>
      </c>
      <c r="AX65" s="21" t="n"/>
      <c r="AY65" s="18" t="n"/>
      <c r="AZ65" s="18" t="n"/>
      <c r="BA65" s="20" t="n"/>
    </row>
    <row r="66">
      <c r="A66" s="18" t="n"/>
      <c r="B66" s="18" t="n"/>
      <c r="C66" s="18" t="n"/>
      <c r="D66" s="18" t="n"/>
      <c r="E66" s="18" t="n"/>
      <c r="F66" s="18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20">
        <f>IF(COUNT(G66:R66)=0,"",SUM(G66:R66))</f>
        <v/>
      </c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20">
        <f>IF(COUNT(T66:AE66)=0,"",SUM(T66:AE66))</f>
        <v/>
      </c>
      <c r="AG66" s="18" t="n"/>
      <c r="AH66" s="18" t="n"/>
      <c r="AI66" s="18" t="n"/>
      <c r="AJ66" s="18" t="n"/>
      <c r="AK66" s="18" t="n"/>
      <c r="AL66" s="21">
        <f>IF($A66="","",IF(AJ66="いいえ","対象外",IF(AND(AH66="投資予算",AZ66="継続"),"対象外",IF(OR(AH66="",AJ66="",AJ66="未確認",AND(AH66="投資予算",OR(AZ66="",AZ66="未確認")),AM66="判定保留",AN66="判定保留"),"判定保留","移管"))))</f>
        <v/>
      </c>
      <c r="AM66" s="21">
        <f>IF($A66="","",IF(AJ66="いいえ","対象外",IF(AND(AH66="投資予算",AZ66="継続"),"対象外",IF(OR(AJ66="",AJ66="未確認"),"判定保留",IF(AV66=0,"—","移管")))))</f>
        <v/>
      </c>
      <c r="AN66" s="21">
        <f>IF($A66="","",IF(AJ66="いいえ","対象外",IF(AH66="投資予算","—",IF(OR(AH66="",AJ66="",AJ66="未確認",AS66=0,AT66&gt;0,AU66&gt;0),"判定保留","移管"))))</f>
        <v/>
      </c>
      <c r="AO66" s="21">
        <f>IF($A66="","",IF(AL66&lt;&gt;"移管","—",IF(AW66&gt;0,"あり","なし")))</f>
        <v/>
      </c>
      <c r="AP66" s="18" t="n"/>
      <c r="AQ66" s="33" t="n"/>
      <c r="AR66" s="21">
        <f>IF($A66="","",IF(AP66="","ステータス未設定",IF(AND(AL66="対象外",AP66&lt;&gt;"対象外"),"判定は対象外",IF(AND(AL66&lt;&gt;"対象外",AP66="対象外"),"判定は対象外ではない",IF(AND(AL66="判定保留",AP66&lt;&gt;"棚卸し中"),"判定保留が残っている",IF(AND(AL66="移管",AP66="棚卸し中"),"判定保留なし（棚卸し済みへ）",""))))))</f>
        <v/>
      </c>
      <c r="AS66" s="21">
        <f>IF($A66="","",COUNTIFS('紐付け'!$A$4:$A$200,$A66,'紐付け'!$C$4:$C$200,"&lt;&gt;"))</f>
        <v/>
      </c>
      <c r="AT66" s="21">
        <f>IF($A66="","",SUMPRODUCT(('紐付け'!$A$4:$A$200=$A66)*('紐付け'!$C$4:$C$200&lt;&gt;"")*(COUNTIFS('業務'!$C$4:$C$200,'紐付け'!$C$4:$C$200,'業務'!$F$4:$F$200,"間接業務",'業務'!$U$4:$U$200,$A66)=0)))</f>
        <v/>
      </c>
      <c r="AU66" s="21">
        <f>IF($A66="","",COUNTIFS('業務'!$U$4:$U$200,$A66,'業務'!$A$4:$A$200,"&lt;&gt;",'業務'!$J$4:$J$200,"&lt;&gt;済"))</f>
        <v/>
      </c>
      <c r="AV66" s="21">
        <f>IF($A66="","",COUNTIF('契約'!$C$4:$C$200,$A66))</f>
        <v/>
      </c>
      <c r="AW66" s="21">
        <f>IF($A66="","",COUNTIFS('業務'!$U$4:$U$200,$A66,'業務'!$A$4:$A$200,"&lt;&gt;",'業務'!$S$4:$S$200,"&lt;&gt;",'業務'!$F$4:$F$200,"間接業務"))</f>
        <v/>
      </c>
      <c r="AX66" s="21" t="n"/>
      <c r="AY66" s="18" t="n"/>
      <c r="AZ66" s="18" t="n"/>
      <c r="BA66" s="20" t="n"/>
    </row>
    <row r="67">
      <c r="A67" s="18" t="n"/>
      <c r="B67" s="18" t="n"/>
      <c r="C67" s="18" t="n"/>
      <c r="D67" s="18" t="n"/>
      <c r="E67" s="18" t="n"/>
      <c r="F67" s="18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20">
        <f>IF(COUNT(G67:R67)=0,"",SUM(G67:R67))</f>
        <v/>
      </c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20">
        <f>IF(COUNT(T67:AE67)=0,"",SUM(T67:AE67))</f>
        <v/>
      </c>
      <c r="AG67" s="18" t="n"/>
      <c r="AH67" s="18" t="n"/>
      <c r="AI67" s="18" t="n"/>
      <c r="AJ67" s="18" t="n"/>
      <c r="AK67" s="18" t="n"/>
      <c r="AL67" s="21">
        <f>IF($A67="","",IF(AJ67="いいえ","対象外",IF(AND(AH67="投資予算",AZ67="継続"),"対象外",IF(OR(AH67="",AJ67="",AJ67="未確認",AND(AH67="投資予算",OR(AZ67="",AZ67="未確認")),AM67="判定保留",AN67="判定保留"),"判定保留","移管"))))</f>
        <v/>
      </c>
      <c r="AM67" s="21">
        <f>IF($A67="","",IF(AJ67="いいえ","対象外",IF(AND(AH67="投資予算",AZ67="継続"),"対象外",IF(OR(AJ67="",AJ67="未確認"),"判定保留",IF(AV67=0,"—","移管")))))</f>
        <v/>
      </c>
      <c r="AN67" s="21">
        <f>IF($A67="","",IF(AJ67="いいえ","対象外",IF(AH67="投資予算","—",IF(OR(AH67="",AJ67="",AJ67="未確認",AS67=0,AT67&gt;0,AU67&gt;0),"判定保留","移管"))))</f>
        <v/>
      </c>
      <c r="AO67" s="21">
        <f>IF($A67="","",IF(AL67&lt;&gt;"移管","—",IF(AW67&gt;0,"あり","なし")))</f>
        <v/>
      </c>
      <c r="AP67" s="18" t="n"/>
      <c r="AQ67" s="33" t="n"/>
      <c r="AR67" s="21">
        <f>IF($A67="","",IF(AP67="","ステータス未設定",IF(AND(AL67="対象外",AP67&lt;&gt;"対象外"),"判定は対象外",IF(AND(AL67&lt;&gt;"対象外",AP67="対象外"),"判定は対象外ではない",IF(AND(AL67="判定保留",AP67&lt;&gt;"棚卸し中"),"判定保留が残っている",IF(AND(AL67="移管",AP67="棚卸し中"),"判定保留なし（棚卸し済みへ）",""))))))</f>
        <v/>
      </c>
      <c r="AS67" s="21">
        <f>IF($A67="","",COUNTIFS('紐付け'!$A$4:$A$200,$A67,'紐付け'!$C$4:$C$200,"&lt;&gt;"))</f>
        <v/>
      </c>
      <c r="AT67" s="21">
        <f>IF($A67="","",SUMPRODUCT(('紐付け'!$A$4:$A$200=$A67)*('紐付け'!$C$4:$C$200&lt;&gt;"")*(COUNTIFS('業務'!$C$4:$C$200,'紐付け'!$C$4:$C$200,'業務'!$F$4:$F$200,"間接業務",'業務'!$U$4:$U$200,$A67)=0)))</f>
        <v/>
      </c>
      <c r="AU67" s="21">
        <f>IF($A67="","",COUNTIFS('業務'!$U$4:$U$200,$A67,'業務'!$A$4:$A$200,"&lt;&gt;",'業務'!$J$4:$J$200,"&lt;&gt;済"))</f>
        <v/>
      </c>
      <c r="AV67" s="21">
        <f>IF($A67="","",COUNTIF('契約'!$C$4:$C$200,$A67))</f>
        <v/>
      </c>
      <c r="AW67" s="21">
        <f>IF($A67="","",COUNTIFS('業務'!$U$4:$U$200,$A67,'業務'!$A$4:$A$200,"&lt;&gt;",'業務'!$S$4:$S$200,"&lt;&gt;",'業務'!$F$4:$F$200,"間接業務"))</f>
        <v/>
      </c>
      <c r="AX67" s="21" t="n"/>
      <c r="AY67" s="18" t="n"/>
      <c r="AZ67" s="18" t="n"/>
      <c r="BA67" s="20" t="n"/>
    </row>
    <row r="68">
      <c r="A68" s="18" t="n"/>
      <c r="B68" s="18" t="n"/>
      <c r="C68" s="18" t="n"/>
      <c r="D68" s="18" t="n"/>
      <c r="E68" s="18" t="n"/>
      <c r="F68" s="18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20">
        <f>IF(COUNT(G68:R68)=0,"",SUM(G68:R68))</f>
        <v/>
      </c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20">
        <f>IF(COUNT(T68:AE68)=0,"",SUM(T68:AE68))</f>
        <v/>
      </c>
      <c r="AG68" s="18" t="n"/>
      <c r="AH68" s="18" t="n"/>
      <c r="AI68" s="18" t="n"/>
      <c r="AJ68" s="18" t="n"/>
      <c r="AK68" s="18" t="n"/>
      <c r="AL68" s="21">
        <f>IF($A68="","",IF(AJ68="いいえ","対象外",IF(AND(AH68="投資予算",AZ68="継続"),"対象外",IF(OR(AH68="",AJ68="",AJ68="未確認",AND(AH68="投資予算",OR(AZ68="",AZ68="未確認")),AM68="判定保留",AN68="判定保留"),"判定保留","移管"))))</f>
        <v/>
      </c>
      <c r="AM68" s="21">
        <f>IF($A68="","",IF(AJ68="いいえ","対象外",IF(AND(AH68="投資予算",AZ68="継続"),"対象外",IF(OR(AJ68="",AJ68="未確認"),"判定保留",IF(AV68=0,"—","移管")))))</f>
        <v/>
      </c>
      <c r="AN68" s="21">
        <f>IF($A68="","",IF(AJ68="いいえ","対象外",IF(AH68="投資予算","—",IF(OR(AH68="",AJ68="",AJ68="未確認",AS68=0,AT68&gt;0,AU68&gt;0),"判定保留","移管"))))</f>
        <v/>
      </c>
      <c r="AO68" s="21">
        <f>IF($A68="","",IF(AL68&lt;&gt;"移管","—",IF(AW68&gt;0,"あり","なし")))</f>
        <v/>
      </c>
      <c r="AP68" s="18" t="n"/>
      <c r="AQ68" s="33" t="n"/>
      <c r="AR68" s="21">
        <f>IF($A68="","",IF(AP68="","ステータス未設定",IF(AND(AL68="対象外",AP68&lt;&gt;"対象外"),"判定は対象外",IF(AND(AL68&lt;&gt;"対象外",AP68="対象外"),"判定は対象外ではない",IF(AND(AL68="判定保留",AP68&lt;&gt;"棚卸し中"),"判定保留が残っている",IF(AND(AL68="移管",AP68="棚卸し中"),"判定保留なし（棚卸し済みへ）",""))))))</f>
        <v/>
      </c>
      <c r="AS68" s="21">
        <f>IF($A68="","",COUNTIFS('紐付け'!$A$4:$A$200,$A68,'紐付け'!$C$4:$C$200,"&lt;&gt;"))</f>
        <v/>
      </c>
      <c r="AT68" s="21">
        <f>IF($A68="","",SUMPRODUCT(('紐付け'!$A$4:$A$200=$A68)*('紐付け'!$C$4:$C$200&lt;&gt;"")*(COUNTIFS('業務'!$C$4:$C$200,'紐付け'!$C$4:$C$200,'業務'!$F$4:$F$200,"間接業務",'業務'!$U$4:$U$200,$A68)=0)))</f>
        <v/>
      </c>
      <c r="AU68" s="21">
        <f>IF($A68="","",COUNTIFS('業務'!$U$4:$U$200,$A68,'業務'!$A$4:$A$200,"&lt;&gt;",'業務'!$J$4:$J$200,"&lt;&gt;済"))</f>
        <v/>
      </c>
      <c r="AV68" s="21">
        <f>IF($A68="","",COUNTIF('契約'!$C$4:$C$200,$A68))</f>
        <v/>
      </c>
      <c r="AW68" s="21">
        <f>IF($A68="","",COUNTIFS('業務'!$U$4:$U$200,$A68,'業務'!$A$4:$A$200,"&lt;&gt;",'業務'!$S$4:$S$200,"&lt;&gt;",'業務'!$F$4:$F$200,"間接業務"))</f>
        <v/>
      </c>
      <c r="AX68" s="21" t="n"/>
      <c r="AY68" s="18" t="n"/>
      <c r="AZ68" s="18" t="n"/>
      <c r="BA68" s="20" t="n"/>
    </row>
    <row r="69">
      <c r="A69" s="18" t="n"/>
      <c r="B69" s="18" t="n"/>
      <c r="C69" s="18" t="n"/>
      <c r="D69" s="18" t="n"/>
      <c r="E69" s="18" t="n"/>
      <c r="F69" s="18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20">
        <f>IF(COUNT(G69:R69)=0,"",SUM(G69:R69))</f>
        <v/>
      </c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20">
        <f>IF(COUNT(T69:AE69)=0,"",SUM(T69:AE69))</f>
        <v/>
      </c>
      <c r="AG69" s="18" t="n"/>
      <c r="AH69" s="18" t="n"/>
      <c r="AI69" s="18" t="n"/>
      <c r="AJ69" s="18" t="n"/>
      <c r="AK69" s="18" t="n"/>
      <c r="AL69" s="21">
        <f>IF($A69="","",IF(AJ69="いいえ","対象外",IF(AND(AH69="投資予算",AZ69="継続"),"対象外",IF(OR(AH69="",AJ69="",AJ69="未確認",AND(AH69="投資予算",OR(AZ69="",AZ69="未確認")),AM69="判定保留",AN69="判定保留"),"判定保留","移管"))))</f>
        <v/>
      </c>
      <c r="AM69" s="21">
        <f>IF($A69="","",IF(AJ69="いいえ","対象外",IF(AND(AH69="投資予算",AZ69="継続"),"対象外",IF(OR(AJ69="",AJ69="未確認"),"判定保留",IF(AV69=0,"—","移管")))))</f>
        <v/>
      </c>
      <c r="AN69" s="21">
        <f>IF($A69="","",IF(AJ69="いいえ","対象外",IF(AH69="投資予算","—",IF(OR(AH69="",AJ69="",AJ69="未確認",AS69=0,AT69&gt;0,AU69&gt;0),"判定保留","移管"))))</f>
        <v/>
      </c>
      <c r="AO69" s="21">
        <f>IF($A69="","",IF(AL69&lt;&gt;"移管","—",IF(AW69&gt;0,"あり","なし")))</f>
        <v/>
      </c>
      <c r="AP69" s="18" t="n"/>
      <c r="AQ69" s="33" t="n"/>
      <c r="AR69" s="21">
        <f>IF($A69="","",IF(AP69="","ステータス未設定",IF(AND(AL69="対象外",AP69&lt;&gt;"対象外"),"判定は対象外",IF(AND(AL69&lt;&gt;"対象外",AP69="対象外"),"判定は対象外ではない",IF(AND(AL69="判定保留",AP69&lt;&gt;"棚卸し中"),"判定保留が残っている",IF(AND(AL69="移管",AP69="棚卸し中"),"判定保留なし（棚卸し済みへ）",""))))))</f>
        <v/>
      </c>
      <c r="AS69" s="21">
        <f>IF($A69="","",COUNTIFS('紐付け'!$A$4:$A$200,$A69,'紐付け'!$C$4:$C$200,"&lt;&gt;"))</f>
        <v/>
      </c>
      <c r="AT69" s="21">
        <f>IF($A69="","",SUMPRODUCT(('紐付け'!$A$4:$A$200=$A69)*('紐付け'!$C$4:$C$200&lt;&gt;"")*(COUNTIFS('業務'!$C$4:$C$200,'紐付け'!$C$4:$C$200,'業務'!$F$4:$F$200,"間接業務",'業務'!$U$4:$U$200,$A69)=0)))</f>
        <v/>
      </c>
      <c r="AU69" s="21">
        <f>IF($A69="","",COUNTIFS('業務'!$U$4:$U$200,$A69,'業務'!$A$4:$A$200,"&lt;&gt;",'業務'!$J$4:$J$200,"&lt;&gt;済"))</f>
        <v/>
      </c>
      <c r="AV69" s="21">
        <f>IF($A69="","",COUNTIF('契約'!$C$4:$C$200,$A69))</f>
        <v/>
      </c>
      <c r="AW69" s="21">
        <f>IF($A69="","",COUNTIFS('業務'!$U$4:$U$200,$A69,'業務'!$A$4:$A$200,"&lt;&gt;",'業務'!$S$4:$S$200,"&lt;&gt;",'業務'!$F$4:$F$200,"間接業務"))</f>
        <v/>
      </c>
      <c r="AX69" s="21" t="n"/>
      <c r="AY69" s="18" t="n"/>
      <c r="AZ69" s="18" t="n"/>
      <c r="BA69" s="20" t="n"/>
    </row>
    <row r="70">
      <c r="A70" s="18" t="n"/>
      <c r="B70" s="18" t="n"/>
      <c r="C70" s="18" t="n"/>
      <c r="D70" s="18" t="n"/>
      <c r="E70" s="18" t="n"/>
      <c r="F70" s="18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20">
        <f>IF(COUNT(G70:R70)=0,"",SUM(G70:R70))</f>
        <v/>
      </c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20">
        <f>IF(COUNT(T70:AE70)=0,"",SUM(T70:AE70))</f>
        <v/>
      </c>
      <c r="AG70" s="18" t="n"/>
      <c r="AH70" s="18" t="n"/>
      <c r="AI70" s="18" t="n"/>
      <c r="AJ70" s="18" t="n"/>
      <c r="AK70" s="18" t="n"/>
      <c r="AL70" s="21">
        <f>IF($A70="","",IF(AJ70="いいえ","対象外",IF(AND(AH70="投資予算",AZ70="継続"),"対象外",IF(OR(AH70="",AJ70="",AJ70="未確認",AND(AH70="投資予算",OR(AZ70="",AZ70="未確認")),AM70="判定保留",AN70="判定保留"),"判定保留","移管"))))</f>
        <v/>
      </c>
      <c r="AM70" s="21">
        <f>IF($A70="","",IF(AJ70="いいえ","対象外",IF(AND(AH70="投資予算",AZ70="継続"),"対象外",IF(OR(AJ70="",AJ70="未確認"),"判定保留",IF(AV70=0,"—","移管")))))</f>
        <v/>
      </c>
      <c r="AN70" s="21">
        <f>IF($A70="","",IF(AJ70="いいえ","対象外",IF(AH70="投資予算","—",IF(OR(AH70="",AJ70="",AJ70="未確認",AS70=0,AT70&gt;0,AU70&gt;0),"判定保留","移管"))))</f>
        <v/>
      </c>
      <c r="AO70" s="21">
        <f>IF($A70="","",IF(AL70&lt;&gt;"移管","—",IF(AW70&gt;0,"あり","なし")))</f>
        <v/>
      </c>
      <c r="AP70" s="18" t="n"/>
      <c r="AQ70" s="33" t="n"/>
      <c r="AR70" s="21">
        <f>IF($A70="","",IF(AP70="","ステータス未設定",IF(AND(AL70="対象外",AP70&lt;&gt;"対象外"),"判定は対象外",IF(AND(AL70&lt;&gt;"対象外",AP70="対象外"),"判定は対象外ではない",IF(AND(AL70="判定保留",AP70&lt;&gt;"棚卸し中"),"判定保留が残っている",IF(AND(AL70="移管",AP70="棚卸し中"),"判定保留なし（棚卸し済みへ）",""))))))</f>
        <v/>
      </c>
      <c r="AS70" s="21">
        <f>IF($A70="","",COUNTIFS('紐付け'!$A$4:$A$200,$A70,'紐付け'!$C$4:$C$200,"&lt;&gt;"))</f>
        <v/>
      </c>
      <c r="AT70" s="21">
        <f>IF($A70="","",SUMPRODUCT(('紐付け'!$A$4:$A$200=$A70)*('紐付け'!$C$4:$C$200&lt;&gt;"")*(COUNTIFS('業務'!$C$4:$C$200,'紐付け'!$C$4:$C$200,'業務'!$F$4:$F$200,"間接業務",'業務'!$U$4:$U$200,$A70)=0)))</f>
        <v/>
      </c>
      <c r="AU70" s="21">
        <f>IF($A70="","",COUNTIFS('業務'!$U$4:$U$200,$A70,'業務'!$A$4:$A$200,"&lt;&gt;",'業務'!$J$4:$J$200,"&lt;&gt;済"))</f>
        <v/>
      </c>
      <c r="AV70" s="21">
        <f>IF($A70="","",COUNTIF('契約'!$C$4:$C$200,$A70))</f>
        <v/>
      </c>
      <c r="AW70" s="21">
        <f>IF($A70="","",COUNTIFS('業務'!$U$4:$U$200,$A70,'業務'!$A$4:$A$200,"&lt;&gt;",'業務'!$S$4:$S$200,"&lt;&gt;",'業務'!$F$4:$F$200,"間接業務"))</f>
        <v/>
      </c>
      <c r="AX70" s="21" t="n"/>
      <c r="AY70" s="18" t="n"/>
      <c r="AZ70" s="18" t="n"/>
      <c r="BA70" s="20" t="n"/>
    </row>
    <row r="71">
      <c r="A71" s="18" t="n"/>
      <c r="B71" s="18" t="n"/>
      <c r="C71" s="18" t="n"/>
      <c r="D71" s="18" t="n"/>
      <c r="E71" s="18" t="n"/>
      <c r="F71" s="18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20">
        <f>IF(COUNT(G71:R71)=0,"",SUM(G71:R71))</f>
        <v/>
      </c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20">
        <f>IF(COUNT(T71:AE71)=0,"",SUM(T71:AE71))</f>
        <v/>
      </c>
      <c r="AG71" s="18" t="n"/>
      <c r="AH71" s="18" t="n"/>
      <c r="AI71" s="18" t="n"/>
      <c r="AJ71" s="18" t="n"/>
      <c r="AK71" s="18" t="n"/>
      <c r="AL71" s="21">
        <f>IF($A71="","",IF(AJ71="いいえ","対象外",IF(AND(AH71="投資予算",AZ71="継続"),"対象外",IF(OR(AH71="",AJ71="",AJ71="未確認",AND(AH71="投資予算",OR(AZ71="",AZ71="未確認")),AM71="判定保留",AN71="判定保留"),"判定保留","移管"))))</f>
        <v/>
      </c>
      <c r="AM71" s="21">
        <f>IF($A71="","",IF(AJ71="いいえ","対象外",IF(AND(AH71="投資予算",AZ71="継続"),"対象外",IF(OR(AJ71="",AJ71="未確認"),"判定保留",IF(AV71=0,"—","移管")))))</f>
        <v/>
      </c>
      <c r="AN71" s="21">
        <f>IF($A71="","",IF(AJ71="いいえ","対象外",IF(AH71="投資予算","—",IF(OR(AH71="",AJ71="",AJ71="未確認",AS71=0,AT71&gt;0,AU71&gt;0),"判定保留","移管"))))</f>
        <v/>
      </c>
      <c r="AO71" s="21">
        <f>IF($A71="","",IF(AL71&lt;&gt;"移管","—",IF(AW71&gt;0,"あり","なし")))</f>
        <v/>
      </c>
      <c r="AP71" s="18" t="n"/>
      <c r="AQ71" s="33" t="n"/>
      <c r="AR71" s="21">
        <f>IF($A71="","",IF(AP71="","ステータス未設定",IF(AND(AL71="対象外",AP71&lt;&gt;"対象外"),"判定は対象外",IF(AND(AL71&lt;&gt;"対象外",AP71="対象外"),"判定は対象外ではない",IF(AND(AL71="判定保留",AP71&lt;&gt;"棚卸し中"),"判定保留が残っている",IF(AND(AL71="移管",AP71="棚卸し中"),"判定保留なし（棚卸し済みへ）",""))))))</f>
        <v/>
      </c>
      <c r="AS71" s="21">
        <f>IF($A71="","",COUNTIFS('紐付け'!$A$4:$A$200,$A71,'紐付け'!$C$4:$C$200,"&lt;&gt;"))</f>
        <v/>
      </c>
      <c r="AT71" s="21">
        <f>IF($A71="","",SUMPRODUCT(('紐付け'!$A$4:$A$200=$A71)*('紐付け'!$C$4:$C$200&lt;&gt;"")*(COUNTIFS('業務'!$C$4:$C$200,'紐付け'!$C$4:$C$200,'業務'!$F$4:$F$200,"間接業務",'業務'!$U$4:$U$200,$A71)=0)))</f>
        <v/>
      </c>
      <c r="AU71" s="21">
        <f>IF($A71="","",COUNTIFS('業務'!$U$4:$U$200,$A71,'業務'!$A$4:$A$200,"&lt;&gt;",'業務'!$J$4:$J$200,"&lt;&gt;済"))</f>
        <v/>
      </c>
      <c r="AV71" s="21">
        <f>IF($A71="","",COUNTIF('契約'!$C$4:$C$200,$A71))</f>
        <v/>
      </c>
      <c r="AW71" s="21">
        <f>IF($A71="","",COUNTIFS('業務'!$U$4:$U$200,$A71,'業務'!$A$4:$A$200,"&lt;&gt;",'業務'!$S$4:$S$200,"&lt;&gt;",'業務'!$F$4:$F$200,"間接業務"))</f>
        <v/>
      </c>
      <c r="AX71" s="21" t="n"/>
      <c r="AY71" s="18" t="n"/>
      <c r="AZ71" s="18" t="n"/>
      <c r="BA71" s="20" t="n"/>
    </row>
    <row r="72">
      <c r="A72" s="18" t="n"/>
      <c r="B72" s="18" t="n"/>
      <c r="C72" s="18" t="n"/>
      <c r="D72" s="18" t="n"/>
      <c r="E72" s="18" t="n"/>
      <c r="F72" s="18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20">
        <f>IF(COUNT(G72:R72)=0,"",SUM(G72:R72))</f>
        <v/>
      </c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20">
        <f>IF(COUNT(T72:AE72)=0,"",SUM(T72:AE72))</f>
        <v/>
      </c>
      <c r="AG72" s="18" t="n"/>
      <c r="AH72" s="18" t="n"/>
      <c r="AI72" s="18" t="n"/>
      <c r="AJ72" s="18" t="n"/>
      <c r="AK72" s="18" t="n"/>
      <c r="AL72" s="21">
        <f>IF($A72="","",IF(AJ72="いいえ","対象外",IF(AND(AH72="投資予算",AZ72="継続"),"対象外",IF(OR(AH72="",AJ72="",AJ72="未確認",AND(AH72="投資予算",OR(AZ72="",AZ72="未確認")),AM72="判定保留",AN72="判定保留"),"判定保留","移管"))))</f>
        <v/>
      </c>
      <c r="AM72" s="21">
        <f>IF($A72="","",IF(AJ72="いいえ","対象外",IF(AND(AH72="投資予算",AZ72="継続"),"対象外",IF(OR(AJ72="",AJ72="未確認"),"判定保留",IF(AV72=0,"—","移管")))))</f>
        <v/>
      </c>
      <c r="AN72" s="21">
        <f>IF($A72="","",IF(AJ72="いいえ","対象外",IF(AH72="投資予算","—",IF(OR(AH72="",AJ72="",AJ72="未確認",AS72=0,AT72&gt;0,AU72&gt;0),"判定保留","移管"))))</f>
        <v/>
      </c>
      <c r="AO72" s="21">
        <f>IF($A72="","",IF(AL72&lt;&gt;"移管","—",IF(AW72&gt;0,"あり","なし")))</f>
        <v/>
      </c>
      <c r="AP72" s="18" t="n"/>
      <c r="AQ72" s="33" t="n"/>
      <c r="AR72" s="21">
        <f>IF($A72="","",IF(AP72="","ステータス未設定",IF(AND(AL72="対象外",AP72&lt;&gt;"対象外"),"判定は対象外",IF(AND(AL72&lt;&gt;"対象外",AP72="対象外"),"判定は対象外ではない",IF(AND(AL72="判定保留",AP72&lt;&gt;"棚卸し中"),"判定保留が残っている",IF(AND(AL72="移管",AP72="棚卸し中"),"判定保留なし（棚卸し済みへ）",""))))))</f>
        <v/>
      </c>
      <c r="AS72" s="21">
        <f>IF($A72="","",COUNTIFS('紐付け'!$A$4:$A$200,$A72,'紐付け'!$C$4:$C$200,"&lt;&gt;"))</f>
        <v/>
      </c>
      <c r="AT72" s="21">
        <f>IF($A72="","",SUMPRODUCT(('紐付け'!$A$4:$A$200=$A72)*('紐付け'!$C$4:$C$200&lt;&gt;"")*(COUNTIFS('業務'!$C$4:$C$200,'紐付け'!$C$4:$C$200,'業務'!$F$4:$F$200,"間接業務",'業務'!$U$4:$U$200,$A72)=0)))</f>
        <v/>
      </c>
      <c r="AU72" s="21">
        <f>IF($A72="","",COUNTIFS('業務'!$U$4:$U$200,$A72,'業務'!$A$4:$A$200,"&lt;&gt;",'業務'!$J$4:$J$200,"&lt;&gt;済"))</f>
        <v/>
      </c>
      <c r="AV72" s="21">
        <f>IF($A72="","",COUNTIF('契約'!$C$4:$C$200,$A72))</f>
        <v/>
      </c>
      <c r="AW72" s="21">
        <f>IF($A72="","",COUNTIFS('業務'!$U$4:$U$200,$A72,'業務'!$A$4:$A$200,"&lt;&gt;",'業務'!$S$4:$S$200,"&lt;&gt;",'業務'!$F$4:$F$200,"間接業務"))</f>
        <v/>
      </c>
      <c r="AX72" s="21" t="n"/>
      <c r="AY72" s="18" t="n"/>
      <c r="AZ72" s="18" t="n"/>
      <c r="BA72" s="20" t="n"/>
    </row>
    <row r="73">
      <c r="A73" s="18" t="n"/>
      <c r="B73" s="18" t="n"/>
      <c r="C73" s="18" t="n"/>
      <c r="D73" s="18" t="n"/>
      <c r="E73" s="18" t="n"/>
      <c r="F73" s="18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20">
        <f>IF(COUNT(G73:R73)=0,"",SUM(G73:R73))</f>
        <v/>
      </c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20">
        <f>IF(COUNT(T73:AE73)=0,"",SUM(T73:AE73))</f>
        <v/>
      </c>
      <c r="AG73" s="18" t="n"/>
      <c r="AH73" s="18" t="n"/>
      <c r="AI73" s="18" t="n"/>
      <c r="AJ73" s="18" t="n"/>
      <c r="AK73" s="18" t="n"/>
      <c r="AL73" s="21">
        <f>IF($A73="","",IF(AJ73="いいえ","対象外",IF(AND(AH73="投資予算",AZ73="継続"),"対象外",IF(OR(AH73="",AJ73="",AJ73="未確認",AND(AH73="投資予算",OR(AZ73="",AZ73="未確認")),AM73="判定保留",AN73="判定保留"),"判定保留","移管"))))</f>
        <v/>
      </c>
      <c r="AM73" s="21">
        <f>IF($A73="","",IF(AJ73="いいえ","対象外",IF(AND(AH73="投資予算",AZ73="継続"),"対象外",IF(OR(AJ73="",AJ73="未確認"),"判定保留",IF(AV73=0,"—","移管")))))</f>
        <v/>
      </c>
      <c r="AN73" s="21">
        <f>IF($A73="","",IF(AJ73="いいえ","対象外",IF(AH73="投資予算","—",IF(OR(AH73="",AJ73="",AJ73="未確認",AS73=0,AT73&gt;0,AU73&gt;0),"判定保留","移管"))))</f>
        <v/>
      </c>
      <c r="AO73" s="21">
        <f>IF($A73="","",IF(AL73&lt;&gt;"移管","—",IF(AW73&gt;0,"あり","なし")))</f>
        <v/>
      </c>
      <c r="AP73" s="18" t="n"/>
      <c r="AQ73" s="33" t="n"/>
      <c r="AR73" s="21">
        <f>IF($A73="","",IF(AP73="","ステータス未設定",IF(AND(AL73="対象外",AP73&lt;&gt;"対象外"),"判定は対象外",IF(AND(AL73&lt;&gt;"対象外",AP73="対象外"),"判定は対象外ではない",IF(AND(AL73="判定保留",AP73&lt;&gt;"棚卸し中"),"判定保留が残っている",IF(AND(AL73="移管",AP73="棚卸し中"),"判定保留なし（棚卸し済みへ）",""))))))</f>
        <v/>
      </c>
      <c r="AS73" s="21">
        <f>IF($A73="","",COUNTIFS('紐付け'!$A$4:$A$200,$A73,'紐付け'!$C$4:$C$200,"&lt;&gt;"))</f>
        <v/>
      </c>
      <c r="AT73" s="21">
        <f>IF($A73="","",SUMPRODUCT(('紐付け'!$A$4:$A$200=$A73)*('紐付け'!$C$4:$C$200&lt;&gt;"")*(COUNTIFS('業務'!$C$4:$C$200,'紐付け'!$C$4:$C$200,'業務'!$F$4:$F$200,"間接業務",'業務'!$U$4:$U$200,$A73)=0)))</f>
        <v/>
      </c>
      <c r="AU73" s="21">
        <f>IF($A73="","",COUNTIFS('業務'!$U$4:$U$200,$A73,'業務'!$A$4:$A$200,"&lt;&gt;",'業務'!$J$4:$J$200,"&lt;&gt;済"))</f>
        <v/>
      </c>
      <c r="AV73" s="21">
        <f>IF($A73="","",COUNTIF('契約'!$C$4:$C$200,$A73))</f>
        <v/>
      </c>
      <c r="AW73" s="21">
        <f>IF($A73="","",COUNTIFS('業務'!$U$4:$U$200,$A73,'業務'!$A$4:$A$200,"&lt;&gt;",'業務'!$S$4:$S$200,"&lt;&gt;",'業務'!$F$4:$F$200,"間接業務"))</f>
        <v/>
      </c>
      <c r="AX73" s="21" t="n"/>
      <c r="AY73" s="18" t="n"/>
      <c r="AZ73" s="18" t="n"/>
      <c r="BA73" s="20" t="n"/>
    </row>
    <row r="74">
      <c r="A74" s="18" t="n"/>
      <c r="B74" s="18" t="n"/>
      <c r="C74" s="18" t="n"/>
      <c r="D74" s="18" t="n"/>
      <c r="E74" s="18" t="n"/>
      <c r="F74" s="18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20">
        <f>IF(COUNT(G74:R74)=0,"",SUM(G74:R74))</f>
        <v/>
      </c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20">
        <f>IF(COUNT(T74:AE74)=0,"",SUM(T74:AE74))</f>
        <v/>
      </c>
      <c r="AG74" s="18" t="n"/>
      <c r="AH74" s="18" t="n"/>
      <c r="AI74" s="18" t="n"/>
      <c r="AJ74" s="18" t="n"/>
      <c r="AK74" s="18" t="n"/>
      <c r="AL74" s="21">
        <f>IF($A74="","",IF(AJ74="いいえ","対象外",IF(AND(AH74="投資予算",AZ74="継続"),"対象外",IF(OR(AH74="",AJ74="",AJ74="未確認",AND(AH74="投資予算",OR(AZ74="",AZ74="未確認")),AM74="判定保留",AN74="判定保留"),"判定保留","移管"))))</f>
        <v/>
      </c>
      <c r="AM74" s="21">
        <f>IF($A74="","",IF(AJ74="いいえ","対象外",IF(AND(AH74="投資予算",AZ74="継続"),"対象外",IF(OR(AJ74="",AJ74="未確認"),"判定保留",IF(AV74=0,"—","移管")))))</f>
        <v/>
      </c>
      <c r="AN74" s="21">
        <f>IF($A74="","",IF(AJ74="いいえ","対象外",IF(AH74="投資予算","—",IF(OR(AH74="",AJ74="",AJ74="未確認",AS74=0,AT74&gt;0,AU74&gt;0),"判定保留","移管"))))</f>
        <v/>
      </c>
      <c r="AO74" s="21">
        <f>IF($A74="","",IF(AL74&lt;&gt;"移管","—",IF(AW74&gt;0,"あり","なし")))</f>
        <v/>
      </c>
      <c r="AP74" s="18" t="n"/>
      <c r="AQ74" s="33" t="n"/>
      <c r="AR74" s="21">
        <f>IF($A74="","",IF(AP74="","ステータス未設定",IF(AND(AL74="対象外",AP74&lt;&gt;"対象外"),"判定は対象外",IF(AND(AL74&lt;&gt;"対象外",AP74="対象外"),"判定は対象外ではない",IF(AND(AL74="判定保留",AP74&lt;&gt;"棚卸し中"),"判定保留が残っている",IF(AND(AL74="移管",AP74="棚卸し中"),"判定保留なし（棚卸し済みへ）",""))))))</f>
        <v/>
      </c>
      <c r="AS74" s="21">
        <f>IF($A74="","",COUNTIFS('紐付け'!$A$4:$A$200,$A74,'紐付け'!$C$4:$C$200,"&lt;&gt;"))</f>
        <v/>
      </c>
      <c r="AT74" s="21">
        <f>IF($A74="","",SUMPRODUCT(('紐付け'!$A$4:$A$200=$A74)*('紐付け'!$C$4:$C$200&lt;&gt;"")*(COUNTIFS('業務'!$C$4:$C$200,'紐付け'!$C$4:$C$200,'業務'!$F$4:$F$200,"間接業務",'業務'!$U$4:$U$200,$A74)=0)))</f>
        <v/>
      </c>
      <c r="AU74" s="21">
        <f>IF($A74="","",COUNTIFS('業務'!$U$4:$U$200,$A74,'業務'!$A$4:$A$200,"&lt;&gt;",'業務'!$J$4:$J$200,"&lt;&gt;済"))</f>
        <v/>
      </c>
      <c r="AV74" s="21">
        <f>IF($A74="","",COUNTIF('契約'!$C$4:$C$200,$A74))</f>
        <v/>
      </c>
      <c r="AW74" s="21">
        <f>IF($A74="","",COUNTIFS('業務'!$U$4:$U$200,$A74,'業務'!$A$4:$A$200,"&lt;&gt;",'業務'!$S$4:$S$200,"&lt;&gt;",'業務'!$F$4:$F$200,"間接業務"))</f>
        <v/>
      </c>
      <c r="AX74" s="21" t="n"/>
      <c r="AY74" s="18" t="n"/>
      <c r="AZ74" s="18" t="n"/>
      <c r="BA74" s="20" t="n"/>
    </row>
    <row r="75">
      <c r="A75" s="18" t="n"/>
      <c r="B75" s="18" t="n"/>
      <c r="C75" s="18" t="n"/>
      <c r="D75" s="18" t="n"/>
      <c r="E75" s="18" t="n"/>
      <c r="F75" s="18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20">
        <f>IF(COUNT(G75:R75)=0,"",SUM(G75:R75))</f>
        <v/>
      </c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20">
        <f>IF(COUNT(T75:AE75)=0,"",SUM(T75:AE75))</f>
        <v/>
      </c>
      <c r="AG75" s="18" t="n"/>
      <c r="AH75" s="18" t="n"/>
      <c r="AI75" s="18" t="n"/>
      <c r="AJ75" s="18" t="n"/>
      <c r="AK75" s="18" t="n"/>
      <c r="AL75" s="21">
        <f>IF($A75="","",IF(AJ75="いいえ","対象外",IF(AND(AH75="投資予算",AZ75="継続"),"対象外",IF(OR(AH75="",AJ75="",AJ75="未確認",AND(AH75="投資予算",OR(AZ75="",AZ75="未確認")),AM75="判定保留",AN75="判定保留"),"判定保留","移管"))))</f>
        <v/>
      </c>
      <c r="AM75" s="21">
        <f>IF($A75="","",IF(AJ75="いいえ","対象外",IF(AND(AH75="投資予算",AZ75="継続"),"対象外",IF(OR(AJ75="",AJ75="未確認"),"判定保留",IF(AV75=0,"—","移管")))))</f>
        <v/>
      </c>
      <c r="AN75" s="21">
        <f>IF($A75="","",IF(AJ75="いいえ","対象外",IF(AH75="投資予算","—",IF(OR(AH75="",AJ75="",AJ75="未確認",AS75=0,AT75&gt;0,AU75&gt;0),"判定保留","移管"))))</f>
        <v/>
      </c>
      <c r="AO75" s="21">
        <f>IF($A75="","",IF(AL75&lt;&gt;"移管","—",IF(AW75&gt;0,"あり","なし")))</f>
        <v/>
      </c>
      <c r="AP75" s="18" t="n"/>
      <c r="AQ75" s="33" t="n"/>
      <c r="AR75" s="21">
        <f>IF($A75="","",IF(AP75="","ステータス未設定",IF(AND(AL75="対象外",AP75&lt;&gt;"対象外"),"判定は対象外",IF(AND(AL75&lt;&gt;"対象外",AP75="対象外"),"判定は対象外ではない",IF(AND(AL75="判定保留",AP75&lt;&gt;"棚卸し中"),"判定保留が残っている",IF(AND(AL75="移管",AP75="棚卸し中"),"判定保留なし（棚卸し済みへ）",""))))))</f>
        <v/>
      </c>
      <c r="AS75" s="21">
        <f>IF($A75="","",COUNTIFS('紐付け'!$A$4:$A$200,$A75,'紐付け'!$C$4:$C$200,"&lt;&gt;"))</f>
        <v/>
      </c>
      <c r="AT75" s="21">
        <f>IF($A75="","",SUMPRODUCT(('紐付け'!$A$4:$A$200=$A75)*('紐付け'!$C$4:$C$200&lt;&gt;"")*(COUNTIFS('業務'!$C$4:$C$200,'紐付け'!$C$4:$C$200,'業務'!$F$4:$F$200,"間接業務",'業務'!$U$4:$U$200,$A75)=0)))</f>
        <v/>
      </c>
      <c r="AU75" s="21">
        <f>IF($A75="","",COUNTIFS('業務'!$U$4:$U$200,$A75,'業務'!$A$4:$A$200,"&lt;&gt;",'業務'!$J$4:$J$200,"&lt;&gt;済"))</f>
        <v/>
      </c>
      <c r="AV75" s="21">
        <f>IF($A75="","",COUNTIF('契約'!$C$4:$C$200,$A75))</f>
        <v/>
      </c>
      <c r="AW75" s="21">
        <f>IF($A75="","",COUNTIFS('業務'!$U$4:$U$200,$A75,'業務'!$A$4:$A$200,"&lt;&gt;",'業務'!$S$4:$S$200,"&lt;&gt;",'業務'!$F$4:$F$200,"間接業務"))</f>
        <v/>
      </c>
      <c r="AX75" s="21" t="n"/>
      <c r="AY75" s="18" t="n"/>
      <c r="AZ75" s="18" t="n"/>
      <c r="BA75" s="20" t="n"/>
    </row>
    <row r="76">
      <c r="A76" s="18" t="n"/>
      <c r="B76" s="18" t="n"/>
      <c r="C76" s="18" t="n"/>
      <c r="D76" s="18" t="n"/>
      <c r="E76" s="18" t="n"/>
      <c r="F76" s="18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20">
        <f>IF(COUNT(G76:R76)=0,"",SUM(G76:R76))</f>
        <v/>
      </c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20">
        <f>IF(COUNT(T76:AE76)=0,"",SUM(T76:AE76))</f>
        <v/>
      </c>
      <c r="AG76" s="18" t="n"/>
      <c r="AH76" s="18" t="n"/>
      <c r="AI76" s="18" t="n"/>
      <c r="AJ76" s="18" t="n"/>
      <c r="AK76" s="18" t="n"/>
      <c r="AL76" s="21">
        <f>IF($A76="","",IF(AJ76="いいえ","対象外",IF(AND(AH76="投資予算",AZ76="継続"),"対象外",IF(OR(AH76="",AJ76="",AJ76="未確認",AND(AH76="投資予算",OR(AZ76="",AZ76="未確認")),AM76="判定保留",AN76="判定保留"),"判定保留","移管"))))</f>
        <v/>
      </c>
      <c r="AM76" s="21">
        <f>IF($A76="","",IF(AJ76="いいえ","対象外",IF(AND(AH76="投資予算",AZ76="継続"),"対象外",IF(OR(AJ76="",AJ76="未確認"),"判定保留",IF(AV76=0,"—","移管")))))</f>
        <v/>
      </c>
      <c r="AN76" s="21">
        <f>IF($A76="","",IF(AJ76="いいえ","対象外",IF(AH76="投資予算","—",IF(OR(AH76="",AJ76="",AJ76="未確認",AS76=0,AT76&gt;0,AU76&gt;0),"判定保留","移管"))))</f>
        <v/>
      </c>
      <c r="AO76" s="21">
        <f>IF($A76="","",IF(AL76&lt;&gt;"移管","—",IF(AW76&gt;0,"あり","なし")))</f>
        <v/>
      </c>
      <c r="AP76" s="18" t="n"/>
      <c r="AQ76" s="33" t="n"/>
      <c r="AR76" s="21">
        <f>IF($A76="","",IF(AP76="","ステータス未設定",IF(AND(AL76="対象外",AP76&lt;&gt;"対象外"),"判定は対象外",IF(AND(AL76&lt;&gt;"対象外",AP76="対象外"),"判定は対象外ではない",IF(AND(AL76="判定保留",AP76&lt;&gt;"棚卸し中"),"判定保留が残っている",IF(AND(AL76="移管",AP76="棚卸し中"),"判定保留なし（棚卸し済みへ）",""))))))</f>
        <v/>
      </c>
      <c r="AS76" s="21">
        <f>IF($A76="","",COUNTIFS('紐付け'!$A$4:$A$200,$A76,'紐付け'!$C$4:$C$200,"&lt;&gt;"))</f>
        <v/>
      </c>
      <c r="AT76" s="21">
        <f>IF($A76="","",SUMPRODUCT(('紐付け'!$A$4:$A$200=$A76)*('紐付け'!$C$4:$C$200&lt;&gt;"")*(COUNTIFS('業務'!$C$4:$C$200,'紐付け'!$C$4:$C$200,'業務'!$F$4:$F$200,"間接業務",'業務'!$U$4:$U$200,$A76)=0)))</f>
        <v/>
      </c>
      <c r="AU76" s="21">
        <f>IF($A76="","",COUNTIFS('業務'!$U$4:$U$200,$A76,'業務'!$A$4:$A$200,"&lt;&gt;",'業務'!$J$4:$J$200,"&lt;&gt;済"))</f>
        <v/>
      </c>
      <c r="AV76" s="21">
        <f>IF($A76="","",COUNTIF('契約'!$C$4:$C$200,$A76))</f>
        <v/>
      </c>
      <c r="AW76" s="21">
        <f>IF($A76="","",COUNTIFS('業務'!$U$4:$U$200,$A76,'業務'!$A$4:$A$200,"&lt;&gt;",'業務'!$S$4:$S$200,"&lt;&gt;",'業務'!$F$4:$F$200,"間接業務"))</f>
        <v/>
      </c>
      <c r="AX76" s="21" t="n"/>
      <c r="AY76" s="18" t="n"/>
      <c r="AZ76" s="18" t="n"/>
      <c r="BA76" s="20" t="n"/>
    </row>
    <row r="77">
      <c r="A77" s="18" t="n"/>
      <c r="B77" s="18" t="n"/>
      <c r="C77" s="18" t="n"/>
      <c r="D77" s="18" t="n"/>
      <c r="E77" s="18" t="n"/>
      <c r="F77" s="18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20">
        <f>IF(COUNT(G77:R77)=0,"",SUM(G77:R77))</f>
        <v/>
      </c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20">
        <f>IF(COUNT(T77:AE77)=0,"",SUM(T77:AE77))</f>
        <v/>
      </c>
      <c r="AG77" s="18" t="n"/>
      <c r="AH77" s="18" t="n"/>
      <c r="AI77" s="18" t="n"/>
      <c r="AJ77" s="18" t="n"/>
      <c r="AK77" s="18" t="n"/>
      <c r="AL77" s="21">
        <f>IF($A77="","",IF(AJ77="いいえ","対象外",IF(AND(AH77="投資予算",AZ77="継続"),"対象外",IF(OR(AH77="",AJ77="",AJ77="未確認",AND(AH77="投資予算",OR(AZ77="",AZ77="未確認")),AM77="判定保留",AN77="判定保留"),"判定保留","移管"))))</f>
        <v/>
      </c>
      <c r="AM77" s="21">
        <f>IF($A77="","",IF(AJ77="いいえ","対象外",IF(AND(AH77="投資予算",AZ77="継続"),"対象外",IF(OR(AJ77="",AJ77="未確認"),"判定保留",IF(AV77=0,"—","移管")))))</f>
        <v/>
      </c>
      <c r="AN77" s="21">
        <f>IF($A77="","",IF(AJ77="いいえ","対象外",IF(AH77="投資予算","—",IF(OR(AH77="",AJ77="",AJ77="未確認",AS77=0,AT77&gt;0,AU77&gt;0),"判定保留","移管"))))</f>
        <v/>
      </c>
      <c r="AO77" s="21">
        <f>IF($A77="","",IF(AL77&lt;&gt;"移管","—",IF(AW77&gt;0,"あり","なし")))</f>
        <v/>
      </c>
      <c r="AP77" s="18" t="n"/>
      <c r="AQ77" s="33" t="n"/>
      <c r="AR77" s="21">
        <f>IF($A77="","",IF(AP77="","ステータス未設定",IF(AND(AL77="対象外",AP77&lt;&gt;"対象外"),"判定は対象外",IF(AND(AL77&lt;&gt;"対象外",AP77="対象外"),"判定は対象外ではない",IF(AND(AL77="判定保留",AP77&lt;&gt;"棚卸し中"),"判定保留が残っている",IF(AND(AL77="移管",AP77="棚卸し中"),"判定保留なし（棚卸し済みへ）",""))))))</f>
        <v/>
      </c>
      <c r="AS77" s="21">
        <f>IF($A77="","",COUNTIFS('紐付け'!$A$4:$A$200,$A77,'紐付け'!$C$4:$C$200,"&lt;&gt;"))</f>
        <v/>
      </c>
      <c r="AT77" s="21">
        <f>IF($A77="","",SUMPRODUCT(('紐付け'!$A$4:$A$200=$A77)*('紐付け'!$C$4:$C$200&lt;&gt;"")*(COUNTIFS('業務'!$C$4:$C$200,'紐付け'!$C$4:$C$200,'業務'!$F$4:$F$200,"間接業務",'業務'!$U$4:$U$200,$A77)=0)))</f>
        <v/>
      </c>
      <c r="AU77" s="21">
        <f>IF($A77="","",COUNTIFS('業務'!$U$4:$U$200,$A77,'業務'!$A$4:$A$200,"&lt;&gt;",'業務'!$J$4:$J$200,"&lt;&gt;済"))</f>
        <v/>
      </c>
      <c r="AV77" s="21">
        <f>IF($A77="","",COUNTIF('契約'!$C$4:$C$200,$A77))</f>
        <v/>
      </c>
      <c r="AW77" s="21">
        <f>IF($A77="","",COUNTIFS('業務'!$U$4:$U$200,$A77,'業務'!$A$4:$A$200,"&lt;&gt;",'業務'!$S$4:$S$200,"&lt;&gt;",'業務'!$F$4:$F$200,"間接業務"))</f>
        <v/>
      </c>
      <c r="AX77" s="21" t="n"/>
      <c r="AY77" s="18" t="n"/>
      <c r="AZ77" s="18" t="n"/>
      <c r="BA77" s="20" t="n"/>
    </row>
    <row r="78">
      <c r="A78" s="18" t="n"/>
      <c r="B78" s="18" t="n"/>
      <c r="C78" s="18" t="n"/>
      <c r="D78" s="18" t="n"/>
      <c r="E78" s="18" t="n"/>
      <c r="F78" s="18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20">
        <f>IF(COUNT(G78:R78)=0,"",SUM(G78:R78))</f>
        <v/>
      </c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20">
        <f>IF(COUNT(T78:AE78)=0,"",SUM(T78:AE78))</f>
        <v/>
      </c>
      <c r="AG78" s="18" t="n"/>
      <c r="AH78" s="18" t="n"/>
      <c r="AI78" s="18" t="n"/>
      <c r="AJ78" s="18" t="n"/>
      <c r="AK78" s="18" t="n"/>
      <c r="AL78" s="21">
        <f>IF($A78="","",IF(AJ78="いいえ","対象外",IF(AND(AH78="投資予算",AZ78="継続"),"対象外",IF(OR(AH78="",AJ78="",AJ78="未確認",AND(AH78="投資予算",OR(AZ78="",AZ78="未確認")),AM78="判定保留",AN78="判定保留"),"判定保留","移管"))))</f>
        <v/>
      </c>
      <c r="AM78" s="21">
        <f>IF($A78="","",IF(AJ78="いいえ","対象外",IF(AND(AH78="投資予算",AZ78="継続"),"対象外",IF(OR(AJ78="",AJ78="未確認"),"判定保留",IF(AV78=0,"—","移管")))))</f>
        <v/>
      </c>
      <c r="AN78" s="21">
        <f>IF($A78="","",IF(AJ78="いいえ","対象外",IF(AH78="投資予算","—",IF(OR(AH78="",AJ78="",AJ78="未確認",AS78=0,AT78&gt;0,AU78&gt;0),"判定保留","移管"))))</f>
        <v/>
      </c>
      <c r="AO78" s="21">
        <f>IF($A78="","",IF(AL78&lt;&gt;"移管","—",IF(AW78&gt;0,"あり","なし")))</f>
        <v/>
      </c>
      <c r="AP78" s="18" t="n"/>
      <c r="AQ78" s="33" t="n"/>
      <c r="AR78" s="21">
        <f>IF($A78="","",IF(AP78="","ステータス未設定",IF(AND(AL78="対象外",AP78&lt;&gt;"対象外"),"判定は対象外",IF(AND(AL78&lt;&gt;"対象外",AP78="対象外"),"判定は対象外ではない",IF(AND(AL78="判定保留",AP78&lt;&gt;"棚卸し中"),"判定保留が残っている",IF(AND(AL78="移管",AP78="棚卸し中"),"判定保留なし（棚卸し済みへ）",""))))))</f>
        <v/>
      </c>
      <c r="AS78" s="21">
        <f>IF($A78="","",COUNTIFS('紐付け'!$A$4:$A$200,$A78,'紐付け'!$C$4:$C$200,"&lt;&gt;"))</f>
        <v/>
      </c>
      <c r="AT78" s="21">
        <f>IF($A78="","",SUMPRODUCT(('紐付け'!$A$4:$A$200=$A78)*('紐付け'!$C$4:$C$200&lt;&gt;"")*(COUNTIFS('業務'!$C$4:$C$200,'紐付け'!$C$4:$C$200,'業務'!$F$4:$F$200,"間接業務",'業務'!$U$4:$U$200,$A78)=0)))</f>
        <v/>
      </c>
      <c r="AU78" s="21">
        <f>IF($A78="","",COUNTIFS('業務'!$U$4:$U$200,$A78,'業務'!$A$4:$A$200,"&lt;&gt;",'業務'!$J$4:$J$200,"&lt;&gt;済"))</f>
        <v/>
      </c>
      <c r="AV78" s="21">
        <f>IF($A78="","",COUNTIF('契約'!$C$4:$C$200,$A78))</f>
        <v/>
      </c>
      <c r="AW78" s="21">
        <f>IF($A78="","",COUNTIFS('業務'!$U$4:$U$200,$A78,'業務'!$A$4:$A$200,"&lt;&gt;",'業務'!$S$4:$S$200,"&lt;&gt;",'業務'!$F$4:$F$200,"間接業務"))</f>
        <v/>
      </c>
      <c r="AX78" s="21" t="n"/>
      <c r="AY78" s="18" t="n"/>
      <c r="AZ78" s="18" t="n"/>
      <c r="BA78" s="20" t="n"/>
    </row>
    <row r="79">
      <c r="A79" s="18" t="n"/>
      <c r="B79" s="18" t="n"/>
      <c r="C79" s="18" t="n"/>
      <c r="D79" s="18" t="n"/>
      <c r="E79" s="18" t="n"/>
      <c r="F79" s="18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20">
        <f>IF(COUNT(G79:R79)=0,"",SUM(G79:R79))</f>
        <v/>
      </c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20">
        <f>IF(COUNT(T79:AE79)=0,"",SUM(T79:AE79))</f>
        <v/>
      </c>
      <c r="AG79" s="18" t="n"/>
      <c r="AH79" s="18" t="n"/>
      <c r="AI79" s="18" t="n"/>
      <c r="AJ79" s="18" t="n"/>
      <c r="AK79" s="18" t="n"/>
      <c r="AL79" s="21">
        <f>IF($A79="","",IF(AJ79="いいえ","対象外",IF(AND(AH79="投資予算",AZ79="継続"),"対象外",IF(OR(AH79="",AJ79="",AJ79="未確認",AND(AH79="投資予算",OR(AZ79="",AZ79="未確認")),AM79="判定保留",AN79="判定保留"),"判定保留","移管"))))</f>
        <v/>
      </c>
      <c r="AM79" s="21">
        <f>IF($A79="","",IF(AJ79="いいえ","対象外",IF(AND(AH79="投資予算",AZ79="継続"),"対象外",IF(OR(AJ79="",AJ79="未確認"),"判定保留",IF(AV79=0,"—","移管")))))</f>
        <v/>
      </c>
      <c r="AN79" s="21">
        <f>IF($A79="","",IF(AJ79="いいえ","対象外",IF(AH79="投資予算","—",IF(OR(AH79="",AJ79="",AJ79="未確認",AS79=0,AT79&gt;0,AU79&gt;0),"判定保留","移管"))))</f>
        <v/>
      </c>
      <c r="AO79" s="21">
        <f>IF($A79="","",IF(AL79&lt;&gt;"移管","—",IF(AW79&gt;0,"あり","なし")))</f>
        <v/>
      </c>
      <c r="AP79" s="18" t="n"/>
      <c r="AQ79" s="33" t="n"/>
      <c r="AR79" s="21">
        <f>IF($A79="","",IF(AP79="","ステータス未設定",IF(AND(AL79="対象外",AP79&lt;&gt;"対象外"),"判定は対象外",IF(AND(AL79&lt;&gt;"対象外",AP79="対象外"),"判定は対象外ではない",IF(AND(AL79="判定保留",AP79&lt;&gt;"棚卸し中"),"判定保留が残っている",IF(AND(AL79="移管",AP79="棚卸し中"),"判定保留なし（棚卸し済みへ）",""))))))</f>
        <v/>
      </c>
      <c r="AS79" s="21">
        <f>IF($A79="","",COUNTIFS('紐付け'!$A$4:$A$200,$A79,'紐付け'!$C$4:$C$200,"&lt;&gt;"))</f>
        <v/>
      </c>
      <c r="AT79" s="21">
        <f>IF($A79="","",SUMPRODUCT(('紐付け'!$A$4:$A$200=$A79)*('紐付け'!$C$4:$C$200&lt;&gt;"")*(COUNTIFS('業務'!$C$4:$C$200,'紐付け'!$C$4:$C$200,'業務'!$F$4:$F$200,"間接業務",'業務'!$U$4:$U$200,$A79)=0)))</f>
        <v/>
      </c>
      <c r="AU79" s="21">
        <f>IF($A79="","",COUNTIFS('業務'!$U$4:$U$200,$A79,'業務'!$A$4:$A$200,"&lt;&gt;",'業務'!$J$4:$J$200,"&lt;&gt;済"))</f>
        <v/>
      </c>
      <c r="AV79" s="21">
        <f>IF($A79="","",COUNTIF('契約'!$C$4:$C$200,$A79))</f>
        <v/>
      </c>
      <c r="AW79" s="21">
        <f>IF($A79="","",COUNTIFS('業務'!$U$4:$U$200,$A79,'業務'!$A$4:$A$200,"&lt;&gt;",'業務'!$S$4:$S$200,"&lt;&gt;",'業務'!$F$4:$F$200,"間接業務"))</f>
        <v/>
      </c>
      <c r="AX79" s="21" t="n"/>
      <c r="AY79" s="18" t="n"/>
      <c r="AZ79" s="18" t="n"/>
      <c r="BA79" s="20" t="n"/>
    </row>
    <row r="80">
      <c r="A80" s="18" t="n"/>
      <c r="B80" s="18" t="n"/>
      <c r="C80" s="18" t="n"/>
      <c r="D80" s="18" t="n"/>
      <c r="E80" s="18" t="n"/>
      <c r="F80" s="18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20">
        <f>IF(COUNT(G80:R80)=0,"",SUM(G80:R80))</f>
        <v/>
      </c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20">
        <f>IF(COUNT(T80:AE80)=0,"",SUM(T80:AE80))</f>
        <v/>
      </c>
      <c r="AG80" s="18" t="n"/>
      <c r="AH80" s="18" t="n"/>
      <c r="AI80" s="18" t="n"/>
      <c r="AJ80" s="18" t="n"/>
      <c r="AK80" s="18" t="n"/>
      <c r="AL80" s="21">
        <f>IF($A80="","",IF(AJ80="いいえ","対象外",IF(AND(AH80="投資予算",AZ80="継続"),"対象外",IF(OR(AH80="",AJ80="",AJ80="未確認",AND(AH80="投資予算",OR(AZ80="",AZ80="未確認")),AM80="判定保留",AN80="判定保留"),"判定保留","移管"))))</f>
        <v/>
      </c>
      <c r="AM80" s="21">
        <f>IF($A80="","",IF(AJ80="いいえ","対象外",IF(AND(AH80="投資予算",AZ80="継続"),"対象外",IF(OR(AJ80="",AJ80="未確認"),"判定保留",IF(AV80=0,"—","移管")))))</f>
        <v/>
      </c>
      <c r="AN80" s="21">
        <f>IF($A80="","",IF(AJ80="いいえ","対象外",IF(AH80="投資予算","—",IF(OR(AH80="",AJ80="",AJ80="未確認",AS80=0,AT80&gt;0,AU80&gt;0),"判定保留","移管"))))</f>
        <v/>
      </c>
      <c r="AO80" s="21">
        <f>IF($A80="","",IF(AL80&lt;&gt;"移管","—",IF(AW80&gt;0,"あり","なし")))</f>
        <v/>
      </c>
      <c r="AP80" s="18" t="n"/>
      <c r="AQ80" s="33" t="n"/>
      <c r="AR80" s="21">
        <f>IF($A80="","",IF(AP80="","ステータス未設定",IF(AND(AL80="対象外",AP80&lt;&gt;"対象外"),"判定は対象外",IF(AND(AL80&lt;&gt;"対象外",AP80="対象外"),"判定は対象外ではない",IF(AND(AL80="判定保留",AP80&lt;&gt;"棚卸し中"),"判定保留が残っている",IF(AND(AL80="移管",AP80="棚卸し中"),"判定保留なし（棚卸し済みへ）",""))))))</f>
        <v/>
      </c>
      <c r="AS80" s="21">
        <f>IF($A80="","",COUNTIFS('紐付け'!$A$4:$A$200,$A80,'紐付け'!$C$4:$C$200,"&lt;&gt;"))</f>
        <v/>
      </c>
      <c r="AT80" s="21">
        <f>IF($A80="","",SUMPRODUCT(('紐付け'!$A$4:$A$200=$A80)*('紐付け'!$C$4:$C$200&lt;&gt;"")*(COUNTIFS('業務'!$C$4:$C$200,'紐付け'!$C$4:$C$200,'業務'!$F$4:$F$200,"間接業務",'業務'!$U$4:$U$200,$A80)=0)))</f>
        <v/>
      </c>
      <c r="AU80" s="21">
        <f>IF($A80="","",COUNTIFS('業務'!$U$4:$U$200,$A80,'業務'!$A$4:$A$200,"&lt;&gt;",'業務'!$J$4:$J$200,"&lt;&gt;済"))</f>
        <v/>
      </c>
      <c r="AV80" s="21">
        <f>IF($A80="","",COUNTIF('契約'!$C$4:$C$200,$A80))</f>
        <v/>
      </c>
      <c r="AW80" s="21">
        <f>IF($A80="","",COUNTIFS('業務'!$U$4:$U$200,$A80,'業務'!$A$4:$A$200,"&lt;&gt;",'業務'!$S$4:$S$200,"&lt;&gt;",'業務'!$F$4:$F$200,"間接業務"))</f>
        <v/>
      </c>
      <c r="AX80" s="21" t="n"/>
      <c r="AY80" s="18" t="n"/>
      <c r="AZ80" s="18" t="n"/>
      <c r="BA80" s="20" t="n"/>
    </row>
    <row r="81">
      <c r="A81" s="18" t="n"/>
      <c r="B81" s="18" t="n"/>
      <c r="C81" s="18" t="n"/>
      <c r="D81" s="18" t="n"/>
      <c r="E81" s="18" t="n"/>
      <c r="F81" s="18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20">
        <f>IF(COUNT(G81:R81)=0,"",SUM(G81:R81))</f>
        <v/>
      </c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20">
        <f>IF(COUNT(T81:AE81)=0,"",SUM(T81:AE81))</f>
        <v/>
      </c>
      <c r="AG81" s="18" t="n"/>
      <c r="AH81" s="18" t="n"/>
      <c r="AI81" s="18" t="n"/>
      <c r="AJ81" s="18" t="n"/>
      <c r="AK81" s="18" t="n"/>
      <c r="AL81" s="21">
        <f>IF($A81="","",IF(AJ81="いいえ","対象外",IF(AND(AH81="投資予算",AZ81="継続"),"対象外",IF(OR(AH81="",AJ81="",AJ81="未確認",AND(AH81="投資予算",OR(AZ81="",AZ81="未確認")),AM81="判定保留",AN81="判定保留"),"判定保留","移管"))))</f>
        <v/>
      </c>
      <c r="AM81" s="21">
        <f>IF($A81="","",IF(AJ81="いいえ","対象外",IF(AND(AH81="投資予算",AZ81="継続"),"対象外",IF(OR(AJ81="",AJ81="未確認"),"判定保留",IF(AV81=0,"—","移管")))))</f>
        <v/>
      </c>
      <c r="AN81" s="21">
        <f>IF($A81="","",IF(AJ81="いいえ","対象外",IF(AH81="投資予算","—",IF(OR(AH81="",AJ81="",AJ81="未確認",AS81=0,AT81&gt;0,AU81&gt;0),"判定保留","移管"))))</f>
        <v/>
      </c>
      <c r="AO81" s="21">
        <f>IF($A81="","",IF(AL81&lt;&gt;"移管","—",IF(AW81&gt;0,"あり","なし")))</f>
        <v/>
      </c>
      <c r="AP81" s="18" t="n"/>
      <c r="AQ81" s="33" t="n"/>
      <c r="AR81" s="21">
        <f>IF($A81="","",IF(AP81="","ステータス未設定",IF(AND(AL81="対象外",AP81&lt;&gt;"対象外"),"判定は対象外",IF(AND(AL81&lt;&gt;"対象外",AP81="対象外"),"判定は対象外ではない",IF(AND(AL81="判定保留",AP81&lt;&gt;"棚卸し中"),"判定保留が残っている",IF(AND(AL81="移管",AP81="棚卸し中"),"判定保留なし（棚卸し済みへ）",""))))))</f>
        <v/>
      </c>
      <c r="AS81" s="21">
        <f>IF($A81="","",COUNTIFS('紐付け'!$A$4:$A$200,$A81,'紐付け'!$C$4:$C$200,"&lt;&gt;"))</f>
        <v/>
      </c>
      <c r="AT81" s="21">
        <f>IF($A81="","",SUMPRODUCT(('紐付け'!$A$4:$A$200=$A81)*('紐付け'!$C$4:$C$200&lt;&gt;"")*(COUNTIFS('業務'!$C$4:$C$200,'紐付け'!$C$4:$C$200,'業務'!$F$4:$F$200,"間接業務",'業務'!$U$4:$U$200,$A81)=0)))</f>
        <v/>
      </c>
      <c r="AU81" s="21">
        <f>IF($A81="","",COUNTIFS('業務'!$U$4:$U$200,$A81,'業務'!$A$4:$A$200,"&lt;&gt;",'業務'!$J$4:$J$200,"&lt;&gt;済"))</f>
        <v/>
      </c>
      <c r="AV81" s="21">
        <f>IF($A81="","",COUNTIF('契約'!$C$4:$C$200,$A81))</f>
        <v/>
      </c>
      <c r="AW81" s="21">
        <f>IF($A81="","",COUNTIFS('業務'!$U$4:$U$200,$A81,'業務'!$A$4:$A$200,"&lt;&gt;",'業務'!$S$4:$S$200,"&lt;&gt;",'業務'!$F$4:$F$200,"間接業務"))</f>
        <v/>
      </c>
      <c r="AX81" s="21" t="n"/>
      <c r="AY81" s="18" t="n"/>
      <c r="AZ81" s="18" t="n"/>
      <c r="BA81" s="20" t="n"/>
    </row>
    <row r="82">
      <c r="A82" s="18" t="n"/>
      <c r="B82" s="18" t="n"/>
      <c r="C82" s="18" t="n"/>
      <c r="D82" s="18" t="n"/>
      <c r="E82" s="18" t="n"/>
      <c r="F82" s="18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20">
        <f>IF(COUNT(G82:R82)=0,"",SUM(G82:R82))</f>
        <v/>
      </c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20">
        <f>IF(COUNT(T82:AE82)=0,"",SUM(T82:AE82))</f>
        <v/>
      </c>
      <c r="AG82" s="18" t="n"/>
      <c r="AH82" s="18" t="n"/>
      <c r="AI82" s="18" t="n"/>
      <c r="AJ82" s="18" t="n"/>
      <c r="AK82" s="18" t="n"/>
      <c r="AL82" s="21">
        <f>IF($A82="","",IF(AJ82="いいえ","対象外",IF(AND(AH82="投資予算",AZ82="継続"),"対象外",IF(OR(AH82="",AJ82="",AJ82="未確認",AND(AH82="投資予算",OR(AZ82="",AZ82="未確認")),AM82="判定保留",AN82="判定保留"),"判定保留","移管"))))</f>
        <v/>
      </c>
      <c r="AM82" s="21">
        <f>IF($A82="","",IF(AJ82="いいえ","対象外",IF(AND(AH82="投資予算",AZ82="継続"),"対象外",IF(OR(AJ82="",AJ82="未確認"),"判定保留",IF(AV82=0,"—","移管")))))</f>
        <v/>
      </c>
      <c r="AN82" s="21">
        <f>IF($A82="","",IF(AJ82="いいえ","対象外",IF(AH82="投資予算","—",IF(OR(AH82="",AJ82="",AJ82="未確認",AS82=0,AT82&gt;0,AU82&gt;0),"判定保留","移管"))))</f>
        <v/>
      </c>
      <c r="AO82" s="21">
        <f>IF($A82="","",IF(AL82&lt;&gt;"移管","—",IF(AW82&gt;0,"あり","なし")))</f>
        <v/>
      </c>
      <c r="AP82" s="18" t="n"/>
      <c r="AQ82" s="33" t="n"/>
      <c r="AR82" s="21">
        <f>IF($A82="","",IF(AP82="","ステータス未設定",IF(AND(AL82="対象外",AP82&lt;&gt;"対象外"),"判定は対象外",IF(AND(AL82&lt;&gt;"対象外",AP82="対象外"),"判定は対象外ではない",IF(AND(AL82="判定保留",AP82&lt;&gt;"棚卸し中"),"判定保留が残っている",IF(AND(AL82="移管",AP82="棚卸し中"),"判定保留なし（棚卸し済みへ）",""))))))</f>
        <v/>
      </c>
      <c r="AS82" s="21">
        <f>IF($A82="","",COUNTIFS('紐付け'!$A$4:$A$200,$A82,'紐付け'!$C$4:$C$200,"&lt;&gt;"))</f>
        <v/>
      </c>
      <c r="AT82" s="21">
        <f>IF($A82="","",SUMPRODUCT(('紐付け'!$A$4:$A$200=$A82)*('紐付け'!$C$4:$C$200&lt;&gt;"")*(COUNTIFS('業務'!$C$4:$C$200,'紐付け'!$C$4:$C$200,'業務'!$F$4:$F$200,"間接業務",'業務'!$U$4:$U$200,$A82)=0)))</f>
        <v/>
      </c>
      <c r="AU82" s="21">
        <f>IF($A82="","",COUNTIFS('業務'!$U$4:$U$200,$A82,'業務'!$A$4:$A$200,"&lt;&gt;",'業務'!$J$4:$J$200,"&lt;&gt;済"))</f>
        <v/>
      </c>
      <c r="AV82" s="21">
        <f>IF($A82="","",COUNTIF('契約'!$C$4:$C$200,$A82))</f>
        <v/>
      </c>
      <c r="AW82" s="21">
        <f>IF($A82="","",COUNTIFS('業務'!$U$4:$U$200,$A82,'業務'!$A$4:$A$200,"&lt;&gt;",'業務'!$S$4:$S$200,"&lt;&gt;",'業務'!$F$4:$F$200,"間接業務"))</f>
        <v/>
      </c>
      <c r="AX82" s="21" t="n"/>
      <c r="AY82" s="18" t="n"/>
      <c r="AZ82" s="18" t="n"/>
      <c r="BA82" s="20" t="n"/>
    </row>
    <row r="83">
      <c r="A83" s="18" t="n"/>
      <c r="B83" s="18" t="n"/>
      <c r="C83" s="18" t="n"/>
      <c r="D83" s="18" t="n"/>
      <c r="E83" s="18" t="n"/>
      <c r="F83" s="18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20">
        <f>IF(COUNT(G83:R83)=0,"",SUM(G83:R83))</f>
        <v/>
      </c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20">
        <f>IF(COUNT(T83:AE83)=0,"",SUM(T83:AE83))</f>
        <v/>
      </c>
      <c r="AG83" s="18" t="n"/>
      <c r="AH83" s="18" t="n"/>
      <c r="AI83" s="18" t="n"/>
      <c r="AJ83" s="18" t="n"/>
      <c r="AK83" s="18" t="n"/>
      <c r="AL83" s="21">
        <f>IF($A83="","",IF(AJ83="いいえ","対象外",IF(AND(AH83="投資予算",AZ83="継続"),"対象外",IF(OR(AH83="",AJ83="",AJ83="未確認",AND(AH83="投資予算",OR(AZ83="",AZ83="未確認")),AM83="判定保留",AN83="判定保留"),"判定保留","移管"))))</f>
        <v/>
      </c>
      <c r="AM83" s="21">
        <f>IF($A83="","",IF(AJ83="いいえ","対象外",IF(AND(AH83="投資予算",AZ83="継続"),"対象外",IF(OR(AJ83="",AJ83="未確認"),"判定保留",IF(AV83=0,"—","移管")))))</f>
        <v/>
      </c>
      <c r="AN83" s="21">
        <f>IF($A83="","",IF(AJ83="いいえ","対象外",IF(AH83="投資予算","—",IF(OR(AH83="",AJ83="",AJ83="未確認",AS83=0,AT83&gt;0,AU83&gt;0),"判定保留","移管"))))</f>
        <v/>
      </c>
      <c r="AO83" s="21">
        <f>IF($A83="","",IF(AL83&lt;&gt;"移管","—",IF(AW83&gt;0,"あり","なし")))</f>
        <v/>
      </c>
      <c r="AP83" s="18" t="n"/>
      <c r="AQ83" s="33" t="n"/>
      <c r="AR83" s="21">
        <f>IF($A83="","",IF(AP83="","ステータス未設定",IF(AND(AL83="対象外",AP83&lt;&gt;"対象外"),"判定は対象外",IF(AND(AL83&lt;&gt;"対象外",AP83="対象外"),"判定は対象外ではない",IF(AND(AL83="判定保留",AP83&lt;&gt;"棚卸し中"),"判定保留が残っている",IF(AND(AL83="移管",AP83="棚卸し中"),"判定保留なし（棚卸し済みへ）",""))))))</f>
        <v/>
      </c>
      <c r="AS83" s="21">
        <f>IF($A83="","",COUNTIFS('紐付け'!$A$4:$A$200,$A83,'紐付け'!$C$4:$C$200,"&lt;&gt;"))</f>
        <v/>
      </c>
      <c r="AT83" s="21">
        <f>IF($A83="","",SUMPRODUCT(('紐付け'!$A$4:$A$200=$A83)*('紐付け'!$C$4:$C$200&lt;&gt;"")*(COUNTIFS('業務'!$C$4:$C$200,'紐付け'!$C$4:$C$200,'業務'!$F$4:$F$200,"間接業務",'業務'!$U$4:$U$200,$A83)=0)))</f>
        <v/>
      </c>
      <c r="AU83" s="21">
        <f>IF($A83="","",COUNTIFS('業務'!$U$4:$U$200,$A83,'業務'!$A$4:$A$200,"&lt;&gt;",'業務'!$J$4:$J$200,"&lt;&gt;済"))</f>
        <v/>
      </c>
      <c r="AV83" s="21">
        <f>IF($A83="","",COUNTIF('契約'!$C$4:$C$200,$A83))</f>
        <v/>
      </c>
      <c r="AW83" s="21">
        <f>IF($A83="","",COUNTIFS('業務'!$U$4:$U$200,$A83,'業務'!$A$4:$A$200,"&lt;&gt;",'業務'!$S$4:$S$200,"&lt;&gt;",'業務'!$F$4:$F$200,"間接業務"))</f>
        <v/>
      </c>
      <c r="AX83" s="21" t="n"/>
      <c r="AY83" s="18" t="n"/>
      <c r="AZ83" s="18" t="n"/>
      <c r="BA83" s="20" t="n"/>
    </row>
    <row r="84">
      <c r="A84" s="18" t="n"/>
      <c r="B84" s="18" t="n"/>
      <c r="C84" s="18" t="n"/>
      <c r="D84" s="18" t="n"/>
      <c r="E84" s="18" t="n"/>
      <c r="F84" s="18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20">
        <f>IF(COUNT(G84:R84)=0,"",SUM(G84:R84))</f>
        <v/>
      </c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20">
        <f>IF(COUNT(T84:AE84)=0,"",SUM(T84:AE84))</f>
        <v/>
      </c>
      <c r="AG84" s="18" t="n"/>
      <c r="AH84" s="18" t="n"/>
      <c r="AI84" s="18" t="n"/>
      <c r="AJ84" s="18" t="n"/>
      <c r="AK84" s="18" t="n"/>
      <c r="AL84" s="21">
        <f>IF($A84="","",IF(AJ84="いいえ","対象外",IF(AND(AH84="投資予算",AZ84="継続"),"対象外",IF(OR(AH84="",AJ84="",AJ84="未確認",AND(AH84="投資予算",OR(AZ84="",AZ84="未確認")),AM84="判定保留",AN84="判定保留"),"判定保留","移管"))))</f>
        <v/>
      </c>
      <c r="AM84" s="21">
        <f>IF($A84="","",IF(AJ84="いいえ","対象外",IF(AND(AH84="投資予算",AZ84="継続"),"対象外",IF(OR(AJ84="",AJ84="未確認"),"判定保留",IF(AV84=0,"—","移管")))))</f>
        <v/>
      </c>
      <c r="AN84" s="21">
        <f>IF($A84="","",IF(AJ84="いいえ","対象外",IF(AH84="投資予算","—",IF(OR(AH84="",AJ84="",AJ84="未確認",AS84=0,AT84&gt;0,AU84&gt;0),"判定保留","移管"))))</f>
        <v/>
      </c>
      <c r="AO84" s="21">
        <f>IF($A84="","",IF(AL84&lt;&gt;"移管","—",IF(AW84&gt;0,"あり","なし")))</f>
        <v/>
      </c>
      <c r="AP84" s="18" t="n"/>
      <c r="AQ84" s="33" t="n"/>
      <c r="AR84" s="21">
        <f>IF($A84="","",IF(AP84="","ステータス未設定",IF(AND(AL84="対象外",AP84&lt;&gt;"対象外"),"判定は対象外",IF(AND(AL84&lt;&gt;"対象外",AP84="対象外"),"判定は対象外ではない",IF(AND(AL84="判定保留",AP84&lt;&gt;"棚卸し中"),"判定保留が残っている",IF(AND(AL84="移管",AP84="棚卸し中"),"判定保留なし（棚卸し済みへ）",""))))))</f>
        <v/>
      </c>
      <c r="AS84" s="21">
        <f>IF($A84="","",COUNTIFS('紐付け'!$A$4:$A$200,$A84,'紐付け'!$C$4:$C$200,"&lt;&gt;"))</f>
        <v/>
      </c>
      <c r="AT84" s="21">
        <f>IF($A84="","",SUMPRODUCT(('紐付け'!$A$4:$A$200=$A84)*('紐付け'!$C$4:$C$200&lt;&gt;"")*(COUNTIFS('業務'!$C$4:$C$200,'紐付け'!$C$4:$C$200,'業務'!$F$4:$F$200,"間接業務",'業務'!$U$4:$U$200,$A84)=0)))</f>
        <v/>
      </c>
      <c r="AU84" s="21">
        <f>IF($A84="","",COUNTIFS('業務'!$U$4:$U$200,$A84,'業務'!$A$4:$A$200,"&lt;&gt;",'業務'!$J$4:$J$200,"&lt;&gt;済"))</f>
        <v/>
      </c>
      <c r="AV84" s="21">
        <f>IF($A84="","",COUNTIF('契約'!$C$4:$C$200,$A84))</f>
        <v/>
      </c>
      <c r="AW84" s="21">
        <f>IF($A84="","",COUNTIFS('業務'!$U$4:$U$200,$A84,'業務'!$A$4:$A$200,"&lt;&gt;",'業務'!$S$4:$S$200,"&lt;&gt;",'業務'!$F$4:$F$200,"間接業務"))</f>
        <v/>
      </c>
      <c r="AX84" s="21" t="n"/>
      <c r="AY84" s="18" t="n"/>
      <c r="AZ84" s="18" t="n"/>
      <c r="BA84" s="20" t="n"/>
    </row>
    <row r="85">
      <c r="A85" s="18" t="n"/>
      <c r="B85" s="18" t="n"/>
      <c r="C85" s="18" t="n"/>
      <c r="D85" s="18" t="n"/>
      <c r="E85" s="18" t="n"/>
      <c r="F85" s="18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20">
        <f>IF(COUNT(G85:R85)=0,"",SUM(G85:R85))</f>
        <v/>
      </c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20">
        <f>IF(COUNT(T85:AE85)=0,"",SUM(T85:AE85))</f>
        <v/>
      </c>
      <c r="AG85" s="18" t="n"/>
      <c r="AH85" s="18" t="n"/>
      <c r="AI85" s="18" t="n"/>
      <c r="AJ85" s="18" t="n"/>
      <c r="AK85" s="18" t="n"/>
      <c r="AL85" s="21">
        <f>IF($A85="","",IF(AJ85="いいえ","対象外",IF(AND(AH85="投資予算",AZ85="継続"),"対象外",IF(OR(AH85="",AJ85="",AJ85="未確認",AND(AH85="投資予算",OR(AZ85="",AZ85="未確認")),AM85="判定保留",AN85="判定保留"),"判定保留","移管"))))</f>
        <v/>
      </c>
      <c r="AM85" s="21">
        <f>IF($A85="","",IF(AJ85="いいえ","対象外",IF(AND(AH85="投資予算",AZ85="継続"),"対象外",IF(OR(AJ85="",AJ85="未確認"),"判定保留",IF(AV85=0,"—","移管")))))</f>
        <v/>
      </c>
      <c r="AN85" s="21">
        <f>IF($A85="","",IF(AJ85="いいえ","対象外",IF(AH85="投資予算","—",IF(OR(AH85="",AJ85="",AJ85="未確認",AS85=0,AT85&gt;0,AU85&gt;0),"判定保留","移管"))))</f>
        <v/>
      </c>
      <c r="AO85" s="21">
        <f>IF($A85="","",IF(AL85&lt;&gt;"移管","—",IF(AW85&gt;0,"あり","なし")))</f>
        <v/>
      </c>
      <c r="AP85" s="18" t="n"/>
      <c r="AQ85" s="33" t="n"/>
      <c r="AR85" s="21">
        <f>IF($A85="","",IF(AP85="","ステータス未設定",IF(AND(AL85="対象外",AP85&lt;&gt;"対象外"),"判定は対象外",IF(AND(AL85&lt;&gt;"対象外",AP85="対象外"),"判定は対象外ではない",IF(AND(AL85="判定保留",AP85&lt;&gt;"棚卸し中"),"判定保留が残っている",IF(AND(AL85="移管",AP85="棚卸し中"),"判定保留なし（棚卸し済みへ）",""))))))</f>
        <v/>
      </c>
      <c r="AS85" s="21">
        <f>IF($A85="","",COUNTIFS('紐付け'!$A$4:$A$200,$A85,'紐付け'!$C$4:$C$200,"&lt;&gt;"))</f>
        <v/>
      </c>
      <c r="AT85" s="21">
        <f>IF($A85="","",SUMPRODUCT(('紐付け'!$A$4:$A$200=$A85)*('紐付け'!$C$4:$C$200&lt;&gt;"")*(COUNTIFS('業務'!$C$4:$C$200,'紐付け'!$C$4:$C$200,'業務'!$F$4:$F$200,"間接業務",'業務'!$U$4:$U$200,$A85)=0)))</f>
        <v/>
      </c>
      <c r="AU85" s="21">
        <f>IF($A85="","",COUNTIFS('業務'!$U$4:$U$200,$A85,'業務'!$A$4:$A$200,"&lt;&gt;",'業務'!$J$4:$J$200,"&lt;&gt;済"))</f>
        <v/>
      </c>
      <c r="AV85" s="21">
        <f>IF($A85="","",COUNTIF('契約'!$C$4:$C$200,$A85))</f>
        <v/>
      </c>
      <c r="AW85" s="21">
        <f>IF($A85="","",COUNTIFS('業務'!$U$4:$U$200,$A85,'業務'!$A$4:$A$200,"&lt;&gt;",'業務'!$S$4:$S$200,"&lt;&gt;",'業務'!$F$4:$F$200,"間接業務"))</f>
        <v/>
      </c>
      <c r="AX85" s="21" t="n"/>
      <c r="AY85" s="18" t="n"/>
      <c r="AZ85" s="18" t="n"/>
      <c r="BA85" s="20" t="n"/>
    </row>
    <row r="86">
      <c r="A86" s="18" t="n"/>
      <c r="B86" s="18" t="n"/>
      <c r="C86" s="18" t="n"/>
      <c r="D86" s="18" t="n"/>
      <c r="E86" s="18" t="n"/>
      <c r="F86" s="18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20">
        <f>IF(COUNT(G86:R86)=0,"",SUM(G86:R86))</f>
        <v/>
      </c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20">
        <f>IF(COUNT(T86:AE86)=0,"",SUM(T86:AE86))</f>
        <v/>
      </c>
      <c r="AG86" s="18" t="n"/>
      <c r="AH86" s="18" t="n"/>
      <c r="AI86" s="18" t="n"/>
      <c r="AJ86" s="18" t="n"/>
      <c r="AK86" s="18" t="n"/>
      <c r="AL86" s="21">
        <f>IF($A86="","",IF(AJ86="いいえ","対象外",IF(AND(AH86="投資予算",AZ86="継続"),"対象外",IF(OR(AH86="",AJ86="",AJ86="未確認",AND(AH86="投資予算",OR(AZ86="",AZ86="未確認")),AM86="判定保留",AN86="判定保留"),"判定保留","移管"))))</f>
        <v/>
      </c>
      <c r="AM86" s="21">
        <f>IF($A86="","",IF(AJ86="いいえ","対象外",IF(AND(AH86="投資予算",AZ86="継続"),"対象外",IF(OR(AJ86="",AJ86="未確認"),"判定保留",IF(AV86=0,"—","移管")))))</f>
        <v/>
      </c>
      <c r="AN86" s="21">
        <f>IF($A86="","",IF(AJ86="いいえ","対象外",IF(AH86="投資予算","—",IF(OR(AH86="",AJ86="",AJ86="未確認",AS86=0,AT86&gt;0,AU86&gt;0),"判定保留","移管"))))</f>
        <v/>
      </c>
      <c r="AO86" s="21">
        <f>IF($A86="","",IF(AL86&lt;&gt;"移管","—",IF(AW86&gt;0,"あり","なし")))</f>
        <v/>
      </c>
      <c r="AP86" s="18" t="n"/>
      <c r="AQ86" s="33" t="n"/>
      <c r="AR86" s="21">
        <f>IF($A86="","",IF(AP86="","ステータス未設定",IF(AND(AL86="対象外",AP86&lt;&gt;"対象外"),"判定は対象外",IF(AND(AL86&lt;&gt;"対象外",AP86="対象外"),"判定は対象外ではない",IF(AND(AL86="判定保留",AP86&lt;&gt;"棚卸し中"),"判定保留が残っている",IF(AND(AL86="移管",AP86="棚卸し中"),"判定保留なし（棚卸し済みへ）",""))))))</f>
        <v/>
      </c>
      <c r="AS86" s="21">
        <f>IF($A86="","",COUNTIFS('紐付け'!$A$4:$A$200,$A86,'紐付け'!$C$4:$C$200,"&lt;&gt;"))</f>
        <v/>
      </c>
      <c r="AT86" s="21">
        <f>IF($A86="","",SUMPRODUCT(('紐付け'!$A$4:$A$200=$A86)*('紐付け'!$C$4:$C$200&lt;&gt;"")*(COUNTIFS('業務'!$C$4:$C$200,'紐付け'!$C$4:$C$200,'業務'!$F$4:$F$200,"間接業務",'業務'!$U$4:$U$200,$A86)=0)))</f>
        <v/>
      </c>
      <c r="AU86" s="21">
        <f>IF($A86="","",COUNTIFS('業務'!$U$4:$U$200,$A86,'業務'!$A$4:$A$200,"&lt;&gt;",'業務'!$J$4:$J$200,"&lt;&gt;済"))</f>
        <v/>
      </c>
      <c r="AV86" s="21">
        <f>IF($A86="","",COUNTIF('契約'!$C$4:$C$200,$A86))</f>
        <v/>
      </c>
      <c r="AW86" s="21">
        <f>IF($A86="","",COUNTIFS('業務'!$U$4:$U$200,$A86,'業務'!$A$4:$A$200,"&lt;&gt;",'業務'!$S$4:$S$200,"&lt;&gt;",'業務'!$F$4:$F$200,"間接業務"))</f>
        <v/>
      </c>
      <c r="AX86" s="21" t="n"/>
      <c r="AY86" s="18" t="n"/>
      <c r="AZ86" s="18" t="n"/>
      <c r="BA86" s="20" t="n"/>
    </row>
    <row r="87">
      <c r="A87" s="18" t="n"/>
      <c r="B87" s="18" t="n"/>
      <c r="C87" s="18" t="n"/>
      <c r="D87" s="18" t="n"/>
      <c r="E87" s="18" t="n"/>
      <c r="F87" s="18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20">
        <f>IF(COUNT(G87:R87)=0,"",SUM(G87:R87))</f>
        <v/>
      </c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20">
        <f>IF(COUNT(T87:AE87)=0,"",SUM(T87:AE87))</f>
        <v/>
      </c>
      <c r="AG87" s="18" t="n"/>
      <c r="AH87" s="18" t="n"/>
      <c r="AI87" s="18" t="n"/>
      <c r="AJ87" s="18" t="n"/>
      <c r="AK87" s="18" t="n"/>
      <c r="AL87" s="21">
        <f>IF($A87="","",IF(AJ87="いいえ","対象外",IF(AND(AH87="投資予算",AZ87="継続"),"対象外",IF(OR(AH87="",AJ87="",AJ87="未確認",AND(AH87="投資予算",OR(AZ87="",AZ87="未確認")),AM87="判定保留",AN87="判定保留"),"判定保留","移管"))))</f>
        <v/>
      </c>
      <c r="AM87" s="21">
        <f>IF($A87="","",IF(AJ87="いいえ","対象外",IF(AND(AH87="投資予算",AZ87="継続"),"対象外",IF(OR(AJ87="",AJ87="未確認"),"判定保留",IF(AV87=0,"—","移管")))))</f>
        <v/>
      </c>
      <c r="AN87" s="21">
        <f>IF($A87="","",IF(AJ87="いいえ","対象外",IF(AH87="投資予算","—",IF(OR(AH87="",AJ87="",AJ87="未確認",AS87=0,AT87&gt;0,AU87&gt;0),"判定保留","移管"))))</f>
        <v/>
      </c>
      <c r="AO87" s="21">
        <f>IF($A87="","",IF(AL87&lt;&gt;"移管","—",IF(AW87&gt;0,"あり","なし")))</f>
        <v/>
      </c>
      <c r="AP87" s="18" t="n"/>
      <c r="AQ87" s="33" t="n"/>
      <c r="AR87" s="21">
        <f>IF($A87="","",IF(AP87="","ステータス未設定",IF(AND(AL87="対象外",AP87&lt;&gt;"対象外"),"判定は対象外",IF(AND(AL87&lt;&gt;"対象外",AP87="対象外"),"判定は対象外ではない",IF(AND(AL87="判定保留",AP87&lt;&gt;"棚卸し中"),"判定保留が残っている",IF(AND(AL87="移管",AP87="棚卸し中"),"判定保留なし（棚卸し済みへ）",""))))))</f>
        <v/>
      </c>
      <c r="AS87" s="21">
        <f>IF($A87="","",COUNTIFS('紐付け'!$A$4:$A$200,$A87,'紐付け'!$C$4:$C$200,"&lt;&gt;"))</f>
        <v/>
      </c>
      <c r="AT87" s="21">
        <f>IF($A87="","",SUMPRODUCT(('紐付け'!$A$4:$A$200=$A87)*('紐付け'!$C$4:$C$200&lt;&gt;"")*(COUNTIFS('業務'!$C$4:$C$200,'紐付け'!$C$4:$C$200,'業務'!$F$4:$F$200,"間接業務",'業務'!$U$4:$U$200,$A87)=0)))</f>
        <v/>
      </c>
      <c r="AU87" s="21">
        <f>IF($A87="","",COUNTIFS('業務'!$U$4:$U$200,$A87,'業務'!$A$4:$A$200,"&lt;&gt;",'業務'!$J$4:$J$200,"&lt;&gt;済"))</f>
        <v/>
      </c>
      <c r="AV87" s="21">
        <f>IF($A87="","",COUNTIF('契約'!$C$4:$C$200,$A87))</f>
        <v/>
      </c>
      <c r="AW87" s="21">
        <f>IF($A87="","",COUNTIFS('業務'!$U$4:$U$200,$A87,'業務'!$A$4:$A$200,"&lt;&gt;",'業務'!$S$4:$S$200,"&lt;&gt;",'業務'!$F$4:$F$200,"間接業務"))</f>
        <v/>
      </c>
      <c r="AX87" s="21" t="n"/>
      <c r="AY87" s="18" t="n"/>
      <c r="AZ87" s="18" t="n"/>
      <c r="BA87" s="20" t="n"/>
    </row>
    <row r="88">
      <c r="A88" s="18" t="n"/>
      <c r="B88" s="18" t="n"/>
      <c r="C88" s="18" t="n"/>
      <c r="D88" s="18" t="n"/>
      <c r="E88" s="18" t="n"/>
      <c r="F88" s="18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20">
        <f>IF(COUNT(G88:R88)=0,"",SUM(G88:R88))</f>
        <v/>
      </c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20">
        <f>IF(COUNT(T88:AE88)=0,"",SUM(T88:AE88))</f>
        <v/>
      </c>
      <c r="AG88" s="18" t="n"/>
      <c r="AH88" s="18" t="n"/>
      <c r="AI88" s="18" t="n"/>
      <c r="AJ88" s="18" t="n"/>
      <c r="AK88" s="18" t="n"/>
      <c r="AL88" s="21">
        <f>IF($A88="","",IF(AJ88="いいえ","対象外",IF(AND(AH88="投資予算",AZ88="継続"),"対象外",IF(OR(AH88="",AJ88="",AJ88="未確認",AND(AH88="投資予算",OR(AZ88="",AZ88="未確認")),AM88="判定保留",AN88="判定保留"),"判定保留","移管"))))</f>
        <v/>
      </c>
      <c r="AM88" s="21">
        <f>IF($A88="","",IF(AJ88="いいえ","対象外",IF(AND(AH88="投資予算",AZ88="継続"),"対象外",IF(OR(AJ88="",AJ88="未確認"),"判定保留",IF(AV88=0,"—","移管")))))</f>
        <v/>
      </c>
      <c r="AN88" s="21">
        <f>IF($A88="","",IF(AJ88="いいえ","対象外",IF(AH88="投資予算","—",IF(OR(AH88="",AJ88="",AJ88="未確認",AS88=0,AT88&gt;0,AU88&gt;0),"判定保留","移管"))))</f>
        <v/>
      </c>
      <c r="AO88" s="21">
        <f>IF($A88="","",IF(AL88&lt;&gt;"移管","—",IF(AW88&gt;0,"あり","なし")))</f>
        <v/>
      </c>
      <c r="AP88" s="18" t="n"/>
      <c r="AQ88" s="33" t="n"/>
      <c r="AR88" s="21">
        <f>IF($A88="","",IF(AP88="","ステータス未設定",IF(AND(AL88="対象外",AP88&lt;&gt;"対象外"),"判定は対象外",IF(AND(AL88&lt;&gt;"対象外",AP88="対象外"),"判定は対象外ではない",IF(AND(AL88="判定保留",AP88&lt;&gt;"棚卸し中"),"判定保留が残っている",IF(AND(AL88="移管",AP88="棚卸し中"),"判定保留なし（棚卸し済みへ）",""))))))</f>
        <v/>
      </c>
      <c r="AS88" s="21">
        <f>IF($A88="","",COUNTIFS('紐付け'!$A$4:$A$200,$A88,'紐付け'!$C$4:$C$200,"&lt;&gt;"))</f>
        <v/>
      </c>
      <c r="AT88" s="21">
        <f>IF($A88="","",SUMPRODUCT(('紐付け'!$A$4:$A$200=$A88)*('紐付け'!$C$4:$C$200&lt;&gt;"")*(COUNTIFS('業務'!$C$4:$C$200,'紐付け'!$C$4:$C$200,'業務'!$F$4:$F$200,"間接業務",'業務'!$U$4:$U$200,$A88)=0)))</f>
        <v/>
      </c>
      <c r="AU88" s="21">
        <f>IF($A88="","",COUNTIFS('業務'!$U$4:$U$200,$A88,'業務'!$A$4:$A$200,"&lt;&gt;",'業務'!$J$4:$J$200,"&lt;&gt;済"))</f>
        <v/>
      </c>
      <c r="AV88" s="21">
        <f>IF($A88="","",COUNTIF('契約'!$C$4:$C$200,$A88))</f>
        <v/>
      </c>
      <c r="AW88" s="21">
        <f>IF($A88="","",COUNTIFS('業務'!$U$4:$U$200,$A88,'業務'!$A$4:$A$200,"&lt;&gt;",'業務'!$S$4:$S$200,"&lt;&gt;",'業務'!$F$4:$F$200,"間接業務"))</f>
        <v/>
      </c>
      <c r="AX88" s="21" t="n"/>
      <c r="AY88" s="18" t="n"/>
      <c r="AZ88" s="18" t="n"/>
      <c r="BA88" s="20" t="n"/>
    </row>
    <row r="89">
      <c r="A89" s="18" t="n"/>
      <c r="B89" s="18" t="n"/>
      <c r="C89" s="18" t="n"/>
      <c r="D89" s="18" t="n"/>
      <c r="E89" s="18" t="n"/>
      <c r="F89" s="18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20">
        <f>IF(COUNT(G89:R89)=0,"",SUM(G89:R89))</f>
        <v/>
      </c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20">
        <f>IF(COUNT(T89:AE89)=0,"",SUM(T89:AE89))</f>
        <v/>
      </c>
      <c r="AG89" s="18" t="n"/>
      <c r="AH89" s="18" t="n"/>
      <c r="AI89" s="18" t="n"/>
      <c r="AJ89" s="18" t="n"/>
      <c r="AK89" s="18" t="n"/>
      <c r="AL89" s="21">
        <f>IF($A89="","",IF(AJ89="いいえ","対象外",IF(AND(AH89="投資予算",AZ89="継続"),"対象外",IF(OR(AH89="",AJ89="",AJ89="未確認",AND(AH89="投資予算",OR(AZ89="",AZ89="未確認")),AM89="判定保留",AN89="判定保留"),"判定保留","移管"))))</f>
        <v/>
      </c>
      <c r="AM89" s="21">
        <f>IF($A89="","",IF(AJ89="いいえ","対象外",IF(AND(AH89="投資予算",AZ89="継続"),"対象外",IF(OR(AJ89="",AJ89="未確認"),"判定保留",IF(AV89=0,"—","移管")))))</f>
        <v/>
      </c>
      <c r="AN89" s="21">
        <f>IF($A89="","",IF(AJ89="いいえ","対象外",IF(AH89="投資予算","—",IF(OR(AH89="",AJ89="",AJ89="未確認",AS89=0,AT89&gt;0,AU89&gt;0),"判定保留","移管"))))</f>
        <v/>
      </c>
      <c r="AO89" s="21">
        <f>IF($A89="","",IF(AL89&lt;&gt;"移管","—",IF(AW89&gt;0,"あり","なし")))</f>
        <v/>
      </c>
      <c r="AP89" s="18" t="n"/>
      <c r="AQ89" s="33" t="n"/>
      <c r="AR89" s="21">
        <f>IF($A89="","",IF(AP89="","ステータス未設定",IF(AND(AL89="対象外",AP89&lt;&gt;"対象外"),"判定は対象外",IF(AND(AL89&lt;&gt;"対象外",AP89="対象外"),"判定は対象外ではない",IF(AND(AL89="判定保留",AP89&lt;&gt;"棚卸し中"),"判定保留が残っている",IF(AND(AL89="移管",AP89="棚卸し中"),"判定保留なし（棚卸し済みへ）",""))))))</f>
        <v/>
      </c>
      <c r="AS89" s="21">
        <f>IF($A89="","",COUNTIFS('紐付け'!$A$4:$A$200,$A89,'紐付け'!$C$4:$C$200,"&lt;&gt;"))</f>
        <v/>
      </c>
      <c r="AT89" s="21">
        <f>IF($A89="","",SUMPRODUCT(('紐付け'!$A$4:$A$200=$A89)*('紐付け'!$C$4:$C$200&lt;&gt;"")*(COUNTIFS('業務'!$C$4:$C$200,'紐付け'!$C$4:$C$200,'業務'!$F$4:$F$200,"間接業務",'業務'!$U$4:$U$200,$A89)=0)))</f>
        <v/>
      </c>
      <c r="AU89" s="21">
        <f>IF($A89="","",COUNTIFS('業務'!$U$4:$U$200,$A89,'業務'!$A$4:$A$200,"&lt;&gt;",'業務'!$J$4:$J$200,"&lt;&gt;済"))</f>
        <v/>
      </c>
      <c r="AV89" s="21">
        <f>IF($A89="","",COUNTIF('契約'!$C$4:$C$200,$A89))</f>
        <v/>
      </c>
      <c r="AW89" s="21">
        <f>IF($A89="","",COUNTIFS('業務'!$U$4:$U$200,$A89,'業務'!$A$4:$A$200,"&lt;&gt;",'業務'!$S$4:$S$200,"&lt;&gt;",'業務'!$F$4:$F$200,"間接業務"))</f>
        <v/>
      </c>
      <c r="AX89" s="21" t="n"/>
      <c r="AY89" s="18" t="n"/>
      <c r="AZ89" s="18" t="n"/>
      <c r="BA89" s="20" t="n"/>
    </row>
    <row r="90">
      <c r="A90" s="18" t="n"/>
      <c r="B90" s="18" t="n"/>
      <c r="C90" s="18" t="n"/>
      <c r="D90" s="18" t="n"/>
      <c r="E90" s="18" t="n"/>
      <c r="F90" s="18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20">
        <f>IF(COUNT(G90:R90)=0,"",SUM(G90:R90))</f>
        <v/>
      </c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20">
        <f>IF(COUNT(T90:AE90)=0,"",SUM(T90:AE90))</f>
        <v/>
      </c>
      <c r="AG90" s="18" t="n"/>
      <c r="AH90" s="18" t="n"/>
      <c r="AI90" s="18" t="n"/>
      <c r="AJ90" s="18" t="n"/>
      <c r="AK90" s="18" t="n"/>
      <c r="AL90" s="21">
        <f>IF($A90="","",IF(AJ90="いいえ","対象外",IF(AND(AH90="投資予算",AZ90="継続"),"対象外",IF(OR(AH90="",AJ90="",AJ90="未確認",AND(AH90="投資予算",OR(AZ90="",AZ90="未確認")),AM90="判定保留",AN90="判定保留"),"判定保留","移管"))))</f>
        <v/>
      </c>
      <c r="AM90" s="21">
        <f>IF($A90="","",IF(AJ90="いいえ","対象外",IF(AND(AH90="投資予算",AZ90="継続"),"対象外",IF(OR(AJ90="",AJ90="未確認"),"判定保留",IF(AV90=0,"—","移管")))))</f>
        <v/>
      </c>
      <c r="AN90" s="21">
        <f>IF($A90="","",IF(AJ90="いいえ","対象外",IF(AH90="投資予算","—",IF(OR(AH90="",AJ90="",AJ90="未確認",AS90=0,AT90&gt;0,AU90&gt;0),"判定保留","移管"))))</f>
        <v/>
      </c>
      <c r="AO90" s="21">
        <f>IF($A90="","",IF(AL90&lt;&gt;"移管","—",IF(AW90&gt;0,"あり","なし")))</f>
        <v/>
      </c>
      <c r="AP90" s="18" t="n"/>
      <c r="AQ90" s="33" t="n"/>
      <c r="AR90" s="21">
        <f>IF($A90="","",IF(AP90="","ステータス未設定",IF(AND(AL90="対象外",AP90&lt;&gt;"対象外"),"判定は対象外",IF(AND(AL90&lt;&gt;"対象外",AP90="対象外"),"判定は対象外ではない",IF(AND(AL90="判定保留",AP90&lt;&gt;"棚卸し中"),"判定保留が残っている",IF(AND(AL90="移管",AP90="棚卸し中"),"判定保留なし（棚卸し済みへ）",""))))))</f>
        <v/>
      </c>
      <c r="AS90" s="21">
        <f>IF($A90="","",COUNTIFS('紐付け'!$A$4:$A$200,$A90,'紐付け'!$C$4:$C$200,"&lt;&gt;"))</f>
        <v/>
      </c>
      <c r="AT90" s="21">
        <f>IF($A90="","",SUMPRODUCT(('紐付け'!$A$4:$A$200=$A90)*('紐付け'!$C$4:$C$200&lt;&gt;"")*(COUNTIFS('業務'!$C$4:$C$200,'紐付け'!$C$4:$C$200,'業務'!$F$4:$F$200,"間接業務",'業務'!$U$4:$U$200,$A90)=0)))</f>
        <v/>
      </c>
      <c r="AU90" s="21">
        <f>IF($A90="","",COUNTIFS('業務'!$U$4:$U$200,$A90,'業務'!$A$4:$A$200,"&lt;&gt;",'業務'!$J$4:$J$200,"&lt;&gt;済"))</f>
        <v/>
      </c>
      <c r="AV90" s="21">
        <f>IF($A90="","",COUNTIF('契約'!$C$4:$C$200,$A90))</f>
        <v/>
      </c>
      <c r="AW90" s="21">
        <f>IF($A90="","",COUNTIFS('業務'!$U$4:$U$200,$A90,'業務'!$A$4:$A$200,"&lt;&gt;",'業務'!$S$4:$S$200,"&lt;&gt;",'業務'!$F$4:$F$200,"間接業務"))</f>
        <v/>
      </c>
      <c r="AX90" s="21" t="n"/>
      <c r="AY90" s="18" t="n"/>
      <c r="AZ90" s="18" t="n"/>
      <c r="BA90" s="20" t="n"/>
    </row>
    <row r="91">
      <c r="A91" s="18" t="n"/>
      <c r="B91" s="18" t="n"/>
      <c r="C91" s="18" t="n"/>
      <c r="D91" s="18" t="n"/>
      <c r="E91" s="18" t="n"/>
      <c r="F91" s="18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20">
        <f>IF(COUNT(G91:R91)=0,"",SUM(G91:R91))</f>
        <v/>
      </c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20">
        <f>IF(COUNT(T91:AE91)=0,"",SUM(T91:AE91))</f>
        <v/>
      </c>
      <c r="AG91" s="18" t="n"/>
      <c r="AH91" s="18" t="n"/>
      <c r="AI91" s="18" t="n"/>
      <c r="AJ91" s="18" t="n"/>
      <c r="AK91" s="18" t="n"/>
      <c r="AL91" s="21">
        <f>IF($A91="","",IF(AJ91="いいえ","対象外",IF(AND(AH91="投資予算",AZ91="継続"),"対象外",IF(OR(AH91="",AJ91="",AJ91="未確認",AND(AH91="投資予算",OR(AZ91="",AZ91="未確認")),AM91="判定保留",AN91="判定保留"),"判定保留","移管"))))</f>
        <v/>
      </c>
      <c r="AM91" s="21">
        <f>IF($A91="","",IF(AJ91="いいえ","対象外",IF(AND(AH91="投資予算",AZ91="継続"),"対象外",IF(OR(AJ91="",AJ91="未確認"),"判定保留",IF(AV91=0,"—","移管")))))</f>
        <v/>
      </c>
      <c r="AN91" s="21">
        <f>IF($A91="","",IF(AJ91="いいえ","対象外",IF(AH91="投資予算","—",IF(OR(AH91="",AJ91="",AJ91="未確認",AS91=0,AT91&gt;0,AU91&gt;0),"判定保留","移管"))))</f>
        <v/>
      </c>
      <c r="AO91" s="21">
        <f>IF($A91="","",IF(AL91&lt;&gt;"移管","—",IF(AW91&gt;0,"あり","なし")))</f>
        <v/>
      </c>
      <c r="AP91" s="18" t="n"/>
      <c r="AQ91" s="33" t="n"/>
      <c r="AR91" s="21">
        <f>IF($A91="","",IF(AP91="","ステータス未設定",IF(AND(AL91="対象外",AP91&lt;&gt;"対象外"),"判定は対象外",IF(AND(AL91&lt;&gt;"対象外",AP91="対象外"),"判定は対象外ではない",IF(AND(AL91="判定保留",AP91&lt;&gt;"棚卸し中"),"判定保留が残っている",IF(AND(AL91="移管",AP91="棚卸し中"),"判定保留なし（棚卸し済みへ）",""))))))</f>
        <v/>
      </c>
      <c r="AS91" s="21">
        <f>IF($A91="","",COUNTIFS('紐付け'!$A$4:$A$200,$A91,'紐付け'!$C$4:$C$200,"&lt;&gt;"))</f>
        <v/>
      </c>
      <c r="AT91" s="21">
        <f>IF($A91="","",SUMPRODUCT(('紐付け'!$A$4:$A$200=$A91)*('紐付け'!$C$4:$C$200&lt;&gt;"")*(COUNTIFS('業務'!$C$4:$C$200,'紐付け'!$C$4:$C$200,'業務'!$F$4:$F$200,"間接業務",'業務'!$U$4:$U$200,$A91)=0)))</f>
        <v/>
      </c>
      <c r="AU91" s="21">
        <f>IF($A91="","",COUNTIFS('業務'!$U$4:$U$200,$A91,'業務'!$A$4:$A$200,"&lt;&gt;",'業務'!$J$4:$J$200,"&lt;&gt;済"))</f>
        <v/>
      </c>
      <c r="AV91" s="21">
        <f>IF($A91="","",COUNTIF('契約'!$C$4:$C$200,$A91))</f>
        <v/>
      </c>
      <c r="AW91" s="21">
        <f>IF($A91="","",COUNTIFS('業務'!$U$4:$U$200,$A91,'業務'!$A$4:$A$200,"&lt;&gt;",'業務'!$S$4:$S$200,"&lt;&gt;",'業務'!$F$4:$F$200,"間接業務"))</f>
        <v/>
      </c>
      <c r="AX91" s="21" t="n"/>
      <c r="AY91" s="18" t="n"/>
      <c r="AZ91" s="18" t="n"/>
      <c r="BA91" s="20" t="n"/>
    </row>
    <row r="92">
      <c r="A92" s="18" t="n"/>
      <c r="B92" s="18" t="n"/>
      <c r="C92" s="18" t="n"/>
      <c r="D92" s="18" t="n"/>
      <c r="E92" s="18" t="n"/>
      <c r="F92" s="18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20">
        <f>IF(COUNT(G92:R92)=0,"",SUM(G92:R92))</f>
        <v/>
      </c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20">
        <f>IF(COUNT(T92:AE92)=0,"",SUM(T92:AE92))</f>
        <v/>
      </c>
      <c r="AG92" s="18" t="n"/>
      <c r="AH92" s="18" t="n"/>
      <c r="AI92" s="18" t="n"/>
      <c r="AJ92" s="18" t="n"/>
      <c r="AK92" s="18" t="n"/>
      <c r="AL92" s="21">
        <f>IF($A92="","",IF(AJ92="いいえ","対象外",IF(AND(AH92="投資予算",AZ92="継続"),"対象外",IF(OR(AH92="",AJ92="",AJ92="未確認",AND(AH92="投資予算",OR(AZ92="",AZ92="未確認")),AM92="判定保留",AN92="判定保留"),"判定保留","移管"))))</f>
        <v/>
      </c>
      <c r="AM92" s="21">
        <f>IF($A92="","",IF(AJ92="いいえ","対象外",IF(AND(AH92="投資予算",AZ92="継続"),"対象外",IF(OR(AJ92="",AJ92="未確認"),"判定保留",IF(AV92=0,"—","移管")))))</f>
        <v/>
      </c>
      <c r="AN92" s="21">
        <f>IF($A92="","",IF(AJ92="いいえ","対象外",IF(AH92="投資予算","—",IF(OR(AH92="",AJ92="",AJ92="未確認",AS92=0,AT92&gt;0,AU92&gt;0),"判定保留","移管"))))</f>
        <v/>
      </c>
      <c r="AO92" s="21">
        <f>IF($A92="","",IF(AL92&lt;&gt;"移管","—",IF(AW92&gt;0,"あり","なし")))</f>
        <v/>
      </c>
      <c r="AP92" s="18" t="n"/>
      <c r="AQ92" s="33" t="n"/>
      <c r="AR92" s="21">
        <f>IF($A92="","",IF(AP92="","ステータス未設定",IF(AND(AL92="対象外",AP92&lt;&gt;"対象外"),"判定は対象外",IF(AND(AL92&lt;&gt;"対象外",AP92="対象外"),"判定は対象外ではない",IF(AND(AL92="判定保留",AP92&lt;&gt;"棚卸し中"),"判定保留が残っている",IF(AND(AL92="移管",AP92="棚卸し中"),"判定保留なし（棚卸し済みへ）",""))))))</f>
        <v/>
      </c>
      <c r="AS92" s="21">
        <f>IF($A92="","",COUNTIFS('紐付け'!$A$4:$A$200,$A92,'紐付け'!$C$4:$C$200,"&lt;&gt;"))</f>
        <v/>
      </c>
      <c r="AT92" s="21">
        <f>IF($A92="","",SUMPRODUCT(('紐付け'!$A$4:$A$200=$A92)*('紐付け'!$C$4:$C$200&lt;&gt;"")*(COUNTIFS('業務'!$C$4:$C$200,'紐付け'!$C$4:$C$200,'業務'!$F$4:$F$200,"間接業務",'業務'!$U$4:$U$200,$A92)=0)))</f>
        <v/>
      </c>
      <c r="AU92" s="21">
        <f>IF($A92="","",COUNTIFS('業務'!$U$4:$U$200,$A92,'業務'!$A$4:$A$200,"&lt;&gt;",'業務'!$J$4:$J$200,"&lt;&gt;済"))</f>
        <v/>
      </c>
      <c r="AV92" s="21">
        <f>IF($A92="","",COUNTIF('契約'!$C$4:$C$200,$A92))</f>
        <v/>
      </c>
      <c r="AW92" s="21">
        <f>IF($A92="","",COUNTIFS('業務'!$U$4:$U$200,$A92,'業務'!$A$4:$A$200,"&lt;&gt;",'業務'!$S$4:$S$200,"&lt;&gt;",'業務'!$F$4:$F$200,"間接業務"))</f>
        <v/>
      </c>
      <c r="AX92" s="21" t="n"/>
      <c r="AY92" s="18" t="n"/>
      <c r="AZ92" s="18" t="n"/>
      <c r="BA92" s="20" t="n"/>
    </row>
    <row r="93">
      <c r="A93" s="18" t="n"/>
      <c r="B93" s="18" t="n"/>
      <c r="C93" s="18" t="n"/>
      <c r="D93" s="18" t="n"/>
      <c r="E93" s="18" t="n"/>
      <c r="F93" s="18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20">
        <f>IF(COUNT(G93:R93)=0,"",SUM(G93:R93))</f>
        <v/>
      </c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20">
        <f>IF(COUNT(T93:AE93)=0,"",SUM(T93:AE93))</f>
        <v/>
      </c>
      <c r="AG93" s="18" t="n"/>
      <c r="AH93" s="18" t="n"/>
      <c r="AI93" s="18" t="n"/>
      <c r="AJ93" s="18" t="n"/>
      <c r="AK93" s="18" t="n"/>
      <c r="AL93" s="21">
        <f>IF($A93="","",IF(AJ93="いいえ","対象外",IF(AND(AH93="投資予算",AZ93="継続"),"対象外",IF(OR(AH93="",AJ93="",AJ93="未確認",AND(AH93="投資予算",OR(AZ93="",AZ93="未確認")),AM93="判定保留",AN93="判定保留"),"判定保留","移管"))))</f>
        <v/>
      </c>
      <c r="AM93" s="21">
        <f>IF($A93="","",IF(AJ93="いいえ","対象外",IF(AND(AH93="投資予算",AZ93="継続"),"対象外",IF(OR(AJ93="",AJ93="未確認"),"判定保留",IF(AV93=0,"—","移管")))))</f>
        <v/>
      </c>
      <c r="AN93" s="21">
        <f>IF($A93="","",IF(AJ93="いいえ","対象外",IF(AH93="投資予算","—",IF(OR(AH93="",AJ93="",AJ93="未確認",AS93=0,AT93&gt;0,AU93&gt;0),"判定保留","移管"))))</f>
        <v/>
      </c>
      <c r="AO93" s="21">
        <f>IF($A93="","",IF(AL93&lt;&gt;"移管","—",IF(AW93&gt;0,"あり","なし")))</f>
        <v/>
      </c>
      <c r="AP93" s="18" t="n"/>
      <c r="AQ93" s="33" t="n"/>
      <c r="AR93" s="21">
        <f>IF($A93="","",IF(AP93="","ステータス未設定",IF(AND(AL93="対象外",AP93&lt;&gt;"対象外"),"判定は対象外",IF(AND(AL93&lt;&gt;"対象外",AP93="対象外"),"判定は対象外ではない",IF(AND(AL93="判定保留",AP93&lt;&gt;"棚卸し中"),"判定保留が残っている",IF(AND(AL93="移管",AP93="棚卸し中"),"判定保留なし（棚卸し済みへ）",""))))))</f>
        <v/>
      </c>
      <c r="AS93" s="21">
        <f>IF($A93="","",COUNTIFS('紐付け'!$A$4:$A$200,$A93,'紐付け'!$C$4:$C$200,"&lt;&gt;"))</f>
        <v/>
      </c>
      <c r="AT93" s="21">
        <f>IF($A93="","",SUMPRODUCT(('紐付け'!$A$4:$A$200=$A93)*('紐付け'!$C$4:$C$200&lt;&gt;"")*(COUNTIFS('業務'!$C$4:$C$200,'紐付け'!$C$4:$C$200,'業務'!$F$4:$F$200,"間接業務",'業務'!$U$4:$U$200,$A93)=0)))</f>
        <v/>
      </c>
      <c r="AU93" s="21">
        <f>IF($A93="","",COUNTIFS('業務'!$U$4:$U$200,$A93,'業務'!$A$4:$A$200,"&lt;&gt;",'業務'!$J$4:$J$200,"&lt;&gt;済"))</f>
        <v/>
      </c>
      <c r="AV93" s="21">
        <f>IF($A93="","",COUNTIF('契約'!$C$4:$C$200,$A93))</f>
        <v/>
      </c>
      <c r="AW93" s="21">
        <f>IF($A93="","",COUNTIFS('業務'!$U$4:$U$200,$A93,'業務'!$A$4:$A$200,"&lt;&gt;",'業務'!$S$4:$S$200,"&lt;&gt;",'業務'!$F$4:$F$200,"間接業務"))</f>
        <v/>
      </c>
      <c r="AX93" s="21" t="n"/>
      <c r="AY93" s="18" t="n"/>
      <c r="AZ93" s="18" t="n"/>
      <c r="BA93" s="20" t="n"/>
    </row>
    <row r="94">
      <c r="A94" s="18" t="n"/>
      <c r="B94" s="18" t="n"/>
      <c r="C94" s="18" t="n"/>
      <c r="D94" s="18" t="n"/>
      <c r="E94" s="18" t="n"/>
      <c r="F94" s="18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20">
        <f>IF(COUNT(G94:R94)=0,"",SUM(G94:R94))</f>
        <v/>
      </c>
      <c r="T94" s="19" t="n"/>
      <c r="U94" s="19" t="n"/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  <c r="AE94" s="19" t="n"/>
      <c r="AF94" s="20">
        <f>IF(COUNT(T94:AE94)=0,"",SUM(T94:AE94))</f>
        <v/>
      </c>
      <c r="AG94" s="18" t="n"/>
      <c r="AH94" s="18" t="n"/>
      <c r="AI94" s="18" t="n"/>
      <c r="AJ94" s="18" t="n"/>
      <c r="AK94" s="18" t="n"/>
      <c r="AL94" s="21">
        <f>IF($A94="","",IF(AJ94="いいえ","対象外",IF(AND(AH94="投資予算",AZ94="継続"),"対象外",IF(OR(AH94="",AJ94="",AJ94="未確認",AND(AH94="投資予算",OR(AZ94="",AZ94="未確認")),AM94="判定保留",AN94="判定保留"),"判定保留","移管"))))</f>
        <v/>
      </c>
      <c r="AM94" s="21">
        <f>IF($A94="","",IF(AJ94="いいえ","対象外",IF(AND(AH94="投資予算",AZ94="継続"),"対象外",IF(OR(AJ94="",AJ94="未確認"),"判定保留",IF(AV94=0,"—","移管")))))</f>
        <v/>
      </c>
      <c r="AN94" s="21">
        <f>IF($A94="","",IF(AJ94="いいえ","対象外",IF(AH94="投資予算","—",IF(OR(AH94="",AJ94="",AJ94="未確認",AS94=0,AT94&gt;0,AU94&gt;0),"判定保留","移管"))))</f>
        <v/>
      </c>
      <c r="AO94" s="21">
        <f>IF($A94="","",IF(AL94&lt;&gt;"移管","—",IF(AW94&gt;0,"あり","なし")))</f>
        <v/>
      </c>
      <c r="AP94" s="18" t="n"/>
      <c r="AQ94" s="33" t="n"/>
      <c r="AR94" s="21">
        <f>IF($A94="","",IF(AP94="","ステータス未設定",IF(AND(AL94="対象外",AP94&lt;&gt;"対象外"),"判定は対象外",IF(AND(AL94&lt;&gt;"対象外",AP94="対象外"),"判定は対象外ではない",IF(AND(AL94="判定保留",AP94&lt;&gt;"棚卸し中"),"判定保留が残っている",IF(AND(AL94="移管",AP94="棚卸し中"),"判定保留なし（棚卸し済みへ）",""))))))</f>
        <v/>
      </c>
      <c r="AS94" s="21">
        <f>IF($A94="","",COUNTIFS('紐付け'!$A$4:$A$200,$A94,'紐付け'!$C$4:$C$200,"&lt;&gt;"))</f>
        <v/>
      </c>
      <c r="AT94" s="21">
        <f>IF($A94="","",SUMPRODUCT(('紐付け'!$A$4:$A$200=$A94)*('紐付け'!$C$4:$C$200&lt;&gt;"")*(COUNTIFS('業務'!$C$4:$C$200,'紐付け'!$C$4:$C$200,'業務'!$F$4:$F$200,"間接業務",'業務'!$U$4:$U$200,$A94)=0)))</f>
        <v/>
      </c>
      <c r="AU94" s="21">
        <f>IF($A94="","",COUNTIFS('業務'!$U$4:$U$200,$A94,'業務'!$A$4:$A$200,"&lt;&gt;",'業務'!$J$4:$J$200,"&lt;&gt;済"))</f>
        <v/>
      </c>
      <c r="AV94" s="21">
        <f>IF($A94="","",COUNTIF('契約'!$C$4:$C$200,$A94))</f>
        <v/>
      </c>
      <c r="AW94" s="21">
        <f>IF($A94="","",COUNTIFS('業務'!$U$4:$U$200,$A94,'業務'!$A$4:$A$200,"&lt;&gt;",'業務'!$S$4:$S$200,"&lt;&gt;",'業務'!$F$4:$F$200,"間接業務"))</f>
        <v/>
      </c>
      <c r="AX94" s="21" t="n"/>
      <c r="AY94" s="18" t="n"/>
      <c r="AZ94" s="18" t="n"/>
      <c r="BA94" s="20" t="n"/>
    </row>
    <row r="95">
      <c r="A95" s="18" t="n"/>
      <c r="B95" s="18" t="n"/>
      <c r="C95" s="18" t="n"/>
      <c r="D95" s="18" t="n"/>
      <c r="E95" s="18" t="n"/>
      <c r="F95" s="18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20">
        <f>IF(COUNT(G95:R95)=0,"",SUM(G95:R95))</f>
        <v/>
      </c>
      <c r="T95" s="19" t="n"/>
      <c r="U95" s="19" t="n"/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  <c r="AE95" s="19" t="n"/>
      <c r="AF95" s="20">
        <f>IF(COUNT(T95:AE95)=0,"",SUM(T95:AE95))</f>
        <v/>
      </c>
      <c r="AG95" s="18" t="n"/>
      <c r="AH95" s="18" t="n"/>
      <c r="AI95" s="18" t="n"/>
      <c r="AJ95" s="18" t="n"/>
      <c r="AK95" s="18" t="n"/>
      <c r="AL95" s="21">
        <f>IF($A95="","",IF(AJ95="いいえ","対象外",IF(AND(AH95="投資予算",AZ95="継続"),"対象外",IF(OR(AH95="",AJ95="",AJ95="未確認",AND(AH95="投資予算",OR(AZ95="",AZ95="未確認")),AM95="判定保留",AN95="判定保留"),"判定保留","移管"))))</f>
        <v/>
      </c>
      <c r="AM95" s="21">
        <f>IF($A95="","",IF(AJ95="いいえ","対象外",IF(AND(AH95="投資予算",AZ95="継続"),"対象外",IF(OR(AJ95="",AJ95="未確認"),"判定保留",IF(AV95=0,"—","移管")))))</f>
        <v/>
      </c>
      <c r="AN95" s="21">
        <f>IF($A95="","",IF(AJ95="いいえ","対象外",IF(AH95="投資予算","—",IF(OR(AH95="",AJ95="",AJ95="未確認",AS95=0,AT95&gt;0,AU95&gt;0),"判定保留","移管"))))</f>
        <v/>
      </c>
      <c r="AO95" s="21">
        <f>IF($A95="","",IF(AL95&lt;&gt;"移管","—",IF(AW95&gt;0,"あり","なし")))</f>
        <v/>
      </c>
      <c r="AP95" s="18" t="n"/>
      <c r="AQ95" s="33" t="n"/>
      <c r="AR95" s="21">
        <f>IF($A95="","",IF(AP95="","ステータス未設定",IF(AND(AL95="対象外",AP95&lt;&gt;"対象外"),"判定は対象外",IF(AND(AL95&lt;&gt;"対象外",AP95="対象外"),"判定は対象外ではない",IF(AND(AL95="判定保留",AP95&lt;&gt;"棚卸し中"),"判定保留が残っている",IF(AND(AL95="移管",AP95="棚卸し中"),"判定保留なし（棚卸し済みへ）",""))))))</f>
        <v/>
      </c>
      <c r="AS95" s="21">
        <f>IF($A95="","",COUNTIFS('紐付け'!$A$4:$A$200,$A95,'紐付け'!$C$4:$C$200,"&lt;&gt;"))</f>
        <v/>
      </c>
      <c r="AT95" s="21">
        <f>IF($A95="","",SUMPRODUCT(('紐付け'!$A$4:$A$200=$A95)*('紐付け'!$C$4:$C$200&lt;&gt;"")*(COUNTIFS('業務'!$C$4:$C$200,'紐付け'!$C$4:$C$200,'業務'!$F$4:$F$200,"間接業務",'業務'!$U$4:$U$200,$A95)=0)))</f>
        <v/>
      </c>
      <c r="AU95" s="21">
        <f>IF($A95="","",COUNTIFS('業務'!$U$4:$U$200,$A95,'業務'!$A$4:$A$200,"&lt;&gt;",'業務'!$J$4:$J$200,"&lt;&gt;済"))</f>
        <v/>
      </c>
      <c r="AV95" s="21">
        <f>IF($A95="","",COUNTIF('契約'!$C$4:$C$200,$A95))</f>
        <v/>
      </c>
      <c r="AW95" s="21">
        <f>IF($A95="","",COUNTIFS('業務'!$U$4:$U$200,$A95,'業務'!$A$4:$A$200,"&lt;&gt;",'業務'!$S$4:$S$200,"&lt;&gt;",'業務'!$F$4:$F$200,"間接業務"))</f>
        <v/>
      </c>
      <c r="AX95" s="21" t="n"/>
      <c r="AY95" s="18" t="n"/>
      <c r="AZ95" s="18" t="n"/>
      <c r="BA95" s="20" t="n"/>
    </row>
    <row r="96">
      <c r="A96" s="18" t="n"/>
      <c r="B96" s="18" t="n"/>
      <c r="C96" s="18" t="n"/>
      <c r="D96" s="18" t="n"/>
      <c r="E96" s="18" t="n"/>
      <c r="F96" s="18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20">
        <f>IF(COUNT(G96:R96)=0,"",SUM(G96:R96))</f>
        <v/>
      </c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  <c r="AE96" s="19" t="n"/>
      <c r="AF96" s="20">
        <f>IF(COUNT(T96:AE96)=0,"",SUM(T96:AE96))</f>
        <v/>
      </c>
      <c r="AG96" s="18" t="n"/>
      <c r="AH96" s="18" t="n"/>
      <c r="AI96" s="18" t="n"/>
      <c r="AJ96" s="18" t="n"/>
      <c r="AK96" s="18" t="n"/>
      <c r="AL96" s="21">
        <f>IF($A96="","",IF(AJ96="いいえ","対象外",IF(AND(AH96="投資予算",AZ96="継続"),"対象外",IF(OR(AH96="",AJ96="",AJ96="未確認",AND(AH96="投資予算",OR(AZ96="",AZ96="未確認")),AM96="判定保留",AN96="判定保留"),"判定保留","移管"))))</f>
        <v/>
      </c>
      <c r="AM96" s="21">
        <f>IF($A96="","",IF(AJ96="いいえ","対象外",IF(AND(AH96="投資予算",AZ96="継続"),"対象外",IF(OR(AJ96="",AJ96="未確認"),"判定保留",IF(AV96=0,"—","移管")))))</f>
        <v/>
      </c>
      <c r="AN96" s="21">
        <f>IF($A96="","",IF(AJ96="いいえ","対象外",IF(AH96="投資予算","—",IF(OR(AH96="",AJ96="",AJ96="未確認",AS96=0,AT96&gt;0,AU96&gt;0),"判定保留","移管"))))</f>
        <v/>
      </c>
      <c r="AO96" s="21">
        <f>IF($A96="","",IF(AL96&lt;&gt;"移管","—",IF(AW96&gt;0,"あり","なし")))</f>
        <v/>
      </c>
      <c r="AP96" s="18" t="n"/>
      <c r="AQ96" s="33" t="n"/>
      <c r="AR96" s="21">
        <f>IF($A96="","",IF(AP96="","ステータス未設定",IF(AND(AL96="対象外",AP96&lt;&gt;"対象外"),"判定は対象外",IF(AND(AL96&lt;&gt;"対象外",AP96="対象外"),"判定は対象外ではない",IF(AND(AL96="判定保留",AP96&lt;&gt;"棚卸し中"),"判定保留が残っている",IF(AND(AL96="移管",AP96="棚卸し中"),"判定保留なし（棚卸し済みへ）",""))))))</f>
        <v/>
      </c>
      <c r="AS96" s="21">
        <f>IF($A96="","",COUNTIFS('紐付け'!$A$4:$A$200,$A96,'紐付け'!$C$4:$C$200,"&lt;&gt;"))</f>
        <v/>
      </c>
      <c r="AT96" s="21">
        <f>IF($A96="","",SUMPRODUCT(('紐付け'!$A$4:$A$200=$A96)*('紐付け'!$C$4:$C$200&lt;&gt;"")*(COUNTIFS('業務'!$C$4:$C$200,'紐付け'!$C$4:$C$200,'業務'!$F$4:$F$200,"間接業務",'業務'!$U$4:$U$200,$A96)=0)))</f>
        <v/>
      </c>
      <c r="AU96" s="21">
        <f>IF($A96="","",COUNTIFS('業務'!$U$4:$U$200,$A96,'業務'!$A$4:$A$200,"&lt;&gt;",'業務'!$J$4:$J$200,"&lt;&gt;済"))</f>
        <v/>
      </c>
      <c r="AV96" s="21">
        <f>IF($A96="","",COUNTIF('契約'!$C$4:$C$200,$A96))</f>
        <v/>
      </c>
      <c r="AW96" s="21">
        <f>IF($A96="","",COUNTIFS('業務'!$U$4:$U$200,$A96,'業務'!$A$4:$A$200,"&lt;&gt;",'業務'!$S$4:$S$200,"&lt;&gt;",'業務'!$F$4:$F$200,"間接業務"))</f>
        <v/>
      </c>
      <c r="AX96" s="21" t="n"/>
      <c r="AY96" s="18" t="n"/>
      <c r="AZ96" s="18" t="n"/>
      <c r="BA96" s="20" t="n"/>
    </row>
    <row r="97">
      <c r="A97" s="18" t="n"/>
      <c r="B97" s="18" t="n"/>
      <c r="C97" s="18" t="n"/>
      <c r="D97" s="18" t="n"/>
      <c r="E97" s="18" t="n"/>
      <c r="F97" s="18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20">
        <f>IF(COUNT(G97:R97)=0,"",SUM(G97:R97))</f>
        <v/>
      </c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20">
        <f>IF(COUNT(T97:AE97)=0,"",SUM(T97:AE97))</f>
        <v/>
      </c>
      <c r="AG97" s="18" t="n"/>
      <c r="AH97" s="18" t="n"/>
      <c r="AI97" s="18" t="n"/>
      <c r="AJ97" s="18" t="n"/>
      <c r="AK97" s="18" t="n"/>
      <c r="AL97" s="21">
        <f>IF($A97="","",IF(AJ97="いいえ","対象外",IF(AND(AH97="投資予算",AZ97="継続"),"対象外",IF(OR(AH97="",AJ97="",AJ97="未確認",AND(AH97="投資予算",OR(AZ97="",AZ97="未確認")),AM97="判定保留",AN97="判定保留"),"判定保留","移管"))))</f>
        <v/>
      </c>
      <c r="AM97" s="21">
        <f>IF($A97="","",IF(AJ97="いいえ","対象外",IF(AND(AH97="投資予算",AZ97="継続"),"対象外",IF(OR(AJ97="",AJ97="未確認"),"判定保留",IF(AV97=0,"—","移管")))))</f>
        <v/>
      </c>
      <c r="AN97" s="21">
        <f>IF($A97="","",IF(AJ97="いいえ","対象外",IF(AH97="投資予算","—",IF(OR(AH97="",AJ97="",AJ97="未確認",AS97=0,AT97&gt;0,AU97&gt;0),"判定保留","移管"))))</f>
        <v/>
      </c>
      <c r="AO97" s="21">
        <f>IF($A97="","",IF(AL97&lt;&gt;"移管","—",IF(AW97&gt;0,"あり","なし")))</f>
        <v/>
      </c>
      <c r="AP97" s="18" t="n"/>
      <c r="AQ97" s="33" t="n"/>
      <c r="AR97" s="21">
        <f>IF($A97="","",IF(AP97="","ステータス未設定",IF(AND(AL97="対象外",AP97&lt;&gt;"対象外"),"判定は対象外",IF(AND(AL97&lt;&gt;"対象外",AP97="対象外"),"判定は対象外ではない",IF(AND(AL97="判定保留",AP97&lt;&gt;"棚卸し中"),"判定保留が残っている",IF(AND(AL97="移管",AP97="棚卸し中"),"判定保留なし（棚卸し済みへ）",""))))))</f>
        <v/>
      </c>
      <c r="AS97" s="21">
        <f>IF($A97="","",COUNTIFS('紐付け'!$A$4:$A$200,$A97,'紐付け'!$C$4:$C$200,"&lt;&gt;"))</f>
        <v/>
      </c>
      <c r="AT97" s="21">
        <f>IF($A97="","",SUMPRODUCT(('紐付け'!$A$4:$A$200=$A97)*('紐付け'!$C$4:$C$200&lt;&gt;"")*(COUNTIFS('業務'!$C$4:$C$200,'紐付け'!$C$4:$C$200,'業務'!$F$4:$F$200,"間接業務",'業務'!$U$4:$U$200,$A97)=0)))</f>
        <v/>
      </c>
      <c r="AU97" s="21">
        <f>IF($A97="","",COUNTIFS('業務'!$U$4:$U$200,$A97,'業務'!$A$4:$A$200,"&lt;&gt;",'業務'!$J$4:$J$200,"&lt;&gt;済"))</f>
        <v/>
      </c>
      <c r="AV97" s="21">
        <f>IF($A97="","",COUNTIF('契約'!$C$4:$C$200,$A97))</f>
        <v/>
      </c>
      <c r="AW97" s="21">
        <f>IF($A97="","",COUNTIFS('業務'!$U$4:$U$200,$A97,'業務'!$A$4:$A$200,"&lt;&gt;",'業務'!$S$4:$S$200,"&lt;&gt;",'業務'!$F$4:$F$200,"間接業務"))</f>
        <v/>
      </c>
      <c r="AX97" s="21" t="n"/>
      <c r="AY97" s="18" t="n"/>
      <c r="AZ97" s="18" t="n"/>
      <c r="BA97" s="20" t="n"/>
    </row>
    <row r="98">
      <c r="A98" s="18" t="n"/>
      <c r="B98" s="18" t="n"/>
      <c r="C98" s="18" t="n"/>
      <c r="D98" s="18" t="n"/>
      <c r="E98" s="18" t="n"/>
      <c r="F98" s="18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20">
        <f>IF(COUNT(G98:R98)=0,"",SUM(G98:R98))</f>
        <v/>
      </c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20">
        <f>IF(COUNT(T98:AE98)=0,"",SUM(T98:AE98))</f>
        <v/>
      </c>
      <c r="AG98" s="18" t="n"/>
      <c r="AH98" s="18" t="n"/>
      <c r="AI98" s="18" t="n"/>
      <c r="AJ98" s="18" t="n"/>
      <c r="AK98" s="18" t="n"/>
      <c r="AL98" s="21">
        <f>IF($A98="","",IF(AJ98="いいえ","対象外",IF(AND(AH98="投資予算",AZ98="継続"),"対象外",IF(OR(AH98="",AJ98="",AJ98="未確認",AND(AH98="投資予算",OR(AZ98="",AZ98="未確認")),AM98="判定保留",AN98="判定保留"),"判定保留","移管"))))</f>
        <v/>
      </c>
      <c r="AM98" s="21">
        <f>IF($A98="","",IF(AJ98="いいえ","対象外",IF(AND(AH98="投資予算",AZ98="継続"),"対象外",IF(OR(AJ98="",AJ98="未確認"),"判定保留",IF(AV98=0,"—","移管")))))</f>
        <v/>
      </c>
      <c r="AN98" s="21">
        <f>IF($A98="","",IF(AJ98="いいえ","対象外",IF(AH98="投資予算","—",IF(OR(AH98="",AJ98="",AJ98="未確認",AS98=0,AT98&gt;0,AU98&gt;0),"判定保留","移管"))))</f>
        <v/>
      </c>
      <c r="AO98" s="21">
        <f>IF($A98="","",IF(AL98&lt;&gt;"移管","—",IF(AW98&gt;0,"あり","なし")))</f>
        <v/>
      </c>
      <c r="AP98" s="18" t="n"/>
      <c r="AQ98" s="33" t="n"/>
      <c r="AR98" s="21">
        <f>IF($A98="","",IF(AP98="","ステータス未設定",IF(AND(AL98="対象外",AP98&lt;&gt;"対象外"),"判定は対象外",IF(AND(AL98&lt;&gt;"対象外",AP98="対象外"),"判定は対象外ではない",IF(AND(AL98="判定保留",AP98&lt;&gt;"棚卸し中"),"判定保留が残っている",IF(AND(AL98="移管",AP98="棚卸し中"),"判定保留なし（棚卸し済みへ）",""))))))</f>
        <v/>
      </c>
      <c r="AS98" s="21">
        <f>IF($A98="","",COUNTIFS('紐付け'!$A$4:$A$200,$A98,'紐付け'!$C$4:$C$200,"&lt;&gt;"))</f>
        <v/>
      </c>
      <c r="AT98" s="21">
        <f>IF($A98="","",SUMPRODUCT(('紐付け'!$A$4:$A$200=$A98)*('紐付け'!$C$4:$C$200&lt;&gt;"")*(COUNTIFS('業務'!$C$4:$C$200,'紐付け'!$C$4:$C$200,'業務'!$F$4:$F$200,"間接業務",'業務'!$U$4:$U$200,$A98)=0)))</f>
        <v/>
      </c>
      <c r="AU98" s="21">
        <f>IF($A98="","",COUNTIFS('業務'!$U$4:$U$200,$A98,'業務'!$A$4:$A$200,"&lt;&gt;",'業務'!$J$4:$J$200,"&lt;&gt;済"))</f>
        <v/>
      </c>
      <c r="AV98" s="21">
        <f>IF($A98="","",COUNTIF('契約'!$C$4:$C$200,$A98))</f>
        <v/>
      </c>
      <c r="AW98" s="21">
        <f>IF($A98="","",COUNTIFS('業務'!$U$4:$U$200,$A98,'業務'!$A$4:$A$200,"&lt;&gt;",'業務'!$S$4:$S$200,"&lt;&gt;",'業務'!$F$4:$F$200,"間接業務"))</f>
        <v/>
      </c>
      <c r="AX98" s="21" t="n"/>
      <c r="AY98" s="18" t="n"/>
      <c r="AZ98" s="18" t="n"/>
      <c r="BA98" s="20" t="n"/>
    </row>
    <row r="99">
      <c r="A99" s="18" t="n"/>
      <c r="B99" s="18" t="n"/>
      <c r="C99" s="18" t="n"/>
      <c r="D99" s="18" t="n"/>
      <c r="E99" s="18" t="n"/>
      <c r="F99" s="18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20">
        <f>IF(COUNT(G99:R99)=0,"",SUM(G99:R99))</f>
        <v/>
      </c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20">
        <f>IF(COUNT(T99:AE99)=0,"",SUM(T99:AE99))</f>
        <v/>
      </c>
      <c r="AG99" s="18" t="n"/>
      <c r="AH99" s="18" t="n"/>
      <c r="AI99" s="18" t="n"/>
      <c r="AJ99" s="18" t="n"/>
      <c r="AK99" s="18" t="n"/>
      <c r="AL99" s="21">
        <f>IF($A99="","",IF(AJ99="いいえ","対象外",IF(AND(AH99="投資予算",AZ99="継続"),"対象外",IF(OR(AH99="",AJ99="",AJ99="未確認",AND(AH99="投資予算",OR(AZ99="",AZ99="未確認")),AM99="判定保留",AN99="判定保留"),"判定保留","移管"))))</f>
        <v/>
      </c>
      <c r="AM99" s="21">
        <f>IF($A99="","",IF(AJ99="いいえ","対象外",IF(AND(AH99="投資予算",AZ99="継続"),"対象外",IF(OR(AJ99="",AJ99="未確認"),"判定保留",IF(AV99=0,"—","移管")))))</f>
        <v/>
      </c>
      <c r="AN99" s="21">
        <f>IF($A99="","",IF(AJ99="いいえ","対象外",IF(AH99="投資予算","—",IF(OR(AH99="",AJ99="",AJ99="未確認",AS99=0,AT99&gt;0,AU99&gt;0),"判定保留","移管"))))</f>
        <v/>
      </c>
      <c r="AO99" s="21">
        <f>IF($A99="","",IF(AL99&lt;&gt;"移管","—",IF(AW99&gt;0,"あり","なし")))</f>
        <v/>
      </c>
      <c r="AP99" s="18" t="n"/>
      <c r="AQ99" s="33" t="n"/>
      <c r="AR99" s="21">
        <f>IF($A99="","",IF(AP99="","ステータス未設定",IF(AND(AL99="対象外",AP99&lt;&gt;"対象外"),"判定は対象外",IF(AND(AL99&lt;&gt;"対象外",AP99="対象外"),"判定は対象外ではない",IF(AND(AL99="判定保留",AP99&lt;&gt;"棚卸し中"),"判定保留が残っている",IF(AND(AL99="移管",AP99="棚卸し中"),"判定保留なし（棚卸し済みへ）",""))))))</f>
        <v/>
      </c>
      <c r="AS99" s="21">
        <f>IF($A99="","",COUNTIFS('紐付け'!$A$4:$A$200,$A99,'紐付け'!$C$4:$C$200,"&lt;&gt;"))</f>
        <v/>
      </c>
      <c r="AT99" s="21">
        <f>IF($A99="","",SUMPRODUCT(('紐付け'!$A$4:$A$200=$A99)*('紐付け'!$C$4:$C$200&lt;&gt;"")*(COUNTIFS('業務'!$C$4:$C$200,'紐付け'!$C$4:$C$200,'業務'!$F$4:$F$200,"間接業務",'業務'!$U$4:$U$200,$A99)=0)))</f>
        <v/>
      </c>
      <c r="AU99" s="21">
        <f>IF($A99="","",COUNTIFS('業務'!$U$4:$U$200,$A99,'業務'!$A$4:$A$200,"&lt;&gt;",'業務'!$J$4:$J$200,"&lt;&gt;済"))</f>
        <v/>
      </c>
      <c r="AV99" s="21">
        <f>IF($A99="","",COUNTIF('契約'!$C$4:$C$200,$A99))</f>
        <v/>
      </c>
      <c r="AW99" s="21">
        <f>IF($A99="","",COUNTIFS('業務'!$U$4:$U$200,$A99,'業務'!$A$4:$A$200,"&lt;&gt;",'業務'!$S$4:$S$200,"&lt;&gt;",'業務'!$F$4:$F$200,"間接業務"))</f>
        <v/>
      </c>
      <c r="AX99" s="21" t="n"/>
      <c r="AY99" s="18" t="n"/>
      <c r="AZ99" s="18" t="n"/>
      <c r="BA99" s="20" t="n"/>
    </row>
    <row r="100">
      <c r="A100" s="18" t="n"/>
      <c r="B100" s="18" t="n"/>
      <c r="C100" s="18" t="n"/>
      <c r="D100" s="18" t="n"/>
      <c r="E100" s="18" t="n"/>
      <c r="F100" s="18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20">
        <f>IF(COUNT(G100:R100)=0,"",SUM(G100:R100))</f>
        <v/>
      </c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20">
        <f>IF(COUNT(T100:AE100)=0,"",SUM(T100:AE100))</f>
        <v/>
      </c>
      <c r="AG100" s="18" t="n"/>
      <c r="AH100" s="18" t="n"/>
      <c r="AI100" s="18" t="n"/>
      <c r="AJ100" s="18" t="n"/>
      <c r="AK100" s="18" t="n"/>
      <c r="AL100" s="21">
        <f>IF($A100="","",IF(AJ100="いいえ","対象外",IF(AND(AH100="投資予算",AZ100="継続"),"対象外",IF(OR(AH100="",AJ100="",AJ100="未確認",AND(AH100="投資予算",OR(AZ100="",AZ100="未確認")),AM100="判定保留",AN100="判定保留"),"判定保留","移管"))))</f>
        <v/>
      </c>
      <c r="AM100" s="21">
        <f>IF($A100="","",IF(AJ100="いいえ","対象外",IF(AND(AH100="投資予算",AZ100="継続"),"対象外",IF(OR(AJ100="",AJ100="未確認"),"判定保留",IF(AV100=0,"—","移管")))))</f>
        <v/>
      </c>
      <c r="AN100" s="21">
        <f>IF($A100="","",IF(AJ100="いいえ","対象外",IF(AH100="投資予算","—",IF(OR(AH100="",AJ100="",AJ100="未確認",AS100=0,AT100&gt;0,AU100&gt;0),"判定保留","移管"))))</f>
        <v/>
      </c>
      <c r="AO100" s="21">
        <f>IF($A100="","",IF(AL100&lt;&gt;"移管","—",IF(AW100&gt;0,"あり","なし")))</f>
        <v/>
      </c>
      <c r="AP100" s="18" t="n"/>
      <c r="AQ100" s="33" t="n"/>
      <c r="AR100" s="21">
        <f>IF($A100="","",IF(AP100="","ステータス未設定",IF(AND(AL100="対象外",AP100&lt;&gt;"対象外"),"判定は対象外",IF(AND(AL100&lt;&gt;"対象外",AP100="対象外"),"判定は対象外ではない",IF(AND(AL100="判定保留",AP100&lt;&gt;"棚卸し中"),"判定保留が残っている",IF(AND(AL100="移管",AP100="棚卸し中"),"判定保留なし（棚卸し済みへ）",""))))))</f>
        <v/>
      </c>
      <c r="AS100" s="21">
        <f>IF($A100="","",COUNTIFS('紐付け'!$A$4:$A$200,$A100,'紐付け'!$C$4:$C$200,"&lt;&gt;"))</f>
        <v/>
      </c>
      <c r="AT100" s="21">
        <f>IF($A100="","",SUMPRODUCT(('紐付け'!$A$4:$A$200=$A100)*('紐付け'!$C$4:$C$200&lt;&gt;"")*(COUNTIFS('業務'!$C$4:$C$200,'紐付け'!$C$4:$C$200,'業務'!$F$4:$F$200,"間接業務",'業務'!$U$4:$U$200,$A100)=0)))</f>
        <v/>
      </c>
      <c r="AU100" s="21">
        <f>IF($A100="","",COUNTIFS('業務'!$U$4:$U$200,$A100,'業務'!$A$4:$A$200,"&lt;&gt;",'業務'!$J$4:$J$200,"&lt;&gt;済"))</f>
        <v/>
      </c>
      <c r="AV100" s="21">
        <f>IF($A100="","",COUNTIF('契約'!$C$4:$C$200,$A100))</f>
        <v/>
      </c>
      <c r="AW100" s="21">
        <f>IF($A100="","",COUNTIFS('業務'!$U$4:$U$200,$A100,'業務'!$A$4:$A$200,"&lt;&gt;",'業務'!$S$4:$S$200,"&lt;&gt;",'業務'!$F$4:$F$200,"間接業務"))</f>
        <v/>
      </c>
      <c r="AX100" s="21" t="n"/>
      <c r="AY100" s="18" t="n"/>
      <c r="AZ100" s="18" t="n"/>
      <c r="BA100" s="20" t="n"/>
    </row>
    <row r="101">
      <c r="A101" s="18" t="n"/>
      <c r="B101" s="18" t="n"/>
      <c r="C101" s="18" t="n"/>
      <c r="D101" s="18" t="n"/>
      <c r="E101" s="18" t="n"/>
      <c r="F101" s="18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20">
        <f>IF(COUNT(G101:R101)=0,"",SUM(G101:R101))</f>
        <v/>
      </c>
      <c r="T101" s="19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20">
        <f>IF(COUNT(T101:AE101)=0,"",SUM(T101:AE101))</f>
        <v/>
      </c>
      <c r="AG101" s="18" t="n"/>
      <c r="AH101" s="18" t="n"/>
      <c r="AI101" s="18" t="n"/>
      <c r="AJ101" s="18" t="n"/>
      <c r="AK101" s="18" t="n"/>
      <c r="AL101" s="21">
        <f>IF($A101="","",IF(AJ101="いいえ","対象外",IF(AND(AH101="投資予算",AZ101="継続"),"対象外",IF(OR(AH101="",AJ101="",AJ101="未確認",AND(AH101="投資予算",OR(AZ101="",AZ101="未確認")),AM101="判定保留",AN101="判定保留"),"判定保留","移管"))))</f>
        <v/>
      </c>
      <c r="AM101" s="21">
        <f>IF($A101="","",IF(AJ101="いいえ","対象外",IF(AND(AH101="投資予算",AZ101="継続"),"対象外",IF(OR(AJ101="",AJ101="未確認"),"判定保留",IF(AV101=0,"—","移管")))))</f>
        <v/>
      </c>
      <c r="AN101" s="21">
        <f>IF($A101="","",IF(AJ101="いいえ","対象外",IF(AH101="投資予算","—",IF(OR(AH101="",AJ101="",AJ101="未確認",AS101=0,AT101&gt;0,AU101&gt;0),"判定保留","移管"))))</f>
        <v/>
      </c>
      <c r="AO101" s="21">
        <f>IF($A101="","",IF(AL101&lt;&gt;"移管","—",IF(AW101&gt;0,"あり","なし")))</f>
        <v/>
      </c>
      <c r="AP101" s="18" t="n"/>
      <c r="AQ101" s="33" t="n"/>
      <c r="AR101" s="21">
        <f>IF($A101="","",IF(AP101="","ステータス未設定",IF(AND(AL101="対象外",AP101&lt;&gt;"対象外"),"判定は対象外",IF(AND(AL101&lt;&gt;"対象外",AP101="対象外"),"判定は対象外ではない",IF(AND(AL101="判定保留",AP101&lt;&gt;"棚卸し中"),"判定保留が残っている",IF(AND(AL101="移管",AP101="棚卸し中"),"判定保留なし（棚卸し済みへ）",""))))))</f>
        <v/>
      </c>
      <c r="AS101" s="21">
        <f>IF($A101="","",COUNTIFS('紐付け'!$A$4:$A$200,$A101,'紐付け'!$C$4:$C$200,"&lt;&gt;"))</f>
        <v/>
      </c>
      <c r="AT101" s="21">
        <f>IF($A101="","",SUMPRODUCT(('紐付け'!$A$4:$A$200=$A101)*('紐付け'!$C$4:$C$200&lt;&gt;"")*(COUNTIFS('業務'!$C$4:$C$200,'紐付け'!$C$4:$C$200,'業務'!$F$4:$F$200,"間接業務",'業務'!$U$4:$U$200,$A101)=0)))</f>
        <v/>
      </c>
      <c r="AU101" s="21">
        <f>IF($A101="","",COUNTIFS('業務'!$U$4:$U$200,$A101,'業務'!$A$4:$A$200,"&lt;&gt;",'業務'!$J$4:$J$200,"&lt;&gt;済"))</f>
        <v/>
      </c>
      <c r="AV101" s="21">
        <f>IF($A101="","",COUNTIF('契約'!$C$4:$C$200,$A101))</f>
        <v/>
      </c>
      <c r="AW101" s="21">
        <f>IF($A101="","",COUNTIFS('業務'!$U$4:$U$200,$A101,'業務'!$A$4:$A$200,"&lt;&gt;",'業務'!$S$4:$S$200,"&lt;&gt;",'業務'!$F$4:$F$200,"間接業務"))</f>
        <v/>
      </c>
      <c r="AX101" s="21" t="n"/>
      <c r="AY101" s="18" t="n"/>
      <c r="AZ101" s="18" t="n"/>
      <c r="BA101" s="20" t="n"/>
    </row>
    <row r="102">
      <c r="A102" s="18" t="n"/>
      <c r="B102" s="18" t="n"/>
      <c r="C102" s="18" t="n"/>
      <c r="D102" s="18" t="n"/>
      <c r="E102" s="18" t="n"/>
      <c r="F102" s="18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20">
        <f>IF(COUNT(G102:R102)=0,"",SUM(G102:R102))</f>
        <v/>
      </c>
      <c r="T102" s="19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20">
        <f>IF(COUNT(T102:AE102)=0,"",SUM(T102:AE102))</f>
        <v/>
      </c>
      <c r="AG102" s="18" t="n"/>
      <c r="AH102" s="18" t="n"/>
      <c r="AI102" s="18" t="n"/>
      <c r="AJ102" s="18" t="n"/>
      <c r="AK102" s="18" t="n"/>
      <c r="AL102" s="21">
        <f>IF($A102="","",IF(AJ102="いいえ","対象外",IF(AND(AH102="投資予算",AZ102="継続"),"対象外",IF(OR(AH102="",AJ102="",AJ102="未確認",AND(AH102="投資予算",OR(AZ102="",AZ102="未確認")),AM102="判定保留",AN102="判定保留"),"判定保留","移管"))))</f>
        <v/>
      </c>
      <c r="AM102" s="21">
        <f>IF($A102="","",IF(AJ102="いいえ","対象外",IF(AND(AH102="投資予算",AZ102="継続"),"対象外",IF(OR(AJ102="",AJ102="未確認"),"判定保留",IF(AV102=0,"—","移管")))))</f>
        <v/>
      </c>
      <c r="AN102" s="21">
        <f>IF($A102="","",IF(AJ102="いいえ","対象外",IF(AH102="投資予算","—",IF(OR(AH102="",AJ102="",AJ102="未確認",AS102=0,AT102&gt;0,AU102&gt;0),"判定保留","移管"))))</f>
        <v/>
      </c>
      <c r="AO102" s="21">
        <f>IF($A102="","",IF(AL102&lt;&gt;"移管","—",IF(AW102&gt;0,"あり","なし")))</f>
        <v/>
      </c>
      <c r="AP102" s="18" t="n"/>
      <c r="AQ102" s="33" t="n"/>
      <c r="AR102" s="21">
        <f>IF($A102="","",IF(AP102="","ステータス未設定",IF(AND(AL102="対象外",AP102&lt;&gt;"対象外"),"判定は対象外",IF(AND(AL102&lt;&gt;"対象外",AP102="対象外"),"判定は対象外ではない",IF(AND(AL102="判定保留",AP102&lt;&gt;"棚卸し中"),"判定保留が残っている",IF(AND(AL102="移管",AP102="棚卸し中"),"判定保留なし（棚卸し済みへ）",""))))))</f>
        <v/>
      </c>
      <c r="AS102" s="21">
        <f>IF($A102="","",COUNTIFS('紐付け'!$A$4:$A$200,$A102,'紐付け'!$C$4:$C$200,"&lt;&gt;"))</f>
        <v/>
      </c>
      <c r="AT102" s="21">
        <f>IF($A102="","",SUMPRODUCT(('紐付け'!$A$4:$A$200=$A102)*('紐付け'!$C$4:$C$200&lt;&gt;"")*(COUNTIFS('業務'!$C$4:$C$200,'紐付け'!$C$4:$C$200,'業務'!$F$4:$F$200,"間接業務",'業務'!$U$4:$U$200,$A102)=0)))</f>
        <v/>
      </c>
      <c r="AU102" s="21">
        <f>IF($A102="","",COUNTIFS('業務'!$U$4:$U$200,$A102,'業務'!$A$4:$A$200,"&lt;&gt;",'業務'!$J$4:$J$200,"&lt;&gt;済"))</f>
        <v/>
      </c>
      <c r="AV102" s="21">
        <f>IF($A102="","",COUNTIF('契約'!$C$4:$C$200,$A102))</f>
        <v/>
      </c>
      <c r="AW102" s="21">
        <f>IF($A102="","",COUNTIFS('業務'!$U$4:$U$200,$A102,'業務'!$A$4:$A$200,"&lt;&gt;",'業務'!$S$4:$S$200,"&lt;&gt;",'業務'!$F$4:$F$200,"間接業務"))</f>
        <v/>
      </c>
      <c r="AX102" s="21" t="n"/>
      <c r="AY102" s="18" t="n"/>
      <c r="AZ102" s="18" t="n"/>
      <c r="BA102" s="20" t="n"/>
    </row>
    <row r="103">
      <c r="A103" s="18" t="n"/>
      <c r="B103" s="18" t="n"/>
      <c r="C103" s="18" t="n"/>
      <c r="D103" s="18" t="n"/>
      <c r="E103" s="18" t="n"/>
      <c r="F103" s="18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20">
        <f>IF(COUNT(G103:R103)=0,"",SUM(G103:R103))</f>
        <v/>
      </c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20">
        <f>IF(COUNT(T103:AE103)=0,"",SUM(T103:AE103))</f>
        <v/>
      </c>
      <c r="AG103" s="18" t="n"/>
      <c r="AH103" s="18" t="n"/>
      <c r="AI103" s="18" t="n"/>
      <c r="AJ103" s="18" t="n"/>
      <c r="AK103" s="18" t="n"/>
      <c r="AL103" s="21">
        <f>IF($A103="","",IF(AJ103="いいえ","対象外",IF(AND(AH103="投資予算",AZ103="継続"),"対象外",IF(OR(AH103="",AJ103="",AJ103="未確認",AND(AH103="投資予算",OR(AZ103="",AZ103="未確認")),AM103="判定保留",AN103="判定保留"),"判定保留","移管"))))</f>
        <v/>
      </c>
      <c r="AM103" s="21">
        <f>IF($A103="","",IF(AJ103="いいえ","対象外",IF(AND(AH103="投資予算",AZ103="継続"),"対象外",IF(OR(AJ103="",AJ103="未確認"),"判定保留",IF(AV103=0,"—","移管")))))</f>
        <v/>
      </c>
      <c r="AN103" s="21">
        <f>IF($A103="","",IF(AJ103="いいえ","対象外",IF(AH103="投資予算","—",IF(OR(AH103="",AJ103="",AJ103="未確認",AS103=0,AT103&gt;0,AU103&gt;0),"判定保留","移管"))))</f>
        <v/>
      </c>
      <c r="AO103" s="21">
        <f>IF($A103="","",IF(AL103&lt;&gt;"移管","—",IF(AW103&gt;0,"あり","なし")))</f>
        <v/>
      </c>
      <c r="AP103" s="18" t="n"/>
      <c r="AQ103" s="33" t="n"/>
      <c r="AR103" s="21">
        <f>IF($A103="","",IF(AP103="","ステータス未設定",IF(AND(AL103="対象外",AP103&lt;&gt;"対象外"),"判定は対象外",IF(AND(AL103&lt;&gt;"対象外",AP103="対象外"),"判定は対象外ではない",IF(AND(AL103="判定保留",AP103&lt;&gt;"棚卸し中"),"判定保留が残っている",IF(AND(AL103="移管",AP103="棚卸し中"),"判定保留なし（棚卸し済みへ）",""))))))</f>
        <v/>
      </c>
      <c r="AS103" s="21">
        <f>IF($A103="","",COUNTIFS('紐付け'!$A$4:$A$200,$A103,'紐付け'!$C$4:$C$200,"&lt;&gt;"))</f>
        <v/>
      </c>
      <c r="AT103" s="21">
        <f>IF($A103="","",SUMPRODUCT(('紐付け'!$A$4:$A$200=$A103)*('紐付け'!$C$4:$C$200&lt;&gt;"")*(COUNTIFS('業務'!$C$4:$C$200,'紐付け'!$C$4:$C$200,'業務'!$F$4:$F$200,"間接業務",'業務'!$U$4:$U$200,$A103)=0)))</f>
        <v/>
      </c>
      <c r="AU103" s="21">
        <f>IF($A103="","",COUNTIFS('業務'!$U$4:$U$200,$A103,'業務'!$A$4:$A$200,"&lt;&gt;",'業務'!$J$4:$J$200,"&lt;&gt;済"))</f>
        <v/>
      </c>
      <c r="AV103" s="21">
        <f>IF($A103="","",COUNTIF('契約'!$C$4:$C$200,$A103))</f>
        <v/>
      </c>
      <c r="AW103" s="21">
        <f>IF($A103="","",COUNTIFS('業務'!$U$4:$U$200,$A103,'業務'!$A$4:$A$200,"&lt;&gt;",'業務'!$S$4:$S$200,"&lt;&gt;",'業務'!$F$4:$F$200,"間接業務"))</f>
        <v/>
      </c>
      <c r="AX103" s="21" t="n"/>
      <c r="AY103" s="18" t="n"/>
      <c r="AZ103" s="18" t="n"/>
      <c r="BA103" s="20" t="n"/>
    </row>
    <row r="104">
      <c r="A104" s="18" t="n"/>
      <c r="B104" s="18" t="n"/>
      <c r="C104" s="18" t="n"/>
      <c r="D104" s="18" t="n"/>
      <c r="E104" s="18" t="n"/>
      <c r="F104" s="18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20">
        <f>IF(COUNT(G104:R104)=0,"",SUM(G104:R104))</f>
        <v/>
      </c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20">
        <f>IF(COUNT(T104:AE104)=0,"",SUM(T104:AE104))</f>
        <v/>
      </c>
      <c r="AG104" s="18" t="n"/>
      <c r="AH104" s="18" t="n"/>
      <c r="AI104" s="18" t="n"/>
      <c r="AJ104" s="18" t="n"/>
      <c r="AK104" s="18" t="n"/>
      <c r="AL104" s="21">
        <f>IF($A104="","",IF(AJ104="いいえ","対象外",IF(AND(AH104="投資予算",AZ104="継続"),"対象外",IF(OR(AH104="",AJ104="",AJ104="未確認",AND(AH104="投資予算",OR(AZ104="",AZ104="未確認")),AM104="判定保留",AN104="判定保留"),"判定保留","移管"))))</f>
        <v/>
      </c>
      <c r="AM104" s="21">
        <f>IF($A104="","",IF(AJ104="いいえ","対象外",IF(AND(AH104="投資予算",AZ104="継続"),"対象外",IF(OR(AJ104="",AJ104="未確認"),"判定保留",IF(AV104=0,"—","移管")))))</f>
        <v/>
      </c>
      <c r="AN104" s="21">
        <f>IF($A104="","",IF(AJ104="いいえ","対象外",IF(AH104="投資予算","—",IF(OR(AH104="",AJ104="",AJ104="未確認",AS104=0,AT104&gt;0,AU104&gt;0),"判定保留","移管"))))</f>
        <v/>
      </c>
      <c r="AO104" s="21">
        <f>IF($A104="","",IF(AL104&lt;&gt;"移管","—",IF(AW104&gt;0,"あり","なし")))</f>
        <v/>
      </c>
      <c r="AP104" s="18" t="n"/>
      <c r="AQ104" s="33" t="n"/>
      <c r="AR104" s="21">
        <f>IF($A104="","",IF(AP104="","ステータス未設定",IF(AND(AL104="対象外",AP104&lt;&gt;"対象外"),"判定は対象外",IF(AND(AL104&lt;&gt;"対象外",AP104="対象外"),"判定は対象外ではない",IF(AND(AL104="判定保留",AP104&lt;&gt;"棚卸し中"),"判定保留が残っている",IF(AND(AL104="移管",AP104="棚卸し中"),"判定保留なし（棚卸し済みへ）",""))))))</f>
        <v/>
      </c>
      <c r="AS104" s="21">
        <f>IF($A104="","",COUNTIFS('紐付け'!$A$4:$A$200,$A104,'紐付け'!$C$4:$C$200,"&lt;&gt;"))</f>
        <v/>
      </c>
      <c r="AT104" s="21">
        <f>IF($A104="","",SUMPRODUCT(('紐付け'!$A$4:$A$200=$A104)*('紐付け'!$C$4:$C$200&lt;&gt;"")*(COUNTIFS('業務'!$C$4:$C$200,'紐付け'!$C$4:$C$200,'業務'!$F$4:$F$200,"間接業務",'業務'!$U$4:$U$200,$A104)=0)))</f>
        <v/>
      </c>
      <c r="AU104" s="21">
        <f>IF($A104="","",COUNTIFS('業務'!$U$4:$U$200,$A104,'業務'!$A$4:$A$200,"&lt;&gt;",'業務'!$J$4:$J$200,"&lt;&gt;済"))</f>
        <v/>
      </c>
      <c r="AV104" s="21">
        <f>IF($A104="","",COUNTIF('契約'!$C$4:$C$200,$A104))</f>
        <v/>
      </c>
      <c r="AW104" s="21">
        <f>IF($A104="","",COUNTIFS('業務'!$U$4:$U$200,$A104,'業務'!$A$4:$A$200,"&lt;&gt;",'業務'!$S$4:$S$200,"&lt;&gt;",'業務'!$F$4:$F$200,"間接業務"))</f>
        <v/>
      </c>
      <c r="AX104" s="21" t="n"/>
      <c r="AY104" s="18" t="n"/>
      <c r="AZ104" s="18" t="n"/>
      <c r="BA104" s="20" t="n"/>
    </row>
    <row r="105">
      <c r="A105" s="18" t="n"/>
      <c r="B105" s="18" t="n"/>
      <c r="C105" s="18" t="n"/>
      <c r="D105" s="18" t="n"/>
      <c r="E105" s="18" t="n"/>
      <c r="F105" s="18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20">
        <f>IF(COUNT(G105:R105)=0,"",SUM(G105:R105))</f>
        <v/>
      </c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20">
        <f>IF(COUNT(T105:AE105)=0,"",SUM(T105:AE105))</f>
        <v/>
      </c>
      <c r="AG105" s="18" t="n"/>
      <c r="AH105" s="18" t="n"/>
      <c r="AI105" s="18" t="n"/>
      <c r="AJ105" s="18" t="n"/>
      <c r="AK105" s="18" t="n"/>
      <c r="AL105" s="21">
        <f>IF($A105="","",IF(AJ105="いいえ","対象外",IF(AND(AH105="投資予算",AZ105="継続"),"対象外",IF(OR(AH105="",AJ105="",AJ105="未確認",AND(AH105="投資予算",OR(AZ105="",AZ105="未確認")),AM105="判定保留",AN105="判定保留"),"判定保留","移管"))))</f>
        <v/>
      </c>
      <c r="AM105" s="21">
        <f>IF($A105="","",IF(AJ105="いいえ","対象外",IF(AND(AH105="投資予算",AZ105="継続"),"対象外",IF(OR(AJ105="",AJ105="未確認"),"判定保留",IF(AV105=0,"—","移管")))))</f>
        <v/>
      </c>
      <c r="AN105" s="21">
        <f>IF($A105="","",IF(AJ105="いいえ","対象外",IF(AH105="投資予算","—",IF(OR(AH105="",AJ105="",AJ105="未確認",AS105=0,AT105&gt;0,AU105&gt;0),"判定保留","移管"))))</f>
        <v/>
      </c>
      <c r="AO105" s="21">
        <f>IF($A105="","",IF(AL105&lt;&gt;"移管","—",IF(AW105&gt;0,"あり","なし")))</f>
        <v/>
      </c>
      <c r="AP105" s="18" t="n"/>
      <c r="AQ105" s="33" t="n"/>
      <c r="AR105" s="21">
        <f>IF($A105="","",IF(AP105="","ステータス未設定",IF(AND(AL105="対象外",AP105&lt;&gt;"対象外"),"判定は対象外",IF(AND(AL105&lt;&gt;"対象外",AP105="対象外"),"判定は対象外ではない",IF(AND(AL105="判定保留",AP105&lt;&gt;"棚卸し中"),"判定保留が残っている",IF(AND(AL105="移管",AP105="棚卸し中"),"判定保留なし（棚卸し済みへ）",""))))))</f>
        <v/>
      </c>
      <c r="AS105" s="21">
        <f>IF($A105="","",COUNTIFS('紐付け'!$A$4:$A$200,$A105,'紐付け'!$C$4:$C$200,"&lt;&gt;"))</f>
        <v/>
      </c>
      <c r="AT105" s="21">
        <f>IF($A105="","",SUMPRODUCT(('紐付け'!$A$4:$A$200=$A105)*('紐付け'!$C$4:$C$200&lt;&gt;"")*(COUNTIFS('業務'!$C$4:$C$200,'紐付け'!$C$4:$C$200,'業務'!$F$4:$F$200,"間接業務",'業務'!$U$4:$U$200,$A105)=0)))</f>
        <v/>
      </c>
      <c r="AU105" s="21">
        <f>IF($A105="","",COUNTIFS('業務'!$U$4:$U$200,$A105,'業務'!$A$4:$A$200,"&lt;&gt;",'業務'!$J$4:$J$200,"&lt;&gt;済"))</f>
        <v/>
      </c>
      <c r="AV105" s="21">
        <f>IF($A105="","",COUNTIF('契約'!$C$4:$C$200,$A105))</f>
        <v/>
      </c>
      <c r="AW105" s="21">
        <f>IF($A105="","",COUNTIFS('業務'!$U$4:$U$200,$A105,'業務'!$A$4:$A$200,"&lt;&gt;",'業務'!$S$4:$S$200,"&lt;&gt;",'業務'!$F$4:$F$200,"間接業務"))</f>
        <v/>
      </c>
      <c r="AX105" s="21" t="n"/>
      <c r="AY105" s="18" t="n"/>
      <c r="AZ105" s="18" t="n"/>
      <c r="BA105" s="20" t="n"/>
    </row>
    <row r="106">
      <c r="A106" s="18" t="n"/>
      <c r="B106" s="18" t="n"/>
      <c r="C106" s="18" t="n"/>
      <c r="D106" s="18" t="n"/>
      <c r="E106" s="18" t="n"/>
      <c r="F106" s="18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20">
        <f>IF(COUNT(G106:R106)=0,"",SUM(G106:R106))</f>
        <v/>
      </c>
      <c r="T106" s="19" t="n"/>
      <c r="U106" s="19" t="n"/>
      <c r="V106" s="19" t="n"/>
      <c r="W106" s="19" t="n"/>
      <c r="X106" s="19" t="n"/>
      <c r="Y106" s="19" t="n"/>
      <c r="Z106" s="19" t="n"/>
      <c r="AA106" s="19" t="n"/>
      <c r="AB106" s="19" t="n"/>
      <c r="AC106" s="19" t="n"/>
      <c r="AD106" s="19" t="n"/>
      <c r="AE106" s="19" t="n"/>
      <c r="AF106" s="20">
        <f>IF(COUNT(T106:AE106)=0,"",SUM(T106:AE106))</f>
        <v/>
      </c>
      <c r="AG106" s="18" t="n"/>
      <c r="AH106" s="18" t="n"/>
      <c r="AI106" s="18" t="n"/>
      <c r="AJ106" s="18" t="n"/>
      <c r="AK106" s="18" t="n"/>
      <c r="AL106" s="21">
        <f>IF($A106="","",IF(AJ106="いいえ","対象外",IF(AND(AH106="投資予算",AZ106="継続"),"対象外",IF(OR(AH106="",AJ106="",AJ106="未確認",AND(AH106="投資予算",OR(AZ106="",AZ106="未確認")),AM106="判定保留",AN106="判定保留"),"判定保留","移管"))))</f>
        <v/>
      </c>
      <c r="AM106" s="21">
        <f>IF($A106="","",IF(AJ106="いいえ","対象外",IF(AND(AH106="投資予算",AZ106="継続"),"対象外",IF(OR(AJ106="",AJ106="未確認"),"判定保留",IF(AV106=0,"—","移管")))))</f>
        <v/>
      </c>
      <c r="AN106" s="21">
        <f>IF($A106="","",IF(AJ106="いいえ","対象外",IF(AH106="投資予算","—",IF(OR(AH106="",AJ106="",AJ106="未確認",AS106=0,AT106&gt;0,AU106&gt;0),"判定保留","移管"))))</f>
        <v/>
      </c>
      <c r="AO106" s="21">
        <f>IF($A106="","",IF(AL106&lt;&gt;"移管","—",IF(AW106&gt;0,"あり","なし")))</f>
        <v/>
      </c>
      <c r="AP106" s="18" t="n"/>
      <c r="AQ106" s="33" t="n"/>
      <c r="AR106" s="21">
        <f>IF($A106="","",IF(AP106="","ステータス未設定",IF(AND(AL106="対象外",AP106&lt;&gt;"対象外"),"判定は対象外",IF(AND(AL106&lt;&gt;"対象外",AP106="対象外"),"判定は対象外ではない",IF(AND(AL106="判定保留",AP106&lt;&gt;"棚卸し中"),"判定保留が残っている",IF(AND(AL106="移管",AP106="棚卸し中"),"判定保留なし（棚卸し済みへ）",""))))))</f>
        <v/>
      </c>
      <c r="AS106" s="21">
        <f>IF($A106="","",COUNTIFS('紐付け'!$A$4:$A$200,$A106,'紐付け'!$C$4:$C$200,"&lt;&gt;"))</f>
        <v/>
      </c>
      <c r="AT106" s="21">
        <f>IF($A106="","",SUMPRODUCT(('紐付け'!$A$4:$A$200=$A106)*('紐付け'!$C$4:$C$200&lt;&gt;"")*(COUNTIFS('業務'!$C$4:$C$200,'紐付け'!$C$4:$C$200,'業務'!$F$4:$F$200,"間接業務",'業務'!$U$4:$U$200,$A106)=0)))</f>
        <v/>
      </c>
      <c r="AU106" s="21">
        <f>IF($A106="","",COUNTIFS('業務'!$U$4:$U$200,$A106,'業務'!$A$4:$A$200,"&lt;&gt;",'業務'!$J$4:$J$200,"&lt;&gt;済"))</f>
        <v/>
      </c>
      <c r="AV106" s="21">
        <f>IF($A106="","",COUNTIF('契約'!$C$4:$C$200,$A106))</f>
        <v/>
      </c>
      <c r="AW106" s="21">
        <f>IF($A106="","",COUNTIFS('業務'!$U$4:$U$200,$A106,'業務'!$A$4:$A$200,"&lt;&gt;",'業務'!$S$4:$S$200,"&lt;&gt;",'業務'!$F$4:$F$200,"間接業務"))</f>
        <v/>
      </c>
      <c r="AX106" s="21" t="n"/>
      <c r="AY106" s="18" t="n"/>
      <c r="AZ106" s="18" t="n"/>
      <c r="BA106" s="20" t="n"/>
    </row>
    <row r="107">
      <c r="A107" s="18" t="n"/>
      <c r="B107" s="18" t="n"/>
      <c r="C107" s="18" t="n"/>
      <c r="D107" s="18" t="n"/>
      <c r="E107" s="18" t="n"/>
      <c r="F107" s="18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20">
        <f>IF(COUNT(G107:R107)=0,"",SUM(G107:R107))</f>
        <v/>
      </c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19" t="n"/>
      <c r="AF107" s="20">
        <f>IF(COUNT(T107:AE107)=0,"",SUM(T107:AE107))</f>
        <v/>
      </c>
      <c r="AG107" s="18" t="n"/>
      <c r="AH107" s="18" t="n"/>
      <c r="AI107" s="18" t="n"/>
      <c r="AJ107" s="18" t="n"/>
      <c r="AK107" s="18" t="n"/>
      <c r="AL107" s="21">
        <f>IF($A107="","",IF(AJ107="いいえ","対象外",IF(AND(AH107="投資予算",AZ107="継続"),"対象外",IF(OR(AH107="",AJ107="",AJ107="未確認",AND(AH107="投資予算",OR(AZ107="",AZ107="未確認")),AM107="判定保留",AN107="判定保留"),"判定保留","移管"))))</f>
        <v/>
      </c>
      <c r="AM107" s="21">
        <f>IF($A107="","",IF(AJ107="いいえ","対象外",IF(AND(AH107="投資予算",AZ107="継続"),"対象外",IF(OR(AJ107="",AJ107="未確認"),"判定保留",IF(AV107=0,"—","移管")))))</f>
        <v/>
      </c>
      <c r="AN107" s="21">
        <f>IF($A107="","",IF(AJ107="いいえ","対象外",IF(AH107="投資予算","—",IF(OR(AH107="",AJ107="",AJ107="未確認",AS107=0,AT107&gt;0,AU107&gt;0),"判定保留","移管"))))</f>
        <v/>
      </c>
      <c r="AO107" s="21">
        <f>IF($A107="","",IF(AL107&lt;&gt;"移管","—",IF(AW107&gt;0,"あり","なし")))</f>
        <v/>
      </c>
      <c r="AP107" s="18" t="n"/>
      <c r="AQ107" s="33" t="n"/>
      <c r="AR107" s="21">
        <f>IF($A107="","",IF(AP107="","ステータス未設定",IF(AND(AL107="対象外",AP107&lt;&gt;"対象外"),"判定は対象外",IF(AND(AL107&lt;&gt;"対象外",AP107="対象外"),"判定は対象外ではない",IF(AND(AL107="判定保留",AP107&lt;&gt;"棚卸し中"),"判定保留が残っている",IF(AND(AL107="移管",AP107="棚卸し中"),"判定保留なし（棚卸し済みへ）",""))))))</f>
        <v/>
      </c>
      <c r="AS107" s="21">
        <f>IF($A107="","",COUNTIFS('紐付け'!$A$4:$A$200,$A107,'紐付け'!$C$4:$C$200,"&lt;&gt;"))</f>
        <v/>
      </c>
      <c r="AT107" s="21">
        <f>IF($A107="","",SUMPRODUCT(('紐付け'!$A$4:$A$200=$A107)*('紐付け'!$C$4:$C$200&lt;&gt;"")*(COUNTIFS('業務'!$C$4:$C$200,'紐付け'!$C$4:$C$200,'業務'!$F$4:$F$200,"間接業務",'業務'!$U$4:$U$200,$A107)=0)))</f>
        <v/>
      </c>
      <c r="AU107" s="21">
        <f>IF($A107="","",COUNTIFS('業務'!$U$4:$U$200,$A107,'業務'!$A$4:$A$200,"&lt;&gt;",'業務'!$J$4:$J$200,"&lt;&gt;済"))</f>
        <v/>
      </c>
      <c r="AV107" s="21">
        <f>IF($A107="","",COUNTIF('契約'!$C$4:$C$200,$A107))</f>
        <v/>
      </c>
      <c r="AW107" s="21">
        <f>IF($A107="","",COUNTIFS('業務'!$U$4:$U$200,$A107,'業務'!$A$4:$A$200,"&lt;&gt;",'業務'!$S$4:$S$200,"&lt;&gt;",'業務'!$F$4:$F$200,"間接業務"))</f>
        <v/>
      </c>
      <c r="AX107" s="21" t="n"/>
      <c r="AY107" s="18" t="n"/>
      <c r="AZ107" s="18" t="n"/>
      <c r="BA107" s="20" t="n"/>
    </row>
    <row r="108">
      <c r="A108" s="18" t="n"/>
      <c r="B108" s="18" t="n"/>
      <c r="C108" s="18" t="n"/>
      <c r="D108" s="18" t="n"/>
      <c r="E108" s="18" t="n"/>
      <c r="F108" s="18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20">
        <f>IF(COUNT(G108:R108)=0,"",SUM(G108:R108))</f>
        <v/>
      </c>
      <c r="T108" s="19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20">
        <f>IF(COUNT(T108:AE108)=0,"",SUM(T108:AE108))</f>
        <v/>
      </c>
      <c r="AG108" s="18" t="n"/>
      <c r="AH108" s="18" t="n"/>
      <c r="AI108" s="18" t="n"/>
      <c r="AJ108" s="18" t="n"/>
      <c r="AK108" s="18" t="n"/>
      <c r="AL108" s="21">
        <f>IF($A108="","",IF(AJ108="いいえ","対象外",IF(AND(AH108="投資予算",AZ108="継続"),"対象外",IF(OR(AH108="",AJ108="",AJ108="未確認",AND(AH108="投資予算",OR(AZ108="",AZ108="未確認")),AM108="判定保留",AN108="判定保留"),"判定保留","移管"))))</f>
        <v/>
      </c>
      <c r="AM108" s="21">
        <f>IF($A108="","",IF(AJ108="いいえ","対象外",IF(AND(AH108="投資予算",AZ108="継続"),"対象外",IF(OR(AJ108="",AJ108="未確認"),"判定保留",IF(AV108=0,"—","移管")))))</f>
        <v/>
      </c>
      <c r="AN108" s="21">
        <f>IF($A108="","",IF(AJ108="いいえ","対象外",IF(AH108="投資予算","—",IF(OR(AH108="",AJ108="",AJ108="未確認",AS108=0,AT108&gt;0,AU108&gt;0),"判定保留","移管"))))</f>
        <v/>
      </c>
      <c r="AO108" s="21">
        <f>IF($A108="","",IF(AL108&lt;&gt;"移管","—",IF(AW108&gt;0,"あり","なし")))</f>
        <v/>
      </c>
      <c r="AP108" s="18" t="n"/>
      <c r="AQ108" s="33" t="n"/>
      <c r="AR108" s="21">
        <f>IF($A108="","",IF(AP108="","ステータス未設定",IF(AND(AL108="対象外",AP108&lt;&gt;"対象外"),"判定は対象外",IF(AND(AL108&lt;&gt;"対象外",AP108="対象外"),"判定は対象外ではない",IF(AND(AL108="判定保留",AP108&lt;&gt;"棚卸し中"),"判定保留が残っている",IF(AND(AL108="移管",AP108="棚卸し中"),"判定保留なし（棚卸し済みへ）",""))))))</f>
        <v/>
      </c>
      <c r="AS108" s="21">
        <f>IF($A108="","",COUNTIFS('紐付け'!$A$4:$A$200,$A108,'紐付け'!$C$4:$C$200,"&lt;&gt;"))</f>
        <v/>
      </c>
      <c r="AT108" s="21">
        <f>IF($A108="","",SUMPRODUCT(('紐付け'!$A$4:$A$200=$A108)*('紐付け'!$C$4:$C$200&lt;&gt;"")*(COUNTIFS('業務'!$C$4:$C$200,'紐付け'!$C$4:$C$200,'業務'!$F$4:$F$200,"間接業務",'業務'!$U$4:$U$200,$A108)=0)))</f>
        <v/>
      </c>
      <c r="AU108" s="21">
        <f>IF($A108="","",COUNTIFS('業務'!$U$4:$U$200,$A108,'業務'!$A$4:$A$200,"&lt;&gt;",'業務'!$J$4:$J$200,"&lt;&gt;済"))</f>
        <v/>
      </c>
      <c r="AV108" s="21">
        <f>IF($A108="","",COUNTIF('契約'!$C$4:$C$200,$A108))</f>
        <v/>
      </c>
      <c r="AW108" s="21">
        <f>IF($A108="","",COUNTIFS('業務'!$U$4:$U$200,$A108,'業務'!$A$4:$A$200,"&lt;&gt;",'業務'!$S$4:$S$200,"&lt;&gt;",'業務'!$F$4:$F$200,"間接業務"))</f>
        <v/>
      </c>
      <c r="AX108" s="21" t="n"/>
      <c r="AY108" s="18" t="n"/>
      <c r="AZ108" s="18" t="n"/>
      <c r="BA108" s="20" t="n"/>
    </row>
    <row r="109">
      <c r="A109" s="18" t="n"/>
      <c r="B109" s="18" t="n"/>
      <c r="C109" s="18" t="n"/>
      <c r="D109" s="18" t="n"/>
      <c r="E109" s="18" t="n"/>
      <c r="F109" s="18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20">
        <f>IF(COUNT(G109:R109)=0,"",SUM(G109:R109))</f>
        <v/>
      </c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19" t="n"/>
      <c r="AF109" s="20">
        <f>IF(COUNT(T109:AE109)=0,"",SUM(T109:AE109))</f>
        <v/>
      </c>
      <c r="AG109" s="18" t="n"/>
      <c r="AH109" s="18" t="n"/>
      <c r="AI109" s="18" t="n"/>
      <c r="AJ109" s="18" t="n"/>
      <c r="AK109" s="18" t="n"/>
      <c r="AL109" s="21">
        <f>IF($A109="","",IF(AJ109="いいえ","対象外",IF(AND(AH109="投資予算",AZ109="継続"),"対象外",IF(OR(AH109="",AJ109="",AJ109="未確認",AND(AH109="投資予算",OR(AZ109="",AZ109="未確認")),AM109="判定保留",AN109="判定保留"),"判定保留","移管"))))</f>
        <v/>
      </c>
      <c r="AM109" s="21">
        <f>IF($A109="","",IF(AJ109="いいえ","対象外",IF(AND(AH109="投資予算",AZ109="継続"),"対象外",IF(OR(AJ109="",AJ109="未確認"),"判定保留",IF(AV109=0,"—","移管")))))</f>
        <v/>
      </c>
      <c r="AN109" s="21">
        <f>IF($A109="","",IF(AJ109="いいえ","対象外",IF(AH109="投資予算","—",IF(OR(AH109="",AJ109="",AJ109="未確認",AS109=0,AT109&gt;0,AU109&gt;0),"判定保留","移管"))))</f>
        <v/>
      </c>
      <c r="AO109" s="21">
        <f>IF($A109="","",IF(AL109&lt;&gt;"移管","—",IF(AW109&gt;0,"あり","なし")))</f>
        <v/>
      </c>
      <c r="AP109" s="18" t="n"/>
      <c r="AQ109" s="33" t="n"/>
      <c r="AR109" s="21">
        <f>IF($A109="","",IF(AP109="","ステータス未設定",IF(AND(AL109="対象外",AP109&lt;&gt;"対象外"),"判定は対象外",IF(AND(AL109&lt;&gt;"対象外",AP109="対象外"),"判定は対象外ではない",IF(AND(AL109="判定保留",AP109&lt;&gt;"棚卸し中"),"判定保留が残っている",IF(AND(AL109="移管",AP109="棚卸し中"),"判定保留なし（棚卸し済みへ）",""))))))</f>
        <v/>
      </c>
      <c r="AS109" s="21">
        <f>IF($A109="","",COUNTIFS('紐付け'!$A$4:$A$200,$A109,'紐付け'!$C$4:$C$200,"&lt;&gt;"))</f>
        <v/>
      </c>
      <c r="AT109" s="21">
        <f>IF($A109="","",SUMPRODUCT(('紐付け'!$A$4:$A$200=$A109)*('紐付け'!$C$4:$C$200&lt;&gt;"")*(COUNTIFS('業務'!$C$4:$C$200,'紐付け'!$C$4:$C$200,'業務'!$F$4:$F$200,"間接業務",'業務'!$U$4:$U$200,$A109)=0)))</f>
        <v/>
      </c>
      <c r="AU109" s="21">
        <f>IF($A109="","",COUNTIFS('業務'!$U$4:$U$200,$A109,'業務'!$A$4:$A$200,"&lt;&gt;",'業務'!$J$4:$J$200,"&lt;&gt;済"))</f>
        <v/>
      </c>
      <c r="AV109" s="21">
        <f>IF($A109="","",COUNTIF('契約'!$C$4:$C$200,$A109))</f>
        <v/>
      </c>
      <c r="AW109" s="21">
        <f>IF($A109="","",COUNTIFS('業務'!$U$4:$U$200,$A109,'業務'!$A$4:$A$200,"&lt;&gt;",'業務'!$S$4:$S$200,"&lt;&gt;",'業務'!$F$4:$F$200,"間接業務"))</f>
        <v/>
      </c>
      <c r="AX109" s="21" t="n"/>
      <c r="AY109" s="18" t="n"/>
      <c r="AZ109" s="18" t="n"/>
      <c r="BA109" s="20" t="n"/>
    </row>
    <row r="110">
      <c r="A110" s="18" t="n"/>
      <c r="B110" s="18" t="n"/>
      <c r="C110" s="18" t="n"/>
      <c r="D110" s="18" t="n"/>
      <c r="E110" s="18" t="n"/>
      <c r="F110" s="18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20">
        <f>IF(COUNT(G110:R110)=0,"",SUM(G110:R110))</f>
        <v/>
      </c>
      <c r="T110" s="19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19" t="n"/>
      <c r="AF110" s="20">
        <f>IF(COUNT(T110:AE110)=0,"",SUM(T110:AE110))</f>
        <v/>
      </c>
      <c r="AG110" s="18" t="n"/>
      <c r="AH110" s="18" t="n"/>
      <c r="AI110" s="18" t="n"/>
      <c r="AJ110" s="18" t="n"/>
      <c r="AK110" s="18" t="n"/>
      <c r="AL110" s="21">
        <f>IF($A110="","",IF(AJ110="いいえ","対象外",IF(AND(AH110="投資予算",AZ110="継続"),"対象外",IF(OR(AH110="",AJ110="",AJ110="未確認",AND(AH110="投資予算",OR(AZ110="",AZ110="未確認")),AM110="判定保留",AN110="判定保留"),"判定保留","移管"))))</f>
        <v/>
      </c>
      <c r="AM110" s="21">
        <f>IF($A110="","",IF(AJ110="いいえ","対象外",IF(AND(AH110="投資予算",AZ110="継続"),"対象外",IF(OR(AJ110="",AJ110="未確認"),"判定保留",IF(AV110=0,"—","移管")))))</f>
        <v/>
      </c>
      <c r="AN110" s="21">
        <f>IF($A110="","",IF(AJ110="いいえ","対象外",IF(AH110="投資予算","—",IF(OR(AH110="",AJ110="",AJ110="未確認",AS110=0,AT110&gt;0,AU110&gt;0),"判定保留","移管"))))</f>
        <v/>
      </c>
      <c r="AO110" s="21">
        <f>IF($A110="","",IF(AL110&lt;&gt;"移管","—",IF(AW110&gt;0,"あり","なし")))</f>
        <v/>
      </c>
      <c r="AP110" s="18" t="n"/>
      <c r="AQ110" s="33" t="n"/>
      <c r="AR110" s="21">
        <f>IF($A110="","",IF(AP110="","ステータス未設定",IF(AND(AL110="対象外",AP110&lt;&gt;"対象外"),"判定は対象外",IF(AND(AL110&lt;&gt;"対象外",AP110="対象外"),"判定は対象外ではない",IF(AND(AL110="判定保留",AP110&lt;&gt;"棚卸し中"),"判定保留が残っている",IF(AND(AL110="移管",AP110="棚卸し中"),"判定保留なし（棚卸し済みへ）",""))))))</f>
        <v/>
      </c>
      <c r="AS110" s="21">
        <f>IF($A110="","",COUNTIFS('紐付け'!$A$4:$A$200,$A110,'紐付け'!$C$4:$C$200,"&lt;&gt;"))</f>
        <v/>
      </c>
      <c r="AT110" s="21">
        <f>IF($A110="","",SUMPRODUCT(('紐付け'!$A$4:$A$200=$A110)*('紐付け'!$C$4:$C$200&lt;&gt;"")*(COUNTIFS('業務'!$C$4:$C$200,'紐付け'!$C$4:$C$200,'業務'!$F$4:$F$200,"間接業務",'業務'!$U$4:$U$200,$A110)=0)))</f>
        <v/>
      </c>
      <c r="AU110" s="21">
        <f>IF($A110="","",COUNTIFS('業務'!$U$4:$U$200,$A110,'業務'!$A$4:$A$200,"&lt;&gt;",'業務'!$J$4:$J$200,"&lt;&gt;済"))</f>
        <v/>
      </c>
      <c r="AV110" s="21">
        <f>IF($A110="","",COUNTIF('契約'!$C$4:$C$200,$A110))</f>
        <v/>
      </c>
      <c r="AW110" s="21">
        <f>IF($A110="","",COUNTIFS('業務'!$U$4:$U$200,$A110,'業務'!$A$4:$A$200,"&lt;&gt;",'業務'!$S$4:$S$200,"&lt;&gt;",'業務'!$F$4:$F$200,"間接業務"))</f>
        <v/>
      </c>
      <c r="AX110" s="21" t="n"/>
      <c r="AY110" s="18" t="n"/>
      <c r="AZ110" s="18" t="n"/>
      <c r="BA110" s="20" t="n"/>
    </row>
    <row r="111">
      <c r="A111" s="18" t="n"/>
      <c r="B111" s="18" t="n"/>
      <c r="C111" s="18" t="n"/>
      <c r="D111" s="18" t="n"/>
      <c r="E111" s="18" t="n"/>
      <c r="F111" s="18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20">
        <f>IF(COUNT(G111:R111)=0,"",SUM(G111:R111))</f>
        <v/>
      </c>
      <c r="T111" s="19" t="n"/>
      <c r="U111" s="19" t="n"/>
      <c r="V111" s="19" t="n"/>
      <c r="W111" s="19" t="n"/>
      <c r="X111" s="19" t="n"/>
      <c r="Y111" s="19" t="n"/>
      <c r="Z111" s="19" t="n"/>
      <c r="AA111" s="19" t="n"/>
      <c r="AB111" s="19" t="n"/>
      <c r="AC111" s="19" t="n"/>
      <c r="AD111" s="19" t="n"/>
      <c r="AE111" s="19" t="n"/>
      <c r="AF111" s="20">
        <f>IF(COUNT(T111:AE111)=0,"",SUM(T111:AE111))</f>
        <v/>
      </c>
      <c r="AG111" s="18" t="n"/>
      <c r="AH111" s="18" t="n"/>
      <c r="AI111" s="18" t="n"/>
      <c r="AJ111" s="18" t="n"/>
      <c r="AK111" s="18" t="n"/>
      <c r="AL111" s="21">
        <f>IF($A111="","",IF(AJ111="いいえ","対象外",IF(AND(AH111="投資予算",AZ111="継続"),"対象外",IF(OR(AH111="",AJ111="",AJ111="未確認",AND(AH111="投資予算",OR(AZ111="",AZ111="未確認")),AM111="判定保留",AN111="判定保留"),"判定保留","移管"))))</f>
        <v/>
      </c>
      <c r="AM111" s="21">
        <f>IF($A111="","",IF(AJ111="いいえ","対象外",IF(AND(AH111="投資予算",AZ111="継続"),"対象外",IF(OR(AJ111="",AJ111="未確認"),"判定保留",IF(AV111=0,"—","移管")))))</f>
        <v/>
      </c>
      <c r="AN111" s="21">
        <f>IF($A111="","",IF(AJ111="いいえ","対象外",IF(AH111="投資予算","—",IF(OR(AH111="",AJ111="",AJ111="未確認",AS111=0,AT111&gt;0,AU111&gt;0),"判定保留","移管"))))</f>
        <v/>
      </c>
      <c r="AO111" s="21">
        <f>IF($A111="","",IF(AL111&lt;&gt;"移管","—",IF(AW111&gt;0,"あり","なし")))</f>
        <v/>
      </c>
      <c r="AP111" s="18" t="n"/>
      <c r="AQ111" s="33" t="n"/>
      <c r="AR111" s="21">
        <f>IF($A111="","",IF(AP111="","ステータス未設定",IF(AND(AL111="対象外",AP111&lt;&gt;"対象外"),"判定は対象外",IF(AND(AL111&lt;&gt;"対象外",AP111="対象外"),"判定は対象外ではない",IF(AND(AL111="判定保留",AP111&lt;&gt;"棚卸し中"),"判定保留が残っている",IF(AND(AL111="移管",AP111="棚卸し中"),"判定保留なし（棚卸し済みへ）",""))))))</f>
        <v/>
      </c>
      <c r="AS111" s="21">
        <f>IF($A111="","",COUNTIFS('紐付け'!$A$4:$A$200,$A111,'紐付け'!$C$4:$C$200,"&lt;&gt;"))</f>
        <v/>
      </c>
      <c r="AT111" s="21">
        <f>IF($A111="","",SUMPRODUCT(('紐付け'!$A$4:$A$200=$A111)*('紐付け'!$C$4:$C$200&lt;&gt;"")*(COUNTIFS('業務'!$C$4:$C$200,'紐付け'!$C$4:$C$200,'業務'!$F$4:$F$200,"間接業務",'業務'!$U$4:$U$200,$A111)=0)))</f>
        <v/>
      </c>
      <c r="AU111" s="21">
        <f>IF($A111="","",COUNTIFS('業務'!$U$4:$U$200,$A111,'業務'!$A$4:$A$200,"&lt;&gt;",'業務'!$J$4:$J$200,"&lt;&gt;済"))</f>
        <v/>
      </c>
      <c r="AV111" s="21">
        <f>IF($A111="","",COUNTIF('契約'!$C$4:$C$200,$A111))</f>
        <v/>
      </c>
      <c r="AW111" s="21">
        <f>IF($A111="","",COUNTIFS('業務'!$U$4:$U$200,$A111,'業務'!$A$4:$A$200,"&lt;&gt;",'業務'!$S$4:$S$200,"&lt;&gt;",'業務'!$F$4:$F$200,"間接業務"))</f>
        <v/>
      </c>
      <c r="AX111" s="21" t="n"/>
      <c r="AY111" s="18" t="n"/>
      <c r="AZ111" s="18" t="n"/>
      <c r="BA111" s="20" t="n"/>
    </row>
    <row r="112">
      <c r="A112" s="18" t="n"/>
      <c r="B112" s="18" t="n"/>
      <c r="C112" s="18" t="n"/>
      <c r="D112" s="18" t="n"/>
      <c r="E112" s="18" t="n"/>
      <c r="F112" s="18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20">
        <f>IF(COUNT(G112:R112)=0,"",SUM(G112:R112))</f>
        <v/>
      </c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20">
        <f>IF(COUNT(T112:AE112)=0,"",SUM(T112:AE112))</f>
        <v/>
      </c>
      <c r="AG112" s="18" t="n"/>
      <c r="AH112" s="18" t="n"/>
      <c r="AI112" s="18" t="n"/>
      <c r="AJ112" s="18" t="n"/>
      <c r="AK112" s="18" t="n"/>
      <c r="AL112" s="21">
        <f>IF($A112="","",IF(AJ112="いいえ","対象外",IF(AND(AH112="投資予算",AZ112="継続"),"対象外",IF(OR(AH112="",AJ112="",AJ112="未確認",AND(AH112="投資予算",OR(AZ112="",AZ112="未確認")),AM112="判定保留",AN112="判定保留"),"判定保留","移管"))))</f>
        <v/>
      </c>
      <c r="AM112" s="21">
        <f>IF($A112="","",IF(AJ112="いいえ","対象外",IF(AND(AH112="投資予算",AZ112="継続"),"対象外",IF(OR(AJ112="",AJ112="未確認"),"判定保留",IF(AV112=0,"—","移管")))))</f>
        <v/>
      </c>
      <c r="AN112" s="21">
        <f>IF($A112="","",IF(AJ112="いいえ","対象外",IF(AH112="投資予算","—",IF(OR(AH112="",AJ112="",AJ112="未確認",AS112=0,AT112&gt;0,AU112&gt;0),"判定保留","移管"))))</f>
        <v/>
      </c>
      <c r="AO112" s="21">
        <f>IF($A112="","",IF(AL112&lt;&gt;"移管","—",IF(AW112&gt;0,"あり","なし")))</f>
        <v/>
      </c>
      <c r="AP112" s="18" t="n"/>
      <c r="AQ112" s="33" t="n"/>
      <c r="AR112" s="21">
        <f>IF($A112="","",IF(AP112="","ステータス未設定",IF(AND(AL112="対象外",AP112&lt;&gt;"対象外"),"判定は対象外",IF(AND(AL112&lt;&gt;"対象外",AP112="対象外"),"判定は対象外ではない",IF(AND(AL112="判定保留",AP112&lt;&gt;"棚卸し中"),"判定保留が残っている",IF(AND(AL112="移管",AP112="棚卸し中"),"判定保留なし（棚卸し済みへ）",""))))))</f>
        <v/>
      </c>
      <c r="AS112" s="21">
        <f>IF($A112="","",COUNTIFS('紐付け'!$A$4:$A$200,$A112,'紐付け'!$C$4:$C$200,"&lt;&gt;"))</f>
        <v/>
      </c>
      <c r="AT112" s="21">
        <f>IF($A112="","",SUMPRODUCT(('紐付け'!$A$4:$A$200=$A112)*('紐付け'!$C$4:$C$200&lt;&gt;"")*(COUNTIFS('業務'!$C$4:$C$200,'紐付け'!$C$4:$C$200,'業務'!$F$4:$F$200,"間接業務",'業務'!$U$4:$U$200,$A112)=0)))</f>
        <v/>
      </c>
      <c r="AU112" s="21">
        <f>IF($A112="","",COUNTIFS('業務'!$U$4:$U$200,$A112,'業務'!$A$4:$A$200,"&lt;&gt;",'業務'!$J$4:$J$200,"&lt;&gt;済"))</f>
        <v/>
      </c>
      <c r="AV112" s="21">
        <f>IF($A112="","",COUNTIF('契約'!$C$4:$C$200,$A112))</f>
        <v/>
      </c>
      <c r="AW112" s="21">
        <f>IF($A112="","",COUNTIFS('業務'!$U$4:$U$200,$A112,'業務'!$A$4:$A$200,"&lt;&gt;",'業務'!$S$4:$S$200,"&lt;&gt;",'業務'!$F$4:$F$200,"間接業務"))</f>
        <v/>
      </c>
      <c r="AX112" s="21" t="n"/>
      <c r="AY112" s="18" t="n"/>
      <c r="AZ112" s="18" t="n"/>
      <c r="BA112" s="20" t="n"/>
    </row>
    <row r="113">
      <c r="A113" s="18" t="n"/>
      <c r="B113" s="18" t="n"/>
      <c r="C113" s="18" t="n"/>
      <c r="D113" s="18" t="n"/>
      <c r="E113" s="18" t="n"/>
      <c r="F113" s="18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20">
        <f>IF(COUNT(G113:R113)=0,"",SUM(G113:R113))</f>
        <v/>
      </c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20">
        <f>IF(COUNT(T113:AE113)=0,"",SUM(T113:AE113))</f>
        <v/>
      </c>
      <c r="AG113" s="18" t="n"/>
      <c r="AH113" s="18" t="n"/>
      <c r="AI113" s="18" t="n"/>
      <c r="AJ113" s="18" t="n"/>
      <c r="AK113" s="18" t="n"/>
      <c r="AL113" s="21">
        <f>IF($A113="","",IF(AJ113="いいえ","対象外",IF(AND(AH113="投資予算",AZ113="継続"),"対象外",IF(OR(AH113="",AJ113="",AJ113="未確認",AND(AH113="投資予算",OR(AZ113="",AZ113="未確認")),AM113="判定保留",AN113="判定保留"),"判定保留","移管"))))</f>
        <v/>
      </c>
      <c r="AM113" s="21">
        <f>IF($A113="","",IF(AJ113="いいえ","対象外",IF(AND(AH113="投資予算",AZ113="継続"),"対象外",IF(OR(AJ113="",AJ113="未確認"),"判定保留",IF(AV113=0,"—","移管")))))</f>
        <v/>
      </c>
      <c r="AN113" s="21">
        <f>IF($A113="","",IF(AJ113="いいえ","対象外",IF(AH113="投資予算","—",IF(OR(AH113="",AJ113="",AJ113="未確認",AS113=0,AT113&gt;0,AU113&gt;0),"判定保留","移管"))))</f>
        <v/>
      </c>
      <c r="AO113" s="21">
        <f>IF($A113="","",IF(AL113&lt;&gt;"移管","—",IF(AW113&gt;0,"あり","なし")))</f>
        <v/>
      </c>
      <c r="AP113" s="18" t="n"/>
      <c r="AQ113" s="33" t="n"/>
      <c r="AR113" s="21">
        <f>IF($A113="","",IF(AP113="","ステータス未設定",IF(AND(AL113="対象外",AP113&lt;&gt;"対象外"),"判定は対象外",IF(AND(AL113&lt;&gt;"対象外",AP113="対象外"),"判定は対象外ではない",IF(AND(AL113="判定保留",AP113&lt;&gt;"棚卸し中"),"判定保留が残っている",IF(AND(AL113="移管",AP113="棚卸し中"),"判定保留なし（棚卸し済みへ）",""))))))</f>
        <v/>
      </c>
      <c r="AS113" s="21">
        <f>IF($A113="","",COUNTIFS('紐付け'!$A$4:$A$200,$A113,'紐付け'!$C$4:$C$200,"&lt;&gt;"))</f>
        <v/>
      </c>
      <c r="AT113" s="21">
        <f>IF($A113="","",SUMPRODUCT(('紐付け'!$A$4:$A$200=$A113)*('紐付け'!$C$4:$C$200&lt;&gt;"")*(COUNTIFS('業務'!$C$4:$C$200,'紐付け'!$C$4:$C$200,'業務'!$F$4:$F$200,"間接業務",'業務'!$U$4:$U$200,$A113)=0)))</f>
        <v/>
      </c>
      <c r="AU113" s="21">
        <f>IF($A113="","",COUNTIFS('業務'!$U$4:$U$200,$A113,'業務'!$A$4:$A$200,"&lt;&gt;",'業務'!$J$4:$J$200,"&lt;&gt;済"))</f>
        <v/>
      </c>
      <c r="AV113" s="21">
        <f>IF($A113="","",COUNTIF('契約'!$C$4:$C$200,$A113))</f>
        <v/>
      </c>
      <c r="AW113" s="21">
        <f>IF($A113="","",COUNTIFS('業務'!$U$4:$U$200,$A113,'業務'!$A$4:$A$200,"&lt;&gt;",'業務'!$S$4:$S$200,"&lt;&gt;",'業務'!$F$4:$F$200,"間接業務"))</f>
        <v/>
      </c>
      <c r="AX113" s="21" t="n"/>
      <c r="AY113" s="18" t="n"/>
      <c r="AZ113" s="18" t="n"/>
      <c r="BA113" s="20" t="n"/>
    </row>
    <row r="114">
      <c r="A114" s="18" t="n"/>
      <c r="B114" s="18" t="n"/>
      <c r="C114" s="18" t="n"/>
      <c r="D114" s="18" t="n"/>
      <c r="E114" s="18" t="n"/>
      <c r="F114" s="18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20">
        <f>IF(COUNT(G114:R114)=0,"",SUM(G114:R114))</f>
        <v/>
      </c>
      <c r="T114" s="19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19" t="n"/>
      <c r="AE114" s="19" t="n"/>
      <c r="AF114" s="20">
        <f>IF(COUNT(T114:AE114)=0,"",SUM(T114:AE114))</f>
        <v/>
      </c>
      <c r="AG114" s="18" t="n"/>
      <c r="AH114" s="18" t="n"/>
      <c r="AI114" s="18" t="n"/>
      <c r="AJ114" s="18" t="n"/>
      <c r="AK114" s="18" t="n"/>
      <c r="AL114" s="21">
        <f>IF($A114="","",IF(AJ114="いいえ","対象外",IF(AND(AH114="投資予算",AZ114="継続"),"対象外",IF(OR(AH114="",AJ114="",AJ114="未確認",AND(AH114="投資予算",OR(AZ114="",AZ114="未確認")),AM114="判定保留",AN114="判定保留"),"判定保留","移管"))))</f>
        <v/>
      </c>
      <c r="AM114" s="21">
        <f>IF($A114="","",IF(AJ114="いいえ","対象外",IF(AND(AH114="投資予算",AZ114="継続"),"対象外",IF(OR(AJ114="",AJ114="未確認"),"判定保留",IF(AV114=0,"—","移管")))))</f>
        <v/>
      </c>
      <c r="AN114" s="21">
        <f>IF($A114="","",IF(AJ114="いいえ","対象外",IF(AH114="投資予算","—",IF(OR(AH114="",AJ114="",AJ114="未確認",AS114=0,AT114&gt;0,AU114&gt;0),"判定保留","移管"))))</f>
        <v/>
      </c>
      <c r="AO114" s="21">
        <f>IF($A114="","",IF(AL114&lt;&gt;"移管","—",IF(AW114&gt;0,"あり","なし")))</f>
        <v/>
      </c>
      <c r="AP114" s="18" t="n"/>
      <c r="AQ114" s="33" t="n"/>
      <c r="AR114" s="21">
        <f>IF($A114="","",IF(AP114="","ステータス未設定",IF(AND(AL114="対象外",AP114&lt;&gt;"対象外"),"判定は対象外",IF(AND(AL114&lt;&gt;"対象外",AP114="対象外"),"判定は対象外ではない",IF(AND(AL114="判定保留",AP114&lt;&gt;"棚卸し中"),"判定保留が残っている",IF(AND(AL114="移管",AP114="棚卸し中"),"判定保留なし（棚卸し済みへ）",""))))))</f>
        <v/>
      </c>
      <c r="AS114" s="21">
        <f>IF($A114="","",COUNTIFS('紐付け'!$A$4:$A$200,$A114,'紐付け'!$C$4:$C$200,"&lt;&gt;"))</f>
        <v/>
      </c>
      <c r="AT114" s="21">
        <f>IF($A114="","",SUMPRODUCT(('紐付け'!$A$4:$A$200=$A114)*('紐付け'!$C$4:$C$200&lt;&gt;"")*(COUNTIFS('業務'!$C$4:$C$200,'紐付け'!$C$4:$C$200,'業務'!$F$4:$F$200,"間接業務",'業務'!$U$4:$U$200,$A114)=0)))</f>
        <v/>
      </c>
      <c r="AU114" s="21">
        <f>IF($A114="","",COUNTIFS('業務'!$U$4:$U$200,$A114,'業務'!$A$4:$A$200,"&lt;&gt;",'業務'!$J$4:$J$200,"&lt;&gt;済"))</f>
        <v/>
      </c>
      <c r="AV114" s="21">
        <f>IF($A114="","",COUNTIF('契約'!$C$4:$C$200,$A114))</f>
        <v/>
      </c>
      <c r="AW114" s="21">
        <f>IF($A114="","",COUNTIFS('業務'!$U$4:$U$200,$A114,'業務'!$A$4:$A$200,"&lt;&gt;",'業務'!$S$4:$S$200,"&lt;&gt;",'業務'!$F$4:$F$200,"間接業務"))</f>
        <v/>
      </c>
      <c r="AX114" s="21" t="n"/>
      <c r="AY114" s="18" t="n"/>
      <c r="AZ114" s="18" t="n"/>
      <c r="BA114" s="20" t="n"/>
    </row>
    <row r="115">
      <c r="A115" s="18" t="n"/>
      <c r="B115" s="18" t="n"/>
      <c r="C115" s="18" t="n"/>
      <c r="D115" s="18" t="n"/>
      <c r="E115" s="18" t="n"/>
      <c r="F115" s="18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20">
        <f>IF(COUNT(G115:R115)=0,"",SUM(G115:R115))</f>
        <v/>
      </c>
      <c r="T115" s="19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20">
        <f>IF(COUNT(T115:AE115)=0,"",SUM(T115:AE115))</f>
        <v/>
      </c>
      <c r="AG115" s="18" t="n"/>
      <c r="AH115" s="18" t="n"/>
      <c r="AI115" s="18" t="n"/>
      <c r="AJ115" s="18" t="n"/>
      <c r="AK115" s="18" t="n"/>
      <c r="AL115" s="21">
        <f>IF($A115="","",IF(AJ115="いいえ","対象外",IF(AND(AH115="投資予算",AZ115="継続"),"対象外",IF(OR(AH115="",AJ115="",AJ115="未確認",AND(AH115="投資予算",OR(AZ115="",AZ115="未確認")),AM115="判定保留",AN115="判定保留"),"判定保留","移管"))))</f>
        <v/>
      </c>
      <c r="AM115" s="21">
        <f>IF($A115="","",IF(AJ115="いいえ","対象外",IF(AND(AH115="投資予算",AZ115="継続"),"対象外",IF(OR(AJ115="",AJ115="未確認"),"判定保留",IF(AV115=0,"—","移管")))))</f>
        <v/>
      </c>
      <c r="AN115" s="21">
        <f>IF($A115="","",IF(AJ115="いいえ","対象外",IF(AH115="投資予算","—",IF(OR(AH115="",AJ115="",AJ115="未確認",AS115=0,AT115&gt;0,AU115&gt;0),"判定保留","移管"))))</f>
        <v/>
      </c>
      <c r="AO115" s="21">
        <f>IF($A115="","",IF(AL115&lt;&gt;"移管","—",IF(AW115&gt;0,"あり","なし")))</f>
        <v/>
      </c>
      <c r="AP115" s="18" t="n"/>
      <c r="AQ115" s="33" t="n"/>
      <c r="AR115" s="21">
        <f>IF($A115="","",IF(AP115="","ステータス未設定",IF(AND(AL115="対象外",AP115&lt;&gt;"対象外"),"判定は対象外",IF(AND(AL115&lt;&gt;"対象外",AP115="対象外"),"判定は対象外ではない",IF(AND(AL115="判定保留",AP115&lt;&gt;"棚卸し中"),"判定保留が残っている",IF(AND(AL115="移管",AP115="棚卸し中"),"判定保留なし（棚卸し済みへ）",""))))))</f>
        <v/>
      </c>
      <c r="AS115" s="21">
        <f>IF($A115="","",COUNTIFS('紐付け'!$A$4:$A$200,$A115,'紐付け'!$C$4:$C$200,"&lt;&gt;"))</f>
        <v/>
      </c>
      <c r="AT115" s="21">
        <f>IF($A115="","",SUMPRODUCT(('紐付け'!$A$4:$A$200=$A115)*('紐付け'!$C$4:$C$200&lt;&gt;"")*(COUNTIFS('業務'!$C$4:$C$200,'紐付け'!$C$4:$C$200,'業務'!$F$4:$F$200,"間接業務",'業務'!$U$4:$U$200,$A115)=0)))</f>
        <v/>
      </c>
      <c r="AU115" s="21">
        <f>IF($A115="","",COUNTIFS('業務'!$U$4:$U$200,$A115,'業務'!$A$4:$A$200,"&lt;&gt;",'業務'!$J$4:$J$200,"&lt;&gt;済"))</f>
        <v/>
      </c>
      <c r="AV115" s="21">
        <f>IF($A115="","",COUNTIF('契約'!$C$4:$C$200,$A115))</f>
        <v/>
      </c>
      <c r="AW115" s="21">
        <f>IF($A115="","",COUNTIFS('業務'!$U$4:$U$200,$A115,'業務'!$A$4:$A$200,"&lt;&gt;",'業務'!$S$4:$S$200,"&lt;&gt;",'業務'!$F$4:$F$200,"間接業務"))</f>
        <v/>
      </c>
      <c r="AX115" s="21" t="n"/>
      <c r="AY115" s="18" t="n"/>
      <c r="AZ115" s="18" t="n"/>
      <c r="BA115" s="20" t="n"/>
    </row>
    <row r="116">
      <c r="A116" s="18" t="n"/>
      <c r="B116" s="18" t="n"/>
      <c r="C116" s="18" t="n"/>
      <c r="D116" s="18" t="n"/>
      <c r="E116" s="18" t="n"/>
      <c r="F116" s="18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20">
        <f>IF(COUNT(G116:R116)=0,"",SUM(G116:R116))</f>
        <v/>
      </c>
      <c r="T116" s="19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20">
        <f>IF(COUNT(T116:AE116)=0,"",SUM(T116:AE116))</f>
        <v/>
      </c>
      <c r="AG116" s="18" t="n"/>
      <c r="AH116" s="18" t="n"/>
      <c r="AI116" s="18" t="n"/>
      <c r="AJ116" s="18" t="n"/>
      <c r="AK116" s="18" t="n"/>
      <c r="AL116" s="21">
        <f>IF($A116="","",IF(AJ116="いいえ","対象外",IF(AND(AH116="投資予算",AZ116="継続"),"対象外",IF(OR(AH116="",AJ116="",AJ116="未確認",AND(AH116="投資予算",OR(AZ116="",AZ116="未確認")),AM116="判定保留",AN116="判定保留"),"判定保留","移管"))))</f>
        <v/>
      </c>
      <c r="AM116" s="21">
        <f>IF($A116="","",IF(AJ116="いいえ","対象外",IF(AND(AH116="投資予算",AZ116="継続"),"対象外",IF(OR(AJ116="",AJ116="未確認"),"判定保留",IF(AV116=0,"—","移管")))))</f>
        <v/>
      </c>
      <c r="AN116" s="21">
        <f>IF($A116="","",IF(AJ116="いいえ","対象外",IF(AH116="投資予算","—",IF(OR(AH116="",AJ116="",AJ116="未確認",AS116=0,AT116&gt;0,AU116&gt;0),"判定保留","移管"))))</f>
        <v/>
      </c>
      <c r="AO116" s="21">
        <f>IF($A116="","",IF(AL116&lt;&gt;"移管","—",IF(AW116&gt;0,"あり","なし")))</f>
        <v/>
      </c>
      <c r="AP116" s="18" t="n"/>
      <c r="AQ116" s="33" t="n"/>
      <c r="AR116" s="21">
        <f>IF($A116="","",IF(AP116="","ステータス未設定",IF(AND(AL116="対象外",AP116&lt;&gt;"対象外"),"判定は対象外",IF(AND(AL116&lt;&gt;"対象外",AP116="対象外"),"判定は対象外ではない",IF(AND(AL116="判定保留",AP116&lt;&gt;"棚卸し中"),"判定保留が残っている",IF(AND(AL116="移管",AP116="棚卸し中"),"判定保留なし（棚卸し済みへ）",""))))))</f>
        <v/>
      </c>
      <c r="AS116" s="21">
        <f>IF($A116="","",COUNTIFS('紐付け'!$A$4:$A$200,$A116,'紐付け'!$C$4:$C$200,"&lt;&gt;"))</f>
        <v/>
      </c>
      <c r="AT116" s="21">
        <f>IF($A116="","",SUMPRODUCT(('紐付け'!$A$4:$A$200=$A116)*('紐付け'!$C$4:$C$200&lt;&gt;"")*(COUNTIFS('業務'!$C$4:$C$200,'紐付け'!$C$4:$C$200,'業務'!$F$4:$F$200,"間接業務",'業務'!$U$4:$U$200,$A116)=0)))</f>
        <v/>
      </c>
      <c r="AU116" s="21">
        <f>IF($A116="","",COUNTIFS('業務'!$U$4:$U$200,$A116,'業務'!$A$4:$A$200,"&lt;&gt;",'業務'!$J$4:$J$200,"&lt;&gt;済"))</f>
        <v/>
      </c>
      <c r="AV116" s="21">
        <f>IF($A116="","",COUNTIF('契約'!$C$4:$C$200,$A116))</f>
        <v/>
      </c>
      <c r="AW116" s="21">
        <f>IF($A116="","",COUNTIFS('業務'!$U$4:$U$200,$A116,'業務'!$A$4:$A$200,"&lt;&gt;",'業務'!$S$4:$S$200,"&lt;&gt;",'業務'!$F$4:$F$200,"間接業務"))</f>
        <v/>
      </c>
      <c r="AX116" s="21" t="n"/>
      <c r="AY116" s="18" t="n"/>
      <c r="AZ116" s="18" t="n"/>
      <c r="BA116" s="20" t="n"/>
    </row>
    <row r="117">
      <c r="A117" s="18" t="n"/>
      <c r="B117" s="18" t="n"/>
      <c r="C117" s="18" t="n"/>
      <c r="D117" s="18" t="n"/>
      <c r="E117" s="18" t="n"/>
      <c r="F117" s="18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20">
        <f>IF(COUNT(G117:R117)=0,"",SUM(G117:R117))</f>
        <v/>
      </c>
      <c r="T117" s="19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  <c r="AC117" s="19" t="n"/>
      <c r="AD117" s="19" t="n"/>
      <c r="AE117" s="19" t="n"/>
      <c r="AF117" s="20">
        <f>IF(COUNT(T117:AE117)=0,"",SUM(T117:AE117))</f>
        <v/>
      </c>
      <c r="AG117" s="18" t="n"/>
      <c r="AH117" s="18" t="n"/>
      <c r="AI117" s="18" t="n"/>
      <c r="AJ117" s="18" t="n"/>
      <c r="AK117" s="18" t="n"/>
      <c r="AL117" s="21">
        <f>IF($A117="","",IF(AJ117="いいえ","対象外",IF(AND(AH117="投資予算",AZ117="継続"),"対象外",IF(OR(AH117="",AJ117="",AJ117="未確認",AND(AH117="投資予算",OR(AZ117="",AZ117="未確認")),AM117="判定保留",AN117="判定保留"),"判定保留","移管"))))</f>
        <v/>
      </c>
      <c r="AM117" s="21">
        <f>IF($A117="","",IF(AJ117="いいえ","対象外",IF(AND(AH117="投資予算",AZ117="継続"),"対象外",IF(OR(AJ117="",AJ117="未確認"),"判定保留",IF(AV117=0,"—","移管")))))</f>
        <v/>
      </c>
      <c r="AN117" s="21">
        <f>IF($A117="","",IF(AJ117="いいえ","対象外",IF(AH117="投資予算","—",IF(OR(AH117="",AJ117="",AJ117="未確認",AS117=0,AT117&gt;0,AU117&gt;0),"判定保留","移管"))))</f>
        <v/>
      </c>
      <c r="AO117" s="21">
        <f>IF($A117="","",IF(AL117&lt;&gt;"移管","—",IF(AW117&gt;0,"あり","なし")))</f>
        <v/>
      </c>
      <c r="AP117" s="18" t="n"/>
      <c r="AQ117" s="33" t="n"/>
      <c r="AR117" s="21">
        <f>IF($A117="","",IF(AP117="","ステータス未設定",IF(AND(AL117="対象外",AP117&lt;&gt;"対象外"),"判定は対象外",IF(AND(AL117&lt;&gt;"対象外",AP117="対象外"),"判定は対象外ではない",IF(AND(AL117="判定保留",AP117&lt;&gt;"棚卸し中"),"判定保留が残っている",IF(AND(AL117="移管",AP117="棚卸し中"),"判定保留なし（棚卸し済みへ）",""))))))</f>
        <v/>
      </c>
      <c r="AS117" s="21">
        <f>IF($A117="","",COUNTIFS('紐付け'!$A$4:$A$200,$A117,'紐付け'!$C$4:$C$200,"&lt;&gt;"))</f>
        <v/>
      </c>
      <c r="AT117" s="21">
        <f>IF($A117="","",SUMPRODUCT(('紐付け'!$A$4:$A$200=$A117)*('紐付け'!$C$4:$C$200&lt;&gt;"")*(COUNTIFS('業務'!$C$4:$C$200,'紐付け'!$C$4:$C$200,'業務'!$F$4:$F$200,"間接業務",'業務'!$U$4:$U$200,$A117)=0)))</f>
        <v/>
      </c>
      <c r="AU117" s="21">
        <f>IF($A117="","",COUNTIFS('業務'!$U$4:$U$200,$A117,'業務'!$A$4:$A$200,"&lt;&gt;",'業務'!$J$4:$J$200,"&lt;&gt;済"))</f>
        <v/>
      </c>
      <c r="AV117" s="21">
        <f>IF($A117="","",COUNTIF('契約'!$C$4:$C$200,$A117))</f>
        <v/>
      </c>
      <c r="AW117" s="21">
        <f>IF($A117="","",COUNTIFS('業務'!$U$4:$U$200,$A117,'業務'!$A$4:$A$200,"&lt;&gt;",'業務'!$S$4:$S$200,"&lt;&gt;",'業務'!$F$4:$F$200,"間接業務"))</f>
        <v/>
      </c>
      <c r="AX117" s="21" t="n"/>
      <c r="AY117" s="18" t="n"/>
      <c r="AZ117" s="18" t="n"/>
      <c r="BA117" s="20" t="n"/>
    </row>
    <row r="118">
      <c r="A118" s="18" t="n"/>
      <c r="B118" s="18" t="n"/>
      <c r="C118" s="18" t="n"/>
      <c r="D118" s="18" t="n"/>
      <c r="E118" s="18" t="n"/>
      <c r="F118" s="18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20">
        <f>IF(COUNT(G118:R118)=0,"",SUM(G118:R118))</f>
        <v/>
      </c>
      <c r="T118" s="19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  <c r="AC118" s="19" t="n"/>
      <c r="AD118" s="19" t="n"/>
      <c r="AE118" s="19" t="n"/>
      <c r="AF118" s="20">
        <f>IF(COUNT(T118:AE118)=0,"",SUM(T118:AE118))</f>
        <v/>
      </c>
      <c r="AG118" s="18" t="n"/>
      <c r="AH118" s="18" t="n"/>
      <c r="AI118" s="18" t="n"/>
      <c r="AJ118" s="18" t="n"/>
      <c r="AK118" s="18" t="n"/>
      <c r="AL118" s="21">
        <f>IF($A118="","",IF(AJ118="いいえ","対象外",IF(AND(AH118="投資予算",AZ118="継続"),"対象外",IF(OR(AH118="",AJ118="",AJ118="未確認",AND(AH118="投資予算",OR(AZ118="",AZ118="未確認")),AM118="判定保留",AN118="判定保留"),"判定保留","移管"))))</f>
        <v/>
      </c>
      <c r="AM118" s="21">
        <f>IF($A118="","",IF(AJ118="いいえ","対象外",IF(AND(AH118="投資予算",AZ118="継続"),"対象外",IF(OR(AJ118="",AJ118="未確認"),"判定保留",IF(AV118=0,"—","移管")))))</f>
        <v/>
      </c>
      <c r="AN118" s="21">
        <f>IF($A118="","",IF(AJ118="いいえ","対象外",IF(AH118="投資予算","—",IF(OR(AH118="",AJ118="",AJ118="未確認",AS118=0,AT118&gt;0,AU118&gt;0),"判定保留","移管"))))</f>
        <v/>
      </c>
      <c r="AO118" s="21">
        <f>IF($A118="","",IF(AL118&lt;&gt;"移管","—",IF(AW118&gt;0,"あり","なし")))</f>
        <v/>
      </c>
      <c r="AP118" s="18" t="n"/>
      <c r="AQ118" s="33" t="n"/>
      <c r="AR118" s="21">
        <f>IF($A118="","",IF(AP118="","ステータス未設定",IF(AND(AL118="対象外",AP118&lt;&gt;"対象外"),"判定は対象外",IF(AND(AL118&lt;&gt;"対象外",AP118="対象外"),"判定は対象外ではない",IF(AND(AL118="判定保留",AP118&lt;&gt;"棚卸し中"),"判定保留が残っている",IF(AND(AL118="移管",AP118="棚卸し中"),"判定保留なし（棚卸し済みへ）",""))))))</f>
        <v/>
      </c>
      <c r="AS118" s="21">
        <f>IF($A118="","",COUNTIFS('紐付け'!$A$4:$A$200,$A118,'紐付け'!$C$4:$C$200,"&lt;&gt;"))</f>
        <v/>
      </c>
      <c r="AT118" s="21">
        <f>IF($A118="","",SUMPRODUCT(('紐付け'!$A$4:$A$200=$A118)*('紐付け'!$C$4:$C$200&lt;&gt;"")*(COUNTIFS('業務'!$C$4:$C$200,'紐付け'!$C$4:$C$200,'業務'!$F$4:$F$200,"間接業務",'業務'!$U$4:$U$200,$A118)=0)))</f>
        <v/>
      </c>
      <c r="AU118" s="21">
        <f>IF($A118="","",COUNTIFS('業務'!$U$4:$U$200,$A118,'業務'!$A$4:$A$200,"&lt;&gt;",'業務'!$J$4:$J$200,"&lt;&gt;済"))</f>
        <v/>
      </c>
      <c r="AV118" s="21">
        <f>IF($A118="","",COUNTIF('契約'!$C$4:$C$200,$A118))</f>
        <v/>
      </c>
      <c r="AW118" s="21">
        <f>IF($A118="","",COUNTIFS('業務'!$U$4:$U$200,$A118,'業務'!$A$4:$A$200,"&lt;&gt;",'業務'!$S$4:$S$200,"&lt;&gt;",'業務'!$F$4:$F$200,"間接業務"))</f>
        <v/>
      </c>
      <c r="AX118" s="21" t="n"/>
      <c r="AY118" s="18" t="n"/>
      <c r="AZ118" s="18" t="n"/>
      <c r="BA118" s="20" t="n"/>
    </row>
    <row r="119">
      <c r="A119" s="18" t="n"/>
      <c r="B119" s="18" t="n"/>
      <c r="C119" s="18" t="n"/>
      <c r="D119" s="18" t="n"/>
      <c r="E119" s="18" t="n"/>
      <c r="F119" s="18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20">
        <f>IF(COUNT(G119:R119)=0,"",SUM(G119:R119))</f>
        <v/>
      </c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20">
        <f>IF(COUNT(T119:AE119)=0,"",SUM(T119:AE119))</f>
        <v/>
      </c>
      <c r="AG119" s="18" t="n"/>
      <c r="AH119" s="18" t="n"/>
      <c r="AI119" s="18" t="n"/>
      <c r="AJ119" s="18" t="n"/>
      <c r="AK119" s="18" t="n"/>
      <c r="AL119" s="21">
        <f>IF($A119="","",IF(AJ119="いいえ","対象外",IF(AND(AH119="投資予算",AZ119="継続"),"対象外",IF(OR(AH119="",AJ119="",AJ119="未確認",AND(AH119="投資予算",OR(AZ119="",AZ119="未確認")),AM119="判定保留",AN119="判定保留"),"判定保留","移管"))))</f>
        <v/>
      </c>
      <c r="AM119" s="21">
        <f>IF($A119="","",IF(AJ119="いいえ","対象外",IF(AND(AH119="投資予算",AZ119="継続"),"対象外",IF(OR(AJ119="",AJ119="未確認"),"判定保留",IF(AV119=0,"—","移管")))))</f>
        <v/>
      </c>
      <c r="AN119" s="21">
        <f>IF($A119="","",IF(AJ119="いいえ","対象外",IF(AH119="投資予算","—",IF(OR(AH119="",AJ119="",AJ119="未確認",AS119=0,AT119&gt;0,AU119&gt;0),"判定保留","移管"))))</f>
        <v/>
      </c>
      <c r="AO119" s="21">
        <f>IF($A119="","",IF(AL119&lt;&gt;"移管","—",IF(AW119&gt;0,"あり","なし")))</f>
        <v/>
      </c>
      <c r="AP119" s="18" t="n"/>
      <c r="AQ119" s="33" t="n"/>
      <c r="AR119" s="21">
        <f>IF($A119="","",IF(AP119="","ステータス未設定",IF(AND(AL119="対象外",AP119&lt;&gt;"対象外"),"判定は対象外",IF(AND(AL119&lt;&gt;"対象外",AP119="対象外"),"判定は対象外ではない",IF(AND(AL119="判定保留",AP119&lt;&gt;"棚卸し中"),"判定保留が残っている",IF(AND(AL119="移管",AP119="棚卸し中"),"判定保留なし（棚卸し済みへ）",""))))))</f>
        <v/>
      </c>
      <c r="AS119" s="21">
        <f>IF($A119="","",COUNTIFS('紐付け'!$A$4:$A$200,$A119,'紐付け'!$C$4:$C$200,"&lt;&gt;"))</f>
        <v/>
      </c>
      <c r="AT119" s="21">
        <f>IF($A119="","",SUMPRODUCT(('紐付け'!$A$4:$A$200=$A119)*('紐付け'!$C$4:$C$200&lt;&gt;"")*(COUNTIFS('業務'!$C$4:$C$200,'紐付け'!$C$4:$C$200,'業務'!$F$4:$F$200,"間接業務",'業務'!$U$4:$U$200,$A119)=0)))</f>
        <v/>
      </c>
      <c r="AU119" s="21">
        <f>IF($A119="","",COUNTIFS('業務'!$U$4:$U$200,$A119,'業務'!$A$4:$A$200,"&lt;&gt;",'業務'!$J$4:$J$200,"&lt;&gt;済"))</f>
        <v/>
      </c>
      <c r="AV119" s="21">
        <f>IF($A119="","",COUNTIF('契約'!$C$4:$C$200,$A119))</f>
        <v/>
      </c>
      <c r="AW119" s="21">
        <f>IF($A119="","",COUNTIFS('業務'!$U$4:$U$200,$A119,'業務'!$A$4:$A$200,"&lt;&gt;",'業務'!$S$4:$S$200,"&lt;&gt;",'業務'!$F$4:$F$200,"間接業務"))</f>
        <v/>
      </c>
      <c r="AX119" s="21" t="n"/>
      <c r="AY119" s="18" t="n"/>
      <c r="AZ119" s="18" t="n"/>
      <c r="BA119" s="20" t="n"/>
    </row>
    <row r="120">
      <c r="A120" s="18" t="n"/>
      <c r="B120" s="18" t="n"/>
      <c r="C120" s="18" t="n"/>
      <c r="D120" s="18" t="n"/>
      <c r="E120" s="18" t="n"/>
      <c r="F120" s="18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20">
        <f>IF(COUNT(G120:R120)=0,"",SUM(G120:R120))</f>
        <v/>
      </c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20">
        <f>IF(COUNT(T120:AE120)=0,"",SUM(T120:AE120))</f>
        <v/>
      </c>
      <c r="AG120" s="18" t="n"/>
      <c r="AH120" s="18" t="n"/>
      <c r="AI120" s="18" t="n"/>
      <c r="AJ120" s="18" t="n"/>
      <c r="AK120" s="18" t="n"/>
      <c r="AL120" s="21">
        <f>IF($A120="","",IF(AJ120="いいえ","対象外",IF(AND(AH120="投資予算",AZ120="継続"),"対象外",IF(OR(AH120="",AJ120="",AJ120="未確認",AND(AH120="投資予算",OR(AZ120="",AZ120="未確認")),AM120="判定保留",AN120="判定保留"),"判定保留","移管"))))</f>
        <v/>
      </c>
      <c r="AM120" s="21">
        <f>IF($A120="","",IF(AJ120="いいえ","対象外",IF(AND(AH120="投資予算",AZ120="継続"),"対象外",IF(OR(AJ120="",AJ120="未確認"),"判定保留",IF(AV120=0,"—","移管")))))</f>
        <v/>
      </c>
      <c r="AN120" s="21">
        <f>IF($A120="","",IF(AJ120="いいえ","対象外",IF(AH120="投資予算","—",IF(OR(AH120="",AJ120="",AJ120="未確認",AS120=0,AT120&gt;0,AU120&gt;0),"判定保留","移管"))))</f>
        <v/>
      </c>
      <c r="AO120" s="21">
        <f>IF($A120="","",IF(AL120&lt;&gt;"移管","—",IF(AW120&gt;0,"あり","なし")))</f>
        <v/>
      </c>
      <c r="AP120" s="18" t="n"/>
      <c r="AQ120" s="33" t="n"/>
      <c r="AR120" s="21">
        <f>IF($A120="","",IF(AP120="","ステータス未設定",IF(AND(AL120="対象外",AP120&lt;&gt;"対象外"),"判定は対象外",IF(AND(AL120&lt;&gt;"対象外",AP120="対象外"),"判定は対象外ではない",IF(AND(AL120="判定保留",AP120&lt;&gt;"棚卸し中"),"判定保留が残っている",IF(AND(AL120="移管",AP120="棚卸し中"),"判定保留なし（棚卸し済みへ）",""))))))</f>
        <v/>
      </c>
      <c r="AS120" s="21">
        <f>IF($A120="","",COUNTIFS('紐付け'!$A$4:$A$200,$A120,'紐付け'!$C$4:$C$200,"&lt;&gt;"))</f>
        <v/>
      </c>
      <c r="AT120" s="21">
        <f>IF($A120="","",SUMPRODUCT(('紐付け'!$A$4:$A$200=$A120)*('紐付け'!$C$4:$C$200&lt;&gt;"")*(COUNTIFS('業務'!$C$4:$C$200,'紐付け'!$C$4:$C$200,'業務'!$F$4:$F$200,"間接業務",'業務'!$U$4:$U$200,$A120)=0)))</f>
        <v/>
      </c>
      <c r="AU120" s="21">
        <f>IF($A120="","",COUNTIFS('業務'!$U$4:$U$200,$A120,'業務'!$A$4:$A$200,"&lt;&gt;",'業務'!$J$4:$J$200,"&lt;&gt;済"))</f>
        <v/>
      </c>
      <c r="AV120" s="21">
        <f>IF($A120="","",COUNTIF('契約'!$C$4:$C$200,$A120))</f>
        <v/>
      </c>
      <c r="AW120" s="21">
        <f>IF($A120="","",COUNTIFS('業務'!$U$4:$U$200,$A120,'業務'!$A$4:$A$200,"&lt;&gt;",'業務'!$S$4:$S$200,"&lt;&gt;",'業務'!$F$4:$F$200,"間接業務"))</f>
        <v/>
      </c>
      <c r="AX120" s="21" t="n"/>
      <c r="AY120" s="18" t="n"/>
      <c r="AZ120" s="18" t="n"/>
      <c r="BA120" s="20" t="n"/>
    </row>
    <row r="121">
      <c r="A121" s="18" t="n"/>
      <c r="B121" s="18" t="n"/>
      <c r="C121" s="18" t="n"/>
      <c r="D121" s="18" t="n"/>
      <c r="E121" s="18" t="n"/>
      <c r="F121" s="18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20">
        <f>IF(COUNT(G121:R121)=0,"",SUM(G121:R121))</f>
        <v/>
      </c>
      <c r="T121" s="19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20">
        <f>IF(COUNT(T121:AE121)=0,"",SUM(T121:AE121))</f>
        <v/>
      </c>
      <c r="AG121" s="18" t="n"/>
      <c r="AH121" s="18" t="n"/>
      <c r="AI121" s="18" t="n"/>
      <c r="AJ121" s="18" t="n"/>
      <c r="AK121" s="18" t="n"/>
      <c r="AL121" s="21">
        <f>IF($A121="","",IF(AJ121="いいえ","対象外",IF(AND(AH121="投資予算",AZ121="継続"),"対象外",IF(OR(AH121="",AJ121="",AJ121="未確認",AND(AH121="投資予算",OR(AZ121="",AZ121="未確認")),AM121="判定保留",AN121="判定保留"),"判定保留","移管"))))</f>
        <v/>
      </c>
      <c r="AM121" s="21">
        <f>IF($A121="","",IF(AJ121="いいえ","対象外",IF(AND(AH121="投資予算",AZ121="継続"),"対象外",IF(OR(AJ121="",AJ121="未確認"),"判定保留",IF(AV121=0,"—","移管")))))</f>
        <v/>
      </c>
      <c r="AN121" s="21">
        <f>IF($A121="","",IF(AJ121="いいえ","対象外",IF(AH121="投資予算","—",IF(OR(AH121="",AJ121="",AJ121="未確認",AS121=0,AT121&gt;0,AU121&gt;0),"判定保留","移管"))))</f>
        <v/>
      </c>
      <c r="AO121" s="21">
        <f>IF($A121="","",IF(AL121&lt;&gt;"移管","—",IF(AW121&gt;0,"あり","なし")))</f>
        <v/>
      </c>
      <c r="AP121" s="18" t="n"/>
      <c r="AQ121" s="33" t="n"/>
      <c r="AR121" s="21">
        <f>IF($A121="","",IF(AP121="","ステータス未設定",IF(AND(AL121="対象外",AP121&lt;&gt;"対象外"),"判定は対象外",IF(AND(AL121&lt;&gt;"対象外",AP121="対象外"),"判定は対象外ではない",IF(AND(AL121="判定保留",AP121&lt;&gt;"棚卸し中"),"判定保留が残っている",IF(AND(AL121="移管",AP121="棚卸し中"),"判定保留なし（棚卸し済みへ）",""))))))</f>
        <v/>
      </c>
      <c r="AS121" s="21">
        <f>IF($A121="","",COUNTIFS('紐付け'!$A$4:$A$200,$A121,'紐付け'!$C$4:$C$200,"&lt;&gt;"))</f>
        <v/>
      </c>
      <c r="AT121" s="21">
        <f>IF($A121="","",SUMPRODUCT(('紐付け'!$A$4:$A$200=$A121)*('紐付け'!$C$4:$C$200&lt;&gt;"")*(COUNTIFS('業務'!$C$4:$C$200,'紐付け'!$C$4:$C$200,'業務'!$F$4:$F$200,"間接業務",'業務'!$U$4:$U$200,$A121)=0)))</f>
        <v/>
      </c>
      <c r="AU121" s="21">
        <f>IF($A121="","",COUNTIFS('業務'!$U$4:$U$200,$A121,'業務'!$A$4:$A$200,"&lt;&gt;",'業務'!$J$4:$J$200,"&lt;&gt;済"))</f>
        <v/>
      </c>
      <c r="AV121" s="21">
        <f>IF($A121="","",COUNTIF('契約'!$C$4:$C$200,$A121))</f>
        <v/>
      </c>
      <c r="AW121" s="21">
        <f>IF($A121="","",COUNTIFS('業務'!$U$4:$U$200,$A121,'業務'!$A$4:$A$200,"&lt;&gt;",'業務'!$S$4:$S$200,"&lt;&gt;",'業務'!$F$4:$F$200,"間接業務"))</f>
        <v/>
      </c>
      <c r="AX121" s="21" t="n"/>
      <c r="AY121" s="18" t="n"/>
      <c r="AZ121" s="18" t="n"/>
      <c r="BA121" s="20" t="n"/>
    </row>
    <row r="122">
      <c r="A122" s="18" t="n"/>
      <c r="B122" s="18" t="n"/>
      <c r="C122" s="18" t="n"/>
      <c r="D122" s="18" t="n"/>
      <c r="E122" s="18" t="n"/>
      <c r="F122" s="18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20">
        <f>IF(COUNT(G122:R122)=0,"",SUM(G122:R122))</f>
        <v/>
      </c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20">
        <f>IF(COUNT(T122:AE122)=0,"",SUM(T122:AE122))</f>
        <v/>
      </c>
      <c r="AG122" s="18" t="n"/>
      <c r="AH122" s="18" t="n"/>
      <c r="AI122" s="18" t="n"/>
      <c r="AJ122" s="18" t="n"/>
      <c r="AK122" s="18" t="n"/>
      <c r="AL122" s="21">
        <f>IF($A122="","",IF(AJ122="いいえ","対象外",IF(AND(AH122="投資予算",AZ122="継続"),"対象外",IF(OR(AH122="",AJ122="",AJ122="未確認",AND(AH122="投資予算",OR(AZ122="",AZ122="未確認")),AM122="判定保留",AN122="判定保留"),"判定保留","移管"))))</f>
        <v/>
      </c>
      <c r="AM122" s="21">
        <f>IF($A122="","",IF(AJ122="いいえ","対象外",IF(AND(AH122="投資予算",AZ122="継続"),"対象外",IF(OR(AJ122="",AJ122="未確認"),"判定保留",IF(AV122=0,"—","移管")))))</f>
        <v/>
      </c>
      <c r="AN122" s="21">
        <f>IF($A122="","",IF(AJ122="いいえ","対象外",IF(AH122="投資予算","—",IF(OR(AH122="",AJ122="",AJ122="未確認",AS122=0,AT122&gt;0,AU122&gt;0),"判定保留","移管"))))</f>
        <v/>
      </c>
      <c r="AO122" s="21">
        <f>IF($A122="","",IF(AL122&lt;&gt;"移管","—",IF(AW122&gt;0,"あり","なし")))</f>
        <v/>
      </c>
      <c r="AP122" s="18" t="n"/>
      <c r="AQ122" s="33" t="n"/>
      <c r="AR122" s="21">
        <f>IF($A122="","",IF(AP122="","ステータス未設定",IF(AND(AL122="対象外",AP122&lt;&gt;"対象外"),"判定は対象外",IF(AND(AL122&lt;&gt;"対象外",AP122="対象外"),"判定は対象外ではない",IF(AND(AL122="判定保留",AP122&lt;&gt;"棚卸し中"),"判定保留が残っている",IF(AND(AL122="移管",AP122="棚卸し中"),"判定保留なし（棚卸し済みへ）",""))))))</f>
        <v/>
      </c>
      <c r="AS122" s="21">
        <f>IF($A122="","",COUNTIFS('紐付け'!$A$4:$A$200,$A122,'紐付け'!$C$4:$C$200,"&lt;&gt;"))</f>
        <v/>
      </c>
      <c r="AT122" s="21">
        <f>IF($A122="","",SUMPRODUCT(('紐付け'!$A$4:$A$200=$A122)*('紐付け'!$C$4:$C$200&lt;&gt;"")*(COUNTIFS('業務'!$C$4:$C$200,'紐付け'!$C$4:$C$200,'業務'!$F$4:$F$200,"間接業務",'業務'!$U$4:$U$200,$A122)=0)))</f>
        <v/>
      </c>
      <c r="AU122" s="21">
        <f>IF($A122="","",COUNTIFS('業務'!$U$4:$U$200,$A122,'業務'!$A$4:$A$200,"&lt;&gt;",'業務'!$J$4:$J$200,"&lt;&gt;済"))</f>
        <v/>
      </c>
      <c r="AV122" s="21">
        <f>IF($A122="","",COUNTIF('契約'!$C$4:$C$200,$A122))</f>
        <v/>
      </c>
      <c r="AW122" s="21">
        <f>IF($A122="","",COUNTIFS('業務'!$U$4:$U$200,$A122,'業務'!$A$4:$A$200,"&lt;&gt;",'業務'!$S$4:$S$200,"&lt;&gt;",'業務'!$F$4:$F$200,"間接業務"))</f>
        <v/>
      </c>
      <c r="AX122" s="21" t="n"/>
      <c r="AY122" s="18" t="n"/>
      <c r="AZ122" s="18" t="n"/>
      <c r="BA122" s="20" t="n"/>
    </row>
    <row r="123">
      <c r="A123" s="18" t="n"/>
      <c r="B123" s="18" t="n"/>
      <c r="C123" s="18" t="n"/>
      <c r="D123" s="18" t="n"/>
      <c r="E123" s="18" t="n"/>
      <c r="F123" s="18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20">
        <f>IF(COUNT(G123:R123)=0,"",SUM(G123:R123))</f>
        <v/>
      </c>
      <c r="T123" s="19" t="n"/>
      <c r="U123" s="19" t="n"/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20">
        <f>IF(COUNT(T123:AE123)=0,"",SUM(T123:AE123))</f>
        <v/>
      </c>
      <c r="AG123" s="18" t="n"/>
      <c r="AH123" s="18" t="n"/>
      <c r="AI123" s="18" t="n"/>
      <c r="AJ123" s="18" t="n"/>
      <c r="AK123" s="18" t="n"/>
      <c r="AL123" s="21">
        <f>IF($A123="","",IF(AJ123="いいえ","対象外",IF(AND(AH123="投資予算",AZ123="継続"),"対象外",IF(OR(AH123="",AJ123="",AJ123="未確認",AND(AH123="投資予算",OR(AZ123="",AZ123="未確認")),AM123="判定保留",AN123="判定保留"),"判定保留","移管"))))</f>
        <v/>
      </c>
      <c r="AM123" s="21">
        <f>IF($A123="","",IF(AJ123="いいえ","対象外",IF(AND(AH123="投資予算",AZ123="継続"),"対象外",IF(OR(AJ123="",AJ123="未確認"),"判定保留",IF(AV123=0,"—","移管")))))</f>
        <v/>
      </c>
      <c r="AN123" s="21">
        <f>IF($A123="","",IF(AJ123="いいえ","対象外",IF(AH123="投資予算","—",IF(OR(AH123="",AJ123="",AJ123="未確認",AS123=0,AT123&gt;0,AU123&gt;0),"判定保留","移管"))))</f>
        <v/>
      </c>
      <c r="AO123" s="21">
        <f>IF($A123="","",IF(AL123&lt;&gt;"移管","—",IF(AW123&gt;0,"あり","なし")))</f>
        <v/>
      </c>
      <c r="AP123" s="18" t="n"/>
      <c r="AQ123" s="33" t="n"/>
      <c r="AR123" s="21">
        <f>IF($A123="","",IF(AP123="","ステータス未設定",IF(AND(AL123="対象外",AP123&lt;&gt;"対象外"),"判定は対象外",IF(AND(AL123&lt;&gt;"対象外",AP123="対象外"),"判定は対象外ではない",IF(AND(AL123="判定保留",AP123&lt;&gt;"棚卸し中"),"判定保留が残っている",IF(AND(AL123="移管",AP123="棚卸し中"),"判定保留なし（棚卸し済みへ）",""))))))</f>
        <v/>
      </c>
      <c r="AS123" s="21">
        <f>IF($A123="","",COUNTIFS('紐付け'!$A$4:$A$200,$A123,'紐付け'!$C$4:$C$200,"&lt;&gt;"))</f>
        <v/>
      </c>
      <c r="AT123" s="21">
        <f>IF($A123="","",SUMPRODUCT(('紐付け'!$A$4:$A$200=$A123)*('紐付け'!$C$4:$C$200&lt;&gt;"")*(COUNTIFS('業務'!$C$4:$C$200,'紐付け'!$C$4:$C$200,'業務'!$F$4:$F$200,"間接業務",'業務'!$U$4:$U$200,$A123)=0)))</f>
        <v/>
      </c>
      <c r="AU123" s="21">
        <f>IF($A123="","",COUNTIFS('業務'!$U$4:$U$200,$A123,'業務'!$A$4:$A$200,"&lt;&gt;",'業務'!$J$4:$J$200,"&lt;&gt;済"))</f>
        <v/>
      </c>
      <c r="AV123" s="21">
        <f>IF($A123="","",COUNTIF('契約'!$C$4:$C$200,$A123))</f>
        <v/>
      </c>
      <c r="AW123" s="21">
        <f>IF($A123="","",COUNTIFS('業務'!$U$4:$U$200,$A123,'業務'!$A$4:$A$200,"&lt;&gt;",'業務'!$S$4:$S$200,"&lt;&gt;",'業務'!$F$4:$F$200,"間接業務"))</f>
        <v/>
      </c>
      <c r="AX123" s="21" t="n"/>
      <c r="AY123" s="18" t="n"/>
      <c r="AZ123" s="18" t="n"/>
      <c r="BA123" s="20" t="n"/>
    </row>
    <row r="124">
      <c r="A124" s="18" t="n"/>
      <c r="B124" s="18" t="n"/>
      <c r="C124" s="18" t="n"/>
      <c r="D124" s="18" t="n"/>
      <c r="E124" s="18" t="n"/>
      <c r="F124" s="18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20">
        <f>IF(COUNT(G124:R124)=0,"",SUM(G124:R124))</f>
        <v/>
      </c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20">
        <f>IF(COUNT(T124:AE124)=0,"",SUM(T124:AE124))</f>
        <v/>
      </c>
      <c r="AG124" s="18" t="n"/>
      <c r="AH124" s="18" t="n"/>
      <c r="AI124" s="18" t="n"/>
      <c r="AJ124" s="18" t="n"/>
      <c r="AK124" s="18" t="n"/>
      <c r="AL124" s="21">
        <f>IF($A124="","",IF(AJ124="いいえ","対象外",IF(AND(AH124="投資予算",AZ124="継続"),"対象外",IF(OR(AH124="",AJ124="",AJ124="未確認",AND(AH124="投資予算",OR(AZ124="",AZ124="未確認")),AM124="判定保留",AN124="判定保留"),"判定保留","移管"))))</f>
        <v/>
      </c>
      <c r="AM124" s="21">
        <f>IF($A124="","",IF(AJ124="いいえ","対象外",IF(AND(AH124="投資予算",AZ124="継続"),"対象外",IF(OR(AJ124="",AJ124="未確認"),"判定保留",IF(AV124=0,"—","移管")))))</f>
        <v/>
      </c>
      <c r="AN124" s="21">
        <f>IF($A124="","",IF(AJ124="いいえ","対象外",IF(AH124="投資予算","—",IF(OR(AH124="",AJ124="",AJ124="未確認",AS124=0,AT124&gt;0,AU124&gt;0),"判定保留","移管"))))</f>
        <v/>
      </c>
      <c r="AO124" s="21">
        <f>IF($A124="","",IF(AL124&lt;&gt;"移管","—",IF(AW124&gt;0,"あり","なし")))</f>
        <v/>
      </c>
      <c r="AP124" s="18" t="n"/>
      <c r="AQ124" s="33" t="n"/>
      <c r="AR124" s="21">
        <f>IF($A124="","",IF(AP124="","ステータス未設定",IF(AND(AL124="対象外",AP124&lt;&gt;"対象外"),"判定は対象外",IF(AND(AL124&lt;&gt;"対象外",AP124="対象外"),"判定は対象外ではない",IF(AND(AL124="判定保留",AP124&lt;&gt;"棚卸し中"),"判定保留が残っている",IF(AND(AL124="移管",AP124="棚卸し中"),"判定保留なし（棚卸し済みへ）",""))))))</f>
        <v/>
      </c>
      <c r="AS124" s="21">
        <f>IF($A124="","",COUNTIFS('紐付け'!$A$4:$A$200,$A124,'紐付け'!$C$4:$C$200,"&lt;&gt;"))</f>
        <v/>
      </c>
      <c r="AT124" s="21">
        <f>IF($A124="","",SUMPRODUCT(('紐付け'!$A$4:$A$200=$A124)*('紐付け'!$C$4:$C$200&lt;&gt;"")*(COUNTIFS('業務'!$C$4:$C$200,'紐付け'!$C$4:$C$200,'業務'!$F$4:$F$200,"間接業務",'業務'!$U$4:$U$200,$A124)=0)))</f>
        <v/>
      </c>
      <c r="AU124" s="21">
        <f>IF($A124="","",COUNTIFS('業務'!$U$4:$U$200,$A124,'業務'!$A$4:$A$200,"&lt;&gt;",'業務'!$J$4:$J$200,"&lt;&gt;済"))</f>
        <v/>
      </c>
      <c r="AV124" s="21">
        <f>IF($A124="","",COUNTIF('契約'!$C$4:$C$200,$A124))</f>
        <v/>
      </c>
      <c r="AW124" s="21">
        <f>IF($A124="","",COUNTIFS('業務'!$U$4:$U$200,$A124,'業務'!$A$4:$A$200,"&lt;&gt;",'業務'!$S$4:$S$200,"&lt;&gt;",'業務'!$F$4:$F$200,"間接業務"))</f>
        <v/>
      </c>
      <c r="AX124" s="21" t="n"/>
      <c r="AY124" s="18" t="n"/>
      <c r="AZ124" s="18" t="n"/>
      <c r="BA124" s="20" t="n"/>
    </row>
    <row r="125">
      <c r="A125" s="18" t="n"/>
      <c r="B125" s="18" t="n"/>
      <c r="C125" s="18" t="n"/>
      <c r="D125" s="18" t="n"/>
      <c r="E125" s="18" t="n"/>
      <c r="F125" s="18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20">
        <f>IF(COUNT(G125:R125)=0,"",SUM(G125:R125))</f>
        <v/>
      </c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20">
        <f>IF(COUNT(T125:AE125)=0,"",SUM(T125:AE125))</f>
        <v/>
      </c>
      <c r="AG125" s="18" t="n"/>
      <c r="AH125" s="18" t="n"/>
      <c r="AI125" s="18" t="n"/>
      <c r="AJ125" s="18" t="n"/>
      <c r="AK125" s="18" t="n"/>
      <c r="AL125" s="21">
        <f>IF($A125="","",IF(AJ125="いいえ","対象外",IF(AND(AH125="投資予算",AZ125="継続"),"対象外",IF(OR(AH125="",AJ125="",AJ125="未確認",AND(AH125="投資予算",OR(AZ125="",AZ125="未確認")),AM125="判定保留",AN125="判定保留"),"判定保留","移管"))))</f>
        <v/>
      </c>
      <c r="AM125" s="21">
        <f>IF($A125="","",IF(AJ125="いいえ","対象外",IF(AND(AH125="投資予算",AZ125="継続"),"対象外",IF(OR(AJ125="",AJ125="未確認"),"判定保留",IF(AV125=0,"—","移管")))))</f>
        <v/>
      </c>
      <c r="AN125" s="21">
        <f>IF($A125="","",IF(AJ125="いいえ","対象外",IF(AH125="投資予算","—",IF(OR(AH125="",AJ125="",AJ125="未確認",AS125=0,AT125&gt;0,AU125&gt;0),"判定保留","移管"))))</f>
        <v/>
      </c>
      <c r="AO125" s="21">
        <f>IF($A125="","",IF(AL125&lt;&gt;"移管","—",IF(AW125&gt;0,"あり","なし")))</f>
        <v/>
      </c>
      <c r="AP125" s="18" t="n"/>
      <c r="AQ125" s="33" t="n"/>
      <c r="AR125" s="21">
        <f>IF($A125="","",IF(AP125="","ステータス未設定",IF(AND(AL125="対象外",AP125&lt;&gt;"対象外"),"判定は対象外",IF(AND(AL125&lt;&gt;"対象外",AP125="対象外"),"判定は対象外ではない",IF(AND(AL125="判定保留",AP125&lt;&gt;"棚卸し中"),"判定保留が残っている",IF(AND(AL125="移管",AP125="棚卸し中"),"判定保留なし（棚卸し済みへ）",""))))))</f>
        <v/>
      </c>
      <c r="AS125" s="21">
        <f>IF($A125="","",COUNTIFS('紐付け'!$A$4:$A$200,$A125,'紐付け'!$C$4:$C$200,"&lt;&gt;"))</f>
        <v/>
      </c>
      <c r="AT125" s="21">
        <f>IF($A125="","",SUMPRODUCT(('紐付け'!$A$4:$A$200=$A125)*('紐付け'!$C$4:$C$200&lt;&gt;"")*(COUNTIFS('業務'!$C$4:$C$200,'紐付け'!$C$4:$C$200,'業務'!$F$4:$F$200,"間接業務",'業務'!$U$4:$U$200,$A125)=0)))</f>
        <v/>
      </c>
      <c r="AU125" s="21">
        <f>IF($A125="","",COUNTIFS('業務'!$U$4:$U$200,$A125,'業務'!$A$4:$A$200,"&lt;&gt;",'業務'!$J$4:$J$200,"&lt;&gt;済"))</f>
        <v/>
      </c>
      <c r="AV125" s="21">
        <f>IF($A125="","",COUNTIF('契約'!$C$4:$C$200,$A125))</f>
        <v/>
      </c>
      <c r="AW125" s="21">
        <f>IF($A125="","",COUNTIFS('業務'!$U$4:$U$200,$A125,'業務'!$A$4:$A$200,"&lt;&gt;",'業務'!$S$4:$S$200,"&lt;&gt;",'業務'!$F$4:$F$200,"間接業務"))</f>
        <v/>
      </c>
      <c r="AX125" s="21" t="n"/>
      <c r="AY125" s="18" t="n"/>
      <c r="AZ125" s="18" t="n"/>
      <c r="BA125" s="20" t="n"/>
    </row>
    <row r="126">
      <c r="A126" s="18" t="n"/>
      <c r="B126" s="18" t="n"/>
      <c r="C126" s="18" t="n"/>
      <c r="D126" s="18" t="n"/>
      <c r="E126" s="18" t="n"/>
      <c r="F126" s="18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20">
        <f>IF(COUNT(G126:R126)=0,"",SUM(G126:R126))</f>
        <v/>
      </c>
      <c r="T126" s="19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20">
        <f>IF(COUNT(T126:AE126)=0,"",SUM(T126:AE126))</f>
        <v/>
      </c>
      <c r="AG126" s="18" t="n"/>
      <c r="AH126" s="18" t="n"/>
      <c r="AI126" s="18" t="n"/>
      <c r="AJ126" s="18" t="n"/>
      <c r="AK126" s="18" t="n"/>
      <c r="AL126" s="21">
        <f>IF($A126="","",IF(AJ126="いいえ","対象外",IF(AND(AH126="投資予算",AZ126="継続"),"対象外",IF(OR(AH126="",AJ126="",AJ126="未確認",AND(AH126="投資予算",OR(AZ126="",AZ126="未確認")),AM126="判定保留",AN126="判定保留"),"判定保留","移管"))))</f>
        <v/>
      </c>
      <c r="AM126" s="21">
        <f>IF($A126="","",IF(AJ126="いいえ","対象外",IF(AND(AH126="投資予算",AZ126="継続"),"対象外",IF(OR(AJ126="",AJ126="未確認"),"判定保留",IF(AV126=0,"—","移管")))))</f>
        <v/>
      </c>
      <c r="AN126" s="21">
        <f>IF($A126="","",IF(AJ126="いいえ","対象外",IF(AH126="投資予算","—",IF(OR(AH126="",AJ126="",AJ126="未確認",AS126=0,AT126&gt;0,AU126&gt;0),"判定保留","移管"))))</f>
        <v/>
      </c>
      <c r="AO126" s="21">
        <f>IF($A126="","",IF(AL126&lt;&gt;"移管","—",IF(AW126&gt;0,"あり","なし")))</f>
        <v/>
      </c>
      <c r="AP126" s="18" t="n"/>
      <c r="AQ126" s="33" t="n"/>
      <c r="AR126" s="21">
        <f>IF($A126="","",IF(AP126="","ステータス未設定",IF(AND(AL126="対象外",AP126&lt;&gt;"対象外"),"判定は対象外",IF(AND(AL126&lt;&gt;"対象外",AP126="対象外"),"判定は対象外ではない",IF(AND(AL126="判定保留",AP126&lt;&gt;"棚卸し中"),"判定保留が残っている",IF(AND(AL126="移管",AP126="棚卸し中"),"判定保留なし（棚卸し済みへ）",""))))))</f>
        <v/>
      </c>
      <c r="AS126" s="21">
        <f>IF($A126="","",COUNTIFS('紐付け'!$A$4:$A$200,$A126,'紐付け'!$C$4:$C$200,"&lt;&gt;"))</f>
        <v/>
      </c>
      <c r="AT126" s="21">
        <f>IF($A126="","",SUMPRODUCT(('紐付け'!$A$4:$A$200=$A126)*('紐付け'!$C$4:$C$200&lt;&gt;"")*(COUNTIFS('業務'!$C$4:$C$200,'紐付け'!$C$4:$C$200,'業務'!$F$4:$F$200,"間接業務",'業務'!$U$4:$U$200,$A126)=0)))</f>
        <v/>
      </c>
      <c r="AU126" s="21">
        <f>IF($A126="","",COUNTIFS('業務'!$U$4:$U$200,$A126,'業務'!$A$4:$A$200,"&lt;&gt;",'業務'!$J$4:$J$200,"&lt;&gt;済"))</f>
        <v/>
      </c>
      <c r="AV126" s="21">
        <f>IF($A126="","",COUNTIF('契約'!$C$4:$C$200,$A126))</f>
        <v/>
      </c>
      <c r="AW126" s="21">
        <f>IF($A126="","",COUNTIFS('業務'!$U$4:$U$200,$A126,'業務'!$A$4:$A$200,"&lt;&gt;",'業務'!$S$4:$S$200,"&lt;&gt;",'業務'!$F$4:$F$200,"間接業務"))</f>
        <v/>
      </c>
      <c r="AX126" s="21" t="n"/>
      <c r="AY126" s="18" t="n"/>
      <c r="AZ126" s="18" t="n"/>
      <c r="BA126" s="20" t="n"/>
    </row>
    <row r="127">
      <c r="A127" s="18" t="n"/>
      <c r="B127" s="18" t="n"/>
      <c r="C127" s="18" t="n"/>
      <c r="D127" s="18" t="n"/>
      <c r="E127" s="18" t="n"/>
      <c r="F127" s="18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20">
        <f>IF(COUNT(G127:R127)=0,"",SUM(G127:R127))</f>
        <v/>
      </c>
      <c r="T127" s="19" t="n"/>
      <c r="U127" s="19" t="n"/>
      <c r="V127" s="19" t="n"/>
      <c r="W127" s="19" t="n"/>
      <c r="X127" s="19" t="n"/>
      <c r="Y127" s="19" t="n"/>
      <c r="Z127" s="19" t="n"/>
      <c r="AA127" s="19" t="n"/>
      <c r="AB127" s="19" t="n"/>
      <c r="AC127" s="19" t="n"/>
      <c r="AD127" s="19" t="n"/>
      <c r="AE127" s="19" t="n"/>
      <c r="AF127" s="20">
        <f>IF(COUNT(T127:AE127)=0,"",SUM(T127:AE127))</f>
        <v/>
      </c>
      <c r="AG127" s="18" t="n"/>
      <c r="AH127" s="18" t="n"/>
      <c r="AI127" s="18" t="n"/>
      <c r="AJ127" s="18" t="n"/>
      <c r="AK127" s="18" t="n"/>
      <c r="AL127" s="21">
        <f>IF($A127="","",IF(AJ127="いいえ","対象外",IF(AND(AH127="投資予算",AZ127="継続"),"対象外",IF(OR(AH127="",AJ127="",AJ127="未確認",AND(AH127="投資予算",OR(AZ127="",AZ127="未確認")),AM127="判定保留",AN127="判定保留"),"判定保留","移管"))))</f>
        <v/>
      </c>
      <c r="AM127" s="21">
        <f>IF($A127="","",IF(AJ127="いいえ","対象外",IF(AND(AH127="投資予算",AZ127="継続"),"対象外",IF(OR(AJ127="",AJ127="未確認"),"判定保留",IF(AV127=0,"—","移管")))))</f>
        <v/>
      </c>
      <c r="AN127" s="21">
        <f>IF($A127="","",IF(AJ127="いいえ","対象外",IF(AH127="投資予算","—",IF(OR(AH127="",AJ127="",AJ127="未確認",AS127=0,AT127&gt;0,AU127&gt;0),"判定保留","移管"))))</f>
        <v/>
      </c>
      <c r="AO127" s="21">
        <f>IF($A127="","",IF(AL127&lt;&gt;"移管","—",IF(AW127&gt;0,"あり","なし")))</f>
        <v/>
      </c>
      <c r="AP127" s="18" t="n"/>
      <c r="AQ127" s="33" t="n"/>
      <c r="AR127" s="21">
        <f>IF($A127="","",IF(AP127="","ステータス未設定",IF(AND(AL127="対象外",AP127&lt;&gt;"対象外"),"判定は対象外",IF(AND(AL127&lt;&gt;"対象外",AP127="対象外"),"判定は対象外ではない",IF(AND(AL127="判定保留",AP127&lt;&gt;"棚卸し中"),"判定保留が残っている",IF(AND(AL127="移管",AP127="棚卸し中"),"判定保留なし（棚卸し済みへ）",""))))))</f>
        <v/>
      </c>
      <c r="AS127" s="21">
        <f>IF($A127="","",COUNTIFS('紐付け'!$A$4:$A$200,$A127,'紐付け'!$C$4:$C$200,"&lt;&gt;"))</f>
        <v/>
      </c>
      <c r="AT127" s="21">
        <f>IF($A127="","",SUMPRODUCT(('紐付け'!$A$4:$A$200=$A127)*('紐付け'!$C$4:$C$200&lt;&gt;"")*(COUNTIFS('業務'!$C$4:$C$200,'紐付け'!$C$4:$C$200,'業務'!$F$4:$F$200,"間接業務",'業務'!$U$4:$U$200,$A127)=0)))</f>
        <v/>
      </c>
      <c r="AU127" s="21">
        <f>IF($A127="","",COUNTIFS('業務'!$U$4:$U$200,$A127,'業務'!$A$4:$A$200,"&lt;&gt;",'業務'!$J$4:$J$200,"&lt;&gt;済"))</f>
        <v/>
      </c>
      <c r="AV127" s="21">
        <f>IF($A127="","",COUNTIF('契約'!$C$4:$C$200,$A127))</f>
        <v/>
      </c>
      <c r="AW127" s="21">
        <f>IF($A127="","",COUNTIFS('業務'!$U$4:$U$200,$A127,'業務'!$A$4:$A$200,"&lt;&gt;",'業務'!$S$4:$S$200,"&lt;&gt;",'業務'!$F$4:$F$200,"間接業務"))</f>
        <v/>
      </c>
      <c r="AX127" s="21" t="n"/>
      <c r="AY127" s="18" t="n"/>
      <c r="AZ127" s="18" t="n"/>
      <c r="BA127" s="20" t="n"/>
    </row>
    <row r="128">
      <c r="A128" s="18" t="n"/>
      <c r="B128" s="18" t="n"/>
      <c r="C128" s="18" t="n"/>
      <c r="D128" s="18" t="n"/>
      <c r="E128" s="18" t="n"/>
      <c r="F128" s="18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20">
        <f>IF(COUNT(G128:R128)=0,"",SUM(G128:R128))</f>
        <v/>
      </c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20">
        <f>IF(COUNT(T128:AE128)=0,"",SUM(T128:AE128))</f>
        <v/>
      </c>
      <c r="AG128" s="18" t="n"/>
      <c r="AH128" s="18" t="n"/>
      <c r="AI128" s="18" t="n"/>
      <c r="AJ128" s="18" t="n"/>
      <c r="AK128" s="18" t="n"/>
      <c r="AL128" s="21">
        <f>IF($A128="","",IF(AJ128="いいえ","対象外",IF(AND(AH128="投資予算",AZ128="継続"),"対象外",IF(OR(AH128="",AJ128="",AJ128="未確認",AND(AH128="投資予算",OR(AZ128="",AZ128="未確認")),AM128="判定保留",AN128="判定保留"),"判定保留","移管"))))</f>
        <v/>
      </c>
      <c r="AM128" s="21">
        <f>IF($A128="","",IF(AJ128="いいえ","対象外",IF(AND(AH128="投資予算",AZ128="継続"),"対象外",IF(OR(AJ128="",AJ128="未確認"),"判定保留",IF(AV128=0,"—","移管")))))</f>
        <v/>
      </c>
      <c r="AN128" s="21">
        <f>IF($A128="","",IF(AJ128="いいえ","対象外",IF(AH128="投資予算","—",IF(OR(AH128="",AJ128="",AJ128="未確認",AS128=0,AT128&gt;0,AU128&gt;0),"判定保留","移管"))))</f>
        <v/>
      </c>
      <c r="AO128" s="21">
        <f>IF($A128="","",IF(AL128&lt;&gt;"移管","—",IF(AW128&gt;0,"あり","なし")))</f>
        <v/>
      </c>
      <c r="AP128" s="18" t="n"/>
      <c r="AQ128" s="33" t="n"/>
      <c r="AR128" s="21">
        <f>IF($A128="","",IF(AP128="","ステータス未設定",IF(AND(AL128="対象外",AP128&lt;&gt;"対象外"),"判定は対象外",IF(AND(AL128&lt;&gt;"対象外",AP128="対象外"),"判定は対象外ではない",IF(AND(AL128="判定保留",AP128&lt;&gt;"棚卸し中"),"判定保留が残っている",IF(AND(AL128="移管",AP128="棚卸し中"),"判定保留なし（棚卸し済みへ）",""))))))</f>
        <v/>
      </c>
      <c r="AS128" s="21">
        <f>IF($A128="","",COUNTIFS('紐付け'!$A$4:$A$200,$A128,'紐付け'!$C$4:$C$200,"&lt;&gt;"))</f>
        <v/>
      </c>
      <c r="AT128" s="21">
        <f>IF($A128="","",SUMPRODUCT(('紐付け'!$A$4:$A$200=$A128)*('紐付け'!$C$4:$C$200&lt;&gt;"")*(COUNTIFS('業務'!$C$4:$C$200,'紐付け'!$C$4:$C$200,'業務'!$F$4:$F$200,"間接業務",'業務'!$U$4:$U$200,$A128)=0)))</f>
        <v/>
      </c>
      <c r="AU128" s="21">
        <f>IF($A128="","",COUNTIFS('業務'!$U$4:$U$200,$A128,'業務'!$A$4:$A$200,"&lt;&gt;",'業務'!$J$4:$J$200,"&lt;&gt;済"))</f>
        <v/>
      </c>
      <c r="AV128" s="21">
        <f>IF($A128="","",COUNTIF('契約'!$C$4:$C$200,$A128))</f>
        <v/>
      </c>
      <c r="AW128" s="21">
        <f>IF($A128="","",COUNTIFS('業務'!$U$4:$U$200,$A128,'業務'!$A$4:$A$200,"&lt;&gt;",'業務'!$S$4:$S$200,"&lt;&gt;",'業務'!$F$4:$F$200,"間接業務"))</f>
        <v/>
      </c>
      <c r="AX128" s="21" t="n"/>
      <c r="AY128" s="18" t="n"/>
      <c r="AZ128" s="18" t="n"/>
      <c r="BA128" s="20" t="n"/>
    </row>
    <row r="129">
      <c r="A129" s="18" t="n"/>
      <c r="B129" s="18" t="n"/>
      <c r="C129" s="18" t="n"/>
      <c r="D129" s="18" t="n"/>
      <c r="E129" s="18" t="n"/>
      <c r="F129" s="18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20">
        <f>IF(COUNT(G129:R129)=0,"",SUM(G129:R129))</f>
        <v/>
      </c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20">
        <f>IF(COUNT(T129:AE129)=0,"",SUM(T129:AE129))</f>
        <v/>
      </c>
      <c r="AG129" s="18" t="n"/>
      <c r="AH129" s="18" t="n"/>
      <c r="AI129" s="18" t="n"/>
      <c r="AJ129" s="18" t="n"/>
      <c r="AK129" s="18" t="n"/>
      <c r="AL129" s="21">
        <f>IF($A129="","",IF(AJ129="いいえ","対象外",IF(AND(AH129="投資予算",AZ129="継続"),"対象外",IF(OR(AH129="",AJ129="",AJ129="未確認",AND(AH129="投資予算",OR(AZ129="",AZ129="未確認")),AM129="判定保留",AN129="判定保留"),"判定保留","移管"))))</f>
        <v/>
      </c>
      <c r="AM129" s="21">
        <f>IF($A129="","",IF(AJ129="いいえ","対象外",IF(AND(AH129="投資予算",AZ129="継続"),"対象外",IF(OR(AJ129="",AJ129="未確認"),"判定保留",IF(AV129=0,"—","移管")))))</f>
        <v/>
      </c>
      <c r="AN129" s="21">
        <f>IF($A129="","",IF(AJ129="いいえ","対象外",IF(AH129="投資予算","—",IF(OR(AH129="",AJ129="",AJ129="未確認",AS129=0,AT129&gt;0,AU129&gt;0),"判定保留","移管"))))</f>
        <v/>
      </c>
      <c r="AO129" s="21">
        <f>IF($A129="","",IF(AL129&lt;&gt;"移管","—",IF(AW129&gt;0,"あり","なし")))</f>
        <v/>
      </c>
      <c r="AP129" s="18" t="n"/>
      <c r="AQ129" s="33" t="n"/>
      <c r="AR129" s="21">
        <f>IF($A129="","",IF(AP129="","ステータス未設定",IF(AND(AL129="対象外",AP129&lt;&gt;"対象外"),"判定は対象外",IF(AND(AL129&lt;&gt;"対象外",AP129="対象外"),"判定は対象外ではない",IF(AND(AL129="判定保留",AP129&lt;&gt;"棚卸し中"),"判定保留が残っている",IF(AND(AL129="移管",AP129="棚卸し中"),"判定保留なし（棚卸し済みへ）",""))))))</f>
        <v/>
      </c>
      <c r="AS129" s="21">
        <f>IF($A129="","",COUNTIFS('紐付け'!$A$4:$A$200,$A129,'紐付け'!$C$4:$C$200,"&lt;&gt;"))</f>
        <v/>
      </c>
      <c r="AT129" s="21">
        <f>IF($A129="","",SUMPRODUCT(('紐付け'!$A$4:$A$200=$A129)*('紐付け'!$C$4:$C$200&lt;&gt;"")*(COUNTIFS('業務'!$C$4:$C$200,'紐付け'!$C$4:$C$200,'業務'!$F$4:$F$200,"間接業務",'業務'!$U$4:$U$200,$A129)=0)))</f>
        <v/>
      </c>
      <c r="AU129" s="21">
        <f>IF($A129="","",COUNTIFS('業務'!$U$4:$U$200,$A129,'業務'!$A$4:$A$200,"&lt;&gt;",'業務'!$J$4:$J$200,"&lt;&gt;済"))</f>
        <v/>
      </c>
      <c r="AV129" s="21">
        <f>IF($A129="","",COUNTIF('契約'!$C$4:$C$200,$A129))</f>
        <v/>
      </c>
      <c r="AW129" s="21">
        <f>IF($A129="","",COUNTIFS('業務'!$U$4:$U$200,$A129,'業務'!$A$4:$A$200,"&lt;&gt;",'業務'!$S$4:$S$200,"&lt;&gt;",'業務'!$F$4:$F$200,"間接業務"))</f>
        <v/>
      </c>
      <c r="AX129" s="21" t="n"/>
      <c r="AY129" s="18" t="n"/>
      <c r="AZ129" s="18" t="n"/>
      <c r="BA129" s="20" t="n"/>
    </row>
    <row r="130">
      <c r="A130" s="18" t="n"/>
      <c r="B130" s="18" t="n"/>
      <c r="C130" s="18" t="n"/>
      <c r="D130" s="18" t="n"/>
      <c r="E130" s="18" t="n"/>
      <c r="F130" s="18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20">
        <f>IF(COUNT(G130:R130)=0,"",SUM(G130:R130))</f>
        <v/>
      </c>
      <c r="T130" s="19" t="n"/>
      <c r="U130" s="19" t="n"/>
      <c r="V130" s="19" t="n"/>
      <c r="W130" s="19" t="n"/>
      <c r="X130" s="19" t="n"/>
      <c r="Y130" s="19" t="n"/>
      <c r="Z130" s="19" t="n"/>
      <c r="AA130" s="19" t="n"/>
      <c r="AB130" s="19" t="n"/>
      <c r="AC130" s="19" t="n"/>
      <c r="AD130" s="19" t="n"/>
      <c r="AE130" s="19" t="n"/>
      <c r="AF130" s="20">
        <f>IF(COUNT(T130:AE130)=0,"",SUM(T130:AE130))</f>
        <v/>
      </c>
      <c r="AG130" s="18" t="n"/>
      <c r="AH130" s="18" t="n"/>
      <c r="AI130" s="18" t="n"/>
      <c r="AJ130" s="18" t="n"/>
      <c r="AK130" s="18" t="n"/>
      <c r="AL130" s="21">
        <f>IF($A130="","",IF(AJ130="いいえ","対象外",IF(AND(AH130="投資予算",AZ130="継続"),"対象外",IF(OR(AH130="",AJ130="",AJ130="未確認",AND(AH130="投資予算",OR(AZ130="",AZ130="未確認")),AM130="判定保留",AN130="判定保留"),"判定保留","移管"))))</f>
        <v/>
      </c>
      <c r="AM130" s="21">
        <f>IF($A130="","",IF(AJ130="いいえ","対象外",IF(AND(AH130="投資予算",AZ130="継続"),"対象外",IF(OR(AJ130="",AJ130="未確認"),"判定保留",IF(AV130=0,"—","移管")))))</f>
        <v/>
      </c>
      <c r="AN130" s="21">
        <f>IF($A130="","",IF(AJ130="いいえ","対象外",IF(AH130="投資予算","—",IF(OR(AH130="",AJ130="",AJ130="未確認",AS130=0,AT130&gt;0,AU130&gt;0),"判定保留","移管"))))</f>
        <v/>
      </c>
      <c r="AO130" s="21">
        <f>IF($A130="","",IF(AL130&lt;&gt;"移管","—",IF(AW130&gt;0,"あり","なし")))</f>
        <v/>
      </c>
      <c r="AP130" s="18" t="n"/>
      <c r="AQ130" s="33" t="n"/>
      <c r="AR130" s="21">
        <f>IF($A130="","",IF(AP130="","ステータス未設定",IF(AND(AL130="対象外",AP130&lt;&gt;"対象外"),"判定は対象外",IF(AND(AL130&lt;&gt;"対象外",AP130="対象外"),"判定は対象外ではない",IF(AND(AL130="判定保留",AP130&lt;&gt;"棚卸し中"),"判定保留が残っている",IF(AND(AL130="移管",AP130="棚卸し中"),"判定保留なし（棚卸し済みへ）",""))))))</f>
        <v/>
      </c>
      <c r="AS130" s="21">
        <f>IF($A130="","",COUNTIFS('紐付け'!$A$4:$A$200,$A130,'紐付け'!$C$4:$C$200,"&lt;&gt;"))</f>
        <v/>
      </c>
      <c r="AT130" s="21">
        <f>IF($A130="","",SUMPRODUCT(('紐付け'!$A$4:$A$200=$A130)*('紐付け'!$C$4:$C$200&lt;&gt;"")*(COUNTIFS('業務'!$C$4:$C$200,'紐付け'!$C$4:$C$200,'業務'!$F$4:$F$200,"間接業務",'業務'!$U$4:$U$200,$A130)=0)))</f>
        <v/>
      </c>
      <c r="AU130" s="21">
        <f>IF($A130="","",COUNTIFS('業務'!$U$4:$U$200,$A130,'業務'!$A$4:$A$200,"&lt;&gt;",'業務'!$J$4:$J$200,"&lt;&gt;済"))</f>
        <v/>
      </c>
      <c r="AV130" s="21">
        <f>IF($A130="","",COUNTIF('契約'!$C$4:$C$200,$A130))</f>
        <v/>
      </c>
      <c r="AW130" s="21">
        <f>IF($A130="","",COUNTIFS('業務'!$U$4:$U$200,$A130,'業務'!$A$4:$A$200,"&lt;&gt;",'業務'!$S$4:$S$200,"&lt;&gt;",'業務'!$F$4:$F$200,"間接業務"))</f>
        <v/>
      </c>
      <c r="AX130" s="21" t="n"/>
      <c r="AY130" s="18" t="n"/>
      <c r="AZ130" s="18" t="n"/>
      <c r="BA130" s="20" t="n"/>
    </row>
    <row r="131">
      <c r="A131" s="18" t="n"/>
      <c r="B131" s="18" t="n"/>
      <c r="C131" s="18" t="n"/>
      <c r="D131" s="18" t="n"/>
      <c r="E131" s="18" t="n"/>
      <c r="F131" s="18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20">
        <f>IF(COUNT(G131:R131)=0,"",SUM(G131:R131))</f>
        <v/>
      </c>
      <c r="T131" s="19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  <c r="AC131" s="19" t="n"/>
      <c r="AD131" s="19" t="n"/>
      <c r="AE131" s="19" t="n"/>
      <c r="AF131" s="20">
        <f>IF(COUNT(T131:AE131)=0,"",SUM(T131:AE131))</f>
        <v/>
      </c>
      <c r="AG131" s="18" t="n"/>
      <c r="AH131" s="18" t="n"/>
      <c r="AI131" s="18" t="n"/>
      <c r="AJ131" s="18" t="n"/>
      <c r="AK131" s="18" t="n"/>
      <c r="AL131" s="21">
        <f>IF($A131="","",IF(AJ131="いいえ","対象外",IF(AND(AH131="投資予算",AZ131="継続"),"対象外",IF(OR(AH131="",AJ131="",AJ131="未確認",AND(AH131="投資予算",OR(AZ131="",AZ131="未確認")),AM131="判定保留",AN131="判定保留"),"判定保留","移管"))))</f>
        <v/>
      </c>
      <c r="AM131" s="21">
        <f>IF($A131="","",IF(AJ131="いいえ","対象外",IF(AND(AH131="投資予算",AZ131="継続"),"対象外",IF(OR(AJ131="",AJ131="未確認"),"判定保留",IF(AV131=0,"—","移管")))))</f>
        <v/>
      </c>
      <c r="AN131" s="21">
        <f>IF($A131="","",IF(AJ131="いいえ","対象外",IF(AH131="投資予算","—",IF(OR(AH131="",AJ131="",AJ131="未確認",AS131=0,AT131&gt;0,AU131&gt;0),"判定保留","移管"))))</f>
        <v/>
      </c>
      <c r="AO131" s="21">
        <f>IF($A131="","",IF(AL131&lt;&gt;"移管","—",IF(AW131&gt;0,"あり","なし")))</f>
        <v/>
      </c>
      <c r="AP131" s="18" t="n"/>
      <c r="AQ131" s="33" t="n"/>
      <c r="AR131" s="21">
        <f>IF($A131="","",IF(AP131="","ステータス未設定",IF(AND(AL131="対象外",AP131&lt;&gt;"対象外"),"判定は対象外",IF(AND(AL131&lt;&gt;"対象外",AP131="対象外"),"判定は対象外ではない",IF(AND(AL131="判定保留",AP131&lt;&gt;"棚卸し中"),"判定保留が残っている",IF(AND(AL131="移管",AP131="棚卸し中"),"判定保留なし（棚卸し済みへ）",""))))))</f>
        <v/>
      </c>
      <c r="AS131" s="21">
        <f>IF($A131="","",COUNTIFS('紐付け'!$A$4:$A$200,$A131,'紐付け'!$C$4:$C$200,"&lt;&gt;"))</f>
        <v/>
      </c>
      <c r="AT131" s="21">
        <f>IF($A131="","",SUMPRODUCT(('紐付け'!$A$4:$A$200=$A131)*('紐付け'!$C$4:$C$200&lt;&gt;"")*(COUNTIFS('業務'!$C$4:$C$200,'紐付け'!$C$4:$C$200,'業務'!$F$4:$F$200,"間接業務",'業務'!$U$4:$U$200,$A131)=0)))</f>
        <v/>
      </c>
      <c r="AU131" s="21">
        <f>IF($A131="","",COUNTIFS('業務'!$U$4:$U$200,$A131,'業務'!$A$4:$A$200,"&lt;&gt;",'業務'!$J$4:$J$200,"&lt;&gt;済"))</f>
        <v/>
      </c>
      <c r="AV131" s="21">
        <f>IF($A131="","",COUNTIF('契約'!$C$4:$C$200,$A131))</f>
        <v/>
      </c>
      <c r="AW131" s="21">
        <f>IF($A131="","",COUNTIFS('業務'!$U$4:$U$200,$A131,'業務'!$A$4:$A$200,"&lt;&gt;",'業務'!$S$4:$S$200,"&lt;&gt;",'業務'!$F$4:$F$200,"間接業務"))</f>
        <v/>
      </c>
      <c r="AX131" s="21" t="n"/>
      <c r="AY131" s="18" t="n"/>
      <c r="AZ131" s="18" t="n"/>
      <c r="BA131" s="20" t="n"/>
    </row>
    <row r="132">
      <c r="A132" s="18" t="n"/>
      <c r="B132" s="18" t="n"/>
      <c r="C132" s="18" t="n"/>
      <c r="D132" s="18" t="n"/>
      <c r="E132" s="18" t="n"/>
      <c r="F132" s="18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20">
        <f>IF(COUNT(G132:R132)=0,"",SUM(G132:R132))</f>
        <v/>
      </c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20">
        <f>IF(COUNT(T132:AE132)=0,"",SUM(T132:AE132))</f>
        <v/>
      </c>
      <c r="AG132" s="18" t="n"/>
      <c r="AH132" s="18" t="n"/>
      <c r="AI132" s="18" t="n"/>
      <c r="AJ132" s="18" t="n"/>
      <c r="AK132" s="18" t="n"/>
      <c r="AL132" s="21">
        <f>IF($A132="","",IF(AJ132="いいえ","対象外",IF(AND(AH132="投資予算",AZ132="継続"),"対象外",IF(OR(AH132="",AJ132="",AJ132="未確認",AND(AH132="投資予算",OR(AZ132="",AZ132="未確認")),AM132="判定保留",AN132="判定保留"),"判定保留","移管"))))</f>
        <v/>
      </c>
      <c r="AM132" s="21">
        <f>IF($A132="","",IF(AJ132="いいえ","対象外",IF(AND(AH132="投資予算",AZ132="継続"),"対象外",IF(OR(AJ132="",AJ132="未確認"),"判定保留",IF(AV132=0,"—","移管")))))</f>
        <v/>
      </c>
      <c r="AN132" s="21">
        <f>IF($A132="","",IF(AJ132="いいえ","対象外",IF(AH132="投資予算","—",IF(OR(AH132="",AJ132="",AJ132="未確認",AS132=0,AT132&gt;0,AU132&gt;0),"判定保留","移管"))))</f>
        <v/>
      </c>
      <c r="AO132" s="21">
        <f>IF($A132="","",IF(AL132&lt;&gt;"移管","—",IF(AW132&gt;0,"あり","なし")))</f>
        <v/>
      </c>
      <c r="AP132" s="18" t="n"/>
      <c r="AQ132" s="33" t="n"/>
      <c r="AR132" s="21">
        <f>IF($A132="","",IF(AP132="","ステータス未設定",IF(AND(AL132="対象外",AP132&lt;&gt;"対象外"),"判定は対象外",IF(AND(AL132&lt;&gt;"対象外",AP132="対象外"),"判定は対象外ではない",IF(AND(AL132="判定保留",AP132&lt;&gt;"棚卸し中"),"判定保留が残っている",IF(AND(AL132="移管",AP132="棚卸し中"),"判定保留なし（棚卸し済みへ）",""))))))</f>
        <v/>
      </c>
      <c r="AS132" s="21">
        <f>IF($A132="","",COUNTIFS('紐付け'!$A$4:$A$200,$A132,'紐付け'!$C$4:$C$200,"&lt;&gt;"))</f>
        <v/>
      </c>
      <c r="AT132" s="21">
        <f>IF($A132="","",SUMPRODUCT(('紐付け'!$A$4:$A$200=$A132)*('紐付け'!$C$4:$C$200&lt;&gt;"")*(COUNTIFS('業務'!$C$4:$C$200,'紐付け'!$C$4:$C$200,'業務'!$F$4:$F$200,"間接業務",'業務'!$U$4:$U$200,$A132)=0)))</f>
        <v/>
      </c>
      <c r="AU132" s="21">
        <f>IF($A132="","",COUNTIFS('業務'!$U$4:$U$200,$A132,'業務'!$A$4:$A$200,"&lt;&gt;",'業務'!$J$4:$J$200,"&lt;&gt;済"))</f>
        <v/>
      </c>
      <c r="AV132" s="21">
        <f>IF($A132="","",COUNTIF('契約'!$C$4:$C$200,$A132))</f>
        <v/>
      </c>
      <c r="AW132" s="21">
        <f>IF($A132="","",COUNTIFS('業務'!$U$4:$U$200,$A132,'業務'!$A$4:$A$200,"&lt;&gt;",'業務'!$S$4:$S$200,"&lt;&gt;",'業務'!$F$4:$F$200,"間接業務"))</f>
        <v/>
      </c>
      <c r="AX132" s="21" t="n"/>
      <c r="AY132" s="18" t="n"/>
      <c r="AZ132" s="18" t="n"/>
      <c r="BA132" s="20" t="n"/>
    </row>
    <row r="133">
      <c r="A133" s="18" t="n"/>
      <c r="B133" s="18" t="n"/>
      <c r="C133" s="18" t="n"/>
      <c r="D133" s="18" t="n"/>
      <c r="E133" s="18" t="n"/>
      <c r="F133" s="18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20">
        <f>IF(COUNT(G133:R133)=0,"",SUM(G133:R133))</f>
        <v/>
      </c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20">
        <f>IF(COUNT(T133:AE133)=0,"",SUM(T133:AE133))</f>
        <v/>
      </c>
      <c r="AG133" s="18" t="n"/>
      <c r="AH133" s="18" t="n"/>
      <c r="AI133" s="18" t="n"/>
      <c r="AJ133" s="18" t="n"/>
      <c r="AK133" s="18" t="n"/>
      <c r="AL133" s="21">
        <f>IF($A133="","",IF(AJ133="いいえ","対象外",IF(AND(AH133="投資予算",AZ133="継続"),"対象外",IF(OR(AH133="",AJ133="",AJ133="未確認",AND(AH133="投資予算",OR(AZ133="",AZ133="未確認")),AM133="判定保留",AN133="判定保留"),"判定保留","移管"))))</f>
        <v/>
      </c>
      <c r="AM133" s="21">
        <f>IF($A133="","",IF(AJ133="いいえ","対象外",IF(AND(AH133="投資予算",AZ133="継続"),"対象外",IF(OR(AJ133="",AJ133="未確認"),"判定保留",IF(AV133=0,"—","移管")))))</f>
        <v/>
      </c>
      <c r="AN133" s="21">
        <f>IF($A133="","",IF(AJ133="いいえ","対象外",IF(AH133="投資予算","—",IF(OR(AH133="",AJ133="",AJ133="未確認",AS133=0,AT133&gt;0,AU133&gt;0),"判定保留","移管"))))</f>
        <v/>
      </c>
      <c r="AO133" s="21">
        <f>IF($A133="","",IF(AL133&lt;&gt;"移管","—",IF(AW133&gt;0,"あり","なし")))</f>
        <v/>
      </c>
      <c r="AP133" s="18" t="n"/>
      <c r="AQ133" s="33" t="n"/>
      <c r="AR133" s="21">
        <f>IF($A133="","",IF(AP133="","ステータス未設定",IF(AND(AL133="対象外",AP133&lt;&gt;"対象外"),"判定は対象外",IF(AND(AL133&lt;&gt;"対象外",AP133="対象外"),"判定は対象外ではない",IF(AND(AL133="判定保留",AP133&lt;&gt;"棚卸し中"),"判定保留が残っている",IF(AND(AL133="移管",AP133="棚卸し中"),"判定保留なし（棚卸し済みへ）",""))))))</f>
        <v/>
      </c>
      <c r="AS133" s="21">
        <f>IF($A133="","",COUNTIFS('紐付け'!$A$4:$A$200,$A133,'紐付け'!$C$4:$C$200,"&lt;&gt;"))</f>
        <v/>
      </c>
      <c r="AT133" s="21">
        <f>IF($A133="","",SUMPRODUCT(('紐付け'!$A$4:$A$200=$A133)*('紐付け'!$C$4:$C$200&lt;&gt;"")*(COUNTIFS('業務'!$C$4:$C$200,'紐付け'!$C$4:$C$200,'業務'!$F$4:$F$200,"間接業務",'業務'!$U$4:$U$200,$A133)=0)))</f>
        <v/>
      </c>
      <c r="AU133" s="21">
        <f>IF($A133="","",COUNTIFS('業務'!$U$4:$U$200,$A133,'業務'!$A$4:$A$200,"&lt;&gt;",'業務'!$J$4:$J$200,"&lt;&gt;済"))</f>
        <v/>
      </c>
      <c r="AV133" s="21">
        <f>IF($A133="","",COUNTIF('契約'!$C$4:$C$200,$A133))</f>
        <v/>
      </c>
      <c r="AW133" s="21">
        <f>IF($A133="","",COUNTIFS('業務'!$U$4:$U$200,$A133,'業務'!$A$4:$A$200,"&lt;&gt;",'業務'!$S$4:$S$200,"&lt;&gt;",'業務'!$F$4:$F$200,"間接業務"))</f>
        <v/>
      </c>
      <c r="AX133" s="21" t="n"/>
      <c r="AY133" s="18" t="n"/>
      <c r="AZ133" s="18" t="n"/>
      <c r="BA133" s="20" t="n"/>
    </row>
    <row r="134">
      <c r="A134" s="18" t="n"/>
      <c r="B134" s="18" t="n"/>
      <c r="C134" s="18" t="n"/>
      <c r="D134" s="18" t="n"/>
      <c r="E134" s="18" t="n"/>
      <c r="F134" s="18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20">
        <f>IF(COUNT(G134:R134)=0,"",SUM(G134:R134))</f>
        <v/>
      </c>
      <c r="T134" s="19" t="n"/>
      <c r="U134" s="19" t="n"/>
      <c r="V134" s="19" t="n"/>
      <c r="W134" s="19" t="n"/>
      <c r="X134" s="19" t="n"/>
      <c r="Y134" s="19" t="n"/>
      <c r="Z134" s="19" t="n"/>
      <c r="AA134" s="19" t="n"/>
      <c r="AB134" s="19" t="n"/>
      <c r="AC134" s="19" t="n"/>
      <c r="AD134" s="19" t="n"/>
      <c r="AE134" s="19" t="n"/>
      <c r="AF134" s="20">
        <f>IF(COUNT(T134:AE134)=0,"",SUM(T134:AE134))</f>
        <v/>
      </c>
      <c r="AG134" s="18" t="n"/>
      <c r="AH134" s="18" t="n"/>
      <c r="AI134" s="18" t="n"/>
      <c r="AJ134" s="18" t="n"/>
      <c r="AK134" s="18" t="n"/>
      <c r="AL134" s="21">
        <f>IF($A134="","",IF(AJ134="いいえ","対象外",IF(AND(AH134="投資予算",AZ134="継続"),"対象外",IF(OR(AH134="",AJ134="",AJ134="未確認",AND(AH134="投資予算",OR(AZ134="",AZ134="未確認")),AM134="判定保留",AN134="判定保留"),"判定保留","移管"))))</f>
        <v/>
      </c>
      <c r="AM134" s="21">
        <f>IF($A134="","",IF(AJ134="いいえ","対象外",IF(AND(AH134="投資予算",AZ134="継続"),"対象外",IF(OR(AJ134="",AJ134="未確認"),"判定保留",IF(AV134=0,"—","移管")))))</f>
        <v/>
      </c>
      <c r="AN134" s="21">
        <f>IF($A134="","",IF(AJ134="いいえ","対象外",IF(AH134="投資予算","—",IF(OR(AH134="",AJ134="",AJ134="未確認",AS134=0,AT134&gt;0,AU134&gt;0),"判定保留","移管"))))</f>
        <v/>
      </c>
      <c r="AO134" s="21">
        <f>IF($A134="","",IF(AL134&lt;&gt;"移管","—",IF(AW134&gt;0,"あり","なし")))</f>
        <v/>
      </c>
      <c r="AP134" s="18" t="n"/>
      <c r="AQ134" s="33" t="n"/>
      <c r="AR134" s="21">
        <f>IF($A134="","",IF(AP134="","ステータス未設定",IF(AND(AL134="対象外",AP134&lt;&gt;"対象外"),"判定は対象外",IF(AND(AL134&lt;&gt;"対象外",AP134="対象外"),"判定は対象外ではない",IF(AND(AL134="判定保留",AP134&lt;&gt;"棚卸し中"),"判定保留が残っている",IF(AND(AL134="移管",AP134="棚卸し中"),"判定保留なし（棚卸し済みへ）",""))))))</f>
        <v/>
      </c>
      <c r="AS134" s="21">
        <f>IF($A134="","",COUNTIFS('紐付け'!$A$4:$A$200,$A134,'紐付け'!$C$4:$C$200,"&lt;&gt;"))</f>
        <v/>
      </c>
      <c r="AT134" s="21">
        <f>IF($A134="","",SUMPRODUCT(('紐付け'!$A$4:$A$200=$A134)*('紐付け'!$C$4:$C$200&lt;&gt;"")*(COUNTIFS('業務'!$C$4:$C$200,'紐付け'!$C$4:$C$200,'業務'!$F$4:$F$200,"間接業務",'業務'!$U$4:$U$200,$A134)=0)))</f>
        <v/>
      </c>
      <c r="AU134" s="21">
        <f>IF($A134="","",COUNTIFS('業務'!$U$4:$U$200,$A134,'業務'!$A$4:$A$200,"&lt;&gt;",'業務'!$J$4:$J$200,"&lt;&gt;済"))</f>
        <v/>
      </c>
      <c r="AV134" s="21">
        <f>IF($A134="","",COUNTIF('契約'!$C$4:$C$200,$A134))</f>
        <v/>
      </c>
      <c r="AW134" s="21">
        <f>IF($A134="","",COUNTIFS('業務'!$U$4:$U$200,$A134,'業務'!$A$4:$A$200,"&lt;&gt;",'業務'!$S$4:$S$200,"&lt;&gt;",'業務'!$F$4:$F$200,"間接業務"))</f>
        <v/>
      </c>
      <c r="AX134" s="21" t="n"/>
      <c r="AY134" s="18" t="n"/>
      <c r="AZ134" s="18" t="n"/>
      <c r="BA134" s="20" t="n"/>
    </row>
    <row r="135">
      <c r="A135" s="18" t="n"/>
      <c r="B135" s="18" t="n"/>
      <c r="C135" s="18" t="n"/>
      <c r="D135" s="18" t="n"/>
      <c r="E135" s="18" t="n"/>
      <c r="F135" s="18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20">
        <f>IF(COUNT(G135:R135)=0,"",SUM(G135:R135))</f>
        <v/>
      </c>
      <c r="T135" s="19" t="n"/>
      <c r="U135" s="19" t="n"/>
      <c r="V135" s="19" t="n"/>
      <c r="W135" s="19" t="n"/>
      <c r="X135" s="19" t="n"/>
      <c r="Y135" s="19" t="n"/>
      <c r="Z135" s="19" t="n"/>
      <c r="AA135" s="19" t="n"/>
      <c r="AB135" s="19" t="n"/>
      <c r="AC135" s="19" t="n"/>
      <c r="AD135" s="19" t="n"/>
      <c r="AE135" s="19" t="n"/>
      <c r="AF135" s="20">
        <f>IF(COUNT(T135:AE135)=0,"",SUM(T135:AE135))</f>
        <v/>
      </c>
      <c r="AG135" s="18" t="n"/>
      <c r="AH135" s="18" t="n"/>
      <c r="AI135" s="18" t="n"/>
      <c r="AJ135" s="18" t="n"/>
      <c r="AK135" s="18" t="n"/>
      <c r="AL135" s="21">
        <f>IF($A135="","",IF(AJ135="いいえ","対象外",IF(AND(AH135="投資予算",AZ135="継続"),"対象外",IF(OR(AH135="",AJ135="",AJ135="未確認",AND(AH135="投資予算",OR(AZ135="",AZ135="未確認")),AM135="判定保留",AN135="判定保留"),"判定保留","移管"))))</f>
        <v/>
      </c>
      <c r="AM135" s="21">
        <f>IF($A135="","",IF(AJ135="いいえ","対象外",IF(AND(AH135="投資予算",AZ135="継続"),"対象外",IF(OR(AJ135="",AJ135="未確認"),"判定保留",IF(AV135=0,"—","移管")))))</f>
        <v/>
      </c>
      <c r="AN135" s="21">
        <f>IF($A135="","",IF(AJ135="いいえ","対象外",IF(AH135="投資予算","—",IF(OR(AH135="",AJ135="",AJ135="未確認",AS135=0,AT135&gt;0,AU135&gt;0),"判定保留","移管"))))</f>
        <v/>
      </c>
      <c r="AO135" s="21">
        <f>IF($A135="","",IF(AL135&lt;&gt;"移管","—",IF(AW135&gt;0,"あり","なし")))</f>
        <v/>
      </c>
      <c r="AP135" s="18" t="n"/>
      <c r="AQ135" s="33" t="n"/>
      <c r="AR135" s="21">
        <f>IF($A135="","",IF(AP135="","ステータス未設定",IF(AND(AL135="対象外",AP135&lt;&gt;"対象外"),"判定は対象外",IF(AND(AL135&lt;&gt;"対象外",AP135="対象外"),"判定は対象外ではない",IF(AND(AL135="判定保留",AP135&lt;&gt;"棚卸し中"),"判定保留が残っている",IF(AND(AL135="移管",AP135="棚卸し中"),"判定保留なし（棚卸し済みへ）",""))))))</f>
        <v/>
      </c>
      <c r="AS135" s="21">
        <f>IF($A135="","",COUNTIFS('紐付け'!$A$4:$A$200,$A135,'紐付け'!$C$4:$C$200,"&lt;&gt;"))</f>
        <v/>
      </c>
      <c r="AT135" s="21">
        <f>IF($A135="","",SUMPRODUCT(('紐付け'!$A$4:$A$200=$A135)*('紐付け'!$C$4:$C$200&lt;&gt;"")*(COUNTIFS('業務'!$C$4:$C$200,'紐付け'!$C$4:$C$200,'業務'!$F$4:$F$200,"間接業務",'業務'!$U$4:$U$200,$A135)=0)))</f>
        <v/>
      </c>
      <c r="AU135" s="21">
        <f>IF($A135="","",COUNTIFS('業務'!$U$4:$U$200,$A135,'業務'!$A$4:$A$200,"&lt;&gt;",'業務'!$J$4:$J$200,"&lt;&gt;済"))</f>
        <v/>
      </c>
      <c r="AV135" s="21">
        <f>IF($A135="","",COUNTIF('契約'!$C$4:$C$200,$A135))</f>
        <v/>
      </c>
      <c r="AW135" s="21">
        <f>IF($A135="","",COUNTIFS('業務'!$U$4:$U$200,$A135,'業務'!$A$4:$A$200,"&lt;&gt;",'業務'!$S$4:$S$200,"&lt;&gt;",'業務'!$F$4:$F$200,"間接業務"))</f>
        <v/>
      </c>
      <c r="AX135" s="21" t="n"/>
      <c r="AY135" s="18" t="n"/>
      <c r="AZ135" s="18" t="n"/>
      <c r="BA135" s="20" t="n"/>
    </row>
    <row r="136">
      <c r="A136" s="18" t="n"/>
      <c r="B136" s="18" t="n"/>
      <c r="C136" s="18" t="n"/>
      <c r="D136" s="18" t="n"/>
      <c r="E136" s="18" t="n"/>
      <c r="F136" s="18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20">
        <f>IF(COUNT(G136:R136)=0,"",SUM(G136:R136))</f>
        <v/>
      </c>
      <c r="T136" s="19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20">
        <f>IF(COUNT(T136:AE136)=0,"",SUM(T136:AE136))</f>
        <v/>
      </c>
      <c r="AG136" s="18" t="n"/>
      <c r="AH136" s="18" t="n"/>
      <c r="AI136" s="18" t="n"/>
      <c r="AJ136" s="18" t="n"/>
      <c r="AK136" s="18" t="n"/>
      <c r="AL136" s="21">
        <f>IF($A136="","",IF(AJ136="いいえ","対象外",IF(AND(AH136="投資予算",AZ136="継続"),"対象外",IF(OR(AH136="",AJ136="",AJ136="未確認",AND(AH136="投資予算",OR(AZ136="",AZ136="未確認")),AM136="判定保留",AN136="判定保留"),"判定保留","移管"))))</f>
        <v/>
      </c>
      <c r="AM136" s="21">
        <f>IF($A136="","",IF(AJ136="いいえ","対象外",IF(AND(AH136="投資予算",AZ136="継続"),"対象外",IF(OR(AJ136="",AJ136="未確認"),"判定保留",IF(AV136=0,"—","移管")))))</f>
        <v/>
      </c>
      <c r="AN136" s="21">
        <f>IF($A136="","",IF(AJ136="いいえ","対象外",IF(AH136="投資予算","—",IF(OR(AH136="",AJ136="",AJ136="未確認",AS136=0,AT136&gt;0,AU136&gt;0),"判定保留","移管"))))</f>
        <v/>
      </c>
      <c r="AO136" s="21">
        <f>IF($A136="","",IF(AL136&lt;&gt;"移管","—",IF(AW136&gt;0,"あり","なし")))</f>
        <v/>
      </c>
      <c r="AP136" s="18" t="n"/>
      <c r="AQ136" s="33" t="n"/>
      <c r="AR136" s="21">
        <f>IF($A136="","",IF(AP136="","ステータス未設定",IF(AND(AL136="対象外",AP136&lt;&gt;"対象外"),"判定は対象外",IF(AND(AL136&lt;&gt;"対象外",AP136="対象外"),"判定は対象外ではない",IF(AND(AL136="判定保留",AP136&lt;&gt;"棚卸し中"),"判定保留が残っている",IF(AND(AL136="移管",AP136="棚卸し中"),"判定保留なし（棚卸し済みへ）",""))))))</f>
        <v/>
      </c>
      <c r="AS136" s="21">
        <f>IF($A136="","",COUNTIFS('紐付け'!$A$4:$A$200,$A136,'紐付け'!$C$4:$C$200,"&lt;&gt;"))</f>
        <v/>
      </c>
      <c r="AT136" s="21">
        <f>IF($A136="","",SUMPRODUCT(('紐付け'!$A$4:$A$200=$A136)*('紐付け'!$C$4:$C$200&lt;&gt;"")*(COUNTIFS('業務'!$C$4:$C$200,'紐付け'!$C$4:$C$200,'業務'!$F$4:$F$200,"間接業務",'業務'!$U$4:$U$200,$A136)=0)))</f>
        <v/>
      </c>
      <c r="AU136" s="21">
        <f>IF($A136="","",COUNTIFS('業務'!$U$4:$U$200,$A136,'業務'!$A$4:$A$200,"&lt;&gt;",'業務'!$J$4:$J$200,"&lt;&gt;済"))</f>
        <v/>
      </c>
      <c r="AV136" s="21">
        <f>IF($A136="","",COUNTIF('契約'!$C$4:$C$200,$A136))</f>
        <v/>
      </c>
      <c r="AW136" s="21">
        <f>IF($A136="","",COUNTIFS('業務'!$U$4:$U$200,$A136,'業務'!$A$4:$A$200,"&lt;&gt;",'業務'!$S$4:$S$200,"&lt;&gt;",'業務'!$F$4:$F$200,"間接業務"))</f>
        <v/>
      </c>
      <c r="AX136" s="21" t="n"/>
      <c r="AY136" s="18" t="n"/>
      <c r="AZ136" s="18" t="n"/>
      <c r="BA136" s="20" t="n"/>
    </row>
    <row r="137">
      <c r="A137" s="18" t="n"/>
      <c r="B137" s="18" t="n"/>
      <c r="C137" s="18" t="n"/>
      <c r="D137" s="18" t="n"/>
      <c r="E137" s="18" t="n"/>
      <c r="F137" s="18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20">
        <f>IF(COUNT(G137:R137)=0,"",SUM(G137:R137))</f>
        <v/>
      </c>
      <c r="T137" s="19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  <c r="AC137" s="19" t="n"/>
      <c r="AD137" s="19" t="n"/>
      <c r="AE137" s="19" t="n"/>
      <c r="AF137" s="20">
        <f>IF(COUNT(T137:AE137)=0,"",SUM(T137:AE137))</f>
        <v/>
      </c>
      <c r="AG137" s="18" t="n"/>
      <c r="AH137" s="18" t="n"/>
      <c r="AI137" s="18" t="n"/>
      <c r="AJ137" s="18" t="n"/>
      <c r="AK137" s="18" t="n"/>
      <c r="AL137" s="21">
        <f>IF($A137="","",IF(AJ137="いいえ","対象外",IF(AND(AH137="投資予算",AZ137="継続"),"対象外",IF(OR(AH137="",AJ137="",AJ137="未確認",AND(AH137="投資予算",OR(AZ137="",AZ137="未確認")),AM137="判定保留",AN137="判定保留"),"判定保留","移管"))))</f>
        <v/>
      </c>
      <c r="AM137" s="21">
        <f>IF($A137="","",IF(AJ137="いいえ","対象外",IF(AND(AH137="投資予算",AZ137="継続"),"対象外",IF(OR(AJ137="",AJ137="未確認"),"判定保留",IF(AV137=0,"—","移管")))))</f>
        <v/>
      </c>
      <c r="AN137" s="21">
        <f>IF($A137="","",IF(AJ137="いいえ","対象外",IF(AH137="投資予算","—",IF(OR(AH137="",AJ137="",AJ137="未確認",AS137=0,AT137&gt;0,AU137&gt;0),"判定保留","移管"))))</f>
        <v/>
      </c>
      <c r="AO137" s="21">
        <f>IF($A137="","",IF(AL137&lt;&gt;"移管","—",IF(AW137&gt;0,"あり","なし")))</f>
        <v/>
      </c>
      <c r="AP137" s="18" t="n"/>
      <c r="AQ137" s="33" t="n"/>
      <c r="AR137" s="21">
        <f>IF($A137="","",IF(AP137="","ステータス未設定",IF(AND(AL137="対象外",AP137&lt;&gt;"対象外"),"判定は対象外",IF(AND(AL137&lt;&gt;"対象外",AP137="対象外"),"判定は対象外ではない",IF(AND(AL137="判定保留",AP137&lt;&gt;"棚卸し中"),"判定保留が残っている",IF(AND(AL137="移管",AP137="棚卸し中"),"判定保留なし（棚卸し済みへ）",""))))))</f>
        <v/>
      </c>
      <c r="AS137" s="21">
        <f>IF($A137="","",COUNTIFS('紐付け'!$A$4:$A$200,$A137,'紐付け'!$C$4:$C$200,"&lt;&gt;"))</f>
        <v/>
      </c>
      <c r="AT137" s="21">
        <f>IF($A137="","",SUMPRODUCT(('紐付け'!$A$4:$A$200=$A137)*('紐付け'!$C$4:$C$200&lt;&gt;"")*(COUNTIFS('業務'!$C$4:$C$200,'紐付け'!$C$4:$C$200,'業務'!$F$4:$F$200,"間接業務",'業務'!$U$4:$U$200,$A137)=0)))</f>
        <v/>
      </c>
      <c r="AU137" s="21">
        <f>IF($A137="","",COUNTIFS('業務'!$U$4:$U$200,$A137,'業務'!$A$4:$A$200,"&lt;&gt;",'業務'!$J$4:$J$200,"&lt;&gt;済"))</f>
        <v/>
      </c>
      <c r="AV137" s="21">
        <f>IF($A137="","",COUNTIF('契約'!$C$4:$C$200,$A137))</f>
        <v/>
      </c>
      <c r="AW137" s="21">
        <f>IF($A137="","",COUNTIFS('業務'!$U$4:$U$200,$A137,'業務'!$A$4:$A$200,"&lt;&gt;",'業務'!$S$4:$S$200,"&lt;&gt;",'業務'!$F$4:$F$200,"間接業務"))</f>
        <v/>
      </c>
      <c r="AX137" s="21" t="n"/>
      <c r="AY137" s="18" t="n"/>
      <c r="AZ137" s="18" t="n"/>
      <c r="BA137" s="20" t="n"/>
    </row>
    <row r="138">
      <c r="A138" s="18" t="n"/>
      <c r="B138" s="18" t="n"/>
      <c r="C138" s="18" t="n"/>
      <c r="D138" s="18" t="n"/>
      <c r="E138" s="18" t="n"/>
      <c r="F138" s="18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20">
        <f>IF(COUNT(G138:R138)=0,"",SUM(G138:R138))</f>
        <v/>
      </c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20">
        <f>IF(COUNT(T138:AE138)=0,"",SUM(T138:AE138))</f>
        <v/>
      </c>
      <c r="AG138" s="18" t="n"/>
      <c r="AH138" s="18" t="n"/>
      <c r="AI138" s="18" t="n"/>
      <c r="AJ138" s="18" t="n"/>
      <c r="AK138" s="18" t="n"/>
      <c r="AL138" s="21">
        <f>IF($A138="","",IF(AJ138="いいえ","対象外",IF(AND(AH138="投資予算",AZ138="継続"),"対象外",IF(OR(AH138="",AJ138="",AJ138="未確認",AND(AH138="投資予算",OR(AZ138="",AZ138="未確認")),AM138="判定保留",AN138="判定保留"),"判定保留","移管"))))</f>
        <v/>
      </c>
      <c r="AM138" s="21">
        <f>IF($A138="","",IF(AJ138="いいえ","対象外",IF(AND(AH138="投資予算",AZ138="継続"),"対象外",IF(OR(AJ138="",AJ138="未確認"),"判定保留",IF(AV138=0,"—","移管")))))</f>
        <v/>
      </c>
      <c r="AN138" s="21">
        <f>IF($A138="","",IF(AJ138="いいえ","対象外",IF(AH138="投資予算","—",IF(OR(AH138="",AJ138="",AJ138="未確認",AS138=0,AT138&gt;0,AU138&gt;0),"判定保留","移管"))))</f>
        <v/>
      </c>
      <c r="AO138" s="21">
        <f>IF($A138="","",IF(AL138&lt;&gt;"移管","—",IF(AW138&gt;0,"あり","なし")))</f>
        <v/>
      </c>
      <c r="AP138" s="18" t="n"/>
      <c r="AQ138" s="33" t="n"/>
      <c r="AR138" s="21">
        <f>IF($A138="","",IF(AP138="","ステータス未設定",IF(AND(AL138="対象外",AP138&lt;&gt;"対象外"),"判定は対象外",IF(AND(AL138&lt;&gt;"対象外",AP138="対象外"),"判定は対象外ではない",IF(AND(AL138="判定保留",AP138&lt;&gt;"棚卸し中"),"判定保留が残っている",IF(AND(AL138="移管",AP138="棚卸し中"),"判定保留なし（棚卸し済みへ）",""))))))</f>
        <v/>
      </c>
      <c r="AS138" s="21">
        <f>IF($A138="","",COUNTIFS('紐付け'!$A$4:$A$200,$A138,'紐付け'!$C$4:$C$200,"&lt;&gt;"))</f>
        <v/>
      </c>
      <c r="AT138" s="21">
        <f>IF($A138="","",SUMPRODUCT(('紐付け'!$A$4:$A$200=$A138)*('紐付け'!$C$4:$C$200&lt;&gt;"")*(COUNTIFS('業務'!$C$4:$C$200,'紐付け'!$C$4:$C$200,'業務'!$F$4:$F$200,"間接業務",'業務'!$U$4:$U$200,$A138)=0)))</f>
        <v/>
      </c>
      <c r="AU138" s="21">
        <f>IF($A138="","",COUNTIFS('業務'!$U$4:$U$200,$A138,'業務'!$A$4:$A$200,"&lt;&gt;",'業務'!$J$4:$J$200,"&lt;&gt;済"))</f>
        <v/>
      </c>
      <c r="AV138" s="21">
        <f>IF($A138="","",COUNTIF('契約'!$C$4:$C$200,$A138))</f>
        <v/>
      </c>
      <c r="AW138" s="21">
        <f>IF($A138="","",COUNTIFS('業務'!$U$4:$U$200,$A138,'業務'!$A$4:$A$200,"&lt;&gt;",'業務'!$S$4:$S$200,"&lt;&gt;",'業務'!$F$4:$F$200,"間接業務"))</f>
        <v/>
      </c>
      <c r="AX138" s="21" t="n"/>
      <c r="AY138" s="18" t="n"/>
      <c r="AZ138" s="18" t="n"/>
      <c r="BA138" s="20" t="n"/>
    </row>
    <row r="139">
      <c r="A139" s="18" t="n"/>
      <c r="B139" s="18" t="n"/>
      <c r="C139" s="18" t="n"/>
      <c r="D139" s="18" t="n"/>
      <c r="E139" s="18" t="n"/>
      <c r="F139" s="18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20">
        <f>IF(COUNT(G139:R139)=0,"",SUM(G139:R139))</f>
        <v/>
      </c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20">
        <f>IF(COUNT(T139:AE139)=0,"",SUM(T139:AE139))</f>
        <v/>
      </c>
      <c r="AG139" s="18" t="n"/>
      <c r="AH139" s="18" t="n"/>
      <c r="AI139" s="18" t="n"/>
      <c r="AJ139" s="18" t="n"/>
      <c r="AK139" s="18" t="n"/>
      <c r="AL139" s="21">
        <f>IF($A139="","",IF(AJ139="いいえ","対象外",IF(AND(AH139="投資予算",AZ139="継続"),"対象外",IF(OR(AH139="",AJ139="",AJ139="未確認",AND(AH139="投資予算",OR(AZ139="",AZ139="未確認")),AM139="判定保留",AN139="判定保留"),"判定保留","移管"))))</f>
        <v/>
      </c>
      <c r="AM139" s="21">
        <f>IF($A139="","",IF(AJ139="いいえ","対象外",IF(AND(AH139="投資予算",AZ139="継続"),"対象外",IF(OR(AJ139="",AJ139="未確認"),"判定保留",IF(AV139=0,"—","移管")))))</f>
        <v/>
      </c>
      <c r="AN139" s="21">
        <f>IF($A139="","",IF(AJ139="いいえ","対象外",IF(AH139="投資予算","—",IF(OR(AH139="",AJ139="",AJ139="未確認",AS139=0,AT139&gt;0,AU139&gt;0),"判定保留","移管"))))</f>
        <v/>
      </c>
      <c r="AO139" s="21">
        <f>IF($A139="","",IF(AL139&lt;&gt;"移管","—",IF(AW139&gt;0,"あり","なし")))</f>
        <v/>
      </c>
      <c r="AP139" s="18" t="n"/>
      <c r="AQ139" s="33" t="n"/>
      <c r="AR139" s="21">
        <f>IF($A139="","",IF(AP139="","ステータス未設定",IF(AND(AL139="対象外",AP139&lt;&gt;"対象外"),"判定は対象外",IF(AND(AL139&lt;&gt;"対象外",AP139="対象外"),"判定は対象外ではない",IF(AND(AL139="判定保留",AP139&lt;&gt;"棚卸し中"),"判定保留が残っている",IF(AND(AL139="移管",AP139="棚卸し中"),"判定保留なし（棚卸し済みへ）",""))))))</f>
        <v/>
      </c>
      <c r="AS139" s="21">
        <f>IF($A139="","",COUNTIFS('紐付け'!$A$4:$A$200,$A139,'紐付け'!$C$4:$C$200,"&lt;&gt;"))</f>
        <v/>
      </c>
      <c r="AT139" s="21">
        <f>IF($A139="","",SUMPRODUCT(('紐付け'!$A$4:$A$200=$A139)*('紐付け'!$C$4:$C$200&lt;&gt;"")*(COUNTIFS('業務'!$C$4:$C$200,'紐付け'!$C$4:$C$200,'業務'!$F$4:$F$200,"間接業務",'業務'!$U$4:$U$200,$A139)=0)))</f>
        <v/>
      </c>
      <c r="AU139" s="21">
        <f>IF($A139="","",COUNTIFS('業務'!$U$4:$U$200,$A139,'業務'!$A$4:$A$200,"&lt;&gt;",'業務'!$J$4:$J$200,"&lt;&gt;済"))</f>
        <v/>
      </c>
      <c r="AV139" s="21">
        <f>IF($A139="","",COUNTIF('契約'!$C$4:$C$200,$A139))</f>
        <v/>
      </c>
      <c r="AW139" s="21">
        <f>IF($A139="","",COUNTIFS('業務'!$U$4:$U$200,$A139,'業務'!$A$4:$A$200,"&lt;&gt;",'業務'!$S$4:$S$200,"&lt;&gt;",'業務'!$F$4:$F$200,"間接業務"))</f>
        <v/>
      </c>
      <c r="AX139" s="21" t="n"/>
      <c r="AY139" s="18" t="n"/>
      <c r="AZ139" s="18" t="n"/>
      <c r="BA139" s="20" t="n"/>
    </row>
    <row r="140">
      <c r="A140" s="18" t="n"/>
      <c r="B140" s="18" t="n"/>
      <c r="C140" s="18" t="n"/>
      <c r="D140" s="18" t="n"/>
      <c r="E140" s="18" t="n"/>
      <c r="F140" s="18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20">
        <f>IF(COUNT(G140:R140)=0,"",SUM(G140:R140))</f>
        <v/>
      </c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20">
        <f>IF(COUNT(T140:AE140)=0,"",SUM(T140:AE140))</f>
        <v/>
      </c>
      <c r="AG140" s="18" t="n"/>
      <c r="AH140" s="18" t="n"/>
      <c r="AI140" s="18" t="n"/>
      <c r="AJ140" s="18" t="n"/>
      <c r="AK140" s="18" t="n"/>
      <c r="AL140" s="21">
        <f>IF($A140="","",IF(AJ140="いいえ","対象外",IF(AND(AH140="投資予算",AZ140="継続"),"対象外",IF(OR(AH140="",AJ140="",AJ140="未確認",AND(AH140="投資予算",OR(AZ140="",AZ140="未確認")),AM140="判定保留",AN140="判定保留"),"判定保留","移管"))))</f>
        <v/>
      </c>
      <c r="AM140" s="21">
        <f>IF($A140="","",IF(AJ140="いいえ","対象外",IF(AND(AH140="投資予算",AZ140="継続"),"対象外",IF(OR(AJ140="",AJ140="未確認"),"判定保留",IF(AV140=0,"—","移管")))))</f>
        <v/>
      </c>
      <c r="AN140" s="21">
        <f>IF($A140="","",IF(AJ140="いいえ","対象外",IF(AH140="投資予算","—",IF(OR(AH140="",AJ140="",AJ140="未確認",AS140=0,AT140&gt;0,AU140&gt;0),"判定保留","移管"))))</f>
        <v/>
      </c>
      <c r="AO140" s="21">
        <f>IF($A140="","",IF(AL140&lt;&gt;"移管","—",IF(AW140&gt;0,"あり","なし")))</f>
        <v/>
      </c>
      <c r="AP140" s="18" t="n"/>
      <c r="AQ140" s="33" t="n"/>
      <c r="AR140" s="21">
        <f>IF($A140="","",IF(AP140="","ステータス未設定",IF(AND(AL140="対象外",AP140&lt;&gt;"対象外"),"判定は対象外",IF(AND(AL140&lt;&gt;"対象外",AP140="対象外"),"判定は対象外ではない",IF(AND(AL140="判定保留",AP140&lt;&gt;"棚卸し中"),"判定保留が残っている",IF(AND(AL140="移管",AP140="棚卸し中"),"判定保留なし（棚卸し済みへ）",""))))))</f>
        <v/>
      </c>
      <c r="AS140" s="21">
        <f>IF($A140="","",COUNTIFS('紐付け'!$A$4:$A$200,$A140,'紐付け'!$C$4:$C$200,"&lt;&gt;"))</f>
        <v/>
      </c>
      <c r="AT140" s="21">
        <f>IF($A140="","",SUMPRODUCT(('紐付け'!$A$4:$A$200=$A140)*('紐付け'!$C$4:$C$200&lt;&gt;"")*(COUNTIFS('業務'!$C$4:$C$200,'紐付け'!$C$4:$C$200,'業務'!$F$4:$F$200,"間接業務",'業務'!$U$4:$U$200,$A140)=0)))</f>
        <v/>
      </c>
      <c r="AU140" s="21">
        <f>IF($A140="","",COUNTIFS('業務'!$U$4:$U$200,$A140,'業務'!$A$4:$A$200,"&lt;&gt;",'業務'!$J$4:$J$200,"&lt;&gt;済"))</f>
        <v/>
      </c>
      <c r="AV140" s="21">
        <f>IF($A140="","",COUNTIF('契約'!$C$4:$C$200,$A140))</f>
        <v/>
      </c>
      <c r="AW140" s="21">
        <f>IF($A140="","",COUNTIFS('業務'!$U$4:$U$200,$A140,'業務'!$A$4:$A$200,"&lt;&gt;",'業務'!$S$4:$S$200,"&lt;&gt;",'業務'!$F$4:$F$200,"間接業務"))</f>
        <v/>
      </c>
      <c r="AX140" s="21" t="n"/>
      <c r="AY140" s="18" t="n"/>
      <c r="AZ140" s="18" t="n"/>
      <c r="BA140" s="20" t="n"/>
    </row>
    <row r="141">
      <c r="A141" s="18" t="n"/>
      <c r="B141" s="18" t="n"/>
      <c r="C141" s="18" t="n"/>
      <c r="D141" s="18" t="n"/>
      <c r="E141" s="18" t="n"/>
      <c r="F141" s="18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20">
        <f>IF(COUNT(G141:R141)=0,"",SUM(G141:R141))</f>
        <v/>
      </c>
      <c r="T141" s="19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20">
        <f>IF(COUNT(T141:AE141)=0,"",SUM(T141:AE141))</f>
        <v/>
      </c>
      <c r="AG141" s="18" t="n"/>
      <c r="AH141" s="18" t="n"/>
      <c r="AI141" s="18" t="n"/>
      <c r="AJ141" s="18" t="n"/>
      <c r="AK141" s="18" t="n"/>
      <c r="AL141" s="21">
        <f>IF($A141="","",IF(AJ141="いいえ","対象外",IF(AND(AH141="投資予算",AZ141="継続"),"対象外",IF(OR(AH141="",AJ141="",AJ141="未確認",AND(AH141="投資予算",OR(AZ141="",AZ141="未確認")),AM141="判定保留",AN141="判定保留"),"判定保留","移管"))))</f>
        <v/>
      </c>
      <c r="AM141" s="21">
        <f>IF($A141="","",IF(AJ141="いいえ","対象外",IF(AND(AH141="投資予算",AZ141="継続"),"対象外",IF(OR(AJ141="",AJ141="未確認"),"判定保留",IF(AV141=0,"—","移管")))))</f>
        <v/>
      </c>
      <c r="AN141" s="21">
        <f>IF($A141="","",IF(AJ141="いいえ","対象外",IF(AH141="投資予算","—",IF(OR(AH141="",AJ141="",AJ141="未確認",AS141=0,AT141&gt;0,AU141&gt;0),"判定保留","移管"))))</f>
        <v/>
      </c>
      <c r="AO141" s="21">
        <f>IF($A141="","",IF(AL141&lt;&gt;"移管","—",IF(AW141&gt;0,"あり","なし")))</f>
        <v/>
      </c>
      <c r="AP141" s="18" t="n"/>
      <c r="AQ141" s="33" t="n"/>
      <c r="AR141" s="21">
        <f>IF($A141="","",IF(AP141="","ステータス未設定",IF(AND(AL141="対象外",AP141&lt;&gt;"対象外"),"判定は対象外",IF(AND(AL141&lt;&gt;"対象外",AP141="対象外"),"判定は対象外ではない",IF(AND(AL141="判定保留",AP141&lt;&gt;"棚卸し中"),"判定保留が残っている",IF(AND(AL141="移管",AP141="棚卸し中"),"判定保留なし（棚卸し済みへ）",""))))))</f>
        <v/>
      </c>
      <c r="AS141" s="21">
        <f>IF($A141="","",COUNTIFS('紐付け'!$A$4:$A$200,$A141,'紐付け'!$C$4:$C$200,"&lt;&gt;"))</f>
        <v/>
      </c>
      <c r="AT141" s="21">
        <f>IF($A141="","",SUMPRODUCT(('紐付け'!$A$4:$A$200=$A141)*('紐付け'!$C$4:$C$200&lt;&gt;"")*(COUNTIFS('業務'!$C$4:$C$200,'紐付け'!$C$4:$C$200,'業務'!$F$4:$F$200,"間接業務",'業務'!$U$4:$U$200,$A141)=0)))</f>
        <v/>
      </c>
      <c r="AU141" s="21">
        <f>IF($A141="","",COUNTIFS('業務'!$U$4:$U$200,$A141,'業務'!$A$4:$A$200,"&lt;&gt;",'業務'!$J$4:$J$200,"&lt;&gt;済"))</f>
        <v/>
      </c>
      <c r="AV141" s="21">
        <f>IF($A141="","",COUNTIF('契約'!$C$4:$C$200,$A141))</f>
        <v/>
      </c>
      <c r="AW141" s="21">
        <f>IF($A141="","",COUNTIFS('業務'!$U$4:$U$200,$A141,'業務'!$A$4:$A$200,"&lt;&gt;",'業務'!$S$4:$S$200,"&lt;&gt;",'業務'!$F$4:$F$200,"間接業務"))</f>
        <v/>
      </c>
      <c r="AX141" s="21" t="n"/>
      <c r="AY141" s="18" t="n"/>
      <c r="AZ141" s="18" t="n"/>
      <c r="BA141" s="20" t="n"/>
    </row>
    <row r="142">
      <c r="A142" s="18" t="n"/>
      <c r="B142" s="18" t="n"/>
      <c r="C142" s="18" t="n"/>
      <c r="D142" s="18" t="n"/>
      <c r="E142" s="18" t="n"/>
      <c r="F142" s="18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20">
        <f>IF(COUNT(G142:R142)=0,"",SUM(G142:R142))</f>
        <v/>
      </c>
      <c r="T142" s="19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20">
        <f>IF(COUNT(T142:AE142)=0,"",SUM(T142:AE142))</f>
        <v/>
      </c>
      <c r="AG142" s="18" t="n"/>
      <c r="AH142" s="18" t="n"/>
      <c r="AI142" s="18" t="n"/>
      <c r="AJ142" s="18" t="n"/>
      <c r="AK142" s="18" t="n"/>
      <c r="AL142" s="21">
        <f>IF($A142="","",IF(AJ142="いいえ","対象外",IF(AND(AH142="投資予算",AZ142="継続"),"対象外",IF(OR(AH142="",AJ142="",AJ142="未確認",AND(AH142="投資予算",OR(AZ142="",AZ142="未確認")),AM142="判定保留",AN142="判定保留"),"判定保留","移管"))))</f>
        <v/>
      </c>
      <c r="AM142" s="21">
        <f>IF($A142="","",IF(AJ142="いいえ","対象外",IF(AND(AH142="投資予算",AZ142="継続"),"対象外",IF(OR(AJ142="",AJ142="未確認"),"判定保留",IF(AV142=0,"—","移管")))))</f>
        <v/>
      </c>
      <c r="AN142" s="21">
        <f>IF($A142="","",IF(AJ142="いいえ","対象外",IF(AH142="投資予算","—",IF(OR(AH142="",AJ142="",AJ142="未確認",AS142=0,AT142&gt;0,AU142&gt;0),"判定保留","移管"))))</f>
        <v/>
      </c>
      <c r="AO142" s="21">
        <f>IF($A142="","",IF(AL142&lt;&gt;"移管","—",IF(AW142&gt;0,"あり","なし")))</f>
        <v/>
      </c>
      <c r="AP142" s="18" t="n"/>
      <c r="AQ142" s="33" t="n"/>
      <c r="AR142" s="21">
        <f>IF($A142="","",IF(AP142="","ステータス未設定",IF(AND(AL142="対象外",AP142&lt;&gt;"対象外"),"判定は対象外",IF(AND(AL142&lt;&gt;"対象外",AP142="対象外"),"判定は対象外ではない",IF(AND(AL142="判定保留",AP142&lt;&gt;"棚卸し中"),"判定保留が残っている",IF(AND(AL142="移管",AP142="棚卸し中"),"判定保留なし（棚卸し済みへ）",""))))))</f>
        <v/>
      </c>
      <c r="AS142" s="21">
        <f>IF($A142="","",COUNTIFS('紐付け'!$A$4:$A$200,$A142,'紐付け'!$C$4:$C$200,"&lt;&gt;"))</f>
        <v/>
      </c>
      <c r="AT142" s="21">
        <f>IF($A142="","",SUMPRODUCT(('紐付け'!$A$4:$A$200=$A142)*('紐付け'!$C$4:$C$200&lt;&gt;"")*(COUNTIFS('業務'!$C$4:$C$200,'紐付け'!$C$4:$C$200,'業務'!$F$4:$F$200,"間接業務",'業務'!$U$4:$U$200,$A142)=0)))</f>
        <v/>
      </c>
      <c r="AU142" s="21">
        <f>IF($A142="","",COUNTIFS('業務'!$U$4:$U$200,$A142,'業務'!$A$4:$A$200,"&lt;&gt;",'業務'!$J$4:$J$200,"&lt;&gt;済"))</f>
        <v/>
      </c>
      <c r="AV142" s="21">
        <f>IF($A142="","",COUNTIF('契約'!$C$4:$C$200,$A142))</f>
        <v/>
      </c>
      <c r="AW142" s="21">
        <f>IF($A142="","",COUNTIFS('業務'!$U$4:$U$200,$A142,'業務'!$A$4:$A$200,"&lt;&gt;",'業務'!$S$4:$S$200,"&lt;&gt;",'業務'!$F$4:$F$200,"間接業務"))</f>
        <v/>
      </c>
      <c r="AX142" s="21" t="n"/>
      <c r="AY142" s="18" t="n"/>
      <c r="AZ142" s="18" t="n"/>
      <c r="BA142" s="20" t="n"/>
    </row>
    <row r="143">
      <c r="A143" s="18" t="n"/>
      <c r="B143" s="18" t="n"/>
      <c r="C143" s="18" t="n"/>
      <c r="D143" s="18" t="n"/>
      <c r="E143" s="18" t="n"/>
      <c r="F143" s="18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20">
        <f>IF(COUNT(G143:R143)=0,"",SUM(G143:R143))</f>
        <v/>
      </c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20">
        <f>IF(COUNT(T143:AE143)=0,"",SUM(T143:AE143))</f>
        <v/>
      </c>
      <c r="AG143" s="18" t="n"/>
      <c r="AH143" s="18" t="n"/>
      <c r="AI143" s="18" t="n"/>
      <c r="AJ143" s="18" t="n"/>
      <c r="AK143" s="18" t="n"/>
      <c r="AL143" s="21">
        <f>IF($A143="","",IF(AJ143="いいえ","対象外",IF(AND(AH143="投資予算",AZ143="継続"),"対象外",IF(OR(AH143="",AJ143="",AJ143="未確認",AND(AH143="投資予算",OR(AZ143="",AZ143="未確認")),AM143="判定保留",AN143="判定保留"),"判定保留","移管"))))</f>
        <v/>
      </c>
      <c r="AM143" s="21">
        <f>IF($A143="","",IF(AJ143="いいえ","対象外",IF(AND(AH143="投資予算",AZ143="継続"),"対象外",IF(OR(AJ143="",AJ143="未確認"),"判定保留",IF(AV143=0,"—","移管")))))</f>
        <v/>
      </c>
      <c r="AN143" s="21">
        <f>IF($A143="","",IF(AJ143="いいえ","対象外",IF(AH143="投資予算","—",IF(OR(AH143="",AJ143="",AJ143="未確認",AS143=0,AT143&gt;0,AU143&gt;0),"判定保留","移管"))))</f>
        <v/>
      </c>
      <c r="AO143" s="21">
        <f>IF($A143="","",IF(AL143&lt;&gt;"移管","—",IF(AW143&gt;0,"あり","なし")))</f>
        <v/>
      </c>
      <c r="AP143" s="18" t="n"/>
      <c r="AQ143" s="33" t="n"/>
      <c r="AR143" s="21">
        <f>IF($A143="","",IF(AP143="","ステータス未設定",IF(AND(AL143="対象外",AP143&lt;&gt;"対象外"),"判定は対象外",IF(AND(AL143&lt;&gt;"対象外",AP143="対象外"),"判定は対象外ではない",IF(AND(AL143="判定保留",AP143&lt;&gt;"棚卸し中"),"判定保留が残っている",IF(AND(AL143="移管",AP143="棚卸し中"),"判定保留なし（棚卸し済みへ）",""))))))</f>
        <v/>
      </c>
      <c r="AS143" s="21">
        <f>IF($A143="","",COUNTIFS('紐付け'!$A$4:$A$200,$A143,'紐付け'!$C$4:$C$200,"&lt;&gt;"))</f>
        <v/>
      </c>
      <c r="AT143" s="21">
        <f>IF($A143="","",SUMPRODUCT(('紐付け'!$A$4:$A$200=$A143)*('紐付け'!$C$4:$C$200&lt;&gt;"")*(COUNTIFS('業務'!$C$4:$C$200,'紐付け'!$C$4:$C$200,'業務'!$F$4:$F$200,"間接業務",'業務'!$U$4:$U$200,$A143)=0)))</f>
        <v/>
      </c>
      <c r="AU143" s="21">
        <f>IF($A143="","",COUNTIFS('業務'!$U$4:$U$200,$A143,'業務'!$A$4:$A$200,"&lt;&gt;",'業務'!$J$4:$J$200,"&lt;&gt;済"))</f>
        <v/>
      </c>
      <c r="AV143" s="21">
        <f>IF($A143="","",COUNTIF('契約'!$C$4:$C$200,$A143))</f>
        <v/>
      </c>
      <c r="AW143" s="21">
        <f>IF($A143="","",COUNTIFS('業務'!$U$4:$U$200,$A143,'業務'!$A$4:$A$200,"&lt;&gt;",'業務'!$S$4:$S$200,"&lt;&gt;",'業務'!$F$4:$F$200,"間接業務"))</f>
        <v/>
      </c>
      <c r="AX143" s="21" t="n"/>
      <c r="AY143" s="18" t="n"/>
      <c r="AZ143" s="18" t="n"/>
      <c r="BA143" s="20" t="n"/>
    </row>
    <row r="144">
      <c r="A144" s="18" t="n"/>
      <c r="B144" s="18" t="n"/>
      <c r="C144" s="18" t="n"/>
      <c r="D144" s="18" t="n"/>
      <c r="E144" s="18" t="n"/>
      <c r="F144" s="18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20">
        <f>IF(COUNT(G144:R144)=0,"",SUM(G144:R144))</f>
        <v/>
      </c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20">
        <f>IF(COUNT(T144:AE144)=0,"",SUM(T144:AE144))</f>
        <v/>
      </c>
      <c r="AG144" s="18" t="n"/>
      <c r="AH144" s="18" t="n"/>
      <c r="AI144" s="18" t="n"/>
      <c r="AJ144" s="18" t="n"/>
      <c r="AK144" s="18" t="n"/>
      <c r="AL144" s="21">
        <f>IF($A144="","",IF(AJ144="いいえ","対象外",IF(AND(AH144="投資予算",AZ144="継続"),"対象外",IF(OR(AH144="",AJ144="",AJ144="未確認",AND(AH144="投資予算",OR(AZ144="",AZ144="未確認")),AM144="判定保留",AN144="判定保留"),"判定保留","移管"))))</f>
        <v/>
      </c>
      <c r="AM144" s="21">
        <f>IF($A144="","",IF(AJ144="いいえ","対象外",IF(AND(AH144="投資予算",AZ144="継続"),"対象外",IF(OR(AJ144="",AJ144="未確認"),"判定保留",IF(AV144=0,"—","移管")))))</f>
        <v/>
      </c>
      <c r="AN144" s="21">
        <f>IF($A144="","",IF(AJ144="いいえ","対象外",IF(AH144="投資予算","—",IF(OR(AH144="",AJ144="",AJ144="未確認",AS144=0,AT144&gt;0,AU144&gt;0),"判定保留","移管"))))</f>
        <v/>
      </c>
      <c r="AO144" s="21">
        <f>IF($A144="","",IF(AL144&lt;&gt;"移管","—",IF(AW144&gt;0,"あり","なし")))</f>
        <v/>
      </c>
      <c r="AP144" s="18" t="n"/>
      <c r="AQ144" s="33" t="n"/>
      <c r="AR144" s="21">
        <f>IF($A144="","",IF(AP144="","ステータス未設定",IF(AND(AL144="対象外",AP144&lt;&gt;"対象外"),"判定は対象外",IF(AND(AL144&lt;&gt;"対象外",AP144="対象外"),"判定は対象外ではない",IF(AND(AL144="判定保留",AP144&lt;&gt;"棚卸し中"),"判定保留が残っている",IF(AND(AL144="移管",AP144="棚卸し中"),"判定保留なし（棚卸し済みへ）",""))))))</f>
        <v/>
      </c>
      <c r="AS144" s="21">
        <f>IF($A144="","",COUNTIFS('紐付け'!$A$4:$A$200,$A144,'紐付け'!$C$4:$C$200,"&lt;&gt;"))</f>
        <v/>
      </c>
      <c r="AT144" s="21">
        <f>IF($A144="","",SUMPRODUCT(('紐付け'!$A$4:$A$200=$A144)*('紐付け'!$C$4:$C$200&lt;&gt;"")*(COUNTIFS('業務'!$C$4:$C$200,'紐付け'!$C$4:$C$200,'業務'!$F$4:$F$200,"間接業務",'業務'!$U$4:$U$200,$A144)=0)))</f>
        <v/>
      </c>
      <c r="AU144" s="21">
        <f>IF($A144="","",COUNTIFS('業務'!$U$4:$U$200,$A144,'業務'!$A$4:$A$200,"&lt;&gt;",'業務'!$J$4:$J$200,"&lt;&gt;済"))</f>
        <v/>
      </c>
      <c r="AV144" s="21">
        <f>IF($A144="","",COUNTIF('契約'!$C$4:$C$200,$A144))</f>
        <v/>
      </c>
      <c r="AW144" s="21">
        <f>IF($A144="","",COUNTIFS('業務'!$U$4:$U$200,$A144,'業務'!$A$4:$A$200,"&lt;&gt;",'業務'!$S$4:$S$200,"&lt;&gt;",'業務'!$F$4:$F$200,"間接業務"))</f>
        <v/>
      </c>
      <c r="AX144" s="21" t="n"/>
      <c r="AY144" s="18" t="n"/>
      <c r="AZ144" s="18" t="n"/>
      <c r="BA144" s="20" t="n"/>
    </row>
    <row r="145">
      <c r="A145" s="18" t="n"/>
      <c r="B145" s="18" t="n"/>
      <c r="C145" s="18" t="n"/>
      <c r="D145" s="18" t="n"/>
      <c r="E145" s="18" t="n"/>
      <c r="F145" s="18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20">
        <f>IF(COUNT(G145:R145)=0,"",SUM(G145:R145))</f>
        <v/>
      </c>
      <c r="T145" s="19" t="n"/>
      <c r="U145" s="19" t="n"/>
      <c r="V145" s="19" t="n"/>
      <c r="W145" s="19" t="n"/>
      <c r="X145" s="19" t="n"/>
      <c r="Y145" s="19" t="n"/>
      <c r="Z145" s="19" t="n"/>
      <c r="AA145" s="19" t="n"/>
      <c r="AB145" s="19" t="n"/>
      <c r="AC145" s="19" t="n"/>
      <c r="AD145" s="19" t="n"/>
      <c r="AE145" s="19" t="n"/>
      <c r="AF145" s="20">
        <f>IF(COUNT(T145:AE145)=0,"",SUM(T145:AE145))</f>
        <v/>
      </c>
      <c r="AG145" s="18" t="n"/>
      <c r="AH145" s="18" t="n"/>
      <c r="AI145" s="18" t="n"/>
      <c r="AJ145" s="18" t="n"/>
      <c r="AK145" s="18" t="n"/>
      <c r="AL145" s="21">
        <f>IF($A145="","",IF(AJ145="いいえ","対象外",IF(AND(AH145="投資予算",AZ145="継続"),"対象外",IF(OR(AH145="",AJ145="",AJ145="未確認",AND(AH145="投資予算",OR(AZ145="",AZ145="未確認")),AM145="判定保留",AN145="判定保留"),"判定保留","移管"))))</f>
        <v/>
      </c>
      <c r="AM145" s="21">
        <f>IF($A145="","",IF(AJ145="いいえ","対象外",IF(AND(AH145="投資予算",AZ145="継続"),"対象外",IF(OR(AJ145="",AJ145="未確認"),"判定保留",IF(AV145=0,"—","移管")))))</f>
        <v/>
      </c>
      <c r="AN145" s="21">
        <f>IF($A145="","",IF(AJ145="いいえ","対象外",IF(AH145="投資予算","—",IF(OR(AH145="",AJ145="",AJ145="未確認",AS145=0,AT145&gt;0,AU145&gt;0),"判定保留","移管"))))</f>
        <v/>
      </c>
      <c r="AO145" s="21">
        <f>IF($A145="","",IF(AL145&lt;&gt;"移管","—",IF(AW145&gt;0,"あり","なし")))</f>
        <v/>
      </c>
      <c r="AP145" s="18" t="n"/>
      <c r="AQ145" s="33" t="n"/>
      <c r="AR145" s="21">
        <f>IF($A145="","",IF(AP145="","ステータス未設定",IF(AND(AL145="対象外",AP145&lt;&gt;"対象外"),"判定は対象外",IF(AND(AL145&lt;&gt;"対象外",AP145="対象外"),"判定は対象外ではない",IF(AND(AL145="判定保留",AP145&lt;&gt;"棚卸し中"),"判定保留が残っている",IF(AND(AL145="移管",AP145="棚卸し中"),"判定保留なし（棚卸し済みへ）",""))))))</f>
        <v/>
      </c>
      <c r="AS145" s="21">
        <f>IF($A145="","",COUNTIFS('紐付け'!$A$4:$A$200,$A145,'紐付け'!$C$4:$C$200,"&lt;&gt;"))</f>
        <v/>
      </c>
      <c r="AT145" s="21">
        <f>IF($A145="","",SUMPRODUCT(('紐付け'!$A$4:$A$200=$A145)*('紐付け'!$C$4:$C$200&lt;&gt;"")*(COUNTIFS('業務'!$C$4:$C$200,'紐付け'!$C$4:$C$200,'業務'!$F$4:$F$200,"間接業務",'業務'!$U$4:$U$200,$A145)=0)))</f>
        <v/>
      </c>
      <c r="AU145" s="21">
        <f>IF($A145="","",COUNTIFS('業務'!$U$4:$U$200,$A145,'業務'!$A$4:$A$200,"&lt;&gt;",'業務'!$J$4:$J$200,"&lt;&gt;済"))</f>
        <v/>
      </c>
      <c r="AV145" s="21">
        <f>IF($A145="","",COUNTIF('契約'!$C$4:$C$200,$A145))</f>
        <v/>
      </c>
      <c r="AW145" s="21">
        <f>IF($A145="","",COUNTIFS('業務'!$U$4:$U$200,$A145,'業務'!$A$4:$A$200,"&lt;&gt;",'業務'!$S$4:$S$200,"&lt;&gt;",'業務'!$F$4:$F$200,"間接業務"))</f>
        <v/>
      </c>
      <c r="AX145" s="21" t="n"/>
      <c r="AY145" s="18" t="n"/>
      <c r="AZ145" s="18" t="n"/>
      <c r="BA145" s="20" t="n"/>
    </row>
    <row r="146">
      <c r="A146" s="18" t="n"/>
      <c r="B146" s="18" t="n"/>
      <c r="C146" s="18" t="n"/>
      <c r="D146" s="18" t="n"/>
      <c r="E146" s="18" t="n"/>
      <c r="F146" s="18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20">
        <f>IF(COUNT(G146:R146)=0,"",SUM(G146:R146))</f>
        <v/>
      </c>
      <c r="T146" s="19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20">
        <f>IF(COUNT(T146:AE146)=0,"",SUM(T146:AE146))</f>
        <v/>
      </c>
      <c r="AG146" s="18" t="n"/>
      <c r="AH146" s="18" t="n"/>
      <c r="AI146" s="18" t="n"/>
      <c r="AJ146" s="18" t="n"/>
      <c r="AK146" s="18" t="n"/>
      <c r="AL146" s="21">
        <f>IF($A146="","",IF(AJ146="いいえ","対象外",IF(AND(AH146="投資予算",AZ146="継続"),"対象外",IF(OR(AH146="",AJ146="",AJ146="未確認",AND(AH146="投資予算",OR(AZ146="",AZ146="未確認")),AM146="判定保留",AN146="判定保留"),"判定保留","移管"))))</f>
        <v/>
      </c>
      <c r="AM146" s="21">
        <f>IF($A146="","",IF(AJ146="いいえ","対象外",IF(AND(AH146="投資予算",AZ146="継続"),"対象外",IF(OR(AJ146="",AJ146="未確認"),"判定保留",IF(AV146=0,"—","移管")))))</f>
        <v/>
      </c>
      <c r="AN146" s="21">
        <f>IF($A146="","",IF(AJ146="いいえ","対象外",IF(AH146="投資予算","—",IF(OR(AH146="",AJ146="",AJ146="未確認",AS146=0,AT146&gt;0,AU146&gt;0),"判定保留","移管"))))</f>
        <v/>
      </c>
      <c r="AO146" s="21">
        <f>IF($A146="","",IF(AL146&lt;&gt;"移管","—",IF(AW146&gt;0,"あり","なし")))</f>
        <v/>
      </c>
      <c r="AP146" s="18" t="n"/>
      <c r="AQ146" s="33" t="n"/>
      <c r="AR146" s="21">
        <f>IF($A146="","",IF(AP146="","ステータス未設定",IF(AND(AL146="対象外",AP146&lt;&gt;"対象外"),"判定は対象外",IF(AND(AL146&lt;&gt;"対象外",AP146="対象外"),"判定は対象外ではない",IF(AND(AL146="判定保留",AP146&lt;&gt;"棚卸し中"),"判定保留が残っている",IF(AND(AL146="移管",AP146="棚卸し中"),"判定保留なし（棚卸し済みへ）",""))))))</f>
        <v/>
      </c>
      <c r="AS146" s="21">
        <f>IF($A146="","",COUNTIFS('紐付け'!$A$4:$A$200,$A146,'紐付け'!$C$4:$C$200,"&lt;&gt;"))</f>
        <v/>
      </c>
      <c r="AT146" s="21">
        <f>IF($A146="","",SUMPRODUCT(('紐付け'!$A$4:$A$200=$A146)*('紐付け'!$C$4:$C$200&lt;&gt;"")*(COUNTIFS('業務'!$C$4:$C$200,'紐付け'!$C$4:$C$200,'業務'!$F$4:$F$200,"間接業務",'業務'!$U$4:$U$200,$A146)=0)))</f>
        <v/>
      </c>
      <c r="AU146" s="21">
        <f>IF($A146="","",COUNTIFS('業務'!$U$4:$U$200,$A146,'業務'!$A$4:$A$200,"&lt;&gt;",'業務'!$J$4:$J$200,"&lt;&gt;済"))</f>
        <v/>
      </c>
      <c r="AV146" s="21">
        <f>IF($A146="","",COUNTIF('契約'!$C$4:$C$200,$A146))</f>
        <v/>
      </c>
      <c r="AW146" s="21">
        <f>IF($A146="","",COUNTIFS('業務'!$U$4:$U$200,$A146,'業務'!$A$4:$A$200,"&lt;&gt;",'業務'!$S$4:$S$200,"&lt;&gt;",'業務'!$F$4:$F$200,"間接業務"))</f>
        <v/>
      </c>
      <c r="AX146" s="21" t="n"/>
      <c r="AY146" s="18" t="n"/>
      <c r="AZ146" s="18" t="n"/>
      <c r="BA146" s="20" t="n"/>
    </row>
    <row r="147">
      <c r="A147" s="18" t="n"/>
      <c r="B147" s="18" t="n"/>
      <c r="C147" s="18" t="n"/>
      <c r="D147" s="18" t="n"/>
      <c r="E147" s="18" t="n"/>
      <c r="F147" s="18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20">
        <f>IF(COUNT(G147:R147)=0,"",SUM(G147:R147))</f>
        <v/>
      </c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20">
        <f>IF(COUNT(T147:AE147)=0,"",SUM(T147:AE147))</f>
        <v/>
      </c>
      <c r="AG147" s="18" t="n"/>
      <c r="AH147" s="18" t="n"/>
      <c r="AI147" s="18" t="n"/>
      <c r="AJ147" s="18" t="n"/>
      <c r="AK147" s="18" t="n"/>
      <c r="AL147" s="21">
        <f>IF($A147="","",IF(AJ147="いいえ","対象外",IF(AND(AH147="投資予算",AZ147="継続"),"対象外",IF(OR(AH147="",AJ147="",AJ147="未確認",AND(AH147="投資予算",OR(AZ147="",AZ147="未確認")),AM147="判定保留",AN147="判定保留"),"判定保留","移管"))))</f>
        <v/>
      </c>
      <c r="AM147" s="21">
        <f>IF($A147="","",IF(AJ147="いいえ","対象外",IF(AND(AH147="投資予算",AZ147="継続"),"対象外",IF(OR(AJ147="",AJ147="未確認"),"判定保留",IF(AV147=0,"—","移管")))))</f>
        <v/>
      </c>
      <c r="AN147" s="21">
        <f>IF($A147="","",IF(AJ147="いいえ","対象外",IF(AH147="投資予算","—",IF(OR(AH147="",AJ147="",AJ147="未確認",AS147=0,AT147&gt;0,AU147&gt;0),"判定保留","移管"))))</f>
        <v/>
      </c>
      <c r="AO147" s="21">
        <f>IF($A147="","",IF(AL147&lt;&gt;"移管","—",IF(AW147&gt;0,"あり","なし")))</f>
        <v/>
      </c>
      <c r="AP147" s="18" t="n"/>
      <c r="AQ147" s="33" t="n"/>
      <c r="AR147" s="21">
        <f>IF($A147="","",IF(AP147="","ステータス未設定",IF(AND(AL147="対象外",AP147&lt;&gt;"対象外"),"判定は対象外",IF(AND(AL147&lt;&gt;"対象外",AP147="対象外"),"判定は対象外ではない",IF(AND(AL147="判定保留",AP147&lt;&gt;"棚卸し中"),"判定保留が残っている",IF(AND(AL147="移管",AP147="棚卸し中"),"判定保留なし（棚卸し済みへ）",""))))))</f>
        <v/>
      </c>
      <c r="AS147" s="21">
        <f>IF($A147="","",COUNTIFS('紐付け'!$A$4:$A$200,$A147,'紐付け'!$C$4:$C$200,"&lt;&gt;"))</f>
        <v/>
      </c>
      <c r="AT147" s="21">
        <f>IF($A147="","",SUMPRODUCT(('紐付け'!$A$4:$A$200=$A147)*('紐付け'!$C$4:$C$200&lt;&gt;"")*(COUNTIFS('業務'!$C$4:$C$200,'紐付け'!$C$4:$C$200,'業務'!$F$4:$F$200,"間接業務",'業務'!$U$4:$U$200,$A147)=0)))</f>
        <v/>
      </c>
      <c r="AU147" s="21">
        <f>IF($A147="","",COUNTIFS('業務'!$U$4:$U$200,$A147,'業務'!$A$4:$A$200,"&lt;&gt;",'業務'!$J$4:$J$200,"&lt;&gt;済"))</f>
        <v/>
      </c>
      <c r="AV147" s="21">
        <f>IF($A147="","",COUNTIF('契約'!$C$4:$C$200,$A147))</f>
        <v/>
      </c>
      <c r="AW147" s="21">
        <f>IF($A147="","",COUNTIFS('業務'!$U$4:$U$200,$A147,'業務'!$A$4:$A$200,"&lt;&gt;",'業務'!$S$4:$S$200,"&lt;&gt;",'業務'!$F$4:$F$200,"間接業務"))</f>
        <v/>
      </c>
      <c r="AX147" s="21" t="n"/>
      <c r="AY147" s="18" t="n"/>
      <c r="AZ147" s="18" t="n"/>
      <c r="BA147" s="20" t="n"/>
    </row>
    <row r="148">
      <c r="A148" s="18" t="n"/>
      <c r="B148" s="18" t="n"/>
      <c r="C148" s="18" t="n"/>
      <c r="D148" s="18" t="n"/>
      <c r="E148" s="18" t="n"/>
      <c r="F148" s="18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20">
        <f>IF(COUNT(G148:R148)=0,"",SUM(G148:R148))</f>
        <v/>
      </c>
      <c r="T148" s="19" t="n"/>
      <c r="U148" s="19" t="n"/>
      <c r="V148" s="19" t="n"/>
      <c r="W148" s="19" t="n"/>
      <c r="X148" s="19" t="n"/>
      <c r="Y148" s="19" t="n"/>
      <c r="Z148" s="19" t="n"/>
      <c r="AA148" s="19" t="n"/>
      <c r="AB148" s="19" t="n"/>
      <c r="AC148" s="19" t="n"/>
      <c r="AD148" s="19" t="n"/>
      <c r="AE148" s="19" t="n"/>
      <c r="AF148" s="20">
        <f>IF(COUNT(T148:AE148)=0,"",SUM(T148:AE148))</f>
        <v/>
      </c>
      <c r="AG148" s="18" t="n"/>
      <c r="AH148" s="18" t="n"/>
      <c r="AI148" s="18" t="n"/>
      <c r="AJ148" s="18" t="n"/>
      <c r="AK148" s="18" t="n"/>
      <c r="AL148" s="21">
        <f>IF($A148="","",IF(AJ148="いいえ","対象外",IF(AND(AH148="投資予算",AZ148="継続"),"対象外",IF(OR(AH148="",AJ148="",AJ148="未確認",AND(AH148="投資予算",OR(AZ148="",AZ148="未確認")),AM148="判定保留",AN148="判定保留"),"判定保留","移管"))))</f>
        <v/>
      </c>
      <c r="AM148" s="21">
        <f>IF($A148="","",IF(AJ148="いいえ","対象外",IF(AND(AH148="投資予算",AZ148="継続"),"対象外",IF(OR(AJ148="",AJ148="未確認"),"判定保留",IF(AV148=0,"—","移管")))))</f>
        <v/>
      </c>
      <c r="AN148" s="21">
        <f>IF($A148="","",IF(AJ148="いいえ","対象外",IF(AH148="投資予算","—",IF(OR(AH148="",AJ148="",AJ148="未確認",AS148=0,AT148&gt;0,AU148&gt;0),"判定保留","移管"))))</f>
        <v/>
      </c>
      <c r="AO148" s="21">
        <f>IF($A148="","",IF(AL148&lt;&gt;"移管","—",IF(AW148&gt;0,"あり","なし")))</f>
        <v/>
      </c>
      <c r="AP148" s="18" t="n"/>
      <c r="AQ148" s="33" t="n"/>
      <c r="AR148" s="21">
        <f>IF($A148="","",IF(AP148="","ステータス未設定",IF(AND(AL148="対象外",AP148&lt;&gt;"対象外"),"判定は対象外",IF(AND(AL148&lt;&gt;"対象外",AP148="対象外"),"判定は対象外ではない",IF(AND(AL148="判定保留",AP148&lt;&gt;"棚卸し中"),"判定保留が残っている",IF(AND(AL148="移管",AP148="棚卸し中"),"判定保留なし（棚卸し済みへ）",""))))))</f>
        <v/>
      </c>
      <c r="AS148" s="21">
        <f>IF($A148="","",COUNTIFS('紐付け'!$A$4:$A$200,$A148,'紐付け'!$C$4:$C$200,"&lt;&gt;"))</f>
        <v/>
      </c>
      <c r="AT148" s="21">
        <f>IF($A148="","",SUMPRODUCT(('紐付け'!$A$4:$A$200=$A148)*('紐付け'!$C$4:$C$200&lt;&gt;"")*(COUNTIFS('業務'!$C$4:$C$200,'紐付け'!$C$4:$C$200,'業務'!$F$4:$F$200,"間接業務",'業務'!$U$4:$U$200,$A148)=0)))</f>
        <v/>
      </c>
      <c r="AU148" s="21">
        <f>IF($A148="","",COUNTIFS('業務'!$U$4:$U$200,$A148,'業務'!$A$4:$A$200,"&lt;&gt;",'業務'!$J$4:$J$200,"&lt;&gt;済"))</f>
        <v/>
      </c>
      <c r="AV148" s="21">
        <f>IF($A148="","",COUNTIF('契約'!$C$4:$C$200,$A148))</f>
        <v/>
      </c>
      <c r="AW148" s="21">
        <f>IF($A148="","",COUNTIFS('業務'!$U$4:$U$200,$A148,'業務'!$A$4:$A$200,"&lt;&gt;",'業務'!$S$4:$S$200,"&lt;&gt;",'業務'!$F$4:$F$200,"間接業務"))</f>
        <v/>
      </c>
      <c r="AX148" s="21" t="n"/>
      <c r="AY148" s="18" t="n"/>
      <c r="AZ148" s="18" t="n"/>
      <c r="BA148" s="20" t="n"/>
    </row>
    <row r="149">
      <c r="A149" s="18" t="n"/>
      <c r="B149" s="18" t="n"/>
      <c r="C149" s="18" t="n"/>
      <c r="D149" s="18" t="n"/>
      <c r="E149" s="18" t="n"/>
      <c r="F149" s="18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20">
        <f>IF(COUNT(G149:R149)=0,"",SUM(G149:R149))</f>
        <v/>
      </c>
      <c r="T149" s="19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  <c r="AC149" s="19" t="n"/>
      <c r="AD149" s="19" t="n"/>
      <c r="AE149" s="19" t="n"/>
      <c r="AF149" s="20">
        <f>IF(COUNT(T149:AE149)=0,"",SUM(T149:AE149))</f>
        <v/>
      </c>
      <c r="AG149" s="18" t="n"/>
      <c r="AH149" s="18" t="n"/>
      <c r="AI149" s="18" t="n"/>
      <c r="AJ149" s="18" t="n"/>
      <c r="AK149" s="18" t="n"/>
      <c r="AL149" s="21">
        <f>IF($A149="","",IF(AJ149="いいえ","対象外",IF(AND(AH149="投資予算",AZ149="継続"),"対象外",IF(OR(AH149="",AJ149="",AJ149="未確認",AND(AH149="投資予算",OR(AZ149="",AZ149="未確認")),AM149="判定保留",AN149="判定保留"),"判定保留","移管"))))</f>
        <v/>
      </c>
      <c r="AM149" s="21">
        <f>IF($A149="","",IF(AJ149="いいえ","対象外",IF(AND(AH149="投資予算",AZ149="継続"),"対象外",IF(OR(AJ149="",AJ149="未確認"),"判定保留",IF(AV149=0,"—","移管")))))</f>
        <v/>
      </c>
      <c r="AN149" s="21">
        <f>IF($A149="","",IF(AJ149="いいえ","対象外",IF(AH149="投資予算","—",IF(OR(AH149="",AJ149="",AJ149="未確認",AS149=0,AT149&gt;0,AU149&gt;0),"判定保留","移管"))))</f>
        <v/>
      </c>
      <c r="AO149" s="21">
        <f>IF($A149="","",IF(AL149&lt;&gt;"移管","—",IF(AW149&gt;0,"あり","なし")))</f>
        <v/>
      </c>
      <c r="AP149" s="18" t="n"/>
      <c r="AQ149" s="33" t="n"/>
      <c r="AR149" s="21">
        <f>IF($A149="","",IF(AP149="","ステータス未設定",IF(AND(AL149="対象外",AP149&lt;&gt;"対象外"),"判定は対象外",IF(AND(AL149&lt;&gt;"対象外",AP149="対象外"),"判定は対象外ではない",IF(AND(AL149="判定保留",AP149&lt;&gt;"棚卸し中"),"判定保留が残っている",IF(AND(AL149="移管",AP149="棚卸し中"),"判定保留なし（棚卸し済みへ）",""))))))</f>
        <v/>
      </c>
      <c r="AS149" s="21">
        <f>IF($A149="","",COUNTIFS('紐付け'!$A$4:$A$200,$A149,'紐付け'!$C$4:$C$200,"&lt;&gt;"))</f>
        <v/>
      </c>
      <c r="AT149" s="21">
        <f>IF($A149="","",SUMPRODUCT(('紐付け'!$A$4:$A$200=$A149)*('紐付け'!$C$4:$C$200&lt;&gt;"")*(COUNTIFS('業務'!$C$4:$C$200,'紐付け'!$C$4:$C$200,'業務'!$F$4:$F$200,"間接業務",'業務'!$U$4:$U$200,$A149)=0)))</f>
        <v/>
      </c>
      <c r="AU149" s="21">
        <f>IF($A149="","",COUNTIFS('業務'!$U$4:$U$200,$A149,'業務'!$A$4:$A$200,"&lt;&gt;",'業務'!$J$4:$J$200,"&lt;&gt;済"))</f>
        <v/>
      </c>
      <c r="AV149" s="21">
        <f>IF($A149="","",COUNTIF('契約'!$C$4:$C$200,$A149))</f>
        <v/>
      </c>
      <c r="AW149" s="21">
        <f>IF($A149="","",COUNTIFS('業務'!$U$4:$U$200,$A149,'業務'!$A$4:$A$200,"&lt;&gt;",'業務'!$S$4:$S$200,"&lt;&gt;",'業務'!$F$4:$F$200,"間接業務"))</f>
        <v/>
      </c>
      <c r="AX149" s="21" t="n"/>
      <c r="AY149" s="18" t="n"/>
      <c r="AZ149" s="18" t="n"/>
      <c r="BA149" s="20" t="n"/>
    </row>
    <row r="150">
      <c r="A150" s="18" t="n"/>
      <c r="B150" s="18" t="n"/>
      <c r="C150" s="18" t="n"/>
      <c r="D150" s="18" t="n"/>
      <c r="E150" s="18" t="n"/>
      <c r="F150" s="18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20">
        <f>IF(COUNT(G150:R150)=0,"",SUM(G150:R150))</f>
        <v/>
      </c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20">
        <f>IF(COUNT(T150:AE150)=0,"",SUM(T150:AE150))</f>
        <v/>
      </c>
      <c r="AG150" s="18" t="n"/>
      <c r="AH150" s="18" t="n"/>
      <c r="AI150" s="18" t="n"/>
      <c r="AJ150" s="18" t="n"/>
      <c r="AK150" s="18" t="n"/>
      <c r="AL150" s="21">
        <f>IF($A150="","",IF(AJ150="いいえ","対象外",IF(AND(AH150="投資予算",AZ150="継続"),"対象外",IF(OR(AH150="",AJ150="",AJ150="未確認",AND(AH150="投資予算",OR(AZ150="",AZ150="未確認")),AM150="判定保留",AN150="判定保留"),"判定保留","移管"))))</f>
        <v/>
      </c>
      <c r="AM150" s="21">
        <f>IF($A150="","",IF(AJ150="いいえ","対象外",IF(AND(AH150="投資予算",AZ150="継続"),"対象外",IF(OR(AJ150="",AJ150="未確認"),"判定保留",IF(AV150=0,"—","移管")))))</f>
        <v/>
      </c>
      <c r="AN150" s="21">
        <f>IF($A150="","",IF(AJ150="いいえ","対象外",IF(AH150="投資予算","—",IF(OR(AH150="",AJ150="",AJ150="未確認",AS150=0,AT150&gt;0,AU150&gt;0),"判定保留","移管"))))</f>
        <v/>
      </c>
      <c r="AO150" s="21">
        <f>IF($A150="","",IF(AL150&lt;&gt;"移管","—",IF(AW150&gt;0,"あり","なし")))</f>
        <v/>
      </c>
      <c r="AP150" s="18" t="n"/>
      <c r="AQ150" s="33" t="n"/>
      <c r="AR150" s="21">
        <f>IF($A150="","",IF(AP150="","ステータス未設定",IF(AND(AL150="対象外",AP150&lt;&gt;"対象外"),"判定は対象外",IF(AND(AL150&lt;&gt;"対象外",AP150="対象外"),"判定は対象外ではない",IF(AND(AL150="判定保留",AP150&lt;&gt;"棚卸し中"),"判定保留が残っている",IF(AND(AL150="移管",AP150="棚卸し中"),"判定保留なし（棚卸し済みへ）",""))))))</f>
        <v/>
      </c>
      <c r="AS150" s="21">
        <f>IF($A150="","",COUNTIFS('紐付け'!$A$4:$A$200,$A150,'紐付け'!$C$4:$C$200,"&lt;&gt;"))</f>
        <v/>
      </c>
      <c r="AT150" s="21">
        <f>IF($A150="","",SUMPRODUCT(('紐付け'!$A$4:$A$200=$A150)*('紐付け'!$C$4:$C$200&lt;&gt;"")*(COUNTIFS('業務'!$C$4:$C$200,'紐付け'!$C$4:$C$200,'業務'!$F$4:$F$200,"間接業務",'業務'!$U$4:$U$200,$A150)=0)))</f>
        <v/>
      </c>
      <c r="AU150" s="21">
        <f>IF($A150="","",COUNTIFS('業務'!$U$4:$U$200,$A150,'業務'!$A$4:$A$200,"&lt;&gt;",'業務'!$J$4:$J$200,"&lt;&gt;済"))</f>
        <v/>
      </c>
      <c r="AV150" s="21">
        <f>IF($A150="","",COUNTIF('契約'!$C$4:$C$200,$A150))</f>
        <v/>
      </c>
      <c r="AW150" s="21">
        <f>IF($A150="","",COUNTIFS('業務'!$U$4:$U$200,$A150,'業務'!$A$4:$A$200,"&lt;&gt;",'業務'!$S$4:$S$200,"&lt;&gt;",'業務'!$F$4:$F$200,"間接業務"))</f>
        <v/>
      </c>
      <c r="AX150" s="21" t="n"/>
      <c r="AY150" s="18" t="n"/>
      <c r="AZ150" s="18" t="n"/>
      <c r="BA150" s="20" t="n"/>
    </row>
    <row r="151">
      <c r="A151" s="18" t="n"/>
      <c r="B151" s="18" t="n"/>
      <c r="C151" s="18" t="n"/>
      <c r="D151" s="18" t="n"/>
      <c r="E151" s="18" t="n"/>
      <c r="F151" s="18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20">
        <f>IF(COUNT(G151:R151)=0,"",SUM(G151:R151))</f>
        <v/>
      </c>
      <c r="T151" s="19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20">
        <f>IF(COUNT(T151:AE151)=0,"",SUM(T151:AE151))</f>
        <v/>
      </c>
      <c r="AG151" s="18" t="n"/>
      <c r="AH151" s="18" t="n"/>
      <c r="AI151" s="18" t="n"/>
      <c r="AJ151" s="18" t="n"/>
      <c r="AK151" s="18" t="n"/>
      <c r="AL151" s="21">
        <f>IF($A151="","",IF(AJ151="いいえ","対象外",IF(AND(AH151="投資予算",AZ151="継続"),"対象外",IF(OR(AH151="",AJ151="",AJ151="未確認",AND(AH151="投資予算",OR(AZ151="",AZ151="未確認")),AM151="判定保留",AN151="判定保留"),"判定保留","移管"))))</f>
        <v/>
      </c>
      <c r="AM151" s="21">
        <f>IF($A151="","",IF(AJ151="いいえ","対象外",IF(AND(AH151="投資予算",AZ151="継続"),"対象外",IF(OR(AJ151="",AJ151="未確認"),"判定保留",IF(AV151=0,"—","移管")))))</f>
        <v/>
      </c>
      <c r="AN151" s="21">
        <f>IF($A151="","",IF(AJ151="いいえ","対象外",IF(AH151="投資予算","—",IF(OR(AH151="",AJ151="",AJ151="未確認",AS151=0,AT151&gt;0,AU151&gt;0),"判定保留","移管"))))</f>
        <v/>
      </c>
      <c r="AO151" s="21">
        <f>IF($A151="","",IF(AL151&lt;&gt;"移管","—",IF(AW151&gt;0,"あり","なし")))</f>
        <v/>
      </c>
      <c r="AP151" s="18" t="n"/>
      <c r="AQ151" s="33" t="n"/>
      <c r="AR151" s="21">
        <f>IF($A151="","",IF(AP151="","ステータス未設定",IF(AND(AL151="対象外",AP151&lt;&gt;"対象外"),"判定は対象外",IF(AND(AL151&lt;&gt;"対象外",AP151="対象外"),"判定は対象外ではない",IF(AND(AL151="判定保留",AP151&lt;&gt;"棚卸し中"),"判定保留が残っている",IF(AND(AL151="移管",AP151="棚卸し中"),"判定保留なし（棚卸し済みへ）",""))))))</f>
        <v/>
      </c>
      <c r="AS151" s="21">
        <f>IF($A151="","",COUNTIFS('紐付け'!$A$4:$A$200,$A151,'紐付け'!$C$4:$C$200,"&lt;&gt;"))</f>
        <v/>
      </c>
      <c r="AT151" s="21">
        <f>IF($A151="","",SUMPRODUCT(('紐付け'!$A$4:$A$200=$A151)*('紐付け'!$C$4:$C$200&lt;&gt;"")*(COUNTIFS('業務'!$C$4:$C$200,'紐付け'!$C$4:$C$200,'業務'!$F$4:$F$200,"間接業務",'業務'!$U$4:$U$200,$A151)=0)))</f>
        <v/>
      </c>
      <c r="AU151" s="21">
        <f>IF($A151="","",COUNTIFS('業務'!$U$4:$U$200,$A151,'業務'!$A$4:$A$200,"&lt;&gt;",'業務'!$J$4:$J$200,"&lt;&gt;済"))</f>
        <v/>
      </c>
      <c r="AV151" s="21">
        <f>IF($A151="","",COUNTIF('契約'!$C$4:$C$200,$A151))</f>
        <v/>
      </c>
      <c r="AW151" s="21">
        <f>IF($A151="","",COUNTIFS('業務'!$U$4:$U$200,$A151,'業務'!$A$4:$A$200,"&lt;&gt;",'業務'!$S$4:$S$200,"&lt;&gt;",'業務'!$F$4:$F$200,"間接業務"))</f>
        <v/>
      </c>
      <c r="AX151" s="21" t="n"/>
      <c r="AY151" s="18" t="n"/>
      <c r="AZ151" s="18" t="n"/>
      <c r="BA151" s="20" t="n"/>
    </row>
    <row r="152">
      <c r="A152" s="18" t="n"/>
      <c r="B152" s="18" t="n"/>
      <c r="C152" s="18" t="n"/>
      <c r="D152" s="18" t="n"/>
      <c r="E152" s="18" t="n"/>
      <c r="F152" s="18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20">
        <f>IF(COUNT(G152:R152)=0,"",SUM(G152:R152))</f>
        <v/>
      </c>
      <c r="T152" s="19" t="n"/>
      <c r="U152" s="19" t="n"/>
      <c r="V152" s="19" t="n"/>
      <c r="W152" s="19" t="n"/>
      <c r="X152" s="19" t="n"/>
      <c r="Y152" s="19" t="n"/>
      <c r="Z152" s="19" t="n"/>
      <c r="AA152" s="19" t="n"/>
      <c r="AB152" s="19" t="n"/>
      <c r="AC152" s="19" t="n"/>
      <c r="AD152" s="19" t="n"/>
      <c r="AE152" s="19" t="n"/>
      <c r="AF152" s="20">
        <f>IF(COUNT(T152:AE152)=0,"",SUM(T152:AE152))</f>
        <v/>
      </c>
      <c r="AG152" s="18" t="n"/>
      <c r="AH152" s="18" t="n"/>
      <c r="AI152" s="18" t="n"/>
      <c r="AJ152" s="18" t="n"/>
      <c r="AK152" s="18" t="n"/>
      <c r="AL152" s="21">
        <f>IF($A152="","",IF(AJ152="いいえ","対象外",IF(AND(AH152="投資予算",AZ152="継続"),"対象外",IF(OR(AH152="",AJ152="",AJ152="未確認",AND(AH152="投資予算",OR(AZ152="",AZ152="未確認")),AM152="判定保留",AN152="判定保留"),"判定保留","移管"))))</f>
        <v/>
      </c>
      <c r="AM152" s="21">
        <f>IF($A152="","",IF(AJ152="いいえ","対象外",IF(AND(AH152="投資予算",AZ152="継続"),"対象外",IF(OR(AJ152="",AJ152="未確認"),"判定保留",IF(AV152=0,"—","移管")))))</f>
        <v/>
      </c>
      <c r="AN152" s="21">
        <f>IF($A152="","",IF(AJ152="いいえ","対象外",IF(AH152="投資予算","—",IF(OR(AH152="",AJ152="",AJ152="未確認",AS152=0,AT152&gt;0,AU152&gt;0),"判定保留","移管"))))</f>
        <v/>
      </c>
      <c r="AO152" s="21">
        <f>IF($A152="","",IF(AL152&lt;&gt;"移管","—",IF(AW152&gt;0,"あり","なし")))</f>
        <v/>
      </c>
      <c r="AP152" s="18" t="n"/>
      <c r="AQ152" s="33" t="n"/>
      <c r="AR152" s="21">
        <f>IF($A152="","",IF(AP152="","ステータス未設定",IF(AND(AL152="対象外",AP152&lt;&gt;"対象外"),"判定は対象外",IF(AND(AL152&lt;&gt;"対象外",AP152="対象外"),"判定は対象外ではない",IF(AND(AL152="判定保留",AP152&lt;&gt;"棚卸し中"),"判定保留が残っている",IF(AND(AL152="移管",AP152="棚卸し中"),"判定保留なし（棚卸し済みへ）",""))))))</f>
        <v/>
      </c>
      <c r="AS152" s="21">
        <f>IF($A152="","",COUNTIFS('紐付け'!$A$4:$A$200,$A152,'紐付け'!$C$4:$C$200,"&lt;&gt;"))</f>
        <v/>
      </c>
      <c r="AT152" s="21">
        <f>IF($A152="","",SUMPRODUCT(('紐付け'!$A$4:$A$200=$A152)*('紐付け'!$C$4:$C$200&lt;&gt;"")*(COUNTIFS('業務'!$C$4:$C$200,'紐付け'!$C$4:$C$200,'業務'!$F$4:$F$200,"間接業務",'業務'!$U$4:$U$200,$A152)=0)))</f>
        <v/>
      </c>
      <c r="AU152" s="21">
        <f>IF($A152="","",COUNTIFS('業務'!$U$4:$U$200,$A152,'業務'!$A$4:$A$200,"&lt;&gt;",'業務'!$J$4:$J$200,"&lt;&gt;済"))</f>
        <v/>
      </c>
      <c r="AV152" s="21">
        <f>IF($A152="","",COUNTIF('契約'!$C$4:$C$200,$A152))</f>
        <v/>
      </c>
      <c r="AW152" s="21">
        <f>IF($A152="","",COUNTIFS('業務'!$U$4:$U$200,$A152,'業務'!$A$4:$A$200,"&lt;&gt;",'業務'!$S$4:$S$200,"&lt;&gt;",'業務'!$F$4:$F$200,"間接業務"))</f>
        <v/>
      </c>
      <c r="AX152" s="21" t="n"/>
      <c r="AY152" s="18" t="n"/>
      <c r="AZ152" s="18" t="n"/>
      <c r="BA152" s="20" t="n"/>
    </row>
    <row r="153">
      <c r="A153" s="18" t="n"/>
      <c r="B153" s="18" t="n"/>
      <c r="C153" s="18" t="n"/>
      <c r="D153" s="18" t="n"/>
      <c r="E153" s="18" t="n"/>
      <c r="F153" s="18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20">
        <f>IF(COUNT(G153:R153)=0,"",SUM(G153:R153))</f>
        <v/>
      </c>
      <c r="T153" s="19" t="n"/>
      <c r="U153" s="19" t="n"/>
      <c r="V153" s="19" t="n"/>
      <c r="W153" s="19" t="n"/>
      <c r="X153" s="19" t="n"/>
      <c r="Y153" s="19" t="n"/>
      <c r="Z153" s="19" t="n"/>
      <c r="AA153" s="19" t="n"/>
      <c r="AB153" s="19" t="n"/>
      <c r="AC153" s="19" t="n"/>
      <c r="AD153" s="19" t="n"/>
      <c r="AE153" s="19" t="n"/>
      <c r="AF153" s="20">
        <f>IF(COUNT(T153:AE153)=0,"",SUM(T153:AE153))</f>
        <v/>
      </c>
      <c r="AG153" s="18" t="n"/>
      <c r="AH153" s="18" t="n"/>
      <c r="AI153" s="18" t="n"/>
      <c r="AJ153" s="18" t="n"/>
      <c r="AK153" s="18" t="n"/>
      <c r="AL153" s="21">
        <f>IF($A153="","",IF(AJ153="いいえ","対象外",IF(AND(AH153="投資予算",AZ153="継続"),"対象外",IF(OR(AH153="",AJ153="",AJ153="未確認",AND(AH153="投資予算",OR(AZ153="",AZ153="未確認")),AM153="判定保留",AN153="判定保留"),"判定保留","移管"))))</f>
        <v/>
      </c>
      <c r="AM153" s="21">
        <f>IF($A153="","",IF(AJ153="いいえ","対象外",IF(AND(AH153="投資予算",AZ153="継続"),"対象外",IF(OR(AJ153="",AJ153="未確認"),"判定保留",IF(AV153=0,"—","移管")))))</f>
        <v/>
      </c>
      <c r="AN153" s="21">
        <f>IF($A153="","",IF(AJ153="いいえ","対象外",IF(AH153="投資予算","—",IF(OR(AH153="",AJ153="",AJ153="未確認",AS153=0,AT153&gt;0,AU153&gt;0),"判定保留","移管"))))</f>
        <v/>
      </c>
      <c r="AO153" s="21">
        <f>IF($A153="","",IF(AL153&lt;&gt;"移管","—",IF(AW153&gt;0,"あり","なし")))</f>
        <v/>
      </c>
      <c r="AP153" s="18" t="n"/>
      <c r="AQ153" s="33" t="n"/>
      <c r="AR153" s="21">
        <f>IF($A153="","",IF(AP153="","ステータス未設定",IF(AND(AL153="対象外",AP153&lt;&gt;"対象外"),"判定は対象外",IF(AND(AL153&lt;&gt;"対象外",AP153="対象外"),"判定は対象外ではない",IF(AND(AL153="判定保留",AP153&lt;&gt;"棚卸し中"),"判定保留が残っている",IF(AND(AL153="移管",AP153="棚卸し中"),"判定保留なし（棚卸し済みへ）",""))))))</f>
        <v/>
      </c>
      <c r="AS153" s="21">
        <f>IF($A153="","",COUNTIFS('紐付け'!$A$4:$A$200,$A153,'紐付け'!$C$4:$C$200,"&lt;&gt;"))</f>
        <v/>
      </c>
      <c r="AT153" s="21">
        <f>IF($A153="","",SUMPRODUCT(('紐付け'!$A$4:$A$200=$A153)*('紐付け'!$C$4:$C$200&lt;&gt;"")*(COUNTIFS('業務'!$C$4:$C$200,'紐付け'!$C$4:$C$200,'業務'!$F$4:$F$200,"間接業務",'業務'!$U$4:$U$200,$A153)=0)))</f>
        <v/>
      </c>
      <c r="AU153" s="21">
        <f>IF($A153="","",COUNTIFS('業務'!$U$4:$U$200,$A153,'業務'!$A$4:$A$200,"&lt;&gt;",'業務'!$J$4:$J$200,"&lt;&gt;済"))</f>
        <v/>
      </c>
      <c r="AV153" s="21">
        <f>IF($A153="","",COUNTIF('契約'!$C$4:$C$200,$A153))</f>
        <v/>
      </c>
      <c r="AW153" s="21">
        <f>IF($A153="","",COUNTIFS('業務'!$U$4:$U$200,$A153,'業務'!$A$4:$A$200,"&lt;&gt;",'業務'!$S$4:$S$200,"&lt;&gt;",'業務'!$F$4:$F$200,"間接業務"))</f>
        <v/>
      </c>
      <c r="AX153" s="21" t="n"/>
      <c r="AY153" s="18" t="n"/>
      <c r="AZ153" s="18" t="n"/>
      <c r="BA153" s="20" t="n"/>
    </row>
    <row r="154">
      <c r="A154" s="18" t="n"/>
      <c r="B154" s="18" t="n"/>
      <c r="C154" s="18" t="n"/>
      <c r="D154" s="18" t="n"/>
      <c r="E154" s="18" t="n"/>
      <c r="F154" s="18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20">
        <f>IF(COUNT(G154:R154)=0,"",SUM(G154:R154))</f>
        <v/>
      </c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20">
        <f>IF(COUNT(T154:AE154)=0,"",SUM(T154:AE154))</f>
        <v/>
      </c>
      <c r="AG154" s="18" t="n"/>
      <c r="AH154" s="18" t="n"/>
      <c r="AI154" s="18" t="n"/>
      <c r="AJ154" s="18" t="n"/>
      <c r="AK154" s="18" t="n"/>
      <c r="AL154" s="21">
        <f>IF($A154="","",IF(AJ154="いいえ","対象外",IF(AND(AH154="投資予算",AZ154="継続"),"対象外",IF(OR(AH154="",AJ154="",AJ154="未確認",AND(AH154="投資予算",OR(AZ154="",AZ154="未確認")),AM154="判定保留",AN154="判定保留"),"判定保留","移管"))))</f>
        <v/>
      </c>
      <c r="AM154" s="21">
        <f>IF($A154="","",IF(AJ154="いいえ","対象外",IF(AND(AH154="投資予算",AZ154="継続"),"対象外",IF(OR(AJ154="",AJ154="未確認"),"判定保留",IF(AV154=0,"—","移管")))))</f>
        <v/>
      </c>
      <c r="AN154" s="21">
        <f>IF($A154="","",IF(AJ154="いいえ","対象外",IF(AH154="投資予算","—",IF(OR(AH154="",AJ154="",AJ154="未確認",AS154=0,AT154&gt;0,AU154&gt;0),"判定保留","移管"))))</f>
        <v/>
      </c>
      <c r="AO154" s="21">
        <f>IF($A154="","",IF(AL154&lt;&gt;"移管","—",IF(AW154&gt;0,"あり","なし")))</f>
        <v/>
      </c>
      <c r="AP154" s="18" t="n"/>
      <c r="AQ154" s="33" t="n"/>
      <c r="AR154" s="21">
        <f>IF($A154="","",IF(AP154="","ステータス未設定",IF(AND(AL154="対象外",AP154&lt;&gt;"対象外"),"判定は対象外",IF(AND(AL154&lt;&gt;"対象外",AP154="対象外"),"判定は対象外ではない",IF(AND(AL154="判定保留",AP154&lt;&gt;"棚卸し中"),"判定保留が残っている",IF(AND(AL154="移管",AP154="棚卸し中"),"判定保留なし（棚卸し済みへ）",""))))))</f>
        <v/>
      </c>
      <c r="AS154" s="21">
        <f>IF($A154="","",COUNTIFS('紐付け'!$A$4:$A$200,$A154,'紐付け'!$C$4:$C$200,"&lt;&gt;"))</f>
        <v/>
      </c>
      <c r="AT154" s="21">
        <f>IF($A154="","",SUMPRODUCT(('紐付け'!$A$4:$A$200=$A154)*('紐付け'!$C$4:$C$200&lt;&gt;"")*(COUNTIFS('業務'!$C$4:$C$200,'紐付け'!$C$4:$C$200,'業務'!$F$4:$F$200,"間接業務",'業務'!$U$4:$U$200,$A154)=0)))</f>
        <v/>
      </c>
      <c r="AU154" s="21">
        <f>IF($A154="","",COUNTIFS('業務'!$U$4:$U$200,$A154,'業務'!$A$4:$A$200,"&lt;&gt;",'業務'!$J$4:$J$200,"&lt;&gt;済"))</f>
        <v/>
      </c>
      <c r="AV154" s="21">
        <f>IF($A154="","",COUNTIF('契約'!$C$4:$C$200,$A154))</f>
        <v/>
      </c>
      <c r="AW154" s="21">
        <f>IF($A154="","",COUNTIFS('業務'!$U$4:$U$200,$A154,'業務'!$A$4:$A$200,"&lt;&gt;",'業務'!$S$4:$S$200,"&lt;&gt;",'業務'!$F$4:$F$200,"間接業務"))</f>
        <v/>
      </c>
      <c r="AX154" s="21" t="n"/>
      <c r="AY154" s="18" t="n"/>
      <c r="AZ154" s="18" t="n"/>
      <c r="BA154" s="20" t="n"/>
    </row>
    <row r="155">
      <c r="A155" s="18" t="n"/>
      <c r="B155" s="18" t="n"/>
      <c r="C155" s="18" t="n"/>
      <c r="D155" s="18" t="n"/>
      <c r="E155" s="18" t="n"/>
      <c r="F155" s="18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20">
        <f>IF(COUNT(G155:R155)=0,"",SUM(G155:R155))</f>
        <v/>
      </c>
      <c r="T155" s="19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20">
        <f>IF(COUNT(T155:AE155)=0,"",SUM(T155:AE155))</f>
        <v/>
      </c>
      <c r="AG155" s="18" t="n"/>
      <c r="AH155" s="18" t="n"/>
      <c r="AI155" s="18" t="n"/>
      <c r="AJ155" s="18" t="n"/>
      <c r="AK155" s="18" t="n"/>
      <c r="AL155" s="21">
        <f>IF($A155="","",IF(AJ155="いいえ","対象外",IF(AND(AH155="投資予算",AZ155="継続"),"対象外",IF(OR(AH155="",AJ155="",AJ155="未確認",AND(AH155="投資予算",OR(AZ155="",AZ155="未確認")),AM155="判定保留",AN155="判定保留"),"判定保留","移管"))))</f>
        <v/>
      </c>
      <c r="AM155" s="21">
        <f>IF($A155="","",IF(AJ155="いいえ","対象外",IF(AND(AH155="投資予算",AZ155="継続"),"対象外",IF(OR(AJ155="",AJ155="未確認"),"判定保留",IF(AV155=0,"—","移管")))))</f>
        <v/>
      </c>
      <c r="AN155" s="21">
        <f>IF($A155="","",IF(AJ155="いいえ","対象外",IF(AH155="投資予算","—",IF(OR(AH155="",AJ155="",AJ155="未確認",AS155=0,AT155&gt;0,AU155&gt;0),"判定保留","移管"))))</f>
        <v/>
      </c>
      <c r="AO155" s="21">
        <f>IF($A155="","",IF(AL155&lt;&gt;"移管","—",IF(AW155&gt;0,"あり","なし")))</f>
        <v/>
      </c>
      <c r="AP155" s="18" t="n"/>
      <c r="AQ155" s="33" t="n"/>
      <c r="AR155" s="21">
        <f>IF($A155="","",IF(AP155="","ステータス未設定",IF(AND(AL155="対象外",AP155&lt;&gt;"対象外"),"判定は対象外",IF(AND(AL155&lt;&gt;"対象外",AP155="対象外"),"判定は対象外ではない",IF(AND(AL155="判定保留",AP155&lt;&gt;"棚卸し中"),"判定保留が残っている",IF(AND(AL155="移管",AP155="棚卸し中"),"判定保留なし（棚卸し済みへ）",""))))))</f>
        <v/>
      </c>
      <c r="AS155" s="21">
        <f>IF($A155="","",COUNTIFS('紐付け'!$A$4:$A$200,$A155,'紐付け'!$C$4:$C$200,"&lt;&gt;"))</f>
        <v/>
      </c>
      <c r="AT155" s="21">
        <f>IF($A155="","",SUMPRODUCT(('紐付け'!$A$4:$A$200=$A155)*('紐付け'!$C$4:$C$200&lt;&gt;"")*(COUNTIFS('業務'!$C$4:$C$200,'紐付け'!$C$4:$C$200,'業務'!$F$4:$F$200,"間接業務",'業務'!$U$4:$U$200,$A155)=0)))</f>
        <v/>
      </c>
      <c r="AU155" s="21">
        <f>IF($A155="","",COUNTIFS('業務'!$U$4:$U$200,$A155,'業務'!$A$4:$A$200,"&lt;&gt;",'業務'!$J$4:$J$200,"&lt;&gt;済"))</f>
        <v/>
      </c>
      <c r="AV155" s="21">
        <f>IF($A155="","",COUNTIF('契約'!$C$4:$C$200,$A155))</f>
        <v/>
      </c>
      <c r="AW155" s="21">
        <f>IF($A155="","",COUNTIFS('業務'!$U$4:$U$200,$A155,'業務'!$A$4:$A$200,"&lt;&gt;",'業務'!$S$4:$S$200,"&lt;&gt;",'業務'!$F$4:$F$200,"間接業務"))</f>
        <v/>
      </c>
      <c r="AX155" s="21" t="n"/>
      <c r="AY155" s="18" t="n"/>
      <c r="AZ155" s="18" t="n"/>
      <c r="BA155" s="20" t="n"/>
    </row>
    <row r="156">
      <c r="A156" s="18" t="n"/>
      <c r="B156" s="18" t="n"/>
      <c r="C156" s="18" t="n"/>
      <c r="D156" s="18" t="n"/>
      <c r="E156" s="18" t="n"/>
      <c r="F156" s="18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20">
        <f>IF(COUNT(G156:R156)=0,"",SUM(G156:R156))</f>
        <v/>
      </c>
      <c r="T156" s="19" t="n"/>
      <c r="U156" s="19" t="n"/>
      <c r="V156" s="19" t="n"/>
      <c r="W156" s="19" t="n"/>
      <c r="X156" s="19" t="n"/>
      <c r="Y156" s="19" t="n"/>
      <c r="Z156" s="19" t="n"/>
      <c r="AA156" s="19" t="n"/>
      <c r="AB156" s="19" t="n"/>
      <c r="AC156" s="19" t="n"/>
      <c r="AD156" s="19" t="n"/>
      <c r="AE156" s="19" t="n"/>
      <c r="AF156" s="20">
        <f>IF(COUNT(T156:AE156)=0,"",SUM(T156:AE156))</f>
        <v/>
      </c>
      <c r="AG156" s="18" t="n"/>
      <c r="AH156" s="18" t="n"/>
      <c r="AI156" s="18" t="n"/>
      <c r="AJ156" s="18" t="n"/>
      <c r="AK156" s="18" t="n"/>
      <c r="AL156" s="21">
        <f>IF($A156="","",IF(AJ156="いいえ","対象外",IF(AND(AH156="投資予算",AZ156="継続"),"対象外",IF(OR(AH156="",AJ156="",AJ156="未確認",AND(AH156="投資予算",OR(AZ156="",AZ156="未確認")),AM156="判定保留",AN156="判定保留"),"判定保留","移管"))))</f>
        <v/>
      </c>
      <c r="AM156" s="21">
        <f>IF($A156="","",IF(AJ156="いいえ","対象外",IF(AND(AH156="投資予算",AZ156="継続"),"対象外",IF(OR(AJ156="",AJ156="未確認"),"判定保留",IF(AV156=0,"—","移管")))))</f>
        <v/>
      </c>
      <c r="AN156" s="21">
        <f>IF($A156="","",IF(AJ156="いいえ","対象外",IF(AH156="投資予算","—",IF(OR(AH156="",AJ156="",AJ156="未確認",AS156=0,AT156&gt;0,AU156&gt;0),"判定保留","移管"))))</f>
        <v/>
      </c>
      <c r="AO156" s="21">
        <f>IF($A156="","",IF(AL156&lt;&gt;"移管","—",IF(AW156&gt;0,"あり","なし")))</f>
        <v/>
      </c>
      <c r="AP156" s="18" t="n"/>
      <c r="AQ156" s="33" t="n"/>
      <c r="AR156" s="21">
        <f>IF($A156="","",IF(AP156="","ステータス未設定",IF(AND(AL156="対象外",AP156&lt;&gt;"対象外"),"判定は対象外",IF(AND(AL156&lt;&gt;"対象外",AP156="対象外"),"判定は対象外ではない",IF(AND(AL156="判定保留",AP156&lt;&gt;"棚卸し中"),"判定保留が残っている",IF(AND(AL156="移管",AP156="棚卸し中"),"判定保留なし（棚卸し済みへ）",""))))))</f>
        <v/>
      </c>
      <c r="AS156" s="21">
        <f>IF($A156="","",COUNTIFS('紐付け'!$A$4:$A$200,$A156,'紐付け'!$C$4:$C$200,"&lt;&gt;"))</f>
        <v/>
      </c>
      <c r="AT156" s="21">
        <f>IF($A156="","",SUMPRODUCT(('紐付け'!$A$4:$A$200=$A156)*('紐付け'!$C$4:$C$200&lt;&gt;"")*(COUNTIFS('業務'!$C$4:$C$200,'紐付け'!$C$4:$C$200,'業務'!$F$4:$F$200,"間接業務",'業務'!$U$4:$U$200,$A156)=0)))</f>
        <v/>
      </c>
      <c r="AU156" s="21">
        <f>IF($A156="","",COUNTIFS('業務'!$U$4:$U$200,$A156,'業務'!$A$4:$A$200,"&lt;&gt;",'業務'!$J$4:$J$200,"&lt;&gt;済"))</f>
        <v/>
      </c>
      <c r="AV156" s="21">
        <f>IF($A156="","",COUNTIF('契約'!$C$4:$C$200,$A156))</f>
        <v/>
      </c>
      <c r="AW156" s="21">
        <f>IF($A156="","",COUNTIFS('業務'!$U$4:$U$200,$A156,'業務'!$A$4:$A$200,"&lt;&gt;",'業務'!$S$4:$S$200,"&lt;&gt;",'業務'!$F$4:$F$200,"間接業務"))</f>
        <v/>
      </c>
      <c r="AX156" s="21" t="n"/>
      <c r="AY156" s="18" t="n"/>
      <c r="AZ156" s="18" t="n"/>
      <c r="BA156" s="20" t="n"/>
    </row>
    <row r="157">
      <c r="A157" s="18" t="n"/>
      <c r="B157" s="18" t="n"/>
      <c r="C157" s="18" t="n"/>
      <c r="D157" s="18" t="n"/>
      <c r="E157" s="18" t="n"/>
      <c r="F157" s="18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20">
        <f>IF(COUNT(G157:R157)=0,"",SUM(G157:R157))</f>
        <v/>
      </c>
      <c r="T157" s="19" t="n"/>
      <c r="U157" s="19" t="n"/>
      <c r="V157" s="19" t="n"/>
      <c r="W157" s="19" t="n"/>
      <c r="X157" s="19" t="n"/>
      <c r="Y157" s="19" t="n"/>
      <c r="Z157" s="19" t="n"/>
      <c r="AA157" s="19" t="n"/>
      <c r="AB157" s="19" t="n"/>
      <c r="AC157" s="19" t="n"/>
      <c r="AD157" s="19" t="n"/>
      <c r="AE157" s="19" t="n"/>
      <c r="AF157" s="20">
        <f>IF(COUNT(T157:AE157)=0,"",SUM(T157:AE157))</f>
        <v/>
      </c>
      <c r="AG157" s="18" t="n"/>
      <c r="AH157" s="18" t="n"/>
      <c r="AI157" s="18" t="n"/>
      <c r="AJ157" s="18" t="n"/>
      <c r="AK157" s="18" t="n"/>
      <c r="AL157" s="21">
        <f>IF($A157="","",IF(AJ157="いいえ","対象外",IF(AND(AH157="投資予算",AZ157="継続"),"対象外",IF(OR(AH157="",AJ157="",AJ157="未確認",AND(AH157="投資予算",OR(AZ157="",AZ157="未確認")),AM157="判定保留",AN157="判定保留"),"判定保留","移管"))))</f>
        <v/>
      </c>
      <c r="AM157" s="21">
        <f>IF($A157="","",IF(AJ157="いいえ","対象外",IF(AND(AH157="投資予算",AZ157="継続"),"対象外",IF(OR(AJ157="",AJ157="未確認"),"判定保留",IF(AV157=0,"—","移管")))))</f>
        <v/>
      </c>
      <c r="AN157" s="21">
        <f>IF($A157="","",IF(AJ157="いいえ","対象外",IF(AH157="投資予算","—",IF(OR(AH157="",AJ157="",AJ157="未確認",AS157=0,AT157&gt;0,AU157&gt;0),"判定保留","移管"))))</f>
        <v/>
      </c>
      <c r="AO157" s="21">
        <f>IF($A157="","",IF(AL157&lt;&gt;"移管","—",IF(AW157&gt;0,"あり","なし")))</f>
        <v/>
      </c>
      <c r="AP157" s="18" t="n"/>
      <c r="AQ157" s="33" t="n"/>
      <c r="AR157" s="21">
        <f>IF($A157="","",IF(AP157="","ステータス未設定",IF(AND(AL157="対象外",AP157&lt;&gt;"対象外"),"判定は対象外",IF(AND(AL157&lt;&gt;"対象外",AP157="対象外"),"判定は対象外ではない",IF(AND(AL157="判定保留",AP157&lt;&gt;"棚卸し中"),"判定保留が残っている",IF(AND(AL157="移管",AP157="棚卸し中"),"判定保留なし（棚卸し済みへ）",""))))))</f>
        <v/>
      </c>
      <c r="AS157" s="21">
        <f>IF($A157="","",COUNTIFS('紐付け'!$A$4:$A$200,$A157,'紐付け'!$C$4:$C$200,"&lt;&gt;"))</f>
        <v/>
      </c>
      <c r="AT157" s="21">
        <f>IF($A157="","",SUMPRODUCT(('紐付け'!$A$4:$A$200=$A157)*('紐付け'!$C$4:$C$200&lt;&gt;"")*(COUNTIFS('業務'!$C$4:$C$200,'紐付け'!$C$4:$C$200,'業務'!$F$4:$F$200,"間接業務",'業務'!$U$4:$U$200,$A157)=0)))</f>
        <v/>
      </c>
      <c r="AU157" s="21">
        <f>IF($A157="","",COUNTIFS('業務'!$U$4:$U$200,$A157,'業務'!$A$4:$A$200,"&lt;&gt;",'業務'!$J$4:$J$200,"&lt;&gt;済"))</f>
        <v/>
      </c>
      <c r="AV157" s="21">
        <f>IF($A157="","",COUNTIF('契約'!$C$4:$C$200,$A157))</f>
        <v/>
      </c>
      <c r="AW157" s="21">
        <f>IF($A157="","",COUNTIFS('業務'!$U$4:$U$200,$A157,'業務'!$A$4:$A$200,"&lt;&gt;",'業務'!$S$4:$S$200,"&lt;&gt;",'業務'!$F$4:$F$200,"間接業務"))</f>
        <v/>
      </c>
      <c r="AX157" s="21" t="n"/>
      <c r="AY157" s="18" t="n"/>
      <c r="AZ157" s="18" t="n"/>
      <c r="BA157" s="20" t="n"/>
    </row>
    <row r="158">
      <c r="A158" s="18" t="n"/>
      <c r="B158" s="18" t="n"/>
      <c r="C158" s="18" t="n"/>
      <c r="D158" s="18" t="n"/>
      <c r="E158" s="18" t="n"/>
      <c r="F158" s="18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20">
        <f>IF(COUNT(G158:R158)=0,"",SUM(G158:R158))</f>
        <v/>
      </c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20">
        <f>IF(COUNT(T158:AE158)=0,"",SUM(T158:AE158))</f>
        <v/>
      </c>
      <c r="AG158" s="18" t="n"/>
      <c r="AH158" s="18" t="n"/>
      <c r="AI158" s="18" t="n"/>
      <c r="AJ158" s="18" t="n"/>
      <c r="AK158" s="18" t="n"/>
      <c r="AL158" s="21">
        <f>IF($A158="","",IF(AJ158="いいえ","対象外",IF(AND(AH158="投資予算",AZ158="継続"),"対象外",IF(OR(AH158="",AJ158="",AJ158="未確認",AND(AH158="投資予算",OR(AZ158="",AZ158="未確認")),AM158="判定保留",AN158="判定保留"),"判定保留","移管"))))</f>
        <v/>
      </c>
      <c r="AM158" s="21">
        <f>IF($A158="","",IF(AJ158="いいえ","対象外",IF(AND(AH158="投資予算",AZ158="継続"),"対象外",IF(OR(AJ158="",AJ158="未確認"),"判定保留",IF(AV158=0,"—","移管")))))</f>
        <v/>
      </c>
      <c r="AN158" s="21">
        <f>IF($A158="","",IF(AJ158="いいえ","対象外",IF(AH158="投資予算","—",IF(OR(AH158="",AJ158="",AJ158="未確認",AS158=0,AT158&gt;0,AU158&gt;0),"判定保留","移管"))))</f>
        <v/>
      </c>
      <c r="AO158" s="21">
        <f>IF($A158="","",IF(AL158&lt;&gt;"移管","—",IF(AW158&gt;0,"あり","なし")))</f>
        <v/>
      </c>
      <c r="AP158" s="18" t="n"/>
      <c r="AQ158" s="33" t="n"/>
      <c r="AR158" s="21">
        <f>IF($A158="","",IF(AP158="","ステータス未設定",IF(AND(AL158="対象外",AP158&lt;&gt;"対象外"),"判定は対象外",IF(AND(AL158&lt;&gt;"対象外",AP158="対象外"),"判定は対象外ではない",IF(AND(AL158="判定保留",AP158&lt;&gt;"棚卸し中"),"判定保留が残っている",IF(AND(AL158="移管",AP158="棚卸し中"),"判定保留なし（棚卸し済みへ）",""))))))</f>
        <v/>
      </c>
      <c r="AS158" s="21">
        <f>IF($A158="","",COUNTIFS('紐付け'!$A$4:$A$200,$A158,'紐付け'!$C$4:$C$200,"&lt;&gt;"))</f>
        <v/>
      </c>
      <c r="AT158" s="21">
        <f>IF($A158="","",SUMPRODUCT(('紐付け'!$A$4:$A$200=$A158)*('紐付け'!$C$4:$C$200&lt;&gt;"")*(COUNTIFS('業務'!$C$4:$C$200,'紐付け'!$C$4:$C$200,'業務'!$F$4:$F$200,"間接業務",'業務'!$U$4:$U$200,$A158)=0)))</f>
        <v/>
      </c>
      <c r="AU158" s="21">
        <f>IF($A158="","",COUNTIFS('業務'!$U$4:$U$200,$A158,'業務'!$A$4:$A$200,"&lt;&gt;",'業務'!$J$4:$J$200,"&lt;&gt;済"))</f>
        <v/>
      </c>
      <c r="AV158" s="21">
        <f>IF($A158="","",COUNTIF('契約'!$C$4:$C$200,$A158))</f>
        <v/>
      </c>
      <c r="AW158" s="21">
        <f>IF($A158="","",COUNTIFS('業務'!$U$4:$U$200,$A158,'業務'!$A$4:$A$200,"&lt;&gt;",'業務'!$S$4:$S$200,"&lt;&gt;",'業務'!$F$4:$F$200,"間接業務"))</f>
        <v/>
      </c>
      <c r="AX158" s="21" t="n"/>
      <c r="AY158" s="18" t="n"/>
      <c r="AZ158" s="18" t="n"/>
      <c r="BA158" s="20" t="n"/>
    </row>
    <row r="159">
      <c r="A159" s="18" t="n"/>
      <c r="B159" s="18" t="n"/>
      <c r="C159" s="18" t="n"/>
      <c r="D159" s="18" t="n"/>
      <c r="E159" s="18" t="n"/>
      <c r="F159" s="18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20">
        <f>IF(COUNT(G159:R159)=0,"",SUM(G159:R159))</f>
        <v/>
      </c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20">
        <f>IF(COUNT(T159:AE159)=0,"",SUM(T159:AE159))</f>
        <v/>
      </c>
      <c r="AG159" s="18" t="n"/>
      <c r="AH159" s="18" t="n"/>
      <c r="AI159" s="18" t="n"/>
      <c r="AJ159" s="18" t="n"/>
      <c r="AK159" s="18" t="n"/>
      <c r="AL159" s="21">
        <f>IF($A159="","",IF(AJ159="いいえ","対象外",IF(AND(AH159="投資予算",AZ159="継続"),"対象外",IF(OR(AH159="",AJ159="",AJ159="未確認",AND(AH159="投資予算",OR(AZ159="",AZ159="未確認")),AM159="判定保留",AN159="判定保留"),"判定保留","移管"))))</f>
        <v/>
      </c>
      <c r="AM159" s="21">
        <f>IF($A159="","",IF(AJ159="いいえ","対象外",IF(AND(AH159="投資予算",AZ159="継続"),"対象外",IF(OR(AJ159="",AJ159="未確認"),"判定保留",IF(AV159=0,"—","移管")))))</f>
        <v/>
      </c>
      <c r="AN159" s="21">
        <f>IF($A159="","",IF(AJ159="いいえ","対象外",IF(AH159="投資予算","—",IF(OR(AH159="",AJ159="",AJ159="未確認",AS159=0,AT159&gt;0,AU159&gt;0),"判定保留","移管"))))</f>
        <v/>
      </c>
      <c r="AO159" s="21">
        <f>IF($A159="","",IF(AL159&lt;&gt;"移管","—",IF(AW159&gt;0,"あり","なし")))</f>
        <v/>
      </c>
      <c r="AP159" s="18" t="n"/>
      <c r="AQ159" s="33" t="n"/>
      <c r="AR159" s="21">
        <f>IF($A159="","",IF(AP159="","ステータス未設定",IF(AND(AL159="対象外",AP159&lt;&gt;"対象外"),"判定は対象外",IF(AND(AL159&lt;&gt;"対象外",AP159="対象外"),"判定は対象外ではない",IF(AND(AL159="判定保留",AP159&lt;&gt;"棚卸し中"),"判定保留が残っている",IF(AND(AL159="移管",AP159="棚卸し中"),"判定保留なし（棚卸し済みへ）",""))))))</f>
        <v/>
      </c>
      <c r="AS159" s="21">
        <f>IF($A159="","",COUNTIFS('紐付け'!$A$4:$A$200,$A159,'紐付け'!$C$4:$C$200,"&lt;&gt;"))</f>
        <v/>
      </c>
      <c r="AT159" s="21">
        <f>IF($A159="","",SUMPRODUCT(('紐付け'!$A$4:$A$200=$A159)*('紐付け'!$C$4:$C$200&lt;&gt;"")*(COUNTIFS('業務'!$C$4:$C$200,'紐付け'!$C$4:$C$200,'業務'!$F$4:$F$200,"間接業務",'業務'!$U$4:$U$200,$A159)=0)))</f>
        <v/>
      </c>
      <c r="AU159" s="21">
        <f>IF($A159="","",COUNTIFS('業務'!$U$4:$U$200,$A159,'業務'!$A$4:$A$200,"&lt;&gt;",'業務'!$J$4:$J$200,"&lt;&gt;済"))</f>
        <v/>
      </c>
      <c r="AV159" s="21">
        <f>IF($A159="","",COUNTIF('契約'!$C$4:$C$200,$A159))</f>
        <v/>
      </c>
      <c r="AW159" s="21">
        <f>IF($A159="","",COUNTIFS('業務'!$U$4:$U$200,$A159,'業務'!$A$4:$A$200,"&lt;&gt;",'業務'!$S$4:$S$200,"&lt;&gt;",'業務'!$F$4:$F$200,"間接業務"))</f>
        <v/>
      </c>
      <c r="AX159" s="21" t="n"/>
      <c r="AY159" s="18" t="n"/>
      <c r="AZ159" s="18" t="n"/>
      <c r="BA159" s="20" t="n"/>
    </row>
    <row r="160">
      <c r="A160" s="18" t="n"/>
      <c r="B160" s="18" t="n"/>
      <c r="C160" s="18" t="n"/>
      <c r="D160" s="18" t="n"/>
      <c r="E160" s="18" t="n"/>
      <c r="F160" s="18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20">
        <f>IF(COUNT(G160:R160)=0,"",SUM(G160:R160))</f>
        <v/>
      </c>
      <c r="T160" s="19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20">
        <f>IF(COUNT(T160:AE160)=0,"",SUM(T160:AE160))</f>
        <v/>
      </c>
      <c r="AG160" s="18" t="n"/>
      <c r="AH160" s="18" t="n"/>
      <c r="AI160" s="18" t="n"/>
      <c r="AJ160" s="18" t="n"/>
      <c r="AK160" s="18" t="n"/>
      <c r="AL160" s="21">
        <f>IF($A160="","",IF(AJ160="いいえ","対象外",IF(AND(AH160="投資予算",AZ160="継続"),"対象外",IF(OR(AH160="",AJ160="",AJ160="未確認",AND(AH160="投資予算",OR(AZ160="",AZ160="未確認")),AM160="判定保留",AN160="判定保留"),"判定保留","移管"))))</f>
        <v/>
      </c>
      <c r="AM160" s="21">
        <f>IF($A160="","",IF(AJ160="いいえ","対象外",IF(AND(AH160="投資予算",AZ160="継続"),"対象外",IF(OR(AJ160="",AJ160="未確認"),"判定保留",IF(AV160=0,"—","移管")))))</f>
        <v/>
      </c>
      <c r="AN160" s="21">
        <f>IF($A160="","",IF(AJ160="いいえ","対象外",IF(AH160="投資予算","—",IF(OR(AH160="",AJ160="",AJ160="未確認",AS160=0,AT160&gt;0,AU160&gt;0),"判定保留","移管"))))</f>
        <v/>
      </c>
      <c r="AO160" s="21">
        <f>IF($A160="","",IF(AL160&lt;&gt;"移管","—",IF(AW160&gt;0,"あり","なし")))</f>
        <v/>
      </c>
      <c r="AP160" s="18" t="n"/>
      <c r="AQ160" s="33" t="n"/>
      <c r="AR160" s="21">
        <f>IF($A160="","",IF(AP160="","ステータス未設定",IF(AND(AL160="対象外",AP160&lt;&gt;"対象外"),"判定は対象外",IF(AND(AL160&lt;&gt;"対象外",AP160="対象外"),"判定は対象外ではない",IF(AND(AL160="判定保留",AP160&lt;&gt;"棚卸し中"),"判定保留が残っている",IF(AND(AL160="移管",AP160="棚卸し中"),"判定保留なし（棚卸し済みへ）",""))))))</f>
        <v/>
      </c>
      <c r="AS160" s="21">
        <f>IF($A160="","",COUNTIFS('紐付け'!$A$4:$A$200,$A160,'紐付け'!$C$4:$C$200,"&lt;&gt;"))</f>
        <v/>
      </c>
      <c r="AT160" s="21">
        <f>IF($A160="","",SUMPRODUCT(('紐付け'!$A$4:$A$200=$A160)*('紐付け'!$C$4:$C$200&lt;&gt;"")*(COUNTIFS('業務'!$C$4:$C$200,'紐付け'!$C$4:$C$200,'業務'!$F$4:$F$200,"間接業務",'業務'!$U$4:$U$200,$A160)=0)))</f>
        <v/>
      </c>
      <c r="AU160" s="21">
        <f>IF($A160="","",COUNTIFS('業務'!$U$4:$U$200,$A160,'業務'!$A$4:$A$200,"&lt;&gt;",'業務'!$J$4:$J$200,"&lt;&gt;済"))</f>
        <v/>
      </c>
      <c r="AV160" s="21">
        <f>IF($A160="","",COUNTIF('契約'!$C$4:$C$200,$A160))</f>
        <v/>
      </c>
      <c r="AW160" s="21">
        <f>IF($A160="","",COUNTIFS('業務'!$U$4:$U$200,$A160,'業務'!$A$4:$A$200,"&lt;&gt;",'業務'!$S$4:$S$200,"&lt;&gt;",'業務'!$F$4:$F$200,"間接業務"))</f>
        <v/>
      </c>
      <c r="AX160" s="21" t="n"/>
      <c r="AY160" s="18" t="n"/>
      <c r="AZ160" s="18" t="n"/>
      <c r="BA160" s="20" t="n"/>
    </row>
    <row r="161">
      <c r="A161" s="18" t="n"/>
      <c r="B161" s="18" t="n"/>
      <c r="C161" s="18" t="n"/>
      <c r="D161" s="18" t="n"/>
      <c r="E161" s="18" t="n"/>
      <c r="F161" s="18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20">
        <f>IF(COUNT(G161:R161)=0,"",SUM(G161:R161))</f>
        <v/>
      </c>
      <c r="T161" s="19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  <c r="AC161" s="19" t="n"/>
      <c r="AD161" s="19" t="n"/>
      <c r="AE161" s="19" t="n"/>
      <c r="AF161" s="20">
        <f>IF(COUNT(T161:AE161)=0,"",SUM(T161:AE161))</f>
        <v/>
      </c>
      <c r="AG161" s="18" t="n"/>
      <c r="AH161" s="18" t="n"/>
      <c r="AI161" s="18" t="n"/>
      <c r="AJ161" s="18" t="n"/>
      <c r="AK161" s="18" t="n"/>
      <c r="AL161" s="21">
        <f>IF($A161="","",IF(AJ161="いいえ","対象外",IF(AND(AH161="投資予算",AZ161="継続"),"対象外",IF(OR(AH161="",AJ161="",AJ161="未確認",AND(AH161="投資予算",OR(AZ161="",AZ161="未確認")),AM161="判定保留",AN161="判定保留"),"判定保留","移管"))))</f>
        <v/>
      </c>
      <c r="AM161" s="21">
        <f>IF($A161="","",IF(AJ161="いいえ","対象外",IF(AND(AH161="投資予算",AZ161="継続"),"対象外",IF(OR(AJ161="",AJ161="未確認"),"判定保留",IF(AV161=0,"—","移管")))))</f>
        <v/>
      </c>
      <c r="AN161" s="21">
        <f>IF($A161="","",IF(AJ161="いいえ","対象外",IF(AH161="投資予算","—",IF(OR(AH161="",AJ161="",AJ161="未確認",AS161=0,AT161&gt;0,AU161&gt;0),"判定保留","移管"))))</f>
        <v/>
      </c>
      <c r="AO161" s="21">
        <f>IF($A161="","",IF(AL161&lt;&gt;"移管","—",IF(AW161&gt;0,"あり","なし")))</f>
        <v/>
      </c>
      <c r="AP161" s="18" t="n"/>
      <c r="AQ161" s="33" t="n"/>
      <c r="AR161" s="21">
        <f>IF($A161="","",IF(AP161="","ステータス未設定",IF(AND(AL161="対象外",AP161&lt;&gt;"対象外"),"判定は対象外",IF(AND(AL161&lt;&gt;"対象外",AP161="対象外"),"判定は対象外ではない",IF(AND(AL161="判定保留",AP161&lt;&gt;"棚卸し中"),"判定保留が残っている",IF(AND(AL161="移管",AP161="棚卸し中"),"判定保留なし（棚卸し済みへ）",""))))))</f>
        <v/>
      </c>
      <c r="AS161" s="21">
        <f>IF($A161="","",COUNTIFS('紐付け'!$A$4:$A$200,$A161,'紐付け'!$C$4:$C$200,"&lt;&gt;"))</f>
        <v/>
      </c>
      <c r="AT161" s="21">
        <f>IF($A161="","",SUMPRODUCT(('紐付け'!$A$4:$A$200=$A161)*('紐付け'!$C$4:$C$200&lt;&gt;"")*(COUNTIFS('業務'!$C$4:$C$200,'紐付け'!$C$4:$C$200,'業務'!$F$4:$F$200,"間接業務",'業務'!$U$4:$U$200,$A161)=0)))</f>
        <v/>
      </c>
      <c r="AU161" s="21">
        <f>IF($A161="","",COUNTIFS('業務'!$U$4:$U$200,$A161,'業務'!$A$4:$A$200,"&lt;&gt;",'業務'!$J$4:$J$200,"&lt;&gt;済"))</f>
        <v/>
      </c>
      <c r="AV161" s="21">
        <f>IF($A161="","",COUNTIF('契約'!$C$4:$C$200,$A161))</f>
        <v/>
      </c>
      <c r="AW161" s="21">
        <f>IF($A161="","",COUNTIFS('業務'!$U$4:$U$200,$A161,'業務'!$A$4:$A$200,"&lt;&gt;",'業務'!$S$4:$S$200,"&lt;&gt;",'業務'!$F$4:$F$200,"間接業務"))</f>
        <v/>
      </c>
      <c r="AX161" s="21" t="n"/>
      <c r="AY161" s="18" t="n"/>
      <c r="AZ161" s="18" t="n"/>
      <c r="BA161" s="20" t="n"/>
    </row>
    <row r="162">
      <c r="A162" s="18" t="n"/>
      <c r="B162" s="18" t="n"/>
      <c r="C162" s="18" t="n"/>
      <c r="D162" s="18" t="n"/>
      <c r="E162" s="18" t="n"/>
      <c r="F162" s="18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20">
        <f>IF(COUNT(G162:R162)=0,"",SUM(G162:R162))</f>
        <v/>
      </c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20">
        <f>IF(COUNT(T162:AE162)=0,"",SUM(T162:AE162))</f>
        <v/>
      </c>
      <c r="AG162" s="18" t="n"/>
      <c r="AH162" s="18" t="n"/>
      <c r="AI162" s="18" t="n"/>
      <c r="AJ162" s="18" t="n"/>
      <c r="AK162" s="18" t="n"/>
      <c r="AL162" s="21">
        <f>IF($A162="","",IF(AJ162="いいえ","対象外",IF(AND(AH162="投資予算",AZ162="継続"),"対象外",IF(OR(AH162="",AJ162="",AJ162="未確認",AND(AH162="投資予算",OR(AZ162="",AZ162="未確認")),AM162="判定保留",AN162="判定保留"),"判定保留","移管"))))</f>
        <v/>
      </c>
      <c r="AM162" s="21">
        <f>IF($A162="","",IF(AJ162="いいえ","対象外",IF(AND(AH162="投資予算",AZ162="継続"),"対象外",IF(OR(AJ162="",AJ162="未確認"),"判定保留",IF(AV162=0,"—","移管")))))</f>
        <v/>
      </c>
      <c r="AN162" s="21">
        <f>IF($A162="","",IF(AJ162="いいえ","対象外",IF(AH162="投資予算","—",IF(OR(AH162="",AJ162="",AJ162="未確認",AS162=0,AT162&gt;0,AU162&gt;0),"判定保留","移管"))))</f>
        <v/>
      </c>
      <c r="AO162" s="21">
        <f>IF($A162="","",IF(AL162&lt;&gt;"移管","—",IF(AW162&gt;0,"あり","なし")))</f>
        <v/>
      </c>
      <c r="AP162" s="18" t="n"/>
      <c r="AQ162" s="33" t="n"/>
      <c r="AR162" s="21">
        <f>IF($A162="","",IF(AP162="","ステータス未設定",IF(AND(AL162="対象外",AP162&lt;&gt;"対象外"),"判定は対象外",IF(AND(AL162&lt;&gt;"対象外",AP162="対象外"),"判定は対象外ではない",IF(AND(AL162="判定保留",AP162&lt;&gt;"棚卸し中"),"判定保留が残っている",IF(AND(AL162="移管",AP162="棚卸し中"),"判定保留なし（棚卸し済みへ）",""))))))</f>
        <v/>
      </c>
      <c r="AS162" s="21">
        <f>IF($A162="","",COUNTIFS('紐付け'!$A$4:$A$200,$A162,'紐付け'!$C$4:$C$200,"&lt;&gt;"))</f>
        <v/>
      </c>
      <c r="AT162" s="21">
        <f>IF($A162="","",SUMPRODUCT(('紐付け'!$A$4:$A$200=$A162)*('紐付け'!$C$4:$C$200&lt;&gt;"")*(COUNTIFS('業務'!$C$4:$C$200,'紐付け'!$C$4:$C$200,'業務'!$F$4:$F$200,"間接業務",'業務'!$U$4:$U$200,$A162)=0)))</f>
        <v/>
      </c>
      <c r="AU162" s="21">
        <f>IF($A162="","",COUNTIFS('業務'!$U$4:$U$200,$A162,'業務'!$A$4:$A$200,"&lt;&gt;",'業務'!$J$4:$J$200,"&lt;&gt;済"))</f>
        <v/>
      </c>
      <c r="AV162" s="21">
        <f>IF($A162="","",COUNTIF('契約'!$C$4:$C$200,$A162))</f>
        <v/>
      </c>
      <c r="AW162" s="21">
        <f>IF($A162="","",COUNTIFS('業務'!$U$4:$U$200,$A162,'業務'!$A$4:$A$200,"&lt;&gt;",'業務'!$S$4:$S$200,"&lt;&gt;",'業務'!$F$4:$F$200,"間接業務"))</f>
        <v/>
      </c>
      <c r="AX162" s="21" t="n"/>
      <c r="AY162" s="18" t="n"/>
      <c r="AZ162" s="18" t="n"/>
      <c r="BA162" s="20" t="n"/>
    </row>
    <row r="163">
      <c r="A163" s="18" t="n"/>
      <c r="B163" s="18" t="n"/>
      <c r="C163" s="18" t="n"/>
      <c r="D163" s="18" t="n"/>
      <c r="E163" s="18" t="n"/>
      <c r="F163" s="18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20">
        <f>IF(COUNT(G163:R163)=0,"",SUM(G163:R163))</f>
        <v/>
      </c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20">
        <f>IF(COUNT(T163:AE163)=0,"",SUM(T163:AE163))</f>
        <v/>
      </c>
      <c r="AG163" s="18" t="n"/>
      <c r="AH163" s="18" t="n"/>
      <c r="AI163" s="18" t="n"/>
      <c r="AJ163" s="18" t="n"/>
      <c r="AK163" s="18" t="n"/>
      <c r="AL163" s="21">
        <f>IF($A163="","",IF(AJ163="いいえ","対象外",IF(AND(AH163="投資予算",AZ163="継続"),"対象外",IF(OR(AH163="",AJ163="",AJ163="未確認",AND(AH163="投資予算",OR(AZ163="",AZ163="未確認")),AM163="判定保留",AN163="判定保留"),"判定保留","移管"))))</f>
        <v/>
      </c>
      <c r="AM163" s="21">
        <f>IF($A163="","",IF(AJ163="いいえ","対象外",IF(AND(AH163="投資予算",AZ163="継続"),"対象外",IF(OR(AJ163="",AJ163="未確認"),"判定保留",IF(AV163=0,"—","移管")))))</f>
        <v/>
      </c>
      <c r="AN163" s="21">
        <f>IF($A163="","",IF(AJ163="いいえ","対象外",IF(AH163="投資予算","—",IF(OR(AH163="",AJ163="",AJ163="未確認",AS163=0,AT163&gt;0,AU163&gt;0),"判定保留","移管"))))</f>
        <v/>
      </c>
      <c r="AO163" s="21">
        <f>IF($A163="","",IF(AL163&lt;&gt;"移管","—",IF(AW163&gt;0,"あり","なし")))</f>
        <v/>
      </c>
      <c r="AP163" s="18" t="n"/>
      <c r="AQ163" s="33" t="n"/>
      <c r="AR163" s="21">
        <f>IF($A163="","",IF(AP163="","ステータス未設定",IF(AND(AL163="対象外",AP163&lt;&gt;"対象外"),"判定は対象外",IF(AND(AL163&lt;&gt;"対象外",AP163="対象外"),"判定は対象外ではない",IF(AND(AL163="判定保留",AP163&lt;&gt;"棚卸し中"),"判定保留が残っている",IF(AND(AL163="移管",AP163="棚卸し中"),"判定保留なし（棚卸し済みへ）",""))))))</f>
        <v/>
      </c>
      <c r="AS163" s="21">
        <f>IF($A163="","",COUNTIFS('紐付け'!$A$4:$A$200,$A163,'紐付け'!$C$4:$C$200,"&lt;&gt;"))</f>
        <v/>
      </c>
      <c r="AT163" s="21">
        <f>IF($A163="","",SUMPRODUCT(('紐付け'!$A$4:$A$200=$A163)*('紐付け'!$C$4:$C$200&lt;&gt;"")*(COUNTIFS('業務'!$C$4:$C$200,'紐付け'!$C$4:$C$200,'業務'!$F$4:$F$200,"間接業務",'業務'!$U$4:$U$200,$A163)=0)))</f>
        <v/>
      </c>
      <c r="AU163" s="21">
        <f>IF($A163="","",COUNTIFS('業務'!$U$4:$U$200,$A163,'業務'!$A$4:$A$200,"&lt;&gt;",'業務'!$J$4:$J$200,"&lt;&gt;済"))</f>
        <v/>
      </c>
      <c r="AV163" s="21">
        <f>IF($A163="","",COUNTIF('契約'!$C$4:$C$200,$A163))</f>
        <v/>
      </c>
      <c r="AW163" s="21">
        <f>IF($A163="","",COUNTIFS('業務'!$U$4:$U$200,$A163,'業務'!$A$4:$A$200,"&lt;&gt;",'業務'!$S$4:$S$200,"&lt;&gt;",'業務'!$F$4:$F$200,"間接業務"))</f>
        <v/>
      </c>
      <c r="AX163" s="21" t="n"/>
      <c r="AY163" s="18" t="n"/>
      <c r="AZ163" s="18" t="n"/>
      <c r="BA163" s="20" t="n"/>
    </row>
    <row r="164">
      <c r="A164" s="18" t="n"/>
      <c r="B164" s="18" t="n"/>
      <c r="C164" s="18" t="n"/>
      <c r="D164" s="18" t="n"/>
      <c r="E164" s="18" t="n"/>
      <c r="F164" s="18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20">
        <f>IF(COUNT(G164:R164)=0,"",SUM(G164:R164))</f>
        <v/>
      </c>
      <c r="T164" s="19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  <c r="AC164" s="19" t="n"/>
      <c r="AD164" s="19" t="n"/>
      <c r="AE164" s="19" t="n"/>
      <c r="AF164" s="20">
        <f>IF(COUNT(T164:AE164)=0,"",SUM(T164:AE164))</f>
        <v/>
      </c>
      <c r="AG164" s="18" t="n"/>
      <c r="AH164" s="18" t="n"/>
      <c r="AI164" s="18" t="n"/>
      <c r="AJ164" s="18" t="n"/>
      <c r="AK164" s="18" t="n"/>
      <c r="AL164" s="21">
        <f>IF($A164="","",IF(AJ164="いいえ","対象外",IF(AND(AH164="投資予算",AZ164="継続"),"対象外",IF(OR(AH164="",AJ164="",AJ164="未確認",AND(AH164="投資予算",OR(AZ164="",AZ164="未確認")),AM164="判定保留",AN164="判定保留"),"判定保留","移管"))))</f>
        <v/>
      </c>
      <c r="AM164" s="21">
        <f>IF($A164="","",IF(AJ164="いいえ","対象外",IF(AND(AH164="投資予算",AZ164="継続"),"対象外",IF(OR(AJ164="",AJ164="未確認"),"判定保留",IF(AV164=0,"—","移管")))))</f>
        <v/>
      </c>
      <c r="AN164" s="21">
        <f>IF($A164="","",IF(AJ164="いいえ","対象外",IF(AH164="投資予算","—",IF(OR(AH164="",AJ164="",AJ164="未確認",AS164=0,AT164&gt;0,AU164&gt;0),"判定保留","移管"))))</f>
        <v/>
      </c>
      <c r="AO164" s="21">
        <f>IF($A164="","",IF(AL164&lt;&gt;"移管","—",IF(AW164&gt;0,"あり","なし")))</f>
        <v/>
      </c>
      <c r="AP164" s="18" t="n"/>
      <c r="AQ164" s="33" t="n"/>
      <c r="AR164" s="21">
        <f>IF($A164="","",IF(AP164="","ステータス未設定",IF(AND(AL164="対象外",AP164&lt;&gt;"対象外"),"判定は対象外",IF(AND(AL164&lt;&gt;"対象外",AP164="対象外"),"判定は対象外ではない",IF(AND(AL164="判定保留",AP164&lt;&gt;"棚卸し中"),"判定保留が残っている",IF(AND(AL164="移管",AP164="棚卸し中"),"判定保留なし（棚卸し済みへ）",""))))))</f>
        <v/>
      </c>
      <c r="AS164" s="21">
        <f>IF($A164="","",COUNTIFS('紐付け'!$A$4:$A$200,$A164,'紐付け'!$C$4:$C$200,"&lt;&gt;"))</f>
        <v/>
      </c>
      <c r="AT164" s="21">
        <f>IF($A164="","",SUMPRODUCT(('紐付け'!$A$4:$A$200=$A164)*('紐付け'!$C$4:$C$200&lt;&gt;"")*(COUNTIFS('業務'!$C$4:$C$200,'紐付け'!$C$4:$C$200,'業務'!$F$4:$F$200,"間接業務",'業務'!$U$4:$U$200,$A164)=0)))</f>
        <v/>
      </c>
      <c r="AU164" s="21">
        <f>IF($A164="","",COUNTIFS('業務'!$U$4:$U$200,$A164,'業務'!$A$4:$A$200,"&lt;&gt;",'業務'!$J$4:$J$200,"&lt;&gt;済"))</f>
        <v/>
      </c>
      <c r="AV164" s="21">
        <f>IF($A164="","",COUNTIF('契約'!$C$4:$C$200,$A164))</f>
        <v/>
      </c>
      <c r="AW164" s="21">
        <f>IF($A164="","",COUNTIFS('業務'!$U$4:$U$200,$A164,'業務'!$A$4:$A$200,"&lt;&gt;",'業務'!$S$4:$S$200,"&lt;&gt;",'業務'!$F$4:$F$200,"間接業務"))</f>
        <v/>
      </c>
      <c r="AX164" s="21" t="n"/>
      <c r="AY164" s="18" t="n"/>
      <c r="AZ164" s="18" t="n"/>
      <c r="BA164" s="20" t="n"/>
    </row>
    <row r="165">
      <c r="A165" s="18" t="n"/>
      <c r="B165" s="18" t="n"/>
      <c r="C165" s="18" t="n"/>
      <c r="D165" s="18" t="n"/>
      <c r="E165" s="18" t="n"/>
      <c r="F165" s="18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20">
        <f>IF(COUNT(G165:R165)=0,"",SUM(G165:R165))</f>
        <v/>
      </c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20">
        <f>IF(COUNT(T165:AE165)=0,"",SUM(T165:AE165))</f>
        <v/>
      </c>
      <c r="AG165" s="18" t="n"/>
      <c r="AH165" s="18" t="n"/>
      <c r="AI165" s="18" t="n"/>
      <c r="AJ165" s="18" t="n"/>
      <c r="AK165" s="18" t="n"/>
      <c r="AL165" s="21">
        <f>IF($A165="","",IF(AJ165="いいえ","対象外",IF(AND(AH165="投資予算",AZ165="継続"),"対象外",IF(OR(AH165="",AJ165="",AJ165="未確認",AND(AH165="投資予算",OR(AZ165="",AZ165="未確認")),AM165="判定保留",AN165="判定保留"),"判定保留","移管"))))</f>
        <v/>
      </c>
      <c r="AM165" s="21">
        <f>IF($A165="","",IF(AJ165="いいえ","対象外",IF(AND(AH165="投資予算",AZ165="継続"),"対象外",IF(OR(AJ165="",AJ165="未確認"),"判定保留",IF(AV165=0,"—","移管")))))</f>
        <v/>
      </c>
      <c r="AN165" s="21">
        <f>IF($A165="","",IF(AJ165="いいえ","対象外",IF(AH165="投資予算","—",IF(OR(AH165="",AJ165="",AJ165="未確認",AS165=0,AT165&gt;0,AU165&gt;0),"判定保留","移管"))))</f>
        <v/>
      </c>
      <c r="AO165" s="21">
        <f>IF($A165="","",IF(AL165&lt;&gt;"移管","—",IF(AW165&gt;0,"あり","なし")))</f>
        <v/>
      </c>
      <c r="AP165" s="18" t="n"/>
      <c r="AQ165" s="33" t="n"/>
      <c r="AR165" s="21">
        <f>IF($A165="","",IF(AP165="","ステータス未設定",IF(AND(AL165="対象外",AP165&lt;&gt;"対象外"),"判定は対象外",IF(AND(AL165&lt;&gt;"対象外",AP165="対象外"),"判定は対象外ではない",IF(AND(AL165="判定保留",AP165&lt;&gt;"棚卸し中"),"判定保留が残っている",IF(AND(AL165="移管",AP165="棚卸し中"),"判定保留なし（棚卸し済みへ）",""))))))</f>
        <v/>
      </c>
      <c r="AS165" s="21">
        <f>IF($A165="","",COUNTIFS('紐付け'!$A$4:$A$200,$A165,'紐付け'!$C$4:$C$200,"&lt;&gt;"))</f>
        <v/>
      </c>
      <c r="AT165" s="21">
        <f>IF($A165="","",SUMPRODUCT(('紐付け'!$A$4:$A$200=$A165)*('紐付け'!$C$4:$C$200&lt;&gt;"")*(COUNTIFS('業務'!$C$4:$C$200,'紐付け'!$C$4:$C$200,'業務'!$F$4:$F$200,"間接業務",'業務'!$U$4:$U$200,$A165)=0)))</f>
        <v/>
      </c>
      <c r="AU165" s="21">
        <f>IF($A165="","",COUNTIFS('業務'!$U$4:$U$200,$A165,'業務'!$A$4:$A$200,"&lt;&gt;",'業務'!$J$4:$J$200,"&lt;&gt;済"))</f>
        <v/>
      </c>
      <c r="AV165" s="21">
        <f>IF($A165="","",COUNTIF('契約'!$C$4:$C$200,$A165))</f>
        <v/>
      </c>
      <c r="AW165" s="21">
        <f>IF($A165="","",COUNTIFS('業務'!$U$4:$U$200,$A165,'業務'!$A$4:$A$200,"&lt;&gt;",'業務'!$S$4:$S$200,"&lt;&gt;",'業務'!$F$4:$F$200,"間接業務"))</f>
        <v/>
      </c>
      <c r="AX165" s="21" t="n"/>
      <c r="AY165" s="18" t="n"/>
      <c r="AZ165" s="18" t="n"/>
      <c r="BA165" s="20" t="n"/>
    </row>
    <row r="166">
      <c r="A166" s="18" t="n"/>
      <c r="B166" s="18" t="n"/>
      <c r="C166" s="18" t="n"/>
      <c r="D166" s="18" t="n"/>
      <c r="E166" s="18" t="n"/>
      <c r="F166" s="18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20">
        <f>IF(COUNT(G166:R166)=0,"",SUM(G166:R166))</f>
        <v/>
      </c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20">
        <f>IF(COUNT(T166:AE166)=0,"",SUM(T166:AE166))</f>
        <v/>
      </c>
      <c r="AG166" s="18" t="n"/>
      <c r="AH166" s="18" t="n"/>
      <c r="AI166" s="18" t="n"/>
      <c r="AJ166" s="18" t="n"/>
      <c r="AK166" s="18" t="n"/>
      <c r="AL166" s="21">
        <f>IF($A166="","",IF(AJ166="いいえ","対象外",IF(AND(AH166="投資予算",AZ166="継続"),"対象外",IF(OR(AH166="",AJ166="",AJ166="未確認",AND(AH166="投資予算",OR(AZ166="",AZ166="未確認")),AM166="判定保留",AN166="判定保留"),"判定保留","移管"))))</f>
        <v/>
      </c>
      <c r="AM166" s="21">
        <f>IF($A166="","",IF(AJ166="いいえ","対象外",IF(AND(AH166="投資予算",AZ166="継続"),"対象外",IF(OR(AJ166="",AJ166="未確認"),"判定保留",IF(AV166=0,"—","移管")))))</f>
        <v/>
      </c>
      <c r="AN166" s="21">
        <f>IF($A166="","",IF(AJ166="いいえ","対象外",IF(AH166="投資予算","—",IF(OR(AH166="",AJ166="",AJ166="未確認",AS166=0,AT166&gt;0,AU166&gt;0),"判定保留","移管"))))</f>
        <v/>
      </c>
      <c r="AO166" s="21">
        <f>IF($A166="","",IF(AL166&lt;&gt;"移管","—",IF(AW166&gt;0,"あり","なし")))</f>
        <v/>
      </c>
      <c r="AP166" s="18" t="n"/>
      <c r="AQ166" s="33" t="n"/>
      <c r="AR166" s="21">
        <f>IF($A166="","",IF(AP166="","ステータス未設定",IF(AND(AL166="対象外",AP166&lt;&gt;"対象外"),"判定は対象外",IF(AND(AL166&lt;&gt;"対象外",AP166="対象外"),"判定は対象外ではない",IF(AND(AL166="判定保留",AP166&lt;&gt;"棚卸し中"),"判定保留が残っている",IF(AND(AL166="移管",AP166="棚卸し中"),"判定保留なし（棚卸し済みへ）",""))))))</f>
        <v/>
      </c>
      <c r="AS166" s="21">
        <f>IF($A166="","",COUNTIFS('紐付け'!$A$4:$A$200,$A166,'紐付け'!$C$4:$C$200,"&lt;&gt;"))</f>
        <v/>
      </c>
      <c r="AT166" s="21">
        <f>IF($A166="","",SUMPRODUCT(('紐付け'!$A$4:$A$200=$A166)*('紐付け'!$C$4:$C$200&lt;&gt;"")*(COUNTIFS('業務'!$C$4:$C$200,'紐付け'!$C$4:$C$200,'業務'!$F$4:$F$200,"間接業務",'業務'!$U$4:$U$200,$A166)=0)))</f>
        <v/>
      </c>
      <c r="AU166" s="21">
        <f>IF($A166="","",COUNTIFS('業務'!$U$4:$U$200,$A166,'業務'!$A$4:$A$200,"&lt;&gt;",'業務'!$J$4:$J$200,"&lt;&gt;済"))</f>
        <v/>
      </c>
      <c r="AV166" s="21">
        <f>IF($A166="","",COUNTIF('契約'!$C$4:$C$200,$A166))</f>
        <v/>
      </c>
      <c r="AW166" s="21">
        <f>IF($A166="","",COUNTIFS('業務'!$U$4:$U$200,$A166,'業務'!$A$4:$A$200,"&lt;&gt;",'業務'!$S$4:$S$200,"&lt;&gt;",'業務'!$F$4:$F$200,"間接業務"))</f>
        <v/>
      </c>
      <c r="AX166" s="21" t="n"/>
      <c r="AY166" s="18" t="n"/>
      <c r="AZ166" s="18" t="n"/>
      <c r="BA166" s="20" t="n"/>
    </row>
    <row r="167">
      <c r="A167" s="18" t="n"/>
      <c r="B167" s="18" t="n"/>
      <c r="C167" s="18" t="n"/>
      <c r="D167" s="18" t="n"/>
      <c r="E167" s="18" t="n"/>
      <c r="F167" s="18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20">
        <f>IF(COUNT(G167:R167)=0,"",SUM(G167:R167))</f>
        <v/>
      </c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20">
        <f>IF(COUNT(T167:AE167)=0,"",SUM(T167:AE167))</f>
        <v/>
      </c>
      <c r="AG167" s="18" t="n"/>
      <c r="AH167" s="18" t="n"/>
      <c r="AI167" s="18" t="n"/>
      <c r="AJ167" s="18" t="n"/>
      <c r="AK167" s="18" t="n"/>
      <c r="AL167" s="21">
        <f>IF($A167="","",IF(AJ167="いいえ","対象外",IF(AND(AH167="投資予算",AZ167="継続"),"対象外",IF(OR(AH167="",AJ167="",AJ167="未確認",AND(AH167="投資予算",OR(AZ167="",AZ167="未確認")),AM167="判定保留",AN167="判定保留"),"判定保留","移管"))))</f>
        <v/>
      </c>
      <c r="AM167" s="21">
        <f>IF($A167="","",IF(AJ167="いいえ","対象外",IF(AND(AH167="投資予算",AZ167="継続"),"対象外",IF(OR(AJ167="",AJ167="未確認"),"判定保留",IF(AV167=0,"—","移管")))))</f>
        <v/>
      </c>
      <c r="AN167" s="21">
        <f>IF($A167="","",IF(AJ167="いいえ","対象外",IF(AH167="投資予算","—",IF(OR(AH167="",AJ167="",AJ167="未確認",AS167=0,AT167&gt;0,AU167&gt;0),"判定保留","移管"))))</f>
        <v/>
      </c>
      <c r="AO167" s="21">
        <f>IF($A167="","",IF(AL167&lt;&gt;"移管","—",IF(AW167&gt;0,"あり","なし")))</f>
        <v/>
      </c>
      <c r="AP167" s="18" t="n"/>
      <c r="AQ167" s="33" t="n"/>
      <c r="AR167" s="21">
        <f>IF($A167="","",IF(AP167="","ステータス未設定",IF(AND(AL167="対象外",AP167&lt;&gt;"対象外"),"判定は対象外",IF(AND(AL167&lt;&gt;"対象外",AP167="対象外"),"判定は対象外ではない",IF(AND(AL167="判定保留",AP167&lt;&gt;"棚卸し中"),"判定保留が残っている",IF(AND(AL167="移管",AP167="棚卸し中"),"判定保留なし（棚卸し済みへ）",""))))))</f>
        <v/>
      </c>
      <c r="AS167" s="21">
        <f>IF($A167="","",COUNTIFS('紐付け'!$A$4:$A$200,$A167,'紐付け'!$C$4:$C$200,"&lt;&gt;"))</f>
        <v/>
      </c>
      <c r="AT167" s="21">
        <f>IF($A167="","",SUMPRODUCT(('紐付け'!$A$4:$A$200=$A167)*('紐付け'!$C$4:$C$200&lt;&gt;"")*(COUNTIFS('業務'!$C$4:$C$200,'紐付け'!$C$4:$C$200,'業務'!$F$4:$F$200,"間接業務",'業務'!$U$4:$U$200,$A167)=0)))</f>
        <v/>
      </c>
      <c r="AU167" s="21">
        <f>IF($A167="","",COUNTIFS('業務'!$U$4:$U$200,$A167,'業務'!$A$4:$A$200,"&lt;&gt;",'業務'!$J$4:$J$200,"&lt;&gt;済"))</f>
        <v/>
      </c>
      <c r="AV167" s="21">
        <f>IF($A167="","",COUNTIF('契約'!$C$4:$C$200,$A167))</f>
        <v/>
      </c>
      <c r="AW167" s="21">
        <f>IF($A167="","",COUNTIFS('業務'!$U$4:$U$200,$A167,'業務'!$A$4:$A$200,"&lt;&gt;",'業務'!$S$4:$S$200,"&lt;&gt;",'業務'!$F$4:$F$200,"間接業務"))</f>
        <v/>
      </c>
      <c r="AX167" s="21" t="n"/>
      <c r="AY167" s="18" t="n"/>
      <c r="AZ167" s="18" t="n"/>
      <c r="BA167" s="20" t="n"/>
    </row>
    <row r="168">
      <c r="A168" s="18" t="n"/>
      <c r="B168" s="18" t="n"/>
      <c r="C168" s="18" t="n"/>
      <c r="D168" s="18" t="n"/>
      <c r="E168" s="18" t="n"/>
      <c r="F168" s="18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20">
        <f>IF(COUNT(G168:R168)=0,"",SUM(G168:R168))</f>
        <v/>
      </c>
      <c r="T168" s="19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  <c r="AC168" s="19" t="n"/>
      <c r="AD168" s="19" t="n"/>
      <c r="AE168" s="19" t="n"/>
      <c r="AF168" s="20">
        <f>IF(COUNT(T168:AE168)=0,"",SUM(T168:AE168))</f>
        <v/>
      </c>
      <c r="AG168" s="18" t="n"/>
      <c r="AH168" s="18" t="n"/>
      <c r="AI168" s="18" t="n"/>
      <c r="AJ168" s="18" t="n"/>
      <c r="AK168" s="18" t="n"/>
      <c r="AL168" s="21">
        <f>IF($A168="","",IF(AJ168="いいえ","対象外",IF(AND(AH168="投資予算",AZ168="継続"),"対象外",IF(OR(AH168="",AJ168="",AJ168="未確認",AND(AH168="投資予算",OR(AZ168="",AZ168="未確認")),AM168="判定保留",AN168="判定保留"),"判定保留","移管"))))</f>
        <v/>
      </c>
      <c r="AM168" s="21">
        <f>IF($A168="","",IF(AJ168="いいえ","対象外",IF(AND(AH168="投資予算",AZ168="継続"),"対象外",IF(OR(AJ168="",AJ168="未確認"),"判定保留",IF(AV168=0,"—","移管")))))</f>
        <v/>
      </c>
      <c r="AN168" s="21">
        <f>IF($A168="","",IF(AJ168="いいえ","対象外",IF(AH168="投資予算","—",IF(OR(AH168="",AJ168="",AJ168="未確認",AS168=0,AT168&gt;0,AU168&gt;0),"判定保留","移管"))))</f>
        <v/>
      </c>
      <c r="AO168" s="21">
        <f>IF($A168="","",IF(AL168&lt;&gt;"移管","—",IF(AW168&gt;0,"あり","なし")))</f>
        <v/>
      </c>
      <c r="AP168" s="18" t="n"/>
      <c r="AQ168" s="33" t="n"/>
      <c r="AR168" s="21">
        <f>IF($A168="","",IF(AP168="","ステータス未設定",IF(AND(AL168="対象外",AP168&lt;&gt;"対象外"),"判定は対象外",IF(AND(AL168&lt;&gt;"対象外",AP168="対象外"),"判定は対象外ではない",IF(AND(AL168="判定保留",AP168&lt;&gt;"棚卸し中"),"判定保留が残っている",IF(AND(AL168="移管",AP168="棚卸し中"),"判定保留なし（棚卸し済みへ）",""))))))</f>
        <v/>
      </c>
      <c r="AS168" s="21">
        <f>IF($A168="","",COUNTIFS('紐付け'!$A$4:$A$200,$A168,'紐付け'!$C$4:$C$200,"&lt;&gt;"))</f>
        <v/>
      </c>
      <c r="AT168" s="21">
        <f>IF($A168="","",SUMPRODUCT(('紐付け'!$A$4:$A$200=$A168)*('紐付け'!$C$4:$C$200&lt;&gt;"")*(COUNTIFS('業務'!$C$4:$C$200,'紐付け'!$C$4:$C$200,'業務'!$F$4:$F$200,"間接業務",'業務'!$U$4:$U$200,$A168)=0)))</f>
        <v/>
      </c>
      <c r="AU168" s="21">
        <f>IF($A168="","",COUNTIFS('業務'!$U$4:$U$200,$A168,'業務'!$A$4:$A$200,"&lt;&gt;",'業務'!$J$4:$J$200,"&lt;&gt;済"))</f>
        <v/>
      </c>
      <c r="AV168" s="21">
        <f>IF($A168="","",COUNTIF('契約'!$C$4:$C$200,$A168))</f>
        <v/>
      </c>
      <c r="AW168" s="21">
        <f>IF($A168="","",COUNTIFS('業務'!$U$4:$U$200,$A168,'業務'!$A$4:$A$200,"&lt;&gt;",'業務'!$S$4:$S$200,"&lt;&gt;",'業務'!$F$4:$F$200,"間接業務"))</f>
        <v/>
      </c>
      <c r="AX168" s="21" t="n"/>
      <c r="AY168" s="18" t="n"/>
      <c r="AZ168" s="18" t="n"/>
      <c r="BA168" s="20" t="n"/>
    </row>
    <row r="169">
      <c r="A169" s="18" t="n"/>
      <c r="B169" s="18" t="n"/>
      <c r="C169" s="18" t="n"/>
      <c r="D169" s="18" t="n"/>
      <c r="E169" s="18" t="n"/>
      <c r="F169" s="18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20">
        <f>IF(COUNT(G169:R169)=0,"",SUM(G169:R169))</f>
        <v/>
      </c>
      <c r="T169" s="19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  <c r="AC169" s="19" t="n"/>
      <c r="AD169" s="19" t="n"/>
      <c r="AE169" s="19" t="n"/>
      <c r="AF169" s="20">
        <f>IF(COUNT(T169:AE169)=0,"",SUM(T169:AE169))</f>
        <v/>
      </c>
      <c r="AG169" s="18" t="n"/>
      <c r="AH169" s="18" t="n"/>
      <c r="AI169" s="18" t="n"/>
      <c r="AJ169" s="18" t="n"/>
      <c r="AK169" s="18" t="n"/>
      <c r="AL169" s="21">
        <f>IF($A169="","",IF(AJ169="いいえ","対象外",IF(AND(AH169="投資予算",AZ169="継続"),"対象外",IF(OR(AH169="",AJ169="",AJ169="未確認",AND(AH169="投資予算",OR(AZ169="",AZ169="未確認")),AM169="判定保留",AN169="判定保留"),"判定保留","移管"))))</f>
        <v/>
      </c>
      <c r="AM169" s="21">
        <f>IF($A169="","",IF(AJ169="いいえ","対象外",IF(AND(AH169="投資予算",AZ169="継続"),"対象外",IF(OR(AJ169="",AJ169="未確認"),"判定保留",IF(AV169=0,"—","移管")))))</f>
        <v/>
      </c>
      <c r="AN169" s="21">
        <f>IF($A169="","",IF(AJ169="いいえ","対象外",IF(AH169="投資予算","—",IF(OR(AH169="",AJ169="",AJ169="未確認",AS169=0,AT169&gt;0,AU169&gt;0),"判定保留","移管"))))</f>
        <v/>
      </c>
      <c r="AO169" s="21">
        <f>IF($A169="","",IF(AL169&lt;&gt;"移管","—",IF(AW169&gt;0,"あり","なし")))</f>
        <v/>
      </c>
      <c r="AP169" s="18" t="n"/>
      <c r="AQ169" s="33" t="n"/>
      <c r="AR169" s="21">
        <f>IF($A169="","",IF(AP169="","ステータス未設定",IF(AND(AL169="対象外",AP169&lt;&gt;"対象外"),"判定は対象外",IF(AND(AL169&lt;&gt;"対象外",AP169="対象外"),"判定は対象外ではない",IF(AND(AL169="判定保留",AP169&lt;&gt;"棚卸し中"),"判定保留が残っている",IF(AND(AL169="移管",AP169="棚卸し中"),"判定保留なし（棚卸し済みへ）",""))))))</f>
        <v/>
      </c>
      <c r="AS169" s="21">
        <f>IF($A169="","",COUNTIFS('紐付け'!$A$4:$A$200,$A169,'紐付け'!$C$4:$C$200,"&lt;&gt;"))</f>
        <v/>
      </c>
      <c r="AT169" s="21">
        <f>IF($A169="","",SUMPRODUCT(('紐付け'!$A$4:$A$200=$A169)*('紐付け'!$C$4:$C$200&lt;&gt;"")*(COUNTIFS('業務'!$C$4:$C$200,'紐付け'!$C$4:$C$200,'業務'!$F$4:$F$200,"間接業務",'業務'!$U$4:$U$200,$A169)=0)))</f>
        <v/>
      </c>
      <c r="AU169" s="21">
        <f>IF($A169="","",COUNTIFS('業務'!$U$4:$U$200,$A169,'業務'!$A$4:$A$200,"&lt;&gt;",'業務'!$J$4:$J$200,"&lt;&gt;済"))</f>
        <v/>
      </c>
      <c r="AV169" s="21">
        <f>IF($A169="","",COUNTIF('契約'!$C$4:$C$200,$A169))</f>
        <v/>
      </c>
      <c r="AW169" s="21">
        <f>IF($A169="","",COUNTIFS('業務'!$U$4:$U$200,$A169,'業務'!$A$4:$A$200,"&lt;&gt;",'業務'!$S$4:$S$200,"&lt;&gt;",'業務'!$F$4:$F$200,"間接業務"))</f>
        <v/>
      </c>
      <c r="AX169" s="21" t="n"/>
      <c r="AY169" s="18" t="n"/>
      <c r="AZ169" s="18" t="n"/>
      <c r="BA169" s="20" t="n"/>
    </row>
    <row r="170">
      <c r="A170" s="18" t="n"/>
      <c r="B170" s="18" t="n"/>
      <c r="C170" s="18" t="n"/>
      <c r="D170" s="18" t="n"/>
      <c r="E170" s="18" t="n"/>
      <c r="F170" s="18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20">
        <f>IF(COUNT(G170:R170)=0,"",SUM(G170:R170))</f>
        <v/>
      </c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20">
        <f>IF(COUNT(T170:AE170)=0,"",SUM(T170:AE170))</f>
        <v/>
      </c>
      <c r="AG170" s="18" t="n"/>
      <c r="AH170" s="18" t="n"/>
      <c r="AI170" s="18" t="n"/>
      <c r="AJ170" s="18" t="n"/>
      <c r="AK170" s="18" t="n"/>
      <c r="AL170" s="21">
        <f>IF($A170="","",IF(AJ170="いいえ","対象外",IF(AND(AH170="投資予算",AZ170="継続"),"対象外",IF(OR(AH170="",AJ170="",AJ170="未確認",AND(AH170="投資予算",OR(AZ170="",AZ170="未確認")),AM170="判定保留",AN170="判定保留"),"判定保留","移管"))))</f>
        <v/>
      </c>
      <c r="AM170" s="21">
        <f>IF($A170="","",IF(AJ170="いいえ","対象外",IF(AND(AH170="投資予算",AZ170="継続"),"対象外",IF(OR(AJ170="",AJ170="未確認"),"判定保留",IF(AV170=0,"—","移管")))))</f>
        <v/>
      </c>
      <c r="AN170" s="21">
        <f>IF($A170="","",IF(AJ170="いいえ","対象外",IF(AH170="投資予算","—",IF(OR(AH170="",AJ170="",AJ170="未確認",AS170=0,AT170&gt;0,AU170&gt;0),"判定保留","移管"))))</f>
        <v/>
      </c>
      <c r="AO170" s="21">
        <f>IF($A170="","",IF(AL170&lt;&gt;"移管","—",IF(AW170&gt;0,"あり","なし")))</f>
        <v/>
      </c>
      <c r="AP170" s="18" t="n"/>
      <c r="AQ170" s="33" t="n"/>
      <c r="AR170" s="21">
        <f>IF($A170="","",IF(AP170="","ステータス未設定",IF(AND(AL170="対象外",AP170&lt;&gt;"対象外"),"判定は対象外",IF(AND(AL170&lt;&gt;"対象外",AP170="対象外"),"判定は対象外ではない",IF(AND(AL170="判定保留",AP170&lt;&gt;"棚卸し中"),"判定保留が残っている",IF(AND(AL170="移管",AP170="棚卸し中"),"判定保留なし（棚卸し済みへ）",""))))))</f>
        <v/>
      </c>
      <c r="AS170" s="21">
        <f>IF($A170="","",COUNTIFS('紐付け'!$A$4:$A$200,$A170,'紐付け'!$C$4:$C$200,"&lt;&gt;"))</f>
        <v/>
      </c>
      <c r="AT170" s="21">
        <f>IF($A170="","",SUMPRODUCT(('紐付け'!$A$4:$A$200=$A170)*('紐付け'!$C$4:$C$200&lt;&gt;"")*(COUNTIFS('業務'!$C$4:$C$200,'紐付け'!$C$4:$C$200,'業務'!$F$4:$F$200,"間接業務",'業務'!$U$4:$U$200,$A170)=0)))</f>
        <v/>
      </c>
      <c r="AU170" s="21">
        <f>IF($A170="","",COUNTIFS('業務'!$U$4:$U$200,$A170,'業務'!$A$4:$A$200,"&lt;&gt;",'業務'!$J$4:$J$200,"&lt;&gt;済"))</f>
        <v/>
      </c>
      <c r="AV170" s="21">
        <f>IF($A170="","",COUNTIF('契約'!$C$4:$C$200,$A170))</f>
        <v/>
      </c>
      <c r="AW170" s="21">
        <f>IF($A170="","",COUNTIFS('業務'!$U$4:$U$200,$A170,'業務'!$A$4:$A$200,"&lt;&gt;",'業務'!$S$4:$S$200,"&lt;&gt;",'業務'!$F$4:$F$200,"間接業務"))</f>
        <v/>
      </c>
      <c r="AX170" s="21" t="n"/>
      <c r="AY170" s="18" t="n"/>
      <c r="AZ170" s="18" t="n"/>
      <c r="BA170" s="20" t="n"/>
    </row>
    <row r="171">
      <c r="A171" s="18" t="n"/>
      <c r="B171" s="18" t="n"/>
      <c r="C171" s="18" t="n"/>
      <c r="D171" s="18" t="n"/>
      <c r="E171" s="18" t="n"/>
      <c r="F171" s="18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20">
        <f>IF(COUNT(G171:R171)=0,"",SUM(G171:R171))</f>
        <v/>
      </c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20">
        <f>IF(COUNT(T171:AE171)=0,"",SUM(T171:AE171))</f>
        <v/>
      </c>
      <c r="AG171" s="18" t="n"/>
      <c r="AH171" s="18" t="n"/>
      <c r="AI171" s="18" t="n"/>
      <c r="AJ171" s="18" t="n"/>
      <c r="AK171" s="18" t="n"/>
      <c r="AL171" s="21">
        <f>IF($A171="","",IF(AJ171="いいえ","対象外",IF(AND(AH171="投資予算",AZ171="継続"),"対象外",IF(OR(AH171="",AJ171="",AJ171="未確認",AND(AH171="投資予算",OR(AZ171="",AZ171="未確認")),AM171="判定保留",AN171="判定保留"),"判定保留","移管"))))</f>
        <v/>
      </c>
      <c r="AM171" s="21">
        <f>IF($A171="","",IF(AJ171="いいえ","対象外",IF(AND(AH171="投資予算",AZ171="継続"),"対象外",IF(OR(AJ171="",AJ171="未確認"),"判定保留",IF(AV171=0,"—","移管")))))</f>
        <v/>
      </c>
      <c r="AN171" s="21">
        <f>IF($A171="","",IF(AJ171="いいえ","対象外",IF(AH171="投資予算","—",IF(OR(AH171="",AJ171="",AJ171="未確認",AS171=0,AT171&gt;0,AU171&gt;0),"判定保留","移管"))))</f>
        <v/>
      </c>
      <c r="AO171" s="21">
        <f>IF($A171="","",IF(AL171&lt;&gt;"移管","—",IF(AW171&gt;0,"あり","なし")))</f>
        <v/>
      </c>
      <c r="AP171" s="18" t="n"/>
      <c r="AQ171" s="33" t="n"/>
      <c r="AR171" s="21">
        <f>IF($A171="","",IF(AP171="","ステータス未設定",IF(AND(AL171="対象外",AP171&lt;&gt;"対象外"),"判定は対象外",IF(AND(AL171&lt;&gt;"対象外",AP171="対象外"),"判定は対象外ではない",IF(AND(AL171="判定保留",AP171&lt;&gt;"棚卸し中"),"判定保留が残っている",IF(AND(AL171="移管",AP171="棚卸し中"),"判定保留なし（棚卸し済みへ）",""))))))</f>
        <v/>
      </c>
      <c r="AS171" s="21">
        <f>IF($A171="","",COUNTIFS('紐付け'!$A$4:$A$200,$A171,'紐付け'!$C$4:$C$200,"&lt;&gt;"))</f>
        <v/>
      </c>
      <c r="AT171" s="21">
        <f>IF($A171="","",SUMPRODUCT(('紐付け'!$A$4:$A$200=$A171)*('紐付け'!$C$4:$C$200&lt;&gt;"")*(COUNTIFS('業務'!$C$4:$C$200,'紐付け'!$C$4:$C$200,'業務'!$F$4:$F$200,"間接業務",'業務'!$U$4:$U$200,$A171)=0)))</f>
        <v/>
      </c>
      <c r="AU171" s="21">
        <f>IF($A171="","",COUNTIFS('業務'!$U$4:$U$200,$A171,'業務'!$A$4:$A$200,"&lt;&gt;",'業務'!$J$4:$J$200,"&lt;&gt;済"))</f>
        <v/>
      </c>
      <c r="AV171" s="21">
        <f>IF($A171="","",COUNTIF('契約'!$C$4:$C$200,$A171))</f>
        <v/>
      </c>
      <c r="AW171" s="21">
        <f>IF($A171="","",COUNTIFS('業務'!$U$4:$U$200,$A171,'業務'!$A$4:$A$200,"&lt;&gt;",'業務'!$S$4:$S$200,"&lt;&gt;",'業務'!$F$4:$F$200,"間接業務"))</f>
        <v/>
      </c>
      <c r="AX171" s="21" t="n"/>
      <c r="AY171" s="18" t="n"/>
      <c r="AZ171" s="18" t="n"/>
      <c r="BA171" s="20" t="n"/>
    </row>
    <row r="172">
      <c r="A172" s="18" t="n"/>
      <c r="B172" s="18" t="n"/>
      <c r="C172" s="18" t="n"/>
      <c r="D172" s="18" t="n"/>
      <c r="E172" s="18" t="n"/>
      <c r="F172" s="18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20">
        <f>IF(COUNT(G172:R172)=0,"",SUM(G172:R172))</f>
        <v/>
      </c>
      <c r="T172" s="19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20">
        <f>IF(COUNT(T172:AE172)=0,"",SUM(T172:AE172))</f>
        <v/>
      </c>
      <c r="AG172" s="18" t="n"/>
      <c r="AH172" s="18" t="n"/>
      <c r="AI172" s="18" t="n"/>
      <c r="AJ172" s="18" t="n"/>
      <c r="AK172" s="18" t="n"/>
      <c r="AL172" s="21">
        <f>IF($A172="","",IF(AJ172="いいえ","対象外",IF(AND(AH172="投資予算",AZ172="継続"),"対象外",IF(OR(AH172="",AJ172="",AJ172="未確認",AND(AH172="投資予算",OR(AZ172="",AZ172="未確認")),AM172="判定保留",AN172="判定保留"),"判定保留","移管"))))</f>
        <v/>
      </c>
      <c r="AM172" s="21">
        <f>IF($A172="","",IF(AJ172="いいえ","対象外",IF(AND(AH172="投資予算",AZ172="継続"),"対象外",IF(OR(AJ172="",AJ172="未確認"),"判定保留",IF(AV172=0,"—","移管")))))</f>
        <v/>
      </c>
      <c r="AN172" s="21">
        <f>IF($A172="","",IF(AJ172="いいえ","対象外",IF(AH172="投資予算","—",IF(OR(AH172="",AJ172="",AJ172="未確認",AS172=0,AT172&gt;0,AU172&gt;0),"判定保留","移管"))))</f>
        <v/>
      </c>
      <c r="AO172" s="21">
        <f>IF($A172="","",IF(AL172&lt;&gt;"移管","—",IF(AW172&gt;0,"あり","なし")))</f>
        <v/>
      </c>
      <c r="AP172" s="18" t="n"/>
      <c r="AQ172" s="33" t="n"/>
      <c r="AR172" s="21">
        <f>IF($A172="","",IF(AP172="","ステータス未設定",IF(AND(AL172="対象外",AP172&lt;&gt;"対象外"),"判定は対象外",IF(AND(AL172&lt;&gt;"対象外",AP172="対象外"),"判定は対象外ではない",IF(AND(AL172="判定保留",AP172&lt;&gt;"棚卸し中"),"判定保留が残っている",IF(AND(AL172="移管",AP172="棚卸し中"),"判定保留なし（棚卸し済みへ）",""))))))</f>
        <v/>
      </c>
      <c r="AS172" s="21">
        <f>IF($A172="","",COUNTIFS('紐付け'!$A$4:$A$200,$A172,'紐付け'!$C$4:$C$200,"&lt;&gt;"))</f>
        <v/>
      </c>
      <c r="AT172" s="21">
        <f>IF($A172="","",SUMPRODUCT(('紐付け'!$A$4:$A$200=$A172)*('紐付け'!$C$4:$C$200&lt;&gt;"")*(COUNTIFS('業務'!$C$4:$C$200,'紐付け'!$C$4:$C$200,'業務'!$F$4:$F$200,"間接業務",'業務'!$U$4:$U$200,$A172)=0)))</f>
        <v/>
      </c>
      <c r="AU172" s="21">
        <f>IF($A172="","",COUNTIFS('業務'!$U$4:$U$200,$A172,'業務'!$A$4:$A$200,"&lt;&gt;",'業務'!$J$4:$J$200,"&lt;&gt;済"))</f>
        <v/>
      </c>
      <c r="AV172" s="21">
        <f>IF($A172="","",COUNTIF('契約'!$C$4:$C$200,$A172))</f>
        <v/>
      </c>
      <c r="AW172" s="21">
        <f>IF($A172="","",COUNTIFS('業務'!$U$4:$U$200,$A172,'業務'!$A$4:$A$200,"&lt;&gt;",'業務'!$S$4:$S$200,"&lt;&gt;",'業務'!$F$4:$F$200,"間接業務"))</f>
        <v/>
      </c>
      <c r="AX172" s="21" t="n"/>
      <c r="AY172" s="18" t="n"/>
      <c r="AZ172" s="18" t="n"/>
      <c r="BA172" s="20" t="n"/>
    </row>
    <row r="173">
      <c r="A173" s="18" t="n"/>
      <c r="B173" s="18" t="n"/>
      <c r="C173" s="18" t="n"/>
      <c r="D173" s="18" t="n"/>
      <c r="E173" s="18" t="n"/>
      <c r="F173" s="18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20">
        <f>IF(COUNT(G173:R173)=0,"",SUM(G173:R173))</f>
        <v/>
      </c>
      <c r="T173" s="19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  <c r="AC173" s="19" t="n"/>
      <c r="AD173" s="19" t="n"/>
      <c r="AE173" s="19" t="n"/>
      <c r="AF173" s="20">
        <f>IF(COUNT(T173:AE173)=0,"",SUM(T173:AE173))</f>
        <v/>
      </c>
      <c r="AG173" s="18" t="n"/>
      <c r="AH173" s="18" t="n"/>
      <c r="AI173" s="18" t="n"/>
      <c r="AJ173" s="18" t="n"/>
      <c r="AK173" s="18" t="n"/>
      <c r="AL173" s="21">
        <f>IF($A173="","",IF(AJ173="いいえ","対象外",IF(AND(AH173="投資予算",AZ173="継続"),"対象外",IF(OR(AH173="",AJ173="",AJ173="未確認",AND(AH173="投資予算",OR(AZ173="",AZ173="未確認")),AM173="判定保留",AN173="判定保留"),"判定保留","移管"))))</f>
        <v/>
      </c>
      <c r="AM173" s="21">
        <f>IF($A173="","",IF(AJ173="いいえ","対象外",IF(AND(AH173="投資予算",AZ173="継続"),"対象外",IF(OR(AJ173="",AJ173="未確認"),"判定保留",IF(AV173=0,"—","移管")))))</f>
        <v/>
      </c>
      <c r="AN173" s="21">
        <f>IF($A173="","",IF(AJ173="いいえ","対象外",IF(AH173="投資予算","—",IF(OR(AH173="",AJ173="",AJ173="未確認",AS173=0,AT173&gt;0,AU173&gt;0),"判定保留","移管"))))</f>
        <v/>
      </c>
      <c r="AO173" s="21">
        <f>IF($A173="","",IF(AL173&lt;&gt;"移管","—",IF(AW173&gt;0,"あり","なし")))</f>
        <v/>
      </c>
      <c r="AP173" s="18" t="n"/>
      <c r="AQ173" s="33" t="n"/>
      <c r="AR173" s="21">
        <f>IF($A173="","",IF(AP173="","ステータス未設定",IF(AND(AL173="対象外",AP173&lt;&gt;"対象外"),"判定は対象外",IF(AND(AL173&lt;&gt;"対象外",AP173="対象外"),"判定は対象外ではない",IF(AND(AL173="判定保留",AP173&lt;&gt;"棚卸し中"),"判定保留が残っている",IF(AND(AL173="移管",AP173="棚卸し中"),"判定保留なし（棚卸し済みへ）",""))))))</f>
        <v/>
      </c>
      <c r="AS173" s="21">
        <f>IF($A173="","",COUNTIFS('紐付け'!$A$4:$A$200,$A173,'紐付け'!$C$4:$C$200,"&lt;&gt;"))</f>
        <v/>
      </c>
      <c r="AT173" s="21">
        <f>IF($A173="","",SUMPRODUCT(('紐付け'!$A$4:$A$200=$A173)*('紐付け'!$C$4:$C$200&lt;&gt;"")*(COUNTIFS('業務'!$C$4:$C$200,'紐付け'!$C$4:$C$200,'業務'!$F$4:$F$200,"間接業務",'業務'!$U$4:$U$200,$A173)=0)))</f>
        <v/>
      </c>
      <c r="AU173" s="21">
        <f>IF($A173="","",COUNTIFS('業務'!$U$4:$U$200,$A173,'業務'!$A$4:$A$200,"&lt;&gt;",'業務'!$J$4:$J$200,"&lt;&gt;済"))</f>
        <v/>
      </c>
      <c r="AV173" s="21">
        <f>IF($A173="","",COUNTIF('契約'!$C$4:$C$200,$A173))</f>
        <v/>
      </c>
      <c r="AW173" s="21">
        <f>IF($A173="","",COUNTIFS('業務'!$U$4:$U$200,$A173,'業務'!$A$4:$A$200,"&lt;&gt;",'業務'!$S$4:$S$200,"&lt;&gt;",'業務'!$F$4:$F$200,"間接業務"))</f>
        <v/>
      </c>
      <c r="AX173" s="21" t="n"/>
      <c r="AY173" s="18" t="n"/>
      <c r="AZ173" s="18" t="n"/>
      <c r="BA173" s="20" t="n"/>
    </row>
    <row r="174">
      <c r="A174" s="18" t="n"/>
      <c r="B174" s="18" t="n"/>
      <c r="C174" s="18" t="n"/>
      <c r="D174" s="18" t="n"/>
      <c r="E174" s="18" t="n"/>
      <c r="F174" s="18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20">
        <f>IF(COUNT(G174:R174)=0,"",SUM(G174:R174))</f>
        <v/>
      </c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20">
        <f>IF(COUNT(T174:AE174)=0,"",SUM(T174:AE174))</f>
        <v/>
      </c>
      <c r="AG174" s="18" t="n"/>
      <c r="AH174" s="18" t="n"/>
      <c r="AI174" s="18" t="n"/>
      <c r="AJ174" s="18" t="n"/>
      <c r="AK174" s="18" t="n"/>
      <c r="AL174" s="21">
        <f>IF($A174="","",IF(AJ174="いいえ","対象外",IF(AND(AH174="投資予算",AZ174="継続"),"対象外",IF(OR(AH174="",AJ174="",AJ174="未確認",AND(AH174="投資予算",OR(AZ174="",AZ174="未確認")),AM174="判定保留",AN174="判定保留"),"判定保留","移管"))))</f>
        <v/>
      </c>
      <c r="AM174" s="21">
        <f>IF($A174="","",IF(AJ174="いいえ","対象外",IF(AND(AH174="投資予算",AZ174="継続"),"対象外",IF(OR(AJ174="",AJ174="未確認"),"判定保留",IF(AV174=0,"—","移管")))))</f>
        <v/>
      </c>
      <c r="AN174" s="21">
        <f>IF($A174="","",IF(AJ174="いいえ","対象外",IF(AH174="投資予算","—",IF(OR(AH174="",AJ174="",AJ174="未確認",AS174=0,AT174&gt;0,AU174&gt;0),"判定保留","移管"))))</f>
        <v/>
      </c>
      <c r="AO174" s="21">
        <f>IF($A174="","",IF(AL174&lt;&gt;"移管","—",IF(AW174&gt;0,"あり","なし")))</f>
        <v/>
      </c>
      <c r="AP174" s="18" t="n"/>
      <c r="AQ174" s="33" t="n"/>
      <c r="AR174" s="21">
        <f>IF($A174="","",IF(AP174="","ステータス未設定",IF(AND(AL174="対象外",AP174&lt;&gt;"対象外"),"判定は対象外",IF(AND(AL174&lt;&gt;"対象外",AP174="対象外"),"判定は対象外ではない",IF(AND(AL174="判定保留",AP174&lt;&gt;"棚卸し中"),"判定保留が残っている",IF(AND(AL174="移管",AP174="棚卸し中"),"判定保留なし（棚卸し済みへ）",""))))))</f>
        <v/>
      </c>
      <c r="AS174" s="21">
        <f>IF($A174="","",COUNTIFS('紐付け'!$A$4:$A$200,$A174,'紐付け'!$C$4:$C$200,"&lt;&gt;"))</f>
        <v/>
      </c>
      <c r="AT174" s="21">
        <f>IF($A174="","",SUMPRODUCT(('紐付け'!$A$4:$A$200=$A174)*('紐付け'!$C$4:$C$200&lt;&gt;"")*(COUNTIFS('業務'!$C$4:$C$200,'紐付け'!$C$4:$C$200,'業務'!$F$4:$F$200,"間接業務",'業務'!$U$4:$U$200,$A174)=0)))</f>
        <v/>
      </c>
      <c r="AU174" s="21">
        <f>IF($A174="","",COUNTIFS('業務'!$U$4:$U$200,$A174,'業務'!$A$4:$A$200,"&lt;&gt;",'業務'!$J$4:$J$200,"&lt;&gt;済"))</f>
        <v/>
      </c>
      <c r="AV174" s="21">
        <f>IF($A174="","",COUNTIF('契約'!$C$4:$C$200,$A174))</f>
        <v/>
      </c>
      <c r="AW174" s="21">
        <f>IF($A174="","",COUNTIFS('業務'!$U$4:$U$200,$A174,'業務'!$A$4:$A$200,"&lt;&gt;",'業務'!$S$4:$S$200,"&lt;&gt;",'業務'!$F$4:$F$200,"間接業務"))</f>
        <v/>
      </c>
      <c r="AX174" s="21" t="n"/>
      <c r="AY174" s="18" t="n"/>
      <c r="AZ174" s="18" t="n"/>
      <c r="BA174" s="20" t="n"/>
    </row>
    <row r="175">
      <c r="A175" s="18" t="n"/>
      <c r="B175" s="18" t="n"/>
      <c r="C175" s="18" t="n"/>
      <c r="D175" s="18" t="n"/>
      <c r="E175" s="18" t="n"/>
      <c r="F175" s="18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20">
        <f>IF(COUNT(G175:R175)=0,"",SUM(G175:R175))</f>
        <v/>
      </c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20">
        <f>IF(COUNT(T175:AE175)=0,"",SUM(T175:AE175))</f>
        <v/>
      </c>
      <c r="AG175" s="18" t="n"/>
      <c r="AH175" s="18" t="n"/>
      <c r="AI175" s="18" t="n"/>
      <c r="AJ175" s="18" t="n"/>
      <c r="AK175" s="18" t="n"/>
      <c r="AL175" s="21">
        <f>IF($A175="","",IF(AJ175="いいえ","対象外",IF(AND(AH175="投資予算",AZ175="継続"),"対象外",IF(OR(AH175="",AJ175="",AJ175="未確認",AND(AH175="投資予算",OR(AZ175="",AZ175="未確認")),AM175="判定保留",AN175="判定保留"),"判定保留","移管"))))</f>
        <v/>
      </c>
      <c r="AM175" s="21">
        <f>IF($A175="","",IF(AJ175="いいえ","対象外",IF(AND(AH175="投資予算",AZ175="継続"),"対象外",IF(OR(AJ175="",AJ175="未確認"),"判定保留",IF(AV175=0,"—","移管")))))</f>
        <v/>
      </c>
      <c r="AN175" s="21">
        <f>IF($A175="","",IF(AJ175="いいえ","対象外",IF(AH175="投資予算","—",IF(OR(AH175="",AJ175="",AJ175="未確認",AS175=0,AT175&gt;0,AU175&gt;0),"判定保留","移管"))))</f>
        <v/>
      </c>
      <c r="AO175" s="21">
        <f>IF($A175="","",IF(AL175&lt;&gt;"移管","—",IF(AW175&gt;0,"あり","なし")))</f>
        <v/>
      </c>
      <c r="AP175" s="18" t="n"/>
      <c r="AQ175" s="33" t="n"/>
      <c r="AR175" s="21">
        <f>IF($A175="","",IF(AP175="","ステータス未設定",IF(AND(AL175="対象外",AP175&lt;&gt;"対象外"),"判定は対象外",IF(AND(AL175&lt;&gt;"対象外",AP175="対象外"),"判定は対象外ではない",IF(AND(AL175="判定保留",AP175&lt;&gt;"棚卸し中"),"判定保留が残っている",IF(AND(AL175="移管",AP175="棚卸し中"),"判定保留なし（棚卸し済みへ）",""))))))</f>
        <v/>
      </c>
      <c r="AS175" s="21">
        <f>IF($A175="","",COUNTIFS('紐付け'!$A$4:$A$200,$A175,'紐付け'!$C$4:$C$200,"&lt;&gt;"))</f>
        <v/>
      </c>
      <c r="AT175" s="21">
        <f>IF($A175="","",SUMPRODUCT(('紐付け'!$A$4:$A$200=$A175)*('紐付け'!$C$4:$C$200&lt;&gt;"")*(COUNTIFS('業務'!$C$4:$C$200,'紐付け'!$C$4:$C$200,'業務'!$F$4:$F$200,"間接業務",'業務'!$U$4:$U$200,$A175)=0)))</f>
        <v/>
      </c>
      <c r="AU175" s="21">
        <f>IF($A175="","",COUNTIFS('業務'!$U$4:$U$200,$A175,'業務'!$A$4:$A$200,"&lt;&gt;",'業務'!$J$4:$J$200,"&lt;&gt;済"))</f>
        <v/>
      </c>
      <c r="AV175" s="21">
        <f>IF($A175="","",COUNTIF('契約'!$C$4:$C$200,$A175))</f>
        <v/>
      </c>
      <c r="AW175" s="21">
        <f>IF($A175="","",COUNTIFS('業務'!$U$4:$U$200,$A175,'業務'!$A$4:$A$200,"&lt;&gt;",'業務'!$S$4:$S$200,"&lt;&gt;",'業務'!$F$4:$F$200,"間接業務"))</f>
        <v/>
      </c>
      <c r="AX175" s="21" t="n"/>
      <c r="AY175" s="18" t="n"/>
      <c r="AZ175" s="18" t="n"/>
      <c r="BA175" s="20" t="n"/>
    </row>
    <row r="176">
      <c r="A176" s="18" t="n"/>
      <c r="B176" s="18" t="n"/>
      <c r="C176" s="18" t="n"/>
      <c r="D176" s="18" t="n"/>
      <c r="E176" s="18" t="n"/>
      <c r="F176" s="18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20">
        <f>IF(COUNT(G176:R176)=0,"",SUM(G176:R176))</f>
        <v/>
      </c>
      <c r="T176" s="19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  <c r="AC176" s="19" t="n"/>
      <c r="AD176" s="19" t="n"/>
      <c r="AE176" s="19" t="n"/>
      <c r="AF176" s="20">
        <f>IF(COUNT(T176:AE176)=0,"",SUM(T176:AE176))</f>
        <v/>
      </c>
      <c r="AG176" s="18" t="n"/>
      <c r="AH176" s="18" t="n"/>
      <c r="AI176" s="18" t="n"/>
      <c r="AJ176" s="18" t="n"/>
      <c r="AK176" s="18" t="n"/>
      <c r="AL176" s="21">
        <f>IF($A176="","",IF(AJ176="いいえ","対象外",IF(AND(AH176="投資予算",AZ176="継続"),"対象外",IF(OR(AH176="",AJ176="",AJ176="未確認",AND(AH176="投資予算",OR(AZ176="",AZ176="未確認")),AM176="判定保留",AN176="判定保留"),"判定保留","移管"))))</f>
        <v/>
      </c>
      <c r="AM176" s="21">
        <f>IF($A176="","",IF(AJ176="いいえ","対象外",IF(AND(AH176="投資予算",AZ176="継続"),"対象外",IF(OR(AJ176="",AJ176="未確認"),"判定保留",IF(AV176=0,"—","移管")))))</f>
        <v/>
      </c>
      <c r="AN176" s="21">
        <f>IF($A176="","",IF(AJ176="いいえ","対象外",IF(AH176="投資予算","—",IF(OR(AH176="",AJ176="",AJ176="未確認",AS176=0,AT176&gt;0,AU176&gt;0),"判定保留","移管"))))</f>
        <v/>
      </c>
      <c r="AO176" s="21">
        <f>IF($A176="","",IF(AL176&lt;&gt;"移管","—",IF(AW176&gt;0,"あり","なし")))</f>
        <v/>
      </c>
      <c r="AP176" s="18" t="n"/>
      <c r="AQ176" s="33" t="n"/>
      <c r="AR176" s="21">
        <f>IF($A176="","",IF(AP176="","ステータス未設定",IF(AND(AL176="対象外",AP176&lt;&gt;"対象外"),"判定は対象外",IF(AND(AL176&lt;&gt;"対象外",AP176="対象外"),"判定は対象外ではない",IF(AND(AL176="判定保留",AP176&lt;&gt;"棚卸し中"),"判定保留が残っている",IF(AND(AL176="移管",AP176="棚卸し中"),"判定保留なし（棚卸し済みへ）",""))))))</f>
        <v/>
      </c>
      <c r="AS176" s="21">
        <f>IF($A176="","",COUNTIFS('紐付け'!$A$4:$A$200,$A176,'紐付け'!$C$4:$C$200,"&lt;&gt;"))</f>
        <v/>
      </c>
      <c r="AT176" s="21">
        <f>IF($A176="","",SUMPRODUCT(('紐付け'!$A$4:$A$200=$A176)*('紐付け'!$C$4:$C$200&lt;&gt;"")*(COUNTIFS('業務'!$C$4:$C$200,'紐付け'!$C$4:$C$200,'業務'!$F$4:$F$200,"間接業務",'業務'!$U$4:$U$200,$A176)=0)))</f>
        <v/>
      </c>
      <c r="AU176" s="21">
        <f>IF($A176="","",COUNTIFS('業務'!$U$4:$U$200,$A176,'業務'!$A$4:$A$200,"&lt;&gt;",'業務'!$J$4:$J$200,"&lt;&gt;済"))</f>
        <v/>
      </c>
      <c r="AV176" s="21">
        <f>IF($A176="","",COUNTIF('契約'!$C$4:$C$200,$A176))</f>
        <v/>
      </c>
      <c r="AW176" s="21">
        <f>IF($A176="","",COUNTIFS('業務'!$U$4:$U$200,$A176,'業務'!$A$4:$A$200,"&lt;&gt;",'業務'!$S$4:$S$200,"&lt;&gt;",'業務'!$F$4:$F$200,"間接業務"))</f>
        <v/>
      </c>
      <c r="AX176" s="21" t="n"/>
      <c r="AY176" s="18" t="n"/>
      <c r="AZ176" s="18" t="n"/>
      <c r="BA176" s="20" t="n"/>
    </row>
    <row r="177">
      <c r="A177" s="18" t="n"/>
      <c r="B177" s="18" t="n"/>
      <c r="C177" s="18" t="n"/>
      <c r="D177" s="18" t="n"/>
      <c r="E177" s="18" t="n"/>
      <c r="F177" s="18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20">
        <f>IF(COUNT(G177:R177)=0,"",SUM(G177:R177))</f>
        <v/>
      </c>
      <c r="T177" s="19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20">
        <f>IF(COUNT(T177:AE177)=0,"",SUM(T177:AE177))</f>
        <v/>
      </c>
      <c r="AG177" s="18" t="n"/>
      <c r="AH177" s="18" t="n"/>
      <c r="AI177" s="18" t="n"/>
      <c r="AJ177" s="18" t="n"/>
      <c r="AK177" s="18" t="n"/>
      <c r="AL177" s="21">
        <f>IF($A177="","",IF(AJ177="いいえ","対象外",IF(AND(AH177="投資予算",AZ177="継続"),"対象外",IF(OR(AH177="",AJ177="",AJ177="未確認",AND(AH177="投資予算",OR(AZ177="",AZ177="未確認")),AM177="判定保留",AN177="判定保留"),"判定保留","移管"))))</f>
        <v/>
      </c>
      <c r="AM177" s="21">
        <f>IF($A177="","",IF(AJ177="いいえ","対象外",IF(AND(AH177="投資予算",AZ177="継続"),"対象外",IF(OR(AJ177="",AJ177="未確認"),"判定保留",IF(AV177=0,"—","移管")))))</f>
        <v/>
      </c>
      <c r="AN177" s="21">
        <f>IF($A177="","",IF(AJ177="いいえ","対象外",IF(AH177="投資予算","—",IF(OR(AH177="",AJ177="",AJ177="未確認",AS177=0,AT177&gt;0,AU177&gt;0),"判定保留","移管"))))</f>
        <v/>
      </c>
      <c r="AO177" s="21">
        <f>IF($A177="","",IF(AL177&lt;&gt;"移管","—",IF(AW177&gt;0,"あり","なし")))</f>
        <v/>
      </c>
      <c r="AP177" s="18" t="n"/>
      <c r="AQ177" s="33" t="n"/>
      <c r="AR177" s="21">
        <f>IF($A177="","",IF(AP177="","ステータス未設定",IF(AND(AL177="対象外",AP177&lt;&gt;"対象外"),"判定は対象外",IF(AND(AL177&lt;&gt;"対象外",AP177="対象外"),"判定は対象外ではない",IF(AND(AL177="判定保留",AP177&lt;&gt;"棚卸し中"),"判定保留が残っている",IF(AND(AL177="移管",AP177="棚卸し中"),"判定保留なし（棚卸し済みへ）",""))))))</f>
        <v/>
      </c>
      <c r="AS177" s="21">
        <f>IF($A177="","",COUNTIFS('紐付け'!$A$4:$A$200,$A177,'紐付け'!$C$4:$C$200,"&lt;&gt;"))</f>
        <v/>
      </c>
      <c r="AT177" s="21">
        <f>IF($A177="","",SUMPRODUCT(('紐付け'!$A$4:$A$200=$A177)*('紐付け'!$C$4:$C$200&lt;&gt;"")*(COUNTIFS('業務'!$C$4:$C$200,'紐付け'!$C$4:$C$200,'業務'!$F$4:$F$200,"間接業務",'業務'!$U$4:$U$200,$A177)=0)))</f>
        <v/>
      </c>
      <c r="AU177" s="21">
        <f>IF($A177="","",COUNTIFS('業務'!$U$4:$U$200,$A177,'業務'!$A$4:$A$200,"&lt;&gt;",'業務'!$J$4:$J$200,"&lt;&gt;済"))</f>
        <v/>
      </c>
      <c r="AV177" s="21">
        <f>IF($A177="","",COUNTIF('契約'!$C$4:$C$200,$A177))</f>
        <v/>
      </c>
      <c r="AW177" s="21">
        <f>IF($A177="","",COUNTIFS('業務'!$U$4:$U$200,$A177,'業務'!$A$4:$A$200,"&lt;&gt;",'業務'!$S$4:$S$200,"&lt;&gt;",'業務'!$F$4:$F$200,"間接業務"))</f>
        <v/>
      </c>
      <c r="AX177" s="21" t="n"/>
      <c r="AY177" s="18" t="n"/>
      <c r="AZ177" s="18" t="n"/>
      <c r="BA177" s="20" t="n"/>
    </row>
    <row r="178">
      <c r="A178" s="18" t="n"/>
      <c r="B178" s="18" t="n"/>
      <c r="C178" s="18" t="n"/>
      <c r="D178" s="18" t="n"/>
      <c r="E178" s="18" t="n"/>
      <c r="F178" s="18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20">
        <f>IF(COUNT(G178:R178)=0,"",SUM(G178:R178))</f>
        <v/>
      </c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20">
        <f>IF(COUNT(T178:AE178)=0,"",SUM(T178:AE178))</f>
        <v/>
      </c>
      <c r="AG178" s="18" t="n"/>
      <c r="AH178" s="18" t="n"/>
      <c r="AI178" s="18" t="n"/>
      <c r="AJ178" s="18" t="n"/>
      <c r="AK178" s="18" t="n"/>
      <c r="AL178" s="21">
        <f>IF($A178="","",IF(AJ178="いいえ","対象外",IF(AND(AH178="投資予算",AZ178="継続"),"対象外",IF(OR(AH178="",AJ178="",AJ178="未確認",AND(AH178="投資予算",OR(AZ178="",AZ178="未確認")),AM178="判定保留",AN178="判定保留"),"判定保留","移管"))))</f>
        <v/>
      </c>
      <c r="AM178" s="21">
        <f>IF($A178="","",IF(AJ178="いいえ","対象外",IF(AND(AH178="投資予算",AZ178="継続"),"対象外",IF(OR(AJ178="",AJ178="未確認"),"判定保留",IF(AV178=0,"—","移管")))))</f>
        <v/>
      </c>
      <c r="AN178" s="21">
        <f>IF($A178="","",IF(AJ178="いいえ","対象外",IF(AH178="投資予算","—",IF(OR(AH178="",AJ178="",AJ178="未確認",AS178=0,AT178&gt;0,AU178&gt;0),"判定保留","移管"))))</f>
        <v/>
      </c>
      <c r="AO178" s="21">
        <f>IF($A178="","",IF(AL178&lt;&gt;"移管","—",IF(AW178&gt;0,"あり","なし")))</f>
        <v/>
      </c>
      <c r="AP178" s="18" t="n"/>
      <c r="AQ178" s="33" t="n"/>
      <c r="AR178" s="21">
        <f>IF($A178="","",IF(AP178="","ステータス未設定",IF(AND(AL178="対象外",AP178&lt;&gt;"対象外"),"判定は対象外",IF(AND(AL178&lt;&gt;"対象外",AP178="対象外"),"判定は対象外ではない",IF(AND(AL178="判定保留",AP178&lt;&gt;"棚卸し中"),"判定保留が残っている",IF(AND(AL178="移管",AP178="棚卸し中"),"判定保留なし（棚卸し済みへ）",""))))))</f>
        <v/>
      </c>
      <c r="AS178" s="21">
        <f>IF($A178="","",COUNTIFS('紐付け'!$A$4:$A$200,$A178,'紐付け'!$C$4:$C$200,"&lt;&gt;"))</f>
        <v/>
      </c>
      <c r="AT178" s="21">
        <f>IF($A178="","",SUMPRODUCT(('紐付け'!$A$4:$A$200=$A178)*('紐付け'!$C$4:$C$200&lt;&gt;"")*(COUNTIFS('業務'!$C$4:$C$200,'紐付け'!$C$4:$C$200,'業務'!$F$4:$F$200,"間接業務",'業務'!$U$4:$U$200,$A178)=0)))</f>
        <v/>
      </c>
      <c r="AU178" s="21">
        <f>IF($A178="","",COUNTIFS('業務'!$U$4:$U$200,$A178,'業務'!$A$4:$A$200,"&lt;&gt;",'業務'!$J$4:$J$200,"&lt;&gt;済"))</f>
        <v/>
      </c>
      <c r="AV178" s="21">
        <f>IF($A178="","",COUNTIF('契約'!$C$4:$C$200,$A178))</f>
        <v/>
      </c>
      <c r="AW178" s="21">
        <f>IF($A178="","",COUNTIFS('業務'!$U$4:$U$200,$A178,'業務'!$A$4:$A$200,"&lt;&gt;",'業務'!$S$4:$S$200,"&lt;&gt;",'業務'!$F$4:$F$200,"間接業務"))</f>
        <v/>
      </c>
      <c r="AX178" s="21" t="n"/>
      <c r="AY178" s="18" t="n"/>
      <c r="AZ178" s="18" t="n"/>
      <c r="BA178" s="20" t="n"/>
    </row>
    <row r="179">
      <c r="A179" s="18" t="n"/>
      <c r="B179" s="18" t="n"/>
      <c r="C179" s="18" t="n"/>
      <c r="D179" s="18" t="n"/>
      <c r="E179" s="18" t="n"/>
      <c r="F179" s="18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20">
        <f>IF(COUNT(G179:R179)=0,"",SUM(G179:R179))</f>
        <v/>
      </c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20">
        <f>IF(COUNT(T179:AE179)=0,"",SUM(T179:AE179))</f>
        <v/>
      </c>
      <c r="AG179" s="18" t="n"/>
      <c r="AH179" s="18" t="n"/>
      <c r="AI179" s="18" t="n"/>
      <c r="AJ179" s="18" t="n"/>
      <c r="AK179" s="18" t="n"/>
      <c r="AL179" s="21">
        <f>IF($A179="","",IF(AJ179="いいえ","対象外",IF(AND(AH179="投資予算",AZ179="継続"),"対象外",IF(OR(AH179="",AJ179="",AJ179="未確認",AND(AH179="投資予算",OR(AZ179="",AZ179="未確認")),AM179="判定保留",AN179="判定保留"),"判定保留","移管"))))</f>
        <v/>
      </c>
      <c r="AM179" s="21">
        <f>IF($A179="","",IF(AJ179="いいえ","対象外",IF(AND(AH179="投資予算",AZ179="継続"),"対象外",IF(OR(AJ179="",AJ179="未確認"),"判定保留",IF(AV179=0,"—","移管")))))</f>
        <v/>
      </c>
      <c r="AN179" s="21">
        <f>IF($A179="","",IF(AJ179="いいえ","対象外",IF(AH179="投資予算","—",IF(OR(AH179="",AJ179="",AJ179="未確認",AS179=0,AT179&gt;0,AU179&gt;0),"判定保留","移管"))))</f>
        <v/>
      </c>
      <c r="AO179" s="21">
        <f>IF($A179="","",IF(AL179&lt;&gt;"移管","—",IF(AW179&gt;0,"あり","なし")))</f>
        <v/>
      </c>
      <c r="AP179" s="18" t="n"/>
      <c r="AQ179" s="33" t="n"/>
      <c r="AR179" s="21">
        <f>IF($A179="","",IF(AP179="","ステータス未設定",IF(AND(AL179="対象外",AP179&lt;&gt;"対象外"),"判定は対象外",IF(AND(AL179&lt;&gt;"対象外",AP179="対象外"),"判定は対象外ではない",IF(AND(AL179="判定保留",AP179&lt;&gt;"棚卸し中"),"判定保留が残っている",IF(AND(AL179="移管",AP179="棚卸し中"),"判定保留なし（棚卸し済みへ）",""))))))</f>
        <v/>
      </c>
      <c r="AS179" s="21">
        <f>IF($A179="","",COUNTIFS('紐付け'!$A$4:$A$200,$A179,'紐付け'!$C$4:$C$200,"&lt;&gt;"))</f>
        <v/>
      </c>
      <c r="AT179" s="21">
        <f>IF($A179="","",SUMPRODUCT(('紐付け'!$A$4:$A$200=$A179)*('紐付け'!$C$4:$C$200&lt;&gt;"")*(COUNTIFS('業務'!$C$4:$C$200,'紐付け'!$C$4:$C$200,'業務'!$F$4:$F$200,"間接業務",'業務'!$U$4:$U$200,$A179)=0)))</f>
        <v/>
      </c>
      <c r="AU179" s="21">
        <f>IF($A179="","",COUNTIFS('業務'!$U$4:$U$200,$A179,'業務'!$A$4:$A$200,"&lt;&gt;",'業務'!$J$4:$J$200,"&lt;&gt;済"))</f>
        <v/>
      </c>
      <c r="AV179" s="21">
        <f>IF($A179="","",COUNTIF('契約'!$C$4:$C$200,$A179))</f>
        <v/>
      </c>
      <c r="AW179" s="21">
        <f>IF($A179="","",COUNTIFS('業務'!$U$4:$U$200,$A179,'業務'!$A$4:$A$200,"&lt;&gt;",'業務'!$S$4:$S$200,"&lt;&gt;",'業務'!$F$4:$F$200,"間接業務"))</f>
        <v/>
      </c>
      <c r="AX179" s="21" t="n"/>
      <c r="AY179" s="18" t="n"/>
      <c r="AZ179" s="18" t="n"/>
      <c r="BA179" s="20" t="n"/>
    </row>
    <row r="180">
      <c r="A180" s="18" t="n"/>
      <c r="B180" s="18" t="n"/>
      <c r="C180" s="18" t="n"/>
      <c r="D180" s="18" t="n"/>
      <c r="E180" s="18" t="n"/>
      <c r="F180" s="18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20">
        <f>IF(COUNT(G180:R180)=0,"",SUM(G180:R180))</f>
        <v/>
      </c>
      <c r="T180" s="19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  <c r="AC180" s="19" t="n"/>
      <c r="AD180" s="19" t="n"/>
      <c r="AE180" s="19" t="n"/>
      <c r="AF180" s="20">
        <f>IF(COUNT(T180:AE180)=0,"",SUM(T180:AE180))</f>
        <v/>
      </c>
      <c r="AG180" s="18" t="n"/>
      <c r="AH180" s="18" t="n"/>
      <c r="AI180" s="18" t="n"/>
      <c r="AJ180" s="18" t="n"/>
      <c r="AK180" s="18" t="n"/>
      <c r="AL180" s="21">
        <f>IF($A180="","",IF(AJ180="いいえ","対象外",IF(AND(AH180="投資予算",AZ180="継続"),"対象外",IF(OR(AH180="",AJ180="",AJ180="未確認",AND(AH180="投資予算",OR(AZ180="",AZ180="未確認")),AM180="判定保留",AN180="判定保留"),"判定保留","移管"))))</f>
        <v/>
      </c>
      <c r="AM180" s="21">
        <f>IF($A180="","",IF(AJ180="いいえ","対象外",IF(AND(AH180="投資予算",AZ180="継続"),"対象外",IF(OR(AJ180="",AJ180="未確認"),"判定保留",IF(AV180=0,"—","移管")))))</f>
        <v/>
      </c>
      <c r="AN180" s="21">
        <f>IF($A180="","",IF(AJ180="いいえ","対象外",IF(AH180="投資予算","—",IF(OR(AH180="",AJ180="",AJ180="未確認",AS180=0,AT180&gt;0,AU180&gt;0),"判定保留","移管"))))</f>
        <v/>
      </c>
      <c r="AO180" s="21">
        <f>IF($A180="","",IF(AL180&lt;&gt;"移管","—",IF(AW180&gt;0,"あり","なし")))</f>
        <v/>
      </c>
      <c r="AP180" s="18" t="n"/>
      <c r="AQ180" s="33" t="n"/>
      <c r="AR180" s="21">
        <f>IF($A180="","",IF(AP180="","ステータス未設定",IF(AND(AL180="対象外",AP180&lt;&gt;"対象外"),"判定は対象外",IF(AND(AL180&lt;&gt;"対象外",AP180="対象外"),"判定は対象外ではない",IF(AND(AL180="判定保留",AP180&lt;&gt;"棚卸し中"),"判定保留が残っている",IF(AND(AL180="移管",AP180="棚卸し中"),"判定保留なし（棚卸し済みへ）",""))))))</f>
        <v/>
      </c>
      <c r="AS180" s="21">
        <f>IF($A180="","",COUNTIFS('紐付け'!$A$4:$A$200,$A180,'紐付け'!$C$4:$C$200,"&lt;&gt;"))</f>
        <v/>
      </c>
      <c r="AT180" s="21">
        <f>IF($A180="","",SUMPRODUCT(('紐付け'!$A$4:$A$200=$A180)*('紐付け'!$C$4:$C$200&lt;&gt;"")*(COUNTIFS('業務'!$C$4:$C$200,'紐付け'!$C$4:$C$200,'業務'!$F$4:$F$200,"間接業務",'業務'!$U$4:$U$200,$A180)=0)))</f>
        <v/>
      </c>
      <c r="AU180" s="21">
        <f>IF($A180="","",COUNTIFS('業務'!$U$4:$U$200,$A180,'業務'!$A$4:$A$200,"&lt;&gt;",'業務'!$J$4:$J$200,"&lt;&gt;済"))</f>
        <v/>
      </c>
      <c r="AV180" s="21">
        <f>IF($A180="","",COUNTIF('契約'!$C$4:$C$200,$A180))</f>
        <v/>
      </c>
      <c r="AW180" s="21">
        <f>IF($A180="","",COUNTIFS('業務'!$U$4:$U$200,$A180,'業務'!$A$4:$A$200,"&lt;&gt;",'業務'!$S$4:$S$200,"&lt;&gt;",'業務'!$F$4:$F$200,"間接業務"))</f>
        <v/>
      </c>
      <c r="AX180" s="21" t="n"/>
      <c r="AY180" s="18" t="n"/>
      <c r="AZ180" s="18" t="n"/>
      <c r="BA180" s="20" t="n"/>
    </row>
    <row r="181">
      <c r="A181" s="18" t="n"/>
      <c r="B181" s="18" t="n"/>
      <c r="C181" s="18" t="n"/>
      <c r="D181" s="18" t="n"/>
      <c r="E181" s="18" t="n"/>
      <c r="F181" s="18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20">
        <f>IF(COUNT(G181:R181)=0,"",SUM(G181:R181))</f>
        <v/>
      </c>
      <c r="T181" s="19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20">
        <f>IF(COUNT(T181:AE181)=0,"",SUM(T181:AE181))</f>
        <v/>
      </c>
      <c r="AG181" s="18" t="n"/>
      <c r="AH181" s="18" t="n"/>
      <c r="AI181" s="18" t="n"/>
      <c r="AJ181" s="18" t="n"/>
      <c r="AK181" s="18" t="n"/>
      <c r="AL181" s="21">
        <f>IF($A181="","",IF(AJ181="いいえ","対象外",IF(AND(AH181="投資予算",AZ181="継続"),"対象外",IF(OR(AH181="",AJ181="",AJ181="未確認",AND(AH181="投資予算",OR(AZ181="",AZ181="未確認")),AM181="判定保留",AN181="判定保留"),"判定保留","移管"))))</f>
        <v/>
      </c>
      <c r="AM181" s="21">
        <f>IF($A181="","",IF(AJ181="いいえ","対象外",IF(AND(AH181="投資予算",AZ181="継続"),"対象外",IF(OR(AJ181="",AJ181="未確認"),"判定保留",IF(AV181=0,"—","移管")))))</f>
        <v/>
      </c>
      <c r="AN181" s="21">
        <f>IF($A181="","",IF(AJ181="いいえ","対象外",IF(AH181="投資予算","—",IF(OR(AH181="",AJ181="",AJ181="未確認",AS181=0,AT181&gt;0,AU181&gt;0),"判定保留","移管"))))</f>
        <v/>
      </c>
      <c r="AO181" s="21">
        <f>IF($A181="","",IF(AL181&lt;&gt;"移管","—",IF(AW181&gt;0,"あり","なし")))</f>
        <v/>
      </c>
      <c r="AP181" s="18" t="n"/>
      <c r="AQ181" s="33" t="n"/>
      <c r="AR181" s="21">
        <f>IF($A181="","",IF(AP181="","ステータス未設定",IF(AND(AL181="対象外",AP181&lt;&gt;"対象外"),"判定は対象外",IF(AND(AL181&lt;&gt;"対象外",AP181="対象外"),"判定は対象外ではない",IF(AND(AL181="判定保留",AP181&lt;&gt;"棚卸し中"),"判定保留が残っている",IF(AND(AL181="移管",AP181="棚卸し中"),"判定保留なし（棚卸し済みへ）",""))))))</f>
        <v/>
      </c>
      <c r="AS181" s="21">
        <f>IF($A181="","",COUNTIFS('紐付け'!$A$4:$A$200,$A181,'紐付け'!$C$4:$C$200,"&lt;&gt;"))</f>
        <v/>
      </c>
      <c r="AT181" s="21">
        <f>IF($A181="","",SUMPRODUCT(('紐付け'!$A$4:$A$200=$A181)*('紐付け'!$C$4:$C$200&lt;&gt;"")*(COUNTIFS('業務'!$C$4:$C$200,'紐付け'!$C$4:$C$200,'業務'!$F$4:$F$200,"間接業務",'業務'!$U$4:$U$200,$A181)=0)))</f>
        <v/>
      </c>
      <c r="AU181" s="21">
        <f>IF($A181="","",COUNTIFS('業務'!$U$4:$U$200,$A181,'業務'!$A$4:$A$200,"&lt;&gt;",'業務'!$J$4:$J$200,"&lt;&gt;済"))</f>
        <v/>
      </c>
      <c r="AV181" s="21">
        <f>IF($A181="","",COUNTIF('契約'!$C$4:$C$200,$A181))</f>
        <v/>
      </c>
      <c r="AW181" s="21">
        <f>IF($A181="","",COUNTIFS('業務'!$U$4:$U$200,$A181,'業務'!$A$4:$A$200,"&lt;&gt;",'業務'!$S$4:$S$200,"&lt;&gt;",'業務'!$F$4:$F$200,"間接業務"))</f>
        <v/>
      </c>
      <c r="AX181" s="21" t="n"/>
      <c r="AY181" s="18" t="n"/>
      <c r="AZ181" s="18" t="n"/>
      <c r="BA181" s="20" t="n"/>
    </row>
    <row r="182">
      <c r="A182" s="18" t="n"/>
      <c r="B182" s="18" t="n"/>
      <c r="C182" s="18" t="n"/>
      <c r="D182" s="18" t="n"/>
      <c r="E182" s="18" t="n"/>
      <c r="F182" s="18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20">
        <f>IF(COUNT(G182:R182)=0,"",SUM(G182:R182))</f>
        <v/>
      </c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20">
        <f>IF(COUNT(T182:AE182)=0,"",SUM(T182:AE182))</f>
        <v/>
      </c>
      <c r="AG182" s="18" t="n"/>
      <c r="AH182" s="18" t="n"/>
      <c r="AI182" s="18" t="n"/>
      <c r="AJ182" s="18" t="n"/>
      <c r="AK182" s="18" t="n"/>
      <c r="AL182" s="21">
        <f>IF($A182="","",IF(AJ182="いいえ","対象外",IF(AND(AH182="投資予算",AZ182="継続"),"対象外",IF(OR(AH182="",AJ182="",AJ182="未確認",AND(AH182="投資予算",OR(AZ182="",AZ182="未確認")),AM182="判定保留",AN182="判定保留"),"判定保留","移管"))))</f>
        <v/>
      </c>
      <c r="AM182" s="21">
        <f>IF($A182="","",IF(AJ182="いいえ","対象外",IF(AND(AH182="投資予算",AZ182="継続"),"対象外",IF(OR(AJ182="",AJ182="未確認"),"判定保留",IF(AV182=0,"—","移管")))))</f>
        <v/>
      </c>
      <c r="AN182" s="21">
        <f>IF($A182="","",IF(AJ182="いいえ","対象外",IF(AH182="投資予算","—",IF(OR(AH182="",AJ182="",AJ182="未確認",AS182=0,AT182&gt;0,AU182&gt;0),"判定保留","移管"))))</f>
        <v/>
      </c>
      <c r="AO182" s="21">
        <f>IF($A182="","",IF(AL182&lt;&gt;"移管","—",IF(AW182&gt;0,"あり","なし")))</f>
        <v/>
      </c>
      <c r="AP182" s="18" t="n"/>
      <c r="AQ182" s="33" t="n"/>
      <c r="AR182" s="21">
        <f>IF($A182="","",IF(AP182="","ステータス未設定",IF(AND(AL182="対象外",AP182&lt;&gt;"対象外"),"判定は対象外",IF(AND(AL182&lt;&gt;"対象外",AP182="対象外"),"判定は対象外ではない",IF(AND(AL182="判定保留",AP182&lt;&gt;"棚卸し中"),"判定保留が残っている",IF(AND(AL182="移管",AP182="棚卸し中"),"判定保留なし（棚卸し済みへ）",""))))))</f>
        <v/>
      </c>
      <c r="AS182" s="21">
        <f>IF($A182="","",COUNTIFS('紐付け'!$A$4:$A$200,$A182,'紐付け'!$C$4:$C$200,"&lt;&gt;"))</f>
        <v/>
      </c>
      <c r="AT182" s="21">
        <f>IF($A182="","",SUMPRODUCT(('紐付け'!$A$4:$A$200=$A182)*('紐付け'!$C$4:$C$200&lt;&gt;"")*(COUNTIFS('業務'!$C$4:$C$200,'紐付け'!$C$4:$C$200,'業務'!$F$4:$F$200,"間接業務",'業務'!$U$4:$U$200,$A182)=0)))</f>
        <v/>
      </c>
      <c r="AU182" s="21">
        <f>IF($A182="","",COUNTIFS('業務'!$U$4:$U$200,$A182,'業務'!$A$4:$A$200,"&lt;&gt;",'業務'!$J$4:$J$200,"&lt;&gt;済"))</f>
        <v/>
      </c>
      <c r="AV182" s="21">
        <f>IF($A182="","",COUNTIF('契約'!$C$4:$C$200,$A182))</f>
        <v/>
      </c>
      <c r="AW182" s="21">
        <f>IF($A182="","",COUNTIFS('業務'!$U$4:$U$200,$A182,'業務'!$A$4:$A$200,"&lt;&gt;",'業務'!$S$4:$S$200,"&lt;&gt;",'業務'!$F$4:$F$200,"間接業務"))</f>
        <v/>
      </c>
      <c r="AX182" s="21" t="n"/>
      <c r="AY182" s="18" t="n"/>
      <c r="AZ182" s="18" t="n"/>
      <c r="BA182" s="20" t="n"/>
    </row>
    <row r="183">
      <c r="A183" s="18" t="n"/>
      <c r="B183" s="18" t="n"/>
      <c r="C183" s="18" t="n"/>
      <c r="D183" s="18" t="n"/>
      <c r="E183" s="18" t="n"/>
      <c r="F183" s="18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20">
        <f>IF(COUNT(G183:R183)=0,"",SUM(G183:R183))</f>
        <v/>
      </c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20">
        <f>IF(COUNT(T183:AE183)=0,"",SUM(T183:AE183))</f>
        <v/>
      </c>
      <c r="AG183" s="18" t="n"/>
      <c r="AH183" s="18" t="n"/>
      <c r="AI183" s="18" t="n"/>
      <c r="AJ183" s="18" t="n"/>
      <c r="AK183" s="18" t="n"/>
      <c r="AL183" s="21">
        <f>IF($A183="","",IF(AJ183="いいえ","対象外",IF(AND(AH183="投資予算",AZ183="継続"),"対象外",IF(OR(AH183="",AJ183="",AJ183="未確認",AND(AH183="投資予算",OR(AZ183="",AZ183="未確認")),AM183="判定保留",AN183="判定保留"),"判定保留","移管"))))</f>
        <v/>
      </c>
      <c r="AM183" s="21">
        <f>IF($A183="","",IF(AJ183="いいえ","対象外",IF(AND(AH183="投資予算",AZ183="継続"),"対象外",IF(OR(AJ183="",AJ183="未確認"),"判定保留",IF(AV183=0,"—","移管")))))</f>
        <v/>
      </c>
      <c r="AN183" s="21">
        <f>IF($A183="","",IF(AJ183="いいえ","対象外",IF(AH183="投資予算","—",IF(OR(AH183="",AJ183="",AJ183="未確認",AS183=0,AT183&gt;0,AU183&gt;0),"判定保留","移管"))))</f>
        <v/>
      </c>
      <c r="AO183" s="21">
        <f>IF($A183="","",IF(AL183&lt;&gt;"移管","—",IF(AW183&gt;0,"あり","なし")))</f>
        <v/>
      </c>
      <c r="AP183" s="18" t="n"/>
      <c r="AQ183" s="33" t="n"/>
      <c r="AR183" s="21">
        <f>IF($A183="","",IF(AP183="","ステータス未設定",IF(AND(AL183="対象外",AP183&lt;&gt;"対象外"),"判定は対象外",IF(AND(AL183&lt;&gt;"対象外",AP183="対象外"),"判定は対象外ではない",IF(AND(AL183="判定保留",AP183&lt;&gt;"棚卸し中"),"判定保留が残っている",IF(AND(AL183="移管",AP183="棚卸し中"),"判定保留なし（棚卸し済みへ）",""))))))</f>
        <v/>
      </c>
      <c r="AS183" s="21">
        <f>IF($A183="","",COUNTIFS('紐付け'!$A$4:$A$200,$A183,'紐付け'!$C$4:$C$200,"&lt;&gt;"))</f>
        <v/>
      </c>
      <c r="AT183" s="21">
        <f>IF($A183="","",SUMPRODUCT(('紐付け'!$A$4:$A$200=$A183)*('紐付け'!$C$4:$C$200&lt;&gt;"")*(COUNTIFS('業務'!$C$4:$C$200,'紐付け'!$C$4:$C$200,'業務'!$F$4:$F$200,"間接業務",'業務'!$U$4:$U$200,$A183)=0)))</f>
        <v/>
      </c>
      <c r="AU183" s="21">
        <f>IF($A183="","",COUNTIFS('業務'!$U$4:$U$200,$A183,'業務'!$A$4:$A$200,"&lt;&gt;",'業務'!$J$4:$J$200,"&lt;&gt;済"))</f>
        <v/>
      </c>
      <c r="AV183" s="21">
        <f>IF($A183="","",COUNTIF('契約'!$C$4:$C$200,$A183))</f>
        <v/>
      </c>
      <c r="AW183" s="21">
        <f>IF($A183="","",COUNTIFS('業務'!$U$4:$U$200,$A183,'業務'!$A$4:$A$200,"&lt;&gt;",'業務'!$S$4:$S$200,"&lt;&gt;",'業務'!$F$4:$F$200,"間接業務"))</f>
        <v/>
      </c>
      <c r="AX183" s="21" t="n"/>
      <c r="AY183" s="18" t="n"/>
      <c r="AZ183" s="18" t="n"/>
      <c r="BA183" s="20" t="n"/>
    </row>
    <row r="184">
      <c r="A184" s="18" t="n"/>
      <c r="B184" s="18" t="n"/>
      <c r="C184" s="18" t="n"/>
      <c r="D184" s="18" t="n"/>
      <c r="E184" s="18" t="n"/>
      <c r="F184" s="18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20">
        <f>IF(COUNT(G184:R184)=0,"",SUM(G184:R184))</f>
        <v/>
      </c>
      <c r="T184" s="19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  <c r="AC184" s="19" t="n"/>
      <c r="AD184" s="19" t="n"/>
      <c r="AE184" s="19" t="n"/>
      <c r="AF184" s="20">
        <f>IF(COUNT(T184:AE184)=0,"",SUM(T184:AE184))</f>
        <v/>
      </c>
      <c r="AG184" s="18" t="n"/>
      <c r="AH184" s="18" t="n"/>
      <c r="AI184" s="18" t="n"/>
      <c r="AJ184" s="18" t="n"/>
      <c r="AK184" s="18" t="n"/>
      <c r="AL184" s="21">
        <f>IF($A184="","",IF(AJ184="いいえ","対象外",IF(AND(AH184="投資予算",AZ184="継続"),"対象外",IF(OR(AH184="",AJ184="",AJ184="未確認",AND(AH184="投資予算",OR(AZ184="",AZ184="未確認")),AM184="判定保留",AN184="判定保留"),"判定保留","移管"))))</f>
        <v/>
      </c>
      <c r="AM184" s="21">
        <f>IF($A184="","",IF(AJ184="いいえ","対象外",IF(AND(AH184="投資予算",AZ184="継続"),"対象外",IF(OR(AJ184="",AJ184="未確認"),"判定保留",IF(AV184=0,"—","移管")))))</f>
        <v/>
      </c>
      <c r="AN184" s="21">
        <f>IF($A184="","",IF(AJ184="いいえ","対象外",IF(AH184="投資予算","—",IF(OR(AH184="",AJ184="",AJ184="未確認",AS184=0,AT184&gt;0,AU184&gt;0),"判定保留","移管"))))</f>
        <v/>
      </c>
      <c r="AO184" s="21">
        <f>IF($A184="","",IF(AL184&lt;&gt;"移管","—",IF(AW184&gt;0,"あり","なし")))</f>
        <v/>
      </c>
      <c r="AP184" s="18" t="n"/>
      <c r="AQ184" s="33" t="n"/>
      <c r="AR184" s="21">
        <f>IF($A184="","",IF(AP184="","ステータス未設定",IF(AND(AL184="対象外",AP184&lt;&gt;"対象外"),"判定は対象外",IF(AND(AL184&lt;&gt;"対象外",AP184="対象外"),"判定は対象外ではない",IF(AND(AL184="判定保留",AP184&lt;&gt;"棚卸し中"),"判定保留が残っている",IF(AND(AL184="移管",AP184="棚卸し中"),"判定保留なし（棚卸し済みへ）",""))))))</f>
        <v/>
      </c>
      <c r="AS184" s="21">
        <f>IF($A184="","",COUNTIFS('紐付け'!$A$4:$A$200,$A184,'紐付け'!$C$4:$C$200,"&lt;&gt;"))</f>
        <v/>
      </c>
      <c r="AT184" s="21">
        <f>IF($A184="","",SUMPRODUCT(('紐付け'!$A$4:$A$200=$A184)*('紐付け'!$C$4:$C$200&lt;&gt;"")*(COUNTIFS('業務'!$C$4:$C$200,'紐付け'!$C$4:$C$200,'業務'!$F$4:$F$200,"間接業務",'業務'!$U$4:$U$200,$A184)=0)))</f>
        <v/>
      </c>
      <c r="AU184" s="21">
        <f>IF($A184="","",COUNTIFS('業務'!$U$4:$U$200,$A184,'業務'!$A$4:$A$200,"&lt;&gt;",'業務'!$J$4:$J$200,"&lt;&gt;済"))</f>
        <v/>
      </c>
      <c r="AV184" s="21">
        <f>IF($A184="","",COUNTIF('契約'!$C$4:$C$200,$A184))</f>
        <v/>
      </c>
      <c r="AW184" s="21">
        <f>IF($A184="","",COUNTIFS('業務'!$U$4:$U$200,$A184,'業務'!$A$4:$A$200,"&lt;&gt;",'業務'!$S$4:$S$200,"&lt;&gt;",'業務'!$F$4:$F$200,"間接業務"))</f>
        <v/>
      </c>
      <c r="AX184" s="21" t="n"/>
      <c r="AY184" s="18" t="n"/>
      <c r="AZ184" s="18" t="n"/>
      <c r="BA184" s="20" t="n"/>
    </row>
    <row r="185">
      <c r="A185" s="18" t="n"/>
      <c r="B185" s="18" t="n"/>
      <c r="C185" s="18" t="n"/>
      <c r="D185" s="18" t="n"/>
      <c r="E185" s="18" t="n"/>
      <c r="F185" s="18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20">
        <f>IF(COUNT(G185:R185)=0,"",SUM(G185:R185))</f>
        <v/>
      </c>
      <c r="T185" s="19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  <c r="AC185" s="19" t="n"/>
      <c r="AD185" s="19" t="n"/>
      <c r="AE185" s="19" t="n"/>
      <c r="AF185" s="20">
        <f>IF(COUNT(T185:AE185)=0,"",SUM(T185:AE185))</f>
        <v/>
      </c>
      <c r="AG185" s="18" t="n"/>
      <c r="AH185" s="18" t="n"/>
      <c r="AI185" s="18" t="n"/>
      <c r="AJ185" s="18" t="n"/>
      <c r="AK185" s="18" t="n"/>
      <c r="AL185" s="21">
        <f>IF($A185="","",IF(AJ185="いいえ","対象外",IF(AND(AH185="投資予算",AZ185="継続"),"対象外",IF(OR(AH185="",AJ185="",AJ185="未確認",AND(AH185="投資予算",OR(AZ185="",AZ185="未確認")),AM185="判定保留",AN185="判定保留"),"判定保留","移管"))))</f>
        <v/>
      </c>
      <c r="AM185" s="21">
        <f>IF($A185="","",IF(AJ185="いいえ","対象外",IF(AND(AH185="投資予算",AZ185="継続"),"対象外",IF(OR(AJ185="",AJ185="未確認"),"判定保留",IF(AV185=0,"—","移管")))))</f>
        <v/>
      </c>
      <c r="AN185" s="21">
        <f>IF($A185="","",IF(AJ185="いいえ","対象外",IF(AH185="投資予算","—",IF(OR(AH185="",AJ185="",AJ185="未確認",AS185=0,AT185&gt;0,AU185&gt;0),"判定保留","移管"))))</f>
        <v/>
      </c>
      <c r="AO185" s="21">
        <f>IF($A185="","",IF(AL185&lt;&gt;"移管","—",IF(AW185&gt;0,"あり","なし")))</f>
        <v/>
      </c>
      <c r="AP185" s="18" t="n"/>
      <c r="AQ185" s="33" t="n"/>
      <c r="AR185" s="21">
        <f>IF($A185="","",IF(AP185="","ステータス未設定",IF(AND(AL185="対象外",AP185&lt;&gt;"対象外"),"判定は対象外",IF(AND(AL185&lt;&gt;"対象外",AP185="対象外"),"判定は対象外ではない",IF(AND(AL185="判定保留",AP185&lt;&gt;"棚卸し中"),"判定保留が残っている",IF(AND(AL185="移管",AP185="棚卸し中"),"判定保留なし（棚卸し済みへ）",""))))))</f>
        <v/>
      </c>
      <c r="AS185" s="21">
        <f>IF($A185="","",COUNTIFS('紐付け'!$A$4:$A$200,$A185,'紐付け'!$C$4:$C$200,"&lt;&gt;"))</f>
        <v/>
      </c>
      <c r="AT185" s="21">
        <f>IF($A185="","",SUMPRODUCT(('紐付け'!$A$4:$A$200=$A185)*('紐付け'!$C$4:$C$200&lt;&gt;"")*(COUNTIFS('業務'!$C$4:$C$200,'紐付け'!$C$4:$C$200,'業務'!$F$4:$F$200,"間接業務",'業務'!$U$4:$U$200,$A185)=0)))</f>
        <v/>
      </c>
      <c r="AU185" s="21">
        <f>IF($A185="","",COUNTIFS('業務'!$U$4:$U$200,$A185,'業務'!$A$4:$A$200,"&lt;&gt;",'業務'!$J$4:$J$200,"&lt;&gt;済"))</f>
        <v/>
      </c>
      <c r="AV185" s="21">
        <f>IF($A185="","",COUNTIF('契約'!$C$4:$C$200,$A185))</f>
        <v/>
      </c>
      <c r="AW185" s="21">
        <f>IF($A185="","",COUNTIFS('業務'!$U$4:$U$200,$A185,'業務'!$A$4:$A$200,"&lt;&gt;",'業務'!$S$4:$S$200,"&lt;&gt;",'業務'!$F$4:$F$200,"間接業務"))</f>
        <v/>
      </c>
      <c r="AX185" s="21" t="n"/>
      <c r="AY185" s="18" t="n"/>
      <c r="AZ185" s="18" t="n"/>
      <c r="BA185" s="20" t="n"/>
    </row>
    <row r="186">
      <c r="A186" s="18" t="n"/>
      <c r="B186" s="18" t="n"/>
      <c r="C186" s="18" t="n"/>
      <c r="D186" s="18" t="n"/>
      <c r="E186" s="18" t="n"/>
      <c r="F186" s="18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20">
        <f>IF(COUNT(G186:R186)=0,"",SUM(G186:R186))</f>
        <v/>
      </c>
      <c r="T186" s="19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  <c r="AC186" s="19" t="n"/>
      <c r="AD186" s="19" t="n"/>
      <c r="AE186" s="19" t="n"/>
      <c r="AF186" s="20">
        <f>IF(COUNT(T186:AE186)=0,"",SUM(T186:AE186))</f>
        <v/>
      </c>
      <c r="AG186" s="18" t="n"/>
      <c r="AH186" s="18" t="n"/>
      <c r="AI186" s="18" t="n"/>
      <c r="AJ186" s="18" t="n"/>
      <c r="AK186" s="18" t="n"/>
      <c r="AL186" s="21">
        <f>IF($A186="","",IF(AJ186="いいえ","対象外",IF(AND(AH186="投資予算",AZ186="継続"),"対象外",IF(OR(AH186="",AJ186="",AJ186="未確認",AND(AH186="投資予算",OR(AZ186="",AZ186="未確認")),AM186="判定保留",AN186="判定保留"),"判定保留","移管"))))</f>
        <v/>
      </c>
      <c r="AM186" s="21">
        <f>IF($A186="","",IF(AJ186="いいえ","対象外",IF(AND(AH186="投資予算",AZ186="継続"),"対象外",IF(OR(AJ186="",AJ186="未確認"),"判定保留",IF(AV186=0,"—","移管")))))</f>
        <v/>
      </c>
      <c r="AN186" s="21">
        <f>IF($A186="","",IF(AJ186="いいえ","対象外",IF(AH186="投資予算","—",IF(OR(AH186="",AJ186="",AJ186="未確認",AS186=0,AT186&gt;0,AU186&gt;0),"判定保留","移管"))))</f>
        <v/>
      </c>
      <c r="AO186" s="21">
        <f>IF($A186="","",IF(AL186&lt;&gt;"移管","—",IF(AW186&gt;0,"あり","なし")))</f>
        <v/>
      </c>
      <c r="AP186" s="18" t="n"/>
      <c r="AQ186" s="33" t="n"/>
      <c r="AR186" s="21">
        <f>IF($A186="","",IF(AP186="","ステータス未設定",IF(AND(AL186="対象外",AP186&lt;&gt;"対象外"),"判定は対象外",IF(AND(AL186&lt;&gt;"対象外",AP186="対象外"),"判定は対象外ではない",IF(AND(AL186="判定保留",AP186&lt;&gt;"棚卸し中"),"判定保留が残っている",IF(AND(AL186="移管",AP186="棚卸し中"),"判定保留なし（棚卸し済みへ）",""))))))</f>
        <v/>
      </c>
      <c r="AS186" s="21">
        <f>IF($A186="","",COUNTIFS('紐付け'!$A$4:$A$200,$A186,'紐付け'!$C$4:$C$200,"&lt;&gt;"))</f>
        <v/>
      </c>
      <c r="AT186" s="21">
        <f>IF($A186="","",SUMPRODUCT(('紐付け'!$A$4:$A$200=$A186)*('紐付け'!$C$4:$C$200&lt;&gt;"")*(COUNTIFS('業務'!$C$4:$C$200,'紐付け'!$C$4:$C$200,'業務'!$F$4:$F$200,"間接業務",'業務'!$U$4:$U$200,$A186)=0)))</f>
        <v/>
      </c>
      <c r="AU186" s="21">
        <f>IF($A186="","",COUNTIFS('業務'!$U$4:$U$200,$A186,'業務'!$A$4:$A$200,"&lt;&gt;",'業務'!$J$4:$J$200,"&lt;&gt;済"))</f>
        <v/>
      </c>
      <c r="AV186" s="21">
        <f>IF($A186="","",COUNTIF('契約'!$C$4:$C$200,$A186))</f>
        <v/>
      </c>
      <c r="AW186" s="21">
        <f>IF($A186="","",COUNTIFS('業務'!$U$4:$U$200,$A186,'業務'!$A$4:$A$200,"&lt;&gt;",'業務'!$S$4:$S$200,"&lt;&gt;",'業務'!$F$4:$F$200,"間接業務"))</f>
        <v/>
      </c>
      <c r="AX186" s="21" t="n"/>
      <c r="AY186" s="18" t="n"/>
      <c r="AZ186" s="18" t="n"/>
      <c r="BA186" s="20" t="n"/>
    </row>
    <row r="187">
      <c r="A187" s="18" t="n"/>
      <c r="B187" s="18" t="n"/>
      <c r="C187" s="18" t="n"/>
      <c r="D187" s="18" t="n"/>
      <c r="E187" s="18" t="n"/>
      <c r="F187" s="18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20">
        <f>IF(COUNT(G187:R187)=0,"",SUM(G187:R187))</f>
        <v/>
      </c>
      <c r="T187" s="19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20">
        <f>IF(COUNT(T187:AE187)=0,"",SUM(T187:AE187))</f>
        <v/>
      </c>
      <c r="AG187" s="18" t="n"/>
      <c r="AH187" s="18" t="n"/>
      <c r="AI187" s="18" t="n"/>
      <c r="AJ187" s="18" t="n"/>
      <c r="AK187" s="18" t="n"/>
      <c r="AL187" s="21">
        <f>IF($A187="","",IF(AJ187="いいえ","対象外",IF(AND(AH187="投資予算",AZ187="継続"),"対象外",IF(OR(AH187="",AJ187="",AJ187="未確認",AND(AH187="投資予算",OR(AZ187="",AZ187="未確認")),AM187="判定保留",AN187="判定保留"),"判定保留","移管"))))</f>
        <v/>
      </c>
      <c r="AM187" s="21">
        <f>IF($A187="","",IF(AJ187="いいえ","対象外",IF(AND(AH187="投資予算",AZ187="継続"),"対象外",IF(OR(AJ187="",AJ187="未確認"),"判定保留",IF(AV187=0,"—","移管")))))</f>
        <v/>
      </c>
      <c r="AN187" s="21">
        <f>IF($A187="","",IF(AJ187="いいえ","対象外",IF(AH187="投資予算","—",IF(OR(AH187="",AJ187="",AJ187="未確認",AS187=0,AT187&gt;0,AU187&gt;0),"判定保留","移管"))))</f>
        <v/>
      </c>
      <c r="AO187" s="21">
        <f>IF($A187="","",IF(AL187&lt;&gt;"移管","—",IF(AW187&gt;0,"あり","なし")))</f>
        <v/>
      </c>
      <c r="AP187" s="18" t="n"/>
      <c r="AQ187" s="33" t="n"/>
      <c r="AR187" s="21">
        <f>IF($A187="","",IF(AP187="","ステータス未設定",IF(AND(AL187="対象外",AP187&lt;&gt;"対象外"),"判定は対象外",IF(AND(AL187&lt;&gt;"対象外",AP187="対象外"),"判定は対象外ではない",IF(AND(AL187="判定保留",AP187&lt;&gt;"棚卸し中"),"判定保留が残っている",IF(AND(AL187="移管",AP187="棚卸し中"),"判定保留なし（棚卸し済みへ）",""))))))</f>
        <v/>
      </c>
      <c r="AS187" s="21">
        <f>IF($A187="","",COUNTIFS('紐付け'!$A$4:$A$200,$A187,'紐付け'!$C$4:$C$200,"&lt;&gt;"))</f>
        <v/>
      </c>
      <c r="AT187" s="21">
        <f>IF($A187="","",SUMPRODUCT(('紐付け'!$A$4:$A$200=$A187)*('紐付け'!$C$4:$C$200&lt;&gt;"")*(COUNTIFS('業務'!$C$4:$C$200,'紐付け'!$C$4:$C$200,'業務'!$F$4:$F$200,"間接業務",'業務'!$U$4:$U$200,$A187)=0)))</f>
        <v/>
      </c>
      <c r="AU187" s="21">
        <f>IF($A187="","",COUNTIFS('業務'!$U$4:$U$200,$A187,'業務'!$A$4:$A$200,"&lt;&gt;",'業務'!$J$4:$J$200,"&lt;&gt;済"))</f>
        <v/>
      </c>
      <c r="AV187" s="21">
        <f>IF($A187="","",COUNTIF('契約'!$C$4:$C$200,$A187))</f>
        <v/>
      </c>
      <c r="AW187" s="21">
        <f>IF($A187="","",COUNTIFS('業務'!$U$4:$U$200,$A187,'業務'!$A$4:$A$200,"&lt;&gt;",'業務'!$S$4:$S$200,"&lt;&gt;",'業務'!$F$4:$F$200,"間接業務"))</f>
        <v/>
      </c>
      <c r="AX187" s="21" t="n"/>
      <c r="AY187" s="18" t="n"/>
      <c r="AZ187" s="18" t="n"/>
      <c r="BA187" s="20" t="n"/>
    </row>
    <row r="188">
      <c r="A188" s="18" t="n"/>
      <c r="B188" s="18" t="n"/>
      <c r="C188" s="18" t="n"/>
      <c r="D188" s="18" t="n"/>
      <c r="E188" s="18" t="n"/>
      <c r="F188" s="18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20">
        <f>IF(COUNT(G188:R188)=0,"",SUM(G188:R188))</f>
        <v/>
      </c>
      <c r="T188" s="19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20">
        <f>IF(COUNT(T188:AE188)=0,"",SUM(T188:AE188))</f>
        <v/>
      </c>
      <c r="AG188" s="18" t="n"/>
      <c r="AH188" s="18" t="n"/>
      <c r="AI188" s="18" t="n"/>
      <c r="AJ188" s="18" t="n"/>
      <c r="AK188" s="18" t="n"/>
      <c r="AL188" s="21">
        <f>IF($A188="","",IF(AJ188="いいえ","対象外",IF(AND(AH188="投資予算",AZ188="継続"),"対象外",IF(OR(AH188="",AJ188="",AJ188="未確認",AND(AH188="投資予算",OR(AZ188="",AZ188="未確認")),AM188="判定保留",AN188="判定保留"),"判定保留","移管"))))</f>
        <v/>
      </c>
      <c r="AM188" s="21">
        <f>IF($A188="","",IF(AJ188="いいえ","対象外",IF(AND(AH188="投資予算",AZ188="継続"),"対象外",IF(OR(AJ188="",AJ188="未確認"),"判定保留",IF(AV188=0,"—","移管")))))</f>
        <v/>
      </c>
      <c r="AN188" s="21">
        <f>IF($A188="","",IF(AJ188="いいえ","対象外",IF(AH188="投資予算","—",IF(OR(AH188="",AJ188="",AJ188="未確認",AS188=0,AT188&gt;0,AU188&gt;0),"判定保留","移管"))))</f>
        <v/>
      </c>
      <c r="AO188" s="21">
        <f>IF($A188="","",IF(AL188&lt;&gt;"移管","—",IF(AW188&gt;0,"あり","なし")))</f>
        <v/>
      </c>
      <c r="AP188" s="18" t="n"/>
      <c r="AQ188" s="33" t="n"/>
      <c r="AR188" s="21">
        <f>IF($A188="","",IF(AP188="","ステータス未設定",IF(AND(AL188="対象外",AP188&lt;&gt;"対象外"),"判定は対象外",IF(AND(AL188&lt;&gt;"対象外",AP188="対象外"),"判定は対象外ではない",IF(AND(AL188="判定保留",AP188&lt;&gt;"棚卸し中"),"判定保留が残っている",IF(AND(AL188="移管",AP188="棚卸し中"),"判定保留なし（棚卸し済みへ）",""))))))</f>
        <v/>
      </c>
      <c r="AS188" s="21">
        <f>IF($A188="","",COUNTIFS('紐付け'!$A$4:$A$200,$A188,'紐付け'!$C$4:$C$200,"&lt;&gt;"))</f>
        <v/>
      </c>
      <c r="AT188" s="21">
        <f>IF($A188="","",SUMPRODUCT(('紐付け'!$A$4:$A$200=$A188)*('紐付け'!$C$4:$C$200&lt;&gt;"")*(COUNTIFS('業務'!$C$4:$C$200,'紐付け'!$C$4:$C$200,'業務'!$F$4:$F$200,"間接業務",'業務'!$U$4:$U$200,$A188)=0)))</f>
        <v/>
      </c>
      <c r="AU188" s="21">
        <f>IF($A188="","",COUNTIFS('業務'!$U$4:$U$200,$A188,'業務'!$A$4:$A$200,"&lt;&gt;",'業務'!$J$4:$J$200,"&lt;&gt;済"))</f>
        <v/>
      </c>
      <c r="AV188" s="21">
        <f>IF($A188="","",COUNTIF('契約'!$C$4:$C$200,$A188))</f>
        <v/>
      </c>
      <c r="AW188" s="21">
        <f>IF($A188="","",COUNTIFS('業務'!$U$4:$U$200,$A188,'業務'!$A$4:$A$200,"&lt;&gt;",'業務'!$S$4:$S$200,"&lt;&gt;",'業務'!$F$4:$F$200,"間接業務"))</f>
        <v/>
      </c>
      <c r="AX188" s="21" t="n"/>
      <c r="AY188" s="18" t="n"/>
      <c r="AZ188" s="18" t="n"/>
      <c r="BA188" s="20" t="n"/>
    </row>
    <row r="189">
      <c r="A189" s="18" t="n"/>
      <c r="B189" s="18" t="n"/>
      <c r="C189" s="18" t="n"/>
      <c r="D189" s="18" t="n"/>
      <c r="E189" s="18" t="n"/>
      <c r="F189" s="18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20">
        <f>IF(COUNT(G189:R189)=0,"",SUM(G189:R189))</f>
        <v/>
      </c>
      <c r="T189" s="19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20">
        <f>IF(COUNT(T189:AE189)=0,"",SUM(T189:AE189))</f>
        <v/>
      </c>
      <c r="AG189" s="18" t="n"/>
      <c r="AH189" s="18" t="n"/>
      <c r="AI189" s="18" t="n"/>
      <c r="AJ189" s="18" t="n"/>
      <c r="AK189" s="18" t="n"/>
      <c r="AL189" s="21">
        <f>IF($A189="","",IF(AJ189="いいえ","対象外",IF(AND(AH189="投資予算",AZ189="継続"),"対象外",IF(OR(AH189="",AJ189="",AJ189="未確認",AND(AH189="投資予算",OR(AZ189="",AZ189="未確認")),AM189="判定保留",AN189="判定保留"),"判定保留","移管"))))</f>
        <v/>
      </c>
      <c r="AM189" s="21">
        <f>IF($A189="","",IF(AJ189="いいえ","対象外",IF(AND(AH189="投資予算",AZ189="継続"),"対象外",IF(OR(AJ189="",AJ189="未確認"),"判定保留",IF(AV189=0,"—","移管")))))</f>
        <v/>
      </c>
      <c r="AN189" s="21">
        <f>IF($A189="","",IF(AJ189="いいえ","対象外",IF(AH189="投資予算","—",IF(OR(AH189="",AJ189="",AJ189="未確認",AS189=0,AT189&gt;0,AU189&gt;0),"判定保留","移管"))))</f>
        <v/>
      </c>
      <c r="AO189" s="21">
        <f>IF($A189="","",IF(AL189&lt;&gt;"移管","—",IF(AW189&gt;0,"あり","なし")))</f>
        <v/>
      </c>
      <c r="AP189" s="18" t="n"/>
      <c r="AQ189" s="33" t="n"/>
      <c r="AR189" s="21">
        <f>IF($A189="","",IF(AP189="","ステータス未設定",IF(AND(AL189="対象外",AP189&lt;&gt;"対象外"),"判定は対象外",IF(AND(AL189&lt;&gt;"対象外",AP189="対象外"),"判定は対象外ではない",IF(AND(AL189="判定保留",AP189&lt;&gt;"棚卸し中"),"判定保留が残っている",IF(AND(AL189="移管",AP189="棚卸し中"),"判定保留なし（棚卸し済みへ）",""))))))</f>
        <v/>
      </c>
      <c r="AS189" s="21">
        <f>IF($A189="","",COUNTIFS('紐付け'!$A$4:$A$200,$A189,'紐付け'!$C$4:$C$200,"&lt;&gt;"))</f>
        <v/>
      </c>
      <c r="AT189" s="21">
        <f>IF($A189="","",SUMPRODUCT(('紐付け'!$A$4:$A$200=$A189)*('紐付け'!$C$4:$C$200&lt;&gt;"")*(COUNTIFS('業務'!$C$4:$C$200,'紐付け'!$C$4:$C$200,'業務'!$F$4:$F$200,"間接業務",'業務'!$U$4:$U$200,$A189)=0)))</f>
        <v/>
      </c>
      <c r="AU189" s="21">
        <f>IF($A189="","",COUNTIFS('業務'!$U$4:$U$200,$A189,'業務'!$A$4:$A$200,"&lt;&gt;",'業務'!$J$4:$J$200,"&lt;&gt;済"))</f>
        <v/>
      </c>
      <c r="AV189" s="21">
        <f>IF($A189="","",COUNTIF('契約'!$C$4:$C$200,$A189))</f>
        <v/>
      </c>
      <c r="AW189" s="21">
        <f>IF($A189="","",COUNTIFS('業務'!$U$4:$U$200,$A189,'業務'!$A$4:$A$200,"&lt;&gt;",'業務'!$S$4:$S$200,"&lt;&gt;",'業務'!$F$4:$F$200,"間接業務"))</f>
        <v/>
      </c>
      <c r="AX189" s="21" t="n"/>
      <c r="AY189" s="18" t="n"/>
      <c r="AZ189" s="18" t="n"/>
      <c r="BA189" s="20" t="n"/>
    </row>
    <row r="190">
      <c r="A190" s="18" t="n"/>
      <c r="B190" s="18" t="n"/>
      <c r="C190" s="18" t="n"/>
      <c r="D190" s="18" t="n"/>
      <c r="E190" s="18" t="n"/>
      <c r="F190" s="18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20">
        <f>IF(COUNT(G190:R190)=0,"",SUM(G190:R190))</f>
        <v/>
      </c>
      <c r="T190" s="19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20">
        <f>IF(COUNT(T190:AE190)=0,"",SUM(T190:AE190))</f>
        <v/>
      </c>
      <c r="AG190" s="18" t="n"/>
      <c r="AH190" s="18" t="n"/>
      <c r="AI190" s="18" t="n"/>
      <c r="AJ190" s="18" t="n"/>
      <c r="AK190" s="18" t="n"/>
      <c r="AL190" s="21">
        <f>IF($A190="","",IF(AJ190="いいえ","対象外",IF(AND(AH190="投資予算",AZ190="継続"),"対象外",IF(OR(AH190="",AJ190="",AJ190="未確認",AND(AH190="投資予算",OR(AZ190="",AZ190="未確認")),AM190="判定保留",AN190="判定保留"),"判定保留","移管"))))</f>
        <v/>
      </c>
      <c r="AM190" s="21">
        <f>IF($A190="","",IF(AJ190="いいえ","対象外",IF(AND(AH190="投資予算",AZ190="継続"),"対象外",IF(OR(AJ190="",AJ190="未確認"),"判定保留",IF(AV190=0,"—","移管")))))</f>
        <v/>
      </c>
      <c r="AN190" s="21">
        <f>IF($A190="","",IF(AJ190="いいえ","対象外",IF(AH190="投資予算","—",IF(OR(AH190="",AJ190="",AJ190="未確認",AS190=0,AT190&gt;0,AU190&gt;0),"判定保留","移管"))))</f>
        <v/>
      </c>
      <c r="AO190" s="21">
        <f>IF($A190="","",IF(AL190&lt;&gt;"移管","—",IF(AW190&gt;0,"あり","なし")))</f>
        <v/>
      </c>
      <c r="AP190" s="18" t="n"/>
      <c r="AQ190" s="33" t="n"/>
      <c r="AR190" s="21">
        <f>IF($A190="","",IF(AP190="","ステータス未設定",IF(AND(AL190="対象外",AP190&lt;&gt;"対象外"),"判定は対象外",IF(AND(AL190&lt;&gt;"対象外",AP190="対象外"),"判定は対象外ではない",IF(AND(AL190="判定保留",AP190&lt;&gt;"棚卸し中"),"判定保留が残っている",IF(AND(AL190="移管",AP190="棚卸し中"),"判定保留なし（棚卸し済みへ）",""))))))</f>
        <v/>
      </c>
      <c r="AS190" s="21">
        <f>IF($A190="","",COUNTIFS('紐付け'!$A$4:$A$200,$A190,'紐付け'!$C$4:$C$200,"&lt;&gt;"))</f>
        <v/>
      </c>
      <c r="AT190" s="21">
        <f>IF($A190="","",SUMPRODUCT(('紐付け'!$A$4:$A$200=$A190)*('紐付け'!$C$4:$C$200&lt;&gt;"")*(COUNTIFS('業務'!$C$4:$C$200,'紐付け'!$C$4:$C$200,'業務'!$F$4:$F$200,"間接業務",'業務'!$U$4:$U$200,$A190)=0)))</f>
        <v/>
      </c>
      <c r="AU190" s="21">
        <f>IF($A190="","",COUNTIFS('業務'!$U$4:$U$200,$A190,'業務'!$A$4:$A$200,"&lt;&gt;",'業務'!$J$4:$J$200,"&lt;&gt;済"))</f>
        <v/>
      </c>
      <c r="AV190" s="21">
        <f>IF($A190="","",COUNTIF('契約'!$C$4:$C$200,$A190))</f>
        <v/>
      </c>
      <c r="AW190" s="21">
        <f>IF($A190="","",COUNTIFS('業務'!$U$4:$U$200,$A190,'業務'!$A$4:$A$200,"&lt;&gt;",'業務'!$S$4:$S$200,"&lt;&gt;",'業務'!$F$4:$F$200,"間接業務"))</f>
        <v/>
      </c>
      <c r="AX190" s="21" t="n"/>
      <c r="AY190" s="18" t="n"/>
      <c r="AZ190" s="18" t="n"/>
      <c r="BA190" s="20" t="n"/>
    </row>
    <row r="191">
      <c r="A191" s="18" t="n"/>
      <c r="B191" s="18" t="n"/>
      <c r="C191" s="18" t="n"/>
      <c r="D191" s="18" t="n"/>
      <c r="E191" s="18" t="n"/>
      <c r="F191" s="18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20">
        <f>IF(COUNT(G191:R191)=0,"",SUM(G191:R191))</f>
        <v/>
      </c>
      <c r="T191" s="19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9" t="n"/>
      <c r="AF191" s="20">
        <f>IF(COUNT(T191:AE191)=0,"",SUM(T191:AE191))</f>
        <v/>
      </c>
      <c r="AG191" s="18" t="n"/>
      <c r="AH191" s="18" t="n"/>
      <c r="AI191" s="18" t="n"/>
      <c r="AJ191" s="18" t="n"/>
      <c r="AK191" s="18" t="n"/>
      <c r="AL191" s="21">
        <f>IF($A191="","",IF(AJ191="いいえ","対象外",IF(AND(AH191="投資予算",AZ191="継続"),"対象外",IF(OR(AH191="",AJ191="",AJ191="未確認",AND(AH191="投資予算",OR(AZ191="",AZ191="未確認")),AM191="判定保留",AN191="判定保留"),"判定保留","移管"))))</f>
        <v/>
      </c>
      <c r="AM191" s="21">
        <f>IF($A191="","",IF(AJ191="いいえ","対象外",IF(AND(AH191="投資予算",AZ191="継続"),"対象外",IF(OR(AJ191="",AJ191="未確認"),"判定保留",IF(AV191=0,"—","移管")))))</f>
        <v/>
      </c>
      <c r="AN191" s="21">
        <f>IF($A191="","",IF(AJ191="いいえ","対象外",IF(AH191="投資予算","—",IF(OR(AH191="",AJ191="",AJ191="未確認",AS191=0,AT191&gt;0,AU191&gt;0),"判定保留","移管"))))</f>
        <v/>
      </c>
      <c r="AO191" s="21">
        <f>IF($A191="","",IF(AL191&lt;&gt;"移管","—",IF(AW191&gt;0,"あり","なし")))</f>
        <v/>
      </c>
      <c r="AP191" s="18" t="n"/>
      <c r="AQ191" s="33" t="n"/>
      <c r="AR191" s="21">
        <f>IF($A191="","",IF(AP191="","ステータス未設定",IF(AND(AL191="対象外",AP191&lt;&gt;"対象外"),"判定は対象外",IF(AND(AL191&lt;&gt;"対象外",AP191="対象外"),"判定は対象外ではない",IF(AND(AL191="判定保留",AP191&lt;&gt;"棚卸し中"),"判定保留が残っている",IF(AND(AL191="移管",AP191="棚卸し中"),"判定保留なし（棚卸し済みへ）",""))))))</f>
        <v/>
      </c>
      <c r="AS191" s="21">
        <f>IF($A191="","",COUNTIFS('紐付け'!$A$4:$A$200,$A191,'紐付け'!$C$4:$C$200,"&lt;&gt;"))</f>
        <v/>
      </c>
      <c r="AT191" s="21">
        <f>IF($A191="","",SUMPRODUCT(('紐付け'!$A$4:$A$200=$A191)*('紐付け'!$C$4:$C$200&lt;&gt;"")*(COUNTIFS('業務'!$C$4:$C$200,'紐付け'!$C$4:$C$200,'業務'!$F$4:$F$200,"間接業務",'業務'!$U$4:$U$200,$A191)=0)))</f>
        <v/>
      </c>
      <c r="AU191" s="21">
        <f>IF($A191="","",COUNTIFS('業務'!$U$4:$U$200,$A191,'業務'!$A$4:$A$200,"&lt;&gt;",'業務'!$J$4:$J$200,"&lt;&gt;済"))</f>
        <v/>
      </c>
      <c r="AV191" s="21">
        <f>IF($A191="","",COUNTIF('契約'!$C$4:$C$200,$A191))</f>
        <v/>
      </c>
      <c r="AW191" s="21">
        <f>IF($A191="","",COUNTIFS('業務'!$U$4:$U$200,$A191,'業務'!$A$4:$A$200,"&lt;&gt;",'業務'!$S$4:$S$200,"&lt;&gt;",'業務'!$F$4:$F$200,"間接業務"))</f>
        <v/>
      </c>
      <c r="AX191" s="21" t="n"/>
      <c r="AY191" s="18" t="n"/>
      <c r="AZ191" s="18" t="n"/>
      <c r="BA191" s="20" t="n"/>
    </row>
    <row r="192">
      <c r="A192" s="18" t="n"/>
      <c r="B192" s="18" t="n"/>
      <c r="C192" s="18" t="n"/>
      <c r="D192" s="18" t="n"/>
      <c r="E192" s="18" t="n"/>
      <c r="F192" s="18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20">
        <f>IF(COUNT(G192:R192)=0,"",SUM(G192:R192))</f>
        <v/>
      </c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20">
        <f>IF(COUNT(T192:AE192)=0,"",SUM(T192:AE192))</f>
        <v/>
      </c>
      <c r="AG192" s="18" t="n"/>
      <c r="AH192" s="18" t="n"/>
      <c r="AI192" s="18" t="n"/>
      <c r="AJ192" s="18" t="n"/>
      <c r="AK192" s="18" t="n"/>
      <c r="AL192" s="21">
        <f>IF($A192="","",IF(AJ192="いいえ","対象外",IF(AND(AH192="投資予算",AZ192="継続"),"対象外",IF(OR(AH192="",AJ192="",AJ192="未確認",AND(AH192="投資予算",OR(AZ192="",AZ192="未確認")),AM192="判定保留",AN192="判定保留"),"判定保留","移管"))))</f>
        <v/>
      </c>
      <c r="AM192" s="21">
        <f>IF($A192="","",IF(AJ192="いいえ","対象外",IF(AND(AH192="投資予算",AZ192="継続"),"対象外",IF(OR(AJ192="",AJ192="未確認"),"判定保留",IF(AV192=0,"—","移管")))))</f>
        <v/>
      </c>
      <c r="AN192" s="21">
        <f>IF($A192="","",IF(AJ192="いいえ","対象外",IF(AH192="投資予算","—",IF(OR(AH192="",AJ192="",AJ192="未確認",AS192=0,AT192&gt;0,AU192&gt;0),"判定保留","移管"))))</f>
        <v/>
      </c>
      <c r="AO192" s="21">
        <f>IF($A192="","",IF(AL192&lt;&gt;"移管","—",IF(AW192&gt;0,"あり","なし")))</f>
        <v/>
      </c>
      <c r="AP192" s="18" t="n"/>
      <c r="AQ192" s="33" t="n"/>
      <c r="AR192" s="21">
        <f>IF($A192="","",IF(AP192="","ステータス未設定",IF(AND(AL192="対象外",AP192&lt;&gt;"対象外"),"判定は対象外",IF(AND(AL192&lt;&gt;"対象外",AP192="対象外"),"判定は対象外ではない",IF(AND(AL192="判定保留",AP192&lt;&gt;"棚卸し中"),"判定保留が残っている",IF(AND(AL192="移管",AP192="棚卸し中"),"判定保留なし（棚卸し済みへ）",""))))))</f>
        <v/>
      </c>
      <c r="AS192" s="21">
        <f>IF($A192="","",COUNTIFS('紐付け'!$A$4:$A$200,$A192,'紐付け'!$C$4:$C$200,"&lt;&gt;"))</f>
        <v/>
      </c>
      <c r="AT192" s="21">
        <f>IF($A192="","",SUMPRODUCT(('紐付け'!$A$4:$A$200=$A192)*('紐付け'!$C$4:$C$200&lt;&gt;"")*(COUNTIFS('業務'!$C$4:$C$200,'紐付け'!$C$4:$C$200,'業務'!$F$4:$F$200,"間接業務",'業務'!$U$4:$U$200,$A192)=0)))</f>
        <v/>
      </c>
      <c r="AU192" s="21">
        <f>IF($A192="","",COUNTIFS('業務'!$U$4:$U$200,$A192,'業務'!$A$4:$A$200,"&lt;&gt;",'業務'!$J$4:$J$200,"&lt;&gt;済"))</f>
        <v/>
      </c>
      <c r="AV192" s="21">
        <f>IF($A192="","",COUNTIF('契約'!$C$4:$C$200,$A192))</f>
        <v/>
      </c>
      <c r="AW192" s="21">
        <f>IF($A192="","",COUNTIFS('業務'!$U$4:$U$200,$A192,'業務'!$A$4:$A$200,"&lt;&gt;",'業務'!$S$4:$S$200,"&lt;&gt;",'業務'!$F$4:$F$200,"間接業務"))</f>
        <v/>
      </c>
      <c r="AX192" s="21" t="n"/>
      <c r="AY192" s="18" t="n"/>
      <c r="AZ192" s="18" t="n"/>
      <c r="BA192" s="20" t="n"/>
    </row>
    <row r="193">
      <c r="A193" s="18" t="n"/>
      <c r="B193" s="18" t="n"/>
      <c r="C193" s="18" t="n"/>
      <c r="D193" s="18" t="n"/>
      <c r="E193" s="18" t="n"/>
      <c r="F193" s="18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20">
        <f>IF(COUNT(G193:R193)=0,"",SUM(G193:R193))</f>
        <v/>
      </c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20">
        <f>IF(COUNT(T193:AE193)=0,"",SUM(T193:AE193))</f>
        <v/>
      </c>
      <c r="AG193" s="18" t="n"/>
      <c r="AH193" s="18" t="n"/>
      <c r="AI193" s="18" t="n"/>
      <c r="AJ193" s="18" t="n"/>
      <c r="AK193" s="18" t="n"/>
      <c r="AL193" s="21">
        <f>IF($A193="","",IF(AJ193="いいえ","対象外",IF(AND(AH193="投資予算",AZ193="継続"),"対象外",IF(OR(AH193="",AJ193="",AJ193="未確認",AND(AH193="投資予算",OR(AZ193="",AZ193="未確認")),AM193="判定保留",AN193="判定保留"),"判定保留","移管"))))</f>
        <v/>
      </c>
      <c r="AM193" s="21">
        <f>IF($A193="","",IF(AJ193="いいえ","対象外",IF(AND(AH193="投資予算",AZ193="継続"),"対象外",IF(OR(AJ193="",AJ193="未確認"),"判定保留",IF(AV193=0,"—","移管")))))</f>
        <v/>
      </c>
      <c r="AN193" s="21">
        <f>IF($A193="","",IF(AJ193="いいえ","対象外",IF(AH193="投資予算","—",IF(OR(AH193="",AJ193="",AJ193="未確認",AS193=0,AT193&gt;0,AU193&gt;0),"判定保留","移管"))))</f>
        <v/>
      </c>
      <c r="AO193" s="21">
        <f>IF($A193="","",IF(AL193&lt;&gt;"移管","—",IF(AW193&gt;0,"あり","なし")))</f>
        <v/>
      </c>
      <c r="AP193" s="18" t="n"/>
      <c r="AQ193" s="33" t="n"/>
      <c r="AR193" s="21">
        <f>IF($A193="","",IF(AP193="","ステータス未設定",IF(AND(AL193="対象外",AP193&lt;&gt;"対象外"),"判定は対象外",IF(AND(AL193&lt;&gt;"対象外",AP193="対象外"),"判定は対象外ではない",IF(AND(AL193="判定保留",AP193&lt;&gt;"棚卸し中"),"判定保留が残っている",IF(AND(AL193="移管",AP193="棚卸し中"),"判定保留なし（棚卸し済みへ）",""))))))</f>
        <v/>
      </c>
      <c r="AS193" s="21">
        <f>IF($A193="","",COUNTIFS('紐付け'!$A$4:$A$200,$A193,'紐付け'!$C$4:$C$200,"&lt;&gt;"))</f>
        <v/>
      </c>
      <c r="AT193" s="21">
        <f>IF($A193="","",SUMPRODUCT(('紐付け'!$A$4:$A$200=$A193)*('紐付け'!$C$4:$C$200&lt;&gt;"")*(COUNTIFS('業務'!$C$4:$C$200,'紐付け'!$C$4:$C$200,'業務'!$F$4:$F$200,"間接業務",'業務'!$U$4:$U$200,$A193)=0)))</f>
        <v/>
      </c>
      <c r="AU193" s="21">
        <f>IF($A193="","",COUNTIFS('業務'!$U$4:$U$200,$A193,'業務'!$A$4:$A$200,"&lt;&gt;",'業務'!$J$4:$J$200,"&lt;&gt;済"))</f>
        <v/>
      </c>
      <c r="AV193" s="21">
        <f>IF($A193="","",COUNTIF('契約'!$C$4:$C$200,$A193))</f>
        <v/>
      </c>
      <c r="AW193" s="21">
        <f>IF($A193="","",COUNTIFS('業務'!$U$4:$U$200,$A193,'業務'!$A$4:$A$200,"&lt;&gt;",'業務'!$S$4:$S$200,"&lt;&gt;",'業務'!$F$4:$F$200,"間接業務"))</f>
        <v/>
      </c>
      <c r="AX193" s="21" t="n"/>
      <c r="AY193" s="18" t="n"/>
      <c r="AZ193" s="18" t="n"/>
      <c r="BA193" s="20" t="n"/>
    </row>
    <row r="194">
      <c r="A194" s="18" t="n"/>
      <c r="B194" s="18" t="n"/>
      <c r="C194" s="18" t="n"/>
      <c r="D194" s="18" t="n"/>
      <c r="E194" s="18" t="n"/>
      <c r="F194" s="18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20">
        <f>IF(COUNT(G194:R194)=0,"",SUM(G194:R194))</f>
        <v/>
      </c>
      <c r="T194" s="19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20">
        <f>IF(COUNT(T194:AE194)=0,"",SUM(T194:AE194))</f>
        <v/>
      </c>
      <c r="AG194" s="18" t="n"/>
      <c r="AH194" s="18" t="n"/>
      <c r="AI194" s="18" t="n"/>
      <c r="AJ194" s="18" t="n"/>
      <c r="AK194" s="18" t="n"/>
      <c r="AL194" s="21">
        <f>IF($A194="","",IF(AJ194="いいえ","対象外",IF(AND(AH194="投資予算",AZ194="継続"),"対象外",IF(OR(AH194="",AJ194="",AJ194="未確認",AND(AH194="投資予算",OR(AZ194="",AZ194="未確認")),AM194="判定保留",AN194="判定保留"),"判定保留","移管"))))</f>
        <v/>
      </c>
      <c r="AM194" s="21">
        <f>IF($A194="","",IF(AJ194="いいえ","対象外",IF(AND(AH194="投資予算",AZ194="継続"),"対象外",IF(OR(AJ194="",AJ194="未確認"),"判定保留",IF(AV194=0,"—","移管")))))</f>
        <v/>
      </c>
      <c r="AN194" s="21">
        <f>IF($A194="","",IF(AJ194="いいえ","対象外",IF(AH194="投資予算","—",IF(OR(AH194="",AJ194="",AJ194="未確認",AS194=0,AT194&gt;0,AU194&gt;0),"判定保留","移管"))))</f>
        <v/>
      </c>
      <c r="AO194" s="21">
        <f>IF($A194="","",IF(AL194&lt;&gt;"移管","—",IF(AW194&gt;0,"あり","なし")))</f>
        <v/>
      </c>
      <c r="AP194" s="18" t="n"/>
      <c r="AQ194" s="33" t="n"/>
      <c r="AR194" s="21">
        <f>IF($A194="","",IF(AP194="","ステータス未設定",IF(AND(AL194="対象外",AP194&lt;&gt;"対象外"),"判定は対象外",IF(AND(AL194&lt;&gt;"対象外",AP194="対象外"),"判定は対象外ではない",IF(AND(AL194="判定保留",AP194&lt;&gt;"棚卸し中"),"判定保留が残っている",IF(AND(AL194="移管",AP194="棚卸し中"),"判定保留なし（棚卸し済みへ）",""))))))</f>
        <v/>
      </c>
      <c r="AS194" s="21">
        <f>IF($A194="","",COUNTIFS('紐付け'!$A$4:$A$200,$A194,'紐付け'!$C$4:$C$200,"&lt;&gt;"))</f>
        <v/>
      </c>
      <c r="AT194" s="21">
        <f>IF($A194="","",SUMPRODUCT(('紐付け'!$A$4:$A$200=$A194)*('紐付け'!$C$4:$C$200&lt;&gt;"")*(COUNTIFS('業務'!$C$4:$C$200,'紐付け'!$C$4:$C$200,'業務'!$F$4:$F$200,"間接業務",'業務'!$U$4:$U$200,$A194)=0)))</f>
        <v/>
      </c>
      <c r="AU194" s="21">
        <f>IF($A194="","",COUNTIFS('業務'!$U$4:$U$200,$A194,'業務'!$A$4:$A$200,"&lt;&gt;",'業務'!$J$4:$J$200,"&lt;&gt;済"))</f>
        <v/>
      </c>
      <c r="AV194" s="21">
        <f>IF($A194="","",COUNTIF('契約'!$C$4:$C$200,$A194))</f>
        <v/>
      </c>
      <c r="AW194" s="21">
        <f>IF($A194="","",COUNTIFS('業務'!$U$4:$U$200,$A194,'業務'!$A$4:$A$200,"&lt;&gt;",'業務'!$S$4:$S$200,"&lt;&gt;",'業務'!$F$4:$F$200,"間接業務"))</f>
        <v/>
      </c>
      <c r="AX194" s="21" t="n"/>
      <c r="AY194" s="18" t="n"/>
      <c r="AZ194" s="18" t="n"/>
      <c r="BA194" s="20" t="n"/>
    </row>
    <row r="195">
      <c r="A195" s="18" t="n"/>
      <c r="B195" s="18" t="n"/>
      <c r="C195" s="18" t="n"/>
      <c r="D195" s="18" t="n"/>
      <c r="E195" s="18" t="n"/>
      <c r="F195" s="18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20">
        <f>IF(COUNT(G195:R195)=0,"",SUM(G195:R195))</f>
        <v/>
      </c>
      <c r="T195" s="19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20">
        <f>IF(COUNT(T195:AE195)=0,"",SUM(T195:AE195))</f>
        <v/>
      </c>
      <c r="AG195" s="18" t="n"/>
      <c r="AH195" s="18" t="n"/>
      <c r="AI195" s="18" t="n"/>
      <c r="AJ195" s="18" t="n"/>
      <c r="AK195" s="18" t="n"/>
      <c r="AL195" s="21">
        <f>IF($A195="","",IF(AJ195="いいえ","対象外",IF(AND(AH195="投資予算",AZ195="継続"),"対象外",IF(OR(AH195="",AJ195="",AJ195="未確認",AND(AH195="投資予算",OR(AZ195="",AZ195="未確認")),AM195="判定保留",AN195="判定保留"),"判定保留","移管"))))</f>
        <v/>
      </c>
      <c r="AM195" s="21">
        <f>IF($A195="","",IF(AJ195="いいえ","対象外",IF(AND(AH195="投資予算",AZ195="継続"),"対象外",IF(OR(AJ195="",AJ195="未確認"),"判定保留",IF(AV195=0,"—","移管")))))</f>
        <v/>
      </c>
      <c r="AN195" s="21">
        <f>IF($A195="","",IF(AJ195="いいえ","対象外",IF(AH195="投資予算","—",IF(OR(AH195="",AJ195="",AJ195="未確認",AS195=0,AT195&gt;0,AU195&gt;0),"判定保留","移管"))))</f>
        <v/>
      </c>
      <c r="AO195" s="21">
        <f>IF($A195="","",IF(AL195&lt;&gt;"移管","—",IF(AW195&gt;0,"あり","なし")))</f>
        <v/>
      </c>
      <c r="AP195" s="18" t="n"/>
      <c r="AQ195" s="33" t="n"/>
      <c r="AR195" s="21">
        <f>IF($A195="","",IF(AP195="","ステータス未設定",IF(AND(AL195="対象外",AP195&lt;&gt;"対象外"),"判定は対象外",IF(AND(AL195&lt;&gt;"対象外",AP195="対象外"),"判定は対象外ではない",IF(AND(AL195="判定保留",AP195&lt;&gt;"棚卸し中"),"判定保留が残っている",IF(AND(AL195="移管",AP195="棚卸し中"),"判定保留なし（棚卸し済みへ）",""))))))</f>
        <v/>
      </c>
      <c r="AS195" s="21">
        <f>IF($A195="","",COUNTIFS('紐付け'!$A$4:$A$200,$A195,'紐付け'!$C$4:$C$200,"&lt;&gt;"))</f>
        <v/>
      </c>
      <c r="AT195" s="21">
        <f>IF($A195="","",SUMPRODUCT(('紐付け'!$A$4:$A$200=$A195)*('紐付け'!$C$4:$C$200&lt;&gt;"")*(COUNTIFS('業務'!$C$4:$C$200,'紐付け'!$C$4:$C$200,'業務'!$F$4:$F$200,"間接業務",'業務'!$U$4:$U$200,$A195)=0)))</f>
        <v/>
      </c>
      <c r="AU195" s="21">
        <f>IF($A195="","",COUNTIFS('業務'!$U$4:$U$200,$A195,'業務'!$A$4:$A$200,"&lt;&gt;",'業務'!$J$4:$J$200,"&lt;&gt;済"))</f>
        <v/>
      </c>
      <c r="AV195" s="21">
        <f>IF($A195="","",COUNTIF('契約'!$C$4:$C$200,$A195))</f>
        <v/>
      </c>
      <c r="AW195" s="21">
        <f>IF($A195="","",COUNTIFS('業務'!$U$4:$U$200,$A195,'業務'!$A$4:$A$200,"&lt;&gt;",'業務'!$S$4:$S$200,"&lt;&gt;",'業務'!$F$4:$F$200,"間接業務"))</f>
        <v/>
      </c>
      <c r="AX195" s="21" t="n"/>
      <c r="AY195" s="18" t="n"/>
      <c r="AZ195" s="18" t="n"/>
      <c r="BA195" s="20" t="n"/>
    </row>
    <row r="196">
      <c r="A196" s="18" t="n"/>
      <c r="B196" s="18" t="n"/>
      <c r="C196" s="18" t="n"/>
      <c r="D196" s="18" t="n"/>
      <c r="E196" s="18" t="n"/>
      <c r="F196" s="18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20">
        <f>IF(COUNT(G196:R196)=0,"",SUM(G196:R196))</f>
        <v/>
      </c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20">
        <f>IF(COUNT(T196:AE196)=0,"",SUM(T196:AE196))</f>
        <v/>
      </c>
      <c r="AG196" s="18" t="n"/>
      <c r="AH196" s="18" t="n"/>
      <c r="AI196" s="18" t="n"/>
      <c r="AJ196" s="18" t="n"/>
      <c r="AK196" s="18" t="n"/>
      <c r="AL196" s="21">
        <f>IF($A196="","",IF(AJ196="いいえ","対象外",IF(AND(AH196="投資予算",AZ196="継続"),"対象外",IF(OR(AH196="",AJ196="",AJ196="未確認",AND(AH196="投資予算",OR(AZ196="",AZ196="未確認")),AM196="判定保留",AN196="判定保留"),"判定保留","移管"))))</f>
        <v/>
      </c>
      <c r="AM196" s="21">
        <f>IF($A196="","",IF(AJ196="いいえ","対象外",IF(AND(AH196="投資予算",AZ196="継続"),"対象外",IF(OR(AJ196="",AJ196="未確認"),"判定保留",IF(AV196=0,"—","移管")))))</f>
        <v/>
      </c>
      <c r="AN196" s="21">
        <f>IF($A196="","",IF(AJ196="いいえ","対象外",IF(AH196="投資予算","—",IF(OR(AH196="",AJ196="",AJ196="未確認",AS196=0,AT196&gt;0,AU196&gt;0),"判定保留","移管"))))</f>
        <v/>
      </c>
      <c r="AO196" s="21">
        <f>IF($A196="","",IF(AL196&lt;&gt;"移管","—",IF(AW196&gt;0,"あり","なし")))</f>
        <v/>
      </c>
      <c r="AP196" s="18" t="n"/>
      <c r="AQ196" s="33" t="n"/>
      <c r="AR196" s="21">
        <f>IF($A196="","",IF(AP196="","ステータス未設定",IF(AND(AL196="対象外",AP196&lt;&gt;"対象外"),"判定は対象外",IF(AND(AL196&lt;&gt;"対象外",AP196="対象外"),"判定は対象外ではない",IF(AND(AL196="判定保留",AP196&lt;&gt;"棚卸し中"),"判定保留が残っている",IF(AND(AL196="移管",AP196="棚卸し中"),"判定保留なし（棚卸し済みへ）",""))))))</f>
        <v/>
      </c>
      <c r="AS196" s="21">
        <f>IF($A196="","",COUNTIFS('紐付け'!$A$4:$A$200,$A196,'紐付け'!$C$4:$C$200,"&lt;&gt;"))</f>
        <v/>
      </c>
      <c r="AT196" s="21">
        <f>IF($A196="","",SUMPRODUCT(('紐付け'!$A$4:$A$200=$A196)*('紐付け'!$C$4:$C$200&lt;&gt;"")*(COUNTIFS('業務'!$C$4:$C$200,'紐付け'!$C$4:$C$200,'業務'!$F$4:$F$200,"間接業務",'業務'!$U$4:$U$200,$A196)=0)))</f>
        <v/>
      </c>
      <c r="AU196" s="21">
        <f>IF($A196="","",COUNTIFS('業務'!$U$4:$U$200,$A196,'業務'!$A$4:$A$200,"&lt;&gt;",'業務'!$J$4:$J$200,"&lt;&gt;済"))</f>
        <v/>
      </c>
      <c r="AV196" s="21">
        <f>IF($A196="","",COUNTIF('契約'!$C$4:$C$200,$A196))</f>
        <v/>
      </c>
      <c r="AW196" s="21">
        <f>IF($A196="","",COUNTIFS('業務'!$U$4:$U$200,$A196,'業務'!$A$4:$A$200,"&lt;&gt;",'業務'!$S$4:$S$200,"&lt;&gt;",'業務'!$F$4:$F$200,"間接業務"))</f>
        <v/>
      </c>
      <c r="AX196" s="21" t="n"/>
      <c r="AY196" s="18" t="n"/>
      <c r="AZ196" s="18" t="n"/>
      <c r="BA196" s="20" t="n"/>
    </row>
    <row r="197">
      <c r="A197" s="18" t="n"/>
      <c r="B197" s="18" t="n"/>
      <c r="C197" s="18" t="n"/>
      <c r="D197" s="18" t="n"/>
      <c r="E197" s="18" t="n"/>
      <c r="F197" s="18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20">
        <f>IF(COUNT(G197:R197)=0,"",SUM(G197:R197))</f>
        <v/>
      </c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20">
        <f>IF(COUNT(T197:AE197)=0,"",SUM(T197:AE197))</f>
        <v/>
      </c>
      <c r="AG197" s="18" t="n"/>
      <c r="AH197" s="18" t="n"/>
      <c r="AI197" s="18" t="n"/>
      <c r="AJ197" s="18" t="n"/>
      <c r="AK197" s="18" t="n"/>
      <c r="AL197" s="21">
        <f>IF($A197="","",IF(AJ197="いいえ","対象外",IF(AND(AH197="投資予算",AZ197="継続"),"対象外",IF(OR(AH197="",AJ197="",AJ197="未確認",AND(AH197="投資予算",OR(AZ197="",AZ197="未確認")),AM197="判定保留",AN197="判定保留"),"判定保留","移管"))))</f>
        <v/>
      </c>
      <c r="AM197" s="21">
        <f>IF($A197="","",IF(AJ197="いいえ","対象外",IF(AND(AH197="投資予算",AZ197="継続"),"対象外",IF(OR(AJ197="",AJ197="未確認"),"判定保留",IF(AV197=0,"—","移管")))))</f>
        <v/>
      </c>
      <c r="AN197" s="21">
        <f>IF($A197="","",IF(AJ197="いいえ","対象外",IF(AH197="投資予算","—",IF(OR(AH197="",AJ197="",AJ197="未確認",AS197=0,AT197&gt;0,AU197&gt;0),"判定保留","移管"))))</f>
        <v/>
      </c>
      <c r="AO197" s="21">
        <f>IF($A197="","",IF(AL197&lt;&gt;"移管","—",IF(AW197&gt;0,"あり","なし")))</f>
        <v/>
      </c>
      <c r="AP197" s="18" t="n"/>
      <c r="AQ197" s="33" t="n"/>
      <c r="AR197" s="21">
        <f>IF($A197="","",IF(AP197="","ステータス未設定",IF(AND(AL197="対象外",AP197&lt;&gt;"対象外"),"判定は対象外",IF(AND(AL197&lt;&gt;"対象外",AP197="対象外"),"判定は対象外ではない",IF(AND(AL197="判定保留",AP197&lt;&gt;"棚卸し中"),"判定保留が残っている",IF(AND(AL197="移管",AP197="棚卸し中"),"判定保留なし（棚卸し済みへ）",""))))))</f>
        <v/>
      </c>
      <c r="AS197" s="21">
        <f>IF($A197="","",COUNTIFS('紐付け'!$A$4:$A$200,$A197,'紐付け'!$C$4:$C$200,"&lt;&gt;"))</f>
        <v/>
      </c>
      <c r="AT197" s="21">
        <f>IF($A197="","",SUMPRODUCT(('紐付け'!$A$4:$A$200=$A197)*('紐付け'!$C$4:$C$200&lt;&gt;"")*(COUNTIFS('業務'!$C$4:$C$200,'紐付け'!$C$4:$C$200,'業務'!$F$4:$F$200,"間接業務",'業務'!$U$4:$U$200,$A197)=0)))</f>
        <v/>
      </c>
      <c r="AU197" s="21">
        <f>IF($A197="","",COUNTIFS('業務'!$U$4:$U$200,$A197,'業務'!$A$4:$A$200,"&lt;&gt;",'業務'!$J$4:$J$200,"&lt;&gt;済"))</f>
        <v/>
      </c>
      <c r="AV197" s="21">
        <f>IF($A197="","",COUNTIF('契約'!$C$4:$C$200,$A197))</f>
        <v/>
      </c>
      <c r="AW197" s="21">
        <f>IF($A197="","",COUNTIFS('業務'!$U$4:$U$200,$A197,'業務'!$A$4:$A$200,"&lt;&gt;",'業務'!$S$4:$S$200,"&lt;&gt;",'業務'!$F$4:$F$200,"間接業務"))</f>
        <v/>
      </c>
      <c r="AX197" s="21" t="n"/>
      <c r="AY197" s="18" t="n"/>
      <c r="AZ197" s="18" t="n"/>
      <c r="BA197" s="20" t="n"/>
    </row>
    <row r="198">
      <c r="A198" s="18" t="n"/>
      <c r="B198" s="18" t="n"/>
      <c r="C198" s="18" t="n"/>
      <c r="D198" s="18" t="n"/>
      <c r="E198" s="18" t="n"/>
      <c r="F198" s="18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20">
        <f>IF(COUNT(G198:R198)=0,"",SUM(G198:R198))</f>
        <v/>
      </c>
      <c r="T198" s="19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20">
        <f>IF(COUNT(T198:AE198)=0,"",SUM(T198:AE198))</f>
        <v/>
      </c>
      <c r="AG198" s="18" t="n"/>
      <c r="AH198" s="18" t="n"/>
      <c r="AI198" s="18" t="n"/>
      <c r="AJ198" s="18" t="n"/>
      <c r="AK198" s="18" t="n"/>
      <c r="AL198" s="21">
        <f>IF($A198="","",IF(AJ198="いいえ","対象外",IF(AND(AH198="投資予算",AZ198="継続"),"対象外",IF(OR(AH198="",AJ198="",AJ198="未確認",AND(AH198="投資予算",OR(AZ198="",AZ198="未確認")),AM198="判定保留",AN198="判定保留"),"判定保留","移管"))))</f>
        <v/>
      </c>
      <c r="AM198" s="21">
        <f>IF($A198="","",IF(AJ198="いいえ","対象外",IF(AND(AH198="投資予算",AZ198="継続"),"対象外",IF(OR(AJ198="",AJ198="未確認"),"判定保留",IF(AV198=0,"—","移管")))))</f>
        <v/>
      </c>
      <c r="AN198" s="21">
        <f>IF($A198="","",IF(AJ198="いいえ","対象外",IF(AH198="投資予算","—",IF(OR(AH198="",AJ198="",AJ198="未確認",AS198=0,AT198&gt;0,AU198&gt;0),"判定保留","移管"))))</f>
        <v/>
      </c>
      <c r="AO198" s="21">
        <f>IF($A198="","",IF(AL198&lt;&gt;"移管","—",IF(AW198&gt;0,"あり","なし")))</f>
        <v/>
      </c>
      <c r="AP198" s="18" t="n"/>
      <c r="AQ198" s="33" t="n"/>
      <c r="AR198" s="21">
        <f>IF($A198="","",IF(AP198="","ステータス未設定",IF(AND(AL198="対象外",AP198&lt;&gt;"対象外"),"判定は対象外",IF(AND(AL198&lt;&gt;"対象外",AP198="対象外"),"判定は対象外ではない",IF(AND(AL198="判定保留",AP198&lt;&gt;"棚卸し中"),"判定保留が残っている",IF(AND(AL198="移管",AP198="棚卸し中"),"判定保留なし（棚卸し済みへ）",""))))))</f>
        <v/>
      </c>
      <c r="AS198" s="21">
        <f>IF($A198="","",COUNTIFS('紐付け'!$A$4:$A$200,$A198,'紐付け'!$C$4:$C$200,"&lt;&gt;"))</f>
        <v/>
      </c>
      <c r="AT198" s="21">
        <f>IF($A198="","",SUMPRODUCT(('紐付け'!$A$4:$A$200=$A198)*('紐付け'!$C$4:$C$200&lt;&gt;"")*(COUNTIFS('業務'!$C$4:$C$200,'紐付け'!$C$4:$C$200,'業務'!$F$4:$F$200,"間接業務",'業務'!$U$4:$U$200,$A198)=0)))</f>
        <v/>
      </c>
      <c r="AU198" s="21">
        <f>IF($A198="","",COUNTIFS('業務'!$U$4:$U$200,$A198,'業務'!$A$4:$A$200,"&lt;&gt;",'業務'!$J$4:$J$200,"&lt;&gt;済"))</f>
        <v/>
      </c>
      <c r="AV198" s="21">
        <f>IF($A198="","",COUNTIF('契約'!$C$4:$C$200,$A198))</f>
        <v/>
      </c>
      <c r="AW198" s="21">
        <f>IF($A198="","",COUNTIFS('業務'!$U$4:$U$200,$A198,'業務'!$A$4:$A$200,"&lt;&gt;",'業務'!$S$4:$S$200,"&lt;&gt;",'業務'!$F$4:$F$200,"間接業務"))</f>
        <v/>
      </c>
      <c r="AX198" s="21" t="n"/>
      <c r="AY198" s="18" t="n"/>
      <c r="AZ198" s="18" t="n"/>
      <c r="BA198" s="20" t="n"/>
    </row>
    <row r="199">
      <c r="A199" s="18" t="n"/>
      <c r="B199" s="18" t="n"/>
      <c r="C199" s="18" t="n"/>
      <c r="D199" s="18" t="n"/>
      <c r="E199" s="18" t="n"/>
      <c r="F199" s="18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20">
        <f>IF(COUNT(G199:R199)=0,"",SUM(G199:R199))</f>
        <v/>
      </c>
      <c r="T199" s="19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20">
        <f>IF(COUNT(T199:AE199)=0,"",SUM(T199:AE199))</f>
        <v/>
      </c>
      <c r="AG199" s="18" t="n"/>
      <c r="AH199" s="18" t="n"/>
      <c r="AI199" s="18" t="n"/>
      <c r="AJ199" s="18" t="n"/>
      <c r="AK199" s="18" t="n"/>
      <c r="AL199" s="21">
        <f>IF($A199="","",IF(AJ199="いいえ","対象外",IF(AND(AH199="投資予算",AZ199="継続"),"対象外",IF(OR(AH199="",AJ199="",AJ199="未確認",AND(AH199="投資予算",OR(AZ199="",AZ199="未確認")),AM199="判定保留",AN199="判定保留"),"判定保留","移管"))))</f>
        <v/>
      </c>
      <c r="AM199" s="21">
        <f>IF($A199="","",IF(AJ199="いいえ","対象外",IF(AND(AH199="投資予算",AZ199="継続"),"対象外",IF(OR(AJ199="",AJ199="未確認"),"判定保留",IF(AV199=0,"—","移管")))))</f>
        <v/>
      </c>
      <c r="AN199" s="21">
        <f>IF($A199="","",IF(AJ199="いいえ","対象外",IF(AH199="投資予算","—",IF(OR(AH199="",AJ199="",AJ199="未確認",AS199=0,AT199&gt;0,AU199&gt;0),"判定保留","移管"))))</f>
        <v/>
      </c>
      <c r="AO199" s="21">
        <f>IF($A199="","",IF(AL199&lt;&gt;"移管","—",IF(AW199&gt;0,"あり","なし")))</f>
        <v/>
      </c>
      <c r="AP199" s="18" t="n"/>
      <c r="AQ199" s="33" t="n"/>
      <c r="AR199" s="21">
        <f>IF($A199="","",IF(AP199="","ステータス未設定",IF(AND(AL199="対象外",AP199&lt;&gt;"対象外"),"判定は対象外",IF(AND(AL199&lt;&gt;"対象外",AP199="対象外"),"判定は対象外ではない",IF(AND(AL199="判定保留",AP199&lt;&gt;"棚卸し中"),"判定保留が残っている",IF(AND(AL199="移管",AP199="棚卸し中"),"判定保留なし（棚卸し済みへ）",""))))))</f>
        <v/>
      </c>
      <c r="AS199" s="21">
        <f>IF($A199="","",COUNTIFS('紐付け'!$A$4:$A$200,$A199,'紐付け'!$C$4:$C$200,"&lt;&gt;"))</f>
        <v/>
      </c>
      <c r="AT199" s="21">
        <f>IF($A199="","",SUMPRODUCT(('紐付け'!$A$4:$A$200=$A199)*('紐付け'!$C$4:$C$200&lt;&gt;"")*(COUNTIFS('業務'!$C$4:$C$200,'紐付け'!$C$4:$C$200,'業務'!$F$4:$F$200,"間接業務",'業務'!$U$4:$U$200,$A199)=0)))</f>
        <v/>
      </c>
      <c r="AU199" s="21">
        <f>IF($A199="","",COUNTIFS('業務'!$U$4:$U$200,$A199,'業務'!$A$4:$A$200,"&lt;&gt;",'業務'!$J$4:$J$200,"&lt;&gt;済"))</f>
        <v/>
      </c>
      <c r="AV199" s="21">
        <f>IF($A199="","",COUNTIF('契約'!$C$4:$C$200,$A199))</f>
        <v/>
      </c>
      <c r="AW199" s="21">
        <f>IF($A199="","",COUNTIFS('業務'!$U$4:$U$200,$A199,'業務'!$A$4:$A$200,"&lt;&gt;",'業務'!$S$4:$S$200,"&lt;&gt;",'業務'!$F$4:$F$200,"間接業務"))</f>
        <v/>
      </c>
      <c r="AX199" s="21" t="n"/>
      <c r="AY199" s="18" t="n"/>
      <c r="AZ199" s="18" t="n"/>
      <c r="BA199" s="20" t="n"/>
    </row>
    <row r="200">
      <c r="A200" s="18" t="n"/>
      <c r="B200" s="18" t="n"/>
      <c r="C200" s="18" t="n"/>
      <c r="D200" s="18" t="n"/>
      <c r="E200" s="18" t="n"/>
      <c r="F200" s="18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20">
        <f>IF(COUNT(G200:R200)=0,"",SUM(G200:R200))</f>
        <v/>
      </c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20">
        <f>IF(COUNT(T200:AE200)=0,"",SUM(T200:AE200))</f>
        <v/>
      </c>
      <c r="AG200" s="18" t="n"/>
      <c r="AH200" s="18" t="n"/>
      <c r="AI200" s="18" t="n"/>
      <c r="AJ200" s="18" t="n"/>
      <c r="AK200" s="18" t="n"/>
      <c r="AL200" s="21">
        <f>IF($A200="","",IF(AJ200="いいえ","対象外",IF(AND(AH200="投資予算",AZ200="継続"),"対象外",IF(OR(AH200="",AJ200="",AJ200="未確認",AND(AH200="投資予算",OR(AZ200="",AZ200="未確認")),AM200="判定保留",AN200="判定保留"),"判定保留","移管"))))</f>
        <v/>
      </c>
      <c r="AM200" s="21">
        <f>IF($A200="","",IF(AJ200="いいえ","対象外",IF(AND(AH200="投資予算",AZ200="継続"),"対象外",IF(OR(AJ200="",AJ200="未確認"),"判定保留",IF(AV200=0,"—","移管")))))</f>
        <v/>
      </c>
      <c r="AN200" s="21">
        <f>IF($A200="","",IF(AJ200="いいえ","対象外",IF(AH200="投資予算","—",IF(OR(AH200="",AJ200="",AJ200="未確認",AS200=0,AT200&gt;0,AU200&gt;0),"判定保留","移管"))))</f>
        <v/>
      </c>
      <c r="AO200" s="21">
        <f>IF($A200="","",IF(AL200&lt;&gt;"移管","—",IF(AW200&gt;0,"あり","なし")))</f>
        <v/>
      </c>
      <c r="AP200" s="18" t="n"/>
      <c r="AQ200" s="33" t="n"/>
      <c r="AR200" s="21">
        <f>IF($A200="","",IF(AP200="","ステータス未設定",IF(AND(AL200="対象外",AP200&lt;&gt;"対象外"),"判定は対象外",IF(AND(AL200&lt;&gt;"対象外",AP200="対象外"),"判定は対象外ではない",IF(AND(AL200="判定保留",AP200&lt;&gt;"棚卸し中"),"判定保留が残っている",IF(AND(AL200="移管",AP200="棚卸し中"),"判定保留なし（棚卸し済みへ）",""))))))</f>
        <v/>
      </c>
      <c r="AS200" s="21">
        <f>IF($A200="","",COUNTIFS('紐付け'!$A$4:$A$200,$A200,'紐付け'!$C$4:$C$200,"&lt;&gt;"))</f>
        <v/>
      </c>
      <c r="AT200" s="21">
        <f>IF($A200="","",SUMPRODUCT(('紐付け'!$A$4:$A$200=$A200)*('紐付け'!$C$4:$C$200&lt;&gt;"")*(COUNTIFS('業務'!$C$4:$C$200,'紐付け'!$C$4:$C$200,'業務'!$F$4:$F$200,"間接業務",'業務'!$U$4:$U$200,$A200)=0)))</f>
        <v/>
      </c>
      <c r="AU200" s="21">
        <f>IF($A200="","",COUNTIFS('業務'!$U$4:$U$200,$A200,'業務'!$A$4:$A$200,"&lt;&gt;",'業務'!$J$4:$J$200,"&lt;&gt;済"))</f>
        <v/>
      </c>
      <c r="AV200" s="21">
        <f>IF($A200="","",COUNTIF('契約'!$C$4:$C$200,$A200))</f>
        <v/>
      </c>
      <c r="AW200" s="21">
        <f>IF($A200="","",COUNTIFS('業務'!$U$4:$U$200,$A200,'業務'!$A$4:$A$200,"&lt;&gt;",'業務'!$S$4:$S$200,"&lt;&gt;",'業務'!$F$4:$F$200,"間接業務"))</f>
        <v/>
      </c>
      <c r="AX200" s="21" t="n"/>
      <c r="AY200" s="18" t="n"/>
      <c r="AZ200" s="18" t="n"/>
      <c r="BA200" s="20" t="n"/>
    </row>
  </sheetData>
  <mergeCells count="7">
    <mergeCell ref="AY3:BA3"/>
    <mergeCell ref="AG3:AJ3"/>
    <mergeCell ref="T3:AF3"/>
    <mergeCell ref="G3:S3"/>
    <mergeCell ref="AL3:AO3"/>
    <mergeCell ref="A3:F3"/>
    <mergeCell ref="AP3:AR3"/>
  </mergeCells>
  <dataValidations count="6">
    <dataValidation sqref="AG5:AG200" showDropDown="0" showInputMessage="0" showErrorMessage="0" allowBlank="1" type="list">
      <formula1>'窓口'!$A$4:$A$200</formula1>
    </dataValidation>
    <dataValidation sqref="AH5:AH200" showDropDown="0" showInputMessage="0" showErrorMessage="0" allowBlank="1" type="list">
      <formula1>'選択肢'!$A$5:$A$14</formula1>
    </dataValidation>
    <dataValidation sqref="AI5:AI200" showDropDown="0" showInputMessage="0" showErrorMessage="0" allowBlank="1" type="list">
      <formula1>'選択肢'!$C$5:$C$14</formula1>
    </dataValidation>
    <dataValidation sqref="AJ5:AJ200" showDropDown="0" showInputMessage="0" showErrorMessage="0" allowBlank="1" type="list">
      <formula1>'選択肢'!$E$5:$E$14</formula1>
    </dataValidation>
    <dataValidation sqref="AP5:AP200" showDropDown="0" showInputMessage="0" showErrorMessage="0" allowBlank="1" type="list">
      <formula1>'選択肢'!$S$5:$S$14</formula1>
    </dataValidation>
    <dataValidation sqref="AZ5:AZ200" showDropDown="0" showInputMessage="0" showErrorMessage="0" allowBlank="1" type="list">
      <formula1>'選択肢'!$Y$5:$Y$14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モニタリング（自動）</t>
        </is>
      </c>
    </row>
    <row r="2">
      <c r="A2" s="2" t="inlineStr">
        <is>
          <t>予算一覧の移管ステータスと移管判定、進捗シートの役割別のタスクを集計する。数式なので編集しない。記入例の行を削除してから使う。</t>
        </is>
      </c>
    </row>
    <row r="3">
      <c r="A3" s="23" t="inlineStr">
        <is>
          <t>1. 移管ステータス別</t>
        </is>
      </c>
    </row>
    <row r="4">
      <c r="A4" s="12" t="inlineStr">
        <is>
          <t>移管ステータス</t>
        </is>
      </c>
      <c r="B4" s="12" t="inlineStr">
        <is>
          <t>案件数</t>
        </is>
      </c>
      <c r="C4" s="12" t="inlineStr">
        <is>
          <t>来年度予算（年額）</t>
        </is>
      </c>
    </row>
    <row r="5">
      <c r="A5" s="18" t="inlineStr">
        <is>
          <t>棚卸し中</t>
        </is>
      </c>
      <c r="B5" s="18">
        <f>COUNTIFS('予算一覧'!$AP$5:$AP$200,A5,'予算一覧'!$A$5:$A$200,"&lt;&gt;")</f>
        <v/>
      </c>
      <c r="C5" s="19">
        <f>SUMIFS('予算一覧'!$AF$5:$AF$200,'予算一覧'!$AP$5:$AP$200,A5,'予算一覧'!$A$5:$A$200,"&lt;&gt;")</f>
        <v/>
      </c>
    </row>
    <row r="6">
      <c r="A6" s="18" t="inlineStr">
        <is>
          <t>棚卸し済み</t>
        </is>
      </c>
      <c r="B6" s="18">
        <f>COUNTIFS('予算一覧'!$AP$5:$AP$200,A6,'予算一覧'!$A$5:$A$200,"&lt;&gt;")</f>
        <v/>
      </c>
      <c r="C6" s="19">
        <f>SUMIFS('予算一覧'!$AF$5:$AF$200,'予算一覧'!$AP$5:$AP$200,A6,'予算一覧'!$A$5:$A$200,"&lt;&gt;")</f>
        <v/>
      </c>
    </row>
    <row r="7">
      <c r="A7" s="18" t="inlineStr">
        <is>
          <t>合意済み</t>
        </is>
      </c>
      <c r="B7" s="18">
        <f>COUNTIFS('予算一覧'!$AP$5:$AP$200,A7,'予算一覧'!$A$5:$A$200,"&lt;&gt;")</f>
        <v/>
      </c>
      <c r="C7" s="19">
        <f>SUMIFS('予算一覧'!$AF$5:$AF$200,'予算一覧'!$AP$5:$AP$200,A7,'予算一覧'!$A$5:$A$200,"&lt;&gt;")</f>
        <v/>
      </c>
    </row>
    <row r="8">
      <c r="A8" s="18" t="inlineStr">
        <is>
          <t>準備完了</t>
        </is>
      </c>
      <c r="B8" s="18">
        <f>COUNTIFS('予算一覧'!$AP$5:$AP$200,A8,'予算一覧'!$A$5:$A$200,"&lt;&gt;")</f>
        <v/>
      </c>
      <c r="C8" s="19">
        <f>SUMIFS('予算一覧'!$AF$5:$AF$200,'予算一覧'!$AP$5:$AP$200,A8,'予算一覧'!$A$5:$A$200,"&lt;&gt;")</f>
        <v/>
      </c>
    </row>
    <row r="9">
      <c r="A9" s="18" t="inlineStr">
        <is>
          <t>対象外</t>
        </is>
      </c>
      <c r="B9" s="18">
        <f>COUNTIFS('予算一覧'!$AP$5:$AP$200,A9,'予算一覧'!$A$5:$A$200,"&lt;&gt;")</f>
        <v/>
      </c>
      <c r="C9" s="19">
        <f>SUMIFS('予算一覧'!$AF$5:$AF$200,'予算一覧'!$AP$5:$AP$200,A9,'予算一覧'!$A$5:$A$200,"&lt;&gt;")</f>
        <v/>
      </c>
    </row>
    <row r="10">
      <c r="A10" s="18" t="inlineStr">
        <is>
          <t>未設定</t>
        </is>
      </c>
      <c r="B10" s="18">
        <f>COUNTIFS('予算一覧'!$A$5:$A$200,"&lt;&gt;",'予算一覧'!$AP$5:$AP$200,"")</f>
        <v/>
      </c>
      <c r="C10" s="19">
        <f>SUMIFS('予算一覧'!$AF$5:$AF$200,'予算一覧'!$A$5:$A$200,"&lt;&gt;",'予算一覧'!$AP$5:$AP$200,"")</f>
        <v/>
      </c>
    </row>
    <row r="11">
      <c r="A11" s="24" t="inlineStr">
        <is>
          <t>合計</t>
        </is>
      </c>
      <c r="B11" s="18">
        <f>SUM(B5:B10)</f>
        <v/>
      </c>
      <c r="C11" s="19">
        <f>SUM(C5:C10)</f>
        <v/>
      </c>
    </row>
    <row r="12"/>
    <row r="15">
      <c r="A15" s="23" t="inlineStr">
        <is>
          <t>2. 移管判定別</t>
        </is>
      </c>
    </row>
    <row r="16">
      <c r="A16" s="12" t="inlineStr">
        <is>
          <t>移管判定</t>
        </is>
      </c>
      <c r="B16" s="12" t="inlineStr">
        <is>
          <t>案件数</t>
        </is>
      </c>
      <c r="C16" s="12" t="inlineStr">
        <is>
          <t>来年度予算（年額）</t>
        </is>
      </c>
    </row>
    <row r="17">
      <c r="A17" s="18" t="inlineStr">
        <is>
          <t>移管</t>
        </is>
      </c>
      <c r="B17" s="18">
        <f>COUNTIF('予算一覧'!$AL$5:$AL$200,"移管")</f>
        <v/>
      </c>
      <c r="C17" s="19">
        <f>SUMIFS('予算一覧'!$AF$5:$AF$200,'予算一覧'!$AL$5:$AL$200,"移管")</f>
        <v/>
      </c>
    </row>
    <row r="18">
      <c r="A18" s="18" t="inlineStr">
        <is>
          <t xml:space="preserve">　うち経過措置あり</t>
        </is>
      </c>
      <c r="B18" s="18">
        <f>COUNTIFS('予算一覧'!$AL$5:$AL$200,"移管",'予算一覧'!$AO$5:$AO$200,"あり")</f>
        <v/>
      </c>
      <c r="C18" s="19">
        <f>SUMIFS('予算一覧'!$AF$5:$AF$200,'予算一覧'!$AL$5:$AL$200,"移管",'予算一覧'!$AO$5:$AO$200,"あり")</f>
        <v/>
      </c>
    </row>
    <row r="19">
      <c r="A19" s="18" t="inlineStr">
        <is>
          <t>対象外</t>
        </is>
      </c>
      <c r="B19" s="18">
        <f>COUNTIF('予算一覧'!$AL$5:$AL$200,"対象外")</f>
        <v/>
      </c>
      <c r="C19" s="19">
        <f>SUMIFS('予算一覧'!$AF$5:$AF$200,'予算一覧'!$AL$5:$AL$200,"対象外")</f>
        <v/>
      </c>
    </row>
    <row r="20">
      <c r="A20" s="18" t="inlineStr">
        <is>
          <t>判定保留</t>
        </is>
      </c>
      <c r="B20" s="18">
        <f>COUNTIF('予算一覧'!$AL$5:$AL$200,"判定保留")</f>
        <v/>
      </c>
      <c r="C20" s="19">
        <f>SUMIFS('予算一覧'!$AF$5:$AF$200,'予算一覧'!$AL$5:$AL$200,"判定保留")</f>
        <v/>
      </c>
    </row>
    <row r="21"/>
    <row r="22">
      <c r="A22" s="23" t="inlineStr">
        <is>
          <t>3. 部門別の移管ステータス（案件数）</t>
        </is>
      </c>
    </row>
    <row r="23" ht="30" customHeight="1">
      <c r="A23" s="12" t="inlineStr">
        <is>
          <t>部門</t>
        </is>
      </c>
      <c r="B23" s="12" t="inlineStr">
        <is>
          <t>棚卸し中</t>
        </is>
      </c>
      <c r="C23" s="12" t="inlineStr">
        <is>
          <t>棚卸し済み</t>
        </is>
      </c>
      <c r="D23" s="12" t="inlineStr">
        <is>
          <t>合意済み</t>
        </is>
      </c>
      <c r="E23" s="12" t="inlineStr">
        <is>
          <t>準備完了</t>
        </is>
      </c>
      <c r="F23" s="12" t="inlineStr">
        <is>
          <t>対象外</t>
        </is>
      </c>
      <c r="G23" s="12" t="inlineStr">
        <is>
          <t>未設定</t>
        </is>
      </c>
      <c r="H23" s="12" t="inlineStr">
        <is>
          <t>判定保留</t>
        </is>
      </c>
    </row>
    <row r="24">
      <c r="A24" s="18">
        <f>IF('窓口'!A4="","",'窓口'!A4)</f>
        <v/>
      </c>
      <c r="B24" s="18">
        <f>IF($A24="","",COUNTIFS('予算一覧'!$AG$5:$AG$200,$A24,'予算一覧'!$AP$5:$AP$200,"棚卸し中"))</f>
        <v/>
      </c>
      <c r="C24" s="18">
        <f>IF($A24="","",COUNTIFS('予算一覧'!$AG$5:$AG$200,$A24,'予算一覧'!$AP$5:$AP$200,"棚卸し済み"))</f>
        <v/>
      </c>
      <c r="D24" s="18">
        <f>IF($A24="","",COUNTIFS('予算一覧'!$AG$5:$AG$200,$A24,'予算一覧'!$AP$5:$AP$200,"合意済み"))</f>
        <v/>
      </c>
      <c r="E24" s="18">
        <f>IF($A24="","",COUNTIFS('予算一覧'!$AG$5:$AG$200,$A24,'予算一覧'!$AP$5:$AP$200,"準備完了"))</f>
        <v/>
      </c>
      <c r="F24" s="18">
        <f>IF($A24="","",COUNTIFS('予算一覧'!$AG$5:$AG$200,$A24,'予算一覧'!$AP$5:$AP$200,"対象外"))</f>
        <v/>
      </c>
      <c r="G24" s="18">
        <f>IF($A24="","",COUNTIFS('予算一覧'!$AG$5:$AG$200,$A24,'予算一覧'!$AP$5:$AP$200,""))</f>
        <v/>
      </c>
      <c r="H24" s="18">
        <f>IF($A24="","",COUNTIFS('予算一覧'!$AG$5:$AG$200,$A24,'予算一覧'!$AL$5:$AL$200,"判定保留"))</f>
        <v/>
      </c>
    </row>
    <row r="25">
      <c r="A25" s="18">
        <f>IF('窓口'!A5="","",'窓口'!A5)</f>
        <v/>
      </c>
      <c r="B25" s="18">
        <f>IF($A25="","",COUNTIFS('予算一覧'!$AG$5:$AG$200,$A25,'予算一覧'!$AP$5:$AP$200,"棚卸し中"))</f>
        <v/>
      </c>
      <c r="C25" s="18">
        <f>IF($A25="","",COUNTIFS('予算一覧'!$AG$5:$AG$200,$A25,'予算一覧'!$AP$5:$AP$200,"棚卸し済み"))</f>
        <v/>
      </c>
      <c r="D25" s="18">
        <f>IF($A25="","",COUNTIFS('予算一覧'!$AG$5:$AG$200,$A25,'予算一覧'!$AP$5:$AP$200,"合意済み"))</f>
        <v/>
      </c>
      <c r="E25" s="18">
        <f>IF($A25="","",COUNTIFS('予算一覧'!$AG$5:$AG$200,$A25,'予算一覧'!$AP$5:$AP$200,"準備完了"))</f>
        <v/>
      </c>
      <c r="F25" s="18">
        <f>IF($A25="","",COUNTIFS('予算一覧'!$AG$5:$AG$200,$A25,'予算一覧'!$AP$5:$AP$200,"対象外"))</f>
        <v/>
      </c>
      <c r="G25" s="18">
        <f>IF($A25="","",COUNTIFS('予算一覧'!$AG$5:$AG$200,$A25,'予算一覧'!$AP$5:$AP$200,""))</f>
        <v/>
      </c>
      <c r="H25" s="18">
        <f>IF($A25="","",COUNTIFS('予算一覧'!$AG$5:$AG$200,$A25,'予算一覧'!$AL$5:$AL$200,"判定保留"))</f>
        <v/>
      </c>
    </row>
    <row r="26">
      <c r="A26" s="18">
        <f>IF('窓口'!A6="","",'窓口'!A6)</f>
        <v/>
      </c>
      <c r="B26" s="18">
        <f>IF($A26="","",COUNTIFS('予算一覧'!$AG$5:$AG$200,$A26,'予算一覧'!$AP$5:$AP$200,"棚卸し中"))</f>
        <v/>
      </c>
      <c r="C26" s="18">
        <f>IF($A26="","",COUNTIFS('予算一覧'!$AG$5:$AG$200,$A26,'予算一覧'!$AP$5:$AP$200,"棚卸し済み"))</f>
        <v/>
      </c>
      <c r="D26" s="18">
        <f>IF($A26="","",COUNTIFS('予算一覧'!$AG$5:$AG$200,$A26,'予算一覧'!$AP$5:$AP$200,"合意済み"))</f>
        <v/>
      </c>
      <c r="E26" s="18">
        <f>IF($A26="","",COUNTIFS('予算一覧'!$AG$5:$AG$200,$A26,'予算一覧'!$AP$5:$AP$200,"準備完了"))</f>
        <v/>
      </c>
      <c r="F26" s="18">
        <f>IF($A26="","",COUNTIFS('予算一覧'!$AG$5:$AG$200,$A26,'予算一覧'!$AP$5:$AP$200,"対象外"))</f>
        <v/>
      </c>
      <c r="G26" s="18">
        <f>IF($A26="","",COUNTIFS('予算一覧'!$AG$5:$AG$200,$A26,'予算一覧'!$AP$5:$AP$200,""))</f>
        <v/>
      </c>
      <c r="H26" s="18">
        <f>IF($A26="","",COUNTIFS('予算一覧'!$AG$5:$AG$200,$A26,'予算一覧'!$AL$5:$AL$200,"判定保留"))</f>
        <v/>
      </c>
    </row>
    <row r="27">
      <c r="A27" s="18">
        <f>IF('窓口'!A7="","",'窓口'!A7)</f>
        <v/>
      </c>
      <c r="B27" s="18">
        <f>IF($A27="","",COUNTIFS('予算一覧'!$AG$5:$AG$200,$A27,'予算一覧'!$AP$5:$AP$200,"棚卸し中"))</f>
        <v/>
      </c>
      <c r="C27" s="18">
        <f>IF($A27="","",COUNTIFS('予算一覧'!$AG$5:$AG$200,$A27,'予算一覧'!$AP$5:$AP$200,"棚卸し済み"))</f>
        <v/>
      </c>
      <c r="D27" s="18">
        <f>IF($A27="","",COUNTIFS('予算一覧'!$AG$5:$AG$200,$A27,'予算一覧'!$AP$5:$AP$200,"合意済み"))</f>
        <v/>
      </c>
      <c r="E27" s="18">
        <f>IF($A27="","",COUNTIFS('予算一覧'!$AG$5:$AG$200,$A27,'予算一覧'!$AP$5:$AP$200,"準備完了"))</f>
        <v/>
      </c>
      <c r="F27" s="18">
        <f>IF($A27="","",COUNTIFS('予算一覧'!$AG$5:$AG$200,$A27,'予算一覧'!$AP$5:$AP$200,"対象外"))</f>
        <v/>
      </c>
      <c r="G27" s="18">
        <f>IF($A27="","",COUNTIFS('予算一覧'!$AG$5:$AG$200,$A27,'予算一覧'!$AP$5:$AP$200,""))</f>
        <v/>
      </c>
      <c r="H27" s="18">
        <f>IF($A27="","",COUNTIFS('予算一覧'!$AG$5:$AG$200,$A27,'予算一覧'!$AL$5:$AL$200,"判定保留"))</f>
        <v/>
      </c>
    </row>
    <row r="28">
      <c r="A28" s="18">
        <f>IF('窓口'!A8="","",'窓口'!A8)</f>
        <v/>
      </c>
      <c r="B28" s="18">
        <f>IF($A28="","",COUNTIFS('予算一覧'!$AG$5:$AG$200,$A28,'予算一覧'!$AP$5:$AP$200,"棚卸し中"))</f>
        <v/>
      </c>
      <c r="C28" s="18">
        <f>IF($A28="","",COUNTIFS('予算一覧'!$AG$5:$AG$200,$A28,'予算一覧'!$AP$5:$AP$200,"棚卸し済み"))</f>
        <v/>
      </c>
      <c r="D28" s="18">
        <f>IF($A28="","",COUNTIFS('予算一覧'!$AG$5:$AG$200,$A28,'予算一覧'!$AP$5:$AP$200,"合意済み"))</f>
        <v/>
      </c>
      <c r="E28" s="18">
        <f>IF($A28="","",COUNTIFS('予算一覧'!$AG$5:$AG$200,$A28,'予算一覧'!$AP$5:$AP$200,"準備完了"))</f>
        <v/>
      </c>
      <c r="F28" s="18">
        <f>IF($A28="","",COUNTIFS('予算一覧'!$AG$5:$AG$200,$A28,'予算一覧'!$AP$5:$AP$200,"対象外"))</f>
        <v/>
      </c>
      <c r="G28" s="18">
        <f>IF($A28="","",COUNTIFS('予算一覧'!$AG$5:$AG$200,$A28,'予算一覧'!$AP$5:$AP$200,""))</f>
        <v/>
      </c>
      <c r="H28" s="18">
        <f>IF($A28="","",COUNTIFS('予算一覧'!$AG$5:$AG$200,$A28,'予算一覧'!$AL$5:$AL$200,"判定保留"))</f>
        <v/>
      </c>
    </row>
    <row r="29">
      <c r="A29" s="18">
        <f>IF('窓口'!A9="","",'窓口'!A9)</f>
        <v/>
      </c>
      <c r="B29" s="18">
        <f>IF($A29="","",COUNTIFS('予算一覧'!$AG$5:$AG$200,$A29,'予算一覧'!$AP$5:$AP$200,"棚卸し中"))</f>
        <v/>
      </c>
      <c r="C29" s="18">
        <f>IF($A29="","",COUNTIFS('予算一覧'!$AG$5:$AG$200,$A29,'予算一覧'!$AP$5:$AP$200,"棚卸し済み"))</f>
        <v/>
      </c>
      <c r="D29" s="18">
        <f>IF($A29="","",COUNTIFS('予算一覧'!$AG$5:$AG$200,$A29,'予算一覧'!$AP$5:$AP$200,"合意済み"))</f>
        <v/>
      </c>
      <c r="E29" s="18">
        <f>IF($A29="","",COUNTIFS('予算一覧'!$AG$5:$AG$200,$A29,'予算一覧'!$AP$5:$AP$200,"準備完了"))</f>
        <v/>
      </c>
      <c r="F29" s="18">
        <f>IF($A29="","",COUNTIFS('予算一覧'!$AG$5:$AG$200,$A29,'予算一覧'!$AP$5:$AP$200,"対象外"))</f>
        <v/>
      </c>
      <c r="G29" s="18">
        <f>IF($A29="","",COUNTIFS('予算一覧'!$AG$5:$AG$200,$A29,'予算一覧'!$AP$5:$AP$200,""))</f>
        <v/>
      </c>
      <c r="H29" s="18">
        <f>IF($A29="","",COUNTIFS('予算一覧'!$AG$5:$AG$200,$A29,'予算一覧'!$AL$5:$AL$200,"判定保留"))</f>
        <v/>
      </c>
    </row>
    <row r="30">
      <c r="A30" s="18">
        <f>IF('窓口'!A10="","",'窓口'!A10)</f>
        <v/>
      </c>
      <c r="B30" s="18">
        <f>IF($A30="","",COUNTIFS('予算一覧'!$AG$5:$AG$200,$A30,'予算一覧'!$AP$5:$AP$200,"棚卸し中"))</f>
        <v/>
      </c>
      <c r="C30" s="18">
        <f>IF($A30="","",COUNTIFS('予算一覧'!$AG$5:$AG$200,$A30,'予算一覧'!$AP$5:$AP$200,"棚卸し済み"))</f>
        <v/>
      </c>
      <c r="D30" s="18">
        <f>IF($A30="","",COUNTIFS('予算一覧'!$AG$5:$AG$200,$A30,'予算一覧'!$AP$5:$AP$200,"合意済み"))</f>
        <v/>
      </c>
      <c r="E30" s="18">
        <f>IF($A30="","",COUNTIFS('予算一覧'!$AG$5:$AG$200,$A30,'予算一覧'!$AP$5:$AP$200,"準備完了"))</f>
        <v/>
      </c>
      <c r="F30" s="18">
        <f>IF($A30="","",COUNTIFS('予算一覧'!$AG$5:$AG$200,$A30,'予算一覧'!$AP$5:$AP$200,"対象外"))</f>
        <v/>
      </c>
      <c r="G30" s="18">
        <f>IF($A30="","",COUNTIFS('予算一覧'!$AG$5:$AG$200,$A30,'予算一覧'!$AP$5:$AP$200,""))</f>
        <v/>
      </c>
      <c r="H30" s="18">
        <f>IF($A30="","",COUNTIFS('予算一覧'!$AG$5:$AG$200,$A30,'予算一覧'!$AL$5:$AL$200,"判定保留"))</f>
        <v/>
      </c>
    </row>
    <row r="31">
      <c r="A31" s="18">
        <f>IF('窓口'!A11="","",'窓口'!A11)</f>
        <v/>
      </c>
      <c r="B31" s="18">
        <f>IF($A31="","",COUNTIFS('予算一覧'!$AG$5:$AG$200,$A31,'予算一覧'!$AP$5:$AP$200,"棚卸し中"))</f>
        <v/>
      </c>
      <c r="C31" s="18">
        <f>IF($A31="","",COUNTIFS('予算一覧'!$AG$5:$AG$200,$A31,'予算一覧'!$AP$5:$AP$200,"棚卸し済み"))</f>
        <v/>
      </c>
      <c r="D31" s="18">
        <f>IF($A31="","",COUNTIFS('予算一覧'!$AG$5:$AG$200,$A31,'予算一覧'!$AP$5:$AP$200,"合意済み"))</f>
        <v/>
      </c>
      <c r="E31" s="18">
        <f>IF($A31="","",COUNTIFS('予算一覧'!$AG$5:$AG$200,$A31,'予算一覧'!$AP$5:$AP$200,"準備完了"))</f>
        <v/>
      </c>
      <c r="F31" s="18">
        <f>IF($A31="","",COUNTIFS('予算一覧'!$AG$5:$AG$200,$A31,'予算一覧'!$AP$5:$AP$200,"対象外"))</f>
        <v/>
      </c>
      <c r="G31" s="18">
        <f>IF($A31="","",COUNTIFS('予算一覧'!$AG$5:$AG$200,$A31,'予算一覧'!$AP$5:$AP$200,""))</f>
        <v/>
      </c>
      <c r="H31" s="18">
        <f>IF($A31="","",COUNTIFS('予算一覧'!$AG$5:$AG$200,$A31,'予算一覧'!$AL$5:$AL$200,"判定保留"))</f>
        <v/>
      </c>
    </row>
    <row r="32">
      <c r="A32" s="18">
        <f>IF('窓口'!A12="","",'窓口'!A12)</f>
        <v/>
      </c>
      <c r="B32" s="18">
        <f>IF($A32="","",COUNTIFS('予算一覧'!$AG$5:$AG$200,$A32,'予算一覧'!$AP$5:$AP$200,"棚卸し中"))</f>
        <v/>
      </c>
      <c r="C32" s="18">
        <f>IF($A32="","",COUNTIFS('予算一覧'!$AG$5:$AG$200,$A32,'予算一覧'!$AP$5:$AP$200,"棚卸し済み"))</f>
        <v/>
      </c>
      <c r="D32" s="18">
        <f>IF($A32="","",COUNTIFS('予算一覧'!$AG$5:$AG$200,$A32,'予算一覧'!$AP$5:$AP$200,"合意済み"))</f>
        <v/>
      </c>
      <c r="E32" s="18">
        <f>IF($A32="","",COUNTIFS('予算一覧'!$AG$5:$AG$200,$A32,'予算一覧'!$AP$5:$AP$200,"準備完了"))</f>
        <v/>
      </c>
      <c r="F32" s="18">
        <f>IF($A32="","",COUNTIFS('予算一覧'!$AG$5:$AG$200,$A32,'予算一覧'!$AP$5:$AP$200,"対象外"))</f>
        <v/>
      </c>
      <c r="G32" s="18">
        <f>IF($A32="","",COUNTIFS('予算一覧'!$AG$5:$AG$200,$A32,'予算一覧'!$AP$5:$AP$200,""))</f>
        <v/>
      </c>
      <c r="H32" s="18">
        <f>IF($A32="","",COUNTIFS('予算一覧'!$AG$5:$AG$200,$A32,'予算一覧'!$AL$5:$AL$200,"判定保留"))</f>
        <v/>
      </c>
    </row>
    <row r="33">
      <c r="A33" s="18">
        <f>IF('窓口'!A13="","",'窓口'!A13)</f>
        <v/>
      </c>
      <c r="B33" s="18">
        <f>IF($A33="","",COUNTIFS('予算一覧'!$AG$5:$AG$200,$A33,'予算一覧'!$AP$5:$AP$200,"棚卸し中"))</f>
        <v/>
      </c>
      <c r="C33" s="18">
        <f>IF($A33="","",COUNTIFS('予算一覧'!$AG$5:$AG$200,$A33,'予算一覧'!$AP$5:$AP$200,"棚卸し済み"))</f>
        <v/>
      </c>
      <c r="D33" s="18">
        <f>IF($A33="","",COUNTIFS('予算一覧'!$AG$5:$AG$200,$A33,'予算一覧'!$AP$5:$AP$200,"合意済み"))</f>
        <v/>
      </c>
      <c r="E33" s="18">
        <f>IF($A33="","",COUNTIFS('予算一覧'!$AG$5:$AG$200,$A33,'予算一覧'!$AP$5:$AP$200,"準備完了"))</f>
        <v/>
      </c>
      <c r="F33" s="18">
        <f>IF($A33="","",COUNTIFS('予算一覧'!$AG$5:$AG$200,$A33,'予算一覧'!$AP$5:$AP$200,"対象外"))</f>
        <v/>
      </c>
      <c r="G33" s="18">
        <f>IF($A33="","",COUNTIFS('予算一覧'!$AG$5:$AG$200,$A33,'予算一覧'!$AP$5:$AP$200,""))</f>
        <v/>
      </c>
      <c r="H33" s="18">
        <f>IF($A33="","",COUNTIFS('予算一覧'!$AG$5:$AG$200,$A33,'予算一覧'!$AL$5:$AL$200,"判定保留"))</f>
        <v/>
      </c>
    </row>
    <row r="34">
      <c r="A34" s="18">
        <f>IF('窓口'!A14="","",'窓口'!A14)</f>
        <v/>
      </c>
      <c r="B34" s="18">
        <f>IF($A34="","",COUNTIFS('予算一覧'!$AG$5:$AG$200,$A34,'予算一覧'!$AP$5:$AP$200,"棚卸し中"))</f>
        <v/>
      </c>
      <c r="C34" s="18">
        <f>IF($A34="","",COUNTIFS('予算一覧'!$AG$5:$AG$200,$A34,'予算一覧'!$AP$5:$AP$200,"棚卸し済み"))</f>
        <v/>
      </c>
      <c r="D34" s="18">
        <f>IF($A34="","",COUNTIFS('予算一覧'!$AG$5:$AG$200,$A34,'予算一覧'!$AP$5:$AP$200,"合意済み"))</f>
        <v/>
      </c>
      <c r="E34" s="18">
        <f>IF($A34="","",COUNTIFS('予算一覧'!$AG$5:$AG$200,$A34,'予算一覧'!$AP$5:$AP$200,"準備完了"))</f>
        <v/>
      </c>
      <c r="F34" s="18">
        <f>IF($A34="","",COUNTIFS('予算一覧'!$AG$5:$AG$200,$A34,'予算一覧'!$AP$5:$AP$200,"対象外"))</f>
        <v/>
      </c>
      <c r="G34" s="18">
        <f>IF($A34="","",COUNTIFS('予算一覧'!$AG$5:$AG$200,$A34,'予算一覧'!$AP$5:$AP$200,""))</f>
        <v/>
      </c>
      <c r="H34" s="18">
        <f>IF($A34="","",COUNTIFS('予算一覧'!$AG$5:$AG$200,$A34,'予算一覧'!$AL$5:$AL$200,"判定保留"))</f>
        <v/>
      </c>
    </row>
    <row r="35">
      <c r="A35" s="18">
        <f>IF('窓口'!A15="","",'窓口'!A15)</f>
        <v/>
      </c>
      <c r="B35" s="18">
        <f>IF($A35="","",COUNTIFS('予算一覧'!$AG$5:$AG$200,$A35,'予算一覧'!$AP$5:$AP$200,"棚卸し中"))</f>
        <v/>
      </c>
      <c r="C35" s="18">
        <f>IF($A35="","",COUNTIFS('予算一覧'!$AG$5:$AG$200,$A35,'予算一覧'!$AP$5:$AP$200,"棚卸し済み"))</f>
        <v/>
      </c>
      <c r="D35" s="18">
        <f>IF($A35="","",COUNTIFS('予算一覧'!$AG$5:$AG$200,$A35,'予算一覧'!$AP$5:$AP$200,"合意済み"))</f>
        <v/>
      </c>
      <c r="E35" s="18">
        <f>IF($A35="","",COUNTIFS('予算一覧'!$AG$5:$AG$200,$A35,'予算一覧'!$AP$5:$AP$200,"準備完了"))</f>
        <v/>
      </c>
      <c r="F35" s="18">
        <f>IF($A35="","",COUNTIFS('予算一覧'!$AG$5:$AG$200,$A35,'予算一覧'!$AP$5:$AP$200,"対象外"))</f>
        <v/>
      </c>
      <c r="G35" s="18">
        <f>IF($A35="","",COUNTIFS('予算一覧'!$AG$5:$AG$200,$A35,'予算一覧'!$AP$5:$AP$200,""))</f>
        <v/>
      </c>
      <c r="H35" s="18">
        <f>IF($A35="","",COUNTIFS('予算一覧'!$AG$5:$AG$200,$A35,'予算一覧'!$AL$5:$AL$200,"判定保留"))</f>
        <v/>
      </c>
    </row>
    <row r="36">
      <c r="A36" s="18">
        <f>IF('窓口'!A16="","",'窓口'!A16)</f>
        <v/>
      </c>
      <c r="B36" s="18">
        <f>IF($A36="","",COUNTIFS('予算一覧'!$AG$5:$AG$200,$A36,'予算一覧'!$AP$5:$AP$200,"棚卸し中"))</f>
        <v/>
      </c>
      <c r="C36" s="18">
        <f>IF($A36="","",COUNTIFS('予算一覧'!$AG$5:$AG$200,$A36,'予算一覧'!$AP$5:$AP$200,"棚卸し済み"))</f>
        <v/>
      </c>
      <c r="D36" s="18">
        <f>IF($A36="","",COUNTIFS('予算一覧'!$AG$5:$AG$200,$A36,'予算一覧'!$AP$5:$AP$200,"合意済み"))</f>
        <v/>
      </c>
      <c r="E36" s="18">
        <f>IF($A36="","",COUNTIFS('予算一覧'!$AG$5:$AG$200,$A36,'予算一覧'!$AP$5:$AP$200,"準備完了"))</f>
        <v/>
      </c>
      <c r="F36" s="18">
        <f>IF($A36="","",COUNTIFS('予算一覧'!$AG$5:$AG$200,$A36,'予算一覧'!$AP$5:$AP$200,"対象外"))</f>
        <v/>
      </c>
      <c r="G36" s="18">
        <f>IF($A36="","",COUNTIFS('予算一覧'!$AG$5:$AG$200,$A36,'予算一覧'!$AP$5:$AP$200,""))</f>
        <v/>
      </c>
      <c r="H36" s="18">
        <f>IF($A36="","",COUNTIFS('予算一覧'!$AG$5:$AG$200,$A36,'予算一覧'!$AL$5:$AL$200,"判定保留"))</f>
        <v/>
      </c>
    </row>
    <row r="37">
      <c r="A37" s="18">
        <f>IF('窓口'!A17="","",'窓口'!A17)</f>
        <v/>
      </c>
      <c r="B37" s="18">
        <f>IF($A37="","",COUNTIFS('予算一覧'!$AG$5:$AG$200,$A37,'予算一覧'!$AP$5:$AP$200,"棚卸し中"))</f>
        <v/>
      </c>
      <c r="C37" s="18">
        <f>IF($A37="","",COUNTIFS('予算一覧'!$AG$5:$AG$200,$A37,'予算一覧'!$AP$5:$AP$200,"棚卸し済み"))</f>
        <v/>
      </c>
      <c r="D37" s="18">
        <f>IF($A37="","",COUNTIFS('予算一覧'!$AG$5:$AG$200,$A37,'予算一覧'!$AP$5:$AP$200,"合意済み"))</f>
        <v/>
      </c>
      <c r="E37" s="18">
        <f>IF($A37="","",COUNTIFS('予算一覧'!$AG$5:$AG$200,$A37,'予算一覧'!$AP$5:$AP$200,"準備完了"))</f>
        <v/>
      </c>
      <c r="F37" s="18">
        <f>IF($A37="","",COUNTIFS('予算一覧'!$AG$5:$AG$200,$A37,'予算一覧'!$AP$5:$AP$200,"対象外"))</f>
        <v/>
      </c>
      <c r="G37" s="18">
        <f>IF($A37="","",COUNTIFS('予算一覧'!$AG$5:$AG$200,$A37,'予算一覧'!$AP$5:$AP$200,""))</f>
        <v/>
      </c>
      <c r="H37" s="18">
        <f>IF($A37="","",COUNTIFS('予算一覧'!$AG$5:$AG$200,$A37,'予算一覧'!$AL$5:$AL$200,"判定保留"))</f>
        <v/>
      </c>
    </row>
    <row r="38">
      <c r="A38" s="18">
        <f>IF('窓口'!A18="","",'窓口'!A18)</f>
        <v/>
      </c>
      <c r="B38" s="18">
        <f>IF($A38="","",COUNTIFS('予算一覧'!$AG$5:$AG$200,$A38,'予算一覧'!$AP$5:$AP$200,"棚卸し中"))</f>
        <v/>
      </c>
      <c r="C38" s="18">
        <f>IF($A38="","",COUNTIFS('予算一覧'!$AG$5:$AG$200,$A38,'予算一覧'!$AP$5:$AP$200,"棚卸し済み"))</f>
        <v/>
      </c>
      <c r="D38" s="18">
        <f>IF($A38="","",COUNTIFS('予算一覧'!$AG$5:$AG$200,$A38,'予算一覧'!$AP$5:$AP$200,"合意済み"))</f>
        <v/>
      </c>
      <c r="E38" s="18">
        <f>IF($A38="","",COUNTIFS('予算一覧'!$AG$5:$AG$200,$A38,'予算一覧'!$AP$5:$AP$200,"準備完了"))</f>
        <v/>
      </c>
      <c r="F38" s="18">
        <f>IF($A38="","",COUNTIFS('予算一覧'!$AG$5:$AG$200,$A38,'予算一覧'!$AP$5:$AP$200,"対象外"))</f>
        <v/>
      </c>
      <c r="G38" s="18">
        <f>IF($A38="","",COUNTIFS('予算一覧'!$AG$5:$AG$200,$A38,'予算一覧'!$AP$5:$AP$200,""))</f>
        <v/>
      </c>
      <c r="H38" s="18">
        <f>IF($A38="","",COUNTIFS('予算一覧'!$AG$5:$AG$200,$A38,'予算一覧'!$AL$5:$AL$200,"判定保留"))</f>
        <v/>
      </c>
    </row>
    <row r="39">
      <c r="A39" s="18">
        <f>IF('窓口'!A19="","",'窓口'!A19)</f>
        <v/>
      </c>
      <c r="B39" s="18">
        <f>IF($A39="","",COUNTIFS('予算一覧'!$AG$5:$AG$200,$A39,'予算一覧'!$AP$5:$AP$200,"棚卸し中"))</f>
        <v/>
      </c>
      <c r="C39" s="18">
        <f>IF($A39="","",COUNTIFS('予算一覧'!$AG$5:$AG$200,$A39,'予算一覧'!$AP$5:$AP$200,"棚卸し済み"))</f>
        <v/>
      </c>
      <c r="D39" s="18">
        <f>IF($A39="","",COUNTIFS('予算一覧'!$AG$5:$AG$200,$A39,'予算一覧'!$AP$5:$AP$200,"合意済み"))</f>
        <v/>
      </c>
      <c r="E39" s="18">
        <f>IF($A39="","",COUNTIFS('予算一覧'!$AG$5:$AG$200,$A39,'予算一覧'!$AP$5:$AP$200,"準備完了"))</f>
        <v/>
      </c>
      <c r="F39" s="18">
        <f>IF($A39="","",COUNTIFS('予算一覧'!$AG$5:$AG$200,$A39,'予算一覧'!$AP$5:$AP$200,"対象外"))</f>
        <v/>
      </c>
      <c r="G39" s="18">
        <f>IF($A39="","",COUNTIFS('予算一覧'!$AG$5:$AG$200,$A39,'予算一覧'!$AP$5:$AP$200,""))</f>
        <v/>
      </c>
      <c r="H39" s="18">
        <f>IF($A39="","",COUNTIFS('予算一覧'!$AG$5:$AG$200,$A39,'予算一覧'!$AL$5:$AL$200,"判定保留"))</f>
        <v/>
      </c>
    </row>
    <row r="40">
      <c r="A40" s="18">
        <f>IF('窓口'!A20="","",'窓口'!A20)</f>
        <v/>
      </c>
      <c r="B40" s="18">
        <f>IF($A40="","",COUNTIFS('予算一覧'!$AG$5:$AG$200,$A40,'予算一覧'!$AP$5:$AP$200,"棚卸し中"))</f>
        <v/>
      </c>
      <c r="C40" s="18">
        <f>IF($A40="","",COUNTIFS('予算一覧'!$AG$5:$AG$200,$A40,'予算一覧'!$AP$5:$AP$200,"棚卸し済み"))</f>
        <v/>
      </c>
      <c r="D40" s="18">
        <f>IF($A40="","",COUNTIFS('予算一覧'!$AG$5:$AG$200,$A40,'予算一覧'!$AP$5:$AP$200,"合意済み"))</f>
        <v/>
      </c>
      <c r="E40" s="18">
        <f>IF($A40="","",COUNTIFS('予算一覧'!$AG$5:$AG$200,$A40,'予算一覧'!$AP$5:$AP$200,"準備完了"))</f>
        <v/>
      </c>
      <c r="F40" s="18">
        <f>IF($A40="","",COUNTIFS('予算一覧'!$AG$5:$AG$200,$A40,'予算一覧'!$AP$5:$AP$200,"対象外"))</f>
        <v/>
      </c>
      <c r="G40" s="18">
        <f>IF($A40="","",COUNTIFS('予算一覧'!$AG$5:$AG$200,$A40,'予算一覧'!$AP$5:$AP$200,""))</f>
        <v/>
      </c>
      <c r="H40" s="18">
        <f>IF($A40="","",COUNTIFS('予算一覧'!$AG$5:$AG$200,$A40,'予算一覧'!$AL$5:$AL$200,"判定保留"))</f>
        <v/>
      </c>
    </row>
    <row r="41">
      <c r="A41" s="18">
        <f>IF('窓口'!A21="","",'窓口'!A21)</f>
        <v/>
      </c>
      <c r="B41" s="18">
        <f>IF($A41="","",COUNTIFS('予算一覧'!$AG$5:$AG$200,$A41,'予算一覧'!$AP$5:$AP$200,"棚卸し中"))</f>
        <v/>
      </c>
      <c r="C41" s="18">
        <f>IF($A41="","",COUNTIFS('予算一覧'!$AG$5:$AG$200,$A41,'予算一覧'!$AP$5:$AP$200,"棚卸し済み"))</f>
        <v/>
      </c>
      <c r="D41" s="18">
        <f>IF($A41="","",COUNTIFS('予算一覧'!$AG$5:$AG$200,$A41,'予算一覧'!$AP$5:$AP$200,"合意済み"))</f>
        <v/>
      </c>
      <c r="E41" s="18">
        <f>IF($A41="","",COUNTIFS('予算一覧'!$AG$5:$AG$200,$A41,'予算一覧'!$AP$5:$AP$200,"準備完了"))</f>
        <v/>
      </c>
      <c r="F41" s="18">
        <f>IF($A41="","",COUNTIFS('予算一覧'!$AG$5:$AG$200,$A41,'予算一覧'!$AP$5:$AP$200,"対象外"))</f>
        <v/>
      </c>
      <c r="G41" s="18">
        <f>IF($A41="","",COUNTIFS('予算一覧'!$AG$5:$AG$200,$A41,'予算一覧'!$AP$5:$AP$200,""))</f>
        <v/>
      </c>
      <c r="H41" s="18">
        <f>IF($A41="","",COUNTIFS('予算一覧'!$AG$5:$AG$200,$A41,'予算一覧'!$AL$5:$AL$200,"判定保留"))</f>
        <v/>
      </c>
    </row>
    <row r="42">
      <c r="A42" s="18">
        <f>IF('窓口'!A22="","",'窓口'!A22)</f>
        <v/>
      </c>
      <c r="B42" s="18">
        <f>IF($A42="","",COUNTIFS('予算一覧'!$AG$5:$AG$200,$A42,'予算一覧'!$AP$5:$AP$200,"棚卸し中"))</f>
        <v/>
      </c>
      <c r="C42" s="18">
        <f>IF($A42="","",COUNTIFS('予算一覧'!$AG$5:$AG$200,$A42,'予算一覧'!$AP$5:$AP$200,"棚卸し済み"))</f>
        <v/>
      </c>
      <c r="D42" s="18">
        <f>IF($A42="","",COUNTIFS('予算一覧'!$AG$5:$AG$200,$A42,'予算一覧'!$AP$5:$AP$200,"合意済み"))</f>
        <v/>
      </c>
      <c r="E42" s="18">
        <f>IF($A42="","",COUNTIFS('予算一覧'!$AG$5:$AG$200,$A42,'予算一覧'!$AP$5:$AP$200,"準備完了"))</f>
        <v/>
      </c>
      <c r="F42" s="18">
        <f>IF($A42="","",COUNTIFS('予算一覧'!$AG$5:$AG$200,$A42,'予算一覧'!$AP$5:$AP$200,"対象外"))</f>
        <v/>
      </c>
      <c r="G42" s="18">
        <f>IF($A42="","",COUNTIFS('予算一覧'!$AG$5:$AG$200,$A42,'予算一覧'!$AP$5:$AP$200,""))</f>
        <v/>
      </c>
      <c r="H42" s="18">
        <f>IF($A42="","",COUNTIFS('予算一覧'!$AG$5:$AG$200,$A42,'予算一覧'!$AL$5:$AL$200,"判定保留"))</f>
        <v/>
      </c>
    </row>
    <row r="43">
      <c r="A43" s="18">
        <f>IF('窓口'!A23="","",'窓口'!A23)</f>
        <v/>
      </c>
      <c r="B43" s="18">
        <f>IF($A43="","",COUNTIFS('予算一覧'!$AG$5:$AG$200,$A43,'予算一覧'!$AP$5:$AP$200,"棚卸し中"))</f>
        <v/>
      </c>
      <c r="C43" s="18">
        <f>IF($A43="","",COUNTIFS('予算一覧'!$AG$5:$AG$200,$A43,'予算一覧'!$AP$5:$AP$200,"棚卸し済み"))</f>
        <v/>
      </c>
      <c r="D43" s="18">
        <f>IF($A43="","",COUNTIFS('予算一覧'!$AG$5:$AG$200,$A43,'予算一覧'!$AP$5:$AP$200,"合意済み"))</f>
        <v/>
      </c>
      <c r="E43" s="18">
        <f>IF($A43="","",COUNTIFS('予算一覧'!$AG$5:$AG$200,$A43,'予算一覧'!$AP$5:$AP$200,"準備完了"))</f>
        <v/>
      </c>
      <c r="F43" s="18">
        <f>IF($A43="","",COUNTIFS('予算一覧'!$AG$5:$AG$200,$A43,'予算一覧'!$AP$5:$AP$200,"対象外"))</f>
        <v/>
      </c>
      <c r="G43" s="18">
        <f>IF($A43="","",COUNTIFS('予算一覧'!$AG$5:$AG$200,$A43,'予算一覧'!$AP$5:$AP$200,""))</f>
        <v/>
      </c>
      <c r="H43" s="18">
        <f>IF($A43="","",COUNTIFS('予算一覧'!$AG$5:$AG$200,$A43,'予算一覧'!$AL$5:$AL$200,"判定保留"))</f>
        <v/>
      </c>
    </row>
    <row r="44">
      <c r="A44" s="18">
        <f>IF('窓口'!A24="","",'窓口'!A24)</f>
        <v/>
      </c>
      <c r="B44" s="18">
        <f>IF($A44="","",COUNTIFS('予算一覧'!$AG$5:$AG$200,$A44,'予算一覧'!$AP$5:$AP$200,"棚卸し中"))</f>
        <v/>
      </c>
      <c r="C44" s="18">
        <f>IF($A44="","",COUNTIFS('予算一覧'!$AG$5:$AG$200,$A44,'予算一覧'!$AP$5:$AP$200,"棚卸し済み"))</f>
        <v/>
      </c>
      <c r="D44" s="18">
        <f>IF($A44="","",COUNTIFS('予算一覧'!$AG$5:$AG$200,$A44,'予算一覧'!$AP$5:$AP$200,"合意済み"))</f>
        <v/>
      </c>
      <c r="E44" s="18">
        <f>IF($A44="","",COUNTIFS('予算一覧'!$AG$5:$AG$200,$A44,'予算一覧'!$AP$5:$AP$200,"準備完了"))</f>
        <v/>
      </c>
      <c r="F44" s="18">
        <f>IF($A44="","",COUNTIFS('予算一覧'!$AG$5:$AG$200,$A44,'予算一覧'!$AP$5:$AP$200,"対象外"))</f>
        <v/>
      </c>
      <c r="G44" s="18">
        <f>IF($A44="","",COUNTIFS('予算一覧'!$AG$5:$AG$200,$A44,'予算一覧'!$AP$5:$AP$200,""))</f>
        <v/>
      </c>
      <c r="H44" s="18">
        <f>IF($A44="","",COUNTIFS('予算一覧'!$AG$5:$AG$200,$A44,'予算一覧'!$AL$5:$AL$200,"判定保留"))</f>
        <v/>
      </c>
    </row>
    <row r="45">
      <c r="A45" s="18">
        <f>IF('窓口'!A25="","",'窓口'!A25)</f>
        <v/>
      </c>
      <c r="B45" s="18">
        <f>IF($A45="","",COUNTIFS('予算一覧'!$AG$5:$AG$200,$A45,'予算一覧'!$AP$5:$AP$200,"棚卸し中"))</f>
        <v/>
      </c>
      <c r="C45" s="18">
        <f>IF($A45="","",COUNTIFS('予算一覧'!$AG$5:$AG$200,$A45,'予算一覧'!$AP$5:$AP$200,"棚卸し済み"))</f>
        <v/>
      </c>
      <c r="D45" s="18">
        <f>IF($A45="","",COUNTIFS('予算一覧'!$AG$5:$AG$200,$A45,'予算一覧'!$AP$5:$AP$200,"合意済み"))</f>
        <v/>
      </c>
      <c r="E45" s="18">
        <f>IF($A45="","",COUNTIFS('予算一覧'!$AG$5:$AG$200,$A45,'予算一覧'!$AP$5:$AP$200,"準備完了"))</f>
        <v/>
      </c>
      <c r="F45" s="18">
        <f>IF($A45="","",COUNTIFS('予算一覧'!$AG$5:$AG$200,$A45,'予算一覧'!$AP$5:$AP$200,"対象外"))</f>
        <v/>
      </c>
      <c r="G45" s="18">
        <f>IF($A45="","",COUNTIFS('予算一覧'!$AG$5:$AG$200,$A45,'予算一覧'!$AP$5:$AP$200,""))</f>
        <v/>
      </c>
      <c r="H45" s="18">
        <f>IF($A45="","",COUNTIFS('予算一覧'!$AG$5:$AG$200,$A45,'予算一覧'!$AL$5:$AL$200,"判定保留"))</f>
        <v/>
      </c>
    </row>
    <row r="46">
      <c r="A46" s="18">
        <f>IF('窓口'!A26="","",'窓口'!A26)</f>
        <v/>
      </c>
      <c r="B46" s="18">
        <f>IF($A46="","",COUNTIFS('予算一覧'!$AG$5:$AG$200,$A46,'予算一覧'!$AP$5:$AP$200,"棚卸し中"))</f>
        <v/>
      </c>
      <c r="C46" s="18">
        <f>IF($A46="","",COUNTIFS('予算一覧'!$AG$5:$AG$200,$A46,'予算一覧'!$AP$5:$AP$200,"棚卸し済み"))</f>
        <v/>
      </c>
      <c r="D46" s="18">
        <f>IF($A46="","",COUNTIFS('予算一覧'!$AG$5:$AG$200,$A46,'予算一覧'!$AP$5:$AP$200,"合意済み"))</f>
        <v/>
      </c>
      <c r="E46" s="18">
        <f>IF($A46="","",COUNTIFS('予算一覧'!$AG$5:$AG$200,$A46,'予算一覧'!$AP$5:$AP$200,"準備完了"))</f>
        <v/>
      </c>
      <c r="F46" s="18">
        <f>IF($A46="","",COUNTIFS('予算一覧'!$AG$5:$AG$200,$A46,'予算一覧'!$AP$5:$AP$200,"対象外"))</f>
        <v/>
      </c>
      <c r="G46" s="18">
        <f>IF($A46="","",COUNTIFS('予算一覧'!$AG$5:$AG$200,$A46,'予算一覧'!$AP$5:$AP$200,""))</f>
        <v/>
      </c>
      <c r="H46" s="18">
        <f>IF($A46="","",COUNTIFS('予算一覧'!$AG$5:$AG$200,$A46,'予算一覧'!$AL$5:$AL$200,"判定保留"))</f>
        <v/>
      </c>
    </row>
    <row r="47">
      <c r="A47" s="18">
        <f>IF('窓口'!A27="","",'窓口'!A27)</f>
        <v/>
      </c>
      <c r="B47" s="18">
        <f>IF($A47="","",COUNTIFS('予算一覧'!$AG$5:$AG$200,$A47,'予算一覧'!$AP$5:$AP$200,"棚卸し中"))</f>
        <v/>
      </c>
      <c r="C47" s="18">
        <f>IF($A47="","",COUNTIFS('予算一覧'!$AG$5:$AG$200,$A47,'予算一覧'!$AP$5:$AP$200,"棚卸し済み"))</f>
        <v/>
      </c>
      <c r="D47" s="18">
        <f>IF($A47="","",COUNTIFS('予算一覧'!$AG$5:$AG$200,$A47,'予算一覧'!$AP$5:$AP$200,"合意済み"))</f>
        <v/>
      </c>
      <c r="E47" s="18">
        <f>IF($A47="","",COUNTIFS('予算一覧'!$AG$5:$AG$200,$A47,'予算一覧'!$AP$5:$AP$200,"準備完了"))</f>
        <v/>
      </c>
      <c r="F47" s="18">
        <f>IF($A47="","",COUNTIFS('予算一覧'!$AG$5:$AG$200,$A47,'予算一覧'!$AP$5:$AP$200,"対象外"))</f>
        <v/>
      </c>
      <c r="G47" s="18">
        <f>IF($A47="","",COUNTIFS('予算一覧'!$AG$5:$AG$200,$A47,'予算一覧'!$AP$5:$AP$200,""))</f>
        <v/>
      </c>
      <c r="H47" s="18">
        <f>IF($A47="","",COUNTIFS('予算一覧'!$AG$5:$AG$200,$A47,'予算一覧'!$AL$5:$AL$200,"判定保留"))</f>
        <v/>
      </c>
    </row>
    <row r="48">
      <c r="A48" s="18">
        <f>IF('窓口'!A28="","",'窓口'!A28)</f>
        <v/>
      </c>
      <c r="B48" s="18">
        <f>IF($A48="","",COUNTIFS('予算一覧'!$AG$5:$AG$200,$A48,'予算一覧'!$AP$5:$AP$200,"棚卸し中"))</f>
        <v/>
      </c>
      <c r="C48" s="18">
        <f>IF($A48="","",COUNTIFS('予算一覧'!$AG$5:$AG$200,$A48,'予算一覧'!$AP$5:$AP$200,"棚卸し済み"))</f>
        <v/>
      </c>
      <c r="D48" s="18">
        <f>IF($A48="","",COUNTIFS('予算一覧'!$AG$5:$AG$200,$A48,'予算一覧'!$AP$5:$AP$200,"合意済み"))</f>
        <v/>
      </c>
      <c r="E48" s="18">
        <f>IF($A48="","",COUNTIFS('予算一覧'!$AG$5:$AG$200,$A48,'予算一覧'!$AP$5:$AP$200,"準備完了"))</f>
        <v/>
      </c>
      <c r="F48" s="18">
        <f>IF($A48="","",COUNTIFS('予算一覧'!$AG$5:$AG$200,$A48,'予算一覧'!$AP$5:$AP$200,"対象外"))</f>
        <v/>
      </c>
      <c r="G48" s="18">
        <f>IF($A48="","",COUNTIFS('予算一覧'!$AG$5:$AG$200,$A48,'予算一覧'!$AP$5:$AP$200,""))</f>
        <v/>
      </c>
      <c r="H48" s="18">
        <f>IF($A48="","",COUNTIFS('予算一覧'!$AG$5:$AG$200,$A48,'予算一覧'!$AL$5:$AL$200,"判定保留"))</f>
        <v/>
      </c>
    </row>
    <row r="49">
      <c r="A49" s="18">
        <f>IF('窓口'!A29="","",'窓口'!A29)</f>
        <v/>
      </c>
      <c r="B49" s="18">
        <f>IF($A49="","",COUNTIFS('予算一覧'!$AG$5:$AG$200,$A49,'予算一覧'!$AP$5:$AP$200,"棚卸し中"))</f>
        <v/>
      </c>
      <c r="C49" s="18">
        <f>IF($A49="","",COUNTIFS('予算一覧'!$AG$5:$AG$200,$A49,'予算一覧'!$AP$5:$AP$200,"棚卸し済み"))</f>
        <v/>
      </c>
      <c r="D49" s="18">
        <f>IF($A49="","",COUNTIFS('予算一覧'!$AG$5:$AG$200,$A49,'予算一覧'!$AP$5:$AP$200,"合意済み"))</f>
        <v/>
      </c>
      <c r="E49" s="18">
        <f>IF($A49="","",COUNTIFS('予算一覧'!$AG$5:$AG$200,$A49,'予算一覧'!$AP$5:$AP$200,"準備完了"))</f>
        <v/>
      </c>
      <c r="F49" s="18">
        <f>IF($A49="","",COUNTIFS('予算一覧'!$AG$5:$AG$200,$A49,'予算一覧'!$AP$5:$AP$200,"対象外"))</f>
        <v/>
      </c>
      <c r="G49" s="18">
        <f>IF($A49="","",COUNTIFS('予算一覧'!$AG$5:$AG$200,$A49,'予算一覧'!$AP$5:$AP$200,""))</f>
        <v/>
      </c>
      <c r="H49" s="18">
        <f>IF($A49="","",COUNTIFS('予算一覧'!$AG$5:$AG$200,$A49,'予算一覧'!$AL$5:$AL$200,"判定保留"))</f>
        <v/>
      </c>
    </row>
    <row r="50">
      <c r="A50" s="18">
        <f>IF('窓口'!A30="","",'窓口'!A30)</f>
        <v/>
      </c>
      <c r="B50" s="18">
        <f>IF($A50="","",COUNTIFS('予算一覧'!$AG$5:$AG$200,$A50,'予算一覧'!$AP$5:$AP$200,"棚卸し中"))</f>
        <v/>
      </c>
      <c r="C50" s="18">
        <f>IF($A50="","",COUNTIFS('予算一覧'!$AG$5:$AG$200,$A50,'予算一覧'!$AP$5:$AP$200,"棚卸し済み"))</f>
        <v/>
      </c>
      <c r="D50" s="18">
        <f>IF($A50="","",COUNTIFS('予算一覧'!$AG$5:$AG$200,$A50,'予算一覧'!$AP$5:$AP$200,"合意済み"))</f>
        <v/>
      </c>
      <c r="E50" s="18">
        <f>IF($A50="","",COUNTIFS('予算一覧'!$AG$5:$AG$200,$A50,'予算一覧'!$AP$5:$AP$200,"準備完了"))</f>
        <v/>
      </c>
      <c r="F50" s="18">
        <f>IF($A50="","",COUNTIFS('予算一覧'!$AG$5:$AG$200,$A50,'予算一覧'!$AP$5:$AP$200,"対象外"))</f>
        <v/>
      </c>
      <c r="G50" s="18">
        <f>IF($A50="","",COUNTIFS('予算一覧'!$AG$5:$AG$200,$A50,'予算一覧'!$AP$5:$AP$200,""))</f>
        <v/>
      </c>
      <c r="H50" s="18">
        <f>IF($A50="","",COUNTIFS('予算一覧'!$AG$5:$AG$200,$A50,'予算一覧'!$AL$5:$AL$200,"判定保留"))</f>
        <v/>
      </c>
    </row>
    <row r="51">
      <c r="A51" s="18">
        <f>IF('窓口'!A31="","",'窓口'!A31)</f>
        <v/>
      </c>
      <c r="B51" s="18">
        <f>IF($A51="","",COUNTIFS('予算一覧'!$AG$5:$AG$200,$A51,'予算一覧'!$AP$5:$AP$200,"棚卸し中"))</f>
        <v/>
      </c>
      <c r="C51" s="18">
        <f>IF($A51="","",COUNTIFS('予算一覧'!$AG$5:$AG$200,$A51,'予算一覧'!$AP$5:$AP$200,"棚卸し済み"))</f>
        <v/>
      </c>
      <c r="D51" s="18">
        <f>IF($A51="","",COUNTIFS('予算一覧'!$AG$5:$AG$200,$A51,'予算一覧'!$AP$5:$AP$200,"合意済み"))</f>
        <v/>
      </c>
      <c r="E51" s="18">
        <f>IF($A51="","",COUNTIFS('予算一覧'!$AG$5:$AG$200,$A51,'予算一覧'!$AP$5:$AP$200,"準備完了"))</f>
        <v/>
      </c>
      <c r="F51" s="18">
        <f>IF($A51="","",COUNTIFS('予算一覧'!$AG$5:$AG$200,$A51,'予算一覧'!$AP$5:$AP$200,"対象外"))</f>
        <v/>
      </c>
      <c r="G51" s="18">
        <f>IF($A51="","",COUNTIFS('予算一覧'!$AG$5:$AG$200,$A51,'予算一覧'!$AP$5:$AP$200,""))</f>
        <v/>
      </c>
      <c r="H51" s="18">
        <f>IF($A51="","",COUNTIFS('予算一覧'!$AG$5:$AG$200,$A51,'予算一覧'!$AL$5:$AL$200,"判定保留"))</f>
        <v/>
      </c>
    </row>
    <row r="52">
      <c r="A52" s="18">
        <f>IF('窓口'!A32="","",'窓口'!A32)</f>
        <v/>
      </c>
      <c r="B52" s="18">
        <f>IF($A52="","",COUNTIFS('予算一覧'!$AG$5:$AG$200,$A52,'予算一覧'!$AP$5:$AP$200,"棚卸し中"))</f>
        <v/>
      </c>
      <c r="C52" s="18">
        <f>IF($A52="","",COUNTIFS('予算一覧'!$AG$5:$AG$200,$A52,'予算一覧'!$AP$5:$AP$200,"棚卸し済み"))</f>
        <v/>
      </c>
      <c r="D52" s="18">
        <f>IF($A52="","",COUNTIFS('予算一覧'!$AG$5:$AG$200,$A52,'予算一覧'!$AP$5:$AP$200,"合意済み"))</f>
        <v/>
      </c>
      <c r="E52" s="18">
        <f>IF($A52="","",COUNTIFS('予算一覧'!$AG$5:$AG$200,$A52,'予算一覧'!$AP$5:$AP$200,"準備完了"))</f>
        <v/>
      </c>
      <c r="F52" s="18">
        <f>IF($A52="","",COUNTIFS('予算一覧'!$AG$5:$AG$200,$A52,'予算一覧'!$AP$5:$AP$200,"対象外"))</f>
        <v/>
      </c>
      <c r="G52" s="18">
        <f>IF($A52="","",COUNTIFS('予算一覧'!$AG$5:$AG$200,$A52,'予算一覧'!$AP$5:$AP$200,""))</f>
        <v/>
      </c>
      <c r="H52" s="18">
        <f>IF($A52="","",COUNTIFS('予算一覧'!$AG$5:$AG$200,$A52,'予算一覧'!$AL$5:$AL$200,"判定保留"))</f>
        <v/>
      </c>
    </row>
    <row r="53">
      <c r="A53" s="18">
        <f>IF('窓口'!A33="","",'窓口'!A33)</f>
        <v/>
      </c>
      <c r="B53" s="18">
        <f>IF($A53="","",COUNTIFS('予算一覧'!$AG$5:$AG$200,$A53,'予算一覧'!$AP$5:$AP$200,"棚卸し中"))</f>
        <v/>
      </c>
      <c r="C53" s="18">
        <f>IF($A53="","",COUNTIFS('予算一覧'!$AG$5:$AG$200,$A53,'予算一覧'!$AP$5:$AP$200,"棚卸し済み"))</f>
        <v/>
      </c>
      <c r="D53" s="18">
        <f>IF($A53="","",COUNTIFS('予算一覧'!$AG$5:$AG$200,$A53,'予算一覧'!$AP$5:$AP$200,"合意済み"))</f>
        <v/>
      </c>
      <c r="E53" s="18">
        <f>IF($A53="","",COUNTIFS('予算一覧'!$AG$5:$AG$200,$A53,'予算一覧'!$AP$5:$AP$200,"準備完了"))</f>
        <v/>
      </c>
      <c r="F53" s="18">
        <f>IF($A53="","",COUNTIFS('予算一覧'!$AG$5:$AG$200,$A53,'予算一覧'!$AP$5:$AP$200,"対象外"))</f>
        <v/>
      </c>
      <c r="G53" s="18">
        <f>IF($A53="","",COUNTIFS('予算一覧'!$AG$5:$AG$200,$A53,'予算一覧'!$AP$5:$AP$200,""))</f>
        <v/>
      </c>
      <c r="H53" s="18">
        <f>IF($A53="","",COUNTIFS('予算一覧'!$AG$5:$AG$200,$A53,'予算一覧'!$AL$5:$AL$200,"判定保留"))</f>
        <v/>
      </c>
    </row>
    <row r="55">
      <c r="A55" s="23" t="inlineStr">
        <is>
          <t>4. 役割別のタスクの進捗（件数）</t>
        </is>
      </c>
    </row>
    <row r="56">
      <c r="A56" s="12" t="inlineStr">
        <is>
          <t>役割</t>
        </is>
      </c>
      <c r="B56" s="12" t="inlineStr">
        <is>
          <t>未着手</t>
        </is>
      </c>
      <c r="C56" s="12" t="inlineStr">
        <is>
          <t>進行中</t>
        </is>
      </c>
      <c r="D56" s="12" t="inlineStr">
        <is>
          <t>完了</t>
        </is>
      </c>
      <c r="E56" s="12" t="inlineStr">
        <is>
          <t>保留</t>
        </is>
      </c>
      <c r="F56" s="12" t="inlineStr">
        <is>
          <t>期限超過</t>
        </is>
      </c>
    </row>
    <row r="57">
      <c r="A57" s="18" t="inlineStr">
        <is>
          <t>事務局</t>
        </is>
      </c>
      <c r="B57" s="18">
        <f>COUNTIFS('進捗'!$C$4:$C$200,$A57,'進捗'!$I$4:$I$200,"未着手")</f>
        <v/>
      </c>
      <c r="C57" s="18">
        <f>COUNTIFS('進捗'!$C$4:$C$200,$A57,'進捗'!$I$4:$I$200,"進行中")</f>
        <v/>
      </c>
      <c r="D57" s="18">
        <f>COUNTIFS('進捗'!$C$4:$C$200,$A57,'進捗'!$I$4:$I$200,"完了")</f>
        <v/>
      </c>
      <c r="E57" s="18">
        <f>COUNTIFS('進捗'!$C$4:$C$200,$A57,'進捗'!$I$4:$I$200,"保留")</f>
        <v/>
      </c>
      <c r="F57" s="18">
        <f>COUNTIFS('進捗'!$C$4:$C$200,$A57,'進捗'!$L$4:$L$200,"期限超過")</f>
        <v/>
      </c>
    </row>
    <row r="58">
      <c r="A58" s="18" t="inlineStr">
        <is>
          <t>窓口担当</t>
        </is>
      </c>
      <c r="B58" s="18">
        <f>COUNTIFS('進捗'!$C$4:$C$200,$A58,'進捗'!$I$4:$I$200,"未着手")</f>
        <v/>
      </c>
      <c r="C58" s="18">
        <f>COUNTIFS('進捗'!$C$4:$C$200,$A58,'進捗'!$I$4:$I$200,"進行中")</f>
        <v/>
      </c>
      <c r="D58" s="18">
        <f>COUNTIFS('進捗'!$C$4:$C$200,$A58,'進捗'!$I$4:$I$200,"完了")</f>
        <v/>
      </c>
      <c r="E58" s="18">
        <f>COUNTIFS('進捗'!$C$4:$C$200,$A58,'進捗'!$I$4:$I$200,"保留")</f>
        <v/>
      </c>
      <c r="F58" s="18">
        <f>COUNTIFS('進捗'!$C$4:$C$200,$A58,'進捗'!$L$4:$L$200,"期限超過")</f>
        <v/>
      </c>
    </row>
    <row r="59">
      <c r="A59" s="18" t="inlineStr">
        <is>
          <t>移管元の責任者</t>
        </is>
      </c>
      <c r="B59" s="18">
        <f>COUNTIFS('進捗'!$C$4:$C$200,$A59,'進捗'!$I$4:$I$200,"未着手")</f>
        <v/>
      </c>
      <c r="C59" s="18">
        <f>COUNTIFS('進捗'!$C$4:$C$200,$A59,'進捗'!$I$4:$I$200,"進行中")</f>
        <v/>
      </c>
      <c r="D59" s="18">
        <f>COUNTIFS('進捗'!$C$4:$C$200,$A59,'進捗'!$I$4:$I$200,"完了")</f>
        <v/>
      </c>
      <c r="E59" s="18">
        <f>COUNTIFS('進捗'!$C$4:$C$200,$A59,'進捗'!$I$4:$I$200,"保留")</f>
        <v/>
      </c>
      <c r="F59" s="18">
        <f>COUNTIFS('進捗'!$C$4:$C$200,$A59,'進捗'!$L$4:$L$200,"期限超過")</f>
        <v/>
      </c>
    </row>
    <row r="60">
      <c r="A60" s="18" t="inlineStr">
        <is>
          <t>IT部門長</t>
        </is>
      </c>
      <c r="B60" s="18">
        <f>COUNTIFS('進捗'!$C$4:$C$200,$A60,'進捗'!$I$4:$I$200,"未着手")</f>
        <v/>
      </c>
      <c r="C60" s="18">
        <f>COUNTIFS('進捗'!$C$4:$C$200,$A60,'進捗'!$I$4:$I$200,"進行中")</f>
        <v/>
      </c>
      <c r="D60" s="18">
        <f>COUNTIFS('進捗'!$C$4:$C$200,$A60,'進捗'!$I$4:$I$200,"完了")</f>
        <v/>
      </c>
      <c r="E60" s="18">
        <f>COUNTIFS('進捗'!$C$4:$C$200,$A60,'進捗'!$I$4:$I$200,"保留")</f>
        <v/>
      </c>
      <c r="F60" s="18">
        <f>COUNTIFS('進捗'!$C$4:$C$200,$A60,'進捗'!$L$4:$L$200,"期限超過")</f>
        <v/>
      </c>
    </row>
    <row r="61">
      <c r="A61" s="18" t="inlineStr">
        <is>
          <t>部門長同士（稟議）</t>
        </is>
      </c>
      <c r="B61" s="18">
        <f>COUNTIFS('進捗'!$C$4:$C$200,$A61,'進捗'!$I$4:$I$200,"未着手")</f>
        <v/>
      </c>
      <c r="C61" s="18">
        <f>COUNTIFS('進捗'!$C$4:$C$200,$A61,'進捗'!$I$4:$I$200,"進行中")</f>
        <v/>
      </c>
      <c r="D61" s="18">
        <f>COUNTIFS('進捗'!$C$4:$C$200,$A61,'進捗'!$I$4:$I$200,"完了")</f>
        <v/>
      </c>
      <c r="E61" s="18">
        <f>COUNTIFS('進捗'!$C$4:$C$200,$A61,'進捗'!$I$4:$I$200,"保留")</f>
        <v/>
      </c>
      <c r="F61" s="18">
        <f>COUNTIFS('進捗'!$C$4:$C$200,$A61,'進捗'!$L$4:$L$200,"期限超過")</f>
        <v/>
      </c>
    </row>
    <row r="62">
      <c r="A62" s="18" t="n"/>
      <c r="B62" s="18" t="n"/>
      <c r="C62" s="18" t="n"/>
      <c r="D62" s="18" t="n"/>
      <c r="E62" s="18" t="n"/>
      <c r="F62" s="18" t="n"/>
    </row>
    <row r="63">
      <c r="A63" s="18" t="n"/>
      <c r="B63" s="18" t="n"/>
      <c r="C63" s="18" t="n"/>
      <c r="D63" s="18" t="n"/>
      <c r="E63" s="18" t="n"/>
      <c r="F63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28" customWidth="1" min="4" max="4"/>
    <col width="26" customWidth="1" min="5" max="5"/>
    <col width="18" customWidth="1" min="6" max="6"/>
    <col width="14" customWidth="1" min="7" max="7"/>
    <col width="12" customWidth="1" min="8" max="8"/>
    <col width="10" customWidth="1" min="9" max="9"/>
    <col width="12" customWidth="1" min="10" max="10"/>
    <col width="36" customWidth="1" min="11" max="11"/>
    <col width="12" customWidth="1" min="12" max="12"/>
  </cols>
  <sheetData>
    <row r="1">
      <c r="A1" s="1" t="inlineStr">
        <is>
          <t>進捗（役割別のタスク）</t>
        </is>
      </c>
    </row>
    <row r="2">
      <c r="A2" s="2" t="inlineStr">
        <is>
          <t>1行＝1件のタスク（対象の部門・案件・契約ごと）。全体と部門の行は事務局が、案件・契約の行は窓口担当が作り、自分の行の状態・完了日を更新する。承認の行は、依頼した者（A-03は窓口担当、それ以外は事務局）が更新する。役割とタスク名はタスクIDから自動で表示される。期限を過ぎて完了していない行は「期限超過」と表示する。薄い色の行は記入例。</t>
        </is>
      </c>
    </row>
    <row r="3" ht="34" customHeight="1">
      <c r="A3" s="12" t="inlineStr">
        <is>
          <t>No.</t>
        </is>
      </c>
      <c r="B3" s="12" t="inlineStr">
        <is>
          <t>タスクID</t>
        </is>
      </c>
      <c r="C3" s="12" t="inlineStr">
        <is>
          <t>役割（自動）</t>
        </is>
      </c>
      <c r="D3" s="12" t="inlineStr">
        <is>
          <t>タスク（自動）</t>
        </is>
      </c>
      <c r="E3" s="12" t="inlineStr">
        <is>
          <t>Runbook の節（自動）</t>
        </is>
      </c>
      <c r="F3" s="12" t="inlineStr">
        <is>
          <t>対象
（部門・案件ID・契約ID）</t>
        </is>
      </c>
      <c r="G3" s="12" t="inlineStr">
        <is>
          <t>担当者</t>
        </is>
      </c>
      <c r="H3" s="12" t="inlineStr">
        <is>
          <t>期限</t>
        </is>
      </c>
      <c r="I3" s="12" t="inlineStr">
        <is>
          <t>状態</t>
        </is>
      </c>
      <c r="J3" s="12" t="inlineStr">
        <is>
          <t>完了日</t>
        </is>
      </c>
      <c r="K3" s="12" t="inlineStr">
        <is>
          <t>メモ</t>
        </is>
      </c>
      <c r="L3" s="12" t="inlineStr">
        <is>
          <t>期限超過（自動）</t>
        </is>
      </c>
    </row>
    <row r="4">
      <c r="A4" s="13" t="n">
        <v>1</v>
      </c>
      <c r="B4" s="13" t="inlineStr">
        <is>
          <t>P-02</t>
        </is>
      </c>
      <c r="C4" s="16">
        <f>IF(B4="","",IFERROR(INDEX('タスク一覧'!$B:$B,MATCH(B4,'タスク一覧'!$A:$A,0)),"タスクIDが未登録"))</f>
        <v/>
      </c>
      <c r="D4" s="16">
        <f>IF(B4="","",IFERROR(INDEX('タスク一覧'!$C:$C,MATCH(B4,'タスク一覧'!$A:$A,0)),""))</f>
        <v/>
      </c>
      <c r="E4" s="16">
        <f>IF(B4="","",IFERROR(INDEX('タスク一覧'!$D:$D,MATCH(B4,'タスク一覧'!$A:$A,0)),""))</f>
        <v/>
      </c>
      <c r="F4" s="13" t="inlineStr">
        <is>
          <t>研究本部</t>
        </is>
      </c>
      <c r="G4" s="13" t="inlineStr">
        <is>
          <t>（記入例）</t>
        </is>
      </c>
      <c r="H4" s="32" t="n">
        <v>46295</v>
      </c>
      <c r="I4" s="13" t="inlineStr">
        <is>
          <t>完了</t>
        </is>
      </c>
      <c r="J4" s="32" t="n">
        <v>46294</v>
      </c>
      <c r="K4" s="13" t="n"/>
      <c r="L4" s="16">
        <f>IF(OR(B4="",H4=""),"",IF(AND(I4&lt;&gt;"完了",H4&lt;TODAY()),"期限超過",""))</f>
        <v/>
      </c>
    </row>
    <row r="5">
      <c r="A5" s="13" t="n">
        <v>2</v>
      </c>
      <c r="B5" s="13" t="inlineStr">
        <is>
          <t>C-01</t>
        </is>
      </c>
      <c r="C5" s="16">
        <f>IF(B5="","",IFERROR(INDEX('タスク一覧'!$B:$B,MATCH(B5,'タスク一覧'!$A:$A,0)),"タスクIDが未登録"))</f>
        <v/>
      </c>
      <c r="D5" s="16">
        <f>IF(B5="","",IFERROR(INDEX('タスク一覧'!$C:$C,MATCH(B5,'タスク一覧'!$A:$A,0)),""))</f>
        <v/>
      </c>
      <c r="E5" s="16">
        <f>IF(B5="","",IFERROR(INDEX('タスク一覧'!$D:$D,MATCH(B5,'タスク一覧'!$A:$A,0)),""))</f>
        <v/>
      </c>
      <c r="F5" s="13" t="inlineStr">
        <is>
          <t>BUD-001</t>
        </is>
      </c>
      <c r="G5" s="13" t="inlineStr">
        <is>
          <t>（記入例）</t>
        </is>
      </c>
      <c r="H5" s="32" t="n">
        <v>46326</v>
      </c>
      <c r="I5" s="13" t="inlineStr">
        <is>
          <t>進行中</t>
        </is>
      </c>
      <c r="J5" s="32" t="n"/>
      <c r="K5" s="13" t="n"/>
      <c r="L5" s="16">
        <f>IF(OR(B5="",H5=""),"",IF(AND(I5&lt;&gt;"完了",H5&lt;TODAY()),"期限超過",""))</f>
        <v/>
      </c>
    </row>
    <row r="6">
      <c r="A6" s="13" t="n">
        <v>3</v>
      </c>
      <c r="B6" s="13" t="inlineStr">
        <is>
          <t>C-05</t>
        </is>
      </c>
      <c r="C6" s="16">
        <f>IF(B6="","",IFERROR(INDEX('タスク一覧'!$B:$B,MATCH(B6,'タスク一覧'!$A:$A,0)),"タスクIDが未登録"))</f>
        <v/>
      </c>
      <c r="D6" s="16">
        <f>IF(B6="","",IFERROR(INDEX('タスク一覧'!$C:$C,MATCH(B6,'タスク一覧'!$A:$A,0)),""))</f>
        <v/>
      </c>
      <c r="E6" s="16">
        <f>IF(B6="","",IFERROR(INDEX('タスク一覧'!$D:$D,MATCH(B6,'タスク一覧'!$A:$A,0)),""))</f>
        <v/>
      </c>
      <c r="F6" s="13" t="inlineStr">
        <is>
          <t>BUD-002</t>
        </is>
      </c>
      <c r="G6" s="13" t="inlineStr">
        <is>
          <t>（記入例）</t>
        </is>
      </c>
      <c r="H6" s="32" t="n">
        <v>46367</v>
      </c>
      <c r="I6" s="13" t="inlineStr">
        <is>
          <t>完了</t>
        </is>
      </c>
      <c r="J6" s="32" t="n">
        <v>46366</v>
      </c>
      <c r="K6" s="13" t="inlineStr">
        <is>
          <t>合意文書を承認（経過措置1件：GxPの変更管理が完了するまで、eDMSの発注・検収・支払いは品質保証部の担当のまま）</t>
        </is>
      </c>
      <c r="L6" s="16">
        <f>IF(OR(B6="",H6=""),"",IF(AND(I6&lt;&gt;"完了",H6&lt;TODAY()),"期限超過",""))</f>
        <v/>
      </c>
    </row>
    <row r="7">
      <c r="A7" s="18" t="n"/>
      <c r="B7" s="18" t="n"/>
      <c r="C7" s="21">
        <f>IF(B7="","",IFERROR(INDEX('タスク一覧'!$B:$B,MATCH(B7,'タスク一覧'!$A:$A,0)),"タスクIDが未登録"))</f>
        <v/>
      </c>
      <c r="D7" s="21">
        <f>IF(B7="","",IFERROR(INDEX('タスク一覧'!$C:$C,MATCH(B7,'タスク一覧'!$A:$A,0)),""))</f>
        <v/>
      </c>
      <c r="E7" s="21">
        <f>IF(B7="","",IFERROR(INDEX('タスク一覧'!$D:$D,MATCH(B7,'タスク一覧'!$A:$A,0)),""))</f>
        <v/>
      </c>
      <c r="F7" s="18" t="n"/>
      <c r="G7" s="18" t="n"/>
      <c r="H7" s="33" t="n"/>
      <c r="I7" s="18" t="n"/>
      <c r="J7" s="33" t="n"/>
      <c r="K7" s="18" t="n"/>
      <c r="L7" s="21">
        <f>IF(OR(B7="",H7=""),"",IF(AND(I7&lt;&gt;"完了",H7&lt;TODAY()),"期限超過",""))</f>
        <v/>
      </c>
    </row>
    <row r="8">
      <c r="A8" s="18" t="n"/>
      <c r="B8" s="18" t="n"/>
      <c r="C8" s="21">
        <f>IF(B8="","",IFERROR(INDEX('タスク一覧'!$B:$B,MATCH(B8,'タスク一覧'!$A:$A,0)),"タスクIDが未登録"))</f>
        <v/>
      </c>
      <c r="D8" s="21">
        <f>IF(B8="","",IFERROR(INDEX('タスク一覧'!$C:$C,MATCH(B8,'タスク一覧'!$A:$A,0)),""))</f>
        <v/>
      </c>
      <c r="E8" s="21">
        <f>IF(B8="","",IFERROR(INDEX('タスク一覧'!$D:$D,MATCH(B8,'タスク一覧'!$A:$A,0)),""))</f>
        <v/>
      </c>
      <c r="F8" s="18" t="n"/>
      <c r="G8" s="18" t="n"/>
      <c r="H8" s="33" t="n"/>
      <c r="I8" s="18" t="n"/>
      <c r="J8" s="33" t="n"/>
      <c r="K8" s="18" t="n"/>
      <c r="L8" s="21">
        <f>IF(OR(B8="",H8=""),"",IF(AND(I8&lt;&gt;"完了",H8&lt;TODAY()),"期限超過",""))</f>
        <v/>
      </c>
    </row>
    <row r="9">
      <c r="A9" s="18" t="n"/>
      <c r="B9" s="18" t="n"/>
      <c r="C9" s="21">
        <f>IF(B9="","",IFERROR(INDEX('タスク一覧'!$B:$B,MATCH(B9,'タスク一覧'!$A:$A,0)),"タスクIDが未登録"))</f>
        <v/>
      </c>
      <c r="D9" s="21">
        <f>IF(B9="","",IFERROR(INDEX('タスク一覧'!$C:$C,MATCH(B9,'タスク一覧'!$A:$A,0)),""))</f>
        <v/>
      </c>
      <c r="E9" s="21">
        <f>IF(B9="","",IFERROR(INDEX('タスク一覧'!$D:$D,MATCH(B9,'タスク一覧'!$A:$A,0)),""))</f>
        <v/>
      </c>
      <c r="F9" s="18" t="n"/>
      <c r="G9" s="18" t="n"/>
      <c r="H9" s="33" t="n"/>
      <c r="I9" s="18" t="n"/>
      <c r="J9" s="33" t="n"/>
      <c r="K9" s="18" t="n"/>
      <c r="L9" s="21">
        <f>IF(OR(B9="",H9=""),"",IF(AND(I9&lt;&gt;"完了",H9&lt;TODAY()),"期限超過",""))</f>
        <v/>
      </c>
    </row>
    <row r="10">
      <c r="A10" s="18" t="n"/>
      <c r="B10" s="18" t="n"/>
      <c r="C10" s="21">
        <f>IF(B10="","",IFERROR(INDEX('タスク一覧'!$B:$B,MATCH(B10,'タスク一覧'!$A:$A,0)),"タスクIDが未登録"))</f>
        <v/>
      </c>
      <c r="D10" s="21">
        <f>IF(B10="","",IFERROR(INDEX('タスク一覧'!$C:$C,MATCH(B10,'タスク一覧'!$A:$A,0)),""))</f>
        <v/>
      </c>
      <c r="E10" s="21">
        <f>IF(B10="","",IFERROR(INDEX('タスク一覧'!$D:$D,MATCH(B10,'タスク一覧'!$A:$A,0)),""))</f>
        <v/>
      </c>
      <c r="F10" s="18" t="n"/>
      <c r="G10" s="18" t="n"/>
      <c r="H10" s="33" t="n"/>
      <c r="I10" s="18" t="n"/>
      <c r="J10" s="33" t="n"/>
      <c r="K10" s="18" t="n"/>
      <c r="L10" s="21">
        <f>IF(OR(B10="",H10=""),"",IF(AND(I10&lt;&gt;"完了",H10&lt;TODAY()),"期限超過",""))</f>
        <v/>
      </c>
    </row>
    <row r="11">
      <c r="A11" s="18" t="n"/>
      <c r="B11" s="18" t="n"/>
      <c r="C11" s="21">
        <f>IF(B11="","",IFERROR(INDEX('タスク一覧'!$B:$B,MATCH(B11,'タスク一覧'!$A:$A,0)),"タスクIDが未登録"))</f>
        <v/>
      </c>
      <c r="D11" s="21">
        <f>IF(B11="","",IFERROR(INDEX('タスク一覧'!$C:$C,MATCH(B11,'タスク一覧'!$A:$A,0)),""))</f>
        <v/>
      </c>
      <c r="E11" s="21">
        <f>IF(B11="","",IFERROR(INDEX('タスク一覧'!$D:$D,MATCH(B11,'タスク一覧'!$A:$A,0)),""))</f>
        <v/>
      </c>
      <c r="F11" s="18" t="n"/>
      <c r="G11" s="18" t="n"/>
      <c r="H11" s="33" t="n"/>
      <c r="I11" s="18" t="n"/>
      <c r="J11" s="33" t="n"/>
      <c r="K11" s="18" t="n"/>
      <c r="L11" s="21">
        <f>IF(OR(B11="",H11=""),"",IF(AND(I11&lt;&gt;"完了",H11&lt;TODAY()),"期限超過",""))</f>
        <v/>
      </c>
    </row>
    <row r="12">
      <c r="A12" s="18" t="n"/>
      <c r="B12" s="18" t="n"/>
      <c r="C12" s="21">
        <f>IF(B12="","",IFERROR(INDEX('タスク一覧'!$B:$B,MATCH(B12,'タスク一覧'!$A:$A,0)),"タスクIDが未登録"))</f>
        <v/>
      </c>
      <c r="D12" s="21">
        <f>IF(B12="","",IFERROR(INDEX('タスク一覧'!$C:$C,MATCH(B12,'タスク一覧'!$A:$A,0)),""))</f>
        <v/>
      </c>
      <c r="E12" s="21">
        <f>IF(B12="","",IFERROR(INDEX('タスク一覧'!$D:$D,MATCH(B12,'タスク一覧'!$A:$A,0)),""))</f>
        <v/>
      </c>
      <c r="F12" s="18" t="n"/>
      <c r="G12" s="18" t="n"/>
      <c r="H12" s="33" t="n"/>
      <c r="I12" s="18" t="n"/>
      <c r="J12" s="33" t="n"/>
      <c r="K12" s="18" t="n"/>
      <c r="L12" s="21">
        <f>IF(OR(B12="",H12=""),"",IF(AND(I12&lt;&gt;"完了",H12&lt;TODAY()),"期限超過",""))</f>
        <v/>
      </c>
    </row>
    <row r="13">
      <c r="A13" s="18" t="n"/>
      <c r="B13" s="18" t="n"/>
      <c r="C13" s="21">
        <f>IF(B13="","",IFERROR(INDEX('タスク一覧'!$B:$B,MATCH(B13,'タスク一覧'!$A:$A,0)),"タスクIDが未登録"))</f>
        <v/>
      </c>
      <c r="D13" s="21">
        <f>IF(B13="","",IFERROR(INDEX('タスク一覧'!$C:$C,MATCH(B13,'タスク一覧'!$A:$A,0)),""))</f>
        <v/>
      </c>
      <c r="E13" s="21">
        <f>IF(B13="","",IFERROR(INDEX('タスク一覧'!$D:$D,MATCH(B13,'タスク一覧'!$A:$A,0)),""))</f>
        <v/>
      </c>
      <c r="F13" s="18" t="n"/>
      <c r="G13" s="18" t="n"/>
      <c r="H13" s="33" t="n"/>
      <c r="I13" s="18" t="n"/>
      <c r="J13" s="33" t="n"/>
      <c r="K13" s="18" t="n"/>
      <c r="L13" s="21">
        <f>IF(OR(B13="",H13=""),"",IF(AND(I13&lt;&gt;"完了",H13&lt;TODAY()),"期限超過",""))</f>
        <v/>
      </c>
    </row>
    <row r="14">
      <c r="A14" s="18" t="n"/>
      <c r="B14" s="18" t="n"/>
      <c r="C14" s="21">
        <f>IF(B14="","",IFERROR(INDEX('タスク一覧'!$B:$B,MATCH(B14,'タスク一覧'!$A:$A,0)),"タスクIDが未登録"))</f>
        <v/>
      </c>
      <c r="D14" s="21">
        <f>IF(B14="","",IFERROR(INDEX('タスク一覧'!$C:$C,MATCH(B14,'タスク一覧'!$A:$A,0)),""))</f>
        <v/>
      </c>
      <c r="E14" s="21">
        <f>IF(B14="","",IFERROR(INDEX('タスク一覧'!$D:$D,MATCH(B14,'タスク一覧'!$A:$A,0)),""))</f>
        <v/>
      </c>
      <c r="F14" s="18" t="n"/>
      <c r="G14" s="18" t="n"/>
      <c r="H14" s="33" t="n"/>
      <c r="I14" s="18" t="n"/>
      <c r="J14" s="33" t="n"/>
      <c r="K14" s="18" t="n"/>
      <c r="L14" s="21">
        <f>IF(OR(B14="",H14=""),"",IF(AND(I14&lt;&gt;"完了",H14&lt;TODAY()),"期限超過",""))</f>
        <v/>
      </c>
    </row>
    <row r="15">
      <c r="A15" s="18" t="n"/>
      <c r="B15" s="18" t="n"/>
      <c r="C15" s="21">
        <f>IF(B15="","",IFERROR(INDEX('タスク一覧'!$B:$B,MATCH(B15,'タスク一覧'!$A:$A,0)),"タスクIDが未登録"))</f>
        <v/>
      </c>
      <c r="D15" s="21">
        <f>IF(B15="","",IFERROR(INDEX('タスク一覧'!$C:$C,MATCH(B15,'タスク一覧'!$A:$A,0)),""))</f>
        <v/>
      </c>
      <c r="E15" s="21">
        <f>IF(B15="","",IFERROR(INDEX('タスク一覧'!$D:$D,MATCH(B15,'タスク一覧'!$A:$A,0)),""))</f>
        <v/>
      </c>
      <c r="F15" s="18" t="n"/>
      <c r="G15" s="18" t="n"/>
      <c r="H15" s="33" t="n"/>
      <c r="I15" s="18" t="n"/>
      <c r="J15" s="33" t="n"/>
      <c r="K15" s="18" t="n"/>
      <c r="L15" s="21">
        <f>IF(OR(B15="",H15=""),"",IF(AND(I15&lt;&gt;"完了",H15&lt;TODAY()),"期限超過",""))</f>
        <v/>
      </c>
    </row>
    <row r="16">
      <c r="A16" s="18" t="n"/>
      <c r="B16" s="18" t="n"/>
      <c r="C16" s="21">
        <f>IF(B16="","",IFERROR(INDEX('タスク一覧'!$B:$B,MATCH(B16,'タスク一覧'!$A:$A,0)),"タスクIDが未登録"))</f>
        <v/>
      </c>
      <c r="D16" s="21">
        <f>IF(B16="","",IFERROR(INDEX('タスク一覧'!$C:$C,MATCH(B16,'タスク一覧'!$A:$A,0)),""))</f>
        <v/>
      </c>
      <c r="E16" s="21">
        <f>IF(B16="","",IFERROR(INDEX('タスク一覧'!$D:$D,MATCH(B16,'タスク一覧'!$A:$A,0)),""))</f>
        <v/>
      </c>
      <c r="F16" s="18" t="n"/>
      <c r="G16" s="18" t="n"/>
      <c r="H16" s="33" t="n"/>
      <c r="I16" s="18" t="n"/>
      <c r="J16" s="33" t="n"/>
      <c r="K16" s="18" t="n"/>
      <c r="L16" s="21">
        <f>IF(OR(B16="",H16=""),"",IF(AND(I16&lt;&gt;"完了",H16&lt;TODAY()),"期限超過",""))</f>
        <v/>
      </c>
    </row>
    <row r="17">
      <c r="A17" s="18" t="n"/>
      <c r="B17" s="18" t="n"/>
      <c r="C17" s="21">
        <f>IF(B17="","",IFERROR(INDEX('タスク一覧'!$B:$B,MATCH(B17,'タスク一覧'!$A:$A,0)),"タスクIDが未登録"))</f>
        <v/>
      </c>
      <c r="D17" s="21">
        <f>IF(B17="","",IFERROR(INDEX('タスク一覧'!$C:$C,MATCH(B17,'タスク一覧'!$A:$A,0)),""))</f>
        <v/>
      </c>
      <c r="E17" s="21">
        <f>IF(B17="","",IFERROR(INDEX('タスク一覧'!$D:$D,MATCH(B17,'タスク一覧'!$A:$A,0)),""))</f>
        <v/>
      </c>
      <c r="F17" s="18" t="n"/>
      <c r="G17" s="18" t="n"/>
      <c r="H17" s="33" t="n"/>
      <c r="I17" s="18" t="n"/>
      <c r="J17" s="33" t="n"/>
      <c r="K17" s="18" t="n"/>
      <c r="L17" s="21">
        <f>IF(OR(B17="",H17=""),"",IF(AND(I17&lt;&gt;"完了",H17&lt;TODAY()),"期限超過",""))</f>
        <v/>
      </c>
    </row>
    <row r="18">
      <c r="A18" s="18" t="n"/>
      <c r="B18" s="18" t="n"/>
      <c r="C18" s="21">
        <f>IF(B18="","",IFERROR(INDEX('タスク一覧'!$B:$B,MATCH(B18,'タスク一覧'!$A:$A,0)),"タスクIDが未登録"))</f>
        <v/>
      </c>
      <c r="D18" s="21">
        <f>IF(B18="","",IFERROR(INDEX('タスク一覧'!$C:$C,MATCH(B18,'タスク一覧'!$A:$A,0)),""))</f>
        <v/>
      </c>
      <c r="E18" s="21">
        <f>IF(B18="","",IFERROR(INDEX('タスク一覧'!$D:$D,MATCH(B18,'タスク一覧'!$A:$A,0)),""))</f>
        <v/>
      </c>
      <c r="F18" s="18" t="n"/>
      <c r="G18" s="18" t="n"/>
      <c r="H18" s="33" t="n"/>
      <c r="I18" s="18" t="n"/>
      <c r="J18" s="33" t="n"/>
      <c r="K18" s="18" t="n"/>
      <c r="L18" s="21">
        <f>IF(OR(B18="",H18=""),"",IF(AND(I18&lt;&gt;"完了",H18&lt;TODAY()),"期限超過",""))</f>
        <v/>
      </c>
    </row>
    <row r="19">
      <c r="A19" s="18" t="n"/>
      <c r="B19" s="18" t="n"/>
      <c r="C19" s="21">
        <f>IF(B19="","",IFERROR(INDEX('タスク一覧'!$B:$B,MATCH(B19,'タスク一覧'!$A:$A,0)),"タスクIDが未登録"))</f>
        <v/>
      </c>
      <c r="D19" s="21">
        <f>IF(B19="","",IFERROR(INDEX('タスク一覧'!$C:$C,MATCH(B19,'タスク一覧'!$A:$A,0)),""))</f>
        <v/>
      </c>
      <c r="E19" s="21">
        <f>IF(B19="","",IFERROR(INDEX('タスク一覧'!$D:$D,MATCH(B19,'タスク一覧'!$A:$A,0)),""))</f>
        <v/>
      </c>
      <c r="F19" s="18" t="n"/>
      <c r="G19" s="18" t="n"/>
      <c r="H19" s="33" t="n"/>
      <c r="I19" s="18" t="n"/>
      <c r="J19" s="33" t="n"/>
      <c r="K19" s="18" t="n"/>
      <c r="L19" s="21">
        <f>IF(OR(B19="",H19=""),"",IF(AND(I19&lt;&gt;"完了",H19&lt;TODAY()),"期限超過",""))</f>
        <v/>
      </c>
    </row>
    <row r="20">
      <c r="A20" s="18" t="n"/>
      <c r="B20" s="18" t="n"/>
      <c r="C20" s="21">
        <f>IF(B20="","",IFERROR(INDEX('タスク一覧'!$B:$B,MATCH(B20,'タスク一覧'!$A:$A,0)),"タスクIDが未登録"))</f>
        <v/>
      </c>
      <c r="D20" s="21">
        <f>IF(B20="","",IFERROR(INDEX('タスク一覧'!$C:$C,MATCH(B20,'タスク一覧'!$A:$A,0)),""))</f>
        <v/>
      </c>
      <c r="E20" s="21">
        <f>IF(B20="","",IFERROR(INDEX('タスク一覧'!$D:$D,MATCH(B20,'タスク一覧'!$A:$A,0)),""))</f>
        <v/>
      </c>
      <c r="F20" s="18" t="n"/>
      <c r="G20" s="18" t="n"/>
      <c r="H20" s="33" t="n"/>
      <c r="I20" s="18" t="n"/>
      <c r="J20" s="33" t="n"/>
      <c r="K20" s="18" t="n"/>
      <c r="L20" s="21">
        <f>IF(OR(B20="",H20=""),"",IF(AND(I20&lt;&gt;"完了",H20&lt;TODAY()),"期限超過",""))</f>
        <v/>
      </c>
    </row>
    <row r="21">
      <c r="A21" s="18" t="n"/>
      <c r="B21" s="18" t="n"/>
      <c r="C21" s="21">
        <f>IF(B21="","",IFERROR(INDEX('タスク一覧'!$B:$B,MATCH(B21,'タスク一覧'!$A:$A,0)),"タスクIDが未登録"))</f>
        <v/>
      </c>
      <c r="D21" s="21">
        <f>IF(B21="","",IFERROR(INDEX('タスク一覧'!$C:$C,MATCH(B21,'タスク一覧'!$A:$A,0)),""))</f>
        <v/>
      </c>
      <c r="E21" s="21">
        <f>IF(B21="","",IFERROR(INDEX('タスク一覧'!$D:$D,MATCH(B21,'タスク一覧'!$A:$A,0)),""))</f>
        <v/>
      </c>
      <c r="F21" s="18" t="n"/>
      <c r="G21" s="18" t="n"/>
      <c r="H21" s="33" t="n"/>
      <c r="I21" s="18" t="n"/>
      <c r="J21" s="33" t="n"/>
      <c r="K21" s="18" t="n"/>
      <c r="L21" s="21">
        <f>IF(OR(B21="",H21=""),"",IF(AND(I21&lt;&gt;"完了",H21&lt;TODAY()),"期限超過",""))</f>
        <v/>
      </c>
    </row>
    <row r="22">
      <c r="A22" s="18" t="n"/>
      <c r="B22" s="18" t="n"/>
      <c r="C22" s="21">
        <f>IF(B22="","",IFERROR(INDEX('タスク一覧'!$B:$B,MATCH(B22,'タスク一覧'!$A:$A,0)),"タスクIDが未登録"))</f>
        <v/>
      </c>
      <c r="D22" s="21">
        <f>IF(B22="","",IFERROR(INDEX('タスク一覧'!$C:$C,MATCH(B22,'タスク一覧'!$A:$A,0)),""))</f>
        <v/>
      </c>
      <c r="E22" s="21">
        <f>IF(B22="","",IFERROR(INDEX('タスク一覧'!$D:$D,MATCH(B22,'タスク一覧'!$A:$A,0)),""))</f>
        <v/>
      </c>
      <c r="F22" s="18" t="n"/>
      <c r="G22" s="18" t="n"/>
      <c r="H22" s="33" t="n"/>
      <c r="I22" s="18" t="n"/>
      <c r="J22" s="33" t="n"/>
      <c r="K22" s="18" t="n"/>
      <c r="L22" s="21">
        <f>IF(OR(B22="",H22=""),"",IF(AND(I22&lt;&gt;"完了",H22&lt;TODAY()),"期限超過",""))</f>
        <v/>
      </c>
    </row>
    <row r="23">
      <c r="A23" s="18" t="n"/>
      <c r="B23" s="18" t="n"/>
      <c r="C23" s="21">
        <f>IF(B23="","",IFERROR(INDEX('タスク一覧'!$B:$B,MATCH(B23,'タスク一覧'!$A:$A,0)),"タスクIDが未登録"))</f>
        <v/>
      </c>
      <c r="D23" s="21">
        <f>IF(B23="","",IFERROR(INDEX('タスク一覧'!$C:$C,MATCH(B23,'タスク一覧'!$A:$A,0)),""))</f>
        <v/>
      </c>
      <c r="E23" s="21">
        <f>IF(B23="","",IFERROR(INDEX('タスク一覧'!$D:$D,MATCH(B23,'タスク一覧'!$A:$A,0)),""))</f>
        <v/>
      </c>
      <c r="F23" s="18" t="n"/>
      <c r="G23" s="18" t="n"/>
      <c r="H23" s="33" t="n"/>
      <c r="I23" s="18" t="n"/>
      <c r="J23" s="33" t="n"/>
      <c r="K23" s="18" t="n"/>
      <c r="L23" s="21">
        <f>IF(OR(B23="",H23=""),"",IF(AND(I23&lt;&gt;"完了",H23&lt;TODAY()),"期限超過",""))</f>
        <v/>
      </c>
    </row>
    <row r="24">
      <c r="A24" s="18" t="n"/>
      <c r="B24" s="18" t="n"/>
      <c r="C24" s="21">
        <f>IF(B24="","",IFERROR(INDEX('タスク一覧'!$B:$B,MATCH(B24,'タスク一覧'!$A:$A,0)),"タスクIDが未登録"))</f>
        <v/>
      </c>
      <c r="D24" s="21">
        <f>IF(B24="","",IFERROR(INDEX('タスク一覧'!$C:$C,MATCH(B24,'タスク一覧'!$A:$A,0)),""))</f>
        <v/>
      </c>
      <c r="E24" s="21">
        <f>IF(B24="","",IFERROR(INDEX('タスク一覧'!$D:$D,MATCH(B24,'タスク一覧'!$A:$A,0)),""))</f>
        <v/>
      </c>
      <c r="F24" s="18" t="n"/>
      <c r="G24" s="18" t="n"/>
      <c r="H24" s="33" t="n"/>
      <c r="I24" s="18" t="n"/>
      <c r="J24" s="33" t="n"/>
      <c r="K24" s="18" t="n"/>
      <c r="L24" s="21">
        <f>IF(OR(B24="",H24=""),"",IF(AND(I24&lt;&gt;"完了",H24&lt;TODAY()),"期限超過",""))</f>
        <v/>
      </c>
    </row>
    <row r="25">
      <c r="A25" s="18" t="n"/>
      <c r="B25" s="18" t="n"/>
      <c r="C25" s="21">
        <f>IF(B25="","",IFERROR(INDEX('タスク一覧'!$B:$B,MATCH(B25,'タスク一覧'!$A:$A,0)),"タスクIDが未登録"))</f>
        <v/>
      </c>
      <c r="D25" s="21">
        <f>IF(B25="","",IFERROR(INDEX('タスク一覧'!$C:$C,MATCH(B25,'タスク一覧'!$A:$A,0)),""))</f>
        <v/>
      </c>
      <c r="E25" s="21">
        <f>IF(B25="","",IFERROR(INDEX('タスク一覧'!$D:$D,MATCH(B25,'タスク一覧'!$A:$A,0)),""))</f>
        <v/>
      </c>
      <c r="F25" s="18" t="n"/>
      <c r="G25" s="18" t="n"/>
      <c r="H25" s="33" t="n"/>
      <c r="I25" s="18" t="n"/>
      <c r="J25" s="33" t="n"/>
      <c r="K25" s="18" t="n"/>
      <c r="L25" s="21">
        <f>IF(OR(B25="",H25=""),"",IF(AND(I25&lt;&gt;"完了",H25&lt;TODAY()),"期限超過",""))</f>
        <v/>
      </c>
    </row>
    <row r="26">
      <c r="A26" s="18" t="n"/>
      <c r="B26" s="18" t="n"/>
      <c r="C26" s="21">
        <f>IF(B26="","",IFERROR(INDEX('タスク一覧'!$B:$B,MATCH(B26,'タスク一覧'!$A:$A,0)),"タスクIDが未登録"))</f>
        <v/>
      </c>
      <c r="D26" s="21">
        <f>IF(B26="","",IFERROR(INDEX('タスク一覧'!$C:$C,MATCH(B26,'タスク一覧'!$A:$A,0)),""))</f>
        <v/>
      </c>
      <c r="E26" s="21">
        <f>IF(B26="","",IFERROR(INDEX('タスク一覧'!$D:$D,MATCH(B26,'タスク一覧'!$A:$A,0)),""))</f>
        <v/>
      </c>
      <c r="F26" s="18" t="n"/>
      <c r="G26" s="18" t="n"/>
      <c r="H26" s="33" t="n"/>
      <c r="I26" s="18" t="n"/>
      <c r="J26" s="33" t="n"/>
      <c r="K26" s="18" t="n"/>
      <c r="L26" s="21">
        <f>IF(OR(B26="",H26=""),"",IF(AND(I26&lt;&gt;"完了",H26&lt;TODAY()),"期限超過",""))</f>
        <v/>
      </c>
    </row>
    <row r="27">
      <c r="A27" s="18" t="n"/>
      <c r="B27" s="18" t="n"/>
      <c r="C27" s="21">
        <f>IF(B27="","",IFERROR(INDEX('タスク一覧'!$B:$B,MATCH(B27,'タスク一覧'!$A:$A,0)),"タスクIDが未登録"))</f>
        <v/>
      </c>
      <c r="D27" s="21">
        <f>IF(B27="","",IFERROR(INDEX('タスク一覧'!$C:$C,MATCH(B27,'タスク一覧'!$A:$A,0)),""))</f>
        <v/>
      </c>
      <c r="E27" s="21">
        <f>IF(B27="","",IFERROR(INDEX('タスク一覧'!$D:$D,MATCH(B27,'タスク一覧'!$A:$A,0)),""))</f>
        <v/>
      </c>
      <c r="F27" s="18" t="n"/>
      <c r="G27" s="18" t="n"/>
      <c r="H27" s="33" t="n"/>
      <c r="I27" s="18" t="n"/>
      <c r="J27" s="33" t="n"/>
      <c r="K27" s="18" t="n"/>
      <c r="L27" s="21">
        <f>IF(OR(B27="",H27=""),"",IF(AND(I27&lt;&gt;"完了",H27&lt;TODAY()),"期限超過",""))</f>
        <v/>
      </c>
    </row>
    <row r="28">
      <c r="A28" s="18" t="n"/>
      <c r="B28" s="18" t="n"/>
      <c r="C28" s="21">
        <f>IF(B28="","",IFERROR(INDEX('タスク一覧'!$B:$B,MATCH(B28,'タスク一覧'!$A:$A,0)),"タスクIDが未登録"))</f>
        <v/>
      </c>
      <c r="D28" s="21">
        <f>IF(B28="","",IFERROR(INDEX('タスク一覧'!$C:$C,MATCH(B28,'タスク一覧'!$A:$A,0)),""))</f>
        <v/>
      </c>
      <c r="E28" s="21">
        <f>IF(B28="","",IFERROR(INDEX('タスク一覧'!$D:$D,MATCH(B28,'タスク一覧'!$A:$A,0)),""))</f>
        <v/>
      </c>
      <c r="F28" s="18" t="n"/>
      <c r="G28" s="18" t="n"/>
      <c r="H28" s="33" t="n"/>
      <c r="I28" s="18" t="n"/>
      <c r="J28" s="33" t="n"/>
      <c r="K28" s="18" t="n"/>
      <c r="L28" s="21">
        <f>IF(OR(B28="",H28=""),"",IF(AND(I28&lt;&gt;"完了",H28&lt;TODAY()),"期限超過",""))</f>
        <v/>
      </c>
    </row>
    <row r="29">
      <c r="A29" s="18" t="n"/>
      <c r="B29" s="18" t="n"/>
      <c r="C29" s="21">
        <f>IF(B29="","",IFERROR(INDEX('タスク一覧'!$B:$B,MATCH(B29,'タスク一覧'!$A:$A,0)),"タスクIDが未登録"))</f>
        <v/>
      </c>
      <c r="D29" s="21">
        <f>IF(B29="","",IFERROR(INDEX('タスク一覧'!$C:$C,MATCH(B29,'タスク一覧'!$A:$A,0)),""))</f>
        <v/>
      </c>
      <c r="E29" s="21">
        <f>IF(B29="","",IFERROR(INDEX('タスク一覧'!$D:$D,MATCH(B29,'タスク一覧'!$A:$A,0)),""))</f>
        <v/>
      </c>
      <c r="F29" s="18" t="n"/>
      <c r="G29" s="18" t="n"/>
      <c r="H29" s="33" t="n"/>
      <c r="I29" s="18" t="n"/>
      <c r="J29" s="33" t="n"/>
      <c r="K29" s="18" t="n"/>
      <c r="L29" s="21">
        <f>IF(OR(B29="",H29=""),"",IF(AND(I29&lt;&gt;"完了",H29&lt;TODAY()),"期限超過",""))</f>
        <v/>
      </c>
    </row>
    <row r="30">
      <c r="A30" s="18" t="n"/>
      <c r="B30" s="18" t="n"/>
      <c r="C30" s="21">
        <f>IF(B30="","",IFERROR(INDEX('タスク一覧'!$B:$B,MATCH(B30,'タスク一覧'!$A:$A,0)),"タスクIDが未登録"))</f>
        <v/>
      </c>
      <c r="D30" s="21">
        <f>IF(B30="","",IFERROR(INDEX('タスク一覧'!$C:$C,MATCH(B30,'タスク一覧'!$A:$A,0)),""))</f>
        <v/>
      </c>
      <c r="E30" s="21">
        <f>IF(B30="","",IFERROR(INDEX('タスク一覧'!$D:$D,MATCH(B30,'タスク一覧'!$A:$A,0)),""))</f>
        <v/>
      </c>
      <c r="F30" s="18" t="n"/>
      <c r="G30" s="18" t="n"/>
      <c r="H30" s="33" t="n"/>
      <c r="I30" s="18" t="n"/>
      <c r="J30" s="33" t="n"/>
      <c r="K30" s="18" t="n"/>
      <c r="L30" s="21">
        <f>IF(OR(B30="",H30=""),"",IF(AND(I30&lt;&gt;"完了",H30&lt;TODAY()),"期限超過",""))</f>
        <v/>
      </c>
    </row>
    <row r="31">
      <c r="A31" s="18" t="n"/>
      <c r="B31" s="18" t="n"/>
      <c r="C31" s="21">
        <f>IF(B31="","",IFERROR(INDEX('タスク一覧'!$B:$B,MATCH(B31,'タスク一覧'!$A:$A,0)),"タスクIDが未登録"))</f>
        <v/>
      </c>
      <c r="D31" s="21">
        <f>IF(B31="","",IFERROR(INDEX('タスク一覧'!$C:$C,MATCH(B31,'タスク一覧'!$A:$A,0)),""))</f>
        <v/>
      </c>
      <c r="E31" s="21">
        <f>IF(B31="","",IFERROR(INDEX('タスク一覧'!$D:$D,MATCH(B31,'タスク一覧'!$A:$A,0)),""))</f>
        <v/>
      </c>
      <c r="F31" s="18" t="n"/>
      <c r="G31" s="18" t="n"/>
      <c r="H31" s="33" t="n"/>
      <c r="I31" s="18" t="n"/>
      <c r="J31" s="33" t="n"/>
      <c r="K31" s="18" t="n"/>
      <c r="L31" s="21">
        <f>IF(OR(B31="",H31=""),"",IF(AND(I31&lt;&gt;"完了",H31&lt;TODAY()),"期限超過",""))</f>
        <v/>
      </c>
    </row>
    <row r="32">
      <c r="A32" s="18" t="n"/>
      <c r="B32" s="18" t="n"/>
      <c r="C32" s="21">
        <f>IF(B32="","",IFERROR(INDEX('タスク一覧'!$B:$B,MATCH(B32,'タスク一覧'!$A:$A,0)),"タスクIDが未登録"))</f>
        <v/>
      </c>
      <c r="D32" s="21">
        <f>IF(B32="","",IFERROR(INDEX('タスク一覧'!$C:$C,MATCH(B32,'タスク一覧'!$A:$A,0)),""))</f>
        <v/>
      </c>
      <c r="E32" s="21">
        <f>IF(B32="","",IFERROR(INDEX('タスク一覧'!$D:$D,MATCH(B32,'タスク一覧'!$A:$A,0)),""))</f>
        <v/>
      </c>
      <c r="F32" s="18" t="n"/>
      <c r="G32" s="18" t="n"/>
      <c r="H32" s="33" t="n"/>
      <c r="I32" s="18" t="n"/>
      <c r="J32" s="33" t="n"/>
      <c r="K32" s="18" t="n"/>
      <c r="L32" s="21">
        <f>IF(OR(B32="",H32=""),"",IF(AND(I32&lt;&gt;"完了",H32&lt;TODAY()),"期限超過",""))</f>
        <v/>
      </c>
    </row>
    <row r="33">
      <c r="A33" s="18" t="n"/>
      <c r="B33" s="18" t="n"/>
      <c r="C33" s="21">
        <f>IF(B33="","",IFERROR(INDEX('タスク一覧'!$B:$B,MATCH(B33,'タスク一覧'!$A:$A,0)),"タスクIDが未登録"))</f>
        <v/>
      </c>
      <c r="D33" s="21">
        <f>IF(B33="","",IFERROR(INDEX('タスク一覧'!$C:$C,MATCH(B33,'タスク一覧'!$A:$A,0)),""))</f>
        <v/>
      </c>
      <c r="E33" s="21">
        <f>IF(B33="","",IFERROR(INDEX('タスク一覧'!$D:$D,MATCH(B33,'タスク一覧'!$A:$A,0)),""))</f>
        <v/>
      </c>
      <c r="F33" s="18" t="n"/>
      <c r="G33" s="18" t="n"/>
      <c r="H33" s="33" t="n"/>
      <c r="I33" s="18" t="n"/>
      <c r="J33" s="33" t="n"/>
      <c r="K33" s="18" t="n"/>
      <c r="L33" s="21">
        <f>IF(OR(B33="",H33=""),"",IF(AND(I33&lt;&gt;"完了",H33&lt;TODAY()),"期限超過",""))</f>
        <v/>
      </c>
    </row>
    <row r="34">
      <c r="A34" s="18" t="n"/>
      <c r="B34" s="18" t="n"/>
      <c r="C34" s="21">
        <f>IF(B34="","",IFERROR(INDEX('タスク一覧'!$B:$B,MATCH(B34,'タスク一覧'!$A:$A,0)),"タスクIDが未登録"))</f>
        <v/>
      </c>
      <c r="D34" s="21">
        <f>IF(B34="","",IFERROR(INDEX('タスク一覧'!$C:$C,MATCH(B34,'タスク一覧'!$A:$A,0)),""))</f>
        <v/>
      </c>
      <c r="E34" s="21">
        <f>IF(B34="","",IFERROR(INDEX('タスク一覧'!$D:$D,MATCH(B34,'タスク一覧'!$A:$A,0)),""))</f>
        <v/>
      </c>
      <c r="F34" s="18" t="n"/>
      <c r="G34" s="18" t="n"/>
      <c r="H34" s="33" t="n"/>
      <c r="I34" s="18" t="n"/>
      <c r="J34" s="33" t="n"/>
      <c r="K34" s="18" t="n"/>
      <c r="L34" s="21">
        <f>IF(OR(B34="",H34=""),"",IF(AND(I34&lt;&gt;"完了",H34&lt;TODAY()),"期限超過",""))</f>
        <v/>
      </c>
    </row>
    <row r="35">
      <c r="A35" s="18" t="n"/>
      <c r="B35" s="18" t="n"/>
      <c r="C35" s="21">
        <f>IF(B35="","",IFERROR(INDEX('タスク一覧'!$B:$B,MATCH(B35,'タスク一覧'!$A:$A,0)),"タスクIDが未登録"))</f>
        <v/>
      </c>
      <c r="D35" s="21">
        <f>IF(B35="","",IFERROR(INDEX('タスク一覧'!$C:$C,MATCH(B35,'タスク一覧'!$A:$A,0)),""))</f>
        <v/>
      </c>
      <c r="E35" s="21">
        <f>IF(B35="","",IFERROR(INDEX('タスク一覧'!$D:$D,MATCH(B35,'タスク一覧'!$A:$A,0)),""))</f>
        <v/>
      </c>
      <c r="F35" s="18" t="n"/>
      <c r="G35" s="18" t="n"/>
      <c r="H35" s="33" t="n"/>
      <c r="I35" s="18" t="n"/>
      <c r="J35" s="33" t="n"/>
      <c r="K35" s="18" t="n"/>
      <c r="L35" s="21">
        <f>IF(OR(B35="",H35=""),"",IF(AND(I35&lt;&gt;"完了",H35&lt;TODAY()),"期限超過",""))</f>
        <v/>
      </c>
    </row>
    <row r="36">
      <c r="A36" s="18" t="n"/>
      <c r="B36" s="18" t="n"/>
      <c r="C36" s="21">
        <f>IF(B36="","",IFERROR(INDEX('タスク一覧'!$B:$B,MATCH(B36,'タスク一覧'!$A:$A,0)),"タスクIDが未登録"))</f>
        <v/>
      </c>
      <c r="D36" s="21">
        <f>IF(B36="","",IFERROR(INDEX('タスク一覧'!$C:$C,MATCH(B36,'タスク一覧'!$A:$A,0)),""))</f>
        <v/>
      </c>
      <c r="E36" s="21">
        <f>IF(B36="","",IFERROR(INDEX('タスク一覧'!$D:$D,MATCH(B36,'タスク一覧'!$A:$A,0)),""))</f>
        <v/>
      </c>
      <c r="F36" s="18" t="n"/>
      <c r="G36" s="18" t="n"/>
      <c r="H36" s="33" t="n"/>
      <c r="I36" s="18" t="n"/>
      <c r="J36" s="33" t="n"/>
      <c r="K36" s="18" t="n"/>
      <c r="L36" s="21">
        <f>IF(OR(B36="",H36=""),"",IF(AND(I36&lt;&gt;"完了",H36&lt;TODAY()),"期限超過",""))</f>
        <v/>
      </c>
    </row>
    <row r="37">
      <c r="A37" s="18" t="n"/>
      <c r="B37" s="18" t="n"/>
      <c r="C37" s="21">
        <f>IF(B37="","",IFERROR(INDEX('タスク一覧'!$B:$B,MATCH(B37,'タスク一覧'!$A:$A,0)),"タスクIDが未登録"))</f>
        <v/>
      </c>
      <c r="D37" s="21">
        <f>IF(B37="","",IFERROR(INDEX('タスク一覧'!$C:$C,MATCH(B37,'タスク一覧'!$A:$A,0)),""))</f>
        <v/>
      </c>
      <c r="E37" s="21">
        <f>IF(B37="","",IFERROR(INDEX('タスク一覧'!$D:$D,MATCH(B37,'タスク一覧'!$A:$A,0)),""))</f>
        <v/>
      </c>
      <c r="F37" s="18" t="n"/>
      <c r="G37" s="18" t="n"/>
      <c r="H37" s="33" t="n"/>
      <c r="I37" s="18" t="n"/>
      <c r="J37" s="33" t="n"/>
      <c r="K37" s="18" t="n"/>
      <c r="L37" s="21">
        <f>IF(OR(B37="",H37=""),"",IF(AND(I37&lt;&gt;"完了",H37&lt;TODAY()),"期限超過",""))</f>
        <v/>
      </c>
    </row>
    <row r="38">
      <c r="A38" s="18" t="n"/>
      <c r="B38" s="18" t="n"/>
      <c r="C38" s="21">
        <f>IF(B38="","",IFERROR(INDEX('タスク一覧'!$B:$B,MATCH(B38,'タスク一覧'!$A:$A,0)),"タスクIDが未登録"))</f>
        <v/>
      </c>
      <c r="D38" s="21">
        <f>IF(B38="","",IFERROR(INDEX('タスク一覧'!$C:$C,MATCH(B38,'タスク一覧'!$A:$A,0)),""))</f>
        <v/>
      </c>
      <c r="E38" s="21">
        <f>IF(B38="","",IFERROR(INDEX('タスク一覧'!$D:$D,MATCH(B38,'タスク一覧'!$A:$A,0)),""))</f>
        <v/>
      </c>
      <c r="F38" s="18" t="n"/>
      <c r="G38" s="18" t="n"/>
      <c r="H38" s="33" t="n"/>
      <c r="I38" s="18" t="n"/>
      <c r="J38" s="33" t="n"/>
      <c r="K38" s="18" t="n"/>
      <c r="L38" s="21">
        <f>IF(OR(B38="",H38=""),"",IF(AND(I38&lt;&gt;"完了",H38&lt;TODAY()),"期限超過",""))</f>
        <v/>
      </c>
    </row>
    <row r="39">
      <c r="A39" s="18" t="n"/>
      <c r="B39" s="18" t="n"/>
      <c r="C39" s="21">
        <f>IF(B39="","",IFERROR(INDEX('タスク一覧'!$B:$B,MATCH(B39,'タスク一覧'!$A:$A,0)),"タスクIDが未登録"))</f>
        <v/>
      </c>
      <c r="D39" s="21">
        <f>IF(B39="","",IFERROR(INDEX('タスク一覧'!$C:$C,MATCH(B39,'タスク一覧'!$A:$A,0)),""))</f>
        <v/>
      </c>
      <c r="E39" s="21">
        <f>IF(B39="","",IFERROR(INDEX('タスク一覧'!$D:$D,MATCH(B39,'タスク一覧'!$A:$A,0)),""))</f>
        <v/>
      </c>
      <c r="F39" s="18" t="n"/>
      <c r="G39" s="18" t="n"/>
      <c r="H39" s="33" t="n"/>
      <c r="I39" s="18" t="n"/>
      <c r="J39" s="33" t="n"/>
      <c r="K39" s="18" t="n"/>
      <c r="L39" s="21">
        <f>IF(OR(B39="",H39=""),"",IF(AND(I39&lt;&gt;"完了",H39&lt;TODAY()),"期限超過",""))</f>
        <v/>
      </c>
    </row>
    <row r="40">
      <c r="A40" s="18" t="n"/>
      <c r="B40" s="18" t="n"/>
      <c r="C40" s="21">
        <f>IF(B40="","",IFERROR(INDEX('タスク一覧'!$B:$B,MATCH(B40,'タスク一覧'!$A:$A,0)),"タスクIDが未登録"))</f>
        <v/>
      </c>
      <c r="D40" s="21">
        <f>IF(B40="","",IFERROR(INDEX('タスク一覧'!$C:$C,MATCH(B40,'タスク一覧'!$A:$A,0)),""))</f>
        <v/>
      </c>
      <c r="E40" s="21">
        <f>IF(B40="","",IFERROR(INDEX('タスク一覧'!$D:$D,MATCH(B40,'タスク一覧'!$A:$A,0)),""))</f>
        <v/>
      </c>
      <c r="F40" s="18" t="n"/>
      <c r="G40" s="18" t="n"/>
      <c r="H40" s="33" t="n"/>
      <c r="I40" s="18" t="n"/>
      <c r="J40" s="33" t="n"/>
      <c r="K40" s="18" t="n"/>
      <c r="L40" s="21">
        <f>IF(OR(B40="",H40=""),"",IF(AND(I40&lt;&gt;"完了",H40&lt;TODAY()),"期限超過",""))</f>
        <v/>
      </c>
    </row>
    <row r="41">
      <c r="A41" s="18" t="n"/>
      <c r="B41" s="18" t="n"/>
      <c r="C41" s="21">
        <f>IF(B41="","",IFERROR(INDEX('タスク一覧'!$B:$B,MATCH(B41,'タスク一覧'!$A:$A,0)),"タスクIDが未登録"))</f>
        <v/>
      </c>
      <c r="D41" s="21">
        <f>IF(B41="","",IFERROR(INDEX('タスク一覧'!$C:$C,MATCH(B41,'タスク一覧'!$A:$A,0)),""))</f>
        <v/>
      </c>
      <c r="E41" s="21">
        <f>IF(B41="","",IFERROR(INDEX('タスク一覧'!$D:$D,MATCH(B41,'タスク一覧'!$A:$A,0)),""))</f>
        <v/>
      </c>
      <c r="F41" s="18" t="n"/>
      <c r="G41" s="18" t="n"/>
      <c r="H41" s="33" t="n"/>
      <c r="I41" s="18" t="n"/>
      <c r="J41" s="33" t="n"/>
      <c r="K41" s="18" t="n"/>
      <c r="L41" s="21">
        <f>IF(OR(B41="",H41=""),"",IF(AND(I41&lt;&gt;"完了",H41&lt;TODAY()),"期限超過",""))</f>
        <v/>
      </c>
    </row>
    <row r="42">
      <c r="A42" s="18" t="n"/>
      <c r="B42" s="18" t="n"/>
      <c r="C42" s="21">
        <f>IF(B42="","",IFERROR(INDEX('タスク一覧'!$B:$B,MATCH(B42,'タスク一覧'!$A:$A,0)),"タスクIDが未登録"))</f>
        <v/>
      </c>
      <c r="D42" s="21">
        <f>IF(B42="","",IFERROR(INDEX('タスク一覧'!$C:$C,MATCH(B42,'タスク一覧'!$A:$A,0)),""))</f>
        <v/>
      </c>
      <c r="E42" s="21">
        <f>IF(B42="","",IFERROR(INDEX('タスク一覧'!$D:$D,MATCH(B42,'タスク一覧'!$A:$A,0)),""))</f>
        <v/>
      </c>
      <c r="F42" s="18" t="n"/>
      <c r="G42" s="18" t="n"/>
      <c r="H42" s="33" t="n"/>
      <c r="I42" s="18" t="n"/>
      <c r="J42" s="33" t="n"/>
      <c r="K42" s="18" t="n"/>
      <c r="L42" s="21">
        <f>IF(OR(B42="",H42=""),"",IF(AND(I42&lt;&gt;"完了",H42&lt;TODAY()),"期限超過",""))</f>
        <v/>
      </c>
    </row>
    <row r="43">
      <c r="A43" s="18" t="n"/>
      <c r="B43" s="18" t="n"/>
      <c r="C43" s="21">
        <f>IF(B43="","",IFERROR(INDEX('タスク一覧'!$B:$B,MATCH(B43,'タスク一覧'!$A:$A,0)),"タスクIDが未登録"))</f>
        <v/>
      </c>
      <c r="D43" s="21">
        <f>IF(B43="","",IFERROR(INDEX('タスク一覧'!$C:$C,MATCH(B43,'タスク一覧'!$A:$A,0)),""))</f>
        <v/>
      </c>
      <c r="E43" s="21">
        <f>IF(B43="","",IFERROR(INDEX('タスク一覧'!$D:$D,MATCH(B43,'タスク一覧'!$A:$A,0)),""))</f>
        <v/>
      </c>
      <c r="F43" s="18" t="n"/>
      <c r="G43" s="18" t="n"/>
      <c r="H43" s="33" t="n"/>
      <c r="I43" s="18" t="n"/>
      <c r="J43" s="33" t="n"/>
      <c r="K43" s="18" t="n"/>
      <c r="L43" s="21">
        <f>IF(OR(B43="",H43=""),"",IF(AND(I43&lt;&gt;"完了",H43&lt;TODAY()),"期限超過",""))</f>
        <v/>
      </c>
    </row>
    <row r="44">
      <c r="A44" s="18" t="n"/>
      <c r="B44" s="18" t="n"/>
      <c r="C44" s="21">
        <f>IF(B44="","",IFERROR(INDEX('タスク一覧'!$B:$B,MATCH(B44,'タスク一覧'!$A:$A,0)),"タスクIDが未登録"))</f>
        <v/>
      </c>
      <c r="D44" s="21">
        <f>IF(B44="","",IFERROR(INDEX('タスク一覧'!$C:$C,MATCH(B44,'タスク一覧'!$A:$A,0)),""))</f>
        <v/>
      </c>
      <c r="E44" s="21">
        <f>IF(B44="","",IFERROR(INDEX('タスク一覧'!$D:$D,MATCH(B44,'タスク一覧'!$A:$A,0)),""))</f>
        <v/>
      </c>
      <c r="F44" s="18" t="n"/>
      <c r="G44" s="18" t="n"/>
      <c r="H44" s="33" t="n"/>
      <c r="I44" s="18" t="n"/>
      <c r="J44" s="33" t="n"/>
      <c r="K44" s="18" t="n"/>
      <c r="L44" s="21">
        <f>IF(OR(B44="",H44=""),"",IF(AND(I44&lt;&gt;"完了",H44&lt;TODAY()),"期限超過",""))</f>
        <v/>
      </c>
    </row>
    <row r="45">
      <c r="A45" s="18" t="n"/>
      <c r="B45" s="18" t="n"/>
      <c r="C45" s="21">
        <f>IF(B45="","",IFERROR(INDEX('タスク一覧'!$B:$B,MATCH(B45,'タスク一覧'!$A:$A,0)),"タスクIDが未登録"))</f>
        <v/>
      </c>
      <c r="D45" s="21">
        <f>IF(B45="","",IFERROR(INDEX('タスク一覧'!$C:$C,MATCH(B45,'タスク一覧'!$A:$A,0)),""))</f>
        <v/>
      </c>
      <c r="E45" s="21">
        <f>IF(B45="","",IFERROR(INDEX('タスク一覧'!$D:$D,MATCH(B45,'タスク一覧'!$A:$A,0)),""))</f>
        <v/>
      </c>
      <c r="F45" s="18" t="n"/>
      <c r="G45" s="18" t="n"/>
      <c r="H45" s="33" t="n"/>
      <c r="I45" s="18" t="n"/>
      <c r="J45" s="33" t="n"/>
      <c r="K45" s="18" t="n"/>
      <c r="L45" s="21">
        <f>IF(OR(B45="",H45=""),"",IF(AND(I45&lt;&gt;"完了",H45&lt;TODAY()),"期限超過",""))</f>
        <v/>
      </c>
    </row>
    <row r="46">
      <c r="A46" s="18" t="n"/>
      <c r="B46" s="18" t="n"/>
      <c r="C46" s="21">
        <f>IF(B46="","",IFERROR(INDEX('タスク一覧'!$B:$B,MATCH(B46,'タスク一覧'!$A:$A,0)),"タスクIDが未登録"))</f>
        <v/>
      </c>
      <c r="D46" s="21">
        <f>IF(B46="","",IFERROR(INDEX('タスク一覧'!$C:$C,MATCH(B46,'タスク一覧'!$A:$A,0)),""))</f>
        <v/>
      </c>
      <c r="E46" s="21">
        <f>IF(B46="","",IFERROR(INDEX('タスク一覧'!$D:$D,MATCH(B46,'タスク一覧'!$A:$A,0)),""))</f>
        <v/>
      </c>
      <c r="F46" s="18" t="n"/>
      <c r="G46" s="18" t="n"/>
      <c r="H46" s="33" t="n"/>
      <c r="I46" s="18" t="n"/>
      <c r="J46" s="33" t="n"/>
      <c r="K46" s="18" t="n"/>
      <c r="L46" s="21">
        <f>IF(OR(B46="",H46=""),"",IF(AND(I46&lt;&gt;"完了",H46&lt;TODAY()),"期限超過",""))</f>
        <v/>
      </c>
    </row>
    <row r="47">
      <c r="A47" s="18" t="n"/>
      <c r="B47" s="18" t="n"/>
      <c r="C47" s="21">
        <f>IF(B47="","",IFERROR(INDEX('タスク一覧'!$B:$B,MATCH(B47,'タスク一覧'!$A:$A,0)),"タスクIDが未登録"))</f>
        <v/>
      </c>
      <c r="D47" s="21">
        <f>IF(B47="","",IFERROR(INDEX('タスク一覧'!$C:$C,MATCH(B47,'タスク一覧'!$A:$A,0)),""))</f>
        <v/>
      </c>
      <c r="E47" s="21">
        <f>IF(B47="","",IFERROR(INDEX('タスク一覧'!$D:$D,MATCH(B47,'タスク一覧'!$A:$A,0)),""))</f>
        <v/>
      </c>
      <c r="F47" s="18" t="n"/>
      <c r="G47" s="18" t="n"/>
      <c r="H47" s="33" t="n"/>
      <c r="I47" s="18" t="n"/>
      <c r="J47" s="33" t="n"/>
      <c r="K47" s="18" t="n"/>
      <c r="L47" s="21">
        <f>IF(OR(B47="",H47=""),"",IF(AND(I47&lt;&gt;"完了",H47&lt;TODAY()),"期限超過",""))</f>
        <v/>
      </c>
    </row>
    <row r="48">
      <c r="A48" s="18" t="n"/>
      <c r="B48" s="18" t="n"/>
      <c r="C48" s="21">
        <f>IF(B48="","",IFERROR(INDEX('タスク一覧'!$B:$B,MATCH(B48,'タスク一覧'!$A:$A,0)),"タスクIDが未登録"))</f>
        <v/>
      </c>
      <c r="D48" s="21">
        <f>IF(B48="","",IFERROR(INDEX('タスク一覧'!$C:$C,MATCH(B48,'タスク一覧'!$A:$A,0)),""))</f>
        <v/>
      </c>
      <c r="E48" s="21">
        <f>IF(B48="","",IFERROR(INDEX('タスク一覧'!$D:$D,MATCH(B48,'タスク一覧'!$A:$A,0)),""))</f>
        <v/>
      </c>
      <c r="F48" s="18" t="n"/>
      <c r="G48" s="18" t="n"/>
      <c r="H48" s="33" t="n"/>
      <c r="I48" s="18" t="n"/>
      <c r="J48" s="33" t="n"/>
      <c r="K48" s="18" t="n"/>
      <c r="L48" s="21">
        <f>IF(OR(B48="",H48=""),"",IF(AND(I48&lt;&gt;"完了",H48&lt;TODAY()),"期限超過",""))</f>
        <v/>
      </c>
    </row>
    <row r="49">
      <c r="A49" s="18" t="n"/>
      <c r="B49" s="18" t="n"/>
      <c r="C49" s="21">
        <f>IF(B49="","",IFERROR(INDEX('タスク一覧'!$B:$B,MATCH(B49,'タスク一覧'!$A:$A,0)),"タスクIDが未登録"))</f>
        <v/>
      </c>
      <c r="D49" s="21">
        <f>IF(B49="","",IFERROR(INDEX('タスク一覧'!$C:$C,MATCH(B49,'タスク一覧'!$A:$A,0)),""))</f>
        <v/>
      </c>
      <c r="E49" s="21">
        <f>IF(B49="","",IFERROR(INDEX('タスク一覧'!$D:$D,MATCH(B49,'タスク一覧'!$A:$A,0)),""))</f>
        <v/>
      </c>
      <c r="F49" s="18" t="n"/>
      <c r="G49" s="18" t="n"/>
      <c r="H49" s="33" t="n"/>
      <c r="I49" s="18" t="n"/>
      <c r="J49" s="33" t="n"/>
      <c r="K49" s="18" t="n"/>
      <c r="L49" s="21">
        <f>IF(OR(B49="",H49=""),"",IF(AND(I49&lt;&gt;"完了",H49&lt;TODAY()),"期限超過",""))</f>
        <v/>
      </c>
    </row>
    <row r="50">
      <c r="A50" s="18" t="n"/>
      <c r="B50" s="18" t="n"/>
      <c r="C50" s="21">
        <f>IF(B50="","",IFERROR(INDEX('タスク一覧'!$B:$B,MATCH(B50,'タスク一覧'!$A:$A,0)),"タスクIDが未登録"))</f>
        <v/>
      </c>
      <c r="D50" s="21">
        <f>IF(B50="","",IFERROR(INDEX('タスク一覧'!$C:$C,MATCH(B50,'タスク一覧'!$A:$A,0)),""))</f>
        <v/>
      </c>
      <c r="E50" s="21">
        <f>IF(B50="","",IFERROR(INDEX('タスク一覧'!$D:$D,MATCH(B50,'タスク一覧'!$A:$A,0)),""))</f>
        <v/>
      </c>
      <c r="F50" s="18" t="n"/>
      <c r="G50" s="18" t="n"/>
      <c r="H50" s="33" t="n"/>
      <c r="I50" s="18" t="n"/>
      <c r="J50" s="33" t="n"/>
      <c r="K50" s="18" t="n"/>
      <c r="L50" s="21">
        <f>IF(OR(B50="",H50=""),"",IF(AND(I50&lt;&gt;"完了",H50&lt;TODAY()),"期限超過",""))</f>
        <v/>
      </c>
    </row>
    <row r="51">
      <c r="A51" s="18" t="n"/>
      <c r="B51" s="18" t="n"/>
      <c r="C51" s="21">
        <f>IF(B51="","",IFERROR(INDEX('タスク一覧'!$B:$B,MATCH(B51,'タスク一覧'!$A:$A,0)),"タスクIDが未登録"))</f>
        <v/>
      </c>
      <c r="D51" s="21">
        <f>IF(B51="","",IFERROR(INDEX('タスク一覧'!$C:$C,MATCH(B51,'タスク一覧'!$A:$A,0)),""))</f>
        <v/>
      </c>
      <c r="E51" s="21">
        <f>IF(B51="","",IFERROR(INDEX('タスク一覧'!$D:$D,MATCH(B51,'タスク一覧'!$A:$A,0)),""))</f>
        <v/>
      </c>
      <c r="F51" s="18" t="n"/>
      <c r="G51" s="18" t="n"/>
      <c r="H51" s="33" t="n"/>
      <c r="I51" s="18" t="n"/>
      <c r="J51" s="33" t="n"/>
      <c r="K51" s="18" t="n"/>
      <c r="L51" s="21">
        <f>IF(OR(B51="",H51=""),"",IF(AND(I51&lt;&gt;"完了",H51&lt;TODAY()),"期限超過",""))</f>
        <v/>
      </c>
    </row>
    <row r="52">
      <c r="A52" s="18" t="n"/>
      <c r="B52" s="18" t="n"/>
      <c r="C52" s="21">
        <f>IF(B52="","",IFERROR(INDEX('タスク一覧'!$B:$B,MATCH(B52,'タスク一覧'!$A:$A,0)),"タスクIDが未登録"))</f>
        <v/>
      </c>
      <c r="D52" s="21">
        <f>IF(B52="","",IFERROR(INDEX('タスク一覧'!$C:$C,MATCH(B52,'タスク一覧'!$A:$A,0)),""))</f>
        <v/>
      </c>
      <c r="E52" s="21">
        <f>IF(B52="","",IFERROR(INDEX('タスク一覧'!$D:$D,MATCH(B52,'タスク一覧'!$A:$A,0)),""))</f>
        <v/>
      </c>
      <c r="F52" s="18" t="n"/>
      <c r="G52" s="18" t="n"/>
      <c r="H52" s="33" t="n"/>
      <c r="I52" s="18" t="n"/>
      <c r="J52" s="33" t="n"/>
      <c r="K52" s="18" t="n"/>
      <c r="L52" s="21">
        <f>IF(OR(B52="",H52=""),"",IF(AND(I52&lt;&gt;"完了",H52&lt;TODAY()),"期限超過",""))</f>
        <v/>
      </c>
    </row>
    <row r="53">
      <c r="A53" s="18" t="n"/>
      <c r="B53" s="18" t="n"/>
      <c r="C53" s="21">
        <f>IF(B53="","",IFERROR(INDEX('タスク一覧'!$B:$B,MATCH(B53,'タスク一覧'!$A:$A,0)),"タスクIDが未登録"))</f>
        <v/>
      </c>
      <c r="D53" s="21">
        <f>IF(B53="","",IFERROR(INDEX('タスク一覧'!$C:$C,MATCH(B53,'タスク一覧'!$A:$A,0)),""))</f>
        <v/>
      </c>
      <c r="E53" s="21">
        <f>IF(B53="","",IFERROR(INDEX('タスク一覧'!$D:$D,MATCH(B53,'タスク一覧'!$A:$A,0)),""))</f>
        <v/>
      </c>
      <c r="F53" s="18" t="n"/>
      <c r="G53" s="18" t="n"/>
      <c r="H53" s="33" t="n"/>
      <c r="I53" s="18" t="n"/>
      <c r="J53" s="33" t="n"/>
      <c r="K53" s="18" t="n"/>
      <c r="L53" s="21">
        <f>IF(OR(B53="",H53=""),"",IF(AND(I53&lt;&gt;"完了",H53&lt;TODAY()),"期限超過",""))</f>
        <v/>
      </c>
    </row>
    <row r="54">
      <c r="A54" s="18" t="n"/>
      <c r="B54" s="18" t="n"/>
      <c r="C54" s="21">
        <f>IF(B54="","",IFERROR(INDEX('タスク一覧'!$B:$B,MATCH(B54,'タスク一覧'!$A:$A,0)),"タスクIDが未登録"))</f>
        <v/>
      </c>
      <c r="D54" s="21">
        <f>IF(B54="","",IFERROR(INDEX('タスク一覧'!$C:$C,MATCH(B54,'タスク一覧'!$A:$A,0)),""))</f>
        <v/>
      </c>
      <c r="E54" s="21">
        <f>IF(B54="","",IFERROR(INDEX('タスク一覧'!$D:$D,MATCH(B54,'タスク一覧'!$A:$A,0)),""))</f>
        <v/>
      </c>
      <c r="F54" s="18" t="n"/>
      <c r="G54" s="18" t="n"/>
      <c r="H54" s="33" t="n"/>
      <c r="I54" s="18" t="n"/>
      <c r="J54" s="33" t="n"/>
      <c r="K54" s="18" t="n"/>
      <c r="L54" s="21">
        <f>IF(OR(B54="",H54=""),"",IF(AND(I54&lt;&gt;"完了",H54&lt;TODAY()),"期限超過",""))</f>
        <v/>
      </c>
    </row>
    <row r="55">
      <c r="A55" s="18" t="n"/>
      <c r="B55" s="18" t="n"/>
      <c r="C55" s="21">
        <f>IF(B55="","",IFERROR(INDEX('タスク一覧'!$B:$B,MATCH(B55,'タスク一覧'!$A:$A,0)),"タスクIDが未登録"))</f>
        <v/>
      </c>
      <c r="D55" s="21">
        <f>IF(B55="","",IFERROR(INDEX('タスク一覧'!$C:$C,MATCH(B55,'タスク一覧'!$A:$A,0)),""))</f>
        <v/>
      </c>
      <c r="E55" s="21">
        <f>IF(B55="","",IFERROR(INDEX('タスク一覧'!$D:$D,MATCH(B55,'タスク一覧'!$A:$A,0)),""))</f>
        <v/>
      </c>
      <c r="F55" s="18" t="n"/>
      <c r="G55" s="18" t="n"/>
      <c r="H55" s="33" t="n"/>
      <c r="I55" s="18" t="n"/>
      <c r="J55" s="33" t="n"/>
      <c r="K55" s="18" t="n"/>
      <c r="L55" s="21">
        <f>IF(OR(B55="",H55=""),"",IF(AND(I55&lt;&gt;"完了",H55&lt;TODAY()),"期限超過",""))</f>
        <v/>
      </c>
    </row>
    <row r="56">
      <c r="A56" s="18" t="n"/>
      <c r="B56" s="18" t="n"/>
      <c r="C56" s="21">
        <f>IF(B56="","",IFERROR(INDEX('タスク一覧'!$B:$B,MATCH(B56,'タスク一覧'!$A:$A,0)),"タスクIDが未登録"))</f>
        <v/>
      </c>
      <c r="D56" s="21">
        <f>IF(B56="","",IFERROR(INDEX('タスク一覧'!$C:$C,MATCH(B56,'タスク一覧'!$A:$A,0)),""))</f>
        <v/>
      </c>
      <c r="E56" s="21">
        <f>IF(B56="","",IFERROR(INDEX('タスク一覧'!$D:$D,MATCH(B56,'タスク一覧'!$A:$A,0)),""))</f>
        <v/>
      </c>
      <c r="F56" s="18" t="n"/>
      <c r="G56" s="18" t="n"/>
      <c r="H56" s="33" t="n"/>
      <c r="I56" s="18" t="n"/>
      <c r="J56" s="33" t="n"/>
      <c r="K56" s="18" t="n"/>
      <c r="L56" s="21">
        <f>IF(OR(B56="",H56=""),"",IF(AND(I56&lt;&gt;"完了",H56&lt;TODAY()),"期限超過",""))</f>
        <v/>
      </c>
    </row>
    <row r="57">
      <c r="A57" s="18" t="n"/>
      <c r="B57" s="18" t="n"/>
      <c r="C57" s="21">
        <f>IF(B57="","",IFERROR(INDEX('タスク一覧'!$B:$B,MATCH(B57,'タスク一覧'!$A:$A,0)),"タスクIDが未登録"))</f>
        <v/>
      </c>
      <c r="D57" s="21">
        <f>IF(B57="","",IFERROR(INDEX('タスク一覧'!$C:$C,MATCH(B57,'タスク一覧'!$A:$A,0)),""))</f>
        <v/>
      </c>
      <c r="E57" s="21">
        <f>IF(B57="","",IFERROR(INDEX('タスク一覧'!$D:$D,MATCH(B57,'タスク一覧'!$A:$A,0)),""))</f>
        <v/>
      </c>
      <c r="F57" s="18" t="n"/>
      <c r="G57" s="18" t="n"/>
      <c r="H57" s="33" t="n"/>
      <c r="I57" s="18" t="n"/>
      <c r="J57" s="33" t="n"/>
      <c r="K57" s="18" t="n"/>
      <c r="L57" s="21">
        <f>IF(OR(B57="",H57=""),"",IF(AND(I57&lt;&gt;"完了",H57&lt;TODAY()),"期限超過",""))</f>
        <v/>
      </c>
    </row>
    <row r="58">
      <c r="A58" s="18" t="n"/>
      <c r="B58" s="18" t="n"/>
      <c r="C58" s="21">
        <f>IF(B58="","",IFERROR(INDEX('タスク一覧'!$B:$B,MATCH(B58,'タスク一覧'!$A:$A,0)),"タスクIDが未登録"))</f>
        <v/>
      </c>
      <c r="D58" s="21">
        <f>IF(B58="","",IFERROR(INDEX('タスク一覧'!$C:$C,MATCH(B58,'タスク一覧'!$A:$A,0)),""))</f>
        <v/>
      </c>
      <c r="E58" s="21">
        <f>IF(B58="","",IFERROR(INDEX('タスク一覧'!$D:$D,MATCH(B58,'タスク一覧'!$A:$A,0)),""))</f>
        <v/>
      </c>
      <c r="F58" s="18" t="n"/>
      <c r="G58" s="18" t="n"/>
      <c r="H58" s="33" t="n"/>
      <c r="I58" s="18" t="n"/>
      <c r="J58" s="33" t="n"/>
      <c r="K58" s="18" t="n"/>
      <c r="L58" s="21">
        <f>IF(OR(B58="",H58=""),"",IF(AND(I58&lt;&gt;"完了",H58&lt;TODAY()),"期限超過",""))</f>
        <v/>
      </c>
    </row>
    <row r="59">
      <c r="A59" s="18" t="n"/>
      <c r="B59" s="18" t="n"/>
      <c r="C59" s="21">
        <f>IF(B59="","",IFERROR(INDEX('タスク一覧'!$B:$B,MATCH(B59,'タスク一覧'!$A:$A,0)),"タスクIDが未登録"))</f>
        <v/>
      </c>
      <c r="D59" s="21">
        <f>IF(B59="","",IFERROR(INDEX('タスク一覧'!$C:$C,MATCH(B59,'タスク一覧'!$A:$A,0)),""))</f>
        <v/>
      </c>
      <c r="E59" s="21">
        <f>IF(B59="","",IFERROR(INDEX('タスク一覧'!$D:$D,MATCH(B59,'タスク一覧'!$A:$A,0)),""))</f>
        <v/>
      </c>
      <c r="F59" s="18" t="n"/>
      <c r="G59" s="18" t="n"/>
      <c r="H59" s="33" t="n"/>
      <c r="I59" s="18" t="n"/>
      <c r="J59" s="33" t="n"/>
      <c r="K59" s="18" t="n"/>
      <c r="L59" s="21">
        <f>IF(OR(B59="",H59=""),"",IF(AND(I59&lt;&gt;"完了",H59&lt;TODAY()),"期限超過",""))</f>
        <v/>
      </c>
    </row>
    <row r="60">
      <c r="A60" s="18" t="n"/>
      <c r="B60" s="18" t="n"/>
      <c r="C60" s="21">
        <f>IF(B60="","",IFERROR(INDEX('タスク一覧'!$B:$B,MATCH(B60,'タスク一覧'!$A:$A,0)),"タスクIDが未登録"))</f>
        <v/>
      </c>
      <c r="D60" s="21">
        <f>IF(B60="","",IFERROR(INDEX('タスク一覧'!$C:$C,MATCH(B60,'タスク一覧'!$A:$A,0)),""))</f>
        <v/>
      </c>
      <c r="E60" s="21">
        <f>IF(B60="","",IFERROR(INDEX('タスク一覧'!$D:$D,MATCH(B60,'タスク一覧'!$A:$A,0)),""))</f>
        <v/>
      </c>
      <c r="F60" s="18" t="n"/>
      <c r="G60" s="18" t="n"/>
      <c r="H60" s="33" t="n"/>
      <c r="I60" s="18" t="n"/>
      <c r="J60" s="33" t="n"/>
      <c r="K60" s="18" t="n"/>
      <c r="L60" s="21">
        <f>IF(OR(B60="",H60=""),"",IF(AND(I60&lt;&gt;"完了",H60&lt;TODAY()),"期限超過",""))</f>
        <v/>
      </c>
    </row>
    <row r="61">
      <c r="A61" s="18" t="n"/>
      <c r="B61" s="18" t="n"/>
      <c r="C61" s="21">
        <f>IF(B61="","",IFERROR(INDEX('タスク一覧'!$B:$B,MATCH(B61,'タスク一覧'!$A:$A,0)),"タスクIDが未登録"))</f>
        <v/>
      </c>
      <c r="D61" s="21">
        <f>IF(B61="","",IFERROR(INDEX('タスク一覧'!$C:$C,MATCH(B61,'タスク一覧'!$A:$A,0)),""))</f>
        <v/>
      </c>
      <c r="E61" s="21">
        <f>IF(B61="","",IFERROR(INDEX('タスク一覧'!$D:$D,MATCH(B61,'タスク一覧'!$A:$A,0)),""))</f>
        <v/>
      </c>
      <c r="F61" s="18" t="n"/>
      <c r="G61" s="18" t="n"/>
      <c r="H61" s="33" t="n"/>
      <c r="I61" s="18" t="n"/>
      <c r="J61" s="33" t="n"/>
      <c r="K61" s="18" t="n"/>
      <c r="L61" s="21">
        <f>IF(OR(B61="",H61=""),"",IF(AND(I61&lt;&gt;"完了",H61&lt;TODAY()),"期限超過",""))</f>
        <v/>
      </c>
    </row>
    <row r="62">
      <c r="A62" s="18" t="n"/>
      <c r="B62" s="18" t="n"/>
      <c r="C62" s="21">
        <f>IF(B62="","",IFERROR(INDEX('タスク一覧'!$B:$B,MATCH(B62,'タスク一覧'!$A:$A,0)),"タスクIDが未登録"))</f>
        <v/>
      </c>
      <c r="D62" s="21">
        <f>IF(B62="","",IFERROR(INDEX('タスク一覧'!$C:$C,MATCH(B62,'タスク一覧'!$A:$A,0)),""))</f>
        <v/>
      </c>
      <c r="E62" s="21">
        <f>IF(B62="","",IFERROR(INDEX('タスク一覧'!$D:$D,MATCH(B62,'タスク一覧'!$A:$A,0)),""))</f>
        <v/>
      </c>
      <c r="F62" s="18" t="n"/>
      <c r="G62" s="18" t="n"/>
      <c r="H62" s="33" t="n"/>
      <c r="I62" s="18" t="n"/>
      <c r="J62" s="33" t="n"/>
      <c r="K62" s="18" t="n"/>
      <c r="L62" s="21">
        <f>IF(OR(B62="",H62=""),"",IF(AND(I62&lt;&gt;"完了",H62&lt;TODAY()),"期限超過",""))</f>
        <v/>
      </c>
    </row>
    <row r="63">
      <c r="A63" s="18" t="n"/>
      <c r="B63" s="18" t="n"/>
      <c r="C63" s="21">
        <f>IF(B63="","",IFERROR(INDEX('タスク一覧'!$B:$B,MATCH(B63,'タスク一覧'!$A:$A,0)),"タスクIDが未登録"))</f>
        <v/>
      </c>
      <c r="D63" s="21">
        <f>IF(B63="","",IFERROR(INDEX('タスク一覧'!$C:$C,MATCH(B63,'タスク一覧'!$A:$A,0)),""))</f>
        <v/>
      </c>
      <c r="E63" s="21">
        <f>IF(B63="","",IFERROR(INDEX('タスク一覧'!$D:$D,MATCH(B63,'タスク一覧'!$A:$A,0)),""))</f>
        <v/>
      </c>
      <c r="F63" s="18" t="n"/>
      <c r="G63" s="18" t="n"/>
      <c r="H63" s="33" t="n"/>
      <c r="I63" s="18" t="n"/>
      <c r="J63" s="33" t="n"/>
      <c r="K63" s="18" t="n"/>
      <c r="L63" s="21">
        <f>IF(OR(B63="",H63=""),"",IF(AND(I63&lt;&gt;"完了",H63&lt;TODAY()),"期限超過",""))</f>
        <v/>
      </c>
    </row>
    <row r="64">
      <c r="A64" s="18" t="n"/>
      <c r="B64" s="18" t="n"/>
      <c r="C64" s="21">
        <f>IF(B64="","",IFERROR(INDEX('タスク一覧'!$B:$B,MATCH(B64,'タスク一覧'!$A:$A,0)),"タスクIDが未登録"))</f>
        <v/>
      </c>
      <c r="D64" s="21">
        <f>IF(B64="","",IFERROR(INDEX('タスク一覧'!$C:$C,MATCH(B64,'タスク一覧'!$A:$A,0)),""))</f>
        <v/>
      </c>
      <c r="E64" s="21">
        <f>IF(B64="","",IFERROR(INDEX('タスク一覧'!$D:$D,MATCH(B64,'タスク一覧'!$A:$A,0)),""))</f>
        <v/>
      </c>
      <c r="F64" s="18" t="n"/>
      <c r="G64" s="18" t="n"/>
      <c r="H64" s="33" t="n"/>
      <c r="I64" s="18" t="n"/>
      <c r="J64" s="33" t="n"/>
      <c r="K64" s="18" t="n"/>
      <c r="L64" s="21">
        <f>IF(OR(B64="",H64=""),"",IF(AND(I64&lt;&gt;"完了",H64&lt;TODAY()),"期限超過",""))</f>
        <v/>
      </c>
    </row>
    <row r="65">
      <c r="A65" s="18" t="n"/>
      <c r="B65" s="18" t="n"/>
      <c r="C65" s="21">
        <f>IF(B65="","",IFERROR(INDEX('タスク一覧'!$B:$B,MATCH(B65,'タスク一覧'!$A:$A,0)),"タスクIDが未登録"))</f>
        <v/>
      </c>
      <c r="D65" s="21">
        <f>IF(B65="","",IFERROR(INDEX('タスク一覧'!$C:$C,MATCH(B65,'タスク一覧'!$A:$A,0)),""))</f>
        <v/>
      </c>
      <c r="E65" s="21">
        <f>IF(B65="","",IFERROR(INDEX('タスク一覧'!$D:$D,MATCH(B65,'タスク一覧'!$A:$A,0)),""))</f>
        <v/>
      </c>
      <c r="F65" s="18" t="n"/>
      <c r="G65" s="18" t="n"/>
      <c r="H65" s="33" t="n"/>
      <c r="I65" s="18" t="n"/>
      <c r="J65" s="33" t="n"/>
      <c r="K65" s="18" t="n"/>
      <c r="L65" s="21">
        <f>IF(OR(B65="",H65=""),"",IF(AND(I65&lt;&gt;"完了",H65&lt;TODAY()),"期限超過",""))</f>
        <v/>
      </c>
    </row>
    <row r="66">
      <c r="A66" s="18" t="n"/>
      <c r="B66" s="18" t="n"/>
      <c r="C66" s="21">
        <f>IF(B66="","",IFERROR(INDEX('タスク一覧'!$B:$B,MATCH(B66,'タスク一覧'!$A:$A,0)),"タスクIDが未登録"))</f>
        <v/>
      </c>
      <c r="D66" s="21">
        <f>IF(B66="","",IFERROR(INDEX('タスク一覧'!$C:$C,MATCH(B66,'タスク一覧'!$A:$A,0)),""))</f>
        <v/>
      </c>
      <c r="E66" s="21">
        <f>IF(B66="","",IFERROR(INDEX('タスク一覧'!$D:$D,MATCH(B66,'タスク一覧'!$A:$A,0)),""))</f>
        <v/>
      </c>
      <c r="F66" s="18" t="n"/>
      <c r="G66" s="18" t="n"/>
      <c r="H66" s="33" t="n"/>
      <c r="I66" s="18" t="n"/>
      <c r="J66" s="33" t="n"/>
      <c r="K66" s="18" t="n"/>
      <c r="L66" s="21">
        <f>IF(OR(B66="",H66=""),"",IF(AND(I66&lt;&gt;"完了",H66&lt;TODAY()),"期限超過",""))</f>
        <v/>
      </c>
    </row>
    <row r="67">
      <c r="A67" s="18" t="n"/>
      <c r="B67" s="18" t="n"/>
      <c r="C67" s="21">
        <f>IF(B67="","",IFERROR(INDEX('タスク一覧'!$B:$B,MATCH(B67,'タスク一覧'!$A:$A,0)),"タスクIDが未登録"))</f>
        <v/>
      </c>
      <c r="D67" s="21">
        <f>IF(B67="","",IFERROR(INDEX('タスク一覧'!$C:$C,MATCH(B67,'タスク一覧'!$A:$A,0)),""))</f>
        <v/>
      </c>
      <c r="E67" s="21">
        <f>IF(B67="","",IFERROR(INDEX('タスク一覧'!$D:$D,MATCH(B67,'タスク一覧'!$A:$A,0)),""))</f>
        <v/>
      </c>
      <c r="F67" s="18" t="n"/>
      <c r="G67" s="18" t="n"/>
      <c r="H67" s="33" t="n"/>
      <c r="I67" s="18" t="n"/>
      <c r="J67" s="33" t="n"/>
      <c r="K67" s="18" t="n"/>
      <c r="L67" s="21">
        <f>IF(OR(B67="",H67=""),"",IF(AND(I67&lt;&gt;"完了",H67&lt;TODAY()),"期限超過",""))</f>
        <v/>
      </c>
    </row>
    <row r="68">
      <c r="A68" s="18" t="n"/>
      <c r="B68" s="18" t="n"/>
      <c r="C68" s="21">
        <f>IF(B68="","",IFERROR(INDEX('タスク一覧'!$B:$B,MATCH(B68,'タスク一覧'!$A:$A,0)),"タスクIDが未登録"))</f>
        <v/>
      </c>
      <c r="D68" s="21">
        <f>IF(B68="","",IFERROR(INDEX('タスク一覧'!$C:$C,MATCH(B68,'タスク一覧'!$A:$A,0)),""))</f>
        <v/>
      </c>
      <c r="E68" s="21">
        <f>IF(B68="","",IFERROR(INDEX('タスク一覧'!$D:$D,MATCH(B68,'タスク一覧'!$A:$A,0)),""))</f>
        <v/>
      </c>
      <c r="F68" s="18" t="n"/>
      <c r="G68" s="18" t="n"/>
      <c r="H68" s="33" t="n"/>
      <c r="I68" s="18" t="n"/>
      <c r="J68" s="33" t="n"/>
      <c r="K68" s="18" t="n"/>
      <c r="L68" s="21">
        <f>IF(OR(B68="",H68=""),"",IF(AND(I68&lt;&gt;"完了",H68&lt;TODAY()),"期限超過",""))</f>
        <v/>
      </c>
    </row>
    <row r="69">
      <c r="A69" s="18" t="n"/>
      <c r="B69" s="18" t="n"/>
      <c r="C69" s="21">
        <f>IF(B69="","",IFERROR(INDEX('タスク一覧'!$B:$B,MATCH(B69,'タスク一覧'!$A:$A,0)),"タスクIDが未登録"))</f>
        <v/>
      </c>
      <c r="D69" s="21">
        <f>IF(B69="","",IFERROR(INDEX('タスク一覧'!$C:$C,MATCH(B69,'タスク一覧'!$A:$A,0)),""))</f>
        <v/>
      </c>
      <c r="E69" s="21">
        <f>IF(B69="","",IFERROR(INDEX('タスク一覧'!$D:$D,MATCH(B69,'タスク一覧'!$A:$A,0)),""))</f>
        <v/>
      </c>
      <c r="F69" s="18" t="n"/>
      <c r="G69" s="18" t="n"/>
      <c r="H69" s="33" t="n"/>
      <c r="I69" s="18" t="n"/>
      <c r="J69" s="33" t="n"/>
      <c r="K69" s="18" t="n"/>
      <c r="L69" s="21">
        <f>IF(OR(B69="",H69=""),"",IF(AND(I69&lt;&gt;"完了",H69&lt;TODAY()),"期限超過",""))</f>
        <v/>
      </c>
    </row>
    <row r="70">
      <c r="A70" s="18" t="n"/>
      <c r="B70" s="18" t="n"/>
      <c r="C70" s="21">
        <f>IF(B70="","",IFERROR(INDEX('タスク一覧'!$B:$B,MATCH(B70,'タスク一覧'!$A:$A,0)),"タスクIDが未登録"))</f>
        <v/>
      </c>
      <c r="D70" s="21">
        <f>IF(B70="","",IFERROR(INDEX('タスク一覧'!$C:$C,MATCH(B70,'タスク一覧'!$A:$A,0)),""))</f>
        <v/>
      </c>
      <c r="E70" s="21">
        <f>IF(B70="","",IFERROR(INDEX('タスク一覧'!$D:$D,MATCH(B70,'タスク一覧'!$A:$A,0)),""))</f>
        <v/>
      </c>
      <c r="F70" s="18" t="n"/>
      <c r="G70" s="18" t="n"/>
      <c r="H70" s="33" t="n"/>
      <c r="I70" s="18" t="n"/>
      <c r="J70" s="33" t="n"/>
      <c r="K70" s="18" t="n"/>
      <c r="L70" s="21">
        <f>IF(OR(B70="",H70=""),"",IF(AND(I70&lt;&gt;"完了",H70&lt;TODAY()),"期限超過",""))</f>
        <v/>
      </c>
    </row>
    <row r="71">
      <c r="A71" s="18" t="n"/>
      <c r="B71" s="18" t="n"/>
      <c r="C71" s="21">
        <f>IF(B71="","",IFERROR(INDEX('タスク一覧'!$B:$B,MATCH(B71,'タスク一覧'!$A:$A,0)),"タスクIDが未登録"))</f>
        <v/>
      </c>
      <c r="D71" s="21">
        <f>IF(B71="","",IFERROR(INDEX('タスク一覧'!$C:$C,MATCH(B71,'タスク一覧'!$A:$A,0)),""))</f>
        <v/>
      </c>
      <c r="E71" s="21">
        <f>IF(B71="","",IFERROR(INDEX('タスク一覧'!$D:$D,MATCH(B71,'タスク一覧'!$A:$A,0)),""))</f>
        <v/>
      </c>
      <c r="F71" s="18" t="n"/>
      <c r="G71" s="18" t="n"/>
      <c r="H71" s="33" t="n"/>
      <c r="I71" s="18" t="n"/>
      <c r="J71" s="33" t="n"/>
      <c r="K71" s="18" t="n"/>
      <c r="L71" s="21">
        <f>IF(OR(B71="",H71=""),"",IF(AND(I71&lt;&gt;"完了",H71&lt;TODAY()),"期限超過",""))</f>
        <v/>
      </c>
    </row>
    <row r="72">
      <c r="A72" s="18" t="n"/>
      <c r="B72" s="18" t="n"/>
      <c r="C72" s="21">
        <f>IF(B72="","",IFERROR(INDEX('タスク一覧'!$B:$B,MATCH(B72,'タスク一覧'!$A:$A,0)),"タスクIDが未登録"))</f>
        <v/>
      </c>
      <c r="D72" s="21">
        <f>IF(B72="","",IFERROR(INDEX('タスク一覧'!$C:$C,MATCH(B72,'タスク一覧'!$A:$A,0)),""))</f>
        <v/>
      </c>
      <c r="E72" s="21">
        <f>IF(B72="","",IFERROR(INDEX('タスク一覧'!$D:$D,MATCH(B72,'タスク一覧'!$A:$A,0)),""))</f>
        <v/>
      </c>
      <c r="F72" s="18" t="n"/>
      <c r="G72" s="18" t="n"/>
      <c r="H72" s="33" t="n"/>
      <c r="I72" s="18" t="n"/>
      <c r="J72" s="33" t="n"/>
      <c r="K72" s="18" t="n"/>
      <c r="L72" s="21">
        <f>IF(OR(B72="",H72=""),"",IF(AND(I72&lt;&gt;"完了",H72&lt;TODAY()),"期限超過",""))</f>
        <v/>
      </c>
    </row>
    <row r="73">
      <c r="A73" s="18" t="n"/>
      <c r="B73" s="18" t="n"/>
      <c r="C73" s="21">
        <f>IF(B73="","",IFERROR(INDEX('タスク一覧'!$B:$B,MATCH(B73,'タスク一覧'!$A:$A,0)),"タスクIDが未登録"))</f>
        <v/>
      </c>
      <c r="D73" s="21">
        <f>IF(B73="","",IFERROR(INDEX('タスク一覧'!$C:$C,MATCH(B73,'タスク一覧'!$A:$A,0)),""))</f>
        <v/>
      </c>
      <c r="E73" s="21">
        <f>IF(B73="","",IFERROR(INDEX('タスク一覧'!$D:$D,MATCH(B73,'タスク一覧'!$A:$A,0)),""))</f>
        <v/>
      </c>
      <c r="F73" s="18" t="n"/>
      <c r="G73" s="18" t="n"/>
      <c r="H73" s="33" t="n"/>
      <c r="I73" s="18" t="n"/>
      <c r="J73" s="33" t="n"/>
      <c r="K73" s="18" t="n"/>
      <c r="L73" s="21">
        <f>IF(OR(B73="",H73=""),"",IF(AND(I73&lt;&gt;"完了",H73&lt;TODAY()),"期限超過",""))</f>
        <v/>
      </c>
    </row>
    <row r="74">
      <c r="A74" s="18" t="n"/>
      <c r="B74" s="18" t="n"/>
      <c r="C74" s="21">
        <f>IF(B74="","",IFERROR(INDEX('タスク一覧'!$B:$B,MATCH(B74,'タスク一覧'!$A:$A,0)),"タスクIDが未登録"))</f>
        <v/>
      </c>
      <c r="D74" s="21">
        <f>IF(B74="","",IFERROR(INDEX('タスク一覧'!$C:$C,MATCH(B74,'タスク一覧'!$A:$A,0)),""))</f>
        <v/>
      </c>
      <c r="E74" s="21">
        <f>IF(B74="","",IFERROR(INDEX('タスク一覧'!$D:$D,MATCH(B74,'タスク一覧'!$A:$A,0)),""))</f>
        <v/>
      </c>
      <c r="F74" s="18" t="n"/>
      <c r="G74" s="18" t="n"/>
      <c r="H74" s="33" t="n"/>
      <c r="I74" s="18" t="n"/>
      <c r="J74" s="33" t="n"/>
      <c r="K74" s="18" t="n"/>
      <c r="L74" s="21">
        <f>IF(OR(B74="",H74=""),"",IF(AND(I74&lt;&gt;"完了",H74&lt;TODAY()),"期限超過",""))</f>
        <v/>
      </c>
    </row>
    <row r="75">
      <c r="A75" s="18" t="n"/>
      <c r="B75" s="18" t="n"/>
      <c r="C75" s="21">
        <f>IF(B75="","",IFERROR(INDEX('タスク一覧'!$B:$B,MATCH(B75,'タスク一覧'!$A:$A,0)),"タスクIDが未登録"))</f>
        <v/>
      </c>
      <c r="D75" s="21">
        <f>IF(B75="","",IFERROR(INDEX('タスク一覧'!$C:$C,MATCH(B75,'タスク一覧'!$A:$A,0)),""))</f>
        <v/>
      </c>
      <c r="E75" s="21">
        <f>IF(B75="","",IFERROR(INDEX('タスク一覧'!$D:$D,MATCH(B75,'タスク一覧'!$A:$A,0)),""))</f>
        <v/>
      </c>
      <c r="F75" s="18" t="n"/>
      <c r="G75" s="18" t="n"/>
      <c r="H75" s="33" t="n"/>
      <c r="I75" s="18" t="n"/>
      <c r="J75" s="33" t="n"/>
      <c r="K75" s="18" t="n"/>
      <c r="L75" s="21">
        <f>IF(OR(B75="",H75=""),"",IF(AND(I75&lt;&gt;"完了",H75&lt;TODAY()),"期限超過",""))</f>
        <v/>
      </c>
    </row>
    <row r="76">
      <c r="A76" s="18" t="n"/>
      <c r="B76" s="18" t="n"/>
      <c r="C76" s="21">
        <f>IF(B76="","",IFERROR(INDEX('タスク一覧'!$B:$B,MATCH(B76,'タスク一覧'!$A:$A,0)),"タスクIDが未登録"))</f>
        <v/>
      </c>
      <c r="D76" s="21">
        <f>IF(B76="","",IFERROR(INDEX('タスク一覧'!$C:$C,MATCH(B76,'タスク一覧'!$A:$A,0)),""))</f>
        <v/>
      </c>
      <c r="E76" s="21">
        <f>IF(B76="","",IFERROR(INDEX('タスク一覧'!$D:$D,MATCH(B76,'タスク一覧'!$A:$A,0)),""))</f>
        <v/>
      </c>
      <c r="F76" s="18" t="n"/>
      <c r="G76" s="18" t="n"/>
      <c r="H76" s="33" t="n"/>
      <c r="I76" s="18" t="n"/>
      <c r="J76" s="33" t="n"/>
      <c r="K76" s="18" t="n"/>
      <c r="L76" s="21">
        <f>IF(OR(B76="",H76=""),"",IF(AND(I76&lt;&gt;"完了",H76&lt;TODAY()),"期限超過",""))</f>
        <v/>
      </c>
    </row>
    <row r="77">
      <c r="A77" s="18" t="n"/>
      <c r="B77" s="18" t="n"/>
      <c r="C77" s="21">
        <f>IF(B77="","",IFERROR(INDEX('タスク一覧'!$B:$B,MATCH(B77,'タスク一覧'!$A:$A,0)),"タスクIDが未登録"))</f>
        <v/>
      </c>
      <c r="D77" s="21">
        <f>IF(B77="","",IFERROR(INDEX('タスク一覧'!$C:$C,MATCH(B77,'タスク一覧'!$A:$A,0)),""))</f>
        <v/>
      </c>
      <c r="E77" s="21">
        <f>IF(B77="","",IFERROR(INDEX('タスク一覧'!$D:$D,MATCH(B77,'タスク一覧'!$A:$A,0)),""))</f>
        <v/>
      </c>
      <c r="F77" s="18" t="n"/>
      <c r="G77" s="18" t="n"/>
      <c r="H77" s="33" t="n"/>
      <c r="I77" s="18" t="n"/>
      <c r="J77" s="33" t="n"/>
      <c r="K77" s="18" t="n"/>
      <c r="L77" s="21">
        <f>IF(OR(B77="",H77=""),"",IF(AND(I77&lt;&gt;"完了",H77&lt;TODAY()),"期限超過",""))</f>
        <v/>
      </c>
    </row>
    <row r="78">
      <c r="A78" s="18" t="n"/>
      <c r="B78" s="18" t="n"/>
      <c r="C78" s="21">
        <f>IF(B78="","",IFERROR(INDEX('タスク一覧'!$B:$B,MATCH(B78,'タスク一覧'!$A:$A,0)),"タスクIDが未登録"))</f>
        <v/>
      </c>
      <c r="D78" s="21">
        <f>IF(B78="","",IFERROR(INDEX('タスク一覧'!$C:$C,MATCH(B78,'タスク一覧'!$A:$A,0)),""))</f>
        <v/>
      </c>
      <c r="E78" s="21">
        <f>IF(B78="","",IFERROR(INDEX('タスク一覧'!$D:$D,MATCH(B78,'タスク一覧'!$A:$A,0)),""))</f>
        <v/>
      </c>
      <c r="F78" s="18" t="n"/>
      <c r="G78" s="18" t="n"/>
      <c r="H78" s="33" t="n"/>
      <c r="I78" s="18" t="n"/>
      <c r="J78" s="33" t="n"/>
      <c r="K78" s="18" t="n"/>
      <c r="L78" s="21">
        <f>IF(OR(B78="",H78=""),"",IF(AND(I78&lt;&gt;"完了",H78&lt;TODAY()),"期限超過",""))</f>
        <v/>
      </c>
    </row>
    <row r="79">
      <c r="A79" s="18" t="n"/>
      <c r="B79" s="18" t="n"/>
      <c r="C79" s="21">
        <f>IF(B79="","",IFERROR(INDEX('タスク一覧'!$B:$B,MATCH(B79,'タスク一覧'!$A:$A,0)),"タスクIDが未登録"))</f>
        <v/>
      </c>
      <c r="D79" s="21">
        <f>IF(B79="","",IFERROR(INDEX('タスク一覧'!$C:$C,MATCH(B79,'タスク一覧'!$A:$A,0)),""))</f>
        <v/>
      </c>
      <c r="E79" s="21">
        <f>IF(B79="","",IFERROR(INDEX('タスク一覧'!$D:$D,MATCH(B79,'タスク一覧'!$A:$A,0)),""))</f>
        <v/>
      </c>
      <c r="F79" s="18" t="n"/>
      <c r="G79" s="18" t="n"/>
      <c r="H79" s="33" t="n"/>
      <c r="I79" s="18" t="n"/>
      <c r="J79" s="33" t="n"/>
      <c r="K79" s="18" t="n"/>
      <c r="L79" s="21">
        <f>IF(OR(B79="",H79=""),"",IF(AND(I79&lt;&gt;"完了",H79&lt;TODAY()),"期限超過",""))</f>
        <v/>
      </c>
    </row>
    <row r="80">
      <c r="A80" s="18" t="n"/>
      <c r="B80" s="18" t="n"/>
      <c r="C80" s="21">
        <f>IF(B80="","",IFERROR(INDEX('タスク一覧'!$B:$B,MATCH(B80,'タスク一覧'!$A:$A,0)),"タスクIDが未登録"))</f>
        <v/>
      </c>
      <c r="D80" s="21">
        <f>IF(B80="","",IFERROR(INDEX('タスク一覧'!$C:$C,MATCH(B80,'タスク一覧'!$A:$A,0)),""))</f>
        <v/>
      </c>
      <c r="E80" s="21">
        <f>IF(B80="","",IFERROR(INDEX('タスク一覧'!$D:$D,MATCH(B80,'タスク一覧'!$A:$A,0)),""))</f>
        <v/>
      </c>
      <c r="F80" s="18" t="n"/>
      <c r="G80" s="18" t="n"/>
      <c r="H80" s="33" t="n"/>
      <c r="I80" s="18" t="n"/>
      <c r="J80" s="33" t="n"/>
      <c r="K80" s="18" t="n"/>
      <c r="L80" s="21">
        <f>IF(OR(B80="",H80=""),"",IF(AND(I80&lt;&gt;"完了",H80&lt;TODAY()),"期限超過",""))</f>
        <v/>
      </c>
    </row>
    <row r="81">
      <c r="A81" s="18" t="n"/>
      <c r="B81" s="18" t="n"/>
      <c r="C81" s="21">
        <f>IF(B81="","",IFERROR(INDEX('タスク一覧'!$B:$B,MATCH(B81,'タスク一覧'!$A:$A,0)),"タスクIDが未登録"))</f>
        <v/>
      </c>
      <c r="D81" s="21">
        <f>IF(B81="","",IFERROR(INDEX('タスク一覧'!$C:$C,MATCH(B81,'タスク一覧'!$A:$A,0)),""))</f>
        <v/>
      </c>
      <c r="E81" s="21">
        <f>IF(B81="","",IFERROR(INDEX('タスク一覧'!$D:$D,MATCH(B81,'タスク一覧'!$A:$A,0)),""))</f>
        <v/>
      </c>
      <c r="F81" s="18" t="n"/>
      <c r="G81" s="18" t="n"/>
      <c r="H81" s="33" t="n"/>
      <c r="I81" s="18" t="n"/>
      <c r="J81" s="33" t="n"/>
      <c r="K81" s="18" t="n"/>
      <c r="L81" s="21">
        <f>IF(OR(B81="",H81=""),"",IF(AND(I81&lt;&gt;"完了",H81&lt;TODAY()),"期限超過",""))</f>
        <v/>
      </c>
    </row>
    <row r="82">
      <c r="A82" s="18" t="n"/>
      <c r="B82" s="18" t="n"/>
      <c r="C82" s="21">
        <f>IF(B82="","",IFERROR(INDEX('タスク一覧'!$B:$B,MATCH(B82,'タスク一覧'!$A:$A,0)),"タスクIDが未登録"))</f>
        <v/>
      </c>
      <c r="D82" s="21">
        <f>IF(B82="","",IFERROR(INDEX('タスク一覧'!$C:$C,MATCH(B82,'タスク一覧'!$A:$A,0)),""))</f>
        <v/>
      </c>
      <c r="E82" s="21">
        <f>IF(B82="","",IFERROR(INDEX('タスク一覧'!$D:$D,MATCH(B82,'タスク一覧'!$A:$A,0)),""))</f>
        <v/>
      </c>
      <c r="F82" s="18" t="n"/>
      <c r="G82" s="18" t="n"/>
      <c r="H82" s="33" t="n"/>
      <c r="I82" s="18" t="n"/>
      <c r="J82" s="33" t="n"/>
      <c r="K82" s="18" t="n"/>
      <c r="L82" s="21">
        <f>IF(OR(B82="",H82=""),"",IF(AND(I82&lt;&gt;"完了",H82&lt;TODAY()),"期限超過",""))</f>
        <v/>
      </c>
    </row>
    <row r="83">
      <c r="A83" s="18" t="n"/>
      <c r="B83" s="18" t="n"/>
      <c r="C83" s="21">
        <f>IF(B83="","",IFERROR(INDEX('タスク一覧'!$B:$B,MATCH(B83,'タスク一覧'!$A:$A,0)),"タスクIDが未登録"))</f>
        <v/>
      </c>
      <c r="D83" s="21">
        <f>IF(B83="","",IFERROR(INDEX('タスク一覧'!$C:$C,MATCH(B83,'タスク一覧'!$A:$A,0)),""))</f>
        <v/>
      </c>
      <c r="E83" s="21">
        <f>IF(B83="","",IFERROR(INDEX('タスク一覧'!$D:$D,MATCH(B83,'タスク一覧'!$A:$A,0)),""))</f>
        <v/>
      </c>
      <c r="F83" s="18" t="n"/>
      <c r="G83" s="18" t="n"/>
      <c r="H83" s="33" t="n"/>
      <c r="I83" s="18" t="n"/>
      <c r="J83" s="33" t="n"/>
      <c r="K83" s="18" t="n"/>
      <c r="L83" s="21">
        <f>IF(OR(B83="",H83=""),"",IF(AND(I83&lt;&gt;"完了",H83&lt;TODAY()),"期限超過",""))</f>
        <v/>
      </c>
    </row>
    <row r="84">
      <c r="A84" s="18" t="n"/>
      <c r="B84" s="18" t="n"/>
      <c r="C84" s="21">
        <f>IF(B84="","",IFERROR(INDEX('タスク一覧'!$B:$B,MATCH(B84,'タスク一覧'!$A:$A,0)),"タスクIDが未登録"))</f>
        <v/>
      </c>
      <c r="D84" s="21">
        <f>IF(B84="","",IFERROR(INDEX('タスク一覧'!$C:$C,MATCH(B84,'タスク一覧'!$A:$A,0)),""))</f>
        <v/>
      </c>
      <c r="E84" s="21">
        <f>IF(B84="","",IFERROR(INDEX('タスク一覧'!$D:$D,MATCH(B84,'タスク一覧'!$A:$A,0)),""))</f>
        <v/>
      </c>
      <c r="F84" s="18" t="n"/>
      <c r="G84" s="18" t="n"/>
      <c r="H84" s="33" t="n"/>
      <c r="I84" s="18" t="n"/>
      <c r="J84" s="33" t="n"/>
      <c r="K84" s="18" t="n"/>
      <c r="L84" s="21">
        <f>IF(OR(B84="",H84=""),"",IF(AND(I84&lt;&gt;"完了",H84&lt;TODAY()),"期限超過",""))</f>
        <v/>
      </c>
    </row>
    <row r="85">
      <c r="A85" s="18" t="n"/>
      <c r="B85" s="18" t="n"/>
      <c r="C85" s="21">
        <f>IF(B85="","",IFERROR(INDEX('タスク一覧'!$B:$B,MATCH(B85,'タスク一覧'!$A:$A,0)),"タスクIDが未登録"))</f>
        <v/>
      </c>
      <c r="D85" s="21">
        <f>IF(B85="","",IFERROR(INDEX('タスク一覧'!$C:$C,MATCH(B85,'タスク一覧'!$A:$A,0)),""))</f>
        <v/>
      </c>
      <c r="E85" s="21">
        <f>IF(B85="","",IFERROR(INDEX('タスク一覧'!$D:$D,MATCH(B85,'タスク一覧'!$A:$A,0)),""))</f>
        <v/>
      </c>
      <c r="F85" s="18" t="n"/>
      <c r="G85" s="18" t="n"/>
      <c r="H85" s="33" t="n"/>
      <c r="I85" s="18" t="n"/>
      <c r="J85" s="33" t="n"/>
      <c r="K85" s="18" t="n"/>
      <c r="L85" s="21">
        <f>IF(OR(B85="",H85=""),"",IF(AND(I85&lt;&gt;"完了",H85&lt;TODAY()),"期限超過",""))</f>
        <v/>
      </c>
    </row>
    <row r="86">
      <c r="A86" s="18" t="n"/>
      <c r="B86" s="18" t="n"/>
      <c r="C86" s="21">
        <f>IF(B86="","",IFERROR(INDEX('タスク一覧'!$B:$B,MATCH(B86,'タスク一覧'!$A:$A,0)),"タスクIDが未登録"))</f>
        <v/>
      </c>
      <c r="D86" s="21">
        <f>IF(B86="","",IFERROR(INDEX('タスク一覧'!$C:$C,MATCH(B86,'タスク一覧'!$A:$A,0)),""))</f>
        <v/>
      </c>
      <c r="E86" s="21">
        <f>IF(B86="","",IFERROR(INDEX('タスク一覧'!$D:$D,MATCH(B86,'タスク一覧'!$A:$A,0)),""))</f>
        <v/>
      </c>
      <c r="F86" s="18" t="n"/>
      <c r="G86" s="18" t="n"/>
      <c r="H86" s="33" t="n"/>
      <c r="I86" s="18" t="n"/>
      <c r="J86" s="33" t="n"/>
      <c r="K86" s="18" t="n"/>
      <c r="L86" s="21">
        <f>IF(OR(B86="",H86=""),"",IF(AND(I86&lt;&gt;"完了",H86&lt;TODAY()),"期限超過",""))</f>
        <v/>
      </c>
    </row>
    <row r="87">
      <c r="A87" s="18" t="n"/>
      <c r="B87" s="18" t="n"/>
      <c r="C87" s="21">
        <f>IF(B87="","",IFERROR(INDEX('タスク一覧'!$B:$B,MATCH(B87,'タスク一覧'!$A:$A,0)),"タスクIDが未登録"))</f>
        <v/>
      </c>
      <c r="D87" s="21">
        <f>IF(B87="","",IFERROR(INDEX('タスク一覧'!$C:$C,MATCH(B87,'タスク一覧'!$A:$A,0)),""))</f>
        <v/>
      </c>
      <c r="E87" s="21">
        <f>IF(B87="","",IFERROR(INDEX('タスク一覧'!$D:$D,MATCH(B87,'タスク一覧'!$A:$A,0)),""))</f>
        <v/>
      </c>
      <c r="F87" s="18" t="n"/>
      <c r="G87" s="18" t="n"/>
      <c r="H87" s="33" t="n"/>
      <c r="I87" s="18" t="n"/>
      <c r="J87" s="33" t="n"/>
      <c r="K87" s="18" t="n"/>
      <c r="L87" s="21">
        <f>IF(OR(B87="",H87=""),"",IF(AND(I87&lt;&gt;"完了",H87&lt;TODAY()),"期限超過",""))</f>
        <v/>
      </c>
    </row>
    <row r="88">
      <c r="A88" s="18" t="n"/>
      <c r="B88" s="18" t="n"/>
      <c r="C88" s="21">
        <f>IF(B88="","",IFERROR(INDEX('タスク一覧'!$B:$B,MATCH(B88,'タスク一覧'!$A:$A,0)),"タスクIDが未登録"))</f>
        <v/>
      </c>
      <c r="D88" s="21">
        <f>IF(B88="","",IFERROR(INDEX('タスク一覧'!$C:$C,MATCH(B88,'タスク一覧'!$A:$A,0)),""))</f>
        <v/>
      </c>
      <c r="E88" s="21">
        <f>IF(B88="","",IFERROR(INDEX('タスク一覧'!$D:$D,MATCH(B88,'タスク一覧'!$A:$A,0)),""))</f>
        <v/>
      </c>
      <c r="F88" s="18" t="n"/>
      <c r="G88" s="18" t="n"/>
      <c r="H88" s="33" t="n"/>
      <c r="I88" s="18" t="n"/>
      <c r="J88" s="33" t="n"/>
      <c r="K88" s="18" t="n"/>
      <c r="L88" s="21">
        <f>IF(OR(B88="",H88=""),"",IF(AND(I88&lt;&gt;"完了",H88&lt;TODAY()),"期限超過",""))</f>
        <v/>
      </c>
    </row>
    <row r="89">
      <c r="A89" s="18" t="n"/>
      <c r="B89" s="18" t="n"/>
      <c r="C89" s="21">
        <f>IF(B89="","",IFERROR(INDEX('タスク一覧'!$B:$B,MATCH(B89,'タスク一覧'!$A:$A,0)),"タスクIDが未登録"))</f>
        <v/>
      </c>
      <c r="D89" s="21">
        <f>IF(B89="","",IFERROR(INDEX('タスク一覧'!$C:$C,MATCH(B89,'タスク一覧'!$A:$A,0)),""))</f>
        <v/>
      </c>
      <c r="E89" s="21">
        <f>IF(B89="","",IFERROR(INDEX('タスク一覧'!$D:$D,MATCH(B89,'タスク一覧'!$A:$A,0)),""))</f>
        <v/>
      </c>
      <c r="F89" s="18" t="n"/>
      <c r="G89" s="18" t="n"/>
      <c r="H89" s="33" t="n"/>
      <c r="I89" s="18" t="n"/>
      <c r="J89" s="33" t="n"/>
      <c r="K89" s="18" t="n"/>
      <c r="L89" s="21">
        <f>IF(OR(B89="",H89=""),"",IF(AND(I89&lt;&gt;"完了",H89&lt;TODAY()),"期限超過",""))</f>
        <v/>
      </c>
    </row>
    <row r="90">
      <c r="A90" s="18" t="n"/>
      <c r="B90" s="18" t="n"/>
      <c r="C90" s="21">
        <f>IF(B90="","",IFERROR(INDEX('タスク一覧'!$B:$B,MATCH(B90,'タスク一覧'!$A:$A,0)),"タスクIDが未登録"))</f>
        <v/>
      </c>
      <c r="D90" s="21">
        <f>IF(B90="","",IFERROR(INDEX('タスク一覧'!$C:$C,MATCH(B90,'タスク一覧'!$A:$A,0)),""))</f>
        <v/>
      </c>
      <c r="E90" s="21">
        <f>IF(B90="","",IFERROR(INDEX('タスク一覧'!$D:$D,MATCH(B90,'タスク一覧'!$A:$A,0)),""))</f>
        <v/>
      </c>
      <c r="F90" s="18" t="n"/>
      <c r="G90" s="18" t="n"/>
      <c r="H90" s="33" t="n"/>
      <c r="I90" s="18" t="n"/>
      <c r="J90" s="33" t="n"/>
      <c r="K90" s="18" t="n"/>
      <c r="L90" s="21">
        <f>IF(OR(B90="",H90=""),"",IF(AND(I90&lt;&gt;"完了",H90&lt;TODAY()),"期限超過",""))</f>
        <v/>
      </c>
    </row>
    <row r="91">
      <c r="A91" s="18" t="n"/>
      <c r="B91" s="18" t="n"/>
      <c r="C91" s="21">
        <f>IF(B91="","",IFERROR(INDEX('タスク一覧'!$B:$B,MATCH(B91,'タスク一覧'!$A:$A,0)),"タスクIDが未登録"))</f>
        <v/>
      </c>
      <c r="D91" s="21">
        <f>IF(B91="","",IFERROR(INDEX('タスク一覧'!$C:$C,MATCH(B91,'タスク一覧'!$A:$A,0)),""))</f>
        <v/>
      </c>
      <c r="E91" s="21">
        <f>IF(B91="","",IFERROR(INDEX('タスク一覧'!$D:$D,MATCH(B91,'タスク一覧'!$A:$A,0)),""))</f>
        <v/>
      </c>
      <c r="F91" s="18" t="n"/>
      <c r="G91" s="18" t="n"/>
      <c r="H91" s="33" t="n"/>
      <c r="I91" s="18" t="n"/>
      <c r="J91" s="33" t="n"/>
      <c r="K91" s="18" t="n"/>
      <c r="L91" s="21">
        <f>IF(OR(B91="",H91=""),"",IF(AND(I91&lt;&gt;"完了",H91&lt;TODAY()),"期限超過",""))</f>
        <v/>
      </c>
    </row>
    <row r="92">
      <c r="A92" s="18" t="n"/>
      <c r="B92" s="18" t="n"/>
      <c r="C92" s="21">
        <f>IF(B92="","",IFERROR(INDEX('タスク一覧'!$B:$B,MATCH(B92,'タスク一覧'!$A:$A,0)),"タスクIDが未登録"))</f>
        <v/>
      </c>
      <c r="D92" s="21">
        <f>IF(B92="","",IFERROR(INDEX('タスク一覧'!$C:$C,MATCH(B92,'タスク一覧'!$A:$A,0)),""))</f>
        <v/>
      </c>
      <c r="E92" s="21">
        <f>IF(B92="","",IFERROR(INDEX('タスク一覧'!$D:$D,MATCH(B92,'タスク一覧'!$A:$A,0)),""))</f>
        <v/>
      </c>
      <c r="F92" s="18" t="n"/>
      <c r="G92" s="18" t="n"/>
      <c r="H92" s="33" t="n"/>
      <c r="I92" s="18" t="n"/>
      <c r="J92" s="33" t="n"/>
      <c r="K92" s="18" t="n"/>
      <c r="L92" s="21">
        <f>IF(OR(B92="",H92=""),"",IF(AND(I92&lt;&gt;"完了",H92&lt;TODAY()),"期限超過",""))</f>
        <v/>
      </c>
    </row>
    <row r="93">
      <c r="A93" s="18" t="n"/>
      <c r="B93" s="18" t="n"/>
      <c r="C93" s="21">
        <f>IF(B93="","",IFERROR(INDEX('タスク一覧'!$B:$B,MATCH(B93,'タスク一覧'!$A:$A,0)),"タスクIDが未登録"))</f>
        <v/>
      </c>
      <c r="D93" s="21">
        <f>IF(B93="","",IFERROR(INDEX('タスク一覧'!$C:$C,MATCH(B93,'タスク一覧'!$A:$A,0)),""))</f>
        <v/>
      </c>
      <c r="E93" s="21">
        <f>IF(B93="","",IFERROR(INDEX('タスク一覧'!$D:$D,MATCH(B93,'タスク一覧'!$A:$A,0)),""))</f>
        <v/>
      </c>
      <c r="F93" s="18" t="n"/>
      <c r="G93" s="18" t="n"/>
      <c r="H93" s="33" t="n"/>
      <c r="I93" s="18" t="n"/>
      <c r="J93" s="33" t="n"/>
      <c r="K93" s="18" t="n"/>
      <c r="L93" s="21">
        <f>IF(OR(B93="",H93=""),"",IF(AND(I93&lt;&gt;"完了",H93&lt;TODAY()),"期限超過",""))</f>
        <v/>
      </c>
    </row>
    <row r="94">
      <c r="A94" s="18" t="n"/>
      <c r="B94" s="18" t="n"/>
      <c r="C94" s="21">
        <f>IF(B94="","",IFERROR(INDEX('タスク一覧'!$B:$B,MATCH(B94,'タスク一覧'!$A:$A,0)),"タスクIDが未登録"))</f>
        <v/>
      </c>
      <c r="D94" s="21">
        <f>IF(B94="","",IFERROR(INDEX('タスク一覧'!$C:$C,MATCH(B94,'タスク一覧'!$A:$A,0)),""))</f>
        <v/>
      </c>
      <c r="E94" s="21">
        <f>IF(B94="","",IFERROR(INDEX('タスク一覧'!$D:$D,MATCH(B94,'タスク一覧'!$A:$A,0)),""))</f>
        <v/>
      </c>
      <c r="F94" s="18" t="n"/>
      <c r="G94" s="18" t="n"/>
      <c r="H94" s="33" t="n"/>
      <c r="I94" s="18" t="n"/>
      <c r="J94" s="33" t="n"/>
      <c r="K94" s="18" t="n"/>
      <c r="L94" s="21">
        <f>IF(OR(B94="",H94=""),"",IF(AND(I94&lt;&gt;"完了",H94&lt;TODAY()),"期限超過",""))</f>
        <v/>
      </c>
    </row>
    <row r="95">
      <c r="A95" s="18" t="n"/>
      <c r="B95" s="18" t="n"/>
      <c r="C95" s="21">
        <f>IF(B95="","",IFERROR(INDEX('タスク一覧'!$B:$B,MATCH(B95,'タスク一覧'!$A:$A,0)),"タスクIDが未登録"))</f>
        <v/>
      </c>
      <c r="D95" s="21">
        <f>IF(B95="","",IFERROR(INDEX('タスク一覧'!$C:$C,MATCH(B95,'タスク一覧'!$A:$A,0)),""))</f>
        <v/>
      </c>
      <c r="E95" s="21">
        <f>IF(B95="","",IFERROR(INDEX('タスク一覧'!$D:$D,MATCH(B95,'タスク一覧'!$A:$A,0)),""))</f>
        <v/>
      </c>
      <c r="F95" s="18" t="n"/>
      <c r="G95" s="18" t="n"/>
      <c r="H95" s="33" t="n"/>
      <c r="I95" s="18" t="n"/>
      <c r="J95" s="33" t="n"/>
      <c r="K95" s="18" t="n"/>
      <c r="L95" s="21">
        <f>IF(OR(B95="",H95=""),"",IF(AND(I95&lt;&gt;"完了",H95&lt;TODAY()),"期限超過",""))</f>
        <v/>
      </c>
    </row>
    <row r="96">
      <c r="A96" s="18" t="n"/>
      <c r="B96" s="18" t="n"/>
      <c r="C96" s="21">
        <f>IF(B96="","",IFERROR(INDEX('タスク一覧'!$B:$B,MATCH(B96,'タスク一覧'!$A:$A,0)),"タスクIDが未登録"))</f>
        <v/>
      </c>
      <c r="D96" s="21">
        <f>IF(B96="","",IFERROR(INDEX('タスク一覧'!$C:$C,MATCH(B96,'タスク一覧'!$A:$A,0)),""))</f>
        <v/>
      </c>
      <c r="E96" s="21">
        <f>IF(B96="","",IFERROR(INDEX('タスク一覧'!$D:$D,MATCH(B96,'タスク一覧'!$A:$A,0)),""))</f>
        <v/>
      </c>
      <c r="F96" s="18" t="n"/>
      <c r="G96" s="18" t="n"/>
      <c r="H96" s="33" t="n"/>
      <c r="I96" s="18" t="n"/>
      <c r="J96" s="33" t="n"/>
      <c r="K96" s="18" t="n"/>
      <c r="L96" s="21">
        <f>IF(OR(B96="",H96=""),"",IF(AND(I96&lt;&gt;"完了",H96&lt;TODAY()),"期限超過",""))</f>
        <v/>
      </c>
    </row>
    <row r="97">
      <c r="A97" s="18" t="n"/>
      <c r="B97" s="18" t="n"/>
      <c r="C97" s="21">
        <f>IF(B97="","",IFERROR(INDEX('タスク一覧'!$B:$B,MATCH(B97,'タスク一覧'!$A:$A,0)),"タスクIDが未登録"))</f>
        <v/>
      </c>
      <c r="D97" s="21">
        <f>IF(B97="","",IFERROR(INDEX('タスク一覧'!$C:$C,MATCH(B97,'タスク一覧'!$A:$A,0)),""))</f>
        <v/>
      </c>
      <c r="E97" s="21">
        <f>IF(B97="","",IFERROR(INDEX('タスク一覧'!$D:$D,MATCH(B97,'タスク一覧'!$A:$A,0)),""))</f>
        <v/>
      </c>
      <c r="F97" s="18" t="n"/>
      <c r="G97" s="18" t="n"/>
      <c r="H97" s="33" t="n"/>
      <c r="I97" s="18" t="n"/>
      <c r="J97" s="33" t="n"/>
      <c r="K97" s="18" t="n"/>
      <c r="L97" s="21">
        <f>IF(OR(B97="",H97=""),"",IF(AND(I97&lt;&gt;"完了",H97&lt;TODAY()),"期限超過",""))</f>
        <v/>
      </c>
    </row>
    <row r="98">
      <c r="A98" s="18" t="n"/>
      <c r="B98" s="18" t="n"/>
      <c r="C98" s="21">
        <f>IF(B98="","",IFERROR(INDEX('タスク一覧'!$B:$B,MATCH(B98,'タスク一覧'!$A:$A,0)),"タスクIDが未登録"))</f>
        <v/>
      </c>
      <c r="D98" s="21">
        <f>IF(B98="","",IFERROR(INDEX('タスク一覧'!$C:$C,MATCH(B98,'タスク一覧'!$A:$A,0)),""))</f>
        <v/>
      </c>
      <c r="E98" s="21">
        <f>IF(B98="","",IFERROR(INDEX('タスク一覧'!$D:$D,MATCH(B98,'タスク一覧'!$A:$A,0)),""))</f>
        <v/>
      </c>
      <c r="F98" s="18" t="n"/>
      <c r="G98" s="18" t="n"/>
      <c r="H98" s="33" t="n"/>
      <c r="I98" s="18" t="n"/>
      <c r="J98" s="33" t="n"/>
      <c r="K98" s="18" t="n"/>
      <c r="L98" s="21">
        <f>IF(OR(B98="",H98=""),"",IF(AND(I98&lt;&gt;"完了",H98&lt;TODAY()),"期限超過",""))</f>
        <v/>
      </c>
    </row>
    <row r="99">
      <c r="A99" s="18" t="n"/>
      <c r="B99" s="18" t="n"/>
      <c r="C99" s="21">
        <f>IF(B99="","",IFERROR(INDEX('タスク一覧'!$B:$B,MATCH(B99,'タスク一覧'!$A:$A,0)),"タスクIDが未登録"))</f>
        <v/>
      </c>
      <c r="D99" s="21">
        <f>IF(B99="","",IFERROR(INDEX('タスク一覧'!$C:$C,MATCH(B99,'タスク一覧'!$A:$A,0)),""))</f>
        <v/>
      </c>
      <c r="E99" s="21">
        <f>IF(B99="","",IFERROR(INDEX('タスク一覧'!$D:$D,MATCH(B99,'タスク一覧'!$A:$A,0)),""))</f>
        <v/>
      </c>
      <c r="F99" s="18" t="n"/>
      <c r="G99" s="18" t="n"/>
      <c r="H99" s="33" t="n"/>
      <c r="I99" s="18" t="n"/>
      <c r="J99" s="33" t="n"/>
      <c r="K99" s="18" t="n"/>
      <c r="L99" s="21">
        <f>IF(OR(B99="",H99=""),"",IF(AND(I99&lt;&gt;"完了",H99&lt;TODAY()),"期限超過",""))</f>
        <v/>
      </c>
    </row>
    <row r="100">
      <c r="A100" s="18" t="n"/>
      <c r="B100" s="18" t="n"/>
      <c r="C100" s="21">
        <f>IF(B100="","",IFERROR(INDEX('タスク一覧'!$B:$B,MATCH(B100,'タスク一覧'!$A:$A,0)),"タスクIDが未登録"))</f>
        <v/>
      </c>
      <c r="D100" s="21">
        <f>IF(B100="","",IFERROR(INDEX('タスク一覧'!$C:$C,MATCH(B100,'タスク一覧'!$A:$A,0)),""))</f>
        <v/>
      </c>
      <c r="E100" s="21">
        <f>IF(B100="","",IFERROR(INDEX('タスク一覧'!$D:$D,MATCH(B100,'タスク一覧'!$A:$A,0)),""))</f>
        <v/>
      </c>
      <c r="F100" s="18" t="n"/>
      <c r="G100" s="18" t="n"/>
      <c r="H100" s="33" t="n"/>
      <c r="I100" s="18" t="n"/>
      <c r="J100" s="33" t="n"/>
      <c r="K100" s="18" t="n"/>
      <c r="L100" s="21">
        <f>IF(OR(B100="",H100=""),"",IF(AND(I100&lt;&gt;"完了",H100&lt;TODAY()),"期限超過",""))</f>
        <v/>
      </c>
    </row>
    <row r="101">
      <c r="A101" s="18" t="n"/>
      <c r="B101" s="18" t="n"/>
      <c r="C101" s="21">
        <f>IF(B101="","",IFERROR(INDEX('タスク一覧'!$B:$B,MATCH(B101,'タスク一覧'!$A:$A,0)),"タスクIDが未登録"))</f>
        <v/>
      </c>
      <c r="D101" s="21">
        <f>IF(B101="","",IFERROR(INDEX('タスク一覧'!$C:$C,MATCH(B101,'タスク一覧'!$A:$A,0)),""))</f>
        <v/>
      </c>
      <c r="E101" s="21">
        <f>IF(B101="","",IFERROR(INDEX('タスク一覧'!$D:$D,MATCH(B101,'タスク一覧'!$A:$A,0)),""))</f>
        <v/>
      </c>
      <c r="F101" s="18" t="n"/>
      <c r="G101" s="18" t="n"/>
      <c r="H101" s="33" t="n"/>
      <c r="I101" s="18" t="n"/>
      <c r="J101" s="33" t="n"/>
      <c r="K101" s="18" t="n"/>
      <c r="L101" s="21">
        <f>IF(OR(B101="",H101=""),"",IF(AND(I101&lt;&gt;"完了",H101&lt;TODAY()),"期限超過",""))</f>
        <v/>
      </c>
    </row>
    <row r="102">
      <c r="A102" s="18" t="n"/>
      <c r="B102" s="18" t="n"/>
      <c r="C102" s="21">
        <f>IF(B102="","",IFERROR(INDEX('タスク一覧'!$B:$B,MATCH(B102,'タスク一覧'!$A:$A,0)),"タスクIDが未登録"))</f>
        <v/>
      </c>
      <c r="D102" s="21">
        <f>IF(B102="","",IFERROR(INDEX('タスク一覧'!$C:$C,MATCH(B102,'タスク一覧'!$A:$A,0)),""))</f>
        <v/>
      </c>
      <c r="E102" s="21">
        <f>IF(B102="","",IFERROR(INDEX('タスク一覧'!$D:$D,MATCH(B102,'タスク一覧'!$A:$A,0)),""))</f>
        <v/>
      </c>
      <c r="F102" s="18" t="n"/>
      <c r="G102" s="18" t="n"/>
      <c r="H102" s="33" t="n"/>
      <c r="I102" s="18" t="n"/>
      <c r="J102" s="33" t="n"/>
      <c r="K102" s="18" t="n"/>
      <c r="L102" s="21">
        <f>IF(OR(B102="",H102=""),"",IF(AND(I102&lt;&gt;"完了",H102&lt;TODAY()),"期限超過",""))</f>
        <v/>
      </c>
    </row>
    <row r="103">
      <c r="A103" s="18" t="n"/>
      <c r="B103" s="18" t="n"/>
      <c r="C103" s="21">
        <f>IF(B103="","",IFERROR(INDEX('タスク一覧'!$B:$B,MATCH(B103,'タスク一覧'!$A:$A,0)),"タスクIDが未登録"))</f>
        <v/>
      </c>
      <c r="D103" s="21">
        <f>IF(B103="","",IFERROR(INDEX('タスク一覧'!$C:$C,MATCH(B103,'タスク一覧'!$A:$A,0)),""))</f>
        <v/>
      </c>
      <c r="E103" s="21">
        <f>IF(B103="","",IFERROR(INDEX('タスク一覧'!$D:$D,MATCH(B103,'タスク一覧'!$A:$A,0)),""))</f>
        <v/>
      </c>
      <c r="F103" s="18" t="n"/>
      <c r="G103" s="18" t="n"/>
      <c r="H103" s="33" t="n"/>
      <c r="I103" s="18" t="n"/>
      <c r="J103" s="33" t="n"/>
      <c r="K103" s="18" t="n"/>
      <c r="L103" s="21">
        <f>IF(OR(B103="",H103=""),"",IF(AND(I103&lt;&gt;"完了",H103&lt;TODAY()),"期限超過",""))</f>
        <v/>
      </c>
    </row>
    <row r="104">
      <c r="A104" s="18" t="n"/>
      <c r="B104" s="18" t="n"/>
      <c r="C104" s="21">
        <f>IF(B104="","",IFERROR(INDEX('タスク一覧'!$B:$B,MATCH(B104,'タスク一覧'!$A:$A,0)),"タスクIDが未登録"))</f>
        <v/>
      </c>
      <c r="D104" s="21">
        <f>IF(B104="","",IFERROR(INDEX('タスク一覧'!$C:$C,MATCH(B104,'タスク一覧'!$A:$A,0)),""))</f>
        <v/>
      </c>
      <c r="E104" s="21">
        <f>IF(B104="","",IFERROR(INDEX('タスク一覧'!$D:$D,MATCH(B104,'タスク一覧'!$A:$A,0)),""))</f>
        <v/>
      </c>
      <c r="F104" s="18" t="n"/>
      <c r="G104" s="18" t="n"/>
      <c r="H104" s="33" t="n"/>
      <c r="I104" s="18" t="n"/>
      <c r="J104" s="33" t="n"/>
      <c r="K104" s="18" t="n"/>
      <c r="L104" s="21">
        <f>IF(OR(B104="",H104=""),"",IF(AND(I104&lt;&gt;"完了",H104&lt;TODAY()),"期限超過",""))</f>
        <v/>
      </c>
    </row>
    <row r="105">
      <c r="A105" s="18" t="n"/>
      <c r="B105" s="18" t="n"/>
      <c r="C105" s="21">
        <f>IF(B105="","",IFERROR(INDEX('タスク一覧'!$B:$B,MATCH(B105,'タスク一覧'!$A:$A,0)),"タスクIDが未登録"))</f>
        <v/>
      </c>
      <c r="D105" s="21">
        <f>IF(B105="","",IFERROR(INDEX('タスク一覧'!$C:$C,MATCH(B105,'タスク一覧'!$A:$A,0)),""))</f>
        <v/>
      </c>
      <c r="E105" s="21">
        <f>IF(B105="","",IFERROR(INDEX('タスク一覧'!$D:$D,MATCH(B105,'タスク一覧'!$A:$A,0)),""))</f>
        <v/>
      </c>
      <c r="F105" s="18" t="n"/>
      <c r="G105" s="18" t="n"/>
      <c r="H105" s="33" t="n"/>
      <c r="I105" s="18" t="n"/>
      <c r="J105" s="33" t="n"/>
      <c r="K105" s="18" t="n"/>
      <c r="L105" s="21">
        <f>IF(OR(B105="",H105=""),"",IF(AND(I105&lt;&gt;"完了",H105&lt;TODAY()),"期限超過",""))</f>
        <v/>
      </c>
    </row>
    <row r="106">
      <c r="A106" s="18" t="n"/>
      <c r="B106" s="18" t="n"/>
      <c r="C106" s="21">
        <f>IF(B106="","",IFERROR(INDEX('タスク一覧'!$B:$B,MATCH(B106,'タスク一覧'!$A:$A,0)),"タスクIDが未登録"))</f>
        <v/>
      </c>
      <c r="D106" s="21">
        <f>IF(B106="","",IFERROR(INDEX('タスク一覧'!$C:$C,MATCH(B106,'タスク一覧'!$A:$A,0)),""))</f>
        <v/>
      </c>
      <c r="E106" s="21">
        <f>IF(B106="","",IFERROR(INDEX('タスク一覧'!$D:$D,MATCH(B106,'タスク一覧'!$A:$A,0)),""))</f>
        <v/>
      </c>
      <c r="F106" s="18" t="n"/>
      <c r="G106" s="18" t="n"/>
      <c r="H106" s="33" t="n"/>
      <c r="I106" s="18" t="n"/>
      <c r="J106" s="33" t="n"/>
      <c r="K106" s="18" t="n"/>
      <c r="L106" s="21">
        <f>IF(OR(B106="",H106=""),"",IF(AND(I106&lt;&gt;"完了",H106&lt;TODAY()),"期限超過",""))</f>
        <v/>
      </c>
    </row>
    <row r="107">
      <c r="A107" s="18" t="n"/>
      <c r="B107" s="18" t="n"/>
      <c r="C107" s="21">
        <f>IF(B107="","",IFERROR(INDEX('タスク一覧'!$B:$B,MATCH(B107,'タスク一覧'!$A:$A,0)),"タスクIDが未登録"))</f>
        <v/>
      </c>
      <c r="D107" s="21">
        <f>IF(B107="","",IFERROR(INDEX('タスク一覧'!$C:$C,MATCH(B107,'タスク一覧'!$A:$A,0)),""))</f>
        <v/>
      </c>
      <c r="E107" s="21">
        <f>IF(B107="","",IFERROR(INDEX('タスク一覧'!$D:$D,MATCH(B107,'タスク一覧'!$A:$A,0)),""))</f>
        <v/>
      </c>
      <c r="F107" s="18" t="n"/>
      <c r="G107" s="18" t="n"/>
      <c r="H107" s="33" t="n"/>
      <c r="I107" s="18" t="n"/>
      <c r="J107" s="33" t="n"/>
      <c r="K107" s="18" t="n"/>
      <c r="L107" s="21">
        <f>IF(OR(B107="",H107=""),"",IF(AND(I107&lt;&gt;"完了",H107&lt;TODAY()),"期限超過",""))</f>
        <v/>
      </c>
    </row>
    <row r="108">
      <c r="A108" s="18" t="n"/>
      <c r="B108" s="18" t="n"/>
      <c r="C108" s="21">
        <f>IF(B108="","",IFERROR(INDEX('タスク一覧'!$B:$B,MATCH(B108,'タスク一覧'!$A:$A,0)),"タスクIDが未登録"))</f>
        <v/>
      </c>
      <c r="D108" s="21">
        <f>IF(B108="","",IFERROR(INDEX('タスク一覧'!$C:$C,MATCH(B108,'タスク一覧'!$A:$A,0)),""))</f>
        <v/>
      </c>
      <c r="E108" s="21">
        <f>IF(B108="","",IFERROR(INDEX('タスク一覧'!$D:$D,MATCH(B108,'タスク一覧'!$A:$A,0)),""))</f>
        <v/>
      </c>
      <c r="F108" s="18" t="n"/>
      <c r="G108" s="18" t="n"/>
      <c r="H108" s="33" t="n"/>
      <c r="I108" s="18" t="n"/>
      <c r="J108" s="33" t="n"/>
      <c r="K108" s="18" t="n"/>
      <c r="L108" s="21">
        <f>IF(OR(B108="",H108=""),"",IF(AND(I108&lt;&gt;"完了",H108&lt;TODAY()),"期限超過",""))</f>
        <v/>
      </c>
    </row>
    <row r="109">
      <c r="A109" s="18" t="n"/>
      <c r="B109" s="18" t="n"/>
      <c r="C109" s="21">
        <f>IF(B109="","",IFERROR(INDEX('タスク一覧'!$B:$B,MATCH(B109,'タスク一覧'!$A:$A,0)),"タスクIDが未登録"))</f>
        <v/>
      </c>
      <c r="D109" s="21">
        <f>IF(B109="","",IFERROR(INDEX('タスク一覧'!$C:$C,MATCH(B109,'タスク一覧'!$A:$A,0)),""))</f>
        <v/>
      </c>
      <c r="E109" s="21">
        <f>IF(B109="","",IFERROR(INDEX('タスク一覧'!$D:$D,MATCH(B109,'タスク一覧'!$A:$A,0)),""))</f>
        <v/>
      </c>
      <c r="F109" s="18" t="n"/>
      <c r="G109" s="18" t="n"/>
      <c r="H109" s="33" t="n"/>
      <c r="I109" s="18" t="n"/>
      <c r="J109" s="33" t="n"/>
      <c r="K109" s="18" t="n"/>
      <c r="L109" s="21">
        <f>IF(OR(B109="",H109=""),"",IF(AND(I109&lt;&gt;"完了",H109&lt;TODAY()),"期限超過",""))</f>
        <v/>
      </c>
    </row>
    <row r="110">
      <c r="A110" s="18" t="n"/>
      <c r="B110" s="18" t="n"/>
      <c r="C110" s="21">
        <f>IF(B110="","",IFERROR(INDEX('タスク一覧'!$B:$B,MATCH(B110,'タスク一覧'!$A:$A,0)),"タスクIDが未登録"))</f>
        <v/>
      </c>
      <c r="D110" s="21">
        <f>IF(B110="","",IFERROR(INDEX('タスク一覧'!$C:$C,MATCH(B110,'タスク一覧'!$A:$A,0)),""))</f>
        <v/>
      </c>
      <c r="E110" s="21">
        <f>IF(B110="","",IFERROR(INDEX('タスク一覧'!$D:$D,MATCH(B110,'タスク一覧'!$A:$A,0)),""))</f>
        <v/>
      </c>
      <c r="F110" s="18" t="n"/>
      <c r="G110" s="18" t="n"/>
      <c r="H110" s="33" t="n"/>
      <c r="I110" s="18" t="n"/>
      <c r="J110" s="33" t="n"/>
      <c r="K110" s="18" t="n"/>
      <c r="L110" s="21">
        <f>IF(OR(B110="",H110=""),"",IF(AND(I110&lt;&gt;"完了",H110&lt;TODAY()),"期限超過",""))</f>
        <v/>
      </c>
    </row>
    <row r="111">
      <c r="A111" s="18" t="n"/>
      <c r="B111" s="18" t="n"/>
      <c r="C111" s="21">
        <f>IF(B111="","",IFERROR(INDEX('タスク一覧'!$B:$B,MATCH(B111,'タスク一覧'!$A:$A,0)),"タスクIDが未登録"))</f>
        <v/>
      </c>
      <c r="D111" s="21">
        <f>IF(B111="","",IFERROR(INDEX('タスク一覧'!$C:$C,MATCH(B111,'タスク一覧'!$A:$A,0)),""))</f>
        <v/>
      </c>
      <c r="E111" s="21">
        <f>IF(B111="","",IFERROR(INDEX('タスク一覧'!$D:$D,MATCH(B111,'タスク一覧'!$A:$A,0)),""))</f>
        <v/>
      </c>
      <c r="F111" s="18" t="n"/>
      <c r="G111" s="18" t="n"/>
      <c r="H111" s="33" t="n"/>
      <c r="I111" s="18" t="n"/>
      <c r="J111" s="33" t="n"/>
      <c r="K111" s="18" t="n"/>
      <c r="L111" s="21">
        <f>IF(OR(B111="",H111=""),"",IF(AND(I111&lt;&gt;"完了",H111&lt;TODAY()),"期限超過",""))</f>
        <v/>
      </c>
    </row>
    <row r="112">
      <c r="A112" s="18" t="n"/>
      <c r="B112" s="18" t="n"/>
      <c r="C112" s="21">
        <f>IF(B112="","",IFERROR(INDEX('タスク一覧'!$B:$B,MATCH(B112,'タスク一覧'!$A:$A,0)),"タスクIDが未登録"))</f>
        <v/>
      </c>
      <c r="D112" s="21">
        <f>IF(B112="","",IFERROR(INDEX('タスク一覧'!$C:$C,MATCH(B112,'タスク一覧'!$A:$A,0)),""))</f>
        <v/>
      </c>
      <c r="E112" s="21">
        <f>IF(B112="","",IFERROR(INDEX('タスク一覧'!$D:$D,MATCH(B112,'タスク一覧'!$A:$A,0)),""))</f>
        <v/>
      </c>
      <c r="F112" s="18" t="n"/>
      <c r="G112" s="18" t="n"/>
      <c r="H112" s="33" t="n"/>
      <c r="I112" s="18" t="n"/>
      <c r="J112" s="33" t="n"/>
      <c r="K112" s="18" t="n"/>
      <c r="L112" s="21">
        <f>IF(OR(B112="",H112=""),"",IF(AND(I112&lt;&gt;"完了",H112&lt;TODAY()),"期限超過",""))</f>
        <v/>
      </c>
    </row>
    <row r="113">
      <c r="A113" s="18" t="n"/>
      <c r="B113" s="18" t="n"/>
      <c r="C113" s="21">
        <f>IF(B113="","",IFERROR(INDEX('タスク一覧'!$B:$B,MATCH(B113,'タスク一覧'!$A:$A,0)),"タスクIDが未登録"))</f>
        <v/>
      </c>
      <c r="D113" s="21">
        <f>IF(B113="","",IFERROR(INDEX('タスク一覧'!$C:$C,MATCH(B113,'タスク一覧'!$A:$A,0)),""))</f>
        <v/>
      </c>
      <c r="E113" s="21">
        <f>IF(B113="","",IFERROR(INDEX('タスク一覧'!$D:$D,MATCH(B113,'タスク一覧'!$A:$A,0)),""))</f>
        <v/>
      </c>
      <c r="F113" s="18" t="n"/>
      <c r="G113" s="18" t="n"/>
      <c r="H113" s="33" t="n"/>
      <c r="I113" s="18" t="n"/>
      <c r="J113" s="33" t="n"/>
      <c r="K113" s="18" t="n"/>
      <c r="L113" s="21">
        <f>IF(OR(B113="",H113=""),"",IF(AND(I113&lt;&gt;"完了",H113&lt;TODAY()),"期限超過",""))</f>
        <v/>
      </c>
    </row>
    <row r="114">
      <c r="A114" s="18" t="n"/>
      <c r="B114" s="18" t="n"/>
      <c r="C114" s="21">
        <f>IF(B114="","",IFERROR(INDEX('タスク一覧'!$B:$B,MATCH(B114,'タスク一覧'!$A:$A,0)),"タスクIDが未登録"))</f>
        <v/>
      </c>
      <c r="D114" s="21">
        <f>IF(B114="","",IFERROR(INDEX('タスク一覧'!$C:$C,MATCH(B114,'タスク一覧'!$A:$A,0)),""))</f>
        <v/>
      </c>
      <c r="E114" s="21">
        <f>IF(B114="","",IFERROR(INDEX('タスク一覧'!$D:$D,MATCH(B114,'タスク一覧'!$A:$A,0)),""))</f>
        <v/>
      </c>
      <c r="F114" s="18" t="n"/>
      <c r="G114" s="18" t="n"/>
      <c r="H114" s="33" t="n"/>
      <c r="I114" s="18" t="n"/>
      <c r="J114" s="33" t="n"/>
      <c r="K114" s="18" t="n"/>
      <c r="L114" s="21">
        <f>IF(OR(B114="",H114=""),"",IF(AND(I114&lt;&gt;"完了",H114&lt;TODAY()),"期限超過",""))</f>
        <v/>
      </c>
    </row>
    <row r="115">
      <c r="A115" s="18" t="n"/>
      <c r="B115" s="18" t="n"/>
      <c r="C115" s="21">
        <f>IF(B115="","",IFERROR(INDEX('タスク一覧'!$B:$B,MATCH(B115,'タスク一覧'!$A:$A,0)),"タスクIDが未登録"))</f>
        <v/>
      </c>
      <c r="D115" s="21">
        <f>IF(B115="","",IFERROR(INDEX('タスク一覧'!$C:$C,MATCH(B115,'タスク一覧'!$A:$A,0)),""))</f>
        <v/>
      </c>
      <c r="E115" s="21">
        <f>IF(B115="","",IFERROR(INDEX('タスク一覧'!$D:$D,MATCH(B115,'タスク一覧'!$A:$A,0)),""))</f>
        <v/>
      </c>
      <c r="F115" s="18" t="n"/>
      <c r="G115" s="18" t="n"/>
      <c r="H115" s="33" t="n"/>
      <c r="I115" s="18" t="n"/>
      <c r="J115" s="33" t="n"/>
      <c r="K115" s="18" t="n"/>
      <c r="L115" s="21">
        <f>IF(OR(B115="",H115=""),"",IF(AND(I115&lt;&gt;"完了",H115&lt;TODAY()),"期限超過",""))</f>
        <v/>
      </c>
    </row>
    <row r="116">
      <c r="A116" s="18" t="n"/>
      <c r="B116" s="18" t="n"/>
      <c r="C116" s="21">
        <f>IF(B116="","",IFERROR(INDEX('タスク一覧'!$B:$B,MATCH(B116,'タスク一覧'!$A:$A,0)),"タスクIDが未登録"))</f>
        <v/>
      </c>
      <c r="D116" s="21">
        <f>IF(B116="","",IFERROR(INDEX('タスク一覧'!$C:$C,MATCH(B116,'タスク一覧'!$A:$A,0)),""))</f>
        <v/>
      </c>
      <c r="E116" s="21">
        <f>IF(B116="","",IFERROR(INDEX('タスク一覧'!$D:$D,MATCH(B116,'タスク一覧'!$A:$A,0)),""))</f>
        <v/>
      </c>
      <c r="F116" s="18" t="n"/>
      <c r="G116" s="18" t="n"/>
      <c r="H116" s="33" t="n"/>
      <c r="I116" s="18" t="n"/>
      <c r="J116" s="33" t="n"/>
      <c r="K116" s="18" t="n"/>
      <c r="L116" s="21">
        <f>IF(OR(B116="",H116=""),"",IF(AND(I116&lt;&gt;"完了",H116&lt;TODAY()),"期限超過",""))</f>
        <v/>
      </c>
    </row>
    <row r="117">
      <c r="A117" s="18" t="n"/>
      <c r="B117" s="18" t="n"/>
      <c r="C117" s="21">
        <f>IF(B117="","",IFERROR(INDEX('タスク一覧'!$B:$B,MATCH(B117,'タスク一覧'!$A:$A,0)),"タスクIDが未登録"))</f>
        <v/>
      </c>
      <c r="D117" s="21">
        <f>IF(B117="","",IFERROR(INDEX('タスク一覧'!$C:$C,MATCH(B117,'タスク一覧'!$A:$A,0)),""))</f>
        <v/>
      </c>
      <c r="E117" s="21">
        <f>IF(B117="","",IFERROR(INDEX('タスク一覧'!$D:$D,MATCH(B117,'タスク一覧'!$A:$A,0)),""))</f>
        <v/>
      </c>
      <c r="F117" s="18" t="n"/>
      <c r="G117" s="18" t="n"/>
      <c r="H117" s="33" t="n"/>
      <c r="I117" s="18" t="n"/>
      <c r="J117" s="33" t="n"/>
      <c r="K117" s="18" t="n"/>
      <c r="L117" s="21">
        <f>IF(OR(B117="",H117=""),"",IF(AND(I117&lt;&gt;"完了",H117&lt;TODAY()),"期限超過",""))</f>
        <v/>
      </c>
    </row>
    <row r="118">
      <c r="A118" s="18" t="n"/>
      <c r="B118" s="18" t="n"/>
      <c r="C118" s="21">
        <f>IF(B118="","",IFERROR(INDEX('タスク一覧'!$B:$B,MATCH(B118,'タスク一覧'!$A:$A,0)),"タスクIDが未登録"))</f>
        <v/>
      </c>
      <c r="D118" s="21">
        <f>IF(B118="","",IFERROR(INDEX('タスク一覧'!$C:$C,MATCH(B118,'タスク一覧'!$A:$A,0)),""))</f>
        <v/>
      </c>
      <c r="E118" s="21">
        <f>IF(B118="","",IFERROR(INDEX('タスク一覧'!$D:$D,MATCH(B118,'タスク一覧'!$A:$A,0)),""))</f>
        <v/>
      </c>
      <c r="F118" s="18" t="n"/>
      <c r="G118" s="18" t="n"/>
      <c r="H118" s="33" t="n"/>
      <c r="I118" s="18" t="n"/>
      <c r="J118" s="33" t="n"/>
      <c r="K118" s="18" t="n"/>
      <c r="L118" s="21">
        <f>IF(OR(B118="",H118=""),"",IF(AND(I118&lt;&gt;"完了",H118&lt;TODAY()),"期限超過",""))</f>
        <v/>
      </c>
    </row>
    <row r="119">
      <c r="A119" s="18" t="n"/>
      <c r="B119" s="18" t="n"/>
      <c r="C119" s="21">
        <f>IF(B119="","",IFERROR(INDEX('タスク一覧'!$B:$B,MATCH(B119,'タスク一覧'!$A:$A,0)),"タスクIDが未登録"))</f>
        <v/>
      </c>
      <c r="D119" s="21">
        <f>IF(B119="","",IFERROR(INDEX('タスク一覧'!$C:$C,MATCH(B119,'タスク一覧'!$A:$A,0)),""))</f>
        <v/>
      </c>
      <c r="E119" s="21">
        <f>IF(B119="","",IFERROR(INDEX('タスク一覧'!$D:$D,MATCH(B119,'タスク一覧'!$A:$A,0)),""))</f>
        <v/>
      </c>
      <c r="F119" s="18" t="n"/>
      <c r="G119" s="18" t="n"/>
      <c r="H119" s="33" t="n"/>
      <c r="I119" s="18" t="n"/>
      <c r="J119" s="33" t="n"/>
      <c r="K119" s="18" t="n"/>
      <c r="L119" s="21">
        <f>IF(OR(B119="",H119=""),"",IF(AND(I119&lt;&gt;"完了",H119&lt;TODAY()),"期限超過",""))</f>
        <v/>
      </c>
    </row>
    <row r="120">
      <c r="A120" s="18" t="n"/>
      <c r="B120" s="18" t="n"/>
      <c r="C120" s="21">
        <f>IF(B120="","",IFERROR(INDEX('タスク一覧'!$B:$B,MATCH(B120,'タスク一覧'!$A:$A,0)),"タスクIDが未登録"))</f>
        <v/>
      </c>
      <c r="D120" s="21">
        <f>IF(B120="","",IFERROR(INDEX('タスク一覧'!$C:$C,MATCH(B120,'タスク一覧'!$A:$A,0)),""))</f>
        <v/>
      </c>
      <c r="E120" s="21">
        <f>IF(B120="","",IFERROR(INDEX('タスク一覧'!$D:$D,MATCH(B120,'タスク一覧'!$A:$A,0)),""))</f>
        <v/>
      </c>
      <c r="F120" s="18" t="n"/>
      <c r="G120" s="18" t="n"/>
      <c r="H120" s="33" t="n"/>
      <c r="I120" s="18" t="n"/>
      <c r="J120" s="33" t="n"/>
      <c r="K120" s="18" t="n"/>
      <c r="L120" s="21">
        <f>IF(OR(B120="",H120=""),"",IF(AND(I120&lt;&gt;"完了",H120&lt;TODAY()),"期限超過",""))</f>
        <v/>
      </c>
    </row>
    <row r="121">
      <c r="A121" s="18" t="n"/>
      <c r="B121" s="18" t="n"/>
      <c r="C121" s="21">
        <f>IF(B121="","",IFERROR(INDEX('タスク一覧'!$B:$B,MATCH(B121,'タスク一覧'!$A:$A,0)),"タスクIDが未登録"))</f>
        <v/>
      </c>
      <c r="D121" s="21">
        <f>IF(B121="","",IFERROR(INDEX('タスク一覧'!$C:$C,MATCH(B121,'タスク一覧'!$A:$A,0)),""))</f>
        <v/>
      </c>
      <c r="E121" s="21">
        <f>IF(B121="","",IFERROR(INDEX('タスク一覧'!$D:$D,MATCH(B121,'タスク一覧'!$A:$A,0)),""))</f>
        <v/>
      </c>
      <c r="F121" s="18" t="n"/>
      <c r="G121" s="18" t="n"/>
      <c r="H121" s="33" t="n"/>
      <c r="I121" s="18" t="n"/>
      <c r="J121" s="33" t="n"/>
      <c r="K121" s="18" t="n"/>
      <c r="L121" s="21">
        <f>IF(OR(B121="",H121=""),"",IF(AND(I121&lt;&gt;"完了",H121&lt;TODAY()),"期限超過",""))</f>
        <v/>
      </c>
    </row>
    <row r="122">
      <c r="A122" s="18" t="n"/>
      <c r="B122" s="18" t="n"/>
      <c r="C122" s="21">
        <f>IF(B122="","",IFERROR(INDEX('タスク一覧'!$B:$B,MATCH(B122,'タスク一覧'!$A:$A,0)),"タスクIDが未登録"))</f>
        <v/>
      </c>
      <c r="D122" s="21">
        <f>IF(B122="","",IFERROR(INDEX('タスク一覧'!$C:$C,MATCH(B122,'タスク一覧'!$A:$A,0)),""))</f>
        <v/>
      </c>
      <c r="E122" s="21">
        <f>IF(B122="","",IFERROR(INDEX('タスク一覧'!$D:$D,MATCH(B122,'タスク一覧'!$A:$A,0)),""))</f>
        <v/>
      </c>
      <c r="F122" s="18" t="n"/>
      <c r="G122" s="18" t="n"/>
      <c r="H122" s="33" t="n"/>
      <c r="I122" s="18" t="n"/>
      <c r="J122" s="33" t="n"/>
      <c r="K122" s="18" t="n"/>
      <c r="L122" s="21">
        <f>IF(OR(B122="",H122=""),"",IF(AND(I122&lt;&gt;"完了",H122&lt;TODAY()),"期限超過",""))</f>
        <v/>
      </c>
    </row>
    <row r="123">
      <c r="A123" s="18" t="n"/>
      <c r="B123" s="18" t="n"/>
      <c r="C123" s="21">
        <f>IF(B123="","",IFERROR(INDEX('タスク一覧'!$B:$B,MATCH(B123,'タスク一覧'!$A:$A,0)),"タスクIDが未登録"))</f>
        <v/>
      </c>
      <c r="D123" s="21">
        <f>IF(B123="","",IFERROR(INDEX('タスク一覧'!$C:$C,MATCH(B123,'タスク一覧'!$A:$A,0)),""))</f>
        <v/>
      </c>
      <c r="E123" s="21">
        <f>IF(B123="","",IFERROR(INDEX('タスク一覧'!$D:$D,MATCH(B123,'タスク一覧'!$A:$A,0)),""))</f>
        <v/>
      </c>
      <c r="F123" s="18" t="n"/>
      <c r="G123" s="18" t="n"/>
      <c r="H123" s="33" t="n"/>
      <c r="I123" s="18" t="n"/>
      <c r="J123" s="33" t="n"/>
      <c r="K123" s="18" t="n"/>
      <c r="L123" s="21">
        <f>IF(OR(B123="",H123=""),"",IF(AND(I123&lt;&gt;"完了",H123&lt;TODAY()),"期限超過",""))</f>
        <v/>
      </c>
    </row>
    <row r="124">
      <c r="A124" s="18" t="n"/>
      <c r="B124" s="18" t="n"/>
      <c r="C124" s="21">
        <f>IF(B124="","",IFERROR(INDEX('タスク一覧'!$B:$B,MATCH(B124,'タスク一覧'!$A:$A,0)),"タスクIDが未登録"))</f>
        <v/>
      </c>
      <c r="D124" s="21">
        <f>IF(B124="","",IFERROR(INDEX('タスク一覧'!$C:$C,MATCH(B124,'タスク一覧'!$A:$A,0)),""))</f>
        <v/>
      </c>
      <c r="E124" s="21">
        <f>IF(B124="","",IFERROR(INDEX('タスク一覧'!$D:$D,MATCH(B124,'タスク一覧'!$A:$A,0)),""))</f>
        <v/>
      </c>
      <c r="F124" s="18" t="n"/>
      <c r="G124" s="18" t="n"/>
      <c r="H124" s="33" t="n"/>
      <c r="I124" s="18" t="n"/>
      <c r="J124" s="33" t="n"/>
      <c r="K124" s="18" t="n"/>
      <c r="L124" s="21">
        <f>IF(OR(B124="",H124=""),"",IF(AND(I124&lt;&gt;"完了",H124&lt;TODAY()),"期限超過",""))</f>
        <v/>
      </c>
    </row>
    <row r="125">
      <c r="A125" s="18" t="n"/>
      <c r="B125" s="18" t="n"/>
      <c r="C125" s="21">
        <f>IF(B125="","",IFERROR(INDEX('タスク一覧'!$B:$B,MATCH(B125,'タスク一覧'!$A:$A,0)),"タスクIDが未登録"))</f>
        <v/>
      </c>
      <c r="D125" s="21">
        <f>IF(B125="","",IFERROR(INDEX('タスク一覧'!$C:$C,MATCH(B125,'タスク一覧'!$A:$A,0)),""))</f>
        <v/>
      </c>
      <c r="E125" s="21">
        <f>IF(B125="","",IFERROR(INDEX('タスク一覧'!$D:$D,MATCH(B125,'タスク一覧'!$A:$A,0)),""))</f>
        <v/>
      </c>
      <c r="F125" s="18" t="n"/>
      <c r="G125" s="18" t="n"/>
      <c r="H125" s="33" t="n"/>
      <c r="I125" s="18" t="n"/>
      <c r="J125" s="33" t="n"/>
      <c r="K125" s="18" t="n"/>
      <c r="L125" s="21">
        <f>IF(OR(B125="",H125=""),"",IF(AND(I125&lt;&gt;"完了",H125&lt;TODAY()),"期限超過",""))</f>
        <v/>
      </c>
    </row>
    <row r="126">
      <c r="A126" s="18" t="n"/>
      <c r="B126" s="18" t="n"/>
      <c r="C126" s="21">
        <f>IF(B126="","",IFERROR(INDEX('タスク一覧'!$B:$B,MATCH(B126,'タスク一覧'!$A:$A,0)),"タスクIDが未登録"))</f>
        <v/>
      </c>
      <c r="D126" s="21">
        <f>IF(B126="","",IFERROR(INDEX('タスク一覧'!$C:$C,MATCH(B126,'タスク一覧'!$A:$A,0)),""))</f>
        <v/>
      </c>
      <c r="E126" s="21">
        <f>IF(B126="","",IFERROR(INDEX('タスク一覧'!$D:$D,MATCH(B126,'タスク一覧'!$A:$A,0)),""))</f>
        <v/>
      </c>
      <c r="F126" s="18" t="n"/>
      <c r="G126" s="18" t="n"/>
      <c r="H126" s="33" t="n"/>
      <c r="I126" s="18" t="n"/>
      <c r="J126" s="33" t="n"/>
      <c r="K126" s="18" t="n"/>
      <c r="L126" s="21">
        <f>IF(OR(B126="",H126=""),"",IF(AND(I126&lt;&gt;"完了",H126&lt;TODAY()),"期限超過",""))</f>
        <v/>
      </c>
    </row>
    <row r="127">
      <c r="A127" s="18" t="n"/>
      <c r="B127" s="18" t="n"/>
      <c r="C127" s="21">
        <f>IF(B127="","",IFERROR(INDEX('タスク一覧'!$B:$B,MATCH(B127,'タスク一覧'!$A:$A,0)),"タスクIDが未登録"))</f>
        <v/>
      </c>
      <c r="D127" s="21">
        <f>IF(B127="","",IFERROR(INDEX('タスク一覧'!$C:$C,MATCH(B127,'タスク一覧'!$A:$A,0)),""))</f>
        <v/>
      </c>
      <c r="E127" s="21">
        <f>IF(B127="","",IFERROR(INDEX('タスク一覧'!$D:$D,MATCH(B127,'タスク一覧'!$A:$A,0)),""))</f>
        <v/>
      </c>
      <c r="F127" s="18" t="n"/>
      <c r="G127" s="18" t="n"/>
      <c r="H127" s="33" t="n"/>
      <c r="I127" s="18" t="n"/>
      <c r="J127" s="33" t="n"/>
      <c r="K127" s="18" t="n"/>
      <c r="L127" s="21">
        <f>IF(OR(B127="",H127=""),"",IF(AND(I127&lt;&gt;"完了",H127&lt;TODAY()),"期限超過",""))</f>
        <v/>
      </c>
    </row>
    <row r="128">
      <c r="A128" s="18" t="n"/>
      <c r="B128" s="18" t="n"/>
      <c r="C128" s="21">
        <f>IF(B128="","",IFERROR(INDEX('タスク一覧'!$B:$B,MATCH(B128,'タスク一覧'!$A:$A,0)),"タスクIDが未登録"))</f>
        <v/>
      </c>
      <c r="D128" s="21">
        <f>IF(B128="","",IFERROR(INDEX('タスク一覧'!$C:$C,MATCH(B128,'タスク一覧'!$A:$A,0)),""))</f>
        <v/>
      </c>
      <c r="E128" s="21">
        <f>IF(B128="","",IFERROR(INDEX('タスク一覧'!$D:$D,MATCH(B128,'タスク一覧'!$A:$A,0)),""))</f>
        <v/>
      </c>
      <c r="F128" s="18" t="n"/>
      <c r="G128" s="18" t="n"/>
      <c r="H128" s="33" t="n"/>
      <c r="I128" s="18" t="n"/>
      <c r="J128" s="33" t="n"/>
      <c r="K128" s="18" t="n"/>
      <c r="L128" s="21">
        <f>IF(OR(B128="",H128=""),"",IF(AND(I128&lt;&gt;"完了",H128&lt;TODAY()),"期限超過",""))</f>
        <v/>
      </c>
    </row>
    <row r="129">
      <c r="A129" s="18" t="n"/>
      <c r="B129" s="18" t="n"/>
      <c r="C129" s="21">
        <f>IF(B129="","",IFERROR(INDEX('タスク一覧'!$B:$B,MATCH(B129,'タスク一覧'!$A:$A,0)),"タスクIDが未登録"))</f>
        <v/>
      </c>
      <c r="D129" s="21">
        <f>IF(B129="","",IFERROR(INDEX('タスク一覧'!$C:$C,MATCH(B129,'タスク一覧'!$A:$A,0)),""))</f>
        <v/>
      </c>
      <c r="E129" s="21">
        <f>IF(B129="","",IFERROR(INDEX('タスク一覧'!$D:$D,MATCH(B129,'タスク一覧'!$A:$A,0)),""))</f>
        <v/>
      </c>
      <c r="F129" s="18" t="n"/>
      <c r="G129" s="18" t="n"/>
      <c r="H129" s="33" t="n"/>
      <c r="I129" s="18" t="n"/>
      <c r="J129" s="33" t="n"/>
      <c r="K129" s="18" t="n"/>
      <c r="L129" s="21">
        <f>IF(OR(B129="",H129=""),"",IF(AND(I129&lt;&gt;"完了",H129&lt;TODAY()),"期限超過",""))</f>
        <v/>
      </c>
    </row>
    <row r="130">
      <c r="A130" s="18" t="n"/>
      <c r="B130" s="18" t="n"/>
      <c r="C130" s="21">
        <f>IF(B130="","",IFERROR(INDEX('タスク一覧'!$B:$B,MATCH(B130,'タスク一覧'!$A:$A,0)),"タスクIDが未登録"))</f>
        <v/>
      </c>
      <c r="D130" s="21">
        <f>IF(B130="","",IFERROR(INDEX('タスク一覧'!$C:$C,MATCH(B130,'タスク一覧'!$A:$A,0)),""))</f>
        <v/>
      </c>
      <c r="E130" s="21">
        <f>IF(B130="","",IFERROR(INDEX('タスク一覧'!$D:$D,MATCH(B130,'タスク一覧'!$A:$A,0)),""))</f>
        <v/>
      </c>
      <c r="F130" s="18" t="n"/>
      <c r="G130" s="18" t="n"/>
      <c r="H130" s="33" t="n"/>
      <c r="I130" s="18" t="n"/>
      <c r="J130" s="33" t="n"/>
      <c r="K130" s="18" t="n"/>
      <c r="L130" s="21">
        <f>IF(OR(B130="",H130=""),"",IF(AND(I130&lt;&gt;"完了",H130&lt;TODAY()),"期限超過",""))</f>
        <v/>
      </c>
    </row>
    <row r="131">
      <c r="A131" s="18" t="n"/>
      <c r="B131" s="18" t="n"/>
      <c r="C131" s="21">
        <f>IF(B131="","",IFERROR(INDEX('タスク一覧'!$B:$B,MATCH(B131,'タスク一覧'!$A:$A,0)),"タスクIDが未登録"))</f>
        <v/>
      </c>
      <c r="D131" s="21">
        <f>IF(B131="","",IFERROR(INDEX('タスク一覧'!$C:$C,MATCH(B131,'タスク一覧'!$A:$A,0)),""))</f>
        <v/>
      </c>
      <c r="E131" s="21">
        <f>IF(B131="","",IFERROR(INDEX('タスク一覧'!$D:$D,MATCH(B131,'タスク一覧'!$A:$A,0)),""))</f>
        <v/>
      </c>
      <c r="F131" s="18" t="n"/>
      <c r="G131" s="18" t="n"/>
      <c r="H131" s="33" t="n"/>
      <c r="I131" s="18" t="n"/>
      <c r="J131" s="33" t="n"/>
      <c r="K131" s="18" t="n"/>
      <c r="L131" s="21">
        <f>IF(OR(B131="",H131=""),"",IF(AND(I131&lt;&gt;"完了",H131&lt;TODAY()),"期限超過",""))</f>
        <v/>
      </c>
    </row>
    <row r="132">
      <c r="A132" s="18" t="n"/>
      <c r="B132" s="18" t="n"/>
      <c r="C132" s="21">
        <f>IF(B132="","",IFERROR(INDEX('タスク一覧'!$B:$B,MATCH(B132,'タスク一覧'!$A:$A,0)),"タスクIDが未登録"))</f>
        <v/>
      </c>
      <c r="D132" s="21">
        <f>IF(B132="","",IFERROR(INDEX('タスク一覧'!$C:$C,MATCH(B132,'タスク一覧'!$A:$A,0)),""))</f>
        <v/>
      </c>
      <c r="E132" s="21">
        <f>IF(B132="","",IFERROR(INDEX('タスク一覧'!$D:$D,MATCH(B132,'タスク一覧'!$A:$A,0)),""))</f>
        <v/>
      </c>
      <c r="F132" s="18" t="n"/>
      <c r="G132" s="18" t="n"/>
      <c r="H132" s="33" t="n"/>
      <c r="I132" s="18" t="n"/>
      <c r="J132" s="33" t="n"/>
      <c r="K132" s="18" t="n"/>
      <c r="L132" s="21">
        <f>IF(OR(B132="",H132=""),"",IF(AND(I132&lt;&gt;"完了",H132&lt;TODAY()),"期限超過",""))</f>
        <v/>
      </c>
    </row>
    <row r="133">
      <c r="A133" s="18" t="n"/>
      <c r="B133" s="18" t="n"/>
      <c r="C133" s="21">
        <f>IF(B133="","",IFERROR(INDEX('タスク一覧'!$B:$B,MATCH(B133,'タスク一覧'!$A:$A,0)),"タスクIDが未登録"))</f>
        <v/>
      </c>
      <c r="D133" s="21">
        <f>IF(B133="","",IFERROR(INDEX('タスク一覧'!$C:$C,MATCH(B133,'タスク一覧'!$A:$A,0)),""))</f>
        <v/>
      </c>
      <c r="E133" s="21">
        <f>IF(B133="","",IFERROR(INDEX('タスク一覧'!$D:$D,MATCH(B133,'タスク一覧'!$A:$A,0)),""))</f>
        <v/>
      </c>
      <c r="F133" s="18" t="n"/>
      <c r="G133" s="18" t="n"/>
      <c r="H133" s="33" t="n"/>
      <c r="I133" s="18" t="n"/>
      <c r="J133" s="33" t="n"/>
      <c r="K133" s="18" t="n"/>
      <c r="L133" s="21">
        <f>IF(OR(B133="",H133=""),"",IF(AND(I133&lt;&gt;"完了",H133&lt;TODAY()),"期限超過",""))</f>
        <v/>
      </c>
    </row>
    <row r="134">
      <c r="A134" s="18" t="n"/>
      <c r="B134" s="18" t="n"/>
      <c r="C134" s="21">
        <f>IF(B134="","",IFERROR(INDEX('タスク一覧'!$B:$B,MATCH(B134,'タスク一覧'!$A:$A,0)),"タスクIDが未登録"))</f>
        <v/>
      </c>
      <c r="D134" s="21">
        <f>IF(B134="","",IFERROR(INDEX('タスク一覧'!$C:$C,MATCH(B134,'タスク一覧'!$A:$A,0)),""))</f>
        <v/>
      </c>
      <c r="E134" s="21">
        <f>IF(B134="","",IFERROR(INDEX('タスク一覧'!$D:$D,MATCH(B134,'タスク一覧'!$A:$A,0)),""))</f>
        <v/>
      </c>
      <c r="F134" s="18" t="n"/>
      <c r="G134" s="18" t="n"/>
      <c r="H134" s="33" t="n"/>
      <c r="I134" s="18" t="n"/>
      <c r="J134" s="33" t="n"/>
      <c r="K134" s="18" t="n"/>
      <c r="L134" s="21">
        <f>IF(OR(B134="",H134=""),"",IF(AND(I134&lt;&gt;"完了",H134&lt;TODAY()),"期限超過",""))</f>
        <v/>
      </c>
    </row>
    <row r="135">
      <c r="A135" s="18" t="n"/>
      <c r="B135" s="18" t="n"/>
      <c r="C135" s="21">
        <f>IF(B135="","",IFERROR(INDEX('タスク一覧'!$B:$B,MATCH(B135,'タスク一覧'!$A:$A,0)),"タスクIDが未登録"))</f>
        <v/>
      </c>
      <c r="D135" s="21">
        <f>IF(B135="","",IFERROR(INDEX('タスク一覧'!$C:$C,MATCH(B135,'タスク一覧'!$A:$A,0)),""))</f>
        <v/>
      </c>
      <c r="E135" s="21">
        <f>IF(B135="","",IFERROR(INDEX('タスク一覧'!$D:$D,MATCH(B135,'タスク一覧'!$A:$A,0)),""))</f>
        <v/>
      </c>
      <c r="F135" s="18" t="n"/>
      <c r="G135" s="18" t="n"/>
      <c r="H135" s="33" t="n"/>
      <c r="I135" s="18" t="n"/>
      <c r="J135" s="33" t="n"/>
      <c r="K135" s="18" t="n"/>
      <c r="L135" s="21">
        <f>IF(OR(B135="",H135=""),"",IF(AND(I135&lt;&gt;"完了",H135&lt;TODAY()),"期限超過",""))</f>
        <v/>
      </c>
    </row>
    <row r="136">
      <c r="A136" s="18" t="n"/>
      <c r="B136" s="18" t="n"/>
      <c r="C136" s="21">
        <f>IF(B136="","",IFERROR(INDEX('タスク一覧'!$B:$B,MATCH(B136,'タスク一覧'!$A:$A,0)),"タスクIDが未登録"))</f>
        <v/>
      </c>
      <c r="D136" s="21">
        <f>IF(B136="","",IFERROR(INDEX('タスク一覧'!$C:$C,MATCH(B136,'タスク一覧'!$A:$A,0)),""))</f>
        <v/>
      </c>
      <c r="E136" s="21">
        <f>IF(B136="","",IFERROR(INDEX('タスク一覧'!$D:$D,MATCH(B136,'タスク一覧'!$A:$A,0)),""))</f>
        <v/>
      </c>
      <c r="F136" s="18" t="n"/>
      <c r="G136" s="18" t="n"/>
      <c r="H136" s="33" t="n"/>
      <c r="I136" s="18" t="n"/>
      <c r="J136" s="33" t="n"/>
      <c r="K136" s="18" t="n"/>
      <c r="L136" s="21">
        <f>IF(OR(B136="",H136=""),"",IF(AND(I136&lt;&gt;"完了",H136&lt;TODAY()),"期限超過",""))</f>
        <v/>
      </c>
    </row>
    <row r="137">
      <c r="A137" s="18" t="n"/>
      <c r="B137" s="18" t="n"/>
      <c r="C137" s="21">
        <f>IF(B137="","",IFERROR(INDEX('タスク一覧'!$B:$B,MATCH(B137,'タスク一覧'!$A:$A,0)),"タスクIDが未登録"))</f>
        <v/>
      </c>
      <c r="D137" s="21">
        <f>IF(B137="","",IFERROR(INDEX('タスク一覧'!$C:$C,MATCH(B137,'タスク一覧'!$A:$A,0)),""))</f>
        <v/>
      </c>
      <c r="E137" s="21">
        <f>IF(B137="","",IFERROR(INDEX('タスク一覧'!$D:$D,MATCH(B137,'タスク一覧'!$A:$A,0)),""))</f>
        <v/>
      </c>
      <c r="F137" s="18" t="n"/>
      <c r="G137" s="18" t="n"/>
      <c r="H137" s="33" t="n"/>
      <c r="I137" s="18" t="n"/>
      <c r="J137" s="33" t="n"/>
      <c r="K137" s="18" t="n"/>
      <c r="L137" s="21">
        <f>IF(OR(B137="",H137=""),"",IF(AND(I137&lt;&gt;"完了",H137&lt;TODAY()),"期限超過",""))</f>
        <v/>
      </c>
    </row>
    <row r="138">
      <c r="A138" s="18" t="n"/>
      <c r="B138" s="18" t="n"/>
      <c r="C138" s="21">
        <f>IF(B138="","",IFERROR(INDEX('タスク一覧'!$B:$B,MATCH(B138,'タスク一覧'!$A:$A,0)),"タスクIDが未登録"))</f>
        <v/>
      </c>
      <c r="D138" s="21">
        <f>IF(B138="","",IFERROR(INDEX('タスク一覧'!$C:$C,MATCH(B138,'タスク一覧'!$A:$A,0)),""))</f>
        <v/>
      </c>
      <c r="E138" s="21">
        <f>IF(B138="","",IFERROR(INDEX('タスク一覧'!$D:$D,MATCH(B138,'タスク一覧'!$A:$A,0)),""))</f>
        <v/>
      </c>
      <c r="F138" s="18" t="n"/>
      <c r="G138" s="18" t="n"/>
      <c r="H138" s="33" t="n"/>
      <c r="I138" s="18" t="n"/>
      <c r="J138" s="33" t="n"/>
      <c r="K138" s="18" t="n"/>
      <c r="L138" s="21">
        <f>IF(OR(B138="",H138=""),"",IF(AND(I138&lt;&gt;"完了",H138&lt;TODAY()),"期限超過",""))</f>
        <v/>
      </c>
    </row>
    <row r="139">
      <c r="A139" s="18" t="n"/>
      <c r="B139" s="18" t="n"/>
      <c r="C139" s="21">
        <f>IF(B139="","",IFERROR(INDEX('タスク一覧'!$B:$B,MATCH(B139,'タスク一覧'!$A:$A,0)),"タスクIDが未登録"))</f>
        <v/>
      </c>
      <c r="D139" s="21">
        <f>IF(B139="","",IFERROR(INDEX('タスク一覧'!$C:$C,MATCH(B139,'タスク一覧'!$A:$A,0)),""))</f>
        <v/>
      </c>
      <c r="E139" s="21">
        <f>IF(B139="","",IFERROR(INDEX('タスク一覧'!$D:$D,MATCH(B139,'タスク一覧'!$A:$A,0)),""))</f>
        <v/>
      </c>
      <c r="F139" s="18" t="n"/>
      <c r="G139" s="18" t="n"/>
      <c r="H139" s="33" t="n"/>
      <c r="I139" s="18" t="n"/>
      <c r="J139" s="33" t="n"/>
      <c r="K139" s="18" t="n"/>
      <c r="L139" s="21">
        <f>IF(OR(B139="",H139=""),"",IF(AND(I139&lt;&gt;"完了",H139&lt;TODAY()),"期限超過",""))</f>
        <v/>
      </c>
    </row>
    <row r="140">
      <c r="A140" s="18" t="n"/>
      <c r="B140" s="18" t="n"/>
      <c r="C140" s="21">
        <f>IF(B140="","",IFERROR(INDEX('タスク一覧'!$B:$B,MATCH(B140,'タスク一覧'!$A:$A,0)),"タスクIDが未登録"))</f>
        <v/>
      </c>
      <c r="D140" s="21">
        <f>IF(B140="","",IFERROR(INDEX('タスク一覧'!$C:$C,MATCH(B140,'タスク一覧'!$A:$A,0)),""))</f>
        <v/>
      </c>
      <c r="E140" s="21">
        <f>IF(B140="","",IFERROR(INDEX('タスク一覧'!$D:$D,MATCH(B140,'タスク一覧'!$A:$A,0)),""))</f>
        <v/>
      </c>
      <c r="F140" s="18" t="n"/>
      <c r="G140" s="18" t="n"/>
      <c r="H140" s="33" t="n"/>
      <c r="I140" s="18" t="n"/>
      <c r="J140" s="33" t="n"/>
      <c r="K140" s="18" t="n"/>
      <c r="L140" s="21">
        <f>IF(OR(B140="",H140=""),"",IF(AND(I140&lt;&gt;"完了",H140&lt;TODAY()),"期限超過",""))</f>
        <v/>
      </c>
    </row>
    <row r="141">
      <c r="A141" s="18" t="n"/>
      <c r="B141" s="18" t="n"/>
      <c r="C141" s="21">
        <f>IF(B141="","",IFERROR(INDEX('タスク一覧'!$B:$B,MATCH(B141,'タスク一覧'!$A:$A,0)),"タスクIDが未登録"))</f>
        <v/>
      </c>
      <c r="D141" s="21">
        <f>IF(B141="","",IFERROR(INDEX('タスク一覧'!$C:$C,MATCH(B141,'タスク一覧'!$A:$A,0)),""))</f>
        <v/>
      </c>
      <c r="E141" s="21">
        <f>IF(B141="","",IFERROR(INDEX('タスク一覧'!$D:$D,MATCH(B141,'タスク一覧'!$A:$A,0)),""))</f>
        <v/>
      </c>
      <c r="F141" s="18" t="n"/>
      <c r="G141" s="18" t="n"/>
      <c r="H141" s="33" t="n"/>
      <c r="I141" s="18" t="n"/>
      <c r="J141" s="33" t="n"/>
      <c r="K141" s="18" t="n"/>
      <c r="L141" s="21">
        <f>IF(OR(B141="",H141=""),"",IF(AND(I141&lt;&gt;"完了",H141&lt;TODAY()),"期限超過",""))</f>
        <v/>
      </c>
    </row>
    <row r="142">
      <c r="A142" s="18" t="n"/>
      <c r="B142" s="18" t="n"/>
      <c r="C142" s="21">
        <f>IF(B142="","",IFERROR(INDEX('タスク一覧'!$B:$B,MATCH(B142,'タスク一覧'!$A:$A,0)),"タスクIDが未登録"))</f>
        <v/>
      </c>
      <c r="D142" s="21">
        <f>IF(B142="","",IFERROR(INDEX('タスク一覧'!$C:$C,MATCH(B142,'タスク一覧'!$A:$A,0)),""))</f>
        <v/>
      </c>
      <c r="E142" s="21">
        <f>IF(B142="","",IFERROR(INDEX('タスク一覧'!$D:$D,MATCH(B142,'タスク一覧'!$A:$A,0)),""))</f>
        <v/>
      </c>
      <c r="F142" s="18" t="n"/>
      <c r="G142" s="18" t="n"/>
      <c r="H142" s="33" t="n"/>
      <c r="I142" s="18" t="n"/>
      <c r="J142" s="33" t="n"/>
      <c r="K142" s="18" t="n"/>
      <c r="L142" s="21">
        <f>IF(OR(B142="",H142=""),"",IF(AND(I142&lt;&gt;"完了",H142&lt;TODAY()),"期限超過",""))</f>
        <v/>
      </c>
    </row>
    <row r="143">
      <c r="A143" s="18" t="n"/>
      <c r="B143" s="18" t="n"/>
      <c r="C143" s="21">
        <f>IF(B143="","",IFERROR(INDEX('タスク一覧'!$B:$B,MATCH(B143,'タスク一覧'!$A:$A,0)),"タスクIDが未登録"))</f>
        <v/>
      </c>
      <c r="D143" s="21">
        <f>IF(B143="","",IFERROR(INDEX('タスク一覧'!$C:$C,MATCH(B143,'タスク一覧'!$A:$A,0)),""))</f>
        <v/>
      </c>
      <c r="E143" s="21">
        <f>IF(B143="","",IFERROR(INDEX('タスク一覧'!$D:$D,MATCH(B143,'タスク一覧'!$A:$A,0)),""))</f>
        <v/>
      </c>
      <c r="F143" s="18" t="n"/>
      <c r="G143" s="18" t="n"/>
      <c r="H143" s="33" t="n"/>
      <c r="I143" s="18" t="n"/>
      <c r="J143" s="33" t="n"/>
      <c r="K143" s="18" t="n"/>
      <c r="L143" s="21">
        <f>IF(OR(B143="",H143=""),"",IF(AND(I143&lt;&gt;"完了",H143&lt;TODAY()),"期限超過",""))</f>
        <v/>
      </c>
    </row>
    <row r="144">
      <c r="A144" s="18" t="n"/>
      <c r="B144" s="18" t="n"/>
      <c r="C144" s="21">
        <f>IF(B144="","",IFERROR(INDEX('タスク一覧'!$B:$B,MATCH(B144,'タスク一覧'!$A:$A,0)),"タスクIDが未登録"))</f>
        <v/>
      </c>
      <c r="D144" s="21">
        <f>IF(B144="","",IFERROR(INDEX('タスク一覧'!$C:$C,MATCH(B144,'タスク一覧'!$A:$A,0)),""))</f>
        <v/>
      </c>
      <c r="E144" s="21">
        <f>IF(B144="","",IFERROR(INDEX('タスク一覧'!$D:$D,MATCH(B144,'タスク一覧'!$A:$A,0)),""))</f>
        <v/>
      </c>
      <c r="F144" s="18" t="n"/>
      <c r="G144" s="18" t="n"/>
      <c r="H144" s="33" t="n"/>
      <c r="I144" s="18" t="n"/>
      <c r="J144" s="33" t="n"/>
      <c r="K144" s="18" t="n"/>
      <c r="L144" s="21">
        <f>IF(OR(B144="",H144=""),"",IF(AND(I144&lt;&gt;"完了",H144&lt;TODAY()),"期限超過",""))</f>
        <v/>
      </c>
    </row>
    <row r="145">
      <c r="A145" s="18" t="n"/>
      <c r="B145" s="18" t="n"/>
      <c r="C145" s="21">
        <f>IF(B145="","",IFERROR(INDEX('タスク一覧'!$B:$B,MATCH(B145,'タスク一覧'!$A:$A,0)),"タスクIDが未登録"))</f>
        <v/>
      </c>
      <c r="D145" s="21">
        <f>IF(B145="","",IFERROR(INDEX('タスク一覧'!$C:$C,MATCH(B145,'タスク一覧'!$A:$A,0)),""))</f>
        <v/>
      </c>
      <c r="E145" s="21">
        <f>IF(B145="","",IFERROR(INDEX('タスク一覧'!$D:$D,MATCH(B145,'タスク一覧'!$A:$A,0)),""))</f>
        <v/>
      </c>
      <c r="F145" s="18" t="n"/>
      <c r="G145" s="18" t="n"/>
      <c r="H145" s="33" t="n"/>
      <c r="I145" s="18" t="n"/>
      <c r="J145" s="33" t="n"/>
      <c r="K145" s="18" t="n"/>
      <c r="L145" s="21">
        <f>IF(OR(B145="",H145=""),"",IF(AND(I145&lt;&gt;"完了",H145&lt;TODAY()),"期限超過",""))</f>
        <v/>
      </c>
    </row>
    <row r="146">
      <c r="A146" s="18" t="n"/>
      <c r="B146" s="18" t="n"/>
      <c r="C146" s="21">
        <f>IF(B146="","",IFERROR(INDEX('タスク一覧'!$B:$B,MATCH(B146,'タスク一覧'!$A:$A,0)),"タスクIDが未登録"))</f>
        <v/>
      </c>
      <c r="D146" s="21">
        <f>IF(B146="","",IFERROR(INDEX('タスク一覧'!$C:$C,MATCH(B146,'タスク一覧'!$A:$A,0)),""))</f>
        <v/>
      </c>
      <c r="E146" s="21">
        <f>IF(B146="","",IFERROR(INDEX('タスク一覧'!$D:$D,MATCH(B146,'タスク一覧'!$A:$A,0)),""))</f>
        <v/>
      </c>
      <c r="F146" s="18" t="n"/>
      <c r="G146" s="18" t="n"/>
      <c r="H146" s="33" t="n"/>
      <c r="I146" s="18" t="n"/>
      <c r="J146" s="33" t="n"/>
      <c r="K146" s="18" t="n"/>
      <c r="L146" s="21">
        <f>IF(OR(B146="",H146=""),"",IF(AND(I146&lt;&gt;"完了",H146&lt;TODAY()),"期限超過",""))</f>
        <v/>
      </c>
    </row>
    <row r="147">
      <c r="A147" s="18" t="n"/>
      <c r="B147" s="18" t="n"/>
      <c r="C147" s="21">
        <f>IF(B147="","",IFERROR(INDEX('タスク一覧'!$B:$B,MATCH(B147,'タスク一覧'!$A:$A,0)),"タスクIDが未登録"))</f>
        <v/>
      </c>
      <c r="D147" s="21">
        <f>IF(B147="","",IFERROR(INDEX('タスク一覧'!$C:$C,MATCH(B147,'タスク一覧'!$A:$A,0)),""))</f>
        <v/>
      </c>
      <c r="E147" s="21">
        <f>IF(B147="","",IFERROR(INDEX('タスク一覧'!$D:$D,MATCH(B147,'タスク一覧'!$A:$A,0)),""))</f>
        <v/>
      </c>
      <c r="F147" s="18" t="n"/>
      <c r="G147" s="18" t="n"/>
      <c r="H147" s="33" t="n"/>
      <c r="I147" s="18" t="n"/>
      <c r="J147" s="33" t="n"/>
      <c r="K147" s="18" t="n"/>
      <c r="L147" s="21">
        <f>IF(OR(B147="",H147=""),"",IF(AND(I147&lt;&gt;"完了",H147&lt;TODAY()),"期限超過",""))</f>
        <v/>
      </c>
    </row>
    <row r="148">
      <c r="A148" s="18" t="n"/>
      <c r="B148" s="18" t="n"/>
      <c r="C148" s="21">
        <f>IF(B148="","",IFERROR(INDEX('タスク一覧'!$B:$B,MATCH(B148,'タスク一覧'!$A:$A,0)),"タスクIDが未登録"))</f>
        <v/>
      </c>
      <c r="D148" s="21">
        <f>IF(B148="","",IFERROR(INDEX('タスク一覧'!$C:$C,MATCH(B148,'タスク一覧'!$A:$A,0)),""))</f>
        <v/>
      </c>
      <c r="E148" s="21">
        <f>IF(B148="","",IFERROR(INDEX('タスク一覧'!$D:$D,MATCH(B148,'タスク一覧'!$A:$A,0)),""))</f>
        <v/>
      </c>
      <c r="F148" s="18" t="n"/>
      <c r="G148" s="18" t="n"/>
      <c r="H148" s="33" t="n"/>
      <c r="I148" s="18" t="n"/>
      <c r="J148" s="33" t="n"/>
      <c r="K148" s="18" t="n"/>
      <c r="L148" s="21">
        <f>IF(OR(B148="",H148=""),"",IF(AND(I148&lt;&gt;"完了",H148&lt;TODAY()),"期限超過",""))</f>
        <v/>
      </c>
    </row>
    <row r="149">
      <c r="A149" s="18" t="n"/>
      <c r="B149" s="18" t="n"/>
      <c r="C149" s="21">
        <f>IF(B149="","",IFERROR(INDEX('タスク一覧'!$B:$B,MATCH(B149,'タスク一覧'!$A:$A,0)),"タスクIDが未登録"))</f>
        <v/>
      </c>
      <c r="D149" s="21">
        <f>IF(B149="","",IFERROR(INDEX('タスク一覧'!$C:$C,MATCH(B149,'タスク一覧'!$A:$A,0)),""))</f>
        <v/>
      </c>
      <c r="E149" s="21">
        <f>IF(B149="","",IFERROR(INDEX('タスク一覧'!$D:$D,MATCH(B149,'タスク一覧'!$A:$A,0)),""))</f>
        <v/>
      </c>
      <c r="F149" s="18" t="n"/>
      <c r="G149" s="18" t="n"/>
      <c r="H149" s="33" t="n"/>
      <c r="I149" s="18" t="n"/>
      <c r="J149" s="33" t="n"/>
      <c r="K149" s="18" t="n"/>
      <c r="L149" s="21">
        <f>IF(OR(B149="",H149=""),"",IF(AND(I149&lt;&gt;"完了",H149&lt;TODAY()),"期限超過",""))</f>
        <v/>
      </c>
    </row>
    <row r="150">
      <c r="A150" s="18" t="n"/>
      <c r="B150" s="18" t="n"/>
      <c r="C150" s="21">
        <f>IF(B150="","",IFERROR(INDEX('タスク一覧'!$B:$B,MATCH(B150,'タスク一覧'!$A:$A,0)),"タスクIDが未登録"))</f>
        <v/>
      </c>
      <c r="D150" s="21">
        <f>IF(B150="","",IFERROR(INDEX('タスク一覧'!$C:$C,MATCH(B150,'タスク一覧'!$A:$A,0)),""))</f>
        <v/>
      </c>
      <c r="E150" s="21">
        <f>IF(B150="","",IFERROR(INDEX('タスク一覧'!$D:$D,MATCH(B150,'タスク一覧'!$A:$A,0)),""))</f>
        <v/>
      </c>
      <c r="F150" s="18" t="n"/>
      <c r="G150" s="18" t="n"/>
      <c r="H150" s="33" t="n"/>
      <c r="I150" s="18" t="n"/>
      <c r="J150" s="33" t="n"/>
      <c r="K150" s="18" t="n"/>
      <c r="L150" s="21">
        <f>IF(OR(B150="",H150=""),"",IF(AND(I150&lt;&gt;"完了",H150&lt;TODAY()),"期限超過",""))</f>
        <v/>
      </c>
    </row>
    <row r="151">
      <c r="A151" s="18" t="n"/>
      <c r="B151" s="18" t="n"/>
      <c r="C151" s="21">
        <f>IF(B151="","",IFERROR(INDEX('タスク一覧'!$B:$B,MATCH(B151,'タスク一覧'!$A:$A,0)),"タスクIDが未登録"))</f>
        <v/>
      </c>
      <c r="D151" s="21">
        <f>IF(B151="","",IFERROR(INDEX('タスク一覧'!$C:$C,MATCH(B151,'タスク一覧'!$A:$A,0)),""))</f>
        <v/>
      </c>
      <c r="E151" s="21">
        <f>IF(B151="","",IFERROR(INDEX('タスク一覧'!$D:$D,MATCH(B151,'タスク一覧'!$A:$A,0)),""))</f>
        <v/>
      </c>
      <c r="F151" s="18" t="n"/>
      <c r="G151" s="18" t="n"/>
      <c r="H151" s="33" t="n"/>
      <c r="I151" s="18" t="n"/>
      <c r="J151" s="33" t="n"/>
      <c r="K151" s="18" t="n"/>
      <c r="L151" s="21">
        <f>IF(OR(B151="",H151=""),"",IF(AND(I151&lt;&gt;"完了",H151&lt;TODAY()),"期限超過",""))</f>
        <v/>
      </c>
    </row>
    <row r="152">
      <c r="A152" s="18" t="n"/>
      <c r="B152" s="18" t="n"/>
      <c r="C152" s="21">
        <f>IF(B152="","",IFERROR(INDEX('タスク一覧'!$B:$B,MATCH(B152,'タスク一覧'!$A:$A,0)),"タスクIDが未登録"))</f>
        <v/>
      </c>
      <c r="D152" s="21">
        <f>IF(B152="","",IFERROR(INDEX('タスク一覧'!$C:$C,MATCH(B152,'タスク一覧'!$A:$A,0)),""))</f>
        <v/>
      </c>
      <c r="E152" s="21">
        <f>IF(B152="","",IFERROR(INDEX('タスク一覧'!$D:$D,MATCH(B152,'タスク一覧'!$A:$A,0)),""))</f>
        <v/>
      </c>
      <c r="F152" s="18" t="n"/>
      <c r="G152" s="18" t="n"/>
      <c r="H152" s="33" t="n"/>
      <c r="I152" s="18" t="n"/>
      <c r="J152" s="33" t="n"/>
      <c r="K152" s="18" t="n"/>
      <c r="L152" s="21">
        <f>IF(OR(B152="",H152=""),"",IF(AND(I152&lt;&gt;"完了",H152&lt;TODAY()),"期限超過",""))</f>
        <v/>
      </c>
    </row>
    <row r="153">
      <c r="A153" s="18" t="n"/>
      <c r="B153" s="18" t="n"/>
      <c r="C153" s="21">
        <f>IF(B153="","",IFERROR(INDEX('タスク一覧'!$B:$B,MATCH(B153,'タスク一覧'!$A:$A,0)),"タスクIDが未登録"))</f>
        <v/>
      </c>
      <c r="D153" s="21">
        <f>IF(B153="","",IFERROR(INDEX('タスク一覧'!$C:$C,MATCH(B153,'タスク一覧'!$A:$A,0)),""))</f>
        <v/>
      </c>
      <c r="E153" s="21">
        <f>IF(B153="","",IFERROR(INDEX('タスク一覧'!$D:$D,MATCH(B153,'タスク一覧'!$A:$A,0)),""))</f>
        <v/>
      </c>
      <c r="F153" s="18" t="n"/>
      <c r="G153" s="18" t="n"/>
      <c r="H153" s="33" t="n"/>
      <c r="I153" s="18" t="n"/>
      <c r="J153" s="33" t="n"/>
      <c r="K153" s="18" t="n"/>
      <c r="L153" s="21">
        <f>IF(OR(B153="",H153=""),"",IF(AND(I153&lt;&gt;"完了",H153&lt;TODAY()),"期限超過",""))</f>
        <v/>
      </c>
    </row>
    <row r="154">
      <c r="A154" s="18" t="n"/>
      <c r="B154" s="18" t="n"/>
      <c r="C154" s="21">
        <f>IF(B154="","",IFERROR(INDEX('タスク一覧'!$B:$B,MATCH(B154,'タスク一覧'!$A:$A,0)),"タスクIDが未登録"))</f>
        <v/>
      </c>
      <c r="D154" s="21">
        <f>IF(B154="","",IFERROR(INDEX('タスク一覧'!$C:$C,MATCH(B154,'タスク一覧'!$A:$A,0)),""))</f>
        <v/>
      </c>
      <c r="E154" s="21">
        <f>IF(B154="","",IFERROR(INDEX('タスク一覧'!$D:$D,MATCH(B154,'タスク一覧'!$A:$A,0)),""))</f>
        <v/>
      </c>
      <c r="F154" s="18" t="n"/>
      <c r="G154" s="18" t="n"/>
      <c r="H154" s="33" t="n"/>
      <c r="I154" s="18" t="n"/>
      <c r="J154" s="33" t="n"/>
      <c r="K154" s="18" t="n"/>
      <c r="L154" s="21">
        <f>IF(OR(B154="",H154=""),"",IF(AND(I154&lt;&gt;"完了",H154&lt;TODAY()),"期限超過",""))</f>
        <v/>
      </c>
    </row>
    <row r="155">
      <c r="A155" s="18" t="n"/>
      <c r="B155" s="18" t="n"/>
      <c r="C155" s="21">
        <f>IF(B155="","",IFERROR(INDEX('タスク一覧'!$B:$B,MATCH(B155,'タスク一覧'!$A:$A,0)),"タスクIDが未登録"))</f>
        <v/>
      </c>
      <c r="D155" s="21">
        <f>IF(B155="","",IFERROR(INDEX('タスク一覧'!$C:$C,MATCH(B155,'タスク一覧'!$A:$A,0)),""))</f>
        <v/>
      </c>
      <c r="E155" s="21">
        <f>IF(B155="","",IFERROR(INDEX('タスク一覧'!$D:$D,MATCH(B155,'タスク一覧'!$A:$A,0)),""))</f>
        <v/>
      </c>
      <c r="F155" s="18" t="n"/>
      <c r="G155" s="18" t="n"/>
      <c r="H155" s="33" t="n"/>
      <c r="I155" s="18" t="n"/>
      <c r="J155" s="33" t="n"/>
      <c r="K155" s="18" t="n"/>
      <c r="L155" s="21">
        <f>IF(OR(B155="",H155=""),"",IF(AND(I155&lt;&gt;"完了",H155&lt;TODAY()),"期限超過",""))</f>
        <v/>
      </c>
    </row>
    <row r="156">
      <c r="A156" s="18" t="n"/>
      <c r="B156" s="18" t="n"/>
      <c r="C156" s="21">
        <f>IF(B156="","",IFERROR(INDEX('タスク一覧'!$B:$B,MATCH(B156,'タスク一覧'!$A:$A,0)),"タスクIDが未登録"))</f>
        <v/>
      </c>
      <c r="D156" s="21">
        <f>IF(B156="","",IFERROR(INDEX('タスク一覧'!$C:$C,MATCH(B156,'タスク一覧'!$A:$A,0)),""))</f>
        <v/>
      </c>
      <c r="E156" s="21">
        <f>IF(B156="","",IFERROR(INDEX('タスク一覧'!$D:$D,MATCH(B156,'タスク一覧'!$A:$A,0)),""))</f>
        <v/>
      </c>
      <c r="F156" s="18" t="n"/>
      <c r="G156" s="18" t="n"/>
      <c r="H156" s="33" t="n"/>
      <c r="I156" s="18" t="n"/>
      <c r="J156" s="33" t="n"/>
      <c r="K156" s="18" t="n"/>
      <c r="L156" s="21">
        <f>IF(OR(B156="",H156=""),"",IF(AND(I156&lt;&gt;"完了",H156&lt;TODAY()),"期限超過",""))</f>
        <v/>
      </c>
    </row>
    <row r="157">
      <c r="A157" s="18" t="n"/>
      <c r="B157" s="18" t="n"/>
      <c r="C157" s="21">
        <f>IF(B157="","",IFERROR(INDEX('タスク一覧'!$B:$B,MATCH(B157,'タスク一覧'!$A:$A,0)),"タスクIDが未登録"))</f>
        <v/>
      </c>
      <c r="D157" s="21">
        <f>IF(B157="","",IFERROR(INDEX('タスク一覧'!$C:$C,MATCH(B157,'タスク一覧'!$A:$A,0)),""))</f>
        <v/>
      </c>
      <c r="E157" s="21">
        <f>IF(B157="","",IFERROR(INDEX('タスク一覧'!$D:$D,MATCH(B157,'タスク一覧'!$A:$A,0)),""))</f>
        <v/>
      </c>
      <c r="F157" s="18" t="n"/>
      <c r="G157" s="18" t="n"/>
      <c r="H157" s="33" t="n"/>
      <c r="I157" s="18" t="n"/>
      <c r="J157" s="33" t="n"/>
      <c r="K157" s="18" t="n"/>
      <c r="L157" s="21">
        <f>IF(OR(B157="",H157=""),"",IF(AND(I157&lt;&gt;"完了",H157&lt;TODAY()),"期限超過",""))</f>
        <v/>
      </c>
    </row>
    <row r="158">
      <c r="A158" s="18" t="n"/>
      <c r="B158" s="18" t="n"/>
      <c r="C158" s="21">
        <f>IF(B158="","",IFERROR(INDEX('タスク一覧'!$B:$B,MATCH(B158,'タスク一覧'!$A:$A,0)),"タスクIDが未登録"))</f>
        <v/>
      </c>
      <c r="D158" s="21">
        <f>IF(B158="","",IFERROR(INDEX('タスク一覧'!$C:$C,MATCH(B158,'タスク一覧'!$A:$A,0)),""))</f>
        <v/>
      </c>
      <c r="E158" s="21">
        <f>IF(B158="","",IFERROR(INDEX('タスク一覧'!$D:$D,MATCH(B158,'タスク一覧'!$A:$A,0)),""))</f>
        <v/>
      </c>
      <c r="F158" s="18" t="n"/>
      <c r="G158" s="18" t="n"/>
      <c r="H158" s="33" t="n"/>
      <c r="I158" s="18" t="n"/>
      <c r="J158" s="33" t="n"/>
      <c r="K158" s="18" t="n"/>
      <c r="L158" s="21">
        <f>IF(OR(B158="",H158=""),"",IF(AND(I158&lt;&gt;"完了",H158&lt;TODAY()),"期限超過",""))</f>
        <v/>
      </c>
    </row>
    <row r="159">
      <c r="A159" s="18" t="n"/>
      <c r="B159" s="18" t="n"/>
      <c r="C159" s="21">
        <f>IF(B159="","",IFERROR(INDEX('タスク一覧'!$B:$B,MATCH(B159,'タスク一覧'!$A:$A,0)),"タスクIDが未登録"))</f>
        <v/>
      </c>
      <c r="D159" s="21">
        <f>IF(B159="","",IFERROR(INDEX('タスク一覧'!$C:$C,MATCH(B159,'タスク一覧'!$A:$A,0)),""))</f>
        <v/>
      </c>
      <c r="E159" s="21">
        <f>IF(B159="","",IFERROR(INDEX('タスク一覧'!$D:$D,MATCH(B159,'タスク一覧'!$A:$A,0)),""))</f>
        <v/>
      </c>
      <c r="F159" s="18" t="n"/>
      <c r="G159" s="18" t="n"/>
      <c r="H159" s="33" t="n"/>
      <c r="I159" s="18" t="n"/>
      <c r="J159" s="33" t="n"/>
      <c r="K159" s="18" t="n"/>
      <c r="L159" s="21">
        <f>IF(OR(B159="",H159=""),"",IF(AND(I159&lt;&gt;"完了",H159&lt;TODAY()),"期限超過",""))</f>
        <v/>
      </c>
    </row>
    <row r="160">
      <c r="A160" s="18" t="n"/>
      <c r="B160" s="18" t="n"/>
      <c r="C160" s="21">
        <f>IF(B160="","",IFERROR(INDEX('タスク一覧'!$B:$B,MATCH(B160,'タスク一覧'!$A:$A,0)),"タスクIDが未登録"))</f>
        <v/>
      </c>
      <c r="D160" s="21">
        <f>IF(B160="","",IFERROR(INDEX('タスク一覧'!$C:$C,MATCH(B160,'タスク一覧'!$A:$A,0)),""))</f>
        <v/>
      </c>
      <c r="E160" s="21">
        <f>IF(B160="","",IFERROR(INDEX('タスク一覧'!$D:$D,MATCH(B160,'タスク一覧'!$A:$A,0)),""))</f>
        <v/>
      </c>
      <c r="F160" s="18" t="n"/>
      <c r="G160" s="18" t="n"/>
      <c r="H160" s="33" t="n"/>
      <c r="I160" s="18" t="n"/>
      <c r="J160" s="33" t="n"/>
      <c r="K160" s="18" t="n"/>
      <c r="L160" s="21">
        <f>IF(OR(B160="",H160=""),"",IF(AND(I160&lt;&gt;"完了",H160&lt;TODAY()),"期限超過",""))</f>
        <v/>
      </c>
    </row>
    <row r="161">
      <c r="A161" s="18" t="n"/>
      <c r="B161" s="18" t="n"/>
      <c r="C161" s="21">
        <f>IF(B161="","",IFERROR(INDEX('タスク一覧'!$B:$B,MATCH(B161,'タスク一覧'!$A:$A,0)),"タスクIDが未登録"))</f>
        <v/>
      </c>
      <c r="D161" s="21">
        <f>IF(B161="","",IFERROR(INDEX('タスク一覧'!$C:$C,MATCH(B161,'タスク一覧'!$A:$A,0)),""))</f>
        <v/>
      </c>
      <c r="E161" s="21">
        <f>IF(B161="","",IFERROR(INDEX('タスク一覧'!$D:$D,MATCH(B161,'タスク一覧'!$A:$A,0)),""))</f>
        <v/>
      </c>
      <c r="F161" s="18" t="n"/>
      <c r="G161" s="18" t="n"/>
      <c r="H161" s="33" t="n"/>
      <c r="I161" s="18" t="n"/>
      <c r="J161" s="33" t="n"/>
      <c r="K161" s="18" t="n"/>
      <c r="L161" s="21">
        <f>IF(OR(B161="",H161=""),"",IF(AND(I161&lt;&gt;"完了",H161&lt;TODAY()),"期限超過",""))</f>
        <v/>
      </c>
    </row>
    <row r="162">
      <c r="A162" s="18" t="n"/>
      <c r="B162" s="18" t="n"/>
      <c r="C162" s="21">
        <f>IF(B162="","",IFERROR(INDEX('タスク一覧'!$B:$B,MATCH(B162,'タスク一覧'!$A:$A,0)),"タスクIDが未登録"))</f>
        <v/>
      </c>
      <c r="D162" s="21">
        <f>IF(B162="","",IFERROR(INDEX('タスク一覧'!$C:$C,MATCH(B162,'タスク一覧'!$A:$A,0)),""))</f>
        <v/>
      </c>
      <c r="E162" s="21">
        <f>IF(B162="","",IFERROR(INDEX('タスク一覧'!$D:$D,MATCH(B162,'タスク一覧'!$A:$A,0)),""))</f>
        <v/>
      </c>
      <c r="F162" s="18" t="n"/>
      <c r="G162" s="18" t="n"/>
      <c r="H162" s="33" t="n"/>
      <c r="I162" s="18" t="n"/>
      <c r="J162" s="33" t="n"/>
      <c r="K162" s="18" t="n"/>
      <c r="L162" s="21">
        <f>IF(OR(B162="",H162=""),"",IF(AND(I162&lt;&gt;"完了",H162&lt;TODAY()),"期限超過",""))</f>
        <v/>
      </c>
    </row>
    <row r="163">
      <c r="A163" s="18" t="n"/>
      <c r="B163" s="18" t="n"/>
      <c r="C163" s="21">
        <f>IF(B163="","",IFERROR(INDEX('タスク一覧'!$B:$B,MATCH(B163,'タスク一覧'!$A:$A,0)),"タスクIDが未登録"))</f>
        <v/>
      </c>
      <c r="D163" s="21">
        <f>IF(B163="","",IFERROR(INDEX('タスク一覧'!$C:$C,MATCH(B163,'タスク一覧'!$A:$A,0)),""))</f>
        <v/>
      </c>
      <c r="E163" s="21">
        <f>IF(B163="","",IFERROR(INDEX('タスク一覧'!$D:$D,MATCH(B163,'タスク一覧'!$A:$A,0)),""))</f>
        <v/>
      </c>
      <c r="F163" s="18" t="n"/>
      <c r="G163" s="18" t="n"/>
      <c r="H163" s="33" t="n"/>
      <c r="I163" s="18" t="n"/>
      <c r="J163" s="33" t="n"/>
      <c r="K163" s="18" t="n"/>
      <c r="L163" s="21">
        <f>IF(OR(B163="",H163=""),"",IF(AND(I163&lt;&gt;"完了",H163&lt;TODAY()),"期限超過",""))</f>
        <v/>
      </c>
    </row>
    <row r="164">
      <c r="A164" s="18" t="n"/>
      <c r="B164" s="18" t="n"/>
      <c r="C164" s="21">
        <f>IF(B164="","",IFERROR(INDEX('タスク一覧'!$B:$B,MATCH(B164,'タスク一覧'!$A:$A,0)),"タスクIDが未登録"))</f>
        <v/>
      </c>
      <c r="D164" s="21">
        <f>IF(B164="","",IFERROR(INDEX('タスク一覧'!$C:$C,MATCH(B164,'タスク一覧'!$A:$A,0)),""))</f>
        <v/>
      </c>
      <c r="E164" s="21">
        <f>IF(B164="","",IFERROR(INDEX('タスク一覧'!$D:$D,MATCH(B164,'タスク一覧'!$A:$A,0)),""))</f>
        <v/>
      </c>
      <c r="F164" s="18" t="n"/>
      <c r="G164" s="18" t="n"/>
      <c r="H164" s="33" t="n"/>
      <c r="I164" s="18" t="n"/>
      <c r="J164" s="33" t="n"/>
      <c r="K164" s="18" t="n"/>
      <c r="L164" s="21">
        <f>IF(OR(B164="",H164=""),"",IF(AND(I164&lt;&gt;"完了",H164&lt;TODAY()),"期限超過",""))</f>
        <v/>
      </c>
    </row>
    <row r="165">
      <c r="A165" s="18" t="n"/>
      <c r="B165" s="18" t="n"/>
      <c r="C165" s="21">
        <f>IF(B165="","",IFERROR(INDEX('タスク一覧'!$B:$B,MATCH(B165,'タスク一覧'!$A:$A,0)),"タスクIDが未登録"))</f>
        <v/>
      </c>
      <c r="D165" s="21">
        <f>IF(B165="","",IFERROR(INDEX('タスク一覧'!$C:$C,MATCH(B165,'タスク一覧'!$A:$A,0)),""))</f>
        <v/>
      </c>
      <c r="E165" s="21">
        <f>IF(B165="","",IFERROR(INDEX('タスク一覧'!$D:$D,MATCH(B165,'タスク一覧'!$A:$A,0)),""))</f>
        <v/>
      </c>
      <c r="F165" s="18" t="n"/>
      <c r="G165" s="18" t="n"/>
      <c r="H165" s="33" t="n"/>
      <c r="I165" s="18" t="n"/>
      <c r="J165" s="33" t="n"/>
      <c r="K165" s="18" t="n"/>
      <c r="L165" s="21">
        <f>IF(OR(B165="",H165=""),"",IF(AND(I165&lt;&gt;"完了",H165&lt;TODAY()),"期限超過",""))</f>
        <v/>
      </c>
    </row>
    <row r="166">
      <c r="A166" s="18" t="n"/>
      <c r="B166" s="18" t="n"/>
      <c r="C166" s="21">
        <f>IF(B166="","",IFERROR(INDEX('タスク一覧'!$B:$B,MATCH(B166,'タスク一覧'!$A:$A,0)),"タスクIDが未登録"))</f>
        <v/>
      </c>
      <c r="D166" s="21">
        <f>IF(B166="","",IFERROR(INDEX('タスク一覧'!$C:$C,MATCH(B166,'タスク一覧'!$A:$A,0)),""))</f>
        <v/>
      </c>
      <c r="E166" s="21">
        <f>IF(B166="","",IFERROR(INDEX('タスク一覧'!$D:$D,MATCH(B166,'タスク一覧'!$A:$A,0)),""))</f>
        <v/>
      </c>
      <c r="F166" s="18" t="n"/>
      <c r="G166" s="18" t="n"/>
      <c r="H166" s="33" t="n"/>
      <c r="I166" s="18" t="n"/>
      <c r="J166" s="33" t="n"/>
      <c r="K166" s="18" t="n"/>
      <c r="L166" s="21">
        <f>IF(OR(B166="",H166=""),"",IF(AND(I166&lt;&gt;"完了",H166&lt;TODAY()),"期限超過",""))</f>
        <v/>
      </c>
    </row>
    <row r="167">
      <c r="A167" s="18" t="n"/>
      <c r="B167" s="18" t="n"/>
      <c r="C167" s="21">
        <f>IF(B167="","",IFERROR(INDEX('タスク一覧'!$B:$B,MATCH(B167,'タスク一覧'!$A:$A,0)),"タスクIDが未登録"))</f>
        <v/>
      </c>
      <c r="D167" s="21">
        <f>IF(B167="","",IFERROR(INDEX('タスク一覧'!$C:$C,MATCH(B167,'タスク一覧'!$A:$A,0)),""))</f>
        <v/>
      </c>
      <c r="E167" s="21">
        <f>IF(B167="","",IFERROR(INDEX('タスク一覧'!$D:$D,MATCH(B167,'タスク一覧'!$A:$A,0)),""))</f>
        <v/>
      </c>
      <c r="F167" s="18" t="n"/>
      <c r="G167" s="18" t="n"/>
      <c r="H167" s="33" t="n"/>
      <c r="I167" s="18" t="n"/>
      <c r="J167" s="33" t="n"/>
      <c r="K167" s="18" t="n"/>
      <c r="L167" s="21">
        <f>IF(OR(B167="",H167=""),"",IF(AND(I167&lt;&gt;"完了",H167&lt;TODAY()),"期限超過",""))</f>
        <v/>
      </c>
    </row>
    <row r="168">
      <c r="A168" s="18" t="n"/>
      <c r="B168" s="18" t="n"/>
      <c r="C168" s="21">
        <f>IF(B168="","",IFERROR(INDEX('タスク一覧'!$B:$B,MATCH(B168,'タスク一覧'!$A:$A,0)),"タスクIDが未登録"))</f>
        <v/>
      </c>
      <c r="D168" s="21">
        <f>IF(B168="","",IFERROR(INDEX('タスク一覧'!$C:$C,MATCH(B168,'タスク一覧'!$A:$A,0)),""))</f>
        <v/>
      </c>
      <c r="E168" s="21">
        <f>IF(B168="","",IFERROR(INDEX('タスク一覧'!$D:$D,MATCH(B168,'タスク一覧'!$A:$A,0)),""))</f>
        <v/>
      </c>
      <c r="F168" s="18" t="n"/>
      <c r="G168" s="18" t="n"/>
      <c r="H168" s="33" t="n"/>
      <c r="I168" s="18" t="n"/>
      <c r="J168" s="33" t="n"/>
      <c r="K168" s="18" t="n"/>
      <c r="L168" s="21">
        <f>IF(OR(B168="",H168=""),"",IF(AND(I168&lt;&gt;"完了",H168&lt;TODAY()),"期限超過",""))</f>
        <v/>
      </c>
    </row>
    <row r="169">
      <c r="A169" s="18" t="n"/>
      <c r="B169" s="18" t="n"/>
      <c r="C169" s="21">
        <f>IF(B169="","",IFERROR(INDEX('タスク一覧'!$B:$B,MATCH(B169,'タスク一覧'!$A:$A,0)),"タスクIDが未登録"))</f>
        <v/>
      </c>
      <c r="D169" s="21">
        <f>IF(B169="","",IFERROR(INDEX('タスク一覧'!$C:$C,MATCH(B169,'タスク一覧'!$A:$A,0)),""))</f>
        <v/>
      </c>
      <c r="E169" s="21">
        <f>IF(B169="","",IFERROR(INDEX('タスク一覧'!$D:$D,MATCH(B169,'タスク一覧'!$A:$A,0)),""))</f>
        <v/>
      </c>
      <c r="F169" s="18" t="n"/>
      <c r="G169" s="18" t="n"/>
      <c r="H169" s="33" t="n"/>
      <c r="I169" s="18" t="n"/>
      <c r="J169" s="33" t="n"/>
      <c r="K169" s="18" t="n"/>
      <c r="L169" s="21">
        <f>IF(OR(B169="",H169=""),"",IF(AND(I169&lt;&gt;"完了",H169&lt;TODAY()),"期限超過",""))</f>
        <v/>
      </c>
    </row>
    <row r="170">
      <c r="A170" s="18" t="n"/>
      <c r="B170" s="18" t="n"/>
      <c r="C170" s="21">
        <f>IF(B170="","",IFERROR(INDEX('タスク一覧'!$B:$B,MATCH(B170,'タスク一覧'!$A:$A,0)),"タスクIDが未登録"))</f>
        <v/>
      </c>
      <c r="D170" s="21">
        <f>IF(B170="","",IFERROR(INDEX('タスク一覧'!$C:$C,MATCH(B170,'タスク一覧'!$A:$A,0)),""))</f>
        <v/>
      </c>
      <c r="E170" s="21">
        <f>IF(B170="","",IFERROR(INDEX('タスク一覧'!$D:$D,MATCH(B170,'タスク一覧'!$A:$A,0)),""))</f>
        <v/>
      </c>
      <c r="F170" s="18" t="n"/>
      <c r="G170" s="18" t="n"/>
      <c r="H170" s="33" t="n"/>
      <c r="I170" s="18" t="n"/>
      <c r="J170" s="33" t="n"/>
      <c r="K170" s="18" t="n"/>
      <c r="L170" s="21">
        <f>IF(OR(B170="",H170=""),"",IF(AND(I170&lt;&gt;"完了",H170&lt;TODAY()),"期限超過",""))</f>
        <v/>
      </c>
    </row>
    <row r="171">
      <c r="A171" s="18" t="n"/>
      <c r="B171" s="18" t="n"/>
      <c r="C171" s="21">
        <f>IF(B171="","",IFERROR(INDEX('タスク一覧'!$B:$B,MATCH(B171,'タスク一覧'!$A:$A,0)),"タスクIDが未登録"))</f>
        <v/>
      </c>
      <c r="D171" s="21">
        <f>IF(B171="","",IFERROR(INDEX('タスク一覧'!$C:$C,MATCH(B171,'タスク一覧'!$A:$A,0)),""))</f>
        <v/>
      </c>
      <c r="E171" s="21">
        <f>IF(B171="","",IFERROR(INDEX('タスク一覧'!$D:$D,MATCH(B171,'タスク一覧'!$A:$A,0)),""))</f>
        <v/>
      </c>
      <c r="F171" s="18" t="n"/>
      <c r="G171" s="18" t="n"/>
      <c r="H171" s="33" t="n"/>
      <c r="I171" s="18" t="n"/>
      <c r="J171" s="33" t="n"/>
      <c r="K171" s="18" t="n"/>
      <c r="L171" s="21">
        <f>IF(OR(B171="",H171=""),"",IF(AND(I171&lt;&gt;"完了",H171&lt;TODAY()),"期限超過",""))</f>
        <v/>
      </c>
    </row>
    <row r="172">
      <c r="A172" s="18" t="n"/>
      <c r="B172" s="18" t="n"/>
      <c r="C172" s="21">
        <f>IF(B172="","",IFERROR(INDEX('タスク一覧'!$B:$B,MATCH(B172,'タスク一覧'!$A:$A,0)),"タスクIDが未登録"))</f>
        <v/>
      </c>
      <c r="D172" s="21">
        <f>IF(B172="","",IFERROR(INDEX('タスク一覧'!$C:$C,MATCH(B172,'タスク一覧'!$A:$A,0)),""))</f>
        <v/>
      </c>
      <c r="E172" s="21">
        <f>IF(B172="","",IFERROR(INDEX('タスク一覧'!$D:$D,MATCH(B172,'タスク一覧'!$A:$A,0)),""))</f>
        <v/>
      </c>
      <c r="F172" s="18" t="n"/>
      <c r="G172" s="18" t="n"/>
      <c r="H172" s="33" t="n"/>
      <c r="I172" s="18" t="n"/>
      <c r="J172" s="33" t="n"/>
      <c r="K172" s="18" t="n"/>
      <c r="L172" s="21">
        <f>IF(OR(B172="",H172=""),"",IF(AND(I172&lt;&gt;"完了",H172&lt;TODAY()),"期限超過",""))</f>
        <v/>
      </c>
    </row>
    <row r="173">
      <c r="A173" s="18" t="n"/>
      <c r="B173" s="18" t="n"/>
      <c r="C173" s="21">
        <f>IF(B173="","",IFERROR(INDEX('タスク一覧'!$B:$B,MATCH(B173,'タスク一覧'!$A:$A,0)),"タスクIDが未登録"))</f>
        <v/>
      </c>
      <c r="D173" s="21">
        <f>IF(B173="","",IFERROR(INDEX('タスク一覧'!$C:$C,MATCH(B173,'タスク一覧'!$A:$A,0)),""))</f>
        <v/>
      </c>
      <c r="E173" s="21">
        <f>IF(B173="","",IFERROR(INDEX('タスク一覧'!$D:$D,MATCH(B173,'タスク一覧'!$A:$A,0)),""))</f>
        <v/>
      </c>
      <c r="F173" s="18" t="n"/>
      <c r="G173" s="18" t="n"/>
      <c r="H173" s="33" t="n"/>
      <c r="I173" s="18" t="n"/>
      <c r="J173" s="33" t="n"/>
      <c r="K173" s="18" t="n"/>
      <c r="L173" s="21">
        <f>IF(OR(B173="",H173=""),"",IF(AND(I173&lt;&gt;"完了",H173&lt;TODAY()),"期限超過",""))</f>
        <v/>
      </c>
    </row>
    <row r="174">
      <c r="A174" s="18" t="n"/>
      <c r="B174" s="18" t="n"/>
      <c r="C174" s="21">
        <f>IF(B174="","",IFERROR(INDEX('タスク一覧'!$B:$B,MATCH(B174,'タスク一覧'!$A:$A,0)),"タスクIDが未登録"))</f>
        <v/>
      </c>
      <c r="D174" s="21">
        <f>IF(B174="","",IFERROR(INDEX('タスク一覧'!$C:$C,MATCH(B174,'タスク一覧'!$A:$A,0)),""))</f>
        <v/>
      </c>
      <c r="E174" s="21">
        <f>IF(B174="","",IFERROR(INDEX('タスク一覧'!$D:$D,MATCH(B174,'タスク一覧'!$A:$A,0)),""))</f>
        <v/>
      </c>
      <c r="F174" s="18" t="n"/>
      <c r="G174" s="18" t="n"/>
      <c r="H174" s="33" t="n"/>
      <c r="I174" s="18" t="n"/>
      <c r="J174" s="33" t="n"/>
      <c r="K174" s="18" t="n"/>
      <c r="L174" s="21">
        <f>IF(OR(B174="",H174=""),"",IF(AND(I174&lt;&gt;"完了",H174&lt;TODAY()),"期限超過",""))</f>
        <v/>
      </c>
    </row>
    <row r="175">
      <c r="A175" s="18" t="n"/>
      <c r="B175" s="18" t="n"/>
      <c r="C175" s="21">
        <f>IF(B175="","",IFERROR(INDEX('タスク一覧'!$B:$B,MATCH(B175,'タスク一覧'!$A:$A,0)),"タスクIDが未登録"))</f>
        <v/>
      </c>
      <c r="D175" s="21">
        <f>IF(B175="","",IFERROR(INDEX('タスク一覧'!$C:$C,MATCH(B175,'タスク一覧'!$A:$A,0)),""))</f>
        <v/>
      </c>
      <c r="E175" s="21">
        <f>IF(B175="","",IFERROR(INDEX('タスク一覧'!$D:$D,MATCH(B175,'タスク一覧'!$A:$A,0)),""))</f>
        <v/>
      </c>
      <c r="F175" s="18" t="n"/>
      <c r="G175" s="18" t="n"/>
      <c r="H175" s="33" t="n"/>
      <c r="I175" s="18" t="n"/>
      <c r="J175" s="33" t="n"/>
      <c r="K175" s="18" t="n"/>
      <c r="L175" s="21">
        <f>IF(OR(B175="",H175=""),"",IF(AND(I175&lt;&gt;"完了",H175&lt;TODAY()),"期限超過",""))</f>
        <v/>
      </c>
    </row>
    <row r="176">
      <c r="A176" s="18" t="n"/>
      <c r="B176" s="18" t="n"/>
      <c r="C176" s="21">
        <f>IF(B176="","",IFERROR(INDEX('タスク一覧'!$B:$B,MATCH(B176,'タスク一覧'!$A:$A,0)),"タスクIDが未登録"))</f>
        <v/>
      </c>
      <c r="D176" s="21">
        <f>IF(B176="","",IFERROR(INDEX('タスク一覧'!$C:$C,MATCH(B176,'タスク一覧'!$A:$A,0)),""))</f>
        <v/>
      </c>
      <c r="E176" s="21">
        <f>IF(B176="","",IFERROR(INDEX('タスク一覧'!$D:$D,MATCH(B176,'タスク一覧'!$A:$A,0)),""))</f>
        <v/>
      </c>
      <c r="F176" s="18" t="n"/>
      <c r="G176" s="18" t="n"/>
      <c r="H176" s="33" t="n"/>
      <c r="I176" s="18" t="n"/>
      <c r="J176" s="33" t="n"/>
      <c r="K176" s="18" t="n"/>
      <c r="L176" s="21">
        <f>IF(OR(B176="",H176=""),"",IF(AND(I176&lt;&gt;"完了",H176&lt;TODAY()),"期限超過",""))</f>
        <v/>
      </c>
    </row>
    <row r="177">
      <c r="A177" s="18" t="n"/>
      <c r="B177" s="18" t="n"/>
      <c r="C177" s="21">
        <f>IF(B177="","",IFERROR(INDEX('タスク一覧'!$B:$B,MATCH(B177,'タスク一覧'!$A:$A,0)),"タスクIDが未登録"))</f>
        <v/>
      </c>
      <c r="D177" s="21">
        <f>IF(B177="","",IFERROR(INDEX('タスク一覧'!$C:$C,MATCH(B177,'タスク一覧'!$A:$A,0)),""))</f>
        <v/>
      </c>
      <c r="E177" s="21">
        <f>IF(B177="","",IFERROR(INDEX('タスク一覧'!$D:$D,MATCH(B177,'タスク一覧'!$A:$A,0)),""))</f>
        <v/>
      </c>
      <c r="F177" s="18" t="n"/>
      <c r="G177" s="18" t="n"/>
      <c r="H177" s="33" t="n"/>
      <c r="I177" s="18" t="n"/>
      <c r="J177" s="33" t="n"/>
      <c r="K177" s="18" t="n"/>
      <c r="L177" s="21">
        <f>IF(OR(B177="",H177=""),"",IF(AND(I177&lt;&gt;"完了",H177&lt;TODAY()),"期限超過",""))</f>
        <v/>
      </c>
    </row>
    <row r="178">
      <c r="A178" s="18" t="n"/>
      <c r="B178" s="18" t="n"/>
      <c r="C178" s="21">
        <f>IF(B178="","",IFERROR(INDEX('タスク一覧'!$B:$B,MATCH(B178,'タスク一覧'!$A:$A,0)),"タスクIDが未登録"))</f>
        <v/>
      </c>
      <c r="D178" s="21">
        <f>IF(B178="","",IFERROR(INDEX('タスク一覧'!$C:$C,MATCH(B178,'タスク一覧'!$A:$A,0)),""))</f>
        <v/>
      </c>
      <c r="E178" s="21">
        <f>IF(B178="","",IFERROR(INDEX('タスク一覧'!$D:$D,MATCH(B178,'タスク一覧'!$A:$A,0)),""))</f>
        <v/>
      </c>
      <c r="F178" s="18" t="n"/>
      <c r="G178" s="18" t="n"/>
      <c r="H178" s="33" t="n"/>
      <c r="I178" s="18" t="n"/>
      <c r="J178" s="33" t="n"/>
      <c r="K178" s="18" t="n"/>
      <c r="L178" s="21">
        <f>IF(OR(B178="",H178=""),"",IF(AND(I178&lt;&gt;"完了",H178&lt;TODAY()),"期限超過",""))</f>
        <v/>
      </c>
    </row>
    <row r="179">
      <c r="A179" s="18" t="n"/>
      <c r="B179" s="18" t="n"/>
      <c r="C179" s="21">
        <f>IF(B179="","",IFERROR(INDEX('タスク一覧'!$B:$B,MATCH(B179,'タスク一覧'!$A:$A,0)),"タスクIDが未登録"))</f>
        <v/>
      </c>
      <c r="D179" s="21">
        <f>IF(B179="","",IFERROR(INDEX('タスク一覧'!$C:$C,MATCH(B179,'タスク一覧'!$A:$A,0)),""))</f>
        <v/>
      </c>
      <c r="E179" s="21">
        <f>IF(B179="","",IFERROR(INDEX('タスク一覧'!$D:$D,MATCH(B179,'タスク一覧'!$A:$A,0)),""))</f>
        <v/>
      </c>
      <c r="F179" s="18" t="n"/>
      <c r="G179" s="18" t="n"/>
      <c r="H179" s="33" t="n"/>
      <c r="I179" s="18" t="n"/>
      <c r="J179" s="33" t="n"/>
      <c r="K179" s="18" t="n"/>
      <c r="L179" s="21">
        <f>IF(OR(B179="",H179=""),"",IF(AND(I179&lt;&gt;"完了",H179&lt;TODAY()),"期限超過",""))</f>
        <v/>
      </c>
    </row>
    <row r="180">
      <c r="A180" s="18" t="n"/>
      <c r="B180" s="18" t="n"/>
      <c r="C180" s="21">
        <f>IF(B180="","",IFERROR(INDEX('タスク一覧'!$B:$B,MATCH(B180,'タスク一覧'!$A:$A,0)),"タスクIDが未登録"))</f>
        <v/>
      </c>
      <c r="D180" s="21">
        <f>IF(B180="","",IFERROR(INDEX('タスク一覧'!$C:$C,MATCH(B180,'タスク一覧'!$A:$A,0)),""))</f>
        <v/>
      </c>
      <c r="E180" s="21">
        <f>IF(B180="","",IFERROR(INDEX('タスク一覧'!$D:$D,MATCH(B180,'タスク一覧'!$A:$A,0)),""))</f>
        <v/>
      </c>
      <c r="F180" s="18" t="n"/>
      <c r="G180" s="18" t="n"/>
      <c r="H180" s="33" t="n"/>
      <c r="I180" s="18" t="n"/>
      <c r="J180" s="33" t="n"/>
      <c r="K180" s="18" t="n"/>
      <c r="L180" s="21">
        <f>IF(OR(B180="",H180=""),"",IF(AND(I180&lt;&gt;"完了",H180&lt;TODAY()),"期限超過",""))</f>
        <v/>
      </c>
    </row>
    <row r="181">
      <c r="A181" s="18" t="n"/>
      <c r="B181" s="18" t="n"/>
      <c r="C181" s="21">
        <f>IF(B181="","",IFERROR(INDEX('タスク一覧'!$B:$B,MATCH(B181,'タスク一覧'!$A:$A,0)),"タスクIDが未登録"))</f>
        <v/>
      </c>
      <c r="D181" s="21">
        <f>IF(B181="","",IFERROR(INDEX('タスク一覧'!$C:$C,MATCH(B181,'タスク一覧'!$A:$A,0)),""))</f>
        <v/>
      </c>
      <c r="E181" s="21">
        <f>IF(B181="","",IFERROR(INDEX('タスク一覧'!$D:$D,MATCH(B181,'タスク一覧'!$A:$A,0)),""))</f>
        <v/>
      </c>
      <c r="F181" s="18" t="n"/>
      <c r="G181" s="18" t="n"/>
      <c r="H181" s="33" t="n"/>
      <c r="I181" s="18" t="n"/>
      <c r="J181" s="33" t="n"/>
      <c r="K181" s="18" t="n"/>
      <c r="L181" s="21">
        <f>IF(OR(B181="",H181=""),"",IF(AND(I181&lt;&gt;"完了",H181&lt;TODAY()),"期限超過",""))</f>
        <v/>
      </c>
    </row>
    <row r="182">
      <c r="A182" s="18" t="n"/>
      <c r="B182" s="18" t="n"/>
      <c r="C182" s="21">
        <f>IF(B182="","",IFERROR(INDEX('タスク一覧'!$B:$B,MATCH(B182,'タスク一覧'!$A:$A,0)),"タスクIDが未登録"))</f>
        <v/>
      </c>
      <c r="D182" s="21">
        <f>IF(B182="","",IFERROR(INDEX('タスク一覧'!$C:$C,MATCH(B182,'タスク一覧'!$A:$A,0)),""))</f>
        <v/>
      </c>
      <c r="E182" s="21">
        <f>IF(B182="","",IFERROR(INDEX('タスク一覧'!$D:$D,MATCH(B182,'タスク一覧'!$A:$A,0)),""))</f>
        <v/>
      </c>
      <c r="F182" s="18" t="n"/>
      <c r="G182" s="18" t="n"/>
      <c r="H182" s="33" t="n"/>
      <c r="I182" s="18" t="n"/>
      <c r="J182" s="33" t="n"/>
      <c r="K182" s="18" t="n"/>
      <c r="L182" s="21">
        <f>IF(OR(B182="",H182=""),"",IF(AND(I182&lt;&gt;"完了",H182&lt;TODAY()),"期限超過",""))</f>
        <v/>
      </c>
    </row>
    <row r="183">
      <c r="A183" s="18" t="n"/>
      <c r="B183" s="18" t="n"/>
      <c r="C183" s="21">
        <f>IF(B183="","",IFERROR(INDEX('タスク一覧'!$B:$B,MATCH(B183,'タスク一覧'!$A:$A,0)),"タスクIDが未登録"))</f>
        <v/>
      </c>
      <c r="D183" s="21">
        <f>IF(B183="","",IFERROR(INDEX('タスク一覧'!$C:$C,MATCH(B183,'タスク一覧'!$A:$A,0)),""))</f>
        <v/>
      </c>
      <c r="E183" s="21">
        <f>IF(B183="","",IFERROR(INDEX('タスク一覧'!$D:$D,MATCH(B183,'タスク一覧'!$A:$A,0)),""))</f>
        <v/>
      </c>
      <c r="F183" s="18" t="n"/>
      <c r="G183" s="18" t="n"/>
      <c r="H183" s="33" t="n"/>
      <c r="I183" s="18" t="n"/>
      <c r="J183" s="33" t="n"/>
      <c r="K183" s="18" t="n"/>
      <c r="L183" s="21">
        <f>IF(OR(B183="",H183=""),"",IF(AND(I183&lt;&gt;"完了",H183&lt;TODAY()),"期限超過",""))</f>
        <v/>
      </c>
    </row>
    <row r="184">
      <c r="A184" s="18" t="n"/>
      <c r="B184" s="18" t="n"/>
      <c r="C184" s="21">
        <f>IF(B184="","",IFERROR(INDEX('タスク一覧'!$B:$B,MATCH(B184,'タスク一覧'!$A:$A,0)),"タスクIDが未登録"))</f>
        <v/>
      </c>
      <c r="D184" s="21">
        <f>IF(B184="","",IFERROR(INDEX('タスク一覧'!$C:$C,MATCH(B184,'タスク一覧'!$A:$A,0)),""))</f>
        <v/>
      </c>
      <c r="E184" s="21">
        <f>IF(B184="","",IFERROR(INDEX('タスク一覧'!$D:$D,MATCH(B184,'タスク一覧'!$A:$A,0)),""))</f>
        <v/>
      </c>
      <c r="F184" s="18" t="n"/>
      <c r="G184" s="18" t="n"/>
      <c r="H184" s="33" t="n"/>
      <c r="I184" s="18" t="n"/>
      <c r="J184" s="33" t="n"/>
      <c r="K184" s="18" t="n"/>
      <c r="L184" s="21">
        <f>IF(OR(B184="",H184=""),"",IF(AND(I184&lt;&gt;"完了",H184&lt;TODAY()),"期限超過",""))</f>
        <v/>
      </c>
    </row>
    <row r="185">
      <c r="A185" s="18" t="n"/>
      <c r="B185" s="18" t="n"/>
      <c r="C185" s="21">
        <f>IF(B185="","",IFERROR(INDEX('タスク一覧'!$B:$B,MATCH(B185,'タスク一覧'!$A:$A,0)),"タスクIDが未登録"))</f>
        <v/>
      </c>
      <c r="D185" s="21">
        <f>IF(B185="","",IFERROR(INDEX('タスク一覧'!$C:$C,MATCH(B185,'タスク一覧'!$A:$A,0)),""))</f>
        <v/>
      </c>
      <c r="E185" s="21">
        <f>IF(B185="","",IFERROR(INDEX('タスク一覧'!$D:$D,MATCH(B185,'タスク一覧'!$A:$A,0)),""))</f>
        <v/>
      </c>
      <c r="F185" s="18" t="n"/>
      <c r="G185" s="18" t="n"/>
      <c r="H185" s="33" t="n"/>
      <c r="I185" s="18" t="n"/>
      <c r="J185" s="33" t="n"/>
      <c r="K185" s="18" t="n"/>
      <c r="L185" s="21">
        <f>IF(OR(B185="",H185=""),"",IF(AND(I185&lt;&gt;"完了",H185&lt;TODAY()),"期限超過",""))</f>
        <v/>
      </c>
    </row>
    <row r="186">
      <c r="A186" s="18" t="n"/>
      <c r="B186" s="18" t="n"/>
      <c r="C186" s="21">
        <f>IF(B186="","",IFERROR(INDEX('タスク一覧'!$B:$B,MATCH(B186,'タスク一覧'!$A:$A,0)),"タスクIDが未登録"))</f>
        <v/>
      </c>
      <c r="D186" s="21">
        <f>IF(B186="","",IFERROR(INDEX('タスク一覧'!$C:$C,MATCH(B186,'タスク一覧'!$A:$A,0)),""))</f>
        <v/>
      </c>
      <c r="E186" s="21">
        <f>IF(B186="","",IFERROR(INDEX('タスク一覧'!$D:$D,MATCH(B186,'タスク一覧'!$A:$A,0)),""))</f>
        <v/>
      </c>
      <c r="F186" s="18" t="n"/>
      <c r="G186" s="18" t="n"/>
      <c r="H186" s="33" t="n"/>
      <c r="I186" s="18" t="n"/>
      <c r="J186" s="33" t="n"/>
      <c r="K186" s="18" t="n"/>
      <c r="L186" s="21">
        <f>IF(OR(B186="",H186=""),"",IF(AND(I186&lt;&gt;"完了",H186&lt;TODAY()),"期限超過",""))</f>
        <v/>
      </c>
    </row>
    <row r="187">
      <c r="A187" s="18" t="n"/>
      <c r="B187" s="18" t="n"/>
      <c r="C187" s="21">
        <f>IF(B187="","",IFERROR(INDEX('タスク一覧'!$B:$B,MATCH(B187,'タスク一覧'!$A:$A,0)),"タスクIDが未登録"))</f>
        <v/>
      </c>
      <c r="D187" s="21">
        <f>IF(B187="","",IFERROR(INDEX('タスク一覧'!$C:$C,MATCH(B187,'タスク一覧'!$A:$A,0)),""))</f>
        <v/>
      </c>
      <c r="E187" s="21">
        <f>IF(B187="","",IFERROR(INDEX('タスク一覧'!$D:$D,MATCH(B187,'タスク一覧'!$A:$A,0)),""))</f>
        <v/>
      </c>
      <c r="F187" s="18" t="n"/>
      <c r="G187" s="18" t="n"/>
      <c r="H187" s="33" t="n"/>
      <c r="I187" s="18" t="n"/>
      <c r="J187" s="33" t="n"/>
      <c r="K187" s="18" t="n"/>
      <c r="L187" s="21">
        <f>IF(OR(B187="",H187=""),"",IF(AND(I187&lt;&gt;"完了",H187&lt;TODAY()),"期限超過",""))</f>
        <v/>
      </c>
    </row>
    <row r="188">
      <c r="A188" s="18" t="n"/>
      <c r="B188" s="18" t="n"/>
      <c r="C188" s="21">
        <f>IF(B188="","",IFERROR(INDEX('タスク一覧'!$B:$B,MATCH(B188,'タスク一覧'!$A:$A,0)),"タスクIDが未登録"))</f>
        <v/>
      </c>
      <c r="D188" s="21">
        <f>IF(B188="","",IFERROR(INDEX('タスク一覧'!$C:$C,MATCH(B188,'タスク一覧'!$A:$A,0)),""))</f>
        <v/>
      </c>
      <c r="E188" s="21">
        <f>IF(B188="","",IFERROR(INDEX('タスク一覧'!$D:$D,MATCH(B188,'タスク一覧'!$A:$A,0)),""))</f>
        <v/>
      </c>
      <c r="F188" s="18" t="n"/>
      <c r="G188" s="18" t="n"/>
      <c r="H188" s="33" t="n"/>
      <c r="I188" s="18" t="n"/>
      <c r="J188" s="33" t="n"/>
      <c r="K188" s="18" t="n"/>
      <c r="L188" s="21">
        <f>IF(OR(B188="",H188=""),"",IF(AND(I188&lt;&gt;"完了",H188&lt;TODAY()),"期限超過",""))</f>
        <v/>
      </c>
    </row>
    <row r="189">
      <c r="A189" s="18" t="n"/>
      <c r="B189" s="18" t="n"/>
      <c r="C189" s="21">
        <f>IF(B189="","",IFERROR(INDEX('タスク一覧'!$B:$B,MATCH(B189,'タスク一覧'!$A:$A,0)),"タスクIDが未登録"))</f>
        <v/>
      </c>
      <c r="D189" s="21">
        <f>IF(B189="","",IFERROR(INDEX('タスク一覧'!$C:$C,MATCH(B189,'タスク一覧'!$A:$A,0)),""))</f>
        <v/>
      </c>
      <c r="E189" s="21">
        <f>IF(B189="","",IFERROR(INDEX('タスク一覧'!$D:$D,MATCH(B189,'タスク一覧'!$A:$A,0)),""))</f>
        <v/>
      </c>
      <c r="F189" s="18" t="n"/>
      <c r="G189" s="18" t="n"/>
      <c r="H189" s="33" t="n"/>
      <c r="I189" s="18" t="n"/>
      <c r="J189" s="33" t="n"/>
      <c r="K189" s="18" t="n"/>
      <c r="L189" s="21">
        <f>IF(OR(B189="",H189=""),"",IF(AND(I189&lt;&gt;"完了",H189&lt;TODAY()),"期限超過",""))</f>
        <v/>
      </c>
    </row>
    <row r="190">
      <c r="A190" s="18" t="n"/>
      <c r="B190" s="18" t="n"/>
      <c r="C190" s="21">
        <f>IF(B190="","",IFERROR(INDEX('タスク一覧'!$B:$B,MATCH(B190,'タスク一覧'!$A:$A,0)),"タスクIDが未登録"))</f>
        <v/>
      </c>
      <c r="D190" s="21">
        <f>IF(B190="","",IFERROR(INDEX('タスク一覧'!$C:$C,MATCH(B190,'タスク一覧'!$A:$A,0)),""))</f>
        <v/>
      </c>
      <c r="E190" s="21">
        <f>IF(B190="","",IFERROR(INDEX('タスク一覧'!$D:$D,MATCH(B190,'タスク一覧'!$A:$A,0)),""))</f>
        <v/>
      </c>
      <c r="F190" s="18" t="n"/>
      <c r="G190" s="18" t="n"/>
      <c r="H190" s="33" t="n"/>
      <c r="I190" s="18" t="n"/>
      <c r="J190" s="33" t="n"/>
      <c r="K190" s="18" t="n"/>
      <c r="L190" s="21">
        <f>IF(OR(B190="",H190=""),"",IF(AND(I190&lt;&gt;"完了",H190&lt;TODAY()),"期限超過",""))</f>
        <v/>
      </c>
    </row>
    <row r="191">
      <c r="A191" s="18" t="n"/>
      <c r="B191" s="18" t="n"/>
      <c r="C191" s="21">
        <f>IF(B191="","",IFERROR(INDEX('タスク一覧'!$B:$B,MATCH(B191,'タスク一覧'!$A:$A,0)),"タスクIDが未登録"))</f>
        <v/>
      </c>
      <c r="D191" s="21">
        <f>IF(B191="","",IFERROR(INDEX('タスク一覧'!$C:$C,MATCH(B191,'タスク一覧'!$A:$A,0)),""))</f>
        <v/>
      </c>
      <c r="E191" s="21">
        <f>IF(B191="","",IFERROR(INDEX('タスク一覧'!$D:$D,MATCH(B191,'タスク一覧'!$A:$A,0)),""))</f>
        <v/>
      </c>
      <c r="F191" s="18" t="n"/>
      <c r="G191" s="18" t="n"/>
      <c r="H191" s="33" t="n"/>
      <c r="I191" s="18" t="n"/>
      <c r="J191" s="33" t="n"/>
      <c r="K191" s="18" t="n"/>
      <c r="L191" s="21">
        <f>IF(OR(B191="",H191=""),"",IF(AND(I191&lt;&gt;"完了",H191&lt;TODAY()),"期限超過",""))</f>
        <v/>
      </c>
    </row>
    <row r="192">
      <c r="A192" s="18" t="n"/>
      <c r="B192" s="18" t="n"/>
      <c r="C192" s="21">
        <f>IF(B192="","",IFERROR(INDEX('タスク一覧'!$B:$B,MATCH(B192,'タスク一覧'!$A:$A,0)),"タスクIDが未登録"))</f>
        <v/>
      </c>
      <c r="D192" s="21">
        <f>IF(B192="","",IFERROR(INDEX('タスク一覧'!$C:$C,MATCH(B192,'タスク一覧'!$A:$A,0)),""))</f>
        <v/>
      </c>
      <c r="E192" s="21">
        <f>IF(B192="","",IFERROR(INDEX('タスク一覧'!$D:$D,MATCH(B192,'タスク一覧'!$A:$A,0)),""))</f>
        <v/>
      </c>
      <c r="F192" s="18" t="n"/>
      <c r="G192" s="18" t="n"/>
      <c r="H192" s="33" t="n"/>
      <c r="I192" s="18" t="n"/>
      <c r="J192" s="33" t="n"/>
      <c r="K192" s="18" t="n"/>
      <c r="L192" s="21">
        <f>IF(OR(B192="",H192=""),"",IF(AND(I192&lt;&gt;"完了",H192&lt;TODAY()),"期限超過",""))</f>
        <v/>
      </c>
    </row>
    <row r="193">
      <c r="A193" s="18" t="n"/>
      <c r="B193" s="18" t="n"/>
      <c r="C193" s="21">
        <f>IF(B193="","",IFERROR(INDEX('タスク一覧'!$B:$B,MATCH(B193,'タスク一覧'!$A:$A,0)),"タスクIDが未登録"))</f>
        <v/>
      </c>
      <c r="D193" s="21">
        <f>IF(B193="","",IFERROR(INDEX('タスク一覧'!$C:$C,MATCH(B193,'タスク一覧'!$A:$A,0)),""))</f>
        <v/>
      </c>
      <c r="E193" s="21">
        <f>IF(B193="","",IFERROR(INDEX('タスク一覧'!$D:$D,MATCH(B193,'タスク一覧'!$A:$A,0)),""))</f>
        <v/>
      </c>
      <c r="F193" s="18" t="n"/>
      <c r="G193" s="18" t="n"/>
      <c r="H193" s="33" t="n"/>
      <c r="I193" s="18" t="n"/>
      <c r="J193" s="33" t="n"/>
      <c r="K193" s="18" t="n"/>
      <c r="L193" s="21">
        <f>IF(OR(B193="",H193=""),"",IF(AND(I193&lt;&gt;"完了",H193&lt;TODAY()),"期限超過",""))</f>
        <v/>
      </c>
    </row>
    <row r="194">
      <c r="A194" s="18" t="n"/>
      <c r="B194" s="18" t="n"/>
      <c r="C194" s="21">
        <f>IF(B194="","",IFERROR(INDEX('タスク一覧'!$B:$B,MATCH(B194,'タスク一覧'!$A:$A,0)),"タスクIDが未登録"))</f>
        <v/>
      </c>
      <c r="D194" s="21">
        <f>IF(B194="","",IFERROR(INDEX('タスク一覧'!$C:$C,MATCH(B194,'タスク一覧'!$A:$A,0)),""))</f>
        <v/>
      </c>
      <c r="E194" s="21">
        <f>IF(B194="","",IFERROR(INDEX('タスク一覧'!$D:$D,MATCH(B194,'タスク一覧'!$A:$A,0)),""))</f>
        <v/>
      </c>
      <c r="F194" s="18" t="n"/>
      <c r="G194" s="18" t="n"/>
      <c r="H194" s="33" t="n"/>
      <c r="I194" s="18" t="n"/>
      <c r="J194" s="33" t="n"/>
      <c r="K194" s="18" t="n"/>
      <c r="L194" s="21">
        <f>IF(OR(B194="",H194=""),"",IF(AND(I194&lt;&gt;"完了",H194&lt;TODAY()),"期限超過",""))</f>
        <v/>
      </c>
    </row>
    <row r="195">
      <c r="A195" s="18" t="n"/>
      <c r="B195" s="18" t="n"/>
      <c r="C195" s="21">
        <f>IF(B195="","",IFERROR(INDEX('タスク一覧'!$B:$B,MATCH(B195,'タスク一覧'!$A:$A,0)),"タスクIDが未登録"))</f>
        <v/>
      </c>
      <c r="D195" s="21">
        <f>IF(B195="","",IFERROR(INDEX('タスク一覧'!$C:$C,MATCH(B195,'タスク一覧'!$A:$A,0)),""))</f>
        <v/>
      </c>
      <c r="E195" s="21">
        <f>IF(B195="","",IFERROR(INDEX('タスク一覧'!$D:$D,MATCH(B195,'タスク一覧'!$A:$A,0)),""))</f>
        <v/>
      </c>
      <c r="F195" s="18" t="n"/>
      <c r="G195" s="18" t="n"/>
      <c r="H195" s="33" t="n"/>
      <c r="I195" s="18" t="n"/>
      <c r="J195" s="33" t="n"/>
      <c r="K195" s="18" t="n"/>
      <c r="L195" s="21">
        <f>IF(OR(B195="",H195=""),"",IF(AND(I195&lt;&gt;"完了",H195&lt;TODAY()),"期限超過",""))</f>
        <v/>
      </c>
    </row>
    <row r="196">
      <c r="A196" s="18" t="n"/>
      <c r="B196" s="18" t="n"/>
      <c r="C196" s="21">
        <f>IF(B196="","",IFERROR(INDEX('タスク一覧'!$B:$B,MATCH(B196,'タスク一覧'!$A:$A,0)),"タスクIDが未登録"))</f>
        <v/>
      </c>
      <c r="D196" s="21">
        <f>IF(B196="","",IFERROR(INDEX('タスク一覧'!$C:$C,MATCH(B196,'タスク一覧'!$A:$A,0)),""))</f>
        <v/>
      </c>
      <c r="E196" s="21">
        <f>IF(B196="","",IFERROR(INDEX('タスク一覧'!$D:$D,MATCH(B196,'タスク一覧'!$A:$A,0)),""))</f>
        <v/>
      </c>
      <c r="F196" s="18" t="n"/>
      <c r="G196" s="18" t="n"/>
      <c r="H196" s="33" t="n"/>
      <c r="I196" s="18" t="n"/>
      <c r="J196" s="33" t="n"/>
      <c r="K196" s="18" t="n"/>
      <c r="L196" s="21">
        <f>IF(OR(B196="",H196=""),"",IF(AND(I196&lt;&gt;"完了",H196&lt;TODAY()),"期限超過",""))</f>
        <v/>
      </c>
    </row>
    <row r="197">
      <c r="A197" s="18" t="n"/>
      <c r="B197" s="18" t="n"/>
      <c r="C197" s="21">
        <f>IF(B197="","",IFERROR(INDEX('タスク一覧'!$B:$B,MATCH(B197,'タスク一覧'!$A:$A,0)),"タスクIDが未登録"))</f>
        <v/>
      </c>
      <c r="D197" s="21">
        <f>IF(B197="","",IFERROR(INDEX('タスク一覧'!$C:$C,MATCH(B197,'タスク一覧'!$A:$A,0)),""))</f>
        <v/>
      </c>
      <c r="E197" s="21">
        <f>IF(B197="","",IFERROR(INDEX('タスク一覧'!$D:$D,MATCH(B197,'タスク一覧'!$A:$A,0)),""))</f>
        <v/>
      </c>
      <c r="F197" s="18" t="n"/>
      <c r="G197" s="18" t="n"/>
      <c r="H197" s="33" t="n"/>
      <c r="I197" s="18" t="n"/>
      <c r="J197" s="33" t="n"/>
      <c r="K197" s="18" t="n"/>
      <c r="L197" s="21">
        <f>IF(OR(B197="",H197=""),"",IF(AND(I197&lt;&gt;"完了",H197&lt;TODAY()),"期限超過",""))</f>
        <v/>
      </c>
    </row>
    <row r="198">
      <c r="A198" s="18" t="n"/>
      <c r="B198" s="18" t="n"/>
      <c r="C198" s="21">
        <f>IF(B198="","",IFERROR(INDEX('タスク一覧'!$B:$B,MATCH(B198,'タスク一覧'!$A:$A,0)),"タスクIDが未登録"))</f>
        <v/>
      </c>
      <c r="D198" s="21">
        <f>IF(B198="","",IFERROR(INDEX('タスク一覧'!$C:$C,MATCH(B198,'タスク一覧'!$A:$A,0)),""))</f>
        <v/>
      </c>
      <c r="E198" s="21">
        <f>IF(B198="","",IFERROR(INDEX('タスク一覧'!$D:$D,MATCH(B198,'タスク一覧'!$A:$A,0)),""))</f>
        <v/>
      </c>
      <c r="F198" s="18" t="n"/>
      <c r="G198" s="18" t="n"/>
      <c r="H198" s="33" t="n"/>
      <c r="I198" s="18" t="n"/>
      <c r="J198" s="33" t="n"/>
      <c r="K198" s="18" t="n"/>
      <c r="L198" s="21">
        <f>IF(OR(B198="",H198=""),"",IF(AND(I198&lt;&gt;"完了",H198&lt;TODAY()),"期限超過",""))</f>
        <v/>
      </c>
    </row>
    <row r="199">
      <c r="A199" s="18" t="n"/>
      <c r="B199" s="18" t="n"/>
      <c r="C199" s="21">
        <f>IF(B199="","",IFERROR(INDEX('タスク一覧'!$B:$B,MATCH(B199,'タスク一覧'!$A:$A,0)),"タスクIDが未登録"))</f>
        <v/>
      </c>
      <c r="D199" s="21">
        <f>IF(B199="","",IFERROR(INDEX('タスク一覧'!$C:$C,MATCH(B199,'タスク一覧'!$A:$A,0)),""))</f>
        <v/>
      </c>
      <c r="E199" s="21">
        <f>IF(B199="","",IFERROR(INDEX('タスク一覧'!$D:$D,MATCH(B199,'タスク一覧'!$A:$A,0)),""))</f>
        <v/>
      </c>
      <c r="F199" s="18" t="n"/>
      <c r="G199" s="18" t="n"/>
      <c r="H199" s="33" t="n"/>
      <c r="I199" s="18" t="n"/>
      <c r="J199" s="33" t="n"/>
      <c r="K199" s="18" t="n"/>
      <c r="L199" s="21">
        <f>IF(OR(B199="",H199=""),"",IF(AND(I199&lt;&gt;"完了",H199&lt;TODAY()),"期限超過",""))</f>
        <v/>
      </c>
    </row>
    <row r="200">
      <c r="A200" s="18" t="n"/>
      <c r="B200" s="18" t="n"/>
      <c r="C200" s="21">
        <f>IF(B200="","",IFERROR(INDEX('タスク一覧'!$B:$B,MATCH(B200,'タスク一覧'!$A:$A,0)),"タスクIDが未登録"))</f>
        <v/>
      </c>
      <c r="D200" s="21">
        <f>IF(B200="","",IFERROR(INDEX('タスク一覧'!$C:$C,MATCH(B200,'タスク一覧'!$A:$A,0)),""))</f>
        <v/>
      </c>
      <c r="E200" s="21">
        <f>IF(B200="","",IFERROR(INDEX('タスク一覧'!$D:$D,MATCH(B200,'タスク一覧'!$A:$A,0)),""))</f>
        <v/>
      </c>
      <c r="F200" s="18" t="n"/>
      <c r="G200" s="18" t="n"/>
      <c r="H200" s="33" t="n"/>
      <c r="I200" s="18" t="n"/>
      <c r="J200" s="33" t="n"/>
      <c r="K200" s="18" t="n"/>
      <c r="L200" s="21">
        <f>IF(OR(B200="",H200=""),"",IF(AND(I200&lt;&gt;"完了",H200&lt;TODAY()),"期限超過",""))</f>
        <v/>
      </c>
    </row>
  </sheetData>
  <dataValidations count="2">
    <dataValidation sqref="B4:B200" showDropDown="0" showInputMessage="0" showErrorMessage="0" allowBlank="1" type="list">
      <formula1>'タスク一覧'!$A$4:$A$26</formula1>
    </dataValidation>
    <dataValidation sqref="I4:I200" showDropDown="0" showInputMessage="0" showErrorMessage="0" allowBlank="1" type="list">
      <formula1>'選択肢'!$U$5:$U$14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8" customWidth="1" min="4" max="4"/>
    <col width="16" customWidth="1" min="5" max="5"/>
    <col width="12" customWidth="1" min="6" max="6"/>
  </cols>
  <sheetData>
    <row r="1">
      <c r="A1" s="1" t="inlineStr">
        <is>
          <t>窓口（移管対象部門）</t>
        </is>
      </c>
    </row>
    <row r="2">
      <c r="A2" s="2" t="inlineStr">
        <is>
          <t>1行＝1部門。移管元の責任者（承認者）と、部門の担当者（情報の提供の問い合わせ先）、予算シートの受領日を記録する。部門名は予算一覧の「部門」の選択肢になる。</t>
        </is>
      </c>
    </row>
    <row r="3" ht="34" customHeight="1">
      <c r="A3" s="12" t="inlineStr">
        <is>
          <t>部門</t>
        </is>
      </c>
      <c r="B3" s="12" t="inlineStr">
        <is>
          <t>移管元の責任者</t>
        </is>
      </c>
      <c r="C3" s="12" t="inlineStr">
        <is>
          <t>担当者（問い合わせ先）</t>
        </is>
      </c>
      <c r="D3" s="12" t="inlineStr">
        <is>
          <t>連絡先</t>
        </is>
      </c>
      <c r="E3" s="12" t="inlineStr">
        <is>
          <t>予算シートの受領日</t>
        </is>
      </c>
      <c r="F3" s="12" t="inlineStr">
        <is>
          <t>案件数（自動）</t>
        </is>
      </c>
    </row>
    <row r="4">
      <c r="A4" s="13" t="inlineStr">
        <is>
          <t>研究本部</t>
        </is>
      </c>
      <c r="B4" s="13" t="inlineStr">
        <is>
          <t>（記入例）</t>
        </is>
      </c>
      <c r="C4" s="13" t="inlineStr">
        <is>
          <t>（記入例）</t>
        </is>
      </c>
      <c r="D4" s="13" t="n"/>
      <c r="E4" s="32" t="n">
        <v>46290</v>
      </c>
      <c r="F4" s="16">
        <f>IF(A4="","",COUNTIF('予算一覧'!$AG$5:$AG$200,A4))</f>
        <v/>
      </c>
    </row>
    <row r="5">
      <c r="A5" s="13" t="inlineStr">
        <is>
          <t>品質保証部</t>
        </is>
      </c>
      <c r="B5" s="13" t="inlineStr">
        <is>
          <t>（記入例）</t>
        </is>
      </c>
      <c r="C5" s="13" t="inlineStr">
        <is>
          <t>（記入例）</t>
        </is>
      </c>
      <c r="D5" s="13" t="n"/>
      <c r="E5" s="32" t="n">
        <v>46290</v>
      </c>
      <c r="F5" s="16">
        <f>IF(A5="","",COUNTIF('予算一覧'!$AG$5:$AG$200,A5))</f>
        <v/>
      </c>
    </row>
    <row r="6">
      <c r="A6" s="18" t="n"/>
      <c r="B6" s="18" t="n"/>
      <c r="C6" s="18" t="n"/>
      <c r="D6" s="18" t="n"/>
      <c r="E6" s="33" t="n"/>
      <c r="F6" s="21">
        <f>IF(A6="","",COUNTIF('予算一覧'!$AG$5:$AG$200,A6))</f>
        <v/>
      </c>
    </row>
    <row r="7">
      <c r="A7" s="18" t="n"/>
      <c r="B7" s="18" t="n"/>
      <c r="C7" s="18" t="n"/>
      <c r="D7" s="18" t="n"/>
      <c r="E7" s="33" t="n"/>
      <c r="F7" s="21">
        <f>IF(A7="","",COUNTIF('予算一覧'!$AG$5:$AG$200,A7))</f>
        <v/>
      </c>
    </row>
    <row r="8">
      <c r="A8" s="18" t="n"/>
      <c r="B8" s="18" t="n"/>
      <c r="C8" s="18" t="n"/>
      <c r="D8" s="18" t="n"/>
      <c r="E8" s="33" t="n"/>
      <c r="F8" s="21">
        <f>IF(A8="","",COUNTIF('予算一覧'!$AG$5:$AG$200,A8))</f>
        <v/>
      </c>
    </row>
    <row r="9">
      <c r="A9" s="18" t="n"/>
      <c r="B9" s="18" t="n"/>
      <c r="C9" s="18" t="n"/>
      <c r="D9" s="18" t="n"/>
      <c r="E9" s="33" t="n"/>
      <c r="F9" s="21">
        <f>IF(A9="","",COUNTIF('予算一覧'!$AG$5:$AG$200,A9))</f>
        <v/>
      </c>
    </row>
    <row r="10">
      <c r="A10" s="18" t="n"/>
      <c r="B10" s="18" t="n"/>
      <c r="C10" s="18" t="n"/>
      <c r="D10" s="18" t="n"/>
      <c r="E10" s="33" t="n"/>
      <c r="F10" s="21">
        <f>IF(A10="","",COUNTIF('予算一覧'!$AG$5:$AG$200,A10))</f>
        <v/>
      </c>
    </row>
    <row r="11">
      <c r="A11" s="18" t="n"/>
      <c r="B11" s="18" t="n"/>
      <c r="C11" s="18" t="n"/>
      <c r="D11" s="18" t="n"/>
      <c r="E11" s="33" t="n"/>
      <c r="F11" s="21">
        <f>IF(A11="","",COUNTIF('予算一覧'!$AG$5:$AG$200,A11))</f>
        <v/>
      </c>
    </row>
    <row r="12">
      <c r="A12" s="18" t="n"/>
      <c r="B12" s="18" t="n"/>
      <c r="C12" s="18" t="n"/>
      <c r="D12" s="18" t="n"/>
      <c r="E12" s="33" t="n"/>
      <c r="F12" s="21">
        <f>IF(A12="","",COUNTIF('予算一覧'!$AG$5:$AG$200,A12))</f>
        <v/>
      </c>
    </row>
    <row r="13">
      <c r="A13" s="18" t="n"/>
      <c r="B13" s="18" t="n"/>
      <c r="C13" s="18" t="n"/>
      <c r="D13" s="18" t="n"/>
      <c r="E13" s="33" t="n"/>
      <c r="F13" s="21">
        <f>IF(A13="","",COUNTIF('予算一覧'!$AG$5:$AG$200,A13))</f>
        <v/>
      </c>
    </row>
    <row r="14">
      <c r="A14" s="18" t="n"/>
      <c r="B14" s="18" t="n"/>
      <c r="C14" s="18" t="n"/>
      <c r="D14" s="18" t="n"/>
      <c r="E14" s="33" t="n"/>
      <c r="F14" s="21">
        <f>IF(A14="","",COUNTIF('予算一覧'!$AG$5:$AG$200,A14))</f>
        <v/>
      </c>
    </row>
    <row r="15">
      <c r="A15" s="18" t="n"/>
      <c r="B15" s="18" t="n"/>
      <c r="C15" s="18" t="n"/>
      <c r="D15" s="18" t="n"/>
      <c r="E15" s="33" t="n"/>
      <c r="F15" s="21">
        <f>IF(A15="","",COUNTIF('予算一覧'!$AG$5:$AG$200,A15))</f>
        <v/>
      </c>
    </row>
    <row r="16">
      <c r="A16" s="18" t="n"/>
      <c r="B16" s="18" t="n"/>
      <c r="C16" s="18" t="n"/>
      <c r="D16" s="18" t="n"/>
      <c r="E16" s="33" t="n"/>
      <c r="F16" s="21">
        <f>IF(A16="","",COUNTIF('予算一覧'!$AG$5:$AG$200,A16))</f>
        <v/>
      </c>
    </row>
    <row r="17">
      <c r="A17" s="18" t="n"/>
      <c r="B17" s="18" t="n"/>
      <c r="C17" s="18" t="n"/>
      <c r="D17" s="18" t="n"/>
      <c r="E17" s="33" t="n"/>
      <c r="F17" s="21">
        <f>IF(A17="","",COUNTIF('予算一覧'!$AG$5:$AG$200,A17))</f>
        <v/>
      </c>
    </row>
    <row r="18">
      <c r="A18" s="18" t="n"/>
      <c r="B18" s="18" t="n"/>
      <c r="C18" s="18" t="n"/>
      <c r="D18" s="18" t="n"/>
      <c r="E18" s="33" t="n"/>
      <c r="F18" s="21">
        <f>IF(A18="","",COUNTIF('予算一覧'!$AG$5:$AG$200,A18))</f>
        <v/>
      </c>
    </row>
    <row r="19">
      <c r="A19" s="18" t="n"/>
      <c r="B19" s="18" t="n"/>
      <c r="C19" s="18" t="n"/>
      <c r="D19" s="18" t="n"/>
      <c r="E19" s="33" t="n"/>
      <c r="F19" s="21">
        <f>IF(A19="","",COUNTIF('予算一覧'!$AG$5:$AG$200,A19))</f>
        <v/>
      </c>
    </row>
    <row r="20">
      <c r="A20" s="18" t="n"/>
      <c r="B20" s="18" t="n"/>
      <c r="C20" s="18" t="n"/>
      <c r="D20" s="18" t="n"/>
      <c r="E20" s="33" t="n"/>
      <c r="F20" s="21">
        <f>IF(A20="","",COUNTIF('予算一覧'!$AG$5:$AG$200,A20))</f>
        <v/>
      </c>
    </row>
    <row r="21">
      <c r="A21" s="18" t="n"/>
      <c r="B21" s="18" t="n"/>
      <c r="C21" s="18" t="n"/>
      <c r="D21" s="18" t="n"/>
      <c r="E21" s="33" t="n"/>
      <c r="F21" s="21">
        <f>IF(A21="","",COUNTIF('予算一覧'!$AG$5:$AG$200,A21))</f>
        <v/>
      </c>
    </row>
    <row r="22">
      <c r="A22" s="18" t="n"/>
      <c r="B22" s="18" t="n"/>
      <c r="C22" s="18" t="n"/>
      <c r="D22" s="18" t="n"/>
      <c r="E22" s="33" t="n"/>
      <c r="F22" s="21">
        <f>IF(A22="","",COUNTIF('予算一覧'!$AG$5:$AG$200,A22))</f>
        <v/>
      </c>
    </row>
    <row r="23">
      <c r="A23" s="18" t="n"/>
      <c r="B23" s="18" t="n"/>
      <c r="C23" s="18" t="n"/>
      <c r="D23" s="18" t="n"/>
      <c r="E23" s="33" t="n"/>
      <c r="F23" s="21">
        <f>IF(A23="","",COUNTIF('予算一覧'!$AG$5:$AG$200,A23))</f>
        <v/>
      </c>
    </row>
    <row r="24">
      <c r="A24" s="18" t="n"/>
      <c r="B24" s="18" t="n"/>
      <c r="C24" s="18" t="n"/>
      <c r="D24" s="18" t="n"/>
      <c r="E24" s="33" t="n"/>
      <c r="F24" s="21">
        <f>IF(A24="","",COUNTIF('予算一覧'!$AG$5:$AG$200,A24))</f>
        <v/>
      </c>
    </row>
    <row r="25">
      <c r="A25" s="18" t="n"/>
      <c r="B25" s="18" t="n"/>
      <c r="C25" s="18" t="n"/>
      <c r="D25" s="18" t="n"/>
      <c r="E25" s="33" t="n"/>
      <c r="F25" s="21">
        <f>IF(A25="","",COUNTIF('予算一覧'!$AG$5:$AG$200,A25))</f>
        <v/>
      </c>
    </row>
    <row r="26">
      <c r="A26" s="18" t="n"/>
      <c r="B26" s="18" t="n"/>
      <c r="C26" s="18" t="n"/>
      <c r="D26" s="18" t="n"/>
      <c r="E26" s="33" t="n"/>
      <c r="F26" s="21">
        <f>IF(A26="","",COUNTIF('予算一覧'!$AG$5:$AG$200,A26))</f>
        <v/>
      </c>
    </row>
    <row r="27">
      <c r="A27" s="18" t="n"/>
      <c r="B27" s="18" t="n"/>
      <c r="C27" s="18" t="n"/>
      <c r="D27" s="18" t="n"/>
      <c r="E27" s="33" t="n"/>
      <c r="F27" s="21">
        <f>IF(A27="","",COUNTIF('予算一覧'!$AG$5:$AG$200,A27))</f>
        <v/>
      </c>
    </row>
    <row r="28">
      <c r="A28" s="18" t="n"/>
      <c r="B28" s="18" t="n"/>
      <c r="C28" s="18" t="n"/>
      <c r="D28" s="18" t="n"/>
      <c r="E28" s="33" t="n"/>
      <c r="F28" s="21">
        <f>IF(A28="","",COUNTIF('予算一覧'!$AG$5:$AG$200,A28))</f>
        <v/>
      </c>
    </row>
    <row r="29">
      <c r="A29" s="18" t="n"/>
      <c r="B29" s="18" t="n"/>
      <c r="C29" s="18" t="n"/>
      <c r="D29" s="18" t="n"/>
      <c r="E29" s="33" t="n"/>
      <c r="F29" s="21">
        <f>IF(A29="","",COUNTIF('予算一覧'!$AG$5:$AG$200,A29))</f>
        <v/>
      </c>
    </row>
    <row r="30">
      <c r="A30" s="18" t="n"/>
      <c r="B30" s="18" t="n"/>
      <c r="C30" s="18" t="n"/>
      <c r="D30" s="18" t="n"/>
      <c r="E30" s="33" t="n"/>
      <c r="F30" s="21">
        <f>IF(A30="","",COUNTIF('予算一覧'!$AG$5:$AG$200,A30))</f>
        <v/>
      </c>
    </row>
    <row r="31">
      <c r="A31" s="18" t="n"/>
      <c r="B31" s="18" t="n"/>
      <c r="C31" s="18" t="n"/>
      <c r="D31" s="18" t="n"/>
      <c r="E31" s="33" t="n"/>
      <c r="F31" s="21">
        <f>IF(A31="","",COUNTIF('予算一覧'!$AG$5:$AG$200,A31))</f>
        <v/>
      </c>
    </row>
    <row r="32">
      <c r="A32" s="18" t="n"/>
      <c r="B32" s="18" t="n"/>
      <c r="C32" s="18" t="n"/>
      <c r="D32" s="18" t="n"/>
      <c r="E32" s="33" t="n"/>
      <c r="F32" s="21">
        <f>IF(A32="","",COUNTIF('予算一覧'!$AG$5:$AG$200,A32))</f>
        <v/>
      </c>
    </row>
    <row r="33">
      <c r="A33" s="18" t="n"/>
      <c r="B33" s="18" t="n"/>
      <c r="C33" s="18" t="n"/>
      <c r="D33" s="18" t="n"/>
      <c r="E33" s="33" t="n"/>
      <c r="F33" s="21">
        <f>IF(A33="","",COUNTIF('予算一覧'!$AG$5:$AG$200,A33))</f>
        <v/>
      </c>
    </row>
    <row r="34">
      <c r="A34" s="18" t="n"/>
      <c r="B34" s="18" t="n"/>
      <c r="C34" s="18" t="n"/>
      <c r="D34" s="18" t="n"/>
      <c r="E34" s="33" t="n"/>
      <c r="F34" s="21">
        <f>IF(A34="","",COUNTIF('予算一覧'!$AG$5:$AG$200,A34))</f>
        <v/>
      </c>
    </row>
    <row r="35">
      <c r="A35" s="18" t="n"/>
      <c r="B35" s="18" t="n"/>
      <c r="C35" s="18" t="n"/>
      <c r="D35" s="18" t="n"/>
      <c r="E35" s="33" t="n"/>
      <c r="F35" s="21">
        <f>IF(A35="","",COUNTIF('予算一覧'!$AG$5:$AG$200,A35))</f>
        <v/>
      </c>
    </row>
    <row r="36">
      <c r="A36" s="18" t="n"/>
      <c r="B36" s="18" t="n"/>
      <c r="C36" s="18" t="n"/>
      <c r="D36" s="18" t="n"/>
      <c r="E36" s="33" t="n"/>
      <c r="F36" s="21">
        <f>IF(A36="","",COUNTIF('予算一覧'!$AG$5:$AG$200,A36))</f>
        <v/>
      </c>
    </row>
    <row r="37">
      <c r="A37" s="18" t="n"/>
      <c r="B37" s="18" t="n"/>
      <c r="C37" s="18" t="n"/>
      <c r="D37" s="18" t="n"/>
      <c r="E37" s="33" t="n"/>
      <c r="F37" s="21">
        <f>IF(A37="","",COUNTIF('予算一覧'!$AG$5:$AG$200,A37))</f>
        <v/>
      </c>
    </row>
    <row r="38">
      <c r="A38" s="18" t="n"/>
      <c r="B38" s="18" t="n"/>
      <c r="C38" s="18" t="n"/>
      <c r="D38" s="18" t="n"/>
      <c r="E38" s="33" t="n"/>
      <c r="F38" s="21">
        <f>IF(A38="","",COUNTIF('予算一覧'!$AG$5:$AG$200,A38))</f>
        <v/>
      </c>
    </row>
    <row r="39">
      <c r="A39" s="18" t="n"/>
      <c r="B39" s="18" t="n"/>
      <c r="C39" s="18" t="n"/>
      <c r="D39" s="18" t="n"/>
      <c r="E39" s="33" t="n"/>
      <c r="F39" s="21">
        <f>IF(A39="","",COUNTIF('予算一覧'!$AG$5:$AG$200,A39))</f>
        <v/>
      </c>
    </row>
    <row r="40">
      <c r="A40" s="18" t="n"/>
      <c r="B40" s="18" t="n"/>
      <c r="C40" s="18" t="n"/>
      <c r="D40" s="18" t="n"/>
      <c r="E40" s="33" t="n"/>
      <c r="F40" s="21">
        <f>IF(A40="","",COUNTIF('予算一覧'!$AG$5:$AG$200,A40))</f>
        <v/>
      </c>
    </row>
    <row r="41">
      <c r="A41" s="18" t="n"/>
      <c r="B41" s="18" t="n"/>
      <c r="C41" s="18" t="n"/>
      <c r="D41" s="18" t="n"/>
      <c r="E41" s="33" t="n"/>
      <c r="F41" s="21">
        <f>IF(A41="","",COUNTIF('予算一覧'!$AG$5:$AG$200,A41))</f>
        <v/>
      </c>
    </row>
    <row r="42">
      <c r="A42" s="18" t="n"/>
      <c r="B42" s="18" t="n"/>
      <c r="C42" s="18" t="n"/>
      <c r="D42" s="18" t="n"/>
      <c r="E42" s="33" t="n"/>
      <c r="F42" s="21">
        <f>IF(A42="","",COUNTIF('予算一覧'!$AG$5:$AG$200,A42))</f>
        <v/>
      </c>
    </row>
    <row r="43">
      <c r="A43" s="18" t="n"/>
      <c r="B43" s="18" t="n"/>
      <c r="C43" s="18" t="n"/>
      <c r="D43" s="18" t="n"/>
      <c r="E43" s="33" t="n"/>
      <c r="F43" s="21">
        <f>IF(A43="","",COUNTIF('予算一覧'!$AG$5:$AG$200,A43))</f>
        <v/>
      </c>
    </row>
    <row r="44">
      <c r="A44" s="18" t="n"/>
      <c r="B44" s="18" t="n"/>
      <c r="C44" s="18" t="n"/>
      <c r="D44" s="18" t="n"/>
      <c r="E44" s="33" t="n"/>
      <c r="F44" s="21">
        <f>IF(A44="","",COUNTIF('予算一覧'!$AG$5:$AG$200,A44))</f>
        <v/>
      </c>
    </row>
    <row r="45">
      <c r="A45" s="18" t="n"/>
      <c r="B45" s="18" t="n"/>
      <c r="C45" s="18" t="n"/>
      <c r="D45" s="18" t="n"/>
      <c r="E45" s="33" t="n"/>
      <c r="F45" s="21">
        <f>IF(A45="","",COUNTIF('予算一覧'!$AG$5:$AG$200,A45))</f>
        <v/>
      </c>
    </row>
    <row r="46">
      <c r="A46" s="18" t="n"/>
      <c r="B46" s="18" t="n"/>
      <c r="C46" s="18" t="n"/>
      <c r="D46" s="18" t="n"/>
      <c r="E46" s="33" t="n"/>
      <c r="F46" s="21">
        <f>IF(A46="","",COUNTIF('予算一覧'!$AG$5:$AG$200,A46))</f>
        <v/>
      </c>
    </row>
    <row r="47">
      <c r="A47" s="18" t="n"/>
      <c r="B47" s="18" t="n"/>
      <c r="C47" s="18" t="n"/>
      <c r="D47" s="18" t="n"/>
      <c r="E47" s="33" t="n"/>
      <c r="F47" s="21">
        <f>IF(A47="","",COUNTIF('予算一覧'!$AG$5:$AG$200,A47))</f>
        <v/>
      </c>
    </row>
    <row r="48">
      <c r="A48" s="18" t="n"/>
      <c r="B48" s="18" t="n"/>
      <c r="C48" s="18" t="n"/>
      <c r="D48" s="18" t="n"/>
      <c r="E48" s="33" t="n"/>
      <c r="F48" s="21">
        <f>IF(A48="","",COUNTIF('予算一覧'!$AG$5:$AG$200,A48))</f>
        <v/>
      </c>
    </row>
    <row r="49">
      <c r="A49" s="18" t="n"/>
      <c r="B49" s="18" t="n"/>
      <c r="C49" s="18" t="n"/>
      <c r="D49" s="18" t="n"/>
      <c r="E49" s="33" t="n"/>
      <c r="F49" s="21">
        <f>IF(A49="","",COUNTIF('予算一覧'!$AG$5:$AG$200,A49))</f>
        <v/>
      </c>
    </row>
    <row r="50">
      <c r="A50" s="18" t="n"/>
      <c r="B50" s="18" t="n"/>
      <c r="C50" s="18" t="n"/>
      <c r="D50" s="18" t="n"/>
      <c r="E50" s="33" t="n"/>
      <c r="F50" s="21">
        <f>IF(A50="","",COUNTIF('予算一覧'!$AG$5:$AG$200,A50))</f>
        <v/>
      </c>
    </row>
    <row r="51">
      <c r="A51" s="18" t="n"/>
      <c r="B51" s="18" t="n"/>
      <c r="C51" s="18" t="n"/>
      <c r="D51" s="18" t="n"/>
      <c r="E51" s="33" t="n"/>
      <c r="F51" s="21">
        <f>IF(A51="","",COUNTIF('予算一覧'!$AG$5:$AG$200,A51))</f>
        <v/>
      </c>
    </row>
    <row r="52">
      <c r="A52" s="18" t="n"/>
      <c r="B52" s="18" t="n"/>
      <c r="C52" s="18" t="n"/>
      <c r="D52" s="18" t="n"/>
      <c r="E52" s="33" t="n"/>
      <c r="F52" s="21">
        <f>IF(A52="","",COUNTIF('予算一覧'!$AG$5:$AG$200,A52))</f>
        <v/>
      </c>
    </row>
    <row r="53">
      <c r="A53" s="18" t="n"/>
      <c r="B53" s="18" t="n"/>
      <c r="C53" s="18" t="n"/>
      <c r="D53" s="18" t="n"/>
      <c r="E53" s="33" t="n"/>
      <c r="F53" s="21">
        <f>IF(A53="","",COUNTIF('予算一覧'!$AG$5:$AG$200,A53))</f>
        <v/>
      </c>
    </row>
    <row r="54">
      <c r="A54" s="18" t="n"/>
      <c r="B54" s="18" t="n"/>
      <c r="C54" s="18" t="n"/>
      <c r="D54" s="18" t="n"/>
      <c r="E54" s="33" t="n"/>
      <c r="F54" s="21">
        <f>IF(A54="","",COUNTIF('予算一覧'!$AG$5:$AG$200,A54))</f>
        <v/>
      </c>
    </row>
    <row r="55">
      <c r="A55" s="18" t="n"/>
      <c r="B55" s="18" t="n"/>
      <c r="C55" s="18" t="n"/>
      <c r="D55" s="18" t="n"/>
      <c r="E55" s="33" t="n"/>
      <c r="F55" s="21">
        <f>IF(A55="","",COUNTIF('予算一覧'!$AG$5:$AG$200,A55))</f>
        <v/>
      </c>
    </row>
    <row r="56">
      <c r="A56" s="18" t="n"/>
      <c r="B56" s="18" t="n"/>
      <c r="C56" s="18" t="n"/>
      <c r="D56" s="18" t="n"/>
      <c r="E56" s="33" t="n"/>
      <c r="F56" s="21">
        <f>IF(A56="","",COUNTIF('予算一覧'!$AG$5:$AG$200,A56))</f>
        <v/>
      </c>
    </row>
    <row r="57">
      <c r="A57" s="18" t="n"/>
      <c r="B57" s="18" t="n"/>
      <c r="C57" s="18" t="n"/>
      <c r="D57" s="18" t="n"/>
      <c r="E57" s="33" t="n"/>
      <c r="F57" s="21">
        <f>IF(A57="","",COUNTIF('予算一覧'!$AG$5:$AG$200,A57))</f>
        <v/>
      </c>
    </row>
    <row r="58">
      <c r="A58" s="18" t="n"/>
      <c r="B58" s="18" t="n"/>
      <c r="C58" s="18" t="n"/>
      <c r="D58" s="18" t="n"/>
      <c r="E58" s="33" t="n"/>
      <c r="F58" s="21">
        <f>IF(A58="","",COUNTIF('予算一覧'!$AG$5:$AG$200,A58))</f>
        <v/>
      </c>
    </row>
    <row r="59">
      <c r="A59" s="18" t="n"/>
      <c r="B59" s="18" t="n"/>
      <c r="C59" s="18" t="n"/>
      <c r="D59" s="18" t="n"/>
      <c r="E59" s="33" t="n"/>
      <c r="F59" s="21">
        <f>IF(A59="","",COUNTIF('予算一覧'!$AG$5:$AG$200,A59))</f>
        <v/>
      </c>
    </row>
    <row r="60">
      <c r="A60" s="18" t="n"/>
      <c r="B60" s="18" t="n"/>
      <c r="C60" s="18" t="n"/>
      <c r="D60" s="18" t="n"/>
      <c r="E60" s="33" t="n"/>
      <c r="F60" s="21">
        <f>IF(A60="","",COUNTIF('予算一覧'!$AG$5:$AG$200,A60))</f>
        <v/>
      </c>
    </row>
    <row r="61">
      <c r="A61" s="18" t="n"/>
      <c r="B61" s="18" t="n"/>
      <c r="C61" s="18" t="n"/>
      <c r="D61" s="18" t="n"/>
      <c r="E61" s="33" t="n"/>
      <c r="F61" s="21">
        <f>IF(A61="","",COUNTIF('予算一覧'!$AG$5:$AG$200,A61))</f>
        <v/>
      </c>
    </row>
    <row r="62">
      <c r="A62" s="18" t="n"/>
      <c r="B62" s="18" t="n"/>
      <c r="C62" s="18" t="n"/>
      <c r="D62" s="18" t="n"/>
      <c r="E62" s="33" t="n"/>
      <c r="F62" s="21">
        <f>IF(A62="","",COUNTIF('予算一覧'!$AG$5:$AG$200,A62))</f>
        <v/>
      </c>
    </row>
    <row r="63">
      <c r="A63" s="18" t="n"/>
      <c r="B63" s="18" t="n"/>
      <c r="C63" s="18" t="n"/>
      <c r="D63" s="18" t="n"/>
      <c r="E63" s="33" t="n"/>
      <c r="F63" s="21">
        <f>IF(A63="","",COUNTIF('予算一覧'!$AG$5:$AG$200,A63))</f>
        <v/>
      </c>
    </row>
    <row r="64">
      <c r="A64" s="18" t="n"/>
      <c r="B64" s="18" t="n"/>
      <c r="C64" s="18" t="n"/>
      <c r="D64" s="18" t="n"/>
      <c r="E64" s="33" t="n"/>
      <c r="F64" s="21">
        <f>IF(A64="","",COUNTIF('予算一覧'!$AG$5:$AG$200,A64))</f>
        <v/>
      </c>
    </row>
    <row r="65">
      <c r="A65" s="18" t="n"/>
      <c r="B65" s="18" t="n"/>
      <c r="C65" s="18" t="n"/>
      <c r="D65" s="18" t="n"/>
      <c r="E65" s="33" t="n"/>
      <c r="F65" s="21">
        <f>IF(A65="","",COUNTIF('予算一覧'!$AG$5:$AG$200,A65))</f>
        <v/>
      </c>
    </row>
    <row r="66">
      <c r="A66" s="18" t="n"/>
      <c r="B66" s="18" t="n"/>
      <c r="C66" s="18" t="n"/>
      <c r="D66" s="18" t="n"/>
      <c r="E66" s="33" t="n"/>
      <c r="F66" s="21">
        <f>IF(A66="","",COUNTIF('予算一覧'!$AG$5:$AG$200,A66))</f>
        <v/>
      </c>
    </row>
    <row r="67">
      <c r="A67" s="18" t="n"/>
      <c r="B67" s="18" t="n"/>
      <c r="C67" s="18" t="n"/>
      <c r="D67" s="18" t="n"/>
      <c r="E67" s="33" t="n"/>
      <c r="F67" s="21">
        <f>IF(A67="","",COUNTIF('予算一覧'!$AG$5:$AG$200,A67))</f>
        <v/>
      </c>
    </row>
    <row r="68">
      <c r="A68" s="18" t="n"/>
      <c r="B68" s="18" t="n"/>
      <c r="C68" s="18" t="n"/>
      <c r="D68" s="18" t="n"/>
      <c r="E68" s="33" t="n"/>
      <c r="F68" s="21">
        <f>IF(A68="","",COUNTIF('予算一覧'!$AG$5:$AG$200,A68))</f>
        <v/>
      </c>
    </row>
    <row r="69">
      <c r="A69" s="18" t="n"/>
      <c r="B69" s="18" t="n"/>
      <c r="C69" s="18" t="n"/>
      <c r="D69" s="18" t="n"/>
      <c r="E69" s="33" t="n"/>
      <c r="F69" s="21">
        <f>IF(A69="","",COUNTIF('予算一覧'!$AG$5:$AG$200,A69))</f>
        <v/>
      </c>
    </row>
    <row r="70">
      <c r="A70" s="18" t="n"/>
      <c r="B70" s="18" t="n"/>
      <c r="C70" s="18" t="n"/>
      <c r="D70" s="18" t="n"/>
      <c r="E70" s="33" t="n"/>
      <c r="F70" s="21">
        <f>IF(A70="","",COUNTIF('予算一覧'!$AG$5:$AG$200,A70))</f>
        <v/>
      </c>
    </row>
    <row r="71">
      <c r="A71" s="18" t="n"/>
      <c r="B71" s="18" t="n"/>
      <c r="C71" s="18" t="n"/>
      <c r="D71" s="18" t="n"/>
      <c r="E71" s="33" t="n"/>
      <c r="F71" s="21">
        <f>IF(A71="","",COUNTIF('予算一覧'!$AG$5:$AG$200,A71))</f>
        <v/>
      </c>
    </row>
    <row r="72">
      <c r="A72" s="18" t="n"/>
      <c r="B72" s="18" t="n"/>
      <c r="C72" s="18" t="n"/>
      <c r="D72" s="18" t="n"/>
      <c r="E72" s="33" t="n"/>
      <c r="F72" s="21">
        <f>IF(A72="","",COUNTIF('予算一覧'!$AG$5:$AG$200,A72))</f>
        <v/>
      </c>
    </row>
    <row r="73">
      <c r="A73" s="18" t="n"/>
      <c r="B73" s="18" t="n"/>
      <c r="C73" s="18" t="n"/>
      <c r="D73" s="18" t="n"/>
      <c r="E73" s="33" t="n"/>
      <c r="F73" s="21">
        <f>IF(A73="","",COUNTIF('予算一覧'!$AG$5:$AG$200,A73))</f>
        <v/>
      </c>
    </row>
    <row r="74">
      <c r="A74" s="18" t="n"/>
      <c r="B74" s="18" t="n"/>
      <c r="C74" s="18" t="n"/>
      <c r="D74" s="18" t="n"/>
      <c r="E74" s="33" t="n"/>
      <c r="F74" s="21">
        <f>IF(A74="","",COUNTIF('予算一覧'!$AG$5:$AG$200,A74))</f>
        <v/>
      </c>
    </row>
    <row r="75">
      <c r="A75" s="18" t="n"/>
      <c r="B75" s="18" t="n"/>
      <c r="C75" s="18" t="n"/>
      <c r="D75" s="18" t="n"/>
      <c r="E75" s="33" t="n"/>
      <c r="F75" s="21">
        <f>IF(A75="","",COUNTIF('予算一覧'!$AG$5:$AG$200,A75))</f>
        <v/>
      </c>
    </row>
    <row r="76">
      <c r="A76" s="18" t="n"/>
      <c r="B76" s="18" t="n"/>
      <c r="C76" s="18" t="n"/>
      <c r="D76" s="18" t="n"/>
      <c r="E76" s="33" t="n"/>
      <c r="F76" s="21">
        <f>IF(A76="","",COUNTIF('予算一覧'!$AG$5:$AG$200,A76))</f>
        <v/>
      </c>
    </row>
    <row r="77">
      <c r="A77" s="18" t="n"/>
      <c r="B77" s="18" t="n"/>
      <c r="C77" s="18" t="n"/>
      <c r="D77" s="18" t="n"/>
      <c r="E77" s="33" t="n"/>
      <c r="F77" s="21">
        <f>IF(A77="","",COUNTIF('予算一覧'!$AG$5:$AG$200,A77))</f>
        <v/>
      </c>
    </row>
    <row r="78">
      <c r="A78" s="18" t="n"/>
      <c r="B78" s="18" t="n"/>
      <c r="C78" s="18" t="n"/>
      <c r="D78" s="18" t="n"/>
      <c r="E78" s="33" t="n"/>
      <c r="F78" s="21">
        <f>IF(A78="","",COUNTIF('予算一覧'!$AG$5:$AG$200,A78))</f>
        <v/>
      </c>
    </row>
    <row r="79">
      <c r="A79" s="18" t="n"/>
      <c r="B79" s="18" t="n"/>
      <c r="C79" s="18" t="n"/>
      <c r="D79" s="18" t="n"/>
      <c r="E79" s="33" t="n"/>
      <c r="F79" s="21">
        <f>IF(A79="","",COUNTIF('予算一覧'!$AG$5:$AG$200,A79))</f>
        <v/>
      </c>
    </row>
    <row r="80">
      <c r="A80" s="18" t="n"/>
      <c r="B80" s="18" t="n"/>
      <c r="C80" s="18" t="n"/>
      <c r="D80" s="18" t="n"/>
      <c r="E80" s="33" t="n"/>
      <c r="F80" s="21">
        <f>IF(A80="","",COUNTIF('予算一覧'!$AG$5:$AG$200,A80))</f>
        <v/>
      </c>
    </row>
    <row r="81">
      <c r="A81" s="18" t="n"/>
      <c r="B81" s="18" t="n"/>
      <c r="C81" s="18" t="n"/>
      <c r="D81" s="18" t="n"/>
      <c r="E81" s="33" t="n"/>
      <c r="F81" s="21">
        <f>IF(A81="","",COUNTIF('予算一覧'!$AG$5:$AG$200,A81))</f>
        <v/>
      </c>
    </row>
    <row r="82">
      <c r="A82" s="18" t="n"/>
      <c r="B82" s="18" t="n"/>
      <c r="C82" s="18" t="n"/>
      <c r="D82" s="18" t="n"/>
      <c r="E82" s="33" t="n"/>
      <c r="F82" s="21">
        <f>IF(A82="","",COUNTIF('予算一覧'!$AG$5:$AG$200,A82))</f>
        <v/>
      </c>
    </row>
    <row r="83">
      <c r="A83" s="18" t="n"/>
      <c r="B83" s="18" t="n"/>
      <c r="C83" s="18" t="n"/>
      <c r="D83" s="18" t="n"/>
      <c r="E83" s="33" t="n"/>
      <c r="F83" s="21">
        <f>IF(A83="","",COUNTIF('予算一覧'!$AG$5:$AG$200,A83))</f>
        <v/>
      </c>
    </row>
    <row r="84">
      <c r="A84" s="18" t="n"/>
      <c r="B84" s="18" t="n"/>
      <c r="C84" s="18" t="n"/>
      <c r="D84" s="18" t="n"/>
      <c r="E84" s="33" t="n"/>
      <c r="F84" s="21">
        <f>IF(A84="","",COUNTIF('予算一覧'!$AG$5:$AG$200,A84))</f>
        <v/>
      </c>
    </row>
    <row r="85">
      <c r="A85" s="18" t="n"/>
      <c r="B85" s="18" t="n"/>
      <c r="C85" s="18" t="n"/>
      <c r="D85" s="18" t="n"/>
      <c r="E85" s="33" t="n"/>
      <c r="F85" s="21">
        <f>IF(A85="","",COUNTIF('予算一覧'!$AG$5:$AG$200,A85))</f>
        <v/>
      </c>
    </row>
    <row r="86">
      <c r="A86" s="18" t="n"/>
      <c r="B86" s="18" t="n"/>
      <c r="C86" s="18" t="n"/>
      <c r="D86" s="18" t="n"/>
      <c r="E86" s="33" t="n"/>
      <c r="F86" s="21">
        <f>IF(A86="","",COUNTIF('予算一覧'!$AG$5:$AG$200,A86))</f>
        <v/>
      </c>
    </row>
    <row r="87">
      <c r="A87" s="18" t="n"/>
      <c r="B87" s="18" t="n"/>
      <c r="C87" s="18" t="n"/>
      <c r="D87" s="18" t="n"/>
      <c r="E87" s="33" t="n"/>
      <c r="F87" s="21">
        <f>IF(A87="","",COUNTIF('予算一覧'!$AG$5:$AG$200,A87))</f>
        <v/>
      </c>
    </row>
    <row r="88">
      <c r="A88" s="18" t="n"/>
      <c r="B88" s="18" t="n"/>
      <c r="C88" s="18" t="n"/>
      <c r="D88" s="18" t="n"/>
      <c r="E88" s="33" t="n"/>
      <c r="F88" s="21">
        <f>IF(A88="","",COUNTIF('予算一覧'!$AG$5:$AG$200,A88))</f>
        <v/>
      </c>
    </row>
    <row r="89">
      <c r="A89" s="18" t="n"/>
      <c r="B89" s="18" t="n"/>
      <c r="C89" s="18" t="n"/>
      <c r="D89" s="18" t="n"/>
      <c r="E89" s="33" t="n"/>
      <c r="F89" s="21">
        <f>IF(A89="","",COUNTIF('予算一覧'!$AG$5:$AG$200,A89))</f>
        <v/>
      </c>
    </row>
    <row r="90">
      <c r="A90" s="18" t="n"/>
      <c r="B90" s="18" t="n"/>
      <c r="C90" s="18" t="n"/>
      <c r="D90" s="18" t="n"/>
      <c r="E90" s="33" t="n"/>
      <c r="F90" s="21">
        <f>IF(A90="","",COUNTIF('予算一覧'!$AG$5:$AG$200,A90))</f>
        <v/>
      </c>
    </row>
    <row r="91">
      <c r="A91" s="18" t="n"/>
      <c r="B91" s="18" t="n"/>
      <c r="C91" s="18" t="n"/>
      <c r="D91" s="18" t="n"/>
      <c r="E91" s="33" t="n"/>
      <c r="F91" s="21">
        <f>IF(A91="","",COUNTIF('予算一覧'!$AG$5:$AG$200,A91))</f>
        <v/>
      </c>
    </row>
    <row r="92">
      <c r="A92" s="18" t="n"/>
      <c r="B92" s="18" t="n"/>
      <c r="C92" s="18" t="n"/>
      <c r="D92" s="18" t="n"/>
      <c r="E92" s="33" t="n"/>
      <c r="F92" s="21">
        <f>IF(A92="","",COUNTIF('予算一覧'!$AG$5:$AG$200,A92))</f>
        <v/>
      </c>
    </row>
    <row r="93">
      <c r="A93" s="18" t="n"/>
      <c r="B93" s="18" t="n"/>
      <c r="C93" s="18" t="n"/>
      <c r="D93" s="18" t="n"/>
      <c r="E93" s="33" t="n"/>
      <c r="F93" s="21">
        <f>IF(A93="","",COUNTIF('予算一覧'!$AG$5:$AG$200,A93))</f>
        <v/>
      </c>
    </row>
    <row r="94">
      <c r="A94" s="18" t="n"/>
      <c r="B94" s="18" t="n"/>
      <c r="C94" s="18" t="n"/>
      <c r="D94" s="18" t="n"/>
      <c r="E94" s="33" t="n"/>
      <c r="F94" s="21">
        <f>IF(A94="","",COUNTIF('予算一覧'!$AG$5:$AG$200,A94))</f>
        <v/>
      </c>
    </row>
    <row r="95">
      <c r="A95" s="18" t="n"/>
      <c r="B95" s="18" t="n"/>
      <c r="C95" s="18" t="n"/>
      <c r="D95" s="18" t="n"/>
      <c r="E95" s="33" t="n"/>
      <c r="F95" s="21">
        <f>IF(A95="","",COUNTIF('予算一覧'!$AG$5:$AG$200,A95))</f>
        <v/>
      </c>
    </row>
    <row r="96">
      <c r="A96" s="18" t="n"/>
      <c r="B96" s="18" t="n"/>
      <c r="C96" s="18" t="n"/>
      <c r="D96" s="18" t="n"/>
      <c r="E96" s="33" t="n"/>
      <c r="F96" s="21">
        <f>IF(A96="","",COUNTIF('予算一覧'!$AG$5:$AG$200,A96))</f>
        <v/>
      </c>
    </row>
    <row r="97">
      <c r="A97" s="18" t="n"/>
      <c r="B97" s="18" t="n"/>
      <c r="C97" s="18" t="n"/>
      <c r="D97" s="18" t="n"/>
      <c r="E97" s="33" t="n"/>
      <c r="F97" s="21">
        <f>IF(A97="","",COUNTIF('予算一覧'!$AG$5:$AG$200,A97))</f>
        <v/>
      </c>
    </row>
    <row r="98">
      <c r="A98" s="18" t="n"/>
      <c r="B98" s="18" t="n"/>
      <c r="C98" s="18" t="n"/>
      <c r="D98" s="18" t="n"/>
      <c r="E98" s="33" t="n"/>
      <c r="F98" s="21">
        <f>IF(A98="","",COUNTIF('予算一覧'!$AG$5:$AG$200,A98))</f>
        <v/>
      </c>
    </row>
    <row r="99">
      <c r="A99" s="18" t="n"/>
      <c r="B99" s="18" t="n"/>
      <c r="C99" s="18" t="n"/>
      <c r="D99" s="18" t="n"/>
      <c r="E99" s="33" t="n"/>
      <c r="F99" s="21">
        <f>IF(A99="","",COUNTIF('予算一覧'!$AG$5:$AG$200,A99))</f>
        <v/>
      </c>
    </row>
    <row r="100">
      <c r="A100" s="18" t="n"/>
      <c r="B100" s="18" t="n"/>
      <c r="C100" s="18" t="n"/>
      <c r="D100" s="18" t="n"/>
      <c r="E100" s="33" t="n"/>
      <c r="F100" s="21">
        <f>IF(A100="","",COUNTIF('予算一覧'!$AG$5:$AG$200,A100))</f>
        <v/>
      </c>
    </row>
    <row r="101">
      <c r="A101" s="18" t="n"/>
      <c r="B101" s="18" t="n"/>
      <c r="C101" s="18" t="n"/>
      <c r="D101" s="18" t="n"/>
      <c r="E101" s="33" t="n"/>
      <c r="F101" s="21">
        <f>IF(A101="","",COUNTIF('予算一覧'!$AG$5:$AG$200,A101))</f>
        <v/>
      </c>
    </row>
    <row r="102">
      <c r="A102" s="18" t="n"/>
      <c r="B102" s="18" t="n"/>
      <c r="C102" s="18" t="n"/>
      <c r="D102" s="18" t="n"/>
      <c r="E102" s="33" t="n"/>
      <c r="F102" s="21">
        <f>IF(A102="","",COUNTIF('予算一覧'!$AG$5:$AG$200,A102))</f>
        <v/>
      </c>
    </row>
    <row r="103">
      <c r="A103" s="18" t="n"/>
      <c r="B103" s="18" t="n"/>
      <c r="C103" s="18" t="n"/>
      <c r="D103" s="18" t="n"/>
      <c r="E103" s="33" t="n"/>
      <c r="F103" s="21">
        <f>IF(A103="","",COUNTIF('予算一覧'!$AG$5:$AG$200,A103))</f>
        <v/>
      </c>
    </row>
    <row r="104">
      <c r="A104" s="18" t="n"/>
      <c r="B104" s="18" t="n"/>
      <c r="C104" s="18" t="n"/>
      <c r="D104" s="18" t="n"/>
      <c r="E104" s="33" t="n"/>
      <c r="F104" s="21">
        <f>IF(A104="","",COUNTIF('予算一覧'!$AG$5:$AG$200,A104))</f>
        <v/>
      </c>
    </row>
    <row r="105">
      <c r="A105" s="18" t="n"/>
      <c r="B105" s="18" t="n"/>
      <c r="C105" s="18" t="n"/>
      <c r="D105" s="18" t="n"/>
      <c r="E105" s="33" t="n"/>
      <c r="F105" s="21">
        <f>IF(A105="","",COUNTIF('予算一覧'!$AG$5:$AG$200,A105))</f>
        <v/>
      </c>
    </row>
    <row r="106">
      <c r="A106" s="18" t="n"/>
      <c r="B106" s="18" t="n"/>
      <c r="C106" s="18" t="n"/>
      <c r="D106" s="18" t="n"/>
      <c r="E106" s="33" t="n"/>
      <c r="F106" s="21">
        <f>IF(A106="","",COUNTIF('予算一覧'!$AG$5:$AG$200,A106))</f>
        <v/>
      </c>
    </row>
    <row r="107">
      <c r="A107" s="18" t="n"/>
      <c r="B107" s="18" t="n"/>
      <c r="C107" s="18" t="n"/>
      <c r="D107" s="18" t="n"/>
      <c r="E107" s="33" t="n"/>
      <c r="F107" s="21">
        <f>IF(A107="","",COUNTIF('予算一覧'!$AG$5:$AG$200,A107))</f>
        <v/>
      </c>
    </row>
    <row r="108">
      <c r="A108" s="18" t="n"/>
      <c r="B108" s="18" t="n"/>
      <c r="C108" s="18" t="n"/>
      <c r="D108" s="18" t="n"/>
      <c r="E108" s="33" t="n"/>
      <c r="F108" s="21">
        <f>IF(A108="","",COUNTIF('予算一覧'!$AG$5:$AG$200,A108))</f>
        <v/>
      </c>
    </row>
    <row r="109">
      <c r="A109" s="18" t="n"/>
      <c r="B109" s="18" t="n"/>
      <c r="C109" s="18" t="n"/>
      <c r="D109" s="18" t="n"/>
      <c r="E109" s="33" t="n"/>
      <c r="F109" s="21">
        <f>IF(A109="","",COUNTIF('予算一覧'!$AG$5:$AG$200,A109))</f>
        <v/>
      </c>
    </row>
    <row r="110">
      <c r="A110" s="18" t="n"/>
      <c r="B110" s="18" t="n"/>
      <c r="C110" s="18" t="n"/>
      <c r="D110" s="18" t="n"/>
      <c r="E110" s="33" t="n"/>
      <c r="F110" s="21">
        <f>IF(A110="","",COUNTIF('予算一覧'!$AG$5:$AG$200,A110))</f>
        <v/>
      </c>
    </row>
    <row r="111">
      <c r="A111" s="18" t="n"/>
      <c r="B111" s="18" t="n"/>
      <c r="C111" s="18" t="n"/>
      <c r="D111" s="18" t="n"/>
      <c r="E111" s="33" t="n"/>
      <c r="F111" s="21">
        <f>IF(A111="","",COUNTIF('予算一覧'!$AG$5:$AG$200,A111))</f>
        <v/>
      </c>
    </row>
    <row r="112">
      <c r="A112" s="18" t="n"/>
      <c r="B112" s="18" t="n"/>
      <c r="C112" s="18" t="n"/>
      <c r="D112" s="18" t="n"/>
      <c r="E112" s="33" t="n"/>
      <c r="F112" s="21">
        <f>IF(A112="","",COUNTIF('予算一覧'!$AG$5:$AG$200,A112))</f>
        <v/>
      </c>
    </row>
    <row r="113">
      <c r="A113" s="18" t="n"/>
      <c r="B113" s="18" t="n"/>
      <c r="C113" s="18" t="n"/>
      <c r="D113" s="18" t="n"/>
      <c r="E113" s="33" t="n"/>
      <c r="F113" s="21">
        <f>IF(A113="","",COUNTIF('予算一覧'!$AG$5:$AG$200,A113))</f>
        <v/>
      </c>
    </row>
    <row r="114">
      <c r="A114" s="18" t="n"/>
      <c r="B114" s="18" t="n"/>
      <c r="C114" s="18" t="n"/>
      <c r="D114" s="18" t="n"/>
      <c r="E114" s="33" t="n"/>
      <c r="F114" s="21">
        <f>IF(A114="","",COUNTIF('予算一覧'!$AG$5:$AG$200,A114))</f>
        <v/>
      </c>
    </row>
    <row r="115">
      <c r="A115" s="18" t="n"/>
      <c r="B115" s="18" t="n"/>
      <c r="C115" s="18" t="n"/>
      <c r="D115" s="18" t="n"/>
      <c r="E115" s="33" t="n"/>
      <c r="F115" s="21">
        <f>IF(A115="","",COUNTIF('予算一覧'!$AG$5:$AG$200,A115))</f>
        <v/>
      </c>
    </row>
    <row r="116">
      <c r="A116" s="18" t="n"/>
      <c r="B116" s="18" t="n"/>
      <c r="C116" s="18" t="n"/>
      <c r="D116" s="18" t="n"/>
      <c r="E116" s="33" t="n"/>
      <c r="F116" s="21">
        <f>IF(A116="","",COUNTIF('予算一覧'!$AG$5:$AG$200,A116))</f>
        <v/>
      </c>
    </row>
    <row r="117">
      <c r="A117" s="18" t="n"/>
      <c r="B117" s="18" t="n"/>
      <c r="C117" s="18" t="n"/>
      <c r="D117" s="18" t="n"/>
      <c r="E117" s="33" t="n"/>
      <c r="F117" s="21">
        <f>IF(A117="","",COUNTIF('予算一覧'!$AG$5:$AG$200,A117))</f>
        <v/>
      </c>
    </row>
    <row r="118">
      <c r="A118" s="18" t="n"/>
      <c r="B118" s="18" t="n"/>
      <c r="C118" s="18" t="n"/>
      <c r="D118" s="18" t="n"/>
      <c r="E118" s="33" t="n"/>
      <c r="F118" s="21">
        <f>IF(A118="","",COUNTIF('予算一覧'!$AG$5:$AG$200,A118))</f>
        <v/>
      </c>
    </row>
    <row r="119">
      <c r="A119" s="18" t="n"/>
      <c r="B119" s="18" t="n"/>
      <c r="C119" s="18" t="n"/>
      <c r="D119" s="18" t="n"/>
      <c r="E119" s="33" t="n"/>
      <c r="F119" s="21">
        <f>IF(A119="","",COUNTIF('予算一覧'!$AG$5:$AG$200,A119))</f>
        <v/>
      </c>
    </row>
    <row r="120">
      <c r="A120" s="18" t="n"/>
      <c r="B120" s="18" t="n"/>
      <c r="C120" s="18" t="n"/>
      <c r="D120" s="18" t="n"/>
      <c r="E120" s="33" t="n"/>
      <c r="F120" s="21">
        <f>IF(A120="","",COUNTIF('予算一覧'!$AG$5:$AG$200,A120))</f>
        <v/>
      </c>
    </row>
    <row r="121">
      <c r="A121" s="18" t="n"/>
      <c r="B121" s="18" t="n"/>
      <c r="C121" s="18" t="n"/>
      <c r="D121" s="18" t="n"/>
      <c r="E121" s="33" t="n"/>
      <c r="F121" s="21">
        <f>IF(A121="","",COUNTIF('予算一覧'!$AG$5:$AG$200,A121))</f>
        <v/>
      </c>
    </row>
    <row r="122">
      <c r="A122" s="18" t="n"/>
      <c r="B122" s="18" t="n"/>
      <c r="C122" s="18" t="n"/>
      <c r="D122" s="18" t="n"/>
      <c r="E122" s="33" t="n"/>
      <c r="F122" s="21">
        <f>IF(A122="","",COUNTIF('予算一覧'!$AG$5:$AG$200,A122))</f>
        <v/>
      </c>
    </row>
    <row r="123">
      <c r="A123" s="18" t="n"/>
      <c r="B123" s="18" t="n"/>
      <c r="C123" s="18" t="n"/>
      <c r="D123" s="18" t="n"/>
      <c r="E123" s="33" t="n"/>
      <c r="F123" s="21">
        <f>IF(A123="","",COUNTIF('予算一覧'!$AG$5:$AG$200,A123))</f>
        <v/>
      </c>
    </row>
    <row r="124">
      <c r="A124" s="18" t="n"/>
      <c r="B124" s="18" t="n"/>
      <c r="C124" s="18" t="n"/>
      <c r="D124" s="18" t="n"/>
      <c r="E124" s="33" t="n"/>
      <c r="F124" s="21">
        <f>IF(A124="","",COUNTIF('予算一覧'!$AG$5:$AG$200,A124))</f>
        <v/>
      </c>
    </row>
    <row r="125">
      <c r="A125" s="18" t="n"/>
      <c r="B125" s="18" t="n"/>
      <c r="C125" s="18" t="n"/>
      <c r="D125" s="18" t="n"/>
      <c r="E125" s="33" t="n"/>
      <c r="F125" s="21">
        <f>IF(A125="","",COUNTIF('予算一覧'!$AG$5:$AG$200,A125))</f>
        <v/>
      </c>
    </row>
    <row r="126">
      <c r="A126" s="18" t="n"/>
      <c r="B126" s="18" t="n"/>
      <c r="C126" s="18" t="n"/>
      <c r="D126" s="18" t="n"/>
      <c r="E126" s="33" t="n"/>
      <c r="F126" s="21">
        <f>IF(A126="","",COUNTIF('予算一覧'!$AG$5:$AG$200,A126))</f>
        <v/>
      </c>
    </row>
    <row r="127">
      <c r="A127" s="18" t="n"/>
      <c r="B127" s="18" t="n"/>
      <c r="C127" s="18" t="n"/>
      <c r="D127" s="18" t="n"/>
      <c r="E127" s="33" t="n"/>
      <c r="F127" s="21">
        <f>IF(A127="","",COUNTIF('予算一覧'!$AG$5:$AG$200,A127))</f>
        <v/>
      </c>
    </row>
    <row r="128">
      <c r="A128" s="18" t="n"/>
      <c r="B128" s="18" t="n"/>
      <c r="C128" s="18" t="n"/>
      <c r="D128" s="18" t="n"/>
      <c r="E128" s="33" t="n"/>
      <c r="F128" s="21">
        <f>IF(A128="","",COUNTIF('予算一覧'!$AG$5:$AG$200,A128))</f>
        <v/>
      </c>
    </row>
    <row r="129">
      <c r="A129" s="18" t="n"/>
      <c r="B129" s="18" t="n"/>
      <c r="C129" s="18" t="n"/>
      <c r="D129" s="18" t="n"/>
      <c r="E129" s="33" t="n"/>
      <c r="F129" s="21">
        <f>IF(A129="","",COUNTIF('予算一覧'!$AG$5:$AG$200,A129))</f>
        <v/>
      </c>
    </row>
    <row r="130">
      <c r="A130" s="18" t="n"/>
      <c r="B130" s="18" t="n"/>
      <c r="C130" s="18" t="n"/>
      <c r="D130" s="18" t="n"/>
      <c r="E130" s="33" t="n"/>
      <c r="F130" s="21">
        <f>IF(A130="","",COUNTIF('予算一覧'!$AG$5:$AG$200,A130))</f>
        <v/>
      </c>
    </row>
    <row r="131">
      <c r="A131" s="18" t="n"/>
      <c r="B131" s="18" t="n"/>
      <c r="C131" s="18" t="n"/>
      <c r="D131" s="18" t="n"/>
      <c r="E131" s="33" t="n"/>
      <c r="F131" s="21">
        <f>IF(A131="","",COUNTIF('予算一覧'!$AG$5:$AG$200,A131))</f>
        <v/>
      </c>
    </row>
    <row r="132">
      <c r="A132" s="18" t="n"/>
      <c r="B132" s="18" t="n"/>
      <c r="C132" s="18" t="n"/>
      <c r="D132" s="18" t="n"/>
      <c r="E132" s="33" t="n"/>
      <c r="F132" s="21">
        <f>IF(A132="","",COUNTIF('予算一覧'!$AG$5:$AG$200,A132))</f>
        <v/>
      </c>
    </row>
    <row r="133">
      <c r="A133" s="18" t="n"/>
      <c r="B133" s="18" t="n"/>
      <c r="C133" s="18" t="n"/>
      <c r="D133" s="18" t="n"/>
      <c r="E133" s="33" t="n"/>
      <c r="F133" s="21">
        <f>IF(A133="","",COUNTIF('予算一覧'!$AG$5:$AG$200,A133))</f>
        <v/>
      </c>
    </row>
    <row r="134">
      <c r="A134" s="18" t="n"/>
      <c r="B134" s="18" t="n"/>
      <c r="C134" s="18" t="n"/>
      <c r="D134" s="18" t="n"/>
      <c r="E134" s="33" t="n"/>
      <c r="F134" s="21">
        <f>IF(A134="","",COUNTIF('予算一覧'!$AG$5:$AG$200,A134))</f>
        <v/>
      </c>
    </row>
    <row r="135">
      <c r="A135" s="18" t="n"/>
      <c r="B135" s="18" t="n"/>
      <c r="C135" s="18" t="n"/>
      <c r="D135" s="18" t="n"/>
      <c r="E135" s="33" t="n"/>
      <c r="F135" s="21">
        <f>IF(A135="","",COUNTIF('予算一覧'!$AG$5:$AG$200,A135))</f>
        <v/>
      </c>
    </row>
    <row r="136">
      <c r="A136" s="18" t="n"/>
      <c r="B136" s="18" t="n"/>
      <c r="C136" s="18" t="n"/>
      <c r="D136" s="18" t="n"/>
      <c r="E136" s="33" t="n"/>
      <c r="F136" s="21">
        <f>IF(A136="","",COUNTIF('予算一覧'!$AG$5:$AG$200,A136))</f>
        <v/>
      </c>
    </row>
    <row r="137">
      <c r="A137" s="18" t="n"/>
      <c r="B137" s="18" t="n"/>
      <c r="C137" s="18" t="n"/>
      <c r="D137" s="18" t="n"/>
      <c r="E137" s="33" t="n"/>
      <c r="F137" s="21">
        <f>IF(A137="","",COUNTIF('予算一覧'!$AG$5:$AG$200,A137))</f>
        <v/>
      </c>
    </row>
    <row r="138">
      <c r="A138" s="18" t="n"/>
      <c r="B138" s="18" t="n"/>
      <c r="C138" s="18" t="n"/>
      <c r="D138" s="18" t="n"/>
      <c r="E138" s="33" t="n"/>
      <c r="F138" s="21">
        <f>IF(A138="","",COUNTIF('予算一覧'!$AG$5:$AG$200,A138))</f>
        <v/>
      </c>
    </row>
    <row r="139">
      <c r="A139" s="18" t="n"/>
      <c r="B139" s="18" t="n"/>
      <c r="C139" s="18" t="n"/>
      <c r="D139" s="18" t="n"/>
      <c r="E139" s="33" t="n"/>
      <c r="F139" s="21">
        <f>IF(A139="","",COUNTIF('予算一覧'!$AG$5:$AG$200,A139))</f>
        <v/>
      </c>
    </row>
    <row r="140">
      <c r="A140" s="18" t="n"/>
      <c r="B140" s="18" t="n"/>
      <c r="C140" s="18" t="n"/>
      <c r="D140" s="18" t="n"/>
      <c r="E140" s="33" t="n"/>
      <c r="F140" s="21">
        <f>IF(A140="","",COUNTIF('予算一覧'!$AG$5:$AG$200,A140))</f>
        <v/>
      </c>
    </row>
    <row r="141">
      <c r="A141" s="18" t="n"/>
      <c r="B141" s="18" t="n"/>
      <c r="C141" s="18" t="n"/>
      <c r="D141" s="18" t="n"/>
      <c r="E141" s="33" t="n"/>
      <c r="F141" s="21">
        <f>IF(A141="","",COUNTIF('予算一覧'!$AG$5:$AG$200,A141))</f>
        <v/>
      </c>
    </row>
    <row r="142">
      <c r="A142" s="18" t="n"/>
      <c r="B142" s="18" t="n"/>
      <c r="C142" s="18" t="n"/>
      <c r="D142" s="18" t="n"/>
      <c r="E142" s="33" t="n"/>
      <c r="F142" s="21">
        <f>IF(A142="","",COUNTIF('予算一覧'!$AG$5:$AG$200,A142))</f>
        <v/>
      </c>
    </row>
    <row r="143">
      <c r="A143" s="18" t="n"/>
      <c r="B143" s="18" t="n"/>
      <c r="C143" s="18" t="n"/>
      <c r="D143" s="18" t="n"/>
      <c r="E143" s="33" t="n"/>
      <c r="F143" s="21">
        <f>IF(A143="","",COUNTIF('予算一覧'!$AG$5:$AG$200,A143))</f>
        <v/>
      </c>
    </row>
    <row r="144">
      <c r="A144" s="18" t="n"/>
      <c r="B144" s="18" t="n"/>
      <c r="C144" s="18" t="n"/>
      <c r="D144" s="18" t="n"/>
      <c r="E144" s="33" t="n"/>
      <c r="F144" s="21">
        <f>IF(A144="","",COUNTIF('予算一覧'!$AG$5:$AG$200,A144))</f>
        <v/>
      </c>
    </row>
    <row r="145">
      <c r="A145" s="18" t="n"/>
      <c r="B145" s="18" t="n"/>
      <c r="C145" s="18" t="n"/>
      <c r="D145" s="18" t="n"/>
      <c r="E145" s="33" t="n"/>
      <c r="F145" s="21">
        <f>IF(A145="","",COUNTIF('予算一覧'!$AG$5:$AG$200,A145))</f>
        <v/>
      </c>
    </row>
    <row r="146">
      <c r="A146" s="18" t="n"/>
      <c r="B146" s="18" t="n"/>
      <c r="C146" s="18" t="n"/>
      <c r="D146" s="18" t="n"/>
      <c r="E146" s="33" t="n"/>
      <c r="F146" s="21">
        <f>IF(A146="","",COUNTIF('予算一覧'!$AG$5:$AG$200,A146))</f>
        <v/>
      </c>
    </row>
    <row r="147">
      <c r="A147" s="18" t="n"/>
      <c r="B147" s="18" t="n"/>
      <c r="C147" s="18" t="n"/>
      <c r="D147" s="18" t="n"/>
      <c r="E147" s="33" t="n"/>
      <c r="F147" s="21">
        <f>IF(A147="","",COUNTIF('予算一覧'!$AG$5:$AG$200,A147))</f>
        <v/>
      </c>
    </row>
    <row r="148">
      <c r="A148" s="18" t="n"/>
      <c r="B148" s="18" t="n"/>
      <c r="C148" s="18" t="n"/>
      <c r="D148" s="18" t="n"/>
      <c r="E148" s="33" t="n"/>
      <c r="F148" s="21">
        <f>IF(A148="","",COUNTIF('予算一覧'!$AG$5:$AG$200,A148))</f>
        <v/>
      </c>
    </row>
    <row r="149">
      <c r="A149" s="18" t="n"/>
      <c r="B149" s="18" t="n"/>
      <c r="C149" s="18" t="n"/>
      <c r="D149" s="18" t="n"/>
      <c r="E149" s="33" t="n"/>
      <c r="F149" s="21">
        <f>IF(A149="","",COUNTIF('予算一覧'!$AG$5:$AG$200,A149))</f>
        <v/>
      </c>
    </row>
    <row r="150">
      <c r="A150" s="18" t="n"/>
      <c r="B150" s="18" t="n"/>
      <c r="C150" s="18" t="n"/>
      <c r="D150" s="18" t="n"/>
      <c r="E150" s="33" t="n"/>
      <c r="F150" s="21">
        <f>IF(A150="","",COUNTIF('予算一覧'!$AG$5:$AG$200,A150))</f>
        <v/>
      </c>
    </row>
    <row r="151">
      <c r="A151" s="18" t="n"/>
      <c r="B151" s="18" t="n"/>
      <c r="C151" s="18" t="n"/>
      <c r="D151" s="18" t="n"/>
      <c r="E151" s="33" t="n"/>
      <c r="F151" s="21">
        <f>IF(A151="","",COUNTIF('予算一覧'!$AG$5:$AG$200,A151))</f>
        <v/>
      </c>
    </row>
    <row r="152">
      <c r="A152" s="18" t="n"/>
      <c r="B152" s="18" t="n"/>
      <c r="C152" s="18" t="n"/>
      <c r="D152" s="18" t="n"/>
      <c r="E152" s="33" t="n"/>
      <c r="F152" s="21">
        <f>IF(A152="","",COUNTIF('予算一覧'!$AG$5:$AG$200,A152))</f>
        <v/>
      </c>
    </row>
    <row r="153">
      <c r="A153" s="18" t="n"/>
      <c r="B153" s="18" t="n"/>
      <c r="C153" s="18" t="n"/>
      <c r="D153" s="18" t="n"/>
      <c r="E153" s="33" t="n"/>
      <c r="F153" s="21">
        <f>IF(A153="","",COUNTIF('予算一覧'!$AG$5:$AG$200,A153))</f>
        <v/>
      </c>
    </row>
    <row r="154">
      <c r="A154" s="18" t="n"/>
      <c r="B154" s="18" t="n"/>
      <c r="C154" s="18" t="n"/>
      <c r="D154" s="18" t="n"/>
      <c r="E154" s="33" t="n"/>
      <c r="F154" s="21">
        <f>IF(A154="","",COUNTIF('予算一覧'!$AG$5:$AG$200,A154))</f>
        <v/>
      </c>
    </row>
    <row r="155">
      <c r="A155" s="18" t="n"/>
      <c r="B155" s="18" t="n"/>
      <c r="C155" s="18" t="n"/>
      <c r="D155" s="18" t="n"/>
      <c r="E155" s="33" t="n"/>
      <c r="F155" s="21">
        <f>IF(A155="","",COUNTIF('予算一覧'!$AG$5:$AG$200,A155))</f>
        <v/>
      </c>
    </row>
    <row r="156">
      <c r="A156" s="18" t="n"/>
      <c r="B156" s="18" t="n"/>
      <c r="C156" s="18" t="n"/>
      <c r="D156" s="18" t="n"/>
      <c r="E156" s="33" t="n"/>
      <c r="F156" s="21">
        <f>IF(A156="","",COUNTIF('予算一覧'!$AG$5:$AG$200,A156))</f>
        <v/>
      </c>
    </row>
    <row r="157">
      <c r="A157" s="18" t="n"/>
      <c r="B157" s="18" t="n"/>
      <c r="C157" s="18" t="n"/>
      <c r="D157" s="18" t="n"/>
      <c r="E157" s="33" t="n"/>
      <c r="F157" s="21">
        <f>IF(A157="","",COUNTIF('予算一覧'!$AG$5:$AG$200,A157))</f>
        <v/>
      </c>
    </row>
    <row r="158">
      <c r="A158" s="18" t="n"/>
      <c r="B158" s="18" t="n"/>
      <c r="C158" s="18" t="n"/>
      <c r="D158" s="18" t="n"/>
      <c r="E158" s="33" t="n"/>
      <c r="F158" s="21">
        <f>IF(A158="","",COUNTIF('予算一覧'!$AG$5:$AG$200,A158))</f>
        <v/>
      </c>
    </row>
    <row r="159">
      <c r="A159" s="18" t="n"/>
      <c r="B159" s="18" t="n"/>
      <c r="C159" s="18" t="n"/>
      <c r="D159" s="18" t="n"/>
      <c r="E159" s="33" t="n"/>
      <c r="F159" s="21">
        <f>IF(A159="","",COUNTIF('予算一覧'!$AG$5:$AG$200,A159))</f>
        <v/>
      </c>
    </row>
    <row r="160">
      <c r="A160" s="18" t="n"/>
      <c r="B160" s="18" t="n"/>
      <c r="C160" s="18" t="n"/>
      <c r="D160" s="18" t="n"/>
      <c r="E160" s="33" t="n"/>
      <c r="F160" s="21">
        <f>IF(A160="","",COUNTIF('予算一覧'!$AG$5:$AG$200,A160))</f>
        <v/>
      </c>
    </row>
    <row r="161">
      <c r="A161" s="18" t="n"/>
      <c r="B161" s="18" t="n"/>
      <c r="C161" s="18" t="n"/>
      <c r="D161" s="18" t="n"/>
      <c r="E161" s="33" t="n"/>
      <c r="F161" s="21">
        <f>IF(A161="","",COUNTIF('予算一覧'!$AG$5:$AG$200,A161))</f>
        <v/>
      </c>
    </row>
    <row r="162">
      <c r="A162" s="18" t="n"/>
      <c r="B162" s="18" t="n"/>
      <c r="C162" s="18" t="n"/>
      <c r="D162" s="18" t="n"/>
      <c r="E162" s="33" t="n"/>
      <c r="F162" s="21">
        <f>IF(A162="","",COUNTIF('予算一覧'!$AG$5:$AG$200,A162))</f>
        <v/>
      </c>
    </row>
    <row r="163">
      <c r="A163" s="18" t="n"/>
      <c r="B163" s="18" t="n"/>
      <c r="C163" s="18" t="n"/>
      <c r="D163" s="18" t="n"/>
      <c r="E163" s="33" t="n"/>
      <c r="F163" s="21">
        <f>IF(A163="","",COUNTIF('予算一覧'!$AG$5:$AG$200,A163))</f>
        <v/>
      </c>
    </row>
    <row r="164">
      <c r="A164" s="18" t="n"/>
      <c r="B164" s="18" t="n"/>
      <c r="C164" s="18" t="n"/>
      <c r="D164" s="18" t="n"/>
      <c r="E164" s="33" t="n"/>
      <c r="F164" s="21">
        <f>IF(A164="","",COUNTIF('予算一覧'!$AG$5:$AG$200,A164))</f>
        <v/>
      </c>
    </row>
    <row r="165">
      <c r="A165" s="18" t="n"/>
      <c r="B165" s="18" t="n"/>
      <c r="C165" s="18" t="n"/>
      <c r="D165" s="18" t="n"/>
      <c r="E165" s="33" t="n"/>
      <c r="F165" s="21">
        <f>IF(A165="","",COUNTIF('予算一覧'!$AG$5:$AG$200,A165))</f>
        <v/>
      </c>
    </row>
    <row r="166">
      <c r="A166" s="18" t="n"/>
      <c r="B166" s="18" t="n"/>
      <c r="C166" s="18" t="n"/>
      <c r="D166" s="18" t="n"/>
      <c r="E166" s="33" t="n"/>
      <c r="F166" s="21">
        <f>IF(A166="","",COUNTIF('予算一覧'!$AG$5:$AG$200,A166))</f>
        <v/>
      </c>
    </row>
    <row r="167">
      <c r="A167" s="18" t="n"/>
      <c r="B167" s="18" t="n"/>
      <c r="C167" s="18" t="n"/>
      <c r="D167" s="18" t="n"/>
      <c r="E167" s="33" t="n"/>
      <c r="F167" s="21">
        <f>IF(A167="","",COUNTIF('予算一覧'!$AG$5:$AG$200,A167))</f>
        <v/>
      </c>
    </row>
    <row r="168">
      <c r="A168" s="18" t="n"/>
      <c r="B168" s="18" t="n"/>
      <c r="C168" s="18" t="n"/>
      <c r="D168" s="18" t="n"/>
      <c r="E168" s="33" t="n"/>
      <c r="F168" s="21">
        <f>IF(A168="","",COUNTIF('予算一覧'!$AG$5:$AG$200,A168))</f>
        <v/>
      </c>
    </row>
    <row r="169">
      <c r="A169" s="18" t="n"/>
      <c r="B169" s="18" t="n"/>
      <c r="C169" s="18" t="n"/>
      <c r="D169" s="18" t="n"/>
      <c r="E169" s="33" t="n"/>
      <c r="F169" s="21">
        <f>IF(A169="","",COUNTIF('予算一覧'!$AG$5:$AG$200,A169))</f>
        <v/>
      </c>
    </row>
    <row r="170">
      <c r="A170" s="18" t="n"/>
      <c r="B170" s="18" t="n"/>
      <c r="C170" s="18" t="n"/>
      <c r="D170" s="18" t="n"/>
      <c r="E170" s="33" t="n"/>
      <c r="F170" s="21">
        <f>IF(A170="","",COUNTIF('予算一覧'!$AG$5:$AG$200,A170))</f>
        <v/>
      </c>
    </row>
    <row r="171">
      <c r="A171" s="18" t="n"/>
      <c r="B171" s="18" t="n"/>
      <c r="C171" s="18" t="n"/>
      <c r="D171" s="18" t="n"/>
      <c r="E171" s="33" t="n"/>
      <c r="F171" s="21">
        <f>IF(A171="","",COUNTIF('予算一覧'!$AG$5:$AG$200,A171))</f>
        <v/>
      </c>
    </row>
    <row r="172">
      <c r="A172" s="18" t="n"/>
      <c r="B172" s="18" t="n"/>
      <c r="C172" s="18" t="n"/>
      <c r="D172" s="18" t="n"/>
      <c r="E172" s="33" t="n"/>
      <c r="F172" s="21">
        <f>IF(A172="","",COUNTIF('予算一覧'!$AG$5:$AG$200,A172))</f>
        <v/>
      </c>
    </row>
    <row r="173">
      <c r="A173" s="18" t="n"/>
      <c r="B173" s="18" t="n"/>
      <c r="C173" s="18" t="n"/>
      <c r="D173" s="18" t="n"/>
      <c r="E173" s="33" t="n"/>
      <c r="F173" s="21">
        <f>IF(A173="","",COUNTIF('予算一覧'!$AG$5:$AG$200,A173))</f>
        <v/>
      </c>
    </row>
    <row r="174">
      <c r="A174" s="18" t="n"/>
      <c r="B174" s="18" t="n"/>
      <c r="C174" s="18" t="n"/>
      <c r="D174" s="18" t="n"/>
      <c r="E174" s="33" t="n"/>
      <c r="F174" s="21">
        <f>IF(A174="","",COUNTIF('予算一覧'!$AG$5:$AG$200,A174))</f>
        <v/>
      </c>
    </row>
    <row r="175">
      <c r="A175" s="18" t="n"/>
      <c r="B175" s="18" t="n"/>
      <c r="C175" s="18" t="n"/>
      <c r="D175" s="18" t="n"/>
      <c r="E175" s="33" t="n"/>
      <c r="F175" s="21">
        <f>IF(A175="","",COUNTIF('予算一覧'!$AG$5:$AG$200,A175))</f>
        <v/>
      </c>
    </row>
    <row r="176">
      <c r="A176" s="18" t="n"/>
      <c r="B176" s="18" t="n"/>
      <c r="C176" s="18" t="n"/>
      <c r="D176" s="18" t="n"/>
      <c r="E176" s="33" t="n"/>
      <c r="F176" s="21">
        <f>IF(A176="","",COUNTIF('予算一覧'!$AG$5:$AG$200,A176))</f>
        <v/>
      </c>
    </row>
    <row r="177">
      <c r="A177" s="18" t="n"/>
      <c r="B177" s="18" t="n"/>
      <c r="C177" s="18" t="n"/>
      <c r="D177" s="18" t="n"/>
      <c r="E177" s="33" t="n"/>
      <c r="F177" s="21">
        <f>IF(A177="","",COUNTIF('予算一覧'!$AG$5:$AG$200,A177))</f>
        <v/>
      </c>
    </row>
    <row r="178">
      <c r="A178" s="18" t="n"/>
      <c r="B178" s="18" t="n"/>
      <c r="C178" s="18" t="n"/>
      <c r="D178" s="18" t="n"/>
      <c r="E178" s="33" t="n"/>
      <c r="F178" s="21">
        <f>IF(A178="","",COUNTIF('予算一覧'!$AG$5:$AG$200,A178))</f>
        <v/>
      </c>
    </row>
    <row r="179">
      <c r="A179" s="18" t="n"/>
      <c r="B179" s="18" t="n"/>
      <c r="C179" s="18" t="n"/>
      <c r="D179" s="18" t="n"/>
      <c r="E179" s="33" t="n"/>
      <c r="F179" s="21">
        <f>IF(A179="","",COUNTIF('予算一覧'!$AG$5:$AG$200,A179))</f>
        <v/>
      </c>
    </row>
    <row r="180">
      <c r="A180" s="18" t="n"/>
      <c r="B180" s="18" t="n"/>
      <c r="C180" s="18" t="n"/>
      <c r="D180" s="18" t="n"/>
      <c r="E180" s="33" t="n"/>
      <c r="F180" s="21">
        <f>IF(A180="","",COUNTIF('予算一覧'!$AG$5:$AG$200,A180))</f>
        <v/>
      </c>
    </row>
    <row r="181">
      <c r="A181" s="18" t="n"/>
      <c r="B181" s="18" t="n"/>
      <c r="C181" s="18" t="n"/>
      <c r="D181" s="18" t="n"/>
      <c r="E181" s="33" t="n"/>
      <c r="F181" s="21">
        <f>IF(A181="","",COUNTIF('予算一覧'!$AG$5:$AG$200,A181))</f>
        <v/>
      </c>
    </row>
    <row r="182">
      <c r="A182" s="18" t="n"/>
      <c r="B182" s="18" t="n"/>
      <c r="C182" s="18" t="n"/>
      <c r="D182" s="18" t="n"/>
      <c r="E182" s="33" t="n"/>
      <c r="F182" s="21">
        <f>IF(A182="","",COUNTIF('予算一覧'!$AG$5:$AG$200,A182))</f>
        <v/>
      </c>
    </row>
    <row r="183">
      <c r="A183" s="18" t="n"/>
      <c r="B183" s="18" t="n"/>
      <c r="C183" s="18" t="n"/>
      <c r="D183" s="18" t="n"/>
      <c r="E183" s="33" t="n"/>
      <c r="F183" s="21">
        <f>IF(A183="","",COUNTIF('予算一覧'!$AG$5:$AG$200,A183))</f>
        <v/>
      </c>
    </row>
    <row r="184">
      <c r="A184" s="18" t="n"/>
      <c r="B184" s="18" t="n"/>
      <c r="C184" s="18" t="n"/>
      <c r="D184" s="18" t="n"/>
      <c r="E184" s="33" t="n"/>
      <c r="F184" s="21">
        <f>IF(A184="","",COUNTIF('予算一覧'!$AG$5:$AG$200,A184))</f>
        <v/>
      </c>
    </row>
    <row r="185">
      <c r="A185" s="18" t="n"/>
      <c r="B185" s="18" t="n"/>
      <c r="C185" s="18" t="n"/>
      <c r="D185" s="18" t="n"/>
      <c r="E185" s="33" t="n"/>
      <c r="F185" s="21">
        <f>IF(A185="","",COUNTIF('予算一覧'!$AG$5:$AG$200,A185))</f>
        <v/>
      </c>
    </row>
    <row r="186">
      <c r="A186" s="18" t="n"/>
      <c r="B186" s="18" t="n"/>
      <c r="C186" s="18" t="n"/>
      <c r="D186" s="18" t="n"/>
      <c r="E186" s="33" t="n"/>
      <c r="F186" s="21">
        <f>IF(A186="","",COUNTIF('予算一覧'!$AG$5:$AG$200,A186))</f>
        <v/>
      </c>
    </row>
    <row r="187">
      <c r="A187" s="18" t="n"/>
      <c r="B187" s="18" t="n"/>
      <c r="C187" s="18" t="n"/>
      <c r="D187" s="18" t="n"/>
      <c r="E187" s="33" t="n"/>
      <c r="F187" s="21">
        <f>IF(A187="","",COUNTIF('予算一覧'!$AG$5:$AG$200,A187))</f>
        <v/>
      </c>
    </row>
    <row r="188">
      <c r="A188" s="18" t="n"/>
      <c r="B188" s="18" t="n"/>
      <c r="C188" s="18" t="n"/>
      <c r="D188" s="18" t="n"/>
      <c r="E188" s="33" t="n"/>
      <c r="F188" s="21">
        <f>IF(A188="","",COUNTIF('予算一覧'!$AG$5:$AG$200,A188))</f>
        <v/>
      </c>
    </row>
    <row r="189">
      <c r="A189" s="18" t="n"/>
      <c r="B189" s="18" t="n"/>
      <c r="C189" s="18" t="n"/>
      <c r="D189" s="18" t="n"/>
      <c r="E189" s="33" t="n"/>
      <c r="F189" s="21">
        <f>IF(A189="","",COUNTIF('予算一覧'!$AG$5:$AG$200,A189))</f>
        <v/>
      </c>
    </row>
    <row r="190">
      <c r="A190" s="18" t="n"/>
      <c r="B190" s="18" t="n"/>
      <c r="C190" s="18" t="n"/>
      <c r="D190" s="18" t="n"/>
      <c r="E190" s="33" t="n"/>
      <c r="F190" s="21">
        <f>IF(A190="","",COUNTIF('予算一覧'!$AG$5:$AG$200,A190))</f>
        <v/>
      </c>
    </row>
    <row r="191">
      <c r="A191" s="18" t="n"/>
      <c r="B191" s="18" t="n"/>
      <c r="C191" s="18" t="n"/>
      <c r="D191" s="18" t="n"/>
      <c r="E191" s="33" t="n"/>
      <c r="F191" s="21">
        <f>IF(A191="","",COUNTIF('予算一覧'!$AG$5:$AG$200,A191))</f>
        <v/>
      </c>
    </row>
    <row r="192">
      <c r="A192" s="18" t="n"/>
      <c r="B192" s="18" t="n"/>
      <c r="C192" s="18" t="n"/>
      <c r="D192" s="18" t="n"/>
      <c r="E192" s="33" t="n"/>
      <c r="F192" s="21">
        <f>IF(A192="","",COUNTIF('予算一覧'!$AG$5:$AG$200,A192))</f>
        <v/>
      </c>
    </row>
    <row r="193">
      <c r="A193" s="18" t="n"/>
      <c r="B193" s="18" t="n"/>
      <c r="C193" s="18" t="n"/>
      <c r="D193" s="18" t="n"/>
      <c r="E193" s="33" t="n"/>
      <c r="F193" s="21">
        <f>IF(A193="","",COUNTIF('予算一覧'!$AG$5:$AG$200,A193))</f>
        <v/>
      </c>
    </row>
    <row r="194">
      <c r="A194" s="18" t="n"/>
      <c r="B194" s="18" t="n"/>
      <c r="C194" s="18" t="n"/>
      <c r="D194" s="18" t="n"/>
      <c r="E194" s="33" t="n"/>
      <c r="F194" s="21">
        <f>IF(A194="","",COUNTIF('予算一覧'!$AG$5:$AG$200,A194))</f>
        <v/>
      </c>
    </row>
    <row r="195">
      <c r="A195" s="18" t="n"/>
      <c r="B195" s="18" t="n"/>
      <c r="C195" s="18" t="n"/>
      <c r="D195" s="18" t="n"/>
      <c r="E195" s="33" t="n"/>
      <c r="F195" s="21">
        <f>IF(A195="","",COUNTIF('予算一覧'!$AG$5:$AG$200,A195))</f>
        <v/>
      </c>
    </row>
    <row r="196">
      <c r="A196" s="18" t="n"/>
      <c r="B196" s="18" t="n"/>
      <c r="C196" s="18" t="n"/>
      <c r="D196" s="18" t="n"/>
      <c r="E196" s="33" t="n"/>
      <c r="F196" s="21">
        <f>IF(A196="","",COUNTIF('予算一覧'!$AG$5:$AG$200,A196))</f>
        <v/>
      </c>
    </row>
    <row r="197">
      <c r="A197" s="18" t="n"/>
      <c r="B197" s="18" t="n"/>
      <c r="C197" s="18" t="n"/>
      <c r="D197" s="18" t="n"/>
      <c r="E197" s="33" t="n"/>
      <c r="F197" s="21">
        <f>IF(A197="","",COUNTIF('予算一覧'!$AG$5:$AG$200,A197))</f>
        <v/>
      </c>
    </row>
    <row r="198">
      <c r="A198" s="18" t="n"/>
      <c r="B198" s="18" t="n"/>
      <c r="C198" s="18" t="n"/>
      <c r="D198" s="18" t="n"/>
      <c r="E198" s="33" t="n"/>
      <c r="F198" s="21">
        <f>IF(A198="","",COUNTIF('予算一覧'!$AG$5:$AG$200,A198))</f>
        <v/>
      </c>
    </row>
    <row r="199">
      <c r="A199" s="18" t="n"/>
      <c r="B199" s="18" t="n"/>
      <c r="C199" s="18" t="n"/>
      <c r="D199" s="18" t="n"/>
      <c r="E199" s="33" t="n"/>
      <c r="F199" s="21">
        <f>IF(A199="","",COUNTIF('予算一覧'!$AG$5:$AG$200,A199))</f>
        <v/>
      </c>
    </row>
    <row r="200">
      <c r="A200" s="18" t="n"/>
      <c r="B200" s="18" t="n"/>
      <c r="C200" s="18" t="n"/>
      <c r="D200" s="18" t="n"/>
      <c r="E200" s="33" t="n"/>
      <c r="F200" s="21">
        <f>IF(A200="","",COUNTIF('予算一覧'!$AG$5:$AG$200,A200))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8" customWidth="1" min="4" max="4"/>
  </cols>
  <sheetData>
    <row r="1">
      <c r="A1" s="1" t="inlineStr">
        <is>
          <t>紐付け（案件×システム）</t>
        </is>
      </c>
    </row>
    <row r="2">
      <c r="A2" s="2" t="inlineStr">
        <is>
          <t>1行＝1つの対応（案件×システム）。1案件に複数のシステム、1システムに複数の案件があれば行を分ける。紐付け以外の情報は持たない。 新規の投資案件は、既存のシステムの改修のときだけ書く。</t>
        </is>
      </c>
    </row>
    <row r="3" ht="34" customHeight="1">
      <c r="A3" s="12" t="inlineStr">
        <is>
          <t>案件ID</t>
        </is>
      </c>
      <c r="B3" s="12" t="inlineStr">
        <is>
          <t>案件名（自動）</t>
        </is>
      </c>
      <c r="C3" s="12" t="inlineStr">
        <is>
          <t>システムID</t>
        </is>
      </c>
      <c r="D3" s="12" t="inlineStr">
        <is>
          <t>システム名（自動）</t>
        </is>
      </c>
    </row>
    <row r="4">
      <c r="A4" s="13" t="inlineStr">
        <is>
          <t>BUD-001</t>
        </is>
      </c>
      <c r="B4" s="16">
        <f>IF(A4="","",IFERROR(INDEX('予算一覧'!$B:$B,MATCH(A4,'予算一覧'!$A:$A,0)),"案件が未登録"))</f>
        <v/>
      </c>
      <c r="C4" s="13" t="inlineStr">
        <is>
          <t>SYS-012</t>
        </is>
      </c>
      <c r="D4" s="16">
        <f>IF(C4="","",IFERROR(INDEX('システム'!$B:$B,MATCH(C4,'システム'!$A:$A,0)),"システムが未登録"))</f>
        <v/>
      </c>
    </row>
    <row r="5">
      <c r="A5" s="13" t="inlineStr">
        <is>
          <t>BUD-002</t>
        </is>
      </c>
      <c r="B5" s="16">
        <f>IF(A5="","",IFERROR(INDEX('予算一覧'!$B:$B,MATCH(A5,'予算一覧'!$A:$A,0)),"案件が未登録"))</f>
        <v/>
      </c>
      <c r="C5" s="13" t="inlineStr">
        <is>
          <t>SYS-003</t>
        </is>
      </c>
      <c r="D5" s="16">
        <f>IF(C5="","",IFERROR(INDEX('システム'!$B:$B,MATCH(C5,'システム'!$A:$A,0)),"システムが未登録"))</f>
        <v/>
      </c>
    </row>
    <row r="6">
      <c r="A6" s="13" t="inlineStr">
        <is>
          <t>BUD-003</t>
        </is>
      </c>
      <c r="B6" s="16">
        <f>IF(A6="","",IFERROR(INDEX('予算一覧'!$B:$B,MATCH(A6,'予算一覧'!$A:$A,0)),"案件が未登録"))</f>
        <v/>
      </c>
      <c r="C6" s="13" t="inlineStr">
        <is>
          <t>SYS-041</t>
        </is>
      </c>
      <c r="D6" s="16">
        <f>IF(C6="","",IFERROR(INDEX('システム'!$B:$B,MATCH(C6,'システム'!$A:$A,0)),"システムが未登録"))</f>
        <v/>
      </c>
    </row>
    <row r="7">
      <c r="A7" s="18" t="n"/>
      <c r="B7" s="21">
        <f>IF(A7="","",IFERROR(INDEX('予算一覧'!$B:$B,MATCH(A7,'予算一覧'!$A:$A,0)),"案件が未登録"))</f>
        <v/>
      </c>
      <c r="C7" s="18" t="n"/>
      <c r="D7" s="21">
        <f>IF(C7="","",IFERROR(INDEX('システム'!$B:$B,MATCH(C7,'システム'!$A:$A,0)),"システムが未登録"))</f>
        <v/>
      </c>
    </row>
    <row r="8">
      <c r="A8" s="18" t="n"/>
      <c r="B8" s="21">
        <f>IF(A8="","",IFERROR(INDEX('予算一覧'!$B:$B,MATCH(A8,'予算一覧'!$A:$A,0)),"案件が未登録"))</f>
        <v/>
      </c>
      <c r="C8" s="18" t="n"/>
      <c r="D8" s="21">
        <f>IF(C8="","",IFERROR(INDEX('システム'!$B:$B,MATCH(C8,'システム'!$A:$A,0)),"システムが未登録"))</f>
        <v/>
      </c>
    </row>
    <row r="9">
      <c r="A9" s="18" t="n"/>
      <c r="B9" s="21">
        <f>IF(A9="","",IFERROR(INDEX('予算一覧'!$B:$B,MATCH(A9,'予算一覧'!$A:$A,0)),"案件が未登録"))</f>
        <v/>
      </c>
      <c r="C9" s="18" t="n"/>
      <c r="D9" s="21">
        <f>IF(C9="","",IFERROR(INDEX('システム'!$B:$B,MATCH(C9,'システム'!$A:$A,0)),"システムが未登録"))</f>
        <v/>
      </c>
    </row>
    <row r="10">
      <c r="A10" s="18" t="n"/>
      <c r="B10" s="21">
        <f>IF(A10="","",IFERROR(INDEX('予算一覧'!$B:$B,MATCH(A10,'予算一覧'!$A:$A,0)),"案件が未登録"))</f>
        <v/>
      </c>
      <c r="C10" s="18" t="n"/>
      <c r="D10" s="21">
        <f>IF(C10="","",IFERROR(INDEX('システム'!$B:$B,MATCH(C10,'システム'!$A:$A,0)),"システムが未登録"))</f>
        <v/>
      </c>
    </row>
    <row r="11">
      <c r="A11" s="18" t="n"/>
      <c r="B11" s="21">
        <f>IF(A11="","",IFERROR(INDEX('予算一覧'!$B:$B,MATCH(A11,'予算一覧'!$A:$A,0)),"案件が未登録"))</f>
        <v/>
      </c>
      <c r="C11" s="18" t="n"/>
      <c r="D11" s="21">
        <f>IF(C11="","",IFERROR(INDEX('システム'!$B:$B,MATCH(C11,'システム'!$A:$A,0)),"システムが未登録"))</f>
        <v/>
      </c>
    </row>
    <row r="12">
      <c r="A12" s="18" t="n"/>
      <c r="B12" s="21">
        <f>IF(A12="","",IFERROR(INDEX('予算一覧'!$B:$B,MATCH(A12,'予算一覧'!$A:$A,0)),"案件が未登録"))</f>
        <v/>
      </c>
      <c r="C12" s="18" t="n"/>
      <c r="D12" s="21">
        <f>IF(C12="","",IFERROR(INDEX('システム'!$B:$B,MATCH(C12,'システム'!$A:$A,0)),"システムが未登録"))</f>
        <v/>
      </c>
    </row>
    <row r="13">
      <c r="A13" s="18" t="n"/>
      <c r="B13" s="21">
        <f>IF(A13="","",IFERROR(INDEX('予算一覧'!$B:$B,MATCH(A13,'予算一覧'!$A:$A,0)),"案件が未登録"))</f>
        <v/>
      </c>
      <c r="C13" s="18" t="n"/>
      <c r="D13" s="21">
        <f>IF(C13="","",IFERROR(INDEX('システム'!$B:$B,MATCH(C13,'システム'!$A:$A,0)),"システムが未登録"))</f>
        <v/>
      </c>
    </row>
    <row r="14">
      <c r="A14" s="18" t="n"/>
      <c r="B14" s="21">
        <f>IF(A14="","",IFERROR(INDEX('予算一覧'!$B:$B,MATCH(A14,'予算一覧'!$A:$A,0)),"案件が未登録"))</f>
        <v/>
      </c>
      <c r="C14" s="18" t="n"/>
      <c r="D14" s="21">
        <f>IF(C14="","",IFERROR(INDEX('システム'!$B:$B,MATCH(C14,'システム'!$A:$A,0)),"システムが未登録"))</f>
        <v/>
      </c>
    </row>
    <row r="15">
      <c r="A15" s="18" t="n"/>
      <c r="B15" s="21">
        <f>IF(A15="","",IFERROR(INDEX('予算一覧'!$B:$B,MATCH(A15,'予算一覧'!$A:$A,0)),"案件が未登録"))</f>
        <v/>
      </c>
      <c r="C15" s="18" t="n"/>
      <c r="D15" s="21">
        <f>IF(C15="","",IFERROR(INDEX('システム'!$B:$B,MATCH(C15,'システム'!$A:$A,0)),"システムが未登録"))</f>
        <v/>
      </c>
    </row>
    <row r="16">
      <c r="A16" s="18" t="n"/>
      <c r="B16" s="21">
        <f>IF(A16="","",IFERROR(INDEX('予算一覧'!$B:$B,MATCH(A16,'予算一覧'!$A:$A,0)),"案件が未登録"))</f>
        <v/>
      </c>
      <c r="C16" s="18" t="n"/>
      <c r="D16" s="21">
        <f>IF(C16="","",IFERROR(INDEX('システム'!$B:$B,MATCH(C16,'システム'!$A:$A,0)),"システムが未登録"))</f>
        <v/>
      </c>
    </row>
    <row r="17">
      <c r="A17" s="18" t="n"/>
      <c r="B17" s="21">
        <f>IF(A17="","",IFERROR(INDEX('予算一覧'!$B:$B,MATCH(A17,'予算一覧'!$A:$A,0)),"案件が未登録"))</f>
        <v/>
      </c>
      <c r="C17" s="18" t="n"/>
      <c r="D17" s="21">
        <f>IF(C17="","",IFERROR(INDEX('システム'!$B:$B,MATCH(C17,'システム'!$A:$A,0)),"システムが未登録"))</f>
        <v/>
      </c>
    </row>
    <row r="18">
      <c r="A18" s="18" t="n"/>
      <c r="B18" s="21">
        <f>IF(A18="","",IFERROR(INDEX('予算一覧'!$B:$B,MATCH(A18,'予算一覧'!$A:$A,0)),"案件が未登録"))</f>
        <v/>
      </c>
      <c r="C18" s="18" t="n"/>
      <c r="D18" s="21">
        <f>IF(C18="","",IFERROR(INDEX('システム'!$B:$B,MATCH(C18,'システム'!$A:$A,0)),"システムが未登録"))</f>
        <v/>
      </c>
    </row>
    <row r="19">
      <c r="A19" s="18" t="n"/>
      <c r="B19" s="21">
        <f>IF(A19="","",IFERROR(INDEX('予算一覧'!$B:$B,MATCH(A19,'予算一覧'!$A:$A,0)),"案件が未登録"))</f>
        <v/>
      </c>
      <c r="C19" s="18" t="n"/>
      <c r="D19" s="21">
        <f>IF(C19="","",IFERROR(INDEX('システム'!$B:$B,MATCH(C19,'システム'!$A:$A,0)),"システムが未登録"))</f>
        <v/>
      </c>
    </row>
    <row r="20">
      <c r="A20" s="18" t="n"/>
      <c r="B20" s="21">
        <f>IF(A20="","",IFERROR(INDEX('予算一覧'!$B:$B,MATCH(A20,'予算一覧'!$A:$A,0)),"案件が未登録"))</f>
        <v/>
      </c>
      <c r="C20" s="18" t="n"/>
      <c r="D20" s="21">
        <f>IF(C20="","",IFERROR(INDEX('システム'!$B:$B,MATCH(C20,'システム'!$A:$A,0)),"システムが未登録"))</f>
        <v/>
      </c>
    </row>
    <row r="21">
      <c r="A21" s="18" t="n"/>
      <c r="B21" s="21">
        <f>IF(A21="","",IFERROR(INDEX('予算一覧'!$B:$B,MATCH(A21,'予算一覧'!$A:$A,0)),"案件が未登録"))</f>
        <v/>
      </c>
      <c r="C21" s="18" t="n"/>
      <c r="D21" s="21">
        <f>IF(C21="","",IFERROR(INDEX('システム'!$B:$B,MATCH(C21,'システム'!$A:$A,0)),"システムが未登録"))</f>
        <v/>
      </c>
    </row>
    <row r="22">
      <c r="A22" s="18" t="n"/>
      <c r="B22" s="21">
        <f>IF(A22="","",IFERROR(INDEX('予算一覧'!$B:$B,MATCH(A22,'予算一覧'!$A:$A,0)),"案件が未登録"))</f>
        <v/>
      </c>
      <c r="C22" s="18" t="n"/>
      <c r="D22" s="21">
        <f>IF(C22="","",IFERROR(INDEX('システム'!$B:$B,MATCH(C22,'システム'!$A:$A,0)),"システムが未登録"))</f>
        <v/>
      </c>
    </row>
    <row r="23">
      <c r="A23" s="18" t="n"/>
      <c r="B23" s="21">
        <f>IF(A23="","",IFERROR(INDEX('予算一覧'!$B:$B,MATCH(A23,'予算一覧'!$A:$A,0)),"案件が未登録"))</f>
        <v/>
      </c>
      <c r="C23" s="18" t="n"/>
      <c r="D23" s="21">
        <f>IF(C23="","",IFERROR(INDEX('システム'!$B:$B,MATCH(C23,'システム'!$A:$A,0)),"システムが未登録"))</f>
        <v/>
      </c>
    </row>
    <row r="24">
      <c r="A24" s="18" t="n"/>
      <c r="B24" s="21">
        <f>IF(A24="","",IFERROR(INDEX('予算一覧'!$B:$B,MATCH(A24,'予算一覧'!$A:$A,0)),"案件が未登録"))</f>
        <v/>
      </c>
      <c r="C24" s="18" t="n"/>
      <c r="D24" s="21">
        <f>IF(C24="","",IFERROR(INDEX('システム'!$B:$B,MATCH(C24,'システム'!$A:$A,0)),"システムが未登録"))</f>
        <v/>
      </c>
    </row>
    <row r="25">
      <c r="A25" s="18" t="n"/>
      <c r="B25" s="21">
        <f>IF(A25="","",IFERROR(INDEX('予算一覧'!$B:$B,MATCH(A25,'予算一覧'!$A:$A,0)),"案件が未登録"))</f>
        <v/>
      </c>
      <c r="C25" s="18" t="n"/>
      <c r="D25" s="21">
        <f>IF(C25="","",IFERROR(INDEX('システム'!$B:$B,MATCH(C25,'システム'!$A:$A,0)),"システムが未登録"))</f>
        <v/>
      </c>
    </row>
    <row r="26">
      <c r="A26" s="18" t="n"/>
      <c r="B26" s="21">
        <f>IF(A26="","",IFERROR(INDEX('予算一覧'!$B:$B,MATCH(A26,'予算一覧'!$A:$A,0)),"案件が未登録"))</f>
        <v/>
      </c>
      <c r="C26" s="18" t="n"/>
      <c r="D26" s="21">
        <f>IF(C26="","",IFERROR(INDEX('システム'!$B:$B,MATCH(C26,'システム'!$A:$A,0)),"システムが未登録"))</f>
        <v/>
      </c>
    </row>
    <row r="27">
      <c r="A27" s="18" t="n"/>
      <c r="B27" s="21">
        <f>IF(A27="","",IFERROR(INDEX('予算一覧'!$B:$B,MATCH(A27,'予算一覧'!$A:$A,0)),"案件が未登録"))</f>
        <v/>
      </c>
      <c r="C27" s="18" t="n"/>
      <c r="D27" s="21">
        <f>IF(C27="","",IFERROR(INDEX('システム'!$B:$B,MATCH(C27,'システム'!$A:$A,0)),"システムが未登録"))</f>
        <v/>
      </c>
    </row>
    <row r="28">
      <c r="A28" s="18" t="n"/>
      <c r="B28" s="21">
        <f>IF(A28="","",IFERROR(INDEX('予算一覧'!$B:$B,MATCH(A28,'予算一覧'!$A:$A,0)),"案件が未登録"))</f>
        <v/>
      </c>
      <c r="C28" s="18" t="n"/>
      <c r="D28" s="21">
        <f>IF(C28="","",IFERROR(INDEX('システム'!$B:$B,MATCH(C28,'システム'!$A:$A,0)),"システムが未登録"))</f>
        <v/>
      </c>
    </row>
    <row r="29">
      <c r="A29" s="18" t="n"/>
      <c r="B29" s="21">
        <f>IF(A29="","",IFERROR(INDEX('予算一覧'!$B:$B,MATCH(A29,'予算一覧'!$A:$A,0)),"案件が未登録"))</f>
        <v/>
      </c>
      <c r="C29" s="18" t="n"/>
      <c r="D29" s="21">
        <f>IF(C29="","",IFERROR(INDEX('システム'!$B:$B,MATCH(C29,'システム'!$A:$A,0)),"システムが未登録"))</f>
        <v/>
      </c>
    </row>
    <row r="30">
      <c r="A30" s="18" t="n"/>
      <c r="B30" s="21">
        <f>IF(A30="","",IFERROR(INDEX('予算一覧'!$B:$B,MATCH(A30,'予算一覧'!$A:$A,0)),"案件が未登録"))</f>
        <v/>
      </c>
      <c r="C30" s="18" t="n"/>
      <c r="D30" s="21">
        <f>IF(C30="","",IFERROR(INDEX('システム'!$B:$B,MATCH(C30,'システム'!$A:$A,0)),"システムが未登録"))</f>
        <v/>
      </c>
    </row>
    <row r="31">
      <c r="A31" s="18" t="n"/>
      <c r="B31" s="21">
        <f>IF(A31="","",IFERROR(INDEX('予算一覧'!$B:$B,MATCH(A31,'予算一覧'!$A:$A,0)),"案件が未登録"))</f>
        <v/>
      </c>
      <c r="C31" s="18" t="n"/>
      <c r="D31" s="21">
        <f>IF(C31="","",IFERROR(INDEX('システム'!$B:$B,MATCH(C31,'システム'!$A:$A,0)),"システムが未登録"))</f>
        <v/>
      </c>
    </row>
    <row r="32">
      <c r="A32" s="18" t="n"/>
      <c r="B32" s="21">
        <f>IF(A32="","",IFERROR(INDEX('予算一覧'!$B:$B,MATCH(A32,'予算一覧'!$A:$A,0)),"案件が未登録"))</f>
        <v/>
      </c>
      <c r="C32" s="18" t="n"/>
      <c r="D32" s="21">
        <f>IF(C32="","",IFERROR(INDEX('システム'!$B:$B,MATCH(C32,'システム'!$A:$A,0)),"システムが未登録"))</f>
        <v/>
      </c>
    </row>
    <row r="33">
      <c r="A33" s="18" t="n"/>
      <c r="B33" s="21">
        <f>IF(A33="","",IFERROR(INDEX('予算一覧'!$B:$B,MATCH(A33,'予算一覧'!$A:$A,0)),"案件が未登録"))</f>
        <v/>
      </c>
      <c r="C33" s="18" t="n"/>
      <c r="D33" s="21">
        <f>IF(C33="","",IFERROR(INDEX('システム'!$B:$B,MATCH(C33,'システム'!$A:$A,0)),"システムが未登録"))</f>
        <v/>
      </c>
    </row>
    <row r="34">
      <c r="A34" s="18" t="n"/>
      <c r="B34" s="21">
        <f>IF(A34="","",IFERROR(INDEX('予算一覧'!$B:$B,MATCH(A34,'予算一覧'!$A:$A,0)),"案件が未登録"))</f>
        <v/>
      </c>
      <c r="C34" s="18" t="n"/>
      <c r="D34" s="21">
        <f>IF(C34="","",IFERROR(INDEX('システム'!$B:$B,MATCH(C34,'システム'!$A:$A,0)),"システムが未登録"))</f>
        <v/>
      </c>
    </row>
    <row r="35">
      <c r="A35" s="18" t="n"/>
      <c r="B35" s="21">
        <f>IF(A35="","",IFERROR(INDEX('予算一覧'!$B:$B,MATCH(A35,'予算一覧'!$A:$A,0)),"案件が未登録"))</f>
        <v/>
      </c>
      <c r="C35" s="18" t="n"/>
      <c r="D35" s="21">
        <f>IF(C35="","",IFERROR(INDEX('システム'!$B:$B,MATCH(C35,'システム'!$A:$A,0)),"システムが未登録"))</f>
        <v/>
      </c>
    </row>
    <row r="36">
      <c r="A36" s="18" t="n"/>
      <c r="B36" s="21">
        <f>IF(A36="","",IFERROR(INDEX('予算一覧'!$B:$B,MATCH(A36,'予算一覧'!$A:$A,0)),"案件が未登録"))</f>
        <v/>
      </c>
      <c r="C36" s="18" t="n"/>
      <c r="D36" s="21">
        <f>IF(C36="","",IFERROR(INDEX('システム'!$B:$B,MATCH(C36,'システム'!$A:$A,0)),"システムが未登録"))</f>
        <v/>
      </c>
    </row>
    <row r="37">
      <c r="A37" s="18" t="n"/>
      <c r="B37" s="21">
        <f>IF(A37="","",IFERROR(INDEX('予算一覧'!$B:$B,MATCH(A37,'予算一覧'!$A:$A,0)),"案件が未登録"))</f>
        <v/>
      </c>
      <c r="C37" s="18" t="n"/>
      <c r="D37" s="21">
        <f>IF(C37="","",IFERROR(INDEX('システム'!$B:$B,MATCH(C37,'システム'!$A:$A,0)),"システムが未登録"))</f>
        <v/>
      </c>
    </row>
    <row r="38">
      <c r="A38" s="18" t="n"/>
      <c r="B38" s="21">
        <f>IF(A38="","",IFERROR(INDEX('予算一覧'!$B:$B,MATCH(A38,'予算一覧'!$A:$A,0)),"案件が未登録"))</f>
        <v/>
      </c>
      <c r="C38" s="18" t="n"/>
      <c r="D38" s="21">
        <f>IF(C38="","",IFERROR(INDEX('システム'!$B:$B,MATCH(C38,'システム'!$A:$A,0)),"システムが未登録"))</f>
        <v/>
      </c>
    </row>
    <row r="39">
      <c r="A39" s="18" t="n"/>
      <c r="B39" s="21">
        <f>IF(A39="","",IFERROR(INDEX('予算一覧'!$B:$B,MATCH(A39,'予算一覧'!$A:$A,0)),"案件が未登録"))</f>
        <v/>
      </c>
      <c r="C39" s="18" t="n"/>
      <c r="D39" s="21">
        <f>IF(C39="","",IFERROR(INDEX('システム'!$B:$B,MATCH(C39,'システム'!$A:$A,0)),"システムが未登録"))</f>
        <v/>
      </c>
    </row>
    <row r="40">
      <c r="A40" s="18" t="n"/>
      <c r="B40" s="21">
        <f>IF(A40="","",IFERROR(INDEX('予算一覧'!$B:$B,MATCH(A40,'予算一覧'!$A:$A,0)),"案件が未登録"))</f>
        <v/>
      </c>
      <c r="C40" s="18" t="n"/>
      <c r="D40" s="21">
        <f>IF(C40="","",IFERROR(INDEX('システム'!$B:$B,MATCH(C40,'システム'!$A:$A,0)),"システムが未登録"))</f>
        <v/>
      </c>
    </row>
    <row r="41">
      <c r="A41" s="18" t="n"/>
      <c r="B41" s="21">
        <f>IF(A41="","",IFERROR(INDEX('予算一覧'!$B:$B,MATCH(A41,'予算一覧'!$A:$A,0)),"案件が未登録"))</f>
        <v/>
      </c>
      <c r="C41" s="18" t="n"/>
      <c r="D41" s="21">
        <f>IF(C41="","",IFERROR(INDEX('システム'!$B:$B,MATCH(C41,'システム'!$A:$A,0)),"システムが未登録"))</f>
        <v/>
      </c>
    </row>
    <row r="42">
      <c r="A42" s="18" t="n"/>
      <c r="B42" s="21">
        <f>IF(A42="","",IFERROR(INDEX('予算一覧'!$B:$B,MATCH(A42,'予算一覧'!$A:$A,0)),"案件が未登録"))</f>
        <v/>
      </c>
      <c r="C42" s="18" t="n"/>
      <c r="D42" s="21">
        <f>IF(C42="","",IFERROR(INDEX('システム'!$B:$B,MATCH(C42,'システム'!$A:$A,0)),"システムが未登録"))</f>
        <v/>
      </c>
    </row>
    <row r="43">
      <c r="A43" s="18" t="n"/>
      <c r="B43" s="21">
        <f>IF(A43="","",IFERROR(INDEX('予算一覧'!$B:$B,MATCH(A43,'予算一覧'!$A:$A,0)),"案件が未登録"))</f>
        <v/>
      </c>
      <c r="C43" s="18" t="n"/>
      <c r="D43" s="21">
        <f>IF(C43="","",IFERROR(INDEX('システム'!$B:$B,MATCH(C43,'システム'!$A:$A,0)),"システムが未登録"))</f>
        <v/>
      </c>
    </row>
    <row r="44">
      <c r="A44" s="18" t="n"/>
      <c r="B44" s="21">
        <f>IF(A44="","",IFERROR(INDEX('予算一覧'!$B:$B,MATCH(A44,'予算一覧'!$A:$A,0)),"案件が未登録"))</f>
        <v/>
      </c>
      <c r="C44" s="18" t="n"/>
      <c r="D44" s="21">
        <f>IF(C44="","",IFERROR(INDEX('システム'!$B:$B,MATCH(C44,'システム'!$A:$A,0)),"システムが未登録"))</f>
        <v/>
      </c>
    </row>
    <row r="45">
      <c r="A45" s="18" t="n"/>
      <c r="B45" s="21">
        <f>IF(A45="","",IFERROR(INDEX('予算一覧'!$B:$B,MATCH(A45,'予算一覧'!$A:$A,0)),"案件が未登録"))</f>
        <v/>
      </c>
      <c r="C45" s="18" t="n"/>
      <c r="D45" s="21">
        <f>IF(C45="","",IFERROR(INDEX('システム'!$B:$B,MATCH(C45,'システム'!$A:$A,0)),"システムが未登録"))</f>
        <v/>
      </c>
    </row>
    <row r="46">
      <c r="A46" s="18" t="n"/>
      <c r="B46" s="21">
        <f>IF(A46="","",IFERROR(INDEX('予算一覧'!$B:$B,MATCH(A46,'予算一覧'!$A:$A,0)),"案件が未登録"))</f>
        <v/>
      </c>
      <c r="C46" s="18" t="n"/>
      <c r="D46" s="21">
        <f>IF(C46="","",IFERROR(INDEX('システム'!$B:$B,MATCH(C46,'システム'!$A:$A,0)),"システムが未登録"))</f>
        <v/>
      </c>
    </row>
    <row r="47">
      <c r="A47" s="18" t="n"/>
      <c r="B47" s="21">
        <f>IF(A47="","",IFERROR(INDEX('予算一覧'!$B:$B,MATCH(A47,'予算一覧'!$A:$A,0)),"案件が未登録"))</f>
        <v/>
      </c>
      <c r="C47" s="18" t="n"/>
      <c r="D47" s="21">
        <f>IF(C47="","",IFERROR(INDEX('システム'!$B:$B,MATCH(C47,'システム'!$A:$A,0)),"システムが未登録"))</f>
        <v/>
      </c>
    </row>
    <row r="48">
      <c r="A48" s="18" t="n"/>
      <c r="B48" s="21">
        <f>IF(A48="","",IFERROR(INDEX('予算一覧'!$B:$B,MATCH(A48,'予算一覧'!$A:$A,0)),"案件が未登録"))</f>
        <v/>
      </c>
      <c r="C48" s="18" t="n"/>
      <c r="D48" s="21">
        <f>IF(C48="","",IFERROR(INDEX('システム'!$B:$B,MATCH(C48,'システム'!$A:$A,0)),"システムが未登録"))</f>
        <v/>
      </c>
    </row>
    <row r="49">
      <c r="A49" s="18" t="n"/>
      <c r="B49" s="21">
        <f>IF(A49="","",IFERROR(INDEX('予算一覧'!$B:$B,MATCH(A49,'予算一覧'!$A:$A,0)),"案件が未登録"))</f>
        <v/>
      </c>
      <c r="C49" s="18" t="n"/>
      <c r="D49" s="21">
        <f>IF(C49="","",IFERROR(INDEX('システム'!$B:$B,MATCH(C49,'システム'!$A:$A,0)),"システムが未登録"))</f>
        <v/>
      </c>
    </row>
    <row r="50">
      <c r="A50" s="18" t="n"/>
      <c r="B50" s="21">
        <f>IF(A50="","",IFERROR(INDEX('予算一覧'!$B:$B,MATCH(A50,'予算一覧'!$A:$A,0)),"案件が未登録"))</f>
        <v/>
      </c>
      <c r="C50" s="18" t="n"/>
      <c r="D50" s="21">
        <f>IF(C50="","",IFERROR(INDEX('システム'!$B:$B,MATCH(C50,'システム'!$A:$A,0)),"システムが未登録"))</f>
        <v/>
      </c>
    </row>
    <row r="51">
      <c r="A51" s="18" t="n"/>
      <c r="B51" s="21">
        <f>IF(A51="","",IFERROR(INDEX('予算一覧'!$B:$B,MATCH(A51,'予算一覧'!$A:$A,0)),"案件が未登録"))</f>
        <v/>
      </c>
      <c r="C51" s="18" t="n"/>
      <c r="D51" s="21">
        <f>IF(C51="","",IFERROR(INDEX('システム'!$B:$B,MATCH(C51,'システム'!$A:$A,0)),"システムが未登録"))</f>
        <v/>
      </c>
    </row>
    <row r="52">
      <c r="A52" s="18" t="n"/>
      <c r="B52" s="21">
        <f>IF(A52="","",IFERROR(INDEX('予算一覧'!$B:$B,MATCH(A52,'予算一覧'!$A:$A,0)),"案件が未登録"))</f>
        <v/>
      </c>
      <c r="C52" s="18" t="n"/>
      <c r="D52" s="21">
        <f>IF(C52="","",IFERROR(INDEX('システム'!$B:$B,MATCH(C52,'システム'!$A:$A,0)),"システムが未登録"))</f>
        <v/>
      </c>
    </row>
    <row r="53">
      <c r="A53" s="18" t="n"/>
      <c r="B53" s="21">
        <f>IF(A53="","",IFERROR(INDEX('予算一覧'!$B:$B,MATCH(A53,'予算一覧'!$A:$A,0)),"案件が未登録"))</f>
        <v/>
      </c>
      <c r="C53" s="18" t="n"/>
      <c r="D53" s="21">
        <f>IF(C53="","",IFERROR(INDEX('システム'!$B:$B,MATCH(C53,'システム'!$A:$A,0)),"システムが未登録"))</f>
        <v/>
      </c>
    </row>
    <row r="54">
      <c r="A54" s="18" t="n"/>
      <c r="B54" s="21">
        <f>IF(A54="","",IFERROR(INDEX('予算一覧'!$B:$B,MATCH(A54,'予算一覧'!$A:$A,0)),"案件が未登録"))</f>
        <v/>
      </c>
      <c r="C54" s="18" t="n"/>
      <c r="D54" s="21">
        <f>IF(C54="","",IFERROR(INDEX('システム'!$B:$B,MATCH(C54,'システム'!$A:$A,0)),"システムが未登録"))</f>
        <v/>
      </c>
    </row>
    <row r="55">
      <c r="A55" s="18" t="n"/>
      <c r="B55" s="21">
        <f>IF(A55="","",IFERROR(INDEX('予算一覧'!$B:$B,MATCH(A55,'予算一覧'!$A:$A,0)),"案件が未登録"))</f>
        <v/>
      </c>
      <c r="C55" s="18" t="n"/>
      <c r="D55" s="21">
        <f>IF(C55="","",IFERROR(INDEX('システム'!$B:$B,MATCH(C55,'システム'!$A:$A,0)),"システムが未登録"))</f>
        <v/>
      </c>
    </row>
    <row r="56">
      <c r="A56" s="18" t="n"/>
      <c r="B56" s="21">
        <f>IF(A56="","",IFERROR(INDEX('予算一覧'!$B:$B,MATCH(A56,'予算一覧'!$A:$A,0)),"案件が未登録"))</f>
        <v/>
      </c>
      <c r="C56" s="18" t="n"/>
      <c r="D56" s="21">
        <f>IF(C56="","",IFERROR(INDEX('システム'!$B:$B,MATCH(C56,'システム'!$A:$A,0)),"システムが未登録"))</f>
        <v/>
      </c>
    </row>
    <row r="57">
      <c r="A57" s="18" t="n"/>
      <c r="B57" s="21">
        <f>IF(A57="","",IFERROR(INDEX('予算一覧'!$B:$B,MATCH(A57,'予算一覧'!$A:$A,0)),"案件が未登録"))</f>
        <v/>
      </c>
      <c r="C57" s="18" t="n"/>
      <c r="D57" s="21">
        <f>IF(C57="","",IFERROR(INDEX('システム'!$B:$B,MATCH(C57,'システム'!$A:$A,0)),"システムが未登録"))</f>
        <v/>
      </c>
    </row>
    <row r="58">
      <c r="A58" s="18" t="n"/>
      <c r="B58" s="21">
        <f>IF(A58="","",IFERROR(INDEX('予算一覧'!$B:$B,MATCH(A58,'予算一覧'!$A:$A,0)),"案件が未登録"))</f>
        <v/>
      </c>
      <c r="C58" s="18" t="n"/>
      <c r="D58" s="21">
        <f>IF(C58="","",IFERROR(INDEX('システム'!$B:$B,MATCH(C58,'システム'!$A:$A,0)),"システムが未登録"))</f>
        <v/>
      </c>
    </row>
    <row r="59">
      <c r="A59" s="18" t="n"/>
      <c r="B59" s="21">
        <f>IF(A59="","",IFERROR(INDEX('予算一覧'!$B:$B,MATCH(A59,'予算一覧'!$A:$A,0)),"案件が未登録"))</f>
        <v/>
      </c>
      <c r="C59" s="18" t="n"/>
      <c r="D59" s="21">
        <f>IF(C59="","",IFERROR(INDEX('システム'!$B:$B,MATCH(C59,'システム'!$A:$A,0)),"システムが未登録"))</f>
        <v/>
      </c>
    </row>
    <row r="60">
      <c r="A60" s="18" t="n"/>
      <c r="B60" s="21">
        <f>IF(A60="","",IFERROR(INDEX('予算一覧'!$B:$B,MATCH(A60,'予算一覧'!$A:$A,0)),"案件が未登録"))</f>
        <v/>
      </c>
      <c r="C60" s="18" t="n"/>
      <c r="D60" s="21">
        <f>IF(C60="","",IFERROR(INDEX('システム'!$B:$B,MATCH(C60,'システム'!$A:$A,0)),"システムが未登録"))</f>
        <v/>
      </c>
    </row>
    <row r="61">
      <c r="A61" s="18" t="n"/>
      <c r="B61" s="21">
        <f>IF(A61="","",IFERROR(INDEX('予算一覧'!$B:$B,MATCH(A61,'予算一覧'!$A:$A,0)),"案件が未登録"))</f>
        <v/>
      </c>
      <c r="C61" s="18" t="n"/>
      <c r="D61" s="21">
        <f>IF(C61="","",IFERROR(INDEX('システム'!$B:$B,MATCH(C61,'システム'!$A:$A,0)),"システムが未登録"))</f>
        <v/>
      </c>
    </row>
    <row r="62">
      <c r="A62" s="18" t="n"/>
      <c r="B62" s="21">
        <f>IF(A62="","",IFERROR(INDEX('予算一覧'!$B:$B,MATCH(A62,'予算一覧'!$A:$A,0)),"案件が未登録"))</f>
        <v/>
      </c>
      <c r="C62" s="18" t="n"/>
      <c r="D62" s="21">
        <f>IF(C62="","",IFERROR(INDEX('システム'!$B:$B,MATCH(C62,'システム'!$A:$A,0)),"システムが未登録"))</f>
        <v/>
      </c>
    </row>
    <row r="63">
      <c r="A63" s="18" t="n"/>
      <c r="B63" s="21">
        <f>IF(A63="","",IFERROR(INDEX('予算一覧'!$B:$B,MATCH(A63,'予算一覧'!$A:$A,0)),"案件が未登録"))</f>
        <v/>
      </c>
      <c r="C63" s="18" t="n"/>
      <c r="D63" s="21">
        <f>IF(C63="","",IFERROR(INDEX('システム'!$B:$B,MATCH(C63,'システム'!$A:$A,0)),"システムが未登録"))</f>
        <v/>
      </c>
    </row>
    <row r="64">
      <c r="A64" s="18" t="n"/>
      <c r="B64" s="21">
        <f>IF(A64="","",IFERROR(INDEX('予算一覧'!$B:$B,MATCH(A64,'予算一覧'!$A:$A,0)),"案件が未登録"))</f>
        <v/>
      </c>
      <c r="C64" s="18" t="n"/>
      <c r="D64" s="21">
        <f>IF(C64="","",IFERROR(INDEX('システム'!$B:$B,MATCH(C64,'システム'!$A:$A,0)),"システムが未登録"))</f>
        <v/>
      </c>
    </row>
    <row r="65">
      <c r="A65" s="18" t="n"/>
      <c r="B65" s="21">
        <f>IF(A65="","",IFERROR(INDEX('予算一覧'!$B:$B,MATCH(A65,'予算一覧'!$A:$A,0)),"案件が未登録"))</f>
        <v/>
      </c>
      <c r="C65" s="18" t="n"/>
      <c r="D65" s="21">
        <f>IF(C65="","",IFERROR(INDEX('システム'!$B:$B,MATCH(C65,'システム'!$A:$A,0)),"システムが未登録"))</f>
        <v/>
      </c>
    </row>
    <row r="66">
      <c r="A66" s="18" t="n"/>
      <c r="B66" s="21">
        <f>IF(A66="","",IFERROR(INDEX('予算一覧'!$B:$B,MATCH(A66,'予算一覧'!$A:$A,0)),"案件が未登録"))</f>
        <v/>
      </c>
      <c r="C66" s="18" t="n"/>
      <c r="D66" s="21">
        <f>IF(C66="","",IFERROR(INDEX('システム'!$B:$B,MATCH(C66,'システム'!$A:$A,0)),"システムが未登録"))</f>
        <v/>
      </c>
    </row>
    <row r="67">
      <c r="A67" s="18" t="n"/>
      <c r="B67" s="21">
        <f>IF(A67="","",IFERROR(INDEX('予算一覧'!$B:$B,MATCH(A67,'予算一覧'!$A:$A,0)),"案件が未登録"))</f>
        <v/>
      </c>
      <c r="C67" s="18" t="n"/>
      <c r="D67" s="21">
        <f>IF(C67="","",IFERROR(INDEX('システム'!$B:$B,MATCH(C67,'システム'!$A:$A,0)),"システムが未登録"))</f>
        <v/>
      </c>
    </row>
    <row r="68">
      <c r="A68" s="18" t="n"/>
      <c r="B68" s="21">
        <f>IF(A68="","",IFERROR(INDEX('予算一覧'!$B:$B,MATCH(A68,'予算一覧'!$A:$A,0)),"案件が未登録"))</f>
        <v/>
      </c>
      <c r="C68" s="18" t="n"/>
      <c r="D68" s="21">
        <f>IF(C68="","",IFERROR(INDEX('システム'!$B:$B,MATCH(C68,'システム'!$A:$A,0)),"システムが未登録"))</f>
        <v/>
      </c>
    </row>
    <row r="69">
      <c r="A69" s="18" t="n"/>
      <c r="B69" s="21">
        <f>IF(A69="","",IFERROR(INDEX('予算一覧'!$B:$B,MATCH(A69,'予算一覧'!$A:$A,0)),"案件が未登録"))</f>
        <v/>
      </c>
      <c r="C69" s="18" t="n"/>
      <c r="D69" s="21">
        <f>IF(C69="","",IFERROR(INDEX('システム'!$B:$B,MATCH(C69,'システム'!$A:$A,0)),"システムが未登録"))</f>
        <v/>
      </c>
    </row>
    <row r="70">
      <c r="A70" s="18" t="n"/>
      <c r="B70" s="21">
        <f>IF(A70="","",IFERROR(INDEX('予算一覧'!$B:$B,MATCH(A70,'予算一覧'!$A:$A,0)),"案件が未登録"))</f>
        <v/>
      </c>
      <c r="C70" s="18" t="n"/>
      <c r="D70" s="21">
        <f>IF(C70="","",IFERROR(INDEX('システム'!$B:$B,MATCH(C70,'システム'!$A:$A,0)),"システムが未登録"))</f>
        <v/>
      </c>
    </row>
    <row r="71">
      <c r="A71" s="18" t="n"/>
      <c r="B71" s="21">
        <f>IF(A71="","",IFERROR(INDEX('予算一覧'!$B:$B,MATCH(A71,'予算一覧'!$A:$A,0)),"案件が未登録"))</f>
        <v/>
      </c>
      <c r="C71" s="18" t="n"/>
      <c r="D71" s="21">
        <f>IF(C71="","",IFERROR(INDEX('システム'!$B:$B,MATCH(C71,'システム'!$A:$A,0)),"システムが未登録"))</f>
        <v/>
      </c>
    </row>
    <row r="72">
      <c r="A72" s="18" t="n"/>
      <c r="B72" s="21">
        <f>IF(A72="","",IFERROR(INDEX('予算一覧'!$B:$B,MATCH(A72,'予算一覧'!$A:$A,0)),"案件が未登録"))</f>
        <v/>
      </c>
      <c r="C72" s="18" t="n"/>
      <c r="D72" s="21">
        <f>IF(C72="","",IFERROR(INDEX('システム'!$B:$B,MATCH(C72,'システム'!$A:$A,0)),"システムが未登録"))</f>
        <v/>
      </c>
    </row>
    <row r="73">
      <c r="A73" s="18" t="n"/>
      <c r="B73" s="21">
        <f>IF(A73="","",IFERROR(INDEX('予算一覧'!$B:$B,MATCH(A73,'予算一覧'!$A:$A,0)),"案件が未登録"))</f>
        <v/>
      </c>
      <c r="C73" s="18" t="n"/>
      <c r="D73" s="21">
        <f>IF(C73="","",IFERROR(INDEX('システム'!$B:$B,MATCH(C73,'システム'!$A:$A,0)),"システムが未登録"))</f>
        <v/>
      </c>
    </row>
    <row r="74">
      <c r="A74" s="18" t="n"/>
      <c r="B74" s="21">
        <f>IF(A74="","",IFERROR(INDEX('予算一覧'!$B:$B,MATCH(A74,'予算一覧'!$A:$A,0)),"案件が未登録"))</f>
        <v/>
      </c>
      <c r="C74" s="18" t="n"/>
      <c r="D74" s="21">
        <f>IF(C74="","",IFERROR(INDEX('システム'!$B:$B,MATCH(C74,'システム'!$A:$A,0)),"システムが未登録"))</f>
        <v/>
      </c>
    </row>
    <row r="75">
      <c r="A75" s="18" t="n"/>
      <c r="B75" s="21">
        <f>IF(A75="","",IFERROR(INDEX('予算一覧'!$B:$B,MATCH(A75,'予算一覧'!$A:$A,0)),"案件が未登録"))</f>
        <v/>
      </c>
      <c r="C75" s="18" t="n"/>
      <c r="D75" s="21">
        <f>IF(C75="","",IFERROR(INDEX('システム'!$B:$B,MATCH(C75,'システム'!$A:$A,0)),"システムが未登録"))</f>
        <v/>
      </c>
    </row>
    <row r="76">
      <c r="A76" s="18" t="n"/>
      <c r="B76" s="21">
        <f>IF(A76="","",IFERROR(INDEX('予算一覧'!$B:$B,MATCH(A76,'予算一覧'!$A:$A,0)),"案件が未登録"))</f>
        <v/>
      </c>
      <c r="C76" s="18" t="n"/>
      <c r="D76" s="21">
        <f>IF(C76="","",IFERROR(INDEX('システム'!$B:$B,MATCH(C76,'システム'!$A:$A,0)),"システムが未登録"))</f>
        <v/>
      </c>
    </row>
    <row r="77">
      <c r="A77" s="18" t="n"/>
      <c r="B77" s="21">
        <f>IF(A77="","",IFERROR(INDEX('予算一覧'!$B:$B,MATCH(A77,'予算一覧'!$A:$A,0)),"案件が未登録"))</f>
        <v/>
      </c>
      <c r="C77" s="18" t="n"/>
      <c r="D77" s="21">
        <f>IF(C77="","",IFERROR(INDEX('システム'!$B:$B,MATCH(C77,'システム'!$A:$A,0)),"システムが未登録"))</f>
        <v/>
      </c>
    </row>
    <row r="78">
      <c r="A78" s="18" t="n"/>
      <c r="B78" s="21">
        <f>IF(A78="","",IFERROR(INDEX('予算一覧'!$B:$B,MATCH(A78,'予算一覧'!$A:$A,0)),"案件が未登録"))</f>
        <v/>
      </c>
      <c r="C78" s="18" t="n"/>
      <c r="D78" s="21">
        <f>IF(C78="","",IFERROR(INDEX('システム'!$B:$B,MATCH(C78,'システム'!$A:$A,0)),"システムが未登録"))</f>
        <v/>
      </c>
    </row>
    <row r="79">
      <c r="A79" s="18" t="n"/>
      <c r="B79" s="21">
        <f>IF(A79="","",IFERROR(INDEX('予算一覧'!$B:$B,MATCH(A79,'予算一覧'!$A:$A,0)),"案件が未登録"))</f>
        <v/>
      </c>
      <c r="C79" s="18" t="n"/>
      <c r="D79" s="21">
        <f>IF(C79="","",IFERROR(INDEX('システム'!$B:$B,MATCH(C79,'システム'!$A:$A,0)),"システムが未登録"))</f>
        <v/>
      </c>
    </row>
    <row r="80">
      <c r="A80" s="18" t="n"/>
      <c r="B80" s="21">
        <f>IF(A80="","",IFERROR(INDEX('予算一覧'!$B:$B,MATCH(A80,'予算一覧'!$A:$A,0)),"案件が未登録"))</f>
        <v/>
      </c>
      <c r="C80" s="18" t="n"/>
      <c r="D80" s="21">
        <f>IF(C80="","",IFERROR(INDEX('システム'!$B:$B,MATCH(C80,'システム'!$A:$A,0)),"システムが未登録"))</f>
        <v/>
      </c>
    </row>
    <row r="81">
      <c r="A81" s="18" t="n"/>
      <c r="B81" s="21">
        <f>IF(A81="","",IFERROR(INDEX('予算一覧'!$B:$B,MATCH(A81,'予算一覧'!$A:$A,0)),"案件が未登録"))</f>
        <v/>
      </c>
      <c r="C81" s="18" t="n"/>
      <c r="D81" s="21">
        <f>IF(C81="","",IFERROR(INDEX('システム'!$B:$B,MATCH(C81,'システム'!$A:$A,0)),"システムが未登録"))</f>
        <v/>
      </c>
    </row>
    <row r="82">
      <c r="A82" s="18" t="n"/>
      <c r="B82" s="21">
        <f>IF(A82="","",IFERROR(INDEX('予算一覧'!$B:$B,MATCH(A82,'予算一覧'!$A:$A,0)),"案件が未登録"))</f>
        <v/>
      </c>
      <c r="C82" s="18" t="n"/>
      <c r="D82" s="21">
        <f>IF(C82="","",IFERROR(INDEX('システム'!$B:$B,MATCH(C82,'システム'!$A:$A,0)),"システムが未登録"))</f>
        <v/>
      </c>
    </row>
    <row r="83">
      <c r="A83" s="18" t="n"/>
      <c r="B83" s="21">
        <f>IF(A83="","",IFERROR(INDEX('予算一覧'!$B:$B,MATCH(A83,'予算一覧'!$A:$A,0)),"案件が未登録"))</f>
        <v/>
      </c>
      <c r="C83" s="18" t="n"/>
      <c r="D83" s="21">
        <f>IF(C83="","",IFERROR(INDEX('システム'!$B:$B,MATCH(C83,'システム'!$A:$A,0)),"システムが未登録"))</f>
        <v/>
      </c>
    </row>
    <row r="84">
      <c r="A84" s="18" t="n"/>
      <c r="B84" s="21">
        <f>IF(A84="","",IFERROR(INDEX('予算一覧'!$B:$B,MATCH(A84,'予算一覧'!$A:$A,0)),"案件が未登録"))</f>
        <v/>
      </c>
      <c r="C84" s="18" t="n"/>
      <c r="D84" s="21">
        <f>IF(C84="","",IFERROR(INDEX('システム'!$B:$B,MATCH(C84,'システム'!$A:$A,0)),"システムが未登録"))</f>
        <v/>
      </c>
    </row>
    <row r="85">
      <c r="A85" s="18" t="n"/>
      <c r="B85" s="21">
        <f>IF(A85="","",IFERROR(INDEX('予算一覧'!$B:$B,MATCH(A85,'予算一覧'!$A:$A,0)),"案件が未登録"))</f>
        <v/>
      </c>
      <c r="C85" s="18" t="n"/>
      <c r="D85" s="21">
        <f>IF(C85="","",IFERROR(INDEX('システム'!$B:$B,MATCH(C85,'システム'!$A:$A,0)),"システムが未登録"))</f>
        <v/>
      </c>
    </row>
    <row r="86">
      <c r="A86" s="18" t="n"/>
      <c r="B86" s="21">
        <f>IF(A86="","",IFERROR(INDEX('予算一覧'!$B:$B,MATCH(A86,'予算一覧'!$A:$A,0)),"案件が未登録"))</f>
        <v/>
      </c>
      <c r="C86" s="18" t="n"/>
      <c r="D86" s="21">
        <f>IF(C86="","",IFERROR(INDEX('システム'!$B:$B,MATCH(C86,'システム'!$A:$A,0)),"システムが未登録"))</f>
        <v/>
      </c>
    </row>
    <row r="87">
      <c r="A87" s="18" t="n"/>
      <c r="B87" s="21">
        <f>IF(A87="","",IFERROR(INDEX('予算一覧'!$B:$B,MATCH(A87,'予算一覧'!$A:$A,0)),"案件が未登録"))</f>
        <v/>
      </c>
      <c r="C87" s="18" t="n"/>
      <c r="D87" s="21">
        <f>IF(C87="","",IFERROR(INDEX('システム'!$B:$B,MATCH(C87,'システム'!$A:$A,0)),"システムが未登録"))</f>
        <v/>
      </c>
    </row>
    <row r="88">
      <c r="A88" s="18" t="n"/>
      <c r="B88" s="21">
        <f>IF(A88="","",IFERROR(INDEX('予算一覧'!$B:$B,MATCH(A88,'予算一覧'!$A:$A,0)),"案件が未登録"))</f>
        <v/>
      </c>
      <c r="C88" s="18" t="n"/>
      <c r="D88" s="21">
        <f>IF(C88="","",IFERROR(INDEX('システム'!$B:$B,MATCH(C88,'システム'!$A:$A,0)),"システムが未登録"))</f>
        <v/>
      </c>
    </row>
    <row r="89">
      <c r="A89" s="18" t="n"/>
      <c r="B89" s="21">
        <f>IF(A89="","",IFERROR(INDEX('予算一覧'!$B:$B,MATCH(A89,'予算一覧'!$A:$A,0)),"案件が未登録"))</f>
        <v/>
      </c>
      <c r="C89" s="18" t="n"/>
      <c r="D89" s="21">
        <f>IF(C89="","",IFERROR(INDEX('システム'!$B:$B,MATCH(C89,'システム'!$A:$A,0)),"システムが未登録"))</f>
        <v/>
      </c>
    </row>
    <row r="90">
      <c r="A90" s="18" t="n"/>
      <c r="B90" s="21">
        <f>IF(A90="","",IFERROR(INDEX('予算一覧'!$B:$B,MATCH(A90,'予算一覧'!$A:$A,0)),"案件が未登録"))</f>
        <v/>
      </c>
      <c r="C90" s="18" t="n"/>
      <c r="D90" s="21">
        <f>IF(C90="","",IFERROR(INDEX('システム'!$B:$B,MATCH(C90,'システム'!$A:$A,0)),"システムが未登録"))</f>
        <v/>
      </c>
    </row>
    <row r="91">
      <c r="A91" s="18" t="n"/>
      <c r="B91" s="21">
        <f>IF(A91="","",IFERROR(INDEX('予算一覧'!$B:$B,MATCH(A91,'予算一覧'!$A:$A,0)),"案件が未登録"))</f>
        <v/>
      </c>
      <c r="C91" s="18" t="n"/>
      <c r="D91" s="21">
        <f>IF(C91="","",IFERROR(INDEX('システム'!$B:$B,MATCH(C91,'システム'!$A:$A,0)),"システムが未登録"))</f>
        <v/>
      </c>
    </row>
    <row r="92">
      <c r="A92" s="18" t="n"/>
      <c r="B92" s="21">
        <f>IF(A92="","",IFERROR(INDEX('予算一覧'!$B:$B,MATCH(A92,'予算一覧'!$A:$A,0)),"案件が未登録"))</f>
        <v/>
      </c>
      <c r="C92" s="18" t="n"/>
      <c r="D92" s="21">
        <f>IF(C92="","",IFERROR(INDEX('システム'!$B:$B,MATCH(C92,'システム'!$A:$A,0)),"システムが未登録"))</f>
        <v/>
      </c>
    </row>
    <row r="93">
      <c r="A93" s="18" t="n"/>
      <c r="B93" s="21">
        <f>IF(A93="","",IFERROR(INDEX('予算一覧'!$B:$B,MATCH(A93,'予算一覧'!$A:$A,0)),"案件が未登録"))</f>
        <v/>
      </c>
      <c r="C93" s="18" t="n"/>
      <c r="D93" s="21">
        <f>IF(C93="","",IFERROR(INDEX('システム'!$B:$B,MATCH(C93,'システム'!$A:$A,0)),"システムが未登録"))</f>
        <v/>
      </c>
    </row>
    <row r="94">
      <c r="A94" s="18" t="n"/>
      <c r="B94" s="21">
        <f>IF(A94="","",IFERROR(INDEX('予算一覧'!$B:$B,MATCH(A94,'予算一覧'!$A:$A,0)),"案件が未登録"))</f>
        <v/>
      </c>
      <c r="C94" s="18" t="n"/>
      <c r="D94" s="21">
        <f>IF(C94="","",IFERROR(INDEX('システム'!$B:$B,MATCH(C94,'システム'!$A:$A,0)),"システムが未登録"))</f>
        <v/>
      </c>
    </row>
    <row r="95">
      <c r="A95" s="18" t="n"/>
      <c r="B95" s="21">
        <f>IF(A95="","",IFERROR(INDEX('予算一覧'!$B:$B,MATCH(A95,'予算一覧'!$A:$A,0)),"案件が未登録"))</f>
        <v/>
      </c>
      <c r="C95" s="18" t="n"/>
      <c r="D95" s="21">
        <f>IF(C95="","",IFERROR(INDEX('システム'!$B:$B,MATCH(C95,'システム'!$A:$A,0)),"システムが未登録"))</f>
        <v/>
      </c>
    </row>
    <row r="96">
      <c r="A96" s="18" t="n"/>
      <c r="B96" s="21">
        <f>IF(A96="","",IFERROR(INDEX('予算一覧'!$B:$B,MATCH(A96,'予算一覧'!$A:$A,0)),"案件が未登録"))</f>
        <v/>
      </c>
      <c r="C96" s="18" t="n"/>
      <c r="D96" s="21">
        <f>IF(C96="","",IFERROR(INDEX('システム'!$B:$B,MATCH(C96,'システム'!$A:$A,0)),"システムが未登録"))</f>
        <v/>
      </c>
    </row>
    <row r="97">
      <c r="A97" s="18" t="n"/>
      <c r="B97" s="21">
        <f>IF(A97="","",IFERROR(INDEX('予算一覧'!$B:$B,MATCH(A97,'予算一覧'!$A:$A,0)),"案件が未登録"))</f>
        <v/>
      </c>
      <c r="C97" s="18" t="n"/>
      <c r="D97" s="21">
        <f>IF(C97="","",IFERROR(INDEX('システム'!$B:$B,MATCH(C97,'システム'!$A:$A,0)),"システムが未登録"))</f>
        <v/>
      </c>
    </row>
    <row r="98">
      <c r="A98" s="18" t="n"/>
      <c r="B98" s="21">
        <f>IF(A98="","",IFERROR(INDEX('予算一覧'!$B:$B,MATCH(A98,'予算一覧'!$A:$A,0)),"案件が未登録"))</f>
        <v/>
      </c>
      <c r="C98" s="18" t="n"/>
      <c r="D98" s="21">
        <f>IF(C98="","",IFERROR(INDEX('システム'!$B:$B,MATCH(C98,'システム'!$A:$A,0)),"システムが未登録"))</f>
        <v/>
      </c>
    </row>
    <row r="99">
      <c r="A99" s="18" t="n"/>
      <c r="B99" s="21">
        <f>IF(A99="","",IFERROR(INDEX('予算一覧'!$B:$B,MATCH(A99,'予算一覧'!$A:$A,0)),"案件が未登録"))</f>
        <v/>
      </c>
      <c r="C99" s="18" t="n"/>
      <c r="D99" s="21">
        <f>IF(C99="","",IFERROR(INDEX('システム'!$B:$B,MATCH(C99,'システム'!$A:$A,0)),"システムが未登録"))</f>
        <v/>
      </c>
    </row>
    <row r="100">
      <c r="A100" s="18" t="n"/>
      <c r="B100" s="21">
        <f>IF(A100="","",IFERROR(INDEX('予算一覧'!$B:$B,MATCH(A100,'予算一覧'!$A:$A,0)),"案件が未登録"))</f>
        <v/>
      </c>
      <c r="C100" s="18" t="n"/>
      <c r="D100" s="21">
        <f>IF(C100="","",IFERROR(INDEX('システム'!$B:$B,MATCH(C100,'システム'!$A:$A,0)),"システムが未登録"))</f>
        <v/>
      </c>
    </row>
    <row r="101">
      <c r="A101" s="18" t="n"/>
      <c r="B101" s="21">
        <f>IF(A101="","",IFERROR(INDEX('予算一覧'!$B:$B,MATCH(A101,'予算一覧'!$A:$A,0)),"案件が未登録"))</f>
        <v/>
      </c>
      <c r="C101" s="18" t="n"/>
      <c r="D101" s="21">
        <f>IF(C101="","",IFERROR(INDEX('システム'!$B:$B,MATCH(C101,'システム'!$A:$A,0)),"システムが未登録"))</f>
        <v/>
      </c>
    </row>
    <row r="102">
      <c r="A102" s="18" t="n"/>
      <c r="B102" s="21">
        <f>IF(A102="","",IFERROR(INDEX('予算一覧'!$B:$B,MATCH(A102,'予算一覧'!$A:$A,0)),"案件が未登録"))</f>
        <v/>
      </c>
      <c r="C102" s="18" t="n"/>
      <c r="D102" s="21">
        <f>IF(C102="","",IFERROR(INDEX('システム'!$B:$B,MATCH(C102,'システム'!$A:$A,0)),"システムが未登録"))</f>
        <v/>
      </c>
    </row>
    <row r="103">
      <c r="A103" s="18" t="n"/>
      <c r="B103" s="21">
        <f>IF(A103="","",IFERROR(INDEX('予算一覧'!$B:$B,MATCH(A103,'予算一覧'!$A:$A,0)),"案件が未登録"))</f>
        <v/>
      </c>
      <c r="C103" s="18" t="n"/>
      <c r="D103" s="21">
        <f>IF(C103="","",IFERROR(INDEX('システム'!$B:$B,MATCH(C103,'システム'!$A:$A,0)),"システムが未登録"))</f>
        <v/>
      </c>
    </row>
    <row r="104">
      <c r="A104" s="18" t="n"/>
      <c r="B104" s="21">
        <f>IF(A104="","",IFERROR(INDEX('予算一覧'!$B:$B,MATCH(A104,'予算一覧'!$A:$A,0)),"案件が未登録"))</f>
        <v/>
      </c>
      <c r="C104" s="18" t="n"/>
      <c r="D104" s="21">
        <f>IF(C104="","",IFERROR(INDEX('システム'!$B:$B,MATCH(C104,'システム'!$A:$A,0)),"システムが未登録"))</f>
        <v/>
      </c>
    </row>
    <row r="105">
      <c r="A105" s="18" t="n"/>
      <c r="B105" s="21">
        <f>IF(A105="","",IFERROR(INDEX('予算一覧'!$B:$B,MATCH(A105,'予算一覧'!$A:$A,0)),"案件が未登録"))</f>
        <v/>
      </c>
      <c r="C105" s="18" t="n"/>
      <c r="D105" s="21">
        <f>IF(C105="","",IFERROR(INDEX('システム'!$B:$B,MATCH(C105,'システム'!$A:$A,0)),"システムが未登録"))</f>
        <v/>
      </c>
    </row>
    <row r="106">
      <c r="A106" s="18" t="n"/>
      <c r="B106" s="21">
        <f>IF(A106="","",IFERROR(INDEX('予算一覧'!$B:$B,MATCH(A106,'予算一覧'!$A:$A,0)),"案件が未登録"))</f>
        <v/>
      </c>
      <c r="C106" s="18" t="n"/>
      <c r="D106" s="21">
        <f>IF(C106="","",IFERROR(INDEX('システム'!$B:$B,MATCH(C106,'システム'!$A:$A,0)),"システムが未登録"))</f>
        <v/>
      </c>
    </row>
    <row r="107">
      <c r="A107" s="18" t="n"/>
      <c r="B107" s="21">
        <f>IF(A107="","",IFERROR(INDEX('予算一覧'!$B:$B,MATCH(A107,'予算一覧'!$A:$A,0)),"案件が未登録"))</f>
        <v/>
      </c>
      <c r="C107" s="18" t="n"/>
      <c r="D107" s="21">
        <f>IF(C107="","",IFERROR(INDEX('システム'!$B:$B,MATCH(C107,'システム'!$A:$A,0)),"システムが未登録"))</f>
        <v/>
      </c>
    </row>
    <row r="108">
      <c r="A108" s="18" t="n"/>
      <c r="B108" s="21">
        <f>IF(A108="","",IFERROR(INDEX('予算一覧'!$B:$B,MATCH(A108,'予算一覧'!$A:$A,0)),"案件が未登録"))</f>
        <v/>
      </c>
      <c r="C108" s="18" t="n"/>
      <c r="D108" s="21">
        <f>IF(C108="","",IFERROR(INDEX('システム'!$B:$B,MATCH(C108,'システム'!$A:$A,0)),"システムが未登録"))</f>
        <v/>
      </c>
    </row>
    <row r="109">
      <c r="A109" s="18" t="n"/>
      <c r="B109" s="21">
        <f>IF(A109="","",IFERROR(INDEX('予算一覧'!$B:$B,MATCH(A109,'予算一覧'!$A:$A,0)),"案件が未登録"))</f>
        <v/>
      </c>
      <c r="C109" s="18" t="n"/>
      <c r="D109" s="21">
        <f>IF(C109="","",IFERROR(INDEX('システム'!$B:$B,MATCH(C109,'システム'!$A:$A,0)),"システムが未登録"))</f>
        <v/>
      </c>
    </row>
    <row r="110">
      <c r="A110" s="18" t="n"/>
      <c r="B110" s="21">
        <f>IF(A110="","",IFERROR(INDEX('予算一覧'!$B:$B,MATCH(A110,'予算一覧'!$A:$A,0)),"案件が未登録"))</f>
        <v/>
      </c>
      <c r="C110" s="18" t="n"/>
      <c r="D110" s="21">
        <f>IF(C110="","",IFERROR(INDEX('システム'!$B:$B,MATCH(C110,'システム'!$A:$A,0)),"システムが未登録"))</f>
        <v/>
      </c>
    </row>
    <row r="111">
      <c r="A111" s="18" t="n"/>
      <c r="B111" s="21">
        <f>IF(A111="","",IFERROR(INDEX('予算一覧'!$B:$B,MATCH(A111,'予算一覧'!$A:$A,0)),"案件が未登録"))</f>
        <v/>
      </c>
      <c r="C111" s="18" t="n"/>
      <c r="D111" s="21">
        <f>IF(C111="","",IFERROR(INDEX('システム'!$B:$B,MATCH(C111,'システム'!$A:$A,0)),"システムが未登録"))</f>
        <v/>
      </c>
    </row>
    <row r="112">
      <c r="A112" s="18" t="n"/>
      <c r="B112" s="21">
        <f>IF(A112="","",IFERROR(INDEX('予算一覧'!$B:$B,MATCH(A112,'予算一覧'!$A:$A,0)),"案件が未登録"))</f>
        <v/>
      </c>
      <c r="C112" s="18" t="n"/>
      <c r="D112" s="21">
        <f>IF(C112="","",IFERROR(INDEX('システム'!$B:$B,MATCH(C112,'システム'!$A:$A,0)),"システムが未登録"))</f>
        <v/>
      </c>
    </row>
    <row r="113">
      <c r="A113" s="18" t="n"/>
      <c r="B113" s="21">
        <f>IF(A113="","",IFERROR(INDEX('予算一覧'!$B:$B,MATCH(A113,'予算一覧'!$A:$A,0)),"案件が未登録"))</f>
        <v/>
      </c>
      <c r="C113" s="18" t="n"/>
      <c r="D113" s="21">
        <f>IF(C113="","",IFERROR(INDEX('システム'!$B:$B,MATCH(C113,'システム'!$A:$A,0)),"システムが未登録"))</f>
        <v/>
      </c>
    </row>
    <row r="114">
      <c r="A114" s="18" t="n"/>
      <c r="B114" s="21">
        <f>IF(A114="","",IFERROR(INDEX('予算一覧'!$B:$B,MATCH(A114,'予算一覧'!$A:$A,0)),"案件が未登録"))</f>
        <v/>
      </c>
      <c r="C114" s="18" t="n"/>
      <c r="D114" s="21">
        <f>IF(C114="","",IFERROR(INDEX('システム'!$B:$B,MATCH(C114,'システム'!$A:$A,0)),"システムが未登録"))</f>
        <v/>
      </c>
    </row>
    <row r="115">
      <c r="A115" s="18" t="n"/>
      <c r="B115" s="21">
        <f>IF(A115="","",IFERROR(INDEX('予算一覧'!$B:$B,MATCH(A115,'予算一覧'!$A:$A,0)),"案件が未登録"))</f>
        <v/>
      </c>
      <c r="C115" s="18" t="n"/>
      <c r="D115" s="21">
        <f>IF(C115="","",IFERROR(INDEX('システム'!$B:$B,MATCH(C115,'システム'!$A:$A,0)),"システムが未登録"))</f>
        <v/>
      </c>
    </row>
    <row r="116">
      <c r="A116" s="18" t="n"/>
      <c r="B116" s="21">
        <f>IF(A116="","",IFERROR(INDEX('予算一覧'!$B:$B,MATCH(A116,'予算一覧'!$A:$A,0)),"案件が未登録"))</f>
        <v/>
      </c>
      <c r="C116" s="18" t="n"/>
      <c r="D116" s="21">
        <f>IF(C116="","",IFERROR(INDEX('システム'!$B:$B,MATCH(C116,'システム'!$A:$A,0)),"システムが未登録"))</f>
        <v/>
      </c>
    </row>
    <row r="117">
      <c r="A117" s="18" t="n"/>
      <c r="B117" s="21">
        <f>IF(A117="","",IFERROR(INDEX('予算一覧'!$B:$B,MATCH(A117,'予算一覧'!$A:$A,0)),"案件が未登録"))</f>
        <v/>
      </c>
      <c r="C117" s="18" t="n"/>
      <c r="D117" s="21">
        <f>IF(C117="","",IFERROR(INDEX('システム'!$B:$B,MATCH(C117,'システム'!$A:$A,0)),"システムが未登録"))</f>
        <v/>
      </c>
    </row>
    <row r="118">
      <c r="A118" s="18" t="n"/>
      <c r="B118" s="21">
        <f>IF(A118="","",IFERROR(INDEX('予算一覧'!$B:$B,MATCH(A118,'予算一覧'!$A:$A,0)),"案件が未登録"))</f>
        <v/>
      </c>
      <c r="C118" s="18" t="n"/>
      <c r="D118" s="21">
        <f>IF(C118="","",IFERROR(INDEX('システム'!$B:$B,MATCH(C118,'システム'!$A:$A,0)),"システムが未登録"))</f>
        <v/>
      </c>
    </row>
    <row r="119">
      <c r="A119" s="18" t="n"/>
      <c r="B119" s="21">
        <f>IF(A119="","",IFERROR(INDEX('予算一覧'!$B:$B,MATCH(A119,'予算一覧'!$A:$A,0)),"案件が未登録"))</f>
        <v/>
      </c>
      <c r="C119" s="18" t="n"/>
      <c r="D119" s="21">
        <f>IF(C119="","",IFERROR(INDEX('システム'!$B:$B,MATCH(C119,'システム'!$A:$A,0)),"システムが未登録"))</f>
        <v/>
      </c>
    </row>
    <row r="120">
      <c r="A120" s="18" t="n"/>
      <c r="B120" s="21">
        <f>IF(A120="","",IFERROR(INDEX('予算一覧'!$B:$B,MATCH(A120,'予算一覧'!$A:$A,0)),"案件が未登録"))</f>
        <v/>
      </c>
      <c r="C120" s="18" t="n"/>
      <c r="D120" s="21">
        <f>IF(C120="","",IFERROR(INDEX('システム'!$B:$B,MATCH(C120,'システム'!$A:$A,0)),"システムが未登録"))</f>
        <v/>
      </c>
    </row>
    <row r="121">
      <c r="A121" s="18" t="n"/>
      <c r="B121" s="21">
        <f>IF(A121="","",IFERROR(INDEX('予算一覧'!$B:$B,MATCH(A121,'予算一覧'!$A:$A,0)),"案件が未登録"))</f>
        <v/>
      </c>
      <c r="C121" s="18" t="n"/>
      <c r="D121" s="21">
        <f>IF(C121="","",IFERROR(INDEX('システム'!$B:$B,MATCH(C121,'システム'!$A:$A,0)),"システムが未登録"))</f>
        <v/>
      </c>
    </row>
    <row r="122">
      <c r="A122" s="18" t="n"/>
      <c r="B122" s="21">
        <f>IF(A122="","",IFERROR(INDEX('予算一覧'!$B:$B,MATCH(A122,'予算一覧'!$A:$A,0)),"案件が未登録"))</f>
        <v/>
      </c>
      <c r="C122" s="18" t="n"/>
      <c r="D122" s="21">
        <f>IF(C122="","",IFERROR(INDEX('システム'!$B:$B,MATCH(C122,'システム'!$A:$A,0)),"システムが未登録"))</f>
        <v/>
      </c>
    </row>
    <row r="123">
      <c r="A123" s="18" t="n"/>
      <c r="B123" s="21">
        <f>IF(A123="","",IFERROR(INDEX('予算一覧'!$B:$B,MATCH(A123,'予算一覧'!$A:$A,0)),"案件が未登録"))</f>
        <v/>
      </c>
      <c r="C123" s="18" t="n"/>
      <c r="D123" s="21">
        <f>IF(C123="","",IFERROR(INDEX('システム'!$B:$B,MATCH(C123,'システム'!$A:$A,0)),"システムが未登録"))</f>
        <v/>
      </c>
    </row>
    <row r="124">
      <c r="A124" s="18" t="n"/>
      <c r="B124" s="21">
        <f>IF(A124="","",IFERROR(INDEX('予算一覧'!$B:$B,MATCH(A124,'予算一覧'!$A:$A,0)),"案件が未登録"))</f>
        <v/>
      </c>
      <c r="C124" s="18" t="n"/>
      <c r="D124" s="21">
        <f>IF(C124="","",IFERROR(INDEX('システム'!$B:$B,MATCH(C124,'システム'!$A:$A,0)),"システムが未登録"))</f>
        <v/>
      </c>
    </row>
    <row r="125">
      <c r="A125" s="18" t="n"/>
      <c r="B125" s="21">
        <f>IF(A125="","",IFERROR(INDEX('予算一覧'!$B:$B,MATCH(A125,'予算一覧'!$A:$A,0)),"案件が未登録"))</f>
        <v/>
      </c>
      <c r="C125" s="18" t="n"/>
      <c r="D125" s="21">
        <f>IF(C125="","",IFERROR(INDEX('システム'!$B:$B,MATCH(C125,'システム'!$A:$A,0)),"システムが未登録"))</f>
        <v/>
      </c>
    </row>
    <row r="126">
      <c r="A126" s="18" t="n"/>
      <c r="B126" s="21">
        <f>IF(A126="","",IFERROR(INDEX('予算一覧'!$B:$B,MATCH(A126,'予算一覧'!$A:$A,0)),"案件が未登録"))</f>
        <v/>
      </c>
      <c r="C126" s="18" t="n"/>
      <c r="D126" s="21">
        <f>IF(C126="","",IFERROR(INDEX('システム'!$B:$B,MATCH(C126,'システム'!$A:$A,0)),"システムが未登録"))</f>
        <v/>
      </c>
    </row>
    <row r="127">
      <c r="A127" s="18" t="n"/>
      <c r="B127" s="21">
        <f>IF(A127="","",IFERROR(INDEX('予算一覧'!$B:$B,MATCH(A127,'予算一覧'!$A:$A,0)),"案件が未登録"))</f>
        <v/>
      </c>
      <c r="C127" s="18" t="n"/>
      <c r="D127" s="21">
        <f>IF(C127="","",IFERROR(INDEX('システム'!$B:$B,MATCH(C127,'システム'!$A:$A,0)),"システムが未登録"))</f>
        <v/>
      </c>
    </row>
    <row r="128">
      <c r="A128" s="18" t="n"/>
      <c r="B128" s="21">
        <f>IF(A128="","",IFERROR(INDEX('予算一覧'!$B:$B,MATCH(A128,'予算一覧'!$A:$A,0)),"案件が未登録"))</f>
        <v/>
      </c>
      <c r="C128" s="18" t="n"/>
      <c r="D128" s="21">
        <f>IF(C128="","",IFERROR(INDEX('システム'!$B:$B,MATCH(C128,'システム'!$A:$A,0)),"システムが未登録"))</f>
        <v/>
      </c>
    </row>
    <row r="129">
      <c r="A129" s="18" t="n"/>
      <c r="B129" s="21">
        <f>IF(A129="","",IFERROR(INDEX('予算一覧'!$B:$B,MATCH(A129,'予算一覧'!$A:$A,0)),"案件が未登録"))</f>
        <v/>
      </c>
      <c r="C129" s="18" t="n"/>
      <c r="D129" s="21">
        <f>IF(C129="","",IFERROR(INDEX('システム'!$B:$B,MATCH(C129,'システム'!$A:$A,0)),"システムが未登録"))</f>
        <v/>
      </c>
    </row>
    <row r="130">
      <c r="A130" s="18" t="n"/>
      <c r="B130" s="21">
        <f>IF(A130="","",IFERROR(INDEX('予算一覧'!$B:$B,MATCH(A130,'予算一覧'!$A:$A,0)),"案件が未登録"))</f>
        <v/>
      </c>
      <c r="C130" s="18" t="n"/>
      <c r="D130" s="21">
        <f>IF(C130="","",IFERROR(INDEX('システム'!$B:$B,MATCH(C130,'システム'!$A:$A,0)),"システムが未登録"))</f>
        <v/>
      </c>
    </row>
    <row r="131">
      <c r="A131" s="18" t="n"/>
      <c r="B131" s="21">
        <f>IF(A131="","",IFERROR(INDEX('予算一覧'!$B:$B,MATCH(A131,'予算一覧'!$A:$A,0)),"案件が未登録"))</f>
        <v/>
      </c>
      <c r="C131" s="18" t="n"/>
      <c r="D131" s="21">
        <f>IF(C131="","",IFERROR(INDEX('システム'!$B:$B,MATCH(C131,'システム'!$A:$A,0)),"システムが未登録"))</f>
        <v/>
      </c>
    </row>
    <row r="132">
      <c r="A132" s="18" t="n"/>
      <c r="B132" s="21">
        <f>IF(A132="","",IFERROR(INDEX('予算一覧'!$B:$B,MATCH(A132,'予算一覧'!$A:$A,0)),"案件が未登録"))</f>
        <v/>
      </c>
      <c r="C132" s="18" t="n"/>
      <c r="D132" s="21">
        <f>IF(C132="","",IFERROR(INDEX('システム'!$B:$B,MATCH(C132,'システム'!$A:$A,0)),"システムが未登録"))</f>
        <v/>
      </c>
    </row>
    <row r="133">
      <c r="A133" s="18" t="n"/>
      <c r="B133" s="21">
        <f>IF(A133="","",IFERROR(INDEX('予算一覧'!$B:$B,MATCH(A133,'予算一覧'!$A:$A,0)),"案件が未登録"))</f>
        <v/>
      </c>
      <c r="C133" s="18" t="n"/>
      <c r="D133" s="21">
        <f>IF(C133="","",IFERROR(INDEX('システム'!$B:$B,MATCH(C133,'システム'!$A:$A,0)),"システムが未登録"))</f>
        <v/>
      </c>
    </row>
    <row r="134">
      <c r="A134" s="18" t="n"/>
      <c r="B134" s="21">
        <f>IF(A134="","",IFERROR(INDEX('予算一覧'!$B:$B,MATCH(A134,'予算一覧'!$A:$A,0)),"案件が未登録"))</f>
        <v/>
      </c>
      <c r="C134" s="18" t="n"/>
      <c r="D134" s="21">
        <f>IF(C134="","",IFERROR(INDEX('システム'!$B:$B,MATCH(C134,'システム'!$A:$A,0)),"システムが未登録"))</f>
        <v/>
      </c>
    </row>
    <row r="135">
      <c r="A135" s="18" t="n"/>
      <c r="B135" s="21">
        <f>IF(A135="","",IFERROR(INDEX('予算一覧'!$B:$B,MATCH(A135,'予算一覧'!$A:$A,0)),"案件が未登録"))</f>
        <v/>
      </c>
      <c r="C135" s="18" t="n"/>
      <c r="D135" s="21">
        <f>IF(C135="","",IFERROR(INDEX('システム'!$B:$B,MATCH(C135,'システム'!$A:$A,0)),"システムが未登録"))</f>
        <v/>
      </c>
    </row>
    <row r="136">
      <c r="A136" s="18" t="n"/>
      <c r="B136" s="21">
        <f>IF(A136="","",IFERROR(INDEX('予算一覧'!$B:$B,MATCH(A136,'予算一覧'!$A:$A,0)),"案件が未登録"))</f>
        <v/>
      </c>
      <c r="C136" s="18" t="n"/>
      <c r="D136" s="21">
        <f>IF(C136="","",IFERROR(INDEX('システム'!$B:$B,MATCH(C136,'システム'!$A:$A,0)),"システムが未登録"))</f>
        <v/>
      </c>
    </row>
    <row r="137">
      <c r="A137" s="18" t="n"/>
      <c r="B137" s="21">
        <f>IF(A137="","",IFERROR(INDEX('予算一覧'!$B:$B,MATCH(A137,'予算一覧'!$A:$A,0)),"案件が未登録"))</f>
        <v/>
      </c>
      <c r="C137" s="18" t="n"/>
      <c r="D137" s="21">
        <f>IF(C137="","",IFERROR(INDEX('システム'!$B:$B,MATCH(C137,'システム'!$A:$A,0)),"システムが未登録"))</f>
        <v/>
      </c>
    </row>
    <row r="138">
      <c r="A138" s="18" t="n"/>
      <c r="B138" s="21">
        <f>IF(A138="","",IFERROR(INDEX('予算一覧'!$B:$B,MATCH(A138,'予算一覧'!$A:$A,0)),"案件が未登録"))</f>
        <v/>
      </c>
      <c r="C138" s="18" t="n"/>
      <c r="D138" s="21">
        <f>IF(C138="","",IFERROR(INDEX('システム'!$B:$B,MATCH(C138,'システム'!$A:$A,0)),"システムが未登録"))</f>
        <v/>
      </c>
    </row>
    <row r="139">
      <c r="A139" s="18" t="n"/>
      <c r="B139" s="21">
        <f>IF(A139="","",IFERROR(INDEX('予算一覧'!$B:$B,MATCH(A139,'予算一覧'!$A:$A,0)),"案件が未登録"))</f>
        <v/>
      </c>
      <c r="C139" s="18" t="n"/>
      <c r="D139" s="21">
        <f>IF(C139="","",IFERROR(INDEX('システム'!$B:$B,MATCH(C139,'システム'!$A:$A,0)),"システムが未登録"))</f>
        <v/>
      </c>
    </row>
    <row r="140">
      <c r="A140" s="18" t="n"/>
      <c r="B140" s="21">
        <f>IF(A140="","",IFERROR(INDEX('予算一覧'!$B:$B,MATCH(A140,'予算一覧'!$A:$A,0)),"案件が未登録"))</f>
        <v/>
      </c>
      <c r="C140" s="18" t="n"/>
      <c r="D140" s="21">
        <f>IF(C140="","",IFERROR(INDEX('システム'!$B:$B,MATCH(C140,'システム'!$A:$A,0)),"システムが未登録"))</f>
        <v/>
      </c>
    </row>
    <row r="141">
      <c r="A141" s="18" t="n"/>
      <c r="B141" s="21">
        <f>IF(A141="","",IFERROR(INDEX('予算一覧'!$B:$B,MATCH(A141,'予算一覧'!$A:$A,0)),"案件が未登録"))</f>
        <v/>
      </c>
      <c r="C141" s="18" t="n"/>
      <c r="D141" s="21">
        <f>IF(C141="","",IFERROR(INDEX('システム'!$B:$B,MATCH(C141,'システム'!$A:$A,0)),"システムが未登録"))</f>
        <v/>
      </c>
    </row>
    <row r="142">
      <c r="A142" s="18" t="n"/>
      <c r="B142" s="21">
        <f>IF(A142="","",IFERROR(INDEX('予算一覧'!$B:$B,MATCH(A142,'予算一覧'!$A:$A,0)),"案件が未登録"))</f>
        <v/>
      </c>
      <c r="C142" s="18" t="n"/>
      <c r="D142" s="21">
        <f>IF(C142="","",IFERROR(INDEX('システム'!$B:$B,MATCH(C142,'システム'!$A:$A,0)),"システムが未登録"))</f>
        <v/>
      </c>
    </row>
    <row r="143">
      <c r="A143" s="18" t="n"/>
      <c r="B143" s="21">
        <f>IF(A143="","",IFERROR(INDEX('予算一覧'!$B:$B,MATCH(A143,'予算一覧'!$A:$A,0)),"案件が未登録"))</f>
        <v/>
      </c>
      <c r="C143" s="18" t="n"/>
      <c r="D143" s="21">
        <f>IF(C143="","",IFERROR(INDEX('システム'!$B:$B,MATCH(C143,'システム'!$A:$A,0)),"システムが未登録"))</f>
        <v/>
      </c>
    </row>
    <row r="144">
      <c r="A144" s="18" t="n"/>
      <c r="B144" s="21">
        <f>IF(A144="","",IFERROR(INDEX('予算一覧'!$B:$B,MATCH(A144,'予算一覧'!$A:$A,0)),"案件が未登録"))</f>
        <v/>
      </c>
      <c r="C144" s="18" t="n"/>
      <c r="D144" s="21">
        <f>IF(C144="","",IFERROR(INDEX('システム'!$B:$B,MATCH(C144,'システム'!$A:$A,0)),"システムが未登録"))</f>
        <v/>
      </c>
    </row>
    <row r="145">
      <c r="A145" s="18" t="n"/>
      <c r="B145" s="21">
        <f>IF(A145="","",IFERROR(INDEX('予算一覧'!$B:$B,MATCH(A145,'予算一覧'!$A:$A,0)),"案件が未登録"))</f>
        <v/>
      </c>
      <c r="C145" s="18" t="n"/>
      <c r="D145" s="21">
        <f>IF(C145="","",IFERROR(INDEX('システム'!$B:$B,MATCH(C145,'システム'!$A:$A,0)),"システムが未登録"))</f>
        <v/>
      </c>
    </row>
    <row r="146">
      <c r="A146" s="18" t="n"/>
      <c r="B146" s="21">
        <f>IF(A146="","",IFERROR(INDEX('予算一覧'!$B:$B,MATCH(A146,'予算一覧'!$A:$A,0)),"案件が未登録"))</f>
        <v/>
      </c>
      <c r="C146" s="18" t="n"/>
      <c r="D146" s="21">
        <f>IF(C146="","",IFERROR(INDEX('システム'!$B:$B,MATCH(C146,'システム'!$A:$A,0)),"システムが未登録"))</f>
        <v/>
      </c>
    </row>
    <row r="147">
      <c r="A147" s="18" t="n"/>
      <c r="B147" s="21">
        <f>IF(A147="","",IFERROR(INDEX('予算一覧'!$B:$B,MATCH(A147,'予算一覧'!$A:$A,0)),"案件が未登録"))</f>
        <v/>
      </c>
      <c r="C147" s="18" t="n"/>
      <c r="D147" s="21">
        <f>IF(C147="","",IFERROR(INDEX('システム'!$B:$B,MATCH(C147,'システム'!$A:$A,0)),"システムが未登録"))</f>
        <v/>
      </c>
    </row>
    <row r="148">
      <c r="A148" s="18" t="n"/>
      <c r="B148" s="21">
        <f>IF(A148="","",IFERROR(INDEX('予算一覧'!$B:$B,MATCH(A148,'予算一覧'!$A:$A,0)),"案件が未登録"))</f>
        <v/>
      </c>
      <c r="C148" s="18" t="n"/>
      <c r="D148" s="21">
        <f>IF(C148="","",IFERROR(INDEX('システム'!$B:$B,MATCH(C148,'システム'!$A:$A,0)),"システムが未登録"))</f>
        <v/>
      </c>
    </row>
    <row r="149">
      <c r="A149" s="18" t="n"/>
      <c r="B149" s="21">
        <f>IF(A149="","",IFERROR(INDEX('予算一覧'!$B:$B,MATCH(A149,'予算一覧'!$A:$A,0)),"案件が未登録"))</f>
        <v/>
      </c>
      <c r="C149" s="18" t="n"/>
      <c r="D149" s="21">
        <f>IF(C149="","",IFERROR(INDEX('システム'!$B:$B,MATCH(C149,'システム'!$A:$A,0)),"システムが未登録"))</f>
        <v/>
      </c>
    </row>
    <row r="150">
      <c r="A150" s="18" t="n"/>
      <c r="B150" s="21">
        <f>IF(A150="","",IFERROR(INDEX('予算一覧'!$B:$B,MATCH(A150,'予算一覧'!$A:$A,0)),"案件が未登録"))</f>
        <v/>
      </c>
      <c r="C150" s="18" t="n"/>
      <c r="D150" s="21">
        <f>IF(C150="","",IFERROR(INDEX('システム'!$B:$B,MATCH(C150,'システム'!$A:$A,0)),"システムが未登録"))</f>
        <v/>
      </c>
    </row>
    <row r="151">
      <c r="A151" s="18" t="n"/>
      <c r="B151" s="21">
        <f>IF(A151="","",IFERROR(INDEX('予算一覧'!$B:$B,MATCH(A151,'予算一覧'!$A:$A,0)),"案件が未登録"))</f>
        <v/>
      </c>
      <c r="C151" s="18" t="n"/>
      <c r="D151" s="21">
        <f>IF(C151="","",IFERROR(INDEX('システム'!$B:$B,MATCH(C151,'システム'!$A:$A,0)),"システムが未登録"))</f>
        <v/>
      </c>
    </row>
    <row r="152">
      <c r="A152" s="18" t="n"/>
      <c r="B152" s="21">
        <f>IF(A152="","",IFERROR(INDEX('予算一覧'!$B:$B,MATCH(A152,'予算一覧'!$A:$A,0)),"案件が未登録"))</f>
        <v/>
      </c>
      <c r="C152" s="18" t="n"/>
      <c r="D152" s="21">
        <f>IF(C152="","",IFERROR(INDEX('システム'!$B:$B,MATCH(C152,'システム'!$A:$A,0)),"システムが未登録"))</f>
        <v/>
      </c>
    </row>
    <row r="153">
      <c r="A153" s="18" t="n"/>
      <c r="B153" s="21">
        <f>IF(A153="","",IFERROR(INDEX('予算一覧'!$B:$B,MATCH(A153,'予算一覧'!$A:$A,0)),"案件が未登録"))</f>
        <v/>
      </c>
      <c r="C153" s="18" t="n"/>
      <c r="D153" s="21">
        <f>IF(C153="","",IFERROR(INDEX('システム'!$B:$B,MATCH(C153,'システム'!$A:$A,0)),"システムが未登録"))</f>
        <v/>
      </c>
    </row>
    <row r="154">
      <c r="A154" s="18" t="n"/>
      <c r="B154" s="21">
        <f>IF(A154="","",IFERROR(INDEX('予算一覧'!$B:$B,MATCH(A154,'予算一覧'!$A:$A,0)),"案件が未登録"))</f>
        <v/>
      </c>
      <c r="C154" s="18" t="n"/>
      <c r="D154" s="21">
        <f>IF(C154="","",IFERROR(INDEX('システム'!$B:$B,MATCH(C154,'システム'!$A:$A,0)),"システムが未登録"))</f>
        <v/>
      </c>
    </row>
    <row r="155">
      <c r="A155" s="18" t="n"/>
      <c r="B155" s="21">
        <f>IF(A155="","",IFERROR(INDEX('予算一覧'!$B:$B,MATCH(A155,'予算一覧'!$A:$A,0)),"案件が未登録"))</f>
        <v/>
      </c>
      <c r="C155" s="18" t="n"/>
      <c r="D155" s="21">
        <f>IF(C155="","",IFERROR(INDEX('システム'!$B:$B,MATCH(C155,'システム'!$A:$A,0)),"システムが未登録"))</f>
        <v/>
      </c>
    </row>
    <row r="156">
      <c r="A156" s="18" t="n"/>
      <c r="B156" s="21">
        <f>IF(A156="","",IFERROR(INDEX('予算一覧'!$B:$B,MATCH(A156,'予算一覧'!$A:$A,0)),"案件が未登録"))</f>
        <v/>
      </c>
      <c r="C156" s="18" t="n"/>
      <c r="D156" s="21">
        <f>IF(C156="","",IFERROR(INDEX('システム'!$B:$B,MATCH(C156,'システム'!$A:$A,0)),"システムが未登録"))</f>
        <v/>
      </c>
    </row>
    <row r="157">
      <c r="A157" s="18" t="n"/>
      <c r="B157" s="21">
        <f>IF(A157="","",IFERROR(INDEX('予算一覧'!$B:$B,MATCH(A157,'予算一覧'!$A:$A,0)),"案件が未登録"))</f>
        <v/>
      </c>
      <c r="C157" s="18" t="n"/>
      <c r="D157" s="21">
        <f>IF(C157="","",IFERROR(INDEX('システム'!$B:$B,MATCH(C157,'システム'!$A:$A,0)),"システムが未登録"))</f>
        <v/>
      </c>
    </row>
    <row r="158">
      <c r="A158" s="18" t="n"/>
      <c r="B158" s="21">
        <f>IF(A158="","",IFERROR(INDEX('予算一覧'!$B:$B,MATCH(A158,'予算一覧'!$A:$A,0)),"案件が未登録"))</f>
        <v/>
      </c>
      <c r="C158" s="18" t="n"/>
      <c r="D158" s="21">
        <f>IF(C158="","",IFERROR(INDEX('システム'!$B:$B,MATCH(C158,'システム'!$A:$A,0)),"システムが未登録"))</f>
        <v/>
      </c>
    </row>
    <row r="159">
      <c r="A159" s="18" t="n"/>
      <c r="B159" s="21">
        <f>IF(A159="","",IFERROR(INDEX('予算一覧'!$B:$B,MATCH(A159,'予算一覧'!$A:$A,0)),"案件が未登録"))</f>
        <v/>
      </c>
      <c r="C159" s="18" t="n"/>
      <c r="D159" s="21">
        <f>IF(C159="","",IFERROR(INDEX('システム'!$B:$B,MATCH(C159,'システム'!$A:$A,0)),"システムが未登録"))</f>
        <v/>
      </c>
    </row>
    <row r="160">
      <c r="A160" s="18" t="n"/>
      <c r="B160" s="21">
        <f>IF(A160="","",IFERROR(INDEX('予算一覧'!$B:$B,MATCH(A160,'予算一覧'!$A:$A,0)),"案件が未登録"))</f>
        <v/>
      </c>
      <c r="C160" s="18" t="n"/>
      <c r="D160" s="21">
        <f>IF(C160="","",IFERROR(INDEX('システム'!$B:$B,MATCH(C160,'システム'!$A:$A,0)),"システムが未登録"))</f>
        <v/>
      </c>
    </row>
    <row r="161">
      <c r="A161" s="18" t="n"/>
      <c r="B161" s="21">
        <f>IF(A161="","",IFERROR(INDEX('予算一覧'!$B:$B,MATCH(A161,'予算一覧'!$A:$A,0)),"案件が未登録"))</f>
        <v/>
      </c>
      <c r="C161" s="18" t="n"/>
      <c r="D161" s="21">
        <f>IF(C161="","",IFERROR(INDEX('システム'!$B:$B,MATCH(C161,'システム'!$A:$A,0)),"システムが未登録"))</f>
        <v/>
      </c>
    </row>
    <row r="162">
      <c r="A162" s="18" t="n"/>
      <c r="B162" s="21">
        <f>IF(A162="","",IFERROR(INDEX('予算一覧'!$B:$B,MATCH(A162,'予算一覧'!$A:$A,0)),"案件が未登録"))</f>
        <v/>
      </c>
      <c r="C162" s="18" t="n"/>
      <c r="D162" s="21">
        <f>IF(C162="","",IFERROR(INDEX('システム'!$B:$B,MATCH(C162,'システム'!$A:$A,0)),"システムが未登録"))</f>
        <v/>
      </c>
    </row>
    <row r="163">
      <c r="A163" s="18" t="n"/>
      <c r="B163" s="21">
        <f>IF(A163="","",IFERROR(INDEX('予算一覧'!$B:$B,MATCH(A163,'予算一覧'!$A:$A,0)),"案件が未登録"))</f>
        <v/>
      </c>
      <c r="C163" s="18" t="n"/>
      <c r="D163" s="21">
        <f>IF(C163="","",IFERROR(INDEX('システム'!$B:$B,MATCH(C163,'システム'!$A:$A,0)),"システムが未登録"))</f>
        <v/>
      </c>
    </row>
    <row r="164">
      <c r="A164" s="18" t="n"/>
      <c r="B164" s="21">
        <f>IF(A164="","",IFERROR(INDEX('予算一覧'!$B:$B,MATCH(A164,'予算一覧'!$A:$A,0)),"案件が未登録"))</f>
        <v/>
      </c>
      <c r="C164" s="18" t="n"/>
      <c r="D164" s="21">
        <f>IF(C164="","",IFERROR(INDEX('システム'!$B:$B,MATCH(C164,'システム'!$A:$A,0)),"システムが未登録"))</f>
        <v/>
      </c>
    </row>
    <row r="165">
      <c r="A165" s="18" t="n"/>
      <c r="B165" s="21">
        <f>IF(A165="","",IFERROR(INDEX('予算一覧'!$B:$B,MATCH(A165,'予算一覧'!$A:$A,0)),"案件が未登録"))</f>
        <v/>
      </c>
      <c r="C165" s="18" t="n"/>
      <c r="D165" s="21">
        <f>IF(C165="","",IFERROR(INDEX('システム'!$B:$B,MATCH(C165,'システム'!$A:$A,0)),"システムが未登録"))</f>
        <v/>
      </c>
    </row>
    <row r="166">
      <c r="A166" s="18" t="n"/>
      <c r="B166" s="21">
        <f>IF(A166="","",IFERROR(INDEX('予算一覧'!$B:$B,MATCH(A166,'予算一覧'!$A:$A,0)),"案件が未登録"))</f>
        <v/>
      </c>
      <c r="C166" s="18" t="n"/>
      <c r="D166" s="21">
        <f>IF(C166="","",IFERROR(INDEX('システム'!$B:$B,MATCH(C166,'システム'!$A:$A,0)),"システムが未登録"))</f>
        <v/>
      </c>
    </row>
    <row r="167">
      <c r="A167" s="18" t="n"/>
      <c r="B167" s="21">
        <f>IF(A167="","",IFERROR(INDEX('予算一覧'!$B:$B,MATCH(A167,'予算一覧'!$A:$A,0)),"案件が未登録"))</f>
        <v/>
      </c>
      <c r="C167" s="18" t="n"/>
      <c r="D167" s="21">
        <f>IF(C167="","",IFERROR(INDEX('システム'!$B:$B,MATCH(C167,'システム'!$A:$A,0)),"システムが未登録"))</f>
        <v/>
      </c>
    </row>
    <row r="168">
      <c r="A168" s="18" t="n"/>
      <c r="B168" s="21">
        <f>IF(A168="","",IFERROR(INDEX('予算一覧'!$B:$B,MATCH(A168,'予算一覧'!$A:$A,0)),"案件が未登録"))</f>
        <v/>
      </c>
      <c r="C168" s="18" t="n"/>
      <c r="D168" s="21">
        <f>IF(C168="","",IFERROR(INDEX('システム'!$B:$B,MATCH(C168,'システム'!$A:$A,0)),"システムが未登録"))</f>
        <v/>
      </c>
    </row>
    <row r="169">
      <c r="A169" s="18" t="n"/>
      <c r="B169" s="21">
        <f>IF(A169="","",IFERROR(INDEX('予算一覧'!$B:$B,MATCH(A169,'予算一覧'!$A:$A,0)),"案件が未登録"))</f>
        <v/>
      </c>
      <c r="C169" s="18" t="n"/>
      <c r="D169" s="21">
        <f>IF(C169="","",IFERROR(INDEX('システム'!$B:$B,MATCH(C169,'システム'!$A:$A,0)),"システムが未登録"))</f>
        <v/>
      </c>
    </row>
    <row r="170">
      <c r="A170" s="18" t="n"/>
      <c r="B170" s="21">
        <f>IF(A170="","",IFERROR(INDEX('予算一覧'!$B:$B,MATCH(A170,'予算一覧'!$A:$A,0)),"案件が未登録"))</f>
        <v/>
      </c>
      <c r="C170" s="18" t="n"/>
      <c r="D170" s="21">
        <f>IF(C170="","",IFERROR(INDEX('システム'!$B:$B,MATCH(C170,'システム'!$A:$A,0)),"システムが未登録"))</f>
        <v/>
      </c>
    </row>
    <row r="171">
      <c r="A171" s="18" t="n"/>
      <c r="B171" s="21">
        <f>IF(A171="","",IFERROR(INDEX('予算一覧'!$B:$B,MATCH(A171,'予算一覧'!$A:$A,0)),"案件が未登録"))</f>
        <v/>
      </c>
      <c r="C171" s="18" t="n"/>
      <c r="D171" s="21">
        <f>IF(C171="","",IFERROR(INDEX('システム'!$B:$B,MATCH(C171,'システム'!$A:$A,0)),"システムが未登録"))</f>
        <v/>
      </c>
    </row>
    <row r="172">
      <c r="A172" s="18" t="n"/>
      <c r="B172" s="21">
        <f>IF(A172="","",IFERROR(INDEX('予算一覧'!$B:$B,MATCH(A172,'予算一覧'!$A:$A,0)),"案件が未登録"))</f>
        <v/>
      </c>
      <c r="C172" s="18" t="n"/>
      <c r="D172" s="21">
        <f>IF(C172="","",IFERROR(INDEX('システム'!$B:$B,MATCH(C172,'システム'!$A:$A,0)),"システムが未登録"))</f>
        <v/>
      </c>
    </row>
    <row r="173">
      <c r="A173" s="18" t="n"/>
      <c r="B173" s="21">
        <f>IF(A173="","",IFERROR(INDEX('予算一覧'!$B:$B,MATCH(A173,'予算一覧'!$A:$A,0)),"案件が未登録"))</f>
        <v/>
      </c>
      <c r="C173" s="18" t="n"/>
      <c r="D173" s="21">
        <f>IF(C173="","",IFERROR(INDEX('システム'!$B:$B,MATCH(C173,'システム'!$A:$A,0)),"システムが未登録"))</f>
        <v/>
      </c>
    </row>
    <row r="174">
      <c r="A174" s="18" t="n"/>
      <c r="B174" s="21">
        <f>IF(A174="","",IFERROR(INDEX('予算一覧'!$B:$B,MATCH(A174,'予算一覧'!$A:$A,0)),"案件が未登録"))</f>
        <v/>
      </c>
      <c r="C174" s="18" t="n"/>
      <c r="D174" s="21">
        <f>IF(C174="","",IFERROR(INDEX('システム'!$B:$B,MATCH(C174,'システム'!$A:$A,0)),"システムが未登録"))</f>
        <v/>
      </c>
    </row>
    <row r="175">
      <c r="A175" s="18" t="n"/>
      <c r="B175" s="21">
        <f>IF(A175="","",IFERROR(INDEX('予算一覧'!$B:$B,MATCH(A175,'予算一覧'!$A:$A,0)),"案件が未登録"))</f>
        <v/>
      </c>
      <c r="C175" s="18" t="n"/>
      <c r="D175" s="21">
        <f>IF(C175="","",IFERROR(INDEX('システム'!$B:$B,MATCH(C175,'システム'!$A:$A,0)),"システムが未登録"))</f>
        <v/>
      </c>
    </row>
    <row r="176">
      <c r="A176" s="18" t="n"/>
      <c r="B176" s="21">
        <f>IF(A176="","",IFERROR(INDEX('予算一覧'!$B:$B,MATCH(A176,'予算一覧'!$A:$A,0)),"案件が未登録"))</f>
        <v/>
      </c>
      <c r="C176" s="18" t="n"/>
      <c r="D176" s="21">
        <f>IF(C176="","",IFERROR(INDEX('システム'!$B:$B,MATCH(C176,'システム'!$A:$A,0)),"システムが未登録"))</f>
        <v/>
      </c>
    </row>
    <row r="177">
      <c r="A177" s="18" t="n"/>
      <c r="B177" s="21">
        <f>IF(A177="","",IFERROR(INDEX('予算一覧'!$B:$B,MATCH(A177,'予算一覧'!$A:$A,0)),"案件が未登録"))</f>
        <v/>
      </c>
      <c r="C177" s="18" t="n"/>
      <c r="D177" s="21">
        <f>IF(C177="","",IFERROR(INDEX('システム'!$B:$B,MATCH(C177,'システム'!$A:$A,0)),"システムが未登録"))</f>
        <v/>
      </c>
    </row>
    <row r="178">
      <c r="A178" s="18" t="n"/>
      <c r="B178" s="21">
        <f>IF(A178="","",IFERROR(INDEX('予算一覧'!$B:$B,MATCH(A178,'予算一覧'!$A:$A,0)),"案件が未登録"))</f>
        <v/>
      </c>
      <c r="C178" s="18" t="n"/>
      <c r="D178" s="21">
        <f>IF(C178="","",IFERROR(INDEX('システム'!$B:$B,MATCH(C178,'システム'!$A:$A,0)),"システムが未登録"))</f>
        <v/>
      </c>
    </row>
    <row r="179">
      <c r="A179" s="18" t="n"/>
      <c r="B179" s="21">
        <f>IF(A179="","",IFERROR(INDEX('予算一覧'!$B:$B,MATCH(A179,'予算一覧'!$A:$A,0)),"案件が未登録"))</f>
        <v/>
      </c>
      <c r="C179" s="18" t="n"/>
      <c r="D179" s="21">
        <f>IF(C179="","",IFERROR(INDEX('システム'!$B:$B,MATCH(C179,'システム'!$A:$A,0)),"システムが未登録"))</f>
        <v/>
      </c>
    </row>
    <row r="180">
      <c r="A180" s="18" t="n"/>
      <c r="B180" s="21">
        <f>IF(A180="","",IFERROR(INDEX('予算一覧'!$B:$B,MATCH(A180,'予算一覧'!$A:$A,0)),"案件が未登録"))</f>
        <v/>
      </c>
      <c r="C180" s="18" t="n"/>
      <c r="D180" s="21">
        <f>IF(C180="","",IFERROR(INDEX('システム'!$B:$B,MATCH(C180,'システム'!$A:$A,0)),"システムが未登録"))</f>
        <v/>
      </c>
    </row>
    <row r="181">
      <c r="A181" s="18" t="n"/>
      <c r="B181" s="21">
        <f>IF(A181="","",IFERROR(INDEX('予算一覧'!$B:$B,MATCH(A181,'予算一覧'!$A:$A,0)),"案件が未登録"))</f>
        <v/>
      </c>
      <c r="C181" s="18" t="n"/>
      <c r="D181" s="21">
        <f>IF(C181="","",IFERROR(INDEX('システム'!$B:$B,MATCH(C181,'システム'!$A:$A,0)),"システムが未登録"))</f>
        <v/>
      </c>
    </row>
    <row r="182">
      <c r="A182" s="18" t="n"/>
      <c r="B182" s="21">
        <f>IF(A182="","",IFERROR(INDEX('予算一覧'!$B:$B,MATCH(A182,'予算一覧'!$A:$A,0)),"案件が未登録"))</f>
        <v/>
      </c>
      <c r="C182" s="18" t="n"/>
      <c r="D182" s="21">
        <f>IF(C182="","",IFERROR(INDEX('システム'!$B:$B,MATCH(C182,'システム'!$A:$A,0)),"システムが未登録"))</f>
        <v/>
      </c>
    </row>
    <row r="183">
      <c r="A183" s="18" t="n"/>
      <c r="B183" s="21">
        <f>IF(A183="","",IFERROR(INDEX('予算一覧'!$B:$B,MATCH(A183,'予算一覧'!$A:$A,0)),"案件が未登録"))</f>
        <v/>
      </c>
      <c r="C183" s="18" t="n"/>
      <c r="D183" s="21">
        <f>IF(C183="","",IFERROR(INDEX('システム'!$B:$B,MATCH(C183,'システム'!$A:$A,0)),"システムが未登録"))</f>
        <v/>
      </c>
    </row>
    <row r="184">
      <c r="A184" s="18" t="n"/>
      <c r="B184" s="21">
        <f>IF(A184="","",IFERROR(INDEX('予算一覧'!$B:$B,MATCH(A184,'予算一覧'!$A:$A,0)),"案件が未登録"))</f>
        <v/>
      </c>
      <c r="C184" s="18" t="n"/>
      <c r="D184" s="21">
        <f>IF(C184="","",IFERROR(INDEX('システム'!$B:$B,MATCH(C184,'システム'!$A:$A,0)),"システムが未登録"))</f>
        <v/>
      </c>
    </row>
    <row r="185">
      <c r="A185" s="18" t="n"/>
      <c r="B185" s="21">
        <f>IF(A185="","",IFERROR(INDEX('予算一覧'!$B:$B,MATCH(A185,'予算一覧'!$A:$A,0)),"案件が未登録"))</f>
        <v/>
      </c>
      <c r="C185" s="18" t="n"/>
      <c r="D185" s="21">
        <f>IF(C185="","",IFERROR(INDEX('システム'!$B:$B,MATCH(C185,'システム'!$A:$A,0)),"システムが未登録"))</f>
        <v/>
      </c>
    </row>
    <row r="186">
      <c r="A186" s="18" t="n"/>
      <c r="B186" s="21">
        <f>IF(A186="","",IFERROR(INDEX('予算一覧'!$B:$B,MATCH(A186,'予算一覧'!$A:$A,0)),"案件が未登録"))</f>
        <v/>
      </c>
      <c r="C186" s="18" t="n"/>
      <c r="D186" s="21">
        <f>IF(C186="","",IFERROR(INDEX('システム'!$B:$B,MATCH(C186,'システム'!$A:$A,0)),"システムが未登録"))</f>
        <v/>
      </c>
    </row>
    <row r="187">
      <c r="A187" s="18" t="n"/>
      <c r="B187" s="21">
        <f>IF(A187="","",IFERROR(INDEX('予算一覧'!$B:$B,MATCH(A187,'予算一覧'!$A:$A,0)),"案件が未登録"))</f>
        <v/>
      </c>
      <c r="C187" s="18" t="n"/>
      <c r="D187" s="21">
        <f>IF(C187="","",IFERROR(INDEX('システム'!$B:$B,MATCH(C187,'システム'!$A:$A,0)),"システムが未登録"))</f>
        <v/>
      </c>
    </row>
    <row r="188">
      <c r="A188" s="18" t="n"/>
      <c r="B188" s="21">
        <f>IF(A188="","",IFERROR(INDEX('予算一覧'!$B:$B,MATCH(A188,'予算一覧'!$A:$A,0)),"案件が未登録"))</f>
        <v/>
      </c>
      <c r="C188" s="18" t="n"/>
      <c r="D188" s="21">
        <f>IF(C188="","",IFERROR(INDEX('システム'!$B:$B,MATCH(C188,'システム'!$A:$A,0)),"システムが未登録"))</f>
        <v/>
      </c>
    </row>
    <row r="189">
      <c r="A189" s="18" t="n"/>
      <c r="B189" s="21">
        <f>IF(A189="","",IFERROR(INDEX('予算一覧'!$B:$B,MATCH(A189,'予算一覧'!$A:$A,0)),"案件が未登録"))</f>
        <v/>
      </c>
      <c r="C189" s="18" t="n"/>
      <c r="D189" s="21">
        <f>IF(C189="","",IFERROR(INDEX('システム'!$B:$B,MATCH(C189,'システム'!$A:$A,0)),"システムが未登録"))</f>
        <v/>
      </c>
    </row>
    <row r="190">
      <c r="A190" s="18" t="n"/>
      <c r="B190" s="21">
        <f>IF(A190="","",IFERROR(INDEX('予算一覧'!$B:$B,MATCH(A190,'予算一覧'!$A:$A,0)),"案件が未登録"))</f>
        <v/>
      </c>
      <c r="C190" s="18" t="n"/>
      <c r="D190" s="21">
        <f>IF(C190="","",IFERROR(INDEX('システム'!$B:$B,MATCH(C190,'システム'!$A:$A,0)),"システムが未登録"))</f>
        <v/>
      </c>
    </row>
    <row r="191">
      <c r="A191" s="18" t="n"/>
      <c r="B191" s="21">
        <f>IF(A191="","",IFERROR(INDEX('予算一覧'!$B:$B,MATCH(A191,'予算一覧'!$A:$A,0)),"案件が未登録"))</f>
        <v/>
      </c>
      <c r="C191" s="18" t="n"/>
      <c r="D191" s="21">
        <f>IF(C191="","",IFERROR(INDEX('システム'!$B:$B,MATCH(C191,'システム'!$A:$A,0)),"システムが未登録"))</f>
        <v/>
      </c>
    </row>
    <row r="192">
      <c r="A192" s="18" t="n"/>
      <c r="B192" s="21">
        <f>IF(A192="","",IFERROR(INDEX('予算一覧'!$B:$B,MATCH(A192,'予算一覧'!$A:$A,0)),"案件が未登録"))</f>
        <v/>
      </c>
      <c r="C192" s="18" t="n"/>
      <c r="D192" s="21">
        <f>IF(C192="","",IFERROR(INDEX('システム'!$B:$B,MATCH(C192,'システム'!$A:$A,0)),"システムが未登録"))</f>
        <v/>
      </c>
    </row>
    <row r="193">
      <c r="A193" s="18" t="n"/>
      <c r="B193" s="21">
        <f>IF(A193="","",IFERROR(INDEX('予算一覧'!$B:$B,MATCH(A193,'予算一覧'!$A:$A,0)),"案件が未登録"))</f>
        <v/>
      </c>
      <c r="C193" s="18" t="n"/>
      <c r="D193" s="21">
        <f>IF(C193="","",IFERROR(INDEX('システム'!$B:$B,MATCH(C193,'システム'!$A:$A,0)),"システムが未登録"))</f>
        <v/>
      </c>
    </row>
    <row r="194">
      <c r="A194" s="18" t="n"/>
      <c r="B194" s="21">
        <f>IF(A194="","",IFERROR(INDEX('予算一覧'!$B:$B,MATCH(A194,'予算一覧'!$A:$A,0)),"案件が未登録"))</f>
        <v/>
      </c>
      <c r="C194" s="18" t="n"/>
      <c r="D194" s="21">
        <f>IF(C194="","",IFERROR(INDEX('システム'!$B:$B,MATCH(C194,'システム'!$A:$A,0)),"システムが未登録"))</f>
        <v/>
      </c>
    </row>
    <row r="195">
      <c r="A195" s="18" t="n"/>
      <c r="B195" s="21">
        <f>IF(A195="","",IFERROR(INDEX('予算一覧'!$B:$B,MATCH(A195,'予算一覧'!$A:$A,0)),"案件が未登録"))</f>
        <v/>
      </c>
      <c r="C195" s="18" t="n"/>
      <c r="D195" s="21">
        <f>IF(C195="","",IFERROR(INDEX('システム'!$B:$B,MATCH(C195,'システム'!$A:$A,0)),"システムが未登録"))</f>
        <v/>
      </c>
    </row>
    <row r="196">
      <c r="A196" s="18" t="n"/>
      <c r="B196" s="21">
        <f>IF(A196="","",IFERROR(INDEX('予算一覧'!$B:$B,MATCH(A196,'予算一覧'!$A:$A,0)),"案件が未登録"))</f>
        <v/>
      </c>
      <c r="C196" s="18" t="n"/>
      <c r="D196" s="21">
        <f>IF(C196="","",IFERROR(INDEX('システム'!$B:$B,MATCH(C196,'システム'!$A:$A,0)),"システムが未登録"))</f>
        <v/>
      </c>
    </row>
    <row r="197">
      <c r="A197" s="18" t="n"/>
      <c r="B197" s="21">
        <f>IF(A197="","",IFERROR(INDEX('予算一覧'!$B:$B,MATCH(A197,'予算一覧'!$A:$A,0)),"案件が未登録"))</f>
        <v/>
      </c>
      <c r="C197" s="18" t="n"/>
      <c r="D197" s="21">
        <f>IF(C197="","",IFERROR(INDEX('システム'!$B:$B,MATCH(C197,'システム'!$A:$A,0)),"システムが未登録"))</f>
        <v/>
      </c>
    </row>
    <row r="198">
      <c r="A198" s="18" t="n"/>
      <c r="B198" s="21">
        <f>IF(A198="","",IFERROR(INDEX('予算一覧'!$B:$B,MATCH(A198,'予算一覧'!$A:$A,0)),"案件が未登録"))</f>
        <v/>
      </c>
      <c r="C198" s="18" t="n"/>
      <c r="D198" s="21">
        <f>IF(C198="","",IFERROR(INDEX('システム'!$B:$B,MATCH(C198,'システム'!$A:$A,0)),"システムが未登録"))</f>
        <v/>
      </c>
    </row>
    <row r="199">
      <c r="A199" s="18" t="n"/>
      <c r="B199" s="21">
        <f>IF(A199="","",IFERROR(INDEX('予算一覧'!$B:$B,MATCH(A199,'予算一覧'!$A:$A,0)),"案件が未登録"))</f>
        <v/>
      </c>
      <c r="C199" s="18" t="n"/>
      <c r="D199" s="21">
        <f>IF(C199="","",IFERROR(INDEX('システム'!$B:$B,MATCH(C199,'システム'!$A:$A,0)),"システムが未登録"))</f>
        <v/>
      </c>
    </row>
    <row r="200">
      <c r="A200" s="18" t="n"/>
      <c r="B200" s="21">
        <f>IF(A200="","",IFERROR(INDEX('予算一覧'!$B:$B,MATCH(A200,'予算一覧'!$A:$A,0)),"案件が未登録"))</f>
        <v/>
      </c>
      <c r="C200" s="18" t="n"/>
      <c r="D200" s="21">
        <f>IF(C200="","",IFERROR(INDEX('システム'!$B:$B,MATCH(C200,'システム'!$A:$A,0)),"システムが未登録"))</f>
        <v/>
      </c>
    </row>
  </sheetData>
  <dataValidations count="2">
    <dataValidation sqref="A4:A200" showDropDown="0" showInputMessage="0" showErrorMessage="0" allowBlank="1" type="list">
      <formula1>'予算一覧'!$A$5:$A$200</formula1>
    </dataValidation>
    <dataValidation sqref="C4:C200" showDropDown="0" showInputMessage="0" showErrorMessage="0" allowBlank="1" type="list">
      <formula1>'システム'!$A$4:$A$200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0" customWidth="1" min="4" max="4"/>
    <col width="10" customWidth="1" min="5" max="5"/>
    <col width="14" customWidth="1" min="6" max="6"/>
    <col width="12" customWidth="1" min="7" max="7"/>
    <col width="11" customWidth="1" min="8" max="8"/>
    <col width="13" customWidth="1" min="9" max="9"/>
  </cols>
  <sheetData>
    <row r="1">
      <c r="A1" s="1" t="inlineStr">
        <is>
          <t>システム（実在のシステム名）</t>
        </is>
      </c>
    </row>
    <row r="2">
      <c r="A2" s="2" t="inlineStr">
        <is>
          <t>1行＝1システム。移管するかどうかはシステムでは判定しない（移管対象の組織では、移管できるものはすべて移管する）。業務（直接業務・間接業務）の棚卸しの進み具合を確認するための一覧。案件との対応は「紐付け」シートに書く。灰色の列は数式。薄い色の行は記入例。</t>
        </is>
      </c>
    </row>
    <row r="3" ht="34" customHeight="1">
      <c r="A3" s="12" t="inlineStr">
        <is>
          <t>システムID</t>
        </is>
      </c>
      <c r="B3" s="12" t="inlineStr">
        <is>
          <t>システム名</t>
        </is>
      </c>
      <c r="C3" s="12" t="inlineStr">
        <is>
          <t>オーナー部門</t>
        </is>
      </c>
      <c r="D3" s="12" t="inlineStr">
        <is>
          <t>GxP対象</t>
        </is>
      </c>
      <c r="E3" s="12" t="inlineStr">
        <is>
          <t>個人情報</t>
        </is>
      </c>
      <c r="F3" s="12" t="inlineStr">
        <is>
          <t>EOL期限
（決まっていれば日付）</t>
        </is>
      </c>
      <c r="G3" s="12" t="inlineStr">
        <is>
          <t>紐づく案件数（自動）</t>
        </is>
      </c>
      <c r="H3" s="12" t="inlineStr">
        <is>
          <t>業務数（自動）</t>
        </is>
      </c>
      <c r="I3" s="12" t="inlineStr">
        <is>
          <t>棚卸し（自動）</t>
        </is>
      </c>
    </row>
    <row r="4">
      <c r="A4" s="13" t="inlineStr">
        <is>
          <t>SYS-003</t>
        </is>
      </c>
      <c r="B4" s="13" t="inlineStr">
        <is>
          <t>品質文書システム</t>
        </is>
      </c>
      <c r="C4" s="13" t="inlineStr">
        <is>
          <t>品質保証部</t>
        </is>
      </c>
      <c r="D4" s="13" t="inlineStr">
        <is>
          <t>はい</t>
        </is>
      </c>
      <c r="E4" s="13" t="inlineStr">
        <is>
          <t>いいえ</t>
        </is>
      </c>
      <c r="F4" s="32" t="n">
        <v>46843</v>
      </c>
      <c r="G4" s="16">
        <f>IF(A4="","",COUNTIF('紐付け'!$C$4:$C$200,A4))</f>
        <v/>
      </c>
      <c r="H4" s="16">
        <f>IF(A4="","",COUNTIF('業務'!$C$4:$C$200,A4))</f>
        <v/>
      </c>
      <c r="I4" s="16">
        <f>IF(A4="","",IF(H4=0,"業務が未登録",IF(COUNTIFS('業務'!$C$4:$C$200,A4,'業務'!$J$4:$J$200,"済")=H4,"済","未")))</f>
        <v/>
      </c>
    </row>
    <row r="5">
      <c r="A5" s="13" t="inlineStr">
        <is>
          <t>SYS-012</t>
        </is>
      </c>
      <c r="B5" s="13" t="inlineStr">
        <is>
          <t>研究クラウド基盤</t>
        </is>
      </c>
      <c r="C5" s="13" t="inlineStr">
        <is>
          <t>研究本部</t>
        </is>
      </c>
      <c r="D5" s="13" t="inlineStr">
        <is>
          <t>いいえ</t>
        </is>
      </c>
      <c r="E5" s="13" t="inlineStr">
        <is>
          <t>いいえ</t>
        </is>
      </c>
      <c r="F5" s="32" t="n"/>
      <c r="G5" s="16">
        <f>IF(A5="","",COUNTIF('紐付け'!$C$4:$C$200,A5))</f>
        <v/>
      </c>
      <c r="H5" s="16">
        <f>IF(A5="","",COUNTIF('業務'!$C$4:$C$200,A5))</f>
        <v/>
      </c>
      <c r="I5" s="16">
        <f>IF(A5="","",IF(H5=0,"業務が未登録",IF(COUNTIFS('業務'!$C$4:$C$200,A5,'業務'!$J$4:$J$200,"済")=H5,"済","未")))</f>
        <v/>
      </c>
    </row>
    <row r="6">
      <c r="A6" s="13" t="inlineStr">
        <is>
          <t>SYS-041</t>
        </is>
      </c>
      <c r="B6" s="13" t="inlineStr">
        <is>
          <t>実験データ集計ツール</t>
        </is>
      </c>
      <c r="C6" s="13" t="inlineStr">
        <is>
          <t>研究本部</t>
        </is>
      </c>
      <c r="D6" s="13" t="inlineStr">
        <is>
          <t>いいえ</t>
        </is>
      </c>
      <c r="E6" s="13" t="inlineStr">
        <is>
          <t>いいえ</t>
        </is>
      </c>
      <c r="F6" s="32" t="n"/>
      <c r="G6" s="16">
        <f>IF(A6="","",COUNTIF('紐付け'!$C$4:$C$200,A6))</f>
        <v/>
      </c>
      <c r="H6" s="16">
        <f>IF(A6="","",COUNTIF('業務'!$C$4:$C$200,A6))</f>
        <v/>
      </c>
      <c r="I6" s="16">
        <f>IF(A6="","",IF(H6=0,"業務が未登録",IF(COUNTIFS('業務'!$C$4:$C$200,A6,'業務'!$J$4:$J$200,"済")=H6,"済","未")))</f>
        <v/>
      </c>
    </row>
    <row r="7">
      <c r="A7" s="18" t="n"/>
      <c r="B7" s="18" t="n"/>
      <c r="C7" s="18" t="n"/>
      <c r="D7" s="18" t="n"/>
      <c r="E7" s="18" t="n"/>
      <c r="F7" s="33" t="n"/>
      <c r="G7" s="21">
        <f>IF(A7="","",COUNTIF('紐付け'!$C$4:$C$200,A7))</f>
        <v/>
      </c>
      <c r="H7" s="21">
        <f>IF(A7="","",COUNTIF('業務'!$C$4:$C$200,A7))</f>
        <v/>
      </c>
      <c r="I7" s="21">
        <f>IF(A7="","",IF(H7=0,"業務が未登録",IF(COUNTIFS('業務'!$C$4:$C$200,A7,'業務'!$J$4:$J$200,"済")=H7,"済","未")))</f>
        <v/>
      </c>
    </row>
    <row r="8">
      <c r="A8" s="18" t="n"/>
      <c r="B8" s="18" t="n"/>
      <c r="C8" s="18" t="n"/>
      <c r="D8" s="18" t="n"/>
      <c r="E8" s="18" t="n"/>
      <c r="F8" s="33" t="n"/>
      <c r="G8" s="21">
        <f>IF(A8="","",COUNTIF('紐付け'!$C$4:$C$200,A8))</f>
        <v/>
      </c>
      <c r="H8" s="21">
        <f>IF(A8="","",COUNTIF('業務'!$C$4:$C$200,A8))</f>
        <v/>
      </c>
      <c r="I8" s="21">
        <f>IF(A8="","",IF(H8=0,"業務が未登録",IF(COUNTIFS('業務'!$C$4:$C$200,A8,'業務'!$J$4:$J$200,"済")=H8,"済","未")))</f>
        <v/>
      </c>
    </row>
    <row r="9">
      <c r="A9" s="18" t="n"/>
      <c r="B9" s="18" t="n"/>
      <c r="C9" s="18" t="n"/>
      <c r="D9" s="18" t="n"/>
      <c r="E9" s="18" t="n"/>
      <c r="F9" s="33" t="n"/>
      <c r="G9" s="21">
        <f>IF(A9="","",COUNTIF('紐付け'!$C$4:$C$200,A9))</f>
        <v/>
      </c>
      <c r="H9" s="21">
        <f>IF(A9="","",COUNTIF('業務'!$C$4:$C$200,A9))</f>
        <v/>
      </c>
      <c r="I9" s="21">
        <f>IF(A9="","",IF(H9=0,"業務が未登録",IF(COUNTIFS('業務'!$C$4:$C$200,A9,'業務'!$J$4:$J$200,"済")=H9,"済","未")))</f>
        <v/>
      </c>
    </row>
    <row r="10">
      <c r="A10" s="18" t="n"/>
      <c r="B10" s="18" t="n"/>
      <c r="C10" s="18" t="n"/>
      <c r="D10" s="18" t="n"/>
      <c r="E10" s="18" t="n"/>
      <c r="F10" s="33" t="n"/>
      <c r="G10" s="21">
        <f>IF(A10="","",COUNTIF('紐付け'!$C$4:$C$200,A10))</f>
        <v/>
      </c>
      <c r="H10" s="21">
        <f>IF(A10="","",COUNTIF('業務'!$C$4:$C$200,A10))</f>
        <v/>
      </c>
      <c r="I10" s="21">
        <f>IF(A10="","",IF(H10=0,"業務が未登録",IF(COUNTIFS('業務'!$C$4:$C$200,A10,'業務'!$J$4:$J$200,"済")=H10,"済","未")))</f>
        <v/>
      </c>
    </row>
    <row r="11">
      <c r="A11" s="18" t="n"/>
      <c r="B11" s="18" t="n"/>
      <c r="C11" s="18" t="n"/>
      <c r="D11" s="18" t="n"/>
      <c r="E11" s="18" t="n"/>
      <c r="F11" s="33" t="n"/>
      <c r="G11" s="21">
        <f>IF(A11="","",COUNTIF('紐付け'!$C$4:$C$200,A11))</f>
        <v/>
      </c>
      <c r="H11" s="21">
        <f>IF(A11="","",COUNTIF('業務'!$C$4:$C$200,A11))</f>
        <v/>
      </c>
      <c r="I11" s="21">
        <f>IF(A11="","",IF(H11=0,"業務が未登録",IF(COUNTIFS('業務'!$C$4:$C$200,A11,'業務'!$J$4:$J$200,"済")=H11,"済","未")))</f>
        <v/>
      </c>
    </row>
    <row r="12">
      <c r="A12" s="18" t="n"/>
      <c r="B12" s="18" t="n"/>
      <c r="C12" s="18" t="n"/>
      <c r="D12" s="18" t="n"/>
      <c r="E12" s="18" t="n"/>
      <c r="F12" s="33" t="n"/>
      <c r="G12" s="21">
        <f>IF(A12="","",COUNTIF('紐付け'!$C$4:$C$200,A12))</f>
        <v/>
      </c>
      <c r="H12" s="21">
        <f>IF(A12="","",COUNTIF('業務'!$C$4:$C$200,A12))</f>
        <v/>
      </c>
      <c r="I12" s="21">
        <f>IF(A12="","",IF(H12=0,"業務が未登録",IF(COUNTIFS('業務'!$C$4:$C$200,A12,'業務'!$J$4:$J$200,"済")=H12,"済","未")))</f>
        <v/>
      </c>
    </row>
    <row r="13">
      <c r="A13" s="18" t="n"/>
      <c r="B13" s="18" t="n"/>
      <c r="C13" s="18" t="n"/>
      <c r="D13" s="18" t="n"/>
      <c r="E13" s="18" t="n"/>
      <c r="F13" s="33" t="n"/>
      <c r="G13" s="21">
        <f>IF(A13="","",COUNTIF('紐付け'!$C$4:$C$200,A13))</f>
        <v/>
      </c>
      <c r="H13" s="21">
        <f>IF(A13="","",COUNTIF('業務'!$C$4:$C$200,A13))</f>
        <v/>
      </c>
      <c r="I13" s="21">
        <f>IF(A13="","",IF(H13=0,"業務が未登録",IF(COUNTIFS('業務'!$C$4:$C$200,A13,'業務'!$J$4:$J$200,"済")=H13,"済","未")))</f>
        <v/>
      </c>
    </row>
    <row r="14">
      <c r="A14" s="18" t="n"/>
      <c r="B14" s="18" t="n"/>
      <c r="C14" s="18" t="n"/>
      <c r="D14" s="18" t="n"/>
      <c r="E14" s="18" t="n"/>
      <c r="F14" s="33" t="n"/>
      <c r="G14" s="21">
        <f>IF(A14="","",COUNTIF('紐付け'!$C$4:$C$200,A14))</f>
        <v/>
      </c>
      <c r="H14" s="21">
        <f>IF(A14="","",COUNTIF('業務'!$C$4:$C$200,A14))</f>
        <v/>
      </c>
      <c r="I14" s="21">
        <f>IF(A14="","",IF(H14=0,"業務が未登録",IF(COUNTIFS('業務'!$C$4:$C$200,A14,'業務'!$J$4:$J$200,"済")=H14,"済","未")))</f>
        <v/>
      </c>
    </row>
    <row r="15">
      <c r="A15" s="18" t="n"/>
      <c r="B15" s="18" t="n"/>
      <c r="C15" s="18" t="n"/>
      <c r="D15" s="18" t="n"/>
      <c r="E15" s="18" t="n"/>
      <c r="F15" s="33" t="n"/>
      <c r="G15" s="21">
        <f>IF(A15="","",COUNTIF('紐付け'!$C$4:$C$200,A15))</f>
        <v/>
      </c>
      <c r="H15" s="21">
        <f>IF(A15="","",COUNTIF('業務'!$C$4:$C$200,A15))</f>
        <v/>
      </c>
      <c r="I15" s="21">
        <f>IF(A15="","",IF(H15=0,"業務が未登録",IF(COUNTIFS('業務'!$C$4:$C$200,A15,'業務'!$J$4:$J$200,"済")=H15,"済","未")))</f>
        <v/>
      </c>
    </row>
    <row r="16">
      <c r="A16" s="18" t="n"/>
      <c r="B16" s="18" t="n"/>
      <c r="C16" s="18" t="n"/>
      <c r="D16" s="18" t="n"/>
      <c r="E16" s="18" t="n"/>
      <c r="F16" s="33" t="n"/>
      <c r="G16" s="21">
        <f>IF(A16="","",COUNTIF('紐付け'!$C$4:$C$200,A16))</f>
        <v/>
      </c>
      <c r="H16" s="21">
        <f>IF(A16="","",COUNTIF('業務'!$C$4:$C$200,A16))</f>
        <v/>
      </c>
      <c r="I16" s="21">
        <f>IF(A16="","",IF(H16=0,"業務が未登録",IF(COUNTIFS('業務'!$C$4:$C$200,A16,'業務'!$J$4:$J$200,"済")=H16,"済","未")))</f>
        <v/>
      </c>
    </row>
    <row r="17">
      <c r="A17" s="18" t="n"/>
      <c r="B17" s="18" t="n"/>
      <c r="C17" s="18" t="n"/>
      <c r="D17" s="18" t="n"/>
      <c r="E17" s="18" t="n"/>
      <c r="F17" s="33" t="n"/>
      <c r="G17" s="21">
        <f>IF(A17="","",COUNTIF('紐付け'!$C$4:$C$200,A17))</f>
        <v/>
      </c>
      <c r="H17" s="21">
        <f>IF(A17="","",COUNTIF('業務'!$C$4:$C$200,A17))</f>
        <v/>
      </c>
      <c r="I17" s="21">
        <f>IF(A17="","",IF(H17=0,"業務が未登録",IF(COUNTIFS('業務'!$C$4:$C$200,A17,'業務'!$J$4:$J$200,"済")=H17,"済","未")))</f>
        <v/>
      </c>
    </row>
    <row r="18">
      <c r="A18" s="18" t="n"/>
      <c r="B18" s="18" t="n"/>
      <c r="C18" s="18" t="n"/>
      <c r="D18" s="18" t="n"/>
      <c r="E18" s="18" t="n"/>
      <c r="F18" s="33" t="n"/>
      <c r="G18" s="21">
        <f>IF(A18="","",COUNTIF('紐付け'!$C$4:$C$200,A18))</f>
        <v/>
      </c>
      <c r="H18" s="21">
        <f>IF(A18="","",COUNTIF('業務'!$C$4:$C$200,A18))</f>
        <v/>
      </c>
      <c r="I18" s="21">
        <f>IF(A18="","",IF(H18=0,"業務が未登録",IF(COUNTIFS('業務'!$C$4:$C$200,A18,'業務'!$J$4:$J$200,"済")=H18,"済","未")))</f>
        <v/>
      </c>
    </row>
    <row r="19">
      <c r="A19" s="18" t="n"/>
      <c r="B19" s="18" t="n"/>
      <c r="C19" s="18" t="n"/>
      <c r="D19" s="18" t="n"/>
      <c r="E19" s="18" t="n"/>
      <c r="F19" s="33" t="n"/>
      <c r="G19" s="21">
        <f>IF(A19="","",COUNTIF('紐付け'!$C$4:$C$200,A19))</f>
        <v/>
      </c>
      <c r="H19" s="21">
        <f>IF(A19="","",COUNTIF('業務'!$C$4:$C$200,A19))</f>
        <v/>
      </c>
      <c r="I19" s="21">
        <f>IF(A19="","",IF(H19=0,"業務が未登録",IF(COUNTIFS('業務'!$C$4:$C$200,A19,'業務'!$J$4:$J$200,"済")=H19,"済","未")))</f>
        <v/>
      </c>
    </row>
    <row r="20">
      <c r="A20" s="18" t="n"/>
      <c r="B20" s="18" t="n"/>
      <c r="C20" s="18" t="n"/>
      <c r="D20" s="18" t="n"/>
      <c r="E20" s="18" t="n"/>
      <c r="F20" s="33" t="n"/>
      <c r="G20" s="21">
        <f>IF(A20="","",COUNTIF('紐付け'!$C$4:$C$200,A20))</f>
        <v/>
      </c>
      <c r="H20" s="21">
        <f>IF(A20="","",COUNTIF('業務'!$C$4:$C$200,A20))</f>
        <v/>
      </c>
      <c r="I20" s="21">
        <f>IF(A20="","",IF(H20=0,"業務が未登録",IF(COUNTIFS('業務'!$C$4:$C$200,A20,'業務'!$J$4:$J$200,"済")=H20,"済","未")))</f>
        <v/>
      </c>
    </row>
    <row r="21">
      <c r="A21" s="18" t="n"/>
      <c r="B21" s="18" t="n"/>
      <c r="C21" s="18" t="n"/>
      <c r="D21" s="18" t="n"/>
      <c r="E21" s="18" t="n"/>
      <c r="F21" s="33" t="n"/>
      <c r="G21" s="21">
        <f>IF(A21="","",COUNTIF('紐付け'!$C$4:$C$200,A21))</f>
        <v/>
      </c>
      <c r="H21" s="21">
        <f>IF(A21="","",COUNTIF('業務'!$C$4:$C$200,A21))</f>
        <v/>
      </c>
      <c r="I21" s="21">
        <f>IF(A21="","",IF(H21=0,"業務が未登録",IF(COUNTIFS('業務'!$C$4:$C$200,A21,'業務'!$J$4:$J$200,"済")=H21,"済","未")))</f>
        <v/>
      </c>
    </row>
    <row r="22">
      <c r="A22" s="18" t="n"/>
      <c r="B22" s="18" t="n"/>
      <c r="C22" s="18" t="n"/>
      <c r="D22" s="18" t="n"/>
      <c r="E22" s="18" t="n"/>
      <c r="F22" s="33" t="n"/>
      <c r="G22" s="21">
        <f>IF(A22="","",COUNTIF('紐付け'!$C$4:$C$200,A22))</f>
        <v/>
      </c>
      <c r="H22" s="21">
        <f>IF(A22="","",COUNTIF('業務'!$C$4:$C$200,A22))</f>
        <v/>
      </c>
      <c r="I22" s="21">
        <f>IF(A22="","",IF(H22=0,"業務が未登録",IF(COUNTIFS('業務'!$C$4:$C$200,A22,'業務'!$J$4:$J$200,"済")=H22,"済","未")))</f>
        <v/>
      </c>
    </row>
    <row r="23">
      <c r="A23" s="18" t="n"/>
      <c r="B23" s="18" t="n"/>
      <c r="C23" s="18" t="n"/>
      <c r="D23" s="18" t="n"/>
      <c r="E23" s="18" t="n"/>
      <c r="F23" s="33" t="n"/>
      <c r="G23" s="21">
        <f>IF(A23="","",COUNTIF('紐付け'!$C$4:$C$200,A23))</f>
        <v/>
      </c>
      <c r="H23" s="21">
        <f>IF(A23="","",COUNTIF('業務'!$C$4:$C$200,A23))</f>
        <v/>
      </c>
      <c r="I23" s="21">
        <f>IF(A23="","",IF(H23=0,"業務が未登録",IF(COUNTIFS('業務'!$C$4:$C$200,A23,'業務'!$J$4:$J$200,"済")=H23,"済","未")))</f>
        <v/>
      </c>
    </row>
    <row r="24">
      <c r="A24" s="18" t="n"/>
      <c r="B24" s="18" t="n"/>
      <c r="C24" s="18" t="n"/>
      <c r="D24" s="18" t="n"/>
      <c r="E24" s="18" t="n"/>
      <c r="F24" s="33" t="n"/>
      <c r="G24" s="21">
        <f>IF(A24="","",COUNTIF('紐付け'!$C$4:$C$200,A24))</f>
        <v/>
      </c>
      <c r="H24" s="21">
        <f>IF(A24="","",COUNTIF('業務'!$C$4:$C$200,A24))</f>
        <v/>
      </c>
      <c r="I24" s="21">
        <f>IF(A24="","",IF(H24=0,"業務が未登録",IF(COUNTIFS('業務'!$C$4:$C$200,A24,'業務'!$J$4:$J$200,"済")=H24,"済","未")))</f>
        <v/>
      </c>
    </row>
    <row r="25">
      <c r="A25" s="18" t="n"/>
      <c r="B25" s="18" t="n"/>
      <c r="C25" s="18" t="n"/>
      <c r="D25" s="18" t="n"/>
      <c r="E25" s="18" t="n"/>
      <c r="F25" s="33" t="n"/>
      <c r="G25" s="21">
        <f>IF(A25="","",COUNTIF('紐付け'!$C$4:$C$200,A25))</f>
        <v/>
      </c>
      <c r="H25" s="21">
        <f>IF(A25="","",COUNTIF('業務'!$C$4:$C$200,A25))</f>
        <v/>
      </c>
      <c r="I25" s="21">
        <f>IF(A25="","",IF(H25=0,"業務が未登録",IF(COUNTIFS('業務'!$C$4:$C$200,A25,'業務'!$J$4:$J$200,"済")=H25,"済","未")))</f>
        <v/>
      </c>
    </row>
    <row r="26">
      <c r="A26" s="18" t="n"/>
      <c r="B26" s="18" t="n"/>
      <c r="C26" s="18" t="n"/>
      <c r="D26" s="18" t="n"/>
      <c r="E26" s="18" t="n"/>
      <c r="F26" s="33" t="n"/>
      <c r="G26" s="21">
        <f>IF(A26="","",COUNTIF('紐付け'!$C$4:$C$200,A26))</f>
        <v/>
      </c>
      <c r="H26" s="21">
        <f>IF(A26="","",COUNTIF('業務'!$C$4:$C$200,A26))</f>
        <v/>
      </c>
      <c r="I26" s="21">
        <f>IF(A26="","",IF(H26=0,"業務が未登録",IF(COUNTIFS('業務'!$C$4:$C$200,A26,'業務'!$J$4:$J$200,"済")=H26,"済","未")))</f>
        <v/>
      </c>
    </row>
    <row r="27">
      <c r="A27" s="18" t="n"/>
      <c r="B27" s="18" t="n"/>
      <c r="C27" s="18" t="n"/>
      <c r="D27" s="18" t="n"/>
      <c r="E27" s="18" t="n"/>
      <c r="F27" s="33" t="n"/>
      <c r="G27" s="21">
        <f>IF(A27="","",COUNTIF('紐付け'!$C$4:$C$200,A27))</f>
        <v/>
      </c>
      <c r="H27" s="21">
        <f>IF(A27="","",COUNTIF('業務'!$C$4:$C$200,A27))</f>
        <v/>
      </c>
      <c r="I27" s="21">
        <f>IF(A27="","",IF(H27=0,"業務が未登録",IF(COUNTIFS('業務'!$C$4:$C$200,A27,'業務'!$J$4:$J$200,"済")=H27,"済","未")))</f>
        <v/>
      </c>
    </row>
    <row r="28">
      <c r="A28" s="18" t="n"/>
      <c r="B28" s="18" t="n"/>
      <c r="C28" s="18" t="n"/>
      <c r="D28" s="18" t="n"/>
      <c r="E28" s="18" t="n"/>
      <c r="F28" s="33" t="n"/>
      <c r="G28" s="21">
        <f>IF(A28="","",COUNTIF('紐付け'!$C$4:$C$200,A28))</f>
        <v/>
      </c>
      <c r="H28" s="21">
        <f>IF(A28="","",COUNTIF('業務'!$C$4:$C$200,A28))</f>
        <v/>
      </c>
      <c r="I28" s="21">
        <f>IF(A28="","",IF(H28=0,"業務が未登録",IF(COUNTIFS('業務'!$C$4:$C$200,A28,'業務'!$J$4:$J$200,"済")=H28,"済","未")))</f>
        <v/>
      </c>
    </row>
    <row r="29">
      <c r="A29" s="18" t="n"/>
      <c r="B29" s="18" t="n"/>
      <c r="C29" s="18" t="n"/>
      <c r="D29" s="18" t="n"/>
      <c r="E29" s="18" t="n"/>
      <c r="F29" s="33" t="n"/>
      <c r="G29" s="21">
        <f>IF(A29="","",COUNTIF('紐付け'!$C$4:$C$200,A29))</f>
        <v/>
      </c>
      <c r="H29" s="21">
        <f>IF(A29="","",COUNTIF('業務'!$C$4:$C$200,A29))</f>
        <v/>
      </c>
      <c r="I29" s="21">
        <f>IF(A29="","",IF(H29=0,"業務が未登録",IF(COUNTIFS('業務'!$C$4:$C$200,A29,'業務'!$J$4:$J$200,"済")=H29,"済","未")))</f>
        <v/>
      </c>
    </row>
    <row r="30">
      <c r="A30" s="18" t="n"/>
      <c r="B30" s="18" t="n"/>
      <c r="C30" s="18" t="n"/>
      <c r="D30" s="18" t="n"/>
      <c r="E30" s="18" t="n"/>
      <c r="F30" s="33" t="n"/>
      <c r="G30" s="21">
        <f>IF(A30="","",COUNTIF('紐付け'!$C$4:$C$200,A30))</f>
        <v/>
      </c>
      <c r="H30" s="21">
        <f>IF(A30="","",COUNTIF('業務'!$C$4:$C$200,A30))</f>
        <v/>
      </c>
      <c r="I30" s="21">
        <f>IF(A30="","",IF(H30=0,"業務が未登録",IF(COUNTIFS('業務'!$C$4:$C$200,A30,'業務'!$J$4:$J$200,"済")=H30,"済","未")))</f>
        <v/>
      </c>
    </row>
    <row r="31">
      <c r="A31" s="18" t="n"/>
      <c r="B31" s="18" t="n"/>
      <c r="C31" s="18" t="n"/>
      <c r="D31" s="18" t="n"/>
      <c r="E31" s="18" t="n"/>
      <c r="F31" s="33" t="n"/>
      <c r="G31" s="21">
        <f>IF(A31="","",COUNTIF('紐付け'!$C$4:$C$200,A31))</f>
        <v/>
      </c>
      <c r="H31" s="21">
        <f>IF(A31="","",COUNTIF('業務'!$C$4:$C$200,A31))</f>
        <v/>
      </c>
      <c r="I31" s="21">
        <f>IF(A31="","",IF(H31=0,"業務が未登録",IF(COUNTIFS('業務'!$C$4:$C$200,A31,'業務'!$J$4:$J$200,"済")=H31,"済","未")))</f>
        <v/>
      </c>
    </row>
    <row r="32">
      <c r="A32" s="18" t="n"/>
      <c r="B32" s="18" t="n"/>
      <c r="C32" s="18" t="n"/>
      <c r="D32" s="18" t="n"/>
      <c r="E32" s="18" t="n"/>
      <c r="F32" s="33" t="n"/>
      <c r="G32" s="21">
        <f>IF(A32="","",COUNTIF('紐付け'!$C$4:$C$200,A32))</f>
        <v/>
      </c>
      <c r="H32" s="21">
        <f>IF(A32="","",COUNTIF('業務'!$C$4:$C$200,A32))</f>
        <v/>
      </c>
      <c r="I32" s="21">
        <f>IF(A32="","",IF(H32=0,"業務が未登録",IF(COUNTIFS('業務'!$C$4:$C$200,A32,'業務'!$J$4:$J$200,"済")=H32,"済","未")))</f>
        <v/>
      </c>
    </row>
    <row r="33">
      <c r="A33" s="18" t="n"/>
      <c r="B33" s="18" t="n"/>
      <c r="C33" s="18" t="n"/>
      <c r="D33" s="18" t="n"/>
      <c r="E33" s="18" t="n"/>
      <c r="F33" s="33" t="n"/>
      <c r="G33" s="21">
        <f>IF(A33="","",COUNTIF('紐付け'!$C$4:$C$200,A33))</f>
        <v/>
      </c>
      <c r="H33" s="21">
        <f>IF(A33="","",COUNTIF('業務'!$C$4:$C$200,A33))</f>
        <v/>
      </c>
      <c r="I33" s="21">
        <f>IF(A33="","",IF(H33=0,"業務が未登録",IF(COUNTIFS('業務'!$C$4:$C$200,A33,'業務'!$J$4:$J$200,"済")=H33,"済","未")))</f>
        <v/>
      </c>
    </row>
    <row r="34">
      <c r="A34" s="18" t="n"/>
      <c r="B34" s="18" t="n"/>
      <c r="C34" s="18" t="n"/>
      <c r="D34" s="18" t="n"/>
      <c r="E34" s="18" t="n"/>
      <c r="F34" s="33" t="n"/>
      <c r="G34" s="21">
        <f>IF(A34="","",COUNTIF('紐付け'!$C$4:$C$200,A34))</f>
        <v/>
      </c>
      <c r="H34" s="21">
        <f>IF(A34="","",COUNTIF('業務'!$C$4:$C$200,A34))</f>
        <v/>
      </c>
      <c r="I34" s="21">
        <f>IF(A34="","",IF(H34=0,"業務が未登録",IF(COUNTIFS('業務'!$C$4:$C$200,A34,'業務'!$J$4:$J$200,"済")=H34,"済","未")))</f>
        <v/>
      </c>
    </row>
    <row r="35">
      <c r="A35" s="18" t="n"/>
      <c r="B35" s="18" t="n"/>
      <c r="C35" s="18" t="n"/>
      <c r="D35" s="18" t="n"/>
      <c r="E35" s="18" t="n"/>
      <c r="F35" s="33" t="n"/>
      <c r="G35" s="21">
        <f>IF(A35="","",COUNTIF('紐付け'!$C$4:$C$200,A35))</f>
        <v/>
      </c>
      <c r="H35" s="21">
        <f>IF(A35="","",COUNTIF('業務'!$C$4:$C$200,A35))</f>
        <v/>
      </c>
      <c r="I35" s="21">
        <f>IF(A35="","",IF(H35=0,"業務が未登録",IF(COUNTIFS('業務'!$C$4:$C$200,A35,'業務'!$J$4:$J$200,"済")=H35,"済","未")))</f>
        <v/>
      </c>
    </row>
    <row r="36">
      <c r="A36" s="18" t="n"/>
      <c r="B36" s="18" t="n"/>
      <c r="C36" s="18" t="n"/>
      <c r="D36" s="18" t="n"/>
      <c r="E36" s="18" t="n"/>
      <c r="F36" s="33" t="n"/>
      <c r="G36" s="21">
        <f>IF(A36="","",COUNTIF('紐付け'!$C$4:$C$200,A36))</f>
        <v/>
      </c>
      <c r="H36" s="21">
        <f>IF(A36="","",COUNTIF('業務'!$C$4:$C$200,A36))</f>
        <v/>
      </c>
      <c r="I36" s="21">
        <f>IF(A36="","",IF(H36=0,"業務が未登録",IF(COUNTIFS('業務'!$C$4:$C$200,A36,'業務'!$J$4:$J$200,"済")=H36,"済","未")))</f>
        <v/>
      </c>
    </row>
    <row r="37">
      <c r="A37" s="18" t="n"/>
      <c r="B37" s="18" t="n"/>
      <c r="C37" s="18" t="n"/>
      <c r="D37" s="18" t="n"/>
      <c r="E37" s="18" t="n"/>
      <c r="F37" s="33" t="n"/>
      <c r="G37" s="21">
        <f>IF(A37="","",COUNTIF('紐付け'!$C$4:$C$200,A37))</f>
        <v/>
      </c>
      <c r="H37" s="21">
        <f>IF(A37="","",COUNTIF('業務'!$C$4:$C$200,A37))</f>
        <v/>
      </c>
      <c r="I37" s="21">
        <f>IF(A37="","",IF(H37=0,"業務が未登録",IF(COUNTIFS('業務'!$C$4:$C$200,A37,'業務'!$J$4:$J$200,"済")=H37,"済","未")))</f>
        <v/>
      </c>
    </row>
    <row r="38">
      <c r="A38" s="18" t="n"/>
      <c r="B38" s="18" t="n"/>
      <c r="C38" s="18" t="n"/>
      <c r="D38" s="18" t="n"/>
      <c r="E38" s="18" t="n"/>
      <c r="F38" s="33" t="n"/>
      <c r="G38" s="21">
        <f>IF(A38="","",COUNTIF('紐付け'!$C$4:$C$200,A38))</f>
        <v/>
      </c>
      <c r="H38" s="21">
        <f>IF(A38="","",COUNTIF('業務'!$C$4:$C$200,A38))</f>
        <v/>
      </c>
      <c r="I38" s="21">
        <f>IF(A38="","",IF(H38=0,"業務が未登録",IF(COUNTIFS('業務'!$C$4:$C$200,A38,'業務'!$J$4:$J$200,"済")=H38,"済","未")))</f>
        <v/>
      </c>
    </row>
    <row r="39">
      <c r="A39" s="18" t="n"/>
      <c r="B39" s="18" t="n"/>
      <c r="C39" s="18" t="n"/>
      <c r="D39" s="18" t="n"/>
      <c r="E39" s="18" t="n"/>
      <c r="F39" s="33" t="n"/>
      <c r="G39" s="21">
        <f>IF(A39="","",COUNTIF('紐付け'!$C$4:$C$200,A39))</f>
        <v/>
      </c>
      <c r="H39" s="21">
        <f>IF(A39="","",COUNTIF('業務'!$C$4:$C$200,A39))</f>
        <v/>
      </c>
      <c r="I39" s="21">
        <f>IF(A39="","",IF(H39=0,"業務が未登録",IF(COUNTIFS('業務'!$C$4:$C$200,A39,'業務'!$J$4:$J$200,"済")=H39,"済","未")))</f>
        <v/>
      </c>
    </row>
    <row r="40">
      <c r="A40" s="18" t="n"/>
      <c r="B40" s="18" t="n"/>
      <c r="C40" s="18" t="n"/>
      <c r="D40" s="18" t="n"/>
      <c r="E40" s="18" t="n"/>
      <c r="F40" s="33" t="n"/>
      <c r="G40" s="21">
        <f>IF(A40="","",COUNTIF('紐付け'!$C$4:$C$200,A40))</f>
        <v/>
      </c>
      <c r="H40" s="21">
        <f>IF(A40="","",COUNTIF('業務'!$C$4:$C$200,A40))</f>
        <v/>
      </c>
      <c r="I40" s="21">
        <f>IF(A40="","",IF(H40=0,"業務が未登録",IF(COUNTIFS('業務'!$C$4:$C$200,A40,'業務'!$J$4:$J$200,"済")=H40,"済","未")))</f>
        <v/>
      </c>
    </row>
    <row r="41">
      <c r="A41" s="18" t="n"/>
      <c r="B41" s="18" t="n"/>
      <c r="C41" s="18" t="n"/>
      <c r="D41" s="18" t="n"/>
      <c r="E41" s="18" t="n"/>
      <c r="F41" s="33" t="n"/>
      <c r="G41" s="21">
        <f>IF(A41="","",COUNTIF('紐付け'!$C$4:$C$200,A41))</f>
        <v/>
      </c>
      <c r="H41" s="21">
        <f>IF(A41="","",COUNTIF('業務'!$C$4:$C$200,A41))</f>
        <v/>
      </c>
      <c r="I41" s="21">
        <f>IF(A41="","",IF(H41=0,"業務が未登録",IF(COUNTIFS('業務'!$C$4:$C$200,A41,'業務'!$J$4:$J$200,"済")=H41,"済","未")))</f>
        <v/>
      </c>
    </row>
    <row r="42">
      <c r="A42" s="18" t="n"/>
      <c r="B42" s="18" t="n"/>
      <c r="C42" s="18" t="n"/>
      <c r="D42" s="18" t="n"/>
      <c r="E42" s="18" t="n"/>
      <c r="F42" s="33" t="n"/>
      <c r="G42" s="21">
        <f>IF(A42="","",COUNTIF('紐付け'!$C$4:$C$200,A42))</f>
        <v/>
      </c>
      <c r="H42" s="21">
        <f>IF(A42="","",COUNTIF('業務'!$C$4:$C$200,A42))</f>
        <v/>
      </c>
      <c r="I42" s="21">
        <f>IF(A42="","",IF(H42=0,"業務が未登録",IF(COUNTIFS('業務'!$C$4:$C$200,A42,'業務'!$J$4:$J$200,"済")=H42,"済","未")))</f>
        <v/>
      </c>
    </row>
    <row r="43">
      <c r="A43" s="18" t="n"/>
      <c r="B43" s="18" t="n"/>
      <c r="C43" s="18" t="n"/>
      <c r="D43" s="18" t="n"/>
      <c r="E43" s="18" t="n"/>
      <c r="F43" s="33" t="n"/>
      <c r="G43" s="21">
        <f>IF(A43="","",COUNTIF('紐付け'!$C$4:$C$200,A43))</f>
        <v/>
      </c>
      <c r="H43" s="21">
        <f>IF(A43="","",COUNTIF('業務'!$C$4:$C$200,A43))</f>
        <v/>
      </c>
      <c r="I43" s="21">
        <f>IF(A43="","",IF(H43=0,"業務が未登録",IF(COUNTIFS('業務'!$C$4:$C$200,A43,'業務'!$J$4:$J$200,"済")=H43,"済","未")))</f>
        <v/>
      </c>
    </row>
    <row r="44">
      <c r="A44" s="18" t="n"/>
      <c r="B44" s="18" t="n"/>
      <c r="C44" s="18" t="n"/>
      <c r="D44" s="18" t="n"/>
      <c r="E44" s="18" t="n"/>
      <c r="F44" s="33" t="n"/>
      <c r="G44" s="21">
        <f>IF(A44="","",COUNTIF('紐付け'!$C$4:$C$200,A44))</f>
        <v/>
      </c>
      <c r="H44" s="21">
        <f>IF(A44="","",COUNTIF('業務'!$C$4:$C$200,A44))</f>
        <v/>
      </c>
      <c r="I44" s="21">
        <f>IF(A44="","",IF(H44=0,"業務が未登録",IF(COUNTIFS('業務'!$C$4:$C$200,A44,'業務'!$J$4:$J$200,"済")=H44,"済","未")))</f>
        <v/>
      </c>
    </row>
    <row r="45">
      <c r="A45" s="18" t="n"/>
      <c r="B45" s="18" t="n"/>
      <c r="C45" s="18" t="n"/>
      <c r="D45" s="18" t="n"/>
      <c r="E45" s="18" t="n"/>
      <c r="F45" s="33" t="n"/>
      <c r="G45" s="21">
        <f>IF(A45="","",COUNTIF('紐付け'!$C$4:$C$200,A45))</f>
        <v/>
      </c>
      <c r="H45" s="21">
        <f>IF(A45="","",COUNTIF('業務'!$C$4:$C$200,A45))</f>
        <v/>
      </c>
      <c r="I45" s="21">
        <f>IF(A45="","",IF(H45=0,"業務が未登録",IF(COUNTIFS('業務'!$C$4:$C$200,A45,'業務'!$J$4:$J$200,"済")=H45,"済","未")))</f>
        <v/>
      </c>
    </row>
    <row r="46">
      <c r="A46" s="18" t="n"/>
      <c r="B46" s="18" t="n"/>
      <c r="C46" s="18" t="n"/>
      <c r="D46" s="18" t="n"/>
      <c r="E46" s="18" t="n"/>
      <c r="F46" s="33" t="n"/>
      <c r="G46" s="21">
        <f>IF(A46="","",COUNTIF('紐付け'!$C$4:$C$200,A46))</f>
        <v/>
      </c>
      <c r="H46" s="21">
        <f>IF(A46="","",COUNTIF('業務'!$C$4:$C$200,A46))</f>
        <v/>
      </c>
      <c r="I46" s="21">
        <f>IF(A46="","",IF(H46=0,"業務が未登録",IF(COUNTIFS('業務'!$C$4:$C$200,A46,'業務'!$J$4:$J$200,"済")=H46,"済","未")))</f>
        <v/>
      </c>
    </row>
    <row r="47">
      <c r="A47" s="18" t="n"/>
      <c r="B47" s="18" t="n"/>
      <c r="C47" s="18" t="n"/>
      <c r="D47" s="18" t="n"/>
      <c r="E47" s="18" t="n"/>
      <c r="F47" s="33" t="n"/>
      <c r="G47" s="21">
        <f>IF(A47="","",COUNTIF('紐付け'!$C$4:$C$200,A47))</f>
        <v/>
      </c>
      <c r="H47" s="21">
        <f>IF(A47="","",COUNTIF('業務'!$C$4:$C$200,A47))</f>
        <v/>
      </c>
      <c r="I47" s="21">
        <f>IF(A47="","",IF(H47=0,"業務が未登録",IF(COUNTIFS('業務'!$C$4:$C$200,A47,'業務'!$J$4:$J$200,"済")=H47,"済","未")))</f>
        <v/>
      </c>
    </row>
    <row r="48">
      <c r="A48" s="18" t="n"/>
      <c r="B48" s="18" t="n"/>
      <c r="C48" s="18" t="n"/>
      <c r="D48" s="18" t="n"/>
      <c r="E48" s="18" t="n"/>
      <c r="F48" s="33" t="n"/>
      <c r="G48" s="21">
        <f>IF(A48="","",COUNTIF('紐付け'!$C$4:$C$200,A48))</f>
        <v/>
      </c>
      <c r="H48" s="21">
        <f>IF(A48="","",COUNTIF('業務'!$C$4:$C$200,A48))</f>
        <v/>
      </c>
      <c r="I48" s="21">
        <f>IF(A48="","",IF(H48=0,"業務が未登録",IF(COUNTIFS('業務'!$C$4:$C$200,A48,'業務'!$J$4:$J$200,"済")=H48,"済","未")))</f>
        <v/>
      </c>
    </row>
    <row r="49">
      <c r="A49" s="18" t="n"/>
      <c r="B49" s="18" t="n"/>
      <c r="C49" s="18" t="n"/>
      <c r="D49" s="18" t="n"/>
      <c r="E49" s="18" t="n"/>
      <c r="F49" s="33" t="n"/>
      <c r="G49" s="21">
        <f>IF(A49="","",COUNTIF('紐付け'!$C$4:$C$200,A49))</f>
        <v/>
      </c>
      <c r="H49" s="21">
        <f>IF(A49="","",COUNTIF('業務'!$C$4:$C$200,A49))</f>
        <v/>
      </c>
      <c r="I49" s="21">
        <f>IF(A49="","",IF(H49=0,"業務が未登録",IF(COUNTIFS('業務'!$C$4:$C$200,A49,'業務'!$J$4:$J$200,"済")=H49,"済","未")))</f>
        <v/>
      </c>
    </row>
    <row r="50">
      <c r="A50" s="18" t="n"/>
      <c r="B50" s="18" t="n"/>
      <c r="C50" s="18" t="n"/>
      <c r="D50" s="18" t="n"/>
      <c r="E50" s="18" t="n"/>
      <c r="F50" s="33" t="n"/>
      <c r="G50" s="21">
        <f>IF(A50="","",COUNTIF('紐付け'!$C$4:$C$200,A50))</f>
        <v/>
      </c>
      <c r="H50" s="21">
        <f>IF(A50="","",COUNTIF('業務'!$C$4:$C$200,A50))</f>
        <v/>
      </c>
      <c r="I50" s="21">
        <f>IF(A50="","",IF(H50=0,"業務が未登録",IF(COUNTIFS('業務'!$C$4:$C$200,A50,'業務'!$J$4:$J$200,"済")=H50,"済","未")))</f>
        <v/>
      </c>
    </row>
    <row r="51">
      <c r="A51" s="18" t="n"/>
      <c r="B51" s="18" t="n"/>
      <c r="C51" s="18" t="n"/>
      <c r="D51" s="18" t="n"/>
      <c r="E51" s="18" t="n"/>
      <c r="F51" s="33" t="n"/>
      <c r="G51" s="21">
        <f>IF(A51="","",COUNTIF('紐付け'!$C$4:$C$200,A51))</f>
        <v/>
      </c>
      <c r="H51" s="21">
        <f>IF(A51="","",COUNTIF('業務'!$C$4:$C$200,A51))</f>
        <v/>
      </c>
      <c r="I51" s="21">
        <f>IF(A51="","",IF(H51=0,"業務が未登録",IF(COUNTIFS('業務'!$C$4:$C$200,A51,'業務'!$J$4:$J$200,"済")=H51,"済","未")))</f>
        <v/>
      </c>
    </row>
    <row r="52">
      <c r="A52" s="18" t="n"/>
      <c r="B52" s="18" t="n"/>
      <c r="C52" s="18" t="n"/>
      <c r="D52" s="18" t="n"/>
      <c r="E52" s="18" t="n"/>
      <c r="F52" s="33" t="n"/>
      <c r="G52" s="21">
        <f>IF(A52="","",COUNTIF('紐付け'!$C$4:$C$200,A52))</f>
        <v/>
      </c>
      <c r="H52" s="21">
        <f>IF(A52="","",COUNTIF('業務'!$C$4:$C$200,A52))</f>
        <v/>
      </c>
      <c r="I52" s="21">
        <f>IF(A52="","",IF(H52=0,"業務が未登録",IF(COUNTIFS('業務'!$C$4:$C$200,A52,'業務'!$J$4:$J$200,"済")=H52,"済","未")))</f>
        <v/>
      </c>
    </row>
    <row r="53">
      <c r="A53" s="18" t="n"/>
      <c r="B53" s="18" t="n"/>
      <c r="C53" s="18" t="n"/>
      <c r="D53" s="18" t="n"/>
      <c r="E53" s="18" t="n"/>
      <c r="F53" s="33" t="n"/>
      <c r="G53" s="21">
        <f>IF(A53="","",COUNTIF('紐付け'!$C$4:$C$200,A53))</f>
        <v/>
      </c>
      <c r="H53" s="21">
        <f>IF(A53="","",COUNTIF('業務'!$C$4:$C$200,A53))</f>
        <v/>
      </c>
      <c r="I53" s="21">
        <f>IF(A53="","",IF(H53=0,"業務が未登録",IF(COUNTIFS('業務'!$C$4:$C$200,A53,'業務'!$J$4:$J$200,"済")=H53,"済","未")))</f>
        <v/>
      </c>
    </row>
    <row r="54">
      <c r="A54" s="18" t="n"/>
      <c r="B54" s="18" t="n"/>
      <c r="C54" s="18" t="n"/>
      <c r="D54" s="18" t="n"/>
      <c r="E54" s="18" t="n"/>
      <c r="F54" s="33" t="n"/>
      <c r="G54" s="21">
        <f>IF(A54="","",COUNTIF('紐付け'!$C$4:$C$200,A54))</f>
        <v/>
      </c>
      <c r="H54" s="21">
        <f>IF(A54="","",COUNTIF('業務'!$C$4:$C$200,A54))</f>
        <v/>
      </c>
      <c r="I54" s="21">
        <f>IF(A54="","",IF(H54=0,"業務が未登録",IF(COUNTIFS('業務'!$C$4:$C$200,A54,'業務'!$J$4:$J$200,"済")=H54,"済","未")))</f>
        <v/>
      </c>
    </row>
    <row r="55">
      <c r="A55" s="18" t="n"/>
      <c r="B55" s="18" t="n"/>
      <c r="C55" s="18" t="n"/>
      <c r="D55" s="18" t="n"/>
      <c r="E55" s="18" t="n"/>
      <c r="F55" s="33" t="n"/>
      <c r="G55" s="21">
        <f>IF(A55="","",COUNTIF('紐付け'!$C$4:$C$200,A55))</f>
        <v/>
      </c>
      <c r="H55" s="21">
        <f>IF(A55="","",COUNTIF('業務'!$C$4:$C$200,A55))</f>
        <v/>
      </c>
      <c r="I55" s="21">
        <f>IF(A55="","",IF(H55=0,"業務が未登録",IF(COUNTIFS('業務'!$C$4:$C$200,A55,'業務'!$J$4:$J$200,"済")=H55,"済","未")))</f>
        <v/>
      </c>
    </row>
    <row r="56">
      <c r="A56" s="18" t="n"/>
      <c r="B56" s="18" t="n"/>
      <c r="C56" s="18" t="n"/>
      <c r="D56" s="18" t="n"/>
      <c r="E56" s="18" t="n"/>
      <c r="F56" s="33" t="n"/>
      <c r="G56" s="21">
        <f>IF(A56="","",COUNTIF('紐付け'!$C$4:$C$200,A56))</f>
        <v/>
      </c>
      <c r="H56" s="21">
        <f>IF(A56="","",COUNTIF('業務'!$C$4:$C$200,A56))</f>
        <v/>
      </c>
      <c r="I56" s="21">
        <f>IF(A56="","",IF(H56=0,"業務が未登録",IF(COUNTIFS('業務'!$C$4:$C$200,A56,'業務'!$J$4:$J$200,"済")=H56,"済","未")))</f>
        <v/>
      </c>
    </row>
    <row r="57">
      <c r="A57" s="18" t="n"/>
      <c r="B57" s="18" t="n"/>
      <c r="C57" s="18" t="n"/>
      <c r="D57" s="18" t="n"/>
      <c r="E57" s="18" t="n"/>
      <c r="F57" s="33" t="n"/>
      <c r="G57" s="21">
        <f>IF(A57="","",COUNTIF('紐付け'!$C$4:$C$200,A57))</f>
        <v/>
      </c>
      <c r="H57" s="21">
        <f>IF(A57="","",COUNTIF('業務'!$C$4:$C$200,A57))</f>
        <v/>
      </c>
      <c r="I57" s="21">
        <f>IF(A57="","",IF(H57=0,"業務が未登録",IF(COUNTIFS('業務'!$C$4:$C$200,A57,'業務'!$J$4:$J$200,"済")=H57,"済","未")))</f>
        <v/>
      </c>
    </row>
    <row r="58">
      <c r="A58" s="18" t="n"/>
      <c r="B58" s="18" t="n"/>
      <c r="C58" s="18" t="n"/>
      <c r="D58" s="18" t="n"/>
      <c r="E58" s="18" t="n"/>
      <c r="F58" s="33" t="n"/>
      <c r="G58" s="21">
        <f>IF(A58="","",COUNTIF('紐付け'!$C$4:$C$200,A58))</f>
        <v/>
      </c>
      <c r="H58" s="21">
        <f>IF(A58="","",COUNTIF('業務'!$C$4:$C$200,A58))</f>
        <v/>
      </c>
      <c r="I58" s="21">
        <f>IF(A58="","",IF(H58=0,"業務が未登録",IF(COUNTIFS('業務'!$C$4:$C$200,A58,'業務'!$J$4:$J$200,"済")=H58,"済","未")))</f>
        <v/>
      </c>
    </row>
    <row r="59">
      <c r="A59" s="18" t="n"/>
      <c r="B59" s="18" t="n"/>
      <c r="C59" s="18" t="n"/>
      <c r="D59" s="18" t="n"/>
      <c r="E59" s="18" t="n"/>
      <c r="F59" s="33" t="n"/>
      <c r="G59" s="21">
        <f>IF(A59="","",COUNTIF('紐付け'!$C$4:$C$200,A59))</f>
        <v/>
      </c>
      <c r="H59" s="21">
        <f>IF(A59="","",COUNTIF('業務'!$C$4:$C$200,A59))</f>
        <v/>
      </c>
      <c r="I59" s="21">
        <f>IF(A59="","",IF(H59=0,"業務が未登録",IF(COUNTIFS('業務'!$C$4:$C$200,A59,'業務'!$J$4:$J$200,"済")=H59,"済","未")))</f>
        <v/>
      </c>
    </row>
    <row r="60">
      <c r="A60" s="18" t="n"/>
      <c r="B60" s="18" t="n"/>
      <c r="C60" s="18" t="n"/>
      <c r="D60" s="18" t="n"/>
      <c r="E60" s="18" t="n"/>
      <c r="F60" s="33" t="n"/>
      <c r="G60" s="21">
        <f>IF(A60="","",COUNTIF('紐付け'!$C$4:$C$200,A60))</f>
        <v/>
      </c>
      <c r="H60" s="21">
        <f>IF(A60="","",COUNTIF('業務'!$C$4:$C$200,A60))</f>
        <v/>
      </c>
      <c r="I60" s="21">
        <f>IF(A60="","",IF(H60=0,"業務が未登録",IF(COUNTIFS('業務'!$C$4:$C$200,A60,'業務'!$J$4:$J$200,"済")=H60,"済","未")))</f>
        <v/>
      </c>
    </row>
    <row r="61">
      <c r="A61" s="18" t="n"/>
      <c r="B61" s="18" t="n"/>
      <c r="C61" s="18" t="n"/>
      <c r="D61" s="18" t="n"/>
      <c r="E61" s="18" t="n"/>
      <c r="F61" s="33" t="n"/>
      <c r="G61" s="21">
        <f>IF(A61="","",COUNTIF('紐付け'!$C$4:$C$200,A61))</f>
        <v/>
      </c>
      <c r="H61" s="21">
        <f>IF(A61="","",COUNTIF('業務'!$C$4:$C$200,A61))</f>
        <v/>
      </c>
      <c r="I61" s="21">
        <f>IF(A61="","",IF(H61=0,"業務が未登録",IF(COUNTIFS('業務'!$C$4:$C$200,A61,'業務'!$J$4:$J$200,"済")=H61,"済","未")))</f>
        <v/>
      </c>
    </row>
    <row r="62">
      <c r="A62" s="18" t="n"/>
      <c r="B62" s="18" t="n"/>
      <c r="C62" s="18" t="n"/>
      <c r="D62" s="18" t="n"/>
      <c r="E62" s="18" t="n"/>
      <c r="F62" s="33" t="n"/>
      <c r="G62" s="21">
        <f>IF(A62="","",COUNTIF('紐付け'!$C$4:$C$200,A62))</f>
        <v/>
      </c>
      <c r="H62" s="21">
        <f>IF(A62="","",COUNTIF('業務'!$C$4:$C$200,A62))</f>
        <v/>
      </c>
      <c r="I62" s="21">
        <f>IF(A62="","",IF(H62=0,"業務が未登録",IF(COUNTIFS('業務'!$C$4:$C$200,A62,'業務'!$J$4:$J$200,"済")=H62,"済","未")))</f>
        <v/>
      </c>
    </row>
    <row r="63">
      <c r="A63" s="18" t="n"/>
      <c r="B63" s="18" t="n"/>
      <c r="C63" s="18" t="n"/>
      <c r="D63" s="18" t="n"/>
      <c r="E63" s="18" t="n"/>
      <c r="F63" s="33" t="n"/>
      <c r="G63" s="21">
        <f>IF(A63="","",COUNTIF('紐付け'!$C$4:$C$200,A63))</f>
        <v/>
      </c>
      <c r="H63" s="21">
        <f>IF(A63="","",COUNTIF('業務'!$C$4:$C$200,A63))</f>
        <v/>
      </c>
      <c r="I63" s="21">
        <f>IF(A63="","",IF(H63=0,"業務が未登録",IF(COUNTIFS('業務'!$C$4:$C$200,A63,'業務'!$J$4:$J$200,"済")=H63,"済","未")))</f>
        <v/>
      </c>
    </row>
    <row r="64">
      <c r="A64" s="18" t="n"/>
      <c r="B64" s="18" t="n"/>
      <c r="C64" s="18" t="n"/>
      <c r="D64" s="18" t="n"/>
      <c r="E64" s="18" t="n"/>
      <c r="F64" s="33" t="n"/>
      <c r="G64" s="21">
        <f>IF(A64="","",COUNTIF('紐付け'!$C$4:$C$200,A64))</f>
        <v/>
      </c>
      <c r="H64" s="21">
        <f>IF(A64="","",COUNTIF('業務'!$C$4:$C$200,A64))</f>
        <v/>
      </c>
      <c r="I64" s="21">
        <f>IF(A64="","",IF(H64=0,"業務が未登録",IF(COUNTIFS('業務'!$C$4:$C$200,A64,'業務'!$J$4:$J$200,"済")=H64,"済","未")))</f>
        <v/>
      </c>
    </row>
    <row r="65">
      <c r="A65" s="18" t="n"/>
      <c r="B65" s="18" t="n"/>
      <c r="C65" s="18" t="n"/>
      <c r="D65" s="18" t="n"/>
      <c r="E65" s="18" t="n"/>
      <c r="F65" s="33" t="n"/>
      <c r="G65" s="21">
        <f>IF(A65="","",COUNTIF('紐付け'!$C$4:$C$200,A65))</f>
        <v/>
      </c>
      <c r="H65" s="21">
        <f>IF(A65="","",COUNTIF('業務'!$C$4:$C$200,A65))</f>
        <v/>
      </c>
      <c r="I65" s="21">
        <f>IF(A65="","",IF(H65=0,"業務が未登録",IF(COUNTIFS('業務'!$C$4:$C$200,A65,'業務'!$J$4:$J$200,"済")=H65,"済","未")))</f>
        <v/>
      </c>
    </row>
    <row r="66">
      <c r="A66" s="18" t="n"/>
      <c r="B66" s="18" t="n"/>
      <c r="C66" s="18" t="n"/>
      <c r="D66" s="18" t="n"/>
      <c r="E66" s="18" t="n"/>
      <c r="F66" s="33" t="n"/>
      <c r="G66" s="21">
        <f>IF(A66="","",COUNTIF('紐付け'!$C$4:$C$200,A66))</f>
        <v/>
      </c>
      <c r="H66" s="21">
        <f>IF(A66="","",COUNTIF('業務'!$C$4:$C$200,A66))</f>
        <v/>
      </c>
      <c r="I66" s="21">
        <f>IF(A66="","",IF(H66=0,"業務が未登録",IF(COUNTIFS('業務'!$C$4:$C$200,A66,'業務'!$J$4:$J$200,"済")=H66,"済","未")))</f>
        <v/>
      </c>
    </row>
    <row r="67">
      <c r="A67" s="18" t="n"/>
      <c r="B67" s="18" t="n"/>
      <c r="C67" s="18" t="n"/>
      <c r="D67" s="18" t="n"/>
      <c r="E67" s="18" t="n"/>
      <c r="F67" s="33" t="n"/>
      <c r="G67" s="21">
        <f>IF(A67="","",COUNTIF('紐付け'!$C$4:$C$200,A67))</f>
        <v/>
      </c>
      <c r="H67" s="21">
        <f>IF(A67="","",COUNTIF('業務'!$C$4:$C$200,A67))</f>
        <v/>
      </c>
      <c r="I67" s="21">
        <f>IF(A67="","",IF(H67=0,"業務が未登録",IF(COUNTIFS('業務'!$C$4:$C$200,A67,'業務'!$J$4:$J$200,"済")=H67,"済","未")))</f>
        <v/>
      </c>
    </row>
    <row r="68">
      <c r="A68" s="18" t="n"/>
      <c r="B68" s="18" t="n"/>
      <c r="C68" s="18" t="n"/>
      <c r="D68" s="18" t="n"/>
      <c r="E68" s="18" t="n"/>
      <c r="F68" s="33" t="n"/>
      <c r="G68" s="21">
        <f>IF(A68="","",COUNTIF('紐付け'!$C$4:$C$200,A68))</f>
        <v/>
      </c>
      <c r="H68" s="21">
        <f>IF(A68="","",COUNTIF('業務'!$C$4:$C$200,A68))</f>
        <v/>
      </c>
      <c r="I68" s="21">
        <f>IF(A68="","",IF(H68=0,"業務が未登録",IF(COUNTIFS('業務'!$C$4:$C$200,A68,'業務'!$J$4:$J$200,"済")=H68,"済","未")))</f>
        <v/>
      </c>
    </row>
    <row r="69">
      <c r="A69" s="18" t="n"/>
      <c r="B69" s="18" t="n"/>
      <c r="C69" s="18" t="n"/>
      <c r="D69" s="18" t="n"/>
      <c r="E69" s="18" t="n"/>
      <c r="F69" s="33" t="n"/>
      <c r="G69" s="21">
        <f>IF(A69="","",COUNTIF('紐付け'!$C$4:$C$200,A69))</f>
        <v/>
      </c>
      <c r="H69" s="21">
        <f>IF(A69="","",COUNTIF('業務'!$C$4:$C$200,A69))</f>
        <v/>
      </c>
      <c r="I69" s="21">
        <f>IF(A69="","",IF(H69=0,"業務が未登録",IF(COUNTIFS('業務'!$C$4:$C$200,A69,'業務'!$J$4:$J$200,"済")=H69,"済","未")))</f>
        <v/>
      </c>
    </row>
    <row r="70">
      <c r="A70" s="18" t="n"/>
      <c r="B70" s="18" t="n"/>
      <c r="C70" s="18" t="n"/>
      <c r="D70" s="18" t="n"/>
      <c r="E70" s="18" t="n"/>
      <c r="F70" s="33" t="n"/>
      <c r="G70" s="21">
        <f>IF(A70="","",COUNTIF('紐付け'!$C$4:$C$200,A70))</f>
        <v/>
      </c>
      <c r="H70" s="21">
        <f>IF(A70="","",COUNTIF('業務'!$C$4:$C$200,A70))</f>
        <v/>
      </c>
      <c r="I70" s="21">
        <f>IF(A70="","",IF(H70=0,"業務が未登録",IF(COUNTIFS('業務'!$C$4:$C$200,A70,'業務'!$J$4:$J$200,"済")=H70,"済","未")))</f>
        <v/>
      </c>
    </row>
    <row r="71">
      <c r="A71" s="18" t="n"/>
      <c r="B71" s="18" t="n"/>
      <c r="C71" s="18" t="n"/>
      <c r="D71" s="18" t="n"/>
      <c r="E71" s="18" t="n"/>
      <c r="F71" s="33" t="n"/>
      <c r="G71" s="21">
        <f>IF(A71="","",COUNTIF('紐付け'!$C$4:$C$200,A71))</f>
        <v/>
      </c>
      <c r="H71" s="21">
        <f>IF(A71="","",COUNTIF('業務'!$C$4:$C$200,A71))</f>
        <v/>
      </c>
      <c r="I71" s="21">
        <f>IF(A71="","",IF(H71=0,"業務が未登録",IF(COUNTIFS('業務'!$C$4:$C$200,A71,'業務'!$J$4:$J$200,"済")=H71,"済","未")))</f>
        <v/>
      </c>
    </row>
    <row r="72">
      <c r="A72" s="18" t="n"/>
      <c r="B72" s="18" t="n"/>
      <c r="C72" s="18" t="n"/>
      <c r="D72" s="18" t="n"/>
      <c r="E72" s="18" t="n"/>
      <c r="F72" s="33" t="n"/>
      <c r="G72" s="21">
        <f>IF(A72="","",COUNTIF('紐付け'!$C$4:$C$200,A72))</f>
        <v/>
      </c>
      <c r="H72" s="21">
        <f>IF(A72="","",COUNTIF('業務'!$C$4:$C$200,A72))</f>
        <v/>
      </c>
      <c r="I72" s="21">
        <f>IF(A72="","",IF(H72=0,"業務が未登録",IF(COUNTIFS('業務'!$C$4:$C$200,A72,'業務'!$J$4:$J$200,"済")=H72,"済","未")))</f>
        <v/>
      </c>
    </row>
    <row r="73">
      <c r="A73" s="18" t="n"/>
      <c r="B73" s="18" t="n"/>
      <c r="C73" s="18" t="n"/>
      <c r="D73" s="18" t="n"/>
      <c r="E73" s="18" t="n"/>
      <c r="F73" s="33" t="n"/>
      <c r="G73" s="21">
        <f>IF(A73="","",COUNTIF('紐付け'!$C$4:$C$200,A73))</f>
        <v/>
      </c>
      <c r="H73" s="21">
        <f>IF(A73="","",COUNTIF('業務'!$C$4:$C$200,A73))</f>
        <v/>
      </c>
      <c r="I73" s="21">
        <f>IF(A73="","",IF(H73=0,"業務が未登録",IF(COUNTIFS('業務'!$C$4:$C$200,A73,'業務'!$J$4:$J$200,"済")=H73,"済","未")))</f>
        <v/>
      </c>
    </row>
    <row r="74">
      <c r="A74" s="18" t="n"/>
      <c r="B74" s="18" t="n"/>
      <c r="C74" s="18" t="n"/>
      <c r="D74" s="18" t="n"/>
      <c r="E74" s="18" t="n"/>
      <c r="F74" s="33" t="n"/>
      <c r="G74" s="21">
        <f>IF(A74="","",COUNTIF('紐付け'!$C$4:$C$200,A74))</f>
        <v/>
      </c>
      <c r="H74" s="21">
        <f>IF(A74="","",COUNTIF('業務'!$C$4:$C$200,A74))</f>
        <v/>
      </c>
      <c r="I74" s="21">
        <f>IF(A74="","",IF(H74=0,"業務が未登録",IF(COUNTIFS('業務'!$C$4:$C$200,A74,'業務'!$J$4:$J$200,"済")=H74,"済","未")))</f>
        <v/>
      </c>
    </row>
    <row r="75">
      <c r="A75" s="18" t="n"/>
      <c r="B75" s="18" t="n"/>
      <c r="C75" s="18" t="n"/>
      <c r="D75" s="18" t="n"/>
      <c r="E75" s="18" t="n"/>
      <c r="F75" s="33" t="n"/>
      <c r="G75" s="21">
        <f>IF(A75="","",COUNTIF('紐付け'!$C$4:$C$200,A75))</f>
        <v/>
      </c>
      <c r="H75" s="21">
        <f>IF(A75="","",COUNTIF('業務'!$C$4:$C$200,A75))</f>
        <v/>
      </c>
      <c r="I75" s="21">
        <f>IF(A75="","",IF(H75=0,"業務が未登録",IF(COUNTIFS('業務'!$C$4:$C$200,A75,'業務'!$J$4:$J$200,"済")=H75,"済","未")))</f>
        <v/>
      </c>
    </row>
    <row r="76">
      <c r="A76" s="18" t="n"/>
      <c r="B76" s="18" t="n"/>
      <c r="C76" s="18" t="n"/>
      <c r="D76" s="18" t="n"/>
      <c r="E76" s="18" t="n"/>
      <c r="F76" s="33" t="n"/>
      <c r="G76" s="21">
        <f>IF(A76="","",COUNTIF('紐付け'!$C$4:$C$200,A76))</f>
        <v/>
      </c>
      <c r="H76" s="21">
        <f>IF(A76="","",COUNTIF('業務'!$C$4:$C$200,A76))</f>
        <v/>
      </c>
      <c r="I76" s="21">
        <f>IF(A76="","",IF(H76=0,"業務が未登録",IF(COUNTIFS('業務'!$C$4:$C$200,A76,'業務'!$J$4:$J$200,"済")=H76,"済","未")))</f>
        <v/>
      </c>
    </row>
    <row r="77">
      <c r="A77" s="18" t="n"/>
      <c r="B77" s="18" t="n"/>
      <c r="C77" s="18" t="n"/>
      <c r="D77" s="18" t="n"/>
      <c r="E77" s="18" t="n"/>
      <c r="F77" s="33" t="n"/>
      <c r="G77" s="21">
        <f>IF(A77="","",COUNTIF('紐付け'!$C$4:$C$200,A77))</f>
        <v/>
      </c>
      <c r="H77" s="21">
        <f>IF(A77="","",COUNTIF('業務'!$C$4:$C$200,A77))</f>
        <v/>
      </c>
      <c r="I77" s="21">
        <f>IF(A77="","",IF(H77=0,"業務が未登録",IF(COUNTIFS('業務'!$C$4:$C$200,A77,'業務'!$J$4:$J$200,"済")=H77,"済","未")))</f>
        <v/>
      </c>
    </row>
    <row r="78">
      <c r="A78" s="18" t="n"/>
      <c r="B78" s="18" t="n"/>
      <c r="C78" s="18" t="n"/>
      <c r="D78" s="18" t="n"/>
      <c r="E78" s="18" t="n"/>
      <c r="F78" s="33" t="n"/>
      <c r="G78" s="21">
        <f>IF(A78="","",COUNTIF('紐付け'!$C$4:$C$200,A78))</f>
        <v/>
      </c>
      <c r="H78" s="21">
        <f>IF(A78="","",COUNTIF('業務'!$C$4:$C$200,A78))</f>
        <v/>
      </c>
      <c r="I78" s="21">
        <f>IF(A78="","",IF(H78=0,"業務が未登録",IF(COUNTIFS('業務'!$C$4:$C$200,A78,'業務'!$J$4:$J$200,"済")=H78,"済","未")))</f>
        <v/>
      </c>
    </row>
    <row r="79">
      <c r="A79" s="18" t="n"/>
      <c r="B79" s="18" t="n"/>
      <c r="C79" s="18" t="n"/>
      <c r="D79" s="18" t="n"/>
      <c r="E79" s="18" t="n"/>
      <c r="F79" s="33" t="n"/>
      <c r="G79" s="21">
        <f>IF(A79="","",COUNTIF('紐付け'!$C$4:$C$200,A79))</f>
        <v/>
      </c>
      <c r="H79" s="21">
        <f>IF(A79="","",COUNTIF('業務'!$C$4:$C$200,A79))</f>
        <v/>
      </c>
      <c r="I79" s="21">
        <f>IF(A79="","",IF(H79=0,"業務が未登録",IF(COUNTIFS('業務'!$C$4:$C$200,A79,'業務'!$J$4:$J$200,"済")=H79,"済","未")))</f>
        <v/>
      </c>
    </row>
    <row r="80">
      <c r="A80" s="18" t="n"/>
      <c r="B80" s="18" t="n"/>
      <c r="C80" s="18" t="n"/>
      <c r="D80" s="18" t="n"/>
      <c r="E80" s="18" t="n"/>
      <c r="F80" s="33" t="n"/>
      <c r="G80" s="21">
        <f>IF(A80="","",COUNTIF('紐付け'!$C$4:$C$200,A80))</f>
        <v/>
      </c>
      <c r="H80" s="21">
        <f>IF(A80="","",COUNTIF('業務'!$C$4:$C$200,A80))</f>
        <v/>
      </c>
      <c r="I80" s="21">
        <f>IF(A80="","",IF(H80=0,"業務が未登録",IF(COUNTIFS('業務'!$C$4:$C$200,A80,'業務'!$J$4:$J$200,"済")=H80,"済","未")))</f>
        <v/>
      </c>
    </row>
    <row r="81">
      <c r="A81" s="18" t="n"/>
      <c r="B81" s="18" t="n"/>
      <c r="C81" s="18" t="n"/>
      <c r="D81" s="18" t="n"/>
      <c r="E81" s="18" t="n"/>
      <c r="F81" s="33" t="n"/>
      <c r="G81" s="21">
        <f>IF(A81="","",COUNTIF('紐付け'!$C$4:$C$200,A81))</f>
        <v/>
      </c>
      <c r="H81" s="21">
        <f>IF(A81="","",COUNTIF('業務'!$C$4:$C$200,A81))</f>
        <v/>
      </c>
      <c r="I81" s="21">
        <f>IF(A81="","",IF(H81=0,"業務が未登録",IF(COUNTIFS('業務'!$C$4:$C$200,A81,'業務'!$J$4:$J$200,"済")=H81,"済","未")))</f>
        <v/>
      </c>
    </row>
    <row r="82">
      <c r="A82" s="18" t="n"/>
      <c r="B82" s="18" t="n"/>
      <c r="C82" s="18" t="n"/>
      <c r="D82" s="18" t="n"/>
      <c r="E82" s="18" t="n"/>
      <c r="F82" s="33" t="n"/>
      <c r="G82" s="21">
        <f>IF(A82="","",COUNTIF('紐付け'!$C$4:$C$200,A82))</f>
        <v/>
      </c>
      <c r="H82" s="21">
        <f>IF(A82="","",COUNTIF('業務'!$C$4:$C$200,A82))</f>
        <v/>
      </c>
      <c r="I82" s="21">
        <f>IF(A82="","",IF(H82=0,"業務が未登録",IF(COUNTIFS('業務'!$C$4:$C$200,A82,'業務'!$J$4:$J$200,"済")=H82,"済","未")))</f>
        <v/>
      </c>
    </row>
    <row r="83">
      <c r="A83" s="18" t="n"/>
      <c r="B83" s="18" t="n"/>
      <c r="C83" s="18" t="n"/>
      <c r="D83" s="18" t="n"/>
      <c r="E83" s="18" t="n"/>
      <c r="F83" s="33" t="n"/>
      <c r="G83" s="21">
        <f>IF(A83="","",COUNTIF('紐付け'!$C$4:$C$200,A83))</f>
        <v/>
      </c>
      <c r="H83" s="21">
        <f>IF(A83="","",COUNTIF('業務'!$C$4:$C$200,A83))</f>
        <v/>
      </c>
      <c r="I83" s="21">
        <f>IF(A83="","",IF(H83=0,"業務が未登録",IF(COUNTIFS('業務'!$C$4:$C$200,A83,'業務'!$J$4:$J$200,"済")=H83,"済","未")))</f>
        <v/>
      </c>
    </row>
    <row r="84">
      <c r="A84" s="18" t="n"/>
      <c r="B84" s="18" t="n"/>
      <c r="C84" s="18" t="n"/>
      <c r="D84" s="18" t="n"/>
      <c r="E84" s="18" t="n"/>
      <c r="F84" s="33" t="n"/>
      <c r="G84" s="21">
        <f>IF(A84="","",COUNTIF('紐付け'!$C$4:$C$200,A84))</f>
        <v/>
      </c>
      <c r="H84" s="21">
        <f>IF(A84="","",COUNTIF('業務'!$C$4:$C$200,A84))</f>
        <v/>
      </c>
      <c r="I84" s="21">
        <f>IF(A84="","",IF(H84=0,"業務が未登録",IF(COUNTIFS('業務'!$C$4:$C$200,A84,'業務'!$J$4:$J$200,"済")=H84,"済","未")))</f>
        <v/>
      </c>
    </row>
    <row r="85">
      <c r="A85" s="18" t="n"/>
      <c r="B85" s="18" t="n"/>
      <c r="C85" s="18" t="n"/>
      <c r="D85" s="18" t="n"/>
      <c r="E85" s="18" t="n"/>
      <c r="F85" s="33" t="n"/>
      <c r="G85" s="21">
        <f>IF(A85="","",COUNTIF('紐付け'!$C$4:$C$200,A85))</f>
        <v/>
      </c>
      <c r="H85" s="21">
        <f>IF(A85="","",COUNTIF('業務'!$C$4:$C$200,A85))</f>
        <v/>
      </c>
      <c r="I85" s="21">
        <f>IF(A85="","",IF(H85=0,"業務が未登録",IF(COUNTIFS('業務'!$C$4:$C$200,A85,'業務'!$J$4:$J$200,"済")=H85,"済","未")))</f>
        <v/>
      </c>
    </row>
    <row r="86">
      <c r="A86" s="18" t="n"/>
      <c r="B86" s="18" t="n"/>
      <c r="C86" s="18" t="n"/>
      <c r="D86" s="18" t="n"/>
      <c r="E86" s="18" t="n"/>
      <c r="F86" s="33" t="n"/>
      <c r="G86" s="21">
        <f>IF(A86="","",COUNTIF('紐付け'!$C$4:$C$200,A86))</f>
        <v/>
      </c>
      <c r="H86" s="21">
        <f>IF(A86="","",COUNTIF('業務'!$C$4:$C$200,A86))</f>
        <v/>
      </c>
      <c r="I86" s="21">
        <f>IF(A86="","",IF(H86=0,"業務が未登録",IF(COUNTIFS('業務'!$C$4:$C$200,A86,'業務'!$J$4:$J$200,"済")=H86,"済","未")))</f>
        <v/>
      </c>
    </row>
    <row r="87">
      <c r="A87" s="18" t="n"/>
      <c r="B87" s="18" t="n"/>
      <c r="C87" s="18" t="n"/>
      <c r="D87" s="18" t="n"/>
      <c r="E87" s="18" t="n"/>
      <c r="F87" s="33" t="n"/>
      <c r="G87" s="21">
        <f>IF(A87="","",COUNTIF('紐付け'!$C$4:$C$200,A87))</f>
        <v/>
      </c>
      <c r="H87" s="21">
        <f>IF(A87="","",COUNTIF('業務'!$C$4:$C$200,A87))</f>
        <v/>
      </c>
      <c r="I87" s="21">
        <f>IF(A87="","",IF(H87=0,"業務が未登録",IF(COUNTIFS('業務'!$C$4:$C$200,A87,'業務'!$J$4:$J$200,"済")=H87,"済","未")))</f>
        <v/>
      </c>
    </row>
    <row r="88">
      <c r="A88" s="18" t="n"/>
      <c r="B88" s="18" t="n"/>
      <c r="C88" s="18" t="n"/>
      <c r="D88" s="18" t="n"/>
      <c r="E88" s="18" t="n"/>
      <c r="F88" s="33" t="n"/>
      <c r="G88" s="21">
        <f>IF(A88="","",COUNTIF('紐付け'!$C$4:$C$200,A88))</f>
        <v/>
      </c>
      <c r="H88" s="21">
        <f>IF(A88="","",COUNTIF('業務'!$C$4:$C$200,A88))</f>
        <v/>
      </c>
      <c r="I88" s="21">
        <f>IF(A88="","",IF(H88=0,"業務が未登録",IF(COUNTIFS('業務'!$C$4:$C$200,A88,'業務'!$J$4:$J$200,"済")=H88,"済","未")))</f>
        <v/>
      </c>
    </row>
    <row r="89">
      <c r="A89" s="18" t="n"/>
      <c r="B89" s="18" t="n"/>
      <c r="C89" s="18" t="n"/>
      <c r="D89" s="18" t="n"/>
      <c r="E89" s="18" t="n"/>
      <c r="F89" s="33" t="n"/>
      <c r="G89" s="21">
        <f>IF(A89="","",COUNTIF('紐付け'!$C$4:$C$200,A89))</f>
        <v/>
      </c>
      <c r="H89" s="21">
        <f>IF(A89="","",COUNTIF('業務'!$C$4:$C$200,A89))</f>
        <v/>
      </c>
      <c r="I89" s="21">
        <f>IF(A89="","",IF(H89=0,"業務が未登録",IF(COUNTIFS('業務'!$C$4:$C$200,A89,'業務'!$J$4:$J$200,"済")=H89,"済","未")))</f>
        <v/>
      </c>
    </row>
    <row r="90">
      <c r="A90" s="18" t="n"/>
      <c r="B90" s="18" t="n"/>
      <c r="C90" s="18" t="n"/>
      <c r="D90" s="18" t="n"/>
      <c r="E90" s="18" t="n"/>
      <c r="F90" s="33" t="n"/>
      <c r="G90" s="21">
        <f>IF(A90="","",COUNTIF('紐付け'!$C$4:$C$200,A90))</f>
        <v/>
      </c>
      <c r="H90" s="21">
        <f>IF(A90="","",COUNTIF('業務'!$C$4:$C$200,A90))</f>
        <v/>
      </c>
      <c r="I90" s="21">
        <f>IF(A90="","",IF(H90=0,"業務が未登録",IF(COUNTIFS('業務'!$C$4:$C$200,A90,'業務'!$J$4:$J$200,"済")=H90,"済","未")))</f>
        <v/>
      </c>
    </row>
    <row r="91">
      <c r="A91" s="18" t="n"/>
      <c r="B91" s="18" t="n"/>
      <c r="C91" s="18" t="n"/>
      <c r="D91" s="18" t="n"/>
      <c r="E91" s="18" t="n"/>
      <c r="F91" s="33" t="n"/>
      <c r="G91" s="21">
        <f>IF(A91="","",COUNTIF('紐付け'!$C$4:$C$200,A91))</f>
        <v/>
      </c>
      <c r="H91" s="21">
        <f>IF(A91="","",COUNTIF('業務'!$C$4:$C$200,A91))</f>
        <v/>
      </c>
      <c r="I91" s="21">
        <f>IF(A91="","",IF(H91=0,"業務が未登録",IF(COUNTIFS('業務'!$C$4:$C$200,A91,'業務'!$J$4:$J$200,"済")=H91,"済","未")))</f>
        <v/>
      </c>
    </row>
    <row r="92">
      <c r="A92" s="18" t="n"/>
      <c r="B92" s="18" t="n"/>
      <c r="C92" s="18" t="n"/>
      <c r="D92" s="18" t="n"/>
      <c r="E92" s="18" t="n"/>
      <c r="F92" s="33" t="n"/>
      <c r="G92" s="21">
        <f>IF(A92="","",COUNTIF('紐付け'!$C$4:$C$200,A92))</f>
        <v/>
      </c>
      <c r="H92" s="21">
        <f>IF(A92="","",COUNTIF('業務'!$C$4:$C$200,A92))</f>
        <v/>
      </c>
      <c r="I92" s="21">
        <f>IF(A92="","",IF(H92=0,"業務が未登録",IF(COUNTIFS('業務'!$C$4:$C$200,A92,'業務'!$J$4:$J$200,"済")=H92,"済","未")))</f>
        <v/>
      </c>
    </row>
    <row r="93">
      <c r="A93" s="18" t="n"/>
      <c r="B93" s="18" t="n"/>
      <c r="C93" s="18" t="n"/>
      <c r="D93" s="18" t="n"/>
      <c r="E93" s="18" t="n"/>
      <c r="F93" s="33" t="n"/>
      <c r="G93" s="21">
        <f>IF(A93="","",COUNTIF('紐付け'!$C$4:$C$200,A93))</f>
        <v/>
      </c>
      <c r="H93" s="21">
        <f>IF(A93="","",COUNTIF('業務'!$C$4:$C$200,A93))</f>
        <v/>
      </c>
      <c r="I93" s="21">
        <f>IF(A93="","",IF(H93=0,"業務が未登録",IF(COUNTIFS('業務'!$C$4:$C$200,A93,'業務'!$J$4:$J$200,"済")=H93,"済","未")))</f>
        <v/>
      </c>
    </row>
    <row r="94">
      <c r="A94" s="18" t="n"/>
      <c r="B94" s="18" t="n"/>
      <c r="C94" s="18" t="n"/>
      <c r="D94" s="18" t="n"/>
      <c r="E94" s="18" t="n"/>
      <c r="F94" s="33" t="n"/>
      <c r="G94" s="21">
        <f>IF(A94="","",COUNTIF('紐付け'!$C$4:$C$200,A94))</f>
        <v/>
      </c>
      <c r="H94" s="21">
        <f>IF(A94="","",COUNTIF('業務'!$C$4:$C$200,A94))</f>
        <v/>
      </c>
      <c r="I94" s="21">
        <f>IF(A94="","",IF(H94=0,"業務が未登録",IF(COUNTIFS('業務'!$C$4:$C$200,A94,'業務'!$J$4:$J$200,"済")=H94,"済","未")))</f>
        <v/>
      </c>
    </row>
    <row r="95">
      <c r="A95" s="18" t="n"/>
      <c r="B95" s="18" t="n"/>
      <c r="C95" s="18" t="n"/>
      <c r="D95" s="18" t="n"/>
      <c r="E95" s="18" t="n"/>
      <c r="F95" s="33" t="n"/>
      <c r="G95" s="21">
        <f>IF(A95="","",COUNTIF('紐付け'!$C$4:$C$200,A95))</f>
        <v/>
      </c>
      <c r="H95" s="21">
        <f>IF(A95="","",COUNTIF('業務'!$C$4:$C$200,A95))</f>
        <v/>
      </c>
      <c r="I95" s="21">
        <f>IF(A95="","",IF(H95=0,"業務が未登録",IF(COUNTIFS('業務'!$C$4:$C$200,A95,'業務'!$J$4:$J$200,"済")=H95,"済","未")))</f>
        <v/>
      </c>
    </row>
    <row r="96">
      <c r="A96" s="18" t="n"/>
      <c r="B96" s="18" t="n"/>
      <c r="C96" s="18" t="n"/>
      <c r="D96" s="18" t="n"/>
      <c r="E96" s="18" t="n"/>
      <c r="F96" s="33" t="n"/>
      <c r="G96" s="21">
        <f>IF(A96="","",COUNTIF('紐付け'!$C$4:$C$200,A96))</f>
        <v/>
      </c>
      <c r="H96" s="21">
        <f>IF(A96="","",COUNTIF('業務'!$C$4:$C$200,A96))</f>
        <v/>
      </c>
      <c r="I96" s="21">
        <f>IF(A96="","",IF(H96=0,"業務が未登録",IF(COUNTIFS('業務'!$C$4:$C$200,A96,'業務'!$J$4:$J$200,"済")=H96,"済","未")))</f>
        <v/>
      </c>
    </row>
    <row r="97">
      <c r="A97" s="18" t="n"/>
      <c r="B97" s="18" t="n"/>
      <c r="C97" s="18" t="n"/>
      <c r="D97" s="18" t="n"/>
      <c r="E97" s="18" t="n"/>
      <c r="F97" s="33" t="n"/>
      <c r="G97" s="21">
        <f>IF(A97="","",COUNTIF('紐付け'!$C$4:$C$200,A97))</f>
        <v/>
      </c>
      <c r="H97" s="21">
        <f>IF(A97="","",COUNTIF('業務'!$C$4:$C$200,A97))</f>
        <v/>
      </c>
      <c r="I97" s="21">
        <f>IF(A97="","",IF(H97=0,"業務が未登録",IF(COUNTIFS('業務'!$C$4:$C$200,A97,'業務'!$J$4:$J$200,"済")=H97,"済","未")))</f>
        <v/>
      </c>
    </row>
    <row r="98">
      <c r="A98" s="18" t="n"/>
      <c r="B98" s="18" t="n"/>
      <c r="C98" s="18" t="n"/>
      <c r="D98" s="18" t="n"/>
      <c r="E98" s="18" t="n"/>
      <c r="F98" s="33" t="n"/>
      <c r="G98" s="21">
        <f>IF(A98="","",COUNTIF('紐付け'!$C$4:$C$200,A98))</f>
        <v/>
      </c>
      <c r="H98" s="21">
        <f>IF(A98="","",COUNTIF('業務'!$C$4:$C$200,A98))</f>
        <v/>
      </c>
      <c r="I98" s="21">
        <f>IF(A98="","",IF(H98=0,"業務が未登録",IF(COUNTIFS('業務'!$C$4:$C$200,A98,'業務'!$J$4:$J$200,"済")=H98,"済","未")))</f>
        <v/>
      </c>
    </row>
    <row r="99">
      <c r="A99" s="18" t="n"/>
      <c r="B99" s="18" t="n"/>
      <c r="C99" s="18" t="n"/>
      <c r="D99" s="18" t="n"/>
      <c r="E99" s="18" t="n"/>
      <c r="F99" s="33" t="n"/>
      <c r="G99" s="21">
        <f>IF(A99="","",COUNTIF('紐付け'!$C$4:$C$200,A99))</f>
        <v/>
      </c>
      <c r="H99" s="21">
        <f>IF(A99="","",COUNTIF('業務'!$C$4:$C$200,A99))</f>
        <v/>
      </c>
      <c r="I99" s="21">
        <f>IF(A99="","",IF(H99=0,"業務が未登録",IF(COUNTIFS('業務'!$C$4:$C$200,A99,'業務'!$J$4:$J$200,"済")=H99,"済","未")))</f>
        <v/>
      </c>
    </row>
    <row r="100">
      <c r="A100" s="18" t="n"/>
      <c r="B100" s="18" t="n"/>
      <c r="C100" s="18" t="n"/>
      <c r="D100" s="18" t="n"/>
      <c r="E100" s="18" t="n"/>
      <c r="F100" s="33" t="n"/>
      <c r="G100" s="21">
        <f>IF(A100="","",COUNTIF('紐付け'!$C$4:$C$200,A100))</f>
        <v/>
      </c>
      <c r="H100" s="21">
        <f>IF(A100="","",COUNTIF('業務'!$C$4:$C$200,A100))</f>
        <v/>
      </c>
      <c r="I100" s="21">
        <f>IF(A100="","",IF(H100=0,"業務が未登録",IF(COUNTIFS('業務'!$C$4:$C$200,A100,'業務'!$J$4:$J$200,"済")=H100,"済","未")))</f>
        <v/>
      </c>
    </row>
    <row r="101">
      <c r="A101" s="18" t="n"/>
      <c r="B101" s="18" t="n"/>
      <c r="C101" s="18" t="n"/>
      <c r="D101" s="18" t="n"/>
      <c r="E101" s="18" t="n"/>
      <c r="F101" s="33" t="n"/>
      <c r="G101" s="21">
        <f>IF(A101="","",COUNTIF('紐付け'!$C$4:$C$200,A101))</f>
        <v/>
      </c>
      <c r="H101" s="21">
        <f>IF(A101="","",COUNTIF('業務'!$C$4:$C$200,A101))</f>
        <v/>
      </c>
      <c r="I101" s="21">
        <f>IF(A101="","",IF(H101=0,"業務が未登録",IF(COUNTIFS('業務'!$C$4:$C$200,A101,'業務'!$J$4:$J$200,"済")=H101,"済","未")))</f>
        <v/>
      </c>
    </row>
    <row r="102">
      <c r="A102" s="18" t="n"/>
      <c r="B102" s="18" t="n"/>
      <c r="C102" s="18" t="n"/>
      <c r="D102" s="18" t="n"/>
      <c r="E102" s="18" t="n"/>
      <c r="F102" s="33" t="n"/>
      <c r="G102" s="21">
        <f>IF(A102="","",COUNTIF('紐付け'!$C$4:$C$200,A102))</f>
        <v/>
      </c>
      <c r="H102" s="21">
        <f>IF(A102="","",COUNTIF('業務'!$C$4:$C$200,A102))</f>
        <v/>
      </c>
      <c r="I102" s="21">
        <f>IF(A102="","",IF(H102=0,"業務が未登録",IF(COUNTIFS('業務'!$C$4:$C$200,A102,'業務'!$J$4:$J$200,"済")=H102,"済","未")))</f>
        <v/>
      </c>
    </row>
    <row r="103">
      <c r="A103" s="18" t="n"/>
      <c r="B103" s="18" t="n"/>
      <c r="C103" s="18" t="n"/>
      <c r="D103" s="18" t="n"/>
      <c r="E103" s="18" t="n"/>
      <c r="F103" s="33" t="n"/>
      <c r="G103" s="21">
        <f>IF(A103="","",COUNTIF('紐付け'!$C$4:$C$200,A103))</f>
        <v/>
      </c>
      <c r="H103" s="21">
        <f>IF(A103="","",COUNTIF('業務'!$C$4:$C$200,A103))</f>
        <v/>
      </c>
      <c r="I103" s="21">
        <f>IF(A103="","",IF(H103=0,"業務が未登録",IF(COUNTIFS('業務'!$C$4:$C$200,A103,'業務'!$J$4:$J$200,"済")=H103,"済","未")))</f>
        <v/>
      </c>
    </row>
    <row r="104">
      <c r="A104" s="18" t="n"/>
      <c r="B104" s="18" t="n"/>
      <c r="C104" s="18" t="n"/>
      <c r="D104" s="18" t="n"/>
      <c r="E104" s="18" t="n"/>
      <c r="F104" s="33" t="n"/>
      <c r="G104" s="21">
        <f>IF(A104="","",COUNTIF('紐付け'!$C$4:$C$200,A104))</f>
        <v/>
      </c>
      <c r="H104" s="21">
        <f>IF(A104="","",COUNTIF('業務'!$C$4:$C$200,A104))</f>
        <v/>
      </c>
      <c r="I104" s="21">
        <f>IF(A104="","",IF(H104=0,"業務が未登録",IF(COUNTIFS('業務'!$C$4:$C$200,A104,'業務'!$J$4:$J$200,"済")=H104,"済","未")))</f>
        <v/>
      </c>
    </row>
    <row r="105">
      <c r="A105" s="18" t="n"/>
      <c r="B105" s="18" t="n"/>
      <c r="C105" s="18" t="n"/>
      <c r="D105" s="18" t="n"/>
      <c r="E105" s="18" t="n"/>
      <c r="F105" s="33" t="n"/>
      <c r="G105" s="21">
        <f>IF(A105="","",COUNTIF('紐付け'!$C$4:$C$200,A105))</f>
        <v/>
      </c>
      <c r="H105" s="21">
        <f>IF(A105="","",COUNTIF('業務'!$C$4:$C$200,A105))</f>
        <v/>
      </c>
      <c r="I105" s="21">
        <f>IF(A105="","",IF(H105=0,"業務が未登録",IF(COUNTIFS('業務'!$C$4:$C$200,A105,'業務'!$J$4:$J$200,"済")=H105,"済","未")))</f>
        <v/>
      </c>
    </row>
    <row r="106">
      <c r="A106" s="18" t="n"/>
      <c r="B106" s="18" t="n"/>
      <c r="C106" s="18" t="n"/>
      <c r="D106" s="18" t="n"/>
      <c r="E106" s="18" t="n"/>
      <c r="F106" s="33" t="n"/>
      <c r="G106" s="21">
        <f>IF(A106="","",COUNTIF('紐付け'!$C$4:$C$200,A106))</f>
        <v/>
      </c>
      <c r="H106" s="21">
        <f>IF(A106="","",COUNTIF('業務'!$C$4:$C$200,A106))</f>
        <v/>
      </c>
      <c r="I106" s="21">
        <f>IF(A106="","",IF(H106=0,"業務が未登録",IF(COUNTIFS('業務'!$C$4:$C$200,A106,'業務'!$J$4:$J$200,"済")=H106,"済","未")))</f>
        <v/>
      </c>
    </row>
    <row r="107">
      <c r="A107" s="18" t="n"/>
      <c r="B107" s="18" t="n"/>
      <c r="C107" s="18" t="n"/>
      <c r="D107" s="18" t="n"/>
      <c r="E107" s="18" t="n"/>
      <c r="F107" s="33" t="n"/>
      <c r="G107" s="21">
        <f>IF(A107="","",COUNTIF('紐付け'!$C$4:$C$200,A107))</f>
        <v/>
      </c>
      <c r="H107" s="21">
        <f>IF(A107="","",COUNTIF('業務'!$C$4:$C$200,A107))</f>
        <v/>
      </c>
      <c r="I107" s="21">
        <f>IF(A107="","",IF(H107=0,"業務が未登録",IF(COUNTIFS('業務'!$C$4:$C$200,A107,'業務'!$J$4:$J$200,"済")=H107,"済","未")))</f>
        <v/>
      </c>
    </row>
    <row r="108">
      <c r="A108" s="18" t="n"/>
      <c r="B108" s="18" t="n"/>
      <c r="C108" s="18" t="n"/>
      <c r="D108" s="18" t="n"/>
      <c r="E108" s="18" t="n"/>
      <c r="F108" s="33" t="n"/>
      <c r="G108" s="21">
        <f>IF(A108="","",COUNTIF('紐付け'!$C$4:$C$200,A108))</f>
        <v/>
      </c>
      <c r="H108" s="21">
        <f>IF(A108="","",COUNTIF('業務'!$C$4:$C$200,A108))</f>
        <v/>
      </c>
      <c r="I108" s="21">
        <f>IF(A108="","",IF(H108=0,"業務が未登録",IF(COUNTIFS('業務'!$C$4:$C$200,A108,'業務'!$J$4:$J$200,"済")=H108,"済","未")))</f>
        <v/>
      </c>
    </row>
    <row r="109">
      <c r="A109" s="18" t="n"/>
      <c r="B109" s="18" t="n"/>
      <c r="C109" s="18" t="n"/>
      <c r="D109" s="18" t="n"/>
      <c r="E109" s="18" t="n"/>
      <c r="F109" s="33" t="n"/>
      <c r="G109" s="21">
        <f>IF(A109="","",COUNTIF('紐付け'!$C$4:$C$200,A109))</f>
        <v/>
      </c>
      <c r="H109" s="21">
        <f>IF(A109="","",COUNTIF('業務'!$C$4:$C$200,A109))</f>
        <v/>
      </c>
      <c r="I109" s="21">
        <f>IF(A109="","",IF(H109=0,"業務が未登録",IF(COUNTIFS('業務'!$C$4:$C$200,A109,'業務'!$J$4:$J$200,"済")=H109,"済","未")))</f>
        <v/>
      </c>
    </row>
    <row r="110">
      <c r="A110" s="18" t="n"/>
      <c r="B110" s="18" t="n"/>
      <c r="C110" s="18" t="n"/>
      <c r="D110" s="18" t="n"/>
      <c r="E110" s="18" t="n"/>
      <c r="F110" s="33" t="n"/>
      <c r="G110" s="21">
        <f>IF(A110="","",COUNTIF('紐付け'!$C$4:$C$200,A110))</f>
        <v/>
      </c>
      <c r="H110" s="21">
        <f>IF(A110="","",COUNTIF('業務'!$C$4:$C$200,A110))</f>
        <v/>
      </c>
      <c r="I110" s="21">
        <f>IF(A110="","",IF(H110=0,"業務が未登録",IF(COUNTIFS('業務'!$C$4:$C$200,A110,'業務'!$J$4:$J$200,"済")=H110,"済","未")))</f>
        <v/>
      </c>
    </row>
    <row r="111">
      <c r="A111" s="18" t="n"/>
      <c r="B111" s="18" t="n"/>
      <c r="C111" s="18" t="n"/>
      <c r="D111" s="18" t="n"/>
      <c r="E111" s="18" t="n"/>
      <c r="F111" s="33" t="n"/>
      <c r="G111" s="21">
        <f>IF(A111="","",COUNTIF('紐付け'!$C$4:$C$200,A111))</f>
        <v/>
      </c>
      <c r="H111" s="21">
        <f>IF(A111="","",COUNTIF('業務'!$C$4:$C$200,A111))</f>
        <v/>
      </c>
      <c r="I111" s="21">
        <f>IF(A111="","",IF(H111=0,"業務が未登録",IF(COUNTIFS('業務'!$C$4:$C$200,A111,'業務'!$J$4:$J$200,"済")=H111,"済","未")))</f>
        <v/>
      </c>
    </row>
    <row r="112">
      <c r="A112" s="18" t="n"/>
      <c r="B112" s="18" t="n"/>
      <c r="C112" s="18" t="n"/>
      <c r="D112" s="18" t="n"/>
      <c r="E112" s="18" t="n"/>
      <c r="F112" s="33" t="n"/>
      <c r="G112" s="21">
        <f>IF(A112="","",COUNTIF('紐付け'!$C$4:$C$200,A112))</f>
        <v/>
      </c>
      <c r="H112" s="21">
        <f>IF(A112="","",COUNTIF('業務'!$C$4:$C$200,A112))</f>
        <v/>
      </c>
      <c r="I112" s="21">
        <f>IF(A112="","",IF(H112=0,"業務が未登録",IF(COUNTIFS('業務'!$C$4:$C$200,A112,'業務'!$J$4:$J$200,"済")=H112,"済","未")))</f>
        <v/>
      </c>
    </row>
    <row r="113">
      <c r="A113" s="18" t="n"/>
      <c r="B113" s="18" t="n"/>
      <c r="C113" s="18" t="n"/>
      <c r="D113" s="18" t="n"/>
      <c r="E113" s="18" t="n"/>
      <c r="F113" s="33" t="n"/>
      <c r="G113" s="21">
        <f>IF(A113="","",COUNTIF('紐付け'!$C$4:$C$200,A113))</f>
        <v/>
      </c>
      <c r="H113" s="21">
        <f>IF(A113="","",COUNTIF('業務'!$C$4:$C$200,A113))</f>
        <v/>
      </c>
      <c r="I113" s="21">
        <f>IF(A113="","",IF(H113=0,"業務が未登録",IF(COUNTIFS('業務'!$C$4:$C$200,A113,'業務'!$J$4:$J$200,"済")=H113,"済","未")))</f>
        <v/>
      </c>
    </row>
    <row r="114">
      <c r="A114" s="18" t="n"/>
      <c r="B114" s="18" t="n"/>
      <c r="C114" s="18" t="n"/>
      <c r="D114" s="18" t="n"/>
      <c r="E114" s="18" t="n"/>
      <c r="F114" s="33" t="n"/>
      <c r="G114" s="21">
        <f>IF(A114="","",COUNTIF('紐付け'!$C$4:$C$200,A114))</f>
        <v/>
      </c>
      <c r="H114" s="21">
        <f>IF(A114="","",COUNTIF('業務'!$C$4:$C$200,A114))</f>
        <v/>
      </c>
      <c r="I114" s="21">
        <f>IF(A114="","",IF(H114=0,"業務が未登録",IF(COUNTIFS('業務'!$C$4:$C$200,A114,'業務'!$J$4:$J$200,"済")=H114,"済","未")))</f>
        <v/>
      </c>
    </row>
    <row r="115">
      <c r="A115" s="18" t="n"/>
      <c r="B115" s="18" t="n"/>
      <c r="C115" s="18" t="n"/>
      <c r="D115" s="18" t="n"/>
      <c r="E115" s="18" t="n"/>
      <c r="F115" s="33" t="n"/>
      <c r="G115" s="21">
        <f>IF(A115="","",COUNTIF('紐付け'!$C$4:$C$200,A115))</f>
        <v/>
      </c>
      <c r="H115" s="21">
        <f>IF(A115="","",COUNTIF('業務'!$C$4:$C$200,A115))</f>
        <v/>
      </c>
      <c r="I115" s="21">
        <f>IF(A115="","",IF(H115=0,"業務が未登録",IF(COUNTIFS('業務'!$C$4:$C$200,A115,'業務'!$J$4:$J$200,"済")=H115,"済","未")))</f>
        <v/>
      </c>
    </row>
    <row r="116">
      <c r="A116" s="18" t="n"/>
      <c r="B116" s="18" t="n"/>
      <c r="C116" s="18" t="n"/>
      <c r="D116" s="18" t="n"/>
      <c r="E116" s="18" t="n"/>
      <c r="F116" s="33" t="n"/>
      <c r="G116" s="21">
        <f>IF(A116="","",COUNTIF('紐付け'!$C$4:$C$200,A116))</f>
        <v/>
      </c>
      <c r="H116" s="21">
        <f>IF(A116="","",COUNTIF('業務'!$C$4:$C$200,A116))</f>
        <v/>
      </c>
      <c r="I116" s="21">
        <f>IF(A116="","",IF(H116=0,"業務が未登録",IF(COUNTIFS('業務'!$C$4:$C$200,A116,'業務'!$J$4:$J$200,"済")=H116,"済","未")))</f>
        <v/>
      </c>
    </row>
    <row r="117">
      <c r="A117" s="18" t="n"/>
      <c r="B117" s="18" t="n"/>
      <c r="C117" s="18" t="n"/>
      <c r="D117" s="18" t="n"/>
      <c r="E117" s="18" t="n"/>
      <c r="F117" s="33" t="n"/>
      <c r="G117" s="21">
        <f>IF(A117="","",COUNTIF('紐付け'!$C$4:$C$200,A117))</f>
        <v/>
      </c>
      <c r="H117" s="21">
        <f>IF(A117="","",COUNTIF('業務'!$C$4:$C$200,A117))</f>
        <v/>
      </c>
      <c r="I117" s="21">
        <f>IF(A117="","",IF(H117=0,"業務が未登録",IF(COUNTIFS('業務'!$C$4:$C$200,A117,'業務'!$J$4:$J$200,"済")=H117,"済","未")))</f>
        <v/>
      </c>
    </row>
    <row r="118">
      <c r="A118" s="18" t="n"/>
      <c r="B118" s="18" t="n"/>
      <c r="C118" s="18" t="n"/>
      <c r="D118" s="18" t="n"/>
      <c r="E118" s="18" t="n"/>
      <c r="F118" s="33" t="n"/>
      <c r="G118" s="21">
        <f>IF(A118="","",COUNTIF('紐付け'!$C$4:$C$200,A118))</f>
        <v/>
      </c>
      <c r="H118" s="21">
        <f>IF(A118="","",COUNTIF('業務'!$C$4:$C$200,A118))</f>
        <v/>
      </c>
      <c r="I118" s="21">
        <f>IF(A118="","",IF(H118=0,"業務が未登録",IF(COUNTIFS('業務'!$C$4:$C$200,A118,'業務'!$J$4:$J$200,"済")=H118,"済","未")))</f>
        <v/>
      </c>
    </row>
    <row r="119">
      <c r="A119" s="18" t="n"/>
      <c r="B119" s="18" t="n"/>
      <c r="C119" s="18" t="n"/>
      <c r="D119" s="18" t="n"/>
      <c r="E119" s="18" t="n"/>
      <c r="F119" s="33" t="n"/>
      <c r="G119" s="21">
        <f>IF(A119="","",COUNTIF('紐付け'!$C$4:$C$200,A119))</f>
        <v/>
      </c>
      <c r="H119" s="21">
        <f>IF(A119="","",COUNTIF('業務'!$C$4:$C$200,A119))</f>
        <v/>
      </c>
      <c r="I119" s="21">
        <f>IF(A119="","",IF(H119=0,"業務が未登録",IF(COUNTIFS('業務'!$C$4:$C$200,A119,'業務'!$J$4:$J$200,"済")=H119,"済","未")))</f>
        <v/>
      </c>
    </row>
    <row r="120">
      <c r="A120" s="18" t="n"/>
      <c r="B120" s="18" t="n"/>
      <c r="C120" s="18" t="n"/>
      <c r="D120" s="18" t="n"/>
      <c r="E120" s="18" t="n"/>
      <c r="F120" s="33" t="n"/>
      <c r="G120" s="21">
        <f>IF(A120="","",COUNTIF('紐付け'!$C$4:$C$200,A120))</f>
        <v/>
      </c>
      <c r="H120" s="21">
        <f>IF(A120="","",COUNTIF('業務'!$C$4:$C$200,A120))</f>
        <v/>
      </c>
      <c r="I120" s="21">
        <f>IF(A120="","",IF(H120=0,"業務が未登録",IF(COUNTIFS('業務'!$C$4:$C$200,A120,'業務'!$J$4:$J$200,"済")=H120,"済","未")))</f>
        <v/>
      </c>
    </row>
    <row r="121">
      <c r="A121" s="18" t="n"/>
      <c r="B121" s="18" t="n"/>
      <c r="C121" s="18" t="n"/>
      <c r="D121" s="18" t="n"/>
      <c r="E121" s="18" t="n"/>
      <c r="F121" s="33" t="n"/>
      <c r="G121" s="21">
        <f>IF(A121="","",COUNTIF('紐付け'!$C$4:$C$200,A121))</f>
        <v/>
      </c>
      <c r="H121" s="21">
        <f>IF(A121="","",COUNTIF('業務'!$C$4:$C$200,A121))</f>
        <v/>
      </c>
      <c r="I121" s="21">
        <f>IF(A121="","",IF(H121=0,"業務が未登録",IF(COUNTIFS('業務'!$C$4:$C$200,A121,'業務'!$J$4:$J$200,"済")=H121,"済","未")))</f>
        <v/>
      </c>
    </row>
    <row r="122">
      <c r="A122" s="18" t="n"/>
      <c r="B122" s="18" t="n"/>
      <c r="C122" s="18" t="n"/>
      <c r="D122" s="18" t="n"/>
      <c r="E122" s="18" t="n"/>
      <c r="F122" s="33" t="n"/>
      <c r="G122" s="21">
        <f>IF(A122="","",COUNTIF('紐付け'!$C$4:$C$200,A122))</f>
        <v/>
      </c>
      <c r="H122" s="21">
        <f>IF(A122="","",COUNTIF('業務'!$C$4:$C$200,A122))</f>
        <v/>
      </c>
      <c r="I122" s="21">
        <f>IF(A122="","",IF(H122=0,"業務が未登録",IF(COUNTIFS('業務'!$C$4:$C$200,A122,'業務'!$J$4:$J$200,"済")=H122,"済","未")))</f>
        <v/>
      </c>
    </row>
    <row r="123">
      <c r="A123" s="18" t="n"/>
      <c r="B123" s="18" t="n"/>
      <c r="C123" s="18" t="n"/>
      <c r="D123" s="18" t="n"/>
      <c r="E123" s="18" t="n"/>
      <c r="F123" s="33" t="n"/>
      <c r="G123" s="21">
        <f>IF(A123="","",COUNTIF('紐付け'!$C$4:$C$200,A123))</f>
        <v/>
      </c>
      <c r="H123" s="21">
        <f>IF(A123="","",COUNTIF('業務'!$C$4:$C$200,A123))</f>
        <v/>
      </c>
      <c r="I123" s="21">
        <f>IF(A123="","",IF(H123=0,"業務が未登録",IF(COUNTIFS('業務'!$C$4:$C$200,A123,'業務'!$J$4:$J$200,"済")=H123,"済","未")))</f>
        <v/>
      </c>
    </row>
    <row r="124">
      <c r="A124" s="18" t="n"/>
      <c r="B124" s="18" t="n"/>
      <c r="C124" s="18" t="n"/>
      <c r="D124" s="18" t="n"/>
      <c r="E124" s="18" t="n"/>
      <c r="F124" s="33" t="n"/>
      <c r="G124" s="21">
        <f>IF(A124="","",COUNTIF('紐付け'!$C$4:$C$200,A124))</f>
        <v/>
      </c>
      <c r="H124" s="21">
        <f>IF(A124="","",COUNTIF('業務'!$C$4:$C$200,A124))</f>
        <v/>
      </c>
      <c r="I124" s="21">
        <f>IF(A124="","",IF(H124=0,"業務が未登録",IF(COUNTIFS('業務'!$C$4:$C$200,A124,'業務'!$J$4:$J$200,"済")=H124,"済","未")))</f>
        <v/>
      </c>
    </row>
    <row r="125">
      <c r="A125" s="18" t="n"/>
      <c r="B125" s="18" t="n"/>
      <c r="C125" s="18" t="n"/>
      <c r="D125" s="18" t="n"/>
      <c r="E125" s="18" t="n"/>
      <c r="F125" s="33" t="n"/>
      <c r="G125" s="21">
        <f>IF(A125="","",COUNTIF('紐付け'!$C$4:$C$200,A125))</f>
        <v/>
      </c>
      <c r="H125" s="21">
        <f>IF(A125="","",COUNTIF('業務'!$C$4:$C$200,A125))</f>
        <v/>
      </c>
      <c r="I125" s="21">
        <f>IF(A125="","",IF(H125=0,"業務が未登録",IF(COUNTIFS('業務'!$C$4:$C$200,A125,'業務'!$J$4:$J$200,"済")=H125,"済","未")))</f>
        <v/>
      </c>
    </row>
    <row r="126">
      <c r="A126" s="18" t="n"/>
      <c r="B126" s="18" t="n"/>
      <c r="C126" s="18" t="n"/>
      <c r="D126" s="18" t="n"/>
      <c r="E126" s="18" t="n"/>
      <c r="F126" s="33" t="n"/>
      <c r="G126" s="21">
        <f>IF(A126="","",COUNTIF('紐付け'!$C$4:$C$200,A126))</f>
        <v/>
      </c>
      <c r="H126" s="21">
        <f>IF(A126="","",COUNTIF('業務'!$C$4:$C$200,A126))</f>
        <v/>
      </c>
      <c r="I126" s="21">
        <f>IF(A126="","",IF(H126=0,"業務が未登録",IF(COUNTIFS('業務'!$C$4:$C$200,A126,'業務'!$J$4:$J$200,"済")=H126,"済","未")))</f>
        <v/>
      </c>
    </row>
    <row r="127">
      <c r="A127" s="18" t="n"/>
      <c r="B127" s="18" t="n"/>
      <c r="C127" s="18" t="n"/>
      <c r="D127" s="18" t="n"/>
      <c r="E127" s="18" t="n"/>
      <c r="F127" s="33" t="n"/>
      <c r="G127" s="21">
        <f>IF(A127="","",COUNTIF('紐付け'!$C$4:$C$200,A127))</f>
        <v/>
      </c>
      <c r="H127" s="21">
        <f>IF(A127="","",COUNTIF('業務'!$C$4:$C$200,A127))</f>
        <v/>
      </c>
      <c r="I127" s="21">
        <f>IF(A127="","",IF(H127=0,"業務が未登録",IF(COUNTIFS('業務'!$C$4:$C$200,A127,'業務'!$J$4:$J$200,"済")=H127,"済","未")))</f>
        <v/>
      </c>
    </row>
    <row r="128">
      <c r="A128" s="18" t="n"/>
      <c r="B128" s="18" t="n"/>
      <c r="C128" s="18" t="n"/>
      <c r="D128" s="18" t="n"/>
      <c r="E128" s="18" t="n"/>
      <c r="F128" s="33" t="n"/>
      <c r="G128" s="21">
        <f>IF(A128="","",COUNTIF('紐付け'!$C$4:$C$200,A128))</f>
        <v/>
      </c>
      <c r="H128" s="21">
        <f>IF(A128="","",COUNTIF('業務'!$C$4:$C$200,A128))</f>
        <v/>
      </c>
      <c r="I128" s="21">
        <f>IF(A128="","",IF(H128=0,"業務が未登録",IF(COUNTIFS('業務'!$C$4:$C$200,A128,'業務'!$J$4:$J$200,"済")=H128,"済","未")))</f>
        <v/>
      </c>
    </row>
    <row r="129">
      <c r="A129" s="18" t="n"/>
      <c r="B129" s="18" t="n"/>
      <c r="C129" s="18" t="n"/>
      <c r="D129" s="18" t="n"/>
      <c r="E129" s="18" t="n"/>
      <c r="F129" s="33" t="n"/>
      <c r="G129" s="21">
        <f>IF(A129="","",COUNTIF('紐付け'!$C$4:$C$200,A129))</f>
        <v/>
      </c>
      <c r="H129" s="21">
        <f>IF(A129="","",COUNTIF('業務'!$C$4:$C$200,A129))</f>
        <v/>
      </c>
      <c r="I129" s="21">
        <f>IF(A129="","",IF(H129=0,"業務が未登録",IF(COUNTIFS('業務'!$C$4:$C$200,A129,'業務'!$J$4:$J$200,"済")=H129,"済","未")))</f>
        <v/>
      </c>
    </row>
    <row r="130">
      <c r="A130" s="18" t="n"/>
      <c r="B130" s="18" t="n"/>
      <c r="C130" s="18" t="n"/>
      <c r="D130" s="18" t="n"/>
      <c r="E130" s="18" t="n"/>
      <c r="F130" s="33" t="n"/>
      <c r="G130" s="21">
        <f>IF(A130="","",COUNTIF('紐付け'!$C$4:$C$200,A130))</f>
        <v/>
      </c>
      <c r="H130" s="21">
        <f>IF(A130="","",COUNTIF('業務'!$C$4:$C$200,A130))</f>
        <v/>
      </c>
      <c r="I130" s="21">
        <f>IF(A130="","",IF(H130=0,"業務が未登録",IF(COUNTIFS('業務'!$C$4:$C$200,A130,'業務'!$J$4:$J$200,"済")=H130,"済","未")))</f>
        <v/>
      </c>
    </row>
    <row r="131">
      <c r="A131" s="18" t="n"/>
      <c r="B131" s="18" t="n"/>
      <c r="C131" s="18" t="n"/>
      <c r="D131" s="18" t="n"/>
      <c r="E131" s="18" t="n"/>
      <c r="F131" s="33" t="n"/>
      <c r="G131" s="21">
        <f>IF(A131="","",COUNTIF('紐付け'!$C$4:$C$200,A131))</f>
        <v/>
      </c>
      <c r="H131" s="21">
        <f>IF(A131="","",COUNTIF('業務'!$C$4:$C$200,A131))</f>
        <v/>
      </c>
      <c r="I131" s="21">
        <f>IF(A131="","",IF(H131=0,"業務が未登録",IF(COUNTIFS('業務'!$C$4:$C$200,A131,'業務'!$J$4:$J$200,"済")=H131,"済","未")))</f>
        <v/>
      </c>
    </row>
    <row r="132">
      <c r="A132" s="18" t="n"/>
      <c r="B132" s="18" t="n"/>
      <c r="C132" s="18" t="n"/>
      <c r="D132" s="18" t="n"/>
      <c r="E132" s="18" t="n"/>
      <c r="F132" s="33" t="n"/>
      <c r="G132" s="21">
        <f>IF(A132="","",COUNTIF('紐付け'!$C$4:$C$200,A132))</f>
        <v/>
      </c>
      <c r="H132" s="21">
        <f>IF(A132="","",COUNTIF('業務'!$C$4:$C$200,A132))</f>
        <v/>
      </c>
      <c r="I132" s="21">
        <f>IF(A132="","",IF(H132=0,"業務が未登録",IF(COUNTIFS('業務'!$C$4:$C$200,A132,'業務'!$J$4:$J$200,"済")=H132,"済","未")))</f>
        <v/>
      </c>
    </row>
    <row r="133">
      <c r="A133" s="18" t="n"/>
      <c r="B133" s="18" t="n"/>
      <c r="C133" s="18" t="n"/>
      <c r="D133" s="18" t="n"/>
      <c r="E133" s="18" t="n"/>
      <c r="F133" s="33" t="n"/>
      <c r="G133" s="21">
        <f>IF(A133="","",COUNTIF('紐付け'!$C$4:$C$200,A133))</f>
        <v/>
      </c>
      <c r="H133" s="21">
        <f>IF(A133="","",COUNTIF('業務'!$C$4:$C$200,A133))</f>
        <v/>
      </c>
      <c r="I133" s="21">
        <f>IF(A133="","",IF(H133=0,"業務が未登録",IF(COUNTIFS('業務'!$C$4:$C$200,A133,'業務'!$J$4:$J$200,"済")=H133,"済","未")))</f>
        <v/>
      </c>
    </row>
    <row r="134">
      <c r="A134" s="18" t="n"/>
      <c r="B134" s="18" t="n"/>
      <c r="C134" s="18" t="n"/>
      <c r="D134" s="18" t="n"/>
      <c r="E134" s="18" t="n"/>
      <c r="F134" s="33" t="n"/>
      <c r="G134" s="21">
        <f>IF(A134="","",COUNTIF('紐付け'!$C$4:$C$200,A134))</f>
        <v/>
      </c>
      <c r="H134" s="21">
        <f>IF(A134="","",COUNTIF('業務'!$C$4:$C$200,A134))</f>
        <v/>
      </c>
      <c r="I134" s="21">
        <f>IF(A134="","",IF(H134=0,"業務が未登録",IF(COUNTIFS('業務'!$C$4:$C$200,A134,'業務'!$J$4:$J$200,"済")=H134,"済","未")))</f>
        <v/>
      </c>
    </row>
    <row r="135">
      <c r="A135" s="18" t="n"/>
      <c r="B135" s="18" t="n"/>
      <c r="C135" s="18" t="n"/>
      <c r="D135" s="18" t="n"/>
      <c r="E135" s="18" t="n"/>
      <c r="F135" s="33" t="n"/>
      <c r="G135" s="21">
        <f>IF(A135="","",COUNTIF('紐付け'!$C$4:$C$200,A135))</f>
        <v/>
      </c>
      <c r="H135" s="21">
        <f>IF(A135="","",COUNTIF('業務'!$C$4:$C$200,A135))</f>
        <v/>
      </c>
      <c r="I135" s="21">
        <f>IF(A135="","",IF(H135=0,"業務が未登録",IF(COUNTIFS('業務'!$C$4:$C$200,A135,'業務'!$J$4:$J$200,"済")=H135,"済","未")))</f>
        <v/>
      </c>
    </row>
    <row r="136">
      <c r="A136" s="18" t="n"/>
      <c r="B136" s="18" t="n"/>
      <c r="C136" s="18" t="n"/>
      <c r="D136" s="18" t="n"/>
      <c r="E136" s="18" t="n"/>
      <c r="F136" s="33" t="n"/>
      <c r="G136" s="21">
        <f>IF(A136="","",COUNTIF('紐付け'!$C$4:$C$200,A136))</f>
        <v/>
      </c>
      <c r="H136" s="21">
        <f>IF(A136="","",COUNTIF('業務'!$C$4:$C$200,A136))</f>
        <v/>
      </c>
      <c r="I136" s="21">
        <f>IF(A136="","",IF(H136=0,"業務が未登録",IF(COUNTIFS('業務'!$C$4:$C$200,A136,'業務'!$J$4:$J$200,"済")=H136,"済","未")))</f>
        <v/>
      </c>
    </row>
    <row r="137">
      <c r="A137" s="18" t="n"/>
      <c r="B137" s="18" t="n"/>
      <c r="C137" s="18" t="n"/>
      <c r="D137" s="18" t="n"/>
      <c r="E137" s="18" t="n"/>
      <c r="F137" s="33" t="n"/>
      <c r="G137" s="21">
        <f>IF(A137="","",COUNTIF('紐付け'!$C$4:$C$200,A137))</f>
        <v/>
      </c>
      <c r="H137" s="21">
        <f>IF(A137="","",COUNTIF('業務'!$C$4:$C$200,A137))</f>
        <v/>
      </c>
      <c r="I137" s="21">
        <f>IF(A137="","",IF(H137=0,"業務が未登録",IF(COUNTIFS('業務'!$C$4:$C$200,A137,'業務'!$J$4:$J$200,"済")=H137,"済","未")))</f>
        <v/>
      </c>
    </row>
    <row r="138">
      <c r="A138" s="18" t="n"/>
      <c r="B138" s="18" t="n"/>
      <c r="C138" s="18" t="n"/>
      <c r="D138" s="18" t="n"/>
      <c r="E138" s="18" t="n"/>
      <c r="F138" s="33" t="n"/>
      <c r="G138" s="21">
        <f>IF(A138="","",COUNTIF('紐付け'!$C$4:$C$200,A138))</f>
        <v/>
      </c>
      <c r="H138" s="21">
        <f>IF(A138="","",COUNTIF('業務'!$C$4:$C$200,A138))</f>
        <v/>
      </c>
      <c r="I138" s="21">
        <f>IF(A138="","",IF(H138=0,"業務が未登録",IF(COUNTIFS('業務'!$C$4:$C$200,A138,'業務'!$J$4:$J$200,"済")=H138,"済","未")))</f>
        <v/>
      </c>
    </row>
    <row r="139">
      <c r="A139" s="18" t="n"/>
      <c r="B139" s="18" t="n"/>
      <c r="C139" s="18" t="n"/>
      <c r="D139" s="18" t="n"/>
      <c r="E139" s="18" t="n"/>
      <c r="F139" s="33" t="n"/>
      <c r="G139" s="21">
        <f>IF(A139="","",COUNTIF('紐付け'!$C$4:$C$200,A139))</f>
        <v/>
      </c>
      <c r="H139" s="21">
        <f>IF(A139="","",COUNTIF('業務'!$C$4:$C$200,A139))</f>
        <v/>
      </c>
      <c r="I139" s="21">
        <f>IF(A139="","",IF(H139=0,"業務が未登録",IF(COUNTIFS('業務'!$C$4:$C$200,A139,'業務'!$J$4:$J$200,"済")=H139,"済","未")))</f>
        <v/>
      </c>
    </row>
    <row r="140">
      <c r="A140" s="18" t="n"/>
      <c r="B140" s="18" t="n"/>
      <c r="C140" s="18" t="n"/>
      <c r="D140" s="18" t="n"/>
      <c r="E140" s="18" t="n"/>
      <c r="F140" s="33" t="n"/>
      <c r="G140" s="21">
        <f>IF(A140="","",COUNTIF('紐付け'!$C$4:$C$200,A140))</f>
        <v/>
      </c>
      <c r="H140" s="21">
        <f>IF(A140="","",COUNTIF('業務'!$C$4:$C$200,A140))</f>
        <v/>
      </c>
      <c r="I140" s="21">
        <f>IF(A140="","",IF(H140=0,"業務が未登録",IF(COUNTIFS('業務'!$C$4:$C$200,A140,'業務'!$J$4:$J$200,"済")=H140,"済","未")))</f>
        <v/>
      </c>
    </row>
    <row r="141">
      <c r="A141" s="18" t="n"/>
      <c r="B141" s="18" t="n"/>
      <c r="C141" s="18" t="n"/>
      <c r="D141" s="18" t="n"/>
      <c r="E141" s="18" t="n"/>
      <c r="F141" s="33" t="n"/>
      <c r="G141" s="21">
        <f>IF(A141="","",COUNTIF('紐付け'!$C$4:$C$200,A141))</f>
        <v/>
      </c>
      <c r="H141" s="21">
        <f>IF(A141="","",COUNTIF('業務'!$C$4:$C$200,A141))</f>
        <v/>
      </c>
      <c r="I141" s="21">
        <f>IF(A141="","",IF(H141=0,"業務が未登録",IF(COUNTIFS('業務'!$C$4:$C$200,A141,'業務'!$J$4:$J$200,"済")=H141,"済","未")))</f>
        <v/>
      </c>
    </row>
    <row r="142">
      <c r="A142" s="18" t="n"/>
      <c r="B142" s="18" t="n"/>
      <c r="C142" s="18" t="n"/>
      <c r="D142" s="18" t="n"/>
      <c r="E142" s="18" t="n"/>
      <c r="F142" s="33" t="n"/>
      <c r="G142" s="21">
        <f>IF(A142="","",COUNTIF('紐付け'!$C$4:$C$200,A142))</f>
        <v/>
      </c>
      <c r="H142" s="21">
        <f>IF(A142="","",COUNTIF('業務'!$C$4:$C$200,A142))</f>
        <v/>
      </c>
      <c r="I142" s="21">
        <f>IF(A142="","",IF(H142=0,"業務が未登録",IF(COUNTIFS('業務'!$C$4:$C$200,A142,'業務'!$J$4:$J$200,"済")=H142,"済","未")))</f>
        <v/>
      </c>
    </row>
    <row r="143">
      <c r="A143" s="18" t="n"/>
      <c r="B143" s="18" t="n"/>
      <c r="C143" s="18" t="n"/>
      <c r="D143" s="18" t="n"/>
      <c r="E143" s="18" t="n"/>
      <c r="F143" s="33" t="n"/>
      <c r="G143" s="21">
        <f>IF(A143="","",COUNTIF('紐付け'!$C$4:$C$200,A143))</f>
        <v/>
      </c>
      <c r="H143" s="21">
        <f>IF(A143="","",COUNTIF('業務'!$C$4:$C$200,A143))</f>
        <v/>
      </c>
      <c r="I143" s="21">
        <f>IF(A143="","",IF(H143=0,"業務が未登録",IF(COUNTIFS('業務'!$C$4:$C$200,A143,'業務'!$J$4:$J$200,"済")=H143,"済","未")))</f>
        <v/>
      </c>
    </row>
    <row r="144">
      <c r="A144" s="18" t="n"/>
      <c r="B144" s="18" t="n"/>
      <c r="C144" s="18" t="n"/>
      <c r="D144" s="18" t="n"/>
      <c r="E144" s="18" t="n"/>
      <c r="F144" s="33" t="n"/>
      <c r="G144" s="21">
        <f>IF(A144="","",COUNTIF('紐付け'!$C$4:$C$200,A144))</f>
        <v/>
      </c>
      <c r="H144" s="21">
        <f>IF(A144="","",COUNTIF('業務'!$C$4:$C$200,A144))</f>
        <v/>
      </c>
      <c r="I144" s="21">
        <f>IF(A144="","",IF(H144=0,"業務が未登録",IF(COUNTIFS('業務'!$C$4:$C$200,A144,'業務'!$J$4:$J$200,"済")=H144,"済","未")))</f>
        <v/>
      </c>
    </row>
    <row r="145">
      <c r="A145" s="18" t="n"/>
      <c r="B145" s="18" t="n"/>
      <c r="C145" s="18" t="n"/>
      <c r="D145" s="18" t="n"/>
      <c r="E145" s="18" t="n"/>
      <c r="F145" s="33" t="n"/>
      <c r="G145" s="21">
        <f>IF(A145="","",COUNTIF('紐付け'!$C$4:$C$200,A145))</f>
        <v/>
      </c>
      <c r="H145" s="21">
        <f>IF(A145="","",COUNTIF('業務'!$C$4:$C$200,A145))</f>
        <v/>
      </c>
      <c r="I145" s="21">
        <f>IF(A145="","",IF(H145=0,"業務が未登録",IF(COUNTIFS('業務'!$C$4:$C$200,A145,'業務'!$J$4:$J$200,"済")=H145,"済","未")))</f>
        <v/>
      </c>
    </row>
    <row r="146">
      <c r="A146" s="18" t="n"/>
      <c r="B146" s="18" t="n"/>
      <c r="C146" s="18" t="n"/>
      <c r="D146" s="18" t="n"/>
      <c r="E146" s="18" t="n"/>
      <c r="F146" s="33" t="n"/>
      <c r="G146" s="21">
        <f>IF(A146="","",COUNTIF('紐付け'!$C$4:$C$200,A146))</f>
        <v/>
      </c>
      <c r="H146" s="21">
        <f>IF(A146="","",COUNTIF('業務'!$C$4:$C$200,A146))</f>
        <v/>
      </c>
      <c r="I146" s="21">
        <f>IF(A146="","",IF(H146=0,"業務が未登録",IF(COUNTIFS('業務'!$C$4:$C$200,A146,'業務'!$J$4:$J$200,"済")=H146,"済","未")))</f>
        <v/>
      </c>
    </row>
    <row r="147">
      <c r="A147" s="18" t="n"/>
      <c r="B147" s="18" t="n"/>
      <c r="C147" s="18" t="n"/>
      <c r="D147" s="18" t="n"/>
      <c r="E147" s="18" t="n"/>
      <c r="F147" s="33" t="n"/>
      <c r="G147" s="21">
        <f>IF(A147="","",COUNTIF('紐付け'!$C$4:$C$200,A147))</f>
        <v/>
      </c>
      <c r="H147" s="21">
        <f>IF(A147="","",COUNTIF('業務'!$C$4:$C$200,A147))</f>
        <v/>
      </c>
      <c r="I147" s="21">
        <f>IF(A147="","",IF(H147=0,"業務が未登録",IF(COUNTIFS('業務'!$C$4:$C$200,A147,'業務'!$J$4:$J$200,"済")=H147,"済","未")))</f>
        <v/>
      </c>
    </row>
    <row r="148">
      <c r="A148" s="18" t="n"/>
      <c r="B148" s="18" t="n"/>
      <c r="C148" s="18" t="n"/>
      <c r="D148" s="18" t="n"/>
      <c r="E148" s="18" t="n"/>
      <c r="F148" s="33" t="n"/>
      <c r="G148" s="21">
        <f>IF(A148="","",COUNTIF('紐付け'!$C$4:$C$200,A148))</f>
        <v/>
      </c>
      <c r="H148" s="21">
        <f>IF(A148="","",COUNTIF('業務'!$C$4:$C$200,A148))</f>
        <v/>
      </c>
      <c r="I148" s="21">
        <f>IF(A148="","",IF(H148=0,"業務が未登録",IF(COUNTIFS('業務'!$C$4:$C$200,A148,'業務'!$J$4:$J$200,"済")=H148,"済","未")))</f>
        <v/>
      </c>
    </row>
    <row r="149">
      <c r="A149" s="18" t="n"/>
      <c r="B149" s="18" t="n"/>
      <c r="C149" s="18" t="n"/>
      <c r="D149" s="18" t="n"/>
      <c r="E149" s="18" t="n"/>
      <c r="F149" s="33" t="n"/>
      <c r="G149" s="21">
        <f>IF(A149="","",COUNTIF('紐付け'!$C$4:$C$200,A149))</f>
        <v/>
      </c>
      <c r="H149" s="21">
        <f>IF(A149="","",COUNTIF('業務'!$C$4:$C$200,A149))</f>
        <v/>
      </c>
      <c r="I149" s="21">
        <f>IF(A149="","",IF(H149=0,"業務が未登録",IF(COUNTIFS('業務'!$C$4:$C$200,A149,'業務'!$J$4:$J$200,"済")=H149,"済","未")))</f>
        <v/>
      </c>
    </row>
    <row r="150">
      <c r="A150" s="18" t="n"/>
      <c r="B150" s="18" t="n"/>
      <c r="C150" s="18" t="n"/>
      <c r="D150" s="18" t="n"/>
      <c r="E150" s="18" t="n"/>
      <c r="F150" s="33" t="n"/>
      <c r="G150" s="21">
        <f>IF(A150="","",COUNTIF('紐付け'!$C$4:$C$200,A150))</f>
        <v/>
      </c>
      <c r="H150" s="21">
        <f>IF(A150="","",COUNTIF('業務'!$C$4:$C$200,A150))</f>
        <v/>
      </c>
      <c r="I150" s="21">
        <f>IF(A150="","",IF(H150=0,"業務が未登録",IF(COUNTIFS('業務'!$C$4:$C$200,A150,'業務'!$J$4:$J$200,"済")=H150,"済","未")))</f>
        <v/>
      </c>
    </row>
    <row r="151">
      <c r="A151" s="18" t="n"/>
      <c r="B151" s="18" t="n"/>
      <c r="C151" s="18" t="n"/>
      <c r="D151" s="18" t="n"/>
      <c r="E151" s="18" t="n"/>
      <c r="F151" s="33" t="n"/>
      <c r="G151" s="21">
        <f>IF(A151="","",COUNTIF('紐付け'!$C$4:$C$200,A151))</f>
        <v/>
      </c>
      <c r="H151" s="21">
        <f>IF(A151="","",COUNTIF('業務'!$C$4:$C$200,A151))</f>
        <v/>
      </c>
      <c r="I151" s="21">
        <f>IF(A151="","",IF(H151=0,"業務が未登録",IF(COUNTIFS('業務'!$C$4:$C$200,A151,'業務'!$J$4:$J$200,"済")=H151,"済","未")))</f>
        <v/>
      </c>
    </row>
    <row r="152">
      <c r="A152" s="18" t="n"/>
      <c r="B152" s="18" t="n"/>
      <c r="C152" s="18" t="n"/>
      <c r="D152" s="18" t="n"/>
      <c r="E152" s="18" t="n"/>
      <c r="F152" s="33" t="n"/>
      <c r="G152" s="21">
        <f>IF(A152="","",COUNTIF('紐付け'!$C$4:$C$200,A152))</f>
        <v/>
      </c>
      <c r="H152" s="21">
        <f>IF(A152="","",COUNTIF('業務'!$C$4:$C$200,A152))</f>
        <v/>
      </c>
      <c r="I152" s="21">
        <f>IF(A152="","",IF(H152=0,"業務が未登録",IF(COUNTIFS('業務'!$C$4:$C$200,A152,'業務'!$J$4:$J$200,"済")=H152,"済","未")))</f>
        <v/>
      </c>
    </row>
    <row r="153">
      <c r="A153" s="18" t="n"/>
      <c r="B153" s="18" t="n"/>
      <c r="C153" s="18" t="n"/>
      <c r="D153" s="18" t="n"/>
      <c r="E153" s="18" t="n"/>
      <c r="F153" s="33" t="n"/>
      <c r="G153" s="21">
        <f>IF(A153="","",COUNTIF('紐付け'!$C$4:$C$200,A153))</f>
        <v/>
      </c>
      <c r="H153" s="21">
        <f>IF(A153="","",COUNTIF('業務'!$C$4:$C$200,A153))</f>
        <v/>
      </c>
      <c r="I153" s="21">
        <f>IF(A153="","",IF(H153=0,"業務が未登録",IF(COUNTIFS('業務'!$C$4:$C$200,A153,'業務'!$J$4:$J$200,"済")=H153,"済","未")))</f>
        <v/>
      </c>
    </row>
    <row r="154">
      <c r="A154" s="18" t="n"/>
      <c r="B154" s="18" t="n"/>
      <c r="C154" s="18" t="n"/>
      <c r="D154" s="18" t="n"/>
      <c r="E154" s="18" t="n"/>
      <c r="F154" s="33" t="n"/>
      <c r="G154" s="21">
        <f>IF(A154="","",COUNTIF('紐付け'!$C$4:$C$200,A154))</f>
        <v/>
      </c>
      <c r="H154" s="21">
        <f>IF(A154="","",COUNTIF('業務'!$C$4:$C$200,A154))</f>
        <v/>
      </c>
      <c r="I154" s="21">
        <f>IF(A154="","",IF(H154=0,"業務が未登録",IF(COUNTIFS('業務'!$C$4:$C$200,A154,'業務'!$J$4:$J$200,"済")=H154,"済","未")))</f>
        <v/>
      </c>
    </row>
    <row r="155">
      <c r="A155" s="18" t="n"/>
      <c r="B155" s="18" t="n"/>
      <c r="C155" s="18" t="n"/>
      <c r="D155" s="18" t="n"/>
      <c r="E155" s="18" t="n"/>
      <c r="F155" s="33" t="n"/>
      <c r="G155" s="21">
        <f>IF(A155="","",COUNTIF('紐付け'!$C$4:$C$200,A155))</f>
        <v/>
      </c>
      <c r="H155" s="21">
        <f>IF(A155="","",COUNTIF('業務'!$C$4:$C$200,A155))</f>
        <v/>
      </c>
      <c r="I155" s="21">
        <f>IF(A155="","",IF(H155=0,"業務が未登録",IF(COUNTIFS('業務'!$C$4:$C$200,A155,'業務'!$J$4:$J$200,"済")=H155,"済","未")))</f>
        <v/>
      </c>
    </row>
    <row r="156">
      <c r="A156" s="18" t="n"/>
      <c r="B156" s="18" t="n"/>
      <c r="C156" s="18" t="n"/>
      <c r="D156" s="18" t="n"/>
      <c r="E156" s="18" t="n"/>
      <c r="F156" s="33" t="n"/>
      <c r="G156" s="21">
        <f>IF(A156="","",COUNTIF('紐付け'!$C$4:$C$200,A156))</f>
        <v/>
      </c>
      <c r="H156" s="21">
        <f>IF(A156="","",COUNTIF('業務'!$C$4:$C$200,A156))</f>
        <v/>
      </c>
      <c r="I156" s="21">
        <f>IF(A156="","",IF(H156=0,"業務が未登録",IF(COUNTIFS('業務'!$C$4:$C$200,A156,'業務'!$J$4:$J$200,"済")=H156,"済","未")))</f>
        <v/>
      </c>
    </row>
    <row r="157">
      <c r="A157" s="18" t="n"/>
      <c r="B157" s="18" t="n"/>
      <c r="C157" s="18" t="n"/>
      <c r="D157" s="18" t="n"/>
      <c r="E157" s="18" t="n"/>
      <c r="F157" s="33" t="n"/>
      <c r="G157" s="21">
        <f>IF(A157="","",COUNTIF('紐付け'!$C$4:$C$200,A157))</f>
        <v/>
      </c>
      <c r="H157" s="21">
        <f>IF(A157="","",COUNTIF('業務'!$C$4:$C$200,A157))</f>
        <v/>
      </c>
      <c r="I157" s="21">
        <f>IF(A157="","",IF(H157=0,"業務が未登録",IF(COUNTIFS('業務'!$C$4:$C$200,A157,'業務'!$J$4:$J$200,"済")=H157,"済","未")))</f>
        <v/>
      </c>
    </row>
    <row r="158">
      <c r="A158" s="18" t="n"/>
      <c r="B158" s="18" t="n"/>
      <c r="C158" s="18" t="n"/>
      <c r="D158" s="18" t="n"/>
      <c r="E158" s="18" t="n"/>
      <c r="F158" s="33" t="n"/>
      <c r="G158" s="21">
        <f>IF(A158="","",COUNTIF('紐付け'!$C$4:$C$200,A158))</f>
        <v/>
      </c>
      <c r="H158" s="21">
        <f>IF(A158="","",COUNTIF('業務'!$C$4:$C$200,A158))</f>
        <v/>
      </c>
      <c r="I158" s="21">
        <f>IF(A158="","",IF(H158=0,"業務が未登録",IF(COUNTIFS('業務'!$C$4:$C$200,A158,'業務'!$J$4:$J$200,"済")=H158,"済","未")))</f>
        <v/>
      </c>
    </row>
    <row r="159">
      <c r="A159" s="18" t="n"/>
      <c r="B159" s="18" t="n"/>
      <c r="C159" s="18" t="n"/>
      <c r="D159" s="18" t="n"/>
      <c r="E159" s="18" t="n"/>
      <c r="F159" s="33" t="n"/>
      <c r="G159" s="21">
        <f>IF(A159="","",COUNTIF('紐付け'!$C$4:$C$200,A159))</f>
        <v/>
      </c>
      <c r="H159" s="21">
        <f>IF(A159="","",COUNTIF('業務'!$C$4:$C$200,A159))</f>
        <v/>
      </c>
      <c r="I159" s="21">
        <f>IF(A159="","",IF(H159=0,"業務が未登録",IF(COUNTIFS('業務'!$C$4:$C$200,A159,'業務'!$J$4:$J$200,"済")=H159,"済","未")))</f>
        <v/>
      </c>
    </row>
    <row r="160">
      <c r="A160" s="18" t="n"/>
      <c r="B160" s="18" t="n"/>
      <c r="C160" s="18" t="n"/>
      <c r="D160" s="18" t="n"/>
      <c r="E160" s="18" t="n"/>
      <c r="F160" s="33" t="n"/>
      <c r="G160" s="21">
        <f>IF(A160="","",COUNTIF('紐付け'!$C$4:$C$200,A160))</f>
        <v/>
      </c>
      <c r="H160" s="21">
        <f>IF(A160="","",COUNTIF('業務'!$C$4:$C$200,A160))</f>
        <v/>
      </c>
      <c r="I160" s="21">
        <f>IF(A160="","",IF(H160=0,"業務が未登録",IF(COUNTIFS('業務'!$C$4:$C$200,A160,'業務'!$J$4:$J$200,"済")=H160,"済","未")))</f>
        <v/>
      </c>
    </row>
    <row r="161">
      <c r="A161" s="18" t="n"/>
      <c r="B161" s="18" t="n"/>
      <c r="C161" s="18" t="n"/>
      <c r="D161" s="18" t="n"/>
      <c r="E161" s="18" t="n"/>
      <c r="F161" s="33" t="n"/>
      <c r="G161" s="21">
        <f>IF(A161="","",COUNTIF('紐付け'!$C$4:$C$200,A161))</f>
        <v/>
      </c>
      <c r="H161" s="21">
        <f>IF(A161="","",COUNTIF('業務'!$C$4:$C$200,A161))</f>
        <v/>
      </c>
      <c r="I161" s="21">
        <f>IF(A161="","",IF(H161=0,"業務が未登録",IF(COUNTIFS('業務'!$C$4:$C$200,A161,'業務'!$J$4:$J$200,"済")=H161,"済","未")))</f>
        <v/>
      </c>
    </row>
    <row r="162">
      <c r="A162" s="18" t="n"/>
      <c r="B162" s="18" t="n"/>
      <c r="C162" s="18" t="n"/>
      <c r="D162" s="18" t="n"/>
      <c r="E162" s="18" t="n"/>
      <c r="F162" s="33" t="n"/>
      <c r="G162" s="21">
        <f>IF(A162="","",COUNTIF('紐付け'!$C$4:$C$200,A162))</f>
        <v/>
      </c>
      <c r="H162" s="21">
        <f>IF(A162="","",COUNTIF('業務'!$C$4:$C$200,A162))</f>
        <v/>
      </c>
      <c r="I162" s="21">
        <f>IF(A162="","",IF(H162=0,"業務が未登録",IF(COUNTIFS('業務'!$C$4:$C$200,A162,'業務'!$J$4:$J$200,"済")=H162,"済","未")))</f>
        <v/>
      </c>
    </row>
    <row r="163">
      <c r="A163" s="18" t="n"/>
      <c r="B163" s="18" t="n"/>
      <c r="C163" s="18" t="n"/>
      <c r="D163" s="18" t="n"/>
      <c r="E163" s="18" t="n"/>
      <c r="F163" s="33" t="n"/>
      <c r="G163" s="21">
        <f>IF(A163="","",COUNTIF('紐付け'!$C$4:$C$200,A163))</f>
        <v/>
      </c>
      <c r="H163" s="21">
        <f>IF(A163="","",COUNTIF('業務'!$C$4:$C$200,A163))</f>
        <v/>
      </c>
      <c r="I163" s="21">
        <f>IF(A163="","",IF(H163=0,"業務が未登録",IF(COUNTIFS('業務'!$C$4:$C$200,A163,'業務'!$J$4:$J$200,"済")=H163,"済","未")))</f>
        <v/>
      </c>
    </row>
    <row r="164">
      <c r="A164" s="18" t="n"/>
      <c r="B164" s="18" t="n"/>
      <c r="C164" s="18" t="n"/>
      <c r="D164" s="18" t="n"/>
      <c r="E164" s="18" t="n"/>
      <c r="F164" s="33" t="n"/>
      <c r="G164" s="21">
        <f>IF(A164="","",COUNTIF('紐付け'!$C$4:$C$200,A164))</f>
        <v/>
      </c>
      <c r="H164" s="21">
        <f>IF(A164="","",COUNTIF('業務'!$C$4:$C$200,A164))</f>
        <v/>
      </c>
      <c r="I164" s="21">
        <f>IF(A164="","",IF(H164=0,"業務が未登録",IF(COUNTIFS('業務'!$C$4:$C$200,A164,'業務'!$J$4:$J$200,"済")=H164,"済","未")))</f>
        <v/>
      </c>
    </row>
    <row r="165">
      <c r="A165" s="18" t="n"/>
      <c r="B165" s="18" t="n"/>
      <c r="C165" s="18" t="n"/>
      <c r="D165" s="18" t="n"/>
      <c r="E165" s="18" t="n"/>
      <c r="F165" s="33" t="n"/>
      <c r="G165" s="21">
        <f>IF(A165="","",COUNTIF('紐付け'!$C$4:$C$200,A165))</f>
        <v/>
      </c>
      <c r="H165" s="21">
        <f>IF(A165="","",COUNTIF('業務'!$C$4:$C$200,A165))</f>
        <v/>
      </c>
      <c r="I165" s="21">
        <f>IF(A165="","",IF(H165=0,"業務が未登録",IF(COUNTIFS('業務'!$C$4:$C$200,A165,'業務'!$J$4:$J$200,"済")=H165,"済","未")))</f>
        <v/>
      </c>
    </row>
    <row r="166">
      <c r="A166" s="18" t="n"/>
      <c r="B166" s="18" t="n"/>
      <c r="C166" s="18" t="n"/>
      <c r="D166" s="18" t="n"/>
      <c r="E166" s="18" t="n"/>
      <c r="F166" s="33" t="n"/>
      <c r="G166" s="21">
        <f>IF(A166="","",COUNTIF('紐付け'!$C$4:$C$200,A166))</f>
        <v/>
      </c>
      <c r="H166" s="21">
        <f>IF(A166="","",COUNTIF('業務'!$C$4:$C$200,A166))</f>
        <v/>
      </c>
      <c r="I166" s="21">
        <f>IF(A166="","",IF(H166=0,"業務が未登録",IF(COUNTIFS('業務'!$C$4:$C$200,A166,'業務'!$J$4:$J$200,"済")=H166,"済","未")))</f>
        <v/>
      </c>
    </row>
    <row r="167">
      <c r="A167" s="18" t="n"/>
      <c r="B167" s="18" t="n"/>
      <c r="C167" s="18" t="n"/>
      <c r="D167" s="18" t="n"/>
      <c r="E167" s="18" t="n"/>
      <c r="F167" s="33" t="n"/>
      <c r="G167" s="21">
        <f>IF(A167="","",COUNTIF('紐付け'!$C$4:$C$200,A167))</f>
        <v/>
      </c>
      <c r="H167" s="21">
        <f>IF(A167="","",COUNTIF('業務'!$C$4:$C$200,A167))</f>
        <v/>
      </c>
      <c r="I167" s="21">
        <f>IF(A167="","",IF(H167=0,"業務が未登録",IF(COUNTIFS('業務'!$C$4:$C$200,A167,'業務'!$J$4:$J$200,"済")=H167,"済","未")))</f>
        <v/>
      </c>
    </row>
    <row r="168">
      <c r="A168" s="18" t="n"/>
      <c r="B168" s="18" t="n"/>
      <c r="C168" s="18" t="n"/>
      <c r="D168" s="18" t="n"/>
      <c r="E168" s="18" t="n"/>
      <c r="F168" s="33" t="n"/>
      <c r="G168" s="21">
        <f>IF(A168="","",COUNTIF('紐付け'!$C$4:$C$200,A168))</f>
        <v/>
      </c>
      <c r="H168" s="21">
        <f>IF(A168="","",COUNTIF('業務'!$C$4:$C$200,A168))</f>
        <v/>
      </c>
      <c r="I168" s="21">
        <f>IF(A168="","",IF(H168=0,"業務が未登録",IF(COUNTIFS('業務'!$C$4:$C$200,A168,'業務'!$J$4:$J$200,"済")=H168,"済","未")))</f>
        <v/>
      </c>
    </row>
    <row r="169">
      <c r="A169" s="18" t="n"/>
      <c r="B169" s="18" t="n"/>
      <c r="C169" s="18" t="n"/>
      <c r="D169" s="18" t="n"/>
      <c r="E169" s="18" t="n"/>
      <c r="F169" s="33" t="n"/>
      <c r="G169" s="21">
        <f>IF(A169="","",COUNTIF('紐付け'!$C$4:$C$200,A169))</f>
        <v/>
      </c>
      <c r="H169" s="21">
        <f>IF(A169="","",COUNTIF('業務'!$C$4:$C$200,A169))</f>
        <v/>
      </c>
      <c r="I169" s="21">
        <f>IF(A169="","",IF(H169=0,"業務が未登録",IF(COUNTIFS('業務'!$C$4:$C$200,A169,'業務'!$J$4:$J$200,"済")=H169,"済","未")))</f>
        <v/>
      </c>
    </row>
    <row r="170">
      <c r="A170" s="18" t="n"/>
      <c r="B170" s="18" t="n"/>
      <c r="C170" s="18" t="n"/>
      <c r="D170" s="18" t="n"/>
      <c r="E170" s="18" t="n"/>
      <c r="F170" s="33" t="n"/>
      <c r="G170" s="21">
        <f>IF(A170="","",COUNTIF('紐付け'!$C$4:$C$200,A170))</f>
        <v/>
      </c>
      <c r="H170" s="21">
        <f>IF(A170="","",COUNTIF('業務'!$C$4:$C$200,A170))</f>
        <v/>
      </c>
      <c r="I170" s="21">
        <f>IF(A170="","",IF(H170=0,"業務が未登録",IF(COUNTIFS('業務'!$C$4:$C$200,A170,'業務'!$J$4:$J$200,"済")=H170,"済","未")))</f>
        <v/>
      </c>
    </row>
    <row r="171">
      <c r="A171" s="18" t="n"/>
      <c r="B171" s="18" t="n"/>
      <c r="C171" s="18" t="n"/>
      <c r="D171" s="18" t="n"/>
      <c r="E171" s="18" t="n"/>
      <c r="F171" s="33" t="n"/>
      <c r="G171" s="21">
        <f>IF(A171="","",COUNTIF('紐付け'!$C$4:$C$200,A171))</f>
        <v/>
      </c>
      <c r="H171" s="21">
        <f>IF(A171="","",COUNTIF('業務'!$C$4:$C$200,A171))</f>
        <v/>
      </c>
      <c r="I171" s="21">
        <f>IF(A171="","",IF(H171=0,"業務が未登録",IF(COUNTIFS('業務'!$C$4:$C$200,A171,'業務'!$J$4:$J$200,"済")=H171,"済","未")))</f>
        <v/>
      </c>
    </row>
    <row r="172">
      <c r="A172" s="18" t="n"/>
      <c r="B172" s="18" t="n"/>
      <c r="C172" s="18" t="n"/>
      <c r="D172" s="18" t="n"/>
      <c r="E172" s="18" t="n"/>
      <c r="F172" s="33" t="n"/>
      <c r="G172" s="21">
        <f>IF(A172="","",COUNTIF('紐付け'!$C$4:$C$200,A172))</f>
        <v/>
      </c>
      <c r="H172" s="21">
        <f>IF(A172="","",COUNTIF('業務'!$C$4:$C$200,A172))</f>
        <v/>
      </c>
      <c r="I172" s="21">
        <f>IF(A172="","",IF(H172=0,"業務が未登録",IF(COUNTIFS('業務'!$C$4:$C$200,A172,'業務'!$J$4:$J$200,"済")=H172,"済","未")))</f>
        <v/>
      </c>
    </row>
    <row r="173">
      <c r="A173" s="18" t="n"/>
      <c r="B173" s="18" t="n"/>
      <c r="C173" s="18" t="n"/>
      <c r="D173" s="18" t="n"/>
      <c r="E173" s="18" t="n"/>
      <c r="F173" s="33" t="n"/>
      <c r="G173" s="21">
        <f>IF(A173="","",COUNTIF('紐付け'!$C$4:$C$200,A173))</f>
        <v/>
      </c>
      <c r="H173" s="21">
        <f>IF(A173="","",COUNTIF('業務'!$C$4:$C$200,A173))</f>
        <v/>
      </c>
      <c r="I173" s="21">
        <f>IF(A173="","",IF(H173=0,"業務が未登録",IF(COUNTIFS('業務'!$C$4:$C$200,A173,'業務'!$J$4:$J$200,"済")=H173,"済","未")))</f>
        <v/>
      </c>
    </row>
    <row r="174">
      <c r="A174" s="18" t="n"/>
      <c r="B174" s="18" t="n"/>
      <c r="C174" s="18" t="n"/>
      <c r="D174" s="18" t="n"/>
      <c r="E174" s="18" t="n"/>
      <c r="F174" s="33" t="n"/>
      <c r="G174" s="21">
        <f>IF(A174="","",COUNTIF('紐付け'!$C$4:$C$200,A174))</f>
        <v/>
      </c>
      <c r="H174" s="21">
        <f>IF(A174="","",COUNTIF('業務'!$C$4:$C$200,A174))</f>
        <v/>
      </c>
      <c r="I174" s="21">
        <f>IF(A174="","",IF(H174=0,"業務が未登録",IF(COUNTIFS('業務'!$C$4:$C$200,A174,'業務'!$J$4:$J$200,"済")=H174,"済","未")))</f>
        <v/>
      </c>
    </row>
    <row r="175">
      <c r="A175" s="18" t="n"/>
      <c r="B175" s="18" t="n"/>
      <c r="C175" s="18" t="n"/>
      <c r="D175" s="18" t="n"/>
      <c r="E175" s="18" t="n"/>
      <c r="F175" s="33" t="n"/>
      <c r="G175" s="21">
        <f>IF(A175="","",COUNTIF('紐付け'!$C$4:$C$200,A175))</f>
        <v/>
      </c>
      <c r="H175" s="21">
        <f>IF(A175="","",COUNTIF('業務'!$C$4:$C$200,A175))</f>
        <v/>
      </c>
      <c r="I175" s="21">
        <f>IF(A175="","",IF(H175=0,"業務が未登録",IF(COUNTIFS('業務'!$C$4:$C$200,A175,'業務'!$J$4:$J$200,"済")=H175,"済","未")))</f>
        <v/>
      </c>
    </row>
    <row r="176">
      <c r="A176" s="18" t="n"/>
      <c r="B176" s="18" t="n"/>
      <c r="C176" s="18" t="n"/>
      <c r="D176" s="18" t="n"/>
      <c r="E176" s="18" t="n"/>
      <c r="F176" s="33" t="n"/>
      <c r="G176" s="21">
        <f>IF(A176="","",COUNTIF('紐付け'!$C$4:$C$200,A176))</f>
        <v/>
      </c>
      <c r="H176" s="21">
        <f>IF(A176="","",COUNTIF('業務'!$C$4:$C$200,A176))</f>
        <v/>
      </c>
      <c r="I176" s="21">
        <f>IF(A176="","",IF(H176=0,"業務が未登録",IF(COUNTIFS('業務'!$C$4:$C$200,A176,'業務'!$J$4:$J$200,"済")=H176,"済","未")))</f>
        <v/>
      </c>
    </row>
    <row r="177">
      <c r="A177" s="18" t="n"/>
      <c r="B177" s="18" t="n"/>
      <c r="C177" s="18" t="n"/>
      <c r="D177" s="18" t="n"/>
      <c r="E177" s="18" t="n"/>
      <c r="F177" s="33" t="n"/>
      <c r="G177" s="21">
        <f>IF(A177="","",COUNTIF('紐付け'!$C$4:$C$200,A177))</f>
        <v/>
      </c>
      <c r="H177" s="21">
        <f>IF(A177="","",COUNTIF('業務'!$C$4:$C$200,A177))</f>
        <v/>
      </c>
      <c r="I177" s="21">
        <f>IF(A177="","",IF(H177=0,"業務が未登録",IF(COUNTIFS('業務'!$C$4:$C$200,A177,'業務'!$J$4:$J$200,"済")=H177,"済","未")))</f>
        <v/>
      </c>
    </row>
    <row r="178">
      <c r="A178" s="18" t="n"/>
      <c r="B178" s="18" t="n"/>
      <c r="C178" s="18" t="n"/>
      <c r="D178" s="18" t="n"/>
      <c r="E178" s="18" t="n"/>
      <c r="F178" s="33" t="n"/>
      <c r="G178" s="21">
        <f>IF(A178="","",COUNTIF('紐付け'!$C$4:$C$200,A178))</f>
        <v/>
      </c>
      <c r="H178" s="21">
        <f>IF(A178="","",COUNTIF('業務'!$C$4:$C$200,A178))</f>
        <v/>
      </c>
      <c r="I178" s="21">
        <f>IF(A178="","",IF(H178=0,"業務が未登録",IF(COUNTIFS('業務'!$C$4:$C$200,A178,'業務'!$J$4:$J$200,"済")=H178,"済","未")))</f>
        <v/>
      </c>
    </row>
    <row r="179">
      <c r="A179" s="18" t="n"/>
      <c r="B179" s="18" t="n"/>
      <c r="C179" s="18" t="n"/>
      <c r="D179" s="18" t="n"/>
      <c r="E179" s="18" t="n"/>
      <c r="F179" s="33" t="n"/>
      <c r="G179" s="21">
        <f>IF(A179="","",COUNTIF('紐付け'!$C$4:$C$200,A179))</f>
        <v/>
      </c>
      <c r="H179" s="21">
        <f>IF(A179="","",COUNTIF('業務'!$C$4:$C$200,A179))</f>
        <v/>
      </c>
      <c r="I179" s="21">
        <f>IF(A179="","",IF(H179=0,"業務が未登録",IF(COUNTIFS('業務'!$C$4:$C$200,A179,'業務'!$J$4:$J$200,"済")=H179,"済","未")))</f>
        <v/>
      </c>
    </row>
    <row r="180">
      <c r="A180" s="18" t="n"/>
      <c r="B180" s="18" t="n"/>
      <c r="C180" s="18" t="n"/>
      <c r="D180" s="18" t="n"/>
      <c r="E180" s="18" t="n"/>
      <c r="F180" s="33" t="n"/>
      <c r="G180" s="21">
        <f>IF(A180="","",COUNTIF('紐付け'!$C$4:$C$200,A180))</f>
        <v/>
      </c>
      <c r="H180" s="21">
        <f>IF(A180="","",COUNTIF('業務'!$C$4:$C$200,A180))</f>
        <v/>
      </c>
      <c r="I180" s="21">
        <f>IF(A180="","",IF(H180=0,"業務が未登録",IF(COUNTIFS('業務'!$C$4:$C$200,A180,'業務'!$J$4:$J$200,"済")=H180,"済","未")))</f>
        <v/>
      </c>
    </row>
    <row r="181">
      <c r="A181" s="18" t="n"/>
      <c r="B181" s="18" t="n"/>
      <c r="C181" s="18" t="n"/>
      <c r="D181" s="18" t="n"/>
      <c r="E181" s="18" t="n"/>
      <c r="F181" s="33" t="n"/>
      <c r="G181" s="21">
        <f>IF(A181="","",COUNTIF('紐付け'!$C$4:$C$200,A181))</f>
        <v/>
      </c>
      <c r="H181" s="21">
        <f>IF(A181="","",COUNTIF('業務'!$C$4:$C$200,A181))</f>
        <v/>
      </c>
      <c r="I181" s="21">
        <f>IF(A181="","",IF(H181=0,"業務が未登録",IF(COUNTIFS('業務'!$C$4:$C$200,A181,'業務'!$J$4:$J$200,"済")=H181,"済","未")))</f>
        <v/>
      </c>
    </row>
    <row r="182">
      <c r="A182" s="18" t="n"/>
      <c r="B182" s="18" t="n"/>
      <c r="C182" s="18" t="n"/>
      <c r="D182" s="18" t="n"/>
      <c r="E182" s="18" t="n"/>
      <c r="F182" s="33" t="n"/>
      <c r="G182" s="21">
        <f>IF(A182="","",COUNTIF('紐付け'!$C$4:$C$200,A182))</f>
        <v/>
      </c>
      <c r="H182" s="21">
        <f>IF(A182="","",COUNTIF('業務'!$C$4:$C$200,A182))</f>
        <v/>
      </c>
      <c r="I182" s="21">
        <f>IF(A182="","",IF(H182=0,"業務が未登録",IF(COUNTIFS('業務'!$C$4:$C$200,A182,'業務'!$J$4:$J$200,"済")=H182,"済","未")))</f>
        <v/>
      </c>
    </row>
    <row r="183">
      <c r="A183" s="18" t="n"/>
      <c r="B183" s="18" t="n"/>
      <c r="C183" s="18" t="n"/>
      <c r="D183" s="18" t="n"/>
      <c r="E183" s="18" t="n"/>
      <c r="F183" s="33" t="n"/>
      <c r="G183" s="21">
        <f>IF(A183="","",COUNTIF('紐付け'!$C$4:$C$200,A183))</f>
        <v/>
      </c>
      <c r="H183" s="21">
        <f>IF(A183="","",COUNTIF('業務'!$C$4:$C$200,A183))</f>
        <v/>
      </c>
      <c r="I183" s="21">
        <f>IF(A183="","",IF(H183=0,"業務が未登録",IF(COUNTIFS('業務'!$C$4:$C$200,A183,'業務'!$J$4:$J$200,"済")=H183,"済","未")))</f>
        <v/>
      </c>
    </row>
    <row r="184">
      <c r="A184" s="18" t="n"/>
      <c r="B184" s="18" t="n"/>
      <c r="C184" s="18" t="n"/>
      <c r="D184" s="18" t="n"/>
      <c r="E184" s="18" t="n"/>
      <c r="F184" s="33" t="n"/>
      <c r="G184" s="21">
        <f>IF(A184="","",COUNTIF('紐付け'!$C$4:$C$200,A184))</f>
        <v/>
      </c>
      <c r="H184" s="21">
        <f>IF(A184="","",COUNTIF('業務'!$C$4:$C$200,A184))</f>
        <v/>
      </c>
      <c r="I184" s="21">
        <f>IF(A184="","",IF(H184=0,"業務が未登録",IF(COUNTIFS('業務'!$C$4:$C$200,A184,'業務'!$J$4:$J$200,"済")=H184,"済","未")))</f>
        <v/>
      </c>
    </row>
    <row r="185">
      <c r="A185" s="18" t="n"/>
      <c r="B185" s="18" t="n"/>
      <c r="C185" s="18" t="n"/>
      <c r="D185" s="18" t="n"/>
      <c r="E185" s="18" t="n"/>
      <c r="F185" s="33" t="n"/>
      <c r="G185" s="21">
        <f>IF(A185="","",COUNTIF('紐付け'!$C$4:$C$200,A185))</f>
        <v/>
      </c>
      <c r="H185" s="21">
        <f>IF(A185="","",COUNTIF('業務'!$C$4:$C$200,A185))</f>
        <v/>
      </c>
      <c r="I185" s="21">
        <f>IF(A185="","",IF(H185=0,"業務が未登録",IF(COUNTIFS('業務'!$C$4:$C$200,A185,'業務'!$J$4:$J$200,"済")=H185,"済","未")))</f>
        <v/>
      </c>
    </row>
    <row r="186">
      <c r="A186" s="18" t="n"/>
      <c r="B186" s="18" t="n"/>
      <c r="C186" s="18" t="n"/>
      <c r="D186" s="18" t="n"/>
      <c r="E186" s="18" t="n"/>
      <c r="F186" s="33" t="n"/>
      <c r="G186" s="21">
        <f>IF(A186="","",COUNTIF('紐付け'!$C$4:$C$200,A186))</f>
        <v/>
      </c>
      <c r="H186" s="21">
        <f>IF(A186="","",COUNTIF('業務'!$C$4:$C$200,A186))</f>
        <v/>
      </c>
      <c r="I186" s="21">
        <f>IF(A186="","",IF(H186=0,"業務が未登録",IF(COUNTIFS('業務'!$C$4:$C$200,A186,'業務'!$J$4:$J$200,"済")=H186,"済","未")))</f>
        <v/>
      </c>
    </row>
    <row r="187">
      <c r="A187" s="18" t="n"/>
      <c r="B187" s="18" t="n"/>
      <c r="C187" s="18" t="n"/>
      <c r="D187" s="18" t="n"/>
      <c r="E187" s="18" t="n"/>
      <c r="F187" s="33" t="n"/>
      <c r="G187" s="21">
        <f>IF(A187="","",COUNTIF('紐付け'!$C$4:$C$200,A187))</f>
        <v/>
      </c>
      <c r="H187" s="21">
        <f>IF(A187="","",COUNTIF('業務'!$C$4:$C$200,A187))</f>
        <v/>
      </c>
      <c r="I187" s="21">
        <f>IF(A187="","",IF(H187=0,"業務が未登録",IF(COUNTIFS('業務'!$C$4:$C$200,A187,'業務'!$J$4:$J$200,"済")=H187,"済","未")))</f>
        <v/>
      </c>
    </row>
    <row r="188">
      <c r="A188" s="18" t="n"/>
      <c r="B188" s="18" t="n"/>
      <c r="C188" s="18" t="n"/>
      <c r="D188" s="18" t="n"/>
      <c r="E188" s="18" t="n"/>
      <c r="F188" s="33" t="n"/>
      <c r="G188" s="21">
        <f>IF(A188="","",COUNTIF('紐付け'!$C$4:$C$200,A188))</f>
        <v/>
      </c>
      <c r="H188" s="21">
        <f>IF(A188="","",COUNTIF('業務'!$C$4:$C$200,A188))</f>
        <v/>
      </c>
      <c r="I188" s="21">
        <f>IF(A188="","",IF(H188=0,"業務が未登録",IF(COUNTIFS('業務'!$C$4:$C$200,A188,'業務'!$J$4:$J$200,"済")=H188,"済","未")))</f>
        <v/>
      </c>
    </row>
    <row r="189">
      <c r="A189" s="18" t="n"/>
      <c r="B189" s="18" t="n"/>
      <c r="C189" s="18" t="n"/>
      <c r="D189" s="18" t="n"/>
      <c r="E189" s="18" t="n"/>
      <c r="F189" s="33" t="n"/>
      <c r="G189" s="21">
        <f>IF(A189="","",COUNTIF('紐付け'!$C$4:$C$200,A189))</f>
        <v/>
      </c>
      <c r="H189" s="21">
        <f>IF(A189="","",COUNTIF('業務'!$C$4:$C$200,A189))</f>
        <v/>
      </c>
      <c r="I189" s="21">
        <f>IF(A189="","",IF(H189=0,"業務が未登録",IF(COUNTIFS('業務'!$C$4:$C$200,A189,'業務'!$J$4:$J$200,"済")=H189,"済","未")))</f>
        <v/>
      </c>
    </row>
    <row r="190">
      <c r="A190" s="18" t="n"/>
      <c r="B190" s="18" t="n"/>
      <c r="C190" s="18" t="n"/>
      <c r="D190" s="18" t="n"/>
      <c r="E190" s="18" t="n"/>
      <c r="F190" s="33" t="n"/>
      <c r="G190" s="21">
        <f>IF(A190="","",COUNTIF('紐付け'!$C$4:$C$200,A190))</f>
        <v/>
      </c>
      <c r="H190" s="21">
        <f>IF(A190="","",COUNTIF('業務'!$C$4:$C$200,A190))</f>
        <v/>
      </c>
      <c r="I190" s="21">
        <f>IF(A190="","",IF(H190=0,"業務が未登録",IF(COUNTIFS('業務'!$C$4:$C$200,A190,'業務'!$J$4:$J$200,"済")=H190,"済","未")))</f>
        <v/>
      </c>
    </row>
    <row r="191">
      <c r="A191" s="18" t="n"/>
      <c r="B191" s="18" t="n"/>
      <c r="C191" s="18" t="n"/>
      <c r="D191" s="18" t="n"/>
      <c r="E191" s="18" t="n"/>
      <c r="F191" s="33" t="n"/>
      <c r="G191" s="21">
        <f>IF(A191="","",COUNTIF('紐付け'!$C$4:$C$200,A191))</f>
        <v/>
      </c>
      <c r="H191" s="21">
        <f>IF(A191="","",COUNTIF('業務'!$C$4:$C$200,A191))</f>
        <v/>
      </c>
      <c r="I191" s="21">
        <f>IF(A191="","",IF(H191=0,"業務が未登録",IF(COUNTIFS('業務'!$C$4:$C$200,A191,'業務'!$J$4:$J$200,"済")=H191,"済","未")))</f>
        <v/>
      </c>
    </row>
    <row r="192">
      <c r="A192" s="18" t="n"/>
      <c r="B192" s="18" t="n"/>
      <c r="C192" s="18" t="n"/>
      <c r="D192" s="18" t="n"/>
      <c r="E192" s="18" t="n"/>
      <c r="F192" s="33" t="n"/>
      <c r="G192" s="21">
        <f>IF(A192="","",COUNTIF('紐付け'!$C$4:$C$200,A192))</f>
        <v/>
      </c>
      <c r="H192" s="21">
        <f>IF(A192="","",COUNTIF('業務'!$C$4:$C$200,A192))</f>
        <v/>
      </c>
      <c r="I192" s="21">
        <f>IF(A192="","",IF(H192=0,"業務が未登録",IF(COUNTIFS('業務'!$C$4:$C$200,A192,'業務'!$J$4:$J$200,"済")=H192,"済","未")))</f>
        <v/>
      </c>
    </row>
    <row r="193">
      <c r="A193" s="18" t="n"/>
      <c r="B193" s="18" t="n"/>
      <c r="C193" s="18" t="n"/>
      <c r="D193" s="18" t="n"/>
      <c r="E193" s="18" t="n"/>
      <c r="F193" s="33" t="n"/>
      <c r="G193" s="21">
        <f>IF(A193="","",COUNTIF('紐付け'!$C$4:$C$200,A193))</f>
        <v/>
      </c>
      <c r="H193" s="21">
        <f>IF(A193="","",COUNTIF('業務'!$C$4:$C$200,A193))</f>
        <v/>
      </c>
      <c r="I193" s="21">
        <f>IF(A193="","",IF(H193=0,"業務が未登録",IF(COUNTIFS('業務'!$C$4:$C$200,A193,'業務'!$J$4:$J$200,"済")=H193,"済","未")))</f>
        <v/>
      </c>
    </row>
    <row r="194">
      <c r="A194" s="18" t="n"/>
      <c r="B194" s="18" t="n"/>
      <c r="C194" s="18" t="n"/>
      <c r="D194" s="18" t="n"/>
      <c r="E194" s="18" t="n"/>
      <c r="F194" s="33" t="n"/>
      <c r="G194" s="21">
        <f>IF(A194="","",COUNTIF('紐付け'!$C$4:$C$200,A194))</f>
        <v/>
      </c>
      <c r="H194" s="21">
        <f>IF(A194="","",COUNTIF('業務'!$C$4:$C$200,A194))</f>
        <v/>
      </c>
      <c r="I194" s="21">
        <f>IF(A194="","",IF(H194=0,"業務が未登録",IF(COUNTIFS('業務'!$C$4:$C$200,A194,'業務'!$J$4:$J$200,"済")=H194,"済","未")))</f>
        <v/>
      </c>
    </row>
    <row r="195">
      <c r="A195" s="18" t="n"/>
      <c r="B195" s="18" t="n"/>
      <c r="C195" s="18" t="n"/>
      <c r="D195" s="18" t="n"/>
      <c r="E195" s="18" t="n"/>
      <c r="F195" s="33" t="n"/>
      <c r="G195" s="21">
        <f>IF(A195="","",COUNTIF('紐付け'!$C$4:$C$200,A195))</f>
        <v/>
      </c>
      <c r="H195" s="21">
        <f>IF(A195="","",COUNTIF('業務'!$C$4:$C$200,A195))</f>
        <v/>
      </c>
      <c r="I195" s="21">
        <f>IF(A195="","",IF(H195=0,"業務が未登録",IF(COUNTIFS('業務'!$C$4:$C$200,A195,'業務'!$J$4:$J$200,"済")=H195,"済","未")))</f>
        <v/>
      </c>
    </row>
    <row r="196">
      <c r="A196" s="18" t="n"/>
      <c r="B196" s="18" t="n"/>
      <c r="C196" s="18" t="n"/>
      <c r="D196" s="18" t="n"/>
      <c r="E196" s="18" t="n"/>
      <c r="F196" s="33" t="n"/>
      <c r="G196" s="21">
        <f>IF(A196="","",COUNTIF('紐付け'!$C$4:$C$200,A196))</f>
        <v/>
      </c>
      <c r="H196" s="21">
        <f>IF(A196="","",COUNTIF('業務'!$C$4:$C$200,A196))</f>
        <v/>
      </c>
      <c r="I196" s="21">
        <f>IF(A196="","",IF(H196=0,"業務が未登録",IF(COUNTIFS('業務'!$C$4:$C$200,A196,'業務'!$J$4:$J$200,"済")=H196,"済","未")))</f>
        <v/>
      </c>
    </row>
    <row r="197">
      <c r="A197" s="18" t="n"/>
      <c r="B197" s="18" t="n"/>
      <c r="C197" s="18" t="n"/>
      <c r="D197" s="18" t="n"/>
      <c r="E197" s="18" t="n"/>
      <c r="F197" s="33" t="n"/>
      <c r="G197" s="21">
        <f>IF(A197="","",COUNTIF('紐付け'!$C$4:$C$200,A197))</f>
        <v/>
      </c>
      <c r="H197" s="21">
        <f>IF(A197="","",COUNTIF('業務'!$C$4:$C$200,A197))</f>
        <v/>
      </c>
      <c r="I197" s="21">
        <f>IF(A197="","",IF(H197=0,"業務が未登録",IF(COUNTIFS('業務'!$C$4:$C$200,A197,'業務'!$J$4:$J$200,"済")=H197,"済","未")))</f>
        <v/>
      </c>
    </row>
    <row r="198">
      <c r="A198" s="18" t="n"/>
      <c r="B198" s="18" t="n"/>
      <c r="C198" s="18" t="n"/>
      <c r="D198" s="18" t="n"/>
      <c r="E198" s="18" t="n"/>
      <c r="F198" s="33" t="n"/>
      <c r="G198" s="21">
        <f>IF(A198="","",COUNTIF('紐付け'!$C$4:$C$200,A198))</f>
        <v/>
      </c>
      <c r="H198" s="21">
        <f>IF(A198="","",COUNTIF('業務'!$C$4:$C$200,A198))</f>
        <v/>
      </c>
      <c r="I198" s="21">
        <f>IF(A198="","",IF(H198=0,"業務が未登録",IF(COUNTIFS('業務'!$C$4:$C$200,A198,'業務'!$J$4:$J$200,"済")=H198,"済","未")))</f>
        <v/>
      </c>
    </row>
    <row r="199">
      <c r="A199" s="18" t="n"/>
      <c r="B199" s="18" t="n"/>
      <c r="C199" s="18" t="n"/>
      <c r="D199" s="18" t="n"/>
      <c r="E199" s="18" t="n"/>
      <c r="F199" s="33" t="n"/>
      <c r="G199" s="21">
        <f>IF(A199="","",COUNTIF('紐付け'!$C$4:$C$200,A199))</f>
        <v/>
      </c>
      <c r="H199" s="21">
        <f>IF(A199="","",COUNTIF('業務'!$C$4:$C$200,A199))</f>
        <v/>
      </c>
      <c r="I199" s="21">
        <f>IF(A199="","",IF(H199=0,"業務が未登録",IF(COUNTIFS('業務'!$C$4:$C$200,A199,'業務'!$J$4:$J$200,"済")=H199,"済","未")))</f>
        <v/>
      </c>
    </row>
    <row r="200">
      <c r="A200" s="18" t="n"/>
      <c r="B200" s="18" t="n"/>
      <c r="C200" s="18" t="n"/>
      <c r="D200" s="18" t="n"/>
      <c r="E200" s="18" t="n"/>
      <c r="F200" s="33" t="n"/>
      <c r="G200" s="21">
        <f>IF(A200="","",COUNTIF('紐付け'!$C$4:$C$200,A200))</f>
        <v/>
      </c>
      <c r="H200" s="21">
        <f>IF(A200="","",COUNTIF('業務'!$C$4:$C$200,A200))</f>
        <v/>
      </c>
      <c r="I200" s="21">
        <f>IF(A200="","",IF(H200=0,"業務が未登録",IF(COUNTIFS('業務'!$C$4:$C$200,A200,'業務'!$J$4:$J$200,"済")=H200,"済","未")))</f>
        <v/>
      </c>
    </row>
  </sheetData>
  <dataValidations count="1">
    <dataValidation sqref="D4:E200" showDropDown="0" showInputMessage="0" showErrorMessage="0" allowBlank="1" type="list">
      <formula1>'選択肢'!$E$5:$E$14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22" customWidth="1" min="4" max="4"/>
    <col width="26" customWidth="1" min="5" max="5"/>
    <col width="12" customWidth="1" min="6" max="6"/>
    <col width="14" customWidth="1" min="7" max="7"/>
    <col width="9" customWidth="1" min="8" max="8"/>
    <col width="11" customWidth="1" min="9" max="9"/>
    <col width="10" customWidth="1" min="10" max="10"/>
    <col width="9" customWidth="1" min="11" max="11"/>
    <col width="9" customWidth="1" min="12" max="12"/>
    <col width="9" customWidth="1" min="13" max="13"/>
    <col width="12" customWidth="1" min="14" max="14"/>
    <col width="22" customWidth="1" min="15" max="15"/>
    <col width="11" customWidth="1" min="16" max="16"/>
    <col width="12" customWidth="1" min="17" max="17"/>
    <col width="17" customWidth="1" min="18" max="18"/>
    <col width="16" customWidth="1" min="19" max="19"/>
    <col width="34" customWidth="1" min="20" max="20"/>
    <col width="14" customWidth="1" min="21" max="21"/>
    <col width="24" customWidth="1" min="22" max="22"/>
    <col width="16" customWidth="1" min="23" max="23"/>
  </cols>
  <sheetData>
    <row r="1">
      <c r="A1" s="1" t="inlineStr">
        <is>
          <t>業務（直接業務と間接業務の棚卸し）</t>
        </is>
      </c>
    </row>
    <row r="2">
      <c r="A2" s="2" t="inlineStr">
        <is>
          <t>1行＝1つの業務。システムに関わる、移管対象部門の業務を棚卸しする。業務の種類を選ぶと業務区分が自動で決まる。間接業務（予算・契約の管理、発注・検収・支払い、委託先の管理など）は移管し、直接業務（業務要件の決定、業務での利用、受け入れの確認、部門で行う運用など）は移管対象部門に残る。区分は全ての案件で同じで、案件ごとに変えない。今の担当が SOP・規程など承認済みの文書や記録で定められていて、担当の変更に正式な手続き（例：GxPの変更管理）が要る間接業務は、手続きが完了するまで今の担当のまま行う（経過措置）。その業務だけ、完了予定（S）と手続きの内容（T）を書く（予算は一括して移す）。契約を管理する業務には関連契約IDを書く。灰色の列は数式。薄い色の行は記入例。 業務は案件×システムの単位で書く。同じシステムの業務でも、案件ごとに行を分け、案件ID（U）を入れる（案件IDと対象システムIDの組み合わせは紐付けシートにあること）。 経費予算の案件は、紐付けたシステムごとに、その案件の間接業務を1行以上書く（ないと間接業務の判定が判定保留のまま）。新規の投資案件は業務を書かない。</t>
        </is>
      </c>
    </row>
    <row r="3" ht="34" customHeight="1">
      <c r="A3" s="12" t="inlineStr">
        <is>
          <t>業務ID</t>
        </is>
      </c>
      <c r="B3" s="12" t="inlineStr">
        <is>
          <t>業務名</t>
        </is>
      </c>
      <c r="C3" s="12" t="inlineStr">
        <is>
          <t>対象システムID</t>
        </is>
      </c>
      <c r="D3" s="12" t="inlineStr">
        <is>
          <t>システム名（自動）</t>
        </is>
      </c>
      <c r="E3" s="12" t="inlineStr">
        <is>
          <t>業務の種類</t>
        </is>
      </c>
      <c r="F3" s="12" t="inlineStr">
        <is>
          <t>業務区分（自動）</t>
        </is>
      </c>
      <c r="G3" s="12" t="inlineStr">
        <is>
          <t>現在の実施者</t>
        </is>
      </c>
      <c r="H3" s="12" t="inlineStr">
        <is>
          <t>頻度</t>
        </is>
      </c>
      <c r="I3" s="12" t="inlineStr">
        <is>
          <t>年間工数（人日）</t>
        </is>
      </c>
      <c r="J3" s="12" t="inlineStr">
        <is>
          <t>棚卸し
（済／未）</t>
        </is>
      </c>
      <c r="K3" s="12" t="inlineStr">
        <is>
          <t>GxP対象</t>
        </is>
      </c>
      <c r="L3" s="12" t="inlineStr">
        <is>
          <t>個人情報</t>
        </is>
      </c>
      <c r="M3" s="12" t="inlineStr">
        <is>
          <t>SOP有無</t>
        </is>
      </c>
      <c r="N3" s="12" t="inlineStr">
        <is>
          <t>関連契約ID</t>
        </is>
      </c>
      <c r="O3" s="12" t="inlineStr">
        <is>
          <t>現場の関わり方
（間接業務のみ）</t>
        </is>
      </c>
      <c r="P3" s="12" t="inlineStr">
        <is>
          <t>困難度（自動）</t>
        </is>
      </c>
      <c r="Q3" s="12" t="inlineStr">
        <is>
          <t>業務移管判定（自動）</t>
        </is>
      </c>
      <c r="R3" s="12" t="inlineStr">
        <is>
          <t>移管の方法（自動）</t>
        </is>
      </c>
      <c r="S3" s="12" t="inlineStr">
        <is>
          <t>経過措置の完了予定
（担当の変更に手続きが要る業務のみ）</t>
        </is>
      </c>
      <c r="T3" s="12" t="inlineStr">
        <is>
          <t>変更手続きの内容
（例：GxPの変更管理）</t>
        </is>
      </c>
      <c r="U3" s="12" t="inlineStr">
        <is>
          <t>案件ID</t>
        </is>
      </c>
      <c r="V3" s="12" t="inlineStr">
        <is>
          <t>案件名（自動）</t>
        </is>
      </c>
      <c r="W3" s="12" t="n"/>
    </row>
    <row r="4">
      <c r="A4" s="13" t="inlineStr">
        <is>
          <t>OPS-001</t>
        </is>
      </c>
      <c r="B4" s="13" t="inlineStr">
        <is>
          <t>クラウド運用の委託先への指示と障害時の連絡</t>
        </is>
      </c>
      <c r="C4" s="13" t="inlineStr">
        <is>
          <t>SYS-012</t>
        </is>
      </c>
      <c r="D4" s="16">
        <f>IF(C4="","",IFERROR(INDEX('システム'!$B:$B,MATCH(C4,'システム'!$A:$A,0)),"システムが未登録"))</f>
        <v/>
      </c>
      <c r="E4" s="13" t="inlineStr">
        <is>
          <t>委託先の管理（指示・報告の確認）</t>
        </is>
      </c>
      <c r="F4" s="16">
        <f>IF(E4="","",IFERROR(INDEX('選択肢'!$L$5:$L$14,MATCH(E4,'選択肢'!$K$5:$K$14,0)),"選択肢にない種類"))</f>
        <v/>
      </c>
      <c r="G4" s="13" t="inlineStr">
        <is>
          <t>現場部門</t>
        </is>
      </c>
      <c r="H4" s="13" t="inlineStr">
        <is>
          <t>随時</t>
        </is>
      </c>
      <c r="I4" s="13" t="n">
        <v>30</v>
      </c>
      <c r="J4" s="13" t="inlineStr">
        <is>
          <t>済</t>
        </is>
      </c>
      <c r="K4" s="13" t="inlineStr">
        <is>
          <t>いいえ</t>
        </is>
      </c>
      <c r="L4" s="13" t="inlineStr">
        <is>
          <t>いいえ</t>
        </is>
      </c>
      <c r="M4" s="13" t="inlineStr">
        <is>
          <t>有</t>
        </is>
      </c>
      <c r="N4" s="13" t="inlineStr">
        <is>
          <t>CT-2201</t>
        </is>
      </c>
      <c r="O4" s="13" t="inlineStr">
        <is>
          <t>委託先の管理（指示・検収）</t>
        </is>
      </c>
      <c r="P4" s="16">
        <f>IF(A4="","",IF(F4="直接業務","—",IF(J4&lt;&gt;"済","判定保留",IF(OR(O4="",K4="",L4="",M4="",K4="未確認",L4="未確認"),"判定保留",IF(AND(K4="はい",M4="無"),"入力エラー（GxP対象でSOP無）",IFERROR(INDEX('判定表'!$D:$D,MATCH("W|"&amp;O4&amp;"|"&amp;IF(OR(K4="はい",L4="はい",M4="無"),"あり","なし"),'判定表'!$A:$A,0)),"判定表にない組み合わせ"))))))</f>
        <v/>
      </c>
      <c r="Q4" s="16">
        <f>IF(A4="","",IF(C4="","対象外",IF(F4="直接業務","対象外",IF(OR(F4&lt;&gt;"間接業務",COUNTIF('システム'!$A$4:$A$200,C4)=0,U4="",V4="紐付けにない組み合わせ",V4="案件が未登録"),"判定保留","移管"))))</f>
        <v/>
      </c>
      <c r="R4" s="16">
        <f>IF(A4="","",IF(Q4&lt;&gt;"移管","—",IF(O4="","判定保留",IFERROR(INDEX('判定表'!$E:$E,MATCH("W|"&amp;O4&amp;"|なし",'判定表'!$A:$A,0)),"判定表にない回答"))))</f>
        <v/>
      </c>
      <c r="S4" s="32" t="n"/>
      <c r="T4" s="13" t="n"/>
      <c r="U4" s="13" t="inlineStr">
        <is>
          <t>BUD-001</t>
        </is>
      </c>
      <c r="V4" s="16">
        <f>IF(U4="","",IF(COUNTIFS('紐付け'!$A$4:$A$200,U4,'紐付け'!$C$4:$C$200,C4)=0,"紐付けにない組み合わせ",IFERROR(INDEX('予算一覧'!$B:$B,MATCH(U4,'予算一覧'!$A:$A,0)),"案件が未登録")))</f>
        <v/>
      </c>
      <c r="W4" s="32" t="n"/>
    </row>
    <row r="5">
      <c r="A5" s="13" t="inlineStr">
        <is>
          <t>OPS-002</t>
        </is>
      </c>
      <c r="B5" s="13" t="inlineStr">
        <is>
          <t>利用者アカウントの登録・削除</t>
        </is>
      </c>
      <c r="C5" s="13" t="inlineStr">
        <is>
          <t>SYS-003</t>
        </is>
      </c>
      <c r="D5" s="16">
        <f>IF(C5="","",IFERROR(INDEX('システム'!$B:$B,MATCH(C5,'システム'!$A:$A,0)),"システムが未登録"))</f>
        <v/>
      </c>
      <c r="E5" s="13" t="inlineStr">
        <is>
          <t>部門で行う運用（ユーザー管理など）</t>
        </is>
      </c>
      <c r="F5" s="16">
        <f>IF(E5="","",IFERROR(INDEX('選択肢'!$L$5:$L$14,MATCH(E5,'選択肢'!$K$5:$K$14,0)),"選択肢にない種類"))</f>
        <v/>
      </c>
      <c r="G5" s="13" t="inlineStr">
        <is>
          <t>現場部門</t>
        </is>
      </c>
      <c r="H5" s="13" t="inlineStr">
        <is>
          <t>随時</t>
        </is>
      </c>
      <c r="I5" s="13" t="n">
        <v>24</v>
      </c>
      <c r="J5" s="13" t="inlineStr">
        <is>
          <t>済</t>
        </is>
      </c>
      <c r="K5" s="13" t="inlineStr">
        <is>
          <t>はい</t>
        </is>
      </c>
      <c r="L5" s="13" t="inlineStr">
        <is>
          <t>いいえ</t>
        </is>
      </c>
      <c r="M5" s="13" t="inlineStr">
        <is>
          <t>有</t>
        </is>
      </c>
      <c r="N5" s="13" t="n"/>
      <c r="O5" s="13" t="n"/>
      <c r="P5" s="16">
        <f>IF(A5="","",IF(F5="直接業務","—",IF(J5&lt;&gt;"済","判定保留",IF(OR(O5="",K5="",L5="",M5="",K5="未確認",L5="未確認"),"判定保留",IF(AND(K5="はい",M5="無"),"入力エラー（GxP対象でSOP無）",IFERROR(INDEX('判定表'!$D:$D,MATCH("W|"&amp;O5&amp;"|"&amp;IF(OR(K5="はい",L5="はい",M5="無"),"あり","なし"),'判定表'!$A:$A,0)),"判定表にない組み合わせ"))))))</f>
        <v/>
      </c>
      <c r="Q5" s="16">
        <f>IF(A5="","",IF(C5="","対象外",IF(F5="直接業務","対象外",IF(OR(F5&lt;&gt;"間接業務",COUNTIF('システム'!$A$4:$A$200,C5)=0,U5="",V5="紐付けにない組み合わせ",V5="案件が未登録"),"判定保留","移管"))))</f>
        <v/>
      </c>
      <c r="R5" s="16">
        <f>IF(A5="","",IF(Q5&lt;&gt;"移管","—",IF(O5="","判定保留",IFERROR(INDEX('判定表'!$E:$E,MATCH("W|"&amp;O5&amp;"|なし",'判定表'!$A:$A,0)),"判定表にない回答"))))</f>
        <v/>
      </c>
      <c r="S5" s="32" t="n"/>
      <c r="T5" s="13" t="n"/>
      <c r="U5" s="13" t="inlineStr">
        <is>
          <t>BUD-002</t>
        </is>
      </c>
      <c r="V5" s="16">
        <f>IF(U5="","",IF(COUNTIFS('紐付け'!$A$4:$A$200,U5,'紐付け'!$C$4:$C$200,C5)=0,"紐付けにない組み合わせ",IFERROR(INDEX('予算一覧'!$B:$B,MATCH(U5,'予算一覧'!$A:$A,0)),"案件が未登録")))</f>
        <v/>
      </c>
      <c r="W5" s="32" t="n"/>
    </row>
    <row r="6">
      <c r="A6" s="13" t="inlineStr">
        <is>
          <t>OPS-003</t>
        </is>
      </c>
      <c r="B6" s="13" t="inlineStr">
        <is>
          <t>委託先の月次報告の確認と検収</t>
        </is>
      </c>
      <c r="C6" s="13" t="inlineStr">
        <is>
          <t>SYS-012</t>
        </is>
      </c>
      <c r="D6" s="16">
        <f>IF(C6="","",IFERROR(INDEX('システム'!$B:$B,MATCH(C6,'システム'!$A:$A,0)),"システムが未登録"))</f>
        <v/>
      </c>
      <c r="E6" s="13" t="inlineStr">
        <is>
          <t>発注・検収・支払い</t>
        </is>
      </c>
      <c r="F6" s="16">
        <f>IF(E6="","",IFERROR(INDEX('選択肢'!$L$5:$L$14,MATCH(E6,'選択肢'!$K$5:$K$14,0)),"選択肢にない種類"))</f>
        <v/>
      </c>
      <c r="G6" s="13" t="inlineStr">
        <is>
          <t>現場部門</t>
        </is>
      </c>
      <c r="H6" s="13" t="inlineStr">
        <is>
          <t>月次</t>
        </is>
      </c>
      <c r="I6" s="13" t="n">
        <v>12</v>
      </c>
      <c r="J6" s="13" t="inlineStr">
        <is>
          <t>済</t>
        </is>
      </c>
      <c r="K6" s="13" t="inlineStr">
        <is>
          <t>いいえ</t>
        </is>
      </c>
      <c r="L6" s="13" t="inlineStr">
        <is>
          <t>いいえ</t>
        </is>
      </c>
      <c r="M6" s="13" t="inlineStr">
        <is>
          <t>無</t>
        </is>
      </c>
      <c r="N6" s="13" t="inlineStr">
        <is>
          <t>CT-2201</t>
        </is>
      </c>
      <c r="O6" s="13" t="inlineStr">
        <is>
          <t>委託先の管理（指示・検収）</t>
        </is>
      </c>
      <c r="P6" s="16">
        <f>IF(A6="","",IF(F6="直接業務","—",IF(J6&lt;&gt;"済","判定保留",IF(OR(O6="",K6="",L6="",M6="",K6="未確認",L6="未確認"),"判定保留",IF(AND(K6="はい",M6="無"),"入力エラー（GxP対象でSOP無）",IFERROR(INDEX('判定表'!$D:$D,MATCH("W|"&amp;O6&amp;"|"&amp;IF(OR(K6="はい",L6="はい",M6="無"),"あり","なし"),'判定表'!$A:$A,0)),"判定表にない組み合わせ"))))))</f>
        <v/>
      </c>
      <c r="Q6" s="16">
        <f>IF(A6="","",IF(C6="","対象外",IF(F6="直接業務","対象外",IF(OR(F6&lt;&gt;"間接業務",COUNTIF('システム'!$A$4:$A$200,C6)=0,U6="",V6="紐付けにない組み合わせ",V6="案件が未登録"),"判定保留","移管"))))</f>
        <v/>
      </c>
      <c r="R6" s="16">
        <f>IF(A6="","",IF(Q6&lt;&gt;"移管","—",IF(O6="","判定保留",IFERROR(INDEX('判定表'!$E:$E,MATCH("W|"&amp;O6&amp;"|なし",'判定表'!$A:$A,0)),"判定表にない回答"))))</f>
        <v/>
      </c>
      <c r="S6" s="32" t="n"/>
      <c r="T6" s="13" t="n"/>
      <c r="U6" s="13" t="inlineStr">
        <is>
          <t>BUD-001</t>
        </is>
      </c>
      <c r="V6" s="16">
        <f>IF(U6="","",IF(COUNTIFS('紐付け'!$A$4:$A$200,U6,'紐付け'!$C$4:$C$200,C6)=0,"紐付けにない組み合わせ",IFERROR(INDEX('予算一覧'!$B:$B,MATCH(U6,'予算一覧'!$A:$A,0)),"案件が未登録")))</f>
        <v/>
      </c>
      <c r="W6" s="32" t="n"/>
    </row>
    <row r="7">
      <c r="A7" s="13" t="inlineStr">
        <is>
          <t>OPS-004</t>
        </is>
      </c>
      <c r="B7" s="13" t="inlineStr">
        <is>
          <t>eDMS保守契約の発注・検収・支払い</t>
        </is>
      </c>
      <c r="C7" s="13" t="inlineStr">
        <is>
          <t>SYS-003</t>
        </is>
      </c>
      <c r="D7" s="16">
        <f>IF(C7="","",IFERROR(INDEX('システム'!$B:$B,MATCH(C7,'システム'!$A:$A,0)),"システムが未登録"))</f>
        <v/>
      </c>
      <c r="E7" s="13" t="inlineStr">
        <is>
          <t>発注・検収・支払い</t>
        </is>
      </c>
      <c r="F7" s="16">
        <f>IF(E7="","",IFERROR(INDEX('選択肢'!$L$5:$L$14,MATCH(E7,'選択肢'!$K$5:$K$14,0)),"選択肢にない種類"))</f>
        <v/>
      </c>
      <c r="G7" s="13" t="inlineStr">
        <is>
          <t>現場部門</t>
        </is>
      </c>
      <c r="H7" s="13" t="inlineStr">
        <is>
          <t>月次</t>
        </is>
      </c>
      <c r="I7" s="13" t="n">
        <v>6</v>
      </c>
      <c r="J7" s="13" t="inlineStr">
        <is>
          <t>済</t>
        </is>
      </c>
      <c r="K7" s="13" t="inlineStr">
        <is>
          <t>はい</t>
        </is>
      </c>
      <c r="L7" s="13" t="inlineStr">
        <is>
          <t>いいえ</t>
        </is>
      </c>
      <c r="M7" s="13" t="inlineStr">
        <is>
          <t>有</t>
        </is>
      </c>
      <c r="N7" s="13" t="inlineStr">
        <is>
          <t>CT-1187</t>
        </is>
      </c>
      <c r="O7" s="13" t="inlineStr">
        <is>
          <t>予算・契約の管理のみ</t>
        </is>
      </c>
      <c r="P7" s="16">
        <f>IF(A7="","",IF(F7="直接業務","—",IF(J7&lt;&gt;"済","判定保留",IF(OR(O7="",K7="",L7="",M7="",K7="未確認",L7="未確認"),"判定保留",IF(AND(K7="はい",M7="無"),"入力エラー（GxP対象でSOP無）",IFERROR(INDEX('判定表'!$D:$D,MATCH("W|"&amp;O7&amp;"|"&amp;IF(OR(K7="はい",L7="はい",M7="無"),"あり","なし"),'判定表'!$A:$A,0)),"判定表にない組み合わせ"))))))</f>
        <v/>
      </c>
      <c r="Q7" s="16">
        <f>IF(A7="","",IF(C7="","対象外",IF(F7="直接業務","対象外",IF(OR(F7&lt;&gt;"間接業務",COUNTIF('システム'!$A$4:$A$200,C7)=0,U7="",V7="紐付けにない組み合わせ",V7="案件が未登録"),"判定保留","移管"))))</f>
        <v/>
      </c>
      <c r="R7" s="16">
        <f>IF(A7="","",IF(Q7&lt;&gt;"移管","—",IF(O7="","判定保留",IFERROR(INDEX('判定表'!$E:$E,MATCH("W|"&amp;O7&amp;"|なし",'判定表'!$A:$A,0)),"判定表にない回答"))))</f>
        <v/>
      </c>
      <c r="S7" s="32" t="n">
        <v>46661</v>
      </c>
      <c r="T7" s="13" t="inlineStr">
        <is>
          <t>GxPの変更管理（SOPの改訂とIT部門の手順の制定）。完了までは品質保証部の担当のまま行う</t>
        </is>
      </c>
      <c r="U7" s="13" t="inlineStr">
        <is>
          <t>BUD-002</t>
        </is>
      </c>
      <c r="V7" s="16">
        <f>IF(U7="","",IF(COUNTIFS('紐付け'!$A$4:$A$200,U7,'紐付け'!$C$4:$C$200,C7)=0,"紐付けにない組み合わせ",IFERROR(INDEX('予算一覧'!$B:$B,MATCH(U7,'予算一覧'!$A:$A,0)),"案件が未登録")))</f>
        <v/>
      </c>
      <c r="W7" s="32" t="n"/>
    </row>
    <row r="8">
      <c r="A8" s="13" t="inlineStr">
        <is>
          <t>OPS-005</t>
        </is>
      </c>
      <c r="B8" s="13" t="inlineStr">
        <is>
          <t>集計ツールの使い方の問い合わせ対応</t>
        </is>
      </c>
      <c r="C8" s="13" t="inlineStr">
        <is>
          <t>SYS-041</t>
        </is>
      </c>
      <c r="D8" s="16">
        <f>IF(C8="","",IFERROR(INDEX('システム'!$B:$B,MATCH(C8,'システム'!$A:$A,0)),"システムが未登録"))</f>
        <v/>
      </c>
      <c r="E8" s="13" t="inlineStr">
        <is>
          <t>利用者への教育</t>
        </is>
      </c>
      <c r="F8" s="16">
        <f>IF(E8="","",IFERROR(INDEX('選択肢'!$L$5:$L$14,MATCH(E8,'選択肢'!$K$5:$K$14,0)),"選択肢にない種類"))</f>
        <v/>
      </c>
      <c r="G8" s="13" t="inlineStr">
        <is>
          <t>現場部門</t>
        </is>
      </c>
      <c r="H8" s="13" t="inlineStr">
        <is>
          <t>随時</t>
        </is>
      </c>
      <c r="I8" s="13" t="n">
        <v>10</v>
      </c>
      <c r="J8" s="13" t="inlineStr">
        <is>
          <t>済</t>
        </is>
      </c>
      <c r="K8" s="13" t="inlineStr">
        <is>
          <t>いいえ</t>
        </is>
      </c>
      <c r="L8" s="13" t="inlineStr">
        <is>
          <t>いいえ</t>
        </is>
      </c>
      <c r="M8" s="13" t="inlineStr">
        <is>
          <t>無</t>
        </is>
      </c>
      <c r="N8" s="13" t="n"/>
      <c r="O8" s="13" t="n"/>
      <c r="P8" s="16">
        <f>IF(A8="","",IF(F8="直接業務","—",IF(J8&lt;&gt;"済","判定保留",IF(OR(O8="",K8="",L8="",M8="",K8="未確認",L8="未確認"),"判定保留",IF(AND(K8="はい",M8="無"),"入力エラー（GxP対象でSOP無）",IFERROR(INDEX('判定表'!$D:$D,MATCH("W|"&amp;O8&amp;"|"&amp;IF(OR(K8="はい",L8="はい",M8="無"),"あり","なし"),'判定表'!$A:$A,0)),"判定表にない組み合わせ"))))))</f>
        <v/>
      </c>
      <c r="Q8" s="16">
        <f>IF(A8="","",IF(C8="","対象外",IF(F8="直接業務","対象外",IF(OR(F8&lt;&gt;"間接業務",COUNTIF('システム'!$A$4:$A$200,C8)=0,U8="",V8="紐付けにない組み合わせ",V8="案件が未登録"),"判定保留","移管"))))</f>
        <v/>
      </c>
      <c r="R8" s="16">
        <f>IF(A8="","",IF(Q8&lt;&gt;"移管","—",IF(O8="","判定保留",IFERROR(INDEX('判定表'!$E:$E,MATCH("W|"&amp;O8&amp;"|なし",'判定表'!$A:$A,0)),"判定表にない回答"))))</f>
        <v/>
      </c>
      <c r="S8" s="32" t="n"/>
      <c r="T8" s="13" t="n"/>
      <c r="U8" s="13" t="inlineStr">
        <is>
          <t>BUD-003</t>
        </is>
      </c>
      <c r="V8" s="16">
        <f>IF(U8="","",IF(COUNTIFS('紐付け'!$A$4:$A$200,U8,'紐付け'!$C$4:$C$200,C8)=0,"紐付けにない組み合わせ",IFERROR(INDEX('予算一覧'!$B:$B,MATCH(U8,'予算一覧'!$A:$A,0)),"案件が未登録")))</f>
        <v/>
      </c>
      <c r="W8" s="32" t="n"/>
    </row>
    <row r="9">
      <c r="A9" s="18" t="n"/>
      <c r="B9" s="18" t="n"/>
      <c r="C9" s="18" t="n"/>
      <c r="D9" s="21">
        <f>IF(C9="","",IFERROR(INDEX('システム'!$B:$B,MATCH(C9,'システム'!$A:$A,0)),"システムが未登録"))</f>
        <v/>
      </c>
      <c r="E9" s="18" t="n"/>
      <c r="F9" s="21">
        <f>IF(E9="","",IFERROR(INDEX('選択肢'!$L$5:$L$14,MATCH(E9,'選択肢'!$K$5:$K$14,0)),"選択肢にない種類"))</f>
        <v/>
      </c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21">
        <f>IF(A9="","",IF(F9="直接業務","—",IF(J9&lt;&gt;"済","判定保留",IF(OR(O9="",K9="",L9="",M9="",K9="未確認",L9="未確認"),"判定保留",IF(AND(K9="はい",M9="無"),"入力エラー（GxP対象でSOP無）",IFERROR(INDEX('判定表'!$D:$D,MATCH("W|"&amp;O9&amp;"|"&amp;IF(OR(K9="はい",L9="はい",M9="無"),"あり","なし"),'判定表'!$A:$A,0)),"判定表にない組み合わせ"))))))</f>
        <v/>
      </c>
      <c r="Q9" s="21">
        <f>IF(A9="","",IF(C9="","対象外",IF(F9="直接業務","対象外",IF(OR(F9&lt;&gt;"間接業務",COUNTIF('システム'!$A$4:$A$200,C9)=0,U9="",V9="紐付けにない組み合わせ",V9="案件が未登録"),"判定保留","移管"))))</f>
        <v/>
      </c>
      <c r="R9" s="21">
        <f>IF(A9="","",IF(Q9&lt;&gt;"移管","—",IF(O9="","判定保留",IFERROR(INDEX('判定表'!$E:$E,MATCH("W|"&amp;O9&amp;"|なし",'判定表'!$A:$A,0)),"判定表にない回答"))))</f>
        <v/>
      </c>
      <c r="S9" s="33" t="n"/>
      <c r="T9" s="18" t="n"/>
      <c r="U9" s="18" t="n"/>
      <c r="V9" s="21">
        <f>IF(U9="","",IF(COUNTIFS('紐付け'!$A$4:$A$200,U9,'紐付け'!$C$4:$C$200,C9)=0,"紐付けにない組み合わせ",IFERROR(INDEX('予算一覧'!$B:$B,MATCH(U9,'予算一覧'!$A:$A,0)),"案件が未登録")))</f>
        <v/>
      </c>
      <c r="W9" s="33" t="n"/>
    </row>
    <row r="10">
      <c r="A10" s="18" t="n"/>
      <c r="B10" s="18" t="n"/>
      <c r="C10" s="18" t="n"/>
      <c r="D10" s="21">
        <f>IF(C10="","",IFERROR(INDEX('システム'!$B:$B,MATCH(C10,'システム'!$A:$A,0)),"システムが未登録"))</f>
        <v/>
      </c>
      <c r="E10" s="18" t="n"/>
      <c r="F10" s="21">
        <f>IF(E10="","",IFERROR(INDEX('選択肢'!$L$5:$L$14,MATCH(E10,'選択肢'!$K$5:$K$14,0)),"選択肢にない種類"))</f>
        <v/>
      </c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21">
        <f>IF(A10="","",IF(F10="直接業務","—",IF(J10&lt;&gt;"済","判定保留",IF(OR(O10="",K10="",L10="",M10="",K10="未確認",L10="未確認"),"判定保留",IF(AND(K10="はい",M10="無"),"入力エラー（GxP対象でSOP無）",IFERROR(INDEX('判定表'!$D:$D,MATCH("W|"&amp;O10&amp;"|"&amp;IF(OR(K10="はい",L10="はい",M10="無"),"あり","なし"),'判定表'!$A:$A,0)),"判定表にない組み合わせ"))))))</f>
        <v/>
      </c>
      <c r="Q10" s="21">
        <f>IF(A10="","",IF(C10="","対象外",IF(F10="直接業務","対象外",IF(OR(F10&lt;&gt;"間接業務",COUNTIF('システム'!$A$4:$A$200,C10)=0,U10="",V10="紐付けにない組み合わせ",V10="案件が未登録"),"判定保留","移管"))))</f>
        <v/>
      </c>
      <c r="R10" s="21">
        <f>IF(A10="","",IF(Q10&lt;&gt;"移管","—",IF(O10="","判定保留",IFERROR(INDEX('判定表'!$E:$E,MATCH("W|"&amp;O10&amp;"|なし",'判定表'!$A:$A,0)),"判定表にない回答"))))</f>
        <v/>
      </c>
      <c r="S10" s="33" t="n"/>
      <c r="T10" s="18" t="n"/>
      <c r="U10" s="18" t="n"/>
      <c r="V10" s="21">
        <f>IF(U10="","",IF(COUNTIFS('紐付け'!$A$4:$A$200,U10,'紐付け'!$C$4:$C$200,C10)=0,"紐付けにない組み合わせ",IFERROR(INDEX('予算一覧'!$B:$B,MATCH(U10,'予算一覧'!$A:$A,0)),"案件が未登録")))</f>
        <v/>
      </c>
      <c r="W10" s="33" t="n"/>
    </row>
    <row r="11">
      <c r="A11" s="18" t="n"/>
      <c r="B11" s="18" t="n"/>
      <c r="C11" s="18" t="n"/>
      <c r="D11" s="21">
        <f>IF(C11="","",IFERROR(INDEX('システム'!$B:$B,MATCH(C11,'システム'!$A:$A,0)),"システムが未登録"))</f>
        <v/>
      </c>
      <c r="E11" s="18" t="n"/>
      <c r="F11" s="21">
        <f>IF(E11="","",IFERROR(INDEX('選択肢'!$L$5:$L$14,MATCH(E11,'選択肢'!$K$5:$K$14,0)),"選択肢にない種類"))</f>
        <v/>
      </c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21">
        <f>IF(A11="","",IF(F11="直接業務","—",IF(J11&lt;&gt;"済","判定保留",IF(OR(O11="",K11="",L11="",M11="",K11="未確認",L11="未確認"),"判定保留",IF(AND(K11="はい",M11="無"),"入力エラー（GxP対象でSOP無）",IFERROR(INDEX('判定表'!$D:$D,MATCH("W|"&amp;O11&amp;"|"&amp;IF(OR(K11="はい",L11="はい",M11="無"),"あり","なし"),'判定表'!$A:$A,0)),"判定表にない組み合わせ"))))))</f>
        <v/>
      </c>
      <c r="Q11" s="21">
        <f>IF(A11="","",IF(C11="","対象外",IF(F11="直接業務","対象外",IF(OR(F11&lt;&gt;"間接業務",COUNTIF('システム'!$A$4:$A$200,C11)=0,U11="",V11="紐付けにない組み合わせ",V11="案件が未登録"),"判定保留","移管"))))</f>
        <v/>
      </c>
      <c r="R11" s="21">
        <f>IF(A11="","",IF(Q11&lt;&gt;"移管","—",IF(O11="","判定保留",IFERROR(INDEX('判定表'!$E:$E,MATCH("W|"&amp;O11&amp;"|なし",'判定表'!$A:$A,0)),"判定表にない回答"))))</f>
        <v/>
      </c>
      <c r="S11" s="33" t="n"/>
      <c r="T11" s="18" t="n"/>
      <c r="U11" s="18" t="n"/>
      <c r="V11" s="21">
        <f>IF(U11="","",IF(COUNTIFS('紐付け'!$A$4:$A$200,U11,'紐付け'!$C$4:$C$200,C11)=0,"紐付けにない組み合わせ",IFERROR(INDEX('予算一覧'!$B:$B,MATCH(U11,'予算一覧'!$A:$A,0)),"案件が未登録")))</f>
        <v/>
      </c>
      <c r="W11" s="33" t="n"/>
    </row>
    <row r="12">
      <c r="A12" s="18" t="n"/>
      <c r="B12" s="18" t="n"/>
      <c r="C12" s="18" t="n"/>
      <c r="D12" s="21">
        <f>IF(C12="","",IFERROR(INDEX('システム'!$B:$B,MATCH(C12,'システム'!$A:$A,0)),"システムが未登録"))</f>
        <v/>
      </c>
      <c r="E12" s="18" t="n"/>
      <c r="F12" s="21">
        <f>IF(E12="","",IFERROR(INDEX('選択肢'!$L$5:$L$14,MATCH(E12,'選択肢'!$K$5:$K$14,0)),"選択肢にない種類"))</f>
        <v/>
      </c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21">
        <f>IF(A12="","",IF(F12="直接業務","—",IF(J12&lt;&gt;"済","判定保留",IF(OR(O12="",K12="",L12="",M12="",K12="未確認",L12="未確認"),"判定保留",IF(AND(K12="はい",M12="無"),"入力エラー（GxP対象でSOP無）",IFERROR(INDEX('判定表'!$D:$D,MATCH("W|"&amp;O12&amp;"|"&amp;IF(OR(K12="はい",L12="はい",M12="無"),"あり","なし"),'判定表'!$A:$A,0)),"判定表にない組み合わせ"))))))</f>
        <v/>
      </c>
      <c r="Q12" s="21">
        <f>IF(A12="","",IF(C12="","対象外",IF(F12="直接業務","対象外",IF(OR(F12&lt;&gt;"間接業務",COUNTIF('システム'!$A$4:$A$200,C12)=0,U12="",V12="紐付けにない組み合わせ",V12="案件が未登録"),"判定保留","移管"))))</f>
        <v/>
      </c>
      <c r="R12" s="21">
        <f>IF(A12="","",IF(Q12&lt;&gt;"移管","—",IF(O12="","判定保留",IFERROR(INDEX('判定表'!$E:$E,MATCH("W|"&amp;O12&amp;"|なし",'判定表'!$A:$A,0)),"判定表にない回答"))))</f>
        <v/>
      </c>
      <c r="S12" s="33" t="n"/>
      <c r="T12" s="18" t="n"/>
      <c r="U12" s="18" t="n"/>
      <c r="V12" s="21">
        <f>IF(U12="","",IF(COUNTIFS('紐付け'!$A$4:$A$200,U12,'紐付け'!$C$4:$C$200,C12)=0,"紐付けにない組み合わせ",IFERROR(INDEX('予算一覧'!$B:$B,MATCH(U12,'予算一覧'!$A:$A,0)),"案件が未登録")))</f>
        <v/>
      </c>
      <c r="W12" s="33" t="n"/>
    </row>
    <row r="13">
      <c r="A13" s="18" t="n"/>
      <c r="B13" s="18" t="n"/>
      <c r="C13" s="18" t="n"/>
      <c r="D13" s="21">
        <f>IF(C13="","",IFERROR(INDEX('システム'!$B:$B,MATCH(C13,'システム'!$A:$A,0)),"システムが未登録"))</f>
        <v/>
      </c>
      <c r="E13" s="18" t="n"/>
      <c r="F13" s="21">
        <f>IF(E13="","",IFERROR(INDEX('選択肢'!$L$5:$L$14,MATCH(E13,'選択肢'!$K$5:$K$14,0)),"選択肢にない種類"))</f>
        <v/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21">
        <f>IF(A13="","",IF(F13="直接業務","—",IF(J13&lt;&gt;"済","判定保留",IF(OR(O13="",K13="",L13="",M13="",K13="未確認",L13="未確認"),"判定保留",IF(AND(K13="はい",M13="無"),"入力エラー（GxP対象でSOP無）",IFERROR(INDEX('判定表'!$D:$D,MATCH("W|"&amp;O13&amp;"|"&amp;IF(OR(K13="はい",L13="はい",M13="無"),"あり","なし"),'判定表'!$A:$A,0)),"判定表にない組み合わせ"))))))</f>
        <v/>
      </c>
      <c r="Q13" s="21">
        <f>IF(A13="","",IF(C13="","対象外",IF(F13="直接業務","対象外",IF(OR(F13&lt;&gt;"間接業務",COUNTIF('システム'!$A$4:$A$200,C13)=0,U13="",V13="紐付けにない組み合わせ",V13="案件が未登録"),"判定保留","移管"))))</f>
        <v/>
      </c>
      <c r="R13" s="21">
        <f>IF(A13="","",IF(Q13&lt;&gt;"移管","—",IF(O13="","判定保留",IFERROR(INDEX('判定表'!$E:$E,MATCH("W|"&amp;O13&amp;"|なし",'判定表'!$A:$A,0)),"判定表にない回答"))))</f>
        <v/>
      </c>
      <c r="S13" s="33" t="n"/>
      <c r="T13" s="18" t="n"/>
      <c r="U13" s="18" t="n"/>
      <c r="V13" s="21">
        <f>IF(U13="","",IF(COUNTIFS('紐付け'!$A$4:$A$200,U13,'紐付け'!$C$4:$C$200,C13)=0,"紐付けにない組み合わせ",IFERROR(INDEX('予算一覧'!$B:$B,MATCH(U13,'予算一覧'!$A:$A,0)),"案件が未登録")))</f>
        <v/>
      </c>
      <c r="W13" s="33" t="n"/>
    </row>
    <row r="14">
      <c r="A14" s="18" t="n"/>
      <c r="B14" s="18" t="n"/>
      <c r="C14" s="18" t="n"/>
      <c r="D14" s="21">
        <f>IF(C14="","",IFERROR(INDEX('システム'!$B:$B,MATCH(C14,'システム'!$A:$A,0)),"システムが未登録"))</f>
        <v/>
      </c>
      <c r="E14" s="18" t="n"/>
      <c r="F14" s="21">
        <f>IF(E14="","",IFERROR(INDEX('選択肢'!$L$5:$L$14,MATCH(E14,'選択肢'!$K$5:$K$14,0)),"選択肢にない種類"))</f>
        <v/>
      </c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21">
        <f>IF(A14="","",IF(F14="直接業務","—",IF(J14&lt;&gt;"済","判定保留",IF(OR(O14="",K14="",L14="",M14="",K14="未確認",L14="未確認"),"判定保留",IF(AND(K14="はい",M14="無"),"入力エラー（GxP対象でSOP無）",IFERROR(INDEX('判定表'!$D:$D,MATCH("W|"&amp;O14&amp;"|"&amp;IF(OR(K14="はい",L14="はい",M14="無"),"あり","なし"),'判定表'!$A:$A,0)),"判定表にない組み合わせ"))))))</f>
        <v/>
      </c>
      <c r="Q14" s="21">
        <f>IF(A14="","",IF(C14="","対象外",IF(F14="直接業務","対象外",IF(OR(F14&lt;&gt;"間接業務",COUNTIF('システム'!$A$4:$A$200,C14)=0,U14="",V14="紐付けにない組み合わせ",V14="案件が未登録"),"判定保留","移管"))))</f>
        <v/>
      </c>
      <c r="R14" s="21">
        <f>IF(A14="","",IF(Q14&lt;&gt;"移管","—",IF(O14="","判定保留",IFERROR(INDEX('判定表'!$E:$E,MATCH("W|"&amp;O14&amp;"|なし",'判定表'!$A:$A,0)),"判定表にない回答"))))</f>
        <v/>
      </c>
      <c r="S14" s="33" t="n"/>
      <c r="T14" s="18" t="n"/>
      <c r="U14" s="18" t="n"/>
      <c r="V14" s="21">
        <f>IF(U14="","",IF(COUNTIFS('紐付け'!$A$4:$A$200,U14,'紐付け'!$C$4:$C$200,C14)=0,"紐付けにない組み合わせ",IFERROR(INDEX('予算一覧'!$B:$B,MATCH(U14,'予算一覧'!$A:$A,0)),"案件が未登録")))</f>
        <v/>
      </c>
      <c r="W14" s="33" t="n"/>
    </row>
    <row r="15">
      <c r="A15" s="18" t="n"/>
      <c r="B15" s="18" t="n"/>
      <c r="C15" s="18" t="n"/>
      <c r="D15" s="21">
        <f>IF(C15="","",IFERROR(INDEX('システム'!$B:$B,MATCH(C15,'システム'!$A:$A,0)),"システムが未登録"))</f>
        <v/>
      </c>
      <c r="E15" s="18" t="n"/>
      <c r="F15" s="21">
        <f>IF(E15="","",IFERROR(INDEX('選択肢'!$L$5:$L$14,MATCH(E15,'選択肢'!$K$5:$K$14,0)),"選択肢にない種類"))</f>
        <v/>
      </c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21">
        <f>IF(A15="","",IF(F15="直接業務","—",IF(J15&lt;&gt;"済","判定保留",IF(OR(O15="",K15="",L15="",M15="",K15="未確認",L15="未確認"),"判定保留",IF(AND(K15="はい",M15="無"),"入力エラー（GxP対象でSOP無）",IFERROR(INDEX('判定表'!$D:$D,MATCH("W|"&amp;O15&amp;"|"&amp;IF(OR(K15="はい",L15="はい",M15="無"),"あり","なし"),'判定表'!$A:$A,0)),"判定表にない組み合わせ"))))))</f>
        <v/>
      </c>
      <c r="Q15" s="21">
        <f>IF(A15="","",IF(C15="","対象外",IF(F15="直接業務","対象外",IF(OR(F15&lt;&gt;"間接業務",COUNTIF('システム'!$A$4:$A$200,C15)=0,U15="",V15="紐付けにない組み合わせ",V15="案件が未登録"),"判定保留","移管"))))</f>
        <v/>
      </c>
      <c r="R15" s="21">
        <f>IF(A15="","",IF(Q15&lt;&gt;"移管","—",IF(O15="","判定保留",IFERROR(INDEX('判定表'!$E:$E,MATCH("W|"&amp;O15&amp;"|なし",'判定表'!$A:$A,0)),"判定表にない回答"))))</f>
        <v/>
      </c>
      <c r="S15" s="33" t="n"/>
      <c r="T15" s="18" t="n"/>
      <c r="U15" s="18" t="n"/>
      <c r="V15" s="21">
        <f>IF(U15="","",IF(COUNTIFS('紐付け'!$A$4:$A$200,U15,'紐付け'!$C$4:$C$200,C15)=0,"紐付けにない組み合わせ",IFERROR(INDEX('予算一覧'!$B:$B,MATCH(U15,'予算一覧'!$A:$A,0)),"案件が未登録")))</f>
        <v/>
      </c>
      <c r="W15" s="33" t="n"/>
    </row>
    <row r="16">
      <c r="A16" s="18" t="n"/>
      <c r="B16" s="18" t="n"/>
      <c r="C16" s="18" t="n"/>
      <c r="D16" s="21">
        <f>IF(C16="","",IFERROR(INDEX('システム'!$B:$B,MATCH(C16,'システム'!$A:$A,0)),"システムが未登録"))</f>
        <v/>
      </c>
      <c r="E16" s="18" t="n"/>
      <c r="F16" s="21">
        <f>IF(E16="","",IFERROR(INDEX('選択肢'!$L$5:$L$14,MATCH(E16,'選択肢'!$K$5:$K$14,0)),"選択肢にない種類"))</f>
        <v/>
      </c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21">
        <f>IF(A16="","",IF(F16="直接業務","—",IF(J16&lt;&gt;"済","判定保留",IF(OR(O16="",K16="",L16="",M16="",K16="未確認",L16="未確認"),"判定保留",IF(AND(K16="はい",M16="無"),"入力エラー（GxP対象でSOP無）",IFERROR(INDEX('判定表'!$D:$D,MATCH("W|"&amp;O16&amp;"|"&amp;IF(OR(K16="はい",L16="はい",M16="無"),"あり","なし"),'判定表'!$A:$A,0)),"判定表にない組み合わせ"))))))</f>
        <v/>
      </c>
      <c r="Q16" s="21">
        <f>IF(A16="","",IF(C16="","対象外",IF(F16="直接業務","対象外",IF(OR(F16&lt;&gt;"間接業務",COUNTIF('システム'!$A$4:$A$200,C16)=0,U16="",V16="紐付けにない組み合わせ",V16="案件が未登録"),"判定保留","移管"))))</f>
        <v/>
      </c>
      <c r="R16" s="21">
        <f>IF(A16="","",IF(Q16&lt;&gt;"移管","—",IF(O16="","判定保留",IFERROR(INDEX('判定表'!$E:$E,MATCH("W|"&amp;O16&amp;"|なし",'判定表'!$A:$A,0)),"判定表にない回答"))))</f>
        <v/>
      </c>
      <c r="S16" s="33" t="n"/>
      <c r="T16" s="18" t="n"/>
      <c r="U16" s="18" t="n"/>
      <c r="V16" s="21">
        <f>IF(U16="","",IF(COUNTIFS('紐付け'!$A$4:$A$200,U16,'紐付け'!$C$4:$C$200,C16)=0,"紐付けにない組み合わせ",IFERROR(INDEX('予算一覧'!$B:$B,MATCH(U16,'予算一覧'!$A:$A,0)),"案件が未登録")))</f>
        <v/>
      </c>
      <c r="W16" s="33" t="n"/>
    </row>
    <row r="17">
      <c r="A17" s="18" t="n"/>
      <c r="B17" s="18" t="n"/>
      <c r="C17" s="18" t="n"/>
      <c r="D17" s="21">
        <f>IF(C17="","",IFERROR(INDEX('システム'!$B:$B,MATCH(C17,'システム'!$A:$A,0)),"システムが未登録"))</f>
        <v/>
      </c>
      <c r="E17" s="18" t="n"/>
      <c r="F17" s="21">
        <f>IF(E17="","",IFERROR(INDEX('選択肢'!$L$5:$L$14,MATCH(E17,'選択肢'!$K$5:$K$14,0)),"選択肢にない種類"))</f>
        <v/>
      </c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21">
        <f>IF(A17="","",IF(F17="直接業務","—",IF(J17&lt;&gt;"済","判定保留",IF(OR(O17="",K17="",L17="",M17="",K17="未確認",L17="未確認"),"判定保留",IF(AND(K17="はい",M17="無"),"入力エラー（GxP対象でSOP無）",IFERROR(INDEX('判定表'!$D:$D,MATCH("W|"&amp;O17&amp;"|"&amp;IF(OR(K17="はい",L17="はい",M17="無"),"あり","なし"),'判定表'!$A:$A,0)),"判定表にない組み合わせ"))))))</f>
        <v/>
      </c>
      <c r="Q17" s="21">
        <f>IF(A17="","",IF(C17="","対象外",IF(F17="直接業務","対象外",IF(OR(F17&lt;&gt;"間接業務",COUNTIF('システム'!$A$4:$A$200,C17)=0,U17="",V17="紐付けにない組み合わせ",V17="案件が未登録"),"判定保留","移管"))))</f>
        <v/>
      </c>
      <c r="R17" s="21">
        <f>IF(A17="","",IF(Q17&lt;&gt;"移管","—",IF(O17="","判定保留",IFERROR(INDEX('判定表'!$E:$E,MATCH("W|"&amp;O17&amp;"|なし",'判定表'!$A:$A,0)),"判定表にない回答"))))</f>
        <v/>
      </c>
      <c r="S17" s="33" t="n"/>
      <c r="T17" s="18" t="n"/>
      <c r="U17" s="18" t="n"/>
      <c r="V17" s="21">
        <f>IF(U17="","",IF(COUNTIFS('紐付け'!$A$4:$A$200,U17,'紐付け'!$C$4:$C$200,C17)=0,"紐付けにない組み合わせ",IFERROR(INDEX('予算一覧'!$B:$B,MATCH(U17,'予算一覧'!$A:$A,0)),"案件が未登録")))</f>
        <v/>
      </c>
      <c r="W17" s="33" t="n"/>
    </row>
    <row r="18">
      <c r="A18" s="18" t="n"/>
      <c r="B18" s="18" t="n"/>
      <c r="C18" s="18" t="n"/>
      <c r="D18" s="21">
        <f>IF(C18="","",IFERROR(INDEX('システム'!$B:$B,MATCH(C18,'システム'!$A:$A,0)),"システムが未登録"))</f>
        <v/>
      </c>
      <c r="E18" s="18" t="n"/>
      <c r="F18" s="21">
        <f>IF(E18="","",IFERROR(INDEX('選択肢'!$L$5:$L$14,MATCH(E18,'選択肢'!$K$5:$K$14,0)),"選択肢にない種類"))</f>
        <v/>
      </c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21">
        <f>IF(A18="","",IF(F18="直接業務","—",IF(J18&lt;&gt;"済","判定保留",IF(OR(O18="",K18="",L18="",M18="",K18="未確認",L18="未確認"),"判定保留",IF(AND(K18="はい",M18="無"),"入力エラー（GxP対象でSOP無）",IFERROR(INDEX('判定表'!$D:$D,MATCH("W|"&amp;O18&amp;"|"&amp;IF(OR(K18="はい",L18="はい",M18="無"),"あり","なし"),'判定表'!$A:$A,0)),"判定表にない組み合わせ"))))))</f>
        <v/>
      </c>
      <c r="Q18" s="21">
        <f>IF(A18="","",IF(C18="","対象外",IF(F18="直接業務","対象外",IF(OR(F18&lt;&gt;"間接業務",COUNTIF('システム'!$A$4:$A$200,C18)=0,U18="",V18="紐付けにない組み合わせ",V18="案件が未登録"),"判定保留","移管"))))</f>
        <v/>
      </c>
      <c r="R18" s="21">
        <f>IF(A18="","",IF(Q18&lt;&gt;"移管","—",IF(O18="","判定保留",IFERROR(INDEX('判定表'!$E:$E,MATCH("W|"&amp;O18&amp;"|なし",'判定表'!$A:$A,0)),"判定表にない回答"))))</f>
        <v/>
      </c>
      <c r="S18" s="33" t="n"/>
      <c r="T18" s="18" t="n"/>
      <c r="U18" s="18" t="n"/>
      <c r="V18" s="21">
        <f>IF(U18="","",IF(COUNTIFS('紐付け'!$A$4:$A$200,U18,'紐付け'!$C$4:$C$200,C18)=0,"紐付けにない組み合わせ",IFERROR(INDEX('予算一覧'!$B:$B,MATCH(U18,'予算一覧'!$A:$A,0)),"案件が未登録")))</f>
        <v/>
      </c>
      <c r="W18" s="33" t="n"/>
    </row>
    <row r="19">
      <c r="A19" s="18" t="n"/>
      <c r="B19" s="18" t="n"/>
      <c r="C19" s="18" t="n"/>
      <c r="D19" s="21">
        <f>IF(C19="","",IFERROR(INDEX('システム'!$B:$B,MATCH(C19,'システム'!$A:$A,0)),"システムが未登録"))</f>
        <v/>
      </c>
      <c r="E19" s="18" t="n"/>
      <c r="F19" s="21">
        <f>IF(E19="","",IFERROR(INDEX('選択肢'!$L$5:$L$14,MATCH(E19,'選択肢'!$K$5:$K$14,0)),"選択肢にない種類"))</f>
        <v/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21">
        <f>IF(A19="","",IF(F19="直接業務","—",IF(J19&lt;&gt;"済","判定保留",IF(OR(O19="",K19="",L19="",M19="",K19="未確認",L19="未確認"),"判定保留",IF(AND(K19="はい",M19="無"),"入力エラー（GxP対象でSOP無）",IFERROR(INDEX('判定表'!$D:$D,MATCH("W|"&amp;O19&amp;"|"&amp;IF(OR(K19="はい",L19="はい",M19="無"),"あり","なし"),'判定表'!$A:$A,0)),"判定表にない組み合わせ"))))))</f>
        <v/>
      </c>
      <c r="Q19" s="21">
        <f>IF(A19="","",IF(C19="","対象外",IF(F19="直接業務","対象外",IF(OR(F19&lt;&gt;"間接業務",COUNTIF('システム'!$A$4:$A$200,C19)=0,U19="",V19="紐付けにない組み合わせ",V19="案件が未登録"),"判定保留","移管"))))</f>
        <v/>
      </c>
      <c r="R19" s="21">
        <f>IF(A19="","",IF(Q19&lt;&gt;"移管","—",IF(O19="","判定保留",IFERROR(INDEX('判定表'!$E:$E,MATCH("W|"&amp;O19&amp;"|なし",'判定表'!$A:$A,0)),"判定表にない回答"))))</f>
        <v/>
      </c>
      <c r="S19" s="33" t="n"/>
      <c r="T19" s="18" t="n"/>
      <c r="U19" s="18" t="n"/>
      <c r="V19" s="21">
        <f>IF(U19="","",IF(COUNTIFS('紐付け'!$A$4:$A$200,U19,'紐付け'!$C$4:$C$200,C19)=0,"紐付けにない組み合わせ",IFERROR(INDEX('予算一覧'!$B:$B,MATCH(U19,'予算一覧'!$A:$A,0)),"案件が未登録")))</f>
        <v/>
      </c>
      <c r="W19" s="33" t="n"/>
    </row>
    <row r="20">
      <c r="A20" s="18" t="n"/>
      <c r="B20" s="18" t="n"/>
      <c r="C20" s="18" t="n"/>
      <c r="D20" s="21">
        <f>IF(C20="","",IFERROR(INDEX('システム'!$B:$B,MATCH(C20,'システム'!$A:$A,0)),"システムが未登録"))</f>
        <v/>
      </c>
      <c r="E20" s="18" t="n"/>
      <c r="F20" s="21">
        <f>IF(E20="","",IFERROR(INDEX('選択肢'!$L$5:$L$14,MATCH(E20,'選択肢'!$K$5:$K$14,0)),"選択肢にない種類"))</f>
        <v/>
      </c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21">
        <f>IF(A20="","",IF(F20="直接業務","—",IF(J20&lt;&gt;"済","判定保留",IF(OR(O20="",K20="",L20="",M20="",K20="未確認",L20="未確認"),"判定保留",IF(AND(K20="はい",M20="無"),"入力エラー（GxP対象でSOP無）",IFERROR(INDEX('判定表'!$D:$D,MATCH("W|"&amp;O20&amp;"|"&amp;IF(OR(K20="はい",L20="はい",M20="無"),"あり","なし"),'判定表'!$A:$A,0)),"判定表にない組み合わせ"))))))</f>
        <v/>
      </c>
      <c r="Q20" s="21">
        <f>IF(A20="","",IF(C20="","対象外",IF(F20="直接業務","対象外",IF(OR(F20&lt;&gt;"間接業務",COUNTIF('システム'!$A$4:$A$200,C20)=0,U20="",V20="紐付けにない組み合わせ",V20="案件が未登録"),"判定保留","移管"))))</f>
        <v/>
      </c>
      <c r="R20" s="21">
        <f>IF(A20="","",IF(Q20&lt;&gt;"移管","—",IF(O20="","判定保留",IFERROR(INDEX('判定表'!$E:$E,MATCH("W|"&amp;O20&amp;"|なし",'判定表'!$A:$A,0)),"判定表にない回答"))))</f>
        <v/>
      </c>
      <c r="S20" s="33" t="n"/>
      <c r="T20" s="18" t="n"/>
      <c r="U20" s="18" t="n"/>
      <c r="V20" s="21">
        <f>IF(U20="","",IF(COUNTIFS('紐付け'!$A$4:$A$200,U20,'紐付け'!$C$4:$C$200,C20)=0,"紐付けにない組み合わせ",IFERROR(INDEX('予算一覧'!$B:$B,MATCH(U20,'予算一覧'!$A:$A,0)),"案件が未登録")))</f>
        <v/>
      </c>
      <c r="W20" s="33" t="n"/>
    </row>
    <row r="21">
      <c r="A21" s="18" t="n"/>
      <c r="B21" s="18" t="n"/>
      <c r="C21" s="18" t="n"/>
      <c r="D21" s="21">
        <f>IF(C21="","",IFERROR(INDEX('システム'!$B:$B,MATCH(C21,'システム'!$A:$A,0)),"システムが未登録"))</f>
        <v/>
      </c>
      <c r="E21" s="18" t="n"/>
      <c r="F21" s="21">
        <f>IF(E21="","",IFERROR(INDEX('選択肢'!$L$5:$L$14,MATCH(E21,'選択肢'!$K$5:$K$14,0)),"選択肢にない種類"))</f>
        <v/>
      </c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21">
        <f>IF(A21="","",IF(F21="直接業務","—",IF(J21&lt;&gt;"済","判定保留",IF(OR(O21="",K21="",L21="",M21="",K21="未確認",L21="未確認"),"判定保留",IF(AND(K21="はい",M21="無"),"入力エラー（GxP対象でSOP無）",IFERROR(INDEX('判定表'!$D:$D,MATCH("W|"&amp;O21&amp;"|"&amp;IF(OR(K21="はい",L21="はい",M21="無"),"あり","なし"),'判定表'!$A:$A,0)),"判定表にない組み合わせ"))))))</f>
        <v/>
      </c>
      <c r="Q21" s="21">
        <f>IF(A21="","",IF(C21="","対象外",IF(F21="直接業務","対象外",IF(OR(F21&lt;&gt;"間接業務",COUNTIF('システム'!$A$4:$A$200,C21)=0,U21="",V21="紐付けにない組み合わせ",V21="案件が未登録"),"判定保留","移管"))))</f>
        <v/>
      </c>
      <c r="R21" s="21">
        <f>IF(A21="","",IF(Q21&lt;&gt;"移管","—",IF(O21="","判定保留",IFERROR(INDEX('判定表'!$E:$E,MATCH("W|"&amp;O21&amp;"|なし",'判定表'!$A:$A,0)),"判定表にない回答"))))</f>
        <v/>
      </c>
      <c r="S21" s="33" t="n"/>
      <c r="T21" s="18" t="n"/>
      <c r="U21" s="18" t="n"/>
      <c r="V21" s="21">
        <f>IF(U21="","",IF(COUNTIFS('紐付け'!$A$4:$A$200,U21,'紐付け'!$C$4:$C$200,C21)=0,"紐付けにない組み合わせ",IFERROR(INDEX('予算一覧'!$B:$B,MATCH(U21,'予算一覧'!$A:$A,0)),"案件が未登録")))</f>
        <v/>
      </c>
      <c r="W21" s="33" t="n"/>
    </row>
    <row r="22">
      <c r="A22" s="18" t="n"/>
      <c r="B22" s="18" t="n"/>
      <c r="C22" s="18" t="n"/>
      <c r="D22" s="21">
        <f>IF(C22="","",IFERROR(INDEX('システム'!$B:$B,MATCH(C22,'システム'!$A:$A,0)),"システムが未登録"))</f>
        <v/>
      </c>
      <c r="E22" s="18" t="n"/>
      <c r="F22" s="21">
        <f>IF(E22="","",IFERROR(INDEX('選択肢'!$L$5:$L$14,MATCH(E22,'選択肢'!$K$5:$K$14,0)),"選択肢にない種類"))</f>
        <v/>
      </c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21">
        <f>IF(A22="","",IF(F22="直接業務","—",IF(J22&lt;&gt;"済","判定保留",IF(OR(O22="",K22="",L22="",M22="",K22="未確認",L22="未確認"),"判定保留",IF(AND(K22="はい",M22="無"),"入力エラー（GxP対象でSOP無）",IFERROR(INDEX('判定表'!$D:$D,MATCH("W|"&amp;O22&amp;"|"&amp;IF(OR(K22="はい",L22="はい",M22="無"),"あり","なし"),'判定表'!$A:$A,0)),"判定表にない組み合わせ"))))))</f>
        <v/>
      </c>
      <c r="Q22" s="21">
        <f>IF(A22="","",IF(C22="","対象外",IF(F22="直接業務","対象外",IF(OR(F22&lt;&gt;"間接業務",COUNTIF('システム'!$A$4:$A$200,C22)=0,U22="",V22="紐付けにない組み合わせ",V22="案件が未登録"),"判定保留","移管"))))</f>
        <v/>
      </c>
      <c r="R22" s="21">
        <f>IF(A22="","",IF(Q22&lt;&gt;"移管","—",IF(O22="","判定保留",IFERROR(INDEX('判定表'!$E:$E,MATCH("W|"&amp;O22&amp;"|なし",'判定表'!$A:$A,0)),"判定表にない回答"))))</f>
        <v/>
      </c>
      <c r="S22" s="33" t="n"/>
      <c r="T22" s="18" t="n"/>
      <c r="U22" s="18" t="n"/>
      <c r="V22" s="21">
        <f>IF(U22="","",IF(COUNTIFS('紐付け'!$A$4:$A$200,U22,'紐付け'!$C$4:$C$200,C22)=0,"紐付けにない組み合わせ",IFERROR(INDEX('予算一覧'!$B:$B,MATCH(U22,'予算一覧'!$A:$A,0)),"案件が未登録")))</f>
        <v/>
      </c>
      <c r="W22" s="33" t="n"/>
    </row>
    <row r="23">
      <c r="A23" s="18" t="n"/>
      <c r="B23" s="18" t="n"/>
      <c r="C23" s="18" t="n"/>
      <c r="D23" s="21">
        <f>IF(C23="","",IFERROR(INDEX('システム'!$B:$B,MATCH(C23,'システム'!$A:$A,0)),"システムが未登録"))</f>
        <v/>
      </c>
      <c r="E23" s="18" t="n"/>
      <c r="F23" s="21">
        <f>IF(E23="","",IFERROR(INDEX('選択肢'!$L$5:$L$14,MATCH(E23,'選択肢'!$K$5:$K$14,0)),"選択肢にない種類"))</f>
        <v/>
      </c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21">
        <f>IF(A23="","",IF(F23="直接業務","—",IF(J23&lt;&gt;"済","判定保留",IF(OR(O23="",K23="",L23="",M23="",K23="未確認",L23="未確認"),"判定保留",IF(AND(K23="はい",M23="無"),"入力エラー（GxP対象でSOP無）",IFERROR(INDEX('判定表'!$D:$D,MATCH("W|"&amp;O23&amp;"|"&amp;IF(OR(K23="はい",L23="はい",M23="無"),"あり","なし"),'判定表'!$A:$A,0)),"判定表にない組み合わせ"))))))</f>
        <v/>
      </c>
      <c r="Q23" s="21">
        <f>IF(A23="","",IF(C23="","対象外",IF(F23="直接業務","対象外",IF(OR(F23&lt;&gt;"間接業務",COUNTIF('システム'!$A$4:$A$200,C23)=0,U23="",V23="紐付けにない組み合わせ",V23="案件が未登録"),"判定保留","移管"))))</f>
        <v/>
      </c>
      <c r="R23" s="21">
        <f>IF(A23="","",IF(Q23&lt;&gt;"移管","—",IF(O23="","判定保留",IFERROR(INDEX('判定表'!$E:$E,MATCH("W|"&amp;O23&amp;"|なし",'判定表'!$A:$A,0)),"判定表にない回答"))))</f>
        <v/>
      </c>
      <c r="S23" s="33" t="n"/>
      <c r="T23" s="18" t="n"/>
      <c r="U23" s="18" t="n"/>
      <c r="V23" s="21">
        <f>IF(U23="","",IF(COUNTIFS('紐付け'!$A$4:$A$200,U23,'紐付け'!$C$4:$C$200,C23)=0,"紐付けにない組み合わせ",IFERROR(INDEX('予算一覧'!$B:$B,MATCH(U23,'予算一覧'!$A:$A,0)),"案件が未登録")))</f>
        <v/>
      </c>
      <c r="W23" s="33" t="n"/>
    </row>
    <row r="24">
      <c r="A24" s="18" t="n"/>
      <c r="B24" s="18" t="n"/>
      <c r="C24" s="18" t="n"/>
      <c r="D24" s="21">
        <f>IF(C24="","",IFERROR(INDEX('システム'!$B:$B,MATCH(C24,'システム'!$A:$A,0)),"システムが未登録"))</f>
        <v/>
      </c>
      <c r="E24" s="18" t="n"/>
      <c r="F24" s="21">
        <f>IF(E24="","",IFERROR(INDEX('選択肢'!$L$5:$L$14,MATCH(E24,'選択肢'!$K$5:$K$14,0)),"選択肢にない種類"))</f>
        <v/>
      </c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21">
        <f>IF(A24="","",IF(F24="直接業務","—",IF(J24&lt;&gt;"済","判定保留",IF(OR(O24="",K24="",L24="",M24="",K24="未確認",L24="未確認"),"判定保留",IF(AND(K24="はい",M24="無"),"入力エラー（GxP対象でSOP無）",IFERROR(INDEX('判定表'!$D:$D,MATCH("W|"&amp;O24&amp;"|"&amp;IF(OR(K24="はい",L24="はい",M24="無"),"あり","なし"),'判定表'!$A:$A,0)),"判定表にない組み合わせ"))))))</f>
        <v/>
      </c>
      <c r="Q24" s="21">
        <f>IF(A24="","",IF(C24="","対象外",IF(F24="直接業務","対象外",IF(OR(F24&lt;&gt;"間接業務",COUNTIF('システム'!$A$4:$A$200,C24)=0,U24="",V24="紐付けにない組み合わせ",V24="案件が未登録"),"判定保留","移管"))))</f>
        <v/>
      </c>
      <c r="R24" s="21">
        <f>IF(A24="","",IF(Q24&lt;&gt;"移管","—",IF(O24="","判定保留",IFERROR(INDEX('判定表'!$E:$E,MATCH("W|"&amp;O24&amp;"|なし",'判定表'!$A:$A,0)),"判定表にない回答"))))</f>
        <v/>
      </c>
      <c r="S24" s="33" t="n"/>
      <c r="T24" s="18" t="n"/>
      <c r="U24" s="18" t="n"/>
      <c r="V24" s="21">
        <f>IF(U24="","",IF(COUNTIFS('紐付け'!$A$4:$A$200,U24,'紐付け'!$C$4:$C$200,C24)=0,"紐付けにない組み合わせ",IFERROR(INDEX('予算一覧'!$B:$B,MATCH(U24,'予算一覧'!$A:$A,0)),"案件が未登録")))</f>
        <v/>
      </c>
      <c r="W24" s="33" t="n"/>
    </row>
    <row r="25">
      <c r="A25" s="18" t="n"/>
      <c r="B25" s="18" t="n"/>
      <c r="C25" s="18" t="n"/>
      <c r="D25" s="21">
        <f>IF(C25="","",IFERROR(INDEX('システム'!$B:$B,MATCH(C25,'システム'!$A:$A,0)),"システムが未登録"))</f>
        <v/>
      </c>
      <c r="E25" s="18" t="n"/>
      <c r="F25" s="21">
        <f>IF(E25="","",IFERROR(INDEX('選択肢'!$L$5:$L$14,MATCH(E25,'選択肢'!$K$5:$K$14,0)),"選択肢にない種類"))</f>
        <v/>
      </c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21">
        <f>IF(A25="","",IF(F25="直接業務","—",IF(J25&lt;&gt;"済","判定保留",IF(OR(O25="",K25="",L25="",M25="",K25="未確認",L25="未確認"),"判定保留",IF(AND(K25="はい",M25="無"),"入力エラー（GxP対象でSOP無）",IFERROR(INDEX('判定表'!$D:$D,MATCH("W|"&amp;O25&amp;"|"&amp;IF(OR(K25="はい",L25="はい",M25="無"),"あり","なし"),'判定表'!$A:$A,0)),"判定表にない組み合わせ"))))))</f>
        <v/>
      </c>
      <c r="Q25" s="21">
        <f>IF(A25="","",IF(C25="","対象外",IF(F25="直接業務","対象外",IF(OR(F25&lt;&gt;"間接業務",COUNTIF('システム'!$A$4:$A$200,C25)=0,U25="",V25="紐付けにない組み合わせ",V25="案件が未登録"),"判定保留","移管"))))</f>
        <v/>
      </c>
      <c r="R25" s="21">
        <f>IF(A25="","",IF(Q25&lt;&gt;"移管","—",IF(O25="","判定保留",IFERROR(INDEX('判定表'!$E:$E,MATCH("W|"&amp;O25&amp;"|なし",'判定表'!$A:$A,0)),"判定表にない回答"))))</f>
        <v/>
      </c>
      <c r="S25" s="33" t="n"/>
      <c r="T25" s="18" t="n"/>
      <c r="U25" s="18" t="n"/>
      <c r="V25" s="21">
        <f>IF(U25="","",IF(COUNTIFS('紐付け'!$A$4:$A$200,U25,'紐付け'!$C$4:$C$200,C25)=0,"紐付けにない組み合わせ",IFERROR(INDEX('予算一覧'!$B:$B,MATCH(U25,'予算一覧'!$A:$A,0)),"案件が未登録")))</f>
        <v/>
      </c>
      <c r="W25" s="33" t="n"/>
    </row>
    <row r="26">
      <c r="A26" s="18" t="n"/>
      <c r="B26" s="18" t="n"/>
      <c r="C26" s="18" t="n"/>
      <c r="D26" s="21">
        <f>IF(C26="","",IFERROR(INDEX('システム'!$B:$B,MATCH(C26,'システム'!$A:$A,0)),"システムが未登録"))</f>
        <v/>
      </c>
      <c r="E26" s="18" t="n"/>
      <c r="F26" s="21">
        <f>IF(E26="","",IFERROR(INDEX('選択肢'!$L$5:$L$14,MATCH(E26,'選択肢'!$K$5:$K$14,0)),"選択肢にない種類"))</f>
        <v/>
      </c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21">
        <f>IF(A26="","",IF(F26="直接業務","—",IF(J26&lt;&gt;"済","判定保留",IF(OR(O26="",K26="",L26="",M26="",K26="未確認",L26="未確認"),"判定保留",IF(AND(K26="はい",M26="無"),"入力エラー（GxP対象でSOP無）",IFERROR(INDEX('判定表'!$D:$D,MATCH("W|"&amp;O26&amp;"|"&amp;IF(OR(K26="はい",L26="はい",M26="無"),"あり","なし"),'判定表'!$A:$A,0)),"判定表にない組み合わせ"))))))</f>
        <v/>
      </c>
      <c r="Q26" s="21">
        <f>IF(A26="","",IF(C26="","対象外",IF(F26="直接業務","対象外",IF(OR(F26&lt;&gt;"間接業務",COUNTIF('システム'!$A$4:$A$200,C26)=0,U26="",V26="紐付けにない組み合わせ",V26="案件が未登録"),"判定保留","移管"))))</f>
        <v/>
      </c>
      <c r="R26" s="21">
        <f>IF(A26="","",IF(Q26&lt;&gt;"移管","—",IF(O26="","判定保留",IFERROR(INDEX('判定表'!$E:$E,MATCH("W|"&amp;O26&amp;"|なし",'判定表'!$A:$A,0)),"判定表にない回答"))))</f>
        <v/>
      </c>
      <c r="S26" s="33" t="n"/>
      <c r="T26" s="18" t="n"/>
      <c r="U26" s="18" t="n"/>
      <c r="V26" s="21">
        <f>IF(U26="","",IF(COUNTIFS('紐付け'!$A$4:$A$200,U26,'紐付け'!$C$4:$C$200,C26)=0,"紐付けにない組み合わせ",IFERROR(INDEX('予算一覧'!$B:$B,MATCH(U26,'予算一覧'!$A:$A,0)),"案件が未登録")))</f>
        <v/>
      </c>
      <c r="W26" s="33" t="n"/>
    </row>
    <row r="27">
      <c r="A27" s="18" t="n"/>
      <c r="B27" s="18" t="n"/>
      <c r="C27" s="18" t="n"/>
      <c r="D27" s="21">
        <f>IF(C27="","",IFERROR(INDEX('システム'!$B:$B,MATCH(C27,'システム'!$A:$A,0)),"システムが未登録"))</f>
        <v/>
      </c>
      <c r="E27" s="18" t="n"/>
      <c r="F27" s="21">
        <f>IF(E27="","",IFERROR(INDEX('選択肢'!$L$5:$L$14,MATCH(E27,'選択肢'!$K$5:$K$14,0)),"選択肢にない種類"))</f>
        <v/>
      </c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21">
        <f>IF(A27="","",IF(F27="直接業務","—",IF(J27&lt;&gt;"済","判定保留",IF(OR(O27="",K27="",L27="",M27="",K27="未確認",L27="未確認"),"判定保留",IF(AND(K27="はい",M27="無"),"入力エラー（GxP対象でSOP無）",IFERROR(INDEX('判定表'!$D:$D,MATCH("W|"&amp;O27&amp;"|"&amp;IF(OR(K27="はい",L27="はい",M27="無"),"あり","なし"),'判定表'!$A:$A,0)),"判定表にない組み合わせ"))))))</f>
        <v/>
      </c>
      <c r="Q27" s="21">
        <f>IF(A27="","",IF(C27="","対象外",IF(F27="直接業務","対象外",IF(OR(F27&lt;&gt;"間接業務",COUNTIF('システム'!$A$4:$A$200,C27)=0,U27="",V27="紐付けにない組み合わせ",V27="案件が未登録"),"判定保留","移管"))))</f>
        <v/>
      </c>
      <c r="R27" s="21">
        <f>IF(A27="","",IF(Q27&lt;&gt;"移管","—",IF(O27="","判定保留",IFERROR(INDEX('判定表'!$E:$E,MATCH("W|"&amp;O27&amp;"|なし",'判定表'!$A:$A,0)),"判定表にない回答"))))</f>
        <v/>
      </c>
      <c r="S27" s="33" t="n"/>
      <c r="T27" s="18" t="n"/>
      <c r="U27" s="18" t="n"/>
      <c r="V27" s="21">
        <f>IF(U27="","",IF(COUNTIFS('紐付け'!$A$4:$A$200,U27,'紐付け'!$C$4:$C$200,C27)=0,"紐付けにない組み合わせ",IFERROR(INDEX('予算一覧'!$B:$B,MATCH(U27,'予算一覧'!$A:$A,0)),"案件が未登録")))</f>
        <v/>
      </c>
      <c r="W27" s="33" t="n"/>
    </row>
    <row r="28">
      <c r="A28" s="18" t="n"/>
      <c r="B28" s="18" t="n"/>
      <c r="C28" s="18" t="n"/>
      <c r="D28" s="21">
        <f>IF(C28="","",IFERROR(INDEX('システム'!$B:$B,MATCH(C28,'システム'!$A:$A,0)),"システムが未登録"))</f>
        <v/>
      </c>
      <c r="E28" s="18" t="n"/>
      <c r="F28" s="21">
        <f>IF(E28="","",IFERROR(INDEX('選択肢'!$L$5:$L$14,MATCH(E28,'選択肢'!$K$5:$K$14,0)),"選択肢にない種類"))</f>
        <v/>
      </c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21">
        <f>IF(A28="","",IF(F28="直接業務","—",IF(J28&lt;&gt;"済","判定保留",IF(OR(O28="",K28="",L28="",M28="",K28="未確認",L28="未確認"),"判定保留",IF(AND(K28="はい",M28="無"),"入力エラー（GxP対象でSOP無）",IFERROR(INDEX('判定表'!$D:$D,MATCH("W|"&amp;O28&amp;"|"&amp;IF(OR(K28="はい",L28="はい",M28="無"),"あり","なし"),'判定表'!$A:$A,0)),"判定表にない組み合わせ"))))))</f>
        <v/>
      </c>
      <c r="Q28" s="21">
        <f>IF(A28="","",IF(C28="","対象外",IF(F28="直接業務","対象外",IF(OR(F28&lt;&gt;"間接業務",COUNTIF('システム'!$A$4:$A$200,C28)=0,U28="",V28="紐付けにない組み合わせ",V28="案件が未登録"),"判定保留","移管"))))</f>
        <v/>
      </c>
      <c r="R28" s="21">
        <f>IF(A28="","",IF(Q28&lt;&gt;"移管","—",IF(O28="","判定保留",IFERROR(INDEX('判定表'!$E:$E,MATCH("W|"&amp;O28&amp;"|なし",'判定表'!$A:$A,0)),"判定表にない回答"))))</f>
        <v/>
      </c>
      <c r="S28" s="33" t="n"/>
      <c r="T28" s="18" t="n"/>
      <c r="U28" s="18" t="n"/>
      <c r="V28" s="21">
        <f>IF(U28="","",IF(COUNTIFS('紐付け'!$A$4:$A$200,U28,'紐付け'!$C$4:$C$200,C28)=0,"紐付けにない組み合わせ",IFERROR(INDEX('予算一覧'!$B:$B,MATCH(U28,'予算一覧'!$A:$A,0)),"案件が未登録")))</f>
        <v/>
      </c>
      <c r="W28" s="33" t="n"/>
    </row>
    <row r="29">
      <c r="A29" s="18" t="n"/>
      <c r="B29" s="18" t="n"/>
      <c r="C29" s="18" t="n"/>
      <c r="D29" s="21">
        <f>IF(C29="","",IFERROR(INDEX('システム'!$B:$B,MATCH(C29,'システム'!$A:$A,0)),"システムが未登録"))</f>
        <v/>
      </c>
      <c r="E29" s="18" t="n"/>
      <c r="F29" s="21">
        <f>IF(E29="","",IFERROR(INDEX('選択肢'!$L$5:$L$14,MATCH(E29,'選択肢'!$K$5:$K$14,0)),"選択肢にない種類"))</f>
        <v/>
      </c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21">
        <f>IF(A29="","",IF(F29="直接業務","—",IF(J29&lt;&gt;"済","判定保留",IF(OR(O29="",K29="",L29="",M29="",K29="未確認",L29="未確認"),"判定保留",IF(AND(K29="はい",M29="無"),"入力エラー（GxP対象でSOP無）",IFERROR(INDEX('判定表'!$D:$D,MATCH("W|"&amp;O29&amp;"|"&amp;IF(OR(K29="はい",L29="はい",M29="無"),"あり","なし"),'判定表'!$A:$A,0)),"判定表にない組み合わせ"))))))</f>
        <v/>
      </c>
      <c r="Q29" s="21">
        <f>IF(A29="","",IF(C29="","対象外",IF(F29="直接業務","対象外",IF(OR(F29&lt;&gt;"間接業務",COUNTIF('システム'!$A$4:$A$200,C29)=0,U29="",V29="紐付けにない組み合わせ",V29="案件が未登録"),"判定保留","移管"))))</f>
        <v/>
      </c>
      <c r="R29" s="21">
        <f>IF(A29="","",IF(Q29&lt;&gt;"移管","—",IF(O29="","判定保留",IFERROR(INDEX('判定表'!$E:$E,MATCH("W|"&amp;O29&amp;"|なし",'判定表'!$A:$A,0)),"判定表にない回答"))))</f>
        <v/>
      </c>
      <c r="S29" s="33" t="n"/>
      <c r="T29" s="18" t="n"/>
      <c r="U29" s="18" t="n"/>
      <c r="V29" s="21">
        <f>IF(U29="","",IF(COUNTIFS('紐付け'!$A$4:$A$200,U29,'紐付け'!$C$4:$C$200,C29)=0,"紐付けにない組み合わせ",IFERROR(INDEX('予算一覧'!$B:$B,MATCH(U29,'予算一覧'!$A:$A,0)),"案件が未登録")))</f>
        <v/>
      </c>
      <c r="W29" s="33" t="n"/>
    </row>
    <row r="30">
      <c r="A30" s="18" t="n"/>
      <c r="B30" s="18" t="n"/>
      <c r="C30" s="18" t="n"/>
      <c r="D30" s="21">
        <f>IF(C30="","",IFERROR(INDEX('システム'!$B:$B,MATCH(C30,'システム'!$A:$A,0)),"システムが未登録"))</f>
        <v/>
      </c>
      <c r="E30" s="18" t="n"/>
      <c r="F30" s="21">
        <f>IF(E30="","",IFERROR(INDEX('選択肢'!$L$5:$L$14,MATCH(E30,'選択肢'!$K$5:$K$14,0)),"選択肢にない種類"))</f>
        <v/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21">
        <f>IF(A30="","",IF(F30="直接業務","—",IF(J30&lt;&gt;"済","判定保留",IF(OR(O30="",K30="",L30="",M30="",K30="未確認",L30="未確認"),"判定保留",IF(AND(K30="はい",M30="無"),"入力エラー（GxP対象でSOP無）",IFERROR(INDEX('判定表'!$D:$D,MATCH("W|"&amp;O30&amp;"|"&amp;IF(OR(K30="はい",L30="はい",M30="無"),"あり","なし"),'判定表'!$A:$A,0)),"判定表にない組み合わせ"))))))</f>
        <v/>
      </c>
      <c r="Q30" s="21">
        <f>IF(A30="","",IF(C30="","対象外",IF(F30="直接業務","対象外",IF(OR(F30&lt;&gt;"間接業務",COUNTIF('システム'!$A$4:$A$200,C30)=0,U30="",V30="紐付けにない組み合わせ",V30="案件が未登録"),"判定保留","移管"))))</f>
        <v/>
      </c>
      <c r="R30" s="21">
        <f>IF(A30="","",IF(Q30&lt;&gt;"移管","—",IF(O30="","判定保留",IFERROR(INDEX('判定表'!$E:$E,MATCH("W|"&amp;O30&amp;"|なし",'判定表'!$A:$A,0)),"判定表にない回答"))))</f>
        <v/>
      </c>
      <c r="S30" s="33" t="n"/>
      <c r="T30" s="18" t="n"/>
      <c r="U30" s="18" t="n"/>
      <c r="V30" s="21">
        <f>IF(U30="","",IF(COUNTIFS('紐付け'!$A$4:$A$200,U30,'紐付け'!$C$4:$C$200,C30)=0,"紐付けにない組み合わせ",IFERROR(INDEX('予算一覧'!$B:$B,MATCH(U30,'予算一覧'!$A:$A,0)),"案件が未登録")))</f>
        <v/>
      </c>
      <c r="W30" s="33" t="n"/>
    </row>
    <row r="31">
      <c r="A31" s="18" t="n"/>
      <c r="B31" s="18" t="n"/>
      <c r="C31" s="18" t="n"/>
      <c r="D31" s="21">
        <f>IF(C31="","",IFERROR(INDEX('システム'!$B:$B,MATCH(C31,'システム'!$A:$A,0)),"システムが未登録"))</f>
        <v/>
      </c>
      <c r="E31" s="18" t="n"/>
      <c r="F31" s="21">
        <f>IF(E31="","",IFERROR(INDEX('選択肢'!$L$5:$L$14,MATCH(E31,'選択肢'!$K$5:$K$14,0)),"選択肢にない種類"))</f>
        <v/>
      </c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21">
        <f>IF(A31="","",IF(F31="直接業務","—",IF(J31&lt;&gt;"済","判定保留",IF(OR(O31="",K31="",L31="",M31="",K31="未確認",L31="未確認"),"判定保留",IF(AND(K31="はい",M31="無"),"入力エラー（GxP対象でSOP無）",IFERROR(INDEX('判定表'!$D:$D,MATCH("W|"&amp;O31&amp;"|"&amp;IF(OR(K31="はい",L31="はい",M31="無"),"あり","なし"),'判定表'!$A:$A,0)),"判定表にない組み合わせ"))))))</f>
        <v/>
      </c>
      <c r="Q31" s="21">
        <f>IF(A31="","",IF(C31="","対象外",IF(F31="直接業務","対象外",IF(OR(F31&lt;&gt;"間接業務",COUNTIF('システム'!$A$4:$A$200,C31)=0,U31="",V31="紐付けにない組み合わせ",V31="案件が未登録"),"判定保留","移管"))))</f>
        <v/>
      </c>
      <c r="R31" s="21">
        <f>IF(A31="","",IF(Q31&lt;&gt;"移管","—",IF(O31="","判定保留",IFERROR(INDEX('判定表'!$E:$E,MATCH("W|"&amp;O31&amp;"|なし",'判定表'!$A:$A,0)),"判定表にない回答"))))</f>
        <v/>
      </c>
      <c r="S31" s="33" t="n"/>
      <c r="T31" s="18" t="n"/>
      <c r="U31" s="18" t="n"/>
      <c r="V31" s="21">
        <f>IF(U31="","",IF(COUNTIFS('紐付け'!$A$4:$A$200,U31,'紐付け'!$C$4:$C$200,C31)=0,"紐付けにない組み合わせ",IFERROR(INDEX('予算一覧'!$B:$B,MATCH(U31,'予算一覧'!$A:$A,0)),"案件が未登録")))</f>
        <v/>
      </c>
      <c r="W31" s="33" t="n"/>
    </row>
    <row r="32">
      <c r="A32" s="18" t="n"/>
      <c r="B32" s="18" t="n"/>
      <c r="C32" s="18" t="n"/>
      <c r="D32" s="21">
        <f>IF(C32="","",IFERROR(INDEX('システム'!$B:$B,MATCH(C32,'システム'!$A:$A,0)),"システムが未登録"))</f>
        <v/>
      </c>
      <c r="E32" s="18" t="n"/>
      <c r="F32" s="21">
        <f>IF(E32="","",IFERROR(INDEX('選択肢'!$L$5:$L$14,MATCH(E32,'選択肢'!$K$5:$K$14,0)),"選択肢にない種類"))</f>
        <v/>
      </c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21">
        <f>IF(A32="","",IF(F32="直接業務","—",IF(J32&lt;&gt;"済","判定保留",IF(OR(O32="",K32="",L32="",M32="",K32="未確認",L32="未確認"),"判定保留",IF(AND(K32="はい",M32="無"),"入力エラー（GxP対象でSOP無）",IFERROR(INDEX('判定表'!$D:$D,MATCH("W|"&amp;O32&amp;"|"&amp;IF(OR(K32="はい",L32="はい",M32="無"),"あり","なし"),'判定表'!$A:$A,0)),"判定表にない組み合わせ"))))))</f>
        <v/>
      </c>
      <c r="Q32" s="21">
        <f>IF(A32="","",IF(C32="","対象外",IF(F32="直接業務","対象外",IF(OR(F32&lt;&gt;"間接業務",COUNTIF('システム'!$A$4:$A$200,C32)=0,U32="",V32="紐付けにない組み合わせ",V32="案件が未登録"),"判定保留","移管"))))</f>
        <v/>
      </c>
      <c r="R32" s="21">
        <f>IF(A32="","",IF(Q32&lt;&gt;"移管","—",IF(O32="","判定保留",IFERROR(INDEX('判定表'!$E:$E,MATCH("W|"&amp;O32&amp;"|なし",'判定表'!$A:$A,0)),"判定表にない回答"))))</f>
        <v/>
      </c>
      <c r="S32" s="33" t="n"/>
      <c r="T32" s="18" t="n"/>
      <c r="U32" s="18" t="n"/>
      <c r="V32" s="21">
        <f>IF(U32="","",IF(COUNTIFS('紐付け'!$A$4:$A$200,U32,'紐付け'!$C$4:$C$200,C32)=0,"紐付けにない組み合わせ",IFERROR(INDEX('予算一覧'!$B:$B,MATCH(U32,'予算一覧'!$A:$A,0)),"案件が未登録")))</f>
        <v/>
      </c>
      <c r="W32" s="33" t="n"/>
    </row>
    <row r="33">
      <c r="A33" s="18" t="n"/>
      <c r="B33" s="18" t="n"/>
      <c r="C33" s="18" t="n"/>
      <c r="D33" s="21">
        <f>IF(C33="","",IFERROR(INDEX('システム'!$B:$B,MATCH(C33,'システム'!$A:$A,0)),"システムが未登録"))</f>
        <v/>
      </c>
      <c r="E33" s="18" t="n"/>
      <c r="F33" s="21">
        <f>IF(E33="","",IFERROR(INDEX('選択肢'!$L$5:$L$14,MATCH(E33,'選択肢'!$K$5:$K$14,0)),"選択肢にない種類"))</f>
        <v/>
      </c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21">
        <f>IF(A33="","",IF(F33="直接業務","—",IF(J33&lt;&gt;"済","判定保留",IF(OR(O33="",K33="",L33="",M33="",K33="未確認",L33="未確認"),"判定保留",IF(AND(K33="はい",M33="無"),"入力エラー（GxP対象でSOP無）",IFERROR(INDEX('判定表'!$D:$D,MATCH("W|"&amp;O33&amp;"|"&amp;IF(OR(K33="はい",L33="はい",M33="無"),"あり","なし"),'判定表'!$A:$A,0)),"判定表にない組み合わせ"))))))</f>
        <v/>
      </c>
      <c r="Q33" s="21">
        <f>IF(A33="","",IF(C33="","対象外",IF(F33="直接業務","対象外",IF(OR(F33&lt;&gt;"間接業務",COUNTIF('システム'!$A$4:$A$200,C33)=0,U33="",V33="紐付けにない組み合わせ",V33="案件が未登録"),"判定保留","移管"))))</f>
        <v/>
      </c>
      <c r="R33" s="21">
        <f>IF(A33="","",IF(Q33&lt;&gt;"移管","—",IF(O33="","判定保留",IFERROR(INDEX('判定表'!$E:$E,MATCH("W|"&amp;O33&amp;"|なし",'判定表'!$A:$A,0)),"判定表にない回答"))))</f>
        <v/>
      </c>
      <c r="S33" s="33" t="n"/>
      <c r="T33" s="18" t="n"/>
      <c r="U33" s="18" t="n"/>
      <c r="V33" s="21">
        <f>IF(U33="","",IF(COUNTIFS('紐付け'!$A$4:$A$200,U33,'紐付け'!$C$4:$C$200,C33)=0,"紐付けにない組み合わせ",IFERROR(INDEX('予算一覧'!$B:$B,MATCH(U33,'予算一覧'!$A:$A,0)),"案件が未登録")))</f>
        <v/>
      </c>
      <c r="W33" s="33" t="n"/>
    </row>
    <row r="34">
      <c r="A34" s="18" t="n"/>
      <c r="B34" s="18" t="n"/>
      <c r="C34" s="18" t="n"/>
      <c r="D34" s="21">
        <f>IF(C34="","",IFERROR(INDEX('システム'!$B:$B,MATCH(C34,'システム'!$A:$A,0)),"システムが未登録"))</f>
        <v/>
      </c>
      <c r="E34" s="18" t="n"/>
      <c r="F34" s="21">
        <f>IF(E34="","",IFERROR(INDEX('選択肢'!$L$5:$L$14,MATCH(E34,'選択肢'!$K$5:$K$14,0)),"選択肢にない種類"))</f>
        <v/>
      </c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21">
        <f>IF(A34="","",IF(F34="直接業務","—",IF(J34&lt;&gt;"済","判定保留",IF(OR(O34="",K34="",L34="",M34="",K34="未確認",L34="未確認"),"判定保留",IF(AND(K34="はい",M34="無"),"入力エラー（GxP対象でSOP無）",IFERROR(INDEX('判定表'!$D:$D,MATCH("W|"&amp;O34&amp;"|"&amp;IF(OR(K34="はい",L34="はい",M34="無"),"あり","なし"),'判定表'!$A:$A,0)),"判定表にない組み合わせ"))))))</f>
        <v/>
      </c>
      <c r="Q34" s="21">
        <f>IF(A34="","",IF(C34="","対象外",IF(F34="直接業務","対象外",IF(OR(F34&lt;&gt;"間接業務",COUNTIF('システム'!$A$4:$A$200,C34)=0,U34="",V34="紐付けにない組み合わせ",V34="案件が未登録"),"判定保留","移管"))))</f>
        <v/>
      </c>
      <c r="R34" s="21">
        <f>IF(A34="","",IF(Q34&lt;&gt;"移管","—",IF(O34="","判定保留",IFERROR(INDEX('判定表'!$E:$E,MATCH("W|"&amp;O34&amp;"|なし",'判定表'!$A:$A,0)),"判定表にない回答"))))</f>
        <v/>
      </c>
      <c r="S34" s="33" t="n"/>
      <c r="T34" s="18" t="n"/>
      <c r="U34" s="18" t="n"/>
      <c r="V34" s="21">
        <f>IF(U34="","",IF(COUNTIFS('紐付け'!$A$4:$A$200,U34,'紐付け'!$C$4:$C$200,C34)=0,"紐付けにない組み合わせ",IFERROR(INDEX('予算一覧'!$B:$B,MATCH(U34,'予算一覧'!$A:$A,0)),"案件が未登録")))</f>
        <v/>
      </c>
      <c r="W34" s="33" t="n"/>
    </row>
    <row r="35">
      <c r="A35" s="18" t="n"/>
      <c r="B35" s="18" t="n"/>
      <c r="C35" s="18" t="n"/>
      <c r="D35" s="21">
        <f>IF(C35="","",IFERROR(INDEX('システム'!$B:$B,MATCH(C35,'システム'!$A:$A,0)),"システムが未登録"))</f>
        <v/>
      </c>
      <c r="E35" s="18" t="n"/>
      <c r="F35" s="21">
        <f>IF(E35="","",IFERROR(INDEX('選択肢'!$L$5:$L$14,MATCH(E35,'選択肢'!$K$5:$K$14,0)),"選択肢にない種類"))</f>
        <v/>
      </c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21">
        <f>IF(A35="","",IF(F35="直接業務","—",IF(J35&lt;&gt;"済","判定保留",IF(OR(O35="",K35="",L35="",M35="",K35="未確認",L35="未確認"),"判定保留",IF(AND(K35="はい",M35="無"),"入力エラー（GxP対象でSOP無）",IFERROR(INDEX('判定表'!$D:$D,MATCH("W|"&amp;O35&amp;"|"&amp;IF(OR(K35="はい",L35="はい",M35="無"),"あり","なし"),'判定表'!$A:$A,0)),"判定表にない組み合わせ"))))))</f>
        <v/>
      </c>
      <c r="Q35" s="21">
        <f>IF(A35="","",IF(C35="","対象外",IF(F35="直接業務","対象外",IF(OR(F35&lt;&gt;"間接業務",COUNTIF('システム'!$A$4:$A$200,C35)=0,U35="",V35="紐付けにない組み合わせ",V35="案件が未登録"),"判定保留","移管"))))</f>
        <v/>
      </c>
      <c r="R35" s="21">
        <f>IF(A35="","",IF(Q35&lt;&gt;"移管","—",IF(O35="","判定保留",IFERROR(INDEX('判定表'!$E:$E,MATCH("W|"&amp;O35&amp;"|なし",'判定表'!$A:$A,0)),"判定表にない回答"))))</f>
        <v/>
      </c>
      <c r="S35" s="33" t="n"/>
      <c r="T35" s="18" t="n"/>
      <c r="U35" s="18" t="n"/>
      <c r="V35" s="21">
        <f>IF(U35="","",IF(COUNTIFS('紐付け'!$A$4:$A$200,U35,'紐付け'!$C$4:$C$200,C35)=0,"紐付けにない組み合わせ",IFERROR(INDEX('予算一覧'!$B:$B,MATCH(U35,'予算一覧'!$A:$A,0)),"案件が未登録")))</f>
        <v/>
      </c>
      <c r="W35" s="33" t="n"/>
    </row>
    <row r="36">
      <c r="A36" s="18" t="n"/>
      <c r="B36" s="18" t="n"/>
      <c r="C36" s="18" t="n"/>
      <c r="D36" s="21">
        <f>IF(C36="","",IFERROR(INDEX('システム'!$B:$B,MATCH(C36,'システム'!$A:$A,0)),"システムが未登録"))</f>
        <v/>
      </c>
      <c r="E36" s="18" t="n"/>
      <c r="F36" s="21">
        <f>IF(E36="","",IFERROR(INDEX('選択肢'!$L$5:$L$14,MATCH(E36,'選択肢'!$K$5:$K$14,0)),"選択肢にない種類"))</f>
        <v/>
      </c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21">
        <f>IF(A36="","",IF(F36="直接業務","—",IF(J36&lt;&gt;"済","判定保留",IF(OR(O36="",K36="",L36="",M36="",K36="未確認",L36="未確認"),"判定保留",IF(AND(K36="はい",M36="無"),"入力エラー（GxP対象でSOP無）",IFERROR(INDEX('判定表'!$D:$D,MATCH("W|"&amp;O36&amp;"|"&amp;IF(OR(K36="はい",L36="はい",M36="無"),"あり","なし"),'判定表'!$A:$A,0)),"判定表にない組み合わせ"))))))</f>
        <v/>
      </c>
      <c r="Q36" s="21">
        <f>IF(A36="","",IF(C36="","対象外",IF(F36="直接業務","対象外",IF(OR(F36&lt;&gt;"間接業務",COUNTIF('システム'!$A$4:$A$200,C36)=0,U36="",V36="紐付けにない組み合わせ",V36="案件が未登録"),"判定保留","移管"))))</f>
        <v/>
      </c>
      <c r="R36" s="21">
        <f>IF(A36="","",IF(Q36&lt;&gt;"移管","—",IF(O36="","判定保留",IFERROR(INDEX('判定表'!$E:$E,MATCH("W|"&amp;O36&amp;"|なし",'判定表'!$A:$A,0)),"判定表にない回答"))))</f>
        <v/>
      </c>
      <c r="S36" s="33" t="n"/>
      <c r="T36" s="18" t="n"/>
      <c r="U36" s="18" t="n"/>
      <c r="V36" s="21">
        <f>IF(U36="","",IF(COUNTIFS('紐付け'!$A$4:$A$200,U36,'紐付け'!$C$4:$C$200,C36)=0,"紐付けにない組み合わせ",IFERROR(INDEX('予算一覧'!$B:$B,MATCH(U36,'予算一覧'!$A:$A,0)),"案件が未登録")))</f>
        <v/>
      </c>
      <c r="W36" s="33" t="n"/>
    </row>
    <row r="37">
      <c r="A37" s="18" t="n"/>
      <c r="B37" s="18" t="n"/>
      <c r="C37" s="18" t="n"/>
      <c r="D37" s="21">
        <f>IF(C37="","",IFERROR(INDEX('システム'!$B:$B,MATCH(C37,'システム'!$A:$A,0)),"システムが未登録"))</f>
        <v/>
      </c>
      <c r="E37" s="18" t="n"/>
      <c r="F37" s="21">
        <f>IF(E37="","",IFERROR(INDEX('選択肢'!$L$5:$L$14,MATCH(E37,'選択肢'!$K$5:$K$14,0)),"選択肢にない種類"))</f>
        <v/>
      </c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21">
        <f>IF(A37="","",IF(F37="直接業務","—",IF(J37&lt;&gt;"済","判定保留",IF(OR(O37="",K37="",L37="",M37="",K37="未確認",L37="未確認"),"判定保留",IF(AND(K37="はい",M37="無"),"入力エラー（GxP対象でSOP無）",IFERROR(INDEX('判定表'!$D:$D,MATCH("W|"&amp;O37&amp;"|"&amp;IF(OR(K37="はい",L37="はい",M37="無"),"あり","なし"),'判定表'!$A:$A,0)),"判定表にない組み合わせ"))))))</f>
        <v/>
      </c>
      <c r="Q37" s="21">
        <f>IF(A37="","",IF(C37="","対象外",IF(F37="直接業務","対象外",IF(OR(F37&lt;&gt;"間接業務",COUNTIF('システム'!$A$4:$A$200,C37)=0,U37="",V37="紐付けにない組み合わせ",V37="案件が未登録"),"判定保留","移管"))))</f>
        <v/>
      </c>
      <c r="R37" s="21">
        <f>IF(A37="","",IF(Q37&lt;&gt;"移管","—",IF(O37="","判定保留",IFERROR(INDEX('判定表'!$E:$E,MATCH("W|"&amp;O37&amp;"|なし",'判定表'!$A:$A,0)),"判定表にない回答"))))</f>
        <v/>
      </c>
      <c r="S37" s="33" t="n"/>
      <c r="T37" s="18" t="n"/>
      <c r="U37" s="18" t="n"/>
      <c r="V37" s="21">
        <f>IF(U37="","",IF(COUNTIFS('紐付け'!$A$4:$A$200,U37,'紐付け'!$C$4:$C$200,C37)=0,"紐付けにない組み合わせ",IFERROR(INDEX('予算一覧'!$B:$B,MATCH(U37,'予算一覧'!$A:$A,0)),"案件が未登録")))</f>
        <v/>
      </c>
      <c r="W37" s="33" t="n"/>
    </row>
    <row r="38">
      <c r="A38" s="18" t="n"/>
      <c r="B38" s="18" t="n"/>
      <c r="C38" s="18" t="n"/>
      <c r="D38" s="21">
        <f>IF(C38="","",IFERROR(INDEX('システム'!$B:$B,MATCH(C38,'システム'!$A:$A,0)),"システムが未登録"))</f>
        <v/>
      </c>
      <c r="E38" s="18" t="n"/>
      <c r="F38" s="21">
        <f>IF(E38="","",IFERROR(INDEX('選択肢'!$L$5:$L$14,MATCH(E38,'選択肢'!$K$5:$K$14,0)),"選択肢にない種類"))</f>
        <v/>
      </c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21">
        <f>IF(A38="","",IF(F38="直接業務","—",IF(J38&lt;&gt;"済","判定保留",IF(OR(O38="",K38="",L38="",M38="",K38="未確認",L38="未確認"),"判定保留",IF(AND(K38="はい",M38="無"),"入力エラー（GxP対象でSOP無）",IFERROR(INDEX('判定表'!$D:$D,MATCH("W|"&amp;O38&amp;"|"&amp;IF(OR(K38="はい",L38="はい",M38="無"),"あり","なし"),'判定表'!$A:$A,0)),"判定表にない組み合わせ"))))))</f>
        <v/>
      </c>
      <c r="Q38" s="21">
        <f>IF(A38="","",IF(C38="","対象外",IF(F38="直接業務","対象外",IF(OR(F38&lt;&gt;"間接業務",COUNTIF('システム'!$A$4:$A$200,C38)=0,U38="",V38="紐付けにない組み合わせ",V38="案件が未登録"),"判定保留","移管"))))</f>
        <v/>
      </c>
      <c r="R38" s="21">
        <f>IF(A38="","",IF(Q38&lt;&gt;"移管","—",IF(O38="","判定保留",IFERROR(INDEX('判定表'!$E:$E,MATCH("W|"&amp;O38&amp;"|なし",'判定表'!$A:$A,0)),"判定表にない回答"))))</f>
        <v/>
      </c>
      <c r="S38" s="33" t="n"/>
      <c r="T38" s="18" t="n"/>
      <c r="U38" s="18" t="n"/>
      <c r="V38" s="21">
        <f>IF(U38="","",IF(COUNTIFS('紐付け'!$A$4:$A$200,U38,'紐付け'!$C$4:$C$200,C38)=0,"紐付けにない組み合わせ",IFERROR(INDEX('予算一覧'!$B:$B,MATCH(U38,'予算一覧'!$A:$A,0)),"案件が未登録")))</f>
        <v/>
      </c>
      <c r="W38" s="33" t="n"/>
    </row>
    <row r="39">
      <c r="A39" s="18" t="n"/>
      <c r="B39" s="18" t="n"/>
      <c r="C39" s="18" t="n"/>
      <c r="D39" s="21">
        <f>IF(C39="","",IFERROR(INDEX('システム'!$B:$B,MATCH(C39,'システム'!$A:$A,0)),"システムが未登録"))</f>
        <v/>
      </c>
      <c r="E39" s="18" t="n"/>
      <c r="F39" s="21">
        <f>IF(E39="","",IFERROR(INDEX('選択肢'!$L$5:$L$14,MATCH(E39,'選択肢'!$K$5:$K$14,0)),"選択肢にない種類"))</f>
        <v/>
      </c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21">
        <f>IF(A39="","",IF(F39="直接業務","—",IF(J39&lt;&gt;"済","判定保留",IF(OR(O39="",K39="",L39="",M39="",K39="未確認",L39="未確認"),"判定保留",IF(AND(K39="はい",M39="無"),"入力エラー（GxP対象でSOP無）",IFERROR(INDEX('判定表'!$D:$D,MATCH("W|"&amp;O39&amp;"|"&amp;IF(OR(K39="はい",L39="はい",M39="無"),"あり","なし"),'判定表'!$A:$A,0)),"判定表にない組み合わせ"))))))</f>
        <v/>
      </c>
      <c r="Q39" s="21">
        <f>IF(A39="","",IF(C39="","対象外",IF(F39="直接業務","対象外",IF(OR(F39&lt;&gt;"間接業務",COUNTIF('システム'!$A$4:$A$200,C39)=0,U39="",V39="紐付けにない組み合わせ",V39="案件が未登録"),"判定保留","移管"))))</f>
        <v/>
      </c>
      <c r="R39" s="21">
        <f>IF(A39="","",IF(Q39&lt;&gt;"移管","—",IF(O39="","判定保留",IFERROR(INDEX('判定表'!$E:$E,MATCH("W|"&amp;O39&amp;"|なし",'判定表'!$A:$A,0)),"判定表にない回答"))))</f>
        <v/>
      </c>
      <c r="S39" s="33" t="n"/>
      <c r="T39" s="18" t="n"/>
      <c r="U39" s="18" t="n"/>
      <c r="V39" s="21">
        <f>IF(U39="","",IF(COUNTIFS('紐付け'!$A$4:$A$200,U39,'紐付け'!$C$4:$C$200,C39)=0,"紐付けにない組み合わせ",IFERROR(INDEX('予算一覧'!$B:$B,MATCH(U39,'予算一覧'!$A:$A,0)),"案件が未登録")))</f>
        <v/>
      </c>
      <c r="W39" s="33" t="n"/>
    </row>
    <row r="40">
      <c r="A40" s="18" t="n"/>
      <c r="B40" s="18" t="n"/>
      <c r="C40" s="18" t="n"/>
      <c r="D40" s="21">
        <f>IF(C40="","",IFERROR(INDEX('システム'!$B:$B,MATCH(C40,'システム'!$A:$A,0)),"システムが未登録"))</f>
        <v/>
      </c>
      <c r="E40" s="18" t="n"/>
      <c r="F40" s="21">
        <f>IF(E40="","",IFERROR(INDEX('選択肢'!$L$5:$L$14,MATCH(E40,'選択肢'!$K$5:$K$14,0)),"選択肢にない種類"))</f>
        <v/>
      </c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21">
        <f>IF(A40="","",IF(F40="直接業務","—",IF(J40&lt;&gt;"済","判定保留",IF(OR(O40="",K40="",L40="",M40="",K40="未確認",L40="未確認"),"判定保留",IF(AND(K40="はい",M40="無"),"入力エラー（GxP対象でSOP無）",IFERROR(INDEX('判定表'!$D:$D,MATCH("W|"&amp;O40&amp;"|"&amp;IF(OR(K40="はい",L40="はい",M40="無"),"あり","なし"),'判定表'!$A:$A,0)),"判定表にない組み合わせ"))))))</f>
        <v/>
      </c>
      <c r="Q40" s="21">
        <f>IF(A40="","",IF(C40="","対象外",IF(F40="直接業務","対象外",IF(OR(F40&lt;&gt;"間接業務",COUNTIF('システム'!$A$4:$A$200,C40)=0,U40="",V40="紐付けにない組み合わせ",V40="案件が未登録"),"判定保留","移管"))))</f>
        <v/>
      </c>
      <c r="R40" s="21">
        <f>IF(A40="","",IF(Q40&lt;&gt;"移管","—",IF(O40="","判定保留",IFERROR(INDEX('判定表'!$E:$E,MATCH("W|"&amp;O40&amp;"|なし",'判定表'!$A:$A,0)),"判定表にない回答"))))</f>
        <v/>
      </c>
      <c r="S40" s="33" t="n"/>
      <c r="T40" s="18" t="n"/>
      <c r="U40" s="18" t="n"/>
      <c r="V40" s="21">
        <f>IF(U40="","",IF(COUNTIFS('紐付け'!$A$4:$A$200,U40,'紐付け'!$C$4:$C$200,C40)=0,"紐付けにない組み合わせ",IFERROR(INDEX('予算一覧'!$B:$B,MATCH(U40,'予算一覧'!$A:$A,0)),"案件が未登録")))</f>
        <v/>
      </c>
      <c r="W40" s="33" t="n"/>
    </row>
    <row r="41">
      <c r="A41" s="18" t="n"/>
      <c r="B41" s="18" t="n"/>
      <c r="C41" s="18" t="n"/>
      <c r="D41" s="21">
        <f>IF(C41="","",IFERROR(INDEX('システム'!$B:$B,MATCH(C41,'システム'!$A:$A,0)),"システムが未登録"))</f>
        <v/>
      </c>
      <c r="E41" s="18" t="n"/>
      <c r="F41" s="21">
        <f>IF(E41="","",IFERROR(INDEX('選択肢'!$L$5:$L$14,MATCH(E41,'選択肢'!$K$5:$K$14,0)),"選択肢にない種類"))</f>
        <v/>
      </c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21">
        <f>IF(A41="","",IF(F41="直接業務","—",IF(J41&lt;&gt;"済","判定保留",IF(OR(O41="",K41="",L41="",M41="",K41="未確認",L41="未確認"),"判定保留",IF(AND(K41="はい",M41="無"),"入力エラー（GxP対象でSOP無）",IFERROR(INDEX('判定表'!$D:$D,MATCH("W|"&amp;O41&amp;"|"&amp;IF(OR(K41="はい",L41="はい",M41="無"),"あり","なし"),'判定表'!$A:$A,0)),"判定表にない組み合わせ"))))))</f>
        <v/>
      </c>
      <c r="Q41" s="21">
        <f>IF(A41="","",IF(C41="","対象外",IF(F41="直接業務","対象外",IF(OR(F41&lt;&gt;"間接業務",COUNTIF('システム'!$A$4:$A$200,C41)=0,U41="",V41="紐付けにない組み合わせ",V41="案件が未登録"),"判定保留","移管"))))</f>
        <v/>
      </c>
      <c r="R41" s="21">
        <f>IF(A41="","",IF(Q41&lt;&gt;"移管","—",IF(O41="","判定保留",IFERROR(INDEX('判定表'!$E:$E,MATCH("W|"&amp;O41&amp;"|なし",'判定表'!$A:$A,0)),"判定表にない回答"))))</f>
        <v/>
      </c>
      <c r="S41" s="33" t="n"/>
      <c r="T41" s="18" t="n"/>
      <c r="U41" s="18" t="n"/>
      <c r="V41" s="21">
        <f>IF(U41="","",IF(COUNTIFS('紐付け'!$A$4:$A$200,U41,'紐付け'!$C$4:$C$200,C41)=0,"紐付けにない組み合わせ",IFERROR(INDEX('予算一覧'!$B:$B,MATCH(U41,'予算一覧'!$A:$A,0)),"案件が未登録")))</f>
        <v/>
      </c>
      <c r="W41" s="33" t="n"/>
    </row>
    <row r="42">
      <c r="A42" s="18" t="n"/>
      <c r="B42" s="18" t="n"/>
      <c r="C42" s="18" t="n"/>
      <c r="D42" s="21">
        <f>IF(C42="","",IFERROR(INDEX('システム'!$B:$B,MATCH(C42,'システム'!$A:$A,0)),"システムが未登録"))</f>
        <v/>
      </c>
      <c r="E42" s="18" t="n"/>
      <c r="F42" s="21">
        <f>IF(E42="","",IFERROR(INDEX('選択肢'!$L$5:$L$14,MATCH(E42,'選択肢'!$K$5:$K$14,0)),"選択肢にない種類"))</f>
        <v/>
      </c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21">
        <f>IF(A42="","",IF(F42="直接業務","—",IF(J42&lt;&gt;"済","判定保留",IF(OR(O42="",K42="",L42="",M42="",K42="未確認",L42="未確認"),"判定保留",IF(AND(K42="はい",M42="無"),"入力エラー（GxP対象でSOP無）",IFERROR(INDEX('判定表'!$D:$D,MATCH("W|"&amp;O42&amp;"|"&amp;IF(OR(K42="はい",L42="はい",M42="無"),"あり","なし"),'判定表'!$A:$A,0)),"判定表にない組み合わせ"))))))</f>
        <v/>
      </c>
      <c r="Q42" s="21">
        <f>IF(A42="","",IF(C42="","対象外",IF(F42="直接業務","対象外",IF(OR(F42&lt;&gt;"間接業務",COUNTIF('システム'!$A$4:$A$200,C42)=0,U42="",V42="紐付けにない組み合わせ",V42="案件が未登録"),"判定保留","移管"))))</f>
        <v/>
      </c>
      <c r="R42" s="21">
        <f>IF(A42="","",IF(Q42&lt;&gt;"移管","—",IF(O42="","判定保留",IFERROR(INDEX('判定表'!$E:$E,MATCH("W|"&amp;O42&amp;"|なし",'判定表'!$A:$A,0)),"判定表にない回答"))))</f>
        <v/>
      </c>
      <c r="S42" s="33" t="n"/>
      <c r="T42" s="18" t="n"/>
      <c r="U42" s="18" t="n"/>
      <c r="V42" s="21">
        <f>IF(U42="","",IF(COUNTIFS('紐付け'!$A$4:$A$200,U42,'紐付け'!$C$4:$C$200,C42)=0,"紐付けにない組み合わせ",IFERROR(INDEX('予算一覧'!$B:$B,MATCH(U42,'予算一覧'!$A:$A,0)),"案件が未登録")))</f>
        <v/>
      </c>
      <c r="W42" s="33" t="n"/>
    </row>
    <row r="43">
      <c r="A43" s="18" t="n"/>
      <c r="B43" s="18" t="n"/>
      <c r="C43" s="18" t="n"/>
      <c r="D43" s="21">
        <f>IF(C43="","",IFERROR(INDEX('システム'!$B:$B,MATCH(C43,'システム'!$A:$A,0)),"システムが未登録"))</f>
        <v/>
      </c>
      <c r="E43" s="18" t="n"/>
      <c r="F43" s="21">
        <f>IF(E43="","",IFERROR(INDEX('選択肢'!$L$5:$L$14,MATCH(E43,'選択肢'!$K$5:$K$14,0)),"選択肢にない種類"))</f>
        <v/>
      </c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21">
        <f>IF(A43="","",IF(F43="直接業務","—",IF(J43&lt;&gt;"済","判定保留",IF(OR(O43="",K43="",L43="",M43="",K43="未確認",L43="未確認"),"判定保留",IF(AND(K43="はい",M43="無"),"入力エラー（GxP対象でSOP無）",IFERROR(INDEX('判定表'!$D:$D,MATCH("W|"&amp;O43&amp;"|"&amp;IF(OR(K43="はい",L43="はい",M43="無"),"あり","なし"),'判定表'!$A:$A,0)),"判定表にない組み合わせ"))))))</f>
        <v/>
      </c>
      <c r="Q43" s="21">
        <f>IF(A43="","",IF(C43="","対象外",IF(F43="直接業務","対象外",IF(OR(F43&lt;&gt;"間接業務",COUNTIF('システム'!$A$4:$A$200,C43)=0,U43="",V43="紐付けにない組み合わせ",V43="案件が未登録"),"判定保留","移管"))))</f>
        <v/>
      </c>
      <c r="R43" s="21">
        <f>IF(A43="","",IF(Q43&lt;&gt;"移管","—",IF(O43="","判定保留",IFERROR(INDEX('判定表'!$E:$E,MATCH("W|"&amp;O43&amp;"|なし",'判定表'!$A:$A,0)),"判定表にない回答"))))</f>
        <v/>
      </c>
      <c r="S43" s="33" t="n"/>
      <c r="T43" s="18" t="n"/>
      <c r="U43" s="18" t="n"/>
      <c r="V43" s="21">
        <f>IF(U43="","",IF(COUNTIFS('紐付け'!$A$4:$A$200,U43,'紐付け'!$C$4:$C$200,C43)=0,"紐付けにない組み合わせ",IFERROR(INDEX('予算一覧'!$B:$B,MATCH(U43,'予算一覧'!$A:$A,0)),"案件が未登録")))</f>
        <v/>
      </c>
      <c r="W43" s="33" t="n"/>
    </row>
    <row r="44">
      <c r="A44" s="18" t="n"/>
      <c r="B44" s="18" t="n"/>
      <c r="C44" s="18" t="n"/>
      <c r="D44" s="21">
        <f>IF(C44="","",IFERROR(INDEX('システム'!$B:$B,MATCH(C44,'システム'!$A:$A,0)),"システムが未登録"))</f>
        <v/>
      </c>
      <c r="E44" s="18" t="n"/>
      <c r="F44" s="21">
        <f>IF(E44="","",IFERROR(INDEX('選択肢'!$L$5:$L$14,MATCH(E44,'選択肢'!$K$5:$K$14,0)),"選択肢にない種類"))</f>
        <v/>
      </c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21">
        <f>IF(A44="","",IF(F44="直接業務","—",IF(J44&lt;&gt;"済","判定保留",IF(OR(O44="",K44="",L44="",M44="",K44="未確認",L44="未確認"),"判定保留",IF(AND(K44="はい",M44="無"),"入力エラー（GxP対象でSOP無）",IFERROR(INDEX('判定表'!$D:$D,MATCH("W|"&amp;O44&amp;"|"&amp;IF(OR(K44="はい",L44="はい",M44="無"),"あり","なし"),'判定表'!$A:$A,0)),"判定表にない組み合わせ"))))))</f>
        <v/>
      </c>
      <c r="Q44" s="21">
        <f>IF(A44="","",IF(C44="","対象外",IF(F44="直接業務","対象外",IF(OR(F44&lt;&gt;"間接業務",COUNTIF('システム'!$A$4:$A$200,C44)=0,U44="",V44="紐付けにない組み合わせ",V44="案件が未登録"),"判定保留","移管"))))</f>
        <v/>
      </c>
      <c r="R44" s="21">
        <f>IF(A44="","",IF(Q44&lt;&gt;"移管","—",IF(O44="","判定保留",IFERROR(INDEX('判定表'!$E:$E,MATCH("W|"&amp;O44&amp;"|なし",'判定表'!$A:$A,0)),"判定表にない回答"))))</f>
        <v/>
      </c>
      <c r="S44" s="33" t="n"/>
      <c r="T44" s="18" t="n"/>
      <c r="U44" s="18" t="n"/>
      <c r="V44" s="21">
        <f>IF(U44="","",IF(COUNTIFS('紐付け'!$A$4:$A$200,U44,'紐付け'!$C$4:$C$200,C44)=0,"紐付けにない組み合わせ",IFERROR(INDEX('予算一覧'!$B:$B,MATCH(U44,'予算一覧'!$A:$A,0)),"案件が未登録")))</f>
        <v/>
      </c>
      <c r="W44" s="33" t="n"/>
    </row>
    <row r="45">
      <c r="A45" s="18" t="n"/>
      <c r="B45" s="18" t="n"/>
      <c r="C45" s="18" t="n"/>
      <c r="D45" s="21">
        <f>IF(C45="","",IFERROR(INDEX('システム'!$B:$B,MATCH(C45,'システム'!$A:$A,0)),"システムが未登録"))</f>
        <v/>
      </c>
      <c r="E45" s="18" t="n"/>
      <c r="F45" s="21">
        <f>IF(E45="","",IFERROR(INDEX('選択肢'!$L$5:$L$14,MATCH(E45,'選択肢'!$K$5:$K$14,0)),"選択肢にない種類"))</f>
        <v/>
      </c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21">
        <f>IF(A45="","",IF(F45="直接業務","—",IF(J45&lt;&gt;"済","判定保留",IF(OR(O45="",K45="",L45="",M45="",K45="未確認",L45="未確認"),"判定保留",IF(AND(K45="はい",M45="無"),"入力エラー（GxP対象でSOP無）",IFERROR(INDEX('判定表'!$D:$D,MATCH("W|"&amp;O45&amp;"|"&amp;IF(OR(K45="はい",L45="はい",M45="無"),"あり","なし"),'判定表'!$A:$A,0)),"判定表にない組み合わせ"))))))</f>
        <v/>
      </c>
      <c r="Q45" s="21">
        <f>IF(A45="","",IF(C45="","対象外",IF(F45="直接業務","対象外",IF(OR(F45&lt;&gt;"間接業務",COUNTIF('システム'!$A$4:$A$200,C45)=0,U45="",V45="紐付けにない組み合わせ",V45="案件が未登録"),"判定保留","移管"))))</f>
        <v/>
      </c>
      <c r="R45" s="21">
        <f>IF(A45="","",IF(Q45&lt;&gt;"移管","—",IF(O45="","判定保留",IFERROR(INDEX('判定表'!$E:$E,MATCH("W|"&amp;O45&amp;"|なし",'判定表'!$A:$A,0)),"判定表にない回答"))))</f>
        <v/>
      </c>
      <c r="S45" s="33" t="n"/>
      <c r="T45" s="18" t="n"/>
      <c r="U45" s="18" t="n"/>
      <c r="V45" s="21">
        <f>IF(U45="","",IF(COUNTIFS('紐付け'!$A$4:$A$200,U45,'紐付け'!$C$4:$C$200,C45)=0,"紐付けにない組み合わせ",IFERROR(INDEX('予算一覧'!$B:$B,MATCH(U45,'予算一覧'!$A:$A,0)),"案件が未登録")))</f>
        <v/>
      </c>
      <c r="W45" s="33" t="n"/>
    </row>
    <row r="46">
      <c r="A46" s="18" t="n"/>
      <c r="B46" s="18" t="n"/>
      <c r="C46" s="18" t="n"/>
      <c r="D46" s="21">
        <f>IF(C46="","",IFERROR(INDEX('システム'!$B:$B,MATCH(C46,'システム'!$A:$A,0)),"システムが未登録"))</f>
        <v/>
      </c>
      <c r="E46" s="18" t="n"/>
      <c r="F46" s="21">
        <f>IF(E46="","",IFERROR(INDEX('選択肢'!$L$5:$L$14,MATCH(E46,'選択肢'!$K$5:$K$14,0)),"選択肢にない種類"))</f>
        <v/>
      </c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21">
        <f>IF(A46="","",IF(F46="直接業務","—",IF(J46&lt;&gt;"済","判定保留",IF(OR(O46="",K46="",L46="",M46="",K46="未確認",L46="未確認"),"判定保留",IF(AND(K46="はい",M46="無"),"入力エラー（GxP対象でSOP無）",IFERROR(INDEX('判定表'!$D:$D,MATCH("W|"&amp;O46&amp;"|"&amp;IF(OR(K46="はい",L46="はい",M46="無"),"あり","なし"),'判定表'!$A:$A,0)),"判定表にない組み合わせ"))))))</f>
        <v/>
      </c>
      <c r="Q46" s="21">
        <f>IF(A46="","",IF(C46="","対象外",IF(F46="直接業務","対象外",IF(OR(F46&lt;&gt;"間接業務",COUNTIF('システム'!$A$4:$A$200,C46)=0,U46="",V46="紐付けにない組み合わせ",V46="案件が未登録"),"判定保留","移管"))))</f>
        <v/>
      </c>
      <c r="R46" s="21">
        <f>IF(A46="","",IF(Q46&lt;&gt;"移管","—",IF(O46="","判定保留",IFERROR(INDEX('判定表'!$E:$E,MATCH("W|"&amp;O46&amp;"|なし",'判定表'!$A:$A,0)),"判定表にない回答"))))</f>
        <v/>
      </c>
      <c r="S46" s="33" t="n"/>
      <c r="T46" s="18" t="n"/>
      <c r="U46" s="18" t="n"/>
      <c r="V46" s="21">
        <f>IF(U46="","",IF(COUNTIFS('紐付け'!$A$4:$A$200,U46,'紐付け'!$C$4:$C$200,C46)=0,"紐付けにない組み合わせ",IFERROR(INDEX('予算一覧'!$B:$B,MATCH(U46,'予算一覧'!$A:$A,0)),"案件が未登録")))</f>
        <v/>
      </c>
      <c r="W46" s="33" t="n"/>
    </row>
    <row r="47">
      <c r="A47" s="18" t="n"/>
      <c r="B47" s="18" t="n"/>
      <c r="C47" s="18" t="n"/>
      <c r="D47" s="21">
        <f>IF(C47="","",IFERROR(INDEX('システム'!$B:$B,MATCH(C47,'システム'!$A:$A,0)),"システムが未登録"))</f>
        <v/>
      </c>
      <c r="E47" s="18" t="n"/>
      <c r="F47" s="21">
        <f>IF(E47="","",IFERROR(INDEX('選択肢'!$L$5:$L$14,MATCH(E47,'選択肢'!$K$5:$K$14,0)),"選択肢にない種類"))</f>
        <v/>
      </c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21">
        <f>IF(A47="","",IF(F47="直接業務","—",IF(J47&lt;&gt;"済","判定保留",IF(OR(O47="",K47="",L47="",M47="",K47="未確認",L47="未確認"),"判定保留",IF(AND(K47="はい",M47="無"),"入力エラー（GxP対象でSOP無）",IFERROR(INDEX('判定表'!$D:$D,MATCH("W|"&amp;O47&amp;"|"&amp;IF(OR(K47="はい",L47="はい",M47="無"),"あり","なし"),'判定表'!$A:$A,0)),"判定表にない組み合わせ"))))))</f>
        <v/>
      </c>
      <c r="Q47" s="21">
        <f>IF(A47="","",IF(C47="","対象外",IF(F47="直接業務","対象外",IF(OR(F47&lt;&gt;"間接業務",COUNTIF('システム'!$A$4:$A$200,C47)=0,U47="",V47="紐付けにない組み合わせ",V47="案件が未登録"),"判定保留","移管"))))</f>
        <v/>
      </c>
      <c r="R47" s="21">
        <f>IF(A47="","",IF(Q47&lt;&gt;"移管","—",IF(O47="","判定保留",IFERROR(INDEX('判定表'!$E:$E,MATCH("W|"&amp;O47&amp;"|なし",'判定表'!$A:$A,0)),"判定表にない回答"))))</f>
        <v/>
      </c>
      <c r="S47" s="33" t="n"/>
      <c r="T47" s="18" t="n"/>
      <c r="U47" s="18" t="n"/>
      <c r="V47" s="21">
        <f>IF(U47="","",IF(COUNTIFS('紐付け'!$A$4:$A$200,U47,'紐付け'!$C$4:$C$200,C47)=0,"紐付けにない組み合わせ",IFERROR(INDEX('予算一覧'!$B:$B,MATCH(U47,'予算一覧'!$A:$A,0)),"案件が未登録")))</f>
        <v/>
      </c>
      <c r="W47" s="33" t="n"/>
    </row>
    <row r="48">
      <c r="A48" s="18" t="n"/>
      <c r="B48" s="18" t="n"/>
      <c r="C48" s="18" t="n"/>
      <c r="D48" s="21">
        <f>IF(C48="","",IFERROR(INDEX('システム'!$B:$B,MATCH(C48,'システム'!$A:$A,0)),"システムが未登録"))</f>
        <v/>
      </c>
      <c r="E48" s="18" t="n"/>
      <c r="F48" s="21">
        <f>IF(E48="","",IFERROR(INDEX('選択肢'!$L$5:$L$14,MATCH(E48,'選択肢'!$K$5:$K$14,0)),"選択肢にない種類"))</f>
        <v/>
      </c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21">
        <f>IF(A48="","",IF(F48="直接業務","—",IF(J48&lt;&gt;"済","判定保留",IF(OR(O48="",K48="",L48="",M48="",K48="未確認",L48="未確認"),"判定保留",IF(AND(K48="はい",M48="無"),"入力エラー（GxP対象でSOP無）",IFERROR(INDEX('判定表'!$D:$D,MATCH("W|"&amp;O48&amp;"|"&amp;IF(OR(K48="はい",L48="はい",M48="無"),"あり","なし"),'判定表'!$A:$A,0)),"判定表にない組み合わせ"))))))</f>
        <v/>
      </c>
      <c r="Q48" s="21">
        <f>IF(A48="","",IF(C48="","対象外",IF(F48="直接業務","対象外",IF(OR(F48&lt;&gt;"間接業務",COUNTIF('システム'!$A$4:$A$200,C48)=0,U48="",V48="紐付けにない組み合わせ",V48="案件が未登録"),"判定保留","移管"))))</f>
        <v/>
      </c>
      <c r="R48" s="21">
        <f>IF(A48="","",IF(Q48&lt;&gt;"移管","—",IF(O48="","判定保留",IFERROR(INDEX('判定表'!$E:$E,MATCH("W|"&amp;O48&amp;"|なし",'判定表'!$A:$A,0)),"判定表にない回答"))))</f>
        <v/>
      </c>
      <c r="S48" s="33" t="n"/>
      <c r="T48" s="18" t="n"/>
      <c r="U48" s="18" t="n"/>
      <c r="V48" s="21">
        <f>IF(U48="","",IF(COUNTIFS('紐付け'!$A$4:$A$200,U48,'紐付け'!$C$4:$C$200,C48)=0,"紐付けにない組み合わせ",IFERROR(INDEX('予算一覧'!$B:$B,MATCH(U48,'予算一覧'!$A:$A,0)),"案件が未登録")))</f>
        <v/>
      </c>
      <c r="W48" s="33" t="n"/>
    </row>
    <row r="49">
      <c r="A49" s="18" t="n"/>
      <c r="B49" s="18" t="n"/>
      <c r="C49" s="18" t="n"/>
      <c r="D49" s="21">
        <f>IF(C49="","",IFERROR(INDEX('システム'!$B:$B,MATCH(C49,'システム'!$A:$A,0)),"システムが未登録"))</f>
        <v/>
      </c>
      <c r="E49" s="18" t="n"/>
      <c r="F49" s="21">
        <f>IF(E49="","",IFERROR(INDEX('選択肢'!$L$5:$L$14,MATCH(E49,'選択肢'!$K$5:$K$14,0)),"選択肢にない種類"))</f>
        <v/>
      </c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21">
        <f>IF(A49="","",IF(F49="直接業務","—",IF(J49&lt;&gt;"済","判定保留",IF(OR(O49="",K49="",L49="",M49="",K49="未確認",L49="未確認"),"判定保留",IF(AND(K49="はい",M49="無"),"入力エラー（GxP対象でSOP無）",IFERROR(INDEX('判定表'!$D:$D,MATCH("W|"&amp;O49&amp;"|"&amp;IF(OR(K49="はい",L49="はい",M49="無"),"あり","なし"),'判定表'!$A:$A,0)),"判定表にない組み合わせ"))))))</f>
        <v/>
      </c>
      <c r="Q49" s="21">
        <f>IF(A49="","",IF(C49="","対象外",IF(F49="直接業務","対象外",IF(OR(F49&lt;&gt;"間接業務",COUNTIF('システム'!$A$4:$A$200,C49)=0,U49="",V49="紐付けにない組み合わせ",V49="案件が未登録"),"判定保留","移管"))))</f>
        <v/>
      </c>
      <c r="R49" s="21">
        <f>IF(A49="","",IF(Q49&lt;&gt;"移管","—",IF(O49="","判定保留",IFERROR(INDEX('判定表'!$E:$E,MATCH("W|"&amp;O49&amp;"|なし",'判定表'!$A:$A,0)),"判定表にない回答"))))</f>
        <v/>
      </c>
      <c r="S49" s="33" t="n"/>
      <c r="T49" s="18" t="n"/>
      <c r="U49" s="18" t="n"/>
      <c r="V49" s="21">
        <f>IF(U49="","",IF(COUNTIFS('紐付け'!$A$4:$A$200,U49,'紐付け'!$C$4:$C$200,C49)=0,"紐付けにない組み合わせ",IFERROR(INDEX('予算一覧'!$B:$B,MATCH(U49,'予算一覧'!$A:$A,0)),"案件が未登録")))</f>
        <v/>
      </c>
      <c r="W49" s="33" t="n"/>
    </row>
    <row r="50">
      <c r="A50" s="18" t="n"/>
      <c r="B50" s="18" t="n"/>
      <c r="C50" s="18" t="n"/>
      <c r="D50" s="21">
        <f>IF(C50="","",IFERROR(INDEX('システム'!$B:$B,MATCH(C50,'システム'!$A:$A,0)),"システムが未登録"))</f>
        <v/>
      </c>
      <c r="E50" s="18" t="n"/>
      <c r="F50" s="21">
        <f>IF(E50="","",IFERROR(INDEX('選択肢'!$L$5:$L$14,MATCH(E50,'選択肢'!$K$5:$K$14,0)),"選択肢にない種類"))</f>
        <v/>
      </c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21">
        <f>IF(A50="","",IF(F50="直接業務","—",IF(J50&lt;&gt;"済","判定保留",IF(OR(O50="",K50="",L50="",M50="",K50="未確認",L50="未確認"),"判定保留",IF(AND(K50="はい",M50="無"),"入力エラー（GxP対象でSOP無）",IFERROR(INDEX('判定表'!$D:$D,MATCH("W|"&amp;O50&amp;"|"&amp;IF(OR(K50="はい",L50="はい",M50="無"),"あり","なし"),'判定表'!$A:$A,0)),"判定表にない組み合わせ"))))))</f>
        <v/>
      </c>
      <c r="Q50" s="21">
        <f>IF(A50="","",IF(C50="","対象外",IF(F50="直接業務","対象外",IF(OR(F50&lt;&gt;"間接業務",COUNTIF('システム'!$A$4:$A$200,C50)=0,U50="",V50="紐付けにない組み合わせ",V50="案件が未登録"),"判定保留","移管"))))</f>
        <v/>
      </c>
      <c r="R50" s="21">
        <f>IF(A50="","",IF(Q50&lt;&gt;"移管","—",IF(O50="","判定保留",IFERROR(INDEX('判定表'!$E:$E,MATCH("W|"&amp;O50&amp;"|なし",'判定表'!$A:$A,0)),"判定表にない回答"))))</f>
        <v/>
      </c>
      <c r="S50" s="33" t="n"/>
      <c r="T50" s="18" t="n"/>
      <c r="U50" s="18" t="n"/>
      <c r="V50" s="21">
        <f>IF(U50="","",IF(COUNTIFS('紐付け'!$A$4:$A$200,U50,'紐付け'!$C$4:$C$200,C50)=0,"紐付けにない組み合わせ",IFERROR(INDEX('予算一覧'!$B:$B,MATCH(U50,'予算一覧'!$A:$A,0)),"案件が未登録")))</f>
        <v/>
      </c>
      <c r="W50" s="33" t="n"/>
    </row>
    <row r="51">
      <c r="A51" s="18" t="n"/>
      <c r="B51" s="18" t="n"/>
      <c r="C51" s="18" t="n"/>
      <c r="D51" s="21">
        <f>IF(C51="","",IFERROR(INDEX('システム'!$B:$B,MATCH(C51,'システム'!$A:$A,0)),"システムが未登録"))</f>
        <v/>
      </c>
      <c r="E51" s="18" t="n"/>
      <c r="F51" s="21">
        <f>IF(E51="","",IFERROR(INDEX('選択肢'!$L$5:$L$14,MATCH(E51,'選択肢'!$K$5:$K$14,0)),"選択肢にない種類"))</f>
        <v/>
      </c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21">
        <f>IF(A51="","",IF(F51="直接業務","—",IF(J51&lt;&gt;"済","判定保留",IF(OR(O51="",K51="",L51="",M51="",K51="未確認",L51="未確認"),"判定保留",IF(AND(K51="はい",M51="無"),"入力エラー（GxP対象でSOP無）",IFERROR(INDEX('判定表'!$D:$D,MATCH("W|"&amp;O51&amp;"|"&amp;IF(OR(K51="はい",L51="はい",M51="無"),"あり","なし"),'判定表'!$A:$A,0)),"判定表にない組み合わせ"))))))</f>
        <v/>
      </c>
      <c r="Q51" s="21">
        <f>IF(A51="","",IF(C51="","対象外",IF(F51="直接業務","対象外",IF(OR(F51&lt;&gt;"間接業務",COUNTIF('システム'!$A$4:$A$200,C51)=0,U51="",V51="紐付けにない組み合わせ",V51="案件が未登録"),"判定保留","移管"))))</f>
        <v/>
      </c>
      <c r="R51" s="21">
        <f>IF(A51="","",IF(Q51&lt;&gt;"移管","—",IF(O51="","判定保留",IFERROR(INDEX('判定表'!$E:$E,MATCH("W|"&amp;O51&amp;"|なし",'判定表'!$A:$A,0)),"判定表にない回答"))))</f>
        <v/>
      </c>
      <c r="S51" s="33" t="n"/>
      <c r="T51" s="18" t="n"/>
      <c r="U51" s="18" t="n"/>
      <c r="V51" s="21">
        <f>IF(U51="","",IF(COUNTIFS('紐付け'!$A$4:$A$200,U51,'紐付け'!$C$4:$C$200,C51)=0,"紐付けにない組み合わせ",IFERROR(INDEX('予算一覧'!$B:$B,MATCH(U51,'予算一覧'!$A:$A,0)),"案件が未登録")))</f>
        <v/>
      </c>
      <c r="W51" s="33" t="n"/>
    </row>
    <row r="52">
      <c r="A52" s="18" t="n"/>
      <c r="B52" s="18" t="n"/>
      <c r="C52" s="18" t="n"/>
      <c r="D52" s="21">
        <f>IF(C52="","",IFERROR(INDEX('システム'!$B:$B,MATCH(C52,'システム'!$A:$A,0)),"システムが未登録"))</f>
        <v/>
      </c>
      <c r="E52" s="18" t="n"/>
      <c r="F52" s="21">
        <f>IF(E52="","",IFERROR(INDEX('選択肢'!$L$5:$L$14,MATCH(E52,'選択肢'!$K$5:$K$14,0)),"選択肢にない種類"))</f>
        <v/>
      </c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21">
        <f>IF(A52="","",IF(F52="直接業務","—",IF(J52&lt;&gt;"済","判定保留",IF(OR(O52="",K52="",L52="",M52="",K52="未確認",L52="未確認"),"判定保留",IF(AND(K52="はい",M52="無"),"入力エラー（GxP対象でSOP無）",IFERROR(INDEX('判定表'!$D:$D,MATCH("W|"&amp;O52&amp;"|"&amp;IF(OR(K52="はい",L52="はい",M52="無"),"あり","なし"),'判定表'!$A:$A,0)),"判定表にない組み合わせ"))))))</f>
        <v/>
      </c>
      <c r="Q52" s="21">
        <f>IF(A52="","",IF(C52="","対象外",IF(F52="直接業務","対象外",IF(OR(F52&lt;&gt;"間接業務",COUNTIF('システム'!$A$4:$A$200,C52)=0,U52="",V52="紐付けにない組み合わせ",V52="案件が未登録"),"判定保留","移管"))))</f>
        <v/>
      </c>
      <c r="R52" s="21">
        <f>IF(A52="","",IF(Q52&lt;&gt;"移管","—",IF(O52="","判定保留",IFERROR(INDEX('判定表'!$E:$E,MATCH("W|"&amp;O52&amp;"|なし",'判定表'!$A:$A,0)),"判定表にない回答"))))</f>
        <v/>
      </c>
      <c r="S52" s="33" t="n"/>
      <c r="T52" s="18" t="n"/>
      <c r="U52" s="18" t="n"/>
      <c r="V52" s="21">
        <f>IF(U52="","",IF(COUNTIFS('紐付け'!$A$4:$A$200,U52,'紐付け'!$C$4:$C$200,C52)=0,"紐付けにない組み合わせ",IFERROR(INDEX('予算一覧'!$B:$B,MATCH(U52,'予算一覧'!$A:$A,0)),"案件が未登録")))</f>
        <v/>
      </c>
      <c r="W52" s="33" t="n"/>
    </row>
    <row r="53">
      <c r="A53" s="18" t="n"/>
      <c r="B53" s="18" t="n"/>
      <c r="C53" s="18" t="n"/>
      <c r="D53" s="21">
        <f>IF(C53="","",IFERROR(INDEX('システム'!$B:$B,MATCH(C53,'システム'!$A:$A,0)),"システムが未登録"))</f>
        <v/>
      </c>
      <c r="E53" s="18" t="n"/>
      <c r="F53" s="21">
        <f>IF(E53="","",IFERROR(INDEX('選択肢'!$L$5:$L$14,MATCH(E53,'選択肢'!$K$5:$K$14,0)),"選択肢にない種類"))</f>
        <v/>
      </c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21">
        <f>IF(A53="","",IF(F53="直接業務","—",IF(J53&lt;&gt;"済","判定保留",IF(OR(O53="",K53="",L53="",M53="",K53="未確認",L53="未確認"),"判定保留",IF(AND(K53="はい",M53="無"),"入力エラー（GxP対象でSOP無）",IFERROR(INDEX('判定表'!$D:$D,MATCH("W|"&amp;O53&amp;"|"&amp;IF(OR(K53="はい",L53="はい",M53="無"),"あり","なし"),'判定表'!$A:$A,0)),"判定表にない組み合わせ"))))))</f>
        <v/>
      </c>
      <c r="Q53" s="21">
        <f>IF(A53="","",IF(C53="","対象外",IF(F53="直接業務","対象外",IF(OR(F53&lt;&gt;"間接業務",COUNTIF('システム'!$A$4:$A$200,C53)=0,U53="",V53="紐付けにない組み合わせ",V53="案件が未登録"),"判定保留","移管"))))</f>
        <v/>
      </c>
      <c r="R53" s="21">
        <f>IF(A53="","",IF(Q53&lt;&gt;"移管","—",IF(O53="","判定保留",IFERROR(INDEX('判定表'!$E:$E,MATCH("W|"&amp;O53&amp;"|なし",'判定表'!$A:$A,0)),"判定表にない回答"))))</f>
        <v/>
      </c>
      <c r="S53" s="33" t="n"/>
      <c r="T53" s="18" t="n"/>
      <c r="U53" s="18" t="n"/>
      <c r="V53" s="21">
        <f>IF(U53="","",IF(COUNTIFS('紐付け'!$A$4:$A$200,U53,'紐付け'!$C$4:$C$200,C53)=0,"紐付けにない組み合わせ",IFERROR(INDEX('予算一覧'!$B:$B,MATCH(U53,'予算一覧'!$A:$A,0)),"案件が未登録")))</f>
        <v/>
      </c>
      <c r="W53" s="33" t="n"/>
    </row>
    <row r="54">
      <c r="A54" s="18" t="n"/>
      <c r="B54" s="18" t="n"/>
      <c r="C54" s="18" t="n"/>
      <c r="D54" s="21">
        <f>IF(C54="","",IFERROR(INDEX('システム'!$B:$B,MATCH(C54,'システム'!$A:$A,0)),"システムが未登録"))</f>
        <v/>
      </c>
      <c r="E54" s="18" t="n"/>
      <c r="F54" s="21">
        <f>IF(E54="","",IFERROR(INDEX('選択肢'!$L$5:$L$14,MATCH(E54,'選択肢'!$K$5:$K$14,0)),"選択肢にない種類"))</f>
        <v/>
      </c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21">
        <f>IF(A54="","",IF(F54="直接業務","—",IF(J54&lt;&gt;"済","判定保留",IF(OR(O54="",K54="",L54="",M54="",K54="未確認",L54="未確認"),"判定保留",IF(AND(K54="はい",M54="無"),"入力エラー（GxP対象でSOP無）",IFERROR(INDEX('判定表'!$D:$D,MATCH("W|"&amp;O54&amp;"|"&amp;IF(OR(K54="はい",L54="はい",M54="無"),"あり","なし"),'判定表'!$A:$A,0)),"判定表にない組み合わせ"))))))</f>
        <v/>
      </c>
      <c r="Q54" s="21">
        <f>IF(A54="","",IF(C54="","対象外",IF(F54="直接業務","対象外",IF(OR(F54&lt;&gt;"間接業務",COUNTIF('システム'!$A$4:$A$200,C54)=0,U54="",V54="紐付けにない組み合わせ",V54="案件が未登録"),"判定保留","移管"))))</f>
        <v/>
      </c>
      <c r="R54" s="21">
        <f>IF(A54="","",IF(Q54&lt;&gt;"移管","—",IF(O54="","判定保留",IFERROR(INDEX('判定表'!$E:$E,MATCH("W|"&amp;O54&amp;"|なし",'判定表'!$A:$A,0)),"判定表にない回答"))))</f>
        <v/>
      </c>
      <c r="S54" s="33" t="n"/>
      <c r="T54" s="18" t="n"/>
      <c r="U54" s="18" t="n"/>
      <c r="V54" s="21">
        <f>IF(U54="","",IF(COUNTIFS('紐付け'!$A$4:$A$200,U54,'紐付け'!$C$4:$C$200,C54)=0,"紐付けにない組み合わせ",IFERROR(INDEX('予算一覧'!$B:$B,MATCH(U54,'予算一覧'!$A:$A,0)),"案件が未登録")))</f>
        <v/>
      </c>
      <c r="W54" s="33" t="n"/>
    </row>
    <row r="55">
      <c r="A55" s="18" t="n"/>
      <c r="B55" s="18" t="n"/>
      <c r="C55" s="18" t="n"/>
      <c r="D55" s="21">
        <f>IF(C55="","",IFERROR(INDEX('システム'!$B:$B,MATCH(C55,'システム'!$A:$A,0)),"システムが未登録"))</f>
        <v/>
      </c>
      <c r="E55" s="18" t="n"/>
      <c r="F55" s="21">
        <f>IF(E55="","",IFERROR(INDEX('選択肢'!$L$5:$L$14,MATCH(E55,'選択肢'!$K$5:$K$14,0)),"選択肢にない種類"))</f>
        <v/>
      </c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21">
        <f>IF(A55="","",IF(F55="直接業務","—",IF(J55&lt;&gt;"済","判定保留",IF(OR(O55="",K55="",L55="",M55="",K55="未確認",L55="未確認"),"判定保留",IF(AND(K55="はい",M55="無"),"入力エラー（GxP対象でSOP無）",IFERROR(INDEX('判定表'!$D:$D,MATCH("W|"&amp;O55&amp;"|"&amp;IF(OR(K55="はい",L55="はい",M55="無"),"あり","なし"),'判定表'!$A:$A,0)),"判定表にない組み合わせ"))))))</f>
        <v/>
      </c>
      <c r="Q55" s="21">
        <f>IF(A55="","",IF(C55="","対象外",IF(F55="直接業務","対象外",IF(OR(F55&lt;&gt;"間接業務",COUNTIF('システム'!$A$4:$A$200,C55)=0,U55="",V55="紐付けにない組み合わせ",V55="案件が未登録"),"判定保留","移管"))))</f>
        <v/>
      </c>
      <c r="R55" s="21">
        <f>IF(A55="","",IF(Q55&lt;&gt;"移管","—",IF(O55="","判定保留",IFERROR(INDEX('判定表'!$E:$E,MATCH("W|"&amp;O55&amp;"|なし",'判定表'!$A:$A,0)),"判定表にない回答"))))</f>
        <v/>
      </c>
      <c r="S55" s="33" t="n"/>
      <c r="T55" s="18" t="n"/>
      <c r="U55" s="18" t="n"/>
      <c r="V55" s="21">
        <f>IF(U55="","",IF(COUNTIFS('紐付け'!$A$4:$A$200,U55,'紐付け'!$C$4:$C$200,C55)=0,"紐付けにない組み合わせ",IFERROR(INDEX('予算一覧'!$B:$B,MATCH(U55,'予算一覧'!$A:$A,0)),"案件が未登録")))</f>
        <v/>
      </c>
      <c r="W55" s="33" t="n"/>
    </row>
    <row r="56">
      <c r="A56" s="18" t="n"/>
      <c r="B56" s="18" t="n"/>
      <c r="C56" s="18" t="n"/>
      <c r="D56" s="21">
        <f>IF(C56="","",IFERROR(INDEX('システム'!$B:$B,MATCH(C56,'システム'!$A:$A,0)),"システムが未登録"))</f>
        <v/>
      </c>
      <c r="E56" s="18" t="n"/>
      <c r="F56" s="21">
        <f>IF(E56="","",IFERROR(INDEX('選択肢'!$L$5:$L$14,MATCH(E56,'選択肢'!$K$5:$K$14,0)),"選択肢にない種類"))</f>
        <v/>
      </c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21">
        <f>IF(A56="","",IF(F56="直接業務","—",IF(J56&lt;&gt;"済","判定保留",IF(OR(O56="",K56="",L56="",M56="",K56="未確認",L56="未確認"),"判定保留",IF(AND(K56="はい",M56="無"),"入力エラー（GxP対象でSOP無）",IFERROR(INDEX('判定表'!$D:$D,MATCH("W|"&amp;O56&amp;"|"&amp;IF(OR(K56="はい",L56="はい",M56="無"),"あり","なし"),'判定表'!$A:$A,0)),"判定表にない組み合わせ"))))))</f>
        <v/>
      </c>
      <c r="Q56" s="21">
        <f>IF(A56="","",IF(C56="","対象外",IF(F56="直接業務","対象外",IF(OR(F56&lt;&gt;"間接業務",COUNTIF('システム'!$A$4:$A$200,C56)=0,U56="",V56="紐付けにない組み合わせ",V56="案件が未登録"),"判定保留","移管"))))</f>
        <v/>
      </c>
      <c r="R56" s="21">
        <f>IF(A56="","",IF(Q56&lt;&gt;"移管","—",IF(O56="","判定保留",IFERROR(INDEX('判定表'!$E:$E,MATCH("W|"&amp;O56&amp;"|なし",'判定表'!$A:$A,0)),"判定表にない回答"))))</f>
        <v/>
      </c>
      <c r="S56" s="33" t="n"/>
      <c r="T56" s="18" t="n"/>
      <c r="U56" s="18" t="n"/>
      <c r="V56" s="21">
        <f>IF(U56="","",IF(COUNTIFS('紐付け'!$A$4:$A$200,U56,'紐付け'!$C$4:$C$200,C56)=0,"紐付けにない組み合わせ",IFERROR(INDEX('予算一覧'!$B:$B,MATCH(U56,'予算一覧'!$A:$A,0)),"案件が未登録")))</f>
        <v/>
      </c>
      <c r="W56" s="33" t="n"/>
    </row>
    <row r="57">
      <c r="A57" s="18" t="n"/>
      <c r="B57" s="18" t="n"/>
      <c r="C57" s="18" t="n"/>
      <c r="D57" s="21">
        <f>IF(C57="","",IFERROR(INDEX('システム'!$B:$B,MATCH(C57,'システム'!$A:$A,0)),"システムが未登録"))</f>
        <v/>
      </c>
      <c r="E57" s="18" t="n"/>
      <c r="F57" s="21">
        <f>IF(E57="","",IFERROR(INDEX('選択肢'!$L$5:$L$14,MATCH(E57,'選択肢'!$K$5:$K$14,0)),"選択肢にない種類"))</f>
        <v/>
      </c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21">
        <f>IF(A57="","",IF(F57="直接業務","—",IF(J57&lt;&gt;"済","判定保留",IF(OR(O57="",K57="",L57="",M57="",K57="未確認",L57="未確認"),"判定保留",IF(AND(K57="はい",M57="無"),"入力エラー（GxP対象でSOP無）",IFERROR(INDEX('判定表'!$D:$D,MATCH("W|"&amp;O57&amp;"|"&amp;IF(OR(K57="はい",L57="はい",M57="無"),"あり","なし"),'判定表'!$A:$A,0)),"判定表にない組み合わせ"))))))</f>
        <v/>
      </c>
      <c r="Q57" s="21">
        <f>IF(A57="","",IF(C57="","対象外",IF(F57="直接業務","対象外",IF(OR(F57&lt;&gt;"間接業務",COUNTIF('システム'!$A$4:$A$200,C57)=0,U57="",V57="紐付けにない組み合わせ",V57="案件が未登録"),"判定保留","移管"))))</f>
        <v/>
      </c>
      <c r="R57" s="21">
        <f>IF(A57="","",IF(Q57&lt;&gt;"移管","—",IF(O57="","判定保留",IFERROR(INDEX('判定表'!$E:$E,MATCH("W|"&amp;O57&amp;"|なし",'判定表'!$A:$A,0)),"判定表にない回答"))))</f>
        <v/>
      </c>
      <c r="S57" s="33" t="n"/>
      <c r="T57" s="18" t="n"/>
      <c r="U57" s="18" t="n"/>
      <c r="V57" s="21">
        <f>IF(U57="","",IF(COUNTIFS('紐付け'!$A$4:$A$200,U57,'紐付け'!$C$4:$C$200,C57)=0,"紐付けにない組み合わせ",IFERROR(INDEX('予算一覧'!$B:$B,MATCH(U57,'予算一覧'!$A:$A,0)),"案件が未登録")))</f>
        <v/>
      </c>
      <c r="W57" s="33" t="n"/>
    </row>
    <row r="58">
      <c r="A58" s="18" t="n"/>
      <c r="B58" s="18" t="n"/>
      <c r="C58" s="18" t="n"/>
      <c r="D58" s="21">
        <f>IF(C58="","",IFERROR(INDEX('システム'!$B:$B,MATCH(C58,'システム'!$A:$A,0)),"システムが未登録"))</f>
        <v/>
      </c>
      <c r="E58" s="18" t="n"/>
      <c r="F58" s="21">
        <f>IF(E58="","",IFERROR(INDEX('選択肢'!$L$5:$L$14,MATCH(E58,'選択肢'!$K$5:$K$14,0)),"選択肢にない種類"))</f>
        <v/>
      </c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21">
        <f>IF(A58="","",IF(F58="直接業務","—",IF(J58&lt;&gt;"済","判定保留",IF(OR(O58="",K58="",L58="",M58="",K58="未確認",L58="未確認"),"判定保留",IF(AND(K58="はい",M58="無"),"入力エラー（GxP対象でSOP無）",IFERROR(INDEX('判定表'!$D:$D,MATCH("W|"&amp;O58&amp;"|"&amp;IF(OR(K58="はい",L58="はい",M58="無"),"あり","なし"),'判定表'!$A:$A,0)),"判定表にない組み合わせ"))))))</f>
        <v/>
      </c>
      <c r="Q58" s="21">
        <f>IF(A58="","",IF(C58="","対象外",IF(F58="直接業務","対象外",IF(OR(F58&lt;&gt;"間接業務",COUNTIF('システム'!$A$4:$A$200,C58)=0,U58="",V58="紐付けにない組み合わせ",V58="案件が未登録"),"判定保留","移管"))))</f>
        <v/>
      </c>
      <c r="R58" s="21">
        <f>IF(A58="","",IF(Q58&lt;&gt;"移管","—",IF(O58="","判定保留",IFERROR(INDEX('判定表'!$E:$E,MATCH("W|"&amp;O58&amp;"|なし",'判定表'!$A:$A,0)),"判定表にない回答"))))</f>
        <v/>
      </c>
      <c r="S58" s="33" t="n"/>
      <c r="T58" s="18" t="n"/>
      <c r="U58" s="18" t="n"/>
      <c r="V58" s="21">
        <f>IF(U58="","",IF(COUNTIFS('紐付け'!$A$4:$A$200,U58,'紐付け'!$C$4:$C$200,C58)=0,"紐付けにない組み合わせ",IFERROR(INDEX('予算一覧'!$B:$B,MATCH(U58,'予算一覧'!$A:$A,0)),"案件が未登録")))</f>
        <v/>
      </c>
      <c r="W58" s="33" t="n"/>
    </row>
    <row r="59">
      <c r="A59" s="18" t="n"/>
      <c r="B59" s="18" t="n"/>
      <c r="C59" s="18" t="n"/>
      <c r="D59" s="21">
        <f>IF(C59="","",IFERROR(INDEX('システム'!$B:$B,MATCH(C59,'システム'!$A:$A,0)),"システムが未登録"))</f>
        <v/>
      </c>
      <c r="E59" s="18" t="n"/>
      <c r="F59" s="21">
        <f>IF(E59="","",IFERROR(INDEX('選択肢'!$L$5:$L$14,MATCH(E59,'選択肢'!$K$5:$K$14,0)),"選択肢にない種類"))</f>
        <v/>
      </c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21">
        <f>IF(A59="","",IF(F59="直接業務","—",IF(J59&lt;&gt;"済","判定保留",IF(OR(O59="",K59="",L59="",M59="",K59="未確認",L59="未確認"),"判定保留",IF(AND(K59="はい",M59="無"),"入力エラー（GxP対象でSOP無）",IFERROR(INDEX('判定表'!$D:$D,MATCH("W|"&amp;O59&amp;"|"&amp;IF(OR(K59="はい",L59="はい",M59="無"),"あり","なし"),'判定表'!$A:$A,0)),"判定表にない組み合わせ"))))))</f>
        <v/>
      </c>
      <c r="Q59" s="21">
        <f>IF(A59="","",IF(C59="","対象外",IF(F59="直接業務","対象外",IF(OR(F59&lt;&gt;"間接業務",COUNTIF('システム'!$A$4:$A$200,C59)=0,U59="",V59="紐付けにない組み合わせ",V59="案件が未登録"),"判定保留","移管"))))</f>
        <v/>
      </c>
      <c r="R59" s="21">
        <f>IF(A59="","",IF(Q59&lt;&gt;"移管","—",IF(O59="","判定保留",IFERROR(INDEX('判定表'!$E:$E,MATCH("W|"&amp;O59&amp;"|なし",'判定表'!$A:$A,0)),"判定表にない回答"))))</f>
        <v/>
      </c>
      <c r="S59" s="33" t="n"/>
      <c r="T59" s="18" t="n"/>
      <c r="U59" s="18" t="n"/>
      <c r="V59" s="21">
        <f>IF(U59="","",IF(COUNTIFS('紐付け'!$A$4:$A$200,U59,'紐付け'!$C$4:$C$200,C59)=0,"紐付けにない組み合わせ",IFERROR(INDEX('予算一覧'!$B:$B,MATCH(U59,'予算一覧'!$A:$A,0)),"案件が未登録")))</f>
        <v/>
      </c>
      <c r="W59" s="33" t="n"/>
    </row>
    <row r="60">
      <c r="A60" s="18" t="n"/>
      <c r="B60" s="18" t="n"/>
      <c r="C60" s="18" t="n"/>
      <c r="D60" s="21">
        <f>IF(C60="","",IFERROR(INDEX('システム'!$B:$B,MATCH(C60,'システム'!$A:$A,0)),"システムが未登録"))</f>
        <v/>
      </c>
      <c r="E60" s="18" t="n"/>
      <c r="F60" s="21">
        <f>IF(E60="","",IFERROR(INDEX('選択肢'!$L$5:$L$14,MATCH(E60,'選択肢'!$K$5:$K$14,0)),"選択肢にない種類"))</f>
        <v/>
      </c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21">
        <f>IF(A60="","",IF(F60="直接業務","—",IF(J60&lt;&gt;"済","判定保留",IF(OR(O60="",K60="",L60="",M60="",K60="未確認",L60="未確認"),"判定保留",IF(AND(K60="はい",M60="無"),"入力エラー（GxP対象でSOP無）",IFERROR(INDEX('判定表'!$D:$D,MATCH("W|"&amp;O60&amp;"|"&amp;IF(OR(K60="はい",L60="はい",M60="無"),"あり","なし"),'判定表'!$A:$A,0)),"判定表にない組み合わせ"))))))</f>
        <v/>
      </c>
      <c r="Q60" s="21">
        <f>IF(A60="","",IF(C60="","対象外",IF(F60="直接業務","対象外",IF(OR(F60&lt;&gt;"間接業務",COUNTIF('システム'!$A$4:$A$200,C60)=0,U60="",V60="紐付けにない組み合わせ",V60="案件が未登録"),"判定保留","移管"))))</f>
        <v/>
      </c>
      <c r="R60" s="21">
        <f>IF(A60="","",IF(Q60&lt;&gt;"移管","—",IF(O60="","判定保留",IFERROR(INDEX('判定表'!$E:$E,MATCH("W|"&amp;O60&amp;"|なし",'判定表'!$A:$A,0)),"判定表にない回答"))))</f>
        <v/>
      </c>
      <c r="S60" s="33" t="n"/>
      <c r="T60" s="18" t="n"/>
      <c r="U60" s="18" t="n"/>
      <c r="V60" s="21">
        <f>IF(U60="","",IF(COUNTIFS('紐付け'!$A$4:$A$200,U60,'紐付け'!$C$4:$C$200,C60)=0,"紐付けにない組み合わせ",IFERROR(INDEX('予算一覧'!$B:$B,MATCH(U60,'予算一覧'!$A:$A,0)),"案件が未登録")))</f>
        <v/>
      </c>
      <c r="W60" s="33" t="n"/>
    </row>
    <row r="61">
      <c r="A61" s="18" t="n"/>
      <c r="B61" s="18" t="n"/>
      <c r="C61" s="18" t="n"/>
      <c r="D61" s="21">
        <f>IF(C61="","",IFERROR(INDEX('システム'!$B:$B,MATCH(C61,'システム'!$A:$A,0)),"システムが未登録"))</f>
        <v/>
      </c>
      <c r="E61" s="18" t="n"/>
      <c r="F61" s="21">
        <f>IF(E61="","",IFERROR(INDEX('選択肢'!$L$5:$L$14,MATCH(E61,'選択肢'!$K$5:$K$14,0)),"選択肢にない種類"))</f>
        <v/>
      </c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21">
        <f>IF(A61="","",IF(F61="直接業務","—",IF(J61&lt;&gt;"済","判定保留",IF(OR(O61="",K61="",L61="",M61="",K61="未確認",L61="未確認"),"判定保留",IF(AND(K61="はい",M61="無"),"入力エラー（GxP対象でSOP無）",IFERROR(INDEX('判定表'!$D:$D,MATCH("W|"&amp;O61&amp;"|"&amp;IF(OR(K61="はい",L61="はい",M61="無"),"あり","なし"),'判定表'!$A:$A,0)),"判定表にない組み合わせ"))))))</f>
        <v/>
      </c>
      <c r="Q61" s="21">
        <f>IF(A61="","",IF(C61="","対象外",IF(F61="直接業務","対象外",IF(OR(F61&lt;&gt;"間接業務",COUNTIF('システム'!$A$4:$A$200,C61)=0,U61="",V61="紐付けにない組み合わせ",V61="案件が未登録"),"判定保留","移管"))))</f>
        <v/>
      </c>
      <c r="R61" s="21">
        <f>IF(A61="","",IF(Q61&lt;&gt;"移管","—",IF(O61="","判定保留",IFERROR(INDEX('判定表'!$E:$E,MATCH("W|"&amp;O61&amp;"|なし",'判定表'!$A:$A,0)),"判定表にない回答"))))</f>
        <v/>
      </c>
      <c r="S61" s="33" t="n"/>
      <c r="T61" s="18" t="n"/>
      <c r="U61" s="18" t="n"/>
      <c r="V61" s="21">
        <f>IF(U61="","",IF(COUNTIFS('紐付け'!$A$4:$A$200,U61,'紐付け'!$C$4:$C$200,C61)=0,"紐付けにない組み合わせ",IFERROR(INDEX('予算一覧'!$B:$B,MATCH(U61,'予算一覧'!$A:$A,0)),"案件が未登録")))</f>
        <v/>
      </c>
      <c r="W61" s="33" t="n"/>
    </row>
    <row r="62">
      <c r="A62" s="18" t="n"/>
      <c r="B62" s="18" t="n"/>
      <c r="C62" s="18" t="n"/>
      <c r="D62" s="21">
        <f>IF(C62="","",IFERROR(INDEX('システム'!$B:$B,MATCH(C62,'システム'!$A:$A,0)),"システムが未登録"))</f>
        <v/>
      </c>
      <c r="E62" s="18" t="n"/>
      <c r="F62" s="21">
        <f>IF(E62="","",IFERROR(INDEX('選択肢'!$L$5:$L$14,MATCH(E62,'選択肢'!$K$5:$K$14,0)),"選択肢にない種類"))</f>
        <v/>
      </c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21">
        <f>IF(A62="","",IF(F62="直接業務","—",IF(J62&lt;&gt;"済","判定保留",IF(OR(O62="",K62="",L62="",M62="",K62="未確認",L62="未確認"),"判定保留",IF(AND(K62="はい",M62="無"),"入力エラー（GxP対象でSOP無）",IFERROR(INDEX('判定表'!$D:$D,MATCH("W|"&amp;O62&amp;"|"&amp;IF(OR(K62="はい",L62="はい",M62="無"),"あり","なし"),'判定表'!$A:$A,0)),"判定表にない組み合わせ"))))))</f>
        <v/>
      </c>
      <c r="Q62" s="21">
        <f>IF(A62="","",IF(C62="","対象外",IF(F62="直接業務","対象外",IF(OR(F62&lt;&gt;"間接業務",COUNTIF('システム'!$A$4:$A$200,C62)=0,U62="",V62="紐付けにない組み合わせ",V62="案件が未登録"),"判定保留","移管"))))</f>
        <v/>
      </c>
      <c r="R62" s="21">
        <f>IF(A62="","",IF(Q62&lt;&gt;"移管","—",IF(O62="","判定保留",IFERROR(INDEX('判定表'!$E:$E,MATCH("W|"&amp;O62&amp;"|なし",'判定表'!$A:$A,0)),"判定表にない回答"))))</f>
        <v/>
      </c>
      <c r="S62" s="33" t="n"/>
      <c r="T62" s="18" t="n"/>
      <c r="U62" s="18" t="n"/>
      <c r="V62" s="21">
        <f>IF(U62="","",IF(COUNTIFS('紐付け'!$A$4:$A$200,U62,'紐付け'!$C$4:$C$200,C62)=0,"紐付けにない組み合わせ",IFERROR(INDEX('予算一覧'!$B:$B,MATCH(U62,'予算一覧'!$A:$A,0)),"案件が未登録")))</f>
        <v/>
      </c>
      <c r="W62" s="33" t="n"/>
    </row>
    <row r="63">
      <c r="A63" s="18" t="n"/>
      <c r="B63" s="18" t="n"/>
      <c r="C63" s="18" t="n"/>
      <c r="D63" s="21">
        <f>IF(C63="","",IFERROR(INDEX('システム'!$B:$B,MATCH(C63,'システム'!$A:$A,0)),"システムが未登録"))</f>
        <v/>
      </c>
      <c r="E63" s="18" t="n"/>
      <c r="F63" s="21">
        <f>IF(E63="","",IFERROR(INDEX('選択肢'!$L$5:$L$14,MATCH(E63,'選択肢'!$K$5:$K$14,0)),"選択肢にない種類"))</f>
        <v/>
      </c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21">
        <f>IF(A63="","",IF(F63="直接業務","—",IF(J63&lt;&gt;"済","判定保留",IF(OR(O63="",K63="",L63="",M63="",K63="未確認",L63="未確認"),"判定保留",IF(AND(K63="はい",M63="無"),"入力エラー（GxP対象でSOP無）",IFERROR(INDEX('判定表'!$D:$D,MATCH("W|"&amp;O63&amp;"|"&amp;IF(OR(K63="はい",L63="はい",M63="無"),"あり","なし"),'判定表'!$A:$A,0)),"判定表にない組み合わせ"))))))</f>
        <v/>
      </c>
      <c r="Q63" s="21">
        <f>IF(A63="","",IF(C63="","対象外",IF(F63="直接業務","対象外",IF(OR(F63&lt;&gt;"間接業務",COUNTIF('システム'!$A$4:$A$200,C63)=0,U63="",V63="紐付けにない組み合わせ",V63="案件が未登録"),"判定保留","移管"))))</f>
        <v/>
      </c>
      <c r="R63" s="21">
        <f>IF(A63="","",IF(Q63&lt;&gt;"移管","—",IF(O63="","判定保留",IFERROR(INDEX('判定表'!$E:$E,MATCH("W|"&amp;O63&amp;"|なし",'判定表'!$A:$A,0)),"判定表にない回答"))))</f>
        <v/>
      </c>
      <c r="S63" s="33" t="n"/>
      <c r="T63" s="18" t="n"/>
      <c r="U63" s="18" t="n"/>
      <c r="V63" s="21">
        <f>IF(U63="","",IF(COUNTIFS('紐付け'!$A$4:$A$200,U63,'紐付け'!$C$4:$C$200,C63)=0,"紐付けにない組み合わせ",IFERROR(INDEX('予算一覧'!$B:$B,MATCH(U63,'予算一覧'!$A:$A,0)),"案件が未登録")))</f>
        <v/>
      </c>
      <c r="W63" s="33" t="n"/>
    </row>
    <row r="64">
      <c r="A64" s="18" t="n"/>
      <c r="B64" s="18" t="n"/>
      <c r="C64" s="18" t="n"/>
      <c r="D64" s="21">
        <f>IF(C64="","",IFERROR(INDEX('システム'!$B:$B,MATCH(C64,'システム'!$A:$A,0)),"システムが未登録"))</f>
        <v/>
      </c>
      <c r="E64" s="18" t="n"/>
      <c r="F64" s="21">
        <f>IF(E64="","",IFERROR(INDEX('選択肢'!$L$5:$L$14,MATCH(E64,'選択肢'!$K$5:$K$14,0)),"選択肢にない種類"))</f>
        <v/>
      </c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21">
        <f>IF(A64="","",IF(F64="直接業務","—",IF(J64&lt;&gt;"済","判定保留",IF(OR(O64="",K64="",L64="",M64="",K64="未確認",L64="未確認"),"判定保留",IF(AND(K64="はい",M64="無"),"入力エラー（GxP対象でSOP無）",IFERROR(INDEX('判定表'!$D:$D,MATCH("W|"&amp;O64&amp;"|"&amp;IF(OR(K64="はい",L64="はい",M64="無"),"あり","なし"),'判定表'!$A:$A,0)),"判定表にない組み合わせ"))))))</f>
        <v/>
      </c>
      <c r="Q64" s="21">
        <f>IF(A64="","",IF(C64="","対象外",IF(F64="直接業務","対象外",IF(OR(F64&lt;&gt;"間接業務",COUNTIF('システム'!$A$4:$A$200,C64)=0,U64="",V64="紐付けにない組み合わせ",V64="案件が未登録"),"判定保留","移管"))))</f>
        <v/>
      </c>
      <c r="R64" s="21">
        <f>IF(A64="","",IF(Q64&lt;&gt;"移管","—",IF(O64="","判定保留",IFERROR(INDEX('判定表'!$E:$E,MATCH("W|"&amp;O64&amp;"|なし",'判定表'!$A:$A,0)),"判定表にない回答"))))</f>
        <v/>
      </c>
      <c r="S64" s="33" t="n"/>
      <c r="T64" s="18" t="n"/>
      <c r="U64" s="18" t="n"/>
      <c r="V64" s="21">
        <f>IF(U64="","",IF(COUNTIFS('紐付け'!$A$4:$A$200,U64,'紐付け'!$C$4:$C$200,C64)=0,"紐付けにない組み合わせ",IFERROR(INDEX('予算一覧'!$B:$B,MATCH(U64,'予算一覧'!$A:$A,0)),"案件が未登録")))</f>
        <v/>
      </c>
      <c r="W64" s="33" t="n"/>
    </row>
    <row r="65">
      <c r="A65" s="18" t="n"/>
      <c r="B65" s="18" t="n"/>
      <c r="C65" s="18" t="n"/>
      <c r="D65" s="21">
        <f>IF(C65="","",IFERROR(INDEX('システム'!$B:$B,MATCH(C65,'システム'!$A:$A,0)),"システムが未登録"))</f>
        <v/>
      </c>
      <c r="E65" s="18" t="n"/>
      <c r="F65" s="21">
        <f>IF(E65="","",IFERROR(INDEX('選択肢'!$L$5:$L$14,MATCH(E65,'選択肢'!$K$5:$K$14,0)),"選択肢にない種類"))</f>
        <v/>
      </c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21">
        <f>IF(A65="","",IF(F65="直接業務","—",IF(J65&lt;&gt;"済","判定保留",IF(OR(O65="",K65="",L65="",M65="",K65="未確認",L65="未確認"),"判定保留",IF(AND(K65="はい",M65="無"),"入力エラー（GxP対象でSOP無）",IFERROR(INDEX('判定表'!$D:$D,MATCH("W|"&amp;O65&amp;"|"&amp;IF(OR(K65="はい",L65="はい",M65="無"),"あり","なし"),'判定表'!$A:$A,0)),"判定表にない組み合わせ"))))))</f>
        <v/>
      </c>
      <c r="Q65" s="21">
        <f>IF(A65="","",IF(C65="","対象外",IF(F65="直接業務","対象外",IF(OR(F65&lt;&gt;"間接業務",COUNTIF('システム'!$A$4:$A$200,C65)=0,U65="",V65="紐付けにない組み合わせ",V65="案件が未登録"),"判定保留","移管"))))</f>
        <v/>
      </c>
      <c r="R65" s="21">
        <f>IF(A65="","",IF(Q65&lt;&gt;"移管","—",IF(O65="","判定保留",IFERROR(INDEX('判定表'!$E:$E,MATCH("W|"&amp;O65&amp;"|なし",'判定表'!$A:$A,0)),"判定表にない回答"))))</f>
        <v/>
      </c>
      <c r="S65" s="33" t="n"/>
      <c r="T65" s="18" t="n"/>
      <c r="U65" s="18" t="n"/>
      <c r="V65" s="21">
        <f>IF(U65="","",IF(COUNTIFS('紐付け'!$A$4:$A$200,U65,'紐付け'!$C$4:$C$200,C65)=0,"紐付けにない組み合わせ",IFERROR(INDEX('予算一覧'!$B:$B,MATCH(U65,'予算一覧'!$A:$A,0)),"案件が未登録")))</f>
        <v/>
      </c>
      <c r="W65" s="33" t="n"/>
    </row>
    <row r="66">
      <c r="A66" s="18" t="n"/>
      <c r="B66" s="18" t="n"/>
      <c r="C66" s="18" t="n"/>
      <c r="D66" s="21">
        <f>IF(C66="","",IFERROR(INDEX('システム'!$B:$B,MATCH(C66,'システム'!$A:$A,0)),"システムが未登録"))</f>
        <v/>
      </c>
      <c r="E66" s="18" t="n"/>
      <c r="F66" s="21">
        <f>IF(E66="","",IFERROR(INDEX('選択肢'!$L$5:$L$14,MATCH(E66,'選択肢'!$K$5:$K$14,0)),"選択肢にない種類"))</f>
        <v/>
      </c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21">
        <f>IF(A66="","",IF(F66="直接業務","—",IF(J66&lt;&gt;"済","判定保留",IF(OR(O66="",K66="",L66="",M66="",K66="未確認",L66="未確認"),"判定保留",IF(AND(K66="はい",M66="無"),"入力エラー（GxP対象でSOP無）",IFERROR(INDEX('判定表'!$D:$D,MATCH("W|"&amp;O66&amp;"|"&amp;IF(OR(K66="はい",L66="はい",M66="無"),"あり","なし"),'判定表'!$A:$A,0)),"判定表にない組み合わせ"))))))</f>
        <v/>
      </c>
      <c r="Q66" s="21">
        <f>IF(A66="","",IF(C66="","対象外",IF(F66="直接業務","対象外",IF(OR(F66&lt;&gt;"間接業務",COUNTIF('システム'!$A$4:$A$200,C66)=0,U66="",V66="紐付けにない組み合わせ",V66="案件が未登録"),"判定保留","移管"))))</f>
        <v/>
      </c>
      <c r="R66" s="21">
        <f>IF(A66="","",IF(Q66&lt;&gt;"移管","—",IF(O66="","判定保留",IFERROR(INDEX('判定表'!$E:$E,MATCH("W|"&amp;O66&amp;"|なし",'判定表'!$A:$A,0)),"判定表にない回答"))))</f>
        <v/>
      </c>
      <c r="S66" s="33" t="n"/>
      <c r="T66" s="18" t="n"/>
      <c r="U66" s="18" t="n"/>
      <c r="V66" s="21">
        <f>IF(U66="","",IF(COUNTIFS('紐付け'!$A$4:$A$200,U66,'紐付け'!$C$4:$C$200,C66)=0,"紐付けにない組み合わせ",IFERROR(INDEX('予算一覧'!$B:$B,MATCH(U66,'予算一覧'!$A:$A,0)),"案件が未登録")))</f>
        <v/>
      </c>
      <c r="W66" s="33" t="n"/>
    </row>
    <row r="67">
      <c r="A67" s="18" t="n"/>
      <c r="B67" s="18" t="n"/>
      <c r="C67" s="18" t="n"/>
      <c r="D67" s="21">
        <f>IF(C67="","",IFERROR(INDEX('システム'!$B:$B,MATCH(C67,'システム'!$A:$A,0)),"システムが未登録"))</f>
        <v/>
      </c>
      <c r="E67" s="18" t="n"/>
      <c r="F67" s="21">
        <f>IF(E67="","",IFERROR(INDEX('選択肢'!$L$5:$L$14,MATCH(E67,'選択肢'!$K$5:$K$14,0)),"選択肢にない種類"))</f>
        <v/>
      </c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21">
        <f>IF(A67="","",IF(F67="直接業務","—",IF(J67&lt;&gt;"済","判定保留",IF(OR(O67="",K67="",L67="",M67="",K67="未確認",L67="未確認"),"判定保留",IF(AND(K67="はい",M67="無"),"入力エラー（GxP対象でSOP無）",IFERROR(INDEX('判定表'!$D:$D,MATCH("W|"&amp;O67&amp;"|"&amp;IF(OR(K67="はい",L67="はい",M67="無"),"あり","なし"),'判定表'!$A:$A,0)),"判定表にない組み合わせ"))))))</f>
        <v/>
      </c>
      <c r="Q67" s="21">
        <f>IF(A67="","",IF(C67="","対象外",IF(F67="直接業務","対象外",IF(OR(F67&lt;&gt;"間接業務",COUNTIF('システム'!$A$4:$A$200,C67)=0,U67="",V67="紐付けにない組み合わせ",V67="案件が未登録"),"判定保留","移管"))))</f>
        <v/>
      </c>
      <c r="R67" s="21">
        <f>IF(A67="","",IF(Q67&lt;&gt;"移管","—",IF(O67="","判定保留",IFERROR(INDEX('判定表'!$E:$E,MATCH("W|"&amp;O67&amp;"|なし",'判定表'!$A:$A,0)),"判定表にない回答"))))</f>
        <v/>
      </c>
      <c r="S67" s="33" t="n"/>
      <c r="T67" s="18" t="n"/>
      <c r="U67" s="18" t="n"/>
      <c r="V67" s="21">
        <f>IF(U67="","",IF(COUNTIFS('紐付け'!$A$4:$A$200,U67,'紐付け'!$C$4:$C$200,C67)=0,"紐付けにない組み合わせ",IFERROR(INDEX('予算一覧'!$B:$B,MATCH(U67,'予算一覧'!$A:$A,0)),"案件が未登録")))</f>
        <v/>
      </c>
      <c r="W67" s="33" t="n"/>
    </row>
    <row r="68">
      <c r="A68" s="18" t="n"/>
      <c r="B68" s="18" t="n"/>
      <c r="C68" s="18" t="n"/>
      <c r="D68" s="21">
        <f>IF(C68="","",IFERROR(INDEX('システム'!$B:$B,MATCH(C68,'システム'!$A:$A,0)),"システムが未登録"))</f>
        <v/>
      </c>
      <c r="E68" s="18" t="n"/>
      <c r="F68" s="21">
        <f>IF(E68="","",IFERROR(INDEX('選択肢'!$L$5:$L$14,MATCH(E68,'選択肢'!$K$5:$K$14,0)),"選択肢にない種類"))</f>
        <v/>
      </c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21">
        <f>IF(A68="","",IF(F68="直接業務","—",IF(J68&lt;&gt;"済","判定保留",IF(OR(O68="",K68="",L68="",M68="",K68="未確認",L68="未確認"),"判定保留",IF(AND(K68="はい",M68="無"),"入力エラー（GxP対象でSOP無）",IFERROR(INDEX('判定表'!$D:$D,MATCH("W|"&amp;O68&amp;"|"&amp;IF(OR(K68="はい",L68="はい",M68="無"),"あり","なし"),'判定表'!$A:$A,0)),"判定表にない組み合わせ"))))))</f>
        <v/>
      </c>
      <c r="Q68" s="21">
        <f>IF(A68="","",IF(C68="","対象外",IF(F68="直接業務","対象外",IF(OR(F68&lt;&gt;"間接業務",COUNTIF('システム'!$A$4:$A$200,C68)=0,U68="",V68="紐付けにない組み合わせ",V68="案件が未登録"),"判定保留","移管"))))</f>
        <v/>
      </c>
      <c r="R68" s="21">
        <f>IF(A68="","",IF(Q68&lt;&gt;"移管","—",IF(O68="","判定保留",IFERROR(INDEX('判定表'!$E:$E,MATCH("W|"&amp;O68&amp;"|なし",'判定表'!$A:$A,0)),"判定表にない回答"))))</f>
        <v/>
      </c>
      <c r="S68" s="33" t="n"/>
      <c r="T68" s="18" t="n"/>
      <c r="U68" s="18" t="n"/>
      <c r="V68" s="21">
        <f>IF(U68="","",IF(COUNTIFS('紐付け'!$A$4:$A$200,U68,'紐付け'!$C$4:$C$200,C68)=0,"紐付けにない組み合わせ",IFERROR(INDEX('予算一覧'!$B:$B,MATCH(U68,'予算一覧'!$A:$A,0)),"案件が未登録")))</f>
        <v/>
      </c>
      <c r="W68" s="33" t="n"/>
    </row>
    <row r="69">
      <c r="A69" s="18" t="n"/>
      <c r="B69" s="18" t="n"/>
      <c r="C69" s="18" t="n"/>
      <c r="D69" s="21">
        <f>IF(C69="","",IFERROR(INDEX('システム'!$B:$B,MATCH(C69,'システム'!$A:$A,0)),"システムが未登録"))</f>
        <v/>
      </c>
      <c r="E69" s="18" t="n"/>
      <c r="F69" s="21">
        <f>IF(E69="","",IFERROR(INDEX('選択肢'!$L$5:$L$14,MATCH(E69,'選択肢'!$K$5:$K$14,0)),"選択肢にない種類"))</f>
        <v/>
      </c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21">
        <f>IF(A69="","",IF(F69="直接業務","—",IF(J69&lt;&gt;"済","判定保留",IF(OR(O69="",K69="",L69="",M69="",K69="未確認",L69="未確認"),"判定保留",IF(AND(K69="はい",M69="無"),"入力エラー（GxP対象でSOP無）",IFERROR(INDEX('判定表'!$D:$D,MATCH("W|"&amp;O69&amp;"|"&amp;IF(OR(K69="はい",L69="はい",M69="無"),"あり","なし"),'判定表'!$A:$A,0)),"判定表にない組み合わせ"))))))</f>
        <v/>
      </c>
      <c r="Q69" s="21">
        <f>IF(A69="","",IF(C69="","対象外",IF(F69="直接業務","対象外",IF(OR(F69&lt;&gt;"間接業務",COUNTIF('システム'!$A$4:$A$200,C69)=0,U69="",V69="紐付けにない組み合わせ",V69="案件が未登録"),"判定保留","移管"))))</f>
        <v/>
      </c>
      <c r="R69" s="21">
        <f>IF(A69="","",IF(Q69&lt;&gt;"移管","—",IF(O69="","判定保留",IFERROR(INDEX('判定表'!$E:$E,MATCH("W|"&amp;O69&amp;"|なし",'判定表'!$A:$A,0)),"判定表にない回答"))))</f>
        <v/>
      </c>
      <c r="S69" s="33" t="n"/>
      <c r="T69" s="18" t="n"/>
      <c r="U69" s="18" t="n"/>
      <c r="V69" s="21">
        <f>IF(U69="","",IF(COUNTIFS('紐付け'!$A$4:$A$200,U69,'紐付け'!$C$4:$C$200,C69)=0,"紐付けにない組み合わせ",IFERROR(INDEX('予算一覧'!$B:$B,MATCH(U69,'予算一覧'!$A:$A,0)),"案件が未登録")))</f>
        <v/>
      </c>
      <c r="W69" s="33" t="n"/>
    </row>
    <row r="70">
      <c r="A70" s="18" t="n"/>
      <c r="B70" s="18" t="n"/>
      <c r="C70" s="18" t="n"/>
      <c r="D70" s="21">
        <f>IF(C70="","",IFERROR(INDEX('システム'!$B:$B,MATCH(C70,'システム'!$A:$A,0)),"システムが未登録"))</f>
        <v/>
      </c>
      <c r="E70" s="18" t="n"/>
      <c r="F70" s="21">
        <f>IF(E70="","",IFERROR(INDEX('選択肢'!$L$5:$L$14,MATCH(E70,'選択肢'!$K$5:$K$14,0)),"選択肢にない種類"))</f>
        <v/>
      </c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21">
        <f>IF(A70="","",IF(F70="直接業務","—",IF(J70&lt;&gt;"済","判定保留",IF(OR(O70="",K70="",L70="",M70="",K70="未確認",L70="未確認"),"判定保留",IF(AND(K70="はい",M70="無"),"入力エラー（GxP対象でSOP無）",IFERROR(INDEX('判定表'!$D:$D,MATCH("W|"&amp;O70&amp;"|"&amp;IF(OR(K70="はい",L70="はい",M70="無"),"あり","なし"),'判定表'!$A:$A,0)),"判定表にない組み合わせ"))))))</f>
        <v/>
      </c>
      <c r="Q70" s="21">
        <f>IF(A70="","",IF(C70="","対象外",IF(F70="直接業務","対象外",IF(OR(F70&lt;&gt;"間接業務",COUNTIF('システム'!$A$4:$A$200,C70)=0,U70="",V70="紐付けにない組み合わせ",V70="案件が未登録"),"判定保留","移管"))))</f>
        <v/>
      </c>
      <c r="R70" s="21">
        <f>IF(A70="","",IF(Q70&lt;&gt;"移管","—",IF(O70="","判定保留",IFERROR(INDEX('判定表'!$E:$E,MATCH("W|"&amp;O70&amp;"|なし",'判定表'!$A:$A,0)),"判定表にない回答"))))</f>
        <v/>
      </c>
      <c r="S70" s="33" t="n"/>
      <c r="T70" s="18" t="n"/>
      <c r="U70" s="18" t="n"/>
      <c r="V70" s="21">
        <f>IF(U70="","",IF(COUNTIFS('紐付け'!$A$4:$A$200,U70,'紐付け'!$C$4:$C$200,C70)=0,"紐付けにない組み合わせ",IFERROR(INDEX('予算一覧'!$B:$B,MATCH(U70,'予算一覧'!$A:$A,0)),"案件が未登録")))</f>
        <v/>
      </c>
      <c r="W70" s="33" t="n"/>
    </row>
    <row r="71">
      <c r="A71" s="18" t="n"/>
      <c r="B71" s="18" t="n"/>
      <c r="C71" s="18" t="n"/>
      <c r="D71" s="21">
        <f>IF(C71="","",IFERROR(INDEX('システム'!$B:$B,MATCH(C71,'システム'!$A:$A,0)),"システムが未登録"))</f>
        <v/>
      </c>
      <c r="E71" s="18" t="n"/>
      <c r="F71" s="21">
        <f>IF(E71="","",IFERROR(INDEX('選択肢'!$L$5:$L$14,MATCH(E71,'選択肢'!$K$5:$K$14,0)),"選択肢にない種類"))</f>
        <v/>
      </c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21">
        <f>IF(A71="","",IF(F71="直接業務","—",IF(J71&lt;&gt;"済","判定保留",IF(OR(O71="",K71="",L71="",M71="",K71="未確認",L71="未確認"),"判定保留",IF(AND(K71="はい",M71="無"),"入力エラー（GxP対象でSOP無）",IFERROR(INDEX('判定表'!$D:$D,MATCH("W|"&amp;O71&amp;"|"&amp;IF(OR(K71="はい",L71="はい",M71="無"),"あり","なし"),'判定表'!$A:$A,0)),"判定表にない組み合わせ"))))))</f>
        <v/>
      </c>
      <c r="Q71" s="21">
        <f>IF(A71="","",IF(C71="","対象外",IF(F71="直接業務","対象外",IF(OR(F71&lt;&gt;"間接業務",COUNTIF('システム'!$A$4:$A$200,C71)=0,U71="",V71="紐付けにない組み合わせ",V71="案件が未登録"),"判定保留","移管"))))</f>
        <v/>
      </c>
      <c r="R71" s="21">
        <f>IF(A71="","",IF(Q71&lt;&gt;"移管","—",IF(O71="","判定保留",IFERROR(INDEX('判定表'!$E:$E,MATCH("W|"&amp;O71&amp;"|なし",'判定表'!$A:$A,0)),"判定表にない回答"))))</f>
        <v/>
      </c>
      <c r="S71" s="33" t="n"/>
      <c r="T71" s="18" t="n"/>
      <c r="U71" s="18" t="n"/>
      <c r="V71" s="21">
        <f>IF(U71="","",IF(COUNTIFS('紐付け'!$A$4:$A$200,U71,'紐付け'!$C$4:$C$200,C71)=0,"紐付けにない組み合わせ",IFERROR(INDEX('予算一覧'!$B:$B,MATCH(U71,'予算一覧'!$A:$A,0)),"案件が未登録")))</f>
        <v/>
      </c>
      <c r="W71" s="33" t="n"/>
    </row>
    <row r="72">
      <c r="A72" s="18" t="n"/>
      <c r="B72" s="18" t="n"/>
      <c r="C72" s="18" t="n"/>
      <c r="D72" s="21">
        <f>IF(C72="","",IFERROR(INDEX('システム'!$B:$B,MATCH(C72,'システム'!$A:$A,0)),"システムが未登録"))</f>
        <v/>
      </c>
      <c r="E72" s="18" t="n"/>
      <c r="F72" s="21">
        <f>IF(E72="","",IFERROR(INDEX('選択肢'!$L$5:$L$14,MATCH(E72,'選択肢'!$K$5:$K$14,0)),"選択肢にない種類"))</f>
        <v/>
      </c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21">
        <f>IF(A72="","",IF(F72="直接業務","—",IF(J72&lt;&gt;"済","判定保留",IF(OR(O72="",K72="",L72="",M72="",K72="未確認",L72="未確認"),"判定保留",IF(AND(K72="はい",M72="無"),"入力エラー（GxP対象でSOP無）",IFERROR(INDEX('判定表'!$D:$D,MATCH("W|"&amp;O72&amp;"|"&amp;IF(OR(K72="はい",L72="はい",M72="無"),"あり","なし"),'判定表'!$A:$A,0)),"判定表にない組み合わせ"))))))</f>
        <v/>
      </c>
      <c r="Q72" s="21">
        <f>IF(A72="","",IF(C72="","対象外",IF(F72="直接業務","対象外",IF(OR(F72&lt;&gt;"間接業務",COUNTIF('システム'!$A$4:$A$200,C72)=0,U72="",V72="紐付けにない組み合わせ",V72="案件が未登録"),"判定保留","移管"))))</f>
        <v/>
      </c>
      <c r="R72" s="21">
        <f>IF(A72="","",IF(Q72&lt;&gt;"移管","—",IF(O72="","判定保留",IFERROR(INDEX('判定表'!$E:$E,MATCH("W|"&amp;O72&amp;"|なし",'判定表'!$A:$A,0)),"判定表にない回答"))))</f>
        <v/>
      </c>
      <c r="S72" s="33" t="n"/>
      <c r="T72" s="18" t="n"/>
      <c r="U72" s="18" t="n"/>
      <c r="V72" s="21">
        <f>IF(U72="","",IF(COUNTIFS('紐付け'!$A$4:$A$200,U72,'紐付け'!$C$4:$C$200,C72)=0,"紐付けにない組み合わせ",IFERROR(INDEX('予算一覧'!$B:$B,MATCH(U72,'予算一覧'!$A:$A,0)),"案件が未登録")))</f>
        <v/>
      </c>
      <c r="W72" s="33" t="n"/>
    </row>
    <row r="73">
      <c r="A73" s="18" t="n"/>
      <c r="B73" s="18" t="n"/>
      <c r="C73" s="18" t="n"/>
      <c r="D73" s="21">
        <f>IF(C73="","",IFERROR(INDEX('システム'!$B:$B,MATCH(C73,'システム'!$A:$A,0)),"システムが未登録"))</f>
        <v/>
      </c>
      <c r="E73" s="18" t="n"/>
      <c r="F73" s="21">
        <f>IF(E73="","",IFERROR(INDEX('選択肢'!$L$5:$L$14,MATCH(E73,'選択肢'!$K$5:$K$14,0)),"選択肢にない種類"))</f>
        <v/>
      </c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21">
        <f>IF(A73="","",IF(F73="直接業務","—",IF(J73&lt;&gt;"済","判定保留",IF(OR(O73="",K73="",L73="",M73="",K73="未確認",L73="未確認"),"判定保留",IF(AND(K73="はい",M73="無"),"入力エラー（GxP対象でSOP無）",IFERROR(INDEX('判定表'!$D:$D,MATCH("W|"&amp;O73&amp;"|"&amp;IF(OR(K73="はい",L73="はい",M73="無"),"あり","なし"),'判定表'!$A:$A,0)),"判定表にない組み合わせ"))))))</f>
        <v/>
      </c>
      <c r="Q73" s="21">
        <f>IF(A73="","",IF(C73="","対象外",IF(F73="直接業務","対象外",IF(OR(F73&lt;&gt;"間接業務",COUNTIF('システム'!$A$4:$A$200,C73)=0,U73="",V73="紐付けにない組み合わせ",V73="案件が未登録"),"判定保留","移管"))))</f>
        <v/>
      </c>
      <c r="R73" s="21">
        <f>IF(A73="","",IF(Q73&lt;&gt;"移管","—",IF(O73="","判定保留",IFERROR(INDEX('判定表'!$E:$E,MATCH("W|"&amp;O73&amp;"|なし",'判定表'!$A:$A,0)),"判定表にない回答"))))</f>
        <v/>
      </c>
      <c r="S73" s="33" t="n"/>
      <c r="T73" s="18" t="n"/>
      <c r="U73" s="18" t="n"/>
      <c r="V73" s="21">
        <f>IF(U73="","",IF(COUNTIFS('紐付け'!$A$4:$A$200,U73,'紐付け'!$C$4:$C$200,C73)=0,"紐付けにない組み合わせ",IFERROR(INDEX('予算一覧'!$B:$B,MATCH(U73,'予算一覧'!$A:$A,0)),"案件が未登録")))</f>
        <v/>
      </c>
      <c r="W73" s="33" t="n"/>
    </row>
    <row r="74">
      <c r="A74" s="18" t="n"/>
      <c r="B74" s="18" t="n"/>
      <c r="C74" s="18" t="n"/>
      <c r="D74" s="21">
        <f>IF(C74="","",IFERROR(INDEX('システム'!$B:$B,MATCH(C74,'システム'!$A:$A,0)),"システムが未登録"))</f>
        <v/>
      </c>
      <c r="E74" s="18" t="n"/>
      <c r="F74" s="21">
        <f>IF(E74="","",IFERROR(INDEX('選択肢'!$L$5:$L$14,MATCH(E74,'選択肢'!$K$5:$K$14,0)),"選択肢にない種類"))</f>
        <v/>
      </c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21">
        <f>IF(A74="","",IF(F74="直接業務","—",IF(J74&lt;&gt;"済","判定保留",IF(OR(O74="",K74="",L74="",M74="",K74="未確認",L74="未確認"),"判定保留",IF(AND(K74="はい",M74="無"),"入力エラー（GxP対象でSOP無）",IFERROR(INDEX('判定表'!$D:$D,MATCH("W|"&amp;O74&amp;"|"&amp;IF(OR(K74="はい",L74="はい",M74="無"),"あり","なし"),'判定表'!$A:$A,0)),"判定表にない組み合わせ"))))))</f>
        <v/>
      </c>
      <c r="Q74" s="21">
        <f>IF(A74="","",IF(C74="","対象外",IF(F74="直接業務","対象外",IF(OR(F74&lt;&gt;"間接業務",COUNTIF('システム'!$A$4:$A$200,C74)=0,U74="",V74="紐付けにない組み合わせ",V74="案件が未登録"),"判定保留","移管"))))</f>
        <v/>
      </c>
      <c r="R74" s="21">
        <f>IF(A74="","",IF(Q74&lt;&gt;"移管","—",IF(O74="","判定保留",IFERROR(INDEX('判定表'!$E:$E,MATCH("W|"&amp;O74&amp;"|なし",'判定表'!$A:$A,0)),"判定表にない回答"))))</f>
        <v/>
      </c>
      <c r="S74" s="33" t="n"/>
      <c r="T74" s="18" t="n"/>
      <c r="U74" s="18" t="n"/>
      <c r="V74" s="21">
        <f>IF(U74="","",IF(COUNTIFS('紐付け'!$A$4:$A$200,U74,'紐付け'!$C$4:$C$200,C74)=0,"紐付けにない組み合わせ",IFERROR(INDEX('予算一覧'!$B:$B,MATCH(U74,'予算一覧'!$A:$A,0)),"案件が未登録")))</f>
        <v/>
      </c>
      <c r="W74" s="33" t="n"/>
    </row>
    <row r="75">
      <c r="A75" s="18" t="n"/>
      <c r="B75" s="18" t="n"/>
      <c r="C75" s="18" t="n"/>
      <c r="D75" s="21">
        <f>IF(C75="","",IFERROR(INDEX('システム'!$B:$B,MATCH(C75,'システム'!$A:$A,0)),"システムが未登録"))</f>
        <v/>
      </c>
      <c r="E75" s="18" t="n"/>
      <c r="F75" s="21">
        <f>IF(E75="","",IFERROR(INDEX('選択肢'!$L$5:$L$14,MATCH(E75,'選択肢'!$K$5:$K$14,0)),"選択肢にない種類"))</f>
        <v/>
      </c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21">
        <f>IF(A75="","",IF(F75="直接業務","—",IF(J75&lt;&gt;"済","判定保留",IF(OR(O75="",K75="",L75="",M75="",K75="未確認",L75="未確認"),"判定保留",IF(AND(K75="はい",M75="無"),"入力エラー（GxP対象でSOP無）",IFERROR(INDEX('判定表'!$D:$D,MATCH("W|"&amp;O75&amp;"|"&amp;IF(OR(K75="はい",L75="はい",M75="無"),"あり","なし"),'判定表'!$A:$A,0)),"判定表にない組み合わせ"))))))</f>
        <v/>
      </c>
      <c r="Q75" s="21">
        <f>IF(A75="","",IF(C75="","対象外",IF(F75="直接業務","対象外",IF(OR(F75&lt;&gt;"間接業務",COUNTIF('システム'!$A$4:$A$200,C75)=0,U75="",V75="紐付けにない組み合わせ",V75="案件が未登録"),"判定保留","移管"))))</f>
        <v/>
      </c>
      <c r="R75" s="21">
        <f>IF(A75="","",IF(Q75&lt;&gt;"移管","—",IF(O75="","判定保留",IFERROR(INDEX('判定表'!$E:$E,MATCH("W|"&amp;O75&amp;"|なし",'判定表'!$A:$A,0)),"判定表にない回答"))))</f>
        <v/>
      </c>
      <c r="S75" s="33" t="n"/>
      <c r="T75" s="18" t="n"/>
      <c r="U75" s="18" t="n"/>
      <c r="V75" s="21">
        <f>IF(U75="","",IF(COUNTIFS('紐付け'!$A$4:$A$200,U75,'紐付け'!$C$4:$C$200,C75)=0,"紐付けにない組み合わせ",IFERROR(INDEX('予算一覧'!$B:$B,MATCH(U75,'予算一覧'!$A:$A,0)),"案件が未登録")))</f>
        <v/>
      </c>
      <c r="W75" s="33" t="n"/>
    </row>
    <row r="76">
      <c r="A76" s="18" t="n"/>
      <c r="B76" s="18" t="n"/>
      <c r="C76" s="18" t="n"/>
      <c r="D76" s="21">
        <f>IF(C76="","",IFERROR(INDEX('システム'!$B:$B,MATCH(C76,'システム'!$A:$A,0)),"システムが未登録"))</f>
        <v/>
      </c>
      <c r="E76" s="18" t="n"/>
      <c r="F76" s="21">
        <f>IF(E76="","",IFERROR(INDEX('選択肢'!$L$5:$L$14,MATCH(E76,'選択肢'!$K$5:$K$14,0)),"選択肢にない種類"))</f>
        <v/>
      </c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21">
        <f>IF(A76="","",IF(F76="直接業務","—",IF(J76&lt;&gt;"済","判定保留",IF(OR(O76="",K76="",L76="",M76="",K76="未確認",L76="未確認"),"判定保留",IF(AND(K76="はい",M76="無"),"入力エラー（GxP対象でSOP無）",IFERROR(INDEX('判定表'!$D:$D,MATCH("W|"&amp;O76&amp;"|"&amp;IF(OR(K76="はい",L76="はい",M76="無"),"あり","なし"),'判定表'!$A:$A,0)),"判定表にない組み合わせ"))))))</f>
        <v/>
      </c>
      <c r="Q76" s="21">
        <f>IF(A76="","",IF(C76="","対象外",IF(F76="直接業務","対象外",IF(OR(F76&lt;&gt;"間接業務",COUNTIF('システム'!$A$4:$A$200,C76)=0,U76="",V76="紐付けにない組み合わせ",V76="案件が未登録"),"判定保留","移管"))))</f>
        <v/>
      </c>
      <c r="R76" s="21">
        <f>IF(A76="","",IF(Q76&lt;&gt;"移管","—",IF(O76="","判定保留",IFERROR(INDEX('判定表'!$E:$E,MATCH("W|"&amp;O76&amp;"|なし",'判定表'!$A:$A,0)),"判定表にない回答"))))</f>
        <v/>
      </c>
      <c r="S76" s="33" t="n"/>
      <c r="T76" s="18" t="n"/>
      <c r="U76" s="18" t="n"/>
      <c r="V76" s="21">
        <f>IF(U76="","",IF(COUNTIFS('紐付け'!$A$4:$A$200,U76,'紐付け'!$C$4:$C$200,C76)=0,"紐付けにない組み合わせ",IFERROR(INDEX('予算一覧'!$B:$B,MATCH(U76,'予算一覧'!$A:$A,0)),"案件が未登録")))</f>
        <v/>
      </c>
      <c r="W76" s="33" t="n"/>
    </row>
    <row r="77">
      <c r="A77" s="18" t="n"/>
      <c r="B77" s="18" t="n"/>
      <c r="C77" s="18" t="n"/>
      <c r="D77" s="21">
        <f>IF(C77="","",IFERROR(INDEX('システム'!$B:$B,MATCH(C77,'システム'!$A:$A,0)),"システムが未登録"))</f>
        <v/>
      </c>
      <c r="E77" s="18" t="n"/>
      <c r="F77" s="21">
        <f>IF(E77="","",IFERROR(INDEX('選択肢'!$L$5:$L$14,MATCH(E77,'選択肢'!$K$5:$K$14,0)),"選択肢にない種類"))</f>
        <v/>
      </c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21">
        <f>IF(A77="","",IF(F77="直接業務","—",IF(J77&lt;&gt;"済","判定保留",IF(OR(O77="",K77="",L77="",M77="",K77="未確認",L77="未確認"),"判定保留",IF(AND(K77="はい",M77="無"),"入力エラー（GxP対象でSOP無）",IFERROR(INDEX('判定表'!$D:$D,MATCH("W|"&amp;O77&amp;"|"&amp;IF(OR(K77="はい",L77="はい",M77="無"),"あり","なし"),'判定表'!$A:$A,0)),"判定表にない組み合わせ"))))))</f>
        <v/>
      </c>
      <c r="Q77" s="21">
        <f>IF(A77="","",IF(C77="","対象外",IF(F77="直接業務","対象外",IF(OR(F77&lt;&gt;"間接業務",COUNTIF('システム'!$A$4:$A$200,C77)=0,U77="",V77="紐付けにない組み合わせ",V77="案件が未登録"),"判定保留","移管"))))</f>
        <v/>
      </c>
      <c r="R77" s="21">
        <f>IF(A77="","",IF(Q77&lt;&gt;"移管","—",IF(O77="","判定保留",IFERROR(INDEX('判定表'!$E:$E,MATCH("W|"&amp;O77&amp;"|なし",'判定表'!$A:$A,0)),"判定表にない回答"))))</f>
        <v/>
      </c>
      <c r="S77" s="33" t="n"/>
      <c r="T77" s="18" t="n"/>
      <c r="U77" s="18" t="n"/>
      <c r="V77" s="21">
        <f>IF(U77="","",IF(COUNTIFS('紐付け'!$A$4:$A$200,U77,'紐付け'!$C$4:$C$200,C77)=0,"紐付けにない組み合わせ",IFERROR(INDEX('予算一覧'!$B:$B,MATCH(U77,'予算一覧'!$A:$A,0)),"案件が未登録")))</f>
        <v/>
      </c>
      <c r="W77" s="33" t="n"/>
    </row>
    <row r="78">
      <c r="A78" s="18" t="n"/>
      <c r="B78" s="18" t="n"/>
      <c r="C78" s="18" t="n"/>
      <c r="D78" s="21">
        <f>IF(C78="","",IFERROR(INDEX('システム'!$B:$B,MATCH(C78,'システム'!$A:$A,0)),"システムが未登録"))</f>
        <v/>
      </c>
      <c r="E78" s="18" t="n"/>
      <c r="F78" s="21">
        <f>IF(E78="","",IFERROR(INDEX('選択肢'!$L$5:$L$14,MATCH(E78,'選択肢'!$K$5:$K$14,0)),"選択肢にない種類"))</f>
        <v/>
      </c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21">
        <f>IF(A78="","",IF(F78="直接業務","—",IF(J78&lt;&gt;"済","判定保留",IF(OR(O78="",K78="",L78="",M78="",K78="未確認",L78="未確認"),"判定保留",IF(AND(K78="はい",M78="無"),"入力エラー（GxP対象でSOP無）",IFERROR(INDEX('判定表'!$D:$D,MATCH("W|"&amp;O78&amp;"|"&amp;IF(OR(K78="はい",L78="はい",M78="無"),"あり","なし"),'判定表'!$A:$A,0)),"判定表にない組み合わせ"))))))</f>
        <v/>
      </c>
      <c r="Q78" s="21">
        <f>IF(A78="","",IF(C78="","対象外",IF(F78="直接業務","対象外",IF(OR(F78&lt;&gt;"間接業務",COUNTIF('システム'!$A$4:$A$200,C78)=0,U78="",V78="紐付けにない組み合わせ",V78="案件が未登録"),"判定保留","移管"))))</f>
        <v/>
      </c>
      <c r="R78" s="21">
        <f>IF(A78="","",IF(Q78&lt;&gt;"移管","—",IF(O78="","判定保留",IFERROR(INDEX('判定表'!$E:$E,MATCH("W|"&amp;O78&amp;"|なし",'判定表'!$A:$A,0)),"判定表にない回答"))))</f>
        <v/>
      </c>
      <c r="S78" s="33" t="n"/>
      <c r="T78" s="18" t="n"/>
      <c r="U78" s="18" t="n"/>
      <c r="V78" s="21">
        <f>IF(U78="","",IF(COUNTIFS('紐付け'!$A$4:$A$200,U78,'紐付け'!$C$4:$C$200,C78)=0,"紐付けにない組み合わせ",IFERROR(INDEX('予算一覧'!$B:$B,MATCH(U78,'予算一覧'!$A:$A,0)),"案件が未登録")))</f>
        <v/>
      </c>
      <c r="W78" s="33" t="n"/>
    </row>
    <row r="79">
      <c r="A79" s="18" t="n"/>
      <c r="B79" s="18" t="n"/>
      <c r="C79" s="18" t="n"/>
      <c r="D79" s="21">
        <f>IF(C79="","",IFERROR(INDEX('システム'!$B:$B,MATCH(C79,'システム'!$A:$A,0)),"システムが未登録"))</f>
        <v/>
      </c>
      <c r="E79" s="18" t="n"/>
      <c r="F79" s="21">
        <f>IF(E79="","",IFERROR(INDEX('選択肢'!$L$5:$L$14,MATCH(E79,'選択肢'!$K$5:$K$14,0)),"選択肢にない種類"))</f>
        <v/>
      </c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21">
        <f>IF(A79="","",IF(F79="直接業務","—",IF(J79&lt;&gt;"済","判定保留",IF(OR(O79="",K79="",L79="",M79="",K79="未確認",L79="未確認"),"判定保留",IF(AND(K79="はい",M79="無"),"入力エラー（GxP対象でSOP無）",IFERROR(INDEX('判定表'!$D:$D,MATCH("W|"&amp;O79&amp;"|"&amp;IF(OR(K79="はい",L79="はい",M79="無"),"あり","なし"),'判定表'!$A:$A,0)),"判定表にない組み合わせ"))))))</f>
        <v/>
      </c>
      <c r="Q79" s="21">
        <f>IF(A79="","",IF(C79="","対象外",IF(F79="直接業務","対象外",IF(OR(F79&lt;&gt;"間接業務",COUNTIF('システム'!$A$4:$A$200,C79)=0,U79="",V79="紐付けにない組み合わせ",V79="案件が未登録"),"判定保留","移管"))))</f>
        <v/>
      </c>
      <c r="R79" s="21">
        <f>IF(A79="","",IF(Q79&lt;&gt;"移管","—",IF(O79="","判定保留",IFERROR(INDEX('判定表'!$E:$E,MATCH("W|"&amp;O79&amp;"|なし",'判定表'!$A:$A,0)),"判定表にない回答"))))</f>
        <v/>
      </c>
      <c r="S79" s="33" t="n"/>
      <c r="T79" s="18" t="n"/>
      <c r="U79" s="18" t="n"/>
      <c r="V79" s="21">
        <f>IF(U79="","",IF(COUNTIFS('紐付け'!$A$4:$A$200,U79,'紐付け'!$C$4:$C$200,C79)=0,"紐付けにない組み合わせ",IFERROR(INDEX('予算一覧'!$B:$B,MATCH(U79,'予算一覧'!$A:$A,0)),"案件が未登録")))</f>
        <v/>
      </c>
      <c r="W79" s="33" t="n"/>
    </row>
    <row r="80">
      <c r="A80" s="18" t="n"/>
      <c r="B80" s="18" t="n"/>
      <c r="C80" s="18" t="n"/>
      <c r="D80" s="21">
        <f>IF(C80="","",IFERROR(INDEX('システム'!$B:$B,MATCH(C80,'システム'!$A:$A,0)),"システムが未登録"))</f>
        <v/>
      </c>
      <c r="E80" s="18" t="n"/>
      <c r="F80" s="21">
        <f>IF(E80="","",IFERROR(INDEX('選択肢'!$L$5:$L$14,MATCH(E80,'選択肢'!$K$5:$K$14,0)),"選択肢にない種類"))</f>
        <v/>
      </c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21">
        <f>IF(A80="","",IF(F80="直接業務","—",IF(J80&lt;&gt;"済","判定保留",IF(OR(O80="",K80="",L80="",M80="",K80="未確認",L80="未確認"),"判定保留",IF(AND(K80="はい",M80="無"),"入力エラー（GxP対象でSOP無）",IFERROR(INDEX('判定表'!$D:$D,MATCH("W|"&amp;O80&amp;"|"&amp;IF(OR(K80="はい",L80="はい",M80="無"),"あり","なし"),'判定表'!$A:$A,0)),"判定表にない組み合わせ"))))))</f>
        <v/>
      </c>
      <c r="Q80" s="21">
        <f>IF(A80="","",IF(C80="","対象外",IF(F80="直接業務","対象外",IF(OR(F80&lt;&gt;"間接業務",COUNTIF('システム'!$A$4:$A$200,C80)=0,U80="",V80="紐付けにない組み合わせ",V80="案件が未登録"),"判定保留","移管"))))</f>
        <v/>
      </c>
      <c r="R80" s="21">
        <f>IF(A80="","",IF(Q80&lt;&gt;"移管","—",IF(O80="","判定保留",IFERROR(INDEX('判定表'!$E:$E,MATCH("W|"&amp;O80&amp;"|なし",'判定表'!$A:$A,0)),"判定表にない回答"))))</f>
        <v/>
      </c>
      <c r="S80" s="33" t="n"/>
      <c r="T80" s="18" t="n"/>
      <c r="U80" s="18" t="n"/>
      <c r="V80" s="21">
        <f>IF(U80="","",IF(COUNTIFS('紐付け'!$A$4:$A$200,U80,'紐付け'!$C$4:$C$200,C80)=0,"紐付けにない組み合わせ",IFERROR(INDEX('予算一覧'!$B:$B,MATCH(U80,'予算一覧'!$A:$A,0)),"案件が未登録")))</f>
        <v/>
      </c>
      <c r="W80" s="33" t="n"/>
    </row>
    <row r="81">
      <c r="A81" s="18" t="n"/>
      <c r="B81" s="18" t="n"/>
      <c r="C81" s="18" t="n"/>
      <c r="D81" s="21">
        <f>IF(C81="","",IFERROR(INDEX('システム'!$B:$B,MATCH(C81,'システム'!$A:$A,0)),"システムが未登録"))</f>
        <v/>
      </c>
      <c r="E81" s="18" t="n"/>
      <c r="F81" s="21">
        <f>IF(E81="","",IFERROR(INDEX('選択肢'!$L$5:$L$14,MATCH(E81,'選択肢'!$K$5:$K$14,0)),"選択肢にない種類"))</f>
        <v/>
      </c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21">
        <f>IF(A81="","",IF(F81="直接業務","—",IF(J81&lt;&gt;"済","判定保留",IF(OR(O81="",K81="",L81="",M81="",K81="未確認",L81="未確認"),"判定保留",IF(AND(K81="はい",M81="無"),"入力エラー（GxP対象でSOP無）",IFERROR(INDEX('判定表'!$D:$D,MATCH("W|"&amp;O81&amp;"|"&amp;IF(OR(K81="はい",L81="はい",M81="無"),"あり","なし"),'判定表'!$A:$A,0)),"判定表にない組み合わせ"))))))</f>
        <v/>
      </c>
      <c r="Q81" s="21">
        <f>IF(A81="","",IF(C81="","対象外",IF(F81="直接業務","対象外",IF(OR(F81&lt;&gt;"間接業務",COUNTIF('システム'!$A$4:$A$200,C81)=0,U81="",V81="紐付けにない組み合わせ",V81="案件が未登録"),"判定保留","移管"))))</f>
        <v/>
      </c>
      <c r="R81" s="21">
        <f>IF(A81="","",IF(Q81&lt;&gt;"移管","—",IF(O81="","判定保留",IFERROR(INDEX('判定表'!$E:$E,MATCH("W|"&amp;O81&amp;"|なし",'判定表'!$A:$A,0)),"判定表にない回答"))))</f>
        <v/>
      </c>
      <c r="S81" s="33" t="n"/>
      <c r="T81" s="18" t="n"/>
      <c r="U81" s="18" t="n"/>
      <c r="V81" s="21">
        <f>IF(U81="","",IF(COUNTIFS('紐付け'!$A$4:$A$200,U81,'紐付け'!$C$4:$C$200,C81)=0,"紐付けにない組み合わせ",IFERROR(INDEX('予算一覧'!$B:$B,MATCH(U81,'予算一覧'!$A:$A,0)),"案件が未登録")))</f>
        <v/>
      </c>
      <c r="W81" s="33" t="n"/>
    </row>
    <row r="82">
      <c r="A82" s="18" t="n"/>
      <c r="B82" s="18" t="n"/>
      <c r="C82" s="18" t="n"/>
      <c r="D82" s="21">
        <f>IF(C82="","",IFERROR(INDEX('システム'!$B:$B,MATCH(C82,'システム'!$A:$A,0)),"システムが未登録"))</f>
        <v/>
      </c>
      <c r="E82" s="18" t="n"/>
      <c r="F82" s="21">
        <f>IF(E82="","",IFERROR(INDEX('選択肢'!$L$5:$L$14,MATCH(E82,'選択肢'!$K$5:$K$14,0)),"選択肢にない種類"))</f>
        <v/>
      </c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21">
        <f>IF(A82="","",IF(F82="直接業務","—",IF(J82&lt;&gt;"済","判定保留",IF(OR(O82="",K82="",L82="",M82="",K82="未確認",L82="未確認"),"判定保留",IF(AND(K82="はい",M82="無"),"入力エラー（GxP対象でSOP無）",IFERROR(INDEX('判定表'!$D:$D,MATCH("W|"&amp;O82&amp;"|"&amp;IF(OR(K82="はい",L82="はい",M82="無"),"あり","なし"),'判定表'!$A:$A,0)),"判定表にない組み合わせ"))))))</f>
        <v/>
      </c>
      <c r="Q82" s="21">
        <f>IF(A82="","",IF(C82="","対象外",IF(F82="直接業務","対象外",IF(OR(F82&lt;&gt;"間接業務",COUNTIF('システム'!$A$4:$A$200,C82)=0,U82="",V82="紐付けにない組み合わせ",V82="案件が未登録"),"判定保留","移管"))))</f>
        <v/>
      </c>
      <c r="R82" s="21">
        <f>IF(A82="","",IF(Q82&lt;&gt;"移管","—",IF(O82="","判定保留",IFERROR(INDEX('判定表'!$E:$E,MATCH("W|"&amp;O82&amp;"|なし",'判定表'!$A:$A,0)),"判定表にない回答"))))</f>
        <v/>
      </c>
      <c r="S82" s="33" t="n"/>
      <c r="T82" s="18" t="n"/>
      <c r="U82" s="18" t="n"/>
      <c r="V82" s="21">
        <f>IF(U82="","",IF(COUNTIFS('紐付け'!$A$4:$A$200,U82,'紐付け'!$C$4:$C$200,C82)=0,"紐付けにない組み合わせ",IFERROR(INDEX('予算一覧'!$B:$B,MATCH(U82,'予算一覧'!$A:$A,0)),"案件が未登録")))</f>
        <v/>
      </c>
      <c r="W82" s="33" t="n"/>
    </row>
    <row r="83">
      <c r="A83" s="18" t="n"/>
      <c r="B83" s="18" t="n"/>
      <c r="C83" s="18" t="n"/>
      <c r="D83" s="21">
        <f>IF(C83="","",IFERROR(INDEX('システム'!$B:$B,MATCH(C83,'システム'!$A:$A,0)),"システムが未登録"))</f>
        <v/>
      </c>
      <c r="E83" s="18" t="n"/>
      <c r="F83" s="21">
        <f>IF(E83="","",IFERROR(INDEX('選択肢'!$L$5:$L$14,MATCH(E83,'選択肢'!$K$5:$K$14,0)),"選択肢にない種類"))</f>
        <v/>
      </c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21">
        <f>IF(A83="","",IF(F83="直接業務","—",IF(J83&lt;&gt;"済","判定保留",IF(OR(O83="",K83="",L83="",M83="",K83="未確認",L83="未確認"),"判定保留",IF(AND(K83="はい",M83="無"),"入力エラー（GxP対象でSOP無）",IFERROR(INDEX('判定表'!$D:$D,MATCH("W|"&amp;O83&amp;"|"&amp;IF(OR(K83="はい",L83="はい",M83="無"),"あり","なし"),'判定表'!$A:$A,0)),"判定表にない組み合わせ"))))))</f>
        <v/>
      </c>
      <c r="Q83" s="21">
        <f>IF(A83="","",IF(C83="","対象外",IF(F83="直接業務","対象外",IF(OR(F83&lt;&gt;"間接業務",COUNTIF('システム'!$A$4:$A$200,C83)=0,U83="",V83="紐付けにない組み合わせ",V83="案件が未登録"),"判定保留","移管"))))</f>
        <v/>
      </c>
      <c r="R83" s="21">
        <f>IF(A83="","",IF(Q83&lt;&gt;"移管","—",IF(O83="","判定保留",IFERROR(INDEX('判定表'!$E:$E,MATCH("W|"&amp;O83&amp;"|なし",'判定表'!$A:$A,0)),"判定表にない回答"))))</f>
        <v/>
      </c>
      <c r="S83" s="33" t="n"/>
      <c r="T83" s="18" t="n"/>
      <c r="U83" s="18" t="n"/>
      <c r="V83" s="21">
        <f>IF(U83="","",IF(COUNTIFS('紐付け'!$A$4:$A$200,U83,'紐付け'!$C$4:$C$200,C83)=0,"紐付けにない組み合わせ",IFERROR(INDEX('予算一覧'!$B:$B,MATCH(U83,'予算一覧'!$A:$A,0)),"案件が未登録")))</f>
        <v/>
      </c>
      <c r="W83" s="33" t="n"/>
    </row>
    <row r="84">
      <c r="A84" s="18" t="n"/>
      <c r="B84" s="18" t="n"/>
      <c r="C84" s="18" t="n"/>
      <c r="D84" s="21">
        <f>IF(C84="","",IFERROR(INDEX('システム'!$B:$B,MATCH(C84,'システム'!$A:$A,0)),"システムが未登録"))</f>
        <v/>
      </c>
      <c r="E84" s="18" t="n"/>
      <c r="F84" s="21">
        <f>IF(E84="","",IFERROR(INDEX('選択肢'!$L$5:$L$14,MATCH(E84,'選択肢'!$K$5:$K$14,0)),"選択肢にない種類"))</f>
        <v/>
      </c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21">
        <f>IF(A84="","",IF(F84="直接業務","—",IF(J84&lt;&gt;"済","判定保留",IF(OR(O84="",K84="",L84="",M84="",K84="未確認",L84="未確認"),"判定保留",IF(AND(K84="はい",M84="無"),"入力エラー（GxP対象でSOP無）",IFERROR(INDEX('判定表'!$D:$D,MATCH("W|"&amp;O84&amp;"|"&amp;IF(OR(K84="はい",L84="はい",M84="無"),"あり","なし"),'判定表'!$A:$A,0)),"判定表にない組み合わせ"))))))</f>
        <v/>
      </c>
      <c r="Q84" s="21">
        <f>IF(A84="","",IF(C84="","対象外",IF(F84="直接業務","対象外",IF(OR(F84&lt;&gt;"間接業務",COUNTIF('システム'!$A$4:$A$200,C84)=0,U84="",V84="紐付けにない組み合わせ",V84="案件が未登録"),"判定保留","移管"))))</f>
        <v/>
      </c>
      <c r="R84" s="21">
        <f>IF(A84="","",IF(Q84&lt;&gt;"移管","—",IF(O84="","判定保留",IFERROR(INDEX('判定表'!$E:$E,MATCH("W|"&amp;O84&amp;"|なし",'判定表'!$A:$A,0)),"判定表にない回答"))))</f>
        <v/>
      </c>
      <c r="S84" s="33" t="n"/>
      <c r="T84" s="18" t="n"/>
      <c r="U84" s="18" t="n"/>
      <c r="V84" s="21">
        <f>IF(U84="","",IF(COUNTIFS('紐付け'!$A$4:$A$200,U84,'紐付け'!$C$4:$C$200,C84)=0,"紐付けにない組み合わせ",IFERROR(INDEX('予算一覧'!$B:$B,MATCH(U84,'予算一覧'!$A:$A,0)),"案件が未登録")))</f>
        <v/>
      </c>
      <c r="W84" s="33" t="n"/>
    </row>
    <row r="85">
      <c r="A85" s="18" t="n"/>
      <c r="B85" s="18" t="n"/>
      <c r="C85" s="18" t="n"/>
      <c r="D85" s="21">
        <f>IF(C85="","",IFERROR(INDEX('システム'!$B:$B,MATCH(C85,'システム'!$A:$A,0)),"システムが未登録"))</f>
        <v/>
      </c>
      <c r="E85" s="18" t="n"/>
      <c r="F85" s="21">
        <f>IF(E85="","",IFERROR(INDEX('選択肢'!$L$5:$L$14,MATCH(E85,'選択肢'!$K$5:$K$14,0)),"選択肢にない種類"))</f>
        <v/>
      </c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21">
        <f>IF(A85="","",IF(F85="直接業務","—",IF(J85&lt;&gt;"済","判定保留",IF(OR(O85="",K85="",L85="",M85="",K85="未確認",L85="未確認"),"判定保留",IF(AND(K85="はい",M85="無"),"入力エラー（GxP対象でSOP無）",IFERROR(INDEX('判定表'!$D:$D,MATCH("W|"&amp;O85&amp;"|"&amp;IF(OR(K85="はい",L85="はい",M85="無"),"あり","なし"),'判定表'!$A:$A,0)),"判定表にない組み合わせ"))))))</f>
        <v/>
      </c>
      <c r="Q85" s="21">
        <f>IF(A85="","",IF(C85="","対象外",IF(F85="直接業務","対象外",IF(OR(F85&lt;&gt;"間接業務",COUNTIF('システム'!$A$4:$A$200,C85)=0,U85="",V85="紐付けにない組み合わせ",V85="案件が未登録"),"判定保留","移管"))))</f>
        <v/>
      </c>
      <c r="R85" s="21">
        <f>IF(A85="","",IF(Q85&lt;&gt;"移管","—",IF(O85="","判定保留",IFERROR(INDEX('判定表'!$E:$E,MATCH("W|"&amp;O85&amp;"|なし",'判定表'!$A:$A,0)),"判定表にない回答"))))</f>
        <v/>
      </c>
      <c r="S85" s="33" t="n"/>
      <c r="T85" s="18" t="n"/>
      <c r="U85" s="18" t="n"/>
      <c r="V85" s="21">
        <f>IF(U85="","",IF(COUNTIFS('紐付け'!$A$4:$A$200,U85,'紐付け'!$C$4:$C$200,C85)=0,"紐付けにない組み合わせ",IFERROR(INDEX('予算一覧'!$B:$B,MATCH(U85,'予算一覧'!$A:$A,0)),"案件が未登録")))</f>
        <v/>
      </c>
      <c r="W85" s="33" t="n"/>
    </row>
    <row r="86">
      <c r="A86" s="18" t="n"/>
      <c r="B86" s="18" t="n"/>
      <c r="C86" s="18" t="n"/>
      <c r="D86" s="21">
        <f>IF(C86="","",IFERROR(INDEX('システム'!$B:$B,MATCH(C86,'システム'!$A:$A,0)),"システムが未登録"))</f>
        <v/>
      </c>
      <c r="E86" s="18" t="n"/>
      <c r="F86" s="21">
        <f>IF(E86="","",IFERROR(INDEX('選択肢'!$L$5:$L$14,MATCH(E86,'選択肢'!$K$5:$K$14,0)),"選択肢にない種類"))</f>
        <v/>
      </c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21">
        <f>IF(A86="","",IF(F86="直接業務","—",IF(J86&lt;&gt;"済","判定保留",IF(OR(O86="",K86="",L86="",M86="",K86="未確認",L86="未確認"),"判定保留",IF(AND(K86="はい",M86="無"),"入力エラー（GxP対象でSOP無）",IFERROR(INDEX('判定表'!$D:$D,MATCH("W|"&amp;O86&amp;"|"&amp;IF(OR(K86="はい",L86="はい",M86="無"),"あり","なし"),'判定表'!$A:$A,0)),"判定表にない組み合わせ"))))))</f>
        <v/>
      </c>
      <c r="Q86" s="21">
        <f>IF(A86="","",IF(C86="","対象外",IF(F86="直接業務","対象外",IF(OR(F86&lt;&gt;"間接業務",COUNTIF('システム'!$A$4:$A$200,C86)=0,U86="",V86="紐付けにない組み合わせ",V86="案件が未登録"),"判定保留","移管"))))</f>
        <v/>
      </c>
      <c r="R86" s="21">
        <f>IF(A86="","",IF(Q86&lt;&gt;"移管","—",IF(O86="","判定保留",IFERROR(INDEX('判定表'!$E:$E,MATCH("W|"&amp;O86&amp;"|なし",'判定表'!$A:$A,0)),"判定表にない回答"))))</f>
        <v/>
      </c>
      <c r="S86" s="33" t="n"/>
      <c r="T86" s="18" t="n"/>
      <c r="U86" s="18" t="n"/>
      <c r="V86" s="21">
        <f>IF(U86="","",IF(COUNTIFS('紐付け'!$A$4:$A$200,U86,'紐付け'!$C$4:$C$200,C86)=0,"紐付けにない組み合わせ",IFERROR(INDEX('予算一覧'!$B:$B,MATCH(U86,'予算一覧'!$A:$A,0)),"案件が未登録")))</f>
        <v/>
      </c>
      <c r="W86" s="33" t="n"/>
    </row>
    <row r="87">
      <c r="A87" s="18" t="n"/>
      <c r="B87" s="18" t="n"/>
      <c r="C87" s="18" t="n"/>
      <c r="D87" s="21">
        <f>IF(C87="","",IFERROR(INDEX('システム'!$B:$B,MATCH(C87,'システム'!$A:$A,0)),"システムが未登録"))</f>
        <v/>
      </c>
      <c r="E87" s="18" t="n"/>
      <c r="F87" s="21">
        <f>IF(E87="","",IFERROR(INDEX('選択肢'!$L$5:$L$14,MATCH(E87,'選択肢'!$K$5:$K$14,0)),"選択肢にない種類"))</f>
        <v/>
      </c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21">
        <f>IF(A87="","",IF(F87="直接業務","—",IF(J87&lt;&gt;"済","判定保留",IF(OR(O87="",K87="",L87="",M87="",K87="未確認",L87="未確認"),"判定保留",IF(AND(K87="はい",M87="無"),"入力エラー（GxP対象でSOP無）",IFERROR(INDEX('判定表'!$D:$D,MATCH("W|"&amp;O87&amp;"|"&amp;IF(OR(K87="はい",L87="はい",M87="無"),"あり","なし"),'判定表'!$A:$A,0)),"判定表にない組み合わせ"))))))</f>
        <v/>
      </c>
      <c r="Q87" s="21">
        <f>IF(A87="","",IF(C87="","対象外",IF(F87="直接業務","対象外",IF(OR(F87&lt;&gt;"間接業務",COUNTIF('システム'!$A$4:$A$200,C87)=0,U87="",V87="紐付けにない組み合わせ",V87="案件が未登録"),"判定保留","移管"))))</f>
        <v/>
      </c>
      <c r="R87" s="21">
        <f>IF(A87="","",IF(Q87&lt;&gt;"移管","—",IF(O87="","判定保留",IFERROR(INDEX('判定表'!$E:$E,MATCH("W|"&amp;O87&amp;"|なし",'判定表'!$A:$A,0)),"判定表にない回答"))))</f>
        <v/>
      </c>
      <c r="S87" s="33" t="n"/>
      <c r="T87" s="18" t="n"/>
      <c r="U87" s="18" t="n"/>
      <c r="V87" s="21">
        <f>IF(U87="","",IF(COUNTIFS('紐付け'!$A$4:$A$200,U87,'紐付け'!$C$4:$C$200,C87)=0,"紐付けにない組み合わせ",IFERROR(INDEX('予算一覧'!$B:$B,MATCH(U87,'予算一覧'!$A:$A,0)),"案件が未登録")))</f>
        <v/>
      </c>
      <c r="W87" s="33" t="n"/>
    </row>
    <row r="88">
      <c r="A88" s="18" t="n"/>
      <c r="B88" s="18" t="n"/>
      <c r="C88" s="18" t="n"/>
      <c r="D88" s="21">
        <f>IF(C88="","",IFERROR(INDEX('システム'!$B:$B,MATCH(C88,'システム'!$A:$A,0)),"システムが未登録"))</f>
        <v/>
      </c>
      <c r="E88" s="18" t="n"/>
      <c r="F88" s="21">
        <f>IF(E88="","",IFERROR(INDEX('選択肢'!$L$5:$L$14,MATCH(E88,'選択肢'!$K$5:$K$14,0)),"選択肢にない種類"))</f>
        <v/>
      </c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21">
        <f>IF(A88="","",IF(F88="直接業務","—",IF(J88&lt;&gt;"済","判定保留",IF(OR(O88="",K88="",L88="",M88="",K88="未確認",L88="未確認"),"判定保留",IF(AND(K88="はい",M88="無"),"入力エラー（GxP対象でSOP無）",IFERROR(INDEX('判定表'!$D:$D,MATCH("W|"&amp;O88&amp;"|"&amp;IF(OR(K88="はい",L88="はい",M88="無"),"あり","なし"),'判定表'!$A:$A,0)),"判定表にない組み合わせ"))))))</f>
        <v/>
      </c>
      <c r="Q88" s="21">
        <f>IF(A88="","",IF(C88="","対象外",IF(F88="直接業務","対象外",IF(OR(F88&lt;&gt;"間接業務",COUNTIF('システム'!$A$4:$A$200,C88)=0,U88="",V88="紐付けにない組み合わせ",V88="案件が未登録"),"判定保留","移管"))))</f>
        <v/>
      </c>
      <c r="R88" s="21">
        <f>IF(A88="","",IF(Q88&lt;&gt;"移管","—",IF(O88="","判定保留",IFERROR(INDEX('判定表'!$E:$E,MATCH("W|"&amp;O88&amp;"|なし",'判定表'!$A:$A,0)),"判定表にない回答"))))</f>
        <v/>
      </c>
      <c r="S88" s="33" t="n"/>
      <c r="T88" s="18" t="n"/>
      <c r="U88" s="18" t="n"/>
      <c r="V88" s="21">
        <f>IF(U88="","",IF(COUNTIFS('紐付け'!$A$4:$A$200,U88,'紐付け'!$C$4:$C$200,C88)=0,"紐付けにない組み合わせ",IFERROR(INDEX('予算一覧'!$B:$B,MATCH(U88,'予算一覧'!$A:$A,0)),"案件が未登録")))</f>
        <v/>
      </c>
      <c r="W88" s="33" t="n"/>
    </row>
    <row r="89">
      <c r="A89" s="18" t="n"/>
      <c r="B89" s="18" t="n"/>
      <c r="C89" s="18" t="n"/>
      <c r="D89" s="21">
        <f>IF(C89="","",IFERROR(INDEX('システム'!$B:$B,MATCH(C89,'システム'!$A:$A,0)),"システムが未登録"))</f>
        <v/>
      </c>
      <c r="E89" s="18" t="n"/>
      <c r="F89" s="21">
        <f>IF(E89="","",IFERROR(INDEX('選択肢'!$L$5:$L$14,MATCH(E89,'選択肢'!$K$5:$K$14,0)),"選択肢にない種類"))</f>
        <v/>
      </c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21">
        <f>IF(A89="","",IF(F89="直接業務","—",IF(J89&lt;&gt;"済","判定保留",IF(OR(O89="",K89="",L89="",M89="",K89="未確認",L89="未確認"),"判定保留",IF(AND(K89="はい",M89="無"),"入力エラー（GxP対象でSOP無）",IFERROR(INDEX('判定表'!$D:$D,MATCH("W|"&amp;O89&amp;"|"&amp;IF(OR(K89="はい",L89="はい",M89="無"),"あり","なし"),'判定表'!$A:$A,0)),"判定表にない組み合わせ"))))))</f>
        <v/>
      </c>
      <c r="Q89" s="21">
        <f>IF(A89="","",IF(C89="","対象外",IF(F89="直接業務","対象外",IF(OR(F89&lt;&gt;"間接業務",COUNTIF('システム'!$A$4:$A$200,C89)=0,U89="",V89="紐付けにない組み合わせ",V89="案件が未登録"),"判定保留","移管"))))</f>
        <v/>
      </c>
      <c r="R89" s="21">
        <f>IF(A89="","",IF(Q89&lt;&gt;"移管","—",IF(O89="","判定保留",IFERROR(INDEX('判定表'!$E:$E,MATCH("W|"&amp;O89&amp;"|なし",'判定表'!$A:$A,0)),"判定表にない回答"))))</f>
        <v/>
      </c>
      <c r="S89" s="33" t="n"/>
      <c r="T89" s="18" t="n"/>
      <c r="U89" s="18" t="n"/>
      <c r="V89" s="21">
        <f>IF(U89="","",IF(COUNTIFS('紐付け'!$A$4:$A$200,U89,'紐付け'!$C$4:$C$200,C89)=0,"紐付けにない組み合わせ",IFERROR(INDEX('予算一覧'!$B:$B,MATCH(U89,'予算一覧'!$A:$A,0)),"案件が未登録")))</f>
        <v/>
      </c>
      <c r="W89" s="33" t="n"/>
    </row>
    <row r="90">
      <c r="A90" s="18" t="n"/>
      <c r="B90" s="18" t="n"/>
      <c r="C90" s="18" t="n"/>
      <c r="D90" s="21">
        <f>IF(C90="","",IFERROR(INDEX('システム'!$B:$B,MATCH(C90,'システム'!$A:$A,0)),"システムが未登録"))</f>
        <v/>
      </c>
      <c r="E90" s="18" t="n"/>
      <c r="F90" s="21">
        <f>IF(E90="","",IFERROR(INDEX('選択肢'!$L$5:$L$14,MATCH(E90,'選択肢'!$K$5:$K$14,0)),"選択肢にない種類"))</f>
        <v/>
      </c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21">
        <f>IF(A90="","",IF(F90="直接業務","—",IF(J90&lt;&gt;"済","判定保留",IF(OR(O90="",K90="",L90="",M90="",K90="未確認",L90="未確認"),"判定保留",IF(AND(K90="はい",M90="無"),"入力エラー（GxP対象でSOP無）",IFERROR(INDEX('判定表'!$D:$D,MATCH("W|"&amp;O90&amp;"|"&amp;IF(OR(K90="はい",L90="はい",M90="無"),"あり","なし"),'判定表'!$A:$A,0)),"判定表にない組み合わせ"))))))</f>
        <v/>
      </c>
      <c r="Q90" s="21">
        <f>IF(A90="","",IF(C90="","対象外",IF(F90="直接業務","対象外",IF(OR(F90&lt;&gt;"間接業務",COUNTIF('システム'!$A$4:$A$200,C90)=0,U90="",V90="紐付けにない組み合わせ",V90="案件が未登録"),"判定保留","移管"))))</f>
        <v/>
      </c>
      <c r="R90" s="21">
        <f>IF(A90="","",IF(Q90&lt;&gt;"移管","—",IF(O90="","判定保留",IFERROR(INDEX('判定表'!$E:$E,MATCH("W|"&amp;O90&amp;"|なし",'判定表'!$A:$A,0)),"判定表にない回答"))))</f>
        <v/>
      </c>
      <c r="S90" s="33" t="n"/>
      <c r="T90" s="18" t="n"/>
      <c r="U90" s="18" t="n"/>
      <c r="V90" s="21">
        <f>IF(U90="","",IF(COUNTIFS('紐付け'!$A$4:$A$200,U90,'紐付け'!$C$4:$C$200,C90)=0,"紐付けにない組み合わせ",IFERROR(INDEX('予算一覧'!$B:$B,MATCH(U90,'予算一覧'!$A:$A,0)),"案件が未登録")))</f>
        <v/>
      </c>
      <c r="W90" s="33" t="n"/>
    </row>
    <row r="91">
      <c r="A91" s="18" t="n"/>
      <c r="B91" s="18" t="n"/>
      <c r="C91" s="18" t="n"/>
      <c r="D91" s="21">
        <f>IF(C91="","",IFERROR(INDEX('システム'!$B:$B,MATCH(C91,'システム'!$A:$A,0)),"システムが未登録"))</f>
        <v/>
      </c>
      <c r="E91" s="18" t="n"/>
      <c r="F91" s="21">
        <f>IF(E91="","",IFERROR(INDEX('選択肢'!$L$5:$L$14,MATCH(E91,'選択肢'!$K$5:$K$14,0)),"選択肢にない種類"))</f>
        <v/>
      </c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21">
        <f>IF(A91="","",IF(F91="直接業務","—",IF(J91&lt;&gt;"済","判定保留",IF(OR(O91="",K91="",L91="",M91="",K91="未確認",L91="未確認"),"判定保留",IF(AND(K91="はい",M91="無"),"入力エラー（GxP対象でSOP無）",IFERROR(INDEX('判定表'!$D:$D,MATCH("W|"&amp;O91&amp;"|"&amp;IF(OR(K91="はい",L91="はい",M91="無"),"あり","なし"),'判定表'!$A:$A,0)),"判定表にない組み合わせ"))))))</f>
        <v/>
      </c>
      <c r="Q91" s="21">
        <f>IF(A91="","",IF(C91="","対象外",IF(F91="直接業務","対象外",IF(OR(F91&lt;&gt;"間接業務",COUNTIF('システム'!$A$4:$A$200,C91)=0,U91="",V91="紐付けにない組み合わせ",V91="案件が未登録"),"判定保留","移管"))))</f>
        <v/>
      </c>
      <c r="R91" s="21">
        <f>IF(A91="","",IF(Q91&lt;&gt;"移管","—",IF(O91="","判定保留",IFERROR(INDEX('判定表'!$E:$E,MATCH("W|"&amp;O91&amp;"|なし",'判定表'!$A:$A,0)),"判定表にない回答"))))</f>
        <v/>
      </c>
      <c r="S91" s="33" t="n"/>
      <c r="T91" s="18" t="n"/>
      <c r="U91" s="18" t="n"/>
      <c r="V91" s="21">
        <f>IF(U91="","",IF(COUNTIFS('紐付け'!$A$4:$A$200,U91,'紐付け'!$C$4:$C$200,C91)=0,"紐付けにない組み合わせ",IFERROR(INDEX('予算一覧'!$B:$B,MATCH(U91,'予算一覧'!$A:$A,0)),"案件が未登録")))</f>
        <v/>
      </c>
      <c r="W91" s="33" t="n"/>
    </row>
    <row r="92">
      <c r="A92" s="18" t="n"/>
      <c r="B92" s="18" t="n"/>
      <c r="C92" s="18" t="n"/>
      <c r="D92" s="21">
        <f>IF(C92="","",IFERROR(INDEX('システム'!$B:$B,MATCH(C92,'システム'!$A:$A,0)),"システムが未登録"))</f>
        <v/>
      </c>
      <c r="E92" s="18" t="n"/>
      <c r="F92" s="21">
        <f>IF(E92="","",IFERROR(INDEX('選択肢'!$L$5:$L$14,MATCH(E92,'選択肢'!$K$5:$K$14,0)),"選択肢にない種類"))</f>
        <v/>
      </c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21">
        <f>IF(A92="","",IF(F92="直接業務","—",IF(J92&lt;&gt;"済","判定保留",IF(OR(O92="",K92="",L92="",M92="",K92="未確認",L92="未確認"),"判定保留",IF(AND(K92="はい",M92="無"),"入力エラー（GxP対象でSOP無）",IFERROR(INDEX('判定表'!$D:$D,MATCH("W|"&amp;O92&amp;"|"&amp;IF(OR(K92="はい",L92="はい",M92="無"),"あり","なし"),'判定表'!$A:$A,0)),"判定表にない組み合わせ"))))))</f>
        <v/>
      </c>
      <c r="Q92" s="21">
        <f>IF(A92="","",IF(C92="","対象外",IF(F92="直接業務","対象外",IF(OR(F92&lt;&gt;"間接業務",COUNTIF('システム'!$A$4:$A$200,C92)=0,U92="",V92="紐付けにない組み合わせ",V92="案件が未登録"),"判定保留","移管"))))</f>
        <v/>
      </c>
      <c r="R92" s="21">
        <f>IF(A92="","",IF(Q92&lt;&gt;"移管","—",IF(O92="","判定保留",IFERROR(INDEX('判定表'!$E:$E,MATCH("W|"&amp;O92&amp;"|なし",'判定表'!$A:$A,0)),"判定表にない回答"))))</f>
        <v/>
      </c>
      <c r="S92" s="33" t="n"/>
      <c r="T92" s="18" t="n"/>
      <c r="U92" s="18" t="n"/>
      <c r="V92" s="21">
        <f>IF(U92="","",IF(COUNTIFS('紐付け'!$A$4:$A$200,U92,'紐付け'!$C$4:$C$200,C92)=0,"紐付けにない組み合わせ",IFERROR(INDEX('予算一覧'!$B:$B,MATCH(U92,'予算一覧'!$A:$A,0)),"案件が未登録")))</f>
        <v/>
      </c>
      <c r="W92" s="33" t="n"/>
    </row>
    <row r="93">
      <c r="A93" s="18" t="n"/>
      <c r="B93" s="18" t="n"/>
      <c r="C93" s="18" t="n"/>
      <c r="D93" s="21">
        <f>IF(C93="","",IFERROR(INDEX('システム'!$B:$B,MATCH(C93,'システム'!$A:$A,0)),"システムが未登録"))</f>
        <v/>
      </c>
      <c r="E93" s="18" t="n"/>
      <c r="F93" s="21">
        <f>IF(E93="","",IFERROR(INDEX('選択肢'!$L$5:$L$14,MATCH(E93,'選択肢'!$K$5:$K$14,0)),"選択肢にない種類"))</f>
        <v/>
      </c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21">
        <f>IF(A93="","",IF(F93="直接業務","—",IF(J93&lt;&gt;"済","判定保留",IF(OR(O93="",K93="",L93="",M93="",K93="未確認",L93="未確認"),"判定保留",IF(AND(K93="はい",M93="無"),"入力エラー（GxP対象でSOP無）",IFERROR(INDEX('判定表'!$D:$D,MATCH("W|"&amp;O93&amp;"|"&amp;IF(OR(K93="はい",L93="はい",M93="無"),"あり","なし"),'判定表'!$A:$A,0)),"判定表にない組み合わせ"))))))</f>
        <v/>
      </c>
      <c r="Q93" s="21">
        <f>IF(A93="","",IF(C93="","対象外",IF(F93="直接業務","対象外",IF(OR(F93&lt;&gt;"間接業務",COUNTIF('システム'!$A$4:$A$200,C93)=0,U93="",V93="紐付けにない組み合わせ",V93="案件が未登録"),"判定保留","移管"))))</f>
        <v/>
      </c>
      <c r="R93" s="21">
        <f>IF(A93="","",IF(Q93&lt;&gt;"移管","—",IF(O93="","判定保留",IFERROR(INDEX('判定表'!$E:$E,MATCH("W|"&amp;O93&amp;"|なし",'判定表'!$A:$A,0)),"判定表にない回答"))))</f>
        <v/>
      </c>
      <c r="S93" s="33" t="n"/>
      <c r="T93" s="18" t="n"/>
      <c r="U93" s="18" t="n"/>
      <c r="V93" s="21">
        <f>IF(U93="","",IF(COUNTIFS('紐付け'!$A$4:$A$200,U93,'紐付け'!$C$4:$C$200,C93)=0,"紐付けにない組み合わせ",IFERROR(INDEX('予算一覧'!$B:$B,MATCH(U93,'予算一覧'!$A:$A,0)),"案件が未登録")))</f>
        <v/>
      </c>
      <c r="W93" s="33" t="n"/>
    </row>
    <row r="94">
      <c r="A94" s="18" t="n"/>
      <c r="B94" s="18" t="n"/>
      <c r="C94" s="18" t="n"/>
      <c r="D94" s="21">
        <f>IF(C94="","",IFERROR(INDEX('システム'!$B:$B,MATCH(C94,'システム'!$A:$A,0)),"システムが未登録"))</f>
        <v/>
      </c>
      <c r="E94" s="18" t="n"/>
      <c r="F94" s="21">
        <f>IF(E94="","",IFERROR(INDEX('選択肢'!$L$5:$L$14,MATCH(E94,'選択肢'!$K$5:$K$14,0)),"選択肢にない種類"))</f>
        <v/>
      </c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21">
        <f>IF(A94="","",IF(F94="直接業務","—",IF(J94&lt;&gt;"済","判定保留",IF(OR(O94="",K94="",L94="",M94="",K94="未確認",L94="未確認"),"判定保留",IF(AND(K94="はい",M94="無"),"入力エラー（GxP対象でSOP無）",IFERROR(INDEX('判定表'!$D:$D,MATCH("W|"&amp;O94&amp;"|"&amp;IF(OR(K94="はい",L94="はい",M94="無"),"あり","なし"),'判定表'!$A:$A,0)),"判定表にない組み合わせ"))))))</f>
        <v/>
      </c>
      <c r="Q94" s="21">
        <f>IF(A94="","",IF(C94="","対象外",IF(F94="直接業務","対象外",IF(OR(F94&lt;&gt;"間接業務",COUNTIF('システム'!$A$4:$A$200,C94)=0,U94="",V94="紐付けにない組み合わせ",V94="案件が未登録"),"判定保留","移管"))))</f>
        <v/>
      </c>
      <c r="R94" s="21">
        <f>IF(A94="","",IF(Q94&lt;&gt;"移管","—",IF(O94="","判定保留",IFERROR(INDEX('判定表'!$E:$E,MATCH("W|"&amp;O94&amp;"|なし",'判定表'!$A:$A,0)),"判定表にない回答"))))</f>
        <v/>
      </c>
      <c r="S94" s="33" t="n"/>
      <c r="T94" s="18" t="n"/>
      <c r="U94" s="18" t="n"/>
      <c r="V94" s="21">
        <f>IF(U94="","",IF(COUNTIFS('紐付け'!$A$4:$A$200,U94,'紐付け'!$C$4:$C$200,C94)=0,"紐付けにない組み合わせ",IFERROR(INDEX('予算一覧'!$B:$B,MATCH(U94,'予算一覧'!$A:$A,0)),"案件が未登録")))</f>
        <v/>
      </c>
      <c r="W94" s="33" t="n"/>
    </row>
    <row r="95">
      <c r="A95" s="18" t="n"/>
      <c r="B95" s="18" t="n"/>
      <c r="C95" s="18" t="n"/>
      <c r="D95" s="21">
        <f>IF(C95="","",IFERROR(INDEX('システム'!$B:$B,MATCH(C95,'システム'!$A:$A,0)),"システムが未登録"))</f>
        <v/>
      </c>
      <c r="E95" s="18" t="n"/>
      <c r="F95" s="21">
        <f>IF(E95="","",IFERROR(INDEX('選択肢'!$L$5:$L$14,MATCH(E95,'選択肢'!$K$5:$K$14,0)),"選択肢にない種類"))</f>
        <v/>
      </c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21">
        <f>IF(A95="","",IF(F95="直接業務","—",IF(J95&lt;&gt;"済","判定保留",IF(OR(O95="",K95="",L95="",M95="",K95="未確認",L95="未確認"),"判定保留",IF(AND(K95="はい",M95="無"),"入力エラー（GxP対象でSOP無）",IFERROR(INDEX('判定表'!$D:$D,MATCH("W|"&amp;O95&amp;"|"&amp;IF(OR(K95="はい",L95="はい",M95="無"),"あり","なし"),'判定表'!$A:$A,0)),"判定表にない組み合わせ"))))))</f>
        <v/>
      </c>
      <c r="Q95" s="21">
        <f>IF(A95="","",IF(C95="","対象外",IF(F95="直接業務","対象外",IF(OR(F95&lt;&gt;"間接業務",COUNTIF('システム'!$A$4:$A$200,C95)=0,U95="",V95="紐付けにない組み合わせ",V95="案件が未登録"),"判定保留","移管"))))</f>
        <v/>
      </c>
      <c r="R95" s="21">
        <f>IF(A95="","",IF(Q95&lt;&gt;"移管","—",IF(O95="","判定保留",IFERROR(INDEX('判定表'!$E:$E,MATCH("W|"&amp;O95&amp;"|なし",'判定表'!$A:$A,0)),"判定表にない回答"))))</f>
        <v/>
      </c>
      <c r="S95" s="33" t="n"/>
      <c r="T95" s="18" t="n"/>
      <c r="U95" s="18" t="n"/>
      <c r="V95" s="21">
        <f>IF(U95="","",IF(COUNTIFS('紐付け'!$A$4:$A$200,U95,'紐付け'!$C$4:$C$200,C95)=0,"紐付けにない組み合わせ",IFERROR(INDEX('予算一覧'!$B:$B,MATCH(U95,'予算一覧'!$A:$A,0)),"案件が未登録")))</f>
        <v/>
      </c>
      <c r="W95" s="33" t="n"/>
    </row>
    <row r="96">
      <c r="A96" s="18" t="n"/>
      <c r="B96" s="18" t="n"/>
      <c r="C96" s="18" t="n"/>
      <c r="D96" s="21">
        <f>IF(C96="","",IFERROR(INDEX('システム'!$B:$B,MATCH(C96,'システム'!$A:$A,0)),"システムが未登録"))</f>
        <v/>
      </c>
      <c r="E96" s="18" t="n"/>
      <c r="F96" s="21">
        <f>IF(E96="","",IFERROR(INDEX('選択肢'!$L$5:$L$14,MATCH(E96,'選択肢'!$K$5:$K$14,0)),"選択肢にない種類"))</f>
        <v/>
      </c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21">
        <f>IF(A96="","",IF(F96="直接業務","—",IF(J96&lt;&gt;"済","判定保留",IF(OR(O96="",K96="",L96="",M96="",K96="未確認",L96="未確認"),"判定保留",IF(AND(K96="はい",M96="無"),"入力エラー（GxP対象でSOP無）",IFERROR(INDEX('判定表'!$D:$D,MATCH("W|"&amp;O96&amp;"|"&amp;IF(OR(K96="はい",L96="はい",M96="無"),"あり","なし"),'判定表'!$A:$A,0)),"判定表にない組み合わせ"))))))</f>
        <v/>
      </c>
      <c r="Q96" s="21">
        <f>IF(A96="","",IF(C96="","対象外",IF(F96="直接業務","対象外",IF(OR(F96&lt;&gt;"間接業務",COUNTIF('システム'!$A$4:$A$200,C96)=0,U96="",V96="紐付けにない組み合わせ",V96="案件が未登録"),"判定保留","移管"))))</f>
        <v/>
      </c>
      <c r="R96" s="21">
        <f>IF(A96="","",IF(Q96&lt;&gt;"移管","—",IF(O96="","判定保留",IFERROR(INDEX('判定表'!$E:$E,MATCH("W|"&amp;O96&amp;"|なし",'判定表'!$A:$A,0)),"判定表にない回答"))))</f>
        <v/>
      </c>
      <c r="S96" s="33" t="n"/>
      <c r="T96" s="18" t="n"/>
      <c r="U96" s="18" t="n"/>
      <c r="V96" s="21">
        <f>IF(U96="","",IF(COUNTIFS('紐付け'!$A$4:$A$200,U96,'紐付け'!$C$4:$C$200,C96)=0,"紐付けにない組み合わせ",IFERROR(INDEX('予算一覧'!$B:$B,MATCH(U96,'予算一覧'!$A:$A,0)),"案件が未登録")))</f>
        <v/>
      </c>
      <c r="W96" s="33" t="n"/>
    </row>
    <row r="97">
      <c r="A97" s="18" t="n"/>
      <c r="B97" s="18" t="n"/>
      <c r="C97" s="18" t="n"/>
      <c r="D97" s="21">
        <f>IF(C97="","",IFERROR(INDEX('システム'!$B:$B,MATCH(C97,'システム'!$A:$A,0)),"システムが未登録"))</f>
        <v/>
      </c>
      <c r="E97" s="18" t="n"/>
      <c r="F97" s="21">
        <f>IF(E97="","",IFERROR(INDEX('選択肢'!$L$5:$L$14,MATCH(E97,'選択肢'!$K$5:$K$14,0)),"選択肢にない種類"))</f>
        <v/>
      </c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21">
        <f>IF(A97="","",IF(F97="直接業務","—",IF(J97&lt;&gt;"済","判定保留",IF(OR(O97="",K97="",L97="",M97="",K97="未確認",L97="未確認"),"判定保留",IF(AND(K97="はい",M97="無"),"入力エラー（GxP対象でSOP無）",IFERROR(INDEX('判定表'!$D:$D,MATCH("W|"&amp;O97&amp;"|"&amp;IF(OR(K97="はい",L97="はい",M97="無"),"あり","なし"),'判定表'!$A:$A,0)),"判定表にない組み合わせ"))))))</f>
        <v/>
      </c>
      <c r="Q97" s="21">
        <f>IF(A97="","",IF(C97="","対象外",IF(F97="直接業務","対象外",IF(OR(F97&lt;&gt;"間接業務",COUNTIF('システム'!$A$4:$A$200,C97)=0,U97="",V97="紐付けにない組み合わせ",V97="案件が未登録"),"判定保留","移管"))))</f>
        <v/>
      </c>
      <c r="R97" s="21">
        <f>IF(A97="","",IF(Q97&lt;&gt;"移管","—",IF(O97="","判定保留",IFERROR(INDEX('判定表'!$E:$E,MATCH("W|"&amp;O97&amp;"|なし",'判定表'!$A:$A,0)),"判定表にない回答"))))</f>
        <v/>
      </c>
      <c r="S97" s="33" t="n"/>
      <c r="T97" s="18" t="n"/>
      <c r="U97" s="18" t="n"/>
      <c r="V97" s="21">
        <f>IF(U97="","",IF(COUNTIFS('紐付け'!$A$4:$A$200,U97,'紐付け'!$C$4:$C$200,C97)=0,"紐付けにない組み合わせ",IFERROR(INDEX('予算一覧'!$B:$B,MATCH(U97,'予算一覧'!$A:$A,0)),"案件が未登録")))</f>
        <v/>
      </c>
      <c r="W97" s="33" t="n"/>
    </row>
    <row r="98">
      <c r="A98" s="18" t="n"/>
      <c r="B98" s="18" t="n"/>
      <c r="C98" s="18" t="n"/>
      <c r="D98" s="21">
        <f>IF(C98="","",IFERROR(INDEX('システム'!$B:$B,MATCH(C98,'システム'!$A:$A,0)),"システムが未登録"))</f>
        <v/>
      </c>
      <c r="E98" s="18" t="n"/>
      <c r="F98" s="21">
        <f>IF(E98="","",IFERROR(INDEX('選択肢'!$L$5:$L$14,MATCH(E98,'選択肢'!$K$5:$K$14,0)),"選択肢にない種類"))</f>
        <v/>
      </c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21">
        <f>IF(A98="","",IF(F98="直接業務","—",IF(J98&lt;&gt;"済","判定保留",IF(OR(O98="",K98="",L98="",M98="",K98="未確認",L98="未確認"),"判定保留",IF(AND(K98="はい",M98="無"),"入力エラー（GxP対象でSOP無）",IFERROR(INDEX('判定表'!$D:$D,MATCH("W|"&amp;O98&amp;"|"&amp;IF(OR(K98="はい",L98="はい",M98="無"),"あり","なし"),'判定表'!$A:$A,0)),"判定表にない組み合わせ"))))))</f>
        <v/>
      </c>
      <c r="Q98" s="21">
        <f>IF(A98="","",IF(C98="","対象外",IF(F98="直接業務","対象外",IF(OR(F98&lt;&gt;"間接業務",COUNTIF('システム'!$A$4:$A$200,C98)=0,U98="",V98="紐付けにない組み合わせ",V98="案件が未登録"),"判定保留","移管"))))</f>
        <v/>
      </c>
      <c r="R98" s="21">
        <f>IF(A98="","",IF(Q98&lt;&gt;"移管","—",IF(O98="","判定保留",IFERROR(INDEX('判定表'!$E:$E,MATCH("W|"&amp;O98&amp;"|なし",'判定表'!$A:$A,0)),"判定表にない回答"))))</f>
        <v/>
      </c>
      <c r="S98" s="33" t="n"/>
      <c r="T98" s="18" t="n"/>
      <c r="U98" s="18" t="n"/>
      <c r="V98" s="21">
        <f>IF(U98="","",IF(COUNTIFS('紐付け'!$A$4:$A$200,U98,'紐付け'!$C$4:$C$200,C98)=0,"紐付けにない組み合わせ",IFERROR(INDEX('予算一覧'!$B:$B,MATCH(U98,'予算一覧'!$A:$A,0)),"案件が未登録")))</f>
        <v/>
      </c>
      <c r="W98" s="33" t="n"/>
    </row>
    <row r="99">
      <c r="A99" s="18" t="n"/>
      <c r="B99" s="18" t="n"/>
      <c r="C99" s="18" t="n"/>
      <c r="D99" s="21">
        <f>IF(C99="","",IFERROR(INDEX('システム'!$B:$B,MATCH(C99,'システム'!$A:$A,0)),"システムが未登録"))</f>
        <v/>
      </c>
      <c r="E99" s="18" t="n"/>
      <c r="F99" s="21">
        <f>IF(E99="","",IFERROR(INDEX('選択肢'!$L$5:$L$14,MATCH(E99,'選択肢'!$K$5:$K$14,0)),"選択肢にない種類"))</f>
        <v/>
      </c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21">
        <f>IF(A99="","",IF(F99="直接業務","—",IF(J99&lt;&gt;"済","判定保留",IF(OR(O99="",K99="",L99="",M99="",K99="未確認",L99="未確認"),"判定保留",IF(AND(K99="はい",M99="無"),"入力エラー（GxP対象でSOP無）",IFERROR(INDEX('判定表'!$D:$D,MATCH("W|"&amp;O99&amp;"|"&amp;IF(OR(K99="はい",L99="はい",M99="無"),"あり","なし"),'判定表'!$A:$A,0)),"判定表にない組み合わせ"))))))</f>
        <v/>
      </c>
      <c r="Q99" s="21">
        <f>IF(A99="","",IF(C99="","対象外",IF(F99="直接業務","対象外",IF(OR(F99&lt;&gt;"間接業務",COUNTIF('システム'!$A$4:$A$200,C99)=0,U99="",V99="紐付けにない組み合わせ",V99="案件が未登録"),"判定保留","移管"))))</f>
        <v/>
      </c>
      <c r="R99" s="21">
        <f>IF(A99="","",IF(Q99&lt;&gt;"移管","—",IF(O99="","判定保留",IFERROR(INDEX('判定表'!$E:$E,MATCH("W|"&amp;O99&amp;"|なし",'判定表'!$A:$A,0)),"判定表にない回答"))))</f>
        <v/>
      </c>
      <c r="S99" s="33" t="n"/>
      <c r="T99" s="18" t="n"/>
      <c r="U99" s="18" t="n"/>
      <c r="V99" s="21">
        <f>IF(U99="","",IF(COUNTIFS('紐付け'!$A$4:$A$200,U99,'紐付け'!$C$4:$C$200,C99)=0,"紐付けにない組み合わせ",IFERROR(INDEX('予算一覧'!$B:$B,MATCH(U99,'予算一覧'!$A:$A,0)),"案件が未登録")))</f>
        <v/>
      </c>
      <c r="W99" s="33" t="n"/>
    </row>
    <row r="100">
      <c r="A100" s="18" t="n"/>
      <c r="B100" s="18" t="n"/>
      <c r="C100" s="18" t="n"/>
      <c r="D100" s="21">
        <f>IF(C100="","",IFERROR(INDEX('システム'!$B:$B,MATCH(C100,'システム'!$A:$A,0)),"システムが未登録"))</f>
        <v/>
      </c>
      <c r="E100" s="18" t="n"/>
      <c r="F100" s="21">
        <f>IF(E100="","",IFERROR(INDEX('選択肢'!$L$5:$L$14,MATCH(E100,'選択肢'!$K$5:$K$14,0)),"選択肢にない種類"))</f>
        <v/>
      </c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21">
        <f>IF(A100="","",IF(F100="直接業務","—",IF(J100&lt;&gt;"済","判定保留",IF(OR(O100="",K100="",L100="",M100="",K100="未確認",L100="未確認"),"判定保留",IF(AND(K100="はい",M100="無"),"入力エラー（GxP対象でSOP無）",IFERROR(INDEX('判定表'!$D:$D,MATCH("W|"&amp;O100&amp;"|"&amp;IF(OR(K100="はい",L100="はい",M100="無"),"あり","なし"),'判定表'!$A:$A,0)),"判定表にない組み合わせ"))))))</f>
        <v/>
      </c>
      <c r="Q100" s="21">
        <f>IF(A100="","",IF(C100="","対象外",IF(F100="直接業務","対象外",IF(OR(F100&lt;&gt;"間接業務",COUNTIF('システム'!$A$4:$A$200,C100)=0,U100="",V100="紐付けにない組み合わせ",V100="案件が未登録"),"判定保留","移管"))))</f>
        <v/>
      </c>
      <c r="R100" s="21">
        <f>IF(A100="","",IF(Q100&lt;&gt;"移管","—",IF(O100="","判定保留",IFERROR(INDEX('判定表'!$E:$E,MATCH("W|"&amp;O100&amp;"|なし",'判定表'!$A:$A,0)),"判定表にない回答"))))</f>
        <v/>
      </c>
      <c r="S100" s="33" t="n"/>
      <c r="T100" s="18" t="n"/>
      <c r="U100" s="18" t="n"/>
      <c r="V100" s="21">
        <f>IF(U100="","",IF(COUNTIFS('紐付け'!$A$4:$A$200,U100,'紐付け'!$C$4:$C$200,C100)=0,"紐付けにない組み合わせ",IFERROR(INDEX('予算一覧'!$B:$B,MATCH(U100,'予算一覧'!$A:$A,0)),"案件が未登録")))</f>
        <v/>
      </c>
      <c r="W100" s="33" t="n"/>
    </row>
    <row r="101">
      <c r="A101" s="18" t="n"/>
      <c r="B101" s="18" t="n"/>
      <c r="C101" s="18" t="n"/>
      <c r="D101" s="21">
        <f>IF(C101="","",IFERROR(INDEX('システム'!$B:$B,MATCH(C101,'システム'!$A:$A,0)),"システムが未登録"))</f>
        <v/>
      </c>
      <c r="E101" s="18" t="n"/>
      <c r="F101" s="21">
        <f>IF(E101="","",IFERROR(INDEX('選択肢'!$L$5:$L$14,MATCH(E101,'選択肢'!$K$5:$K$14,0)),"選択肢にない種類"))</f>
        <v/>
      </c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21">
        <f>IF(A101="","",IF(F101="直接業務","—",IF(J101&lt;&gt;"済","判定保留",IF(OR(O101="",K101="",L101="",M101="",K101="未確認",L101="未確認"),"判定保留",IF(AND(K101="はい",M101="無"),"入力エラー（GxP対象でSOP無）",IFERROR(INDEX('判定表'!$D:$D,MATCH("W|"&amp;O101&amp;"|"&amp;IF(OR(K101="はい",L101="はい",M101="無"),"あり","なし"),'判定表'!$A:$A,0)),"判定表にない組み合わせ"))))))</f>
        <v/>
      </c>
      <c r="Q101" s="21">
        <f>IF(A101="","",IF(C101="","対象外",IF(F101="直接業務","対象外",IF(OR(F101&lt;&gt;"間接業務",COUNTIF('システム'!$A$4:$A$200,C101)=0,U101="",V101="紐付けにない組み合わせ",V101="案件が未登録"),"判定保留","移管"))))</f>
        <v/>
      </c>
      <c r="R101" s="21">
        <f>IF(A101="","",IF(Q101&lt;&gt;"移管","—",IF(O101="","判定保留",IFERROR(INDEX('判定表'!$E:$E,MATCH("W|"&amp;O101&amp;"|なし",'判定表'!$A:$A,0)),"判定表にない回答"))))</f>
        <v/>
      </c>
      <c r="S101" s="33" t="n"/>
      <c r="T101" s="18" t="n"/>
      <c r="U101" s="18" t="n"/>
      <c r="V101" s="21">
        <f>IF(U101="","",IF(COUNTIFS('紐付け'!$A$4:$A$200,U101,'紐付け'!$C$4:$C$200,C101)=0,"紐付けにない組み合わせ",IFERROR(INDEX('予算一覧'!$B:$B,MATCH(U101,'予算一覧'!$A:$A,0)),"案件が未登録")))</f>
        <v/>
      </c>
      <c r="W101" s="33" t="n"/>
    </row>
    <row r="102">
      <c r="A102" s="18" t="n"/>
      <c r="B102" s="18" t="n"/>
      <c r="C102" s="18" t="n"/>
      <c r="D102" s="21">
        <f>IF(C102="","",IFERROR(INDEX('システム'!$B:$B,MATCH(C102,'システム'!$A:$A,0)),"システムが未登録"))</f>
        <v/>
      </c>
      <c r="E102" s="18" t="n"/>
      <c r="F102" s="21">
        <f>IF(E102="","",IFERROR(INDEX('選択肢'!$L$5:$L$14,MATCH(E102,'選択肢'!$K$5:$K$14,0)),"選択肢にない種類"))</f>
        <v/>
      </c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21">
        <f>IF(A102="","",IF(F102="直接業務","—",IF(J102&lt;&gt;"済","判定保留",IF(OR(O102="",K102="",L102="",M102="",K102="未確認",L102="未確認"),"判定保留",IF(AND(K102="はい",M102="無"),"入力エラー（GxP対象でSOP無）",IFERROR(INDEX('判定表'!$D:$D,MATCH("W|"&amp;O102&amp;"|"&amp;IF(OR(K102="はい",L102="はい",M102="無"),"あり","なし"),'判定表'!$A:$A,0)),"判定表にない組み合わせ"))))))</f>
        <v/>
      </c>
      <c r="Q102" s="21">
        <f>IF(A102="","",IF(C102="","対象外",IF(F102="直接業務","対象外",IF(OR(F102&lt;&gt;"間接業務",COUNTIF('システム'!$A$4:$A$200,C102)=0,U102="",V102="紐付けにない組み合わせ",V102="案件が未登録"),"判定保留","移管"))))</f>
        <v/>
      </c>
      <c r="R102" s="21">
        <f>IF(A102="","",IF(Q102&lt;&gt;"移管","—",IF(O102="","判定保留",IFERROR(INDEX('判定表'!$E:$E,MATCH("W|"&amp;O102&amp;"|なし",'判定表'!$A:$A,0)),"判定表にない回答"))))</f>
        <v/>
      </c>
      <c r="S102" s="33" t="n"/>
      <c r="T102" s="18" t="n"/>
      <c r="U102" s="18" t="n"/>
      <c r="V102" s="21">
        <f>IF(U102="","",IF(COUNTIFS('紐付け'!$A$4:$A$200,U102,'紐付け'!$C$4:$C$200,C102)=0,"紐付けにない組み合わせ",IFERROR(INDEX('予算一覧'!$B:$B,MATCH(U102,'予算一覧'!$A:$A,0)),"案件が未登録")))</f>
        <v/>
      </c>
      <c r="W102" s="33" t="n"/>
    </row>
    <row r="103">
      <c r="A103" s="18" t="n"/>
      <c r="B103" s="18" t="n"/>
      <c r="C103" s="18" t="n"/>
      <c r="D103" s="21">
        <f>IF(C103="","",IFERROR(INDEX('システム'!$B:$B,MATCH(C103,'システム'!$A:$A,0)),"システムが未登録"))</f>
        <v/>
      </c>
      <c r="E103" s="18" t="n"/>
      <c r="F103" s="21">
        <f>IF(E103="","",IFERROR(INDEX('選択肢'!$L$5:$L$14,MATCH(E103,'選択肢'!$K$5:$K$14,0)),"選択肢にない種類"))</f>
        <v/>
      </c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21">
        <f>IF(A103="","",IF(F103="直接業務","—",IF(J103&lt;&gt;"済","判定保留",IF(OR(O103="",K103="",L103="",M103="",K103="未確認",L103="未確認"),"判定保留",IF(AND(K103="はい",M103="無"),"入力エラー（GxP対象でSOP無）",IFERROR(INDEX('判定表'!$D:$D,MATCH("W|"&amp;O103&amp;"|"&amp;IF(OR(K103="はい",L103="はい",M103="無"),"あり","なし"),'判定表'!$A:$A,0)),"判定表にない組み合わせ"))))))</f>
        <v/>
      </c>
      <c r="Q103" s="21">
        <f>IF(A103="","",IF(C103="","対象外",IF(F103="直接業務","対象外",IF(OR(F103&lt;&gt;"間接業務",COUNTIF('システム'!$A$4:$A$200,C103)=0,U103="",V103="紐付けにない組み合わせ",V103="案件が未登録"),"判定保留","移管"))))</f>
        <v/>
      </c>
      <c r="R103" s="21">
        <f>IF(A103="","",IF(Q103&lt;&gt;"移管","—",IF(O103="","判定保留",IFERROR(INDEX('判定表'!$E:$E,MATCH("W|"&amp;O103&amp;"|なし",'判定表'!$A:$A,0)),"判定表にない回答"))))</f>
        <v/>
      </c>
      <c r="S103" s="33" t="n"/>
      <c r="T103" s="18" t="n"/>
      <c r="U103" s="18" t="n"/>
      <c r="V103" s="21">
        <f>IF(U103="","",IF(COUNTIFS('紐付け'!$A$4:$A$200,U103,'紐付け'!$C$4:$C$200,C103)=0,"紐付けにない組み合わせ",IFERROR(INDEX('予算一覧'!$B:$B,MATCH(U103,'予算一覧'!$A:$A,0)),"案件が未登録")))</f>
        <v/>
      </c>
      <c r="W103" s="33" t="n"/>
    </row>
    <row r="104">
      <c r="A104" s="18" t="n"/>
      <c r="B104" s="18" t="n"/>
      <c r="C104" s="18" t="n"/>
      <c r="D104" s="21">
        <f>IF(C104="","",IFERROR(INDEX('システム'!$B:$B,MATCH(C104,'システム'!$A:$A,0)),"システムが未登録"))</f>
        <v/>
      </c>
      <c r="E104" s="18" t="n"/>
      <c r="F104" s="21">
        <f>IF(E104="","",IFERROR(INDEX('選択肢'!$L$5:$L$14,MATCH(E104,'選択肢'!$K$5:$K$14,0)),"選択肢にない種類"))</f>
        <v/>
      </c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21">
        <f>IF(A104="","",IF(F104="直接業務","—",IF(J104&lt;&gt;"済","判定保留",IF(OR(O104="",K104="",L104="",M104="",K104="未確認",L104="未確認"),"判定保留",IF(AND(K104="はい",M104="無"),"入力エラー（GxP対象でSOP無）",IFERROR(INDEX('判定表'!$D:$D,MATCH("W|"&amp;O104&amp;"|"&amp;IF(OR(K104="はい",L104="はい",M104="無"),"あり","なし"),'判定表'!$A:$A,0)),"判定表にない組み合わせ"))))))</f>
        <v/>
      </c>
      <c r="Q104" s="21">
        <f>IF(A104="","",IF(C104="","対象外",IF(F104="直接業務","対象外",IF(OR(F104&lt;&gt;"間接業務",COUNTIF('システム'!$A$4:$A$200,C104)=0,U104="",V104="紐付けにない組み合わせ",V104="案件が未登録"),"判定保留","移管"))))</f>
        <v/>
      </c>
      <c r="R104" s="21">
        <f>IF(A104="","",IF(Q104&lt;&gt;"移管","—",IF(O104="","判定保留",IFERROR(INDEX('判定表'!$E:$E,MATCH("W|"&amp;O104&amp;"|なし",'判定表'!$A:$A,0)),"判定表にない回答"))))</f>
        <v/>
      </c>
      <c r="S104" s="33" t="n"/>
      <c r="T104" s="18" t="n"/>
      <c r="U104" s="18" t="n"/>
      <c r="V104" s="21">
        <f>IF(U104="","",IF(COUNTIFS('紐付け'!$A$4:$A$200,U104,'紐付け'!$C$4:$C$200,C104)=0,"紐付けにない組み合わせ",IFERROR(INDEX('予算一覧'!$B:$B,MATCH(U104,'予算一覧'!$A:$A,0)),"案件が未登録")))</f>
        <v/>
      </c>
      <c r="W104" s="33" t="n"/>
    </row>
    <row r="105">
      <c r="A105" s="18" t="n"/>
      <c r="B105" s="18" t="n"/>
      <c r="C105" s="18" t="n"/>
      <c r="D105" s="21">
        <f>IF(C105="","",IFERROR(INDEX('システム'!$B:$B,MATCH(C105,'システム'!$A:$A,0)),"システムが未登録"))</f>
        <v/>
      </c>
      <c r="E105" s="18" t="n"/>
      <c r="F105" s="21">
        <f>IF(E105="","",IFERROR(INDEX('選択肢'!$L$5:$L$14,MATCH(E105,'選択肢'!$K$5:$K$14,0)),"選択肢にない種類"))</f>
        <v/>
      </c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21">
        <f>IF(A105="","",IF(F105="直接業務","—",IF(J105&lt;&gt;"済","判定保留",IF(OR(O105="",K105="",L105="",M105="",K105="未確認",L105="未確認"),"判定保留",IF(AND(K105="はい",M105="無"),"入力エラー（GxP対象でSOP無）",IFERROR(INDEX('判定表'!$D:$D,MATCH("W|"&amp;O105&amp;"|"&amp;IF(OR(K105="はい",L105="はい",M105="無"),"あり","なし"),'判定表'!$A:$A,0)),"判定表にない組み合わせ"))))))</f>
        <v/>
      </c>
      <c r="Q105" s="21">
        <f>IF(A105="","",IF(C105="","対象外",IF(F105="直接業務","対象外",IF(OR(F105&lt;&gt;"間接業務",COUNTIF('システム'!$A$4:$A$200,C105)=0,U105="",V105="紐付けにない組み合わせ",V105="案件が未登録"),"判定保留","移管"))))</f>
        <v/>
      </c>
      <c r="R105" s="21">
        <f>IF(A105="","",IF(Q105&lt;&gt;"移管","—",IF(O105="","判定保留",IFERROR(INDEX('判定表'!$E:$E,MATCH("W|"&amp;O105&amp;"|なし",'判定表'!$A:$A,0)),"判定表にない回答"))))</f>
        <v/>
      </c>
      <c r="S105" s="33" t="n"/>
      <c r="T105" s="18" t="n"/>
      <c r="U105" s="18" t="n"/>
      <c r="V105" s="21">
        <f>IF(U105="","",IF(COUNTIFS('紐付け'!$A$4:$A$200,U105,'紐付け'!$C$4:$C$200,C105)=0,"紐付けにない組み合わせ",IFERROR(INDEX('予算一覧'!$B:$B,MATCH(U105,'予算一覧'!$A:$A,0)),"案件が未登録")))</f>
        <v/>
      </c>
      <c r="W105" s="33" t="n"/>
    </row>
    <row r="106">
      <c r="A106" s="18" t="n"/>
      <c r="B106" s="18" t="n"/>
      <c r="C106" s="18" t="n"/>
      <c r="D106" s="21">
        <f>IF(C106="","",IFERROR(INDEX('システム'!$B:$B,MATCH(C106,'システム'!$A:$A,0)),"システムが未登録"))</f>
        <v/>
      </c>
      <c r="E106" s="18" t="n"/>
      <c r="F106" s="21">
        <f>IF(E106="","",IFERROR(INDEX('選択肢'!$L$5:$L$14,MATCH(E106,'選択肢'!$K$5:$K$14,0)),"選択肢にない種類"))</f>
        <v/>
      </c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21">
        <f>IF(A106="","",IF(F106="直接業務","—",IF(J106&lt;&gt;"済","判定保留",IF(OR(O106="",K106="",L106="",M106="",K106="未確認",L106="未確認"),"判定保留",IF(AND(K106="はい",M106="無"),"入力エラー（GxP対象でSOP無）",IFERROR(INDEX('判定表'!$D:$D,MATCH("W|"&amp;O106&amp;"|"&amp;IF(OR(K106="はい",L106="はい",M106="無"),"あり","なし"),'判定表'!$A:$A,0)),"判定表にない組み合わせ"))))))</f>
        <v/>
      </c>
      <c r="Q106" s="21">
        <f>IF(A106="","",IF(C106="","対象外",IF(F106="直接業務","対象外",IF(OR(F106&lt;&gt;"間接業務",COUNTIF('システム'!$A$4:$A$200,C106)=0,U106="",V106="紐付けにない組み合わせ",V106="案件が未登録"),"判定保留","移管"))))</f>
        <v/>
      </c>
      <c r="R106" s="21">
        <f>IF(A106="","",IF(Q106&lt;&gt;"移管","—",IF(O106="","判定保留",IFERROR(INDEX('判定表'!$E:$E,MATCH("W|"&amp;O106&amp;"|なし",'判定表'!$A:$A,0)),"判定表にない回答"))))</f>
        <v/>
      </c>
      <c r="S106" s="33" t="n"/>
      <c r="T106" s="18" t="n"/>
      <c r="U106" s="18" t="n"/>
      <c r="V106" s="21">
        <f>IF(U106="","",IF(COUNTIFS('紐付け'!$A$4:$A$200,U106,'紐付け'!$C$4:$C$200,C106)=0,"紐付けにない組み合わせ",IFERROR(INDEX('予算一覧'!$B:$B,MATCH(U106,'予算一覧'!$A:$A,0)),"案件が未登録")))</f>
        <v/>
      </c>
      <c r="W106" s="33" t="n"/>
    </row>
    <row r="107">
      <c r="A107" s="18" t="n"/>
      <c r="B107" s="18" t="n"/>
      <c r="C107" s="18" t="n"/>
      <c r="D107" s="21">
        <f>IF(C107="","",IFERROR(INDEX('システム'!$B:$B,MATCH(C107,'システム'!$A:$A,0)),"システムが未登録"))</f>
        <v/>
      </c>
      <c r="E107" s="18" t="n"/>
      <c r="F107" s="21">
        <f>IF(E107="","",IFERROR(INDEX('選択肢'!$L$5:$L$14,MATCH(E107,'選択肢'!$K$5:$K$14,0)),"選択肢にない種類"))</f>
        <v/>
      </c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21">
        <f>IF(A107="","",IF(F107="直接業務","—",IF(J107&lt;&gt;"済","判定保留",IF(OR(O107="",K107="",L107="",M107="",K107="未確認",L107="未確認"),"判定保留",IF(AND(K107="はい",M107="無"),"入力エラー（GxP対象でSOP無）",IFERROR(INDEX('判定表'!$D:$D,MATCH("W|"&amp;O107&amp;"|"&amp;IF(OR(K107="はい",L107="はい",M107="無"),"あり","なし"),'判定表'!$A:$A,0)),"判定表にない組み合わせ"))))))</f>
        <v/>
      </c>
      <c r="Q107" s="21">
        <f>IF(A107="","",IF(C107="","対象外",IF(F107="直接業務","対象外",IF(OR(F107&lt;&gt;"間接業務",COUNTIF('システム'!$A$4:$A$200,C107)=0,U107="",V107="紐付けにない組み合わせ",V107="案件が未登録"),"判定保留","移管"))))</f>
        <v/>
      </c>
      <c r="R107" s="21">
        <f>IF(A107="","",IF(Q107&lt;&gt;"移管","—",IF(O107="","判定保留",IFERROR(INDEX('判定表'!$E:$E,MATCH("W|"&amp;O107&amp;"|なし",'判定表'!$A:$A,0)),"判定表にない回答"))))</f>
        <v/>
      </c>
      <c r="S107" s="33" t="n"/>
      <c r="T107" s="18" t="n"/>
      <c r="U107" s="18" t="n"/>
      <c r="V107" s="21">
        <f>IF(U107="","",IF(COUNTIFS('紐付け'!$A$4:$A$200,U107,'紐付け'!$C$4:$C$200,C107)=0,"紐付けにない組み合わせ",IFERROR(INDEX('予算一覧'!$B:$B,MATCH(U107,'予算一覧'!$A:$A,0)),"案件が未登録")))</f>
        <v/>
      </c>
      <c r="W107" s="33" t="n"/>
    </row>
    <row r="108">
      <c r="A108" s="18" t="n"/>
      <c r="B108" s="18" t="n"/>
      <c r="C108" s="18" t="n"/>
      <c r="D108" s="21">
        <f>IF(C108="","",IFERROR(INDEX('システム'!$B:$B,MATCH(C108,'システム'!$A:$A,0)),"システムが未登録"))</f>
        <v/>
      </c>
      <c r="E108" s="18" t="n"/>
      <c r="F108" s="21">
        <f>IF(E108="","",IFERROR(INDEX('選択肢'!$L$5:$L$14,MATCH(E108,'選択肢'!$K$5:$K$14,0)),"選択肢にない種類"))</f>
        <v/>
      </c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21">
        <f>IF(A108="","",IF(F108="直接業務","—",IF(J108&lt;&gt;"済","判定保留",IF(OR(O108="",K108="",L108="",M108="",K108="未確認",L108="未確認"),"判定保留",IF(AND(K108="はい",M108="無"),"入力エラー（GxP対象でSOP無）",IFERROR(INDEX('判定表'!$D:$D,MATCH("W|"&amp;O108&amp;"|"&amp;IF(OR(K108="はい",L108="はい",M108="無"),"あり","なし"),'判定表'!$A:$A,0)),"判定表にない組み合わせ"))))))</f>
        <v/>
      </c>
      <c r="Q108" s="21">
        <f>IF(A108="","",IF(C108="","対象外",IF(F108="直接業務","対象外",IF(OR(F108&lt;&gt;"間接業務",COUNTIF('システム'!$A$4:$A$200,C108)=0,U108="",V108="紐付けにない組み合わせ",V108="案件が未登録"),"判定保留","移管"))))</f>
        <v/>
      </c>
      <c r="R108" s="21">
        <f>IF(A108="","",IF(Q108&lt;&gt;"移管","—",IF(O108="","判定保留",IFERROR(INDEX('判定表'!$E:$E,MATCH("W|"&amp;O108&amp;"|なし",'判定表'!$A:$A,0)),"判定表にない回答"))))</f>
        <v/>
      </c>
      <c r="S108" s="33" t="n"/>
      <c r="T108" s="18" t="n"/>
      <c r="U108" s="18" t="n"/>
      <c r="V108" s="21">
        <f>IF(U108="","",IF(COUNTIFS('紐付け'!$A$4:$A$200,U108,'紐付け'!$C$4:$C$200,C108)=0,"紐付けにない組み合わせ",IFERROR(INDEX('予算一覧'!$B:$B,MATCH(U108,'予算一覧'!$A:$A,0)),"案件が未登録")))</f>
        <v/>
      </c>
      <c r="W108" s="33" t="n"/>
    </row>
    <row r="109">
      <c r="A109" s="18" t="n"/>
      <c r="B109" s="18" t="n"/>
      <c r="C109" s="18" t="n"/>
      <c r="D109" s="21">
        <f>IF(C109="","",IFERROR(INDEX('システム'!$B:$B,MATCH(C109,'システム'!$A:$A,0)),"システムが未登録"))</f>
        <v/>
      </c>
      <c r="E109" s="18" t="n"/>
      <c r="F109" s="21">
        <f>IF(E109="","",IFERROR(INDEX('選択肢'!$L$5:$L$14,MATCH(E109,'選択肢'!$K$5:$K$14,0)),"選択肢にない種類"))</f>
        <v/>
      </c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21">
        <f>IF(A109="","",IF(F109="直接業務","—",IF(J109&lt;&gt;"済","判定保留",IF(OR(O109="",K109="",L109="",M109="",K109="未確認",L109="未確認"),"判定保留",IF(AND(K109="はい",M109="無"),"入力エラー（GxP対象でSOP無）",IFERROR(INDEX('判定表'!$D:$D,MATCH("W|"&amp;O109&amp;"|"&amp;IF(OR(K109="はい",L109="はい",M109="無"),"あり","なし"),'判定表'!$A:$A,0)),"判定表にない組み合わせ"))))))</f>
        <v/>
      </c>
      <c r="Q109" s="21">
        <f>IF(A109="","",IF(C109="","対象外",IF(F109="直接業務","対象外",IF(OR(F109&lt;&gt;"間接業務",COUNTIF('システム'!$A$4:$A$200,C109)=0,U109="",V109="紐付けにない組み合わせ",V109="案件が未登録"),"判定保留","移管"))))</f>
        <v/>
      </c>
      <c r="R109" s="21">
        <f>IF(A109="","",IF(Q109&lt;&gt;"移管","—",IF(O109="","判定保留",IFERROR(INDEX('判定表'!$E:$E,MATCH("W|"&amp;O109&amp;"|なし",'判定表'!$A:$A,0)),"判定表にない回答"))))</f>
        <v/>
      </c>
      <c r="S109" s="33" t="n"/>
      <c r="T109" s="18" t="n"/>
      <c r="U109" s="18" t="n"/>
      <c r="V109" s="21">
        <f>IF(U109="","",IF(COUNTIFS('紐付け'!$A$4:$A$200,U109,'紐付け'!$C$4:$C$200,C109)=0,"紐付けにない組み合わせ",IFERROR(INDEX('予算一覧'!$B:$B,MATCH(U109,'予算一覧'!$A:$A,0)),"案件が未登録")))</f>
        <v/>
      </c>
      <c r="W109" s="33" t="n"/>
    </row>
    <row r="110">
      <c r="A110" s="18" t="n"/>
      <c r="B110" s="18" t="n"/>
      <c r="C110" s="18" t="n"/>
      <c r="D110" s="21">
        <f>IF(C110="","",IFERROR(INDEX('システム'!$B:$B,MATCH(C110,'システム'!$A:$A,0)),"システムが未登録"))</f>
        <v/>
      </c>
      <c r="E110" s="18" t="n"/>
      <c r="F110" s="21">
        <f>IF(E110="","",IFERROR(INDEX('選択肢'!$L$5:$L$14,MATCH(E110,'選択肢'!$K$5:$K$14,0)),"選択肢にない種類"))</f>
        <v/>
      </c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21">
        <f>IF(A110="","",IF(F110="直接業務","—",IF(J110&lt;&gt;"済","判定保留",IF(OR(O110="",K110="",L110="",M110="",K110="未確認",L110="未確認"),"判定保留",IF(AND(K110="はい",M110="無"),"入力エラー（GxP対象でSOP無）",IFERROR(INDEX('判定表'!$D:$D,MATCH("W|"&amp;O110&amp;"|"&amp;IF(OR(K110="はい",L110="はい",M110="無"),"あり","なし"),'判定表'!$A:$A,0)),"判定表にない組み合わせ"))))))</f>
        <v/>
      </c>
      <c r="Q110" s="21">
        <f>IF(A110="","",IF(C110="","対象外",IF(F110="直接業務","対象外",IF(OR(F110&lt;&gt;"間接業務",COUNTIF('システム'!$A$4:$A$200,C110)=0,U110="",V110="紐付けにない組み合わせ",V110="案件が未登録"),"判定保留","移管"))))</f>
        <v/>
      </c>
      <c r="R110" s="21">
        <f>IF(A110="","",IF(Q110&lt;&gt;"移管","—",IF(O110="","判定保留",IFERROR(INDEX('判定表'!$E:$E,MATCH("W|"&amp;O110&amp;"|なし",'判定表'!$A:$A,0)),"判定表にない回答"))))</f>
        <v/>
      </c>
      <c r="S110" s="33" t="n"/>
      <c r="T110" s="18" t="n"/>
      <c r="U110" s="18" t="n"/>
      <c r="V110" s="21">
        <f>IF(U110="","",IF(COUNTIFS('紐付け'!$A$4:$A$200,U110,'紐付け'!$C$4:$C$200,C110)=0,"紐付けにない組み合わせ",IFERROR(INDEX('予算一覧'!$B:$B,MATCH(U110,'予算一覧'!$A:$A,0)),"案件が未登録")))</f>
        <v/>
      </c>
      <c r="W110" s="33" t="n"/>
    </row>
    <row r="111">
      <c r="A111" s="18" t="n"/>
      <c r="B111" s="18" t="n"/>
      <c r="C111" s="18" t="n"/>
      <c r="D111" s="21">
        <f>IF(C111="","",IFERROR(INDEX('システム'!$B:$B,MATCH(C111,'システム'!$A:$A,0)),"システムが未登録"))</f>
        <v/>
      </c>
      <c r="E111" s="18" t="n"/>
      <c r="F111" s="21">
        <f>IF(E111="","",IFERROR(INDEX('選択肢'!$L$5:$L$14,MATCH(E111,'選択肢'!$K$5:$K$14,0)),"選択肢にない種類"))</f>
        <v/>
      </c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21">
        <f>IF(A111="","",IF(F111="直接業務","—",IF(J111&lt;&gt;"済","判定保留",IF(OR(O111="",K111="",L111="",M111="",K111="未確認",L111="未確認"),"判定保留",IF(AND(K111="はい",M111="無"),"入力エラー（GxP対象でSOP無）",IFERROR(INDEX('判定表'!$D:$D,MATCH("W|"&amp;O111&amp;"|"&amp;IF(OR(K111="はい",L111="はい",M111="無"),"あり","なし"),'判定表'!$A:$A,0)),"判定表にない組み合わせ"))))))</f>
        <v/>
      </c>
      <c r="Q111" s="21">
        <f>IF(A111="","",IF(C111="","対象外",IF(F111="直接業務","対象外",IF(OR(F111&lt;&gt;"間接業務",COUNTIF('システム'!$A$4:$A$200,C111)=0,U111="",V111="紐付けにない組み合わせ",V111="案件が未登録"),"判定保留","移管"))))</f>
        <v/>
      </c>
      <c r="R111" s="21">
        <f>IF(A111="","",IF(Q111&lt;&gt;"移管","—",IF(O111="","判定保留",IFERROR(INDEX('判定表'!$E:$E,MATCH("W|"&amp;O111&amp;"|なし",'判定表'!$A:$A,0)),"判定表にない回答"))))</f>
        <v/>
      </c>
      <c r="S111" s="33" t="n"/>
      <c r="T111" s="18" t="n"/>
      <c r="U111" s="18" t="n"/>
      <c r="V111" s="21">
        <f>IF(U111="","",IF(COUNTIFS('紐付け'!$A$4:$A$200,U111,'紐付け'!$C$4:$C$200,C111)=0,"紐付けにない組み合わせ",IFERROR(INDEX('予算一覧'!$B:$B,MATCH(U111,'予算一覧'!$A:$A,0)),"案件が未登録")))</f>
        <v/>
      </c>
      <c r="W111" s="33" t="n"/>
    </row>
    <row r="112">
      <c r="A112" s="18" t="n"/>
      <c r="B112" s="18" t="n"/>
      <c r="C112" s="18" t="n"/>
      <c r="D112" s="21">
        <f>IF(C112="","",IFERROR(INDEX('システム'!$B:$B,MATCH(C112,'システム'!$A:$A,0)),"システムが未登録"))</f>
        <v/>
      </c>
      <c r="E112" s="18" t="n"/>
      <c r="F112" s="21">
        <f>IF(E112="","",IFERROR(INDEX('選択肢'!$L$5:$L$14,MATCH(E112,'選択肢'!$K$5:$K$14,0)),"選択肢にない種類"))</f>
        <v/>
      </c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21">
        <f>IF(A112="","",IF(F112="直接業務","—",IF(J112&lt;&gt;"済","判定保留",IF(OR(O112="",K112="",L112="",M112="",K112="未確認",L112="未確認"),"判定保留",IF(AND(K112="はい",M112="無"),"入力エラー（GxP対象でSOP無）",IFERROR(INDEX('判定表'!$D:$D,MATCH("W|"&amp;O112&amp;"|"&amp;IF(OR(K112="はい",L112="はい",M112="無"),"あり","なし"),'判定表'!$A:$A,0)),"判定表にない組み合わせ"))))))</f>
        <v/>
      </c>
      <c r="Q112" s="21">
        <f>IF(A112="","",IF(C112="","対象外",IF(F112="直接業務","対象外",IF(OR(F112&lt;&gt;"間接業務",COUNTIF('システム'!$A$4:$A$200,C112)=0,U112="",V112="紐付けにない組み合わせ",V112="案件が未登録"),"判定保留","移管"))))</f>
        <v/>
      </c>
      <c r="R112" s="21">
        <f>IF(A112="","",IF(Q112&lt;&gt;"移管","—",IF(O112="","判定保留",IFERROR(INDEX('判定表'!$E:$E,MATCH("W|"&amp;O112&amp;"|なし",'判定表'!$A:$A,0)),"判定表にない回答"))))</f>
        <v/>
      </c>
      <c r="S112" s="33" t="n"/>
      <c r="T112" s="18" t="n"/>
      <c r="U112" s="18" t="n"/>
      <c r="V112" s="21">
        <f>IF(U112="","",IF(COUNTIFS('紐付け'!$A$4:$A$200,U112,'紐付け'!$C$4:$C$200,C112)=0,"紐付けにない組み合わせ",IFERROR(INDEX('予算一覧'!$B:$B,MATCH(U112,'予算一覧'!$A:$A,0)),"案件が未登録")))</f>
        <v/>
      </c>
      <c r="W112" s="33" t="n"/>
    </row>
    <row r="113">
      <c r="A113" s="18" t="n"/>
      <c r="B113" s="18" t="n"/>
      <c r="C113" s="18" t="n"/>
      <c r="D113" s="21">
        <f>IF(C113="","",IFERROR(INDEX('システム'!$B:$B,MATCH(C113,'システム'!$A:$A,0)),"システムが未登録"))</f>
        <v/>
      </c>
      <c r="E113" s="18" t="n"/>
      <c r="F113" s="21">
        <f>IF(E113="","",IFERROR(INDEX('選択肢'!$L$5:$L$14,MATCH(E113,'選択肢'!$K$5:$K$14,0)),"選択肢にない種類"))</f>
        <v/>
      </c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21">
        <f>IF(A113="","",IF(F113="直接業務","—",IF(J113&lt;&gt;"済","判定保留",IF(OR(O113="",K113="",L113="",M113="",K113="未確認",L113="未確認"),"判定保留",IF(AND(K113="はい",M113="無"),"入力エラー（GxP対象でSOP無）",IFERROR(INDEX('判定表'!$D:$D,MATCH("W|"&amp;O113&amp;"|"&amp;IF(OR(K113="はい",L113="はい",M113="無"),"あり","なし"),'判定表'!$A:$A,0)),"判定表にない組み合わせ"))))))</f>
        <v/>
      </c>
      <c r="Q113" s="21">
        <f>IF(A113="","",IF(C113="","対象外",IF(F113="直接業務","対象外",IF(OR(F113&lt;&gt;"間接業務",COUNTIF('システム'!$A$4:$A$200,C113)=0,U113="",V113="紐付けにない組み合わせ",V113="案件が未登録"),"判定保留","移管"))))</f>
        <v/>
      </c>
      <c r="R113" s="21">
        <f>IF(A113="","",IF(Q113&lt;&gt;"移管","—",IF(O113="","判定保留",IFERROR(INDEX('判定表'!$E:$E,MATCH("W|"&amp;O113&amp;"|なし",'判定表'!$A:$A,0)),"判定表にない回答"))))</f>
        <v/>
      </c>
      <c r="S113" s="33" t="n"/>
      <c r="T113" s="18" t="n"/>
      <c r="U113" s="18" t="n"/>
      <c r="V113" s="21">
        <f>IF(U113="","",IF(COUNTIFS('紐付け'!$A$4:$A$200,U113,'紐付け'!$C$4:$C$200,C113)=0,"紐付けにない組み合わせ",IFERROR(INDEX('予算一覧'!$B:$B,MATCH(U113,'予算一覧'!$A:$A,0)),"案件が未登録")))</f>
        <v/>
      </c>
      <c r="W113" s="33" t="n"/>
    </row>
    <row r="114">
      <c r="A114" s="18" t="n"/>
      <c r="B114" s="18" t="n"/>
      <c r="C114" s="18" t="n"/>
      <c r="D114" s="21">
        <f>IF(C114="","",IFERROR(INDEX('システム'!$B:$B,MATCH(C114,'システム'!$A:$A,0)),"システムが未登録"))</f>
        <v/>
      </c>
      <c r="E114" s="18" t="n"/>
      <c r="F114" s="21">
        <f>IF(E114="","",IFERROR(INDEX('選択肢'!$L$5:$L$14,MATCH(E114,'選択肢'!$K$5:$K$14,0)),"選択肢にない種類"))</f>
        <v/>
      </c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21">
        <f>IF(A114="","",IF(F114="直接業務","—",IF(J114&lt;&gt;"済","判定保留",IF(OR(O114="",K114="",L114="",M114="",K114="未確認",L114="未確認"),"判定保留",IF(AND(K114="はい",M114="無"),"入力エラー（GxP対象でSOP無）",IFERROR(INDEX('判定表'!$D:$D,MATCH("W|"&amp;O114&amp;"|"&amp;IF(OR(K114="はい",L114="はい",M114="無"),"あり","なし"),'判定表'!$A:$A,0)),"判定表にない組み合わせ"))))))</f>
        <v/>
      </c>
      <c r="Q114" s="21">
        <f>IF(A114="","",IF(C114="","対象外",IF(F114="直接業務","対象外",IF(OR(F114&lt;&gt;"間接業務",COUNTIF('システム'!$A$4:$A$200,C114)=0,U114="",V114="紐付けにない組み合わせ",V114="案件が未登録"),"判定保留","移管"))))</f>
        <v/>
      </c>
      <c r="R114" s="21">
        <f>IF(A114="","",IF(Q114&lt;&gt;"移管","—",IF(O114="","判定保留",IFERROR(INDEX('判定表'!$E:$E,MATCH("W|"&amp;O114&amp;"|なし",'判定表'!$A:$A,0)),"判定表にない回答"))))</f>
        <v/>
      </c>
      <c r="S114" s="33" t="n"/>
      <c r="T114" s="18" t="n"/>
      <c r="U114" s="18" t="n"/>
      <c r="V114" s="21">
        <f>IF(U114="","",IF(COUNTIFS('紐付け'!$A$4:$A$200,U114,'紐付け'!$C$4:$C$200,C114)=0,"紐付けにない組み合わせ",IFERROR(INDEX('予算一覧'!$B:$B,MATCH(U114,'予算一覧'!$A:$A,0)),"案件が未登録")))</f>
        <v/>
      </c>
      <c r="W114" s="33" t="n"/>
    </row>
    <row r="115">
      <c r="A115" s="18" t="n"/>
      <c r="B115" s="18" t="n"/>
      <c r="C115" s="18" t="n"/>
      <c r="D115" s="21">
        <f>IF(C115="","",IFERROR(INDEX('システム'!$B:$B,MATCH(C115,'システム'!$A:$A,0)),"システムが未登録"))</f>
        <v/>
      </c>
      <c r="E115" s="18" t="n"/>
      <c r="F115" s="21">
        <f>IF(E115="","",IFERROR(INDEX('選択肢'!$L$5:$L$14,MATCH(E115,'選択肢'!$K$5:$K$14,0)),"選択肢にない種類"))</f>
        <v/>
      </c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21">
        <f>IF(A115="","",IF(F115="直接業務","—",IF(J115&lt;&gt;"済","判定保留",IF(OR(O115="",K115="",L115="",M115="",K115="未確認",L115="未確認"),"判定保留",IF(AND(K115="はい",M115="無"),"入力エラー（GxP対象でSOP無）",IFERROR(INDEX('判定表'!$D:$D,MATCH("W|"&amp;O115&amp;"|"&amp;IF(OR(K115="はい",L115="はい",M115="無"),"あり","なし"),'判定表'!$A:$A,0)),"判定表にない組み合わせ"))))))</f>
        <v/>
      </c>
      <c r="Q115" s="21">
        <f>IF(A115="","",IF(C115="","対象外",IF(F115="直接業務","対象外",IF(OR(F115&lt;&gt;"間接業務",COUNTIF('システム'!$A$4:$A$200,C115)=0,U115="",V115="紐付けにない組み合わせ",V115="案件が未登録"),"判定保留","移管"))))</f>
        <v/>
      </c>
      <c r="R115" s="21">
        <f>IF(A115="","",IF(Q115&lt;&gt;"移管","—",IF(O115="","判定保留",IFERROR(INDEX('判定表'!$E:$E,MATCH("W|"&amp;O115&amp;"|なし",'判定表'!$A:$A,0)),"判定表にない回答"))))</f>
        <v/>
      </c>
      <c r="S115" s="33" t="n"/>
      <c r="T115" s="18" t="n"/>
      <c r="U115" s="18" t="n"/>
      <c r="V115" s="21">
        <f>IF(U115="","",IF(COUNTIFS('紐付け'!$A$4:$A$200,U115,'紐付け'!$C$4:$C$200,C115)=0,"紐付けにない組み合わせ",IFERROR(INDEX('予算一覧'!$B:$B,MATCH(U115,'予算一覧'!$A:$A,0)),"案件が未登録")))</f>
        <v/>
      </c>
      <c r="W115" s="33" t="n"/>
    </row>
    <row r="116">
      <c r="A116" s="18" t="n"/>
      <c r="B116" s="18" t="n"/>
      <c r="C116" s="18" t="n"/>
      <c r="D116" s="21">
        <f>IF(C116="","",IFERROR(INDEX('システム'!$B:$B,MATCH(C116,'システム'!$A:$A,0)),"システムが未登録"))</f>
        <v/>
      </c>
      <c r="E116" s="18" t="n"/>
      <c r="F116" s="21">
        <f>IF(E116="","",IFERROR(INDEX('選択肢'!$L$5:$L$14,MATCH(E116,'選択肢'!$K$5:$K$14,0)),"選択肢にない種類"))</f>
        <v/>
      </c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21">
        <f>IF(A116="","",IF(F116="直接業務","—",IF(J116&lt;&gt;"済","判定保留",IF(OR(O116="",K116="",L116="",M116="",K116="未確認",L116="未確認"),"判定保留",IF(AND(K116="はい",M116="無"),"入力エラー（GxP対象でSOP無）",IFERROR(INDEX('判定表'!$D:$D,MATCH("W|"&amp;O116&amp;"|"&amp;IF(OR(K116="はい",L116="はい",M116="無"),"あり","なし"),'判定表'!$A:$A,0)),"判定表にない組み合わせ"))))))</f>
        <v/>
      </c>
      <c r="Q116" s="21">
        <f>IF(A116="","",IF(C116="","対象外",IF(F116="直接業務","対象外",IF(OR(F116&lt;&gt;"間接業務",COUNTIF('システム'!$A$4:$A$200,C116)=0,U116="",V116="紐付けにない組み合わせ",V116="案件が未登録"),"判定保留","移管"))))</f>
        <v/>
      </c>
      <c r="R116" s="21">
        <f>IF(A116="","",IF(Q116&lt;&gt;"移管","—",IF(O116="","判定保留",IFERROR(INDEX('判定表'!$E:$E,MATCH("W|"&amp;O116&amp;"|なし",'判定表'!$A:$A,0)),"判定表にない回答"))))</f>
        <v/>
      </c>
      <c r="S116" s="33" t="n"/>
      <c r="T116" s="18" t="n"/>
      <c r="U116" s="18" t="n"/>
      <c r="V116" s="21">
        <f>IF(U116="","",IF(COUNTIFS('紐付け'!$A$4:$A$200,U116,'紐付け'!$C$4:$C$200,C116)=0,"紐付けにない組み合わせ",IFERROR(INDEX('予算一覧'!$B:$B,MATCH(U116,'予算一覧'!$A:$A,0)),"案件が未登録")))</f>
        <v/>
      </c>
      <c r="W116" s="33" t="n"/>
    </row>
    <row r="117">
      <c r="A117" s="18" t="n"/>
      <c r="B117" s="18" t="n"/>
      <c r="C117" s="18" t="n"/>
      <c r="D117" s="21">
        <f>IF(C117="","",IFERROR(INDEX('システム'!$B:$B,MATCH(C117,'システム'!$A:$A,0)),"システムが未登録"))</f>
        <v/>
      </c>
      <c r="E117" s="18" t="n"/>
      <c r="F117" s="21">
        <f>IF(E117="","",IFERROR(INDEX('選択肢'!$L$5:$L$14,MATCH(E117,'選択肢'!$K$5:$K$14,0)),"選択肢にない種類"))</f>
        <v/>
      </c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21">
        <f>IF(A117="","",IF(F117="直接業務","—",IF(J117&lt;&gt;"済","判定保留",IF(OR(O117="",K117="",L117="",M117="",K117="未確認",L117="未確認"),"判定保留",IF(AND(K117="はい",M117="無"),"入力エラー（GxP対象でSOP無）",IFERROR(INDEX('判定表'!$D:$D,MATCH("W|"&amp;O117&amp;"|"&amp;IF(OR(K117="はい",L117="はい",M117="無"),"あり","なし"),'判定表'!$A:$A,0)),"判定表にない組み合わせ"))))))</f>
        <v/>
      </c>
      <c r="Q117" s="21">
        <f>IF(A117="","",IF(C117="","対象外",IF(F117="直接業務","対象外",IF(OR(F117&lt;&gt;"間接業務",COUNTIF('システム'!$A$4:$A$200,C117)=0,U117="",V117="紐付けにない組み合わせ",V117="案件が未登録"),"判定保留","移管"))))</f>
        <v/>
      </c>
      <c r="R117" s="21">
        <f>IF(A117="","",IF(Q117&lt;&gt;"移管","—",IF(O117="","判定保留",IFERROR(INDEX('判定表'!$E:$E,MATCH("W|"&amp;O117&amp;"|なし",'判定表'!$A:$A,0)),"判定表にない回答"))))</f>
        <v/>
      </c>
      <c r="S117" s="33" t="n"/>
      <c r="T117" s="18" t="n"/>
      <c r="U117" s="18" t="n"/>
      <c r="V117" s="21">
        <f>IF(U117="","",IF(COUNTIFS('紐付け'!$A$4:$A$200,U117,'紐付け'!$C$4:$C$200,C117)=0,"紐付けにない組み合わせ",IFERROR(INDEX('予算一覧'!$B:$B,MATCH(U117,'予算一覧'!$A:$A,0)),"案件が未登録")))</f>
        <v/>
      </c>
      <c r="W117" s="33" t="n"/>
    </row>
    <row r="118">
      <c r="A118" s="18" t="n"/>
      <c r="B118" s="18" t="n"/>
      <c r="C118" s="18" t="n"/>
      <c r="D118" s="21">
        <f>IF(C118="","",IFERROR(INDEX('システム'!$B:$B,MATCH(C118,'システム'!$A:$A,0)),"システムが未登録"))</f>
        <v/>
      </c>
      <c r="E118" s="18" t="n"/>
      <c r="F118" s="21">
        <f>IF(E118="","",IFERROR(INDEX('選択肢'!$L$5:$L$14,MATCH(E118,'選択肢'!$K$5:$K$14,0)),"選択肢にない種類"))</f>
        <v/>
      </c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21">
        <f>IF(A118="","",IF(F118="直接業務","—",IF(J118&lt;&gt;"済","判定保留",IF(OR(O118="",K118="",L118="",M118="",K118="未確認",L118="未確認"),"判定保留",IF(AND(K118="はい",M118="無"),"入力エラー（GxP対象でSOP無）",IFERROR(INDEX('判定表'!$D:$D,MATCH("W|"&amp;O118&amp;"|"&amp;IF(OR(K118="はい",L118="はい",M118="無"),"あり","なし"),'判定表'!$A:$A,0)),"判定表にない組み合わせ"))))))</f>
        <v/>
      </c>
      <c r="Q118" s="21">
        <f>IF(A118="","",IF(C118="","対象外",IF(F118="直接業務","対象外",IF(OR(F118&lt;&gt;"間接業務",COUNTIF('システム'!$A$4:$A$200,C118)=0,U118="",V118="紐付けにない組み合わせ",V118="案件が未登録"),"判定保留","移管"))))</f>
        <v/>
      </c>
      <c r="R118" s="21">
        <f>IF(A118="","",IF(Q118&lt;&gt;"移管","—",IF(O118="","判定保留",IFERROR(INDEX('判定表'!$E:$E,MATCH("W|"&amp;O118&amp;"|なし",'判定表'!$A:$A,0)),"判定表にない回答"))))</f>
        <v/>
      </c>
      <c r="S118" s="33" t="n"/>
      <c r="T118" s="18" t="n"/>
      <c r="U118" s="18" t="n"/>
      <c r="V118" s="21">
        <f>IF(U118="","",IF(COUNTIFS('紐付け'!$A$4:$A$200,U118,'紐付け'!$C$4:$C$200,C118)=0,"紐付けにない組み合わせ",IFERROR(INDEX('予算一覧'!$B:$B,MATCH(U118,'予算一覧'!$A:$A,0)),"案件が未登録")))</f>
        <v/>
      </c>
      <c r="W118" s="33" t="n"/>
    </row>
    <row r="119">
      <c r="A119" s="18" t="n"/>
      <c r="B119" s="18" t="n"/>
      <c r="C119" s="18" t="n"/>
      <c r="D119" s="21">
        <f>IF(C119="","",IFERROR(INDEX('システム'!$B:$B,MATCH(C119,'システム'!$A:$A,0)),"システムが未登録"))</f>
        <v/>
      </c>
      <c r="E119" s="18" t="n"/>
      <c r="F119" s="21">
        <f>IF(E119="","",IFERROR(INDEX('選択肢'!$L$5:$L$14,MATCH(E119,'選択肢'!$K$5:$K$14,0)),"選択肢にない種類"))</f>
        <v/>
      </c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21">
        <f>IF(A119="","",IF(F119="直接業務","—",IF(J119&lt;&gt;"済","判定保留",IF(OR(O119="",K119="",L119="",M119="",K119="未確認",L119="未確認"),"判定保留",IF(AND(K119="はい",M119="無"),"入力エラー（GxP対象でSOP無）",IFERROR(INDEX('判定表'!$D:$D,MATCH("W|"&amp;O119&amp;"|"&amp;IF(OR(K119="はい",L119="はい",M119="無"),"あり","なし"),'判定表'!$A:$A,0)),"判定表にない組み合わせ"))))))</f>
        <v/>
      </c>
      <c r="Q119" s="21">
        <f>IF(A119="","",IF(C119="","対象外",IF(F119="直接業務","対象外",IF(OR(F119&lt;&gt;"間接業務",COUNTIF('システム'!$A$4:$A$200,C119)=0,U119="",V119="紐付けにない組み合わせ",V119="案件が未登録"),"判定保留","移管"))))</f>
        <v/>
      </c>
      <c r="R119" s="21">
        <f>IF(A119="","",IF(Q119&lt;&gt;"移管","—",IF(O119="","判定保留",IFERROR(INDEX('判定表'!$E:$E,MATCH("W|"&amp;O119&amp;"|なし",'判定表'!$A:$A,0)),"判定表にない回答"))))</f>
        <v/>
      </c>
      <c r="S119" s="33" t="n"/>
      <c r="T119" s="18" t="n"/>
      <c r="U119" s="18" t="n"/>
      <c r="V119" s="21">
        <f>IF(U119="","",IF(COUNTIFS('紐付け'!$A$4:$A$200,U119,'紐付け'!$C$4:$C$200,C119)=0,"紐付けにない組み合わせ",IFERROR(INDEX('予算一覧'!$B:$B,MATCH(U119,'予算一覧'!$A:$A,0)),"案件が未登録")))</f>
        <v/>
      </c>
      <c r="W119" s="33" t="n"/>
    </row>
    <row r="120">
      <c r="A120" s="18" t="n"/>
      <c r="B120" s="18" t="n"/>
      <c r="C120" s="18" t="n"/>
      <c r="D120" s="21">
        <f>IF(C120="","",IFERROR(INDEX('システム'!$B:$B,MATCH(C120,'システム'!$A:$A,0)),"システムが未登録"))</f>
        <v/>
      </c>
      <c r="E120" s="18" t="n"/>
      <c r="F120" s="21">
        <f>IF(E120="","",IFERROR(INDEX('選択肢'!$L$5:$L$14,MATCH(E120,'選択肢'!$K$5:$K$14,0)),"選択肢にない種類"))</f>
        <v/>
      </c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21">
        <f>IF(A120="","",IF(F120="直接業務","—",IF(J120&lt;&gt;"済","判定保留",IF(OR(O120="",K120="",L120="",M120="",K120="未確認",L120="未確認"),"判定保留",IF(AND(K120="はい",M120="無"),"入力エラー（GxP対象でSOP無）",IFERROR(INDEX('判定表'!$D:$D,MATCH("W|"&amp;O120&amp;"|"&amp;IF(OR(K120="はい",L120="はい",M120="無"),"あり","なし"),'判定表'!$A:$A,0)),"判定表にない組み合わせ"))))))</f>
        <v/>
      </c>
      <c r="Q120" s="21">
        <f>IF(A120="","",IF(C120="","対象外",IF(F120="直接業務","対象外",IF(OR(F120&lt;&gt;"間接業務",COUNTIF('システム'!$A$4:$A$200,C120)=0,U120="",V120="紐付けにない組み合わせ",V120="案件が未登録"),"判定保留","移管"))))</f>
        <v/>
      </c>
      <c r="R120" s="21">
        <f>IF(A120="","",IF(Q120&lt;&gt;"移管","—",IF(O120="","判定保留",IFERROR(INDEX('判定表'!$E:$E,MATCH("W|"&amp;O120&amp;"|なし",'判定表'!$A:$A,0)),"判定表にない回答"))))</f>
        <v/>
      </c>
      <c r="S120" s="33" t="n"/>
      <c r="T120" s="18" t="n"/>
      <c r="U120" s="18" t="n"/>
      <c r="V120" s="21">
        <f>IF(U120="","",IF(COUNTIFS('紐付け'!$A$4:$A$200,U120,'紐付け'!$C$4:$C$200,C120)=0,"紐付けにない組み合わせ",IFERROR(INDEX('予算一覧'!$B:$B,MATCH(U120,'予算一覧'!$A:$A,0)),"案件が未登録")))</f>
        <v/>
      </c>
      <c r="W120" s="33" t="n"/>
    </row>
    <row r="121">
      <c r="A121" s="18" t="n"/>
      <c r="B121" s="18" t="n"/>
      <c r="C121" s="18" t="n"/>
      <c r="D121" s="21">
        <f>IF(C121="","",IFERROR(INDEX('システム'!$B:$B,MATCH(C121,'システム'!$A:$A,0)),"システムが未登録"))</f>
        <v/>
      </c>
      <c r="E121" s="18" t="n"/>
      <c r="F121" s="21">
        <f>IF(E121="","",IFERROR(INDEX('選択肢'!$L$5:$L$14,MATCH(E121,'選択肢'!$K$5:$K$14,0)),"選択肢にない種類"))</f>
        <v/>
      </c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21">
        <f>IF(A121="","",IF(F121="直接業務","—",IF(J121&lt;&gt;"済","判定保留",IF(OR(O121="",K121="",L121="",M121="",K121="未確認",L121="未確認"),"判定保留",IF(AND(K121="はい",M121="無"),"入力エラー（GxP対象でSOP無）",IFERROR(INDEX('判定表'!$D:$D,MATCH("W|"&amp;O121&amp;"|"&amp;IF(OR(K121="はい",L121="はい",M121="無"),"あり","なし"),'判定表'!$A:$A,0)),"判定表にない組み合わせ"))))))</f>
        <v/>
      </c>
      <c r="Q121" s="21">
        <f>IF(A121="","",IF(C121="","対象外",IF(F121="直接業務","対象外",IF(OR(F121&lt;&gt;"間接業務",COUNTIF('システム'!$A$4:$A$200,C121)=0,U121="",V121="紐付けにない組み合わせ",V121="案件が未登録"),"判定保留","移管"))))</f>
        <v/>
      </c>
      <c r="R121" s="21">
        <f>IF(A121="","",IF(Q121&lt;&gt;"移管","—",IF(O121="","判定保留",IFERROR(INDEX('判定表'!$E:$E,MATCH("W|"&amp;O121&amp;"|なし",'判定表'!$A:$A,0)),"判定表にない回答"))))</f>
        <v/>
      </c>
      <c r="S121" s="33" t="n"/>
      <c r="T121" s="18" t="n"/>
      <c r="U121" s="18" t="n"/>
      <c r="V121" s="21">
        <f>IF(U121="","",IF(COUNTIFS('紐付け'!$A$4:$A$200,U121,'紐付け'!$C$4:$C$200,C121)=0,"紐付けにない組み合わせ",IFERROR(INDEX('予算一覧'!$B:$B,MATCH(U121,'予算一覧'!$A:$A,0)),"案件が未登録")))</f>
        <v/>
      </c>
      <c r="W121" s="33" t="n"/>
    </row>
    <row r="122">
      <c r="A122" s="18" t="n"/>
      <c r="B122" s="18" t="n"/>
      <c r="C122" s="18" t="n"/>
      <c r="D122" s="21">
        <f>IF(C122="","",IFERROR(INDEX('システム'!$B:$B,MATCH(C122,'システム'!$A:$A,0)),"システムが未登録"))</f>
        <v/>
      </c>
      <c r="E122" s="18" t="n"/>
      <c r="F122" s="21">
        <f>IF(E122="","",IFERROR(INDEX('選択肢'!$L$5:$L$14,MATCH(E122,'選択肢'!$K$5:$K$14,0)),"選択肢にない種類"))</f>
        <v/>
      </c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21">
        <f>IF(A122="","",IF(F122="直接業務","—",IF(J122&lt;&gt;"済","判定保留",IF(OR(O122="",K122="",L122="",M122="",K122="未確認",L122="未確認"),"判定保留",IF(AND(K122="はい",M122="無"),"入力エラー（GxP対象でSOP無）",IFERROR(INDEX('判定表'!$D:$D,MATCH("W|"&amp;O122&amp;"|"&amp;IF(OR(K122="はい",L122="はい",M122="無"),"あり","なし"),'判定表'!$A:$A,0)),"判定表にない組み合わせ"))))))</f>
        <v/>
      </c>
      <c r="Q122" s="21">
        <f>IF(A122="","",IF(C122="","対象外",IF(F122="直接業務","対象外",IF(OR(F122&lt;&gt;"間接業務",COUNTIF('システム'!$A$4:$A$200,C122)=0,U122="",V122="紐付けにない組み合わせ",V122="案件が未登録"),"判定保留","移管"))))</f>
        <v/>
      </c>
      <c r="R122" s="21">
        <f>IF(A122="","",IF(Q122&lt;&gt;"移管","—",IF(O122="","判定保留",IFERROR(INDEX('判定表'!$E:$E,MATCH("W|"&amp;O122&amp;"|なし",'判定表'!$A:$A,0)),"判定表にない回答"))))</f>
        <v/>
      </c>
      <c r="S122" s="33" t="n"/>
      <c r="T122" s="18" t="n"/>
      <c r="U122" s="18" t="n"/>
      <c r="V122" s="21">
        <f>IF(U122="","",IF(COUNTIFS('紐付け'!$A$4:$A$200,U122,'紐付け'!$C$4:$C$200,C122)=0,"紐付けにない組み合わせ",IFERROR(INDEX('予算一覧'!$B:$B,MATCH(U122,'予算一覧'!$A:$A,0)),"案件が未登録")))</f>
        <v/>
      </c>
      <c r="W122" s="33" t="n"/>
    </row>
    <row r="123">
      <c r="A123" s="18" t="n"/>
      <c r="B123" s="18" t="n"/>
      <c r="C123" s="18" t="n"/>
      <c r="D123" s="21">
        <f>IF(C123="","",IFERROR(INDEX('システム'!$B:$B,MATCH(C123,'システム'!$A:$A,0)),"システムが未登録"))</f>
        <v/>
      </c>
      <c r="E123" s="18" t="n"/>
      <c r="F123" s="21">
        <f>IF(E123="","",IFERROR(INDEX('選択肢'!$L$5:$L$14,MATCH(E123,'選択肢'!$K$5:$K$14,0)),"選択肢にない種類"))</f>
        <v/>
      </c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21">
        <f>IF(A123="","",IF(F123="直接業務","—",IF(J123&lt;&gt;"済","判定保留",IF(OR(O123="",K123="",L123="",M123="",K123="未確認",L123="未確認"),"判定保留",IF(AND(K123="はい",M123="無"),"入力エラー（GxP対象でSOP無）",IFERROR(INDEX('判定表'!$D:$D,MATCH("W|"&amp;O123&amp;"|"&amp;IF(OR(K123="はい",L123="はい",M123="無"),"あり","なし"),'判定表'!$A:$A,0)),"判定表にない組み合わせ"))))))</f>
        <v/>
      </c>
      <c r="Q123" s="21">
        <f>IF(A123="","",IF(C123="","対象外",IF(F123="直接業務","対象外",IF(OR(F123&lt;&gt;"間接業務",COUNTIF('システム'!$A$4:$A$200,C123)=0,U123="",V123="紐付けにない組み合わせ",V123="案件が未登録"),"判定保留","移管"))))</f>
        <v/>
      </c>
      <c r="R123" s="21">
        <f>IF(A123="","",IF(Q123&lt;&gt;"移管","—",IF(O123="","判定保留",IFERROR(INDEX('判定表'!$E:$E,MATCH("W|"&amp;O123&amp;"|なし",'判定表'!$A:$A,0)),"判定表にない回答"))))</f>
        <v/>
      </c>
      <c r="S123" s="33" t="n"/>
      <c r="T123" s="18" t="n"/>
      <c r="U123" s="18" t="n"/>
      <c r="V123" s="21">
        <f>IF(U123="","",IF(COUNTIFS('紐付け'!$A$4:$A$200,U123,'紐付け'!$C$4:$C$200,C123)=0,"紐付けにない組み合わせ",IFERROR(INDEX('予算一覧'!$B:$B,MATCH(U123,'予算一覧'!$A:$A,0)),"案件が未登録")))</f>
        <v/>
      </c>
      <c r="W123" s="33" t="n"/>
    </row>
    <row r="124">
      <c r="A124" s="18" t="n"/>
      <c r="B124" s="18" t="n"/>
      <c r="C124" s="18" t="n"/>
      <c r="D124" s="21">
        <f>IF(C124="","",IFERROR(INDEX('システム'!$B:$B,MATCH(C124,'システム'!$A:$A,0)),"システムが未登録"))</f>
        <v/>
      </c>
      <c r="E124" s="18" t="n"/>
      <c r="F124" s="21">
        <f>IF(E124="","",IFERROR(INDEX('選択肢'!$L$5:$L$14,MATCH(E124,'選択肢'!$K$5:$K$14,0)),"選択肢にない種類"))</f>
        <v/>
      </c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21">
        <f>IF(A124="","",IF(F124="直接業務","—",IF(J124&lt;&gt;"済","判定保留",IF(OR(O124="",K124="",L124="",M124="",K124="未確認",L124="未確認"),"判定保留",IF(AND(K124="はい",M124="無"),"入力エラー（GxP対象でSOP無）",IFERROR(INDEX('判定表'!$D:$D,MATCH("W|"&amp;O124&amp;"|"&amp;IF(OR(K124="はい",L124="はい",M124="無"),"あり","なし"),'判定表'!$A:$A,0)),"判定表にない組み合わせ"))))))</f>
        <v/>
      </c>
      <c r="Q124" s="21">
        <f>IF(A124="","",IF(C124="","対象外",IF(F124="直接業務","対象外",IF(OR(F124&lt;&gt;"間接業務",COUNTIF('システム'!$A$4:$A$200,C124)=0,U124="",V124="紐付けにない組み合わせ",V124="案件が未登録"),"判定保留","移管"))))</f>
        <v/>
      </c>
      <c r="R124" s="21">
        <f>IF(A124="","",IF(Q124&lt;&gt;"移管","—",IF(O124="","判定保留",IFERROR(INDEX('判定表'!$E:$E,MATCH("W|"&amp;O124&amp;"|なし",'判定表'!$A:$A,0)),"判定表にない回答"))))</f>
        <v/>
      </c>
      <c r="S124" s="33" t="n"/>
      <c r="T124" s="18" t="n"/>
      <c r="U124" s="18" t="n"/>
      <c r="V124" s="21">
        <f>IF(U124="","",IF(COUNTIFS('紐付け'!$A$4:$A$200,U124,'紐付け'!$C$4:$C$200,C124)=0,"紐付けにない組み合わせ",IFERROR(INDEX('予算一覧'!$B:$B,MATCH(U124,'予算一覧'!$A:$A,0)),"案件が未登録")))</f>
        <v/>
      </c>
      <c r="W124" s="33" t="n"/>
    </row>
    <row r="125">
      <c r="A125" s="18" t="n"/>
      <c r="B125" s="18" t="n"/>
      <c r="C125" s="18" t="n"/>
      <c r="D125" s="21">
        <f>IF(C125="","",IFERROR(INDEX('システム'!$B:$B,MATCH(C125,'システム'!$A:$A,0)),"システムが未登録"))</f>
        <v/>
      </c>
      <c r="E125" s="18" t="n"/>
      <c r="F125" s="21">
        <f>IF(E125="","",IFERROR(INDEX('選択肢'!$L$5:$L$14,MATCH(E125,'選択肢'!$K$5:$K$14,0)),"選択肢にない種類"))</f>
        <v/>
      </c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21">
        <f>IF(A125="","",IF(F125="直接業務","—",IF(J125&lt;&gt;"済","判定保留",IF(OR(O125="",K125="",L125="",M125="",K125="未確認",L125="未確認"),"判定保留",IF(AND(K125="はい",M125="無"),"入力エラー（GxP対象でSOP無）",IFERROR(INDEX('判定表'!$D:$D,MATCH("W|"&amp;O125&amp;"|"&amp;IF(OR(K125="はい",L125="はい",M125="無"),"あり","なし"),'判定表'!$A:$A,0)),"判定表にない組み合わせ"))))))</f>
        <v/>
      </c>
      <c r="Q125" s="21">
        <f>IF(A125="","",IF(C125="","対象外",IF(F125="直接業務","対象外",IF(OR(F125&lt;&gt;"間接業務",COUNTIF('システム'!$A$4:$A$200,C125)=0,U125="",V125="紐付けにない組み合わせ",V125="案件が未登録"),"判定保留","移管"))))</f>
        <v/>
      </c>
      <c r="R125" s="21">
        <f>IF(A125="","",IF(Q125&lt;&gt;"移管","—",IF(O125="","判定保留",IFERROR(INDEX('判定表'!$E:$E,MATCH("W|"&amp;O125&amp;"|なし",'判定表'!$A:$A,0)),"判定表にない回答"))))</f>
        <v/>
      </c>
      <c r="S125" s="33" t="n"/>
      <c r="T125" s="18" t="n"/>
      <c r="U125" s="18" t="n"/>
      <c r="V125" s="21">
        <f>IF(U125="","",IF(COUNTIFS('紐付け'!$A$4:$A$200,U125,'紐付け'!$C$4:$C$200,C125)=0,"紐付けにない組み合わせ",IFERROR(INDEX('予算一覧'!$B:$B,MATCH(U125,'予算一覧'!$A:$A,0)),"案件が未登録")))</f>
        <v/>
      </c>
      <c r="W125" s="33" t="n"/>
    </row>
    <row r="126">
      <c r="A126" s="18" t="n"/>
      <c r="B126" s="18" t="n"/>
      <c r="C126" s="18" t="n"/>
      <c r="D126" s="21">
        <f>IF(C126="","",IFERROR(INDEX('システム'!$B:$B,MATCH(C126,'システム'!$A:$A,0)),"システムが未登録"))</f>
        <v/>
      </c>
      <c r="E126" s="18" t="n"/>
      <c r="F126" s="21">
        <f>IF(E126="","",IFERROR(INDEX('選択肢'!$L$5:$L$14,MATCH(E126,'選択肢'!$K$5:$K$14,0)),"選択肢にない種類"))</f>
        <v/>
      </c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21">
        <f>IF(A126="","",IF(F126="直接業務","—",IF(J126&lt;&gt;"済","判定保留",IF(OR(O126="",K126="",L126="",M126="",K126="未確認",L126="未確認"),"判定保留",IF(AND(K126="はい",M126="無"),"入力エラー（GxP対象でSOP無）",IFERROR(INDEX('判定表'!$D:$D,MATCH("W|"&amp;O126&amp;"|"&amp;IF(OR(K126="はい",L126="はい",M126="無"),"あり","なし"),'判定表'!$A:$A,0)),"判定表にない組み合わせ"))))))</f>
        <v/>
      </c>
      <c r="Q126" s="21">
        <f>IF(A126="","",IF(C126="","対象外",IF(F126="直接業務","対象外",IF(OR(F126&lt;&gt;"間接業務",COUNTIF('システム'!$A$4:$A$200,C126)=0,U126="",V126="紐付けにない組み合わせ",V126="案件が未登録"),"判定保留","移管"))))</f>
        <v/>
      </c>
      <c r="R126" s="21">
        <f>IF(A126="","",IF(Q126&lt;&gt;"移管","—",IF(O126="","判定保留",IFERROR(INDEX('判定表'!$E:$E,MATCH("W|"&amp;O126&amp;"|なし",'判定表'!$A:$A,0)),"判定表にない回答"))))</f>
        <v/>
      </c>
      <c r="S126" s="33" t="n"/>
      <c r="T126" s="18" t="n"/>
      <c r="U126" s="18" t="n"/>
      <c r="V126" s="21">
        <f>IF(U126="","",IF(COUNTIFS('紐付け'!$A$4:$A$200,U126,'紐付け'!$C$4:$C$200,C126)=0,"紐付けにない組み合わせ",IFERROR(INDEX('予算一覧'!$B:$B,MATCH(U126,'予算一覧'!$A:$A,0)),"案件が未登録")))</f>
        <v/>
      </c>
      <c r="W126" s="33" t="n"/>
    </row>
    <row r="127">
      <c r="A127" s="18" t="n"/>
      <c r="B127" s="18" t="n"/>
      <c r="C127" s="18" t="n"/>
      <c r="D127" s="21">
        <f>IF(C127="","",IFERROR(INDEX('システム'!$B:$B,MATCH(C127,'システム'!$A:$A,0)),"システムが未登録"))</f>
        <v/>
      </c>
      <c r="E127" s="18" t="n"/>
      <c r="F127" s="21">
        <f>IF(E127="","",IFERROR(INDEX('選択肢'!$L$5:$L$14,MATCH(E127,'選択肢'!$K$5:$K$14,0)),"選択肢にない種類"))</f>
        <v/>
      </c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21">
        <f>IF(A127="","",IF(F127="直接業務","—",IF(J127&lt;&gt;"済","判定保留",IF(OR(O127="",K127="",L127="",M127="",K127="未確認",L127="未確認"),"判定保留",IF(AND(K127="はい",M127="無"),"入力エラー（GxP対象でSOP無）",IFERROR(INDEX('判定表'!$D:$D,MATCH("W|"&amp;O127&amp;"|"&amp;IF(OR(K127="はい",L127="はい",M127="無"),"あり","なし"),'判定表'!$A:$A,0)),"判定表にない組み合わせ"))))))</f>
        <v/>
      </c>
      <c r="Q127" s="21">
        <f>IF(A127="","",IF(C127="","対象外",IF(F127="直接業務","対象外",IF(OR(F127&lt;&gt;"間接業務",COUNTIF('システム'!$A$4:$A$200,C127)=0,U127="",V127="紐付けにない組み合わせ",V127="案件が未登録"),"判定保留","移管"))))</f>
        <v/>
      </c>
      <c r="R127" s="21">
        <f>IF(A127="","",IF(Q127&lt;&gt;"移管","—",IF(O127="","判定保留",IFERROR(INDEX('判定表'!$E:$E,MATCH("W|"&amp;O127&amp;"|なし",'判定表'!$A:$A,0)),"判定表にない回答"))))</f>
        <v/>
      </c>
      <c r="S127" s="33" t="n"/>
      <c r="T127" s="18" t="n"/>
      <c r="U127" s="18" t="n"/>
      <c r="V127" s="21">
        <f>IF(U127="","",IF(COUNTIFS('紐付け'!$A$4:$A$200,U127,'紐付け'!$C$4:$C$200,C127)=0,"紐付けにない組み合わせ",IFERROR(INDEX('予算一覧'!$B:$B,MATCH(U127,'予算一覧'!$A:$A,0)),"案件が未登録")))</f>
        <v/>
      </c>
      <c r="W127" s="33" t="n"/>
    </row>
    <row r="128">
      <c r="A128" s="18" t="n"/>
      <c r="B128" s="18" t="n"/>
      <c r="C128" s="18" t="n"/>
      <c r="D128" s="21">
        <f>IF(C128="","",IFERROR(INDEX('システム'!$B:$B,MATCH(C128,'システム'!$A:$A,0)),"システムが未登録"))</f>
        <v/>
      </c>
      <c r="E128" s="18" t="n"/>
      <c r="F128" s="21">
        <f>IF(E128="","",IFERROR(INDEX('選択肢'!$L$5:$L$14,MATCH(E128,'選択肢'!$K$5:$K$14,0)),"選択肢にない種類"))</f>
        <v/>
      </c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21">
        <f>IF(A128="","",IF(F128="直接業務","—",IF(J128&lt;&gt;"済","判定保留",IF(OR(O128="",K128="",L128="",M128="",K128="未確認",L128="未確認"),"判定保留",IF(AND(K128="はい",M128="無"),"入力エラー（GxP対象でSOP無）",IFERROR(INDEX('判定表'!$D:$D,MATCH("W|"&amp;O128&amp;"|"&amp;IF(OR(K128="はい",L128="はい",M128="無"),"あり","なし"),'判定表'!$A:$A,0)),"判定表にない組み合わせ"))))))</f>
        <v/>
      </c>
      <c r="Q128" s="21">
        <f>IF(A128="","",IF(C128="","対象外",IF(F128="直接業務","対象外",IF(OR(F128&lt;&gt;"間接業務",COUNTIF('システム'!$A$4:$A$200,C128)=0,U128="",V128="紐付けにない組み合わせ",V128="案件が未登録"),"判定保留","移管"))))</f>
        <v/>
      </c>
      <c r="R128" s="21">
        <f>IF(A128="","",IF(Q128&lt;&gt;"移管","—",IF(O128="","判定保留",IFERROR(INDEX('判定表'!$E:$E,MATCH("W|"&amp;O128&amp;"|なし",'判定表'!$A:$A,0)),"判定表にない回答"))))</f>
        <v/>
      </c>
      <c r="S128" s="33" t="n"/>
      <c r="T128" s="18" t="n"/>
      <c r="U128" s="18" t="n"/>
      <c r="V128" s="21">
        <f>IF(U128="","",IF(COUNTIFS('紐付け'!$A$4:$A$200,U128,'紐付け'!$C$4:$C$200,C128)=0,"紐付けにない組み合わせ",IFERROR(INDEX('予算一覧'!$B:$B,MATCH(U128,'予算一覧'!$A:$A,0)),"案件が未登録")))</f>
        <v/>
      </c>
      <c r="W128" s="33" t="n"/>
    </row>
    <row r="129">
      <c r="A129" s="18" t="n"/>
      <c r="B129" s="18" t="n"/>
      <c r="C129" s="18" t="n"/>
      <c r="D129" s="21">
        <f>IF(C129="","",IFERROR(INDEX('システム'!$B:$B,MATCH(C129,'システム'!$A:$A,0)),"システムが未登録"))</f>
        <v/>
      </c>
      <c r="E129" s="18" t="n"/>
      <c r="F129" s="21">
        <f>IF(E129="","",IFERROR(INDEX('選択肢'!$L$5:$L$14,MATCH(E129,'選択肢'!$K$5:$K$14,0)),"選択肢にない種類"))</f>
        <v/>
      </c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21">
        <f>IF(A129="","",IF(F129="直接業務","—",IF(J129&lt;&gt;"済","判定保留",IF(OR(O129="",K129="",L129="",M129="",K129="未確認",L129="未確認"),"判定保留",IF(AND(K129="はい",M129="無"),"入力エラー（GxP対象でSOP無）",IFERROR(INDEX('判定表'!$D:$D,MATCH("W|"&amp;O129&amp;"|"&amp;IF(OR(K129="はい",L129="はい",M129="無"),"あり","なし"),'判定表'!$A:$A,0)),"判定表にない組み合わせ"))))))</f>
        <v/>
      </c>
      <c r="Q129" s="21">
        <f>IF(A129="","",IF(C129="","対象外",IF(F129="直接業務","対象外",IF(OR(F129&lt;&gt;"間接業務",COUNTIF('システム'!$A$4:$A$200,C129)=0,U129="",V129="紐付けにない組み合わせ",V129="案件が未登録"),"判定保留","移管"))))</f>
        <v/>
      </c>
      <c r="R129" s="21">
        <f>IF(A129="","",IF(Q129&lt;&gt;"移管","—",IF(O129="","判定保留",IFERROR(INDEX('判定表'!$E:$E,MATCH("W|"&amp;O129&amp;"|なし",'判定表'!$A:$A,0)),"判定表にない回答"))))</f>
        <v/>
      </c>
      <c r="S129" s="33" t="n"/>
      <c r="T129" s="18" t="n"/>
      <c r="U129" s="18" t="n"/>
      <c r="V129" s="21">
        <f>IF(U129="","",IF(COUNTIFS('紐付け'!$A$4:$A$200,U129,'紐付け'!$C$4:$C$200,C129)=0,"紐付けにない組み合わせ",IFERROR(INDEX('予算一覧'!$B:$B,MATCH(U129,'予算一覧'!$A:$A,0)),"案件が未登録")))</f>
        <v/>
      </c>
      <c r="W129" s="33" t="n"/>
    </row>
    <row r="130">
      <c r="A130" s="18" t="n"/>
      <c r="B130" s="18" t="n"/>
      <c r="C130" s="18" t="n"/>
      <c r="D130" s="21">
        <f>IF(C130="","",IFERROR(INDEX('システム'!$B:$B,MATCH(C130,'システム'!$A:$A,0)),"システムが未登録"))</f>
        <v/>
      </c>
      <c r="E130" s="18" t="n"/>
      <c r="F130" s="21">
        <f>IF(E130="","",IFERROR(INDEX('選択肢'!$L$5:$L$14,MATCH(E130,'選択肢'!$K$5:$K$14,0)),"選択肢にない種類"))</f>
        <v/>
      </c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21">
        <f>IF(A130="","",IF(F130="直接業務","—",IF(J130&lt;&gt;"済","判定保留",IF(OR(O130="",K130="",L130="",M130="",K130="未確認",L130="未確認"),"判定保留",IF(AND(K130="はい",M130="無"),"入力エラー（GxP対象でSOP無）",IFERROR(INDEX('判定表'!$D:$D,MATCH("W|"&amp;O130&amp;"|"&amp;IF(OR(K130="はい",L130="はい",M130="無"),"あり","なし"),'判定表'!$A:$A,0)),"判定表にない組み合わせ"))))))</f>
        <v/>
      </c>
      <c r="Q130" s="21">
        <f>IF(A130="","",IF(C130="","対象外",IF(F130="直接業務","対象外",IF(OR(F130&lt;&gt;"間接業務",COUNTIF('システム'!$A$4:$A$200,C130)=0,U130="",V130="紐付けにない組み合わせ",V130="案件が未登録"),"判定保留","移管"))))</f>
        <v/>
      </c>
      <c r="R130" s="21">
        <f>IF(A130="","",IF(Q130&lt;&gt;"移管","—",IF(O130="","判定保留",IFERROR(INDEX('判定表'!$E:$E,MATCH("W|"&amp;O130&amp;"|なし",'判定表'!$A:$A,0)),"判定表にない回答"))))</f>
        <v/>
      </c>
      <c r="S130" s="33" t="n"/>
      <c r="T130" s="18" t="n"/>
      <c r="U130" s="18" t="n"/>
      <c r="V130" s="21">
        <f>IF(U130="","",IF(COUNTIFS('紐付け'!$A$4:$A$200,U130,'紐付け'!$C$4:$C$200,C130)=0,"紐付けにない組み合わせ",IFERROR(INDEX('予算一覧'!$B:$B,MATCH(U130,'予算一覧'!$A:$A,0)),"案件が未登録")))</f>
        <v/>
      </c>
      <c r="W130" s="33" t="n"/>
    </row>
    <row r="131">
      <c r="A131" s="18" t="n"/>
      <c r="B131" s="18" t="n"/>
      <c r="C131" s="18" t="n"/>
      <c r="D131" s="21">
        <f>IF(C131="","",IFERROR(INDEX('システム'!$B:$B,MATCH(C131,'システム'!$A:$A,0)),"システムが未登録"))</f>
        <v/>
      </c>
      <c r="E131" s="18" t="n"/>
      <c r="F131" s="21">
        <f>IF(E131="","",IFERROR(INDEX('選択肢'!$L$5:$L$14,MATCH(E131,'選択肢'!$K$5:$K$14,0)),"選択肢にない種類"))</f>
        <v/>
      </c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21">
        <f>IF(A131="","",IF(F131="直接業務","—",IF(J131&lt;&gt;"済","判定保留",IF(OR(O131="",K131="",L131="",M131="",K131="未確認",L131="未確認"),"判定保留",IF(AND(K131="はい",M131="無"),"入力エラー（GxP対象でSOP無）",IFERROR(INDEX('判定表'!$D:$D,MATCH("W|"&amp;O131&amp;"|"&amp;IF(OR(K131="はい",L131="はい",M131="無"),"あり","なし"),'判定表'!$A:$A,0)),"判定表にない組み合わせ"))))))</f>
        <v/>
      </c>
      <c r="Q131" s="21">
        <f>IF(A131="","",IF(C131="","対象外",IF(F131="直接業務","対象外",IF(OR(F131&lt;&gt;"間接業務",COUNTIF('システム'!$A$4:$A$200,C131)=0,U131="",V131="紐付けにない組み合わせ",V131="案件が未登録"),"判定保留","移管"))))</f>
        <v/>
      </c>
      <c r="R131" s="21">
        <f>IF(A131="","",IF(Q131&lt;&gt;"移管","—",IF(O131="","判定保留",IFERROR(INDEX('判定表'!$E:$E,MATCH("W|"&amp;O131&amp;"|なし",'判定表'!$A:$A,0)),"判定表にない回答"))))</f>
        <v/>
      </c>
      <c r="S131" s="33" t="n"/>
      <c r="T131" s="18" t="n"/>
      <c r="U131" s="18" t="n"/>
      <c r="V131" s="21">
        <f>IF(U131="","",IF(COUNTIFS('紐付け'!$A$4:$A$200,U131,'紐付け'!$C$4:$C$200,C131)=0,"紐付けにない組み合わせ",IFERROR(INDEX('予算一覧'!$B:$B,MATCH(U131,'予算一覧'!$A:$A,0)),"案件が未登録")))</f>
        <v/>
      </c>
      <c r="W131" s="33" t="n"/>
    </row>
    <row r="132">
      <c r="A132" s="18" t="n"/>
      <c r="B132" s="18" t="n"/>
      <c r="C132" s="18" t="n"/>
      <c r="D132" s="21">
        <f>IF(C132="","",IFERROR(INDEX('システム'!$B:$B,MATCH(C132,'システム'!$A:$A,0)),"システムが未登録"))</f>
        <v/>
      </c>
      <c r="E132" s="18" t="n"/>
      <c r="F132" s="21">
        <f>IF(E132="","",IFERROR(INDEX('選択肢'!$L$5:$L$14,MATCH(E132,'選択肢'!$K$5:$K$14,0)),"選択肢にない種類"))</f>
        <v/>
      </c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21">
        <f>IF(A132="","",IF(F132="直接業務","—",IF(J132&lt;&gt;"済","判定保留",IF(OR(O132="",K132="",L132="",M132="",K132="未確認",L132="未確認"),"判定保留",IF(AND(K132="はい",M132="無"),"入力エラー（GxP対象でSOP無）",IFERROR(INDEX('判定表'!$D:$D,MATCH("W|"&amp;O132&amp;"|"&amp;IF(OR(K132="はい",L132="はい",M132="無"),"あり","なし"),'判定表'!$A:$A,0)),"判定表にない組み合わせ"))))))</f>
        <v/>
      </c>
      <c r="Q132" s="21">
        <f>IF(A132="","",IF(C132="","対象外",IF(F132="直接業務","対象外",IF(OR(F132&lt;&gt;"間接業務",COUNTIF('システム'!$A$4:$A$200,C132)=0,U132="",V132="紐付けにない組み合わせ",V132="案件が未登録"),"判定保留","移管"))))</f>
        <v/>
      </c>
      <c r="R132" s="21">
        <f>IF(A132="","",IF(Q132&lt;&gt;"移管","—",IF(O132="","判定保留",IFERROR(INDEX('判定表'!$E:$E,MATCH("W|"&amp;O132&amp;"|なし",'判定表'!$A:$A,0)),"判定表にない回答"))))</f>
        <v/>
      </c>
      <c r="S132" s="33" t="n"/>
      <c r="T132" s="18" t="n"/>
      <c r="U132" s="18" t="n"/>
      <c r="V132" s="21">
        <f>IF(U132="","",IF(COUNTIFS('紐付け'!$A$4:$A$200,U132,'紐付け'!$C$4:$C$200,C132)=0,"紐付けにない組み合わせ",IFERROR(INDEX('予算一覧'!$B:$B,MATCH(U132,'予算一覧'!$A:$A,0)),"案件が未登録")))</f>
        <v/>
      </c>
      <c r="W132" s="33" t="n"/>
    </row>
    <row r="133">
      <c r="A133" s="18" t="n"/>
      <c r="B133" s="18" t="n"/>
      <c r="C133" s="18" t="n"/>
      <c r="D133" s="21">
        <f>IF(C133="","",IFERROR(INDEX('システム'!$B:$B,MATCH(C133,'システム'!$A:$A,0)),"システムが未登録"))</f>
        <v/>
      </c>
      <c r="E133" s="18" t="n"/>
      <c r="F133" s="21">
        <f>IF(E133="","",IFERROR(INDEX('選択肢'!$L$5:$L$14,MATCH(E133,'選択肢'!$K$5:$K$14,0)),"選択肢にない種類"))</f>
        <v/>
      </c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21">
        <f>IF(A133="","",IF(F133="直接業務","—",IF(J133&lt;&gt;"済","判定保留",IF(OR(O133="",K133="",L133="",M133="",K133="未確認",L133="未確認"),"判定保留",IF(AND(K133="はい",M133="無"),"入力エラー（GxP対象でSOP無）",IFERROR(INDEX('判定表'!$D:$D,MATCH("W|"&amp;O133&amp;"|"&amp;IF(OR(K133="はい",L133="はい",M133="無"),"あり","なし"),'判定表'!$A:$A,0)),"判定表にない組み合わせ"))))))</f>
        <v/>
      </c>
      <c r="Q133" s="21">
        <f>IF(A133="","",IF(C133="","対象外",IF(F133="直接業務","対象外",IF(OR(F133&lt;&gt;"間接業務",COUNTIF('システム'!$A$4:$A$200,C133)=0,U133="",V133="紐付けにない組み合わせ",V133="案件が未登録"),"判定保留","移管"))))</f>
        <v/>
      </c>
      <c r="R133" s="21">
        <f>IF(A133="","",IF(Q133&lt;&gt;"移管","—",IF(O133="","判定保留",IFERROR(INDEX('判定表'!$E:$E,MATCH("W|"&amp;O133&amp;"|なし",'判定表'!$A:$A,0)),"判定表にない回答"))))</f>
        <v/>
      </c>
      <c r="S133" s="33" t="n"/>
      <c r="T133" s="18" t="n"/>
      <c r="U133" s="18" t="n"/>
      <c r="V133" s="21">
        <f>IF(U133="","",IF(COUNTIFS('紐付け'!$A$4:$A$200,U133,'紐付け'!$C$4:$C$200,C133)=0,"紐付けにない組み合わせ",IFERROR(INDEX('予算一覧'!$B:$B,MATCH(U133,'予算一覧'!$A:$A,0)),"案件が未登録")))</f>
        <v/>
      </c>
      <c r="W133" s="33" t="n"/>
    </row>
    <row r="134">
      <c r="A134" s="18" t="n"/>
      <c r="B134" s="18" t="n"/>
      <c r="C134" s="18" t="n"/>
      <c r="D134" s="21">
        <f>IF(C134="","",IFERROR(INDEX('システム'!$B:$B,MATCH(C134,'システム'!$A:$A,0)),"システムが未登録"))</f>
        <v/>
      </c>
      <c r="E134" s="18" t="n"/>
      <c r="F134" s="21">
        <f>IF(E134="","",IFERROR(INDEX('選択肢'!$L$5:$L$14,MATCH(E134,'選択肢'!$K$5:$K$14,0)),"選択肢にない種類"))</f>
        <v/>
      </c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21">
        <f>IF(A134="","",IF(F134="直接業務","—",IF(J134&lt;&gt;"済","判定保留",IF(OR(O134="",K134="",L134="",M134="",K134="未確認",L134="未確認"),"判定保留",IF(AND(K134="はい",M134="無"),"入力エラー（GxP対象でSOP無）",IFERROR(INDEX('判定表'!$D:$D,MATCH("W|"&amp;O134&amp;"|"&amp;IF(OR(K134="はい",L134="はい",M134="無"),"あり","なし"),'判定表'!$A:$A,0)),"判定表にない組み合わせ"))))))</f>
        <v/>
      </c>
      <c r="Q134" s="21">
        <f>IF(A134="","",IF(C134="","対象外",IF(F134="直接業務","対象外",IF(OR(F134&lt;&gt;"間接業務",COUNTIF('システム'!$A$4:$A$200,C134)=0,U134="",V134="紐付けにない組み合わせ",V134="案件が未登録"),"判定保留","移管"))))</f>
        <v/>
      </c>
      <c r="R134" s="21">
        <f>IF(A134="","",IF(Q134&lt;&gt;"移管","—",IF(O134="","判定保留",IFERROR(INDEX('判定表'!$E:$E,MATCH("W|"&amp;O134&amp;"|なし",'判定表'!$A:$A,0)),"判定表にない回答"))))</f>
        <v/>
      </c>
      <c r="S134" s="33" t="n"/>
      <c r="T134" s="18" t="n"/>
      <c r="U134" s="18" t="n"/>
      <c r="V134" s="21">
        <f>IF(U134="","",IF(COUNTIFS('紐付け'!$A$4:$A$200,U134,'紐付け'!$C$4:$C$200,C134)=0,"紐付けにない組み合わせ",IFERROR(INDEX('予算一覧'!$B:$B,MATCH(U134,'予算一覧'!$A:$A,0)),"案件が未登録")))</f>
        <v/>
      </c>
      <c r="W134" s="33" t="n"/>
    </row>
    <row r="135">
      <c r="A135" s="18" t="n"/>
      <c r="B135" s="18" t="n"/>
      <c r="C135" s="18" t="n"/>
      <c r="D135" s="21">
        <f>IF(C135="","",IFERROR(INDEX('システム'!$B:$B,MATCH(C135,'システム'!$A:$A,0)),"システムが未登録"))</f>
        <v/>
      </c>
      <c r="E135" s="18" t="n"/>
      <c r="F135" s="21">
        <f>IF(E135="","",IFERROR(INDEX('選択肢'!$L$5:$L$14,MATCH(E135,'選択肢'!$K$5:$K$14,0)),"選択肢にない種類"))</f>
        <v/>
      </c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21">
        <f>IF(A135="","",IF(F135="直接業務","—",IF(J135&lt;&gt;"済","判定保留",IF(OR(O135="",K135="",L135="",M135="",K135="未確認",L135="未確認"),"判定保留",IF(AND(K135="はい",M135="無"),"入力エラー（GxP対象でSOP無）",IFERROR(INDEX('判定表'!$D:$D,MATCH("W|"&amp;O135&amp;"|"&amp;IF(OR(K135="はい",L135="はい",M135="無"),"あり","なし"),'判定表'!$A:$A,0)),"判定表にない組み合わせ"))))))</f>
        <v/>
      </c>
      <c r="Q135" s="21">
        <f>IF(A135="","",IF(C135="","対象外",IF(F135="直接業務","対象外",IF(OR(F135&lt;&gt;"間接業務",COUNTIF('システム'!$A$4:$A$200,C135)=0,U135="",V135="紐付けにない組み合わせ",V135="案件が未登録"),"判定保留","移管"))))</f>
        <v/>
      </c>
      <c r="R135" s="21">
        <f>IF(A135="","",IF(Q135&lt;&gt;"移管","—",IF(O135="","判定保留",IFERROR(INDEX('判定表'!$E:$E,MATCH("W|"&amp;O135&amp;"|なし",'判定表'!$A:$A,0)),"判定表にない回答"))))</f>
        <v/>
      </c>
      <c r="S135" s="33" t="n"/>
      <c r="T135" s="18" t="n"/>
      <c r="U135" s="18" t="n"/>
      <c r="V135" s="21">
        <f>IF(U135="","",IF(COUNTIFS('紐付け'!$A$4:$A$200,U135,'紐付け'!$C$4:$C$200,C135)=0,"紐付けにない組み合わせ",IFERROR(INDEX('予算一覧'!$B:$B,MATCH(U135,'予算一覧'!$A:$A,0)),"案件が未登録")))</f>
        <v/>
      </c>
      <c r="W135" s="33" t="n"/>
    </row>
    <row r="136">
      <c r="A136" s="18" t="n"/>
      <c r="B136" s="18" t="n"/>
      <c r="C136" s="18" t="n"/>
      <c r="D136" s="21">
        <f>IF(C136="","",IFERROR(INDEX('システム'!$B:$B,MATCH(C136,'システム'!$A:$A,0)),"システムが未登録"))</f>
        <v/>
      </c>
      <c r="E136" s="18" t="n"/>
      <c r="F136" s="21">
        <f>IF(E136="","",IFERROR(INDEX('選択肢'!$L$5:$L$14,MATCH(E136,'選択肢'!$K$5:$K$14,0)),"選択肢にない種類"))</f>
        <v/>
      </c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21">
        <f>IF(A136="","",IF(F136="直接業務","—",IF(J136&lt;&gt;"済","判定保留",IF(OR(O136="",K136="",L136="",M136="",K136="未確認",L136="未確認"),"判定保留",IF(AND(K136="はい",M136="無"),"入力エラー（GxP対象でSOP無）",IFERROR(INDEX('判定表'!$D:$D,MATCH("W|"&amp;O136&amp;"|"&amp;IF(OR(K136="はい",L136="はい",M136="無"),"あり","なし"),'判定表'!$A:$A,0)),"判定表にない組み合わせ"))))))</f>
        <v/>
      </c>
      <c r="Q136" s="21">
        <f>IF(A136="","",IF(C136="","対象外",IF(F136="直接業務","対象外",IF(OR(F136&lt;&gt;"間接業務",COUNTIF('システム'!$A$4:$A$200,C136)=0,U136="",V136="紐付けにない組み合わせ",V136="案件が未登録"),"判定保留","移管"))))</f>
        <v/>
      </c>
      <c r="R136" s="21">
        <f>IF(A136="","",IF(Q136&lt;&gt;"移管","—",IF(O136="","判定保留",IFERROR(INDEX('判定表'!$E:$E,MATCH("W|"&amp;O136&amp;"|なし",'判定表'!$A:$A,0)),"判定表にない回答"))))</f>
        <v/>
      </c>
      <c r="S136" s="33" t="n"/>
      <c r="T136" s="18" t="n"/>
      <c r="U136" s="18" t="n"/>
      <c r="V136" s="21">
        <f>IF(U136="","",IF(COUNTIFS('紐付け'!$A$4:$A$200,U136,'紐付け'!$C$4:$C$200,C136)=0,"紐付けにない組み合わせ",IFERROR(INDEX('予算一覧'!$B:$B,MATCH(U136,'予算一覧'!$A:$A,0)),"案件が未登録")))</f>
        <v/>
      </c>
      <c r="W136" s="33" t="n"/>
    </row>
    <row r="137">
      <c r="A137" s="18" t="n"/>
      <c r="B137" s="18" t="n"/>
      <c r="C137" s="18" t="n"/>
      <c r="D137" s="21">
        <f>IF(C137="","",IFERROR(INDEX('システム'!$B:$B,MATCH(C137,'システム'!$A:$A,0)),"システムが未登録"))</f>
        <v/>
      </c>
      <c r="E137" s="18" t="n"/>
      <c r="F137" s="21">
        <f>IF(E137="","",IFERROR(INDEX('選択肢'!$L$5:$L$14,MATCH(E137,'選択肢'!$K$5:$K$14,0)),"選択肢にない種類"))</f>
        <v/>
      </c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21">
        <f>IF(A137="","",IF(F137="直接業務","—",IF(J137&lt;&gt;"済","判定保留",IF(OR(O137="",K137="",L137="",M137="",K137="未確認",L137="未確認"),"判定保留",IF(AND(K137="はい",M137="無"),"入力エラー（GxP対象でSOP無）",IFERROR(INDEX('判定表'!$D:$D,MATCH("W|"&amp;O137&amp;"|"&amp;IF(OR(K137="はい",L137="はい",M137="無"),"あり","なし"),'判定表'!$A:$A,0)),"判定表にない組み合わせ"))))))</f>
        <v/>
      </c>
      <c r="Q137" s="21">
        <f>IF(A137="","",IF(C137="","対象外",IF(F137="直接業務","対象外",IF(OR(F137&lt;&gt;"間接業務",COUNTIF('システム'!$A$4:$A$200,C137)=0,U137="",V137="紐付けにない組み合わせ",V137="案件が未登録"),"判定保留","移管"))))</f>
        <v/>
      </c>
      <c r="R137" s="21">
        <f>IF(A137="","",IF(Q137&lt;&gt;"移管","—",IF(O137="","判定保留",IFERROR(INDEX('判定表'!$E:$E,MATCH("W|"&amp;O137&amp;"|なし",'判定表'!$A:$A,0)),"判定表にない回答"))))</f>
        <v/>
      </c>
      <c r="S137" s="33" t="n"/>
      <c r="T137" s="18" t="n"/>
      <c r="U137" s="18" t="n"/>
      <c r="V137" s="21">
        <f>IF(U137="","",IF(COUNTIFS('紐付け'!$A$4:$A$200,U137,'紐付け'!$C$4:$C$200,C137)=0,"紐付けにない組み合わせ",IFERROR(INDEX('予算一覧'!$B:$B,MATCH(U137,'予算一覧'!$A:$A,0)),"案件が未登録")))</f>
        <v/>
      </c>
      <c r="W137" s="33" t="n"/>
    </row>
    <row r="138">
      <c r="A138" s="18" t="n"/>
      <c r="B138" s="18" t="n"/>
      <c r="C138" s="18" t="n"/>
      <c r="D138" s="21">
        <f>IF(C138="","",IFERROR(INDEX('システム'!$B:$B,MATCH(C138,'システム'!$A:$A,0)),"システムが未登録"))</f>
        <v/>
      </c>
      <c r="E138" s="18" t="n"/>
      <c r="F138" s="21">
        <f>IF(E138="","",IFERROR(INDEX('選択肢'!$L$5:$L$14,MATCH(E138,'選択肢'!$K$5:$K$14,0)),"選択肢にない種類"))</f>
        <v/>
      </c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21">
        <f>IF(A138="","",IF(F138="直接業務","—",IF(J138&lt;&gt;"済","判定保留",IF(OR(O138="",K138="",L138="",M138="",K138="未確認",L138="未確認"),"判定保留",IF(AND(K138="はい",M138="無"),"入力エラー（GxP対象でSOP無）",IFERROR(INDEX('判定表'!$D:$D,MATCH("W|"&amp;O138&amp;"|"&amp;IF(OR(K138="はい",L138="はい",M138="無"),"あり","なし"),'判定表'!$A:$A,0)),"判定表にない組み合わせ"))))))</f>
        <v/>
      </c>
      <c r="Q138" s="21">
        <f>IF(A138="","",IF(C138="","対象外",IF(F138="直接業務","対象外",IF(OR(F138&lt;&gt;"間接業務",COUNTIF('システム'!$A$4:$A$200,C138)=0,U138="",V138="紐付けにない組み合わせ",V138="案件が未登録"),"判定保留","移管"))))</f>
        <v/>
      </c>
      <c r="R138" s="21">
        <f>IF(A138="","",IF(Q138&lt;&gt;"移管","—",IF(O138="","判定保留",IFERROR(INDEX('判定表'!$E:$E,MATCH("W|"&amp;O138&amp;"|なし",'判定表'!$A:$A,0)),"判定表にない回答"))))</f>
        <v/>
      </c>
      <c r="S138" s="33" t="n"/>
      <c r="T138" s="18" t="n"/>
      <c r="U138" s="18" t="n"/>
      <c r="V138" s="21">
        <f>IF(U138="","",IF(COUNTIFS('紐付け'!$A$4:$A$200,U138,'紐付け'!$C$4:$C$200,C138)=0,"紐付けにない組み合わせ",IFERROR(INDEX('予算一覧'!$B:$B,MATCH(U138,'予算一覧'!$A:$A,0)),"案件が未登録")))</f>
        <v/>
      </c>
      <c r="W138" s="33" t="n"/>
    </row>
    <row r="139">
      <c r="A139" s="18" t="n"/>
      <c r="B139" s="18" t="n"/>
      <c r="C139" s="18" t="n"/>
      <c r="D139" s="21">
        <f>IF(C139="","",IFERROR(INDEX('システム'!$B:$B,MATCH(C139,'システム'!$A:$A,0)),"システムが未登録"))</f>
        <v/>
      </c>
      <c r="E139" s="18" t="n"/>
      <c r="F139" s="21">
        <f>IF(E139="","",IFERROR(INDEX('選択肢'!$L$5:$L$14,MATCH(E139,'選択肢'!$K$5:$K$14,0)),"選択肢にない種類"))</f>
        <v/>
      </c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21">
        <f>IF(A139="","",IF(F139="直接業務","—",IF(J139&lt;&gt;"済","判定保留",IF(OR(O139="",K139="",L139="",M139="",K139="未確認",L139="未確認"),"判定保留",IF(AND(K139="はい",M139="無"),"入力エラー（GxP対象でSOP無）",IFERROR(INDEX('判定表'!$D:$D,MATCH("W|"&amp;O139&amp;"|"&amp;IF(OR(K139="はい",L139="はい",M139="無"),"あり","なし"),'判定表'!$A:$A,0)),"判定表にない組み合わせ"))))))</f>
        <v/>
      </c>
      <c r="Q139" s="21">
        <f>IF(A139="","",IF(C139="","対象外",IF(F139="直接業務","対象外",IF(OR(F139&lt;&gt;"間接業務",COUNTIF('システム'!$A$4:$A$200,C139)=0,U139="",V139="紐付けにない組み合わせ",V139="案件が未登録"),"判定保留","移管"))))</f>
        <v/>
      </c>
      <c r="R139" s="21">
        <f>IF(A139="","",IF(Q139&lt;&gt;"移管","—",IF(O139="","判定保留",IFERROR(INDEX('判定表'!$E:$E,MATCH("W|"&amp;O139&amp;"|なし",'判定表'!$A:$A,0)),"判定表にない回答"))))</f>
        <v/>
      </c>
      <c r="S139" s="33" t="n"/>
      <c r="T139" s="18" t="n"/>
      <c r="U139" s="18" t="n"/>
      <c r="V139" s="21">
        <f>IF(U139="","",IF(COUNTIFS('紐付け'!$A$4:$A$200,U139,'紐付け'!$C$4:$C$200,C139)=0,"紐付けにない組み合わせ",IFERROR(INDEX('予算一覧'!$B:$B,MATCH(U139,'予算一覧'!$A:$A,0)),"案件が未登録")))</f>
        <v/>
      </c>
      <c r="W139" s="33" t="n"/>
    </row>
    <row r="140">
      <c r="A140" s="18" t="n"/>
      <c r="B140" s="18" t="n"/>
      <c r="C140" s="18" t="n"/>
      <c r="D140" s="21">
        <f>IF(C140="","",IFERROR(INDEX('システム'!$B:$B,MATCH(C140,'システム'!$A:$A,0)),"システムが未登録"))</f>
        <v/>
      </c>
      <c r="E140" s="18" t="n"/>
      <c r="F140" s="21">
        <f>IF(E140="","",IFERROR(INDEX('選択肢'!$L$5:$L$14,MATCH(E140,'選択肢'!$K$5:$K$14,0)),"選択肢にない種類"))</f>
        <v/>
      </c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21">
        <f>IF(A140="","",IF(F140="直接業務","—",IF(J140&lt;&gt;"済","判定保留",IF(OR(O140="",K140="",L140="",M140="",K140="未確認",L140="未確認"),"判定保留",IF(AND(K140="はい",M140="無"),"入力エラー（GxP対象でSOP無）",IFERROR(INDEX('判定表'!$D:$D,MATCH("W|"&amp;O140&amp;"|"&amp;IF(OR(K140="はい",L140="はい",M140="無"),"あり","なし"),'判定表'!$A:$A,0)),"判定表にない組み合わせ"))))))</f>
        <v/>
      </c>
      <c r="Q140" s="21">
        <f>IF(A140="","",IF(C140="","対象外",IF(F140="直接業務","対象外",IF(OR(F140&lt;&gt;"間接業務",COUNTIF('システム'!$A$4:$A$200,C140)=0,U140="",V140="紐付けにない組み合わせ",V140="案件が未登録"),"判定保留","移管"))))</f>
        <v/>
      </c>
      <c r="R140" s="21">
        <f>IF(A140="","",IF(Q140&lt;&gt;"移管","—",IF(O140="","判定保留",IFERROR(INDEX('判定表'!$E:$E,MATCH("W|"&amp;O140&amp;"|なし",'判定表'!$A:$A,0)),"判定表にない回答"))))</f>
        <v/>
      </c>
      <c r="S140" s="33" t="n"/>
      <c r="T140" s="18" t="n"/>
      <c r="U140" s="18" t="n"/>
      <c r="V140" s="21">
        <f>IF(U140="","",IF(COUNTIFS('紐付け'!$A$4:$A$200,U140,'紐付け'!$C$4:$C$200,C140)=0,"紐付けにない組み合わせ",IFERROR(INDEX('予算一覧'!$B:$B,MATCH(U140,'予算一覧'!$A:$A,0)),"案件が未登録")))</f>
        <v/>
      </c>
      <c r="W140" s="33" t="n"/>
    </row>
    <row r="141">
      <c r="A141" s="18" t="n"/>
      <c r="B141" s="18" t="n"/>
      <c r="C141" s="18" t="n"/>
      <c r="D141" s="21">
        <f>IF(C141="","",IFERROR(INDEX('システム'!$B:$B,MATCH(C141,'システム'!$A:$A,0)),"システムが未登録"))</f>
        <v/>
      </c>
      <c r="E141" s="18" t="n"/>
      <c r="F141" s="21">
        <f>IF(E141="","",IFERROR(INDEX('選択肢'!$L$5:$L$14,MATCH(E141,'選択肢'!$K$5:$K$14,0)),"選択肢にない種類"))</f>
        <v/>
      </c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21">
        <f>IF(A141="","",IF(F141="直接業務","—",IF(J141&lt;&gt;"済","判定保留",IF(OR(O141="",K141="",L141="",M141="",K141="未確認",L141="未確認"),"判定保留",IF(AND(K141="はい",M141="無"),"入力エラー（GxP対象でSOP無）",IFERROR(INDEX('判定表'!$D:$D,MATCH("W|"&amp;O141&amp;"|"&amp;IF(OR(K141="はい",L141="はい",M141="無"),"あり","なし"),'判定表'!$A:$A,0)),"判定表にない組み合わせ"))))))</f>
        <v/>
      </c>
      <c r="Q141" s="21">
        <f>IF(A141="","",IF(C141="","対象外",IF(F141="直接業務","対象外",IF(OR(F141&lt;&gt;"間接業務",COUNTIF('システム'!$A$4:$A$200,C141)=0,U141="",V141="紐付けにない組み合わせ",V141="案件が未登録"),"判定保留","移管"))))</f>
        <v/>
      </c>
      <c r="R141" s="21">
        <f>IF(A141="","",IF(Q141&lt;&gt;"移管","—",IF(O141="","判定保留",IFERROR(INDEX('判定表'!$E:$E,MATCH("W|"&amp;O141&amp;"|なし",'判定表'!$A:$A,0)),"判定表にない回答"))))</f>
        <v/>
      </c>
      <c r="S141" s="33" t="n"/>
      <c r="T141" s="18" t="n"/>
      <c r="U141" s="18" t="n"/>
      <c r="V141" s="21">
        <f>IF(U141="","",IF(COUNTIFS('紐付け'!$A$4:$A$200,U141,'紐付け'!$C$4:$C$200,C141)=0,"紐付けにない組み合わせ",IFERROR(INDEX('予算一覧'!$B:$B,MATCH(U141,'予算一覧'!$A:$A,0)),"案件が未登録")))</f>
        <v/>
      </c>
      <c r="W141" s="33" t="n"/>
    </row>
    <row r="142">
      <c r="A142" s="18" t="n"/>
      <c r="B142" s="18" t="n"/>
      <c r="C142" s="18" t="n"/>
      <c r="D142" s="21">
        <f>IF(C142="","",IFERROR(INDEX('システム'!$B:$B,MATCH(C142,'システム'!$A:$A,0)),"システムが未登録"))</f>
        <v/>
      </c>
      <c r="E142" s="18" t="n"/>
      <c r="F142" s="21">
        <f>IF(E142="","",IFERROR(INDEX('選択肢'!$L$5:$L$14,MATCH(E142,'選択肢'!$K$5:$K$14,0)),"選択肢にない種類"))</f>
        <v/>
      </c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21">
        <f>IF(A142="","",IF(F142="直接業務","—",IF(J142&lt;&gt;"済","判定保留",IF(OR(O142="",K142="",L142="",M142="",K142="未確認",L142="未確認"),"判定保留",IF(AND(K142="はい",M142="無"),"入力エラー（GxP対象でSOP無）",IFERROR(INDEX('判定表'!$D:$D,MATCH("W|"&amp;O142&amp;"|"&amp;IF(OR(K142="はい",L142="はい",M142="無"),"あり","なし"),'判定表'!$A:$A,0)),"判定表にない組み合わせ"))))))</f>
        <v/>
      </c>
      <c r="Q142" s="21">
        <f>IF(A142="","",IF(C142="","対象外",IF(F142="直接業務","対象外",IF(OR(F142&lt;&gt;"間接業務",COUNTIF('システム'!$A$4:$A$200,C142)=0,U142="",V142="紐付けにない組み合わせ",V142="案件が未登録"),"判定保留","移管"))))</f>
        <v/>
      </c>
      <c r="R142" s="21">
        <f>IF(A142="","",IF(Q142&lt;&gt;"移管","—",IF(O142="","判定保留",IFERROR(INDEX('判定表'!$E:$E,MATCH("W|"&amp;O142&amp;"|なし",'判定表'!$A:$A,0)),"判定表にない回答"))))</f>
        <v/>
      </c>
      <c r="S142" s="33" t="n"/>
      <c r="T142" s="18" t="n"/>
      <c r="U142" s="18" t="n"/>
      <c r="V142" s="21">
        <f>IF(U142="","",IF(COUNTIFS('紐付け'!$A$4:$A$200,U142,'紐付け'!$C$4:$C$200,C142)=0,"紐付けにない組み合わせ",IFERROR(INDEX('予算一覧'!$B:$B,MATCH(U142,'予算一覧'!$A:$A,0)),"案件が未登録")))</f>
        <v/>
      </c>
      <c r="W142" s="33" t="n"/>
    </row>
    <row r="143">
      <c r="A143" s="18" t="n"/>
      <c r="B143" s="18" t="n"/>
      <c r="C143" s="18" t="n"/>
      <c r="D143" s="21">
        <f>IF(C143="","",IFERROR(INDEX('システム'!$B:$B,MATCH(C143,'システム'!$A:$A,0)),"システムが未登録"))</f>
        <v/>
      </c>
      <c r="E143" s="18" t="n"/>
      <c r="F143" s="21">
        <f>IF(E143="","",IFERROR(INDEX('選択肢'!$L$5:$L$14,MATCH(E143,'選択肢'!$K$5:$K$14,0)),"選択肢にない種類"))</f>
        <v/>
      </c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21">
        <f>IF(A143="","",IF(F143="直接業務","—",IF(J143&lt;&gt;"済","判定保留",IF(OR(O143="",K143="",L143="",M143="",K143="未確認",L143="未確認"),"判定保留",IF(AND(K143="はい",M143="無"),"入力エラー（GxP対象でSOP無）",IFERROR(INDEX('判定表'!$D:$D,MATCH("W|"&amp;O143&amp;"|"&amp;IF(OR(K143="はい",L143="はい",M143="無"),"あり","なし"),'判定表'!$A:$A,0)),"判定表にない組み合わせ"))))))</f>
        <v/>
      </c>
      <c r="Q143" s="21">
        <f>IF(A143="","",IF(C143="","対象外",IF(F143="直接業務","対象外",IF(OR(F143&lt;&gt;"間接業務",COUNTIF('システム'!$A$4:$A$200,C143)=0,U143="",V143="紐付けにない組み合わせ",V143="案件が未登録"),"判定保留","移管"))))</f>
        <v/>
      </c>
      <c r="R143" s="21">
        <f>IF(A143="","",IF(Q143&lt;&gt;"移管","—",IF(O143="","判定保留",IFERROR(INDEX('判定表'!$E:$E,MATCH("W|"&amp;O143&amp;"|なし",'判定表'!$A:$A,0)),"判定表にない回答"))))</f>
        <v/>
      </c>
      <c r="S143" s="33" t="n"/>
      <c r="T143" s="18" t="n"/>
      <c r="U143" s="18" t="n"/>
      <c r="V143" s="21">
        <f>IF(U143="","",IF(COUNTIFS('紐付け'!$A$4:$A$200,U143,'紐付け'!$C$4:$C$200,C143)=0,"紐付けにない組み合わせ",IFERROR(INDEX('予算一覧'!$B:$B,MATCH(U143,'予算一覧'!$A:$A,0)),"案件が未登録")))</f>
        <v/>
      </c>
      <c r="W143" s="33" t="n"/>
    </row>
    <row r="144">
      <c r="A144" s="18" t="n"/>
      <c r="B144" s="18" t="n"/>
      <c r="C144" s="18" t="n"/>
      <c r="D144" s="21">
        <f>IF(C144="","",IFERROR(INDEX('システム'!$B:$B,MATCH(C144,'システム'!$A:$A,0)),"システムが未登録"))</f>
        <v/>
      </c>
      <c r="E144" s="18" t="n"/>
      <c r="F144" s="21">
        <f>IF(E144="","",IFERROR(INDEX('選択肢'!$L$5:$L$14,MATCH(E144,'選択肢'!$K$5:$K$14,0)),"選択肢にない種類"))</f>
        <v/>
      </c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21">
        <f>IF(A144="","",IF(F144="直接業務","—",IF(J144&lt;&gt;"済","判定保留",IF(OR(O144="",K144="",L144="",M144="",K144="未確認",L144="未確認"),"判定保留",IF(AND(K144="はい",M144="無"),"入力エラー（GxP対象でSOP無）",IFERROR(INDEX('判定表'!$D:$D,MATCH("W|"&amp;O144&amp;"|"&amp;IF(OR(K144="はい",L144="はい",M144="無"),"あり","なし"),'判定表'!$A:$A,0)),"判定表にない組み合わせ"))))))</f>
        <v/>
      </c>
      <c r="Q144" s="21">
        <f>IF(A144="","",IF(C144="","対象外",IF(F144="直接業務","対象外",IF(OR(F144&lt;&gt;"間接業務",COUNTIF('システム'!$A$4:$A$200,C144)=0,U144="",V144="紐付けにない組み合わせ",V144="案件が未登録"),"判定保留","移管"))))</f>
        <v/>
      </c>
      <c r="R144" s="21">
        <f>IF(A144="","",IF(Q144&lt;&gt;"移管","—",IF(O144="","判定保留",IFERROR(INDEX('判定表'!$E:$E,MATCH("W|"&amp;O144&amp;"|なし",'判定表'!$A:$A,0)),"判定表にない回答"))))</f>
        <v/>
      </c>
      <c r="S144" s="33" t="n"/>
      <c r="T144" s="18" t="n"/>
      <c r="U144" s="18" t="n"/>
      <c r="V144" s="21">
        <f>IF(U144="","",IF(COUNTIFS('紐付け'!$A$4:$A$200,U144,'紐付け'!$C$4:$C$200,C144)=0,"紐付けにない組み合わせ",IFERROR(INDEX('予算一覧'!$B:$B,MATCH(U144,'予算一覧'!$A:$A,0)),"案件が未登録")))</f>
        <v/>
      </c>
      <c r="W144" s="33" t="n"/>
    </row>
    <row r="145">
      <c r="A145" s="18" t="n"/>
      <c r="B145" s="18" t="n"/>
      <c r="C145" s="18" t="n"/>
      <c r="D145" s="21">
        <f>IF(C145="","",IFERROR(INDEX('システム'!$B:$B,MATCH(C145,'システム'!$A:$A,0)),"システムが未登録"))</f>
        <v/>
      </c>
      <c r="E145" s="18" t="n"/>
      <c r="F145" s="21">
        <f>IF(E145="","",IFERROR(INDEX('選択肢'!$L$5:$L$14,MATCH(E145,'選択肢'!$K$5:$K$14,0)),"選択肢にない種類"))</f>
        <v/>
      </c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21">
        <f>IF(A145="","",IF(F145="直接業務","—",IF(J145&lt;&gt;"済","判定保留",IF(OR(O145="",K145="",L145="",M145="",K145="未確認",L145="未確認"),"判定保留",IF(AND(K145="はい",M145="無"),"入力エラー（GxP対象でSOP無）",IFERROR(INDEX('判定表'!$D:$D,MATCH("W|"&amp;O145&amp;"|"&amp;IF(OR(K145="はい",L145="はい",M145="無"),"あり","なし"),'判定表'!$A:$A,0)),"判定表にない組み合わせ"))))))</f>
        <v/>
      </c>
      <c r="Q145" s="21">
        <f>IF(A145="","",IF(C145="","対象外",IF(F145="直接業務","対象外",IF(OR(F145&lt;&gt;"間接業務",COUNTIF('システム'!$A$4:$A$200,C145)=0,U145="",V145="紐付けにない組み合わせ",V145="案件が未登録"),"判定保留","移管"))))</f>
        <v/>
      </c>
      <c r="R145" s="21">
        <f>IF(A145="","",IF(Q145&lt;&gt;"移管","—",IF(O145="","判定保留",IFERROR(INDEX('判定表'!$E:$E,MATCH("W|"&amp;O145&amp;"|なし",'判定表'!$A:$A,0)),"判定表にない回答"))))</f>
        <v/>
      </c>
      <c r="S145" s="33" t="n"/>
      <c r="T145" s="18" t="n"/>
      <c r="U145" s="18" t="n"/>
      <c r="V145" s="21">
        <f>IF(U145="","",IF(COUNTIFS('紐付け'!$A$4:$A$200,U145,'紐付け'!$C$4:$C$200,C145)=0,"紐付けにない組み合わせ",IFERROR(INDEX('予算一覧'!$B:$B,MATCH(U145,'予算一覧'!$A:$A,0)),"案件が未登録")))</f>
        <v/>
      </c>
      <c r="W145" s="33" t="n"/>
    </row>
    <row r="146">
      <c r="A146" s="18" t="n"/>
      <c r="B146" s="18" t="n"/>
      <c r="C146" s="18" t="n"/>
      <c r="D146" s="21">
        <f>IF(C146="","",IFERROR(INDEX('システム'!$B:$B,MATCH(C146,'システム'!$A:$A,0)),"システムが未登録"))</f>
        <v/>
      </c>
      <c r="E146" s="18" t="n"/>
      <c r="F146" s="21">
        <f>IF(E146="","",IFERROR(INDEX('選択肢'!$L$5:$L$14,MATCH(E146,'選択肢'!$K$5:$K$14,0)),"選択肢にない種類"))</f>
        <v/>
      </c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21">
        <f>IF(A146="","",IF(F146="直接業務","—",IF(J146&lt;&gt;"済","判定保留",IF(OR(O146="",K146="",L146="",M146="",K146="未確認",L146="未確認"),"判定保留",IF(AND(K146="はい",M146="無"),"入力エラー（GxP対象でSOP無）",IFERROR(INDEX('判定表'!$D:$D,MATCH("W|"&amp;O146&amp;"|"&amp;IF(OR(K146="はい",L146="はい",M146="無"),"あり","なし"),'判定表'!$A:$A,0)),"判定表にない組み合わせ"))))))</f>
        <v/>
      </c>
      <c r="Q146" s="21">
        <f>IF(A146="","",IF(C146="","対象外",IF(F146="直接業務","対象外",IF(OR(F146&lt;&gt;"間接業務",COUNTIF('システム'!$A$4:$A$200,C146)=0,U146="",V146="紐付けにない組み合わせ",V146="案件が未登録"),"判定保留","移管"))))</f>
        <v/>
      </c>
      <c r="R146" s="21">
        <f>IF(A146="","",IF(Q146&lt;&gt;"移管","—",IF(O146="","判定保留",IFERROR(INDEX('判定表'!$E:$E,MATCH("W|"&amp;O146&amp;"|なし",'判定表'!$A:$A,0)),"判定表にない回答"))))</f>
        <v/>
      </c>
      <c r="S146" s="33" t="n"/>
      <c r="T146" s="18" t="n"/>
      <c r="U146" s="18" t="n"/>
      <c r="V146" s="21">
        <f>IF(U146="","",IF(COUNTIFS('紐付け'!$A$4:$A$200,U146,'紐付け'!$C$4:$C$200,C146)=0,"紐付けにない組み合わせ",IFERROR(INDEX('予算一覧'!$B:$B,MATCH(U146,'予算一覧'!$A:$A,0)),"案件が未登録")))</f>
        <v/>
      </c>
      <c r="W146" s="33" t="n"/>
    </row>
    <row r="147">
      <c r="A147" s="18" t="n"/>
      <c r="B147" s="18" t="n"/>
      <c r="C147" s="18" t="n"/>
      <c r="D147" s="21">
        <f>IF(C147="","",IFERROR(INDEX('システム'!$B:$B,MATCH(C147,'システム'!$A:$A,0)),"システムが未登録"))</f>
        <v/>
      </c>
      <c r="E147" s="18" t="n"/>
      <c r="F147" s="21">
        <f>IF(E147="","",IFERROR(INDEX('選択肢'!$L$5:$L$14,MATCH(E147,'選択肢'!$K$5:$K$14,0)),"選択肢にない種類"))</f>
        <v/>
      </c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21">
        <f>IF(A147="","",IF(F147="直接業務","—",IF(J147&lt;&gt;"済","判定保留",IF(OR(O147="",K147="",L147="",M147="",K147="未確認",L147="未確認"),"判定保留",IF(AND(K147="はい",M147="無"),"入力エラー（GxP対象でSOP無）",IFERROR(INDEX('判定表'!$D:$D,MATCH("W|"&amp;O147&amp;"|"&amp;IF(OR(K147="はい",L147="はい",M147="無"),"あり","なし"),'判定表'!$A:$A,0)),"判定表にない組み合わせ"))))))</f>
        <v/>
      </c>
      <c r="Q147" s="21">
        <f>IF(A147="","",IF(C147="","対象外",IF(F147="直接業務","対象外",IF(OR(F147&lt;&gt;"間接業務",COUNTIF('システム'!$A$4:$A$200,C147)=0,U147="",V147="紐付けにない組み合わせ",V147="案件が未登録"),"判定保留","移管"))))</f>
        <v/>
      </c>
      <c r="R147" s="21">
        <f>IF(A147="","",IF(Q147&lt;&gt;"移管","—",IF(O147="","判定保留",IFERROR(INDEX('判定表'!$E:$E,MATCH("W|"&amp;O147&amp;"|なし",'判定表'!$A:$A,0)),"判定表にない回答"))))</f>
        <v/>
      </c>
      <c r="S147" s="33" t="n"/>
      <c r="T147" s="18" t="n"/>
      <c r="U147" s="18" t="n"/>
      <c r="V147" s="21">
        <f>IF(U147="","",IF(COUNTIFS('紐付け'!$A$4:$A$200,U147,'紐付け'!$C$4:$C$200,C147)=0,"紐付けにない組み合わせ",IFERROR(INDEX('予算一覧'!$B:$B,MATCH(U147,'予算一覧'!$A:$A,0)),"案件が未登録")))</f>
        <v/>
      </c>
      <c r="W147" s="33" t="n"/>
    </row>
    <row r="148">
      <c r="A148" s="18" t="n"/>
      <c r="B148" s="18" t="n"/>
      <c r="C148" s="18" t="n"/>
      <c r="D148" s="21">
        <f>IF(C148="","",IFERROR(INDEX('システム'!$B:$B,MATCH(C148,'システム'!$A:$A,0)),"システムが未登録"))</f>
        <v/>
      </c>
      <c r="E148" s="18" t="n"/>
      <c r="F148" s="21">
        <f>IF(E148="","",IFERROR(INDEX('選択肢'!$L$5:$L$14,MATCH(E148,'選択肢'!$K$5:$K$14,0)),"選択肢にない種類"))</f>
        <v/>
      </c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21">
        <f>IF(A148="","",IF(F148="直接業務","—",IF(J148&lt;&gt;"済","判定保留",IF(OR(O148="",K148="",L148="",M148="",K148="未確認",L148="未確認"),"判定保留",IF(AND(K148="はい",M148="無"),"入力エラー（GxP対象でSOP無）",IFERROR(INDEX('判定表'!$D:$D,MATCH("W|"&amp;O148&amp;"|"&amp;IF(OR(K148="はい",L148="はい",M148="無"),"あり","なし"),'判定表'!$A:$A,0)),"判定表にない組み合わせ"))))))</f>
        <v/>
      </c>
      <c r="Q148" s="21">
        <f>IF(A148="","",IF(C148="","対象外",IF(F148="直接業務","対象外",IF(OR(F148&lt;&gt;"間接業務",COUNTIF('システム'!$A$4:$A$200,C148)=0,U148="",V148="紐付けにない組み合わせ",V148="案件が未登録"),"判定保留","移管"))))</f>
        <v/>
      </c>
      <c r="R148" s="21">
        <f>IF(A148="","",IF(Q148&lt;&gt;"移管","—",IF(O148="","判定保留",IFERROR(INDEX('判定表'!$E:$E,MATCH("W|"&amp;O148&amp;"|なし",'判定表'!$A:$A,0)),"判定表にない回答"))))</f>
        <v/>
      </c>
      <c r="S148" s="33" t="n"/>
      <c r="T148" s="18" t="n"/>
      <c r="U148" s="18" t="n"/>
      <c r="V148" s="21">
        <f>IF(U148="","",IF(COUNTIFS('紐付け'!$A$4:$A$200,U148,'紐付け'!$C$4:$C$200,C148)=0,"紐付けにない組み合わせ",IFERROR(INDEX('予算一覧'!$B:$B,MATCH(U148,'予算一覧'!$A:$A,0)),"案件が未登録")))</f>
        <v/>
      </c>
      <c r="W148" s="33" t="n"/>
    </row>
    <row r="149">
      <c r="A149" s="18" t="n"/>
      <c r="B149" s="18" t="n"/>
      <c r="C149" s="18" t="n"/>
      <c r="D149" s="21">
        <f>IF(C149="","",IFERROR(INDEX('システム'!$B:$B,MATCH(C149,'システム'!$A:$A,0)),"システムが未登録"))</f>
        <v/>
      </c>
      <c r="E149" s="18" t="n"/>
      <c r="F149" s="21">
        <f>IF(E149="","",IFERROR(INDEX('選択肢'!$L$5:$L$14,MATCH(E149,'選択肢'!$K$5:$K$14,0)),"選択肢にない種類"))</f>
        <v/>
      </c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21">
        <f>IF(A149="","",IF(F149="直接業務","—",IF(J149&lt;&gt;"済","判定保留",IF(OR(O149="",K149="",L149="",M149="",K149="未確認",L149="未確認"),"判定保留",IF(AND(K149="はい",M149="無"),"入力エラー（GxP対象でSOP無）",IFERROR(INDEX('判定表'!$D:$D,MATCH("W|"&amp;O149&amp;"|"&amp;IF(OR(K149="はい",L149="はい",M149="無"),"あり","なし"),'判定表'!$A:$A,0)),"判定表にない組み合わせ"))))))</f>
        <v/>
      </c>
      <c r="Q149" s="21">
        <f>IF(A149="","",IF(C149="","対象外",IF(F149="直接業務","対象外",IF(OR(F149&lt;&gt;"間接業務",COUNTIF('システム'!$A$4:$A$200,C149)=0,U149="",V149="紐付けにない組み合わせ",V149="案件が未登録"),"判定保留","移管"))))</f>
        <v/>
      </c>
      <c r="R149" s="21">
        <f>IF(A149="","",IF(Q149&lt;&gt;"移管","—",IF(O149="","判定保留",IFERROR(INDEX('判定表'!$E:$E,MATCH("W|"&amp;O149&amp;"|なし",'判定表'!$A:$A,0)),"判定表にない回答"))))</f>
        <v/>
      </c>
      <c r="S149" s="33" t="n"/>
      <c r="T149" s="18" t="n"/>
      <c r="U149" s="18" t="n"/>
      <c r="V149" s="21">
        <f>IF(U149="","",IF(COUNTIFS('紐付け'!$A$4:$A$200,U149,'紐付け'!$C$4:$C$200,C149)=0,"紐付けにない組み合わせ",IFERROR(INDEX('予算一覧'!$B:$B,MATCH(U149,'予算一覧'!$A:$A,0)),"案件が未登録")))</f>
        <v/>
      </c>
      <c r="W149" s="33" t="n"/>
    </row>
    <row r="150">
      <c r="A150" s="18" t="n"/>
      <c r="B150" s="18" t="n"/>
      <c r="C150" s="18" t="n"/>
      <c r="D150" s="21">
        <f>IF(C150="","",IFERROR(INDEX('システム'!$B:$B,MATCH(C150,'システム'!$A:$A,0)),"システムが未登録"))</f>
        <v/>
      </c>
      <c r="E150" s="18" t="n"/>
      <c r="F150" s="21">
        <f>IF(E150="","",IFERROR(INDEX('選択肢'!$L$5:$L$14,MATCH(E150,'選択肢'!$K$5:$K$14,0)),"選択肢にない種類"))</f>
        <v/>
      </c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21">
        <f>IF(A150="","",IF(F150="直接業務","—",IF(J150&lt;&gt;"済","判定保留",IF(OR(O150="",K150="",L150="",M150="",K150="未確認",L150="未確認"),"判定保留",IF(AND(K150="はい",M150="無"),"入力エラー（GxP対象でSOP無）",IFERROR(INDEX('判定表'!$D:$D,MATCH("W|"&amp;O150&amp;"|"&amp;IF(OR(K150="はい",L150="はい",M150="無"),"あり","なし"),'判定表'!$A:$A,0)),"判定表にない組み合わせ"))))))</f>
        <v/>
      </c>
      <c r="Q150" s="21">
        <f>IF(A150="","",IF(C150="","対象外",IF(F150="直接業務","対象外",IF(OR(F150&lt;&gt;"間接業務",COUNTIF('システム'!$A$4:$A$200,C150)=0,U150="",V150="紐付けにない組み合わせ",V150="案件が未登録"),"判定保留","移管"))))</f>
        <v/>
      </c>
      <c r="R150" s="21">
        <f>IF(A150="","",IF(Q150&lt;&gt;"移管","—",IF(O150="","判定保留",IFERROR(INDEX('判定表'!$E:$E,MATCH("W|"&amp;O150&amp;"|なし",'判定表'!$A:$A,0)),"判定表にない回答"))))</f>
        <v/>
      </c>
      <c r="S150" s="33" t="n"/>
      <c r="T150" s="18" t="n"/>
      <c r="U150" s="18" t="n"/>
      <c r="V150" s="21">
        <f>IF(U150="","",IF(COUNTIFS('紐付け'!$A$4:$A$200,U150,'紐付け'!$C$4:$C$200,C150)=0,"紐付けにない組み合わせ",IFERROR(INDEX('予算一覧'!$B:$B,MATCH(U150,'予算一覧'!$A:$A,0)),"案件が未登録")))</f>
        <v/>
      </c>
      <c r="W150" s="33" t="n"/>
    </row>
    <row r="151">
      <c r="A151" s="18" t="n"/>
      <c r="B151" s="18" t="n"/>
      <c r="C151" s="18" t="n"/>
      <c r="D151" s="21">
        <f>IF(C151="","",IFERROR(INDEX('システム'!$B:$B,MATCH(C151,'システム'!$A:$A,0)),"システムが未登録"))</f>
        <v/>
      </c>
      <c r="E151" s="18" t="n"/>
      <c r="F151" s="21">
        <f>IF(E151="","",IFERROR(INDEX('選択肢'!$L$5:$L$14,MATCH(E151,'選択肢'!$K$5:$K$14,0)),"選択肢にない種類"))</f>
        <v/>
      </c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21">
        <f>IF(A151="","",IF(F151="直接業務","—",IF(J151&lt;&gt;"済","判定保留",IF(OR(O151="",K151="",L151="",M151="",K151="未確認",L151="未確認"),"判定保留",IF(AND(K151="はい",M151="無"),"入力エラー（GxP対象でSOP無）",IFERROR(INDEX('判定表'!$D:$D,MATCH("W|"&amp;O151&amp;"|"&amp;IF(OR(K151="はい",L151="はい",M151="無"),"あり","なし"),'判定表'!$A:$A,0)),"判定表にない組み合わせ"))))))</f>
        <v/>
      </c>
      <c r="Q151" s="21">
        <f>IF(A151="","",IF(C151="","対象外",IF(F151="直接業務","対象外",IF(OR(F151&lt;&gt;"間接業務",COUNTIF('システム'!$A$4:$A$200,C151)=0,U151="",V151="紐付けにない組み合わせ",V151="案件が未登録"),"判定保留","移管"))))</f>
        <v/>
      </c>
      <c r="R151" s="21">
        <f>IF(A151="","",IF(Q151&lt;&gt;"移管","—",IF(O151="","判定保留",IFERROR(INDEX('判定表'!$E:$E,MATCH("W|"&amp;O151&amp;"|なし",'判定表'!$A:$A,0)),"判定表にない回答"))))</f>
        <v/>
      </c>
      <c r="S151" s="33" t="n"/>
      <c r="T151" s="18" t="n"/>
      <c r="U151" s="18" t="n"/>
      <c r="V151" s="21">
        <f>IF(U151="","",IF(COUNTIFS('紐付け'!$A$4:$A$200,U151,'紐付け'!$C$4:$C$200,C151)=0,"紐付けにない組み合わせ",IFERROR(INDEX('予算一覧'!$B:$B,MATCH(U151,'予算一覧'!$A:$A,0)),"案件が未登録")))</f>
        <v/>
      </c>
      <c r="W151" s="33" t="n"/>
    </row>
    <row r="152">
      <c r="A152" s="18" t="n"/>
      <c r="B152" s="18" t="n"/>
      <c r="C152" s="18" t="n"/>
      <c r="D152" s="21">
        <f>IF(C152="","",IFERROR(INDEX('システム'!$B:$B,MATCH(C152,'システム'!$A:$A,0)),"システムが未登録"))</f>
        <v/>
      </c>
      <c r="E152" s="18" t="n"/>
      <c r="F152" s="21">
        <f>IF(E152="","",IFERROR(INDEX('選択肢'!$L$5:$L$14,MATCH(E152,'選択肢'!$K$5:$K$14,0)),"選択肢にない種類"))</f>
        <v/>
      </c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21">
        <f>IF(A152="","",IF(F152="直接業務","—",IF(J152&lt;&gt;"済","判定保留",IF(OR(O152="",K152="",L152="",M152="",K152="未確認",L152="未確認"),"判定保留",IF(AND(K152="はい",M152="無"),"入力エラー（GxP対象でSOP無）",IFERROR(INDEX('判定表'!$D:$D,MATCH("W|"&amp;O152&amp;"|"&amp;IF(OR(K152="はい",L152="はい",M152="無"),"あり","なし"),'判定表'!$A:$A,0)),"判定表にない組み合わせ"))))))</f>
        <v/>
      </c>
      <c r="Q152" s="21">
        <f>IF(A152="","",IF(C152="","対象外",IF(F152="直接業務","対象外",IF(OR(F152&lt;&gt;"間接業務",COUNTIF('システム'!$A$4:$A$200,C152)=0,U152="",V152="紐付けにない組み合わせ",V152="案件が未登録"),"判定保留","移管"))))</f>
        <v/>
      </c>
      <c r="R152" s="21">
        <f>IF(A152="","",IF(Q152&lt;&gt;"移管","—",IF(O152="","判定保留",IFERROR(INDEX('判定表'!$E:$E,MATCH("W|"&amp;O152&amp;"|なし",'判定表'!$A:$A,0)),"判定表にない回答"))))</f>
        <v/>
      </c>
      <c r="S152" s="33" t="n"/>
      <c r="T152" s="18" t="n"/>
      <c r="U152" s="18" t="n"/>
      <c r="V152" s="21">
        <f>IF(U152="","",IF(COUNTIFS('紐付け'!$A$4:$A$200,U152,'紐付け'!$C$4:$C$200,C152)=0,"紐付けにない組み合わせ",IFERROR(INDEX('予算一覧'!$B:$B,MATCH(U152,'予算一覧'!$A:$A,0)),"案件が未登録")))</f>
        <v/>
      </c>
      <c r="W152" s="33" t="n"/>
    </row>
    <row r="153">
      <c r="A153" s="18" t="n"/>
      <c r="B153" s="18" t="n"/>
      <c r="C153" s="18" t="n"/>
      <c r="D153" s="21">
        <f>IF(C153="","",IFERROR(INDEX('システム'!$B:$B,MATCH(C153,'システム'!$A:$A,0)),"システムが未登録"))</f>
        <v/>
      </c>
      <c r="E153" s="18" t="n"/>
      <c r="F153" s="21">
        <f>IF(E153="","",IFERROR(INDEX('選択肢'!$L$5:$L$14,MATCH(E153,'選択肢'!$K$5:$K$14,0)),"選択肢にない種類"))</f>
        <v/>
      </c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21">
        <f>IF(A153="","",IF(F153="直接業務","—",IF(J153&lt;&gt;"済","判定保留",IF(OR(O153="",K153="",L153="",M153="",K153="未確認",L153="未確認"),"判定保留",IF(AND(K153="はい",M153="無"),"入力エラー（GxP対象でSOP無）",IFERROR(INDEX('判定表'!$D:$D,MATCH("W|"&amp;O153&amp;"|"&amp;IF(OR(K153="はい",L153="はい",M153="無"),"あり","なし"),'判定表'!$A:$A,0)),"判定表にない組み合わせ"))))))</f>
        <v/>
      </c>
      <c r="Q153" s="21">
        <f>IF(A153="","",IF(C153="","対象外",IF(F153="直接業務","対象外",IF(OR(F153&lt;&gt;"間接業務",COUNTIF('システム'!$A$4:$A$200,C153)=0,U153="",V153="紐付けにない組み合わせ",V153="案件が未登録"),"判定保留","移管"))))</f>
        <v/>
      </c>
      <c r="R153" s="21">
        <f>IF(A153="","",IF(Q153&lt;&gt;"移管","—",IF(O153="","判定保留",IFERROR(INDEX('判定表'!$E:$E,MATCH("W|"&amp;O153&amp;"|なし",'判定表'!$A:$A,0)),"判定表にない回答"))))</f>
        <v/>
      </c>
      <c r="S153" s="33" t="n"/>
      <c r="T153" s="18" t="n"/>
      <c r="U153" s="18" t="n"/>
      <c r="V153" s="21">
        <f>IF(U153="","",IF(COUNTIFS('紐付け'!$A$4:$A$200,U153,'紐付け'!$C$4:$C$200,C153)=0,"紐付けにない組み合わせ",IFERROR(INDEX('予算一覧'!$B:$B,MATCH(U153,'予算一覧'!$A:$A,0)),"案件が未登録")))</f>
        <v/>
      </c>
      <c r="W153" s="33" t="n"/>
    </row>
    <row r="154">
      <c r="A154" s="18" t="n"/>
      <c r="B154" s="18" t="n"/>
      <c r="C154" s="18" t="n"/>
      <c r="D154" s="21">
        <f>IF(C154="","",IFERROR(INDEX('システム'!$B:$B,MATCH(C154,'システム'!$A:$A,0)),"システムが未登録"))</f>
        <v/>
      </c>
      <c r="E154" s="18" t="n"/>
      <c r="F154" s="21">
        <f>IF(E154="","",IFERROR(INDEX('選択肢'!$L$5:$L$14,MATCH(E154,'選択肢'!$K$5:$K$14,0)),"選択肢にない種類"))</f>
        <v/>
      </c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21">
        <f>IF(A154="","",IF(F154="直接業務","—",IF(J154&lt;&gt;"済","判定保留",IF(OR(O154="",K154="",L154="",M154="",K154="未確認",L154="未確認"),"判定保留",IF(AND(K154="はい",M154="無"),"入力エラー（GxP対象でSOP無）",IFERROR(INDEX('判定表'!$D:$D,MATCH("W|"&amp;O154&amp;"|"&amp;IF(OR(K154="はい",L154="はい",M154="無"),"あり","なし"),'判定表'!$A:$A,0)),"判定表にない組み合わせ"))))))</f>
        <v/>
      </c>
      <c r="Q154" s="21">
        <f>IF(A154="","",IF(C154="","対象外",IF(F154="直接業務","対象外",IF(OR(F154&lt;&gt;"間接業務",COUNTIF('システム'!$A$4:$A$200,C154)=0,U154="",V154="紐付けにない組み合わせ",V154="案件が未登録"),"判定保留","移管"))))</f>
        <v/>
      </c>
      <c r="R154" s="21">
        <f>IF(A154="","",IF(Q154&lt;&gt;"移管","—",IF(O154="","判定保留",IFERROR(INDEX('判定表'!$E:$E,MATCH("W|"&amp;O154&amp;"|なし",'判定表'!$A:$A,0)),"判定表にない回答"))))</f>
        <v/>
      </c>
      <c r="S154" s="33" t="n"/>
      <c r="T154" s="18" t="n"/>
      <c r="U154" s="18" t="n"/>
      <c r="V154" s="21">
        <f>IF(U154="","",IF(COUNTIFS('紐付け'!$A$4:$A$200,U154,'紐付け'!$C$4:$C$200,C154)=0,"紐付けにない組み合わせ",IFERROR(INDEX('予算一覧'!$B:$B,MATCH(U154,'予算一覧'!$A:$A,0)),"案件が未登録")))</f>
        <v/>
      </c>
      <c r="W154" s="33" t="n"/>
    </row>
    <row r="155">
      <c r="A155" s="18" t="n"/>
      <c r="B155" s="18" t="n"/>
      <c r="C155" s="18" t="n"/>
      <c r="D155" s="21">
        <f>IF(C155="","",IFERROR(INDEX('システム'!$B:$B,MATCH(C155,'システム'!$A:$A,0)),"システムが未登録"))</f>
        <v/>
      </c>
      <c r="E155" s="18" t="n"/>
      <c r="F155" s="21">
        <f>IF(E155="","",IFERROR(INDEX('選択肢'!$L$5:$L$14,MATCH(E155,'選択肢'!$K$5:$K$14,0)),"選択肢にない種類"))</f>
        <v/>
      </c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21">
        <f>IF(A155="","",IF(F155="直接業務","—",IF(J155&lt;&gt;"済","判定保留",IF(OR(O155="",K155="",L155="",M155="",K155="未確認",L155="未確認"),"判定保留",IF(AND(K155="はい",M155="無"),"入力エラー（GxP対象でSOP無）",IFERROR(INDEX('判定表'!$D:$D,MATCH("W|"&amp;O155&amp;"|"&amp;IF(OR(K155="はい",L155="はい",M155="無"),"あり","なし"),'判定表'!$A:$A,0)),"判定表にない組み合わせ"))))))</f>
        <v/>
      </c>
      <c r="Q155" s="21">
        <f>IF(A155="","",IF(C155="","対象外",IF(F155="直接業務","対象外",IF(OR(F155&lt;&gt;"間接業務",COUNTIF('システム'!$A$4:$A$200,C155)=0,U155="",V155="紐付けにない組み合わせ",V155="案件が未登録"),"判定保留","移管"))))</f>
        <v/>
      </c>
      <c r="R155" s="21">
        <f>IF(A155="","",IF(Q155&lt;&gt;"移管","—",IF(O155="","判定保留",IFERROR(INDEX('判定表'!$E:$E,MATCH("W|"&amp;O155&amp;"|なし",'判定表'!$A:$A,0)),"判定表にない回答"))))</f>
        <v/>
      </c>
      <c r="S155" s="33" t="n"/>
      <c r="T155" s="18" t="n"/>
      <c r="U155" s="18" t="n"/>
      <c r="V155" s="21">
        <f>IF(U155="","",IF(COUNTIFS('紐付け'!$A$4:$A$200,U155,'紐付け'!$C$4:$C$200,C155)=0,"紐付けにない組み合わせ",IFERROR(INDEX('予算一覧'!$B:$B,MATCH(U155,'予算一覧'!$A:$A,0)),"案件が未登録")))</f>
        <v/>
      </c>
      <c r="W155" s="33" t="n"/>
    </row>
    <row r="156">
      <c r="A156" s="18" t="n"/>
      <c r="B156" s="18" t="n"/>
      <c r="C156" s="18" t="n"/>
      <c r="D156" s="21">
        <f>IF(C156="","",IFERROR(INDEX('システム'!$B:$B,MATCH(C156,'システム'!$A:$A,0)),"システムが未登録"))</f>
        <v/>
      </c>
      <c r="E156" s="18" t="n"/>
      <c r="F156" s="21">
        <f>IF(E156="","",IFERROR(INDEX('選択肢'!$L$5:$L$14,MATCH(E156,'選択肢'!$K$5:$K$14,0)),"選択肢にない種類"))</f>
        <v/>
      </c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21">
        <f>IF(A156="","",IF(F156="直接業務","—",IF(J156&lt;&gt;"済","判定保留",IF(OR(O156="",K156="",L156="",M156="",K156="未確認",L156="未確認"),"判定保留",IF(AND(K156="はい",M156="無"),"入力エラー（GxP対象でSOP無）",IFERROR(INDEX('判定表'!$D:$D,MATCH("W|"&amp;O156&amp;"|"&amp;IF(OR(K156="はい",L156="はい",M156="無"),"あり","なし"),'判定表'!$A:$A,0)),"判定表にない組み合わせ"))))))</f>
        <v/>
      </c>
      <c r="Q156" s="21">
        <f>IF(A156="","",IF(C156="","対象外",IF(F156="直接業務","対象外",IF(OR(F156&lt;&gt;"間接業務",COUNTIF('システム'!$A$4:$A$200,C156)=0,U156="",V156="紐付けにない組み合わせ",V156="案件が未登録"),"判定保留","移管"))))</f>
        <v/>
      </c>
      <c r="R156" s="21">
        <f>IF(A156="","",IF(Q156&lt;&gt;"移管","—",IF(O156="","判定保留",IFERROR(INDEX('判定表'!$E:$E,MATCH("W|"&amp;O156&amp;"|なし",'判定表'!$A:$A,0)),"判定表にない回答"))))</f>
        <v/>
      </c>
      <c r="S156" s="33" t="n"/>
      <c r="T156" s="18" t="n"/>
      <c r="U156" s="18" t="n"/>
      <c r="V156" s="21">
        <f>IF(U156="","",IF(COUNTIFS('紐付け'!$A$4:$A$200,U156,'紐付け'!$C$4:$C$200,C156)=0,"紐付けにない組み合わせ",IFERROR(INDEX('予算一覧'!$B:$B,MATCH(U156,'予算一覧'!$A:$A,0)),"案件が未登録")))</f>
        <v/>
      </c>
      <c r="W156" s="33" t="n"/>
    </row>
    <row r="157">
      <c r="A157" s="18" t="n"/>
      <c r="B157" s="18" t="n"/>
      <c r="C157" s="18" t="n"/>
      <c r="D157" s="21">
        <f>IF(C157="","",IFERROR(INDEX('システム'!$B:$B,MATCH(C157,'システム'!$A:$A,0)),"システムが未登録"))</f>
        <v/>
      </c>
      <c r="E157" s="18" t="n"/>
      <c r="F157" s="21">
        <f>IF(E157="","",IFERROR(INDEX('選択肢'!$L$5:$L$14,MATCH(E157,'選択肢'!$K$5:$K$14,0)),"選択肢にない種類"))</f>
        <v/>
      </c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21">
        <f>IF(A157="","",IF(F157="直接業務","—",IF(J157&lt;&gt;"済","判定保留",IF(OR(O157="",K157="",L157="",M157="",K157="未確認",L157="未確認"),"判定保留",IF(AND(K157="はい",M157="無"),"入力エラー（GxP対象でSOP無）",IFERROR(INDEX('判定表'!$D:$D,MATCH("W|"&amp;O157&amp;"|"&amp;IF(OR(K157="はい",L157="はい",M157="無"),"あり","なし"),'判定表'!$A:$A,0)),"判定表にない組み合わせ"))))))</f>
        <v/>
      </c>
      <c r="Q157" s="21">
        <f>IF(A157="","",IF(C157="","対象外",IF(F157="直接業務","対象外",IF(OR(F157&lt;&gt;"間接業務",COUNTIF('システム'!$A$4:$A$200,C157)=0,U157="",V157="紐付けにない組み合わせ",V157="案件が未登録"),"判定保留","移管"))))</f>
        <v/>
      </c>
      <c r="R157" s="21">
        <f>IF(A157="","",IF(Q157&lt;&gt;"移管","—",IF(O157="","判定保留",IFERROR(INDEX('判定表'!$E:$E,MATCH("W|"&amp;O157&amp;"|なし",'判定表'!$A:$A,0)),"判定表にない回答"))))</f>
        <v/>
      </c>
      <c r="S157" s="33" t="n"/>
      <c r="T157" s="18" t="n"/>
      <c r="U157" s="18" t="n"/>
      <c r="V157" s="21">
        <f>IF(U157="","",IF(COUNTIFS('紐付け'!$A$4:$A$200,U157,'紐付け'!$C$4:$C$200,C157)=0,"紐付けにない組み合わせ",IFERROR(INDEX('予算一覧'!$B:$B,MATCH(U157,'予算一覧'!$A:$A,0)),"案件が未登録")))</f>
        <v/>
      </c>
      <c r="W157" s="33" t="n"/>
    </row>
    <row r="158">
      <c r="A158" s="18" t="n"/>
      <c r="B158" s="18" t="n"/>
      <c r="C158" s="18" t="n"/>
      <c r="D158" s="21">
        <f>IF(C158="","",IFERROR(INDEX('システム'!$B:$B,MATCH(C158,'システム'!$A:$A,0)),"システムが未登録"))</f>
        <v/>
      </c>
      <c r="E158" s="18" t="n"/>
      <c r="F158" s="21">
        <f>IF(E158="","",IFERROR(INDEX('選択肢'!$L$5:$L$14,MATCH(E158,'選択肢'!$K$5:$K$14,0)),"選択肢にない種類"))</f>
        <v/>
      </c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21">
        <f>IF(A158="","",IF(F158="直接業務","—",IF(J158&lt;&gt;"済","判定保留",IF(OR(O158="",K158="",L158="",M158="",K158="未確認",L158="未確認"),"判定保留",IF(AND(K158="はい",M158="無"),"入力エラー（GxP対象でSOP無）",IFERROR(INDEX('判定表'!$D:$D,MATCH("W|"&amp;O158&amp;"|"&amp;IF(OR(K158="はい",L158="はい",M158="無"),"あり","なし"),'判定表'!$A:$A,0)),"判定表にない組み合わせ"))))))</f>
        <v/>
      </c>
      <c r="Q158" s="21">
        <f>IF(A158="","",IF(C158="","対象外",IF(F158="直接業務","対象外",IF(OR(F158&lt;&gt;"間接業務",COUNTIF('システム'!$A$4:$A$200,C158)=0,U158="",V158="紐付けにない組み合わせ",V158="案件が未登録"),"判定保留","移管"))))</f>
        <v/>
      </c>
      <c r="R158" s="21">
        <f>IF(A158="","",IF(Q158&lt;&gt;"移管","—",IF(O158="","判定保留",IFERROR(INDEX('判定表'!$E:$E,MATCH("W|"&amp;O158&amp;"|なし",'判定表'!$A:$A,0)),"判定表にない回答"))))</f>
        <v/>
      </c>
      <c r="S158" s="33" t="n"/>
      <c r="T158" s="18" t="n"/>
      <c r="U158" s="18" t="n"/>
      <c r="V158" s="21">
        <f>IF(U158="","",IF(COUNTIFS('紐付け'!$A$4:$A$200,U158,'紐付け'!$C$4:$C$200,C158)=0,"紐付けにない組み合わせ",IFERROR(INDEX('予算一覧'!$B:$B,MATCH(U158,'予算一覧'!$A:$A,0)),"案件が未登録")))</f>
        <v/>
      </c>
      <c r="W158" s="33" t="n"/>
    </row>
    <row r="159">
      <c r="A159" s="18" t="n"/>
      <c r="B159" s="18" t="n"/>
      <c r="C159" s="18" t="n"/>
      <c r="D159" s="21">
        <f>IF(C159="","",IFERROR(INDEX('システム'!$B:$B,MATCH(C159,'システム'!$A:$A,0)),"システムが未登録"))</f>
        <v/>
      </c>
      <c r="E159" s="18" t="n"/>
      <c r="F159" s="21">
        <f>IF(E159="","",IFERROR(INDEX('選択肢'!$L$5:$L$14,MATCH(E159,'選択肢'!$K$5:$K$14,0)),"選択肢にない種類"))</f>
        <v/>
      </c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21">
        <f>IF(A159="","",IF(F159="直接業務","—",IF(J159&lt;&gt;"済","判定保留",IF(OR(O159="",K159="",L159="",M159="",K159="未確認",L159="未確認"),"判定保留",IF(AND(K159="はい",M159="無"),"入力エラー（GxP対象でSOP無）",IFERROR(INDEX('判定表'!$D:$D,MATCH("W|"&amp;O159&amp;"|"&amp;IF(OR(K159="はい",L159="はい",M159="無"),"あり","なし"),'判定表'!$A:$A,0)),"判定表にない組み合わせ"))))))</f>
        <v/>
      </c>
      <c r="Q159" s="21">
        <f>IF(A159="","",IF(C159="","対象外",IF(F159="直接業務","対象外",IF(OR(F159&lt;&gt;"間接業務",COUNTIF('システム'!$A$4:$A$200,C159)=0,U159="",V159="紐付けにない組み合わせ",V159="案件が未登録"),"判定保留","移管"))))</f>
        <v/>
      </c>
      <c r="R159" s="21">
        <f>IF(A159="","",IF(Q159&lt;&gt;"移管","—",IF(O159="","判定保留",IFERROR(INDEX('判定表'!$E:$E,MATCH("W|"&amp;O159&amp;"|なし",'判定表'!$A:$A,0)),"判定表にない回答"))))</f>
        <v/>
      </c>
      <c r="S159" s="33" t="n"/>
      <c r="T159" s="18" t="n"/>
      <c r="U159" s="18" t="n"/>
      <c r="V159" s="21">
        <f>IF(U159="","",IF(COUNTIFS('紐付け'!$A$4:$A$200,U159,'紐付け'!$C$4:$C$200,C159)=0,"紐付けにない組み合わせ",IFERROR(INDEX('予算一覧'!$B:$B,MATCH(U159,'予算一覧'!$A:$A,0)),"案件が未登録")))</f>
        <v/>
      </c>
      <c r="W159" s="33" t="n"/>
    </row>
    <row r="160">
      <c r="A160" s="18" t="n"/>
      <c r="B160" s="18" t="n"/>
      <c r="C160" s="18" t="n"/>
      <c r="D160" s="21">
        <f>IF(C160="","",IFERROR(INDEX('システム'!$B:$B,MATCH(C160,'システム'!$A:$A,0)),"システムが未登録"))</f>
        <v/>
      </c>
      <c r="E160" s="18" t="n"/>
      <c r="F160" s="21">
        <f>IF(E160="","",IFERROR(INDEX('選択肢'!$L$5:$L$14,MATCH(E160,'選択肢'!$K$5:$K$14,0)),"選択肢にない種類"))</f>
        <v/>
      </c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21">
        <f>IF(A160="","",IF(F160="直接業務","—",IF(J160&lt;&gt;"済","判定保留",IF(OR(O160="",K160="",L160="",M160="",K160="未確認",L160="未確認"),"判定保留",IF(AND(K160="はい",M160="無"),"入力エラー（GxP対象でSOP無）",IFERROR(INDEX('判定表'!$D:$D,MATCH("W|"&amp;O160&amp;"|"&amp;IF(OR(K160="はい",L160="はい",M160="無"),"あり","なし"),'判定表'!$A:$A,0)),"判定表にない組み合わせ"))))))</f>
        <v/>
      </c>
      <c r="Q160" s="21">
        <f>IF(A160="","",IF(C160="","対象外",IF(F160="直接業務","対象外",IF(OR(F160&lt;&gt;"間接業務",COUNTIF('システム'!$A$4:$A$200,C160)=0,U160="",V160="紐付けにない組み合わせ",V160="案件が未登録"),"判定保留","移管"))))</f>
        <v/>
      </c>
      <c r="R160" s="21">
        <f>IF(A160="","",IF(Q160&lt;&gt;"移管","—",IF(O160="","判定保留",IFERROR(INDEX('判定表'!$E:$E,MATCH("W|"&amp;O160&amp;"|なし",'判定表'!$A:$A,0)),"判定表にない回答"))))</f>
        <v/>
      </c>
      <c r="S160" s="33" t="n"/>
      <c r="T160" s="18" t="n"/>
      <c r="U160" s="18" t="n"/>
      <c r="V160" s="21">
        <f>IF(U160="","",IF(COUNTIFS('紐付け'!$A$4:$A$200,U160,'紐付け'!$C$4:$C$200,C160)=0,"紐付けにない組み合わせ",IFERROR(INDEX('予算一覧'!$B:$B,MATCH(U160,'予算一覧'!$A:$A,0)),"案件が未登録")))</f>
        <v/>
      </c>
      <c r="W160" s="33" t="n"/>
    </row>
    <row r="161">
      <c r="A161" s="18" t="n"/>
      <c r="B161" s="18" t="n"/>
      <c r="C161" s="18" t="n"/>
      <c r="D161" s="21">
        <f>IF(C161="","",IFERROR(INDEX('システム'!$B:$B,MATCH(C161,'システム'!$A:$A,0)),"システムが未登録"))</f>
        <v/>
      </c>
      <c r="E161" s="18" t="n"/>
      <c r="F161" s="21">
        <f>IF(E161="","",IFERROR(INDEX('選択肢'!$L$5:$L$14,MATCH(E161,'選択肢'!$K$5:$K$14,0)),"選択肢にない種類"))</f>
        <v/>
      </c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21">
        <f>IF(A161="","",IF(F161="直接業務","—",IF(J161&lt;&gt;"済","判定保留",IF(OR(O161="",K161="",L161="",M161="",K161="未確認",L161="未確認"),"判定保留",IF(AND(K161="はい",M161="無"),"入力エラー（GxP対象でSOP無）",IFERROR(INDEX('判定表'!$D:$D,MATCH("W|"&amp;O161&amp;"|"&amp;IF(OR(K161="はい",L161="はい",M161="無"),"あり","なし"),'判定表'!$A:$A,0)),"判定表にない組み合わせ"))))))</f>
        <v/>
      </c>
      <c r="Q161" s="21">
        <f>IF(A161="","",IF(C161="","対象外",IF(F161="直接業務","対象外",IF(OR(F161&lt;&gt;"間接業務",COUNTIF('システム'!$A$4:$A$200,C161)=0,U161="",V161="紐付けにない組み合わせ",V161="案件が未登録"),"判定保留","移管"))))</f>
        <v/>
      </c>
      <c r="R161" s="21">
        <f>IF(A161="","",IF(Q161&lt;&gt;"移管","—",IF(O161="","判定保留",IFERROR(INDEX('判定表'!$E:$E,MATCH("W|"&amp;O161&amp;"|なし",'判定表'!$A:$A,0)),"判定表にない回答"))))</f>
        <v/>
      </c>
      <c r="S161" s="33" t="n"/>
      <c r="T161" s="18" t="n"/>
      <c r="U161" s="18" t="n"/>
      <c r="V161" s="21">
        <f>IF(U161="","",IF(COUNTIFS('紐付け'!$A$4:$A$200,U161,'紐付け'!$C$4:$C$200,C161)=0,"紐付けにない組み合わせ",IFERROR(INDEX('予算一覧'!$B:$B,MATCH(U161,'予算一覧'!$A:$A,0)),"案件が未登録")))</f>
        <v/>
      </c>
      <c r="W161" s="33" t="n"/>
    </row>
    <row r="162">
      <c r="A162" s="18" t="n"/>
      <c r="B162" s="18" t="n"/>
      <c r="C162" s="18" t="n"/>
      <c r="D162" s="21">
        <f>IF(C162="","",IFERROR(INDEX('システム'!$B:$B,MATCH(C162,'システム'!$A:$A,0)),"システムが未登録"))</f>
        <v/>
      </c>
      <c r="E162" s="18" t="n"/>
      <c r="F162" s="21">
        <f>IF(E162="","",IFERROR(INDEX('選択肢'!$L$5:$L$14,MATCH(E162,'選択肢'!$K$5:$K$14,0)),"選択肢にない種類"))</f>
        <v/>
      </c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21">
        <f>IF(A162="","",IF(F162="直接業務","—",IF(J162&lt;&gt;"済","判定保留",IF(OR(O162="",K162="",L162="",M162="",K162="未確認",L162="未確認"),"判定保留",IF(AND(K162="はい",M162="無"),"入力エラー（GxP対象でSOP無）",IFERROR(INDEX('判定表'!$D:$D,MATCH("W|"&amp;O162&amp;"|"&amp;IF(OR(K162="はい",L162="はい",M162="無"),"あり","なし"),'判定表'!$A:$A,0)),"判定表にない組み合わせ"))))))</f>
        <v/>
      </c>
      <c r="Q162" s="21">
        <f>IF(A162="","",IF(C162="","対象外",IF(F162="直接業務","対象外",IF(OR(F162&lt;&gt;"間接業務",COUNTIF('システム'!$A$4:$A$200,C162)=0,U162="",V162="紐付けにない組み合わせ",V162="案件が未登録"),"判定保留","移管"))))</f>
        <v/>
      </c>
      <c r="R162" s="21">
        <f>IF(A162="","",IF(Q162&lt;&gt;"移管","—",IF(O162="","判定保留",IFERROR(INDEX('判定表'!$E:$E,MATCH("W|"&amp;O162&amp;"|なし",'判定表'!$A:$A,0)),"判定表にない回答"))))</f>
        <v/>
      </c>
      <c r="S162" s="33" t="n"/>
      <c r="T162" s="18" t="n"/>
      <c r="U162" s="18" t="n"/>
      <c r="V162" s="21">
        <f>IF(U162="","",IF(COUNTIFS('紐付け'!$A$4:$A$200,U162,'紐付け'!$C$4:$C$200,C162)=0,"紐付けにない組み合わせ",IFERROR(INDEX('予算一覧'!$B:$B,MATCH(U162,'予算一覧'!$A:$A,0)),"案件が未登録")))</f>
        <v/>
      </c>
      <c r="W162" s="33" t="n"/>
    </row>
    <row r="163">
      <c r="A163" s="18" t="n"/>
      <c r="B163" s="18" t="n"/>
      <c r="C163" s="18" t="n"/>
      <c r="D163" s="21">
        <f>IF(C163="","",IFERROR(INDEX('システム'!$B:$B,MATCH(C163,'システム'!$A:$A,0)),"システムが未登録"))</f>
        <v/>
      </c>
      <c r="E163" s="18" t="n"/>
      <c r="F163" s="21">
        <f>IF(E163="","",IFERROR(INDEX('選択肢'!$L$5:$L$14,MATCH(E163,'選択肢'!$K$5:$K$14,0)),"選択肢にない種類"))</f>
        <v/>
      </c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21">
        <f>IF(A163="","",IF(F163="直接業務","—",IF(J163&lt;&gt;"済","判定保留",IF(OR(O163="",K163="",L163="",M163="",K163="未確認",L163="未確認"),"判定保留",IF(AND(K163="はい",M163="無"),"入力エラー（GxP対象でSOP無）",IFERROR(INDEX('判定表'!$D:$D,MATCH("W|"&amp;O163&amp;"|"&amp;IF(OR(K163="はい",L163="はい",M163="無"),"あり","なし"),'判定表'!$A:$A,0)),"判定表にない組み合わせ"))))))</f>
        <v/>
      </c>
      <c r="Q163" s="21">
        <f>IF(A163="","",IF(C163="","対象外",IF(F163="直接業務","対象外",IF(OR(F163&lt;&gt;"間接業務",COUNTIF('システム'!$A$4:$A$200,C163)=0,U163="",V163="紐付けにない組み合わせ",V163="案件が未登録"),"判定保留","移管"))))</f>
        <v/>
      </c>
      <c r="R163" s="21">
        <f>IF(A163="","",IF(Q163&lt;&gt;"移管","—",IF(O163="","判定保留",IFERROR(INDEX('判定表'!$E:$E,MATCH("W|"&amp;O163&amp;"|なし",'判定表'!$A:$A,0)),"判定表にない回答"))))</f>
        <v/>
      </c>
      <c r="S163" s="33" t="n"/>
      <c r="T163" s="18" t="n"/>
      <c r="U163" s="18" t="n"/>
      <c r="V163" s="21">
        <f>IF(U163="","",IF(COUNTIFS('紐付け'!$A$4:$A$200,U163,'紐付け'!$C$4:$C$200,C163)=0,"紐付けにない組み合わせ",IFERROR(INDEX('予算一覧'!$B:$B,MATCH(U163,'予算一覧'!$A:$A,0)),"案件が未登録")))</f>
        <v/>
      </c>
      <c r="W163" s="33" t="n"/>
    </row>
    <row r="164">
      <c r="A164" s="18" t="n"/>
      <c r="B164" s="18" t="n"/>
      <c r="C164" s="18" t="n"/>
      <c r="D164" s="21">
        <f>IF(C164="","",IFERROR(INDEX('システム'!$B:$B,MATCH(C164,'システム'!$A:$A,0)),"システムが未登録"))</f>
        <v/>
      </c>
      <c r="E164" s="18" t="n"/>
      <c r="F164" s="21">
        <f>IF(E164="","",IFERROR(INDEX('選択肢'!$L$5:$L$14,MATCH(E164,'選択肢'!$K$5:$K$14,0)),"選択肢にない種類"))</f>
        <v/>
      </c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21">
        <f>IF(A164="","",IF(F164="直接業務","—",IF(J164&lt;&gt;"済","判定保留",IF(OR(O164="",K164="",L164="",M164="",K164="未確認",L164="未確認"),"判定保留",IF(AND(K164="はい",M164="無"),"入力エラー（GxP対象でSOP無）",IFERROR(INDEX('判定表'!$D:$D,MATCH("W|"&amp;O164&amp;"|"&amp;IF(OR(K164="はい",L164="はい",M164="無"),"あり","なし"),'判定表'!$A:$A,0)),"判定表にない組み合わせ"))))))</f>
        <v/>
      </c>
      <c r="Q164" s="21">
        <f>IF(A164="","",IF(C164="","対象外",IF(F164="直接業務","対象外",IF(OR(F164&lt;&gt;"間接業務",COUNTIF('システム'!$A$4:$A$200,C164)=0,U164="",V164="紐付けにない組み合わせ",V164="案件が未登録"),"判定保留","移管"))))</f>
        <v/>
      </c>
      <c r="R164" s="21">
        <f>IF(A164="","",IF(Q164&lt;&gt;"移管","—",IF(O164="","判定保留",IFERROR(INDEX('判定表'!$E:$E,MATCH("W|"&amp;O164&amp;"|なし",'判定表'!$A:$A,0)),"判定表にない回答"))))</f>
        <v/>
      </c>
      <c r="S164" s="33" t="n"/>
      <c r="T164" s="18" t="n"/>
      <c r="U164" s="18" t="n"/>
      <c r="V164" s="21">
        <f>IF(U164="","",IF(COUNTIFS('紐付け'!$A$4:$A$200,U164,'紐付け'!$C$4:$C$200,C164)=0,"紐付けにない組み合わせ",IFERROR(INDEX('予算一覧'!$B:$B,MATCH(U164,'予算一覧'!$A:$A,0)),"案件が未登録")))</f>
        <v/>
      </c>
      <c r="W164" s="33" t="n"/>
    </row>
    <row r="165">
      <c r="A165" s="18" t="n"/>
      <c r="B165" s="18" t="n"/>
      <c r="C165" s="18" t="n"/>
      <c r="D165" s="21">
        <f>IF(C165="","",IFERROR(INDEX('システム'!$B:$B,MATCH(C165,'システム'!$A:$A,0)),"システムが未登録"))</f>
        <v/>
      </c>
      <c r="E165" s="18" t="n"/>
      <c r="F165" s="21">
        <f>IF(E165="","",IFERROR(INDEX('選択肢'!$L$5:$L$14,MATCH(E165,'選択肢'!$K$5:$K$14,0)),"選択肢にない種類"))</f>
        <v/>
      </c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21">
        <f>IF(A165="","",IF(F165="直接業務","—",IF(J165&lt;&gt;"済","判定保留",IF(OR(O165="",K165="",L165="",M165="",K165="未確認",L165="未確認"),"判定保留",IF(AND(K165="はい",M165="無"),"入力エラー（GxP対象でSOP無）",IFERROR(INDEX('判定表'!$D:$D,MATCH("W|"&amp;O165&amp;"|"&amp;IF(OR(K165="はい",L165="はい",M165="無"),"あり","なし"),'判定表'!$A:$A,0)),"判定表にない組み合わせ"))))))</f>
        <v/>
      </c>
      <c r="Q165" s="21">
        <f>IF(A165="","",IF(C165="","対象外",IF(F165="直接業務","対象外",IF(OR(F165&lt;&gt;"間接業務",COUNTIF('システム'!$A$4:$A$200,C165)=0,U165="",V165="紐付けにない組み合わせ",V165="案件が未登録"),"判定保留","移管"))))</f>
        <v/>
      </c>
      <c r="R165" s="21">
        <f>IF(A165="","",IF(Q165&lt;&gt;"移管","—",IF(O165="","判定保留",IFERROR(INDEX('判定表'!$E:$E,MATCH("W|"&amp;O165&amp;"|なし",'判定表'!$A:$A,0)),"判定表にない回答"))))</f>
        <v/>
      </c>
      <c r="S165" s="33" t="n"/>
      <c r="T165" s="18" t="n"/>
      <c r="U165" s="18" t="n"/>
      <c r="V165" s="21">
        <f>IF(U165="","",IF(COUNTIFS('紐付け'!$A$4:$A$200,U165,'紐付け'!$C$4:$C$200,C165)=0,"紐付けにない組み合わせ",IFERROR(INDEX('予算一覧'!$B:$B,MATCH(U165,'予算一覧'!$A:$A,0)),"案件が未登録")))</f>
        <v/>
      </c>
      <c r="W165" s="33" t="n"/>
    </row>
    <row r="166">
      <c r="A166" s="18" t="n"/>
      <c r="B166" s="18" t="n"/>
      <c r="C166" s="18" t="n"/>
      <c r="D166" s="21">
        <f>IF(C166="","",IFERROR(INDEX('システム'!$B:$B,MATCH(C166,'システム'!$A:$A,0)),"システムが未登録"))</f>
        <v/>
      </c>
      <c r="E166" s="18" t="n"/>
      <c r="F166" s="21">
        <f>IF(E166="","",IFERROR(INDEX('選択肢'!$L$5:$L$14,MATCH(E166,'選択肢'!$K$5:$K$14,0)),"選択肢にない種類"))</f>
        <v/>
      </c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21">
        <f>IF(A166="","",IF(F166="直接業務","—",IF(J166&lt;&gt;"済","判定保留",IF(OR(O166="",K166="",L166="",M166="",K166="未確認",L166="未確認"),"判定保留",IF(AND(K166="はい",M166="無"),"入力エラー（GxP対象でSOP無）",IFERROR(INDEX('判定表'!$D:$D,MATCH("W|"&amp;O166&amp;"|"&amp;IF(OR(K166="はい",L166="はい",M166="無"),"あり","なし"),'判定表'!$A:$A,0)),"判定表にない組み合わせ"))))))</f>
        <v/>
      </c>
      <c r="Q166" s="21">
        <f>IF(A166="","",IF(C166="","対象外",IF(F166="直接業務","対象外",IF(OR(F166&lt;&gt;"間接業務",COUNTIF('システム'!$A$4:$A$200,C166)=0,U166="",V166="紐付けにない組み合わせ",V166="案件が未登録"),"判定保留","移管"))))</f>
        <v/>
      </c>
      <c r="R166" s="21">
        <f>IF(A166="","",IF(Q166&lt;&gt;"移管","—",IF(O166="","判定保留",IFERROR(INDEX('判定表'!$E:$E,MATCH("W|"&amp;O166&amp;"|なし",'判定表'!$A:$A,0)),"判定表にない回答"))))</f>
        <v/>
      </c>
      <c r="S166" s="33" t="n"/>
      <c r="T166" s="18" t="n"/>
      <c r="U166" s="18" t="n"/>
      <c r="V166" s="21">
        <f>IF(U166="","",IF(COUNTIFS('紐付け'!$A$4:$A$200,U166,'紐付け'!$C$4:$C$200,C166)=0,"紐付けにない組み合わせ",IFERROR(INDEX('予算一覧'!$B:$B,MATCH(U166,'予算一覧'!$A:$A,0)),"案件が未登録")))</f>
        <v/>
      </c>
      <c r="W166" s="33" t="n"/>
    </row>
    <row r="167">
      <c r="A167" s="18" t="n"/>
      <c r="B167" s="18" t="n"/>
      <c r="C167" s="18" t="n"/>
      <c r="D167" s="21">
        <f>IF(C167="","",IFERROR(INDEX('システム'!$B:$B,MATCH(C167,'システム'!$A:$A,0)),"システムが未登録"))</f>
        <v/>
      </c>
      <c r="E167" s="18" t="n"/>
      <c r="F167" s="21">
        <f>IF(E167="","",IFERROR(INDEX('選択肢'!$L$5:$L$14,MATCH(E167,'選択肢'!$K$5:$K$14,0)),"選択肢にない種類"))</f>
        <v/>
      </c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21">
        <f>IF(A167="","",IF(F167="直接業務","—",IF(J167&lt;&gt;"済","判定保留",IF(OR(O167="",K167="",L167="",M167="",K167="未確認",L167="未確認"),"判定保留",IF(AND(K167="はい",M167="無"),"入力エラー（GxP対象でSOP無）",IFERROR(INDEX('判定表'!$D:$D,MATCH("W|"&amp;O167&amp;"|"&amp;IF(OR(K167="はい",L167="はい",M167="無"),"あり","なし"),'判定表'!$A:$A,0)),"判定表にない組み合わせ"))))))</f>
        <v/>
      </c>
      <c r="Q167" s="21">
        <f>IF(A167="","",IF(C167="","対象外",IF(F167="直接業務","対象外",IF(OR(F167&lt;&gt;"間接業務",COUNTIF('システム'!$A$4:$A$200,C167)=0,U167="",V167="紐付けにない組み合わせ",V167="案件が未登録"),"判定保留","移管"))))</f>
        <v/>
      </c>
      <c r="R167" s="21">
        <f>IF(A167="","",IF(Q167&lt;&gt;"移管","—",IF(O167="","判定保留",IFERROR(INDEX('判定表'!$E:$E,MATCH("W|"&amp;O167&amp;"|なし",'判定表'!$A:$A,0)),"判定表にない回答"))))</f>
        <v/>
      </c>
      <c r="S167" s="33" t="n"/>
      <c r="T167" s="18" t="n"/>
      <c r="U167" s="18" t="n"/>
      <c r="V167" s="21">
        <f>IF(U167="","",IF(COUNTIFS('紐付け'!$A$4:$A$200,U167,'紐付け'!$C$4:$C$200,C167)=0,"紐付けにない組み合わせ",IFERROR(INDEX('予算一覧'!$B:$B,MATCH(U167,'予算一覧'!$A:$A,0)),"案件が未登録")))</f>
        <v/>
      </c>
      <c r="W167" s="33" t="n"/>
    </row>
    <row r="168">
      <c r="A168" s="18" t="n"/>
      <c r="B168" s="18" t="n"/>
      <c r="C168" s="18" t="n"/>
      <c r="D168" s="21">
        <f>IF(C168="","",IFERROR(INDEX('システム'!$B:$B,MATCH(C168,'システム'!$A:$A,0)),"システムが未登録"))</f>
        <v/>
      </c>
      <c r="E168" s="18" t="n"/>
      <c r="F168" s="21">
        <f>IF(E168="","",IFERROR(INDEX('選択肢'!$L$5:$L$14,MATCH(E168,'選択肢'!$K$5:$K$14,0)),"選択肢にない種類"))</f>
        <v/>
      </c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21">
        <f>IF(A168="","",IF(F168="直接業務","—",IF(J168&lt;&gt;"済","判定保留",IF(OR(O168="",K168="",L168="",M168="",K168="未確認",L168="未確認"),"判定保留",IF(AND(K168="はい",M168="無"),"入力エラー（GxP対象でSOP無）",IFERROR(INDEX('判定表'!$D:$D,MATCH("W|"&amp;O168&amp;"|"&amp;IF(OR(K168="はい",L168="はい",M168="無"),"あり","なし"),'判定表'!$A:$A,0)),"判定表にない組み合わせ"))))))</f>
        <v/>
      </c>
      <c r="Q168" s="21">
        <f>IF(A168="","",IF(C168="","対象外",IF(F168="直接業務","対象外",IF(OR(F168&lt;&gt;"間接業務",COUNTIF('システム'!$A$4:$A$200,C168)=0,U168="",V168="紐付けにない組み合わせ",V168="案件が未登録"),"判定保留","移管"))))</f>
        <v/>
      </c>
      <c r="R168" s="21">
        <f>IF(A168="","",IF(Q168&lt;&gt;"移管","—",IF(O168="","判定保留",IFERROR(INDEX('判定表'!$E:$E,MATCH("W|"&amp;O168&amp;"|なし",'判定表'!$A:$A,0)),"判定表にない回答"))))</f>
        <v/>
      </c>
      <c r="S168" s="33" t="n"/>
      <c r="T168" s="18" t="n"/>
      <c r="U168" s="18" t="n"/>
      <c r="V168" s="21">
        <f>IF(U168="","",IF(COUNTIFS('紐付け'!$A$4:$A$200,U168,'紐付け'!$C$4:$C$200,C168)=0,"紐付けにない組み合わせ",IFERROR(INDEX('予算一覧'!$B:$B,MATCH(U168,'予算一覧'!$A:$A,0)),"案件が未登録")))</f>
        <v/>
      </c>
      <c r="W168" s="33" t="n"/>
    </row>
    <row r="169">
      <c r="A169" s="18" t="n"/>
      <c r="B169" s="18" t="n"/>
      <c r="C169" s="18" t="n"/>
      <c r="D169" s="21">
        <f>IF(C169="","",IFERROR(INDEX('システム'!$B:$B,MATCH(C169,'システム'!$A:$A,0)),"システムが未登録"))</f>
        <v/>
      </c>
      <c r="E169" s="18" t="n"/>
      <c r="F169" s="21">
        <f>IF(E169="","",IFERROR(INDEX('選択肢'!$L$5:$L$14,MATCH(E169,'選択肢'!$K$5:$K$14,0)),"選択肢にない種類"))</f>
        <v/>
      </c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21">
        <f>IF(A169="","",IF(F169="直接業務","—",IF(J169&lt;&gt;"済","判定保留",IF(OR(O169="",K169="",L169="",M169="",K169="未確認",L169="未確認"),"判定保留",IF(AND(K169="はい",M169="無"),"入力エラー（GxP対象でSOP無）",IFERROR(INDEX('判定表'!$D:$D,MATCH("W|"&amp;O169&amp;"|"&amp;IF(OR(K169="はい",L169="はい",M169="無"),"あり","なし"),'判定表'!$A:$A,0)),"判定表にない組み合わせ"))))))</f>
        <v/>
      </c>
      <c r="Q169" s="21">
        <f>IF(A169="","",IF(C169="","対象外",IF(F169="直接業務","対象外",IF(OR(F169&lt;&gt;"間接業務",COUNTIF('システム'!$A$4:$A$200,C169)=0,U169="",V169="紐付けにない組み合わせ",V169="案件が未登録"),"判定保留","移管"))))</f>
        <v/>
      </c>
      <c r="R169" s="21">
        <f>IF(A169="","",IF(Q169&lt;&gt;"移管","—",IF(O169="","判定保留",IFERROR(INDEX('判定表'!$E:$E,MATCH("W|"&amp;O169&amp;"|なし",'判定表'!$A:$A,0)),"判定表にない回答"))))</f>
        <v/>
      </c>
      <c r="S169" s="33" t="n"/>
      <c r="T169" s="18" t="n"/>
      <c r="U169" s="18" t="n"/>
      <c r="V169" s="21">
        <f>IF(U169="","",IF(COUNTIFS('紐付け'!$A$4:$A$200,U169,'紐付け'!$C$4:$C$200,C169)=0,"紐付けにない組み合わせ",IFERROR(INDEX('予算一覧'!$B:$B,MATCH(U169,'予算一覧'!$A:$A,0)),"案件が未登録")))</f>
        <v/>
      </c>
      <c r="W169" s="33" t="n"/>
    </row>
    <row r="170">
      <c r="A170" s="18" t="n"/>
      <c r="B170" s="18" t="n"/>
      <c r="C170" s="18" t="n"/>
      <c r="D170" s="21">
        <f>IF(C170="","",IFERROR(INDEX('システム'!$B:$B,MATCH(C170,'システム'!$A:$A,0)),"システムが未登録"))</f>
        <v/>
      </c>
      <c r="E170" s="18" t="n"/>
      <c r="F170" s="21">
        <f>IF(E170="","",IFERROR(INDEX('選択肢'!$L$5:$L$14,MATCH(E170,'選択肢'!$K$5:$K$14,0)),"選択肢にない種類"))</f>
        <v/>
      </c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21">
        <f>IF(A170="","",IF(F170="直接業務","—",IF(J170&lt;&gt;"済","判定保留",IF(OR(O170="",K170="",L170="",M170="",K170="未確認",L170="未確認"),"判定保留",IF(AND(K170="はい",M170="無"),"入力エラー（GxP対象でSOP無）",IFERROR(INDEX('判定表'!$D:$D,MATCH("W|"&amp;O170&amp;"|"&amp;IF(OR(K170="はい",L170="はい",M170="無"),"あり","なし"),'判定表'!$A:$A,0)),"判定表にない組み合わせ"))))))</f>
        <v/>
      </c>
      <c r="Q170" s="21">
        <f>IF(A170="","",IF(C170="","対象外",IF(F170="直接業務","対象外",IF(OR(F170&lt;&gt;"間接業務",COUNTIF('システム'!$A$4:$A$200,C170)=0,U170="",V170="紐付けにない組み合わせ",V170="案件が未登録"),"判定保留","移管"))))</f>
        <v/>
      </c>
      <c r="R170" s="21">
        <f>IF(A170="","",IF(Q170&lt;&gt;"移管","—",IF(O170="","判定保留",IFERROR(INDEX('判定表'!$E:$E,MATCH("W|"&amp;O170&amp;"|なし",'判定表'!$A:$A,0)),"判定表にない回答"))))</f>
        <v/>
      </c>
      <c r="S170" s="33" t="n"/>
      <c r="T170" s="18" t="n"/>
      <c r="U170" s="18" t="n"/>
      <c r="V170" s="21">
        <f>IF(U170="","",IF(COUNTIFS('紐付け'!$A$4:$A$200,U170,'紐付け'!$C$4:$C$200,C170)=0,"紐付けにない組み合わせ",IFERROR(INDEX('予算一覧'!$B:$B,MATCH(U170,'予算一覧'!$A:$A,0)),"案件が未登録")))</f>
        <v/>
      </c>
      <c r="W170" s="33" t="n"/>
    </row>
    <row r="171">
      <c r="A171" s="18" t="n"/>
      <c r="B171" s="18" t="n"/>
      <c r="C171" s="18" t="n"/>
      <c r="D171" s="21">
        <f>IF(C171="","",IFERROR(INDEX('システム'!$B:$B,MATCH(C171,'システム'!$A:$A,0)),"システムが未登録"))</f>
        <v/>
      </c>
      <c r="E171" s="18" t="n"/>
      <c r="F171" s="21">
        <f>IF(E171="","",IFERROR(INDEX('選択肢'!$L$5:$L$14,MATCH(E171,'選択肢'!$K$5:$K$14,0)),"選択肢にない種類"))</f>
        <v/>
      </c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21">
        <f>IF(A171="","",IF(F171="直接業務","—",IF(J171&lt;&gt;"済","判定保留",IF(OR(O171="",K171="",L171="",M171="",K171="未確認",L171="未確認"),"判定保留",IF(AND(K171="はい",M171="無"),"入力エラー（GxP対象でSOP無）",IFERROR(INDEX('判定表'!$D:$D,MATCH("W|"&amp;O171&amp;"|"&amp;IF(OR(K171="はい",L171="はい",M171="無"),"あり","なし"),'判定表'!$A:$A,0)),"判定表にない組み合わせ"))))))</f>
        <v/>
      </c>
      <c r="Q171" s="21">
        <f>IF(A171="","",IF(C171="","対象外",IF(F171="直接業務","対象外",IF(OR(F171&lt;&gt;"間接業務",COUNTIF('システム'!$A$4:$A$200,C171)=0,U171="",V171="紐付けにない組み合わせ",V171="案件が未登録"),"判定保留","移管"))))</f>
        <v/>
      </c>
      <c r="R171" s="21">
        <f>IF(A171="","",IF(Q171&lt;&gt;"移管","—",IF(O171="","判定保留",IFERROR(INDEX('判定表'!$E:$E,MATCH("W|"&amp;O171&amp;"|なし",'判定表'!$A:$A,0)),"判定表にない回答"))))</f>
        <v/>
      </c>
      <c r="S171" s="33" t="n"/>
      <c r="T171" s="18" t="n"/>
      <c r="U171" s="18" t="n"/>
      <c r="V171" s="21">
        <f>IF(U171="","",IF(COUNTIFS('紐付け'!$A$4:$A$200,U171,'紐付け'!$C$4:$C$200,C171)=0,"紐付けにない組み合わせ",IFERROR(INDEX('予算一覧'!$B:$B,MATCH(U171,'予算一覧'!$A:$A,0)),"案件が未登録")))</f>
        <v/>
      </c>
      <c r="W171" s="33" t="n"/>
    </row>
    <row r="172">
      <c r="A172" s="18" t="n"/>
      <c r="B172" s="18" t="n"/>
      <c r="C172" s="18" t="n"/>
      <c r="D172" s="21">
        <f>IF(C172="","",IFERROR(INDEX('システム'!$B:$B,MATCH(C172,'システム'!$A:$A,0)),"システムが未登録"))</f>
        <v/>
      </c>
      <c r="E172" s="18" t="n"/>
      <c r="F172" s="21">
        <f>IF(E172="","",IFERROR(INDEX('選択肢'!$L$5:$L$14,MATCH(E172,'選択肢'!$K$5:$K$14,0)),"選択肢にない種類"))</f>
        <v/>
      </c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21">
        <f>IF(A172="","",IF(F172="直接業務","—",IF(J172&lt;&gt;"済","判定保留",IF(OR(O172="",K172="",L172="",M172="",K172="未確認",L172="未確認"),"判定保留",IF(AND(K172="はい",M172="無"),"入力エラー（GxP対象でSOP無）",IFERROR(INDEX('判定表'!$D:$D,MATCH("W|"&amp;O172&amp;"|"&amp;IF(OR(K172="はい",L172="はい",M172="無"),"あり","なし"),'判定表'!$A:$A,0)),"判定表にない組み合わせ"))))))</f>
        <v/>
      </c>
      <c r="Q172" s="21">
        <f>IF(A172="","",IF(C172="","対象外",IF(F172="直接業務","対象外",IF(OR(F172&lt;&gt;"間接業務",COUNTIF('システム'!$A$4:$A$200,C172)=0,U172="",V172="紐付けにない組み合わせ",V172="案件が未登録"),"判定保留","移管"))))</f>
        <v/>
      </c>
      <c r="R172" s="21">
        <f>IF(A172="","",IF(Q172&lt;&gt;"移管","—",IF(O172="","判定保留",IFERROR(INDEX('判定表'!$E:$E,MATCH("W|"&amp;O172&amp;"|なし",'判定表'!$A:$A,0)),"判定表にない回答"))))</f>
        <v/>
      </c>
      <c r="S172" s="33" t="n"/>
      <c r="T172" s="18" t="n"/>
      <c r="U172" s="18" t="n"/>
      <c r="V172" s="21">
        <f>IF(U172="","",IF(COUNTIFS('紐付け'!$A$4:$A$200,U172,'紐付け'!$C$4:$C$200,C172)=0,"紐付けにない組み合わせ",IFERROR(INDEX('予算一覧'!$B:$B,MATCH(U172,'予算一覧'!$A:$A,0)),"案件が未登録")))</f>
        <v/>
      </c>
      <c r="W172" s="33" t="n"/>
    </row>
    <row r="173">
      <c r="A173" s="18" t="n"/>
      <c r="B173" s="18" t="n"/>
      <c r="C173" s="18" t="n"/>
      <c r="D173" s="21">
        <f>IF(C173="","",IFERROR(INDEX('システム'!$B:$B,MATCH(C173,'システム'!$A:$A,0)),"システムが未登録"))</f>
        <v/>
      </c>
      <c r="E173" s="18" t="n"/>
      <c r="F173" s="21">
        <f>IF(E173="","",IFERROR(INDEX('選択肢'!$L$5:$L$14,MATCH(E173,'選択肢'!$K$5:$K$14,0)),"選択肢にない種類"))</f>
        <v/>
      </c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21">
        <f>IF(A173="","",IF(F173="直接業務","—",IF(J173&lt;&gt;"済","判定保留",IF(OR(O173="",K173="",L173="",M173="",K173="未確認",L173="未確認"),"判定保留",IF(AND(K173="はい",M173="無"),"入力エラー（GxP対象でSOP無）",IFERROR(INDEX('判定表'!$D:$D,MATCH("W|"&amp;O173&amp;"|"&amp;IF(OR(K173="はい",L173="はい",M173="無"),"あり","なし"),'判定表'!$A:$A,0)),"判定表にない組み合わせ"))))))</f>
        <v/>
      </c>
      <c r="Q173" s="21">
        <f>IF(A173="","",IF(C173="","対象外",IF(F173="直接業務","対象外",IF(OR(F173&lt;&gt;"間接業務",COUNTIF('システム'!$A$4:$A$200,C173)=0,U173="",V173="紐付けにない組み合わせ",V173="案件が未登録"),"判定保留","移管"))))</f>
        <v/>
      </c>
      <c r="R173" s="21">
        <f>IF(A173="","",IF(Q173&lt;&gt;"移管","—",IF(O173="","判定保留",IFERROR(INDEX('判定表'!$E:$E,MATCH("W|"&amp;O173&amp;"|なし",'判定表'!$A:$A,0)),"判定表にない回答"))))</f>
        <v/>
      </c>
      <c r="S173" s="33" t="n"/>
      <c r="T173" s="18" t="n"/>
      <c r="U173" s="18" t="n"/>
      <c r="V173" s="21">
        <f>IF(U173="","",IF(COUNTIFS('紐付け'!$A$4:$A$200,U173,'紐付け'!$C$4:$C$200,C173)=0,"紐付けにない組み合わせ",IFERROR(INDEX('予算一覧'!$B:$B,MATCH(U173,'予算一覧'!$A:$A,0)),"案件が未登録")))</f>
        <v/>
      </c>
      <c r="W173" s="33" t="n"/>
    </row>
    <row r="174">
      <c r="A174" s="18" t="n"/>
      <c r="B174" s="18" t="n"/>
      <c r="C174" s="18" t="n"/>
      <c r="D174" s="21">
        <f>IF(C174="","",IFERROR(INDEX('システム'!$B:$B,MATCH(C174,'システム'!$A:$A,0)),"システムが未登録"))</f>
        <v/>
      </c>
      <c r="E174" s="18" t="n"/>
      <c r="F174" s="21">
        <f>IF(E174="","",IFERROR(INDEX('選択肢'!$L$5:$L$14,MATCH(E174,'選択肢'!$K$5:$K$14,0)),"選択肢にない種類"))</f>
        <v/>
      </c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21">
        <f>IF(A174="","",IF(F174="直接業務","—",IF(J174&lt;&gt;"済","判定保留",IF(OR(O174="",K174="",L174="",M174="",K174="未確認",L174="未確認"),"判定保留",IF(AND(K174="はい",M174="無"),"入力エラー（GxP対象でSOP無）",IFERROR(INDEX('判定表'!$D:$D,MATCH("W|"&amp;O174&amp;"|"&amp;IF(OR(K174="はい",L174="はい",M174="無"),"あり","なし"),'判定表'!$A:$A,0)),"判定表にない組み合わせ"))))))</f>
        <v/>
      </c>
      <c r="Q174" s="21">
        <f>IF(A174="","",IF(C174="","対象外",IF(F174="直接業務","対象外",IF(OR(F174&lt;&gt;"間接業務",COUNTIF('システム'!$A$4:$A$200,C174)=0,U174="",V174="紐付けにない組み合わせ",V174="案件が未登録"),"判定保留","移管"))))</f>
        <v/>
      </c>
      <c r="R174" s="21">
        <f>IF(A174="","",IF(Q174&lt;&gt;"移管","—",IF(O174="","判定保留",IFERROR(INDEX('判定表'!$E:$E,MATCH("W|"&amp;O174&amp;"|なし",'判定表'!$A:$A,0)),"判定表にない回答"))))</f>
        <v/>
      </c>
      <c r="S174" s="33" t="n"/>
      <c r="T174" s="18" t="n"/>
      <c r="U174" s="18" t="n"/>
      <c r="V174" s="21">
        <f>IF(U174="","",IF(COUNTIFS('紐付け'!$A$4:$A$200,U174,'紐付け'!$C$4:$C$200,C174)=0,"紐付けにない組み合わせ",IFERROR(INDEX('予算一覧'!$B:$B,MATCH(U174,'予算一覧'!$A:$A,0)),"案件が未登録")))</f>
        <v/>
      </c>
      <c r="W174" s="33" t="n"/>
    </row>
    <row r="175">
      <c r="A175" s="18" t="n"/>
      <c r="B175" s="18" t="n"/>
      <c r="C175" s="18" t="n"/>
      <c r="D175" s="21">
        <f>IF(C175="","",IFERROR(INDEX('システム'!$B:$B,MATCH(C175,'システム'!$A:$A,0)),"システムが未登録"))</f>
        <v/>
      </c>
      <c r="E175" s="18" t="n"/>
      <c r="F175" s="21">
        <f>IF(E175="","",IFERROR(INDEX('選択肢'!$L$5:$L$14,MATCH(E175,'選択肢'!$K$5:$K$14,0)),"選択肢にない種類"))</f>
        <v/>
      </c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21">
        <f>IF(A175="","",IF(F175="直接業務","—",IF(J175&lt;&gt;"済","判定保留",IF(OR(O175="",K175="",L175="",M175="",K175="未確認",L175="未確認"),"判定保留",IF(AND(K175="はい",M175="無"),"入力エラー（GxP対象でSOP無）",IFERROR(INDEX('判定表'!$D:$D,MATCH("W|"&amp;O175&amp;"|"&amp;IF(OR(K175="はい",L175="はい",M175="無"),"あり","なし"),'判定表'!$A:$A,0)),"判定表にない組み合わせ"))))))</f>
        <v/>
      </c>
      <c r="Q175" s="21">
        <f>IF(A175="","",IF(C175="","対象外",IF(F175="直接業務","対象外",IF(OR(F175&lt;&gt;"間接業務",COUNTIF('システム'!$A$4:$A$200,C175)=0,U175="",V175="紐付けにない組み合わせ",V175="案件が未登録"),"判定保留","移管"))))</f>
        <v/>
      </c>
      <c r="R175" s="21">
        <f>IF(A175="","",IF(Q175&lt;&gt;"移管","—",IF(O175="","判定保留",IFERROR(INDEX('判定表'!$E:$E,MATCH("W|"&amp;O175&amp;"|なし",'判定表'!$A:$A,0)),"判定表にない回答"))))</f>
        <v/>
      </c>
      <c r="S175" s="33" t="n"/>
      <c r="T175" s="18" t="n"/>
      <c r="U175" s="18" t="n"/>
      <c r="V175" s="21">
        <f>IF(U175="","",IF(COUNTIFS('紐付け'!$A$4:$A$200,U175,'紐付け'!$C$4:$C$200,C175)=0,"紐付けにない組み合わせ",IFERROR(INDEX('予算一覧'!$B:$B,MATCH(U175,'予算一覧'!$A:$A,0)),"案件が未登録")))</f>
        <v/>
      </c>
      <c r="W175" s="33" t="n"/>
    </row>
    <row r="176">
      <c r="A176" s="18" t="n"/>
      <c r="B176" s="18" t="n"/>
      <c r="C176" s="18" t="n"/>
      <c r="D176" s="21">
        <f>IF(C176="","",IFERROR(INDEX('システム'!$B:$B,MATCH(C176,'システム'!$A:$A,0)),"システムが未登録"))</f>
        <v/>
      </c>
      <c r="E176" s="18" t="n"/>
      <c r="F176" s="21">
        <f>IF(E176="","",IFERROR(INDEX('選択肢'!$L$5:$L$14,MATCH(E176,'選択肢'!$K$5:$K$14,0)),"選択肢にない種類"))</f>
        <v/>
      </c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21">
        <f>IF(A176="","",IF(F176="直接業務","—",IF(J176&lt;&gt;"済","判定保留",IF(OR(O176="",K176="",L176="",M176="",K176="未確認",L176="未確認"),"判定保留",IF(AND(K176="はい",M176="無"),"入力エラー（GxP対象でSOP無）",IFERROR(INDEX('判定表'!$D:$D,MATCH("W|"&amp;O176&amp;"|"&amp;IF(OR(K176="はい",L176="はい",M176="無"),"あり","なし"),'判定表'!$A:$A,0)),"判定表にない組み合わせ"))))))</f>
        <v/>
      </c>
      <c r="Q176" s="21">
        <f>IF(A176="","",IF(C176="","対象外",IF(F176="直接業務","対象外",IF(OR(F176&lt;&gt;"間接業務",COUNTIF('システム'!$A$4:$A$200,C176)=0,U176="",V176="紐付けにない組み合わせ",V176="案件が未登録"),"判定保留","移管"))))</f>
        <v/>
      </c>
      <c r="R176" s="21">
        <f>IF(A176="","",IF(Q176&lt;&gt;"移管","—",IF(O176="","判定保留",IFERROR(INDEX('判定表'!$E:$E,MATCH("W|"&amp;O176&amp;"|なし",'判定表'!$A:$A,0)),"判定表にない回答"))))</f>
        <v/>
      </c>
      <c r="S176" s="33" t="n"/>
      <c r="T176" s="18" t="n"/>
      <c r="U176" s="18" t="n"/>
      <c r="V176" s="21">
        <f>IF(U176="","",IF(COUNTIFS('紐付け'!$A$4:$A$200,U176,'紐付け'!$C$4:$C$200,C176)=0,"紐付けにない組み合わせ",IFERROR(INDEX('予算一覧'!$B:$B,MATCH(U176,'予算一覧'!$A:$A,0)),"案件が未登録")))</f>
        <v/>
      </c>
      <c r="W176" s="33" t="n"/>
    </row>
    <row r="177">
      <c r="A177" s="18" t="n"/>
      <c r="B177" s="18" t="n"/>
      <c r="C177" s="18" t="n"/>
      <c r="D177" s="21">
        <f>IF(C177="","",IFERROR(INDEX('システム'!$B:$B,MATCH(C177,'システム'!$A:$A,0)),"システムが未登録"))</f>
        <v/>
      </c>
      <c r="E177" s="18" t="n"/>
      <c r="F177" s="21">
        <f>IF(E177="","",IFERROR(INDEX('選択肢'!$L$5:$L$14,MATCH(E177,'選択肢'!$K$5:$K$14,0)),"選択肢にない種類"))</f>
        <v/>
      </c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21">
        <f>IF(A177="","",IF(F177="直接業務","—",IF(J177&lt;&gt;"済","判定保留",IF(OR(O177="",K177="",L177="",M177="",K177="未確認",L177="未確認"),"判定保留",IF(AND(K177="はい",M177="無"),"入力エラー（GxP対象でSOP無）",IFERROR(INDEX('判定表'!$D:$D,MATCH("W|"&amp;O177&amp;"|"&amp;IF(OR(K177="はい",L177="はい",M177="無"),"あり","なし"),'判定表'!$A:$A,0)),"判定表にない組み合わせ"))))))</f>
        <v/>
      </c>
      <c r="Q177" s="21">
        <f>IF(A177="","",IF(C177="","対象外",IF(F177="直接業務","対象外",IF(OR(F177&lt;&gt;"間接業務",COUNTIF('システム'!$A$4:$A$200,C177)=0,U177="",V177="紐付けにない組み合わせ",V177="案件が未登録"),"判定保留","移管"))))</f>
        <v/>
      </c>
      <c r="R177" s="21">
        <f>IF(A177="","",IF(Q177&lt;&gt;"移管","—",IF(O177="","判定保留",IFERROR(INDEX('判定表'!$E:$E,MATCH("W|"&amp;O177&amp;"|なし",'判定表'!$A:$A,0)),"判定表にない回答"))))</f>
        <v/>
      </c>
      <c r="S177" s="33" t="n"/>
      <c r="T177" s="18" t="n"/>
      <c r="U177" s="18" t="n"/>
      <c r="V177" s="21">
        <f>IF(U177="","",IF(COUNTIFS('紐付け'!$A$4:$A$200,U177,'紐付け'!$C$4:$C$200,C177)=0,"紐付けにない組み合わせ",IFERROR(INDEX('予算一覧'!$B:$B,MATCH(U177,'予算一覧'!$A:$A,0)),"案件が未登録")))</f>
        <v/>
      </c>
      <c r="W177" s="33" t="n"/>
    </row>
    <row r="178">
      <c r="A178" s="18" t="n"/>
      <c r="B178" s="18" t="n"/>
      <c r="C178" s="18" t="n"/>
      <c r="D178" s="21">
        <f>IF(C178="","",IFERROR(INDEX('システム'!$B:$B,MATCH(C178,'システム'!$A:$A,0)),"システムが未登録"))</f>
        <v/>
      </c>
      <c r="E178" s="18" t="n"/>
      <c r="F178" s="21">
        <f>IF(E178="","",IFERROR(INDEX('選択肢'!$L$5:$L$14,MATCH(E178,'選択肢'!$K$5:$K$14,0)),"選択肢にない種類"))</f>
        <v/>
      </c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21">
        <f>IF(A178="","",IF(F178="直接業務","—",IF(J178&lt;&gt;"済","判定保留",IF(OR(O178="",K178="",L178="",M178="",K178="未確認",L178="未確認"),"判定保留",IF(AND(K178="はい",M178="無"),"入力エラー（GxP対象でSOP無）",IFERROR(INDEX('判定表'!$D:$D,MATCH("W|"&amp;O178&amp;"|"&amp;IF(OR(K178="はい",L178="はい",M178="無"),"あり","なし"),'判定表'!$A:$A,0)),"判定表にない組み合わせ"))))))</f>
        <v/>
      </c>
      <c r="Q178" s="21">
        <f>IF(A178="","",IF(C178="","対象外",IF(F178="直接業務","対象外",IF(OR(F178&lt;&gt;"間接業務",COUNTIF('システム'!$A$4:$A$200,C178)=0,U178="",V178="紐付けにない組み合わせ",V178="案件が未登録"),"判定保留","移管"))))</f>
        <v/>
      </c>
      <c r="R178" s="21">
        <f>IF(A178="","",IF(Q178&lt;&gt;"移管","—",IF(O178="","判定保留",IFERROR(INDEX('判定表'!$E:$E,MATCH("W|"&amp;O178&amp;"|なし",'判定表'!$A:$A,0)),"判定表にない回答"))))</f>
        <v/>
      </c>
      <c r="S178" s="33" t="n"/>
      <c r="T178" s="18" t="n"/>
      <c r="U178" s="18" t="n"/>
      <c r="V178" s="21">
        <f>IF(U178="","",IF(COUNTIFS('紐付け'!$A$4:$A$200,U178,'紐付け'!$C$4:$C$200,C178)=0,"紐付けにない組み合わせ",IFERROR(INDEX('予算一覧'!$B:$B,MATCH(U178,'予算一覧'!$A:$A,0)),"案件が未登録")))</f>
        <v/>
      </c>
      <c r="W178" s="33" t="n"/>
    </row>
    <row r="179">
      <c r="A179" s="18" t="n"/>
      <c r="B179" s="18" t="n"/>
      <c r="C179" s="18" t="n"/>
      <c r="D179" s="21">
        <f>IF(C179="","",IFERROR(INDEX('システム'!$B:$B,MATCH(C179,'システム'!$A:$A,0)),"システムが未登録"))</f>
        <v/>
      </c>
      <c r="E179" s="18" t="n"/>
      <c r="F179" s="21">
        <f>IF(E179="","",IFERROR(INDEX('選択肢'!$L$5:$L$14,MATCH(E179,'選択肢'!$K$5:$K$14,0)),"選択肢にない種類"))</f>
        <v/>
      </c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21">
        <f>IF(A179="","",IF(F179="直接業務","—",IF(J179&lt;&gt;"済","判定保留",IF(OR(O179="",K179="",L179="",M179="",K179="未確認",L179="未確認"),"判定保留",IF(AND(K179="はい",M179="無"),"入力エラー（GxP対象でSOP無）",IFERROR(INDEX('判定表'!$D:$D,MATCH("W|"&amp;O179&amp;"|"&amp;IF(OR(K179="はい",L179="はい",M179="無"),"あり","なし"),'判定表'!$A:$A,0)),"判定表にない組み合わせ"))))))</f>
        <v/>
      </c>
      <c r="Q179" s="21">
        <f>IF(A179="","",IF(C179="","対象外",IF(F179="直接業務","対象外",IF(OR(F179&lt;&gt;"間接業務",COUNTIF('システム'!$A$4:$A$200,C179)=0,U179="",V179="紐付けにない組み合わせ",V179="案件が未登録"),"判定保留","移管"))))</f>
        <v/>
      </c>
      <c r="R179" s="21">
        <f>IF(A179="","",IF(Q179&lt;&gt;"移管","—",IF(O179="","判定保留",IFERROR(INDEX('判定表'!$E:$E,MATCH("W|"&amp;O179&amp;"|なし",'判定表'!$A:$A,0)),"判定表にない回答"))))</f>
        <v/>
      </c>
      <c r="S179" s="33" t="n"/>
      <c r="T179" s="18" t="n"/>
      <c r="U179" s="18" t="n"/>
      <c r="V179" s="21">
        <f>IF(U179="","",IF(COUNTIFS('紐付け'!$A$4:$A$200,U179,'紐付け'!$C$4:$C$200,C179)=0,"紐付けにない組み合わせ",IFERROR(INDEX('予算一覧'!$B:$B,MATCH(U179,'予算一覧'!$A:$A,0)),"案件が未登録")))</f>
        <v/>
      </c>
      <c r="W179" s="33" t="n"/>
    </row>
    <row r="180">
      <c r="A180" s="18" t="n"/>
      <c r="B180" s="18" t="n"/>
      <c r="C180" s="18" t="n"/>
      <c r="D180" s="21">
        <f>IF(C180="","",IFERROR(INDEX('システム'!$B:$B,MATCH(C180,'システム'!$A:$A,0)),"システムが未登録"))</f>
        <v/>
      </c>
      <c r="E180" s="18" t="n"/>
      <c r="F180" s="21">
        <f>IF(E180="","",IFERROR(INDEX('選択肢'!$L$5:$L$14,MATCH(E180,'選択肢'!$K$5:$K$14,0)),"選択肢にない種類"))</f>
        <v/>
      </c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21">
        <f>IF(A180="","",IF(F180="直接業務","—",IF(J180&lt;&gt;"済","判定保留",IF(OR(O180="",K180="",L180="",M180="",K180="未確認",L180="未確認"),"判定保留",IF(AND(K180="はい",M180="無"),"入力エラー（GxP対象でSOP無）",IFERROR(INDEX('判定表'!$D:$D,MATCH("W|"&amp;O180&amp;"|"&amp;IF(OR(K180="はい",L180="はい",M180="無"),"あり","なし"),'判定表'!$A:$A,0)),"判定表にない組み合わせ"))))))</f>
        <v/>
      </c>
      <c r="Q180" s="21">
        <f>IF(A180="","",IF(C180="","対象外",IF(F180="直接業務","対象外",IF(OR(F180&lt;&gt;"間接業務",COUNTIF('システム'!$A$4:$A$200,C180)=0,U180="",V180="紐付けにない組み合わせ",V180="案件が未登録"),"判定保留","移管"))))</f>
        <v/>
      </c>
      <c r="R180" s="21">
        <f>IF(A180="","",IF(Q180&lt;&gt;"移管","—",IF(O180="","判定保留",IFERROR(INDEX('判定表'!$E:$E,MATCH("W|"&amp;O180&amp;"|なし",'判定表'!$A:$A,0)),"判定表にない回答"))))</f>
        <v/>
      </c>
      <c r="S180" s="33" t="n"/>
      <c r="T180" s="18" t="n"/>
      <c r="U180" s="18" t="n"/>
      <c r="V180" s="21">
        <f>IF(U180="","",IF(COUNTIFS('紐付け'!$A$4:$A$200,U180,'紐付け'!$C$4:$C$200,C180)=0,"紐付けにない組み合わせ",IFERROR(INDEX('予算一覧'!$B:$B,MATCH(U180,'予算一覧'!$A:$A,0)),"案件が未登録")))</f>
        <v/>
      </c>
      <c r="W180" s="33" t="n"/>
    </row>
    <row r="181">
      <c r="A181" s="18" t="n"/>
      <c r="B181" s="18" t="n"/>
      <c r="C181" s="18" t="n"/>
      <c r="D181" s="21">
        <f>IF(C181="","",IFERROR(INDEX('システム'!$B:$B,MATCH(C181,'システム'!$A:$A,0)),"システムが未登録"))</f>
        <v/>
      </c>
      <c r="E181" s="18" t="n"/>
      <c r="F181" s="21">
        <f>IF(E181="","",IFERROR(INDEX('選択肢'!$L$5:$L$14,MATCH(E181,'選択肢'!$K$5:$K$14,0)),"選択肢にない種類"))</f>
        <v/>
      </c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21">
        <f>IF(A181="","",IF(F181="直接業務","—",IF(J181&lt;&gt;"済","判定保留",IF(OR(O181="",K181="",L181="",M181="",K181="未確認",L181="未確認"),"判定保留",IF(AND(K181="はい",M181="無"),"入力エラー（GxP対象でSOP無）",IFERROR(INDEX('判定表'!$D:$D,MATCH("W|"&amp;O181&amp;"|"&amp;IF(OR(K181="はい",L181="はい",M181="無"),"あり","なし"),'判定表'!$A:$A,0)),"判定表にない組み合わせ"))))))</f>
        <v/>
      </c>
      <c r="Q181" s="21">
        <f>IF(A181="","",IF(C181="","対象外",IF(F181="直接業務","対象外",IF(OR(F181&lt;&gt;"間接業務",COUNTIF('システム'!$A$4:$A$200,C181)=0,U181="",V181="紐付けにない組み合わせ",V181="案件が未登録"),"判定保留","移管"))))</f>
        <v/>
      </c>
      <c r="R181" s="21">
        <f>IF(A181="","",IF(Q181&lt;&gt;"移管","—",IF(O181="","判定保留",IFERROR(INDEX('判定表'!$E:$E,MATCH("W|"&amp;O181&amp;"|なし",'判定表'!$A:$A,0)),"判定表にない回答"))))</f>
        <v/>
      </c>
      <c r="S181" s="33" t="n"/>
      <c r="T181" s="18" t="n"/>
      <c r="U181" s="18" t="n"/>
      <c r="V181" s="21">
        <f>IF(U181="","",IF(COUNTIFS('紐付け'!$A$4:$A$200,U181,'紐付け'!$C$4:$C$200,C181)=0,"紐付けにない組み合わせ",IFERROR(INDEX('予算一覧'!$B:$B,MATCH(U181,'予算一覧'!$A:$A,0)),"案件が未登録")))</f>
        <v/>
      </c>
      <c r="W181" s="33" t="n"/>
    </row>
    <row r="182">
      <c r="A182" s="18" t="n"/>
      <c r="B182" s="18" t="n"/>
      <c r="C182" s="18" t="n"/>
      <c r="D182" s="21">
        <f>IF(C182="","",IFERROR(INDEX('システム'!$B:$B,MATCH(C182,'システム'!$A:$A,0)),"システムが未登録"))</f>
        <v/>
      </c>
      <c r="E182" s="18" t="n"/>
      <c r="F182" s="21">
        <f>IF(E182="","",IFERROR(INDEX('選択肢'!$L$5:$L$14,MATCH(E182,'選択肢'!$K$5:$K$14,0)),"選択肢にない種類"))</f>
        <v/>
      </c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21">
        <f>IF(A182="","",IF(F182="直接業務","—",IF(J182&lt;&gt;"済","判定保留",IF(OR(O182="",K182="",L182="",M182="",K182="未確認",L182="未確認"),"判定保留",IF(AND(K182="はい",M182="無"),"入力エラー（GxP対象でSOP無）",IFERROR(INDEX('判定表'!$D:$D,MATCH("W|"&amp;O182&amp;"|"&amp;IF(OR(K182="はい",L182="はい",M182="無"),"あり","なし"),'判定表'!$A:$A,0)),"判定表にない組み合わせ"))))))</f>
        <v/>
      </c>
      <c r="Q182" s="21">
        <f>IF(A182="","",IF(C182="","対象外",IF(F182="直接業務","対象外",IF(OR(F182&lt;&gt;"間接業務",COUNTIF('システム'!$A$4:$A$200,C182)=0,U182="",V182="紐付けにない組み合わせ",V182="案件が未登録"),"判定保留","移管"))))</f>
        <v/>
      </c>
      <c r="R182" s="21">
        <f>IF(A182="","",IF(Q182&lt;&gt;"移管","—",IF(O182="","判定保留",IFERROR(INDEX('判定表'!$E:$E,MATCH("W|"&amp;O182&amp;"|なし",'判定表'!$A:$A,0)),"判定表にない回答"))))</f>
        <v/>
      </c>
      <c r="S182" s="33" t="n"/>
      <c r="T182" s="18" t="n"/>
      <c r="U182" s="18" t="n"/>
      <c r="V182" s="21">
        <f>IF(U182="","",IF(COUNTIFS('紐付け'!$A$4:$A$200,U182,'紐付け'!$C$4:$C$200,C182)=0,"紐付けにない組み合わせ",IFERROR(INDEX('予算一覧'!$B:$B,MATCH(U182,'予算一覧'!$A:$A,0)),"案件が未登録")))</f>
        <v/>
      </c>
      <c r="W182" s="33" t="n"/>
    </row>
    <row r="183">
      <c r="A183" s="18" t="n"/>
      <c r="B183" s="18" t="n"/>
      <c r="C183" s="18" t="n"/>
      <c r="D183" s="21">
        <f>IF(C183="","",IFERROR(INDEX('システム'!$B:$B,MATCH(C183,'システム'!$A:$A,0)),"システムが未登録"))</f>
        <v/>
      </c>
      <c r="E183" s="18" t="n"/>
      <c r="F183" s="21">
        <f>IF(E183="","",IFERROR(INDEX('選択肢'!$L$5:$L$14,MATCH(E183,'選択肢'!$K$5:$K$14,0)),"選択肢にない種類"))</f>
        <v/>
      </c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21">
        <f>IF(A183="","",IF(F183="直接業務","—",IF(J183&lt;&gt;"済","判定保留",IF(OR(O183="",K183="",L183="",M183="",K183="未確認",L183="未確認"),"判定保留",IF(AND(K183="はい",M183="無"),"入力エラー（GxP対象でSOP無）",IFERROR(INDEX('判定表'!$D:$D,MATCH("W|"&amp;O183&amp;"|"&amp;IF(OR(K183="はい",L183="はい",M183="無"),"あり","なし"),'判定表'!$A:$A,0)),"判定表にない組み合わせ"))))))</f>
        <v/>
      </c>
      <c r="Q183" s="21">
        <f>IF(A183="","",IF(C183="","対象外",IF(F183="直接業務","対象外",IF(OR(F183&lt;&gt;"間接業務",COUNTIF('システム'!$A$4:$A$200,C183)=0,U183="",V183="紐付けにない組み合わせ",V183="案件が未登録"),"判定保留","移管"))))</f>
        <v/>
      </c>
      <c r="R183" s="21">
        <f>IF(A183="","",IF(Q183&lt;&gt;"移管","—",IF(O183="","判定保留",IFERROR(INDEX('判定表'!$E:$E,MATCH("W|"&amp;O183&amp;"|なし",'判定表'!$A:$A,0)),"判定表にない回答"))))</f>
        <v/>
      </c>
      <c r="S183" s="33" t="n"/>
      <c r="T183" s="18" t="n"/>
      <c r="U183" s="18" t="n"/>
      <c r="V183" s="21">
        <f>IF(U183="","",IF(COUNTIFS('紐付け'!$A$4:$A$200,U183,'紐付け'!$C$4:$C$200,C183)=0,"紐付けにない組み合わせ",IFERROR(INDEX('予算一覧'!$B:$B,MATCH(U183,'予算一覧'!$A:$A,0)),"案件が未登録")))</f>
        <v/>
      </c>
      <c r="W183" s="33" t="n"/>
    </row>
    <row r="184">
      <c r="A184" s="18" t="n"/>
      <c r="B184" s="18" t="n"/>
      <c r="C184" s="18" t="n"/>
      <c r="D184" s="21">
        <f>IF(C184="","",IFERROR(INDEX('システム'!$B:$B,MATCH(C184,'システム'!$A:$A,0)),"システムが未登録"))</f>
        <v/>
      </c>
      <c r="E184" s="18" t="n"/>
      <c r="F184" s="21">
        <f>IF(E184="","",IFERROR(INDEX('選択肢'!$L$5:$L$14,MATCH(E184,'選択肢'!$K$5:$K$14,0)),"選択肢にない種類"))</f>
        <v/>
      </c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21">
        <f>IF(A184="","",IF(F184="直接業務","—",IF(J184&lt;&gt;"済","判定保留",IF(OR(O184="",K184="",L184="",M184="",K184="未確認",L184="未確認"),"判定保留",IF(AND(K184="はい",M184="無"),"入力エラー（GxP対象でSOP無）",IFERROR(INDEX('判定表'!$D:$D,MATCH("W|"&amp;O184&amp;"|"&amp;IF(OR(K184="はい",L184="はい",M184="無"),"あり","なし"),'判定表'!$A:$A,0)),"判定表にない組み合わせ"))))))</f>
        <v/>
      </c>
      <c r="Q184" s="21">
        <f>IF(A184="","",IF(C184="","対象外",IF(F184="直接業務","対象外",IF(OR(F184&lt;&gt;"間接業務",COUNTIF('システム'!$A$4:$A$200,C184)=0,U184="",V184="紐付けにない組み合わせ",V184="案件が未登録"),"判定保留","移管"))))</f>
        <v/>
      </c>
      <c r="R184" s="21">
        <f>IF(A184="","",IF(Q184&lt;&gt;"移管","—",IF(O184="","判定保留",IFERROR(INDEX('判定表'!$E:$E,MATCH("W|"&amp;O184&amp;"|なし",'判定表'!$A:$A,0)),"判定表にない回答"))))</f>
        <v/>
      </c>
      <c r="S184" s="33" t="n"/>
      <c r="T184" s="18" t="n"/>
      <c r="U184" s="18" t="n"/>
      <c r="V184" s="21">
        <f>IF(U184="","",IF(COUNTIFS('紐付け'!$A$4:$A$200,U184,'紐付け'!$C$4:$C$200,C184)=0,"紐付けにない組み合わせ",IFERROR(INDEX('予算一覧'!$B:$B,MATCH(U184,'予算一覧'!$A:$A,0)),"案件が未登録")))</f>
        <v/>
      </c>
      <c r="W184" s="33" t="n"/>
    </row>
    <row r="185">
      <c r="A185" s="18" t="n"/>
      <c r="B185" s="18" t="n"/>
      <c r="C185" s="18" t="n"/>
      <c r="D185" s="21">
        <f>IF(C185="","",IFERROR(INDEX('システム'!$B:$B,MATCH(C185,'システム'!$A:$A,0)),"システムが未登録"))</f>
        <v/>
      </c>
      <c r="E185" s="18" t="n"/>
      <c r="F185" s="21">
        <f>IF(E185="","",IFERROR(INDEX('選択肢'!$L$5:$L$14,MATCH(E185,'選択肢'!$K$5:$K$14,0)),"選択肢にない種類"))</f>
        <v/>
      </c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21">
        <f>IF(A185="","",IF(F185="直接業務","—",IF(J185&lt;&gt;"済","判定保留",IF(OR(O185="",K185="",L185="",M185="",K185="未確認",L185="未確認"),"判定保留",IF(AND(K185="はい",M185="無"),"入力エラー（GxP対象でSOP無）",IFERROR(INDEX('判定表'!$D:$D,MATCH("W|"&amp;O185&amp;"|"&amp;IF(OR(K185="はい",L185="はい",M185="無"),"あり","なし"),'判定表'!$A:$A,0)),"判定表にない組み合わせ"))))))</f>
        <v/>
      </c>
      <c r="Q185" s="21">
        <f>IF(A185="","",IF(C185="","対象外",IF(F185="直接業務","対象外",IF(OR(F185&lt;&gt;"間接業務",COUNTIF('システム'!$A$4:$A$200,C185)=0,U185="",V185="紐付けにない組み合わせ",V185="案件が未登録"),"判定保留","移管"))))</f>
        <v/>
      </c>
      <c r="R185" s="21">
        <f>IF(A185="","",IF(Q185&lt;&gt;"移管","—",IF(O185="","判定保留",IFERROR(INDEX('判定表'!$E:$E,MATCH("W|"&amp;O185&amp;"|なし",'判定表'!$A:$A,0)),"判定表にない回答"))))</f>
        <v/>
      </c>
      <c r="S185" s="33" t="n"/>
      <c r="T185" s="18" t="n"/>
      <c r="U185" s="18" t="n"/>
      <c r="V185" s="21">
        <f>IF(U185="","",IF(COUNTIFS('紐付け'!$A$4:$A$200,U185,'紐付け'!$C$4:$C$200,C185)=0,"紐付けにない組み合わせ",IFERROR(INDEX('予算一覧'!$B:$B,MATCH(U185,'予算一覧'!$A:$A,0)),"案件が未登録")))</f>
        <v/>
      </c>
      <c r="W185" s="33" t="n"/>
    </row>
    <row r="186">
      <c r="A186" s="18" t="n"/>
      <c r="B186" s="18" t="n"/>
      <c r="C186" s="18" t="n"/>
      <c r="D186" s="21">
        <f>IF(C186="","",IFERROR(INDEX('システム'!$B:$B,MATCH(C186,'システム'!$A:$A,0)),"システムが未登録"))</f>
        <v/>
      </c>
      <c r="E186" s="18" t="n"/>
      <c r="F186" s="21">
        <f>IF(E186="","",IFERROR(INDEX('選択肢'!$L$5:$L$14,MATCH(E186,'選択肢'!$K$5:$K$14,0)),"選択肢にない種類"))</f>
        <v/>
      </c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21">
        <f>IF(A186="","",IF(F186="直接業務","—",IF(J186&lt;&gt;"済","判定保留",IF(OR(O186="",K186="",L186="",M186="",K186="未確認",L186="未確認"),"判定保留",IF(AND(K186="はい",M186="無"),"入力エラー（GxP対象でSOP無）",IFERROR(INDEX('判定表'!$D:$D,MATCH("W|"&amp;O186&amp;"|"&amp;IF(OR(K186="はい",L186="はい",M186="無"),"あり","なし"),'判定表'!$A:$A,0)),"判定表にない組み合わせ"))))))</f>
        <v/>
      </c>
      <c r="Q186" s="21">
        <f>IF(A186="","",IF(C186="","対象外",IF(F186="直接業務","対象外",IF(OR(F186&lt;&gt;"間接業務",COUNTIF('システム'!$A$4:$A$200,C186)=0,U186="",V186="紐付けにない組み合わせ",V186="案件が未登録"),"判定保留","移管"))))</f>
        <v/>
      </c>
      <c r="R186" s="21">
        <f>IF(A186="","",IF(Q186&lt;&gt;"移管","—",IF(O186="","判定保留",IFERROR(INDEX('判定表'!$E:$E,MATCH("W|"&amp;O186&amp;"|なし",'判定表'!$A:$A,0)),"判定表にない回答"))))</f>
        <v/>
      </c>
      <c r="S186" s="33" t="n"/>
      <c r="T186" s="18" t="n"/>
      <c r="U186" s="18" t="n"/>
      <c r="V186" s="21">
        <f>IF(U186="","",IF(COUNTIFS('紐付け'!$A$4:$A$200,U186,'紐付け'!$C$4:$C$200,C186)=0,"紐付けにない組み合わせ",IFERROR(INDEX('予算一覧'!$B:$B,MATCH(U186,'予算一覧'!$A:$A,0)),"案件が未登録")))</f>
        <v/>
      </c>
      <c r="W186" s="33" t="n"/>
    </row>
    <row r="187">
      <c r="A187" s="18" t="n"/>
      <c r="B187" s="18" t="n"/>
      <c r="C187" s="18" t="n"/>
      <c r="D187" s="21">
        <f>IF(C187="","",IFERROR(INDEX('システム'!$B:$B,MATCH(C187,'システム'!$A:$A,0)),"システムが未登録"))</f>
        <v/>
      </c>
      <c r="E187" s="18" t="n"/>
      <c r="F187" s="21">
        <f>IF(E187="","",IFERROR(INDEX('選択肢'!$L$5:$L$14,MATCH(E187,'選択肢'!$K$5:$K$14,0)),"選択肢にない種類"))</f>
        <v/>
      </c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21">
        <f>IF(A187="","",IF(F187="直接業務","—",IF(J187&lt;&gt;"済","判定保留",IF(OR(O187="",K187="",L187="",M187="",K187="未確認",L187="未確認"),"判定保留",IF(AND(K187="はい",M187="無"),"入力エラー（GxP対象でSOP無）",IFERROR(INDEX('判定表'!$D:$D,MATCH("W|"&amp;O187&amp;"|"&amp;IF(OR(K187="はい",L187="はい",M187="無"),"あり","なし"),'判定表'!$A:$A,0)),"判定表にない組み合わせ"))))))</f>
        <v/>
      </c>
      <c r="Q187" s="21">
        <f>IF(A187="","",IF(C187="","対象外",IF(F187="直接業務","対象外",IF(OR(F187&lt;&gt;"間接業務",COUNTIF('システム'!$A$4:$A$200,C187)=0,U187="",V187="紐付けにない組み合わせ",V187="案件が未登録"),"判定保留","移管"))))</f>
        <v/>
      </c>
      <c r="R187" s="21">
        <f>IF(A187="","",IF(Q187&lt;&gt;"移管","—",IF(O187="","判定保留",IFERROR(INDEX('判定表'!$E:$E,MATCH("W|"&amp;O187&amp;"|なし",'判定表'!$A:$A,0)),"判定表にない回答"))))</f>
        <v/>
      </c>
      <c r="S187" s="33" t="n"/>
      <c r="T187" s="18" t="n"/>
      <c r="U187" s="18" t="n"/>
      <c r="V187" s="21">
        <f>IF(U187="","",IF(COUNTIFS('紐付け'!$A$4:$A$200,U187,'紐付け'!$C$4:$C$200,C187)=0,"紐付けにない組み合わせ",IFERROR(INDEX('予算一覧'!$B:$B,MATCH(U187,'予算一覧'!$A:$A,0)),"案件が未登録")))</f>
        <v/>
      </c>
      <c r="W187" s="33" t="n"/>
    </row>
    <row r="188">
      <c r="A188" s="18" t="n"/>
      <c r="B188" s="18" t="n"/>
      <c r="C188" s="18" t="n"/>
      <c r="D188" s="21">
        <f>IF(C188="","",IFERROR(INDEX('システム'!$B:$B,MATCH(C188,'システム'!$A:$A,0)),"システムが未登録"))</f>
        <v/>
      </c>
      <c r="E188" s="18" t="n"/>
      <c r="F188" s="21">
        <f>IF(E188="","",IFERROR(INDEX('選択肢'!$L$5:$L$14,MATCH(E188,'選択肢'!$K$5:$K$14,0)),"選択肢にない種類"))</f>
        <v/>
      </c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21">
        <f>IF(A188="","",IF(F188="直接業務","—",IF(J188&lt;&gt;"済","判定保留",IF(OR(O188="",K188="",L188="",M188="",K188="未確認",L188="未確認"),"判定保留",IF(AND(K188="はい",M188="無"),"入力エラー（GxP対象でSOP無）",IFERROR(INDEX('判定表'!$D:$D,MATCH("W|"&amp;O188&amp;"|"&amp;IF(OR(K188="はい",L188="はい",M188="無"),"あり","なし"),'判定表'!$A:$A,0)),"判定表にない組み合わせ"))))))</f>
        <v/>
      </c>
      <c r="Q188" s="21">
        <f>IF(A188="","",IF(C188="","対象外",IF(F188="直接業務","対象外",IF(OR(F188&lt;&gt;"間接業務",COUNTIF('システム'!$A$4:$A$200,C188)=0,U188="",V188="紐付けにない組み合わせ",V188="案件が未登録"),"判定保留","移管"))))</f>
        <v/>
      </c>
      <c r="R188" s="21">
        <f>IF(A188="","",IF(Q188&lt;&gt;"移管","—",IF(O188="","判定保留",IFERROR(INDEX('判定表'!$E:$E,MATCH("W|"&amp;O188&amp;"|なし",'判定表'!$A:$A,0)),"判定表にない回答"))))</f>
        <v/>
      </c>
      <c r="S188" s="33" t="n"/>
      <c r="T188" s="18" t="n"/>
      <c r="U188" s="18" t="n"/>
      <c r="V188" s="21">
        <f>IF(U188="","",IF(COUNTIFS('紐付け'!$A$4:$A$200,U188,'紐付け'!$C$4:$C$200,C188)=0,"紐付けにない組み合わせ",IFERROR(INDEX('予算一覧'!$B:$B,MATCH(U188,'予算一覧'!$A:$A,0)),"案件が未登録")))</f>
        <v/>
      </c>
      <c r="W188" s="33" t="n"/>
    </row>
    <row r="189">
      <c r="A189" s="18" t="n"/>
      <c r="B189" s="18" t="n"/>
      <c r="C189" s="18" t="n"/>
      <c r="D189" s="21">
        <f>IF(C189="","",IFERROR(INDEX('システム'!$B:$B,MATCH(C189,'システム'!$A:$A,0)),"システムが未登録"))</f>
        <v/>
      </c>
      <c r="E189" s="18" t="n"/>
      <c r="F189" s="21">
        <f>IF(E189="","",IFERROR(INDEX('選択肢'!$L$5:$L$14,MATCH(E189,'選択肢'!$K$5:$K$14,0)),"選択肢にない種類"))</f>
        <v/>
      </c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21">
        <f>IF(A189="","",IF(F189="直接業務","—",IF(J189&lt;&gt;"済","判定保留",IF(OR(O189="",K189="",L189="",M189="",K189="未確認",L189="未確認"),"判定保留",IF(AND(K189="はい",M189="無"),"入力エラー（GxP対象でSOP無）",IFERROR(INDEX('判定表'!$D:$D,MATCH("W|"&amp;O189&amp;"|"&amp;IF(OR(K189="はい",L189="はい",M189="無"),"あり","なし"),'判定表'!$A:$A,0)),"判定表にない組み合わせ"))))))</f>
        <v/>
      </c>
      <c r="Q189" s="21">
        <f>IF(A189="","",IF(C189="","対象外",IF(F189="直接業務","対象外",IF(OR(F189&lt;&gt;"間接業務",COUNTIF('システム'!$A$4:$A$200,C189)=0,U189="",V189="紐付けにない組み合わせ",V189="案件が未登録"),"判定保留","移管"))))</f>
        <v/>
      </c>
      <c r="R189" s="21">
        <f>IF(A189="","",IF(Q189&lt;&gt;"移管","—",IF(O189="","判定保留",IFERROR(INDEX('判定表'!$E:$E,MATCH("W|"&amp;O189&amp;"|なし",'判定表'!$A:$A,0)),"判定表にない回答"))))</f>
        <v/>
      </c>
      <c r="S189" s="33" t="n"/>
      <c r="T189" s="18" t="n"/>
      <c r="U189" s="18" t="n"/>
      <c r="V189" s="21">
        <f>IF(U189="","",IF(COUNTIFS('紐付け'!$A$4:$A$200,U189,'紐付け'!$C$4:$C$200,C189)=0,"紐付けにない組み合わせ",IFERROR(INDEX('予算一覧'!$B:$B,MATCH(U189,'予算一覧'!$A:$A,0)),"案件が未登録")))</f>
        <v/>
      </c>
      <c r="W189" s="33" t="n"/>
    </row>
    <row r="190">
      <c r="A190" s="18" t="n"/>
      <c r="B190" s="18" t="n"/>
      <c r="C190" s="18" t="n"/>
      <c r="D190" s="21">
        <f>IF(C190="","",IFERROR(INDEX('システム'!$B:$B,MATCH(C190,'システム'!$A:$A,0)),"システムが未登録"))</f>
        <v/>
      </c>
      <c r="E190" s="18" t="n"/>
      <c r="F190" s="21">
        <f>IF(E190="","",IFERROR(INDEX('選択肢'!$L$5:$L$14,MATCH(E190,'選択肢'!$K$5:$K$14,0)),"選択肢にない種類"))</f>
        <v/>
      </c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21">
        <f>IF(A190="","",IF(F190="直接業務","—",IF(J190&lt;&gt;"済","判定保留",IF(OR(O190="",K190="",L190="",M190="",K190="未確認",L190="未確認"),"判定保留",IF(AND(K190="はい",M190="無"),"入力エラー（GxP対象でSOP無）",IFERROR(INDEX('判定表'!$D:$D,MATCH("W|"&amp;O190&amp;"|"&amp;IF(OR(K190="はい",L190="はい",M190="無"),"あり","なし"),'判定表'!$A:$A,0)),"判定表にない組み合わせ"))))))</f>
        <v/>
      </c>
      <c r="Q190" s="21">
        <f>IF(A190="","",IF(C190="","対象外",IF(F190="直接業務","対象外",IF(OR(F190&lt;&gt;"間接業務",COUNTIF('システム'!$A$4:$A$200,C190)=0,U190="",V190="紐付けにない組み合わせ",V190="案件が未登録"),"判定保留","移管"))))</f>
        <v/>
      </c>
      <c r="R190" s="21">
        <f>IF(A190="","",IF(Q190&lt;&gt;"移管","—",IF(O190="","判定保留",IFERROR(INDEX('判定表'!$E:$E,MATCH("W|"&amp;O190&amp;"|なし",'判定表'!$A:$A,0)),"判定表にない回答"))))</f>
        <v/>
      </c>
      <c r="S190" s="33" t="n"/>
      <c r="T190" s="18" t="n"/>
      <c r="U190" s="18" t="n"/>
      <c r="V190" s="21">
        <f>IF(U190="","",IF(COUNTIFS('紐付け'!$A$4:$A$200,U190,'紐付け'!$C$4:$C$200,C190)=0,"紐付けにない組み合わせ",IFERROR(INDEX('予算一覧'!$B:$B,MATCH(U190,'予算一覧'!$A:$A,0)),"案件が未登録")))</f>
        <v/>
      </c>
      <c r="W190" s="33" t="n"/>
    </row>
    <row r="191">
      <c r="A191" s="18" t="n"/>
      <c r="B191" s="18" t="n"/>
      <c r="C191" s="18" t="n"/>
      <c r="D191" s="21">
        <f>IF(C191="","",IFERROR(INDEX('システム'!$B:$B,MATCH(C191,'システム'!$A:$A,0)),"システムが未登録"))</f>
        <v/>
      </c>
      <c r="E191" s="18" t="n"/>
      <c r="F191" s="21">
        <f>IF(E191="","",IFERROR(INDEX('選択肢'!$L$5:$L$14,MATCH(E191,'選択肢'!$K$5:$K$14,0)),"選択肢にない種類"))</f>
        <v/>
      </c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21">
        <f>IF(A191="","",IF(F191="直接業務","—",IF(J191&lt;&gt;"済","判定保留",IF(OR(O191="",K191="",L191="",M191="",K191="未確認",L191="未確認"),"判定保留",IF(AND(K191="はい",M191="無"),"入力エラー（GxP対象でSOP無）",IFERROR(INDEX('判定表'!$D:$D,MATCH("W|"&amp;O191&amp;"|"&amp;IF(OR(K191="はい",L191="はい",M191="無"),"あり","なし"),'判定表'!$A:$A,0)),"判定表にない組み合わせ"))))))</f>
        <v/>
      </c>
      <c r="Q191" s="21">
        <f>IF(A191="","",IF(C191="","対象外",IF(F191="直接業務","対象外",IF(OR(F191&lt;&gt;"間接業務",COUNTIF('システム'!$A$4:$A$200,C191)=0,U191="",V191="紐付けにない組み合わせ",V191="案件が未登録"),"判定保留","移管"))))</f>
        <v/>
      </c>
      <c r="R191" s="21">
        <f>IF(A191="","",IF(Q191&lt;&gt;"移管","—",IF(O191="","判定保留",IFERROR(INDEX('判定表'!$E:$E,MATCH("W|"&amp;O191&amp;"|なし",'判定表'!$A:$A,0)),"判定表にない回答"))))</f>
        <v/>
      </c>
      <c r="S191" s="33" t="n"/>
      <c r="T191" s="18" t="n"/>
      <c r="U191" s="18" t="n"/>
      <c r="V191" s="21">
        <f>IF(U191="","",IF(COUNTIFS('紐付け'!$A$4:$A$200,U191,'紐付け'!$C$4:$C$200,C191)=0,"紐付けにない組み合わせ",IFERROR(INDEX('予算一覧'!$B:$B,MATCH(U191,'予算一覧'!$A:$A,0)),"案件が未登録")))</f>
        <v/>
      </c>
      <c r="W191" s="33" t="n"/>
    </row>
    <row r="192">
      <c r="A192" s="18" t="n"/>
      <c r="B192" s="18" t="n"/>
      <c r="C192" s="18" t="n"/>
      <c r="D192" s="21">
        <f>IF(C192="","",IFERROR(INDEX('システム'!$B:$B,MATCH(C192,'システム'!$A:$A,0)),"システムが未登録"))</f>
        <v/>
      </c>
      <c r="E192" s="18" t="n"/>
      <c r="F192" s="21">
        <f>IF(E192="","",IFERROR(INDEX('選択肢'!$L$5:$L$14,MATCH(E192,'選択肢'!$K$5:$K$14,0)),"選択肢にない種類"))</f>
        <v/>
      </c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21">
        <f>IF(A192="","",IF(F192="直接業務","—",IF(J192&lt;&gt;"済","判定保留",IF(OR(O192="",K192="",L192="",M192="",K192="未確認",L192="未確認"),"判定保留",IF(AND(K192="はい",M192="無"),"入力エラー（GxP対象でSOP無）",IFERROR(INDEX('判定表'!$D:$D,MATCH("W|"&amp;O192&amp;"|"&amp;IF(OR(K192="はい",L192="はい",M192="無"),"あり","なし"),'判定表'!$A:$A,0)),"判定表にない組み合わせ"))))))</f>
        <v/>
      </c>
      <c r="Q192" s="21">
        <f>IF(A192="","",IF(C192="","対象外",IF(F192="直接業務","対象外",IF(OR(F192&lt;&gt;"間接業務",COUNTIF('システム'!$A$4:$A$200,C192)=0,U192="",V192="紐付けにない組み合わせ",V192="案件が未登録"),"判定保留","移管"))))</f>
        <v/>
      </c>
      <c r="R192" s="21">
        <f>IF(A192="","",IF(Q192&lt;&gt;"移管","—",IF(O192="","判定保留",IFERROR(INDEX('判定表'!$E:$E,MATCH("W|"&amp;O192&amp;"|なし",'判定表'!$A:$A,0)),"判定表にない回答"))))</f>
        <v/>
      </c>
      <c r="S192" s="33" t="n"/>
      <c r="T192" s="18" t="n"/>
      <c r="U192" s="18" t="n"/>
      <c r="V192" s="21">
        <f>IF(U192="","",IF(COUNTIFS('紐付け'!$A$4:$A$200,U192,'紐付け'!$C$4:$C$200,C192)=0,"紐付けにない組み合わせ",IFERROR(INDEX('予算一覧'!$B:$B,MATCH(U192,'予算一覧'!$A:$A,0)),"案件が未登録")))</f>
        <v/>
      </c>
      <c r="W192" s="33" t="n"/>
    </row>
    <row r="193">
      <c r="A193" s="18" t="n"/>
      <c r="B193" s="18" t="n"/>
      <c r="C193" s="18" t="n"/>
      <c r="D193" s="21">
        <f>IF(C193="","",IFERROR(INDEX('システム'!$B:$B,MATCH(C193,'システム'!$A:$A,0)),"システムが未登録"))</f>
        <v/>
      </c>
      <c r="E193" s="18" t="n"/>
      <c r="F193" s="21">
        <f>IF(E193="","",IFERROR(INDEX('選択肢'!$L$5:$L$14,MATCH(E193,'選択肢'!$K$5:$K$14,0)),"選択肢にない種類"))</f>
        <v/>
      </c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21">
        <f>IF(A193="","",IF(F193="直接業務","—",IF(J193&lt;&gt;"済","判定保留",IF(OR(O193="",K193="",L193="",M193="",K193="未確認",L193="未確認"),"判定保留",IF(AND(K193="はい",M193="無"),"入力エラー（GxP対象でSOP無）",IFERROR(INDEX('判定表'!$D:$D,MATCH("W|"&amp;O193&amp;"|"&amp;IF(OR(K193="はい",L193="はい",M193="無"),"あり","なし"),'判定表'!$A:$A,0)),"判定表にない組み合わせ"))))))</f>
        <v/>
      </c>
      <c r="Q193" s="21">
        <f>IF(A193="","",IF(C193="","対象外",IF(F193="直接業務","対象外",IF(OR(F193&lt;&gt;"間接業務",COUNTIF('システム'!$A$4:$A$200,C193)=0,U193="",V193="紐付けにない組み合わせ",V193="案件が未登録"),"判定保留","移管"))))</f>
        <v/>
      </c>
      <c r="R193" s="21">
        <f>IF(A193="","",IF(Q193&lt;&gt;"移管","—",IF(O193="","判定保留",IFERROR(INDEX('判定表'!$E:$E,MATCH("W|"&amp;O193&amp;"|なし",'判定表'!$A:$A,0)),"判定表にない回答"))))</f>
        <v/>
      </c>
      <c r="S193" s="33" t="n"/>
      <c r="T193" s="18" t="n"/>
      <c r="U193" s="18" t="n"/>
      <c r="V193" s="21">
        <f>IF(U193="","",IF(COUNTIFS('紐付け'!$A$4:$A$200,U193,'紐付け'!$C$4:$C$200,C193)=0,"紐付けにない組み合わせ",IFERROR(INDEX('予算一覧'!$B:$B,MATCH(U193,'予算一覧'!$A:$A,0)),"案件が未登録")))</f>
        <v/>
      </c>
      <c r="W193" s="33" t="n"/>
    </row>
    <row r="194">
      <c r="A194" s="18" t="n"/>
      <c r="B194" s="18" t="n"/>
      <c r="C194" s="18" t="n"/>
      <c r="D194" s="21">
        <f>IF(C194="","",IFERROR(INDEX('システム'!$B:$B,MATCH(C194,'システム'!$A:$A,0)),"システムが未登録"))</f>
        <v/>
      </c>
      <c r="E194" s="18" t="n"/>
      <c r="F194" s="21">
        <f>IF(E194="","",IFERROR(INDEX('選択肢'!$L$5:$L$14,MATCH(E194,'選択肢'!$K$5:$K$14,0)),"選択肢にない種類"))</f>
        <v/>
      </c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21">
        <f>IF(A194="","",IF(F194="直接業務","—",IF(J194&lt;&gt;"済","判定保留",IF(OR(O194="",K194="",L194="",M194="",K194="未確認",L194="未確認"),"判定保留",IF(AND(K194="はい",M194="無"),"入力エラー（GxP対象でSOP無）",IFERROR(INDEX('判定表'!$D:$D,MATCH("W|"&amp;O194&amp;"|"&amp;IF(OR(K194="はい",L194="はい",M194="無"),"あり","なし"),'判定表'!$A:$A,0)),"判定表にない組み合わせ"))))))</f>
        <v/>
      </c>
      <c r="Q194" s="21">
        <f>IF(A194="","",IF(C194="","対象外",IF(F194="直接業務","対象外",IF(OR(F194&lt;&gt;"間接業務",COUNTIF('システム'!$A$4:$A$200,C194)=0,U194="",V194="紐付けにない組み合わせ",V194="案件が未登録"),"判定保留","移管"))))</f>
        <v/>
      </c>
      <c r="R194" s="21">
        <f>IF(A194="","",IF(Q194&lt;&gt;"移管","—",IF(O194="","判定保留",IFERROR(INDEX('判定表'!$E:$E,MATCH("W|"&amp;O194&amp;"|なし",'判定表'!$A:$A,0)),"判定表にない回答"))))</f>
        <v/>
      </c>
      <c r="S194" s="33" t="n"/>
      <c r="T194" s="18" t="n"/>
      <c r="U194" s="18" t="n"/>
      <c r="V194" s="21">
        <f>IF(U194="","",IF(COUNTIFS('紐付け'!$A$4:$A$200,U194,'紐付け'!$C$4:$C$200,C194)=0,"紐付けにない組み合わせ",IFERROR(INDEX('予算一覧'!$B:$B,MATCH(U194,'予算一覧'!$A:$A,0)),"案件が未登録")))</f>
        <v/>
      </c>
      <c r="W194" s="33" t="n"/>
    </row>
    <row r="195">
      <c r="A195" s="18" t="n"/>
      <c r="B195" s="18" t="n"/>
      <c r="C195" s="18" t="n"/>
      <c r="D195" s="21">
        <f>IF(C195="","",IFERROR(INDEX('システム'!$B:$B,MATCH(C195,'システム'!$A:$A,0)),"システムが未登録"))</f>
        <v/>
      </c>
      <c r="E195" s="18" t="n"/>
      <c r="F195" s="21">
        <f>IF(E195="","",IFERROR(INDEX('選択肢'!$L$5:$L$14,MATCH(E195,'選択肢'!$K$5:$K$14,0)),"選択肢にない種類"))</f>
        <v/>
      </c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21">
        <f>IF(A195="","",IF(F195="直接業務","—",IF(J195&lt;&gt;"済","判定保留",IF(OR(O195="",K195="",L195="",M195="",K195="未確認",L195="未確認"),"判定保留",IF(AND(K195="はい",M195="無"),"入力エラー（GxP対象でSOP無）",IFERROR(INDEX('判定表'!$D:$D,MATCH("W|"&amp;O195&amp;"|"&amp;IF(OR(K195="はい",L195="はい",M195="無"),"あり","なし"),'判定表'!$A:$A,0)),"判定表にない組み合わせ"))))))</f>
        <v/>
      </c>
      <c r="Q195" s="21">
        <f>IF(A195="","",IF(C195="","対象外",IF(F195="直接業務","対象外",IF(OR(F195&lt;&gt;"間接業務",COUNTIF('システム'!$A$4:$A$200,C195)=0,U195="",V195="紐付けにない組み合わせ",V195="案件が未登録"),"判定保留","移管"))))</f>
        <v/>
      </c>
      <c r="R195" s="21">
        <f>IF(A195="","",IF(Q195&lt;&gt;"移管","—",IF(O195="","判定保留",IFERROR(INDEX('判定表'!$E:$E,MATCH("W|"&amp;O195&amp;"|なし",'判定表'!$A:$A,0)),"判定表にない回答"))))</f>
        <v/>
      </c>
      <c r="S195" s="33" t="n"/>
      <c r="T195" s="18" t="n"/>
      <c r="U195" s="18" t="n"/>
      <c r="V195" s="21">
        <f>IF(U195="","",IF(COUNTIFS('紐付け'!$A$4:$A$200,U195,'紐付け'!$C$4:$C$200,C195)=0,"紐付けにない組み合わせ",IFERROR(INDEX('予算一覧'!$B:$B,MATCH(U195,'予算一覧'!$A:$A,0)),"案件が未登録")))</f>
        <v/>
      </c>
      <c r="W195" s="33" t="n"/>
    </row>
    <row r="196">
      <c r="A196" s="18" t="n"/>
      <c r="B196" s="18" t="n"/>
      <c r="C196" s="18" t="n"/>
      <c r="D196" s="21">
        <f>IF(C196="","",IFERROR(INDEX('システム'!$B:$B,MATCH(C196,'システム'!$A:$A,0)),"システムが未登録"))</f>
        <v/>
      </c>
      <c r="E196" s="18" t="n"/>
      <c r="F196" s="21">
        <f>IF(E196="","",IFERROR(INDEX('選択肢'!$L$5:$L$14,MATCH(E196,'選択肢'!$K$5:$K$14,0)),"選択肢にない種類"))</f>
        <v/>
      </c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21">
        <f>IF(A196="","",IF(F196="直接業務","—",IF(J196&lt;&gt;"済","判定保留",IF(OR(O196="",K196="",L196="",M196="",K196="未確認",L196="未確認"),"判定保留",IF(AND(K196="はい",M196="無"),"入力エラー（GxP対象でSOP無）",IFERROR(INDEX('判定表'!$D:$D,MATCH("W|"&amp;O196&amp;"|"&amp;IF(OR(K196="はい",L196="はい",M196="無"),"あり","なし"),'判定表'!$A:$A,0)),"判定表にない組み合わせ"))))))</f>
        <v/>
      </c>
      <c r="Q196" s="21">
        <f>IF(A196="","",IF(C196="","対象外",IF(F196="直接業務","対象外",IF(OR(F196&lt;&gt;"間接業務",COUNTIF('システム'!$A$4:$A$200,C196)=0,U196="",V196="紐付けにない組み合わせ",V196="案件が未登録"),"判定保留","移管"))))</f>
        <v/>
      </c>
      <c r="R196" s="21">
        <f>IF(A196="","",IF(Q196&lt;&gt;"移管","—",IF(O196="","判定保留",IFERROR(INDEX('判定表'!$E:$E,MATCH("W|"&amp;O196&amp;"|なし",'判定表'!$A:$A,0)),"判定表にない回答"))))</f>
        <v/>
      </c>
      <c r="S196" s="33" t="n"/>
      <c r="T196" s="18" t="n"/>
      <c r="U196" s="18" t="n"/>
      <c r="V196" s="21">
        <f>IF(U196="","",IF(COUNTIFS('紐付け'!$A$4:$A$200,U196,'紐付け'!$C$4:$C$200,C196)=0,"紐付けにない組み合わせ",IFERROR(INDEX('予算一覧'!$B:$B,MATCH(U196,'予算一覧'!$A:$A,0)),"案件が未登録")))</f>
        <v/>
      </c>
      <c r="W196" s="33" t="n"/>
    </row>
    <row r="197">
      <c r="A197" s="18" t="n"/>
      <c r="B197" s="18" t="n"/>
      <c r="C197" s="18" t="n"/>
      <c r="D197" s="21">
        <f>IF(C197="","",IFERROR(INDEX('システム'!$B:$B,MATCH(C197,'システム'!$A:$A,0)),"システムが未登録"))</f>
        <v/>
      </c>
      <c r="E197" s="18" t="n"/>
      <c r="F197" s="21">
        <f>IF(E197="","",IFERROR(INDEX('選択肢'!$L$5:$L$14,MATCH(E197,'選択肢'!$K$5:$K$14,0)),"選択肢にない種類"))</f>
        <v/>
      </c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21">
        <f>IF(A197="","",IF(F197="直接業務","—",IF(J197&lt;&gt;"済","判定保留",IF(OR(O197="",K197="",L197="",M197="",K197="未確認",L197="未確認"),"判定保留",IF(AND(K197="はい",M197="無"),"入力エラー（GxP対象でSOP無）",IFERROR(INDEX('判定表'!$D:$D,MATCH("W|"&amp;O197&amp;"|"&amp;IF(OR(K197="はい",L197="はい",M197="無"),"あり","なし"),'判定表'!$A:$A,0)),"判定表にない組み合わせ"))))))</f>
        <v/>
      </c>
      <c r="Q197" s="21">
        <f>IF(A197="","",IF(C197="","対象外",IF(F197="直接業務","対象外",IF(OR(F197&lt;&gt;"間接業務",COUNTIF('システム'!$A$4:$A$200,C197)=0,U197="",V197="紐付けにない組み合わせ",V197="案件が未登録"),"判定保留","移管"))))</f>
        <v/>
      </c>
      <c r="R197" s="21">
        <f>IF(A197="","",IF(Q197&lt;&gt;"移管","—",IF(O197="","判定保留",IFERROR(INDEX('判定表'!$E:$E,MATCH("W|"&amp;O197&amp;"|なし",'判定表'!$A:$A,0)),"判定表にない回答"))))</f>
        <v/>
      </c>
      <c r="S197" s="33" t="n"/>
      <c r="T197" s="18" t="n"/>
      <c r="U197" s="18" t="n"/>
      <c r="V197" s="21">
        <f>IF(U197="","",IF(COUNTIFS('紐付け'!$A$4:$A$200,U197,'紐付け'!$C$4:$C$200,C197)=0,"紐付けにない組み合わせ",IFERROR(INDEX('予算一覧'!$B:$B,MATCH(U197,'予算一覧'!$A:$A,0)),"案件が未登録")))</f>
        <v/>
      </c>
      <c r="W197" s="33" t="n"/>
    </row>
    <row r="198">
      <c r="A198" s="18" t="n"/>
      <c r="B198" s="18" t="n"/>
      <c r="C198" s="18" t="n"/>
      <c r="D198" s="21">
        <f>IF(C198="","",IFERROR(INDEX('システム'!$B:$B,MATCH(C198,'システム'!$A:$A,0)),"システムが未登録"))</f>
        <v/>
      </c>
      <c r="E198" s="18" t="n"/>
      <c r="F198" s="21">
        <f>IF(E198="","",IFERROR(INDEX('選択肢'!$L$5:$L$14,MATCH(E198,'選択肢'!$K$5:$K$14,0)),"選択肢にない種類"))</f>
        <v/>
      </c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21">
        <f>IF(A198="","",IF(F198="直接業務","—",IF(J198&lt;&gt;"済","判定保留",IF(OR(O198="",K198="",L198="",M198="",K198="未確認",L198="未確認"),"判定保留",IF(AND(K198="はい",M198="無"),"入力エラー（GxP対象でSOP無）",IFERROR(INDEX('判定表'!$D:$D,MATCH("W|"&amp;O198&amp;"|"&amp;IF(OR(K198="はい",L198="はい",M198="無"),"あり","なし"),'判定表'!$A:$A,0)),"判定表にない組み合わせ"))))))</f>
        <v/>
      </c>
      <c r="Q198" s="21">
        <f>IF(A198="","",IF(C198="","対象外",IF(F198="直接業務","対象外",IF(OR(F198&lt;&gt;"間接業務",COUNTIF('システム'!$A$4:$A$200,C198)=0,U198="",V198="紐付けにない組み合わせ",V198="案件が未登録"),"判定保留","移管"))))</f>
        <v/>
      </c>
      <c r="R198" s="21">
        <f>IF(A198="","",IF(Q198&lt;&gt;"移管","—",IF(O198="","判定保留",IFERROR(INDEX('判定表'!$E:$E,MATCH("W|"&amp;O198&amp;"|なし",'判定表'!$A:$A,0)),"判定表にない回答"))))</f>
        <v/>
      </c>
      <c r="S198" s="33" t="n"/>
      <c r="T198" s="18" t="n"/>
      <c r="U198" s="18" t="n"/>
      <c r="V198" s="21">
        <f>IF(U198="","",IF(COUNTIFS('紐付け'!$A$4:$A$200,U198,'紐付け'!$C$4:$C$200,C198)=0,"紐付けにない組み合わせ",IFERROR(INDEX('予算一覧'!$B:$B,MATCH(U198,'予算一覧'!$A:$A,0)),"案件が未登録")))</f>
        <v/>
      </c>
      <c r="W198" s="33" t="n"/>
    </row>
    <row r="199">
      <c r="A199" s="18" t="n"/>
      <c r="B199" s="18" t="n"/>
      <c r="C199" s="18" t="n"/>
      <c r="D199" s="21">
        <f>IF(C199="","",IFERROR(INDEX('システム'!$B:$B,MATCH(C199,'システム'!$A:$A,0)),"システムが未登録"))</f>
        <v/>
      </c>
      <c r="E199" s="18" t="n"/>
      <c r="F199" s="21">
        <f>IF(E199="","",IFERROR(INDEX('選択肢'!$L$5:$L$14,MATCH(E199,'選択肢'!$K$5:$K$14,0)),"選択肢にない種類"))</f>
        <v/>
      </c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21">
        <f>IF(A199="","",IF(F199="直接業務","—",IF(J199&lt;&gt;"済","判定保留",IF(OR(O199="",K199="",L199="",M199="",K199="未確認",L199="未確認"),"判定保留",IF(AND(K199="はい",M199="無"),"入力エラー（GxP対象でSOP無）",IFERROR(INDEX('判定表'!$D:$D,MATCH("W|"&amp;O199&amp;"|"&amp;IF(OR(K199="はい",L199="はい",M199="無"),"あり","なし"),'判定表'!$A:$A,0)),"判定表にない組み合わせ"))))))</f>
        <v/>
      </c>
      <c r="Q199" s="21">
        <f>IF(A199="","",IF(C199="","対象外",IF(F199="直接業務","対象外",IF(OR(F199&lt;&gt;"間接業務",COUNTIF('システム'!$A$4:$A$200,C199)=0,U199="",V199="紐付けにない組み合わせ",V199="案件が未登録"),"判定保留","移管"))))</f>
        <v/>
      </c>
      <c r="R199" s="21">
        <f>IF(A199="","",IF(Q199&lt;&gt;"移管","—",IF(O199="","判定保留",IFERROR(INDEX('判定表'!$E:$E,MATCH("W|"&amp;O199&amp;"|なし",'判定表'!$A:$A,0)),"判定表にない回答"))))</f>
        <v/>
      </c>
      <c r="S199" s="33" t="n"/>
      <c r="T199" s="18" t="n"/>
      <c r="U199" s="18" t="n"/>
      <c r="V199" s="21">
        <f>IF(U199="","",IF(COUNTIFS('紐付け'!$A$4:$A$200,U199,'紐付け'!$C$4:$C$200,C199)=0,"紐付けにない組み合わせ",IFERROR(INDEX('予算一覧'!$B:$B,MATCH(U199,'予算一覧'!$A:$A,0)),"案件が未登録")))</f>
        <v/>
      </c>
      <c r="W199" s="33" t="n"/>
    </row>
    <row r="200">
      <c r="A200" s="18" t="n"/>
      <c r="B200" s="18" t="n"/>
      <c r="C200" s="18" t="n"/>
      <c r="D200" s="21">
        <f>IF(C200="","",IFERROR(INDEX('システム'!$B:$B,MATCH(C200,'システム'!$A:$A,0)),"システムが未登録"))</f>
        <v/>
      </c>
      <c r="E200" s="18" t="n"/>
      <c r="F200" s="21">
        <f>IF(E200="","",IFERROR(INDEX('選択肢'!$L$5:$L$14,MATCH(E200,'選択肢'!$K$5:$K$14,0)),"選択肢にない種類"))</f>
        <v/>
      </c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21">
        <f>IF(A200="","",IF(F200="直接業務","—",IF(J200&lt;&gt;"済","判定保留",IF(OR(O200="",K200="",L200="",M200="",K200="未確認",L200="未確認"),"判定保留",IF(AND(K200="はい",M200="無"),"入力エラー（GxP対象でSOP無）",IFERROR(INDEX('判定表'!$D:$D,MATCH("W|"&amp;O200&amp;"|"&amp;IF(OR(K200="はい",L200="はい",M200="無"),"あり","なし"),'判定表'!$A:$A,0)),"判定表にない組み合わせ"))))))</f>
        <v/>
      </c>
      <c r="Q200" s="21">
        <f>IF(A200="","",IF(C200="","対象外",IF(F200="直接業務","対象外",IF(OR(F200&lt;&gt;"間接業務",COUNTIF('システム'!$A$4:$A$200,C200)=0,U200="",V200="紐付けにない組み合わせ",V200="案件が未登録"),"判定保留","移管"))))</f>
        <v/>
      </c>
      <c r="R200" s="21">
        <f>IF(A200="","",IF(Q200&lt;&gt;"移管","—",IF(O200="","判定保留",IFERROR(INDEX('判定表'!$E:$E,MATCH("W|"&amp;O200&amp;"|なし",'判定表'!$A:$A,0)),"判定表にない回答"))))</f>
        <v/>
      </c>
      <c r="S200" s="33" t="n"/>
      <c r="T200" s="18" t="n"/>
      <c r="U200" s="18" t="n"/>
      <c r="V200" s="21">
        <f>IF(U200="","",IF(COUNTIFS('紐付け'!$A$4:$A$200,U200,'紐付け'!$C$4:$C$200,C200)=0,"紐付けにない組み合わせ",IFERROR(INDEX('予算一覧'!$B:$B,MATCH(U200,'予算一覧'!$A:$A,0)),"案件が未登録")))</f>
        <v/>
      </c>
      <c r="W200" s="33" t="n"/>
    </row>
  </sheetData>
  <dataValidations count="10">
    <dataValidation sqref="E4:E200" showDropDown="0" showInputMessage="0" showErrorMessage="0" allowBlank="1" type="list">
      <formula1>'選択肢'!$K$5:$K$14</formula1>
    </dataValidation>
    <dataValidation sqref="G4:G200" showDropDown="0" showInputMessage="0" showErrorMessage="0" allowBlank="1" type="list">
      <formula1>'選択肢'!$M$5:$M$14</formula1>
    </dataValidation>
    <dataValidation sqref="H4:H200" showDropDown="0" showInputMessage="0" showErrorMessage="0" allowBlank="1" type="list">
      <formula1>'選択肢'!$O$5:$O$14</formula1>
    </dataValidation>
    <dataValidation sqref="J4:J200" showDropDown="0" showInputMessage="0" showErrorMessage="0" allowBlank="1" type="list">
      <formula1>'選択肢'!$Q$5:$Q$14</formula1>
    </dataValidation>
    <dataValidation sqref="M4:M200" showDropDown="0" showInputMessage="0" showErrorMessage="0" allowBlank="1" type="list">
      <formula1>'選択肢'!$G$5:$G$14</formula1>
    </dataValidation>
    <dataValidation sqref="O4:O200" showDropDown="0" showInputMessage="0" showErrorMessage="0" allowBlank="1" type="list">
      <formula1>'選択肢'!$W$5:$W$14</formula1>
    </dataValidation>
    <dataValidation sqref="K4:L200" showDropDown="0" showInputMessage="0" showErrorMessage="0" allowBlank="1" type="list">
      <formula1>'選択肢'!$E$5:$E$14</formula1>
    </dataValidation>
    <dataValidation sqref="C4:C200" showDropDown="0" showInputMessage="0" showErrorMessage="0" allowBlank="1" type="list">
      <formula1>'システム'!$A$4:$A$200</formula1>
    </dataValidation>
    <dataValidation sqref="N4:N200" showDropDown="0" showInputMessage="0" showErrorMessage="0" allowBlank="1" type="list">
      <formula1>'契約'!$A$4:$A$200</formula1>
    </dataValidation>
    <dataValidation sqref="U4:U200" showDropDown="0" showInputMessage="0" showErrorMessage="0" allowBlank="1" type="list">
      <formula1>'予算一覧'!$A$5:$A$200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26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9" customWidth="1" min="10" max="10"/>
    <col width="10" customWidth="1" min="11" max="11"/>
    <col width="12" customWidth="1" min="12" max="12"/>
    <col width="14" customWidth="1" min="13" max="13"/>
    <col width="12" customWidth="1" min="14" max="14"/>
    <col width="13" customWidth="1" min="15" max="15"/>
    <col width="16" customWidth="1" min="16" max="16"/>
    <col width="34" customWidth="1" min="17" max="17"/>
  </cols>
  <sheetData>
    <row r="1">
      <c r="A1" s="1" t="inlineStr">
        <is>
          <t>契約（移管の対象と時期）</t>
        </is>
      </c>
    </row>
    <row r="2">
      <c r="A2" s="2" t="inlineStr">
        <is>
          <t>1行＝1契約。案件IDは予算一覧の案件IDを選ぶ。システム関連の案件の契約はすべて移管、そうでない案件と、継続している投資案件の契約は対象外。契約に基づく間接業務はIT部門に移る。紐づく業務数が0件なら、業務シートの関連契約IDの漏れを確認する。移管の時点では契約について手続きを行わない（名義変更は不要）。灰色の列は数式。薄い色の行は記入例。 1つの契約を複数の案件の予算から払う場合は、案件ごとに行を分け、契約IDに枝番を付ける（例: CT-2201-1）。年間契約金額はその案件が払う分。</t>
        </is>
      </c>
    </row>
    <row r="3" ht="34" customHeight="1">
      <c r="A3" s="12" t="inlineStr">
        <is>
          <t>契約ID</t>
        </is>
      </c>
      <c r="B3" s="12" t="inlineStr">
        <is>
          <t>契約名</t>
        </is>
      </c>
      <c r="C3" s="12" t="inlineStr">
        <is>
          <t>案件ID</t>
        </is>
      </c>
      <c r="D3" s="12" t="inlineStr">
        <is>
          <t>案件名（自動）</t>
        </is>
      </c>
      <c r="E3" s="12" t="inlineStr">
        <is>
          <t>相手先</t>
        </is>
      </c>
      <c r="F3" s="12" t="inlineStr">
        <is>
          <t>契約種別</t>
        </is>
      </c>
      <c r="G3" s="12" t="inlineStr">
        <is>
          <t>契約名義（部門）</t>
        </is>
      </c>
      <c r="H3" s="12" t="inlineStr">
        <is>
          <t>契約開始日</t>
        </is>
      </c>
      <c r="I3" s="12" t="inlineStr">
        <is>
          <t>契約満了日</t>
        </is>
      </c>
      <c r="J3" s="12" t="inlineStr">
        <is>
          <t>自動更新</t>
        </is>
      </c>
      <c r="K3" s="12" t="inlineStr">
        <is>
          <t>解約予告（か月）</t>
        </is>
      </c>
      <c r="L3" s="12" t="inlineStr">
        <is>
          <t>通知期限（自動）</t>
        </is>
      </c>
      <c r="M3" s="12" t="inlineStr">
        <is>
          <t>年間契約金額</t>
        </is>
      </c>
      <c r="N3" s="12" t="inlineStr">
        <is>
          <t>紐づく業務数（自動）</t>
        </is>
      </c>
      <c r="O3" s="12" t="inlineStr">
        <is>
          <t>契約移管判定（自動）</t>
        </is>
      </c>
      <c r="P3" s="12" t="n"/>
      <c r="Q3" s="12" t="n"/>
    </row>
    <row r="4">
      <c r="A4" s="13" t="inlineStr">
        <is>
          <t>CT-2201</t>
        </is>
      </c>
      <c r="B4" s="13" t="inlineStr">
        <is>
          <t>クラウド利用・運用委託契約</t>
        </is>
      </c>
      <c r="C4" s="13" t="inlineStr">
        <is>
          <t>BUD-001</t>
        </is>
      </c>
      <c r="D4" s="16">
        <f>IF(C4="","",IFERROR(INDEX('予算一覧'!$B:$B,MATCH(C4,'予算一覧'!$A:$A,0)),"案件が未登録"))</f>
        <v/>
      </c>
      <c r="E4" s="13" t="inlineStr">
        <is>
          <t>A社</t>
        </is>
      </c>
      <c r="F4" s="13" t="inlineStr">
        <is>
          <t>準委任</t>
        </is>
      </c>
      <c r="G4" s="13" t="inlineStr">
        <is>
          <t>研究本部</t>
        </is>
      </c>
      <c r="H4" s="32" t="n">
        <v>45748</v>
      </c>
      <c r="I4" s="32" t="n">
        <v>46477</v>
      </c>
      <c r="J4" s="13" t="inlineStr">
        <is>
          <t>有</t>
        </is>
      </c>
      <c r="K4" s="13" t="n">
        <v>3</v>
      </c>
      <c r="L4" s="34">
        <f>IF(OR(I4="",K4=""),"",EDATE(I4,-K4))</f>
        <v/>
      </c>
      <c r="M4" s="14" t="n">
        <v>15000000</v>
      </c>
      <c r="N4" s="16">
        <f>IF(A4="","",COUNTIF('業務'!$N$4:$N$200,A4))</f>
        <v/>
      </c>
      <c r="O4" s="16">
        <f>IF(A4="","",IF(COUNTIF('予算一覧'!$A$5:$A$200,C4)=0,"判定保留",IF(AND(INDEX('予算一覧'!$AH$5:$AH$200,MATCH(C4,'予算一覧'!$A$5:$A$200,0))="投資予算",INDEX('予算一覧'!$AZ$5:$AZ$200,MATCH(C4,'予算一覧'!$A$5:$A$200,0))="継続"),"対象外",IF(INDEX('予算一覧'!$AJ$5:$AJ$200,MATCH(C4,'予算一覧'!$A$5:$A$200,0))="はい","移管",IF(INDEX('予算一覧'!$AJ$5:$AJ$200,MATCH(C4,'予算一覧'!$A$5:$A$200,0))="いいえ","対象外","判定保留")))))</f>
        <v/>
      </c>
      <c r="P4" s="32" t="n"/>
      <c r="Q4" s="13" t="n"/>
    </row>
    <row r="5">
      <c r="A5" s="13" t="inlineStr">
        <is>
          <t>CT-1187</t>
        </is>
      </c>
      <c r="B5" s="13" t="inlineStr">
        <is>
          <t>eDMS保守契約</t>
        </is>
      </c>
      <c r="C5" s="13" t="inlineStr">
        <is>
          <t>BUD-002</t>
        </is>
      </c>
      <c r="D5" s="16">
        <f>IF(C5="","",IFERROR(INDEX('予算一覧'!$B:$B,MATCH(C5,'予算一覧'!$A:$A,0)),"案件が未登録"))</f>
        <v/>
      </c>
      <c r="E5" s="13" t="inlineStr">
        <is>
          <t>B社</t>
        </is>
      </c>
      <c r="F5" s="13" t="inlineStr">
        <is>
          <t>保守</t>
        </is>
      </c>
      <c r="G5" s="13" t="inlineStr">
        <is>
          <t>品質保証部</t>
        </is>
      </c>
      <c r="H5" s="32" t="n">
        <v>45383</v>
      </c>
      <c r="I5" s="32" t="n">
        <v>46843</v>
      </c>
      <c r="J5" s="13" t="inlineStr">
        <is>
          <t>有</t>
        </is>
      </c>
      <c r="K5" s="13" t="n">
        <v>6</v>
      </c>
      <c r="L5" s="34">
        <f>IF(OR(I5="",K5=""),"",EDATE(I5,-K5))</f>
        <v/>
      </c>
      <c r="M5" s="14" t="n">
        <v>80000000</v>
      </c>
      <c r="N5" s="16">
        <f>IF(A5="","",COUNTIF('業務'!$N$4:$N$200,A5))</f>
        <v/>
      </c>
      <c r="O5" s="16">
        <f>IF(A5="","",IF(COUNTIF('予算一覧'!$A$5:$A$200,C5)=0,"判定保留",IF(AND(INDEX('予算一覧'!$AH$5:$AH$200,MATCH(C5,'予算一覧'!$A$5:$A$200,0))="投資予算",INDEX('予算一覧'!$AZ$5:$AZ$200,MATCH(C5,'予算一覧'!$A$5:$A$200,0))="継続"),"対象外",IF(INDEX('予算一覧'!$AJ$5:$AJ$200,MATCH(C5,'予算一覧'!$A$5:$A$200,0))="はい","移管",IF(INDEX('予算一覧'!$AJ$5:$AJ$200,MATCH(C5,'予算一覧'!$A$5:$A$200,0))="いいえ","対象外","判定保留")))))</f>
        <v/>
      </c>
      <c r="P5" s="32" t="n"/>
      <c r="Q5" s="13" t="n"/>
    </row>
    <row r="6">
      <c r="A6" s="13" t="inlineStr">
        <is>
          <t>CT-2310</t>
        </is>
      </c>
      <c r="B6" s="13" t="inlineStr">
        <is>
          <t>集計ツール改修（請負）</t>
        </is>
      </c>
      <c r="C6" s="13" t="inlineStr">
        <is>
          <t>BUD-003</t>
        </is>
      </c>
      <c r="D6" s="16">
        <f>IF(C6="","",IFERROR(INDEX('予算一覧'!$B:$B,MATCH(C6,'予算一覧'!$A:$A,0)),"案件が未登録"))</f>
        <v/>
      </c>
      <c r="E6" s="13" t="inlineStr">
        <is>
          <t>C社</t>
        </is>
      </c>
      <c r="F6" s="13" t="inlineStr">
        <is>
          <t>請負</t>
        </is>
      </c>
      <c r="G6" s="13" t="inlineStr">
        <is>
          <t>研究本部</t>
        </is>
      </c>
      <c r="H6" s="32" t="n">
        <v>46296</v>
      </c>
      <c r="I6" s="32" t="n">
        <v>46660</v>
      </c>
      <c r="J6" s="13" t="inlineStr">
        <is>
          <t>無</t>
        </is>
      </c>
      <c r="K6" s="13" t="n">
        <v>0</v>
      </c>
      <c r="L6" s="34">
        <f>IF(OR(I6="",K6=""),"",EDATE(I6,-K6))</f>
        <v/>
      </c>
      <c r="M6" s="14" t="n">
        <v>6000000</v>
      </c>
      <c r="N6" s="16">
        <f>IF(A6="","",COUNTIF('業務'!$N$4:$N$200,A6))</f>
        <v/>
      </c>
      <c r="O6" s="16">
        <f>IF(A6="","",IF(COUNTIF('予算一覧'!$A$5:$A$200,C6)=0,"判定保留",IF(AND(INDEX('予算一覧'!$AH$5:$AH$200,MATCH(C6,'予算一覧'!$A$5:$A$200,0))="投資予算",INDEX('予算一覧'!$AZ$5:$AZ$200,MATCH(C6,'予算一覧'!$A$5:$A$200,0))="継続"),"対象外",IF(INDEX('予算一覧'!$AJ$5:$AJ$200,MATCH(C6,'予算一覧'!$A$5:$A$200,0))="はい","移管",IF(INDEX('予算一覧'!$AJ$5:$AJ$200,MATCH(C6,'予算一覧'!$A$5:$A$200,0))="いいえ","対象外","判定保留")))))</f>
        <v/>
      </c>
      <c r="P6" s="32" t="n"/>
      <c r="Q6" s="13" t="n"/>
    </row>
    <row r="7">
      <c r="A7" s="18" t="n"/>
      <c r="B7" s="18" t="n"/>
      <c r="C7" s="18" t="n"/>
      <c r="D7" s="21">
        <f>IF(C7="","",IFERROR(INDEX('予算一覧'!$B:$B,MATCH(C7,'予算一覧'!$A:$A,0)),"案件が未登録"))</f>
        <v/>
      </c>
      <c r="E7" s="18" t="n"/>
      <c r="F7" s="18" t="n"/>
      <c r="G7" s="18" t="n"/>
      <c r="H7" s="33" t="n"/>
      <c r="I7" s="33" t="n"/>
      <c r="J7" s="18" t="n"/>
      <c r="K7" s="18" t="n"/>
      <c r="L7" s="35">
        <f>IF(OR(I7="",K7=""),"",EDATE(I7,-K7))</f>
        <v/>
      </c>
      <c r="M7" s="19" t="n"/>
      <c r="N7" s="21">
        <f>IF(A7="","",COUNTIF('業務'!$N$4:$N$200,A7))</f>
        <v/>
      </c>
      <c r="O7" s="21">
        <f>IF(A7="","",IF(COUNTIF('予算一覧'!$A$5:$A$200,C7)=0,"判定保留",IF(AND(INDEX('予算一覧'!$AH$5:$AH$200,MATCH(C7,'予算一覧'!$A$5:$A$200,0))="投資予算",INDEX('予算一覧'!$AZ$5:$AZ$200,MATCH(C7,'予算一覧'!$A$5:$A$200,0))="継続"),"対象外",IF(INDEX('予算一覧'!$AJ$5:$AJ$200,MATCH(C7,'予算一覧'!$A$5:$A$200,0))="はい","移管",IF(INDEX('予算一覧'!$AJ$5:$AJ$200,MATCH(C7,'予算一覧'!$A$5:$A$200,0))="いいえ","対象外","判定保留")))))</f>
        <v/>
      </c>
      <c r="P7" s="33" t="n"/>
      <c r="Q7" s="18" t="n"/>
    </row>
    <row r="8">
      <c r="A8" s="18" t="n"/>
      <c r="B8" s="18" t="n"/>
      <c r="C8" s="18" t="n"/>
      <c r="D8" s="21">
        <f>IF(C8="","",IFERROR(INDEX('予算一覧'!$B:$B,MATCH(C8,'予算一覧'!$A:$A,0)),"案件が未登録"))</f>
        <v/>
      </c>
      <c r="E8" s="18" t="n"/>
      <c r="F8" s="18" t="n"/>
      <c r="G8" s="18" t="n"/>
      <c r="H8" s="33" t="n"/>
      <c r="I8" s="33" t="n"/>
      <c r="J8" s="18" t="n"/>
      <c r="K8" s="18" t="n"/>
      <c r="L8" s="35">
        <f>IF(OR(I8="",K8=""),"",EDATE(I8,-K8))</f>
        <v/>
      </c>
      <c r="M8" s="19" t="n"/>
      <c r="N8" s="21">
        <f>IF(A8="","",COUNTIF('業務'!$N$4:$N$200,A8))</f>
        <v/>
      </c>
      <c r="O8" s="21">
        <f>IF(A8="","",IF(COUNTIF('予算一覧'!$A$5:$A$200,C8)=0,"判定保留",IF(AND(INDEX('予算一覧'!$AH$5:$AH$200,MATCH(C8,'予算一覧'!$A$5:$A$200,0))="投資予算",INDEX('予算一覧'!$AZ$5:$AZ$200,MATCH(C8,'予算一覧'!$A$5:$A$200,0))="継続"),"対象外",IF(INDEX('予算一覧'!$AJ$5:$AJ$200,MATCH(C8,'予算一覧'!$A$5:$A$200,0))="はい","移管",IF(INDEX('予算一覧'!$AJ$5:$AJ$200,MATCH(C8,'予算一覧'!$A$5:$A$200,0))="いいえ","対象外","判定保留")))))</f>
        <v/>
      </c>
      <c r="P8" s="33" t="n"/>
      <c r="Q8" s="18" t="n"/>
    </row>
    <row r="9">
      <c r="A9" s="18" t="n"/>
      <c r="B9" s="18" t="n"/>
      <c r="C9" s="18" t="n"/>
      <c r="D9" s="21">
        <f>IF(C9="","",IFERROR(INDEX('予算一覧'!$B:$B,MATCH(C9,'予算一覧'!$A:$A,0)),"案件が未登録"))</f>
        <v/>
      </c>
      <c r="E9" s="18" t="n"/>
      <c r="F9" s="18" t="n"/>
      <c r="G9" s="18" t="n"/>
      <c r="H9" s="33" t="n"/>
      <c r="I9" s="33" t="n"/>
      <c r="J9" s="18" t="n"/>
      <c r="K9" s="18" t="n"/>
      <c r="L9" s="35">
        <f>IF(OR(I9="",K9=""),"",EDATE(I9,-K9))</f>
        <v/>
      </c>
      <c r="M9" s="19" t="n"/>
      <c r="N9" s="21">
        <f>IF(A9="","",COUNTIF('業務'!$N$4:$N$200,A9))</f>
        <v/>
      </c>
      <c r="O9" s="21">
        <f>IF(A9="","",IF(COUNTIF('予算一覧'!$A$5:$A$200,C9)=0,"判定保留",IF(AND(INDEX('予算一覧'!$AH$5:$AH$200,MATCH(C9,'予算一覧'!$A$5:$A$200,0))="投資予算",INDEX('予算一覧'!$AZ$5:$AZ$200,MATCH(C9,'予算一覧'!$A$5:$A$200,0))="継続"),"対象外",IF(INDEX('予算一覧'!$AJ$5:$AJ$200,MATCH(C9,'予算一覧'!$A$5:$A$200,0))="はい","移管",IF(INDEX('予算一覧'!$AJ$5:$AJ$200,MATCH(C9,'予算一覧'!$A$5:$A$200,0))="いいえ","対象外","判定保留")))))</f>
        <v/>
      </c>
      <c r="P9" s="33" t="n"/>
      <c r="Q9" s="18" t="n"/>
    </row>
    <row r="10">
      <c r="A10" s="18" t="n"/>
      <c r="B10" s="18" t="n"/>
      <c r="C10" s="18" t="n"/>
      <c r="D10" s="21">
        <f>IF(C10="","",IFERROR(INDEX('予算一覧'!$B:$B,MATCH(C10,'予算一覧'!$A:$A,0)),"案件が未登録"))</f>
        <v/>
      </c>
      <c r="E10" s="18" t="n"/>
      <c r="F10" s="18" t="n"/>
      <c r="G10" s="18" t="n"/>
      <c r="H10" s="33" t="n"/>
      <c r="I10" s="33" t="n"/>
      <c r="J10" s="18" t="n"/>
      <c r="K10" s="18" t="n"/>
      <c r="L10" s="35">
        <f>IF(OR(I10="",K10=""),"",EDATE(I10,-K10))</f>
        <v/>
      </c>
      <c r="M10" s="19" t="n"/>
      <c r="N10" s="21">
        <f>IF(A10="","",COUNTIF('業務'!$N$4:$N$200,A10))</f>
        <v/>
      </c>
      <c r="O10" s="21">
        <f>IF(A10="","",IF(COUNTIF('予算一覧'!$A$5:$A$200,C10)=0,"判定保留",IF(AND(INDEX('予算一覧'!$AH$5:$AH$200,MATCH(C10,'予算一覧'!$A$5:$A$200,0))="投資予算",INDEX('予算一覧'!$AZ$5:$AZ$200,MATCH(C10,'予算一覧'!$A$5:$A$200,0))="継続"),"対象外",IF(INDEX('予算一覧'!$AJ$5:$AJ$200,MATCH(C10,'予算一覧'!$A$5:$A$200,0))="はい","移管",IF(INDEX('予算一覧'!$AJ$5:$AJ$200,MATCH(C10,'予算一覧'!$A$5:$A$200,0))="いいえ","対象外","判定保留")))))</f>
        <v/>
      </c>
      <c r="P10" s="33" t="n"/>
      <c r="Q10" s="18" t="n"/>
    </row>
    <row r="11">
      <c r="A11" s="18" t="n"/>
      <c r="B11" s="18" t="n"/>
      <c r="C11" s="18" t="n"/>
      <c r="D11" s="21">
        <f>IF(C11="","",IFERROR(INDEX('予算一覧'!$B:$B,MATCH(C11,'予算一覧'!$A:$A,0)),"案件が未登録"))</f>
        <v/>
      </c>
      <c r="E11" s="18" t="n"/>
      <c r="F11" s="18" t="n"/>
      <c r="G11" s="18" t="n"/>
      <c r="H11" s="33" t="n"/>
      <c r="I11" s="33" t="n"/>
      <c r="J11" s="18" t="n"/>
      <c r="K11" s="18" t="n"/>
      <c r="L11" s="35">
        <f>IF(OR(I11="",K11=""),"",EDATE(I11,-K11))</f>
        <v/>
      </c>
      <c r="M11" s="19" t="n"/>
      <c r="N11" s="21">
        <f>IF(A11="","",COUNTIF('業務'!$N$4:$N$200,A11))</f>
        <v/>
      </c>
      <c r="O11" s="21">
        <f>IF(A11="","",IF(COUNTIF('予算一覧'!$A$5:$A$200,C11)=0,"判定保留",IF(AND(INDEX('予算一覧'!$AH$5:$AH$200,MATCH(C11,'予算一覧'!$A$5:$A$200,0))="投資予算",INDEX('予算一覧'!$AZ$5:$AZ$200,MATCH(C11,'予算一覧'!$A$5:$A$200,0))="継続"),"対象外",IF(INDEX('予算一覧'!$AJ$5:$AJ$200,MATCH(C11,'予算一覧'!$A$5:$A$200,0))="はい","移管",IF(INDEX('予算一覧'!$AJ$5:$AJ$200,MATCH(C11,'予算一覧'!$A$5:$A$200,0))="いいえ","対象外","判定保留")))))</f>
        <v/>
      </c>
      <c r="P11" s="33" t="n"/>
      <c r="Q11" s="18" t="n"/>
    </row>
    <row r="12">
      <c r="A12" s="18" t="n"/>
      <c r="B12" s="18" t="n"/>
      <c r="C12" s="18" t="n"/>
      <c r="D12" s="21">
        <f>IF(C12="","",IFERROR(INDEX('予算一覧'!$B:$B,MATCH(C12,'予算一覧'!$A:$A,0)),"案件が未登録"))</f>
        <v/>
      </c>
      <c r="E12" s="18" t="n"/>
      <c r="F12" s="18" t="n"/>
      <c r="G12" s="18" t="n"/>
      <c r="H12" s="33" t="n"/>
      <c r="I12" s="33" t="n"/>
      <c r="J12" s="18" t="n"/>
      <c r="K12" s="18" t="n"/>
      <c r="L12" s="35">
        <f>IF(OR(I12="",K12=""),"",EDATE(I12,-K12))</f>
        <v/>
      </c>
      <c r="M12" s="19" t="n"/>
      <c r="N12" s="21">
        <f>IF(A12="","",COUNTIF('業務'!$N$4:$N$200,A12))</f>
        <v/>
      </c>
      <c r="O12" s="21">
        <f>IF(A12="","",IF(COUNTIF('予算一覧'!$A$5:$A$200,C12)=0,"判定保留",IF(AND(INDEX('予算一覧'!$AH$5:$AH$200,MATCH(C12,'予算一覧'!$A$5:$A$200,0))="投資予算",INDEX('予算一覧'!$AZ$5:$AZ$200,MATCH(C12,'予算一覧'!$A$5:$A$200,0))="継続"),"対象外",IF(INDEX('予算一覧'!$AJ$5:$AJ$200,MATCH(C12,'予算一覧'!$A$5:$A$200,0))="はい","移管",IF(INDEX('予算一覧'!$AJ$5:$AJ$200,MATCH(C12,'予算一覧'!$A$5:$A$200,0))="いいえ","対象外","判定保留")))))</f>
        <v/>
      </c>
      <c r="P12" s="33" t="n"/>
      <c r="Q12" s="18" t="n"/>
    </row>
    <row r="13">
      <c r="A13" s="18" t="n"/>
      <c r="B13" s="18" t="n"/>
      <c r="C13" s="18" t="n"/>
      <c r="D13" s="21">
        <f>IF(C13="","",IFERROR(INDEX('予算一覧'!$B:$B,MATCH(C13,'予算一覧'!$A:$A,0)),"案件が未登録"))</f>
        <v/>
      </c>
      <c r="E13" s="18" t="n"/>
      <c r="F13" s="18" t="n"/>
      <c r="G13" s="18" t="n"/>
      <c r="H13" s="33" t="n"/>
      <c r="I13" s="33" t="n"/>
      <c r="J13" s="18" t="n"/>
      <c r="K13" s="18" t="n"/>
      <c r="L13" s="35">
        <f>IF(OR(I13="",K13=""),"",EDATE(I13,-K13))</f>
        <v/>
      </c>
      <c r="M13" s="19" t="n"/>
      <c r="N13" s="21">
        <f>IF(A13="","",COUNTIF('業務'!$N$4:$N$200,A13))</f>
        <v/>
      </c>
      <c r="O13" s="21">
        <f>IF(A13="","",IF(COUNTIF('予算一覧'!$A$5:$A$200,C13)=0,"判定保留",IF(AND(INDEX('予算一覧'!$AH$5:$AH$200,MATCH(C13,'予算一覧'!$A$5:$A$200,0))="投資予算",INDEX('予算一覧'!$AZ$5:$AZ$200,MATCH(C13,'予算一覧'!$A$5:$A$200,0))="継続"),"対象外",IF(INDEX('予算一覧'!$AJ$5:$AJ$200,MATCH(C13,'予算一覧'!$A$5:$A$200,0))="はい","移管",IF(INDEX('予算一覧'!$AJ$5:$AJ$200,MATCH(C13,'予算一覧'!$A$5:$A$200,0))="いいえ","対象外","判定保留")))))</f>
        <v/>
      </c>
      <c r="P13" s="33" t="n"/>
      <c r="Q13" s="18" t="n"/>
    </row>
    <row r="14">
      <c r="A14" s="18" t="n"/>
      <c r="B14" s="18" t="n"/>
      <c r="C14" s="18" t="n"/>
      <c r="D14" s="21">
        <f>IF(C14="","",IFERROR(INDEX('予算一覧'!$B:$B,MATCH(C14,'予算一覧'!$A:$A,0)),"案件が未登録"))</f>
        <v/>
      </c>
      <c r="E14" s="18" t="n"/>
      <c r="F14" s="18" t="n"/>
      <c r="G14" s="18" t="n"/>
      <c r="H14" s="33" t="n"/>
      <c r="I14" s="33" t="n"/>
      <c r="J14" s="18" t="n"/>
      <c r="K14" s="18" t="n"/>
      <c r="L14" s="35">
        <f>IF(OR(I14="",K14=""),"",EDATE(I14,-K14))</f>
        <v/>
      </c>
      <c r="M14" s="19" t="n"/>
      <c r="N14" s="21">
        <f>IF(A14="","",COUNTIF('業務'!$N$4:$N$200,A14))</f>
        <v/>
      </c>
      <c r="O14" s="21">
        <f>IF(A14="","",IF(COUNTIF('予算一覧'!$A$5:$A$200,C14)=0,"判定保留",IF(AND(INDEX('予算一覧'!$AH$5:$AH$200,MATCH(C14,'予算一覧'!$A$5:$A$200,0))="投資予算",INDEX('予算一覧'!$AZ$5:$AZ$200,MATCH(C14,'予算一覧'!$A$5:$A$200,0))="継続"),"対象外",IF(INDEX('予算一覧'!$AJ$5:$AJ$200,MATCH(C14,'予算一覧'!$A$5:$A$200,0))="はい","移管",IF(INDEX('予算一覧'!$AJ$5:$AJ$200,MATCH(C14,'予算一覧'!$A$5:$A$200,0))="いいえ","対象外","判定保留")))))</f>
        <v/>
      </c>
      <c r="P14" s="33" t="n"/>
      <c r="Q14" s="18" t="n"/>
    </row>
    <row r="15">
      <c r="A15" s="18" t="n"/>
      <c r="B15" s="18" t="n"/>
      <c r="C15" s="18" t="n"/>
      <c r="D15" s="21">
        <f>IF(C15="","",IFERROR(INDEX('予算一覧'!$B:$B,MATCH(C15,'予算一覧'!$A:$A,0)),"案件が未登録"))</f>
        <v/>
      </c>
      <c r="E15" s="18" t="n"/>
      <c r="F15" s="18" t="n"/>
      <c r="G15" s="18" t="n"/>
      <c r="H15" s="33" t="n"/>
      <c r="I15" s="33" t="n"/>
      <c r="J15" s="18" t="n"/>
      <c r="K15" s="18" t="n"/>
      <c r="L15" s="35">
        <f>IF(OR(I15="",K15=""),"",EDATE(I15,-K15))</f>
        <v/>
      </c>
      <c r="M15" s="19" t="n"/>
      <c r="N15" s="21">
        <f>IF(A15="","",COUNTIF('業務'!$N$4:$N$200,A15))</f>
        <v/>
      </c>
      <c r="O15" s="21">
        <f>IF(A15="","",IF(COUNTIF('予算一覧'!$A$5:$A$200,C15)=0,"判定保留",IF(AND(INDEX('予算一覧'!$AH$5:$AH$200,MATCH(C15,'予算一覧'!$A$5:$A$200,0))="投資予算",INDEX('予算一覧'!$AZ$5:$AZ$200,MATCH(C15,'予算一覧'!$A$5:$A$200,0))="継続"),"対象外",IF(INDEX('予算一覧'!$AJ$5:$AJ$200,MATCH(C15,'予算一覧'!$A$5:$A$200,0))="はい","移管",IF(INDEX('予算一覧'!$AJ$5:$AJ$200,MATCH(C15,'予算一覧'!$A$5:$A$200,0))="いいえ","対象外","判定保留")))))</f>
        <v/>
      </c>
      <c r="P15" s="33" t="n"/>
      <c r="Q15" s="18" t="n"/>
    </row>
    <row r="16">
      <c r="A16" s="18" t="n"/>
      <c r="B16" s="18" t="n"/>
      <c r="C16" s="18" t="n"/>
      <c r="D16" s="21">
        <f>IF(C16="","",IFERROR(INDEX('予算一覧'!$B:$B,MATCH(C16,'予算一覧'!$A:$A,0)),"案件が未登録"))</f>
        <v/>
      </c>
      <c r="E16" s="18" t="n"/>
      <c r="F16" s="18" t="n"/>
      <c r="G16" s="18" t="n"/>
      <c r="H16" s="33" t="n"/>
      <c r="I16" s="33" t="n"/>
      <c r="J16" s="18" t="n"/>
      <c r="K16" s="18" t="n"/>
      <c r="L16" s="35">
        <f>IF(OR(I16="",K16=""),"",EDATE(I16,-K16))</f>
        <v/>
      </c>
      <c r="M16" s="19" t="n"/>
      <c r="N16" s="21">
        <f>IF(A16="","",COUNTIF('業務'!$N$4:$N$200,A16))</f>
        <v/>
      </c>
      <c r="O16" s="21">
        <f>IF(A16="","",IF(COUNTIF('予算一覧'!$A$5:$A$200,C16)=0,"判定保留",IF(AND(INDEX('予算一覧'!$AH$5:$AH$200,MATCH(C16,'予算一覧'!$A$5:$A$200,0))="投資予算",INDEX('予算一覧'!$AZ$5:$AZ$200,MATCH(C16,'予算一覧'!$A$5:$A$200,0))="継続"),"対象外",IF(INDEX('予算一覧'!$AJ$5:$AJ$200,MATCH(C16,'予算一覧'!$A$5:$A$200,0))="はい","移管",IF(INDEX('予算一覧'!$AJ$5:$AJ$200,MATCH(C16,'予算一覧'!$A$5:$A$200,0))="いいえ","対象外","判定保留")))))</f>
        <v/>
      </c>
      <c r="P16" s="33" t="n"/>
      <c r="Q16" s="18" t="n"/>
    </row>
    <row r="17">
      <c r="A17" s="18" t="n"/>
      <c r="B17" s="18" t="n"/>
      <c r="C17" s="18" t="n"/>
      <c r="D17" s="21">
        <f>IF(C17="","",IFERROR(INDEX('予算一覧'!$B:$B,MATCH(C17,'予算一覧'!$A:$A,0)),"案件が未登録"))</f>
        <v/>
      </c>
      <c r="E17" s="18" t="n"/>
      <c r="F17" s="18" t="n"/>
      <c r="G17" s="18" t="n"/>
      <c r="H17" s="33" t="n"/>
      <c r="I17" s="33" t="n"/>
      <c r="J17" s="18" t="n"/>
      <c r="K17" s="18" t="n"/>
      <c r="L17" s="35">
        <f>IF(OR(I17="",K17=""),"",EDATE(I17,-K17))</f>
        <v/>
      </c>
      <c r="M17" s="19" t="n"/>
      <c r="N17" s="21">
        <f>IF(A17="","",COUNTIF('業務'!$N$4:$N$200,A17))</f>
        <v/>
      </c>
      <c r="O17" s="21">
        <f>IF(A17="","",IF(COUNTIF('予算一覧'!$A$5:$A$200,C17)=0,"判定保留",IF(AND(INDEX('予算一覧'!$AH$5:$AH$200,MATCH(C17,'予算一覧'!$A$5:$A$200,0))="投資予算",INDEX('予算一覧'!$AZ$5:$AZ$200,MATCH(C17,'予算一覧'!$A$5:$A$200,0))="継続"),"対象外",IF(INDEX('予算一覧'!$AJ$5:$AJ$200,MATCH(C17,'予算一覧'!$A$5:$A$200,0))="はい","移管",IF(INDEX('予算一覧'!$AJ$5:$AJ$200,MATCH(C17,'予算一覧'!$A$5:$A$200,0))="いいえ","対象外","判定保留")))))</f>
        <v/>
      </c>
      <c r="P17" s="33" t="n"/>
      <c r="Q17" s="18" t="n"/>
    </row>
    <row r="18">
      <c r="A18" s="18" t="n"/>
      <c r="B18" s="18" t="n"/>
      <c r="C18" s="18" t="n"/>
      <c r="D18" s="21">
        <f>IF(C18="","",IFERROR(INDEX('予算一覧'!$B:$B,MATCH(C18,'予算一覧'!$A:$A,0)),"案件が未登録"))</f>
        <v/>
      </c>
      <c r="E18" s="18" t="n"/>
      <c r="F18" s="18" t="n"/>
      <c r="G18" s="18" t="n"/>
      <c r="H18" s="33" t="n"/>
      <c r="I18" s="33" t="n"/>
      <c r="J18" s="18" t="n"/>
      <c r="K18" s="18" t="n"/>
      <c r="L18" s="35">
        <f>IF(OR(I18="",K18=""),"",EDATE(I18,-K18))</f>
        <v/>
      </c>
      <c r="M18" s="19" t="n"/>
      <c r="N18" s="21">
        <f>IF(A18="","",COUNTIF('業務'!$N$4:$N$200,A18))</f>
        <v/>
      </c>
      <c r="O18" s="21">
        <f>IF(A18="","",IF(COUNTIF('予算一覧'!$A$5:$A$200,C18)=0,"判定保留",IF(AND(INDEX('予算一覧'!$AH$5:$AH$200,MATCH(C18,'予算一覧'!$A$5:$A$200,0))="投資予算",INDEX('予算一覧'!$AZ$5:$AZ$200,MATCH(C18,'予算一覧'!$A$5:$A$200,0))="継続"),"対象外",IF(INDEX('予算一覧'!$AJ$5:$AJ$200,MATCH(C18,'予算一覧'!$A$5:$A$200,0))="はい","移管",IF(INDEX('予算一覧'!$AJ$5:$AJ$200,MATCH(C18,'予算一覧'!$A$5:$A$200,0))="いいえ","対象外","判定保留")))))</f>
        <v/>
      </c>
      <c r="P18" s="33" t="n"/>
      <c r="Q18" s="18" t="n"/>
    </row>
    <row r="19">
      <c r="A19" s="18" t="n"/>
      <c r="B19" s="18" t="n"/>
      <c r="C19" s="18" t="n"/>
      <c r="D19" s="21">
        <f>IF(C19="","",IFERROR(INDEX('予算一覧'!$B:$B,MATCH(C19,'予算一覧'!$A:$A,0)),"案件が未登録"))</f>
        <v/>
      </c>
      <c r="E19" s="18" t="n"/>
      <c r="F19" s="18" t="n"/>
      <c r="G19" s="18" t="n"/>
      <c r="H19" s="33" t="n"/>
      <c r="I19" s="33" t="n"/>
      <c r="J19" s="18" t="n"/>
      <c r="K19" s="18" t="n"/>
      <c r="L19" s="35">
        <f>IF(OR(I19="",K19=""),"",EDATE(I19,-K19))</f>
        <v/>
      </c>
      <c r="M19" s="19" t="n"/>
      <c r="N19" s="21">
        <f>IF(A19="","",COUNTIF('業務'!$N$4:$N$200,A19))</f>
        <v/>
      </c>
      <c r="O19" s="21">
        <f>IF(A19="","",IF(COUNTIF('予算一覧'!$A$5:$A$200,C19)=0,"判定保留",IF(AND(INDEX('予算一覧'!$AH$5:$AH$200,MATCH(C19,'予算一覧'!$A$5:$A$200,0))="投資予算",INDEX('予算一覧'!$AZ$5:$AZ$200,MATCH(C19,'予算一覧'!$A$5:$A$200,0))="継続"),"対象外",IF(INDEX('予算一覧'!$AJ$5:$AJ$200,MATCH(C19,'予算一覧'!$A$5:$A$200,0))="はい","移管",IF(INDEX('予算一覧'!$AJ$5:$AJ$200,MATCH(C19,'予算一覧'!$A$5:$A$200,0))="いいえ","対象外","判定保留")))))</f>
        <v/>
      </c>
      <c r="P19" s="33" t="n"/>
      <c r="Q19" s="18" t="n"/>
    </row>
    <row r="20">
      <c r="A20" s="18" t="n"/>
      <c r="B20" s="18" t="n"/>
      <c r="C20" s="18" t="n"/>
      <c r="D20" s="21">
        <f>IF(C20="","",IFERROR(INDEX('予算一覧'!$B:$B,MATCH(C20,'予算一覧'!$A:$A,0)),"案件が未登録"))</f>
        <v/>
      </c>
      <c r="E20" s="18" t="n"/>
      <c r="F20" s="18" t="n"/>
      <c r="G20" s="18" t="n"/>
      <c r="H20" s="33" t="n"/>
      <c r="I20" s="33" t="n"/>
      <c r="J20" s="18" t="n"/>
      <c r="K20" s="18" t="n"/>
      <c r="L20" s="35">
        <f>IF(OR(I20="",K20=""),"",EDATE(I20,-K20))</f>
        <v/>
      </c>
      <c r="M20" s="19" t="n"/>
      <c r="N20" s="21">
        <f>IF(A20="","",COUNTIF('業務'!$N$4:$N$200,A20))</f>
        <v/>
      </c>
      <c r="O20" s="21">
        <f>IF(A20="","",IF(COUNTIF('予算一覧'!$A$5:$A$200,C20)=0,"判定保留",IF(AND(INDEX('予算一覧'!$AH$5:$AH$200,MATCH(C20,'予算一覧'!$A$5:$A$200,0))="投資予算",INDEX('予算一覧'!$AZ$5:$AZ$200,MATCH(C20,'予算一覧'!$A$5:$A$200,0))="継続"),"対象外",IF(INDEX('予算一覧'!$AJ$5:$AJ$200,MATCH(C20,'予算一覧'!$A$5:$A$200,0))="はい","移管",IF(INDEX('予算一覧'!$AJ$5:$AJ$200,MATCH(C20,'予算一覧'!$A$5:$A$200,0))="いいえ","対象外","判定保留")))))</f>
        <v/>
      </c>
      <c r="P20" s="33" t="n"/>
      <c r="Q20" s="18" t="n"/>
    </row>
    <row r="21">
      <c r="A21" s="18" t="n"/>
      <c r="B21" s="18" t="n"/>
      <c r="C21" s="18" t="n"/>
      <c r="D21" s="21">
        <f>IF(C21="","",IFERROR(INDEX('予算一覧'!$B:$B,MATCH(C21,'予算一覧'!$A:$A,0)),"案件が未登録"))</f>
        <v/>
      </c>
      <c r="E21" s="18" t="n"/>
      <c r="F21" s="18" t="n"/>
      <c r="G21" s="18" t="n"/>
      <c r="H21" s="33" t="n"/>
      <c r="I21" s="33" t="n"/>
      <c r="J21" s="18" t="n"/>
      <c r="K21" s="18" t="n"/>
      <c r="L21" s="35">
        <f>IF(OR(I21="",K21=""),"",EDATE(I21,-K21))</f>
        <v/>
      </c>
      <c r="M21" s="19" t="n"/>
      <c r="N21" s="21">
        <f>IF(A21="","",COUNTIF('業務'!$N$4:$N$200,A21))</f>
        <v/>
      </c>
      <c r="O21" s="21">
        <f>IF(A21="","",IF(COUNTIF('予算一覧'!$A$5:$A$200,C21)=0,"判定保留",IF(AND(INDEX('予算一覧'!$AH$5:$AH$200,MATCH(C21,'予算一覧'!$A$5:$A$200,0))="投資予算",INDEX('予算一覧'!$AZ$5:$AZ$200,MATCH(C21,'予算一覧'!$A$5:$A$200,0))="継続"),"対象外",IF(INDEX('予算一覧'!$AJ$5:$AJ$200,MATCH(C21,'予算一覧'!$A$5:$A$200,0))="はい","移管",IF(INDEX('予算一覧'!$AJ$5:$AJ$200,MATCH(C21,'予算一覧'!$A$5:$A$200,0))="いいえ","対象外","判定保留")))))</f>
        <v/>
      </c>
      <c r="P21" s="33" t="n"/>
      <c r="Q21" s="18" t="n"/>
    </row>
    <row r="22">
      <c r="A22" s="18" t="n"/>
      <c r="B22" s="18" t="n"/>
      <c r="C22" s="18" t="n"/>
      <c r="D22" s="21">
        <f>IF(C22="","",IFERROR(INDEX('予算一覧'!$B:$B,MATCH(C22,'予算一覧'!$A:$A,0)),"案件が未登録"))</f>
        <v/>
      </c>
      <c r="E22" s="18" t="n"/>
      <c r="F22" s="18" t="n"/>
      <c r="G22" s="18" t="n"/>
      <c r="H22" s="33" t="n"/>
      <c r="I22" s="33" t="n"/>
      <c r="J22" s="18" t="n"/>
      <c r="K22" s="18" t="n"/>
      <c r="L22" s="35">
        <f>IF(OR(I22="",K22=""),"",EDATE(I22,-K22))</f>
        <v/>
      </c>
      <c r="M22" s="19" t="n"/>
      <c r="N22" s="21">
        <f>IF(A22="","",COUNTIF('業務'!$N$4:$N$200,A22))</f>
        <v/>
      </c>
      <c r="O22" s="21">
        <f>IF(A22="","",IF(COUNTIF('予算一覧'!$A$5:$A$200,C22)=0,"判定保留",IF(AND(INDEX('予算一覧'!$AH$5:$AH$200,MATCH(C22,'予算一覧'!$A$5:$A$200,0))="投資予算",INDEX('予算一覧'!$AZ$5:$AZ$200,MATCH(C22,'予算一覧'!$A$5:$A$200,0))="継続"),"対象外",IF(INDEX('予算一覧'!$AJ$5:$AJ$200,MATCH(C22,'予算一覧'!$A$5:$A$200,0))="はい","移管",IF(INDEX('予算一覧'!$AJ$5:$AJ$200,MATCH(C22,'予算一覧'!$A$5:$A$200,0))="いいえ","対象外","判定保留")))))</f>
        <v/>
      </c>
      <c r="P22" s="33" t="n"/>
      <c r="Q22" s="18" t="n"/>
    </row>
    <row r="23">
      <c r="A23" s="18" t="n"/>
      <c r="B23" s="18" t="n"/>
      <c r="C23" s="18" t="n"/>
      <c r="D23" s="21">
        <f>IF(C23="","",IFERROR(INDEX('予算一覧'!$B:$B,MATCH(C23,'予算一覧'!$A:$A,0)),"案件が未登録"))</f>
        <v/>
      </c>
      <c r="E23" s="18" t="n"/>
      <c r="F23" s="18" t="n"/>
      <c r="G23" s="18" t="n"/>
      <c r="H23" s="33" t="n"/>
      <c r="I23" s="33" t="n"/>
      <c r="J23" s="18" t="n"/>
      <c r="K23" s="18" t="n"/>
      <c r="L23" s="35">
        <f>IF(OR(I23="",K23=""),"",EDATE(I23,-K23))</f>
        <v/>
      </c>
      <c r="M23" s="19" t="n"/>
      <c r="N23" s="21">
        <f>IF(A23="","",COUNTIF('業務'!$N$4:$N$200,A23))</f>
        <v/>
      </c>
      <c r="O23" s="21">
        <f>IF(A23="","",IF(COUNTIF('予算一覧'!$A$5:$A$200,C23)=0,"判定保留",IF(AND(INDEX('予算一覧'!$AH$5:$AH$200,MATCH(C23,'予算一覧'!$A$5:$A$200,0))="投資予算",INDEX('予算一覧'!$AZ$5:$AZ$200,MATCH(C23,'予算一覧'!$A$5:$A$200,0))="継続"),"対象外",IF(INDEX('予算一覧'!$AJ$5:$AJ$200,MATCH(C23,'予算一覧'!$A$5:$A$200,0))="はい","移管",IF(INDEX('予算一覧'!$AJ$5:$AJ$200,MATCH(C23,'予算一覧'!$A$5:$A$200,0))="いいえ","対象外","判定保留")))))</f>
        <v/>
      </c>
      <c r="P23" s="33" t="n"/>
      <c r="Q23" s="18" t="n"/>
    </row>
    <row r="24">
      <c r="A24" s="18" t="n"/>
      <c r="B24" s="18" t="n"/>
      <c r="C24" s="18" t="n"/>
      <c r="D24" s="21">
        <f>IF(C24="","",IFERROR(INDEX('予算一覧'!$B:$B,MATCH(C24,'予算一覧'!$A:$A,0)),"案件が未登録"))</f>
        <v/>
      </c>
      <c r="E24" s="18" t="n"/>
      <c r="F24" s="18" t="n"/>
      <c r="G24" s="18" t="n"/>
      <c r="H24" s="33" t="n"/>
      <c r="I24" s="33" t="n"/>
      <c r="J24" s="18" t="n"/>
      <c r="K24" s="18" t="n"/>
      <c r="L24" s="35">
        <f>IF(OR(I24="",K24=""),"",EDATE(I24,-K24))</f>
        <v/>
      </c>
      <c r="M24" s="19" t="n"/>
      <c r="N24" s="21">
        <f>IF(A24="","",COUNTIF('業務'!$N$4:$N$200,A24))</f>
        <v/>
      </c>
      <c r="O24" s="21">
        <f>IF(A24="","",IF(COUNTIF('予算一覧'!$A$5:$A$200,C24)=0,"判定保留",IF(AND(INDEX('予算一覧'!$AH$5:$AH$200,MATCH(C24,'予算一覧'!$A$5:$A$200,0))="投資予算",INDEX('予算一覧'!$AZ$5:$AZ$200,MATCH(C24,'予算一覧'!$A$5:$A$200,0))="継続"),"対象外",IF(INDEX('予算一覧'!$AJ$5:$AJ$200,MATCH(C24,'予算一覧'!$A$5:$A$200,0))="はい","移管",IF(INDEX('予算一覧'!$AJ$5:$AJ$200,MATCH(C24,'予算一覧'!$A$5:$A$200,0))="いいえ","対象外","判定保留")))))</f>
        <v/>
      </c>
      <c r="P24" s="33" t="n"/>
      <c r="Q24" s="18" t="n"/>
    </row>
    <row r="25">
      <c r="A25" s="18" t="n"/>
      <c r="B25" s="18" t="n"/>
      <c r="C25" s="18" t="n"/>
      <c r="D25" s="21">
        <f>IF(C25="","",IFERROR(INDEX('予算一覧'!$B:$B,MATCH(C25,'予算一覧'!$A:$A,0)),"案件が未登録"))</f>
        <v/>
      </c>
      <c r="E25" s="18" t="n"/>
      <c r="F25" s="18" t="n"/>
      <c r="G25" s="18" t="n"/>
      <c r="H25" s="33" t="n"/>
      <c r="I25" s="33" t="n"/>
      <c r="J25" s="18" t="n"/>
      <c r="K25" s="18" t="n"/>
      <c r="L25" s="35">
        <f>IF(OR(I25="",K25=""),"",EDATE(I25,-K25))</f>
        <v/>
      </c>
      <c r="M25" s="19" t="n"/>
      <c r="N25" s="21">
        <f>IF(A25="","",COUNTIF('業務'!$N$4:$N$200,A25))</f>
        <v/>
      </c>
      <c r="O25" s="21">
        <f>IF(A25="","",IF(COUNTIF('予算一覧'!$A$5:$A$200,C25)=0,"判定保留",IF(AND(INDEX('予算一覧'!$AH$5:$AH$200,MATCH(C25,'予算一覧'!$A$5:$A$200,0))="投資予算",INDEX('予算一覧'!$AZ$5:$AZ$200,MATCH(C25,'予算一覧'!$A$5:$A$200,0))="継続"),"対象外",IF(INDEX('予算一覧'!$AJ$5:$AJ$200,MATCH(C25,'予算一覧'!$A$5:$A$200,0))="はい","移管",IF(INDEX('予算一覧'!$AJ$5:$AJ$200,MATCH(C25,'予算一覧'!$A$5:$A$200,0))="いいえ","対象外","判定保留")))))</f>
        <v/>
      </c>
      <c r="P25" s="33" t="n"/>
      <c r="Q25" s="18" t="n"/>
    </row>
    <row r="26">
      <c r="A26" s="18" t="n"/>
      <c r="B26" s="18" t="n"/>
      <c r="C26" s="18" t="n"/>
      <c r="D26" s="21">
        <f>IF(C26="","",IFERROR(INDEX('予算一覧'!$B:$B,MATCH(C26,'予算一覧'!$A:$A,0)),"案件が未登録"))</f>
        <v/>
      </c>
      <c r="E26" s="18" t="n"/>
      <c r="F26" s="18" t="n"/>
      <c r="G26" s="18" t="n"/>
      <c r="H26" s="33" t="n"/>
      <c r="I26" s="33" t="n"/>
      <c r="J26" s="18" t="n"/>
      <c r="K26" s="18" t="n"/>
      <c r="L26" s="35">
        <f>IF(OR(I26="",K26=""),"",EDATE(I26,-K26))</f>
        <v/>
      </c>
      <c r="M26" s="19" t="n"/>
      <c r="N26" s="21">
        <f>IF(A26="","",COUNTIF('業務'!$N$4:$N$200,A26))</f>
        <v/>
      </c>
      <c r="O26" s="21">
        <f>IF(A26="","",IF(COUNTIF('予算一覧'!$A$5:$A$200,C26)=0,"判定保留",IF(AND(INDEX('予算一覧'!$AH$5:$AH$200,MATCH(C26,'予算一覧'!$A$5:$A$200,0))="投資予算",INDEX('予算一覧'!$AZ$5:$AZ$200,MATCH(C26,'予算一覧'!$A$5:$A$200,0))="継続"),"対象外",IF(INDEX('予算一覧'!$AJ$5:$AJ$200,MATCH(C26,'予算一覧'!$A$5:$A$200,0))="はい","移管",IF(INDEX('予算一覧'!$AJ$5:$AJ$200,MATCH(C26,'予算一覧'!$A$5:$A$200,0))="いいえ","対象外","判定保留")))))</f>
        <v/>
      </c>
      <c r="P26" s="33" t="n"/>
      <c r="Q26" s="18" t="n"/>
    </row>
    <row r="27">
      <c r="A27" s="18" t="n"/>
      <c r="B27" s="18" t="n"/>
      <c r="C27" s="18" t="n"/>
      <c r="D27" s="21">
        <f>IF(C27="","",IFERROR(INDEX('予算一覧'!$B:$B,MATCH(C27,'予算一覧'!$A:$A,0)),"案件が未登録"))</f>
        <v/>
      </c>
      <c r="E27" s="18" t="n"/>
      <c r="F27" s="18" t="n"/>
      <c r="G27" s="18" t="n"/>
      <c r="H27" s="33" t="n"/>
      <c r="I27" s="33" t="n"/>
      <c r="J27" s="18" t="n"/>
      <c r="K27" s="18" t="n"/>
      <c r="L27" s="35">
        <f>IF(OR(I27="",K27=""),"",EDATE(I27,-K27))</f>
        <v/>
      </c>
      <c r="M27" s="19" t="n"/>
      <c r="N27" s="21">
        <f>IF(A27="","",COUNTIF('業務'!$N$4:$N$200,A27))</f>
        <v/>
      </c>
      <c r="O27" s="21">
        <f>IF(A27="","",IF(COUNTIF('予算一覧'!$A$5:$A$200,C27)=0,"判定保留",IF(AND(INDEX('予算一覧'!$AH$5:$AH$200,MATCH(C27,'予算一覧'!$A$5:$A$200,0))="投資予算",INDEX('予算一覧'!$AZ$5:$AZ$200,MATCH(C27,'予算一覧'!$A$5:$A$200,0))="継続"),"対象外",IF(INDEX('予算一覧'!$AJ$5:$AJ$200,MATCH(C27,'予算一覧'!$A$5:$A$200,0))="はい","移管",IF(INDEX('予算一覧'!$AJ$5:$AJ$200,MATCH(C27,'予算一覧'!$A$5:$A$200,0))="いいえ","対象外","判定保留")))))</f>
        <v/>
      </c>
      <c r="P27" s="33" t="n"/>
      <c r="Q27" s="18" t="n"/>
    </row>
    <row r="28">
      <c r="A28" s="18" t="n"/>
      <c r="B28" s="18" t="n"/>
      <c r="C28" s="18" t="n"/>
      <c r="D28" s="21">
        <f>IF(C28="","",IFERROR(INDEX('予算一覧'!$B:$B,MATCH(C28,'予算一覧'!$A:$A,0)),"案件が未登録"))</f>
        <v/>
      </c>
      <c r="E28" s="18" t="n"/>
      <c r="F28" s="18" t="n"/>
      <c r="G28" s="18" t="n"/>
      <c r="H28" s="33" t="n"/>
      <c r="I28" s="33" t="n"/>
      <c r="J28" s="18" t="n"/>
      <c r="K28" s="18" t="n"/>
      <c r="L28" s="35">
        <f>IF(OR(I28="",K28=""),"",EDATE(I28,-K28))</f>
        <v/>
      </c>
      <c r="M28" s="19" t="n"/>
      <c r="N28" s="21">
        <f>IF(A28="","",COUNTIF('業務'!$N$4:$N$200,A28))</f>
        <v/>
      </c>
      <c r="O28" s="21">
        <f>IF(A28="","",IF(COUNTIF('予算一覧'!$A$5:$A$200,C28)=0,"判定保留",IF(AND(INDEX('予算一覧'!$AH$5:$AH$200,MATCH(C28,'予算一覧'!$A$5:$A$200,0))="投資予算",INDEX('予算一覧'!$AZ$5:$AZ$200,MATCH(C28,'予算一覧'!$A$5:$A$200,0))="継続"),"対象外",IF(INDEX('予算一覧'!$AJ$5:$AJ$200,MATCH(C28,'予算一覧'!$A$5:$A$200,0))="はい","移管",IF(INDEX('予算一覧'!$AJ$5:$AJ$200,MATCH(C28,'予算一覧'!$A$5:$A$200,0))="いいえ","対象外","判定保留")))))</f>
        <v/>
      </c>
      <c r="P28" s="33" t="n"/>
      <c r="Q28" s="18" t="n"/>
    </row>
    <row r="29">
      <c r="A29" s="18" t="n"/>
      <c r="B29" s="18" t="n"/>
      <c r="C29" s="18" t="n"/>
      <c r="D29" s="21">
        <f>IF(C29="","",IFERROR(INDEX('予算一覧'!$B:$B,MATCH(C29,'予算一覧'!$A:$A,0)),"案件が未登録"))</f>
        <v/>
      </c>
      <c r="E29" s="18" t="n"/>
      <c r="F29" s="18" t="n"/>
      <c r="G29" s="18" t="n"/>
      <c r="H29" s="33" t="n"/>
      <c r="I29" s="33" t="n"/>
      <c r="J29" s="18" t="n"/>
      <c r="K29" s="18" t="n"/>
      <c r="L29" s="35">
        <f>IF(OR(I29="",K29=""),"",EDATE(I29,-K29))</f>
        <v/>
      </c>
      <c r="M29" s="19" t="n"/>
      <c r="N29" s="21">
        <f>IF(A29="","",COUNTIF('業務'!$N$4:$N$200,A29))</f>
        <v/>
      </c>
      <c r="O29" s="21">
        <f>IF(A29="","",IF(COUNTIF('予算一覧'!$A$5:$A$200,C29)=0,"判定保留",IF(AND(INDEX('予算一覧'!$AH$5:$AH$200,MATCH(C29,'予算一覧'!$A$5:$A$200,0))="投資予算",INDEX('予算一覧'!$AZ$5:$AZ$200,MATCH(C29,'予算一覧'!$A$5:$A$200,0))="継続"),"対象外",IF(INDEX('予算一覧'!$AJ$5:$AJ$200,MATCH(C29,'予算一覧'!$A$5:$A$200,0))="はい","移管",IF(INDEX('予算一覧'!$AJ$5:$AJ$200,MATCH(C29,'予算一覧'!$A$5:$A$200,0))="いいえ","対象外","判定保留")))))</f>
        <v/>
      </c>
      <c r="P29" s="33" t="n"/>
      <c r="Q29" s="18" t="n"/>
    </row>
    <row r="30">
      <c r="A30" s="18" t="n"/>
      <c r="B30" s="18" t="n"/>
      <c r="C30" s="18" t="n"/>
      <c r="D30" s="21">
        <f>IF(C30="","",IFERROR(INDEX('予算一覧'!$B:$B,MATCH(C30,'予算一覧'!$A:$A,0)),"案件が未登録"))</f>
        <v/>
      </c>
      <c r="E30" s="18" t="n"/>
      <c r="F30" s="18" t="n"/>
      <c r="G30" s="18" t="n"/>
      <c r="H30" s="33" t="n"/>
      <c r="I30" s="33" t="n"/>
      <c r="J30" s="18" t="n"/>
      <c r="K30" s="18" t="n"/>
      <c r="L30" s="35">
        <f>IF(OR(I30="",K30=""),"",EDATE(I30,-K30))</f>
        <v/>
      </c>
      <c r="M30" s="19" t="n"/>
      <c r="N30" s="21">
        <f>IF(A30="","",COUNTIF('業務'!$N$4:$N$200,A30))</f>
        <v/>
      </c>
      <c r="O30" s="21">
        <f>IF(A30="","",IF(COUNTIF('予算一覧'!$A$5:$A$200,C30)=0,"判定保留",IF(AND(INDEX('予算一覧'!$AH$5:$AH$200,MATCH(C30,'予算一覧'!$A$5:$A$200,0))="投資予算",INDEX('予算一覧'!$AZ$5:$AZ$200,MATCH(C30,'予算一覧'!$A$5:$A$200,0))="継続"),"対象外",IF(INDEX('予算一覧'!$AJ$5:$AJ$200,MATCH(C30,'予算一覧'!$A$5:$A$200,0))="はい","移管",IF(INDEX('予算一覧'!$AJ$5:$AJ$200,MATCH(C30,'予算一覧'!$A$5:$A$200,0))="いいえ","対象外","判定保留")))))</f>
        <v/>
      </c>
      <c r="P30" s="33" t="n"/>
      <c r="Q30" s="18" t="n"/>
    </row>
    <row r="31">
      <c r="A31" s="18" t="n"/>
      <c r="B31" s="18" t="n"/>
      <c r="C31" s="18" t="n"/>
      <c r="D31" s="21">
        <f>IF(C31="","",IFERROR(INDEX('予算一覧'!$B:$B,MATCH(C31,'予算一覧'!$A:$A,0)),"案件が未登録"))</f>
        <v/>
      </c>
      <c r="E31" s="18" t="n"/>
      <c r="F31" s="18" t="n"/>
      <c r="G31" s="18" t="n"/>
      <c r="H31" s="33" t="n"/>
      <c r="I31" s="33" t="n"/>
      <c r="J31" s="18" t="n"/>
      <c r="K31" s="18" t="n"/>
      <c r="L31" s="35">
        <f>IF(OR(I31="",K31=""),"",EDATE(I31,-K31))</f>
        <v/>
      </c>
      <c r="M31" s="19" t="n"/>
      <c r="N31" s="21">
        <f>IF(A31="","",COUNTIF('業務'!$N$4:$N$200,A31))</f>
        <v/>
      </c>
      <c r="O31" s="21">
        <f>IF(A31="","",IF(COUNTIF('予算一覧'!$A$5:$A$200,C31)=0,"判定保留",IF(AND(INDEX('予算一覧'!$AH$5:$AH$200,MATCH(C31,'予算一覧'!$A$5:$A$200,0))="投資予算",INDEX('予算一覧'!$AZ$5:$AZ$200,MATCH(C31,'予算一覧'!$A$5:$A$200,0))="継続"),"対象外",IF(INDEX('予算一覧'!$AJ$5:$AJ$200,MATCH(C31,'予算一覧'!$A$5:$A$200,0))="はい","移管",IF(INDEX('予算一覧'!$AJ$5:$AJ$200,MATCH(C31,'予算一覧'!$A$5:$A$200,0))="いいえ","対象外","判定保留")))))</f>
        <v/>
      </c>
      <c r="P31" s="33" t="n"/>
      <c r="Q31" s="18" t="n"/>
    </row>
    <row r="32">
      <c r="A32" s="18" t="n"/>
      <c r="B32" s="18" t="n"/>
      <c r="C32" s="18" t="n"/>
      <c r="D32" s="21">
        <f>IF(C32="","",IFERROR(INDEX('予算一覧'!$B:$B,MATCH(C32,'予算一覧'!$A:$A,0)),"案件が未登録"))</f>
        <v/>
      </c>
      <c r="E32" s="18" t="n"/>
      <c r="F32" s="18" t="n"/>
      <c r="G32" s="18" t="n"/>
      <c r="H32" s="33" t="n"/>
      <c r="I32" s="33" t="n"/>
      <c r="J32" s="18" t="n"/>
      <c r="K32" s="18" t="n"/>
      <c r="L32" s="35">
        <f>IF(OR(I32="",K32=""),"",EDATE(I32,-K32))</f>
        <v/>
      </c>
      <c r="M32" s="19" t="n"/>
      <c r="N32" s="21">
        <f>IF(A32="","",COUNTIF('業務'!$N$4:$N$200,A32))</f>
        <v/>
      </c>
      <c r="O32" s="21">
        <f>IF(A32="","",IF(COUNTIF('予算一覧'!$A$5:$A$200,C32)=0,"判定保留",IF(AND(INDEX('予算一覧'!$AH$5:$AH$200,MATCH(C32,'予算一覧'!$A$5:$A$200,0))="投資予算",INDEX('予算一覧'!$AZ$5:$AZ$200,MATCH(C32,'予算一覧'!$A$5:$A$200,0))="継続"),"対象外",IF(INDEX('予算一覧'!$AJ$5:$AJ$200,MATCH(C32,'予算一覧'!$A$5:$A$200,0))="はい","移管",IF(INDEX('予算一覧'!$AJ$5:$AJ$200,MATCH(C32,'予算一覧'!$A$5:$A$200,0))="いいえ","対象外","判定保留")))))</f>
        <v/>
      </c>
      <c r="P32" s="33" t="n"/>
      <c r="Q32" s="18" t="n"/>
    </row>
    <row r="33">
      <c r="A33" s="18" t="n"/>
      <c r="B33" s="18" t="n"/>
      <c r="C33" s="18" t="n"/>
      <c r="D33" s="21">
        <f>IF(C33="","",IFERROR(INDEX('予算一覧'!$B:$B,MATCH(C33,'予算一覧'!$A:$A,0)),"案件が未登録"))</f>
        <v/>
      </c>
      <c r="E33" s="18" t="n"/>
      <c r="F33" s="18" t="n"/>
      <c r="G33" s="18" t="n"/>
      <c r="H33" s="33" t="n"/>
      <c r="I33" s="33" t="n"/>
      <c r="J33" s="18" t="n"/>
      <c r="K33" s="18" t="n"/>
      <c r="L33" s="35">
        <f>IF(OR(I33="",K33=""),"",EDATE(I33,-K33))</f>
        <v/>
      </c>
      <c r="M33" s="19" t="n"/>
      <c r="N33" s="21">
        <f>IF(A33="","",COUNTIF('業務'!$N$4:$N$200,A33))</f>
        <v/>
      </c>
      <c r="O33" s="21">
        <f>IF(A33="","",IF(COUNTIF('予算一覧'!$A$5:$A$200,C33)=0,"判定保留",IF(AND(INDEX('予算一覧'!$AH$5:$AH$200,MATCH(C33,'予算一覧'!$A$5:$A$200,0))="投資予算",INDEX('予算一覧'!$AZ$5:$AZ$200,MATCH(C33,'予算一覧'!$A$5:$A$200,0))="継続"),"対象外",IF(INDEX('予算一覧'!$AJ$5:$AJ$200,MATCH(C33,'予算一覧'!$A$5:$A$200,0))="はい","移管",IF(INDEX('予算一覧'!$AJ$5:$AJ$200,MATCH(C33,'予算一覧'!$A$5:$A$200,0))="いいえ","対象外","判定保留")))))</f>
        <v/>
      </c>
      <c r="P33" s="33" t="n"/>
      <c r="Q33" s="18" t="n"/>
    </row>
    <row r="34">
      <c r="A34" s="18" t="n"/>
      <c r="B34" s="18" t="n"/>
      <c r="C34" s="18" t="n"/>
      <c r="D34" s="21">
        <f>IF(C34="","",IFERROR(INDEX('予算一覧'!$B:$B,MATCH(C34,'予算一覧'!$A:$A,0)),"案件が未登録"))</f>
        <v/>
      </c>
      <c r="E34" s="18" t="n"/>
      <c r="F34" s="18" t="n"/>
      <c r="G34" s="18" t="n"/>
      <c r="H34" s="33" t="n"/>
      <c r="I34" s="33" t="n"/>
      <c r="J34" s="18" t="n"/>
      <c r="K34" s="18" t="n"/>
      <c r="L34" s="35">
        <f>IF(OR(I34="",K34=""),"",EDATE(I34,-K34))</f>
        <v/>
      </c>
      <c r="M34" s="19" t="n"/>
      <c r="N34" s="21">
        <f>IF(A34="","",COUNTIF('業務'!$N$4:$N$200,A34))</f>
        <v/>
      </c>
      <c r="O34" s="21">
        <f>IF(A34="","",IF(COUNTIF('予算一覧'!$A$5:$A$200,C34)=0,"判定保留",IF(AND(INDEX('予算一覧'!$AH$5:$AH$200,MATCH(C34,'予算一覧'!$A$5:$A$200,0))="投資予算",INDEX('予算一覧'!$AZ$5:$AZ$200,MATCH(C34,'予算一覧'!$A$5:$A$200,0))="継続"),"対象外",IF(INDEX('予算一覧'!$AJ$5:$AJ$200,MATCH(C34,'予算一覧'!$A$5:$A$200,0))="はい","移管",IF(INDEX('予算一覧'!$AJ$5:$AJ$200,MATCH(C34,'予算一覧'!$A$5:$A$200,0))="いいえ","対象外","判定保留")))))</f>
        <v/>
      </c>
      <c r="P34" s="33" t="n"/>
      <c r="Q34" s="18" t="n"/>
    </row>
    <row r="35">
      <c r="A35" s="18" t="n"/>
      <c r="B35" s="18" t="n"/>
      <c r="C35" s="18" t="n"/>
      <c r="D35" s="21">
        <f>IF(C35="","",IFERROR(INDEX('予算一覧'!$B:$B,MATCH(C35,'予算一覧'!$A:$A,0)),"案件が未登録"))</f>
        <v/>
      </c>
      <c r="E35" s="18" t="n"/>
      <c r="F35" s="18" t="n"/>
      <c r="G35" s="18" t="n"/>
      <c r="H35" s="33" t="n"/>
      <c r="I35" s="33" t="n"/>
      <c r="J35" s="18" t="n"/>
      <c r="K35" s="18" t="n"/>
      <c r="L35" s="35">
        <f>IF(OR(I35="",K35=""),"",EDATE(I35,-K35))</f>
        <v/>
      </c>
      <c r="M35" s="19" t="n"/>
      <c r="N35" s="21">
        <f>IF(A35="","",COUNTIF('業務'!$N$4:$N$200,A35))</f>
        <v/>
      </c>
      <c r="O35" s="21">
        <f>IF(A35="","",IF(COUNTIF('予算一覧'!$A$5:$A$200,C35)=0,"判定保留",IF(AND(INDEX('予算一覧'!$AH$5:$AH$200,MATCH(C35,'予算一覧'!$A$5:$A$200,0))="投資予算",INDEX('予算一覧'!$AZ$5:$AZ$200,MATCH(C35,'予算一覧'!$A$5:$A$200,0))="継続"),"対象外",IF(INDEX('予算一覧'!$AJ$5:$AJ$200,MATCH(C35,'予算一覧'!$A$5:$A$200,0))="はい","移管",IF(INDEX('予算一覧'!$AJ$5:$AJ$200,MATCH(C35,'予算一覧'!$A$5:$A$200,0))="いいえ","対象外","判定保留")))))</f>
        <v/>
      </c>
      <c r="P35" s="33" t="n"/>
      <c r="Q35" s="18" t="n"/>
    </row>
    <row r="36">
      <c r="A36" s="18" t="n"/>
      <c r="B36" s="18" t="n"/>
      <c r="C36" s="18" t="n"/>
      <c r="D36" s="21">
        <f>IF(C36="","",IFERROR(INDEX('予算一覧'!$B:$B,MATCH(C36,'予算一覧'!$A:$A,0)),"案件が未登録"))</f>
        <v/>
      </c>
      <c r="E36" s="18" t="n"/>
      <c r="F36" s="18" t="n"/>
      <c r="G36" s="18" t="n"/>
      <c r="H36" s="33" t="n"/>
      <c r="I36" s="33" t="n"/>
      <c r="J36" s="18" t="n"/>
      <c r="K36" s="18" t="n"/>
      <c r="L36" s="35">
        <f>IF(OR(I36="",K36=""),"",EDATE(I36,-K36))</f>
        <v/>
      </c>
      <c r="M36" s="19" t="n"/>
      <c r="N36" s="21">
        <f>IF(A36="","",COUNTIF('業務'!$N$4:$N$200,A36))</f>
        <v/>
      </c>
      <c r="O36" s="21">
        <f>IF(A36="","",IF(COUNTIF('予算一覧'!$A$5:$A$200,C36)=0,"判定保留",IF(AND(INDEX('予算一覧'!$AH$5:$AH$200,MATCH(C36,'予算一覧'!$A$5:$A$200,0))="投資予算",INDEX('予算一覧'!$AZ$5:$AZ$200,MATCH(C36,'予算一覧'!$A$5:$A$200,0))="継続"),"対象外",IF(INDEX('予算一覧'!$AJ$5:$AJ$200,MATCH(C36,'予算一覧'!$A$5:$A$200,0))="はい","移管",IF(INDEX('予算一覧'!$AJ$5:$AJ$200,MATCH(C36,'予算一覧'!$A$5:$A$200,0))="いいえ","対象外","判定保留")))))</f>
        <v/>
      </c>
      <c r="P36" s="33" t="n"/>
      <c r="Q36" s="18" t="n"/>
    </row>
    <row r="37">
      <c r="A37" s="18" t="n"/>
      <c r="B37" s="18" t="n"/>
      <c r="C37" s="18" t="n"/>
      <c r="D37" s="21">
        <f>IF(C37="","",IFERROR(INDEX('予算一覧'!$B:$B,MATCH(C37,'予算一覧'!$A:$A,0)),"案件が未登録"))</f>
        <v/>
      </c>
      <c r="E37" s="18" t="n"/>
      <c r="F37" s="18" t="n"/>
      <c r="G37" s="18" t="n"/>
      <c r="H37" s="33" t="n"/>
      <c r="I37" s="33" t="n"/>
      <c r="J37" s="18" t="n"/>
      <c r="K37" s="18" t="n"/>
      <c r="L37" s="35">
        <f>IF(OR(I37="",K37=""),"",EDATE(I37,-K37))</f>
        <v/>
      </c>
      <c r="M37" s="19" t="n"/>
      <c r="N37" s="21">
        <f>IF(A37="","",COUNTIF('業務'!$N$4:$N$200,A37))</f>
        <v/>
      </c>
      <c r="O37" s="21">
        <f>IF(A37="","",IF(COUNTIF('予算一覧'!$A$5:$A$200,C37)=0,"判定保留",IF(AND(INDEX('予算一覧'!$AH$5:$AH$200,MATCH(C37,'予算一覧'!$A$5:$A$200,0))="投資予算",INDEX('予算一覧'!$AZ$5:$AZ$200,MATCH(C37,'予算一覧'!$A$5:$A$200,0))="継続"),"対象外",IF(INDEX('予算一覧'!$AJ$5:$AJ$200,MATCH(C37,'予算一覧'!$A$5:$A$200,0))="はい","移管",IF(INDEX('予算一覧'!$AJ$5:$AJ$200,MATCH(C37,'予算一覧'!$A$5:$A$200,0))="いいえ","対象外","判定保留")))))</f>
        <v/>
      </c>
      <c r="P37" s="33" t="n"/>
      <c r="Q37" s="18" t="n"/>
    </row>
    <row r="38">
      <c r="A38" s="18" t="n"/>
      <c r="B38" s="18" t="n"/>
      <c r="C38" s="18" t="n"/>
      <c r="D38" s="21">
        <f>IF(C38="","",IFERROR(INDEX('予算一覧'!$B:$B,MATCH(C38,'予算一覧'!$A:$A,0)),"案件が未登録"))</f>
        <v/>
      </c>
      <c r="E38" s="18" t="n"/>
      <c r="F38" s="18" t="n"/>
      <c r="G38" s="18" t="n"/>
      <c r="H38" s="33" t="n"/>
      <c r="I38" s="33" t="n"/>
      <c r="J38" s="18" t="n"/>
      <c r="K38" s="18" t="n"/>
      <c r="L38" s="35">
        <f>IF(OR(I38="",K38=""),"",EDATE(I38,-K38))</f>
        <v/>
      </c>
      <c r="M38" s="19" t="n"/>
      <c r="N38" s="21">
        <f>IF(A38="","",COUNTIF('業務'!$N$4:$N$200,A38))</f>
        <v/>
      </c>
      <c r="O38" s="21">
        <f>IF(A38="","",IF(COUNTIF('予算一覧'!$A$5:$A$200,C38)=0,"判定保留",IF(AND(INDEX('予算一覧'!$AH$5:$AH$200,MATCH(C38,'予算一覧'!$A$5:$A$200,0))="投資予算",INDEX('予算一覧'!$AZ$5:$AZ$200,MATCH(C38,'予算一覧'!$A$5:$A$200,0))="継続"),"対象外",IF(INDEX('予算一覧'!$AJ$5:$AJ$200,MATCH(C38,'予算一覧'!$A$5:$A$200,0))="はい","移管",IF(INDEX('予算一覧'!$AJ$5:$AJ$200,MATCH(C38,'予算一覧'!$A$5:$A$200,0))="いいえ","対象外","判定保留")))))</f>
        <v/>
      </c>
      <c r="P38" s="33" t="n"/>
      <c r="Q38" s="18" t="n"/>
    </row>
    <row r="39">
      <c r="A39" s="18" t="n"/>
      <c r="B39" s="18" t="n"/>
      <c r="C39" s="18" t="n"/>
      <c r="D39" s="21">
        <f>IF(C39="","",IFERROR(INDEX('予算一覧'!$B:$B,MATCH(C39,'予算一覧'!$A:$A,0)),"案件が未登録"))</f>
        <v/>
      </c>
      <c r="E39" s="18" t="n"/>
      <c r="F39" s="18" t="n"/>
      <c r="G39" s="18" t="n"/>
      <c r="H39" s="33" t="n"/>
      <c r="I39" s="33" t="n"/>
      <c r="J39" s="18" t="n"/>
      <c r="K39" s="18" t="n"/>
      <c r="L39" s="35">
        <f>IF(OR(I39="",K39=""),"",EDATE(I39,-K39))</f>
        <v/>
      </c>
      <c r="M39" s="19" t="n"/>
      <c r="N39" s="21">
        <f>IF(A39="","",COUNTIF('業務'!$N$4:$N$200,A39))</f>
        <v/>
      </c>
      <c r="O39" s="21">
        <f>IF(A39="","",IF(COUNTIF('予算一覧'!$A$5:$A$200,C39)=0,"判定保留",IF(AND(INDEX('予算一覧'!$AH$5:$AH$200,MATCH(C39,'予算一覧'!$A$5:$A$200,0))="投資予算",INDEX('予算一覧'!$AZ$5:$AZ$200,MATCH(C39,'予算一覧'!$A$5:$A$200,0))="継続"),"対象外",IF(INDEX('予算一覧'!$AJ$5:$AJ$200,MATCH(C39,'予算一覧'!$A$5:$A$200,0))="はい","移管",IF(INDEX('予算一覧'!$AJ$5:$AJ$200,MATCH(C39,'予算一覧'!$A$5:$A$200,0))="いいえ","対象外","判定保留")))))</f>
        <v/>
      </c>
      <c r="P39" s="33" t="n"/>
      <c r="Q39" s="18" t="n"/>
    </row>
    <row r="40">
      <c r="A40" s="18" t="n"/>
      <c r="B40" s="18" t="n"/>
      <c r="C40" s="18" t="n"/>
      <c r="D40" s="21">
        <f>IF(C40="","",IFERROR(INDEX('予算一覧'!$B:$B,MATCH(C40,'予算一覧'!$A:$A,0)),"案件が未登録"))</f>
        <v/>
      </c>
      <c r="E40" s="18" t="n"/>
      <c r="F40" s="18" t="n"/>
      <c r="G40" s="18" t="n"/>
      <c r="H40" s="33" t="n"/>
      <c r="I40" s="33" t="n"/>
      <c r="J40" s="18" t="n"/>
      <c r="K40" s="18" t="n"/>
      <c r="L40" s="35">
        <f>IF(OR(I40="",K40=""),"",EDATE(I40,-K40))</f>
        <v/>
      </c>
      <c r="M40" s="19" t="n"/>
      <c r="N40" s="21">
        <f>IF(A40="","",COUNTIF('業務'!$N$4:$N$200,A40))</f>
        <v/>
      </c>
      <c r="O40" s="21">
        <f>IF(A40="","",IF(COUNTIF('予算一覧'!$A$5:$A$200,C40)=0,"判定保留",IF(AND(INDEX('予算一覧'!$AH$5:$AH$200,MATCH(C40,'予算一覧'!$A$5:$A$200,0))="投資予算",INDEX('予算一覧'!$AZ$5:$AZ$200,MATCH(C40,'予算一覧'!$A$5:$A$200,0))="継続"),"対象外",IF(INDEX('予算一覧'!$AJ$5:$AJ$200,MATCH(C40,'予算一覧'!$A$5:$A$200,0))="はい","移管",IF(INDEX('予算一覧'!$AJ$5:$AJ$200,MATCH(C40,'予算一覧'!$A$5:$A$200,0))="いいえ","対象外","判定保留")))))</f>
        <v/>
      </c>
      <c r="P40" s="33" t="n"/>
      <c r="Q40" s="18" t="n"/>
    </row>
    <row r="41">
      <c r="A41" s="18" t="n"/>
      <c r="B41" s="18" t="n"/>
      <c r="C41" s="18" t="n"/>
      <c r="D41" s="21">
        <f>IF(C41="","",IFERROR(INDEX('予算一覧'!$B:$B,MATCH(C41,'予算一覧'!$A:$A,0)),"案件が未登録"))</f>
        <v/>
      </c>
      <c r="E41" s="18" t="n"/>
      <c r="F41" s="18" t="n"/>
      <c r="G41" s="18" t="n"/>
      <c r="H41" s="33" t="n"/>
      <c r="I41" s="33" t="n"/>
      <c r="J41" s="18" t="n"/>
      <c r="K41" s="18" t="n"/>
      <c r="L41" s="35">
        <f>IF(OR(I41="",K41=""),"",EDATE(I41,-K41))</f>
        <v/>
      </c>
      <c r="M41" s="19" t="n"/>
      <c r="N41" s="21">
        <f>IF(A41="","",COUNTIF('業務'!$N$4:$N$200,A41))</f>
        <v/>
      </c>
      <c r="O41" s="21">
        <f>IF(A41="","",IF(COUNTIF('予算一覧'!$A$5:$A$200,C41)=0,"判定保留",IF(AND(INDEX('予算一覧'!$AH$5:$AH$200,MATCH(C41,'予算一覧'!$A$5:$A$200,0))="投資予算",INDEX('予算一覧'!$AZ$5:$AZ$200,MATCH(C41,'予算一覧'!$A$5:$A$200,0))="継続"),"対象外",IF(INDEX('予算一覧'!$AJ$5:$AJ$200,MATCH(C41,'予算一覧'!$A$5:$A$200,0))="はい","移管",IF(INDEX('予算一覧'!$AJ$5:$AJ$200,MATCH(C41,'予算一覧'!$A$5:$A$200,0))="いいえ","対象外","判定保留")))))</f>
        <v/>
      </c>
      <c r="P41" s="33" t="n"/>
      <c r="Q41" s="18" t="n"/>
    </row>
    <row r="42">
      <c r="A42" s="18" t="n"/>
      <c r="B42" s="18" t="n"/>
      <c r="C42" s="18" t="n"/>
      <c r="D42" s="21">
        <f>IF(C42="","",IFERROR(INDEX('予算一覧'!$B:$B,MATCH(C42,'予算一覧'!$A:$A,0)),"案件が未登録"))</f>
        <v/>
      </c>
      <c r="E42" s="18" t="n"/>
      <c r="F42" s="18" t="n"/>
      <c r="G42" s="18" t="n"/>
      <c r="H42" s="33" t="n"/>
      <c r="I42" s="33" t="n"/>
      <c r="J42" s="18" t="n"/>
      <c r="K42" s="18" t="n"/>
      <c r="L42" s="35">
        <f>IF(OR(I42="",K42=""),"",EDATE(I42,-K42))</f>
        <v/>
      </c>
      <c r="M42" s="19" t="n"/>
      <c r="N42" s="21">
        <f>IF(A42="","",COUNTIF('業務'!$N$4:$N$200,A42))</f>
        <v/>
      </c>
      <c r="O42" s="21">
        <f>IF(A42="","",IF(COUNTIF('予算一覧'!$A$5:$A$200,C42)=0,"判定保留",IF(AND(INDEX('予算一覧'!$AH$5:$AH$200,MATCH(C42,'予算一覧'!$A$5:$A$200,0))="投資予算",INDEX('予算一覧'!$AZ$5:$AZ$200,MATCH(C42,'予算一覧'!$A$5:$A$200,0))="継続"),"対象外",IF(INDEX('予算一覧'!$AJ$5:$AJ$200,MATCH(C42,'予算一覧'!$A$5:$A$200,0))="はい","移管",IF(INDEX('予算一覧'!$AJ$5:$AJ$200,MATCH(C42,'予算一覧'!$A$5:$A$200,0))="いいえ","対象外","判定保留")))))</f>
        <v/>
      </c>
      <c r="P42" s="33" t="n"/>
      <c r="Q42" s="18" t="n"/>
    </row>
    <row r="43">
      <c r="A43" s="18" t="n"/>
      <c r="B43" s="18" t="n"/>
      <c r="C43" s="18" t="n"/>
      <c r="D43" s="21">
        <f>IF(C43="","",IFERROR(INDEX('予算一覧'!$B:$B,MATCH(C43,'予算一覧'!$A:$A,0)),"案件が未登録"))</f>
        <v/>
      </c>
      <c r="E43" s="18" t="n"/>
      <c r="F43" s="18" t="n"/>
      <c r="G43" s="18" t="n"/>
      <c r="H43" s="33" t="n"/>
      <c r="I43" s="33" t="n"/>
      <c r="J43" s="18" t="n"/>
      <c r="K43" s="18" t="n"/>
      <c r="L43" s="35">
        <f>IF(OR(I43="",K43=""),"",EDATE(I43,-K43))</f>
        <v/>
      </c>
      <c r="M43" s="19" t="n"/>
      <c r="N43" s="21">
        <f>IF(A43="","",COUNTIF('業務'!$N$4:$N$200,A43))</f>
        <v/>
      </c>
      <c r="O43" s="21">
        <f>IF(A43="","",IF(COUNTIF('予算一覧'!$A$5:$A$200,C43)=0,"判定保留",IF(AND(INDEX('予算一覧'!$AH$5:$AH$200,MATCH(C43,'予算一覧'!$A$5:$A$200,0))="投資予算",INDEX('予算一覧'!$AZ$5:$AZ$200,MATCH(C43,'予算一覧'!$A$5:$A$200,0))="継続"),"対象外",IF(INDEX('予算一覧'!$AJ$5:$AJ$200,MATCH(C43,'予算一覧'!$A$5:$A$200,0))="はい","移管",IF(INDEX('予算一覧'!$AJ$5:$AJ$200,MATCH(C43,'予算一覧'!$A$5:$A$200,0))="いいえ","対象外","判定保留")))))</f>
        <v/>
      </c>
      <c r="P43" s="33" t="n"/>
      <c r="Q43" s="18" t="n"/>
    </row>
    <row r="44">
      <c r="A44" s="18" t="n"/>
      <c r="B44" s="18" t="n"/>
      <c r="C44" s="18" t="n"/>
      <c r="D44" s="21">
        <f>IF(C44="","",IFERROR(INDEX('予算一覧'!$B:$B,MATCH(C44,'予算一覧'!$A:$A,0)),"案件が未登録"))</f>
        <v/>
      </c>
      <c r="E44" s="18" t="n"/>
      <c r="F44" s="18" t="n"/>
      <c r="G44" s="18" t="n"/>
      <c r="H44" s="33" t="n"/>
      <c r="I44" s="33" t="n"/>
      <c r="J44" s="18" t="n"/>
      <c r="K44" s="18" t="n"/>
      <c r="L44" s="35">
        <f>IF(OR(I44="",K44=""),"",EDATE(I44,-K44))</f>
        <v/>
      </c>
      <c r="M44" s="19" t="n"/>
      <c r="N44" s="21">
        <f>IF(A44="","",COUNTIF('業務'!$N$4:$N$200,A44))</f>
        <v/>
      </c>
      <c r="O44" s="21">
        <f>IF(A44="","",IF(COUNTIF('予算一覧'!$A$5:$A$200,C44)=0,"判定保留",IF(AND(INDEX('予算一覧'!$AH$5:$AH$200,MATCH(C44,'予算一覧'!$A$5:$A$200,0))="投資予算",INDEX('予算一覧'!$AZ$5:$AZ$200,MATCH(C44,'予算一覧'!$A$5:$A$200,0))="継続"),"対象外",IF(INDEX('予算一覧'!$AJ$5:$AJ$200,MATCH(C44,'予算一覧'!$A$5:$A$200,0))="はい","移管",IF(INDEX('予算一覧'!$AJ$5:$AJ$200,MATCH(C44,'予算一覧'!$A$5:$A$200,0))="いいえ","対象外","判定保留")))))</f>
        <v/>
      </c>
      <c r="P44" s="33" t="n"/>
      <c r="Q44" s="18" t="n"/>
    </row>
    <row r="45">
      <c r="A45" s="18" t="n"/>
      <c r="B45" s="18" t="n"/>
      <c r="C45" s="18" t="n"/>
      <c r="D45" s="21">
        <f>IF(C45="","",IFERROR(INDEX('予算一覧'!$B:$B,MATCH(C45,'予算一覧'!$A:$A,0)),"案件が未登録"))</f>
        <v/>
      </c>
      <c r="E45" s="18" t="n"/>
      <c r="F45" s="18" t="n"/>
      <c r="G45" s="18" t="n"/>
      <c r="H45" s="33" t="n"/>
      <c r="I45" s="33" t="n"/>
      <c r="J45" s="18" t="n"/>
      <c r="K45" s="18" t="n"/>
      <c r="L45" s="35">
        <f>IF(OR(I45="",K45=""),"",EDATE(I45,-K45))</f>
        <v/>
      </c>
      <c r="M45" s="19" t="n"/>
      <c r="N45" s="21">
        <f>IF(A45="","",COUNTIF('業務'!$N$4:$N$200,A45))</f>
        <v/>
      </c>
      <c r="O45" s="21">
        <f>IF(A45="","",IF(COUNTIF('予算一覧'!$A$5:$A$200,C45)=0,"判定保留",IF(AND(INDEX('予算一覧'!$AH$5:$AH$200,MATCH(C45,'予算一覧'!$A$5:$A$200,0))="投資予算",INDEX('予算一覧'!$AZ$5:$AZ$200,MATCH(C45,'予算一覧'!$A$5:$A$200,0))="継続"),"対象外",IF(INDEX('予算一覧'!$AJ$5:$AJ$200,MATCH(C45,'予算一覧'!$A$5:$A$200,0))="はい","移管",IF(INDEX('予算一覧'!$AJ$5:$AJ$200,MATCH(C45,'予算一覧'!$A$5:$A$200,0))="いいえ","対象外","判定保留")))))</f>
        <v/>
      </c>
      <c r="P45" s="33" t="n"/>
      <c r="Q45" s="18" t="n"/>
    </row>
    <row r="46">
      <c r="A46" s="18" t="n"/>
      <c r="B46" s="18" t="n"/>
      <c r="C46" s="18" t="n"/>
      <c r="D46" s="21">
        <f>IF(C46="","",IFERROR(INDEX('予算一覧'!$B:$B,MATCH(C46,'予算一覧'!$A:$A,0)),"案件が未登録"))</f>
        <v/>
      </c>
      <c r="E46" s="18" t="n"/>
      <c r="F46" s="18" t="n"/>
      <c r="G46" s="18" t="n"/>
      <c r="H46" s="33" t="n"/>
      <c r="I46" s="33" t="n"/>
      <c r="J46" s="18" t="n"/>
      <c r="K46" s="18" t="n"/>
      <c r="L46" s="35">
        <f>IF(OR(I46="",K46=""),"",EDATE(I46,-K46))</f>
        <v/>
      </c>
      <c r="M46" s="19" t="n"/>
      <c r="N46" s="21">
        <f>IF(A46="","",COUNTIF('業務'!$N$4:$N$200,A46))</f>
        <v/>
      </c>
      <c r="O46" s="21">
        <f>IF(A46="","",IF(COUNTIF('予算一覧'!$A$5:$A$200,C46)=0,"判定保留",IF(AND(INDEX('予算一覧'!$AH$5:$AH$200,MATCH(C46,'予算一覧'!$A$5:$A$200,0))="投資予算",INDEX('予算一覧'!$AZ$5:$AZ$200,MATCH(C46,'予算一覧'!$A$5:$A$200,0))="継続"),"対象外",IF(INDEX('予算一覧'!$AJ$5:$AJ$200,MATCH(C46,'予算一覧'!$A$5:$A$200,0))="はい","移管",IF(INDEX('予算一覧'!$AJ$5:$AJ$200,MATCH(C46,'予算一覧'!$A$5:$A$200,0))="いいえ","対象外","判定保留")))))</f>
        <v/>
      </c>
      <c r="P46" s="33" t="n"/>
      <c r="Q46" s="18" t="n"/>
    </row>
    <row r="47">
      <c r="A47" s="18" t="n"/>
      <c r="B47" s="18" t="n"/>
      <c r="C47" s="18" t="n"/>
      <c r="D47" s="21">
        <f>IF(C47="","",IFERROR(INDEX('予算一覧'!$B:$B,MATCH(C47,'予算一覧'!$A:$A,0)),"案件が未登録"))</f>
        <v/>
      </c>
      <c r="E47" s="18" t="n"/>
      <c r="F47" s="18" t="n"/>
      <c r="G47" s="18" t="n"/>
      <c r="H47" s="33" t="n"/>
      <c r="I47" s="33" t="n"/>
      <c r="J47" s="18" t="n"/>
      <c r="K47" s="18" t="n"/>
      <c r="L47" s="35">
        <f>IF(OR(I47="",K47=""),"",EDATE(I47,-K47))</f>
        <v/>
      </c>
      <c r="M47" s="19" t="n"/>
      <c r="N47" s="21">
        <f>IF(A47="","",COUNTIF('業務'!$N$4:$N$200,A47))</f>
        <v/>
      </c>
      <c r="O47" s="21">
        <f>IF(A47="","",IF(COUNTIF('予算一覧'!$A$5:$A$200,C47)=0,"判定保留",IF(AND(INDEX('予算一覧'!$AH$5:$AH$200,MATCH(C47,'予算一覧'!$A$5:$A$200,0))="投資予算",INDEX('予算一覧'!$AZ$5:$AZ$200,MATCH(C47,'予算一覧'!$A$5:$A$200,0))="継続"),"対象外",IF(INDEX('予算一覧'!$AJ$5:$AJ$200,MATCH(C47,'予算一覧'!$A$5:$A$200,0))="はい","移管",IF(INDEX('予算一覧'!$AJ$5:$AJ$200,MATCH(C47,'予算一覧'!$A$5:$A$200,0))="いいえ","対象外","判定保留")))))</f>
        <v/>
      </c>
      <c r="P47" s="33" t="n"/>
      <c r="Q47" s="18" t="n"/>
    </row>
    <row r="48">
      <c r="A48" s="18" t="n"/>
      <c r="B48" s="18" t="n"/>
      <c r="C48" s="18" t="n"/>
      <c r="D48" s="21">
        <f>IF(C48="","",IFERROR(INDEX('予算一覧'!$B:$B,MATCH(C48,'予算一覧'!$A:$A,0)),"案件が未登録"))</f>
        <v/>
      </c>
      <c r="E48" s="18" t="n"/>
      <c r="F48" s="18" t="n"/>
      <c r="G48" s="18" t="n"/>
      <c r="H48" s="33" t="n"/>
      <c r="I48" s="33" t="n"/>
      <c r="J48" s="18" t="n"/>
      <c r="K48" s="18" t="n"/>
      <c r="L48" s="35">
        <f>IF(OR(I48="",K48=""),"",EDATE(I48,-K48))</f>
        <v/>
      </c>
      <c r="M48" s="19" t="n"/>
      <c r="N48" s="21">
        <f>IF(A48="","",COUNTIF('業務'!$N$4:$N$200,A48))</f>
        <v/>
      </c>
      <c r="O48" s="21">
        <f>IF(A48="","",IF(COUNTIF('予算一覧'!$A$5:$A$200,C48)=0,"判定保留",IF(AND(INDEX('予算一覧'!$AH$5:$AH$200,MATCH(C48,'予算一覧'!$A$5:$A$200,0))="投資予算",INDEX('予算一覧'!$AZ$5:$AZ$200,MATCH(C48,'予算一覧'!$A$5:$A$200,0))="継続"),"対象外",IF(INDEX('予算一覧'!$AJ$5:$AJ$200,MATCH(C48,'予算一覧'!$A$5:$A$200,0))="はい","移管",IF(INDEX('予算一覧'!$AJ$5:$AJ$200,MATCH(C48,'予算一覧'!$A$5:$A$200,0))="いいえ","対象外","判定保留")))))</f>
        <v/>
      </c>
      <c r="P48" s="33" t="n"/>
      <c r="Q48" s="18" t="n"/>
    </row>
    <row r="49">
      <c r="A49" s="18" t="n"/>
      <c r="B49" s="18" t="n"/>
      <c r="C49" s="18" t="n"/>
      <c r="D49" s="21">
        <f>IF(C49="","",IFERROR(INDEX('予算一覧'!$B:$B,MATCH(C49,'予算一覧'!$A:$A,0)),"案件が未登録"))</f>
        <v/>
      </c>
      <c r="E49" s="18" t="n"/>
      <c r="F49" s="18" t="n"/>
      <c r="G49" s="18" t="n"/>
      <c r="H49" s="33" t="n"/>
      <c r="I49" s="33" t="n"/>
      <c r="J49" s="18" t="n"/>
      <c r="K49" s="18" t="n"/>
      <c r="L49" s="35">
        <f>IF(OR(I49="",K49=""),"",EDATE(I49,-K49))</f>
        <v/>
      </c>
      <c r="M49" s="19" t="n"/>
      <c r="N49" s="21">
        <f>IF(A49="","",COUNTIF('業務'!$N$4:$N$200,A49))</f>
        <v/>
      </c>
      <c r="O49" s="21">
        <f>IF(A49="","",IF(COUNTIF('予算一覧'!$A$5:$A$200,C49)=0,"判定保留",IF(AND(INDEX('予算一覧'!$AH$5:$AH$200,MATCH(C49,'予算一覧'!$A$5:$A$200,0))="投資予算",INDEX('予算一覧'!$AZ$5:$AZ$200,MATCH(C49,'予算一覧'!$A$5:$A$200,0))="継続"),"対象外",IF(INDEX('予算一覧'!$AJ$5:$AJ$200,MATCH(C49,'予算一覧'!$A$5:$A$200,0))="はい","移管",IF(INDEX('予算一覧'!$AJ$5:$AJ$200,MATCH(C49,'予算一覧'!$A$5:$A$200,0))="いいえ","対象外","判定保留")))))</f>
        <v/>
      </c>
      <c r="P49" s="33" t="n"/>
      <c r="Q49" s="18" t="n"/>
    </row>
    <row r="50">
      <c r="A50" s="18" t="n"/>
      <c r="B50" s="18" t="n"/>
      <c r="C50" s="18" t="n"/>
      <c r="D50" s="21">
        <f>IF(C50="","",IFERROR(INDEX('予算一覧'!$B:$B,MATCH(C50,'予算一覧'!$A:$A,0)),"案件が未登録"))</f>
        <v/>
      </c>
      <c r="E50" s="18" t="n"/>
      <c r="F50" s="18" t="n"/>
      <c r="G50" s="18" t="n"/>
      <c r="H50" s="33" t="n"/>
      <c r="I50" s="33" t="n"/>
      <c r="J50" s="18" t="n"/>
      <c r="K50" s="18" t="n"/>
      <c r="L50" s="35">
        <f>IF(OR(I50="",K50=""),"",EDATE(I50,-K50))</f>
        <v/>
      </c>
      <c r="M50" s="19" t="n"/>
      <c r="N50" s="21">
        <f>IF(A50="","",COUNTIF('業務'!$N$4:$N$200,A50))</f>
        <v/>
      </c>
      <c r="O50" s="21">
        <f>IF(A50="","",IF(COUNTIF('予算一覧'!$A$5:$A$200,C50)=0,"判定保留",IF(AND(INDEX('予算一覧'!$AH$5:$AH$200,MATCH(C50,'予算一覧'!$A$5:$A$200,0))="投資予算",INDEX('予算一覧'!$AZ$5:$AZ$200,MATCH(C50,'予算一覧'!$A$5:$A$200,0))="継続"),"対象外",IF(INDEX('予算一覧'!$AJ$5:$AJ$200,MATCH(C50,'予算一覧'!$A$5:$A$200,0))="はい","移管",IF(INDEX('予算一覧'!$AJ$5:$AJ$200,MATCH(C50,'予算一覧'!$A$5:$A$200,0))="いいえ","対象外","判定保留")))))</f>
        <v/>
      </c>
      <c r="P50" s="33" t="n"/>
      <c r="Q50" s="18" t="n"/>
    </row>
    <row r="51">
      <c r="A51" s="18" t="n"/>
      <c r="B51" s="18" t="n"/>
      <c r="C51" s="18" t="n"/>
      <c r="D51" s="21">
        <f>IF(C51="","",IFERROR(INDEX('予算一覧'!$B:$B,MATCH(C51,'予算一覧'!$A:$A,0)),"案件が未登録"))</f>
        <v/>
      </c>
      <c r="E51" s="18" t="n"/>
      <c r="F51" s="18" t="n"/>
      <c r="G51" s="18" t="n"/>
      <c r="H51" s="33" t="n"/>
      <c r="I51" s="33" t="n"/>
      <c r="J51" s="18" t="n"/>
      <c r="K51" s="18" t="n"/>
      <c r="L51" s="35">
        <f>IF(OR(I51="",K51=""),"",EDATE(I51,-K51))</f>
        <v/>
      </c>
      <c r="M51" s="19" t="n"/>
      <c r="N51" s="21">
        <f>IF(A51="","",COUNTIF('業務'!$N$4:$N$200,A51))</f>
        <v/>
      </c>
      <c r="O51" s="21">
        <f>IF(A51="","",IF(COUNTIF('予算一覧'!$A$5:$A$200,C51)=0,"判定保留",IF(AND(INDEX('予算一覧'!$AH$5:$AH$200,MATCH(C51,'予算一覧'!$A$5:$A$200,0))="投資予算",INDEX('予算一覧'!$AZ$5:$AZ$200,MATCH(C51,'予算一覧'!$A$5:$A$200,0))="継続"),"対象外",IF(INDEX('予算一覧'!$AJ$5:$AJ$200,MATCH(C51,'予算一覧'!$A$5:$A$200,0))="はい","移管",IF(INDEX('予算一覧'!$AJ$5:$AJ$200,MATCH(C51,'予算一覧'!$A$5:$A$200,0))="いいえ","対象外","判定保留")))))</f>
        <v/>
      </c>
      <c r="P51" s="33" t="n"/>
      <c r="Q51" s="18" t="n"/>
    </row>
    <row r="52">
      <c r="A52" s="18" t="n"/>
      <c r="B52" s="18" t="n"/>
      <c r="C52" s="18" t="n"/>
      <c r="D52" s="21">
        <f>IF(C52="","",IFERROR(INDEX('予算一覧'!$B:$B,MATCH(C52,'予算一覧'!$A:$A,0)),"案件が未登録"))</f>
        <v/>
      </c>
      <c r="E52" s="18" t="n"/>
      <c r="F52" s="18" t="n"/>
      <c r="G52" s="18" t="n"/>
      <c r="H52" s="33" t="n"/>
      <c r="I52" s="33" t="n"/>
      <c r="J52" s="18" t="n"/>
      <c r="K52" s="18" t="n"/>
      <c r="L52" s="35">
        <f>IF(OR(I52="",K52=""),"",EDATE(I52,-K52))</f>
        <v/>
      </c>
      <c r="M52" s="19" t="n"/>
      <c r="N52" s="21">
        <f>IF(A52="","",COUNTIF('業務'!$N$4:$N$200,A52))</f>
        <v/>
      </c>
      <c r="O52" s="21">
        <f>IF(A52="","",IF(COUNTIF('予算一覧'!$A$5:$A$200,C52)=0,"判定保留",IF(AND(INDEX('予算一覧'!$AH$5:$AH$200,MATCH(C52,'予算一覧'!$A$5:$A$200,0))="投資予算",INDEX('予算一覧'!$AZ$5:$AZ$200,MATCH(C52,'予算一覧'!$A$5:$A$200,0))="継続"),"対象外",IF(INDEX('予算一覧'!$AJ$5:$AJ$200,MATCH(C52,'予算一覧'!$A$5:$A$200,0))="はい","移管",IF(INDEX('予算一覧'!$AJ$5:$AJ$200,MATCH(C52,'予算一覧'!$A$5:$A$200,0))="いいえ","対象外","判定保留")))))</f>
        <v/>
      </c>
      <c r="P52" s="33" t="n"/>
      <c r="Q52" s="18" t="n"/>
    </row>
    <row r="53">
      <c r="A53" s="18" t="n"/>
      <c r="B53" s="18" t="n"/>
      <c r="C53" s="18" t="n"/>
      <c r="D53" s="21">
        <f>IF(C53="","",IFERROR(INDEX('予算一覧'!$B:$B,MATCH(C53,'予算一覧'!$A:$A,0)),"案件が未登録"))</f>
        <v/>
      </c>
      <c r="E53" s="18" t="n"/>
      <c r="F53" s="18" t="n"/>
      <c r="G53" s="18" t="n"/>
      <c r="H53" s="33" t="n"/>
      <c r="I53" s="33" t="n"/>
      <c r="J53" s="18" t="n"/>
      <c r="K53" s="18" t="n"/>
      <c r="L53" s="35">
        <f>IF(OR(I53="",K53=""),"",EDATE(I53,-K53))</f>
        <v/>
      </c>
      <c r="M53" s="19" t="n"/>
      <c r="N53" s="21">
        <f>IF(A53="","",COUNTIF('業務'!$N$4:$N$200,A53))</f>
        <v/>
      </c>
      <c r="O53" s="21">
        <f>IF(A53="","",IF(COUNTIF('予算一覧'!$A$5:$A$200,C53)=0,"判定保留",IF(AND(INDEX('予算一覧'!$AH$5:$AH$200,MATCH(C53,'予算一覧'!$A$5:$A$200,0))="投資予算",INDEX('予算一覧'!$AZ$5:$AZ$200,MATCH(C53,'予算一覧'!$A$5:$A$200,0))="継続"),"対象外",IF(INDEX('予算一覧'!$AJ$5:$AJ$200,MATCH(C53,'予算一覧'!$A$5:$A$200,0))="はい","移管",IF(INDEX('予算一覧'!$AJ$5:$AJ$200,MATCH(C53,'予算一覧'!$A$5:$A$200,0))="いいえ","対象外","判定保留")))))</f>
        <v/>
      </c>
      <c r="P53" s="33" t="n"/>
      <c r="Q53" s="18" t="n"/>
    </row>
    <row r="54">
      <c r="A54" s="18" t="n"/>
      <c r="B54" s="18" t="n"/>
      <c r="C54" s="18" t="n"/>
      <c r="D54" s="21">
        <f>IF(C54="","",IFERROR(INDEX('予算一覧'!$B:$B,MATCH(C54,'予算一覧'!$A:$A,0)),"案件が未登録"))</f>
        <v/>
      </c>
      <c r="E54" s="18" t="n"/>
      <c r="F54" s="18" t="n"/>
      <c r="G54" s="18" t="n"/>
      <c r="H54" s="33" t="n"/>
      <c r="I54" s="33" t="n"/>
      <c r="J54" s="18" t="n"/>
      <c r="K54" s="18" t="n"/>
      <c r="L54" s="35">
        <f>IF(OR(I54="",K54=""),"",EDATE(I54,-K54))</f>
        <v/>
      </c>
      <c r="M54" s="19" t="n"/>
      <c r="N54" s="21">
        <f>IF(A54="","",COUNTIF('業務'!$N$4:$N$200,A54))</f>
        <v/>
      </c>
      <c r="O54" s="21">
        <f>IF(A54="","",IF(COUNTIF('予算一覧'!$A$5:$A$200,C54)=0,"判定保留",IF(AND(INDEX('予算一覧'!$AH$5:$AH$200,MATCH(C54,'予算一覧'!$A$5:$A$200,0))="投資予算",INDEX('予算一覧'!$AZ$5:$AZ$200,MATCH(C54,'予算一覧'!$A$5:$A$200,0))="継続"),"対象外",IF(INDEX('予算一覧'!$AJ$5:$AJ$200,MATCH(C54,'予算一覧'!$A$5:$A$200,0))="はい","移管",IF(INDEX('予算一覧'!$AJ$5:$AJ$200,MATCH(C54,'予算一覧'!$A$5:$A$200,0))="いいえ","対象外","判定保留")))))</f>
        <v/>
      </c>
      <c r="P54" s="33" t="n"/>
      <c r="Q54" s="18" t="n"/>
    </row>
    <row r="55">
      <c r="A55" s="18" t="n"/>
      <c r="B55" s="18" t="n"/>
      <c r="C55" s="18" t="n"/>
      <c r="D55" s="21">
        <f>IF(C55="","",IFERROR(INDEX('予算一覧'!$B:$B,MATCH(C55,'予算一覧'!$A:$A,0)),"案件が未登録"))</f>
        <v/>
      </c>
      <c r="E55" s="18" t="n"/>
      <c r="F55" s="18" t="n"/>
      <c r="G55" s="18" t="n"/>
      <c r="H55" s="33" t="n"/>
      <c r="I55" s="33" t="n"/>
      <c r="J55" s="18" t="n"/>
      <c r="K55" s="18" t="n"/>
      <c r="L55" s="35">
        <f>IF(OR(I55="",K55=""),"",EDATE(I55,-K55))</f>
        <v/>
      </c>
      <c r="M55" s="19" t="n"/>
      <c r="N55" s="21">
        <f>IF(A55="","",COUNTIF('業務'!$N$4:$N$200,A55))</f>
        <v/>
      </c>
      <c r="O55" s="21">
        <f>IF(A55="","",IF(COUNTIF('予算一覧'!$A$5:$A$200,C55)=0,"判定保留",IF(AND(INDEX('予算一覧'!$AH$5:$AH$200,MATCH(C55,'予算一覧'!$A$5:$A$200,0))="投資予算",INDEX('予算一覧'!$AZ$5:$AZ$200,MATCH(C55,'予算一覧'!$A$5:$A$200,0))="継続"),"対象外",IF(INDEX('予算一覧'!$AJ$5:$AJ$200,MATCH(C55,'予算一覧'!$A$5:$A$200,0))="はい","移管",IF(INDEX('予算一覧'!$AJ$5:$AJ$200,MATCH(C55,'予算一覧'!$A$5:$A$200,0))="いいえ","対象外","判定保留")))))</f>
        <v/>
      </c>
      <c r="P55" s="33" t="n"/>
      <c r="Q55" s="18" t="n"/>
    </row>
    <row r="56">
      <c r="A56" s="18" t="n"/>
      <c r="B56" s="18" t="n"/>
      <c r="C56" s="18" t="n"/>
      <c r="D56" s="21">
        <f>IF(C56="","",IFERROR(INDEX('予算一覧'!$B:$B,MATCH(C56,'予算一覧'!$A:$A,0)),"案件が未登録"))</f>
        <v/>
      </c>
      <c r="E56" s="18" t="n"/>
      <c r="F56" s="18" t="n"/>
      <c r="G56" s="18" t="n"/>
      <c r="H56" s="33" t="n"/>
      <c r="I56" s="33" t="n"/>
      <c r="J56" s="18" t="n"/>
      <c r="K56" s="18" t="n"/>
      <c r="L56" s="35">
        <f>IF(OR(I56="",K56=""),"",EDATE(I56,-K56))</f>
        <v/>
      </c>
      <c r="M56" s="19" t="n"/>
      <c r="N56" s="21">
        <f>IF(A56="","",COUNTIF('業務'!$N$4:$N$200,A56))</f>
        <v/>
      </c>
      <c r="O56" s="21">
        <f>IF(A56="","",IF(COUNTIF('予算一覧'!$A$5:$A$200,C56)=0,"判定保留",IF(AND(INDEX('予算一覧'!$AH$5:$AH$200,MATCH(C56,'予算一覧'!$A$5:$A$200,0))="投資予算",INDEX('予算一覧'!$AZ$5:$AZ$200,MATCH(C56,'予算一覧'!$A$5:$A$200,0))="継続"),"対象外",IF(INDEX('予算一覧'!$AJ$5:$AJ$200,MATCH(C56,'予算一覧'!$A$5:$A$200,0))="はい","移管",IF(INDEX('予算一覧'!$AJ$5:$AJ$200,MATCH(C56,'予算一覧'!$A$5:$A$200,0))="いいえ","対象外","判定保留")))))</f>
        <v/>
      </c>
      <c r="P56" s="33" t="n"/>
      <c r="Q56" s="18" t="n"/>
    </row>
    <row r="57">
      <c r="A57" s="18" t="n"/>
      <c r="B57" s="18" t="n"/>
      <c r="C57" s="18" t="n"/>
      <c r="D57" s="21">
        <f>IF(C57="","",IFERROR(INDEX('予算一覧'!$B:$B,MATCH(C57,'予算一覧'!$A:$A,0)),"案件が未登録"))</f>
        <v/>
      </c>
      <c r="E57" s="18" t="n"/>
      <c r="F57" s="18" t="n"/>
      <c r="G57" s="18" t="n"/>
      <c r="H57" s="33" t="n"/>
      <c r="I57" s="33" t="n"/>
      <c r="J57" s="18" t="n"/>
      <c r="K57" s="18" t="n"/>
      <c r="L57" s="35">
        <f>IF(OR(I57="",K57=""),"",EDATE(I57,-K57))</f>
        <v/>
      </c>
      <c r="M57" s="19" t="n"/>
      <c r="N57" s="21">
        <f>IF(A57="","",COUNTIF('業務'!$N$4:$N$200,A57))</f>
        <v/>
      </c>
      <c r="O57" s="21">
        <f>IF(A57="","",IF(COUNTIF('予算一覧'!$A$5:$A$200,C57)=0,"判定保留",IF(AND(INDEX('予算一覧'!$AH$5:$AH$200,MATCH(C57,'予算一覧'!$A$5:$A$200,0))="投資予算",INDEX('予算一覧'!$AZ$5:$AZ$200,MATCH(C57,'予算一覧'!$A$5:$A$200,0))="継続"),"対象外",IF(INDEX('予算一覧'!$AJ$5:$AJ$200,MATCH(C57,'予算一覧'!$A$5:$A$200,0))="はい","移管",IF(INDEX('予算一覧'!$AJ$5:$AJ$200,MATCH(C57,'予算一覧'!$A$5:$A$200,0))="いいえ","対象外","判定保留")))))</f>
        <v/>
      </c>
      <c r="P57" s="33" t="n"/>
      <c r="Q57" s="18" t="n"/>
    </row>
    <row r="58">
      <c r="A58" s="18" t="n"/>
      <c r="B58" s="18" t="n"/>
      <c r="C58" s="18" t="n"/>
      <c r="D58" s="21">
        <f>IF(C58="","",IFERROR(INDEX('予算一覧'!$B:$B,MATCH(C58,'予算一覧'!$A:$A,0)),"案件が未登録"))</f>
        <v/>
      </c>
      <c r="E58" s="18" t="n"/>
      <c r="F58" s="18" t="n"/>
      <c r="G58" s="18" t="n"/>
      <c r="H58" s="33" t="n"/>
      <c r="I58" s="33" t="n"/>
      <c r="J58" s="18" t="n"/>
      <c r="K58" s="18" t="n"/>
      <c r="L58" s="35">
        <f>IF(OR(I58="",K58=""),"",EDATE(I58,-K58))</f>
        <v/>
      </c>
      <c r="M58" s="19" t="n"/>
      <c r="N58" s="21">
        <f>IF(A58="","",COUNTIF('業務'!$N$4:$N$200,A58))</f>
        <v/>
      </c>
      <c r="O58" s="21">
        <f>IF(A58="","",IF(COUNTIF('予算一覧'!$A$5:$A$200,C58)=0,"判定保留",IF(AND(INDEX('予算一覧'!$AH$5:$AH$200,MATCH(C58,'予算一覧'!$A$5:$A$200,0))="投資予算",INDEX('予算一覧'!$AZ$5:$AZ$200,MATCH(C58,'予算一覧'!$A$5:$A$200,0))="継続"),"対象外",IF(INDEX('予算一覧'!$AJ$5:$AJ$200,MATCH(C58,'予算一覧'!$A$5:$A$200,0))="はい","移管",IF(INDEX('予算一覧'!$AJ$5:$AJ$200,MATCH(C58,'予算一覧'!$A$5:$A$200,0))="いいえ","対象外","判定保留")))))</f>
        <v/>
      </c>
      <c r="P58" s="33" t="n"/>
      <c r="Q58" s="18" t="n"/>
    </row>
    <row r="59">
      <c r="A59" s="18" t="n"/>
      <c r="B59" s="18" t="n"/>
      <c r="C59" s="18" t="n"/>
      <c r="D59" s="21">
        <f>IF(C59="","",IFERROR(INDEX('予算一覧'!$B:$B,MATCH(C59,'予算一覧'!$A:$A,0)),"案件が未登録"))</f>
        <v/>
      </c>
      <c r="E59" s="18" t="n"/>
      <c r="F59" s="18" t="n"/>
      <c r="G59" s="18" t="n"/>
      <c r="H59" s="33" t="n"/>
      <c r="I59" s="33" t="n"/>
      <c r="J59" s="18" t="n"/>
      <c r="K59" s="18" t="n"/>
      <c r="L59" s="35">
        <f>IF(OR(I59="",K59=""),"",EDATE(I59,-K59))</f>
        <v/>
      </c>
      <c r="M59" s="19" t="n"/>
      <c r="N59" s="21">
        <f>IF(A59="","",COUNTIF('業務'!$N$4:$N$200,A59))</f>
        <v/>
      </c>
      <c r="O59" s="21">
        <f>IF(A59="","",IF(COUNTIF('予算一覧'!$A$5:$A$200,C59)=0,"判定保留",IF(AND(INDEX('予算一覧'!$AH$5:$AH$200,MATCH(C59,'予算一覧'!$A$5:$A$200,0))="投資予算",INDEX('予算一覧'!$AZ$5:$AZ$200,MATCH(C59,'予算一覧'!$A$5:$A$200,0))="継続"),"対象外",IF(INDEX('予算一覧'!$AJ$5:$AJ$200,MATCH(C59,'予算一覧'!$A$5:$A$200,0))="はい","移管",IF(INDEX('予算一覧'!$AJ$5:$AJ$200,MATCH(C59,'予算一覧'!$A$5:$A$200,0))="いいえ","対象外","判定保留")))))</f>
        <v/>
      </c>
      <c r="P59" s="33" t="n"/>
      <c r="Q59" s="18" t="n"/>
    </row>
    <row r="60">
      <c r="A60" s="18" t="n"/>
      <c r="B60" s="18" t="n"/>
      <c r="C60" s="18" t="n"/>
      <c r="D60" s="21">
        <f>IF(C60="","",IFERROR(INDEX('予算一覧'!$B:$B,MATCH(C60,'予算一覧'!$A:$A,0)),"案件が未登録"))</f>
        <v/>
      </c>
      <c r="E60" s="18" t="n"/>
      <c r="F60" s="18" t="n"/>
      <c r="G60" s="18" t="n"/>
      <c r="H60" s="33" t="n"/>
      <c r="I60" s="33" t="n"/>
      <c r="J60" s="18" t="n"/>
      <c r="K60" s="18" t="n"/>
      <c r="L60" s="35">
        <f>IF(OR(I60="",K60=""),"",EDATE(I60,-K60))</f>
        <v/>
      </c>
      <c r="M60" s="19" t="n"/>
      <c r="N60" s="21">
        <f>IF(A60="","",COUNTIF('業務'!$N$4:$N$200,A60))</f>
        <v/>
      </c>
      <c r="O60" s="21">
        <f>IF(A60="","",IF(COUNTIF('予算一覧'!$A$5:$A$200,C60)=0,"判定保留",IF(AND(INDEX('予算一覧'!$AH$5:$AH$200,MATCH(C60,'予算一覧'!$A$5:$A$200,0))="投資予算",INDEX('予算一覧'!$AZ$5:$AZ$200,MATCH(C60,'予算一覧'!$A$5:$A$200,0))="継続"),"対象外",IF(INDEX('予算一覧'!$AJ$5:$AJ$200,MATCH(C60,'予算一覧'!$A$5:$A$200,0))="はい","移管",IF(INDEX('予算一覧'!$AJ$5:$AJ$200,MATCH(C60,'予算一覧'!$A$5:$A$200,0))="いいえ","対象外","判定保留")))))</f>
        <v/>
      </c>
      <c r="P60" s="33" t="n"/>
      <c r="Q60" s="18" t="n"/>
    </row>
    <row r="61">
      <c r="A61" s="18" t="n"/>
      <c r="B61" s="18" t="n"/>
      <c r="C61" s="18" t="n"/>
      <c r="D61" s="21">
        <f>IF(C61="","",IFERROR(INDEX('予算一覧'!$B:$B,MATCH(C61,'予算一覧'!$A:$A,0)),"案件が未登録"))</f>
        <v/>
      </c>
      <c r="E61" s="18" t="n"/>
      <c r="F61" s="18" t="n"/>
      <c r="G61" s="18" t="n"/>
      <c r="H61" s="33" t="n"/>
      <c r="I61" s="33" t="n"/>
      <c r="J61" s="18" t="n"/>
      <c r="K61" s="18" t="n"/>
      <c r="L61" s="35">
        <f>IF(OR(I61="",K61=""),"",EDATE(I61,-K61))</f>
        <v/>
      </c>
      <c r="M61" s="19" t="n"/>
      <c r="N61" s="21">
        <f>IF(A61="","",COUNTIF('業務'!$N$4:$N$200,A61))</f>
        <v/>
      </c>
      <c r="O61" s="21">
        <f>IF(A61="","",IF(COUNTIF('予算一覧'!$A$5:$A$200,C61)=0,"判定保留",IF(AND(INDEX('予算一覧'!$AH$5:$AH$200,MATCH(C61,'予算一覧'!$A$5:$A$200,0))="投資予算",INDEX('予算一覧'!$AZ$5:$AZ$200,MATCH(C61,'予算一覧'!$A$5:$A$200,0))="継続"),"対象外",IF(INDEX('予算一覧'!$AJ$5:$AJ$200,MATCH(C61,'予算一覧'!$A$5:$A$200,0))="はい","移管",IF(INDEX('予算一覧'!$AJ$5:$AJ$200,MATCH(C61,'予算一覧'!$A$5:$A$200,0))="いいえ","対象外","判定保留")))))</f>
        <v/>
      </c>
      <c r="P61" s="33" t="n"/>
      <c r="Q61" s="18" t="n"/>
    </row>
    <row r="62">
      <c r="A62" s="18" t="n"/>
      <c r="B62" s="18" t="n"/>
      <c r="C62" s="18" t="n"/>
      <c r="D62" s="21">
        <f>IF(C62="","",IFERROR(INDEX('予算一覧'!$B:$B,MATCH(C62,'予算一覧'!$A:$A,0)),"案件が未登録"))</f>
        <v/>
      </c>
      <c r="E62" s="18" t="n"/>
      <c r="F62" s="18" t="n"/>
      <c r="G62" s="18" t="n"/>
      <c r="H62" s="33" t="n"/>
      <c r="I62" s="33" t="n"/>
      <c r="J62" s="18" t="n"/>
      <c r="K62" s="18" t="n"/>
      <c r="L62" s="35">
        <f>IF(OR(I62="",K62=""),"",EDATE(I62,-K62))</f>
        <v/>
      </c>
      <c r="M62" s="19" t="n"/>
      <c r="N62" s="21">
        <f>IF(A62="","",COUNTIF('業務'!$N$4:$N$200,A62))</f>
        <v/>
      </c>
      <c r="O62" s="21">
        <f>IF(A62="","",IF(COUNTIF('予算一覧'!$A$5:$A$200,C62)=0,"判定保留",IF(AND(INDEX('予算一覧'!$AH$5:$AH$200,MATCH(C62,'予算一覧'!$A$5:$A$200,0))="投資予算",INDEX('予算一覧'!$AZ$5:$AZ$200,MATCH(C62,'予算一覧'!$A$5:$A$200,0))="継続"),"対象外",IF(INDEX('予算一覧'!$AJ$5:$AJ$200,MATCH(C62,'予算一覧'!$A$5:$A$200,0))="はい","移管",IF(INDEX('予算一覧'!$AJ$5:$AJ$200,MATCH(C62,'予算一覧'!$A$5:$A$200,0))="いいえ","対象外","判定保留")))))</f>
        <v/>
      </c>
      <c r="P62" s="33" t="n"/>
      <c r="Q62" s="18" t="n"/>
    </row>
    <row r="63">
      <c r="A63" s="18" t="n"/>
      <c r="B63" s="18" t="n"/>
      <c r="C63" s="18" t="n"/>
      <c r="D63" s="21">
        <f>IF(C63="","",IFERROR(INDEX('予算一覧'!$B:$B,MATCH(C63,'予算一覧'!$A:$A,0)),"案件が未登録"))</f>
        <v/>
      </c>
      <c r="E63" s="18" t="n"/>
      <c r="F63" s="18" t="n"/>
      <c r="G63" s="18" t="n"/>
      <c r="H63" s="33" t="n"/>
      <c r="I63" s="33" t="n"/>
      <c r="J63" s="18" t="n"/>
      <c r="K63" s="18" t="n"/>
      <c r="L63" s="35">
        <f>IF(OR(I63="",K63=""),"",EDATE(I63,-K63))</f>
        <v/>
      </c>
      <c r="M63" s="19" t="n"/>
      <c r="N63" s="21">
        <f>IF(A63="","",COUNTIF('業務'!$N$4:$N$200,A63))</f>
        <v/>
      </c>
      <c r="O63" s="21">
        <f>IF(A63="","",IF(COUNTIF('予算一覧'!$A$5:$A$200,C63)=0,"判定保留",IF(AND(INDEX('予算一覧'!$AH$5:$AH$200,MATCH(C63,'予算一覧'!$A$5:$A$200,0))="投資予算",INDEX('予算一覧'!$AZ$5:$AZ$200,MATCH(C63,'予算一覧'!$A$5:$A$200,0))="継続"),"対象外",IF(INDEX('予算一覧'!$AJ$5:$AJ$200,MATCH(C63,'予算一覧'!$A$5:$A$200,0))="はい","移管",IF(INDEX('予算一覧'!$AJ$5:$AJ$200,MATCH(C63,'予算一覧'!$A$5:$A$200,0))="いいえ","対象外","判定保留")))))</f>
        <v/>
      </c>
      <c r="P63" s="33" t="n"/>
      <c r="Q63" s="18" t="n"/>
    </row>
    <row r="64">
      <c r="A64" s="18" t="n"/>
      <c r="B64" s="18" t="n"/>
      <c r="C64" s="18" t="n"/>
      <c r="D64" s="21">
        <f>IF(C64="","",IFERROR(INDEX('予算一覧'!$B:$B,MATCH(C64,'予算一覧'!$A:$A,0)),"案件が未登録"))</f>
        <v/>
      </c>
      <c r="E64" s="18" t="n"/>
      <c r="F64" s="18" t="n"/>
      <c r="G64" s="18" t="n"/>
      <c r="H64" s="33" t="n"/>
      <c r="I64" s="33" t="n"/>
      <c r="J64" s="18" t="n"/>
      <c r="K64" s="18" t="n"/>
      <c r="L64" s="35">
        <f>IF(OR(I64="",K64=""),"",EDATE(I64,-K64))</f>
        <v/>
      </c>
      <c r="M64" s="19" t="n"/>
      <c r="N64" s="21">
        <f>IF(A64="","",COUNTIF('業務'!$N$4:$N$200,A64))</f>
        <v/>
      </c>
      <c r="O64" s="21">
        <f>IF(A64="","",IF(COUNTIF('予算一覧'!$A$5:$A$200,C64)=0,"判定保留",IF(AND(INDEX('予算一覧'!$AH$5:$AH$200,MATCH(C64,'予算一覧'!$A$5:$A$200,0))="投資予算",INDEX('予算一覧'!$AZ$5:$AZ$200,MATCH(C64,'予算一覧'!$A$5:$A$200,0))="継続"),"対象外",IF(INDEX('予算一覧'!$AJ$5:$AJ$200,MATCH(C64,'予算一覧'!$A$5:$A$200,0))="はい","移管",IF(INDEX('予算一覧'!$AJ$5:$AJ$200,MATCH(C64,'予算一覧'!$A$5:$A$200,0))="いいえ","対象外","判定保留")))))</f>
        <v/>
      </c>
      <c r="P64" s="33" t="n"/>
      <c r="Q64" s="18" t="n"/>
    </row>
    <row r="65">
      <c r="A65" s="18" t="n"/>
      <c r="B65" s="18" t="n"/>
      <c r="C65" s="18" t="n"/>
      <c r="D65" s="21">
        <f>IF(C65="","",IFERROR(INDEX('予算一覧'!$B:$B,MATCH(C65,'予算一覧'!$A:$A,0)),"案件が未登録"))</f>
        <v/>
      </c>
      <c r="E65" s="18" t="n"/>
      <c r="F65" s="18" t="n"/>
      <c r="G65" s="18" t="n"/>
      <c r="H65" s="33" t="n"/>
      <c r="I65" s="33" t="n"/>
      <c r="J65" s="18" t="n"/>
      <c r="K65" s="18" t="n"/>
      <c r="L65" s="35">
        <f>IF(OR(I65="",K65=""),"",EDATE(I65,-K65))</f>
        <v/>
      </c>
      <c r="M65" s="19" t="n"/>
      <c r="N65" s="21">
        <f>IF(A65="","",COUNTIF('業務'!$N$4:$N$200,A65))</f>
        <v/>
      </c>
      <c r="O65" s="21">
        <f>IF(A65="","",IF(COUNTIF('予算一覧'!$A$5:$A$200,C65)=0,"判定保留",IF(AND(INDEX('予算一覧'!$AH$5:$AH$200,MATCH(C65,'予算一覧'!$A$5:$A$200,0))="投資予算",INDEX('予算一覧'!$AZ$5:$AZ$200,MATCH(C65,'予算一覧'!$A$5:$A$200,0))="継続"),"対象外",IF(INDEX('予算一覧'!$AJ$5:$AJ$200,MATCH(C65,'予算一覧'!$A$5:$A$200,0))="はい","移管",IF(INDEX('予算一覧'!$AJ$5:$AJ$200,MATCH(C65,'予算一覧'!$A$5:$A$200,0))="いいえ","対象外","判定保留")))))</f>
        <v/>
      </c>
      <c r="P65" s="33" t="n"/>
      <c r="Q65" s="18" t="n"/>
    </row>
    <row r="66">
      <c r="A66" s="18" t="n"/>
      <c r="B66" s="18" t="n"/>
      <c r="C66" s="18" t="n"/>
      <c r="D66" s="21">
        <f>IF(C66="","",IFERROR(INDEX('予算一覧'!$B:$B,MATCH(C66,'予算一覧'!$A:$A,0)),"案件が未登録"))</f>
        <v/>
      </c>
      <c r="E66" s="18" t="n"/>
      <c r="F66" s="18" t="n"/>
      <c r="G66" s="18" t="n"/>
      <c r="H66" s="33" t="n"/>
      <c r="I66" s="33" t="n"/>
      <c r="J66" s="18" t="n"/>
      <c r="K66" s="18" t="n"/>
      <c r="L66" s="35">
        <f>IF(OR(I66="",K66=""),"",EDATE(I66,-K66))</f>
        <v/>
      </c>
      <c r="M66" s="19" t="n"/>
      <c r="N66" s="21">
        <f>IF(A66="","",COUNTIF('業務'!$N$4:$N$200,A66))</f>
        <v/>
      </c>
      <c r="O66" s="21">
        <f>IF(A66="","",IF(COUNTIF('予算一覧'!$A$5:$A$200,C66)=0,"判定保留",IF(AND(INDEX('予算一覧'!$AH$5:$AH$200,MATCH(C66,'予算一覧'!$A$5:$A$200,0))="投資予算",INDEX('予算一覧'!$AZ$5:$AZ$200,MATCH(C66,'予算一覧'!$A$5:$A$200,0))="継続"),"対象外",IF(INDEX('予算一覧'!$AJ$5:$AJ$200,MATCH(C66,'予算一覧'!$A$5:$A$200,0))="はい","移管",IF(INDEX('予算一覧'!$AJ$5:$AJ$200,MATCH(C66,'予算一覧'!$A$5:$A$200,0))="いいえ","対象外","判定保留")))))</f>
        <v/>
      </c>
      <c r="P66" s="33" t="n"/>
      <c r="Q66" s="18" t="n"/>
    </row>
    <row r="67">
      <c r="A67" s="18" t="n"/>
      <c r="B67" s="18" t="n"/>
      <c r="C67" s="18" t="n"/>
      <c r="D67" s="21">
        <f>IF(C67="","",IFERROR(INDEX('予算一覧'!$B:$B,MATCH(C67,'予算一覧'!$A:$A,0)),"案件が未登録"))</f>
        <v/>
      </c>
      <c r="E67" s="18" t="n"/>
      <c r="F67" s="18" t="n"/>
      <c r="G67" s="18" t="n"/>
      <c r="H67" s="33" t="n"/>
      <c r="I67" s="33" t="n"/>
      <c r="J67" s="18" t="n"/>
      <c r="K67" s="18" t="n"/>
      <c r="L67" s="35">
        <f>IF(OR(I67="",K67=""),"",EDATE(I67,-K67))</f>
        <v/>
      </c>
      <c r="M67" s="19" t="n"/>
      <c r="N67" s="21">
        <f>IF(A67="","",COUNTIF('業務'!$N$4:$N$200,A67))</f>
        <v/>
      </c>
      <c r="O67" s="21">
        <f>IF(A67="","",IF(COUNTIF('予算一覧'!$A$5:$A$200,C67)=0,"判定保留",IF(AND(INDEX('予算一覧'!$AH$5:$AH$200,MATCH(C67,'予算一覧'!$A$5:$A$200,0))="投資予算",INDEX('予算一覧'!$AZ$5:$AZ$200,MATCH(C67,'予算一覧'!$A$5:$A$200,0))="継続"),"対象外",IF(INDEX('予算一覧'!$AJ$5:$AJ$200,MATCH(C67,'予算一覧'!$A$5:$A$200,0))="はい","移管",IF(INDEX('予算一覧'!$AJ$5:$AJ$200,MATCH(C67,'予算一覧'!$A$5:$A$200,0))="いいえ","対象外","判定保留")))))</f>
        <v/>
      </c>
      <c r="P67" s="33" t="n"/>
      <c r="Q67" s="18" t="n"/>
    </row>
    <row r="68">
      <c r="A68" s="18" t="n"/>
      <c r="B68" s="18" t="n"/>
      <c r="C68" s="18" t="n"/>
      <c r="D68" s="21">
        <f>IF(C68="","",IFERROR(INDEX('予算一覧'!$B:$B,MATCH(C68,'予算一覧'!$A:$A,0)),"案件が未登録"))</f>
        <v/>
      </c>
      <c r="E68" s="18" t="n"/>
      <c r="F68" s="18" t="n"/>
      <c r="G68" s="18" t="n"/>
      <c r="H68" s="33" t="n"/>
      <c r="I68" s="33" t="n"/>
      <c r="J68" s="18" t="n"/>
      <c r="K68" s="18" t="n"/>
      <c r="L68" s="35">
        <f>IF(OR(I68="",K68=""),"",EDATE(I68,-K68))</f>
        <v/>
      </c>
      <c r="M68" s="19" t="n"/>
      <c r="N68" s="21">
        <f>IF(A68="","",COUNTIF('業務'!$N$4:$N$200,A68))</f>
        <v/>
      </c>
      <c r="O68" s="21">
        <f>IF(A68="","",IF(COUNTIF('予算一覧'!$A$5:$A$200,C68)=0,"判定保留",IF(AND(INDEX('予算一覧'!$AH$5:$AH$200,MATCH(C68,'予算一覧'!$A$5:$A$200,0))="投資予算",INDEX('予算一覧'!$AZ$5:$AZ$200,MATCH(C68,'予算一覧'!$A$5:$A$200,0))="継続"),"対象外",IF(INDEX('予算一覧'!$AJ$5:$AJ$200,MATCH(C68,'予算一覧'!$A$5:$A$200,0))="はい","移管",IF(INDEX('予算一覧'!$AJ$5:$AJ$200,MATCH(C68,'予算一覧'!$A$5:$A$200,0))="いいえ","対象外","判定保留")))))</f>
        <v/>
      </c>
      <c r="P68" s="33" t="n"/>
      <c r="Q68" s="18" t="n"/>
    </row>
    <row r="69">
      <c r="A69" s="18" t="n"/>
      <c r="B69" s="18" t="n"/>
      <c r="C69" s="18" t="n"/>
      <c r="D69" s="21">
        <f>IF(C69="","",IFERROR(INDEX('予算一覧'!$B:$B,MATCH(C69,'予算一覧'!$A:$A,0)),"案件が未登録"))</f>
        <v/>
      </c>
      <c r="E69" s="18" t="n"/>
      <c r="F69" s="18" t="n"/>
      <c r="G69" s="18" t="n"/>
      <c r="H69" s="33" t="n"/>
      <c r="I69" s="33" t="n"/>
      <c r="J69" s="18" t="n"/>
      <c r="K69" s="18" t="n"/>
      <c r="L69" s="35">
        <f>IF(OR(I69="",K69=""),"",EDATE(I69,-K69))</f>
        <v/>
      </c>
      <c r="M69" s="19" t="n"/>
      <c r="N69" s="21">
        <f>IF(A69="","",COUNTIF('業務'!$N$4:$N$200,A69))</f>
        <v/>
      </c>
      <c r="O69" s="21">
        <f>IF(A69="","",IF(COUNTIF('予算一覧'!$A$5:$A$200,C69)=0,"判定保留",IF(AND(INDEX('予算一覧'!$AH$5:$AH$200,MATCH(C69,'予算一覧'!$A$5:$A$200,0))="投資予算",INDEX('予算一覧'!$AZ$5:$AZ$200,MATCH(C69,'予算一覧'!$A$5:$A$200,0))="継続"),"対象外",IF(INDEX('予算一覧'!$AJ$5:$AJ$200,MATCH(C69,'予算一覧'!$A$5:$A$200,0))="はい","移管",IF(INDEX('予算一覧'!$AJ$5:$AJ$200,MATCH(C69,'予算一覧'!$A$5:$A$200,0))="いいえ","対象外","判定保留")))))</f>
        <v/>
      </c>
      <c r="P69" s="33" t="n"/>
      <c r="Q69" s="18" t="n"/>
    </row>
    <row r="70">
      <c r="A70" s="18" t="n"/>
      <c r="B70" s="18" t="n"/>
      <c r="C70" s="18" t="n"/>
      <c r="D70" s="21">
        <f>IF(C70="","",IFERROR(INDEX('予算一覧'!$B:$B,MATCH(C70,'予算一覧'!$A:$A,0)),"案件が未登録"))</f>
        <v/>
      </c>
      <c r="E70" s="18" t="n"/>
      <c r="F70" s="18" t="n"/>
      <c r="G70" s="18" t="n"/>
      <c r="H70" s="33" t="n"/>
      <c r="I70" s="33" t="n"/>
      <c r="J70" s="18" t="n"/>
      <c r="K70" s="18" t="n"/>
      <c r="L70" s="35">
        <f>IF(OR(I70="",K70=""),"",EDATE(I70,-K70))</f>
        <v/>
      </c>
      <c r="M70" s="19" t="n"/>
      <c r="N70" s="21">
        <f>IF(A70="","",COUNTIF('業務'!$N$4:$N$200,A70))</f>
        <v/>
      </c>
      <c r="O70" s="21">
        <f>IF(A70="","",IF(COUNTIF('予算一覧'!$A$5:$A$200,C70)=0,"判定保留",IF(AND(INDEX('予算一覧'!$AH$5:$AH$200,MATCH(C70,'予算一覧'!$A$5:$A$200,0))="投資予算",INDEX('予算一覧'!$AZ$5:$AZ$200,MATCH(C70,'予算一覧'!$A$5:$A$200,0))="継続"),"対象外",IF(INDEX('予算一覧'!$AJ$5:$AJ$200,MATCH(C70,'予算一覧'!$A$5:$A$200,0))="はい","移管",IF(INDEX('予算一覧'!$AJ$5:$AJ$200,MATCH(C70,'予算一覧'!$A$5:$A$200,0))="いいえ","対象外","判定保留")))))</f>
        <v/>
      </c>
      <c r="P70" s="33" t="n"/>
      <c r="Q70" s="18" t="n"/>
    </row>
    <row r="71">
      <c r="A71" s="18" t="n"/>
      <c r="B71" s="18" t="n"/>
      <c r="C71" s="18" t="n"/>
      <c r="D71" s="21">
        <f>IF(C71="","",IFERROR(INDEX('予算一覧'!$B:$B,MATCH(C71,'予算一覧'!$A:$A,0)),"案件が未登録"))</f>
        <v/>
      </c>
      <c r="E71" s="18" t="n"/>
      <c r="F71" s="18" t="n"/>
      <c r="G71" s="18" t="n"/>
      <c r="H71" s="33" t="n"/>
      <c r="I71" s="33" t="n"/>
      <c r="J71" s="18" t="n"/>
      <c r="K71" s="18" t="n"/>
      <c r="L71" s="35">
        <f>IF(OR(I71="",K71=""),"",EDATE(I71,-K71))</f>
        <v/>
      </c>
      <c r="M71" s="19" t="n"/>
      <c r="N71" s="21">
        <f>IF(A71="","",COUNTIF('業務'!$N$4:$N$200,A71))</f>
        <v/>
      </c>
      <c r="O71" s="21">
        <f>IF(A71="","",IF(COUNTIF('予算一覧'!$A$5:$A$200,C71)=0,"判定保留",IF(AND(INDEX('予算一覧'!$AH$5:$AH$200,MATCH(C71,'予算一覧'!$A$5:$A$200,0))="投資予算",INDEX('予算一覧'!$AZ$5:$AZ$200,MATCH(C71,'予算一覧'!$A$5:$A$200,0))="継続"),"対象外",IF(INDEX('予算一覧'!$AJ$5:$AJ$200,MATCH(C71,'予算一覧'!$A$5:$A$200,0))="はい","移管",IF(INDEX('予算一覧'!$AJ$5:$AJ$200,MATCH(C71,'予算一覧'!$A$5:$A$200,0))="いいえ","対象外","判定保留")))))</f>
        <v/>
      </c>
      <c r="P71" s="33" t="n"/>
      <c r="Q71" s="18" t="n"/>
    </row>
    <row r="72">
      <c r="A72" s="18" t="n"/>
      <c r="B72" s="18" t="n"/>
      <c r="C72" s="18" t="n"/>
      <c r="D72" s="21">
        <f>IF(C72="","",IFERROR(INDEX('予算一覧'!$B:$B,MATCH(C72,'予算一覧'!$A:$A,0)),"案件が未登録"))</f>
        <v/>
      </c>
      <c r="E72" s="18" t="n"/>
      <c r="F72" s="18" t="n"/>
      <c r="G72" s="18" t="n"/>
      <c r="H72" s="33" t="n"/>
      <c r="I72" s="33" t="n"/>
      <c r="J72" s="18" t="n"/>
      <c r="K72" s="18" t="n"/>
      <c r="L72" s="35">
        <f>IF(OR(I72="",K72=""),"",EDATE(I72,-K72))</f>
        <v/>
      </c>
      <c r="M72" s="19" t="n"/>
      <c r="N72" s="21">
        <f>IF(A72="","",COUNTIF('業務'!$N$4:$N$200,A72))</f>
        <v/>
      </c>
      <c r="O72" s="21">
        <f>IF(A72="","",IF(COUNTIF('予算一覧'!$A$5:$A$200,C72)=0,"判定保留",IF(AND(INDEX('予算一覧'!$AH$5:$AH$200,MATCH(C72,'予算一覧'!$A$5:$A$200,0))="投資予算",INDEX('予算一覧'!$AZ$5:$AZ$200,MATCH(C72,'予算一覧'!$A$5:$A$200,0))="継続"),"対象外",IF(INDEX('予算一覧'!$AJ$5:$AJ$200,MATCH(C72,'予算一覧'!$A$5:$A$200,0))="はい","移管",IF(INDEX('予算一覧'!$AJ$5:$AJ$200,MATCH(C72,'予算一覧'!$A$5:$A$200,0))="いいえ","対象外","判定保留")))))</f>
        <v/>
      </c>
      <c r="P72" s="33" t="n"/>
      <c r="Q72" s="18" t="n"/>
    </row>
    <row r="73">
      <c r="A73" s="18" t="n"/>
      <c r="B73" s="18" t="n"/>
      <c r="C73" s="18" t="n"/>
      <c r="D73" s="21">
        <f>IF(C73="","",IFERROR(INDEX('予算一覧'!$B:$B,MATCH(C73,'予算一覧'!$A:$A,0)),"案件が未登録"))</f>
        <v/>
      </c>
      <c r="E73" s="18" t="n"/>
      <c r="F73" s="18" t="n"/>
      <c r="G73" s="18" t="n"/>
      <c r="H73" s="33" t="n"/>
      <c r="I73" s="33" t="n"/>
      <c r="J73" s="18" t="n"/>
      <c r="K73" s="18" t="n"/>
      <c r="L73" s="35">
        <f>IF(OR(I73="",K73=""),"",EDATE(I73,-K73))</f>
        <v/>
      </c>
      <c r="M73" s="19" t="n"/>
      <c r="N73" s="21">
        <f>IF(A73="","",COUNTIF('業務'!$N$4:$N$200,A73))</f>
        <v/>
      </c>
      <c r="O73" s="21">
        <f>IF(A73="","",IF(COUNTIF('予算一覧'!$A$5:$A$200,C73)=0,"判定保留",IF(AND(INDEX('予算一覧'!$AH$5:$AH$200,MATCH(C73,'予算一覧'!$A$5:$A$200,0))="投資予算",INDEX('予算一覧'!$AZ$5:$AZ$200,MATCH(C73,'予算一覧'!$A$5:$A$200,0))="継続"),"対象外",IF(INDEX('予算一覧'!$AJ$5:$AJ$200,MATCH(C73,'予算一覧'!$A$5:$A$200,0))="はい","移管",IF(INDEX('予算一覧'!$AJ$5:$AJ$200,MATCH(C73,'予算一覧'!$A$5:$A$200,0))="いいえ","対象外","判定保留")))))</f>
        <v/>
      </c>
      <c r="P73" s="33" t="n"/>
      <c r="Q73" s="18" t="n"/>
    </row>
    <row r="74">
      <c r="A74" s="18" t="n"/>
      <c r="B74" s="18" t="n"/>
      <c r="C74" s="18" t="n"/>
      <c r="D74" s="21">
        <f>IF(C74="","",IFERROR(INDEX('予算一覧'!$B:$B,MATCH(C74,'予算一覧'!$A:$A,0)),"案件が未登録"))</f>
        <v/>
      </c>
      <c r="E74" s="18" t="n"/>
      <c r="F74" s="18" t="n"/>
      <c r="G74" s="18" t="n"/>
      <c r="H74" s="33" t="n"/>
      <c r="I74" s="33" t="n"/>
      <c r="J74" s="18" t="n"/>
      <c r="K74" s="18" t="n"/>
      <c r="L74" s="35">
        <f>IF(OR(I74="",K74=""),"",EDATE(I74,-K74))</f>
        <v/>
      </c>
      <c r="M74" s="19" t="n"/>
      <c r="N74" s="21">
        <f>IF(A74="","",COUNTIF('業務'!$N$4:$N$200,A74))</f>
        <v/>
      </c>
      <c r="O74" s="21">
        <f>IF(A74="","",IF(COUNTIF('予算一覧'!$A$5:$A$200,C74)=0,"判定保留",IF(AND(INDEX('予算一覧'!$AH$5:$AH$200,MATCH(C74,'予算一覧'!$A$5:$A$200,0))="投資予算",INDEX('予算一覧'!$AZ$5:$AZ$200,MATCH(C74,'予算一覧'!$A$5:$A$200,0))="継続"),"対象外",IF(INDEX('予算一覧'!$AJ$5:$AJ$200,MATCH(C74,'予算一覧'!$A$5:$A$200,0))="はい","移管",IF(INDEX('予算一覧'!$AJ$5:$AJ$200,MATCH(C74,'予算一覧'!$A$5:$A$200,0))="いいえ","対象外","判定保留")))))</f>
        <v/>
      </c>
      <c r="P74" s="33" t="n"/>
      <c r="Q74" s="18" t="n"/>
    </row>
    <row r="75">
      <c r="A75" s="18" t="n"/>
      <c r="B75" s="18" t="n"/>
      <c r="C75" s="18" t="n"/>
      <c r="D75" s="21">
        <f>IF(C75="","",IFERROR(INDEX('予算一覧'!$B:$B,MATCH(C75,'予算一覧'!$A:$A,0)),"案件が未登録"))</f>
        <v/>
      </c>
      <c r="E75" s="18" t="n"/>
      <c r="F75" s="18" t="n"/>
      <c r="G75" s="18" t="n"/>
      <c r="H75" s="33" t="n"/>
      <c r="I75" s="33" t="n"/>
      <c r="J75" s="18" t="n"/>
      <c r="K75" s="18" t="n"/>
      <c r="L75" s="35">
        <f>IF(OR(I75="",K75=""),"",EDATE(I75,-K75))</f>
        <v/>
      </c>
      <c r="M75" s="19" t="n"/>
      <c r="N75" s="21">
        <f>IF(A75="","",COUNTIF('業務'!$N$4:$N$200,A75))</f>
        <v/>
      </c>
      <c r="O75" s="21">
        <f>IF(A75="","",IF(COUNTIF('予算一覧'!$A$5:$A$200,C75)=0,"判定保留",IF(AND(INDEX('予算一覧'!$AH$5:$AH$200,MATCH(C75,'予算一覧'!$A$5:$A$200,0))="投資予算",INDEX('予算一覧'!$AZ$5:$AZ$200,MATCH(C75,'予算一覧'!$A$5:$A$200,0))="継続"),"対象外",IF(INDEX('予算一覧'!$AJ$5:$AJ$200,MATCH(C75,'予算一覧'!$A$5:$A$200,0))="はい","移管",IF(INDEX('予算一覧'!$AJ$5:$AJ$200,MATCH(C75,'予算一覧'!$A$5:$A$200,0))="いいえ","対象外","判定保留")))))</f>
        <v/>
      </c>
      <c r="P75" s="33" t="n"/>
      <c r="Q75" s="18" t="n"/>
    </row>
    <row r="76">
      <c r="A76" s="18" t="n"/>
      <c r="B76" s="18" t="n"/>
      <c r="C76" s="18" t="n"/>
      <c r="D76" s="21">
        <f>IF(C76="","",IFERROR(INDEX('予算一覧'!$B:$B,MATCH(C76,'予算一覧'!$A:$A,0)),"案件が未登録"))</f>
        <v/>
      </c>
      <c r="E76" s="18" t="n"/>
      <c r="F76" s="18" t="n"/>
      <c r="G76" s="18" t="n"/>
      <c r="H76" s="33" t="n"/>
      <c r="I76" s="33" t="n"/>
      <c r="J76" s="18" t="n"/>
      <c r="K76" s="18" t="n"/>
      <c r="L76" s="35">
        <f>IF(OR(I76="",K76=""),"",EDATE(I76,-K76))</f>
        <v/>
      </c>
      <c r="M76" s="19" t="n"/>
      <c r="N76" s="21">
        <f>IF(A76="","",COUNTIF('業務'!$N$4:$N$200,A76))</f>
        <v/>
      </c>
      <c r="O76" s="21">
        <f>IF(A76="","",IF(COUNTIF('予算一覧'!$A$5:$A$200,C76)=0,"判定保留",IF(AND(INDEX('予算一覧'!$AH$5:$AH$200,MATCH(C76,'予算一覧'!$A$5:$A$200,0))="投資予算",INDEX('予算一覧'!$AZ$5:$AZ$200,MATCH(C76,'予算一覧'!$A$5:$A$200,0))="継続"),"対象外",IF(INDEX('予算一覧'!$AJ$5:$AJ$200,MATCH(C76,'予算一覧'!$A$5:$A$200,0))="はい","移管",IF(INDEX('予算一覧'!$AJ$5:$AJ$200,MATCH(C76,'予算一覧'!$A$5:$A$200,0))="いいえ","対象外","判定保留")))))</f>
        <v/>
      </c>
      <c r="P76" s="33" t="n"/>
      <c r="Q76" s="18" t="n"/>
    </row>
    <row r="77">
      <c r="A77" s="18" t="n"/>
      <c r="B77" s="18" t="n"/>
      <c r="C77" s="18" t="n"/>
      <c r="D77" s="21">
        <f>IF(C77="","",IFERROR(INDEX('予算一覧'!$B:$B,MATCH(C77,'予算一覧'!$A:$A,0)),"案件が未登録"))</f>
        <v/>
      </c>
      <c r="E77" s="18" t="n"/>
      <c r="F77" s="18" t="n"/>
      <c r="G77" s="18" t="n"/>
      <c r="H77" s="33" t="n"/>
      <c r="I77" s="33" t="n"/>
      <c r="J77" s="18" t="n"/>
      <c r="K77" s="18" t="n"/>
      <c r="L77" s="35">
        <f>IF(OR(I77="",K77=""),"",EDATE(I77,-K77))</f>
        <v/>
      </c>
      <c r="M77" s="19" t="n"/>
      <c r="N77" s="21">
        <f>IF(A77="","",COUNTIF('業務'!$N$4:$N$200,A77))</f>
        <v/>
      </c>
      <c r="O77" s="21">
        <f>IF(A77="","",IF(COUNTIF('予算一覧'!$A$5:$A$200,C77)=0,"判定保留",IF(AND(INDEX('予算一覧'!$AH$5:$AH$200,MATCH(C77,'予算一覧'!$A$5:$A$200,0))="投資予算",INDEX('予算一覧'!$AZ$5:$AZ$200,MATCH(C77,'予算一覧'!$A$5:$A$200,0))="継続"),"対象外",IF(INDEX('予算一覧'!$AJ$5:$AJ$200,MATCH(C77,'予算一覧'!$A$5:$A$200,0))="はい","移管",IF(INDEX('予算一覧'!$AJ$5:$AJ$200,MATCH(C77,'予算一覧'!$A$5:$A$200,0))="いいえ","対象外","判定保留")))))</f>
        <v/>
      </c>
      <c r="P77" s="33" t="n"/>
      <c r="Q77" s="18" t="n"/>
    </row>
    <row r="78">
      <c r="A78" s="18" t="n"/>
      <c r="B78" s="18" t="n"/>
      <c r="C78" s="18" t="n"/>
      <c r="D78" s="21">
        <f>IF(C78="","",IFERROR(INDEX('予算一覧'!$B:$B,MATCH(C78,'予算一覧'!$A:$A,0)),"案件が未登録"))</f>
        <v/>
      </c>
      <c r="E78" s="18" t="n"/>
      <c r="F78" s="18" t="n"/>
      <c r="G78" s="18" t="n"/>
      <c r="H78" s="33" t="n"/>
      <c r="I78" s="33" t="n"/>
      <c r="J78" s="18" t="n"/>
      <c r="K78" s="18" t="n"/>
      <c r="L78" s="35">
        <f>IF(OR(I78="",K78=""),"",EDATE(I78,-K78))</f>
        <v/>
      </c>
      <c r="M78" s="19" t="n"/>
      <c r="N78" s="21">
        <f>IF(A78="","",COUNTIF('業務'!$N$4:$N$200,A78))</f>
        <v/>
      </c>
      <c r="O78" s="21">
        <f>IF(A78="","",IF(COUNTIF('予算一覧'!$A$5:$A$200,C78)=0,"判定保留",IF(AND(INDEX('予算一覧'!$AH$5:$AH$200,MATCH(C78,'予算一覧'!$A$5:$A$200,0))="投資予算",INDEX('予算一覧'!$AZ$5:$AZ$200,MATCH(C78,'予算一覧'!$A$5:$A$200,0))="継続"),"対象外",IF(INDEX('予算一覧'!$AJ$5:$AJ$200,MATCH(C78,'予算一覧'!$A$5:$A$200,0))="はい","移管",IF(INDEX('予算一覧'!$AJ$5:$AJ$200,MATCH(C78,'予算一覧'!$A$5:$A$200,0))="いいえ","対象外","判定保留")))))</f>
        <v/>
      </c>
      <c r="P78" s="33" t="n"/>
      <c r="Q78" s="18" t="n"/>
    </row>
    <row r="79">
      <c r="A79" s="18" t="n"/>
      <c r="B79" s="18" t="n"/>
      <c r="C79" s="18" t="n"/>
      <c r="D79" s="21">
        <f>IF(C79="","",IFERROR(INDEX('予算一覧'!$B:$B,MATCH(C79,'予算一覧'!$A:$A,0)),"案件が未登録"))</f>
        <v/>
      </c>
      <c r="E79" s="18" t="n"/>
      <c r="F79" s="18" t="n"/>
      <c r="G79" s="18" t="n"/>
      <c r="H79" s="33" t="n"/>
      <c r="I79" s="33" t="n"/>
      <c r="J79" s="18" t="n"/>
      <c r="K79" s="18" t="n"/>
      <c r="L79" s="35">
        <f>IF(OR(I79="",K79=""),"",EDATE(I79,-K79))</f>
        <v/>
      </c>
      <c r="M79" s="19" t="n"/>
      <c r="N79" s="21">
        <f>IF(A79="","",COUNTIF('業務'!$N$4:$N$200,A79))</f>
        <v/>
      </c>
      <c r="O79" s="21">
        <f>IF(A79="","",IF(COUNTIF('予算一覧'!$A$5:$A$200,C79)=0,"判定保留",IF(AND(INDEX('予算一覧'!$AH$5:$AH$200,MATCH(C79,'予算一覧'!$A$5:$A$200,0))="投資予算",INDEX('予算一覧'!$AZ$5:$AZ$200,MATCH(C79,'予算一覧'!$A$5:$A$200,0))="継続"),"対象外",IF(INDEX('予算一覧'!$AJ$5:$AJ$200,MATCH(C79,'予算一覧'!$A$5:$A$200,0))="はい","移管",IF(INDEX('予算一覧'!$AJ$5:$AJ$200,MATCH(C79,'予算一覧'!$A$5:$A$200,0))="いいえ","対象外","判定保留")))))</f>
        <v/>
      </c>
      <c r="P79" s="33" t="n"/>
      <c r="Q79" s="18" t="n"/>
    </row>
    <row r="80">
      <c r="A80" s="18" t="n"/>
      <c r="B80" s="18" t="n"/>
      <c r="C80" s="18" t="n"/>
      <c r="D80" s="21">
        <f>IF(C80="","",IFERROR(INDEX('予算一覧'!$B:$B,MATCH(C80,'予算一覧'!$A:$A,0)),"案件が未登録"))</f>
        <v/>
      </c>
      <c r="E80" s="18" t="n"/>
      <c r="F80" s="18" t="n"/>
      <c r="G80" s="18" t="n"/>
      <c r="H80" s="33" t="n"/>
      <c r="I80" s="33" t="n"/>
      <c r="J80" s="18" t="n"/>
      <c r="K80" s="18" t="n"/>
      <c r="L80" s="35">
        <f>IF(OR(I80="",K80=""),"",EDATE(I80,-K80))</f>
        <v/>
      </c>
      <c r="M80" s="19" t="n"/>
      <c r="N80" s="21">
        <f>IF(A80="","",COUNTIF('業務'!$N$4:$N$200,A80))</f>
        <v/>
      </c>
      <c r="O80" s="21">
        <f>IF(A80="","",IF(COUNTIF('予算一覧'!$A$5:$A$200,C80)=0,"判定保留",IF(AND(INDEX('予算一覧'!$AH$5:$AH$200,MATCH(C80,'予算一覧'!$A$5:$A$200,0))="投資予算",INDEX('予算一覧'!$AZ$5:$AZ$200,MATCH(C80,'予算一覧'!$A$5:$A$200,0))="継続"),"対象外",IF(INDEX('予算一覧'!$AJ$5:$AJ$200,MATCH(C80,'予算一覧'!$A$5:$A$200,0))="はい","移管",IF(INDEX('予算一覧'!$AJ$5:$AJ$200,MATCH(C80,'予算一覧'!$A$5:$A$200,0))="いいえ","対象外","判定保留")))))</f>
        <v/>
      </c>
      <c r="P80" s="33" t="n"/>
      <c r="Q80" s="18" t="n"/>
    </row>
    <row r="81">
      <c r="A81" s="18" t="n"/>
      <c r="B81" s="18" t="n"/>
      <c r="C81" s="18" t="n"/>
      <c r="D81" s="21">
        <f>IF(C81="","",IFERROR(INDEX('予算一覧'!$B:$B,MATCH(C81,'予算一覧'!$A:$A,0)),"案件が未登録"))</f>
        <v/>
      </c>
      <c r="E81" s="18" t="n"/>
      <c r="F81" s="18" t="n"/>
      <c r="G81" s="18" t="n"/>
      <c r="H81" s="33" t="n"/>
      <c r="I81" s="33" t="n"/>
      <c r="J81" s="18" t="n"/>
      <c r="K81" s="18" t="n"/>
      <c r="L81" s="35">
        <f>IF(OR(I81="",K81=""),"",EDATE(I81,-K81))</f>
        <v/>
      </c>
      <c r="M81" s="19" t="n"/>
      <c r="N81" s="21">
        <f>IF(A81="","",COUNTIF('業務'!$N$4:$N$200,A81))</f>
        <v/>
      </c>
      <c r="O81" s="21">
        <f>IF(A81="","",IF(COUNTIF('予算一覧'!$A$5:$A$200,C81)=0,"判定保留",IF(AND(INDEX('予算一覧'!$AH$5:$AH$200,MATCH(C81,'予算一覧'!$A$5:$A$200,0))="投資予算",INDEX('予算一覧'!$AZ$5:$AZ$200,MATCH(C81,'予算一覧'!$A$5:$A$200,0))="継続"),"対象外",IF(INDEX('予算一覧'!$AJ$5:$AJ$200,MATCH(C81,'予算一覧'!$A$5:$A$200,0))="はい","移管",IF(INDEX('予算一覧'!$AJ$5:$AJ$200,MATCH(C81,'予算一覧'!$A$5:$A$200,0))="いいえ","対象外","判定保留")))))</f>
        <v/>
      </c>
      <c r="P81" s="33" t="n"/>
      <c r="Q81" s="18" t="n"/>
    </row>
    <row r="82">
      <c r="A82" s="18" t="n"/>
      <c r="B82" s="18" t="n"/>
      <c r="C82" s="18" t="n"/>
      <c r="D82" s="21">
        <f>IF(C82="","",IFERROR(INDEX('予算一覧'!$B:$B,MATCH(C82,'予算一覧'!$A:$A,0)),"案件が未登録"))</f>
        <v/>
      </c>
      <c r="E82" s="18" t="n"/>
      <c r="F82" s="18" t="n"/>
      <c r="G82" s="18" t="n"/>
      <c r="H82" s="33" t="n"/>
      <c r="I82" s="33" t="n"/>
      <c r="J82" s="18" t="n"/>
      <c r="K82" s="18" t="n"/>
      <c r="L82" s="35">
        <f>IF(OR(I82="",K82=""),"",EDATE(I82,-K82))</f>
        <v/>
      </c>
      <c r="M82" s="19" t="n"/>
      <c r="N82" s="21">
        <f>IF(A82="","",COUNTIF('業務'!$N$4:$N$200,A82))</f>
        <v/>
      </c>
      <c r="O82" s="21">
        <f>IF(A82="","",IF(COUNTIF('予算一覧'!$A$5:$A$200,C82)=0,"判定保留",IF(AND(INDEX('予算一覧'!$AH$5:$AH$200,MATCH(C82,'予算一覧'!$A$5:$A$200,0))="投資予算",INDEX('予算一覧'!$AZ$5:$AZ$200,MATCH(C82,'予算一覧'!$A$5:$A$200,0))="継続"),"対象外",IF(INDEX('予算一覧'!$AJ$5:$AJ$200,MATCH(C82,'予算一覧'!$A$5:$A$200,0))="はい","移管",IF(INDEX('予算一覧'!$AJ$5:$AJ$200,MATCH(C82,'予算一覧'!$A$5:$A$200,0))="いいえ","対象外","判定保留")))))</f>
        <v/>
      </c>
      <c r="P82" s="33" t="n"/>
      <c r="Q82" s="18" t="n"/>
    </row>
    <row r="83">
      <c r="A83" s="18" t="n"/>
      <c r="B83" s="18" t="n"/>
      <c r="C83" s="18" t="n"/>
      <c r="D83" s="21">
        <f>IF(C83="","",IFERROR(INDEX('予算一覧'!$B:$B,MATCH(C83,'予算一覧'!$A:$A,0)),"案件が未登録"))</f>
        <v/>
      </c>
      <c r="E83" s="18" t="n"/>
      <c r="F83" s="18" t="n"/>
      <c r="G83" s="18" t="n"/>
      <c r="H83" s="33" t="n"/>
      <c r="I83" s="33" t="n"/>
      <c r="J83" s="18" t="n"/>
      <c r="K83" s="18" t="n"/>
      <c r="L83" s="35">
        <f>IF(OR(I83="",K83=""),"",EDATE(I83,-K83))</f>
        <v/>
      </c>
      <c r="M83" s="19" t="n"/>
      <c r="N83" s="21">
        <f>IF(A83="","",COUNTIF('業務'!$N$4:$N$200,A83))</f>
        <v/>
      </c>
      <c r="O83" s="21">
        <f>IF(A83="","",IF(COUNTIF('予算一覧'!$A$5:$A$200,C83)=0,"判定保留",IF(AND(INDEX('予算一覧'!$AH$5:$AH$200,MATCH(C83,'予算一覧'!$A$5:$A$200,0))="投資予算",INDEX('予算一覧'!$AZ$5:$AZ$200,MATCH(C83,'予算一覧'!$A$5:$A$200,0))="継続"),"対象外",IF(INDEX('予算一覧'!$AJ$5:$AJ$200,MATCH(C83,'予算一覧'!$A$5:$A$200,0))="はい","移管",IF(INDEX('予算一覧'!$AJ$5:$AJ$200,MATCH(C83,'予算一覧'!$A$5:$A$200,0))="いいえ","対象外","判定保留")))))</f>
        <v/>
      </c>
      <c r="P83" s="33" t="n"/>
      <c r="Q83" s="18" t="n"/>
    </row>
    <row r="84">
      <c r="A84" s="18" t="n"/>
      <c r="B84" s="18" t="n"/>
      <c r="C84" s="18" t="n"/>
      <c r="D84" s="21">
        <f>IF(C84="","",IFERROR(INDEX('予算一覧'!$B:$B,MATCH(C84,'予算一覧'!$A:$A,0)),"案件が未登録"))</f>
        <v/>
      </c>
      <c r="E84" s="18" t="n"/>
      <c r="F84" s="18" t="n"/>
      <c r="G84" s="18" t="n"/>
      <c r="H84" s="33" t="n"/>
      <c r="I84" s="33" t="n"/>
      <c r="J84" s="18" t="n"/>
      <c r="K84" s="18" t="n"/>
      <c r="L84" s="35">
        <f>IF(OR(I84="",K84=""),"",EDATE(I84,-K84))</f>
        <v/>
      </c>
      <c r="M84" s="19" t="n"/>
      <c r="N84" s="21">
        <f>IF(A84="","",COUNTIF('業務'!$N$4:$N$200,A84))</f>
        <v/>
      </c>
      <c r="O84" s="21">
        <f>IF(A84="","",IF(COUNTIF('予算一覧'!$A$5:$A$200,C84)=0,"判定保留",IF(AND(INDEX('予算一覧'!$AH$5:$AH$200,MATCH(C84,'予算一覧'!$A$5:$A$200,0))="投資予算",INDEX('予算一覧'!$AZ$5:$AZ$200,MATCH(C84,'予算一覧'!$A$5:$A$200,0))="継続"),"対象外",IF(INDEX('予算一覧'!$AJ$5:$AJ$200,MATCH(C84,'予算一覧'!$A$5:$A$200,0))="はい","移管",IF(INDEX('予算一覧'!$AJ$5:$AJ$200,MATCH(C84,'予算一覧'!$A$5:$A$200,0))="いいえ","対象外","判定保留")))))</f>
        <v/>
      </c>
      <c r="P84" s="33" t="n"/>
      <c r="Q84" s="18" t="n"/>
    </row>
    <row r="85">
      <c r="A85" s="18" t="n"/>
      <c r="B85" s="18" t="n"/>
      <c r="C85" s="18" t="n"/>
      <c r="D85" s="21">
        <f>IF(C85="","",IFERROR(INDEX('予算一覧'!$B:$B,MATCH(C85,'予算一覧'!$A:$A,0)),"案件が未登録"))</f>
        <v/>
      </c>
      <c r="E85" s="18" t="n"/>
      <c r="F85" s="18" t="n"/>
      <c r="G85" s="18" t="n"/>
      <c r="H85" s="33" t="n"/>
      <c r="I85" s="33" t="n"/>
      <c r="J85" s="18" t="n"/>
      <c r="K85" s="18" t="n"/>
      <c r="L85" s="35">
        <f>IF(OR(I85="",K85=""),"",EDATE(I85,-K85))</f>
        <v/>
      </c>
      <c r="M85" s="19" t="n"/>
      <c r="N85" s="21">
        <f>IF(A85="","",COUNTIF('業務'!$N$4:$N$200,A85))</f>
        <v/>
      </c>
      <c r="O85" s="21">
        <f>IF(A85="","",IF(COUNTIF('予算一覧'!$A$5:$A$200,C85)=0,"判定保留",IF(AND(INDEX('予算一覧'!$AH$5:$AH$200,MATCH(C85,'予算一覧'!$A$5:$A$200,0))="投資予算",INDEX('予算一覧'!$AZ$5:$AZ$200,MATCH(C85,'予算一覧'!$A$5:$A$200,0))="継続"),"対象外",IF(INDEX('予算一覧'!$AJ$5:$AJ$200,MATCH(C85,'予算一覧'!$A$5:$A$200,0))="はい","移管",IF(INDEX('予算一覧'!$AJ$5:$AJ$200,MATCH(C85,'予算一覧'!$A$5:$A$200,0))="いいえ","対象外","判定保留")))))</f>
        <v/>
      </c>
      <c r="P85" s="33" t="n"/>
      <c r="Q85" s="18" t="n"/>
    </row>
    <row r="86">
      <c r="A86" s="18" t="n"/>
      <c r="B86" s="18" t="n"/>
      <c r="C86" s="18" t="n"/>
      <c r="D86" s="21">
        <f>IF(C86="","",IFERROR(INDEX('予算一覧'!$B:$B,MATCH(C86,'予算一覧'!$A:$A,0)),"案件が未登録"))</f>
        <v/>
      </c>
      <c r="E86" s="18" t="n"/>
      <c r="F86" s="18" t="n"/>
      <c r="G86" s="18" t="n"/>
      <c r="H86" s="33" t="n"/>
      <c r="I86" s="33" t="n"/>
      <c r="J86" s="18" t="n"/>
      <c r="K86" s="18" t="n"/>
      <c r="L86" s="35">
        <f>IF(OR(I86="",K86=""),"",EDATE(I86,-K86))</f>
        <v/>
      </c>
      <c r="M86" s="19" t="n"/>
      <c r="N86" s="21">
        <f>IF(A86="","",COUNTIF('業務'!$N$4:$N$200,A86))</f>
        <v/>
      </c>
      <c r="O86" s="21">
        <f>IF(A86="","",IF(COUNTIF('予算一覧'!$A$5:$A$200,C86)=0,"判定保留",IF(AND(INDEX('予算一覧'!$AH$5:$AH$200,MATCH(C86,'予算一覧'!$A$5:$A$200,0))="投資予算",INDEX('予算一覧'!$AZ$5:$AZ$200,MATCH(C86,'予算一覧'!$A$5:$A$200,0))="継続"),"対象外",IF(INDEX('予算一覧'!$AJ$5:$AJ$200,MATCH(C86,'予算一覧'!$A$5:$A$200,0))="はい","移管",IF(INDEX('予算一覧'!$AJ$5:$AJ$200,MATCH(C86,'予算一覧'!$A$5:$A$200,0))="いいえ","対象外","判定保留")))))</f>
        <v/>
      </c>
      <c r="P86" s="33" t="n"/>
      <c r="Q86" s="18" t="n"/>
    </row>
    <row r="87">
      <c r="A87" s="18" t="n"/>
      <c r="B87" s="18" t="n"/>
      <c r="C87" s="18" t="n"/>
      <c r="D87" s="21">
        <f>IF(C87="","",IFERROR(INDEX('予算一覧'!$B:$B,MATCH(C87,'予算一覧'!$A:$A,0)),"案件が未登録"))</f>
        <v/>
      </c>
      <c r="E87" s="18" t="n"/>
      <c r="F87" s="18" t="n"/>
      <c r="G87" s="18" t="n"/>
      <c r="H87" s="33" t="n"/>
      <c r="I87" s="33" t="n"/>
      <c r="J87" s="18" t="n"/>
      <c r="K87" s="18" t="n"/>
      <c r="L87" s="35">
        <f>IF(OR(I87="",K87=""),"",EDATE(I87,-K87))</f>
        <v/>
      </c>
      <c r="M87" s="19" t="n"/>
      <c r="N87" s="21">
        <f>IF(A87="","",COUNTIF('業務'!$N$4:$N$200,A87))</f>
        <v/>
      </c>
      <c r="O87" s="21">
        <f>IF(A87="","",IF(COUNTIF('予算一覧'!$A$5:$A$200,C87)=0,"判定保留",IF(AND(INDEX('予算一覧'!$AH$5:$AH$200,MATCH(C87,'予算一覧'!$A$5:$A$200,0))="投資予算",INDEX('予算一覧'!$AZ$5:$AZ$200,MATCH(C87,'予算一覧'!$A$5:$A$200,0))="継続"),"対象外",IF(INDEX('予算一覧'!$AJ$5:$AJ$200,MATCH(C87,'予算一覧'!$A$5:$A$200,0))="はい","移管",IF(INDEX('予算一覧'!$AJ$5:$AJ$200,MATCH(C87,'予算一覧'!$A$5:$A$200,0))="いいえ","対象外","判定保留")))))</f>
        <v/>
      </c>
      <c r="P87" s="33" t="n"/>
      <c r="Q87" s="18" t="n"/>
    </row>
    <row r="88">
      <c r="A88" s="18" t="n"/>
      <c r="B88" s="18" t="n"/>
      <c r="C88" s="18" t="n"/>
      <c r="D88" s="21">
        <f>IF(C88="","",IFERROR(INDEX('予算一覧'!$B:$B,MATCH(C88,'予算一覧'!$A:$A,0)),"案件が未登録"))</f>
        <v/>
      </c>
      <c r="E88" s="18" t="n"/>
      <c r="F88" s="18" t="n"/>
      <c r="G88" s="18" t="n"/>
      <c r="H88" s="33" t="n"/>
      <c r="I88" s="33" t="n"/>
      <c r="J88" s="18" t="n"/>
      <c r="K88" s="18" t="n"/>
      <c r="L88" s="35">
        <f>IF(OR(I88="",K88=""),"",EDATE(I88,-K88))</f>
        <v/>
      </c>
      <c r="M88" s="19" t="n"/>
      <c r="N88" s="21">
        <f>IF(A88="","",COUNTIF('業務'!$N$4:$N$200,A88))</f>
        <v/>
      </c>
      <c r="O88" s="21">
        <f>IF(A88="","",IF(COUNTIF('予算一覧'!$A$5:$A$200,C88)=0,"判定保留",IF(AND(INDEX('予算一覧'!$AH$5:$AH$200,MATCH(C88,'予算一覧'!$A$5:$A$200,0))="投資予算",INDEX('予算一覧'!$AZ$5:$AZ$200,MATCH(C88,'予算一覧'!$A$5:$A$200,0))="継続"),"対象外",IF(INDEX('予算一覧'!$AJ$5:$AJ$200,MATCH(C88,'予算一覧'!$A$5:$A$200,0))="はい","移管",IF(INDEX('予算一覧'!$AJ$5:$AJ$200,MATCH(C88,'予算一覧'!$A$5:$A$200,0))="いいえ","対象外","判定保留")))))</f>
        <v/>
      </c>
      <c r="P88" s="33" t="n"/>
      <c r="Q88" s="18" t="n"/>
    </row>
    <row r="89">
      <c r="A89" s="18" t="n"/>
      <c r="B89" s="18" t="n"/>
      <c r="C89" s="18" t="n"/>
      <c r="D89" s="21">
        <f>IF(C89="","",IFERROR(INDEX('予算一覧'!$B:$B,MATCH(C89,'予算一覧'!$A:$A,0)),"案件が未登録"))</f>
        <v/>
      </c>
      <c r="E89" s="18" t="n"/>
      <c r="F89" s="18" t="n"/>
      <c r="G89" s="18" t="n"/>
      <c r="H89" s="33" t="n"/>
      <c r="I89" s="33" t="n"/>
      <c r="J89" s="18" t="n"/>
      <c r="K89" s="18" t="n"/>
      <c r="L89" s="35">
        <f>IF(OR(I89="",K89=""),"",EDATE(I89,-K89))</f>
        <v/>
      </c>
      <c r="M89" s="19" t="n"/>
      <c r="N89" s="21">
        <f>IF(A89="","",COUNTIF('業務'!$N$4:$N$200,A89))</f>
        <v/>
      </c>
      <c r="O89" s="21">
        <f>IF(A89="","",IF(COUNTIF('予算一覧'!$A$5:$A$200,C89)=0,"判定保留",IF(AND(INDEX('予算一覧'!$AH$5:$AH$200,MATCH(C89,'予算一覧'!$A$5:$A$200,0))="投資予算",INDEX('予算一覧'!$AZ$5:$AZ$200,MATCH(C89,'予算一覧'!$A$5:$A$200,0))="継続"),"対象外",IF(INDEX('予算一覧'!$AJ$5:$AJ$200,MATCH(C89,'予算一覧'!$A$5:$A$200,0))="はい","移管",IF(INDEX('予算一覧'!$AJ$5:$AJ$200,MATCH(C89,'予算一覧'!$A$5:$A$200,0))="いいえ","対象外","判定保留")))))</f>
        <v/>
      </c>
      <c r="P89" s="33" t="n"/>
      <c r="Q89" s="18" t="n"/>
    </row>
    <row r="90">
      <c r="A90" s="18" t="n"/>
      <c r="B90" s="18" t="n"/>
      <c r="C90" s="18" t="n"/>
      <c r="D90" s="21">
        <f>IF(C90="","",IFERROR(INDEX('予算一覧'!$B:$B,MATCH(C90,'予算一覧'!$A:$A,0)),"案件が未登録"))</f>
        <v/>
      </c>
      <c r="E90" s="18" t="n"/>
      <c r="F90" s="18" t="n"/>
      <c r="G90" s="18" t="n"/>
      <c r="H90" s="33" t="n"/>
      <c r="I90" s="33" t="n"/>
      <c r="J90" s="18" t="n"/>
      <c r="K90" s="18" t="n"/>
      <c r="L90" s="35">
        <f>IF(OR(I90="",K90=""),"",EDATE(I90,-K90))</f>
        <v/>
      </c>
      <c r="M90" s="19" t="n"/>
      <c r="N90" s="21">
        <f>IF(A90="","",COUNTIF('業務'!$N$4:$N$200,A90))</f>
        <v/>
      </c>
      <c r="O90" s="21">
        <f>IF(A90="","",IF(COUNTIF('予算一覧'!$A$5:$A$200,C90)=0,"判定保留",IF(AND(INDEX('予算一覧'!$AH$5:$AH$200,MATCH(C90,'予算一覧'!$A$5:$A$200,0))="投資予算",INDEX('予算一覧'!$AZ$5:$AZ$200,MATCH(C90,'予算一覧'!$A$5:$A$200,0))="継続"),"対象外",IF(INDEX('予算一覧'!$AJ$5:$AJ$200,MATCH(C90,'予算一覧'!$A$5:$A$200,0))="はい","移管",IF(INDEX('予算一覧'!$AJ$5:$AJ$200,MATCH(C90,'予算一覧'!$A$5:$A$200,0))="いいえ","対象外","判定保留")))))</f>
        <v/>
      </c>
      <c r="P90" s="33" t="n"/>
      <c r="Q90" s="18" t="n"/>
    </row>
    <row r="91">
      <c r="A91" s="18" t="n"/>
      <c r="B91" s="18" t="n"/>
      <c r="C91" s="18" t="n"/>
      <c r="D91" s="21">
        <f>IF(C91="","",IFERROR(INDEX('予算一覧'!$B:$B,MATCH(C91,'予算一覧'!$A:$A,0)),"案件が未登録"))</f>
        <v/>
      </c>
      <c r="E91" s="18" t="n"/>
      <c r="F91" s="18" t="n"/>
      <c r="G91" s="18" t="n"/>
      <c r="H91" s="33" t="n"/>
      <c r="I91" s="33" t="n"/>
      <c r="J91" s="18" t="n"/>
      <c r="K91" s="18" t="n"/>
      <c r="L91" s="35">
        <f>IF(OR(I91="",K91=""),"",EDATE(I91,-K91))</f>
        <v/>
      </c>
      <c r="M91" s="19" t="n"/>
      <c r="N91" s="21">
        <f>IF(A91="","",COUNTIF('業務'!$N$4:$N$200,A91))</f>
        <v/>
      </c>
      <c r="O91" s="21">
        <f>IF(A91="","",IF(COUNTIF('予算一覧'!$A$5:$A$200,C91)=0,"判定保留",IF(AND(INDEX('予算一覧'!$AH$5:$AH$200,MATCH(C91,'予算一覧'!$A$5:$A$200,0))="投資予算",INDEX('予算一覧'!$AZ$5:$AZ$200,MATCH(C91,'予算一覧'!$A$5:$A$200,0))="継続"),"対象外",IF(INDEX('予算一覧'!$AJ$5:$AJ$200,MATCH(C91,'予算一覧'!$A$5:$A$200,0))="はい","移管",IF(INDEX('予算一覧'!$AJ$5:$AJ$200,MATCH(C91,'予算一覧'!$A$5:$A$200,0))="いいえ","対象外","判定保留")))))</f>
        <v/>
      </c>
      <c r="P91" s="33" t="n"/>
      <c r="Q91" s="18" t="n"/>
    </row>
    <row r="92">
      <c r="A92" s="18" t="n"/>
      <c r="B92" s="18" t="n"/>
      <c r="C92" s="18" t="n"/>
      <c r="D92" s="21">
        <f>IF(C92="","",IFERROR(INDEX('予算一覧'!$B:$B,MATCH(C92,'予算一覧'!$A:$A,0)),"案件が未登録"))</f>
        <v/>
      </c>
      <c r="E92" s="18" t="n"/>
      <c r="F92" s="18" t="n"/>
      <c r="G92" s="18" t="n"/>
      <c r="H92" s="33" t="n"/>
      <c r="I92" s="33" t="n"/>
      <c r="J92" s="18" t="n"/>
      <c r="K92" s="18" t="n"/>
      <c r="L92" s="35">
        <f>IF(OR(I92="",K92=""),"",EDATE(I92,-K92))</f>
        <v/>
      </c>
      <c r="M92" s="19" t="n"/>
      <c r="N92" s="21">
        <f>IF(A92="","",COUNTIF('業務'!$N$4:$N$200,A92))</f>
        <v/>
      </c>
      <c r="O92" s="21">
        <f>IF(A92="","",IF(COUNTIF('予算一覧'!$A$5:$A$200,C92)=0,"判定保留",IF(AND(INDEX('予算一覧'!$AH$5:$AH$200,MATCH(C92,'予算一覧'!$A$5:$A$200,0))="投資予算",INDEX('予算一覧'!$AZ$5:$AZ$200,MATCH(C92,'予算一覧'!$A$5:$A$200,0))="継続"),"対象外",IF(INDEX('予算一覧'!$AJ$5:$AJ$200,MATCH(C92,'予算一覧'!$A$5:$A$200,0))="はい","移管",IF(INDEX('予算一覧'!$AJ$5:$AJ$200,MATCH(C92,'予算一覧'!$A$5:$A$200,0))="いいえ","対象外","判定保留")))))</f>
        <v/>
      </c>
      <c r="P92" s="33" t="n"/>
      <c r="Q92" s="18" t="n"/>
    </row>
    <row r="93">
      <c r="A93" s="18" t="n"/>
      <c r="B93" s="18" t="n"/>
      <c r="C93" s="18" t="n"/>
      <c r="D93" s="21">
        <f>IF(C93="","",IFERROR(INDEX('予算一覧'!$B:$B,MATCH(C93,'予算一覧'!$A:$A,0)),"案件が未登録"))</f>
        <v/>
      </c>
      <c r="E93" s="18" t="n"/>
      <c r="F93" s="18" t="n"/>
      <c r="G93" s="18" t="n"/>
      <c r="H93" s="33" t="n"/>
      <c r="I93" s="33" t="n"/>
      <c r="J93" s="18" t="n"/>
      <c r="K93" s="18" t="n"/>
      <c r="L93" s="35">
        <f>IF(OR(I93="",K93=""),"",EDATE(I93,-K93))</f>
        <v/>
      </c>
      <c r="M93" s="19" t="n"/>
      <c r="N93" s="21">
        <f>IF(A93="","",COUNTIF('業務'!$N$4:$N$200,A93))</f>
        <v/>
      </c>
      <c r="O93" s="21">
        <f>IF(A93="","",IF(COUNTIF('予算一覧'!$A$5:$A$200,C93)=0,"判定保留",IF(AND(INDEX('予算一覧'!$AH$5:$AH$200,MATCH(C93,'予算一覧'!$A$5:$A$200,0))="投資予算",INDEX('予算一覧'!$AZ$5:$AZ$200,MATCH(C93,'予算一覧'!$A$5:$A$200,0))="継続"),"対象外",IF(INDEX('予算一覧'!$AJ$5:$AJ$200,MATCH(C93,'予算一覧'!$A$5:$A$200,0))="はい","移管",IF(INDEX('予算一覧'!$AJ$5:$AJ$200,MATCH(C93,'予算一覧'!$A$5:$A$200,0))="いいえ","対象外","判定保留")))))</f>
        <v/>
      </c>
      <c r="P93" s="33" t="n"/>
      <c r="Q93" s="18" t="n"/>
    </row>
    <row r="94">
      <c r="A94" s="18" t="n"/>
      <c r="B94" s="18" t="n"/>
      <c r="C94" s="18" t="n"/>
      <c r="D94" s="21">
        <f>IF(C94="","",IFERROR(INDEX('予算一覧'!$B:$B,MATCH(C94,'予算一覧'!$A:$A,0)),"案件が未登録"))</f>
        <v/>
      </c>
      <c r="E94" s="18" t="n"/>
      <c r="F94" s="18" t="n"/>
      <c r="G94" s="18" t="n"/>
      <c r="H94" s="33" t="n"/>
      <c r="I94" s="33" t="n"/>
      <c r="J94" s="18" t="n"/>
      <c r="K94" s="18" t="n"/>
      <c r="L94" s="35">
        <f>IF(OR(I94="",K94=""),"",EDATE(I94,-K94))</f>
        <v/>
      </c>
      <c r="M94" s="19" t="n"/>
      <c r="N94" s="21">
        <f>IF(A94="","",COUNTIF('業務'!$N$4:$N$200,A94))</f>
        <v/>
      </c>
      <c r="O94" s="21">
        <f>IF(A94="","",IF(COUNTIF('予算一覧'!$A$5:$A$200,C94)=0,"判定保留",IF(AND(INDEX('予算一覧'!$AH$5:$AH$200,MATCH(C94,'予算一覧'!$A$5:$A$200,0))="投資予算",INDEX('予算一覧'!$AZ$5:$AZ$200,MATCH(C94,'予算一覧'!$A$5:$A$200,0))="継続"),"対象外",IF(INDEX('予算一覧'!$AJ$5:$AJ$200,MATCH(C94,'予算一覧'!$A$5:$A$200,0))="はい","移管",IF(INDEX('予算一覧'!$AJ$5:$AJ$200,MATCH(C94,'予算一覧'!$A$5:$A$200,0))="いいえ","対象外","判定保留")))))</f>
        <v/>
      </c>
      <c r="P94" s="33" t="n"/>
      <c r="Q94" s="18" t="n"/>
    </row>
    <row r="95">
      <c r="A95" s="18" t="n"/>
      <c r="B95" s="18" t="n"/>
      <c r="C95" s="18" t="n"/>
      <c r="D95" s="21">
        <f>IF(C95="","",IFERROR(INDEX('予算一覧'!$B:$B,MATCH(C95,'予算一覧'!$A:$A,0)),"案件が未登録"))</f>
        <v/>
      </c>
      <c r="E95" s="18" t="n"/>
      <c r="F95" s="18" t="n"/>
      <c r="G95" s="18" t="n"/>
      <c r="H95" s="33" t="n"/>
      <c r="I95" s="33" t="n"/>
      <c r="J95" s="18" t="n"/>
      <c r="K95" s="18" t="n"/>
      <c r="L95" s="35">
        <f>IF(OR(I95="",K95=""),"",EDATE(I95,-K95))</f>
        <v/>
      </c>
      <c r="M95" s="19" t="n"/>
      <c r="N95" s="21">
        <f>IF(A95="","",COUNTIF('業務'!$N$4:$N$200,A95))</f>
        <v/>
      </c>
      <c r="O95" s="21">
        <f>IF(A95="","",IF(COUNTIF('予算一覧'!$A$5:$A$200,C95)=0,"判定保留",IF(AND(INDEX('予算一覧'!$AH$5:$AH$200,MATCH(C95,'予算一覧'!$A$5:$A$200,0))="投資予算",INDEX('予算一覧'!$AZ$5:$AZ$200,MATCH(C95,'予算一覧'!$A$5:$A$200,0))="継続"),"対象外",IF(INDEX('予算一覧'!$AJ$5:$AJ$200,MATCH(C95,'予算一覧'!$A$5:$A$200,0))="はい","移管",IF(INDEX('予算一覧'!$AJ$5:$AJ$200,MATCH(C95,'予算一覧'!$A$5:$A$200,0))="いいえ","対象外","判定保留")))))</f>
        <v/>
      </c>
      <c r="P95" s="33" t="n"/>
      <c r="Q95" s="18" t="n"/>
    </row>
    <row r="96">
      <c r="A96" s="18" t="n"/>
      <c r="B96" s="18" t="n"/>
      <c r="C96" s="18" t="n"/>
      <c r="D96" s="21">
        <f>IF(C96="","",IFERROR(INDEX('予算一覧'!$B:$B,MATCH(C96,'予算一覧'!$A:$A,0)),"案件が未登録"))</f>
        <v/>
      </c>
      <c r="E96" s="18" t="n"/>
      <c r="F96" s="18" t="n"/>
      <c r="G96" s="18" t="n"/>
      <c r="H96" s="33" t="n"/>
      <c r="I96" s="33" t="n"/>
      <c r="J96" s="18" t="n"/>
      <c r="K96" s="18" t="n"/>
      <c r="L96" s="35">
        <f>IF(OR(I96="",K96=""),"",EDATE(I96,-K96))</f>
        <v/>
      </c>
      <c r="M96" s="19" t="n"/>
      <c r="N96" s="21">
        <f>IF(A96="","",COUNTIF('業務'!$N$4:$N$200,A96))</f>
        <v/>
      </c>
      <c r="O96" s="21">
        <f>IF(A96="","",IF(COUNTIF('予算一覧'!$A$5:$A$200,C96)=0,"判定保留",IF(AND(INDEX('予算一覧'!$AH$5:$AH$200,MATCH(C96,'予算一覧'!$A$5:$A$200,0))="投資予算",INDEX('予算一覧'!$AZ$5:$AZ$200,MATCH(C96,'予算一覧'!$A$5:$A$200,0))="継続"),"対象外",IF(INDEX('予算一覧'!$AJ$5:$AJ$200,MATCH(C96,'予算一覧'!$A$5:$A$200,0))="はい","移管",IF(INDEX('予算一覧'!$AJ$5:$AJ$200,MATCH(C96,'予算一覧'!$A$5:$A$200,0))="いいえ","対象外","判定保留")))))</f>
        <v/>
      </c>
      <c r="P96" s="33" t="n"/>
      <c r="Q96" s="18" t="n"/>
    </row>
    <row r="97">
      <c r="A97" s="18" t="n"/>
      <c r="B97" s="18" t="n"/>
      <c r="C97" s="18" t="n"/>
      <c r="D97" s="21">
        <f>IF(C97="","",IFERROR(INDEX('予算一覧'!$B:$B,MATCH(C97,'予算一覧'!$A:$A,0)),"案件が未登録"))</f>
        <v/>
      </c>
      <c r="E97" s="18" t="n"/>
      <c r="F97" s="18" t="n"/>
      <c r="G97" s="18" t="n"/>
      <c r="H97" s="33" t="n"/>
      <c r="I97" s="33" t="n"/>
      <c r="J97" s="18" t="n"/>
      <c r="K97" s="18" t="n"/>
      <c r="L97" s="35">
        <f>IF(OR(I97="",K97=""),"",EDATE(I97,-K97))</f>
        <v/>
      </c>
      <c r="M97" s="19" t="n"/>
      <c r="N97" s="21">
        <f>IF(A97="","",COUNTIF('業務'!$N$4:$N$200,A97))</f>
        <v/>
      </c>
      <c r="O97" s="21">
        <f>IF(A97="","",IF(COUNTIF('予算一覧'!$A$5:$A$200,C97)=0,"判定保留",IF(AND(INDEX('予算一覧'!$AH$5:$AH$200,MATCH(C97,'予算一覧'!$A$5:$A$200,0))="投資予算",INDEX('予算一覧'!$AZ$5:$AZ$200,MATCH(C97,'予算一覧'!$A$5:$A$200,0))="継続"),"対象外",IF(INDEX('予算一覧'!$AJ$5:$AJ$200,MATCH(C97,'予算一覧'!$A$5:$A$200,0))="はい","移管",IF(INDEX('予算一覧'!$AJ$5:$AJ$200,MATCH(C97,'予算一覧'!$A$5:$A$200,0))="いいえ","対象外","判定保留")))))</f>
        <v/>
      </c>
      <c r="P97" s="33" t="n"/>
      <c r="Q97" s="18" t="n"/>
    </row>
    <row r="98">
      <c r="A98" s="18" t="n"/>
      <c r="B98" s="18" t="n"/>
      <c r="C98" s="18" t="n"/>
      <c r="D98" s="21">
        <f>IF(C98="","",IFERROR(INDEX('予算一覧'!$B:$B,MATCH(C98,'予算一覧'!$A:$A,0)),"案件が未登録"))</f>
        <v/>
      </c>
      <c r="E98" s="18" t="n"/>
      <c r="F98" s="18" t="n"/>
      <c r="G98" s="18" t="n"/>
      <c r="H98" s="33" t="n"/>
      <c r="I98" s="33" t="n"/>
      <c r="J98" s="18" t="n"/>
      <c r="K98" s="18" t="n"/>
      <c r="L98" s="35">
        <f>IF(OR(I98="",K98=""),"",EDATE(I98,-K98))</f>
        <v/>
      </c>
      <c r="M98" s="19" t="n"/>
      <c r="N98" s="21">
        <f>IF(A98="","",COUNTIF('業務'!$N$4:$N$200,A98))</f>
        <v/>
      </c>
      <c r="O98" s="21">
        <f>IF(A98="","",IF(COUNTIF('予算一覧'!$A$5:$A$200,C98)=0,"判定保留",IF(AND(INDEX('予算一覧'!$AH$5:$AH$200,MATCH(C98,'予算一覧'!$A$5:$A$200,0))="投資予算",INDEX('予算一覧'!$AZ$5:$AZ$200,MATCH(C98,'予算一覧'!$A$5:$A$200,0))="継続"),"対象外",IF(INDEX('予算一覧'!$AJ$5:$AJ$200,MATCH(C98,'予算一覧'!$A$5:$A$200,0))="はい","移管",IF(INDEX('予算一覧'!$AJ$5:$AJ$200,MATCH(C98,'予算一覧'!$A$5:$A$200,0))="いいえ","対象外","判定保留")))))</f>
        <v/>
      </c>
      <c r="P98" s="33" t="n"/>
      <c r="Q98" s="18" t="n"/>
    </row>
    <row r="99">
      <c r="A99" s="18" t="n"/>
      <c r="B99" s="18" t="n"/>
      <c r="C99" s="18" t="n"/>
      <c r="D99" s="21">
        <f>IF(C99="","",IFERROR(INDEX('予算一覧'!$B:$B,MATCH(C99,'予算一覧'!$A:$A,0)),"案件が未登録"))</f>
        <v/>
      </c>
      <c r="E99" s="18" t="n"/>
      <c r="F99" s="18" t="n"/>
      <c r="G99" s="18" t="n"/>
      <c r="H99" s="33" t="n"/>
      <c r="I99" s="33" t="n"/>
      <c r="J99" s="18" t="n"/>
      <c r="K99" s="18" t="n"/>
      <c r="L99" s="35">
        <f>IF(OR(I99="",K99=""),"",EDATE(I99,-K99))</f>
        <v/>
      </c>
      <c r="M99" s="19" t="n"/>
      <c r="N99" s="21">
        <f>IF(A99="","",COUNTIF('業務'!$N$4:$N$200,A99))</f>
        <v/>
      </c>
      <c r="O99" s="21">
        <f>IF(A99="","",IF(COUNTIF('予算一覧'!$A$5:$A$200,C99)=0,"判定保留",IF(AND(INDEX('予算一覧'!$AH$5:$AH$200,MATCH(C99,'予算一覧'!$A$5:$A$200,0))="投資予算",INDEX('予算一覧'!$AZ$5:$AZ$200,MATCH(C99,'予算一覧'!$A$5:$A$200,0))="継続"),"対象外",IF(INDEX('予算一覧'!$AJ$5:$AJ$200,MATCH(C99,'予算一覧'!$A$5:$A$200,0))="はい","移管",IF(INDEX('予算一覧'!$AJ$5:$AJ$200,MATCH(C99,'予算一覧'!$A$5:$A$200,0))="いいえ","対象外","判定保留")))))</f>
        <v/>
      </c>
      <c r="P99" s="33" t="n"/>
      <c r="Q99" s="18" t="n"/>
    </row>
    <row r="100">
      <c r="A100" s="18" t="n"/>
      <c r="B100" s="18" t="n"/>
      <c r="C100" s="18" t="n"/>
      <c r="D100" s="21">
        <f>IF(C100="","",IFERROR(INDEX('予算一覧'!$B:$B,MATCH(C100,'予算一覧'!$A:$A,0)),"案件が未登録"))</f>
        <v/>
      </c>
      <c r="E100" s="18" t="n"/>
      <c r="F100" s="18" t="n"/>
      <c r="G100" s="18" t="n"/>
      <c r="H100" s="33" t="n"/>
      <c r="I100" s="33" t="n"/>
      <c r="J100" s="18" t="n"/>
      <c r="K100" s="18" t="n"/>
      <c r="L100" s="35">
        <f>IF(OR(I100="",K100=""),"",EDATE(I100,-K100))</f>
        <v/>
      </c>
      <c r="M100" s="19" t="n"/>
      <c r="N100" s="21">
        <f>IF(A100="","",COUNTIF('業務'!$N$4:$N$200,A100))</f>
        <v/>
      </c>
      <c r="O100" s="21">
        <f>IF(A100="","",IF(COUNTIF('予算一覧'!$A$5:$A$200,C100)=0,"判定保留",IF(AND(INDEX('予算一覧'!$AH$5:$AH$200,MATCH(C100,'予算一覧'!$A$5:$A$200,0))="投資予算",INDEX('予算一覧'!$AZ$5:$AZ$200,MATCH(C100,'予算一覧'!$A$5:$A$200,0))="継続"),"対象外",IF(INDEX('予算一覧'!$AJ$5:$AJ$200,MATCH(C100,'予算一覧'!$A$5:$A$200,0))="はい","移管",IF(INDEX('予算一覧'!$AJ$5:$AJ$200,MATCH(C100,'予算一覧'!$A$5:$A$200,0))="いいえ","対象外","判定保留")))))</f>
        <v/>
      </c>
      <c r="P100" s="33" t="n"/>
      <c r="Q100" s="18" t="n"/>
    </row>
    <row r="101">
      <c r="A101" s="18" t="n"/>
      <c r="B101" s="18" t="n"/>
      <c r="C101" s="18" t="n"/>
      <c r="D101" s="21">
        <f>IF(C101="","",IFERROR(INDEX('予算一覧'!$B:$B,MATCH(C101,'予算一覧'!$A:$A,0)),"案件が未登録"))</f>
        <v/>
      </c>
      <c r="E101" s="18" t="n"/>
      <c r="F101" s="18" t="n"/>
      <c r="G101" s="18" t="n"/>
      <c r="H101" s="33" t="n"/>
      <c r="I101" s="33" t="n"/>
      <c r="J101" s="18" t="n"/>
      <c r="K101" s="18" t="n"/>
      <c r="L101" s="35">
        <f>IF(OR(I101="",K101=""),"",EDATE(I101,-K101))</f>
        <v/>
      </c>
      <c r="M101" s="19" t="n"/>
      <c r="N101" s="21">
        <f>IF(A101="","",COUNTIF('業務'!$N$4:$N$200,A101))</f>
        <v/>
      </c>
      <c r="O101" s="21">
        <f>IF(A101="","",IF(COUNTIF('予算一覧'!$A$5:$A$200,C101)=0,"判定保留",IF(AND(INDEX('予算一覧'!$AH$5:$AH$200,MATCH(C101,'予算一覧'!$A$5:$A$200,0))="投資予算",INDEX('予算一覧'!$AZ$5:$AZ$200,MATCH(C101,'予算一覧'!$A$5:$A$200,0))="継続"),"対象外",IF(INDEX('予算一覧'!$AJ$5:$AJ$200,MATCH(C101,'予算一覧'!$A$5:$A$200,0))="はい","移管",IF(INDEX('予算一覧'!$AJ$5:$AJ$200,MATCH(C101,'予算一覧'!$A$5:$A$200,0))="いいえ","対象外","判定保留")))))</f>
        <v/>
      </c>
      <c r="P101" s="33" t="n"/>
      <c r="Q101" s="18" t="n"/>
    </row>
    <row r="102">
      <c r="A102" s="18" t="n"/>
      <c r="B102" s="18" t="n"/>
      <c r="C102" s="18" t="n"/>
      <c r="D102" s="21">
        <f>IF(C102="","",IFERROR(INDEX('予算一覧'!$B:$B,MATCH(C102,'予算一覧'!$A:$A,0)),"案件が未登録"))</f>
        <v/>
      </c>
      <c r="E102" s="18" t="n"/>
      <c r="F102" s="18" t="n"/>
      <c r="G102" s="18" t="n"/>
      <c r="H102" s="33" t="n"/>
      <c r="I102" s="33" t="n"/>
      <c r="J102" s="18" t="n"/>
      <c r="K102" s="18" t="n"/>
      <c r="L102" s="35">
        <f>IF(OR(I102="",K102=""),"",EDATE(I102,-K102))</f>
        <v/>
      </c>
      <c r="M102" s="19" t="n"/>
      <c r="N102" s="21">
        <f>IF(A102="","",COUNTIF('業務'!$N$4:$N$200,A102))</f>
        <v/>
      </c>
      <c r="O102" s="21">
        <f>IF(A102="","",IF(COUNTIF('予算一覧'!$A$5:$A$200,C102)=0,"判定保留",IF(AND(INDEX('予算一覧'!$AH$5:$AH$200,MATCH(C102,'予算一覧'!$A$5:$A$200,0))="投資予算",INDEX('予算一覧'!$AZ$5:$AZ$200,MATCH(C102,'予算一覧'!$A$5:$A$200,0))="継続"),"対象外",IF(INDEX('予算一覧'!$AJ$5:$AJ$200,MATCH(C102,'予算一覧'!$A$5:$A$200,0))="はい","移管",IF(INDEX('予算一覧'!$AJ$5:$AJ$200,MATCH(C102,'予算一覧'!$A$5:$A$200,0))="いいえ","対象外","判定保留")))))</f>
        <v/>
      </c>
      <c r="P102" s="33" t="n"/>
      <c r="Q102" s="18" t="n"/>
    </row>
    <row r="103">
      <c r="A103" s="18" t="n"/>
      <c r="B103" s="18" t="n"/>
      <c r="C103" s="18" t="n"/>
      <c r="D103" s="21">
        <f>IF(C103="","",IFERROR(INDEX('予算一覧'!$B:$B,MATCH(C103,'予算一覧'!$A:$A,0)),"案件が未登録"))</f>
        <v/>
      </c>
      <c r="E103" s="18" t="n"/>
      <c r="F103" s="18" t="n"/>
      <c r="G103" s="18" t="n"/>
      <c r="H103" s="33" t="n"/>
      <c r="I103" s="33" t="n"/>
      <c r="J103" s="18" t="n"/>
      <c r="K103" s="18" t="n"/>
      <c r="L103" s="35">
        <f>IF(OR(I103="",K103=""),"",EDATE(I103,-K103))</f>
        <v/>
      </c>
      <c r="M103" s="19" t="n"/>
      <c r="N103" s="21">
        <f>IF(A103="","",COUNTIF('業務'!$N$4:$N$200,A103))</f>
        <v/>
      </c>
      <c r="O103" s="21">
        <f>IF(A103="","",IF(COUNTIF('予算一覧'!$A$5:$A$200,C103)=0,"判定保留",IF(AND(INDEX('予算一覧'!$AH$5:$AH$200,MATCH(C103,'予算一覧'!$A$5:$A$200,0))="投資予算",INDEX('予算一覧'!$AZ$5:$AZ$200,MATCH(C103,'予算一覧'!$A$5:$A$200,0))="継続"),"対象外",IF(INDEX('予算一覧'!$AJ$5:$AJ$200,MATCH(C103,'予算一覧'!$A$5:$A$200,0))="はい","移管",IF(INDEX('予算一覧'!$AJ$5:$AJ$200,MATCH(C103,'予算一覧'!$A$5:$A$200,0))="いいえ","対象外","判定保留")))))</f>
        <v/>
      </c>
      <c r="P103" s="33" t="n"/>
      <c r="Q103" s="18" t="n"/>
    </row>
    <row r="104">
      <c r="A104" s="18" t="n"/>
      <c r="B104" s="18" t="n"/>
      <c r="C104" s="18" t="n"/>
      <c r="D104" s="21">
        <f>IF(C104="","",IFERROR(INDEX('予算一覧'!$B:$B,MATCH(C104,'予算一覧'!$A:$A,0)),"案件が未登録"))</f>
        <v/>
      </c>
      <c r="E104" s="18" t="n"/>
      <c r="F104" s="18" t="n"/>
      <c r="G104" s="18" t="n"/>
      <c r="H104" s="33" t="n"/>
      <c r="I104" s="33" t="n"/>
      <c r="J104" s="18" t="n"/>
      <c r="K104" s="18" t="n"/>
      <c r="L104" s="35">
        <f>IF(OR(I104="",K104=""),"",EDATE(I104,-K104))</f>
        <v/>
      </c>
      <c r="M104" s="19" t="n"/>
      <c r="N104" s="21">
        <f>IF(A104="","",COUNTIF('業務'!$N$4:$N$200,A104))</f>
        <v/>
      </c>
      <c r="O104" s="21">
        <f>IF(A104="","",IF(COUNTIF('予算一覧'!$A$5:$A$200,C104)=0,"判定保留",IF(AND(INDEX('予算一覧'!$AH$5:$AH$200,MATCH(C104,'予算一覧'!$A$5:$A$200,0))="投資予算",INDEX('予算一覧'!$AZ$5:$AZ$200,MATCH(C104,'予算一覧'!$A$5:$A$200,0))="継続"),"対象外",IF(INDEX('予算一覧'!$AJ$5:$AJ$200,MATCH(C104,'予算一覧'!$A$5:$A$200,0))="はい","移管",IF(INDEX('予算一覧'!$AJ$5:$AJ$200,MATCH(C104,'予算一覧'!$A$5:$A$200,0))="いいえ","対象外","判定保留")))))</f>
        <v/>
      </c>
      <c r="P104" s="33" t="n"/>
      <c r="Q104" s="18" t="n"/>
    </row>
    <row r="105">
      <c r="A105" s="18" t="n"/>
      <c r="B105" s="18" t="n"/>
      <c r="C105" s="18" t="n"/>
      <c r="D105" s="21">
        <f>IF(C105="","",IFERROR(INDEX('予算一覧'!$B:$B,MATCH(C105,'予算一覧'!$A:$A,0)),"案件が未登録"))</f>
        <v/>
      </c>
      <c r="E105" s="18" t="n"/>
      <c r="F105" s="18" t="n"/>
      <c r="G105" s="18" t="n"/>
      <c r="H105" s="33" t="n"/>
      <c r="I105" s="33" t="n"/>
      <c r="J105" s="18" t="n"/>
      <c r="K105" s="18" t="n"/>
      <c r="L105" s="35">
        <f>IF(OR(I105="",K105=""),"",EDATE(I105,-K105))</f>
        <v/>
      </c>
      <c r="M105" s="19" t="n"/>
      <c r="N105" s="21">
        <f>IF(A105="","",COUNTIF('業務'!$N$4:$N$200,A105))</f>
        <v/>
      </c>
      <c r="O105" s="21">
        <f>IF(A105="","",IF(COUNTIF('予算一覧'!$A$5:$A$200,C105)=0,"判定保留",IF(AND(INDEX('予算一覧'!$AH$5:$AH$200,MATCH(C105,'予算一覧'!$A$5:$A$200,0))="投資予算",INDEX('予算一覧'!$AZ$5:$AZ$200,MATCH(C105,'予算一覧'!$A$5:$A$200,0))="継続"),"対象外",IF(INDEX('予算一覧'!$AJ$5:$AJ$200,MATCH(C105,'予算一覧'!$A$5:$A$200,0))="はい","移管",IF(INDEX('予算一覧'!$AJ$5:$AJ$200,MATCH(C105,'予算一覧'!$A$5:$A$200,0))="いいえ","対象外","判定保留")))))</f>
        <v/>
      </c>
      <c r="P105" s="33" t="n"/>
      <c r="Q105" s="18" t="n"/>
    </row>
    <row r="106">
      <c r="A106" s="18" t="n"/>
      <c r="B106" s="18" t="n"/>
      <c r="C106" s="18" t="n"/>
      <c r="D106" s="21">
        <f>IF(C106="","",IFERROR(INDEX('予算一覧'!$B:$B,MATCH(C106,'予算一覧'!$A:$A,0)),"案件が未登録"))</f>
        <v/>
      </c>
      <c r="E106" s="18" t="n"/>
      <c r="F106" s="18" t="n"/>
      <c r="G106" s="18" t="n"/>
      <c r="H106" s="33" t="n"/>
      <c r="I106" s="33" t="n"/>
      <c r="J106" s="18" t="n"/>
      <c r="K106" s="18" t="n"/>
      <c r="L106" s="35">
        <f>IF(OR(I106="",K106=""),"",EDATE(I106,-K106))</f>
        <v/>
      </c>
      <c r="M106" s="19" t="n"/>
      <c r="N106" s="21">
        <f>IF(A106="","",COUNTIF('業務'!$N$4:$N$200,A106))</f>
        <v/>
      </c>
      <c r="O106" s="21">
        <f>IF(A106="","",IF(COUNTIF('予算一覧'!$A$5:$A$200,C106)=0,"判定保留",IF(AND(INDEX('予算一覧'!$AH$5:$AH$200,MATCH(C106,'予算一覧'!$A$5:$A$200,0))="投資予算",INDEX('予算一覧'!$AZ$5:$AZ$200,MATCH(C106,'予算一覧'!$A$5:$A$200,0))="継続"),"対象外",IF(INDEX('予算一覧'!$AJ$5:$AJ$200,MATCH(C106,'予算一覧'!$A$5:$A$200,0))="はい","移管",IF(INDEX('予算一覧'!$AJ$5:$AJ$200,MATCH(C106,'予算一覧'!$A$5:$A$200,0))="いいえ","対象外","判定保留")))))</f>
        <v/>
      </c>
      <c r="P106" s="33" t="n"/>
      <c r="Q106" s="18" t="n"/>
    </row>
    <row r="107">
      <c r="A107" s="18" t="n"/>
      <c r="B107" s="18" t="n"/>
      <c r="C107" s="18" t="n"/>
      <c r="D107" s="21">
        <f>IF(C107="","",IFERROR(INDEX('予算一覧'!$B:$B,MATCH(C107,'予算一覧'!$A:$A,0)),"案件が未登録"))</f>
        <v/>
      </c>
      <c r="E107" s="18" t="n"/>
      <c r="F107" s="18" t="n"/>
      <c r="G107" s="18" t="n"/>
      <c r="H107" s="33" t="n"/>
      <c r="I107" s="33" t="n"/>
      <c r="J107" s="18" t="n"/>
      <c r="K107" s="18" t="n"/>
      <c r="L107" s="35">
        <f>IF(OR(I107="",K107=""),"",EDATE(I107,-K107))</f>
        <v/>
      </c>
      <c r="M107" s="19" t="n"/>
      <c r="N107" s="21">
        <f>IF(A107="","",COUNTIF('業務'!$N$4:$N$200,A107))</f>
        <v/>
      </c>
      <c r="O107" s="21">
        <f>IF(A107="","",IF(COUNTIF('予算一覧'!$A$5:$A$200,C107)=0,"判定保留",IF(AND(INDEX('予算一覧'!$AH$5:$AH$200,MATCH(C107,'予算一覧'!$A$5:$A$200,0))="投資予算",INDEX('予算一覧'!$AZ$5:$AZ$200,MATCH(C107,'予算一覧'!$A$5:$A$200,0))="継続"),"対象外",IF(INDEX('予算一覧'!$AJ$5:$AJ$200,MATCH(C107,'予算一覧'!$A$5:$A$200,0))="はい","移管",IF(INDEX('予算一覧'!$AJ$5:$AJ$200,MATCH(C107,'予算一覧'!$A$5:$A$200,0))="いいえ","対象外","判定保留")))))</f>
        <v/>
      </c>
      <c r="P107" s="33" t="n"/>
      <c r="Q107" s="18" t="n"/>
    </row>
    <row r="108">
      <c r="A108" s="18" t="n"/>
      <c r="B108" s="18" t="n"/>
      <c r="C108" s="18" t="n"/>
      <c r="D108" s="21">
        <f>IF(C108="","",IFERROR(INDEX('予算一覧'!$B:$B,MATCH(C108,'予算一覧'!$A:$A,0)),"案件が未登録"))</f>
        <v/>
      </c>
      <c r="E108" s="18" t="n"/>
      <c r="F108" s="18" t="n"/>
      <c r="G108" s="18" t="n"/>
      <c r="H108" s="33" t="n"/>
      <c r="I108" s="33" t="n"/>
      <c r="J108" s="18" t="n"/>
      <c r="K108" s="18" t="n"/>
      <c r="L108" s="35">
        <f>IF(OR(I108="",K108=""),"",EDATE(I108,-K108))</f>
        <v/>
      </c>
      <c r="M108" s="19" t="n"/>
      <c r="N108" s="21">
        <f>IF(A108="","",COUNTIF('業務'!$N$4:$N$200,A108))</f>
        <v/>
      </c>
      <c r="O108" s="21">
        <f>IF(A108="","",IF(COUNTIF('予算一覧'!$A$5:$A$200,C108)=0,"判定保留",IF(AND(INDEX('予算一覧'!$AH$5:$AH$200,MATCH(C108,'予算一覧'!$A$5:$A$200,0))="投資予算",INDEX('予算一覧'!$AZ$5:$AZ$200,MATCH(C108,'予算一覧'!$A$5:$A$200,0))="継続"),"対象外",IF(INDEX('予算一覧'!$AJ$5:$AJ$200,MATCH(C108,'予算一覧'!$A$5:$A$200,0))="はい","移管",IF(INDEX('予算一覧'!$AJ$5:$AJ$200,MATCH(C108,'予算一覧'!$A$5:$A$200,0))="いいえ","対象外","判定保留")))))</f>
        <v/>
      </c>
      <c r="P108" s="33" t="n"/>
      <c r="Q108" s="18" t="n"/>
    </row>
    <row r="109">
      <c r="A109" s="18" t="n"/>
      <c r="B109" s="18" t="n"/>
      <c r="C109" s="18" t="n"/>
      <c r="D109" s="21">
        <f>IF(C109="","",IFERROR(INDEX('予算一覧'!$B:$B,MATCH(C109,'予算一覧'!$A:$A,0)),"案件が未登録"))</f>
        <v/>
      </c>
      <c r="E109" s="18" t="n"/>
      <c r="F109" s="18" t="n"/>
      <c r="G109" s="18" t="n"/>
      <c r="H109" s="33" t="n"/>
      <c r="I109" s="33" t="n"/>
      <c r="J109" s="18" t="n"/>
      <c r="K109" s="18" t="n"/>
      <c r="L109" s="35">
        <f>IF(OR(I109="",K109=""),"",EDATE(I109,-K109))</f>
        <v/>
      </c>
      <c r="M109" s="19" t="n"/>
      <c r="N109" s="21">
        <f>IF(A109="","",COUNTIF('業務'!$N$4:$N$200,A109))</f>
        <v/>
      </c>
      <c r="O109" s="21">
        <f>IF(A109="","",IF(COUNTIF('予算一覧'!$A$5:$A$200,C109)=0,"判定保留",IF(AND(INDEX('予算一覧'!$AH$5:$AH$200,MATCH(C109,'予算一覧'!$A$5:$A$200,0))="投資予算",INDEX('予算一覧'!$AZ$5:$AZ$200,MATCH(C109,'予算一覧'!$A$5:$A$200,0))="継続"),"対象外",IF(INDEX('予算一覧'!$AJ$5:$AJ$200,MATCH(C109,'予算一覧'!$A$5:$A$200,0))="はい","移管",IF(INDEX('予算一覧'!$AJ$5:$AJ$200,MATCH(C109,'予算一覧'!$A$5:$A$200,0))="いいえ","対象外","判定保留")))))</f>
        <v/>
      </c>
      <c r="P109" s="33" t="n"/>
      <c r="Q109" s="18" t="n"/>
    </row>
    <row r="110">
      <c r="A110" s="18" t="n"/>
      <c r="B110" s="18" t="n"/>
      <c r="C110" s="18" t="n"/>
      <c r="D110" s="21">
        <f>IF(C110="","",IFERROR(INDEX('予算一覧'!$B:$B,MATCH(C110,'予算一覧'!$A:$A,0)),"案件が未登録"))</f>
        <v/>
      </c>
      <c r="E110" s="18" t="n"/>
      <c r="F110" s="18" t="n"/>
      <c r="G110" s="18" t="n"/>
      <c r="H110" s="33" t="n"/>
      <c r="I110" s="33" t="n"/>
      <c r="J110" s="18" t="n"/>
      <c r="K110" s="18" t="n"/>
      <c r="L110" s="35">
        <f>IF(OR(I110="",K110=""),"",EDATE(I110,-K110))</f>
        <v/>
      </c>
      <c r="M110" s="19" t="n"/>
      <c r="N110" s="21">
        <f>IF(A110="","",COUNTIF('業務'!$N$4:$N$200,A110))</f>
        <v/>
      </c>
      <c r="O110" s="21">
        <f>IF(A110="","",IF(COUNTIF('予算一覧'!$A$5:$A$200,C110)=0,"判定保留",IF(AND(INDEX('予算一覧'!$AH$5:$AH$200,MATCH(C110,'予算一覧'!$A$5:$A$200,0))="投資予算",INDEX('予算一覧'!$AZ$5:$AZ$200,MATCH(C110,'予算一覧'!$A$5:$A$200,0))="継続"),"対象外",IF(INDEX('予算一覧'!$AJ$5:$AJ$200,MATCH(C110,'予算一覧'!$A$5:$A$200,0))="はい","移管",IF(INDEX('予算一覧'!$AJ$5:$AJ$200,MATCH(C110,'予算一覧'!$A$5:$A$200,0))="いいえ","対象外","判定保留")))))</f>
        <v/>
      </c>
      <c r="P110" s="33" t="n"/>
      <c r="Q110" s="18" t="n"/>
    </row>
    <row r="111">
      <c r="A111" s="18" t="n"/>
      <c r="B111" s="18" t="n"/>
      <c r="C111" s="18" t="n"/>
      <c r="D111" s="21">
        <f>IF(C111="","",IFERROR(INDEX('予算一覧'!$B:$B,MATCH(C111,'予算一覧'!$A:$A,0)),"案件が未登録"))</f>
        <v/>
      </c>
      <c r="E111" s="18" t="n"/>
      <c r="F111" s="18" t="n"/>
      <c r="G111" s="18" t="n"/>
      <c r="H111" s="33" t="n"/>
      <c r="I111" s="33" t="n"/>
      <c r="J111" s="18" t="n"/>
      <c r="K111" s="18" t="n"/>
      <c r="L111" s="35">
        <f>IF(OR(I111="",K111=""),"",EDATE(I111,-K111))</f>
        <v/>
      </c>
      <c r="M111" s="19" t="n"/>
      <c r="N111" s="21">
        <f>IF(A111="","",COUNTIF('業務'!$N$4:$N$200,A111))</f>
        <v/>
      </c>
      <c r="O111" s="21">
        <f>IF(A111="","",IF(COUNTIF('予算一覧'!$A$5:$A$200,C111)=0,"判定保留",IF(AND(INDEX('予算一覧'!$AH$5:$AH$200,MATCH(C111,'予算一覧'!$A$5:$A$200,0))="投資予算",INDEX('予算一覧'!$AZ$5:$AZ$200,MATCH(C111,'予算一覧'!$A$5:$A$200,0))="継続"),"対象外",IF(INDEX('予算一覧'!$AJ$5:$AJ$200,MATCH(C111,'予算一覧'!$A$5:$A$200,0))="はい","移管",IF(INDEX('予算一覧'!$AJ$5:$AJ$200,MATCH(C111,'予算一覧'!$A$5:$A$200,0))="いいえ","対象外","判定保留")))))</f>
        <v/>
      </c>
      <c r="P111" s="33" t="n"/>
      <c r="Q111" s="18" t="n"/>
    </row>
    <row r="112">
      <c r="A112" s="18" t="n"/>
      <c r="B112" s="18" t="n"/>
      <c r="C112" s="18" t="n"/>
      <c r="D112" s="21">
        <f>IF(C112="","",IFERROR(INDEX('予算一覧'!$B:$B,MATCH(C112,'予算一覧'!$A:$A,0)),"案件が未登録"))</f>
        <v/>
      </c>
      <c r="E112" s="18" t="n"/>
      <c r="F112" s="18" t="n"/>
      <c r="G112" s="18" t="n"/>
      <c r="H112" s="33" t="n"/>
      <c r="I112" s="33" t="n"/>
      <c r="J112" s="18" t="n"/>
      <c r="K112" s="18" t="n"/>
      <c r="L112" s="35">
        <f>IF(OR(I112="",K112=""),"",EDATE(I112,-K112))</f>
        <v/>
      </c>
      <c r="M112" s="19" t="n"/>
      <c r="N112" s="21">
        <f>IF(A112="","",COUNTIF('業務'!$N$4:$N$200,A112))</f>
        <v/>
      </c>
      <c r="O112" s="21">
        <f>IF(A112="","",IF(COUNTIF('予算一覧'!$A$5:$A$200,C112)=0,"判定保留",IF(AND(INDEX('予算一覧'!$AH$5:$AH$200,MATCH(C112,'予算一覧'!$A$5:$A$200,0))="投資予算",INDEX('予算一覧'!$AZ$5:$AZ$200,MATCH(C112,'予算一覧'!$A$5:$A$200,0))="継続"),"対象外",IF(INDEX('予算一覧'!$AJ$5:$AJ$200,MATCH(C112,'予算一覧'!$A$5:$A$200,0))="はい","移管",IF(INDEX('予算一覧'!$AJ$5:$AJ$200,MATCH(C112,'予算一覧'!$A$5:$A$200,0))="いいえ","対象外","判定保留")))))</f>
        <v/>
      </c>
      <c r="P112" s="33" t="n"/>
      <c r="Q112" s="18" t="n"/>
    </row>
    <row r="113">
      <c r="A113" s="18" t="n"/>
      <c r="B113" s="18" t="n"/>
      <c r="C113" s="18" t="n"/>
      <c r="D113" s="21">
        <f>IF(C113="","",IFERROR(INDEX('予算一覧'!$B:$B,MATCH(C113,'予算一覧'!$A:$A,0)),"案件が未登録"))</f>
        <v/>
      </c>
      <c r="E113" s="18" t="n"/>
      <c r="F113" s="18" t="n"/>
      <c r="G113" s="18" t="n"/>
      <c r="H113" s="33" t="n"/>
      <c r="I113" s="33" t="n"/>
      <c r="J113" s="18" t="n"/>
      <c r="K113" s="18" t="n"/>
      <c r="L113" s="35">
        <f>IF(OR(I113="",K113=""),"",EDATE(I113,-K113))</f>
        <v/>
      </c>
      <c r="M113" s="19" t="n"/>
      <c r="N113" s="21">
        <f>IF(A113="","",COUNTIF('業務'!$N$4:$N$200,A113))</f>
        <v/>
      </c>
      <c r="O113" s="21">
        <f>IF(A113="","",IF(COUNTIF('予算一覧'!$A$5:$A$200,C113)=0,"判定保留",IF(AND(INDEX('予算一覧'!$AH$5:$AH$200,MATCH(C113,'予算一覧'!$A$5:$A$200,0))="投資予算",INDEX('予算一覧'!$AZ$5:$AZ$200,MATCH(C113,'予算一覧'!$A$5:$A$200,0))="継続"),"対象外",IF(INDEX('予算一覧'!$AJ$5:$AJ$200,MATCH(C113,'予算一覧'!$A$5:$A$200,0))="はい","移管",IF(INDEX('予算一覧'!$AJ$5:$AJ$200,MATCH(C113,'予算一覧'!$A$5:$A$200,0))="いいえ","対象外","判定保留")))))</f>
        <v/>
      </c>
      <c r="P113" s="33" t="n"/>
      <c r="Q113" s="18" t="n"/>
    </row>
    <row r="114">
      <c r="A114" s="18" t="n"/>
      <c r="B114" s="18" t="n"/>
      <c r="C114" s="18" t="n"/>
      <c r="D114" s="21">
        <f>IF(C114="","",IFERROR(INDEX('予算一覧'!$B:$B,MATCH(C114,'予算一覧'!$A:$A,0)),"案件が未登録"))</f>
        <v/>
      </c>
      <c r="E114" s="18" t="n"/>
      <c r="F114" s="18" t="n"/>
      <c r="G114" s="18" t="n"/>
      <c r="H114" s="33" t="n"/>
      <c r="I114" s="33" t="n"/>
      <c r="J114" s="18" t="n"/>
      <c r="K114" s="18" t="n"/>
      <c r="L114" s="35">
        <f>IF(OR(I114="",K114=""),"",EDATE(I114,-K114))</f>
        <v/>
      </c>
      <c r="M114" s="19" t="n"/>
      <c r="N114" s="21">
        <f>IF(A114="","",COUNTIF('業務'!$N$4:$N$200,A114))</f>
        <v/>
      </c>
      <c r="O114" s="21">
        <f>IF(A114="","",IF(COUNTIF('予算一覧'!$A$5:$A$200,C114)=0,"判定保留",IF(AND(INDEX('予算一覧'!$AH$5:$AH$200,MATCH(C114,'予算一覧'!$A$5:$A$200,0))="投資予算",INDEX('予算一覧'!$AZ$5:$AZ$200,MATCH(C114,'予算一覧'!$A$5:$A$200,0))="継続"),"対象外",IF(INDEX('予算一覧'!$AJ$5:$AJ$200,MATCH(C114,'予算一覧'!$A$5:$A$200,0))="はい","移管",IF(INDEX('予算一覧'!$AJ$5:$AJ$200,MATCH(C114,'予算一覧'!$A$5:$A$200,0))="いいえ","対象外","判定保留")))))</f>
        <v/>
      </c>
      <c r="P114" s="33" t="n"/>
      <c r="Q114" s="18" t="n"/>
    </row>
    <row r="115">
      <c r="A115" s="18" t="n"/>
      <c r="B115" s="18" t="n"/>
      <c r="C115" s="18" t="n"/>
      <c r="D115" s="21">
        <f>IF(C115="","",IFERROR(INDEX('予算一覧'!$B:$B,MATCH(C115,'予算一覧'!$A:$A,0)),"案件が未登録"))</f>
        <v/>
      </c>
      <c r="E115" s="18" t="n"/>
      <c r="F115" s="18" t="n"/>
      <c r="G115" s="18" t="n"/>
      <c r="H115" s="33" t="n"/>
      <c r="I115" s="33" t="n"/>
      <c r="J115" s="18" t="n"/>
      <c r="K115" s="18" t="n"/>
      <c r="L115" s="35">
        <f>IF(OR(I115="",K115=""),"",EDATE(I115,-K115))</f>
        <v/>
      </c>
      <c r="M115" s="19" t="n"/>
      <c r="N115" s="21">
        <f>IF(A115="","",COUNTIF('業務'!$N$4:$N$200,A115))</f>
        <v/>
      </c>
      <c r="O115" s="21">
        <f>IF(A115="","",IF(COUNTIF('予算一覧'!$A$5:$A$200,C115)=0,"判定保留",IF(AND(INDEX('予算一覧'!$AH$5:$AH$200,MATCH(C115,'予算一覧'!$A$5:$A$200,0))="投資予算",INDEX('予算一覧'!$AZ$5:$AZ$200,MATCH(C115,'予算一覧'!$A$5:$A$200,0))="継続"),"対象外",IF(INDEX('予算一覧'!$AJ$5:$AJ$200,MATCH(C115,'予算一覧'!$A$5:$A$200,0))="はい","移管",IF(INDEX('予算一覧'!$AJ$5:$AJ$200,MATCH(C115,'予算一覧'!$A$5:$A$200,0))="いいえ","対象外","判定保留")))))</f>
        <v/>
      </c>
      <c r="P115" s="33" t="n"/>
      <c r="Q115" s="18" t="n"/>
    </row>
    <row r="116">
      <c r="A116" s="18" t="n"/>
      <c r="B116" s="18" t="n"/>
      <c r="C116" s="18" t="n"/>
      <c r="D116" s="21">
        <f>IF(C116="","",IFERROR(INDEX('予算一覧'!$B:$B,MATCH(C116,'予算一覧'!$A:$A,0)),"案件が未登録"))</f>
        <v/>
      </c>
      <c r="E116" s="18" t="n"/>
      <c r="F116" s="18" t="n"/>
      <c r="G116" s="18" t="n"/>
      <c r="H116" s="33" t="n"/>
      <c r="I116" s="33" t="n"/>
      <c r="J116" s="18" t="n"/>
      <c r="K116" s="18" t="n"/>
      <c r="L116" s="35">
        <f>IF(OR(I116="",K116=""),"",EDATE(I116,-K116))</f>
        <v/>
      </c>
      <c r="M116" s="19" t="n"/>
      <c r="N116" s="21">
        <f>IF(A116="","",COUNTIF('業務'!$N$4:$N$200,A116))</f>
        <v/>
      </c>
      <c r="O116" s="21">
        <f>IF(A116="","",IF(COUNTIF('予算一覧'!$A$5:$A$200,C116)=0,"判定保留",IF(AND(INDEX('予算一覧'!$AH$5:$AH$200,MATCH(C116,'予算一覧'!$A$5:$A$200,0))="投資予算",INDEX('予算一覧'!$AZ$5:$AZ$200,MATCH(C116,'予算一覧'!$A$5:$A$200,0))="継続"),"対象外",IF(INDEX('予算一覧'!$AJ$5:$AJ$200,MATCH(C116,'予算一覧'!$A$5:$A$200,0))="はい","移管",IF(INDEX('予算一覧'!$AJ$5:$AJ$200,MATCH(C116,'予算一覧'!$A$5:$A$200,0))="いいえ","対象外","判定保留")))))</f>
        <v/>
      </c>
      <c r="P116" s="33" t="n"/>
      <c r="Q116" s="18" t="n"/>
    </row>
    <row r="117">
      <c r="A117" s="18" t="n"/>
      <c r="B117" s="18" t="n"/>
      <c r="C117" s="18" t="n"/>
      <c r="D117" s="21">
        <f>IF(C117="","",IFERROR(INDEX('予算一覧'!$B:$B,MATCH(C117,'予算一覧'!$A:$A,0)),"案件が未登録"))</f>
        <v/>
      </c>
      <c r="E117" s="18" t="n"/>
      <c r="F117" s="18" t="n"/>
      <c r="G117" s="18" t="n"/>
      <c r="H117" s="33" t="n"/>
      <c r="I117" s="33" t="n"/>
      <c r="J117" s="18" t="n"/>
      <c r="K117" s="18" t="n"/>
      <c r="L117" s="35">
        <f>IF(OR(I117="",K117=""),"",EDATE(I117,-K117))</f>
        <v/>
      </c>
      <c r="M117" s="19" t="n"/>
      <c r="N117" s="21">
        <f>IF(A117="","",COUNTIF('業務'!$N$4:$N$200,A117))</f>
        <v/>
      </c>
      <c r="O117" s="21">
        <f>IF(A117="","",IF(COUNTIF('予算一覧'!$A$5:$A$200,C117)=0,"判定保留",IF(AND(INDEX('予算一覧'!$AH$5:$AH$200,MATCH(C117,'予算一覧'!$A$5:$A$200,0))="投資予算",INDEX('予算一覧'!$AZ$5:$AZ$200,MATCH(C117,'予算一覧'!$A$5:$A$200,0))="継続"),"対象外",IF(INDEX('予算一覧'!$AJ$5:$AJ$200,MATCH(C117,'予算一覧'!$A$5:$A$200,0))="はい","移管",IF(INDEX('予算一覧'!$AJ$5:$AJ$200,MATCH(C117,'予算一覧'!$A$5:$A$200,0))="いいえ","対象外","判定保留")))))</f>
        <v/>
      </c>
      <c r="P117" s="33" t="n"/>
      <c r="Q117" s="18" t="n"/>
    </row>
    <row r="118">
      <c r="A118" s="18" t="n"/>
      <c r="B118" s="18" t="n"/>
      <c r="C118" s="18" t="n"/>
      <c r="D118" s="21">
        <f>IF(C118="","",IFERROR(INDEX('予算一覧'!$B:$B,MATCH(C118,'予算一覧'!$A:$A,0)),"案件が未登録"))</f>
        <v/>
      </c>
      <c r="E118" s="18" t="n"/>
      <c r="F118" s="18" t="n"/>
      <c r="G118" s="18" t="n"/>
      <c r="H118" s="33" t="n"/>
      <c r="I118" s="33" t="n"/>
      <c r="J118" s="18" t="n"/>
      <c r="K118" s="18" t="n"/>
      <c r="L118" s="35">
        <f>IF(OR(I118="",K118=""),"",EDATE(I118,-K118))</f>
        <v/>
      </c>
      <c r="M118" s="19" t="n"/>
      <c r="N118" s="21">
        <f>IF(A118="","",COUNTIF('業務'!$N$4:$N$200,A118))</f>
        <v/>
      </c>
      <c r="O118" s="21">
        <f>IF(A118="","",IF(COUNTIF('予算一覧'!$A$5:$A$200,C118)=0,"判定保留",IF(AND(INDEX('予算一覧'!$AH$5:$AH$200,MATCH(C118,'予算一覧'!$A$5:$A$200,0))="投資予算",INDEX('予算一覧'!$AZ$5:$AZ$200,MATCH(C118,'予算一覧'!$A$5:$A$200,0))="継続"),"対象外",IF(INDEX('予算一覧'!$AJ$5:$AJ$200,MATCH(C118,'予算一覧'!$A$5:$A$200,0))="はい","移管",IF(INDEX('予算一覧'!$AJ$5:$AJ$200,MATCH(C118,'予算一覧'!$A$5:$A$200,0))="いいえ","対象外","判定保留")))))</f>
        <v/>
      </c>
      <c r="P118" s="33" t="n"/>
      <c r="Q118" s="18" t="n"/>
    </row>
    <row r="119">
      <c r="A119" s="18" t="n"/>
      <c r="B119" s="18" t="n"/>
      <c r="C119" s="18" t="n"/>
      <c r="D119" s="21">
        <f>IF(C119="","",IFERROR(INDEX('予算一覧'!$B:$B,MATCH(C119,'予算一覧'!$A:$A,0)),"案件が未登録"))</f>
        <v/>
      </c>
      <c r="E119" s="18" t="n"/>
      <c r="F119" s="18" t="n"/>
      <c r="G119" s="18" t="n"/>
      <c r="H119" s="33" t="n"/>
      <c r="I119" s="33" t="n"/>
      <c r="J119" s="18" t="n"/>
      <c r="K119" s="18" t="n"/>
      <c r="L119" s="35">
        <f>IF(OR(I119="",K119=""),"",EDATE(I119,-K119))</f>
        <v/>
      </c>
      <c r="M119" s="19" t="n"/>
      <c r="N119" s="21">
        <f>IF(A119="","",COUNTIF('業務'!$N$4:$N$200,A119))</f>
        <v/>
      </c>
      <c r="O119" s="21">
        <f>IF(A119="","",IF(COUNTIF('予算一覧'!$A$5:$A$200,C119)=0,"判定保留",IF(AND(INDEX('予算一覧'!$AH$5:$AH$200,MATCH(C119,'予算一覧'!$A$5:$A$200,0))="投資予算",INDEX('予算一覧'!$AZ$5:$AZ$200,MATCH(C119,'予算一覧'!$A$5:$A$200,0))="継続"),"対象外",IF(INDEX('予算一覧'!$AJ$5:$AJ$200,MATCH(C119,'予算一覧'!$A$5:$A$200,0))="はい","移管",IF(INDEX('予算一覧'!$AJ$5:$AJ$200,MATCH(C119,'予算一覧'!$A$5:$A$200,0))="いいえ","対象外","判定保留")))))</f>
        <v/>
      </c>
      <c r="P119" s="33" t="n"/>
      <c r="Q119" s="18" t="n"/>
    </row>
    <row r="120">
      <c r="A120" s="18" t="n"/>
      <c r="B120" s="18" t="n"/>
      <c r="C120" s="18" t="n"/>
      <c r="D120" s="21">
        <f>IF(C120="","",IFERROR(INDEX('予算一覧'!$B:$B,MATCH(C120,'予算一覧'!$A:$A,0)),"案件が未登録"))</f>
        <v/>
      </c>
      <c r="E120" s="18" t="n"/>
      <c r="F120" s="18" t="n"/>
      <c r="G120" s="18" t="n"/>
      <c r="H120" s="33" t="n"/>
      <c r="I120" s="33" t="n"/>
      <c r="J120" s="18" t="n"/>
      <c r="K120" s="18" t="n"/>
      <c r="L120" s="35">
        <f>IF(OR(I120="",K120=""),"",EDATE(I120,-K120))</f>
        <v/>
      </c>
      <c r="M120" s="19" t="n"/>
      <c r="N120" s="21">
        <f>IF(A120="","",COUNTIF('業務'!$N$4:$N$200,A120))</f>
        <v/>
      </c>
      <c r="O120" s="21">
        <f>IF(A120="","",IF(COUNTIF('予算一覧'!$A$5:$A$200,C120)=0,"判定保留",IF(AND(INDEX('予算一覧'!$AH$5:$AH$200,MATCH(C120,'予算一覧'!$A$5:$A$200,0))="投資予算",INDEX('予算一覧'!$AZ$5:$AZ$200,MATCH(C120,'予算一覧'!$A$5:$A$200,0))="継続"),"対象外",IF(INDEX('予算一覧'!$AJ$5:$AJ$200,MATCH(C120,'予算一覧'!$A$5:$A$200,0))="はい","移管",IF(INDEX('予算一覧'!$AJ$5:$AJ$200,MATCH(C120,'予算一覧'!$A$5:$A$200,0))="いいえ","対象外","判定保留")))))</f>
        <v/>
      </c>
      <c r="P120" s="33" t="n"/>
      <c r="Q120" s="18" t="n"/>
    </row>
    <row r="121">
      <c r="A121" s="18" t="n"/>
      <c r="B121" s="18" t="n"/>
      <c r="C121" s="18" t="n"/>
      <c r="D121" s="21">
        <f>IF(C121="","",IFERROR(INDEX('予算一覧'!$B:$B,MATCH(C121,'予算一覧'!$A:$A,0)),"案件が未登録"))</f>
        <v/>
      </c>
      <c r="E121" s="18" t="n"/>
      <c r="F121" s="18" t="n"/>
      <c r="G121" s="18" t="n"/>
      <c r="H121" s="33" t="n"/>
      <c r="I121" s="33" t="n"/>
      <c r="J121" s="18" t="n"/>
      <c r="K121" s="18" t="n"/>
      <c r="L121" s="35">
        <f>IF(OR(I121="",K121=""),"",EDATE(I121,-K121))</f>
        <v/>
      </c>
      <c r="M121" s="19" t="n"/>
      <c r="N121" s="21">
        <f>IF(A121="","",COUNTIF('業務'!$N$4:$N$200,A121))</f>
        <v/>
      </c>
      <c r="O121" s="21">
        <f>IF(A121="","",IF(COUNTIF('予算一覧'!$A$5:$A$200,C121)=0,"判定保留",IF(AND(INDEX('予算一覧'!$AH$5:$AH$200,MATCH(C121,'予算一覧'!$A$5:$A$200,0))="投資予算",INDEX('予算一覧'!$AZ$5:$AZ$200,MATCH(C121,'予算一覧'!$A$5:$A$200,0))="継続"),"対象外",IF(INDEX('予算一覧'!$AJ$5:$AJ$200,MATCH(C121,'予算一覧'!$A$5:$A$200,0))="はい","移管",IF(INDEX('予算一覧'!$AJ$5:$AJ$200,MATCH(C121,'予算一覧'!$A$5:$A$200,0))="いいえ","対象外","判定保留")))))</f>
        <v/>
      </c>
      <c r="P121" s="33" t="n"/>
      <c r="Q121" s="18" t="n"/>
    </row>
    <row r="122">
      <c r="A122" s="18" t="n"/>
      <c r="B122" s="18" t="n"/>
      <c r="C122" s="18" t="n"/>
      <c r="D122" s="21">
        <f>IF(C122="","",IFERROR(INDEX('予算一覧'!$B:$B,MATCH(C122,'予算一覧'!$A:$A,0)),"案件が未登録"))</f>
        <v/>
      </c>
      <c r="E122" s="18" t="n"/>
      <c r="F122" s="18" t="n"/>
      <c r="G122" s="18" t="n"/>
      <c r="H122" s="33" t="n"/>
      <c r="I122" s="33" t="n"/>
      <c r="J122" s="18" t="n"/>
      <c r="K122" s="18" t="n"/>
      <c r="L122" s="35">
        <f>IF(OR(I122="",K122=""),"",EDATE(I122,-K122))</f>
        <v/>
      </c>
      <c r="M122" s="19" t="n"/>
      <c r="N122" s="21">
        <f>IF(A122="","",COUNTIF('業務'!$N$4:$N$200,A122))</f>
        <v/>
      </c>
      <c r="O122" s="21">
        <f>IF(A122="","",IF(COUNTIF('予算一覧'!$A$5:$A$200,C122)=0,"判定保留",IF(AND(INDEX('予算一覧'!$AH$5:$AH$200,MATCH(C122,'予算一覧'!$A$5:$A$200,0))="投資予算",INDEX('予算一覧'!$AZ$5:$AZ$200,MATCH(C122,'予算一覧'!$A$5:$A$200,0))="継続"),"対象外",IF(INDEX('予算一覧'!$AJ$5:$AJ$200,MATCH(C122,'予算一覧'!$A$5:$A$200,0))="はい","移管",IF(INDEX('予算一覧'!$AJ$5:$AJ$200,MATCH(C122,'予算一覧'!$A$5:$A$200,0))="いいえ","対象外","判定保留")))))</f>
        <v/>
      </c>
      <c r="P122" s="33" t="n"/>
      <c r="Q122" s="18" t="n"/>
    </row>
    <row r="123">
      <c r="A123" s="18" t="n"/>
      <c r="B123" s="18" t="n"/>
      <c r="C123" s="18" t="n"/>
      <c r="D123" s="21">
        <f>IF(C123="","",IFERROR(INDEX('予算一覧'!$B:$B,MATCH(C123,'予算一覧'!$A:$A,0)),"案件が未登録"))</f>
        <v/>
      </c>
      <c r="E123" s="18" t="n"/>
      <c r="F123" s="18" t="n"/>
      <c r="G123" s="18" t="n"/>
      <c r="H123" s="33" t="n"/>
      <c r="I123" s="33" t="n"/>
      <c r="J123" s="18" t="n"/>
      <c r="K123" s="18" t="n"/>
      <c r="L123" s="35">
        <f>IF(OR(I123="",K123=""),"",EDATE(I123,-K123))</f>
        <v/>
      </c>
      <c r="M123" s="19" t="n"/>
      <c r="N123" s="21">
        <f>IF(A123="","",COUNTIF('業務'!$N$4:$N$200,A123))</f>
        <v/>
      </c>
      <c r="O123" s="21">
        <f>IF(A123="","",IF(COUNTIF('予算一覧'!$A$5:$A$200,C123)=0,"判定保留",IF(AND(INDEX('予算一覧'!$AH$5:$AH$200,MATCH(C123,'予算一覧'!$A$5:$A$200,0))="投資予算",INDEX('予算一覧'!$AZ$5:$AZ$200,MATCH(C123,'予算一覧'!$A$5:$A$200,0))="継続"),"対象外",IF(INDEX('予算一覧'!$AJ$5:$AJ$200,MATCH(C123,'予算一覧'!$A$5:$A$200,0))="はい","移管",IF(INDEX('予算一覧'!$AJ$5:$AJ$200,MATCH(C123,'予算一覧'!$A$5:$A$200,0))="いいえ","対象外","判定保留")))))</f>
        <v/>
      </c>
      <c r="P123" s="33" t="n"/>
      <c r="Q123" s="18" t="n"/>
    </row>
    <row r="124">
      <c r="A124" s="18" t="n"/>
      <c r="B124" s="18" t="n"/>
      <c r="C124" s="18" t="n"/>
      <c r="D124" s="21">
        <f>IF(C124="","",IFERROR(INDEX('予算一覧'!$B:$B,MATCH(C124,'予算一覧'!$A:$A,0)),"案件が未登録"))</f>
        <v/>
      </c>
      <c r="E124" s="18" t="n"/>
      <c r="F124" s="18" t="n"/>
      <c r="G124" s="18" t="n"/>
      <c r="H124" s="33" t="n"/>
      <c r="I124" s="33" t="n"/>
      <c r="J124" s="18" t="n"/>
      <c r="K124" s="18" t="n"/>
      <c r="L124" s="35">
        <f>IF(OR(I124="",K124=""),"",EDATE(I124,-K124))</f>
        <v/>
      </c>
      <c r="M124" s="19" t="n"/>
      <c r="N124" s="21">
        <f>IF(A124="","",COUNTIF('業務'!$N$4:$N$200,A124))</f>
        <v/>
      </c>
      <c r="O124" s="21">
        <f>IF(A124="","",IF(COUNTIF('予算一覧'!$A$5:$A$200,C124)=0,"判定保留",IF(AND(INDEX('予算一覧'!$AH$5:$AH$200,MATCH(C124,'予算一覧'!$A$5:$A$200,0))="投資予算",INDEX('予算一覧'!$AZ$5:$AZ$200,MATCH(C124,'予算一覧'!$A$5:$A$200,0))="継続"),"対象外",IF(INDEX('予算一覧'!$AJ$5:$AJ$200,MATCH(C124,'予算一覧'!$A$5:$A$200,0))="はい","移管",IF(INDEX('予算一覧'!$AJ$5:$AJ$200,MATCH(C124,'予算一覧'!$A$5:$A$200,0))="いいえ","対象外","判定保留")))))</f>
        <v/>
      </c>
      <c r="P124" s="33" t="n"/>
      <c r="Q124" s="18" t="n"/>
    </row>
    <row r="125">
      <c r="A125" s="18" t="n"/>
      <c r="B125" s="18" t="n"/>
      <c r="C125" s="18" t="n"/>
      <c r="D125" s="21">
        <f>IF(C125="","",IFERROR(INDEX('予算一覧'!$B:$B,MATCH(C125,'予算一覧'!$A:$A,0)),"案件が未登録"))</f>
        <v/>
      </c>
      <c r="E125" s="18" t="n"/>
      <c r="F125" s="18" t="n"/>
      <c r="G125" s="18" t="n"/>
      <c r="H125" s="33" t="n"/>
      <c r="I125" s="33" t="n"/>
      <c r="J125" s="18" t="n"/>
      <c r="K125" s="18" t="n"/>
      <c r="L125" s="35">
        <f>IF(OR(I125="",K125=""),"",EDATE(I125,-K125))</f>
        <v/>
      </c>
      <c r="M125" s="19" t="n"/>
      <c r="N125" s="21">
        <f>IF(A125="","",COUNTIF('業務'!$N$4:$N$200,A125))</f>
        <v/>
      </c>
      <c r="O125" s="21">
        <f>IF(A125="","",IF(COUNTIF('予算一覧'!$A$5:$A$200,C125)=0,"判定保留",IF(AND(INDEX('予算一覧'!$AH$5:$AH$200,MATCH(C125,'予算一覧'!$A$5:$A$200,0))="投資予算",INDEX('予算一覧'!$AZ$5:$AZ$200,MATCH(C125,'予算一覧'!$A$5:$A$200,0))="継続"),"対象外",IF(INDEX('予算一覧'!$AJ$5:$AJ$200,MATCH(C125,'予算一覧'!$A$5:$A$200,0))="はい","移管",IF(INDEX('予算一覧'!$AJ$5:$AJ$200,MATCH(C125,'予算一覧'!$A$5:$A$200,0))="いいえ","対象外","判定保留")))))</f>
        <v/>
      </c>
      <c r="P125" s="33" t="n"/>
      <c r="Q125" s="18" t="n"/>
    </row>
    <row r="126">
      <c r="A126" s="18" t="n"/>
      <c r="B126" s="18" t="n"/>
      <c r="C126" s="18" t="n"/>
      <c r="D126" s="21">
        <f>IF(C126="","",IFERROR(INDEX('予算一覧'!$B:$B,MATCH(C126,'予算一覧'!$A:$A,0)),"案件が未登録"))</f>
        <v/>
      </c>
      <c r="E126" s="18" t="n"/>
      <c r="F126" s="18" t="n"/>
      <c r="G126" s="18" t="n"/>
      <c r="H126" s="33" t="n"/>
      <c r="I126" s="33" t="n"/>
      <c r="J126" s="18" t="n"/>
      <c r="K126" s="18" t="n"/>
      <c r="L126" s="35">
        <f>IF(OR(I126="",K126=""),"",EDATE(I126,-K126))</f>
        <v/>
      </c>
      <c r="M126" s="19" t="n"/>
      <c r="N126" s="21">
        <f>IF(A126="","",COUNTIF('業務'!$N$4:$N$200,A126))</f>
        <v/>
      </c>
      <c r="O126" s="21">
        <f>IF(A126="","",IF(COUNTIF('予算一覧'!$A$5:$A$200,C126)=0,"判定保留",IF(AND(INDEX('予算一覧'!$AH$5:$AH$200,MATCH(C126,'予算一覧'!$A$5:$A$200,0))="投資予算",INDEX('予算一覧'!$AZ$5:$AZ$200,MATCH(C126,'予算一覧'!$A$5:$A$200,0))="継続"),"対象外",IF(INDEX('予算一覧'!$AJ$5:$AJ$200,MATCH(C126,'予算一覧'!$A$5:$A$200,0))="はい","移管",IF(INDEX('予算一覧'!$AJ$5:$AJ$200,MATCH(C126,'予算一覧'!$A$5:$A$200,0))="いいえ","対象外","判定保留")))))</f>
        <v/>
      </c>
      <c r="P126" s="33" t="n"/>
      <c r="Q126" s="18" t="n"/>
    </row>
    <row r="127">
      <c r="A127" s="18" t="n"/>
      <c r="B127" s="18" t="n"/>
      <c r="C127" s="18" t="n"/>
      <c r="D127" s="21">
        <f>IF(C127="","",IFERROR(INDEX('予算一覧'!$B:$B,MATCH(C127,'予算一覧'!$A:$A,0)),"案件が未登録"))</f>
        <v/>
      </c>
      <c r="E127" s="18" t="n"/>
      <c r="F127" s="18" t="n"/>
      <c r="G127" s="18" t="n"/>
      <c r="H127" s="33" t="n"/>
      <c r="I127" s="33" t="n"/>
      <c r="J127" s="18" t="n"/>
      <c r="K127" s="18" t="n"/>
      <c r="L127" s="35">
        <f>IF(OR(I127="",K127=""),"",EDATE(I127,-K127))</f>
        <v/>
      </c>
      <c r="M127" s="19" t="n"/>
      <c r="N127" s="21">
        <f>IF(A127="","",COUNTIF('業務'!$N$4:$N$200,A127))</f>
        <v/>
      </c>
      <c r="O127" s="21">
        <f>IF(A127="","",IF(COUNTIF('予算一覧'!$A$5:$A$200,C127)=0,"判定保留",IF(AND(INDEX('予算一覧'!$AH$5:$AH$200,MATCH(C127,'予算一覧'!$A$5:$A$200,0))="投資予算",INDEX('予算一覧'!$AZ$5:$AZ$200,MATCH(C127,'予算一覧'!$A$5:$A$200,0))="継続"),"対象外",IF(INDEX('予算一覧'!$AJ$5:$AJ$200,MATCH(C127,'予算一覧'!$A$5:$A$200,0))="はい","移管",IF(INDEX('予算一覧'!$AJ$5:$AJ$200,MATCH(C127,'予算一覧'!$A$5:$A$200,0))="いいえ","対象外","判定保留")))))</f>
        <v/>
      </c>
      <c r="P127" s="33" t="n"/>
      <c r="Q127" s="18" t="n"/>
    </row>
    <row r="128">
      <c r="A128" s="18" t="n"/>
      <c r="B128" s="18" t="n"/>
      <c r="C128" s="18" t="n"/>
      <c r="D128" s="21">
        <f>IF(C128="","",IFERROR(INDEX('予算一覧'!$B:$B,MATCH(C128,'予算一覧'!$A:$A,0)),"案件が未登録"))</f>
        <v/>
      </c>
      <c r="E128" s="18" t="n"/>
      <c r="F128" s="18" t="n"/>
      <c r="G128" s="18" t="n"/>
      <c r="H128" s="33" t="n"/>
      <c r="I128" s="33" t="n"/>
      <c r="J128" s="18" t="n"/>
      <c r="K128" s="18" t="n"/>
      <c r="L128" s="35">
        <f>IF(OR(I128="",K128=""),"",EDATE(I128,-K128))</f>
        <v/>
      </c>
      <c r="M128" s="19" t="n"/>
      <c r="N128" s="21">
        <f>IF(A128="","",COUNTIF('業務'!$N$4:$N$200,A128))</f>
        <v/>
      </c>
      <c r="O128" s="21">
        <f>IF(A128="","",IF(COUNTIF('予算一覧'!$A$5:$A$200,C128)=0,"判定保留",IF(AND(INDEX('予算一覧'!$AH$5:$AH$200,MATCH(C128,'予算一覧'!$A$5:$A$200,0))="投資予算",INDEX('予算一覧'!$AZ$5:$AZ$200,MATCH(C128,'予算一覧'!$A$5:$A$200,0))="継続"),"対象外",IF(INDEX('予算一覧'!$AJ$5:$AJ$200,MATCH(C128,'予算一覧'!$A$5:$A$200,0))="はい","移管",IF(INDEX('予算一覧'!$AJ$5:$AJ$200,MATCH(C128,'予算一覧'!$A$5:$A$200,0))="いいえ","対象外","判定保留")))))</f>
        <v/>
      </c>
      <c r="P128" s="33" t="n"/>
      <c r="Q128" s="18" t="n"/>
    </row>
    <row r="129">
      <c r="A129" s="18" t="n"/>
      <c r="B129" s="18" t="n"/>
      <c r="C129" s="18" t="n"/>
      <c r="D129" s="21">
        <f>IF(C129="","",IFERROR(INDEX('予算一覧'!$B:$B,MATCH(C129,'予算一覧'!$A:$A,0)),"案件が未登録"))</f>
        <v/>
      </c>
      <c r="E129" s="18" t="n"/>
      <c r="F129" s="18" t="n"/>
      <c r="G129" s="18" t="n"/>
      <c r="H129" s="33" t="n"/>
      <c r="I129" s="33" t="n"/>
      <c r="J129" s="18" t="n"/>
      <c r="K129" s="18" t="n"/>
      <c r="L129" s="35">
        <f>IF(OR(I129="",K129=""),"",EDATE(I129,-K129))</f>
        <v/>
      </c>
      <c r="M129" s="19" t="n"/>
      <c r="N129" s="21">
        <f>IF(A129="","",COUNTIF('業務'!$N$4:$N$200,A129))</f>
        <v/>
      </c>
      <c r="O129" s="21">
        <f>IF(A129="","",IF(COUNTIF('予算一覧'!$A$5:$A$200,C129)=0,"判定保留",IF(AND(INDEX('予算一覧'!$AH$5:$AH$200,MATCH(C129,'予算一覧'!$A$5:$A$200,0))="投資予算",INDEX('予算一覧'!$AZ$5:$AZ$200,MATCH(C129,'予算一覧'!$A$5:$A$200,0))="継続"),"対象外",IF(INDEX('予算一覧'!$AJ$5:$AJ$200,MATCH(C129,'予算一覧'!$A$5:$A$200,0))="はい","移管",IF(INDEX('予算一覧'!$AJ$5:$AJ$200,MATCH(C129,'予算一覧'!$A$5:$A$200,0))="いいえ","対象外","判定保留")))))</f>
        <v/>
      </c>
      <c r="P129" s="33" t="n"/>
      <c r="Q129" s="18" t="n"/>
    </row>
    <row r="130">
      <c r="A130" s="18" t="n"/>
      <c r="B130" s="18" t="n"/>
      <c r="C130" s="18" t="n"/>
      <c r="D130" s="21">
        <f>IF(C130="","",IFERROR(INDEX('予算一覧'!$B:$B,MATCH(C130,'予算一覧'!$A:$A,0)),"案件が未登録"))</f>
        <v/>
      </c>
      <c r="E130" s="18" t="n"/>
      <c r="F130" s="18" t="n"/>
      <c r="G130" s="18" t="n"/>
      <c r="H130" s="33" t="n"/>
      <c r="I130" s="33" t="n"/>
      <c r="J130" s="18" t="n"/>
      <c r="K130" s="18" t="n"/>
      <c r="L130" s="35">
        <f>IF(OR(I130="",K130=""),"",EDATE(I130,-K130))</f>
        <v/>
      </c>
      <c r="M130" s="19" t="n"/>
      <c r="N130" s="21">
        <f>IF(A130="","",COUNTIF('業務'!$N$4:$N$200,A130))</f>
        <v/>
      </c>
      <c r="O130" s="21">
        <f>IF(A130="","",IF(COUNTIF('予算一覧'!$A$5:$A$200,C130)=0,"判定保留",IF(AND(INDEX('予算一覧'!$AH$5:$AH$200,MATCH(C130,'予算一覧'!$A$5:$A$200,0))="投資予算",INDEX('予算一覧'!$AZ$5:$AZ$200,MATCH(C130,'予算一覧'!$A$5:$A$200,0))="継続"),"対象外",IF(INDEX('予算一覧'!$AJ$5:$AJ$200,MATCH(C130,'予算一覧'!$A$5:$A$200,0))="はい","移管",IF(INDEX('予算一覧'!$AJ$5:$AJ$200,MATCH(C130,'予算一覧'!$A$5:$A$200,0))="いいえ","対象外","判定保留")))))</f>
        <v/>
      </c>
      <c r="P130" s="33" t="n"/>
      <c r="Q130" s="18" t="n"/>
    </row>
    <row r="131">
      <c r="A131" s="18" t="n"/>
      <c r="B131" s="18" t="n"/>
      <c r="C131" s="18" t="n"/>
      <c r="D131" s="21">
        <f>IF(C131="","",IFERROR(INDEX('予算一覧'!$B:$B,MATCH(C131,'予算一覧'!$A:$A,0)),"案件が未登録"))</f>
        <v/>
      </c>
      <c r="E131" s="18" t="n"/>
      <c r="F131" s="18" t="n"/>
      <c r="G131" s="18" t="n"/>
      <c r="H131" s="33" t="n"/>
      <c r="I131" s="33" t="n"/>
      <c r="J131" s="18" t="n"/>
      <c r="K131" s="18" t="n"/>
      <c r="L131" s="35">
        <f>IF(OR(I131="",K131=""),"",EDATE(I131,-K131))</f>
        <v/>
      </c>
      <c r="M131" s="19" t="n"/>
      <c r="N131" s="21">
        <f>IF(A131="","",COUNTIF('業務'!$N$4:$N$200,A131))</f>
        <v/>
      </c>
      <c r="O131" s="21">
        <f>IF(A131="","",IF(COUNTIF('予算一覧'!$A$5:$A$200,C131)=0,"判定保留",IF(AND(INDEX('予算一覧'!$AH$5:$AH$200,MATCH(C131,'予算一覧'!$A$5:$A$200,0))="投資予算",INDEX('予算一覧'!$AZ$5:$AZ$200,MATCH(C131,'予算一覧'!$A$5:$A$200,0))="継続"),"対象外",IF(INDEX('予算一覧'!$AJ$5:$AJ$200,MATCH(C131,'予算一覧'!$A$5:$A$200,0))="はい","移管",IF(INDEX('予算一覧'!$AJ$5:$AJ$200,MATCH(C131,'予算一覧'!$A$5:$A$200,0))="いいえ","対象外","判定保留")))))</f>
        <v/>
      </c>
      <c r="P131" s="33" t="n"/>
      <c r="Q131" s="18" t="n"/>
    </row>
    <row r="132">
      <c r="A132" s="18" t="n"/>
      <c r="B132" s="18" t="n"/>
      <c r="C132" s="18" t="n"/>
      <c r="D132" s="21">
        <f>IF(C132="","",IFERROR(INDEX('予算一覧'!$B:$B,MATCH(C132,'予算一覧'!$A:$A,0)),"案件が未登録"))</f>
        <v/>
      </c>
      <c r="E132" s="18" t="n"/>
      <c r="F132" s="18" t="n"/>
      <c r="G132" s="18" t="n"/>
      <c r="H132" s="33" t="n"/>
      <c r="I132" s="33" t="n"/>
      <c r="J132" s="18" t="n"/>
      <c r="K132" s="18" t="n"/>
      <c r="L132" s="35">
        <f>IF(OR(I132="",K132=""),"",EDATE(I132,-K132))</f>
        <v/>
      </c>
      <c r="M132" s="19" t="n"/>
      <c r="N132" s="21">
        <f>IF(A132="","",COUNTIF('業務'!$N$4:$N$200,A132))</f>
        <v/>
      </c>
      <c r="O132" s="21">
        <f>IF(A132="","",IF(COUNTIF('予算一覧'!$A$5:$A$200,C132)=0,"判定保留",IF(AND(INDEX('予算一覧'!$AH$5:$AH$200,MATCH(C132,'予算一覧'!$A$5:$A$200,0))="投資予算",INDEX('予算一覧'!$AZ$5:$AZ$200,MATCH(C132,'予算一覧'!$A$5:$A$200,0))="継続"),"対象外",IF(INDEX('予算一覧'!$AJ$5:$AJ$200,MATCH(C132,'予算一覧'!$A$5:$A$200,0))="はい","移管",IF(INDEX('予算一覧'!$AJ$5:$AJ$200,MATCH(C132,'予算一覧'!$A$5:$A$200,0))="いいえ","対象外","判定保留")))))</f>
        <v/>
      </c>
      <c r="P132" s="33" t="n"/>
      <c r="Q132" s="18" t="n"/>
    </row>
    <row r="133">
      <c r="A133" s="18" t="n"/>
      <c r="B133" s="18" t="n"/>
      <c r="C133" s="18" t="n"/>
      <c r="D133" s="21">
        <f>IF(C133="","",IFERROR(INDEX('予算一覧'!$B:$B,MATCH(C133,'予算一覧'!$A:$A,0)),"案件が未登録"))</f>
        <v/>
      </c>
      <c r="E133" s="18" t="n"/>
      <c r="F133" s="18" t="n"/>
      <c r="G133" s="18" t="n"/>
      <c r="H133" s="33" t="n"/>
      <c r="I133" s="33" t="n"/>
      <c r="J133" s="18" t="n"/>
      <c r="K133" s="18" t="n"/>
      <c r="L133" s="35">
        <f>IF(OR(I133="",K133=""),"",EDATE(I133,-K133))</f>
        <v/>
      </c>
      <c r="M133" s="19" t="n"/>
      <c r="N133" s="21">
        <f>IF(A133="","",COUNTIF('業務'!$N$4:$N$200,A133))</f>
        <v/>
      </c>
      <c r="O133" s="21">
        <f>IF(A133="","",IF(COUNTIF('予算一覧'!$A$5:$A$200,C133)=0,"判定保留",IF(AND(INDEX('予算一覧'!$AH$5:$AH$200,MATCH(C133,'予算一覧'!$A$5:$A$200,0))="投資予算",INDEX('予算一覧'!$AZ$5:$AZ$200,MATCH(C133,'予算一覧'!$A$5:$A$200,0))="継続"),"対象外",IF(INDEX('予算一覧'!$AJ$5:$AJ$200,MATCH(C133,'予算一覧'!$A$5:$A$200,0))="はい","移管",IF(INDEX('予算一覧'!$AJ$5:$AJ$200,MATCH(C133,'予算一覧'!$A$5:$A$200,0))="いいえ","対象外","判定保留")))))</f>
        <v/>
      </c>
      <c r="P133" s="33" t="n"/>
      <c r="Q133" s="18" t="n"/>
    </row>
    <row r="134">
      <c r="A134" s="18" t="n"/>
      <c r="B134" s="18" t="n"/>
      <c r="C134" s="18" t="n"/>
      <c r="D134" s="21">
        <f>IF(C134="","",IFERROR(INDEX('予算一覧'!$B:$B,MATCH(C134,'予算一覧'!$A:$A,0)),"案件が未登録"))</f>
        <v/>
      </c>
      <c r="E134" s="18" t="n"/>
      <c r="F134" s="18" t="n"/>
      <c r="G134" s="18" t="n"/>
      <c r="H134" s="33" t="n"/>
      <c r="I134" s="33" t="n"/>
      <c r="J134" s="18" t="n"/>
      <c r="K134" s="18" t="n"/>
      <c r="L134" s="35">
        <f>IF(OR(I134="",K134=""),"",EDATE(I134,-K134))</f>
        <v/>
      </c>
      <c r="M134" s="19" t="n"/>
      <c r="N134" s="21">
        <f>IF(A134="","",COUNTIF('業務'!$N$4:$N$200,A134))</f>
        <v/>
      </c>
      <c r="O134" s="21">
        <f>IF(A134="","",IF(COUNTIF('予算一覧'!$A$5:$A$200,C134)=0,"判定保留",IF(AND(INDEX('予算一覧'!$AH$5:$AH$200,MATCH(C134,'予算一覧'!$A$5:$A$200,0))="投資予算",INDEX('予算一覧'!$AZ$5:$AZ$200,MATCH(C134,'予算一覧'!$A$5:$A$200,0))="継続"),"対象外",IF(INDEX('予算一覧'!$AJ$5:$AJ$200,MATCH(C134,'予算一覧'!$A$5:$A$200,0))="はい","移管",IF(INDEX('予算一覧'!$AJ$5:$AJ$200,MATCH(C134,'予算一覧'!$A$5:$A$200,0))="いいえ","対象外","判定保留")))))</f>
        <v/>
      </c>
      <c r="P134" s="33" t="n"/>
      <c r="Q134" s="18" t="n"/>
    </row>
    <row r="135">
      <c r="A135" s="18" t="n"/>
      <c r="B135" s="18" t="n"/>
      <c r="C135" s="18" t="n"/>
      <c r="D135" s="21">
        <f>IF(C135="","",IFERROR(INDEX('予算一覧'!$B:$B,MATCH(C135,'予算一覧'!$A:$A,0)),"案件が未登録"))</f>
        <v/>
      </c>
      <c r="E135" s="18" t="n"/>
      <c r="F135" s="18" t="n"/>
      <c r="G135" s="18" t="n"/>
      <c r="H135" s="33" t="n"/>
      <c r="I135" s="33" t="n"/>
      <c r="J135" s="18" t="n"/>
      <c r="K135" s="18" t="n"/>
      <c r="L135" s="35">
        <f>IF(OR(I135="",K135=""),"",EDATE(I135,-K135))</f>
        <v/>
      </c>
      <c r="M135" s="19" t="n"/>
      <c r="N135" s="21">
        <f>IF(A135="","",COUNTIF('業務'!$N$4:$N$200,A135))</f>
        <v/>
      </c>
      <c r="O135" s="21">
        <f>IF(A135="","",IF(COUNTIF('予算一覧'!$A$5:$A$200,C135)=0,"判定保留",IF(AND(INDEX('予算一覧'!$AH$5:$AH$200,MATCH(C135,'予算一覧'!$A$5:$A$200,0))="投資予算",INDEX('予算一覧'!$AZ$5:$AZ$200,MATCH(C135,'予算一覧'!$A$5:$A$200,0))="継続"),"対象外",IF(INDEX('予算一覧'!$AJ$5:$AJ$200,MATCH(C135,'予算一覧'!$A$5:$A$200,0))="はい","移管",IF(INDEX('予算一覧'!$AJ$5:$AJ$200,MATCH(C135,'予算一覧'!$A$5:$A$200,0))="いいえ","対象外","判定保留")))))</f>
        <v/>
      </c>
      <c r="P135" s="33" t="n"/>
      <c r="Q135" s="18" t="n"/>
    </row>
    <row r="136">
      <c r="A136" s="18" t="n"/>
      <c r="B136" s="18" t="n"/>
      <c r="C136" s="18" t="n"/>
      <c r="D136" s="21">
        <f>IF(C136="","",IFERROR(INDEX('予算一覧'!$B:$B,MATCH(C136,'予算一覧'!$A:$A,0)),"案件が未登録"))</f>
        <v/>
      </c>
      <c r="E136" s="18" t="n"/>
      <c r="F136" s="18" t="n"/>
      <c r="G136" s="18" t="n"/>
      <c r="H136" s="33" t="n"/>
      <c r="I136" s="33" t="n"/>
      <c r="J136" s="18" t="n"/>
      <c r="K136" s="18" t="n"/>
      <c r="L136" s="35">
        <f>IF(OR(I136="",K136=""),"",EDATE(I136,-K136))</f>
        <v/>
      </c>
      <c r="M136" s="19" t="n"/>
      <c r="N136" s="21">
        <f>IF(A136="","",COUNTIF('業務'!$N$4:$N$200,A136))</f>
        <v/>
      </c>
      <c r="O136" s="21">
        <f>IF(A136="","",IF(COUNTIF('予算一覧'!$A$5:$A$200,C136)=0,"判定保留",IF(AND(INDEX('予算一覧'!$AH$5:$AH$200,MATCH(C136,'予算一覧'!$A$5:$A$200,0))="投資予算",INDEX('予算一覧'!$AZ$5:$AZ$200,MATCH(C136,'予算一覧'!$A$5:$A$200,0))="継続"),"対象外",IF(INDEX('予算一覧'!$AJ$5:$AJ$200,MATCH(C136,'予算一覧'!$A$5:$A$200,0))="はい","移管",IF(INDEX('予算一覧'!$AJ$5:$AJ$200,MATCH(C136,'予算一覧'!$A$5:$A$200,0))="いいえ","対象外","判定保留")))))</f>
        <v/>
      </c>
      <c r="P136" s="33" t="n"/>
      <c r="Q136" s="18" t="n"/>
    </row>
    <row r="137">
      <c r="A137" s="18" t="n"/>
      <c r="B137" s="18" t="n"/>
      <c r="C137" s="18" t="n"/>
      <c r="D137" s="21">
        <f>IF(C137="","",IFERROR(INDEX('予算一覧'!$B:$B,MATCH(C137,'予算一覧'!$A:$A,0)),"案件が未登録"))</f>
        <v/>
      </c>
      <c r="E137" s="18" t="n"/>
      <c r="F137" s="18" t="n"/>
      <c r="G137" s="18" t="n"/>
      <c r="H137" s="33" t="n"/>
      <c r="I137" s="33" t="n"/>
      <c r="J137" s="18" t="n"/>
      <c r="K137" s="18" t="n"/>
      <c r="L137" s="35">
        <f>IF(OR(I137="",K137=""),"",EDATE(I137,-K137))</f>
        <v/>
      </c>
      <c r="M137" s="19" t="n"/>
      <c r="N137" s="21">
        <f>IF(A137="","",COUNTIF('業務'!$N$4:$N$200,A137))</f>
        <v/>
      </c>
      <c r="O137" s="21">
        <f>IF(A137="","",IF(COUNTIF('予算一覧'!$A$5:$A$200,C137)=0,"判定保留",IF(AND(INDEX('予算一覧'!$AH$5:$AH$200,MATCH(C137,'予算一覧'!$A$5:$A$200,0))="投資予算",INDEX('予算一覧'!$AZ$5:$AZ$200,MATCH(C137,'予算一覧'!$A$5:$A$200,0))="継続"),"対象外",IF(INDEX('予算一覧'!$AJ$5:$AJ$200,MATCH(C137,'予算一覧'!$A$5:$A$200,0))="はい","移管",IF(INDEX('予算一覧'!$AJ$5:$AJ$200,MATCH(C137,'予算一覧'!$A$5:$A$200,0))="いいえ","対象外","判定保留")))))</f>
        <v/>
      </c>
      <c r="P137" s="33" t="n"/>
      <c r="Q137" s="18" t="n"/>
    </row>
    <row r="138">
      <c r="A138" s="18" t="n"/>
      <c r="B138" s="18" t="n"/>
      <c r="C138" s="18" t="n"/>
      <c r="D138" s="21">
        <f>IF(C138="","",IFERROR(INDEX('予算一覧'!$B:$B,MATCH(C138,'予算一覧'!$A:$A,0)),"案件が未登録"))</f>
        <v/>
      </c>
      <c r="E138" s="18" t="n"/>
      <c r="F138" s="18" t="n"/>
      <c r="G138" s="18" t="n"/>
      <c r="H138" s="33" t="n"/>
      <c r="I138" s="33" t="n"/>
      <c r="J138" s="18" t="n"/>
      <c r="K138" s="18" t="n"/>
      <c r="L138" s="35">
        <f>IF(OR(I138="",K138=""),"",EDATE(I138,-K138))</f>
        <v/>
      </c>
      <c r="M138" s="19" t="n"/>
      <c r="N138" s="21">
        <f>IF(A138="","",COUNTIF('業務'!$N$4:$N$200,A138))</f>
        <v/>
      </c>
      <c r="O138" s="21">
        <f>IF(A138="","",IF(COUNTIF('予算一覧'!$A$5:$A$200,C138)=0,"判定保留",IF(AND(INDEX('予算一覧'!$AH$5:$AH$200,MATCH(C138,'予算一覧'!$A$5:$A$200,0))="投資予算",INDEX('予算一覧'!$AZ$5:$AZ$200,MATCH(C138,'予算一覧'!$A$5:$A$200,0))="継続"),"対象外",IF(INDEX('予算一覧'!$AJ$5:$AJ$200,MATCH(C138,'予算一覧'!$A$5:$A$200,0))="はい","移管",IF(INDEX('予算一覧'!$AJ$5:$AJ$200,MATCH(C138,'予算一覧'!$A$5:$A$200,0))="いいえ","対象外","判定保留")))))</f>
        <v/>
      </c>
      <c r="P138" s="33" t="n"/>
      <c r="Q138" s="18" t="n"/>
    </row>
    <row r="139">
      <c r="A139" s="18" t="n"/>
      <c r="B139" s="18" t="n"/>
      <c r="C139" s="18" t="n"/>
      <c r="D139" s="21">
        <f>IF(C139="","",IFERROR(INDEX('予算一覧'!$B:$B,MATCH(C139,'予算一覧'!$A:$A,0)),"案件が未登録"))</f>
        <v/>
      </c>
      <c r="E139" s="18" t="n"/>
      <c r="F139" s="18" t="n"/>
      <c r="G139" s="18" t="n"/>
      <c r="H139" s="33" t="n"/>
      <c r="I139" s="33" t="n"/>
      <c r="J139" s="18" t="n"/>
      <c r="K139" s="18" t="n"/>
      <c r="L139" s="35">
        <f>IF(OR(I139="",K139=""),"",EDATE(I139,-K139))</f>
        <v/>
      </c>
      <c r="M139" s="19" t="n"/>
      <c r="N139" s="21">
        <f>IF(A139="","",COUNTIF('業務'!$N$4:$N$200,A139))</f>
        <v/>
      </c>
      <c r="O139" s="21">
        <f>IF(A139="","",IF(COUNTIF('予算一覧'!$A$5:$A$200,C139)=0,"判定保留",IF(AND(INDEX('予算一覧'!$AH$5:$AH$200,MATCH(C139,'予算一覧'!$A$5:$A$200,0))="投資予算",INDEX('予算一覧'!$AZ$5:$AZ$200,MATCH(C139,'予算一覧'!$A$5:$A$200,0))="継続"),"対象外",IF(INDEX('予算一覧'!$AJ$5:$AJ$200,MATCH(C139,'予算一覧'!$A$5:$A$200,0))="はい","移管",IF(INDEX('予算一覧'!$AJ$5:$AJ$200,MATCH(C139,'予算一覧'!$A$5:$A$200,0))="いいえ","対象外","判定保留")))))</f>
        <v/>
      </c>
      <c r="P139" s="33" t="n"/>
      <c r="Q139" s="18" t="n"/>
    </row>
    <row r="140">
      <c r="A140" s="18" t="n"/>
      <c r="B140" s="18" t="n"/>
      <c r="C140" s="18" t="n"/>
      <c r="D140" s="21">
        <f>IF(C140="","",IFERROR(INDEX('予算一覧'!$B:$B,MATCH(C140,'予算一覧'!$A:$A,0)),"案件が未登録"))</f>
        <v/>
      </c>
      <c r="E140" s="18" t="n"/>
      <c r="F140" s="18" t="n"/>
      <c r="G140" s="18" t="n"/>
      <c r="H140" s="33" t="n"/>
      <c r="I140" s="33" t="n"/>
      <c r="J140" s="18" t="n"/>
      <c r="K140" s="18" t="n"/>
      <c r="L140" s="35">
        <f>IF(OR(I140="",K140=""),"",EDATE(I140,-K140))</f>
        <v/>
      </c>
      <c r="M140" s="19" t="n"/>
      <c r="N140" s="21">
        <f>IF(A140="","",COUNTIF('業務'!$N$4:$N$200,A140))</f>
        <v/>
      </c>
      <c r="O140" s="21">
        <f>IF(A140="","",IF(COUNTIF('予算一覧'!$A$5:$A$200,C140)=0,"判定保留",IF(AND(INDEX('予算一覧'!$AH$5:$AH$200,MATCH(C140,'予算一覧'!$A$5:$A$200,0))="投資予算",INDEX('予算一覧'!$AZ$5:$AZ$200,MATCH(C140,'予算一覧'!$A$5:$A$200,0))="継続"),"対象外",IF(INDEX('予算一覧'!$AJ$5:$AJ$200,MATCH(C140,'予算一覧'!$A$5:$A$200,0))="はい","移管",IF(INDEX('予算一覧'!$AJ$5:$AJ$200,MATCH(C140,'予算一覧'!$A$5:$A$200,0))="いいえ","対象外","判定保留")))))</f>
        <v/>
      </c>
      <c r="P140" s="33" t="n"/>
      <c r="Q140" s="18" t="n"/>
    </row>
    <row r="141">
      <c r="A141" s="18" t="n"/>
      <c r="B141" s="18" t="n"/>
      <c r="C141" s="18" t="n"/>
      <c r="D141" s="21">
        <f>IF(C141="","",IFERROR(INDEX('予算一覧'!$B:$B,MATCH(C141,'予算一覧'!$A:$A,0)),"案件が未登録"))</f>
        <v/>
      </c>
      <c r="E141" s="18" t="n"/>
      <c r="F141" s="18" t="n"/>
      <c r="G141" s="18" t="n"/>
      <c r="H141" s="33" t="n"/>
      <c r="I141" s="33" t="n"/>
      <c r="J141" s="18" t="n"/>
      <c r="K141" s="18" t="n"/>
      <c r="L141" s="35">
        <f>IF(OR(I141="",K141=""),"",EDATE(I141,-K141))</f>
        <v/>
      </c>
      <c r="M141" s="19" t="n"/>
      <c r="N141" s="21">
        <f>IF(A141="","",COUNTIF('業務'!$N$4:$N$200,A141))</f>
        <v/>
      </c>
      <c r="O141" s="21">
        <f>IF(A141="","",IF(COUNTIF('予算一覧'!$A$5:$A$200,C141)=0,"判定保留",IF(AND(INDEX('予算一覧'!$AH$5:$AH$200,MATCH(C141,'予算一覧'!$A$5:$A$200,0))="投資予算",INDEX('予算一覧'!$AZ$5:$AZ$200,MATCH(C141,'予算一覧'!$A$5:$A$200,0))="継続"),"対象外",IF(INDEX('予算一覧'!$AJ$5:$AJ$200,MATCH(C141,'予算一覧'!$A$5:$A$200,0))="はい","移管",IF(INDEX('予算一覧'!$AJ$5:$AJ$200,MATCH(C141,'予算一覧'!$A$5:$A$200,0))="いいえ","対象外","判定保留")))))</f>
        <v/>
      </c>
      <c r="P141" s="33" t="n"/>
      <c r="Q141" s="18" t="n"/>
    </row>
    <row r="142">
      <c r="A142" s="18" t="n"/>
      <c r="B142" s="18" t="n"/>
      <c r="C142" s="18" t="n"/>
      <c r="D142" s="21">
        <f>IF(C142="","",IFERROR(INDEX('予算一覧'!$B:$B,MATCH(C142,'予算一覧'!$A:$A,0)),"案件が未登録"))</f>
        <v/>
      </c>
      <c r="E142" s="18" t="n"/>
      <c r="F142" s="18" t="n"/>
      <c r="G142" s="18" t="n"/>
      <c r="H142" s="33" t="n"/>
      <c r="I142" s="33" t="n"/>
      <c r="J142" s="18" t="n"/>
      <c r="K142" s="18" t="n"/>
      <c r="L142" s="35">
        <f>IF(OR(I142="",K142=""),"",EDATE(I142,-K142))</f>
        <v/>
      </c>
      <c r="M142" s="19" t="n"/>
      <c r="N142" s="21">
        <f>IF(A142="","",COUNTIF('業務'!$N$4:$N$200,A142))</f>
        <v/>
      </c>
      <c r="O142" s="21">
        <f>IF(A142="","",IF(COUNTIF('予算一覧'!$A$5:$A$200,C142)=0,"判定保留",IF(AND(INDEX('予算一覧'!$AH$5:$AH$200,MATCH(C142,'予算一覧'!$A$5:$A$200,0))="投資予算",INDEX('予算一覧'!$AZ$5:$AZ$200,MATCH(C142,'予算一覧'!$A$5:$A$200,0))="継続"),"対象外",IF(INDEX('予算一覧'!$AJ$5:$AJ$200,MATCH(C142,'予算一覧'!$A$5:$A$200,0))="はい","移管",IF(INDEX('予算一覧'!$AJ$5:$AJ$200,MATCH(C142,'予算一覧'!$A$5:$A$200,0))="いいえ","対象外","判定保留")))))</f>
        <v/>
      </c>
      <c r="P142" s="33" t="n"/>
      <c r="Q142" s="18" t="n"/>
    </row>
    <row r="143">
      <c r="A143" s="18" t="n"/>
      <c r="B143" s="18" t="n"/>
      <c r="C143" s="18" t="n"/>
      <c r="D143" s="21">
        <f>IF(C143="","",IFERROR(INDEX('予算一覧'!$B:$B,MATCH(C143,'予算一覧'!$A:$A,0)),"案件が未登録"))</f>
        <v/>
      </c>
      <c r="E143" s="18" t="n"/>
      <c r="F143" s="18" t="n"/>
      <c r="G143" s="18" t="n"/>
      <c r="H143" s="33" t="n"/>
      <c r="I143" s="33" t="n"/>
      <c r="J143" s="18" t="n"/>
      <c r="K143" s="18" t="n"/>
      <c r="L143" s="35">
        <f>IF(OR(I143="",K143=""),"",EDATE(I143,-K143))</f>
        <v/>
      </c>
      <c r="M143" s="19" t="n"/>
      <c r="N143" s="21">
        <f>IF(A143="","",COUNTIF('業務'!$N$4:$N$200,A143))</f>
        <v/>
      </c>
      <c r="O143" s="21">
        <f>IF(A143="","",IF(COUNTIF('予算一覧'!$A$5:$A$200,C143)=0,"判定保留",IF(AND(INDEX('予算一覧'!$AH$5:$AH$200,MATCH(C143,'予算一覧'!$A$5:$A$200,0))="投資予算",INDEX('予算一覧'!$AZ$5:$AZ$200,MATCH(C143,'予算一覧'!$A$5:$A$200,0))="継続"),"対象外",IF(INDEX('予算一覧'!$AJ$5:$AJ$200,MATCH(C143,'予算一覧'!$A$5:$A$200,0))="はい","移管",IF(INDEX('予算一覧'!$AJ$5:$AJ$200,MATCH(C143,'予算一覧'!$A$5:$A$200,0))="いいえ","対象外","判定保留")))))</f>
        <v/>
      </c>
      <c r="P143" s="33" t="n"/>
      <c r="Q143" s="18" t="n"/>
    </row>
    <row r="144">
      <c r="A144" s="18" t="n"/>
      <c r="B144" s="18" t="n"/>
      <c r="C144" s="18" t="n"/>
      <c r="D144" s="21">
        <f>IF(C144="","",IFERROR(INDEX('予算一覧'!$B:$B,MATCH(C144,'予算一覧'!$A:$A,0)),"案件が未登録"))</f>
        <v/>
      </c>
      <c r="E144" s="18" t="n"/>
      <c r="F144" s="18" t="n"/>
      <c r="G144" s="18" t="n"/>
      <c r="H144" s="33" t="n"/>
      <c r="I144" s="33" t="n"/>
      <c r="J144" s="18" t="n"/>
      <c r="K144" s="18" t="n"/>
      <c r="L144" s="35">
        <f>IF(OR(I144="",K144=""),"",EDATE(I144,-K144))</f>
        <v/>
      </c>
      <c r="M144" s="19" t="n"/>
      <c r="N144" s="21">
        <f>IF(A144="","",COUNTIF('業務'!$N$4:$N$200,A144))</f>
        <v/>
      </c>
      <c r="O144" s="21">
        <f>IF(A144="","",IF(COUNTIF('予算一覧'!$A$5:$A$200,C144)=0,"判定保留",IF(AND(INDEX('予算一覧'!$AH$5:$AH$200,MATCH(C144,'予算一覧'!$A$5:$A$200,0))="投資予算",INDEX('予算一覧'!$AZ$5:$AZ$200,MATCH(C144,'予算一覧'!$A$5:$A$200,0))="継続"),"対象外",IF(INDEX('予算一覧'!$AJ$5:$AJ$200,MATCH(C144,'予算一覧'!$A$5:$A$200,0))="はい","移管",IF(INDEX('予算一覧'!$AJ$5:$AJ$200,MATCH(C144,'予算一覧'!$A$5:$A$200,0))="いいえ","対象外","判定保留")))))</f>
        <v/>
      </c>
      <c r="P144" s="33" t="n"/>
      <c r="Q144" s="18" t="n"/>
    </row>
    <row r="145">
      <c r="A145" s="18" t="n"/>
      <c r="B145" s="18" t="n"/>
      <c r="C145" s="18" t="n"/>
      <c r="D145" s="21">
        <f>IF(C145="","",IFERROR(INDEX('予算一覧'!$B:$B,MATCH(C145,'予算一覧'!$A:$A,0)),"案件が未登録"))</f>
        <v/>
      </c>
      <c r="E145" s="18" t="n"/>
      <c r="F145" s="18" t="n"/>
      <c r="G145" s="18" t="n"/>
      <c r="H145" s="33" t="n"/>
      <c r="I145" s="33" t="n"/>
      <c r="J145" s="18" t="n"/>
      <c r="K145" s="18" t="n"/>
      <c r="L145" s="35">
        <f>IF(OR(I145="",K145=""),"",EDATE(I145,-K145))</f>
        <v/>
      </c>
      <c r="M145" s="19" t="n"/>
      <c r="N145" s="21">
        <f>IF(A145="","",COUNTIF('業務'!$N$4:$N$200,A145))</f>
        <v/>
      </c>
      <c r="O145" s="21">
        <f>IF(A145="","",IF(COUNTIF('予算一覧'!$A$5:$A$200,C145)=0,"判定保留",IF(AND(INDEX('予算一覧'!$AH$5:$AH$200,MATCH(C145,'予算一覧'!$A$5:$A$200,0))="投資予算",INDEX('予算一覧'!$AZ$5:$AZ$200,MATCH(C145,'予算一覧'!$A$5:$A$200,0))="継続"),"対象外",IF(INDEX('予算一覧'!$AJ$5:$AJ$200,MATCH(C145,'予算一覧'!$A$5:$A$200,0))="はい","移管",IF(INDEX('予算一覧'!$AJ$5:$AJ$200,MATCH(C145,'予算一覧'!$A$5:$A$200,0))="いいえ","対象外","判定保留")))))</f>
        <v/>
      </c>
      <c r="P145" s="33" t="n"/>
      <c r="Q145" s="18" t="n"/>
    </row>
    <row r="146">
      <c r="A146" s="18" t="n"/>
      <c r="B146" s="18" t="n"/>
      <c r="C146" s="18" t="n"/>
      <c r="D146" s="21">
        <f>IF(C146="","",IFERROR(INDEX('予算一覧'!$B:$B,MATCH(C146,'予算一覧'!$A:$A,0)),"案件が未登録"))</f>
        <v/>
      </c>
      <c r="E146" s="18" t="n"/>
      <c r="F146" s="18" t="n"/>
      <c r="G146" s="18" t="n"/>
      <c r="H146" s="33" t="n"/>
      <c r="I146" s="33" t="n"/>
      <c r="J146" s="18" t="n"/>
      <c r="K146" s="18" t="n"/>
      <c r="L146" s="35">
        <f>IF(OR(I146="",K146=""),"",EDATE(I146,-K146))</f>
        <v/>
      </c>
      <c r="M146" s="19" t="n"/>
      <c r="N146" s="21">
        <f>IF(A146="","",COUNTIF('業務'!$N$4:$N$200,A146))</f>
        <v/>
      </c>
      <c r="O146" s="21">
        <f>IF(A146="","",IF(COUNTIF('予算一覧'!$A$5:$A$200,C146)=0,"判定保留",IF(AND(INDEX('予算一覧'!$AH$5:$AH$200,MATCH(C146,'予算一覧'!$A$5:$A$200,0))="投資予算",INDEX('予算一覧'!$AZ$5:$AZ$200,MATCH(C146,'予算一覧'!$A$5:$A$200,0))="継続"),"対象外",IF(INDEX('予算一覧'!$AJ$5:$AJ$200,MATCH(C146,'予算一覧'!$A$5:$A$200,0))="はい","移管",IF(INDEX('予算一覧'!$AJ$5:$AJ$200,MATCH(C146,'予算一覧'!$A$5:$A$200,0))="いいえ","対象外","判定保留")))))</f>
        <v/>
      </c>
      <c r="P146" s="33" t="n"/>
      <c r="Q146" s="18" t="n"/>
    </row>
    <row r="147">
      <c r="A147" s="18" t="n"/>
      <c r="B147" s="18" t="n"/>
      <c r="C147" s="18" t="n"/>
      <c r="D147" s="21">
        <f>IF(C147="","",IFERROR(INDEX('予算一覧'!$B:$B,MATCH(C147,'予算一覧'!$A:$A,0)),"案件が未登録"))</f>
        <v/>
      </c>
      <c r="E147" s="18" t="n"/>
      <c r="F147" s="18" t="n"/>
      <c r="G147" s="18" t="n"/>
      <c r="H147" s="33" t="n"/>
      <c r="I147" s="33" t="n"/>
      <c r="J147" s="18" t="n"/>
      <c r="K147" s="18" t="n"/>
      <c r="L147" s="35">
        <f>IF(OR(I147="",K147=""),"",EDATE(I147,-K147))</f>
        <v/>
      </c>
      <c r="M147" s="19" t="n"/>
      <c r="N147" s="21">
        <f>IF(A147="","",COUNTIF('業務'!$N$4:$N$200,A147))</f>
        <v/>
      </c>
      <c r="O147" s="21">
        <f>IF(A147="","",IF(COUNTIF('予算一覧'!$A$5:$A$200,C147)=0,"判定保留",IF(AND(INDEX('予算一覧'!$AH$5:$AH$200,MATCH(C147,'予算一覧'!$A$5:$A$200,0))="投資予算",INDEX('予算一覧'!$AZ$5:$AZ$200,MATCH(C147,'予算一覧'!$A$5:$A$200,0))="継続"),"対象外",IF(INDEX('予算一覧'!$AJ$5:$AJ$200,MATCH(C147,'予算一覧'!$A$5:$A$200,0))="はい","移管",IF(INDEX('予算一覧'!$AJ$5:$AJ$200,MATCH(C147,'予算一覧'!$A$5:$A$200,0))="いいえ","対象外","判定保留")))))</f>
        <v/>
      </c>
      <c r="P147" s="33" t="n"/>
      <c r="Q147" s="18" t="n"/>
    </row>
    <row r="148">
      <c r="A148" s="18" t="n"/>
      <c r="B148" s="18" t="n"/>
      <c r="C148" s="18" t="n"/>
      <c r="D148" s="21">
        <f>IF(C148="","",IFERROR(INDEX('予算一覧'!$B:$B,MATCH(C148,'予算一覧'!$A:$A,0)),"案件が未登録"))</f>
        <v/>
      </c>
      <c r="E148" s="18" t="n"/>
      <c r="F148" s="18" t="n"/>
      <c r="G148" s="18" t="n"/>
      <c r="H148" s="33" t="n"/>
      <c r="I148" s="33" t="n"/>
      <c r="J148" s="18" t="n"/>
      <c r="K148" s="18" t="n"/>
      <c r="L148" s="35">
        <f>IF(OR(I148="",K148=""),"",EDATE(I148,-K148))</f>
        <v/>
      </c>
      <c r="M148" s="19" t="n"/>
      <c r="N148" s="21">
        <f>IF(A148="","",COUNTIF('業務'!$N$4:$N$200,A148))</f>
        <v/>
      </c>
      <c r="O148" s="21">
        <f>IF(A148="","",IF(COUNTIF('予算一覧'!$A$5:$A$200,C148)=0,"判定保留",IF(AND(INDEX('予算一覧'!$AH$5:$AH$200,MATCH(C148,'予算一覧'!$A$5:$A$200,0))="投資予算",INDEX('予算一覧'!$AZ$5:$AZ$200,MATCH(C148,'予算一覧'!$A$5:$A$200,0))="継続"),"対象外",IF(INDEX('予算一覧'!$AJ$5:$AJ$200,MATCH(C148,'予算一覧'!$A$5:$A$200,0))="はい","移管",IF(INDEX('予算一覧'!$AJ$5:$AJ$200,MATCH(C148,'予算一覧'!$A$5:$A$200,0))="いいえ","対象外","判定保留")))))</f>
        <v/>
      </c>
      <c r="P148" s="33" t="n"/>
      <c r="Q148" s="18" t="n"/>
    </row>
    <row r="149">
      <c r="A149" s="18" t="n"/>
      <c r="B149" s="18" t="n"/>
      <c r="C149" s="18" t="n"/>
      <c r="D149" s="21">
        <f>IF(C149="","",IFERROR(INDEX('予算一覧'!$B:$B,MATCH(C149,'予算一覧'!$A:$A,0)),"案件が未登録"))</f>
        <v/>
      </c>
      <c r="E149" s="18" t="n"/>
      <c r="F149" s="18" t="n"/>
      <c r="G149" s="18" t="n"/>
      <c r="H149" s="33" t="n"/>
      <c r="I149" s="33" t="n"/>
      <c r="J149" s="18" t="n"/>
      <c r="K149" s="18" t="n"/>
      <c r="L149" s="35">
        <f>IF(OR(I149="",K149=""),"",EDATE(I149,-K149))</f>
        <v/>
      </c>
      <c r="M149" s="19" t="n"/>
      <c r="N149" s="21">
        <f>IF(A149="","",COUNTIF('業務'!$N$4:$N$200,A149))</f>
        <v/>
      </c>
      <c r="O149" s="21">
        <f>IF(A149="","",IF(COUNTIF('予算一覧'!$A$5:$A$200,C149)=0,"判定保留",IF(AND(INDEX('予算一覧'!$AH$5:$AH$200,MATCH(C149,'予算一覧'!$A$5:$A$200,0))="投資予算",INDEX('予算一覧'!$AZ$5:$AZ$200,MATCH(C149,'予算一覧'!$A$5:$A$200,0))="継続"),"対象外",IF(INDEX('予算一覧'!$AJ$5:$AJ$200,MATCH(C149,'予算一覧'!$A$5:$A$200,0))="はい","移管",IF(INDEX('予算一覧'!$AJ$5:$AJ$200,MATCH(C149,'予算一覧'!$A$5:$A$200,0))="いいえ","対象外","判定保留")))))</f>
        <v/>
      </c>
      <c r="P149" s="33" t="n"/>
      <c r="Q149" s="18" t="n"/>
    </row>
    <row r="150">
      <c r="A150" s="18" t="n"/>
      <c r="B150" s="18" t="n"/>
      <c r="C150" s="18" t="n"/>
      <c r="D150" s="21">
        <f>IF(C150="","",IFERROR(INDEX('予算一覧'!$B:$B,MATCH(C150,'予算一覧'!$A:$A,0)),"案件が未登録"))</f>
        <v/>
      </c>
      <c r="E150" s="18" t="n"/>
      <c r="F150" s="18" t="n"/>
      <c r="G150" s="18" t="n"/>
      <c r="H150" s="33" t="n"/>
      <c r="I150" s="33" t="n"/>
      <c r="J150" s="18" t="n"/>
      <c r="K150" s="18" t="n"/>
      <c r="L150" s="35">
        <f>IF(OR(I150="",K150=""),"",EDATE(I150,-K150))</f>
        <v/>
      </c>
      <c r="M150" s="19" t="n"/>
      <c r="N150" s="21">
        <f>IF(A150="","",COUNTIF('業務'!$N$4:$N$200,A150))</f>
        <v/>
      </c>
      <c r="O150" s="21">
        <f>IF(A150="","",IF(COUNTIF('予算一覧'!$A$5:$A$200,C150)=0,"判定保留",IF(AND(INDEX('予算一覧'!$AH$5:$AH$200,MATCH(C150,'予算一覧'!$A$5:$A$200,0))="投資予算",INDEX('予算一覧'!$AZ$5:$AZ$200,MATCH(C150,'予算一覧'!$A$5:$A$200,0))="継続"),"対象外",IF(INDEX('予算一覧'!$AJ$5:$AJ$200,MATCH(C150,'予算一覧'!$A$5:$A$200,0))="はい","移管",IF(INDEX('予算一覧'!$AJ$5:$AJ$200,MATCH(C150,'予算一覧'!$A$5:$A$200,0))="いいえ","対象外","判定保留")))))</f>
        <v/>
      </c>
      <c r="P150" s="33" t="n"/>
      <c r="Q150" s="18" t="n"/>
    </row>
    <row r="151">
      <c r="A151" s="18" t="n"/>
      <c r="B151" s="18" t="n"/>
      <c r="C151" s="18" t="n"/>
      <c r="D151" s="21">
        <f>IF(C151="","",IFERROR(INDEX('予算一覧'!$B:$B,MATCH(C151,'予算一覧'!$A:$A,0)),"案件が未登録"))</f>
        <v/>
      </c>
      <c r="E151" s="18" t="n"/>
      <c r="F151" s="18" t="n"/>
      <c r="G151" s="18" t="n"/>
      <c r="H151" s="33" t="n"/>
      <c r="I151" s="33" t="n"/>
      <c r="J151" s="18" t="n"/>
      <c r="K151" s="18" t="n"/>
      <c r="L151" s="35">
        <f>IF(OR(I151="",K151=""),"",EDATE(I151,-K151))</f>
        <v/>
      </c>
      <c r="M151" s="19" t="n"/>
      <c r="N151" s="21">
        <f>IF(A151="","",COUNTIF('業務'!$N$4:$N$200,A151))</f>
        <v/>
      </c>
      <c r="O151" s="21">
        <f>IF(A151="","",IF(COUNTIF('予算一覧'!$A$5:$A$200,C151)=0,"判定保留",IF(AND(INDEX('予算一覧'!$AH$5:$AH$200,MATCH(C151,'予算一覧'!$A$5:$A$200,0))="投資予算",INDEX('予算一覧'!$AZ$5:$AZ$200,MATCH(C151,'予算一覧'!$A$5:$A$200,0))="継続"),"対象外",IF(INDEX('予算一覧'!$AJ$5:$AJ$200,MATCH(C151,'予算一覧'!$A$5:$A$200,0))="はい","移管",IF(INDEX('予算一覧'!$AJ$5:$AJ$200,MATCH(C151,'予算一覧'!$A$5:$A$200,0))="いいえ","対象外","判定保留")))))</f>
        <v/>
      </c>
      <c r="P151" s="33" t="n"/>
      <c r="Q151" s="18" t="n"/>
    </row>
    <row r="152">
      <c r="A152" s="18" t="n"/>
      <c r="B152" s="18" t="n"/>
      <c r="C152" s="18" t="n"/>
      <c r="D152" s="21">
        <f>IF(C152="","",IFERROR(INDEX('予算一覧'!$B:$B,MATCH(C152,'予算一覧'!$A:$A,0)),"案件が未登録"))</f>
        <v/>
      </c>
      <c r="E152" s="18" t="n"/>
      <c r="F152" s="18" t="n"/>
      <c r="G152" s="18" t="n"/>
      <c r="H152" s="33" t="n"/>
      <c r="I152" s="33" t="n"/>
      <c r="J152" s="18" t="n"/>
      <c r="K152" s="18" t="n"/>
      <c r="L152" s="35">
        <f>IF(OR(I152="",K152=""),"",EDATE(I152,-K152))</f>
        <v/>
      </c>
      <c r="M152" s="19" t="n"/>
      <c r="N152" s="21">
        <f>IF(A152="","",COUNTIF('業務'!$N$4:$N$200,A152))</f>
        <v/>
      </c>
      <c r="O152" s="21">
        <f>IF(A152="","",IF(COUNTIF('予算一覧'!$A$5:$A$200,C152)=0,"判定保留",IF(AND(INDEX('予算一覧'!$AH$5:$AH$200,MATCH(C152,'予算一覧'!$A$5:$A$200,0))="投資予算",INDEX('予算一覧'!$AZ$5:$AZ$200,MATCH(C152,'予算一覧'!$A$5:$A$200,0))="継続"),"対象外",IF(INDEX('予算一覧'!$AJ$5:$AJ$200,MATCH(C152,'予算一覧'!$A$5:$A$200,0))="はい","移管",IF(INDEX('予算一覧'!$AJ$5:$AJ$200,MATCH(C152,'予算一覧'!$A$5:$A$200,0))="いいえ","対象外","判定保留")))))</f>
        <v/>
      </c>
      <c r="P152" s="33" t="n"/>
      <c r="Q152" s="18" t="n"/>
    </row>
    <row r="153">
      <c r="A153" s="18" t="n"/>
      <c r="B153" s="18" t="n"/>
      <c r="C153" s="18" t="n"/>
      <c r="D153" s="21">
        <f>IF(C153="","",IFERROR(INDEX('予算一覧'!$B:$B,MATCH(C153,'予算一覧'!$A:$A,0)),"案件が未登録"))</f>
        <v/>
      </c>
      <c r="E153" s="18" t="n"/>
      <c r="F153" s="18" t="n"/>
      <c r="G153" s="18" t="n"/>
      <c r="H153" s="33" t="n"/>
      <c r="I153" s="33" t="n"/>
      <c r="J153" s="18" t="n"/>
      <c r="K153" s="18" t="n"/>
      <c r="L153" s="35">
        <f>IF(OR(I153="",K153=""),"",EDATE(I153,-K153))</f>
        <v/>
      </c>
      <c r="M153" s="19" t="n"/>
      <c r="N153" s="21">
        <f>IF(A153="","",COUNTIF('業務'!$N$4:$N$200,A153))</f>
        <v/>
      </c>
      <c r="O153" s="21">
        <f>IF(A153="","",IF(COUNTIF('予算一覧'!$A$5:$A$200,C153)=0,"判定保留",IF(AND(INDEX('予算一覧'!$AH$5:$AH$200,MATCH(C153,'予算一覧'!$A$5:$A$200,0))="投資予算",INDEX('予算一覧'!$AZ$5:$AZ$200,MATCH(C153,'予算一覧'!$A$5:$A$200,0))="継続"),"対象外",IF(INDEX('予算一覧'!$AJ$5:$AJ$200,MATCH(C153,'予算一覧'!$A$5:$A$200,0))="はい","移管",IF(INDEX('予算一覧'!$AJ$5:$AJ$200,MATCH(C153,'予算一覧'!$A$5:$A$200,0))="いいえ","対象外","判定保留")))))</f>
        <v/>
      </c>
      <c r="P153" s="33" t="n"/>
      <c r="Q153" s="18" t="n"/>
    </row>
    <row r="154">
      <c r="A154" s="18" t="n"/>
      <c r="B154" s="18" t="n"/>
      <c r="C154" s="18" t="n"/>
      <c r="D154" s="21">
        <f>IF(C154="","",IFERROR(INDEX('予算一覧'!$B:$B,MATCH(C154,'予算一覧'!$A:$A,0)),"案件が未登録"))</f>
        <v/>
      </c>
      <c r="E154" s="18" t="n"/>
      <c r="F154" s="18" t="n"/>
      <c r="G154" s="18" t="n"/>
      <c r="H154" s="33" t="n"/>
      <c r="I154" s="33" t="n"/>
      <c r="J154" s="18" t="n"/>
      <c r="K154" s="18" t="n"/>
      <c r="L154" s="35">
        <f>IF(OR(I154="",K154=""),"",EDATE(I154,-K154))</f>
        <v/>
      </c>
      <c r="M154" s="19" t="n"/>
      <c r="N154" s="21">
        <f>IF(A154="","",COUNTIF('業務'!$N$4:$N$200,A154))</f>
        <v/>
      </c>
      <c r="O154" s="21">
        <f>IF(A154="","",IF(COUNTIF('予算一覧'!$A$5:$A$200,C154)=0,"判定保留",IF(AND(INDEX('予算一覧'!$AH$5:$AH$200,MATCH(C154,'予算一覧'!$A$5:$A$200,0))="投資予算",INDEX('予算一覧'!$AZ$5:$AZ$200,MATCH(C154,'予算一覧'!$A$5:$A$200,0))="継続"),"対象外",IF(INDEX('予算一覧'!$AJ$5:$AJ$200,MATCH(C154,'予算一覧'!$A$5:$A$200,0))="はい","移管",IF(INDEX('予算一覧'!$AJ$5:$AJ$200,MATCH(C154,'予算一覧'!$A$5:$A$200,0))="いいえ","対象外","判定保留")))))</f>
        <v/>
      </c>
      <c r="P154" s="33" t="n"/>
      <c r="Q154" s="18" t="n"/>
    </row>
    <row r="155">
      <c r="A155" s="18" t="n"/>
      <c r="B155" s="18" t="n"/>
      <c r="C155" s="18" t="n"/>
      <c r="D155" s="21">
        <f>IF(C155="","",IFERROR(INDEX('予算一覧'!$B:$B,MATCH(C155,'予算一覧'!$A:$A,0)),"案件が未登録"))</f>
        <v/>
      </c>
      <c r="E155" s="18" t="n"/>
      <c r="F155" s="18" t="n"/>
      <c r="G155" s="18" t="n"/>
      <c r="H155" s="33" t="n"/>
      <c r="I155" s="33" t="n"/>
      <c r="J155" s="18" t="n"/>
      <c r="K155" s="18" t="n"/>
      <c r="L155" s="35">
        <f>IF(OR(I155="",K155=""),"",EDATE(I155,-K155))</f>
        <v/>
      </c>
      <c r="M155" s="19" t="n"/>
      <c r="N155" s="21">
        <f>IF(A155="","",COUNTIF('業務'!$N$4:$N$200,A155))</f>
        <v/>
      </c>
      <c r="O155" s="21">
        <f>IF(A155="","",IF(COUNTIF('予算一覧'!$A$5:$A$200,C155)=0,"判定保留",IF(AND(INDEX('予算一覧'!$AH$5:$AH$200,MATCH(C155,'予算一覧'!$A$5:$A$200,0))="投資予算",INDEX('予算一覧'!$AZ$5:$AZ$200,MATCH(C155,'予算一覧'!$A$5:$A$200,0))="継続"),"対象外",IF(INDEX('予算一覧'!$AJ$5:$AJ$200,MATCH(C155,'予算一覧'!$A$5:$A$200,0))="はい","移管",IF(INDEX('予算一覧'!$AJ$5:$AJ$200,MATCH(C155,'予算一覧'!$A$5:$A$200,0))="いいえ","対象外","判定保留")))))</f>
        <v/>
      </c>
      <c r="P155" s="33" t="n"/>
      <c r="Q155" s="18" t="n"/>
    </row>
    <row r="156">
      <c r="A156" s="18" t="n"/>
      <c r="B156" s="18" t="n"/>
      <c r="C156" s="18" t="n"/>
      <c r="D156" s="21">
        <f>IF(C156="","",IFERROR(INDEX('予算一覧'!$B:$B,MATCH(C156,'予算一覧'!$A:$A,0)),"案件が未登録"))</f>
        <v/>
      </c>
      <c r="E156" s="18" t="n"/>
      <c r="F156" s="18" t="n"/>
      <c r="G156" s="18" t="n"/>
      <c r="H156" s="33" t="n"/>
      <c r="I156" s="33" t="n"/>
      <c r="J156" s="18" t="n"/>
      <c r="K156" s="18" t="n"/>
      <c r="L156" s="35">
        <f>IF(OR(I156="",K156=""),"",EDATE(I156,-K156))</f>
        <v/>
      </c>
      <c r="M156" s="19" t="n"/>
      <c r="N156" s="21">
        <f>IF(A156="","",COUNTIF('業務'!$N$4:$N$200,A156))</f>
        <v/>
      </c>
      <c r="O156" s="21">
        <f>IF(A156="","",IF(COUNTIF('予算一覧'!$A$5:$A$200,C156)=0,"判定保留",IF(AND(INDEX('予算一覧'!$AH$5:$AH$200,MATCH(C156,'予算一覧'!$A$5:$A$200,0))="投資予算",INDEX('予算一覧'!$AZ$5:$AZ$200,MATCH(C156,'予算一覧'!$A$5:$A$200,0))="継続"),"対象外",IF(INDEX('予算一覧'!$AJ$5:$AJ$200,MATCH(C156,'予算一覧'!$A$5:$A$200,0))="はい","移管",IF(INDEX('予算一覧'!$AJ$5:$AJ$200,MATCH(C156,'予算一覧'!$A$5:$A$200,0))="いいえ","対象外","判定保留")))))</f>
        <v/>
      </c>
      <c r="P156" s="33" t="n"/>
      <c r="Q156" s="18" t="n"/>
    </row>
    <row r="157">
      <c r="A157" s="18" t="n"/>
      <c r="B157" s="18" t="n"/>
      <c r="C157" s="18" t="n"/>
      <c r="D157" s="21">
        <f>IF(C157="","",IFERROR(INDEX('予算一覧'!$B:$B,MATCH(C157,'予算一覧'!$A:$A,0)),"案件が未登録"))</f>
        <v/>
      </c>
      <c r="E157" s="18" t="n"/>
      <c r="F157" s="18" t="n"/>
      <c r="G157" s="18" t="n"/>
      <c r="H157" s="33" t="n"/>
      <c r="I157" s="33" t="n"/>
      <c r="J157" s="18" t="n"/>
      <c r="K157" s="18" t="n"/>
      <c r="L157" s="35">
        <f>IF(OR(I157="",K157=""),"",EDATE(I157,-K157))</f>
        <v/>
      </c>
      <c r="M157" s="19" t="n"/>
      <c r="N157" s="21">
        <f>IF(A157="","",COUNTIF('業務'!$N$4:$N$200,A157))</f>
        <v/>
      </c>
      <c r="O157" s="21">
        <f>IF(A157="","",IF(COUNTIF('予算一覧'!$A$5:$A$200,C157)=0,"判定保留",IF(AND(INDEX('予算一覧'!$AH$5:$AH$200,MATCH(C157,'予算一覧'!$A$5:$A$200,0))="投資予算",INDEX('予算一覧'!$AZ$5:$AZ$200,MATCH(C157,'予算一覧'!$A$5:$A$200,0))="継続"),"対象外",IF(INDEX('予算一覧'!$AJ$5:$AJ$200,MATCH(C157,'予算一覧'!$A$5:$A$200,0))="はい","移管",IF(INDEX('予算一覧'!$AJ$5:$AJ$200,MATCH(C157,'予算一覧'!$A$5:$A$200,0))="いいえ","対象外","判定保留")))))</f>
        <v/>
      </c>
      <c r="P157" s="33" t="n"/>
      <c r="Q157" s="18" t="n"/>
    </row>
    <row r="158">
      <c r="A158" s="18" t="n"/>
      <c r="B158" s="18" t="n"/>
      <c r="C158" s="18" t="n"/>
      <c r="D158" s="21">
        <f>IF(C158="","",IFERROR(INDEX('予算一覧'!$B:$B,MATCH(C158,'予算一覧'!$A:$A,0)),"案件が未登録"))</f>
        <v/>
      </c>
      <c r="E158" s="18" t="n"/>
      <c r="F158" s="18" t="n"/>
      <c r="G158" s="18" t="n"/>
      <c r="H158" s="33" t="n"/>
      <c r="I158" s="33" t="n"/>
      <c r="J158" s="18" t="n"/>
      <c r="K158" s="18" t="n"/>
      <c r="L158" s="35">
        <f>IF(OR(I158="",K158=""),"",EDATE(I158,-K158))</f>
        <v/>
      </c>
      <c r="M158" s="19" t="n"/>
      <c r="N158" s="21">
        <f>IF(A158="","",COUNTIF('業務'!$N$4:$N$200,A158))</f>
        <v/>
      </c>
      <c r="O158" s="21">
        <f>IF(A158="","",IF(COUNTIF('予算一覧'!$A$5:$A$200,C158)=0,"判定保留",IF(AND(INDEX('予算一覧'!$AH$5:$AH$200,MATCH(C158,'予算一覧'!$A$5:$A$200,0))="投資予算",INDEX('予算一覧'!$AZ$5:$AZ$200,MATCH(C158,'予算一覧'!$A$5:$A$200,0))="継続"),"対象外",IF(INDEX('予算一覧'!$AJ$5:$AJ$200,MATCH(C158,'予算一覧'!$A$5:$A$200,0))="はい","移管",IF(INDEX('予算一覧'!$AJ$5:$AJ$200,MATCH(C158,'予算一覧'!$A$5:$A$200,0))="いいえ","対象外","判定保留")))))</f>
        <v/>
      </c>
      <c r="P158" s="33" t="n"/>
      <c r="Q158" s="18" t="n"/>
    </row>
    <row r="159">
      <c r="A159" s="18" t="n"/>
      <c r="B159" s="18" t="n"/>
      <c r="C159" s="18" t="n"/>
      <c r="D159" s="21">
        <f>IF(C159="","",IFERROR(INDEX('予算一覧'!$B:$B,MATCH(C159,'予算一覧'!$A:$A,0)),"案件が未登録"))</f>
        <v/>
      </c>
      <c r="E159" s="18" t="n"/>
      <c r="F159" s="18" t="n"/>
      <c r="G159" s="18" t="n"/>
      <c r="H159" s="33" t="n"/>
      <c r="I159" s="33" t="n"/>
      <c r="J159" s="18" t="n"/>
      <c r="K159" s="18" t="n"/>
      <c r="L159" s="35">
        <f>IF(OR(I159="",K159=""),"",EDATE(I159,-K159))</f>
        <v/>
      </c>
      <c r="M159" s="19" t="n"/>
      <c r="N159" s="21">
        <f>IF(A159="","",COUNTIF('業務'!$N$4:$N$200,A159))</f>
        <v/>
      </c>
      <c r="O159" s="21">
        <f>IF(A159="","",IF(COUNTIF('予算一覧'!$A$5:$A$200,C159)=0,"判定保留",IF(AND(INDEX('予算一覧'!$AH$5:$AH$200,MATCH(C159,'予算一覧'!$A$5:$A$200,0))="投資予算",INDEX('予算一覧'!$AZ$5:$AZ$200,MATCH(C159,'予算一覧'!$A$5:$A$200,0))="継続"),"対象外",IF(INDEX('予算一覧'!$AJ$5:$AJ$200,MATCH(C159,'予算一覧'!$A$5:$A$200,0))="はい","移管",IF(INDEX('予算一覧'!$AJ$5:$AJ$200,MATCH(C159,'予算一覧'!$A$5:$A$200,0))="いいえ","対象外","判定保留")))))</f>
        <v/>
      </c>
      <c r="P159" s="33" t="n"/>
      <c r="Q159" s="18" t="n"/>
    </row>
    <row r="160">
      <c r="A160" s="18" t="n"/>
      <c r="B160" s="18" t="n"/>
      <c r="C160" s="18" t="n"/>
      <c r="D160" s="21">
        <f>IF(C160="","",IFERROR(INDEX('予算一覧'!$B:$B,MATCH(C160,'予算一覧'!$A:$A,0)),"案件が未登録"))</f>
        <v/>
      </c>
      <c r="E160" s="18" t="n"/>
      <c r="F160" s="18" t="n"/>
      <c r="G160" s="18" t="n"/>
      <c r="H160" s="33" t="n"/>
      <c r="I160" s="33" t="n"/>
      <c r="J160" s="18" t="n"/>
      <c r="K160" s="18" t="n"/>
      <c r="L160" s="35">
        <f>IF(OR(I160="",K160=""),"",EDATE(I160,-K160))</f>
        <v/>
      </c>
      <c r="M160" s="19" t="n"/>
      <c r="N160" s="21">
        <f>IF(A160="","",COUNTIF('業務'!$N$4:$N$200,A160))</f>
        <v/>
      </c>
      <c r="O160" s="21">
        <f>IF(A160="","",IF(COUNTIF('予算一覧'!$A$5:$A$200,C160)=0,"判定保留",IF(AND(INDEX('予算一覧'!$AH$5:$AH$200,MATCH(C160,'予算一覧'!$A$5:$A$200,0))="投資予算",INDEX('予算一覧'!$AZ$5:$AZ$200,MATCH(C160,'予算一覧'!$A$5:$A$200,0))="継続"),"対象外",IF(INDEX('予算一覧'!$AJ$5:$AJ$200,MATCH(C160,'予算一覧'!$A$5:$A$200,0))="はい","移管",IF(INDEX('予算一覧'!$AJ$5:$AJ$200,MATCH(C160,'予算一覧'!$A$5:$A$200,0))="いいえ","対象外","判定保留")))))</f>
        <v/>
      </c>
      <c r="P160" s="33" t="n"/>
      <c r="Q160" s="18" t="n"/>
    </row>
    <row r="161">
      <c r="A161" s="18" t="n"/>
      <c r="B161" s="18" t="n"/>
      <c r="C161" s="18" t="n"/>
      <c r="D161" s="21">
        <f>IF(C161="","",IFERROR(INDEX('予算一覧'!$B:$B,MATCH(C161,'予算一覧'!$A:$A,0)),"案件が未登録"))</f>
        <v/>
      </c>
      <c r="E161" s="18" t="n"/>
      <c r="F161" s="18" t="n"/>
      <c r="G161" s="18" t="n"/>
      <c r="H161" s="33" t="n"/>
      <c r="I161" s="33" t="n"/>
      <c r="J161" s="18" t="n"/>
      <c r="K161" s="18" t="n"/>
      <c r="L161" s="35">
        <f>IF(OR(I161="",K161=""),"",EDATE(I161,-K161))</f>
        <v/>
      </c>
      <c r="M161" s="19" t="n"/>
      <c r="N161" s="21">
        <f>IF(A161="","",COUNTIF('業務'!$N$4:$N$200,A161))</f>
        <v/>
      </c>
      <c r="O161" s="21">
        <f>IF(A161="","",IF(COUNTIF('予算一覧'!$A$5:$A$200,C161)=0,"判定保留",IF(AND(INDEX('予算一覧'!$AH$5:$AH$200,MATCH(C161,'予算一覧'!$A$5:$A$200,0))="投資予算",INDEX('予算一覧'!$AZ$5:$AZ$200,MATCH(C161,'予算一覧'!$A$5:$A$200,0))="継続"),"対象外",IF(INDEX('予算一覧'!$AJ$5:$AJ$200,MATCH(C161,'予算一覧'!$A$5:$A$200,0))="はい","移管",IF(INDEX('予算一覧'!$AJ$5:$AJ$200,MATCH(C161,'予算一覧'!$A$5:$A$200,0))="いいえ","対象外","判定保留")))))</f>
        <v/>
      </c>
      <c r="P161" s="33" t="n"/>
      <c r="Q161" s="18" t="n"/>
    </row>
    <row r="162">
      <c r="A162" s="18" t="n"/>
      <c r="B162" s="18" t="n"/>
      <c r="C162" s="18" t="n"/>
      <c r="D162" s="21">
        <f>IF(C162="","",IFERROR(INDEX('予算一覧'!$B:$B,MATCH(C162,'予算一覧'!$A:$A,0)),"案件が未登録"))</f>
        <v/>
      </c>
      <c r="E162" s="18" t="n"/>
      <c r="F162" s="18" t="n"/>
      <c r="G162" s="18" t="n"/>
      <c r="H162" s="33" t="n"/>
      <c r="I162" s="33" t="n"/>
      <c r="J162" s="18" t="n"/>
      <c r="K162" s="18" t="n"/>
      <c r="L162" s="35">
        <f>IF(OR(I162="",K162=""),"",EDATE(I162,-K162))</f>
        <v/>
      </c>
      <c r="M162" s="19" t="n"/>
      <c r="N162" s="21">
        <f>IF(A162="","",COUNTIF('業務'!$N$4:$N$200,A162))</f>
        <v/>
      </c>
      <c r="O162" s="21">
        <f>IF(A162="","",IF(COUNTIF('予算一覧'!$A$5:$A$200,C162)=0,"判定保留",IF(AND(INDEX('予算一覧'!$AH$5:$AH$200,MATCH(C162,'予算一覧'!$A$5:$A$200,0))="投資予算",INDEX('予算一覧'!$AZ$5:$AZ$200,MATCH(C162,'予算一覧'!$A$5:$A$200,0))="継続"),"対象外",IF(INDEX('予算一覧'!$AJ$5:$AJ$200,MATCH(C162,'予算一覧'!$A$5:$A$200,0))="はい","移管",IF(INDEX('予算一覧'!$AJ$5:$AJ$200,MATCH(C162,'予算一覧'!$A$5:$A$200,0))="いいえ","対象外","判定保留")))))</f>
        <v/>
      </c>
      <c r="P162" s="33" t="n"/>
      <c r="Q162" s="18" t="n"/>
    </row>
    <row r="163">
      <c r="A163" s="18" t="n"/>
      <c r="B163" s="18" t="n"/>
      <c r="C163" s="18" t="n"/>
      <c r="D163" s="21">
        <f>IF(C163="","",IFERROR(INDEX('予算一覧'!$B:$B,MATCH(C163,'予算一覧'!$A:$A,0)),"案件が未登録"))</f>
        <v/>
      </c>
      <c r="E163" s="18" t="n"/>
      <c r="F163" s="18" t="n"/>
      <c r="G163" s="18" t="n"/>
      <c r="H163" s="33" t="n"/>
      <c r="I163" s="33" t="n"/>
      <c r="J163" s="18" t="n"/>
      <c r="K163" s="18" t="n"/>
      <c r="L163" s="35">
        <f>IF(OR(I163="",K163=""),"",EDATE(I163,-K163))</f>
        <v/>
      </c>
      <c r="M163" s="19" t="n"/>
      <c r="N163" s="21">
        <f>IF(A163="","",COUNTIF('業務'!$N$4:$N$200,A163))</f>
        <v/>
      </c>
      <c r="O163" s="21">
        <f>IF(A163="","",IF(COUNTIF('予算一覧'!$A$5:$A$200,C163)=0,"判定保留",IF(AND(INDEX('予算一覧'!$AH$5:$AH$200,MATCH(C163,'予算一覧'!$A$5:$A$200,0))="投資予算",INDEX('予算一覧'!$AZ$5:$AZ$200,MATCH(C163,'予算一覧'!$A$5:$A$200,0))="継続"),"対象外",IF(INDEX('予算一覧'!$AJ$5:$AJ$200,MATCH(C163,'予算一覧'!$A$5:$A$200,0))="はい","移管",IF(INDEX('予算一覧'!$AJ$5:$AJ$200,MATCH(C163,'予算一覧'!$A$5:$A$200,0))="いいえ","対象外","判定保留")))))</f>
        <v/>
      </c>
      <c r="P163" s="33" t="n"/>
      <c r="Q163" s="18" t="n"/>
    </row>
    <row r="164">
      <c r="A164" s="18" t="n"/>
      <c r="B164" s="18" t="n"/>
      <c r="C164" s="18" t="n"/>
      <c r="D164" s="21">
        <f>IF(C164="","",IFERROR(INDEX('予算一覧'!$B:$B,MATCH(C164,'予算一覧'!$A:$A,0)),"案件が未登録"))</f>
        <v/>
      </c>
      <c r="E164" s="18" t="n"/>
      <c r="F164" s="18" t="n"/>
      <c r="G164" s="18" t="n"/>
      <c r="H164" s="33" t="n"/>
      <c r="I164" s="33" t="n"/>
      <c r="J164" s="18" t="n"/>
      <c r="K164" s="18" t="n"/>
      <c r="L164" s="35">
        <f>IF(OR(I164="",K164=""),"",EDATE(I164,-K164))</f>
        <v/>
      </c>
      <c r="M164" s="19" t="n"/>
      <c r="N164" s="21">
        <f>IF(A164="","",COUNTIF('業務'!$N$4:$N$200,A164))</f>
        <v/>
      </c>
      <c r="O164" s="21">
        <f>IF(A164="","",IF(COUNTIF('予算一覧'!$A$5:$A$200,C164)=0,"判定保留",IF(AND(INDEX('予算一覧'!$AH$5:$AH$200,MATCH(C164,'予算一覧'!$A$5:$A$200,0))="投資予算",INDEX('予算一覧'!$AZ$5:$AZ$200,MATCH(C164,'予算一覧'!$A$5:$A$200,0))="継続"),"対象外",IF(INDEX('予算一覧'!$AJ$5:$AJ$200,MATCH(C164,'予算一覧'!$A$5:$A$200,0))="はい","移管",IF(INDEX('予算一覧'!$AJ$5:$AJ$200,MATCH(C164,'予算一覧'!$A$5:$A$200,0))="いいえ","対象外","判定保留")))))</f>
        <v/>
      </c>
      <c r="P164" s="33" t="n"/>
      <c r="Q164" s="18" t="n"/>
    </row>
    <row r="165">
      <c r="A165" s="18" t="n"/>
      <c r="B165" s="18" t="n"/>
      <c r="C165" s="18" t="n"/>
      <c r="D165" s="21">
        <f>IF(C165="","",IFERROR(INDEX('予算一覧'!$B:$B,MATCH(C165,'予算一覧'!$A:$A,0)),"案件が未登録"))</f>
        <v/>
      </c>
      <c r="E165" s="18" t="n"/>
      <c r="F165" s="18" t="n"/>
      <c r="G165" s="18" t="n"/>
      <c r="H165" s="33" t="n"/>
      <c r="I165" s="33" t="n"/>
      <c r="J165" s="18" t="n"/>
      <c r="K165" s="18" t="n"/>
      <c r="L165" s="35">
        <f>IF(OR(I165="",K165=""),"",EDATE(I165,-K165))</f>
        <v/>
      </c>
      <c r="M165" s="19" t="n"/>
      <c r="N165" s="21">
        <f>IF(A165="","",COUNTIF('業務'!$N$4:$N$200,A165))</f>
        <v/>
      </c>
      <c r="O165" s="21">
        <f>IF(A165="","",IF(COUNTIF('予算一覧'!$A$5:$A$200,C165)=0,"判定保留",IF(AND(INDEX('予算一覧'!$AH$5:$AH$200,MATCH(C165,'予算一覧'!$A$5:$A$200,0))="投資予算",INDEX('予算一覧'!$AZ$5:$AZ$200,MATCH(C165,'予算一覧'!$A$5:$A$200,0))="継続"),"対象外",IF(INDEX('予算一覧'!$AJ$5:$AJ$200,MATCH(C165,'予算一覧'!$A$5:$A$200,0))="はい","移管",IF(INDEX('予算一覧'!$AJ$5:$AJ$200,MATCH(C165,'予算一覧'!$A$5:$A$200,0))="いいえ","対象外","判定保留")))))</f>
        <v/>
      </c>
      <c r="P165" s="33" t="n"/>
      <c r="Q165" s="18" t="n"/>
    </row>
    <row r="166">
      <c r="A166" s="18" t="n"/>
      <c r="B166" s="18" t="n"/>
      <c r="C166" s="18" t="n"/>
      <c r="D166" s="21">
        <f>IF(C166="","",IFERROR(INDEX('予算一覧'!$B:$B,MATCH(C166,'予算一覧'!$A:$A,0)),"案件が未登録"))</f>
        <v/>
      </c>
      <c r="E166" s="18" t="n"/>
      <c r="F166" s="18" t="n"/>
      <c r="G166" s="18" t="n"/>
      <c r="H166" s="33" t="n"/>
      <c r="I166" s="33" t="n"/>
      <c r="J166" s="18" t="n"/>
      <c r="K166" s="18" t="n"/>
      <c r="L166" s="35">
        <f>IF(OR(I166="",K166=""),"",EDATE(I166,-K166))</f>
        <v/>
      </c>
      <c r="M166" s="19" t="n"/>
      <c r="N166" s="21">
        <f>IF(A166="","",COUNTIF('業務'!$N$4:$N$200,A166))</f>
        <v/>
      </c>
      <c r="O166" s="21">
        <f>IF(A166="","",IF(COUNTIF('予算一覧'!$A$5:$A$200,C166)=0,"判定保留",IF(AND(INDEX('予算一覧'!$AH$5:$AH$200,MATCH(C166,'予算一覧'!$A$5:$A$200,0))="投資予算",INDEX('予算一覧'!$AZ$5:$AZ$200,MATCH(C166,'予算一覧'!$A$5:$A$200,0))="継続"),"対象外",IF(INDEX('予算一覧'!$AJ$5:$AJ$200,MATCH(C166,'予算一覧'!$A$5:$A$200,0))="はい","移管",IF(INDEX('予算一覧'!$AJ$5:$AJ$200,MATCH(C166,'予算一覧'!$A$5:$A$200,0))="いいえ","対象外","判定保留")))))</f>
        <v/>
      </c>
      <c r="P166" s="33" t="n"/>
      <c r="Q166" s="18" t="n"/>
    </row>
    <row r="167">
      <c r="A167" s="18" t="n"/>
      <c r="B167" s="18" t="n"/>
      <c r="C167" s="18" t="n"/>
      <c r="D167" s="21">
        <f>IF(C167="","",IFERROR(INDEX('予算一覧'!$B:$B,MATCH(C167,'予算一覧'!$A:$A,0)),"案件が未登録"))</f>
        <v/>
      </c>
      <c r="E167" s="18" t="n"/>
      <c r="F167" s="18" t="n"/>
      <c r="G167" s="18" t="n"/>
      <c r="H167" s="33" t="n"/>
      <c r="I167" s="33" t="n"/>
      <c r="J167" s="18" t="n"/>
      <c r="K167" s="18" t="n"/>
      <c r="L167" s="35">
        <f>IF(OR(I167="",K167=""),"",EDATE(I167,-K167))</f>
        <v/>
      </c>
      <c r="M167" s="19" t="n"/>
      <c r="N167" s="21">
        <f>IF(A167="","",COUNTIF('業務'!$N$4:$N$200,A167))</f>
        <v/>
      </c>
      <c r="O167" s="21">
        <f>IF(A167="","",IF(COUNTIF('予算一覧'!$A$5:$A$200,C167)=0,"判定保留",IF(AND(INDEX('予算一覧'!$AH$5:$AH$200,MATCH(C167,'予算一覧'!$A$5:$A$200,0))="投資予算",INDEX('予算一覧'!$AZ$5:$AZ$200,MATCH(C167,'予算一覧'!$A$5:$A$200,0))="継続"),"対象外",IF(INDEX('予算一覧'!$AJ$5:$AJ$200,MATCH(C167,'予算一覧'!$A$5:$A$200,0))="はい","移管",IF(INDEX('予算一覧'!$AJ$5:$AJ$200,MATCH(C167,'予算一覧'!$A$5:$A$200,0))="いいえ","対象外","判定保留")))))</f>
        <v/>
      </c>
      <c r="P167" s="33" t="n"/>
      <c r="Q167" s="18" t="n"/>
    </row>
    <row r="168">
      <c r="A168" s="18" t="n"/>
      <c r="B168" s="18" t="n"/>
      <c r="C168" s="18" t="n"/>
      <c r="D168" s="21">
        <f>IF(C168="","",IFERROR(INDEX('予算一覧'!$B:$B,MATCH(C168,'予算一覧'!$A:$A,0)),"案件が未登録"))</f>
        <v/>
      </c>
      <c r="E168" s="18" t="n"/>
      <c r="F168" s="18" t="n"/>
      <c r="G168" s="18" t="n"/>
      <c r="H168" s="33" t="n"/>
      <c r="I168" s="33" t="n"/>
      <c r="J168" s="18" t="n"/>
      <c r="K168" s="18" t="n"/>
      <c r="L168" s="35">
        <f>IF(OR(I168="",K168=""),"",EDATE(I168,-K168))</f>
        <v/>
      </c>
      <c r="M168" s="19" t="n"/>
      <c r="N168" s="21">
        <f>IF(A168="","",COUNTIF('業務'!$N$4:$N$200,A168))</f>
        <v/>
      </c>
      <c r="O168" s="21">
        <f>IF(A168="","",IF(COUNTIF('予算一覧'!$A$5:$A$200,C168)=0,"判定保留",IF(AND(INDEX('予算一覧'!$AH$5:$AH$200,MATCH(C168,'予算一覧'!$A$5:$A$200,0))="投資予算",INDEX('予算一覧'!$AZ$5:$AZ$200,MATCH(C168,'予算一覧'!$A$5:$A$200,0))="継続"),"対象外",IF(INDEX('予算一覧'!$AJ$5:$AJ$200,MATCH(C168,'予算一覧'!$A$5:$A$200,0))="はい","移管",IF(INDEX('予算一覧'!$AJ$5:$AJ$200,MATCH(C168,'予算一覧'!$A$5:$A$200,0))="いいえ","対象外","判定保留")))))</f>
        <v/>
      </c>
      <c r="P168" s="33" t="n"/>
      <c r="Q168" s="18" t="n"/>
    </row>
    <row r="169">
      <c r="A169" s="18" t="n"/>
      <c r="B169" s="18" t="n"/>
      <c r="C169" s="18" t="n"/>
      <c r="D169" s="21">
        <f>IF(C169="","",IFERROR(INDEX('予算一覧'!$B:$B,MATCH(C169,'予算一覧'!$A:$A,0)),"案件が未登録"))</f>
        <v/>
      </c>
      <c r="E169" s="18" t="n"/>
      <c r="F169" s="18" t="n"/>
      <c r="G169" s="18" t="n"/>
      <c r="H169" s="33" t="n"/>
      <c r="I169" s="33" t="n"/>
      <c r="J169" s="18" t="n"/>
      <c r="K169" s="18" t="n"/>
      <c r="L169" s="35">
        <f>IF(OR(I169="",K169=""),"",EDATE(I169,-K169))</f>
        <v/>
      </c>
      <c r="M169" s="19" t="n"/>
      <c r="N169" s="21">
        <f>IF(A169="","",COUNTIF('業務'!$N$4:$N$200,A169))</f>
        <v/>
      </c>
      <c r="O169" s="21">
        <f>IF(A169="","",IF(COUNTIF('予算一覧'!$A$5:$A$200,C169)=0,"判定保留",IF(AND(INDEX('予算一覧'!$AH$5:$AH$200,MATCH(C169,'予算一覧'!$A$5:$A$200,0))="投資予算",INDEX('予算一覧'!$AZ$5:$AZ$200,MATCH(C169,'予算一覧'!$A$5:$A$200,0))="継続"),"対象外",IF(INDEX('予算一覧'!$AJ$5:$AJ$200,MATCH(C169,'予算一覧'!$A$5:$A$200,0))="はい","移管",IF(INDEX('予算一覧'!$AJ$5:$AJ$200,MATCH(C169,'予算一覧'!$A$5:$A$200,0))="いいえ","対象外","判定保留")))))</f>
        <v/>
      </c>
      <c r="P169" s="33" t="n"/>
      <c r="Q169" s="18" t="n"/>
    </row>
    <row r="170">
      <c r="A170" s="18" t="n"/>
      <c r="B170" s="18" t="n"/>
      <c r="C170" s="18" t="n"/>
      <c r="D170" s="21">
        <f>IF(C170="","",IFERROR(INDEX('予算一覧'!$B:$B,MATCH(C170,'予算一覧'!$A:$A,0)),"案件が未登録"))</f>
        <v/>
      </c>
      <c r="E170" s="18" t="n"/>
      <c r="F170" s="18" t="n"/>
      <c r="G170" s="18" t="n"/>
      <c r="H170" s="33" t="n"/>
      <c r="I170" s="33" t="n"/>
      <c r="J170" s="18" t="n"/>
      <c r="K170" s="18" t="n"/>
      <c r="L170" s="35">
        <f>IF(OR(I170="",K170=""),"",EDATE(I170,-K170))</f>
        <v/>
      </c>
      <c r="M170" s="19" t="n"/>
      <c r="N170" s="21">
        <f>IF(A170="","",COUNTIF('業務'!$N$4:$N$200,A170))</f>
        <v/>
      </c>
      <c r="O170" s="21">
        <f>IF(A170="","",IF(COUNTIF('予算一覧'!$A$5:$A$200,C170)=0,"判定保留",IF(AND(INDEX('予算一覧'!$AH$5:$AH$200,MATCH(C170,'予算一覧'!$A$5:$A$200,0))="投資予算",INDEX('予算一覧'!$AZ$5:$AZ$200,MATCH(C170,'予算一覧'!$A$5:$A$200,0))="継続"),"対象外",IF(INDEX('予算一覧'!$AJ$5:$AJ$200,MATCH(C170,'予算一覧'!$A$5:$A$200,0))="はい","移管",IF(INDEX('予算一覧'!$AJ$5:$AJ$200,MATCH(C170,'予算一覧'!$A$5:$A$200,0))="いいえ","対象外","判定保留")))))</f>
        <v/>
      </c>
      <c r="P170" s="33" t="n"/>
      <c r="Q170" s="18" t="n"/>
    </row>
    <row r="171">
      <c r="A171" s="18" t="n"/>
      <c r="B171" s="18" t="n"/>
      <c r="C171" s="18" t="n"/>
      <c r="D171" s="21">
        <f>IF(C171="","",IFERROR(INDEX('予算一覧'!$B:$B,MATCH(C171,'予算一覧'!$A:$A,0)),"案件が未登録"))</f>
        <v/>
      </c>
      <c r="E171" s="18" t="n"/>
      <c r="F171" s="18" t="n"/>
      <c r="G171" s="18" t="n"/>
      <c r="H171" s="33" t="n"/>
      <c r="I171" s="33" t="n"/>
      <c r="J171" s="18" t="n"/>
      <c r="K171" s="18" t="n"/>
      <c r="L171" s="35">
        <f>IF(OR(I171="",K171=""),"",EDATE(I171,-K171))</f>
        <v/>
      </c>
      <c r="M171" s="19" t="n"/>
      <c r="N171" s="21">
        <f>IF(A171="","",COUNTIF('業務'!$N$4:$N$200,A171))</f>
        <v/>
      </c>
      <c r="O171" s="21">
        <f>IF(A171="","",IF(COUNTIF('予算一覧'!$A$5:$A$200,C171)=0,"判定保留",IF(AND(INDEX('予算一覧'!$AH$5:$AH$200,MATCH(C171,'予算一覧'!$A$5:$A$200,0))="投資予算",INDEX('予算一覧'!$AZ$5:$AZ$200,MATCH(C171,'予算一覧'!$A$5:$A$200,0))="継続"),"対象外",IF(INDEX('予算一覧'!$AJ$5:$AJ$200,MATCH(C171,'予算一覧'!$A$5:$A$200,0))="はい","移管",IF(INDEX('予算一覧'!$AJ$5:$AJ$200,MATCH(C171,'予算一覧'!$A$5:$A$200,0))="いいえ","対象外","判定保留")))))</f>
        <v/>
      </c>
      <c r="P171" s="33" t="n"/>
      <c r="Q171" s="18" t="n"/>
    </row>
    <row r="172">
      <c r="A172" s="18" t="n"/>
      <c r="B172" s="18" t="n"/>
      <c r="C172" s="18" t="n"/>
      <c r="D172" s="21">
        <f>IF(C172="","",IFERROR(INDEX('予算一覧'!$B:$B,MATCH(C172,'予算一覧'!$A:$A,0)),"案件が未登録"))</f>
        <v/>
      </c>
      <c r="E172" s="18" t="n"/>
      <c r="F172" s="18" t="n"/>
      <c r="G172" s="18" t="n"/>
      <c r="H172" s="33" t="n"/>
      <c r="I172" s="33" t="n"/>
      <c r="J172" s="18" t="n"/>
      <c r="K172" s="18" t="n"/>
      <c r="L172" s="35">
        <f>IF(OR(I172="",K172=""),"",EDATE(I172,-K172))</f>
        <v/>
      </c>
      <c r="M172" s="19" t="n"/>
      <c r="N172" s="21">
        <f>IF(A172="","",COUNTIF('業務'!$N$4:$N$200,A172))</f>
        <v/>
      </c>
      <c r="O172" s="21">
        <f>IF(A172="","",IF(COUNTIF('予算一覧'!$A$5:$A$200,C172)=0,"判定保留",IF(AND(INDEX('予算一覧'!$AH$5:$AH$200,MATCH(C172,'予算一覧'!$A$5:$A$200,0))="投資予算",INDEX('予算一覧'!$AZ$5:$AZ$200,MATCH(C172,'予算一覧'!$A$5:$A$200,0))="継続"),"対象外",IF(INDEX('予算一覧'!$AJ$5:$AJ$200,MATCH(C172,'予算一覧'!$A$5:$A$200,0))="はい","移管",IF(INDEX('予算一覧'!$AJ$5:$AJ$200,MATCH(C172,'予算一覧'!$A$5:$A$200,0))="いいえ","対象外","判定保留")))))</f>
        <v/>
      </c>
      <c r="P172" s="33" t="n"/>
      <c r="Q172" s="18" t="n"/>
    </row>
    <row r="173">
      <c r="A173" s="18" t="n"/>
      <c r="B173" s="18" t="n"/>
      <c r="C173" s="18" t="n"/>
      <c r="D173" s="21">
        <f>IF(C173="","",IFERROR(INDEX('予算一覧'!$B:$B,MATCH(C173,'予算一覧'!$A:$A,0)),"案件が未登録"))</f>
        <v/>
      </c>
      <c r="E173" s="18" t="n"/>
      <c r="F173" s="18" t="n"/>
      <c r="G173" s="18" t="n"/>
      <c r="H173" s="33" t="n"/>
      <c r="I173" s="33" t="n"/>
      <c r="J173" s="18" t="n"/>
      <c r="K173" s="18" t="n"/>
      <c r="L173" s="35">
        <f>IF(OR(I173="",K173=""),"",EDATE(I173,-K173))</f>
        <v/>
      </c>
      <c r="M173" s="19" t="n"/>
      <c r="N173" s="21">
        <f>IF(A173="","",COUNTIF('業務'!$N$4:$N$200,A173))</f>
        <v/>
      </c>
      <c r="O173" s="21">
        <f>IF(A173="","",IF(COUNTIF('予算一覧'!$A$5:$A$200,C173)=0,"判定保留",IF(AND(INDEX('予算一覧'!$AH$5:$AH$200,MATCH(C173,'予算一覧'!$A$5:$A$200,0))="投資予算",INDEX('予算一覧'!$AZ$5:$AZ$200,MATCH(C173,'予算一覧'!$A$5:$A$200,0))="継続"),"対象外",IF(INDEX('予算一覧'!$AJ$5:$AJ$200,MATCH(C173,'予算一覧'!$A$5:$A$200,0))="はい","移管",IF(INDEX('予算一覧'!$AJ$5:$AJ$200,MATCH(C173,'予算一覧'!$A$5:$A$200,0))="いいえ","対象外","判定保留")))))</f>
        <v/>
      </c>
      <c r="P173" s="33" t="n"/>
      <c r="Q173" s="18" t="n"/>
    </row>
    <row r="174">
      <c r="A174" s="18" t="n"/>
      <c r="B174" s="18" t="n"/>
      <c r="C174" s="18" t="n"/>
      <c r="D174" s="21">
        <f>IF(C174="","",IFERROR(INDEX('予算一覧'!$B:$B,MATCH(C174,'予算一覧'!$A:$A,0)),"案件が未登録"))</f>
        <v/>
      </c>
      <c r="E174" s="18" t="n"/>
      <c r="F174" s="18" t="n"/>
      <c r="G174" s="18" t="n"/>
      <c r="H174" s="33" t="n"/>
      <c r="I174" s="33" t="n"/>
      <c r="J174" s="18" t="n"/>
      <c r="K174" s="18" t="n"/>
      <c r="L174" s="35">
        <f>IF(OR(I174="",K174=""),"",EDATE(I174,-K174))</f>
        <v/>
      </c>
      <c r="M174" s="19" t="n"/>
      <c r="N174" s="21">
        <f>IF(A174="","",COUNTIF('業務'!$N$4:$N$200,A174))</f>
        <v/>
      </c>
      <c r="O174" s="21">
        <f>IF(A174="","",IF(COUNTIF('予算一覧'!$A$5:$A$200,C174)=0,"判定保留",IF(AND(INDEX('予算一覧'!$AH$5:$AH$200,MATCH(C174,'予算一覧'!$A$5:$A$200,0))="投資予算",INDEX('予算一覧'!$AZ$5:$AZ$200,MATCH(C174,'予算一覧'!$A$5:$A$200,0))="継続"),"対象外",IF(INDEX('予算一覧'!$AJ$5:$AJ$200,MATCH(C174,'予算一覧'!$A$5:$A$200,0))="はい","移管",IF(INDEX('予算一覧'!$AJ$5:$AJ$200,MATCH(C174,'予算一覧'!$A$5:$A$200,0))="いいえ","対象外","判定保留")))))</f>
        <v/>
      </c>
      <c r="P174" s="33" t="n"/>
      <c r="Q174" s="18" t="n"/>
    </row>
    <row r="175">
      <c r="A175" s="18" t="n"/>
      <c r="B175" s="18" t="n"/>
      <c r="C175" s="18" t="n"/>
      <c r="D175" s="21">
        <f>IF(C175="","",IFERROR(INDEX('予算一覧'!$B:$B,MATCH(C175,'予算一覧'!$A:$A,0)),"案件が未登録"))</f>
        <v/>
      </c>
      <c r="E175" s="18" t="n"/>
      <c r="F175" s="18" t="n"/>
      <c r="G175" s="18" t="n"/>
      <c r="H175" s="33" t="n"/>
      <c r="I175" s="33" t="n"/>
      <c r="J175" s="18" t="n"/>
      <c r="K175" s="18" t="n"/>
      <c r="L175" s="35">
        <f>IF(OR(I175="",K175=""),"",EDATE(I175,-K175))</f>
        <v/>
      </c>
      <c r="M175" s="19" t="n"/>
      <c r="N175" s="21">
        <f>IF(A175="","",COUNTIF('業務'!$N$4:$N$200,A175))</f>
        <v/>
      </c>
      <c r="O175" s="21">
        <f>IF(A175="","",IF(COUNTIF('予算一覧'!$A$5:$A$200,C175)=0,"判定保留",IF(AND(INDEX('予算一覧'!$AH$5:$AH$200,MATCH(C175,'予算一覧'!$A$5:$A$200,0))="投資予算",INDEX('予算一覧'!$AZ$5:$AZ$200,MATCH(C175,'予算一覧'!$A$5:$A$200,0))="継続"),"対象外",IF(INDEX('予算一覧'!$AJ$5:$AJ$200,MATCH(C175,'予算一覧'!$A$5:$A$200,0))="はい","移管",IF(INDEX('予算一覧'!$AJ$5:$AJ$200,MATCH(C175,'予算一覧'!$A$5:$A$200,0))="いいえ","対象外","判定保留")))))</f>
        <v/>
      </c>
      <c r="P175" s="33" t="n"/>
      <c r="Q175" s="18" t="n"/>
    </row>
    <row r="176">
      <c r="A176" s="18" t="n"/>
      <c r="B176" s="18" t="n"/>
      <c r="C176" s="18" t="n"/>
      <c r="D176" s="21">
        <f>IF(C176="","",IFERROR(INDEX('予算一覧'!$B:$B,MATCH(C176,'予算一覧'!$A:$A,0)),"案件が未登録"))</f>
        <v/>
      </c>
      <c r="E176" s="18" t="n"/>
      <c r="F176" s="18" t="n"/>
      <c r="G176" s="18" t="n"/>
      <c r="H176" s="33" t="n"/>
      <c r="I176" s="33" t="n"/>
      <c r="J176" s="18" t="n"/>
      <c r="K176" s="18" t="n"/>
      <c r="L176" s="35">
        <f>IF(OR(I176="",K176=""),"",EDATE(I176,-K176))</f>
        <v/>
      </c>
      <c r="M176" s="19" t="n"/>
      <c r="N176" s="21">
        <f>IF(A176="","",COUNTIF('業務'!$N$4:$N$200,A176))</f>
        <v/>
      </c>
      <c r="O176" s="21">
        <f>IF(A176="","",IF(COUNTIF('予算一覧'!$A$5:$A$200,C176)=0,"判定保留",IF(AND(INDEX('予算一覧'!$AH$5:$AH$200,MATCH(C176,'予算一覧'!$A$5:$A$200,0))="投資予算",INDEX('予算一覧'!$AZ$5:$AZ$200,MATCH(C176,'予算一覧'!$A$5:$A$200,0))="継続"),"対象外",IF(INDEX('予算一覧'!$AJ$5:$AJ$200,MATCH(C176,'予算一覧'!$A$5:$A$200,0))="はい","移管",IF(INDEX('予算一覧'!$AJ$5:$AJ$200,MATCH(C176,'予算一覧'!$A$5:$A$200,0))="いいえ","対象外","判定保留")))))</f>
        <v/>
      </c>
      <c r="P176" s="33" t="n"/>
      <c r="Q176" s="18" t="n"/>
    </row>
    <row r="177">
      <c r="A177" s="18" t="n"/>
      <c r="B177" s="18" t="n"/>
      <c r="C177" s="18" t="n"/>
      <c r="D177" s="21">
        <f>IF(C177="","",IFERROR(INDEX('予算一覧'!$B:$B,MATCH(C177,'予算一覧'!$A:$A,0)),"案件が未登録"))</f>
        <v/>
      </c>
      <c r="E177" s="18" t="n"/>
      <c r="F177" s="18" t="n"/>
      <c r="G177" s="18" t="n"/>
      <c r="H177" s="33" t="n"/>
      <c r="I177" s="33" t="n"/>
      <c r="J177" s="18" t="n"/>
      <c r="K177" s="18" t="n"/>
      <c r="L177" s="35">
        <f>IF(OR(I177="",K177=""),"",EDATE(I177,-K177))</f>
        <v/>
      </c>
      <c r="M177" s="19" t="n"/>
      <c r="N177" s="21">
        <f>IF(A177="","",COUNTIF('業務'!$N$4:$N$200,A177))</f>
        <v/>
      </c>
      <c r="O177" s="21">
        <f>IF(A177="","",IF(COUNTIF('予算一覧'!$A$5:$A$200,C177)=0,"判定保留",IF(AND(INDEX('予算一覧'!$AH$5:$AH$200,MATCH(C177,'予算一覧'!$A$5:$A$200,0))="投資予算",INDEX('予算一覧'!$AZ$5:$AZ$200,MATCH(C177,'予算一覧'!$A$5:$A$200,0))="継続"),"対象外",IF(INDEX('予算一覧'!$AJ$5:$AJ$200,MATCH(C177,'予算一覧'!$A$5:$A$200,0))="はい","移管",IF(INDEX('予算一覧'!$AJ$5:$AJ$200,MATCH(C177,'予算一覧'!$A$5:$A$200,0))="いいえ","対象外","判定保留")))))</f>
        <v/>
      </c>
      <c r="P177" s="33" t="n"/>
      <c r="Q177" s="18" t="n"/>
    </row>
    <row r="178">
      <c r="A178" s="18" t="n"/>
      <c r="B178" s="18" t="n"/>
      <c r="C178" s="18" t="n"/>
      <c r="D178" s="21">
        <f>IF(C178="","",IFERROR(INDEX('予算一覧'!$B:$B,MATCH(C178,'予算一覧'!$A:$A,0)),"案件が未登録"))</f>
        <v/>
      </c>
      <c r="E178" s="18" t="n"/>
      <c r="F178" s="18" t="n"/>
      <c r="G178" s="18" t="n"/>
      <c r="H178" s="33" t="n"/>
      <c r="I178" s="33" t="n"/>
      <c r="J178" s="18" t="n"/>
      <c r="K178" s="18" t="n"/>
      <c r="L178" s="35">
        <f>IF(OR(I178="",K178=""),"",EDATE(I178,-K178))</f>
        <v/>
      </c>
      <c r="M178" s="19" t="n"/>
      <c r="N178" s="21">
        <f>IF(A178="","",COUNTIF('業務'!$N$4:$N$200,A178))</f>
        <v/>
      </c>
      <c r="O178" s="21">
        <f>IF(A178="","",IF(COUNTIF('予算一覧'!$A$5:$A$200,C178)=0,"判定保留",IF(AND(INDEX('予算一覧'!$AH$5:$AH$200,MATCH(C178,'予算一覧'!$A$5:$A$200,0))="投資予算",INDEX('予算一覧'!$AZ$5:$AZ$200,MATCH(C178,'予算一覧'!$A$5:$A$200,0))="継続"),"対象外",IF(INDEX('予算一覧'!$AJ$5:$AJ$200,MATCH(C178,'予算一覧'!$A$5:$A$200,0))="はい","移管",IF(INDEX('予算一覧'!$AJ$5:$AJ$200,MATCH(C178,'予算一覧'!$A$5:$A$200,0))="いいえ","対象外","判定保留")))))</f>
        <v/>
      </c>
      <c r="P178" s="33" t="n"/>
      <c r="Q178" s="18" t="n"/>
    </row>
    <row r="179">
      <c r="A179" s="18" t="n"/>
      <c r="B179" s="18" t="n"/>
      <c r="C179" s="18" t="n"/>
      <c r="D179" s="21">
        <f>IF(C179="","",IFERROR(INDEX('予算一覧'!$B:$B,MATCH(C179,'予算一覧'!$A:$A,0)),"案件が未登録"))</f>
        <v/>
      </c>
      <c r="E179" s="18" t="n"/>
      <c r="F179" s="18" t="n"/>
      <c r="G179" s="18" t="n"/>
      <c r="H179" s="33" t="n"/>
      <c r="I179" s="33" t="n"/>
      <c r="J179" s="18" t="n"/>
      <c r="K179" s="18" t="n"/>
      <c r="L179" s="35">
        <f>IF(OR(I179="",K179=""),"",EDATE(I179,-K179))</f>
        <v/>
      </c>
      <c r="M179" s="19" t="n"/>
      <c r="N179" s="21">
        <f>IF(A179="","",COUNTIF('業務'!$N$4:$N$200,A179))</f>
        <v/>
      </c>
      <c r="O179" s="21">
        <f>IF(A179="","",IF(COUNTIF('予算一覧'!$A$5:$A$200,C179)=0,"判定保留",IF(AND(INDEX('予算一覧'!$AH$5:$AH$200,MATCH(C179,'予算一覧'!$A$5:$A$200,0))="投資予算",INDEX('予算一覧'!$AZ$5:$AZ$200,MATCH(C179,'予算一覧'!$A$5:$A$200,0))="継続"),"対象外",IF(INDEX('予算一覧'!$AJ$5:$AJ$200,MATCH(C179,'予算一覧'!$A$5:$A$200,0))="はい","移管",IF(INDEX('予算一覧'!$AJ$5:$AJ$200,MATCH(C179,'予算一覧'!$A$5:$A$200,0))="いいえ","対象外","判定保留")))))</f>
        <v/>
      </c>
      <c r="P179" s="33" t="n"/>
      <c r="Q179" s="18" t="n"/>
    </row>
    <row r="180">
      <c r="A180" s="18" t="n"/>
      <c r="B180" s="18" t="n"/>
      <c r="C180" s="18" t="n"/>
      <c r="D180" s="21">
        <f>IF(C180="","",IFERROR(INDEX('予算一覧'!$B:$B,MATCH(C180,'予算一覧'!$A:$A,0)),"案件が未登録"))</f>
        <v/>
      </c>
      <c r="E180" s="18" t="n"/>
      <c r="F180" s="18" t="n"/>
      <c r="G180" s="18" t="n"/>
      <c r="H180" s="33" t="n"/>
      <c r="I180" s="33" t="n"/>
      <c r="J180" s="18" t="n"/>
      <c r="K180" s="18" t="n"/>
      <c r="L180" s="35">
        <f>IF(OR(I180="",K180=""),"",EDATE(I180,-K180))</f>
        <v/>
      </c>
      <c r="M180" s="19" t="n"/>
      <c r="N180" s="21">
        <f>IF(A180="","",COUNTIF('業務'!$N$4:$N$200,A180))</f>
        <v/>
      </c>
      <c r="O180" s="21">
        <f>IF(A180="","",IF(COUNTIF('予算一覧'!$A$5:$A$200,C180)=0,"判定保留",IF(AND(INDEX('予算一覧'!$AH$5:$AH$200,MATCH(C180,'予算一覧'!$A$5:$A$200,0))="投資予算",INDEX('予算一覧'!$AZ$5:$AZ$200,MATCH(C180,'予算一覧'!$A$5:$A$200,0))="継続"),"対象外",IF(INDEX('予算一覧'!$AJ$5:$AJ$200,MATCH(C180,'予算一覧'!$A$5:$A$200,0))="はい","移管",IF(INDEX('予算一覧'!$AJ$5:$AJ$200,MATCH(C180,'予算一覧'!$A$5:$A$200,0))="いいえ","対象外","判定保留")))))</f>
        <v/>
      </c>
      <c r="P180" s="33" t="n"/>
      <c r="Q180" s="18" t="n"/>
    </row>
    <row r="181">
      <c r="A181" s="18" t="n"/>
      <c r="B181" s="18" t="n"/>
      <c r="C181" s="18" t="n"/>
      <c r="D181" s="21">
        <f>IF(C181="","",IFERROR(INDEX('予算一覧'!$B:$B,MATCH(C181,'予算一覧'!$A:$A,0)),"案件が未登録"))</f>
        <v/>
      </c>
      <c r="E181" s="18" t="n"/>
      <c r="F181" s="18" t="n"/>
      <c r="G181" s="18" t="n"/>
      <c r="H181" s="33" t="n"/>
      <c r="I181" s="33" t="n"/>
      <c r="J181" s="18" t="n"/>
      <c r="K181" s="18" t="n"/>
      <c r="L181" s="35">
        <f>IF(OR(I181="",K181=""),"",EDATE(I181,-K181))</f>
        <v/>
      </c>
      <c r="M181" s="19" t="n"/>
      <c r="N181" s="21">
        <f>IF(A181="","",COUNTIF('業務'!$N$4:$N$200,A181))</f>
        <v/>
      </c>
      <c r="O181" s="21">
        <f>IF(A181="","",IF(COUNTIF('予算一覧'!$A$5:$A$200,C181)=0,"判定保留",IF(AND(INDEX('予算一覧'!$AH$5:$AH$200,MATCH(C181,'予算一覧'!$A$5:$A$200,0))="投資予算",INDEX('予算一覧'!$AZ$5:$AZ$200,MATCH(C181,'予算一覧'!$A$5:$A$200,0))="継続"),"対象外",IF(INDEX('予算一覧'!$AJ$5:$AJ$200,MATCH(C181,'予算一覧'!$A$5:$A$200,0))="はい","移管",IF(INDEX('予算一覧'!$AJ$5:$AJ$200,MATCH(C181,'予算一覧'!$A$5:$A$200,0))="いいえ","対象外","判定保留")))))</f>
        <v/>
      </c>
      <c r="P181" s="33" t="n"/>
      <c r="Q181" s="18" t="n"/>
    </row>
    <row r="182">
      <c r="A182" s="18" t="n"/>
      <c r="B182" s="18" t="n"/>
      <c r="C182" s="18" t="n"/>
      <c r="D182" s="21">
        <f>IF(C182="","",IFERROR(INDEX('予算一覧'!$B:$B,MATCH(C182,'予算一覧'!$A:$A,0)),"案件が未登録"))</f>
        <v/>
      </c>
      <c r="E182" s="18" t="n"/>
      <c r="F182" s="18" t="n"/>
      <c r="G182" s="18" t="n"/>
      <c r="H182" s="33" t="n"/>
      <c r="I182" s="33" t="n"/>
      <c r="J182" s="18" t="n"/>
      <c r="K182" s="18" t="n"/>
      <c r="L182" s="35">
        <f>IF(OR(I182="",K182=""),"",EDATE(I182,-K182))</f>
        <v/>
      </c>
      <c r="M182" s="19" t="n"/>
      <c r="N182" s="21">
        <f>IF(A182="","",COUNTIF('業務'!$N$4:$N$200,A182))</f>
        <v/>
      </c>
      <c r="O182" s="21">
        <f>IF(A182="","",IF(COUNTIF('予算一覧'!$A$5:$A$200,C182)=0,"判定保留",IF(AND(INDEX('予算一覧'!$AH$5:$AH$200,MATCH(C182,'予算一覧'!$A$5:$A$200,0))="投資予算",INDEX('予算一覧'!$AZ$5:$AZ$200,MATCH(C182,'予算一覧'!$A$5:$A$200,0))="継続"),"対象外",IF(INDEX('予算一覧'!$AJ$5:$AJ$200,MATCH(C182,'予算一覧'!$A$5:$A$200,0))="はい","移管",IF(INDEX('予算一覧'!$AJ$5:$AJ$200,MATCH(C182,'予算一覧'!$A$5:$A$200,0))="いいえ","対象外","判定保留")))))</f>
        <v/>
      </c>
      <c r="P182" s="33" t="n"/>
      <c r="Q182" s="18" t="n"/>
    </row>
    <row r="183">
      <c r="A183" s="18" t="n"/>
      <c r="B183" s="18" t="n"/>
      <c r="C183" s="18" t="n"/>
      <c r="D183" s="21">
        <f>IF(C183="","",IFERROR(INDEX('予算一覧'!$B:$B,MATCH(C183,'予算一覧'!$A:$A,0)),"案件が未登録"))</f>
        <v/>
      </c>
      <c r="E183" s="18" t="n"/>
      <c r="F183" s="18" t="n"/>
      <c r="G183" s="18" t="n"/>
      <c r="H183" s="33" t="n"/>
      <c r="I183" s="33" t="n"/>
      <c r="J183" s="18" t="n"/>
      <c r="K183" s="18" t="n"/>
      <c r="L183" s="35">
        <f>IF(OR(I183="",K183=""),"",EDATE(I183,-K183))</f>
        <v/>
      </c>
      <c r="M183" s="19" t="n"/>
      <c r="N183" s="21">
        <f>IF(A183="","",COUNTIF('業務'!$N$4:$N$200,A183))</f>
        <v/>
      </c>
      <c r="O183" s="21">
        <f>IF(A183="","",IF(COUNTIF('予算一覧'!$A$5:$A$200,C183)=0,"判定保留",IF(AND(INDEX('予算一覧'!$AH$5:$AH$200,MATCH(C183,'予算一覧'!$A$5:$A$200,0))="投資予算",INDEX('予算一覧'!$AZ$5:$AZ$200,MATCH(C183,'予算一覧'!$A$5:$A$200,0))="継続"),"対象外",IF(INDEX('予算一覧'!$AJ$5:$AJ$200,MATCH(C183,'予算一覧'!$A$5:$A$200,0))="はい","移管",IF(INDEX('予算一覧'!$AJ$5:$AJ$200,MATCH(C183,'予算一覧'!$A$5:$A$200,0))="いいえ","対象外","判定保留")))))</f>
        <v/>
      </c>
      <c r="P183" s="33" t="n"/>
      <c r="Q183" s="18" t="n"/>
    </row>
    <row r="184">
      <c r="A184" s="18" t="n"/>
      <c r="B184" s="18" t="n"/>
      <c r="C184" s="18" t="n"/>
      <c r="D184" s="21">
        <f>IF(C184="","",IFERROR(INDEX('予算一覧'!$B:$B,MATCH(C184,'予算一覧'!$A:$A,0)),"案件が未登録"))</f>
        <v/>
      </c>
      <c r="E184" s="18" t="n"/>
      <c r="F184" s="18" t="n"/>
      <c r="G184" s="18" t="n"/>
      <c r="H184" s="33" t="n"/>
      <c r="I184" s="33" t="n"/>
      <c r="J184" s="18" t="n"/>
      <c r="K184" s="18" t="n"/>
      <c r="L184" s="35">
        <f>IF(OR(I184="",K184=""),"",EDATE(I184,-K184))</f>
        <v/>
      </c>
      <c r="M184" s="19" t="n"/>
      <c r="N184" s="21">
        <f>IF(A184="","",COUNTIF('業務'!$N$4:$N$200,A184))</f>
        <v/>
      </c>
      <c r="O184" s="21">
        <f>IF(A184="","",IF(COUNTIF('予算一覧'!$A$5:$A$200,C184)=0,"判定保留",IF(AND(INDEX('予算一覧'!$AH$5:$AH$200,MATCH(C184,'予算一覧'!$A$5:$A$200,0))="投資予算",INDEX('予算一覧'!$AZ$5:$AZ$200,MATCH(C184,'予算一覧'!$A$5:$A$200,0))="継続"),"対象外",IF(INDEX('予算一覧'!$AJ$5:$AJ$200,MATCH(C184,'予算一覧'!$A$5:$A$200,0))="はい","移管",IF(INDEX('予算一覧'!$AJ$5:$AJ$200,MATCH(C184,'予算一覧'!$A$5:$A$200,0))="いいえ","対象外","判定保留")))))</f>
        <v/>
      </c>
      <c r="P184" s="33" t="n"/>
      <c r="Q184" s="18" t="n"/>
    </row>
    <row r="185">
      <c r="A185" s="18" t="n"/>
      <c r="B185" s="18" t="n"/>
      <c r="C185" s="18" t="n"/>
      <c r="D185" s="21">
        <f>IF(C185="","",IFERROR(INDEX('予算一覧'!$B:$B,MATCH(C185,'予算一覧'!$A:$A,0)),"案件が未登録"))</f>
        <v/>
      </c>
      <c r="E185" s="18" t="n"/>
      <c r="F185" s="18" t="n"/>
      <c r="G185" s="18" t="n"/>
      <c r="H185" s="33" t="n"/>
      <c r="I185" s="33" t="n"/>
      <c r="J185" s="18" t="n"/>
      <c r="K185" s="18" t="n"/>
      <c r="L185" s="35">
        <f>IF(OR(I185="",K185=""),"",EDATE(I185,-K185))</f>
        <v/>
      </c>
      <c r="M185" s="19" t="n"/>
      <c r="N185" s="21">
        <f>IF(A185="","",COUNTIF('業務'!$N$4:$N$200,A185))</f>
        <v/>
      </c>
      <c r="O185" s="21">
        <f>IF(A185="","",IF(COUNTIF('予算一覧'!$A$5:$A$200,C185)=0,"判定保留",IF(AND(INDEX('予算一覧'!$AH$5:$AH$200,MATCH(C185,'予算一覧'!$A$5:$A$200,0))="投資予算",INDEX('予算一覧'!$AZ$5:$AZ$200,MATCH(C185,'予算一覧'!$A$5:$A$200,0))="継続"),"対象外",IF(INDEX('予算一覧'!$AJ$5:$AJ$200,MATCH(C185,'予算一覧'!$A$5:$A$200,0))="はい","移管",IF(INDEX('予算一覧'!$AJ$5:$AJ$200,MATCH(C185,'予算一覧'!$A$5:$A$200,0))="いいえ","対象外","判定保留")))))</f>
        <v/>
      </c>
      <c r="P185" s="33" t="n"/>
      <c r="Q185" s="18" t="n"/>
    </row>
    <row r="186">
      <c r="A186" s="18" t="n"/>
      <c r="B186" s="18" t="n"/>
      <c r="C186" s="18" t="n"/>
      <c r="D186" s="21">
        <f>IF(C186="","",IFERROR(INDEX('予算一覧'!$B:$B,MATCH(C186,'予算一覧'!$A:$A,0)),"案件が未登録"))</f>
        <v/>
      </c>
      <c r="E186" s="18" t="n"/>
      <c r="F186" s="18" t="n"/>
      <c r="G186" s="18" t="n"/>
      <c r="H186" s="33" t="n"/>
      <c r="I186" s="33" t="n"/>
      <c r="J186" s="18" t="n"/>
      <c r="K186" s="18" t="n"/>
      <c r="L186" s="35">
        <f>IF(OR(I186="",K186=""),"",EDATE(I186,-K186))</f>
        <v/>
      </c>
      <c r="M186" s="19" t="n"/>
      <c r="N186" s="21">
        <f>IF(A186="","",COUNTIF('業務'!$N$4:$N$200,A186))</f>
        <v/>
      </c>
      <c r="O186" s="21">
        <f>IF(A186="","",IF(COUNTIF('予算一覧'!$A$5:$A$200,C186)=0,"判定保留",IF(AND(INDEX('予算一覧'!$AH$5:$AH$200,MATCH(C186,'予算一覧'!$A$5:$A$200,0))="投資予算",INDEX('予算一覧'!$AZ$5:$AZ$200,MATCH(C186,'予算一覧'!$A$5:$A$200,0))="継続"),"対象外",IF(INDEX('予算一覧'!$AJ$5:$AJ$200,MATCH(C186,'予算一覧'!$A$5:$A$200,0))="はい","移管",IF(INDEX('予算一覧'!$AJ$5:$AJ$200,MATCH(C186,'予算一覧'!$A$5:$A$200,0))="いいえ","対象外","判定保留")))))</f>
        <v/>
      </c>
      <c r="P186" s="33" t="n"/>
      <c r="Q186" s="18" t="n"/>
    </row>
    <row r="187">
      <c r="A187" s="18" t="n"/>
      <c r="B187" s="18" t="n"/>
      <c r="C187" s="18" t="n"/>
      <c r="D187" s="21">
        <f>IF(C187="","",IFERROR(INDEX('予算一覧'!$B:$B,MATCH(C187,'予算一覧'!$A:$A,0)),"案件が未登録"))</f>
        <v/>
      </c>
      <c r="E187" s="18" t="n"/>
      <c r="F187" s="18" t="n"/>
      <c r="G187" s="18" t="n"/>
      <c r="H187" s="33" t="n"/>
      <c r="I187" s="33" t="n"/>
      <c r="J187" s="18" t="n"/>
      <c r="K187" s="18" t="n"/>
      <c r="L187" s="35">
        <f>IF(OR(I187="",K187=""),"",EDATE(I187,-K187))</f>
        <v/>
      </c>
      <c r="M187" s="19" t="n"/>
      <c r="N187" s="21">
        <f>IF(A187="","",COUNTIF('業務'!$N$4:$N$200,A187))</f>
        <v/>
      </c>
      <c r="O187" s="21">
        <f>IF(A187="","",IF(COUNTIF('予算一覧'!$A$5:$A$200,C187)=0,"判定保留",IF(AND(INDEX('予算一覧'!$AH$5:$AH$200,MATCH(C187,'予算一覧'!$A$5:$A$200,0))="投資予算",INDEX('予算一覧'!$AZ$5:$AZ$200,MATCH(C187,'予算一覧'!$A$5:$A$200,0))="継続"),"対象外",IF(INDEX('予算一覧'!$AJ$5:$AJ$200,MATCH(C187,'予算一覧'!$A$5:$A$200,0))="はい","移管",IF(INDEX('予算一覧'!$AJ$5:$AJ$200,MATCH(C187,'予算一覧'!$A$5:$A$200,0))="いいえ","対象外","判定保留")))))</f>
        <v/>
      </c>
      <c r="P187" s="33" t="n"/>
      <c r="Q187" s="18" t="n"/>
    </row>
    <row r="188">
      <c r="A188" s="18" t="n"/>
      <c r="B188" s="18" t="n"/>
      <c r="C188" s="18" t="n"/>
      <c r="D188" s="21">
        <f>IF(C188="","",IFERROR(INDEX('予算一覧'!$B:$B,MATCH(C188,'予算一覧'!$A:$A,0)),"案件が未登録"))</f>
        <v/>
      </c>
      <c r="E188" s="18" t="n"/>
      <c r="F188" s="18" t="n"/>
      <c r="G188" s="18" t="n"/>
      <c r="H188" s="33" t="n"/>
      <c r="I188" s="33" t="n"/>
      <c r="J188" s="18" t="n"/>
      <c r="K188" s="18" t="n"/>
      <c r="L188" s="35">
        <f>IF(OR(I188="",K188=""),"",EDATE(I188,-K188))</f>
        <v/>
      </c>
      <c r="M188" s="19" t="n"/>
      <c r="N188" s="21">
        <f>IF(A188="","",COUNTIF('業務'!$N$4:$N$200,A188))</f>
        <v/>
      </c>
      <c r="O188" s="21">
        <f>IF(A188="","",IF(COUNTIF('予算一覧'!$A$5:$A$200,C188)=0,"判定保留",IF(AND(INDEX('予算一覧'!$AH$5:$AH$200,MATCH(C188,'予算一覧'!$A$5:$A$200,0))="投資予算",INDEX('予算一覧'!$AZ$5:$AZ$200,MATCH(C188,'予算一覧'!$A$5:$A$200,0))="継続"),"対象外",IF(INDEX('予算一覧'!$AJ$5:$AJ$200,MATCH(C188,'予算一覧'!$A$5:$A$200,0))="はい","移管",IF(INDEX('予算一覧'!$AJ$5:$AJ$200,MATCH(C188,'予算一覧'!$A$5:$A$200,0))="いいえ","対象外","判定保留")))))</f>
        <v/>
      </c>
      <c r="P188" s="33" t="n"/>
      <c r="Q188" s="18" t="n"/>
    </row>
    <row r="189">
      <c r="A189" s="18" t="n"/>
      <c r="B189" s="18" t="n"/>
      <c r="C189" s="18" t="n"/>
      <c r="D189" s="21">
        <f>IF(C189="","",IFERROR(INDEX('予算一覧'!$B:$B,MATCH(C189,'予算一覧'!$A:$A,0)),"案件が未登録"))</f>
        <v/>
      </c>
      <c r="E189" s="18" t="n"/>
      <c r="F189" s="18" t="n"/>
      <c r="G189" s="18" t="n"/>
      <c r="H189" s="33" t="n"/>
      <c r="I189" s="33" t="n"/>
      <c r="J189" s="18" t="n"/>
      <c r="K189" s="18" t="n"/>
      <c r="L189" s="35">
        <f>IF(OR(I189="",K189=""),"",EDATE(I189,-K189))</f>
        <v/>
      </c>
      <c r="M189" s="19" t="n"/>
      <c r="N189" s="21">
        <f>IF(A189="","",COUNTIF('業務'!$N$4:$N$200,A189))</f>
        <v/>
      </c>
      <c r="O189" s="21">
        <f>IF(A189="","",IF(COUNTIF('予算一覧'!$A$5:$A$200,C189)=0,"判定保留",IF(AND(INDEX('予算一覧'!$AH$5:$AH$200,MATCH(C189,'予算一覧'!$A$5:$A$200,0))="投資予算",INDEX('予算一覧'!$AZ$5:$AZ$200,MATCH(C189,'予算一覧'!$A$5:$A$200,0))="継続"),"対象外",IF(INDEX('予算一覧'!$AJ$5:$AJ$200,MATCH(C189,'予算一覧'!$A$5:$A$200,0))="はい","移管",IF(INDEX('予算一覧'!$AJ$5:$AJ$200,MATCH(C189,'予算一覧'!$A$5:$A$200,0))="いいえ","対象外","判定保留")))))</f>
        <v/>
      </c>
      <c r="P189" s="33" t="n"/>
      <c r="Q189" s="18" t="n"/>
    </row>
    <row r="190">
      <c r="A190" s="18" t="n"/>
      <c r="B190" s="18" t="n"/>
      <c r="C190" s="18" t="n"/>
      <c r="D190" s="21">
        <f>IF(C190="","",IFERROR(INDEX('予算一覧'!$B:$B,MATCH(C190,'予算一覧'!$A:$A,0)),"案件が未登録"))</f>
        <v/>
      </c>
      <c r="E190" s="18" t="n"/>
      <c r="F190" s="18" t="n"/>
      <c r="G190" s="18" t="n"/>
      <c r="H190" s="33" t="n"/>
      <c r="I190" s="33" t="n"/>
      <c r="J190" s="18" t="n"/>
      <c r="K190" s="18" t="n"/>
      <c r="L190" s="35">
        <f>IF(OR(I190="",K190=""),"",EDATE(I190,-K190))</f>
        <v/>
      </c>
      <c r="M190" s="19" t="n"/>
      <c r="N190" s="21">
        <f>IF(A190="","",COUNTIF('業務'!$N$4:$N$200,A190))</f>
        <v/>
      </c>
      <c r="O190" s="21">
        <f>IF(A190="","",IF(COUNTIF('予算一覧'!$A$5:$A$200,C190)=0,"判定保留",IF(AND(INDEX('予算一覧'!$AH$5:$AH$200,MATCH(C190,'予算一覧'!$A$5:$A$200,0))="投資予算",INDEX('予算一覧'!$AZ$5:$AZ$200,MATCH(C190,'予算一覧'!$A$5:$A$200,0))="継続"),"対象外",IF(INDEX('予算一覧'!$AJ$5:$AJ$200,MATCH(C190,'予算一覧'!$A$5:$A$200,0))="はい","移管",IF(INDEX('予算一覧'!$AJ$5:$AJ$200,MATCH(C190,'予算一覧'!$A$5:$A$200,0))="いいえ","対象外","判定保留")))))</f>
        <v/>
      </c>
      <c r="P190" s="33" t="n"/>
      <c r="Q190" s="18" t="n"/>
    </row>
    <row r="191">
      <c r="A191" s="18" t="n"/>
      <c r="B191" s="18" t="n"/>
      <c r="C191" s="18" t="n"/>
      <c r="D191" s="21">
        <f>IF(C191="","",IFERROR(INDEX('予算一覧'!$B:$B,MATCH(C191,'予算一覧'!$A:$A,0)),"案件が未登録"))</f>
        <v/>
      </c>
      <c r="E191" s="18" t="n"/>
      <c r="F191" s="18" t="n"/>
      <c r="G191" s="18" t="n"/>
      <c r="H191" s="33" t="n"/>
      <c r="I191" s="33" t="n"/>
      <c r="J191" s="18" t="n"/>
      <c r="K191" s="18" t="n"/>
      <c r="L191" s="35">
        <f>IF(OR(I191="",K191=""),"",EDATE(I191,-K191))</f>
        <v/>
      </c>
      <c r="M191" s="19" t="n"/>
      <c r="N191" s="21">
        <f>IF(A191="","",COUNTIF('業務'!$N$4:$N$200,A191))</f>
        <v/>
      </c>
      <c r="O191" s="21">
        <f>IF(A191="","",IF(COUNTIF('予算一覧'!$A$5:$A$200,C191)=0,"判定保留",IF(AND(INDEX('予算一覧'!$AH$5:$AH$200,MATCH(C191,'予算一覧'!$A$5:$A$200,0))="投資予算",INDEX('予算一覧'!$AZ$5:$AZ$200,MATCH(C191,'予算一覧'!$A$5:$A$200,0))="継続"),"対象外",IF(INDEX('予算一覧'!$AJ$5:$AJ$200,MATCH(C191,'予算一覧'!$A$5:$A$200,0))="はい","移管",IF(INDEX('予算一覧'!$AJ$5:$AJ$200,MATCH(C191,'予算一覧'!$A$5:$A$200,0))="いいえ","対象外","判定保留")))))</f>
        <v/>
      </c>
      <c r="P191" s="33" t="n"/>
      <c r="Q191" s="18" t="n"/>
    </row>
    <row r="192">
      <c r="A192" s="18" t="n"/>
      <c r="B192" s="18" t="n"/>
      <c r="C192" s="18" t="n"/>
      <c r="D192" s="21">
        <f>IF(C192="","",IFERROR(INDEX('予算一覧'!$B:$B,MATCH(C192,'予算一覧'!$A:$A,0)),"案件が未登録"))</f>
        <v/>
      </c>
      <c r="E192" s="18" t="n"/>
      <c r="F192" s="18" t="n"/>
      <c r="G192" s="18" t="n"/>
      <c r="H192" s="33" t="n"/>
      <c r="I192" s="33" t="n"/>
      <c r="J192" s="18" t="n"/>
      <c r="K192" s="18" t="n"/>
      <c r="L192" s="35">
        <f>IF(OR(I192="",K192=""),"",EDATE(I192,-K192))</f>
        <v/>
      </c>
      <c r="M192" s="19" t="n"/>
      <c r="N192" s="21">
        <f>IF(A192="","",COUNTIF('業務'!$N$4:$N$200,A192))</f>
        <v/>
      </c>
      <c r="O192" s="21">
        <f>IF(A192="","",IF(COUNTIF('予算一覧'!$A$5:$A$200,C192)=0,"判定保留",IF(AND(INDEX('予算一覧'!$AH$5:$AH$200,MATCH(C192,'予算一覧'!$A$5:$A$200,0))="投資予算",INDEX('予算一覧'!$AZ$5:$AZ$200,MATCH(C192,'予算一覧'!$A$5:$A$200,0))="継続"),"対象外",IF(INDEX('予算一覧'!$AJ$5:$AJ$200,MATCH(C192,'予算一覧'!$A$5:$A$200,0))="はい","移管",IF(INDEX('予算一覧'!$AJ$5:$AJ$200,MATCH(C192,'予算一覧'!$A$5:$A$200,0))="いいえ","対象外","判定保留")))))</f>
        <v/>
      </c>
      <c r="P192" s="33" t="n"/>
      <c r="Q192" s="18" t="n"/>
    </row>
    <row r="193">
      <c r="A193" s="18" t="n"/>
      <c r="B193" s="18" t="n"/>
      <c r="C193" s="18" t="n"/>
      <c r="D193" s="21">
        <f>IF(C193="","",IFERROR(INDEX('予算一覧'!$B:$B,MATCH(C193,'予算一覧'!$A:$A,0)),"案件が未登録"))</f>
        <v/>
      </c>
      <c r="E193" s="18" t="n"/>
      <c r="F193" s="18" t="n"/>
      <c r="G193" s="18" t="n"/>
      <c r="H193" s="33" t="n"/>
      <c r="I193" s="33" t="n"/>
      <c r="J193" s="18" t="n"/>
      <c r="K193" s="18" t="n"/>
      <c r="L193" s="35">
        <f>IF(OR(I193="",K193=""),"",EDATE(I193,-K193))</f>
        <v/>
      </c>
      <c r="M193" s="19" t="n"/>
      <c r="N193" s="21">
        <f>IF(A193="","",COUNTIF('業務'!$N$4:$N$200,A193))</f>
        <v/>
      </c>
      <c r="O193" s="21">
        <f>IF(A193="","",IF(COUNTIF('予算一覧'!$A$5:$A$200,C193)=0,"判定保留",IF(AND(INDEX('予算一覧'!$AH$5:$AH$200,MATCH(C193,'予算一覧'!$A$5:$A$200,0))="投資予算",INDEX('予算一覧'!$AZ$5:$AZ$200,MATCH(C193,'予算一覧'!$A$5:$A$200,0))="継続"),"対象外",IF(INDEX('予算一覧'!$AJ$5:$AJ$200,MATCH(C193,'予算一覧'!$A$5:$A$200,0))="はい","移管",IF(INDEX('予算一覧'!$AJ$5:$AJ$200,MATCH(C193,'予算一覧'!$A$5:$A$200,0))="いいえ","対象外","判定保留")))))</f>
        <v/>
      </c>
      <c r="P193" s="33" t="n"/>
      <c r="Q193" s="18" t="n"/>
    </row>
    <row r="194">
      <c r="A194" s="18" t="n"/>
      <c r="B194" s="18" t="n"/>
      <c r="C194" s="18" t="n"/>
      <c r="D194" s="21">
        <f>IF(C194="","",IFERROR(INDEX('予算一覧'!$B:$B,MATCH(C194,'予算一覧'!$A:$A,0)),"案件が未登録"))</f>
        <v/>
      </c>
      <c r="E194" s="18" t="n"/>
      <c r="F194" s="18" t="n"/>
      <c r="G194" s="18" t="n"/>
      <c r="H194" s="33" t="n"/>
      <c r="I194" s="33" t="n"/>
      <c r="J194" s="18" t="n"/>
      <c r="K194" s="18" t="n"/>
      <c r="L194" s="35">
        <f>IF(OR(I194="",K194=""),"",EDATE(I194,-K194))</f>
        <v/>
      </c>
      <c r="M194" s="19" t="n"/>
      <c r="N194" s="21">
        <f>IF(A194="","",COUNTIF('業務'!$N$4:$N$200,A194))</f>
        <v/>
      </c>
      <c r="O194" s="21">
        <f>IF(A194="","",IF(COUNTIF('予算一覧'!$A$5:$A$200,C194)=0,"判定保留",IF(AND(INDEX('予算一覧'!$AH$5:$AH$200,MATCH(C194,'予算一覧'!$A$5:$A$200,0))="投資予算",INDEX('予算一覧'!$AZ$5:$AZ$200,MATCH(C194,'予算一覧'!$A$5:$A$200,0))="継続"),"対象外",IF(INDEX('予算一覧'!$AJ$5:$AJ$200,MATCH(C194,'予算一覧'!$A$5:$A$200,0))="はい","移管",IF(INDEX('予算一覧'!$AJ$5:$AJ$200,MATCH(C194,'予算一覧'!$A$5:$A$200,0))="いいえ","対象外","判定保留")))))</f>
        <v/>
      </c>
      <c r="P194" s="33" t="n"/>
      <c r="Q194" s="18" t="n"/>
    </row>
    <row r="195">
      <c r="A195" s="18" t="n"/>
      <c r="B195" s="18" t="n"/>
      <c r="C195" s="18" t="n"/>
      <c r="D195" s="21">
        <f>IF(C195="","",IFERROR(INDEX('予算一覧'!$B:$B,MATCH(C195,'予算一覧'!$A:$A,0)),"案件が未登録"))</f>
        <v/>
      </c>
      <c r="E195" s="18" t="n"/>
      <c r="F195" s="18" t="n"/>
      <c r="G195" s="18" t="n"/>
      <c r="H195" s="33" t="n"/>
      <c r="I195" s="33" t="n"/>
      <c r="J195" s="18" t="n"/>
      <c r="K195" s="18" t="n"/>
      <c r="L195" s="35">
        <f>IF(OR(I195="",K195=""),"",EDATE(I195,-K195))</f>
        <v/>
      </c>
      <c r="M195" s="19" t="n"/>
      <c r="N195" s="21">
        <f>IF(A195="","",COUNTIF('業務'!$N$4:$N$200,A195))</f>
        <v/>
      </c>
      <c r="O195" s="21">
        <f>IF(A195="","",IF(COUNTIF('予算一覧'!$A$5:$A$200,C195)=0,"判定保留",IF(AND(INDEX('予算一覧'!$AH$5:$AH$200,MATCH(C195,'予算一覧'!$A$5:$A$200,0))="投資予算",INDEX('予算一覧'!$AZ$5:$AZ$200,MATCH(C195,'予算一覧'!$A$5:$A$200,0))="継続"),"対象外",IF(INDEX('予算一覧'!$AJ$5:$AJ$200,MATCH(C195,'予算一覧'!$A$5:$A$200,0))="はい","移管",IF(INDEX('予算一覧'!$AJ$5:$AJ$200,MATCH(C195,'予算一覧'!$A$5:$A$200,0))="いいえ","対象外","判定保留")))))</f>
        <v/>
      </c>
      <c r="P195" s="33" t="n"/>
      <c r="Q195" s="18" t="n"/>
    </row>
    <row r="196">
      <c r="A196" s="18" t="n"/>
      <c r="B196" s="18" t="n"/>
      <c r="C196" s="18" t="n"/>
      <c r="D196" s="21">
        <f>IF(C196="","",IFERROR(INDEX('予算一覧'!$B:$B,MATCH(C196,'予算一覧'!$A:$A,0)),"案件が未登録"))</f>
        <v/>
      </c>
      <c r="E196" s="18" t="n"/>
      <c r="F196" s="18" t="n"/>
      <c r="G196" s="18" t="n"/>
      <c r="H196" s="33" t="n"/>
      <c r="I196" s="33" t="n"/>
      <c r="J196" s="18" t="n"/>
      <c r="K196" s="18" t="n"/>
      <c r="L196" s="35">
        <f>IF(OR(I196="",K196=""),"",EDATE(I196,-K196))</f>
        <v/>
      </c>
      <c r="M196" s="19" t="n"/>
      <c r="N196" s="21">
        <f>IF(A196="","",COUNTIF('業務'!$N$4:$N$200,A196))</f>
        <v/>
      </c>
      <c r="O196" s="21">
        <f>IF(A196="","",IF(COUNTIF('予算一覧'!$A$5:$A$200,C196)=0,"判定保留",IF(AND(INDEX('予算一覧'!$AH$5:$AH$200,MATCH(C196,'予算一覧'!$A$5:$A$200,0))="投資予算",INDEX('予算一覧'!$AZ$5:$AZ$200,MATCH(C196,'予算一覧'!$A$5:$A$200,0))="継続"),"対象外",IF(INDEX('予算一覧'!$AJ$5:$AJ$200,MATCH(C196,'予算一覧'!$A$5:$A$200,0))="はい","移管",IF(INDEX('予算一覧'!$AJ$5:$AJ$200,MATCH(C196,'予算一覧'!$A$5:$A$200,0))="いいえ","対象外","判定保留")))))</f>
        <v/>
      </c>
      <c r="P196" s="33" t="n"/>
      <c r="Q196" s="18" t="n"/>
    </row>
    <row r="197">
      <c r="A197" s="18" t="n"/>
      <c r="B197" s="18" t="n"/>
      <c r="C197" s="18" t="n"/>
      <c r="D197" s="21">
        <f>IF(C197="","",IFERROR(INDEX('予算一覧'!$B:$B,MATCH(C197,'予算一覧'!$A:$A,0)),"案件が未登録"))</f>
        <v/>
      </c>
      <c r="E197" s="18" t="n"/>
      <c r="F197" s="18" t="n"/>
      <c r="G197" s="18" t="n"/>
      <c r="H197" s="33" t="n"/>
      <c r="I197" s="33" t="n"/>
      <c r="J197" s="18" t="n"/>
      <c r="K197" s="18" t="n"/>
      <c r="L197" s="35">
        <f>IF(OR(I197="",K197=""),"",EDATE(I197,-K197))</f>
        <v/>
      </c>
      <c r="M197" s="19" t="n"/>
      <c r="N197" s="21">
        <f>IF(A197="","",COUNTIF('業務'!$N$4:$N$200,A197))</f>
        <v/>
      </c>
      <c r="O197" s="21">
        <f>IF(A197="","",IF(COUNTIF('予算一覧'!$A$5:$A$200,C197)=0,"判定保留",IF(AND(INDEX('予算一覧'!$AH$5:$AH$200,MATCH(C197,'予算一覧'!$A$5:$A$200,0))="投資予算",INDEX('予算一覧'!$AZ$5:$AZ$200,MATCH(C197,'予算一覧'!$A$5:$A$200,0))="継続"),"対象外",IF(INDEX('予算一覧'!$AJ$5:$AJ$200,MATCH(C197,'予算一覧'!$A$5:$A$200,0))="はい","移管",IF(INDEX('予算一覧'!$AJ$5:$AJ$200,MATCH(C197,'予算一覧'!$A$5:$A$200,0))="いいえ","対象外","判定保留")))))</f>
        <v/>
      </c>
      <c r="P197" s="33" t="n"/>
      <c r="Q197" s="18" t="n"/>
    </row>
    <row r="198">
      <c r="A198" s="18" t="n"/>
      <c r="B198" s="18" t="n"/>
      <c r="C198" s="18" t="n"/>
      <c r="D198" s="21">
        <f>IF(C198="","",IFERROR(INDEX('予算一覧'!$B:$B,MATCH(C198,'予算一覧'!$A:$A,0)),"案件が未登録"))</f>
        <v/>
      </c>
      <c r="E198" s="18" t="n"/>
      <c r="F198" s="18" t="n"/>
      <c r="G198" s="18" t="n"/>
      <c r="H198" s="33" t="n"/>
      <c r="I198" s="33" t="n"/>
      <c r="J198" s="18" t="n"/>
      <c r="K198" s="18" t="n"/>
      <c r="L198" s="35">
        <f>IF(OR(I198="",K198=""),"",EDATE(I198,-K198))</f>
        <v/>
      </c>
      <c r="M198" s="19" t="n"/>
      <c r="N198" s="21">
        <f>IF(A198="","",COUNTIF('業務'!$N$4:$N$200,A198))</f>
        <v/>
      </c>
      <c r="O198" s="21">
        <f>IF(A198="","",IF(COUNTIF('予算一覧'!$A$5:$A$200,C198)=0,"判定保留",IF(AND(INDEX('予算一覧'!$AH$5:$AH$200,MATCH(C198,'予算一覧'!$A$5:$A$200,0))="投資予算",INDEX('予算一覧'!$AZ$5:$AZ$200,MATCH(C198,'予算一覧'!$A$5:$A$200,0))="継続"),"対象外",IF(INDEX('予算一覧'!$AJ$5:$AJ$200,MATCH(C198,'予算一覧'!$A$5:$A$200,0))="はい","移管",IF(INDEX('予算一覧'!$AJ$5:$AJ$200,MATCH(C198,'予算一覧'!$A$5:$A$200,0))="いいえ","対象外","判定保留")))))</f>
        <v/>
      </c>
      <c r="P198" s="33" t="n"/>
      <c r="Q198" s="18" t="n"/>
    </row>
    <row r="199">
      <c r="A199" s="18" t="n"/>
      <c r="B199" s="18" t="n"/>
      <c r="C199" s="18" t="n"/>
      <c r="D199" s="21">
        <f>IF(C199="","",IFERROR(INDEX('予算一覧'!$B:$B,MATCH(C199,'予算一覧'!$A:$A,0)),"案件が未登録"))</f>
        <v/>
      </c>
      <c r="E199" s="18" t="n"/>
      <c r="F199" s="18" t="n"/>
      <c r="G199" s="18" t="n"/>
      <c r="H199" s="33" t="n"/>
      <c r="I199" s="33" t="n"/>
      <c r="J199" s="18" t="n"/>
      <c r="K199" s="18" t="n"/>
      <c r="L199" s="35">
        <f>IF(OR(I199="",K199=""),"",EDATE(I199,-K199))</f>
        <v/>
      </c>
      <c r="M199" s="19" t="n"/>
      <c r="N199" s="21">
        <f>IF(A199="","",COUNTIF('業務'!$N$4:$N$200,A199))</f>
        <v/>
      </c>
      <c r="O199" s="21">
        <f>IF(A199="","",IF(COUNTIF('予算一覧'!$A$5:$A$200,C199)=0,"判定保留",IF(AND(INDEX('予算一覧'!$AH$5:$AH$200,MATCH(C199,'予算一覧'!$A$5:$A$200,0))="投資予算",INDEX('予算一覧'!$AZ$5:$AZ$200,MATCH(C199,'予算一覧'!$A$5:$A$200,0))="継続"),"対象外",IF(INDEX('予算一覧'!$AJ$5:$AJ$200,MATCH(C199,'予算一覧'!$A$5:$A$200,0))="はい","移管",IF(INDEX('予算一覧'!$AJ$5:$AJ$200,MATCH(C199,'予算一覧'!$A$5:$A$200,0))="いいえ","対象外","判定保留")))))</f>
        <v/>
      </c>
      <c r="P199" s="33" t="n"/>
      <c r="Q199" s="18" t="n"/>
    </row>
    <row r="200">
      <c r="A200" s="18" t="n"/>
      <c r="B200" s="18" t="n"/>
      <c r="C200" s="18" t="n"/>
      <c r="D200" s="21">
        <f>IF(C200="","",IFERROR(INDEX('予算一覧'!$B:$B,MATCH(C200,'予算一覧'!$A:$A,0)),"案件が未登録"))</f>
        <v/>
      </c>
      <c r="E200" s="18" t="n"/>
      <c r="F200" s="18" t="n"/>
      <c r="G200" s="18" t="n"/>
      <c r="H200" s="33" t="n"/>
      <c r="I200" s="33" t="n"/>
      <c r="J200" s="18" t="n"/>
      <c r="K200" s="18" t="n"/>
      <c r="L200" s="35">
        <f>IF(OR(I200="",K200=""),"",EDATE(I200,-K200))</f>
        <v/>
      </c>
      <c r="M200" s="19" t="n"/>
      <c r="N200" s="21">
        <f>IF(A200="","",COUNTIF('業務'!$N$4:$N$200,A200))</f>
        <v/>
      </c>
      <c r="O200" s="21">
        <f>IF(A200="","",IF(COUNTIF('予算一覧'!$A$5:$A$200,C200)=0,"判定保留",IF(AND(INDEX('予算一覧'!$AH$5:$AH$200,MATCH(C200,'予算一覧'!$A$5:$A$200,0))="投資予算",INDEX('予算一覧'!$AZ$5:$AZ$200,MATCH(C200,'予算一覧'!$A$5:$A$200,0))="継続"),"対象外",IF(INDEX('予算一覧'!$AJ$5:$AJ$200,MATCH(C200,'予算一覧'!$A$5:$A$200,0))="はい","移管",IF(INDEX('予算一覧'!$AJ$5:$AJ$200,MATCH(C200,'予算一覧'!$A$5:$A$200,0))="いいえ","対象外","判定保留")))))</f>
        <v/>
      </c>
      <c r="P200" s="33" t="n"/>
      <c r="Q200" s="18" t="n"/>
    </row>
  </sheetData>
  <dataValidations count="3">
    <dataValidation sqref="C4:C200" showDropDown="0" showInputMessage="0" showErrorMessage="0" allowBlank="1" type="list">
      <formula1>'予算一覧'!$A$5:$A$200</formula1>
    </dataValidation>
    <dataValidation sqref="F4:F200" showDropDown="0" showInputMessage="0" showErrorMessage="0" allowBlank="1" type="list">
      <formula1>'選択肢'!$I$5:$I$14</formula1>
    </dataValidation>
    <dataValidation sqref="J4:J200" showDropDown="0" showInputMessage="0" showErrorMessage="0" allowBlank="1" type="list">
      <formula1>'選択肢'!$G$5:$G$14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30" customWidth="1" min="4" max="4"/>
    <col width="8" customWidth="1" min="5" max="5"/>
  </cols>
  <sheetData>
    <row r="1">
      <c r="A1" s="1" t="inlineStr">
        <is>
          <t>タスク一覧（役割別）</t>
        </is>
      </c>
    </row>
    <row r="2">
      <c r="A2" s="2" t="inlineStr">
        <is>
          <t>Runbook 全体編（BTR-P-08-00）§2 のタスク一覧を、1行＝1タスクで並べたもの。P-＝事務局、C-＝窓口担当、A-＝承認（A-01・A-02・A-04・A-06・A-07・P-05・C-06・C-09 は欠番）。承認（A-）の行は、依頼した者（A-03は窓口担当、それ以外は事務局）が承認を得たときに更新する。進捗シートのタスクIDの選択肢になる。手順を変えるときは、先に Runbook と予算移管シート 仕様を直す。</t>
        </is>
      </c>
    </row>
    <row r="3" ht="34" customHeight="1">
      <c r="A3" s="12" t="inlineStr">
        <is>
          <t>タスクID</t>
        </is>
      </c>
      <c r="B3" s="12" t="inlineStr">
        <is>
          <t>役割</t>
        </is>
      </c>
      <c r="C3" s="12" t="inlineStr">
        <is>
          <t>タスク</t>
        </is>
      </c>
      <c r="D3" s="12" t="inlineStr">
        <is>
          <t>Runbook の節</t>
        </is>
      </c>
      <c r="E3" s="12" t="inlineStr">
        <is>
          <t>単位</t>
        </is>
      </c>
    </row>
    <row r="4">
      <c r="A4" s="27" t="inlineStr">
        <is>
          <t>P-01</t>
        </is>
      </c>
      <c r="B4" s="27" t="inlineStr">
        <is>
          <t>事務局</t>
        </is>
      </c>
      <c r="C4" s="27" t="inlineStr">
        <is>
          <t>ガイドラインを公開し、説明する</t>
        </is>
      </c>
      <c r="D4" s="27" t="inlineStr">
        <is>
          <t>事務局編 §3.1</t>
        </is>
      </c>
      <c r="E4" s="27" t="inlineStr">
        <is>
          <t>全体</t>
        </is>
      </c>
    </row>
    <row r="5">
      <c r="A5" s="27" t="inlineStr">
        <is>
          <t>P-02</t>
        </is>
      </c>
      <c r="B5" s="27" t="inlineStr">
        <is>
          <t>事務局</t>
        </is>
      </c>
      <c r="C5" s="27" t="inlineStr">
        <is>
          <t>予算シートを登録し、窓口担当を割り当てる</t>
        </is>
      </c>
      <c r="D5" s="27" t="inlineStr">
        <is>
          <t>事務局編 §3.2</t>
        </is>
      </c>
      <c r="E5" s="27" t="inlineStr">
        <is>
          <t>部門</t>
        </is>
      </c>
    </row>
    <row r="6">
      <c r="A6" s="27" t="inlineStr">
        <is>
          <t>P-03</t>
        </is>
      </c>
      <c r="B6" s="27" t="inlineStr">
        <is>
          <t>事務局</t>
        </is>
      </c>
      <c r="C6" s="27" t="inlineStr">
        <is>
          <t>引継ぎ要領を整える</t>
        </is>
      </c>
      <c r="D6" s="27" t="inlineStr">
        <is>
          <t>事務局編 §3.3</t>
        </is>
      </c>
      <c r="E6" s="27" t="inlineStr">
        <is>
          <t>全体</t>
        </is>
      </c>
    </row>
    <row r="7">
      <c r="A7" s="27" t="inlineStr">
        <is>
          <t>P-04</t>
        </is>
      </c>
      <c r="B7" s="27" t="inlineStr">
        <is>
          <t>事務局</t>
        </is>
      </c>
      <c r="C7" s="27" t="inlineStr">
        <is>
          <t>移管の稟議を起票する</t>
        </is>
      </c>
      <c r="D7" s="27" t="inlineStr">
        <is>
          <t>事務局編 §3.4</t>
        </is>
      </c>
      <c r="E7" s="27" t="inlineStr">
        <is>
          <t>部門</t>
        </is>
      </c>
    </row>
    <row r="8">
      <c r="A8" s="27" t="inlineStr">
        <is>
          <t>P-06</t>
        </is>
      </c>
      <c r="B8" s="27" t="inlineStr">
        <is>
          <t>事務局</t>
        </is>
      </c>
      <c r="C8" s="27" t="inlineStr">
        <is>
          <t>移管ステータスと進捗を確認する</t>
        </is>
      </c>
      <c r="D8" s="27" t="inlineStr">
        <is>
          <t>事務局編 §3.6</t>
        </is>
      </c>
      <c r="E8" s="27" t="inlineStr">
        <is>
          <t>全体</t>
        </is>
      </c>
    </row>
    <row r="9">
      <c r="A9" s="27" t="inlineStr">
        <is>
          <t>P-07</t>
        </is>
      </c>
      <c r="B9" s="27" t="inlineStr">
        <is>
          <t>事務局</t>
        </is>
      </c>
      <c r="C9" s="27" t="inlineStr">
        <is>
          <t>進捗をまとめる</t>
        </is>
      </c>
      <c r="D9" s="27" t="inlineStr">
        <is>
          <t>事務局編 §3.7</t>
        </is>
      </c>
      <c r="E9" s="27" t="inlineStr">
        <is>
          <t>全体</t>
        </is>
      </c>
    </row>
    <row r="10">
      <c r="A10" s="27" t="inlineStr">
        <is>
          <t>C-01</t>
        </is>
      </c>
      <c r="B10" s="27" t="inlineStr">
        <is>
          <t>窓口担当</t>
        </is>
      </c>
      <c r="C10" s="27" t="inlineStr">
        <is>
          <t>ヒアリングで情報を集める</t>
        </is>
      </c>
      <c r="D10" s="27" t="inlineStr">
        <is>
          <t>窓口担当編 §3.1</t>
        </is>
      </c>
      <c r="E10" s="27" t="inlineStr">
        <is>
          <t>案件</t>
        </is>
      </c>
    </row>
    <row r="11">
      <c r="A11" s="27" t="inlineStr">
        <is>
          <t>C-02</t>
        </is>
      </c>
      <c r="B11" s="27" t="inlineStr">
        <is>
          <t>窓口担当</t>
        </is>
      </c>
      <c r="C11" s="27" t="inlineStr">
        <is>
          <t>予算移管シートに記入する</t>
        </is>
      </c>
      <c r="D11" s="27" t="inlineStr">
        <is>
          <t>窓口担当編 §3.2</t>
        </is>
      </c>
      <c r="E11" s="27" t="inlineStr">
        <is>
          <t>案件</t>
        </is>
      </c>
    </row>
    <row r="12">
      <c r="A12" s="27" t="inlineStr">
        <is>
          <t>C-03</t>
        </is>
      </c>
      <c r="B12" s="27" t="inlineStr">
        <is>
          <t>窓口担当</t>
        </is>
      </c>
      <c r="C12" s="27" t="inlineStr">
        <is>
          <t>判定保留を確認し、棚卸しを終える</t>
        </is>
      </c>
      <c r="D12" s="27" t="inlineStr">
        <is>
          <t>窓口担当編 §3.3</t>
        </is>
      </c>
      <c r="E12" s="27" t="inlineStr">
        <is>
          <t>案件</t>
        </is>
      </c>
    </row>
    <row r="13">
      <c r="A13" s="27" t="inlineStr">
        <is>
          <t>C-04</t>
        </is>
      </c>
      <c r="B13" s="27" t="inlineStr">
        <is>
          <t>窓口担当</t>
        </is>
      </c>
      <c r="C13" s="27" t="inlineStr">
        <is>
          <t>引継ぎと IT関連業務の扱いの案（合意文書）を作る</t>
        </is>
      </c>
      <c r="D13" s="27" t="inlineStr">
        <is>
          <t>窓口担当編 §3.4</t>
        </is>
      </c>
      <c r="E13" s="27" t="inlineStr">
        <is>
          <t>案件</t>
        </is>
      </c>
    </row>
    <row r="14">
      <c r="A14" s="27" t="inlineStr">
        <is>
          <t>C-05</t>
        </is>
      </c>
      <c r="B14" s="27" t="inlineStr">
        <is>
          <t>窓口担当</t>
        </is>
      </c>
      <c r="C14" s="27" t="inlineStr">
        <is>
          <t>合意を記録する</t>
        </is>
      </c>
      <c r="D14" s="27" t="inlineStr">
        <is>
          <t>窓口担当編 §3.5</t>
        </is>
      </c>
      <c r="E14" s="27" t="inlineStr">
        <is>
          <t>案件</t>
        </is>
      </c>
    </row>
    <row r="15">
      <c r="A15" s="27" t="inlineStr">
        <is>
          <t>C-07</t>
        </is>
      </c>
      <c r="B15" s="27" t="inlineStr">
        <is>
          <t>窓口担当</t>
        </is>
      </c>
      <c r="C15" s="27" t="inlineStr">
        <is>
          <t>間接業務を引き継ぐ</t>
        </is>
      </c>
      <c r="D15" s="27" t="inlineStr">
        <is>
          <t>窓口担当編 §3.7</t>
        </is>
      </c>
      <c r="E15" s="27" t="inlineStr">
        <is>
          <t>案件</t>
        </is>
      </c>
    </row>
    <row r="16">
      <c r="A16" s="27" t="inlineStr">
        <is>
          <t>C-08</t>
        </is>
      </c>
      <c r="B16" s="27" t="inlineStr">
        <is>
          <t>窓口担当</t>
        </is>
      </c>
      <c r="C16" s="27" t="inlineStr">
        <is>
          <t>準備完了を確認する</t>
        </is>
      </c>
      <c r="D16" s="27" t="inlineStr">
        <is>
          <t>窓口担当編 §3.8</t>
        </is>
      </c>
      <c r="E16" s="27" t="inlineStr">
        <is>
          <t>案件</t>
        </is>
      </c>
    </row>
    <row r="17">
      <c r="A17" s="27" t="inlineStr">
        <is>
          <t>A-03</t>
        </is>
      </c>
      <c r="B17" s="27" t="inlineStr">
        <is>
          <t>移管元の責任者</t>
        </is>
      </c>
      <c r="C17" s="27" t="inlineStr">
        <is>
          <t>合意文書を承認する</t>
        </is>
      </c>
      <c r="D17" s="27" t="inlineStr">
        <is>
          <t>窓口担当編 §1.5</t>
        </is>
      </c>
      <c r="E17" s="27" t="inlineStr">
        <is>
          <t>案件</t>
        </is>
      </c>
    </row>
    <row r="18">
      <c r="A18" s="27" t="inlineStr">
        <is>
          <t>A-05</t>
        </is>
      </c>
      <c r="B18" s="27" t="inlineStr">
        <is>
          <t>部門長同士（稟議）</t>
        </is>
      </c>
      <c r="C18" s="27" t="inlineStr">
        <is>
          <t>移管の稟議を承認する</t>
        </is>
      </c>
      <c r="D18" s="27" t="inlineStr">
        <is>
          <t>事務局編 §1.5</t>
        </is>
      </c>
      <c r="E18" s="27" t="inlineStr">
        <is>
          <t>部門</t>
        </is>
      </c>
    </row>
    <row r="19">
      <c r="A19" s="27" t="inlineStr">
        <is>
          <t>A-08</t>
        </is>
      </c>
      <c r="B19" s="27" t="inlineStr">
        <is>
          <t>IT部門長</t>
        </is>
      </c>
      <c r="C19" s="27" t="inlineStr">
        <is>
          <t>確認依頼と保留課題を決める</t>
        </is>
      </c>
      <c r="D19" s="27" t="inlineStr">
        <is>
          <t>事務局編 §1.5</t>
        </is>
      </c>
      <c r="E19" s="27" t="inlineStr">
        <is>
          <t>全体</t>
        </is>
      </c>
    </row>
    <row r="20">
      <c r="A20" s="27" t="n"/>
      <c r="B20" s="27" t="n"/>
      <c r="C20" s="27" t="n"/>
      <c r="D20" s="27" t="n"/>
      <c r="E20" s="27" t="n"/>
    </row>
    <row r="21">
      <c r="A21" s="27" t="n"/>
      <c r="B21" s="27" t="n"/>
      <c r="C21" s="27" t="n"/>
      <c r="D21" s="27" t="n"/>
      <c r="E21" s="27" t="n"/>
    </row>
    <row r="22">
      <c r="A22" s="27" t="n"/>
      <c r="B22" s="27" t="n"/>
      <c r="C22" s="27" t="n"/>
      <c r="D22" s="27" t="n"/>
      <c r="E22" s="27" t="n"/>
    </row>
    <row r="23">
      <c r="A23" s="27" t="n"/>
      <c r="B23" s="27" t="n"/>
      <c r="C23" s="27" t="n"/>
      <c r="D23" s="27" t="n"/>
      <c r="E23" s="27" t="n"/>
    </row>
    <row r="24">
      <c r="A24" s="27" t="n"/>
      <c r="B24" s="27" t="n"/>
      <c r="C24" s="27" t="n"/>
      <c r="D24" s="27" t="n"/>
      <c r="E24" s="27" t="n"/>
    </row>
    <row r="25">
      <c r="A25" s="27" t="n"/>
      <c r="B25" s="27" t="n"/>
      <c r="C25" s="27" t="n"/>
      <c r="D25" s="27" t="n"/>
      <c r="E25" s="27" t="n"/>
    </row>
    <row r="26">
      <c r="A26" s="27" t="n"/>
      <c r="B26" s="27" t="n"/>
      <c r="C26" s="27" t="n"/>
      <c r="D26" s="27" t="n"/>
      <c r="E26" s="27" t="n"/>
    </row>
    <row r="27">
      <c r="A27" s="27" t="n"/>
      <c r="B27" s="27" t="n"/>
      <c r="C27" s="27" t="n"/>
      <c r="D27" s="27" t="n"/>
      <c r="E27" s="27" t="n"/>
    </row>
    <row r="28">
      <c r="A28" s="27" t="n"/>
      <c r="B28" s="27" t="n"/>
      <c r="C28" s="27" t="n"/>
      <c r="D28" s="27" t="n"/>
      <c r="E28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hidden="1" width="6" customWidth="1" min="1" max="1"/>
    <col width="26" customWidth="1" min="2" max="2"/>
    <col width="10" customWidth="1" min="3" max="3"/>
    <col width="10" customWidth="1" min="4" max="4"/>
    <col width="20" customWidth="1" min="5" max="5"/>
    <col width="44" customWidth="1" min="6" max="6"/>
  </cols>
  <sheetData>
    <row r="1">
      <c r="A1" s="1" t="inlineStr">
        <is>
          <t>判定表</t>
        </is>
      </c>
    </row>
    <row r="2">
      <c r="A2" s="2" t="inlineStr">
        <is>
          <t>困難度の基準。緑の列を書き換えると判定が変わる。回答の文言は「選択肢」シートから自動で表示される。</t>
        </is>
      </c>
    </row>
    <row r="4">
      <c r="B4" s="23" t="inlineStr">
        <is>
          <t>1. 困難度（間接業務）：現場の関わり方 × 要因（GxP対象、個人情報あり、SOP無のいずれか）。移管するかどうかは変えず、引継ぎの準備と経過措置の検討に使う。直接業務は移管しないので「—」</t>
        </is>
      </c>
    </row>
    <row r="5" ht="30" customHeight="1">
      <c r="A5" s="28" t="inlineStr">
        <is>
          <t>キー</t>
        </is>
      </c>
      <c r="B5" s="28" t="inlineStr">
        <is>
          <t>現場の関わり方</t>
        </is>
      </c>
      <c r="C5" s="28" t="inlineStr">
        <is>
          <t>要因</t>
        </is>
      </c>
      <c r="D5" s="28" t="inlineStr">
        <is>
          <t>困難度</t>
        </is>
      </c>
      <c r="E5" s="28" t="inlineStr">
        <is>
          <t>移管の方法</t>
        </is>
      </c>
      <c r="F5" s="28" t="inlineStr">
        <is>
          <t>意味</t>
        </is>
      </c>
    </row>
    <row r="6">
      <c r="A6" s="29">
        <f>"W|"&amp;B6&amp;"|"&amp;C6</f>
        <v/>
      </c>
      <c r="B6" s="29">
        <f>'選択肢'!W5</f>
        <v/>
      </c>
      <c r="C6" s="29" t="inlineStr">
        <is>
          <t>なし</t>
        </is>
      </c>
      <c r="D6" s="30" t="inlineStr">
        <is>
          <t>低</t>
        </is>
      </c>
      <c r="E6" s="30" t="inlineStr">
        <is>
          <t>手続きの引継ぎ</t>
        </is>
      </c>
      <c r="F6" s="29" t="inlineStr">
        <is>
          <t>手続きを引き継げば移せる</t>
        </is>
      </c>
    </row>
    <row r="7">
      <c r="A7" s="29">
        <f>"W|"&amp;B7&amp;"|"&amp;C7</f>
        <v/>
      </c>
      <c r="B7" s="29">
        <f>'選択肢'!W5</f>
        <v/>
      </c>
      <c r="C7" s="29" t="inlineStr">
        <is>
          <t>あり</t>
        </is>
      </c>
      <c r="D7" s="30" t="inlineStr">
        <is>
          <t>中</t>
        </is>
      </c>
      <c r="E7" s="30" t="inlineStr">
        <is>
          <t>手続きの引継ぎ</t>
        </is>
      </c>
      <c r="F7" s="29" t="inlineStr">
        <is>
          <t>規制の手続きを含めて引き継ぐ</t>
        </is>
      </c>
    </row>
    <row r="8">
      <c r="A8" s="29">
        <f>"W|"&amp;B8&amp;"|"&amp;C8</f>
        <v/>
      </c>
      <c r="B8" s="29">
        <f>'選択肢'!W6</f>
        <v/>
      </c>
      <c r="C8" s="29" t="inlineStr">
        <is>
          <t>なし</t>
        </is>
      </c>
      <c r="D8" s="30" t="inlineStr">
        <is>
          <t>中</t>
        </is>
      </c>
      <c r="E8" s="30" t="inlineStr">
        <is>
          <t>委託先管理の引継ぎ</t>
        </is>
      </c>
      <c r="F8" s="29" t="inlineStr">
        <is>
          <t>委託先への指示・検収を引き継ぐ</t>
        </is>
      </c>
    </row>
    <row r="9">
      <c r="A9" s="29">
        <f>"W|"&amp;B9&amp;"|"&amp;C9</f>
        <v/>
      </c>
      <c r="B9" s="29">
        <f>'選択肢'!W6</f>
        <v/>
      </c>
      <c r="C9" s="29" t="inlineStr">
        <is>
          <t>あり</t>
        </is>
      </c>
      <c r="D9" s="30" t="inlineStr">
        <is>
          <t>高</t>
        </is>
      </c>
      <c r="E9" s="30" t="inlineStr">
        <is>
          <t>委託先管理の引継ぎ</t>
        </is>
      </c>
      <c r="F9" s="29" t="inlineStr">
        <is>
          <t>規制の手続きを含めて委託先管理を引き継ぐ</t>
        </is>
      </c>
    </row>
    <row r="12">
      <c r="B12" s="2" t="inlineStr">
        <is>
          <t>※ 棚卸しが「済」でない、または関わり方・GxP対象・個人情報・SOP有無に未記入・未確認があれば判定保留。GxP対象でSOP無は入力エラー。移管の方法は業務移管判定が「移管」のときだけ表示。</t>
        </is>
      </c>
    </row>
    <row r="14">
      <c r="B14" s="23" t="inlineStr">
        <is>
          <t>2. 移管判定と経過措置（数式で固定）</t>
        </is>
      </c>
    </row>
    <row r="15">
      <c r="B15" s="2" t="inlineStr">
        <is>
          <t>値：移管／対象外（システムと関係がない、または直接業務）／判定保留（入力が足りない）／—（該当しない）</t>
        </is>
      </c>
    </row>
    <row r="16">
      <c r="B16" s="2" t="inlineStr">
        <is>
          <t>業務：業務区分が間接業務なら移管、直接業務なら対象外（移管対象部門に残る）。対象システムIDが空欄なら対象外</t>
        </is>
      </c>
    </row>
    <row r="17">
      <c r="B17" s="2" t="inlineStr">
        <is>
          <t>契約：案件がシステム関連なら移管、そうでなければ対象外。継続している投資案件（投資の区分＝継続）の契約は対象外。案件が未登録・未確認なら判定保留</t>
        </is>
      </c>
    </row>
    <row r="18">
      <c r="B18" s="2" t="inlineStr">
        <is>
          <t>予算一覧 契約（AM）：システム関連でなければ、または継続している投資案件なら対象外。案件の契約がなければ「—」、あれば移管</t>
        </is>
      </c>
    </row>
    <row r="19">
      <c r="B19" s="2" t="inlineStr">
        <is>
          <t>予算一覧 間接業務（AN）：投資予算は「—」（新規の投資案件の発注・検収は、はじめから IT部門が行うので引継ぎがない）。経費予算は、紐付けがない、間接業務が未登録のシステムがある、棚卸しが済でない業務があれば判定保留。それ以外は移管</t>
        </is>
      </c>
    </row>
    <row r="20">
      <c r="B20" s="2" t="inlineStr">
        <is>
          <t>予算一覧 予算（AL）：システム関連でなければ、または継続している投資案件（投資の区分＝継続）なら対象外。予算区分・システム関連（投資予算は投資の区分も）が未記入・未確認、または契約・業務が判定保留なら判定保留。それ以外は移管</t>
        </is>
      </c>
    </row>
    <row r="21">
      <c r="B21" s="2" t="inlineStr">
        <is>
          <t>予算一覧 経過措置（AO）：予算が移管のとき、経過措置の完了予定（業務シート S列）が入った間接業務があれば「あり」、なければ「なし」。予算はどちらも一括して移す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34" customWidth="1" min="4" max="4"/>
    <col width="22" customWidth="1" min="5" max="5"/>
    <col width="34" customWidth="1" min="6" max="6"/>
    <col width="22" customWidth="1" min="7" max="7"/>
    <col width="34" customWidth="1" min="8" max="8"/>
    <col width="22" customWidth="1" min="9" max="9"/>
    <col width="34" customWidth="1" min="10" max="10"/>
    <col width="22" customWidth="1" min="11" max="11"/>
    <col width="34" customWidth="1" min="12" max="12"/>
    <col width="22" customWidth="1" min="13" max="13"/>
    <col width="34" customWidth="1" min="14" max="14"/>
    <col width="22" customWidth="1" min="15" max="15"/>
    <col width="34" customWidth="1" min="16" max="16"/>
    <col width="22" customWidth="1" min="17" max="17"/>
    <col width="34" customWidth="1" min="18" max="18"/>
    <col width="22" customWidth="1" min="19" max="19"/>
    <col width="34" customWidth="1" min="20" max="20"/>
    <col width="22" customWidth="1" min="21" max="21"/>
    <col width="34" customWidth="1" min="22" max="22"/>
    <col width="22" customWidth="1" min="23" max="23"/>
    <col width="34" customWidth="1" min="24" max="24"/>
    <col width="22" customWidth="1" min="25" max="25"/>
    <col width="34" customWidth="1" min="26" max="26"/>
  </cols>
  <sheetData>
    <row r="1">
      <c r="A1" s="1" t="inlineStr">
        <is>
          <t>入力規則の選択肢と定義</t>
        </is>
      </c>
    </row>
    <row r="2">
      <c r="A2" s="2" t="inlineStr">
        <is>
          <t>各シートのドロップダウンはこの列を参照している。増やす場合は、下の空き行（14行目まで）に書く。</t>
        </is>
      </c>
    </row>
    <row r="4">
      <c r="A4" s="31" t="inlineStr">
        <is>
          <t>予算区分</t>
        </is>
      </c>
      <c r="B4" s="31" t="inlineStr">
        <is>
          <t>説明</t>
        </is>
      </c>
      <c r="C4" s="31" t="inlineStr">
        <is>
          <t>費用の性質</t>
        </is>
      </c>
      <c r="D4" s="31" t="inlineStr">
        <is>
          <t>説明</t>
        </is>
      </c>
      <c r="E4" s="31" t="inlineStr">
        <is>
          <t>該当</t>
        </is>
      </c>
      <c r="F4" s="31" t="inlineStr">
        <is>
          <t>説明</t>
        </is>
      </c>
      <c r="G4" s="31" t="inlineStr">
        <is>
          <t>有無</t>
        </is>
      </c>
      <c r="H4" s="31" t="inlineStr">
        <is>
          <t>説明</t>
        </is>
      </c>
      <c r="I4" s="31" t="inlineStr">
        <is>
          <t>契約種別</t>
        </is>
      </c>
      <c r="J4" s="31" t="inlineStr">
        <is>
          <t>説明</t>
        </is>
      </c>
      <c r="K4" s="31" t="inlineStr">
        <is>
          <t>業務の種類</t>
        </is>
      </c>
      <c r="L4" s="31" t="inlineStr">
        <is>
          <t>説明</t>
        </is>
      </c>
      <c r="M4" s="31" t="inlineStr">
        <is>
          <t>実施者</t>
        </is>
      </c>
      <c r="N4" s="31" t="inlineStr">
        <is>
          <t>説明</t>
        </is>
      </c>
      <c r="O4" s="31" t="inlineStr">
        <is>
          <t>頻度</t>
        </is>
      </c>
      <c r="P4" s="31" t="inlineStr">
        <is>
          <t>説明</t>
        </is>
      </c>
      <c r="Q4" s="31" t="inlineStr">
        <is>
          <t>棚卸し状況</t>
        </is>
      </c>
      <c r="R4" s="31" t="inlineStr">
        <is>
          <t>説明</t>
        </is>
      </c>
      <c r="S4" s="31" t="inlineStr">
        <is>
          <t>移管ステータス</t>
        </is>
      </c>
      <c r="T4" s="31" t="inlineStr">
        <is>
          <t>説明</t>
        </is>
      </c>
      <c r="U4" s="31" t="inlineStr">
        <is>
          <t>進捗の状態</t>
        </is>
      </c>
      <c r="V4" s="31" t="inlineStr">
        <is>
          <t>説明</t>
        </is>
      </c>
      <c r="W4" s="31" t="inlineStr">
        <is>
          <t>現場の関わり方</t>
        </is>
      </c>
      <c r="X4" s="31" t="inlineStr">
        <is>
          <t>説明</t>
        </is>
      </c>
      <c r="Y4" s="31" t="inlineStr">
        <is>
          <t>投資の区分</t>
        </is>
      </c>
      <c r="Z4" s="31" t="inlineStr">
        <is>
          <t>説明</t>
        </is>
      </c>
    </row>
    <row r="5">
      <c r="A5" t="inlineStr">
        <is>
          <t>投資予算</t>
        </is>
      </c>
      <c r="B5" s="2" t="inlineStr">
        <is>
          <t>新規・改修（設備投資・プロジェクト）。間接業務を伴わない</t>
        </is>
      </c>
      <c r="C5" t="inlineStr">
        <is>
          <t>変動費</t>
        </is>
      </c>
      <c r="D5" s="2" t="inlineStr">
        <is>
          <t>使い方で金額が動く（クラウド消費、ライセンス数など）</t>
        </is>
      </c>
      <c r="E5" t="inlineStr">
        <is>
          <t>はい</t>
        </is>
      </c>
      <c r="G5" t="inlineStr">
        <is>
          <t>有</t>
        </is>
      </c>
      <c r="I5" t="inlineStr">
        <is>
          <t>保守</t>
        </is>
      </c>
      <c r="K5" t="inlineStr">
        <is>
          <t>予算の管理</t>
        </is>
      </c>
      <c r="L5" s="2" t="inlineStr">
        <is>
          <t>間接業務</t>
        </is>
      </c>
      <c r="M5" t="inlineStr">
        <is>
          <t>現場部門</t>
        </is>
      </c>
      <c r="O5" t="inlineStr">
        <is>
          <t>日次</t>
        </is>
      </c>
      <c r="Q5" t="inlineStr">
        <is>
          <t>済</t>
        </is>
      </c>
      <c r="R5" s="2" t="inlineStr">
        <is>
          <t>業務シートへの記入と現場部門の確認が終わった</t>
        </is>
      </c>
      <c r="S5" t="inlineStr">
        <is>
          <t>棚卸し中</t>
        </is>
      </c>
      <c r="T5" s="2" t="inlineStr">
        <is>
          <t>判定保留が残っている</t>
        </is>
      </c>
      <c r="U5" t="inlineStr">
        <is>
          <t>未着手</t>
        </is>
      </c>
      <c r="W5" t="inlineStr">
        <is>
          <t>予算・契約の管理のみ</t>
        </is>
      </c>
      <c r="X5" s="2" t="inlineStr">
        <is>
          <t>発注・検収・支払いなどの手続きだけを行う</t>
        </is>
      </c>
      <c r="Y5" t="inlineStr">
        <is>
          <t>新規</t>
        </is>
      </c>
      <c r="Z5" s="2" t="inlineStr">
        <is>
          <t>来年度に始まる投資案件。予算を移管し、IT部門が発注・検収を行う</t>
        </is>
      </c>
    </row>
    <row r="6">
      <c r="A6" t="inlineStr">
        <is>
          <t>経費予算</t>
        </is>
      </c>
      <c r="B6" s="2" t="inlineStr">
        <is>
          <t>保守・ライセンス・運用。契約と、契約に基づく間接業務を伴う</t>
        </is>
      </c>
      <c r="C6" t="inlineStr">
        <is>
          <t>固定費</t>
        </is>
      </c>
      <c r="D6" s="2" t="inlineStr">
        <is>
          <t>使い方では動かない（基盤の維持費など）</t>
        </is>
      </c>
      <c r="E6" t="inlineStr">
        <is>
          <t>いいえ</t>
        </is>
      </c>
      <c r="G6" t="inlineStr">
        <is>
          <t>無</t>
        </is>
      </c>
      <c r="I6" t="inlineStr">
        <is>
          <t>利用・サブスクリプション</t>
        </is>
      </c>
      <c r="K6" t="inlineStr">
        <is>
          <t>契約の管理（締結・更新・解約）</t>
        </is>
      </c>
      <c r="L6" s="2" t="inlineStr">
        <is>
          <t>間接業務</t>
        </is>
      </c>
      <c r="M6" t="inlineStr">
        <is>
          <t>IT部門</t>
        </is>
      </c>
      <c r="O6" t="inlineStr">
        <is>
          <t>週次</t>
        </is>
      </c>
      <c r="Q6" t="inlineStr">
        <is>
          <t>未</t>
        </is>
      </c>
      <c r="R6" s="2" t="inlineStr">
        <is>
          <t>まだ終わっていない</t>
        </is>
      </c>
      <c r="S6" t="inlineStr">
        <is>
          <t>棚卸し済み</t>
        </is>
      </c>
      <c r="T6" s="2" t="inlineStr">
        <is>
          <t>移管判定に判定保留がなく、記入内容を移管対象部門の担当者が確認した</t>
        </is>
      </c>
      <c r="U6" t="inlineStr">
        <is>
          <t>進行中</t>
        </is>
      </c>
      <c r="W6" t="inlineStr">
        <is>
          <t>委託先の管理（指示・検収）</t>
        </is>
      </c>
      <c r="X6" s="2" t="inlineStr">
        <is>
          <t>委託先に指示し、成果を検収している</t>
        </is>
      </c>
      <c r="Y6" t="inlineStr">
        <is>
          <t>継続</t>
        </is>
      </c>
      <c r="Z6" s="2" t="inlineStr">
        <is>
          <t>今年度から続く投資案件。予算は移管対象部門に残り、1回限りの支出の発注・検収を部門が行う（次の継続はIT部門）</t>
        </is>
      </c>
    </row>
    <row r="7">
      <c r="C7" t="inlineStr">
        <is>
          <t>現場固有の増分</t>
        </is>
      </c>
      <c r="D7" s="2" t="inlineStr">
        <is>
          <t>標準外の要求による上乗せ分（現場負担）</t>
        </is>
      </c>
      <c r="E7" t="inlineStr">
        <is>
          <t>未確認</t>
        </is>
      </c>
      <c r="F7" s="2" t="inlineStr">
        <is>
          <t>判定保留になる</t>
        </is>
      </c>
      <c r="I7" t="inlineStr">
        <is>
          <t>請負</t>
        </is>
      </c>
      <c r="K7" t="inlineStr">
        <is>
          <t>発注・検収・支払い</t>
        </is>
      </c>
      <c r="L7" s="2" t="inlineStr">
        <is>
          <t>間接業務</t>
        </is>
      </c>
      <c r="M7" t="inlineStr">
        <is>
          <t>委託先</t>
        </is>
      </c>
      <c r="O7" t="inlineStr">
        <is>
          <t>月次</t>
        </is>
      </c>
      <c r="S7" t="inlineStr">
        <is>
          <t>合意済み</t>
        </is>
      </c>
      <c r="T7" s="2" t="inlineStr">
        <is>
          <t>合意文書（間接業務の引継ぎの方法、IT関連業務の扱い、経過措置）を移管元の責任者が承認した</t>
        </is>
      </c>
      <c r="U7" t="inlineStr">
        <is>
          <t>完了</t>
        </is>
      </c>
      <c r="Y7" t="inlineStr">
        <is>
          <t>未確認</t>
        </is>
      </c>
      <c r="Z7" t="inlineStr">
        <is>
          <t>判定保留になる</t>
        </is>
      </c>
    </row>
    <row r="8">
      <c r="I8" t="inlineStr">
        <is>
          <t>準委任</t>
        </is>
      </c>
      <c r="K8" t="inlineStr">
        <is>
          <t>委託先の管理（指示・報告の確認）</t>
        </is>
      </c>
      <c r="L8" s="2" t="inlineStr">
        <is>
          <t>間接業務</t>
        </is>
      </c>
      <c r="M8" t="inlineStr">
        <is>
          <t>現場部門＋委託先</t>
        </is>
      </c>
      <c r="O8" t="inlineStr">
        <is>
          <t>四半期</t>
        </is>
      </c>
      <c r="S8" t="inlineStr">
        <is>
          <t>準備完了</t>
        </is>
      </c>
      <c r="T8" s="2" t="inlineStr">
        <is>
          <t>準備完了チェックのすべての項目を満たした</t>
        </is>
      </c>
      <c r="U8" t="inlineStr">
        <is>
          <t>保留</t>
        </is>
      </c>
      <c r="V8" s="2" t="inlineStr">
        <is>
          <t>止まっている。メモに理由を書く</t>
        </is>
      </c>
    </row>
    <row r="9">
      <c r="I9" t="inlineStr">
        <is>
          <t>派遣</t>
        </is>
      </c>
      <c r="J9" s="2" t="inlineStr">
        <is>
          <t>労働者派遣（派遣法）</t>
        </is>
      </c>
      <c r="K9" t="inlineStr">
        <is>
          <t>契約に関する監査・規制対応</t>
        </is>
      </c>
      <c r="L9" s="2" t="inlineStr">
        <is>
          <t>間接業務</t>
        </is>
      </c>
      <c r="M9" t="inlineStr">
        <is>
          <t>IT部門＋委託先</t>
        </is>
      </c>
      <c r="O9" t="inlineStr">
        <is>
          <t>年次</t>
        </is>
      </c>
      <c r="S9" t="inlineStr">
        <is>
          <t>対象外</t>
        </is>
      </c>
      <c r="T9" s="2" t="inlineStr">
        <is>
          <t>移管判定が対象外</t>
        </is>
      </c>
    </row>
    <row r="10">
      <c r="I10" t="inlineStr">
        <is>
          <t>物品購入</t>
        </is>
      </c>
      <c r="K10" t="inlineStr">
        <is>
          <t>業務要件の決定</t>
        </is>
      </c>
      <c r="L10" s="2" t="inlineStr">
        <is>
          <t>直接業務</t>
        </is>
      </c>
      <c r="O10" t="inlineStr">
        <is>
          <t>随時</t>
        </is>
      </c>
      <c r="T10" s="2" t="n"/>
    </row>
    <row r="11">
      <c r="I11" t="inlineStr">
        <is>
          <t>その他</t>
        </is>
      </c>
      <c r="K11" t="inlineStr">
        <is>
          <t>業務での利用（データの登録・更新）</t>
        </is>
      </c>
      <c r="L11" s="2" t="inlineStr">
        <is>
          <t>直接業務</t>
        </is>
      </c>
      <c r="T11" s="2" t="n"/>
    </row>
    <row r="12">
      <c r="K12" t="inlineStr">
        <is>
          <t>受け入れの確認（業務要件を満たすか）</t>
        </is>
      </c>
      <c r="L12" s="2" t="inlineStr">
        <is>
          <t>直接業務</t>
        </is>
      </c>
      <c r="T12" s="2" t="n"/>
    </row>
    <row r="13">
      <c r="K13" t="inlineStr">
        <is>
          <t>部門で行う運用（ユーザー管理など）</t>
        </is>
      </c>
      <c r="L13" s="2" t="inlineStr">
        <is>
          <t>直接業務</t>
        </is>
      </c>
    </row>
    <row r="14">
      <c r="K14" t="inlineStr">
        <is>
          <t>利用者への教育</t>
        </is>
      </c>
      <c r="L14" s="2" t="inlineStr">
        <is>
          <t>直接業務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2026-10-11T10:14:31Z</dcterms:created>
  <dcterms:modified xmlns:dcterms="http://purl.org/dc/terms/" xmlns:xsi="http://www.w3.org/2001/XMLSchema-instance" xsi:type="dcterms:W3CDTF">2026-10-12T04:25:21Z</dcterms:modified>
</cp:coreProperties>
</file>